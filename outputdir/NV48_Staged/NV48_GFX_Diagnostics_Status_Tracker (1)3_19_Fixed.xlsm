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1.xml" ContentType="application/vnd.openxmlformats-officedocument.spreadsheetml.pivot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workbookPr codeName="ThisWorkbook"/>
  <mc:AlternateContent xmlns:mc="http://schemas.openxmlformats.org/markup-compatibility/2006">
    <mc:Choice Requires="x15">
      <x15ac:absPath xmlns:x15ac="http://schemas.microsoft.com/office/spreadsheetml/2010/11/ac" url="C:\Users\pregier\Documents\qTest\python\flatten\flatten\outputdir\NV48_Staged\"/>
    </mc:Choice>
  </mc:AlternateContent>
  <xr:revisionPtr revIDLastSave="0" documentId="13_ncr:1_{FDC270FC-25A6-4C0F-B34E-B3DBADAA173B}" xr6:coauthVersionLast="47" xr6:coauthVersionMax="47" xr10:uidLastSave="{00000000-0000-0000-0000-000000000000}"/>
  <bookViews>
    <workbookView xWindow="-24015" yWindow="705" windowWidth="23265" windowHeight="13005" firstSheet="5" activeTab="5" xr2:uid="{00000000-000D-0000-FFFF-FFFF00000000}"/>
  </bookViews>
  <sheets>
    <sheet name="Log" sheetId="47" state="hidden" r:id="rId1"/>
    <sheet name="List Options" sheetId="31" state="hidden" r:id="rId2"/>
    <sheet name="Usage" sheetId="56" r:id="rId3"/>
    <sheet name="Cross-IP trackingHowTo" sheetId="60" r:id="rId4"/>
    <sheet name="Revision History" sheetId="58" r:id="rId5"/>
    <sheet name="Diags Raw Data" sheetId="53" r:id="rId6"/>
    <sheet name="Sub-IP Block Summary" sheetId="59" r:id="rId7"/>
    <sheet name="Feature Raw Data" sheetId="52" r:id="rId8"/>
    <sheet name="Feature Summary" sheetId="55" r:id="rId9"/>
    <sheet name="Progress (WIP)" sheetId="26" state="hidden" r:id="rId10"/>
    <sheet name="Progress" sheetId="51" r:id="rId11"/>
    <sheet name="Coverage Plan" sheetId="57" state="hidden" r:id="rId12"/>
  </sheets>
  <definedNames>
    <definedName name="_xlnm._FilterDatabase" localSheetId="5" hidden="1">'Diags Raw Data'!$A$5:$AH$220</definedName>
    <definedName name="_xlnm._FilterDatabase" localSheetId="7" hidden="1">'Feature Raw Data'!$A$2:$I$254</definedName>
    <definedName name="_xlnm._FilterDatabase" localSheetId="8" hidden="1">'Feature Summary'!$A$6:$U$278</definedName>
    <definedName name="DataRange1" localSheetId="3">OFFSET(#REF!,0,0,COUNTA(#REF!))</definedName>
    <definedName name="DataRange1">OFFSET(#REF!,0,0,COUNTA(#REF!))</definedName>
    <definedName name="DataRange2">OFFSET(#REF!,0,0,COUNTA(#REF!))</definedName>
    <definedName name="DataRange3">OFFSET(#REF!,0,0,COUNTA(#REF!))</definedName>
    <definedName name="DataRange4">OFFSET(#REF!,0,0,COUNTA(#REF!))</definedName>
    <definedName name="DataRange5">OFFSET(#REF!,0,0,COUNTA(#REF!))</definedName>
    <definedName name="DateRange">OFFSET(#REF!,0,0,COUNTA(#REF!))</definedName>
  </definedNames>
  <calcPr calcId="191029"/>
  <pivotCaches>
    <pivotCache cacheId="10" r:id="rId13"/>
  </pivotCaches>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P176" i="53" l="1"/>
  <c r="C40" i="55"/>
  <c r="B40" i="55"/>
  <c r="E40" i="55"/>
  <c r="P175" i="53"/>
  <c r="X173" i="53"/>
  <c r="E131" i="55"/>
  <c r="U9" i="55"/>
  <c r="U10" i="55"/>
  <c r="U11" i="55"/>
  <c r="U12" i="55"/>
  <c r="U13" i="55"/>
  <c r="U14" i="55"/>
  <c r="U15" i="55"/>
  <c r="U16" i="55"/>
  <c r="U17" i="55"/>
  <c r="U18" i="55"/>
  <c r="U19" i="55"/>
  <c r="U20" i="55"/>
  <c r="U21" i="55"/>
  <c r="U22" i="55"/>
  <c r="U23" i="55"/>
  <c r="U24" i="55"/>
  <c r="U25" i="55"/>
  <c r="U26" i="55"/>
  <c r="U27" i="55"/>
  <c r="U28" i="55"/>
  <c r="U29" i="55"/>
  <c r="U30" i="55"/>
  <c r="U31" i="55"/>
  <c r="U32" i="55"/>
  <c r="U33" i="55"/>
  <c r="U34" i="55"/>
  <c r="U35" i="55"/>
  <c r="U36" i="55"/>
  <c r="U37" i="55"/>
  <c r="U38" i="55"/>
  <c r="U39" i="55"/>
  <c r="U40" i="55"/>
  <c r="U41" i="55"/>
  <c r="U42" i="55"/>
  <c r="U43" i="55"/>
  <c r="U44" i="55"/>
  <c r="U45" i="55"/>
  <c r="U46" i="55"/>
  <c r="U47" i="55"/>
  <c r="U48" i="55"/>
  <c r="U49" i="55"/>
  <c r="U50" i="55"/>
  <c r="U51" i="55"/>
  <c r="U52" i="55"/>
  <c r="U53" i="55"/>
  <c r="U54" i="55"/>
  <c r="U55" i="55"/>
  <c r="U56" i="55"/>
  <c r="U57" i="55"/>
  <c r="U58" i="55"/>
  <c r="U59" i="55"/>
  <c r="U60" i="55"/>
  <c r="U61" i="55"/>
  <c r="U62" i="55"/>
  <c r="U63" i="55"/>
  <c r="U64" i="55"/>
  <c r="U65" i="55"/>
  <c r="U66" i="55"/>
  <c r="U67" i="55"/>
  <c r="U68" i="55"/>
  <c r="U69" i="55"/>
  <c r="U70" i="55"/>
  <c r="U71" i="55"/>
  <c r="U72" i="55"/>
  <c r="U73" i="55"/>
  <c r="U74" i="55"/>
  <c r="U75" i="55"/>
  <c r="U76" i="55"/>
  <c r="U77" i="55"/>
  <c r="U78" i="55"/>
  <c r="U79" i="55"/>
  <c r="U80" i="55"/>
  <c r="U81" i="55"/>
  <c r="U82" i="55"/>
  <c r="U83" i="55"/>
  <c r="U84" i="55"/>
  <c r="U85" i="55"/>
  <c r="U86" i="55"/>
  <c r="U87" i="55"/>
  <c r="U88" i="55"/>
  <c r="U89" i="55"/>
  <c r="U90" i="55"/>
  <c r="U91" i="55"/>
  <c r="U92" i="55"/>
  <c r="U93" i="55"/>
  <c r="U94" i="55"/>
  <c r="U95" i="55"/>
  <c r="U96" i="55"/>
  <c r="U97" i="55"/>
  <c r="U98" i="55"/>
  <c r="U99" i="55"/>
  <c r="U100" i="55"/>
  <c r="U101" i="55"/>
  <c r="U102" i="55"/>
  <c r="U103" i="55"/>
  <c r="U104" i="55"/>
  <c r="U105" i="55"/>
  <c r="U106" i="55"/>
  <c r="U107" i="55"/>
  <c r="U108" i="55"/>
  <c r="U109" i="55"/>
  <c r="U110" i="55"/>
  <c r="U111" i="55"/>
  <c r="U112" i="55"/>
  <c r="U113" i="55"/>
  <c r="U114" i="55"/>
  <c r="U115" i="55"/>
  <c r="U116" i="55"/>
  <c r="U117" i="55"/>
  <c r="U118" i="55"/>
  <c r="U119" i="55"/>
  <c r="U120" i="55"/>
  <c r="U121" i="55"/>
  <c r="U122" i="55"/>
  <c r="U123" i="55"/>
  <c r="U124" i="55"/>
  <c r="U125" i="55"/>
  <c r="U126" i="55"/>
  <c r="U127" i="55"/>
  <c r="U128" i="55"/>
  <c r="U129" i="55"/>
  <c r="U130" i="55"/>
  <c r="U131" i="55"/>
  <c r="U132" i="55"/>
  <c r="U133" i="55"/>
  <c r="U134" i="55"/>
  <c r="U135" i="55"/>
  <c r="U136" i="55"/>
  <c r="U137" i="55"/>
  <c r="U138" i="55"/>
  <c r="U139" i="55"/>
  <c r="U140" i="55"/>
  <c r="U141" i="55"/>
  <c r="U142" i="55"/>
  <c r="U143" i="55"/>
  <c r="U144" i="55"/>
  <c r="U145" i="55"/>
  <c r="U146" i="55"/>
  <c r="U147" i="55"/>
  <c r="U148" i="55"/>
  <c r="U149" i="55"/>
  <c r="U150" i="55"/>
  <c r="U151" i="55"/>
  <c r="U152" i="55"/>
  <c r="U153" i="55"/>
  <c r="U154" i="55"/>
  <c r="U155" i="55"/>
  <c r="U156" i="55"/>
  <c r="U157" i="55"/>
  <c r="U158" i="55"/>
  <c r="U159" i="55"/>
  <c r="U160" i="55"/>
  <c r="U161" i="55"/>
  <c r="U162" i="55"/>
  <c r="U163" i="55"/>
  <c r="U164" i="55"/>
  <c r="U165" i="55"/>
  <c r="U166" i="55"/>
  <c r="U167" i="55"/>
  <c r="U168" i="55"/>
  <c r="U169" i="55"/>
  <c r="U170" i="55"/>
  <c r="U171" i="55"/>
  <c r="U172" i="55"/>
  <c r="U173" i="55"/>
  <c r="U174" i="55"/>
  <c r="U175" i="55"/>
  <c r="U176" i="55"/>
  <c r="U177" i="55"/>
  <c r="U178" i="55"/>
  <c r="U179" i="55"/>
  <c r="U180" i="55"/>
  <c r="U181" i="55"/>
  <c r="U182" i="55"/>
  <c r="U183" i="55"/>
  <c r="U184" i="55"/>
  <c r="U185" i="55"/>
  <c r="U186" i="55"/>
  <c r="U187" i="55"/>
  <c r="U188" i="55"/>
  <c r="U189" i="55"/>
  <c r="U190" i="55"/>
  <c r="U191" i="55"/>
  <c r="U192" i="55"/>
  <c r="U193" i="55"/>
  <c r="U194" i="55"/>
  <c r="U195" i="55"/>
  <c r="U196" i="55"/>
  <c r="U197" i="55"/>
  <c r="U198" i="55"/>
  <c r="U199" i="55"/>
  <c r="U200" i="55"/>
  <c r="U201" i="55"/>
  <c r="U202" i="55"/>
  <c r="U203" i="55"/>
  <c r="U204" i="55"/>
  <c r="U205" i="55"/>
  <c r="U206" i="55"/>
  <c r="U207" i="55"/>
  <c r="U208" i="55"/>
  <c r="U209" i="55"/>
  <c r="U210" i="55"/>
  <c r="U211" i="55"/>
  <c r="U212" i="55"/>
  <c r="U213" i="55"/>
  <c r="U214" i="55"/>
  <c r="U215" i="55"/>
  <c r="U216" i="55"/>
  <c r="U217" i="55"/>
  <c r="U218" i="55"/>
  <c r="U219" i="55"/>
  <c r="U220" i="55"/>
  <c r="U221" i="55"/>
  <c r="U222" i="55"/>
  <c r="U223" i="55"/>
  <c r="U224" i="55"/>
  <c r="U225" i="55"/>
  <c r="U226" i="55"/>
  <c r="U227" i="55"/>
  <c r="U228" i="55"/>
  <c r="U229" i="55"/>
  <c r="U230" i="55"/>
  <c r="U231" i="55"/>
  <c r="U232" i="55"/>
  <c r="U233" i="55"/>
  <c r="U234" i="55"/>
  <c r="U235" i="55"/>
  <c r="U236" i="55"/>
  <c r="U237" i="55"/>
  <c r="U238" i="55"/>
  <c r="U239" i="55"/>
  <c r="U240" i="55"/>
  <c r="U241" i="55"/>
  <c r="U242" i="55"/>
  <c r="U243" i="55"/>
  <c r="U244" i="55"/>
  <c r="U245" i="55"/>
  <c r="U246" i="55"/>
  <c r="U247" i="55"/>
  <c r="U248" i="55"/>
  <c r="U249" i="55"/>
  <c r="U250" i="55"/>
  <c r="U251" i="55"/>
  <c r="U252" i="55"/>
  <c r="U253" i="55"/>
  <c r="U254" i="55"/>
  <c r="U255" i="55"/>
  <c r="U256" i="55"/>
  <c r="U257" i="55"/>
  <c r="U258" i="55"/>
  <c r="U8" i="55"/>
  <c r="E42" i="55"/>
  <c r="U7" i="55"/>
  <c r="C174" i="55"/>
  <c r="G158" i="53"/>
  <c r="B173" i="53"/>
  <c r="B174" i="53"/>
  <c r="AE147" i="53"/>
  <c r="AE148" i="53"/>
  <c r="AE149" i="53"/>
  <c r="AE150" i="53"/>
  <c r="AE151" i="53"/>
  <c r="AE152" i="53"/>
  <c r="AE153" i="53"/>
  <c r="AE154" i="53"/>
  <c r="AE155" i="53"/>
  <c r="AE156" i="53"/>
  <c r="AE157" i="53"/>
  <c r="AE158" i="53"/>
  <c r="AE159" i="53"/>
  <c r="AE160" i="53"/>
  <c r="AE161" i="53"/>
  <c r="AE162" i="53"/>
  <c r="AE163" i="53"/>
  <c r="AE164" i="53"/>
  <c r="AE165" i="53"/>
  <c r="AE166" i="53"/>
  <c r="AE167" i="53"/>
  <c r="AE168" i="53"/>
  <c r="AE169" i="53"/>
  <c r="AE170" i="53"/>
  <c r="AE171" i="53"/>
  <c r="AE172" i="53"/>
  <c r="AE173" i="53"/>
  <c r="AE174" i="53"/>
  <c r="AE175" i="53"/>
  <c r="AE176" i="53"/>
  <c r="AE177" i="53"/>
  <c r="AE178" i="53"/>
  <c r="AE179" i="53"/>
  <c r="AE180" i="53"/>
  <c r="AE181" i="53"/>
  <c r="AE182" i="53"/>
  <c r="AE183" i="53"/>
  <c r="AE184" i="53"/>
  <c r="AE185" i="53"/>
  <c r="AE186" i="53"/>
  <c r="AE187" i="53"/>
  <c r="AE188" i="53"/>
  <c r="AE189" i="53"/>
  <c r="AE190" i="53"/>
  <c r="AE191" i="53"/>
  <c r="AE192" i="53"/>
  <c r="AE193" i="53"/>
  <c r="AE194" i="53"/>
  <c r="AE195" i="53"/>
  <c r="AE196" i="53"/>
  <c r="AE197" i="53"/>
  <c r="AE198" i="53"/>
  <c r="AE199" i="53"/>
  <c r="AE200" i="53"/>
  <c r="AE201" i="53"/>
  <c r="AE202" i="53"/>
  <c r="AE203" i="53"/>
  <c r="AE204" i="53"/>
  <c r="AE205" i="53"/>
  <c r="AE206" i="53"/>
  <c r="AE207" i="53"/>
  <c r="AE208" i="53"/>
  <c r="AE209" i="53"/>
  <c r="AE210" i="53"/>
  <c r="AE211" i="53"/>
  <c r="AE212" i="53"/>
  <c r="AE213" i="53"/>
  <c r="AE214" i="53"/>
  <c r="X147" i="53"/>
  <c r="X148" i="53"/>
  <c r="X149" i="53"/>
  <c r="X150" i="53"/>
  <c r="X151" i="53"/>
  <c r="X152" i="53"/>
  <c r="X153" i="53"/>
  <c r="X154" i="53"/>
  <c r="X155" i="53"/>
  <c r="X156" i="53"/>
  <c r="X157" i="53"/>
  <c r="X158" i="53"/>
  <c r="X159" i="53"/>
  <c r="X160" i="53"/>
  <c r="X161" i="53"/>
  <c r="X162" i="53"/>
  <c r="X163" i="53"/>
  <c r="X164" i="53"/>
  <c r="X165" i="53"/>
  <c r="X166" i="53"/>
  <c r="X167" i="53"/>
  <c r="X168" i="53"/>
  <c r="X169" i="53"/>
  <c r="X170" i="53"/>
  <c r="X171" i="53"/>
  <c r="X172" i="53"/>
  <c r="X174" i="53"/>
  <c r="X175" i="53"/>
  <c r="X176" i="53"/>
  <c r="X177" i="53"/>
  <c r="X178" i="53"/>
  <c r="X179" i="53"/>
  <c r="X180" i="53"/>
  <c r="X181" i="53"/>
  <c r="X182" i="53"/>
  <c r="X183" i="53"/>
  <c r="X184" i="53"/>
  <c r="X185" i="53"/>
  <c r="X186" i="53"/>
  <c r="X187" i="53"/>
  <c r="X188" i="53"/>
  <c r="X189" i="53"/>
  <c r="X190" i="53"/>
  <c r="X191" i="53"/>
  <c r="X192" i="53"/>
  <c r="X193" i="53"/>
  <c r="X194" i="53"/>
  <c r="X195" i="53"/>
  <c r="X196" i="53"/>
  <c r="X197" i="53"/>
  <c r="X198" i="53"/>
  <c r="X199" i="53"/>
  <c r="X200" i="53"/>
  <c r="X201" i="53"/>
  <c r="X202" i="53"/>
  <c r="X203" i="53"/>
  <c r="X204" i="53"/>
  <c r="X205" i="53"/>
  <c r="X206" i="53"/>
  <c r="X207" i="53"/>
  <c r="X208" i="53"/>
  <c r="X209" i="53"/>
  <c r="X210" i="53"/>
  <c r="X211" i="53"/>
  <c r="X212" i="53"/>
  <c r="X213" i="53"/>
  <c r="X214" i="53"/>
  <c r="B199" i="53"/>
  <c r="D199" i="53"/>
  <c r="E239" i="55" s="1"/>
  <c r="M199" i="53"/>
  <c r="P199" i="53"/>
  <c r="S199" i="53"/>
  <c r="Z199" i="53"/>
  <c r="P167" i="53"/>
  <c r="P166" i="53"/>
  <c r="P169" i="53"/>
  <c r="P181" i="53"/>
  <c r="P183" i="53"/>
  <c r="P207" i="53"/>
  <c r="E20" i="55"/>
  <c r="P147" i="53"/>
  <c r="P148" i="53"/>
  <c r="P149" i="53"/>
  <c r="P150" i="53"/>
  <c r="P151" i="53"/>
  <c r="P152" i="53"/>
  <c r="P153" i="53"/>
  <c r="P154" i="53"/>
  <c r="P155" i="53"/>
  <c r="P156" i="53"/>
  <c r="P157" i="53"/>
  <c r="P158" i="53"/>
  <c r="P159" i="53"/>
  <c r="P160" i="53"/>
  <c r="P161" i="53"/>
  <c r="P162" i="53"/>
  <c r="P163" i="53"/>
  <c r="P164" i="53"/>
  <c r="P165" i="53"/>
  <c r="P168" i="53"/>
  <c r="P170" i="53"/>
  <c r="P171" i="53"/>
  <c r="P172" i="53"/>
  <c r="P173" i="53"/>
  <c r="P174" i="53"/>
  <c r="P177" i="53"/>
  <c r="P178" i="53"/>
  <c r="P179" i="53"/>
  <c r="P180" i="53"/>
  <c r="P182" i="53"/>
  <c r="P184" i="53"/>
  <c r="P185" i="53"/>
  <c r="P186" i="53"/>
  <c r="P187" i="53"/>
  <c r="P188" i="53"/>
  <c r="P189" i="53"/>
  <c r="P190" i="53"/>
  <c r="P191" i="53"/>
  <c r="P192" i="53"/>
  <c r="P193" i="53"/>
  <c r="P194" i="53"/>
  <c r="P195" i="53"/>
  <c r="P196" i="53"/>
  <c r="P197" i="53"/>
  <c r="P198" i="53"/>
  <c r="P200" i="53"/>
  <c r="P201" i="53"/>
  <c r="P202" i="53"/>
  <c r="P203" i="53"/>
  <c r="P204" i="53"/>
  <c r="P205" i="53"/>
  <c r="P206" i="53"/>
  <c r="P208" i="53"/>
  <c r="P209" i="53"/>
  <c r="P210" i="53"/>
  <c r="P211" i="53"/>
  <c r="P212" i="53"/>
  <c r="P213" i="53"/>
  <c r="P214" i="53"/>
  <c r="Y202" i="53"/>
  <c r="Y208" i="53"/>
  <c r="Y209" i="53"/>
  <c r="Z208" i="53"/>
  <c r="Z209" i="53"/>
  <c r="S208" i="53"/>
  <c r="S209" i="53"/>
  <c r="M208" i="53"/>
  <c r="M209" i="53"/>
  <c r="D208" i="53"/>
  <c r="E251" i="55" s="1"/>
  <c r="D209" i="53"/>
  <c r="E252" i="55" s="1"/>
  <c r="B208" i="53"/>
  <c r="B209" i="53"/>
  <c r="Z202" i="53"/>
  <c r="S202" i="53"/>
  <c r="M202" i="53"/>
  <c r="D202" i="53"/>
  <c r="E243" i="55" s="1"/>
  <c r="B202" i="53"/>
  <c r="B158" i="53"/>
  <c r="D158" i="53"/>
  <c r="E174" i="55" s="1"/>
  <c r="M158" i="53"/>
  <c r="S158" i="53"/>
  <c r="Z158" i="53"/>
  <c r="E238" i="55"/>
  <c r="B200" i="53"/>
  <c r="D200" i="53"/>
  <c r="E240" i="55" s="1"/>
  <c r="M200" i="53"/>
  <c r="S200" i="53"/>
  <c r="Z200" i="53"/>
  <c r="B201" i="53"/>
  <c r="D201" i="53"/>
  <c r="E241" i="55" s="1"/>
  <c r="M201" i="53"/>
  <c r="S201" i="53"/>
  <c r="Z201" i="53"/>
  <c r="E242" i="55"/>
  <c r="B203" i="53"/>
  <c r="D203" i="53"/>
  <c r="E244" i="55" s="1"/>
  <c r="M203" i="53"/>
  <c r="S203" i="53"/>
  <c r="Z203" i="53"/>
  <c r="E245" i="55"/>
  <c r="B204" i="53"/>
  <c r="D204" i="53"/>
  <c r="E246" i="55" s="1"/>
  <c r="M204" i="53"/>
  <c r="S204" i="53"/>
  <c r="Z204" i="53"/>
  <c r="B205" i="53"/>
  <c r="D205" i="53"/>
  <c r="E247" i="55" s="1"/>
  <c r="M205" i="53"/>
  <c r="S205" i="53"/>
  <c r="Z205" i="53"/>
  <c r="B206" i="53"/>
  <c r="D206" i="53"/>
  <c r="E248" i="55" s="1"/>
  <c r="M206" i="53"/>
  <c r="S206" i="53"/>
  <c r="Z206" i="53"/>
  <c r="E249" i="55"/>
  <c r="B207" i="53"/>
  <c r="D207" i="53"/>
  <c r="E250" i="55" s="1"/>
  <c r="M207" i="53"/>
  <c r="S207" i="53"/>
  <c r="Z207" i="53"/>
  <c r="B210" i="53"/>
  <c r="D210" i="53"/>
  <c r="E253" i="55" s="1"/>
  <c r="M210" i="53"/>
  <c r="S210" i="53"/>
  <c r="Z210" i="53"/>
  <c r="B211" i="53"/>
  <c r="D211" i="53"/>
  <c r="E254" i="55" s="1"/>
  <c r="M211" i="53"/>
  <c r="S211" i="53"/>
  <c r="Z211" i="53"/>
  <c r="B212" i="53"/>
  <c r="D212" i="53"/>
  <c r="E255" i="55" s="1"/>
  <c r="M212" i="53"/>
  <c r="S212" i="53"/>
  <c r="Z212" i="53"/>
  <c r="B213" i="53"/>
  <c r="D213" i="53"/>
  <c r="E256" i="55" s="1"/>
  <c r="M213" i="53"/>
  <c r="S213" i="53"/>
  <c r="Z213" i="53"/>
  <c r="E257" i="55"/>
  <c r="B214" i="53"/>
  <c r="D214" i="53"/>
  <c r="E258" i="55" s="1"/>
  <c r="M214" i="53"/>
  <c r="S214" i="53"/>
  <c r="Z214" i="53"/>
  <c r="B238" i="55"/>
  <c r="C238" i="55"/>
  <c r="D238" i="55" a="1"/>
  <c r="D238" i="55" s="1"/>
  <c r="G238" i="55" s="1"/>
  <c r="F238" i="55"/>
  <c r="I238" i="55"/>
  <c r="J238" i="55"/>
  <c r="P238" i="55"/>
  <c r="Q238" i="55"/>
  <c r="B239" i="55"/>
  <c r="C239" i="55"/>
  <c r="G199" i="53"/>
  <c r="D239" i="55" a="1"/>
  <c r="D239" i="55" s="1"/>
  <c r="H239" i="55" s="1"/>
  <c r="F239" i="55"/>
  <c r="I239" i="55"/>
  <c r="J239" i="55"/>
  <c r="R239" i="55" s="1"/>
  <c r="P239" i="55"/>
  <c r="S239" i="55" s="1"/>
  <c r="Q239" i="55"/>
  <c r="B240" i="55"/>
  <c r="C240" i="55"/>
  <c r="G200" i="53"/>
  <c r="D240" i="55" a="1"/>
  <c r="D240" i="55" s="1"/>
  <c r="G240" i="55" s="1"/>
  <c r="F240" i="55"/>
  <c r="I240" i="55"/>
  <c r="J240" i="55"/>
  <c r="R240" i="55" s="1"/>
  <c r="P240" i="55"/>
  <c r="S240" i="55" s="1"/>
  <c r="Q240" i="55"/>
  <c r="B241" i="55"/>
  <c r="C241" i="55"/>
  <c r="G201" i="53" s="1"/>
  <c r="D241" i="55" a="1"/>
  <c r="D241" i="55" s="1"/>
  <c r="G241" i="55" s="1"/>
  <c r="F241" i="55"/>
  <c r="I241" i="55"/>
  <c r="J241" i="55"/>
  <c r="R241" i="55" s="1"/>
  <c r="P241" i="55"/>
  <c r="S241" i="55" s="1"/>
  <c r="Q241" i="55"/>
  <c r="B242" i="55"/>
  <c r="C242" i="55"/>
  <c r="D242" i="55" a="1"/>
  <c r="D242" i="55" s="1"/>
  <c r="G242" i="55" s="1"/>
  <c r="F242" i="55"/>
  <c r="I242" i="55"/>
  <c r="J242" i="55"/>
  <c r="R242" i="55" s="1"/>
  <c r="P242" i="55"/>
  <c r="S242" i="55" s="1"/>
  <c r="Q242" i="55"/>
  <c r="B243" i="55"/>
  <c r="C243" i="55"/>
  <c r="G202" i="53"/>
  <c r="D243" i="55" a="1"/>
  <c r="D243" i="55" s="1"/>
  <c r="F243" i="55"/>
  <c r="I243" i="55"/>
  <c r="J243" i="55"/>
  <c r="P243" i="55"/>
  <c r="S243" i="55" s="1"/>
  <c r="Q243" i="55"/>
  <c r="B244" i="55"/>
  <c r="C244" i="55"/>
  <c r="G203" i="53" s="1"/>
  <c r="D244" i="55" a="1"/>
  <c r="D244" i="55" s="1"/>
  <c r="F244" i="55"/>
  <c r="I244" i="55"/>
  <c r="J244" i="55"/>
  <c r="R244" i="55" s="1"/>
  <c r="P244" i="55"/>
  <c r="S244" i="55" s="1"/>
  <c r="Q244" i="55"/>
  <c r="B245" i="55"/>
  <c r="C245" i="55"/>
  <c r="D245" i="55" a="1"/>
  <c r="D245" i="55" s="1"/>
  <c r="H245" i="55" s="1"/>
  <c r="F245" i="55"/>
  <c r="I245" i="55"/>
  <c r="J245" i="55"/>
  <c r="P245" i="55"/>
  <c r="S245" i="55" s="1"/>
  <c r="Q245" i="55"/>
  <c r="B246" i="55"/>
  <c r="C246" i="55"/>
  <c r="G204" i="53"/>
  <c r="D246" i="55" a="1"/>
  <c r="D246" i="55" s="1"/>
  <c r="H246" i="55" s="1"/>
  <c r="F246" i="55"/>
  <c r="I246" i="55"/>
  <c r="J246" i="55"/>
  <c r="R246" i="55" s="1"/>
  <c r="P246" i="55"/>
  <c r="S246" i="55" s="1"/>
  <c r="Q246" i="55"/>
  <c r="B247" i="55"/>
  <c r="C247" i="55"/>
  <c r="G205" i="53" s="1"/>
  <c r="D247" i="55" a="1"/>
  <c r="D247" i="55" s="1"/>
  <c r="H247" i="55" s="1"/>
  <c r="F247" i="55"/>
  <c r="I247" i="55"/>
  <c r="J247" i="55"/>
  <c r="R247" i="55" s="1"/>
  <c r="P247" i="55"/>
  <c r="S247" i="55" s="1"/>
  <c r="Q247" i="55"/>
  <c r="B248" i="55"/>
  <c r="C248" i="55"/>
  <c r="G206" i="53"/>
  <c r="D248" i="55" a="1"/>
  <c r="D248" i="55" s="1"/>
  <c r="H248" i="55" s="1"/>
  <c r="F248" i="55"/>
  <c r="I248" i="55"/>
  <c r="J248" i="55"/>
  <c r="R248" i="55" s="1"/>
  <c r="P248" i="55"/>
  <c r="S248" i="55" s="1"/>
  <c r="Q248" i="55"/>
  <c r="B249" i="55"/>
  <c r="C249" i="55"/>
  <c r="D249" i="55" a="1"/>
  <c r="D249" i="55" s="1"/>
  <c r="G249" i="55" s="1"/>
  <c r="F249" i="55"/>
  <c r="I249" i="55"/>
  <c r="J249" i="55"/>
  <c r="R249" i="55" s="1"/>
  <c r="P249" i="55"/>
  <c r="S249" i="55" s="1"/>
  <c r="Q249" i="55"/>
  <c r="B250" i="55"/>
  <c r="C250" i="55"/>
  <c r="G207" i="53" s="1"/>
  <c r="D250" i="55" a="1"/>
  <c r="D250" i="55" s="1"/>
  <c r="G250" i="55" s="1"/>
  <c r="F250" i="55"/>
  <c r="I250" i="55"/>
  <c r="J250" i="55"/>
  <c r="R250" i="55" s="1"/>
  <c r="P250" i="55"/>
  <c r="S250" i="55" s="1"/>
  <c r="Q250" i="55"/>
  <c r="B251" i="55"/>
  <c r="C251" i="55"/>
  <c r="G208" i="53" s="1"/>
  <c r="D251" i="55" a="1"/>
  <c r="D251" i="55" s="1"/>
  <c r="G251" i="55" s="1"/>
  <c r="F251" i="55"/>
  <c r="I251" i="55"/>
  <c r="J251" i="55"/>
  <c r="P251" i="55"/>
  <c r="S251" i="55" s="1"/>
  <c r="Q251" i="55"/>
  <c r="B252" i="55"/>
  <c r="C252" i="55"/>
  <c r="G209" i="53"/>
  <c r="D252" i="55" a="1"/>
  <c r="D252" i="55" s="1"/>
  <c r="F252" i="55"/>
  <c r="I252" i="55"/>
  <c r="J252" i="55"/>
  <c r="R252" i="55" s="1"/>
  <c r="P252" i="55"/>
  <c r="S252" i="55" s="1"/>
  <c r="Q252" i="55"/>
  <c r="B253" i="55"/>
  <c r="C253" i="55"/>
  <c r="G210" i="53"/>
  <c r="D253" i="55" a="1"/>
  <c r="D253" i="55" s="1"/>
  <c r="F253" i="55"/>
  <c r="I253" i="55"/>
  <c r="J253" i="55"/>
  <c r="R253" i="55" s="1"/>
  <c r="P253" i="55"/>
  <c r="S253" i="55" s="1"/>
  <c r="Q253" i="55"/>
  <c r="B254" i="55"/>
  <c r="C254" i="55"/>
  <c r="G211" i="53"/>
  <c r="D254" i="55" a="1"/>
  <c r="D254" i="55" s="1"/>
  <c r="G254" i="55" s="1"/>
  <c r="F254" i="55"/>
  <c r="I254" i="55"/>
  <c r="J254" i="55"/>
  <c r="R254" i="55" s="1"/>
  <c r="P254" i="55"/>
  <c r="S254" i="55" s="1"/>
  <c r="Q254" i="55"/>
  <c r="B255" i="55"/>
  <c r="C255" i="55"/>
  <c r="G212" i="53"/>
  <c r="D255" i="55" a="1"/>
  <c r="D255" i="55" s="1"/>
  <c r="H255" i="55" s="1"/>
  <c r="F255" i="55"/>
  <c r="I255" i="55"/>
  <c r="J255" i="55"/>
  <c r="R255" i="55" s="1"/>
  <c r="P255" i="55"/>
  <c r="S255" i="55" s="1"/>
  <c r="Q255" i="55"/>
  <c r="B256" i="55"/>
  <c r="C256" i="55"/>
  <c r="G213" i="53"/>
  <c r="D256" i="55" a="1"/>
  <c r="D256" i="55" s="1"/>
  <c r="F256" i="55"/>
  <c r="I256" i="55"/>
  <c r="J256" i="55"/>
  <c r="R256" i="55" s="1"/>
  <c r="P256" i="55"/>
  <c r="S256" i="55" s="1"/>
  <c r="Q256" i="55"/>
  <c r="B257" i="55"/>
  <c r="C257" i="55"/>
  <c r="D257" i="55" a="1"/>
  <c r="D257" i="55" s="1"/>
  <c r="H257" i="55" s="1"/>
  <c r="F257" i="55"/>
  <c r="I257" i="55"/>
  <c r="J257" i="55"/>
  <c r="R257" i="55" s="1"/>
  <c r="P257" i="55"/>
  <c r="S257" i="55" s="1"/>
  <c r="Q257" i="55"/>
  <c r="B258" i="55"/>
  <c r="C258" i="55"/>
  <c r="G214" i="53" s="1"/>
  <c r="D258" i="55" a="1"/>
  <c r="D258" i="55" s="1"/>
  <c r="F258" i="55"/>
  <c r="I258" i="55"/>
  <c r="J258" i="55"/>
  <c r="R258" i="55" s="1"/>
  <c r="P258" i="55"/>
  <c r="S258" i="55" s="1"/>
  <c r="Q258" i="55"/>
  <c r="M147" i="53"/>
  <c r="M148" i="53"/>
  <c r="M149" i="53"/>
  <c r="M150" i="53"/>
  <c r="M151" i="53"/>
  <c r="M152" i="53"/>
  <c r="M153" i="53"/>
  <c r="M154" i="53"/>
  <c r="M155" i="53"/>
  <c r="M156" i="53"/>
  <c r="M157" i="53"/>
  <c r="M159" i="53"/>
  <c r="M160" i="53"/>
  <c r="M161" i="53"/>
  <c r="M162" i="53"/>
  <c r="M163" i="53"/>
  <c r="M164" i="53"/>
  <c r="M165" i="53"/>
  <c r="M166" i="53"/>
  <c r="M167" i="53"/>
  <c r="M168" i="53"/>
  <c r="M169" i="53"/>
  <c r="M170" i="53"/>
  <c r="M171" i="53"/>
  <c r="M172" i="53"/>
  <c r="M173" i="53"/>
  <c r="M174" i="53"/>
  <c r="M175" i="53"/>
  <c r="M176" i="53"/>
  <c r="M177" i="53"/>
  <c r="M178" i="53"/>
  <c r="M179" i="53"/>
  <c r="M180" i="53"/>
  <c r="M181" i="53"/>
  <c r="M182" i="53"/>
  <c r="M183" i="53"/>
  <c r="M184" i="53"/>
  <c r="M185" i="53"/>
  <c r="M186" i="53"/>
  <c r="M187" i="53"/>
  <c r="M188" i="53"/>
  <c r="M189" i="53"/>
  <c r="M190" i="53"/>
  <c r="M191" i="53"/>
  <c r="M192" i="53"/>
  <c r="M193" i="53"/>
  <c r="M194" i="53"/>
  <c r="M195" i="53"/>
  <c r="M196" i="53"/>
  <c r="M197" i="53"/>
  <c r="M198" i="53"/>
  <c r="E12" i="55"/>
  <c r="E13" i="55"/>
  <c r="E14" i="55"/>
  <c r="E15" i="55"/>
  <c r="E16" i="55"/>
  <c r="E17" i="55"/>
  <c r="E18" i="55"/>
  <c r="E19" i="55"/>
  <c r="E21" i="55"/>
  <c r="E22" i="55"/>
  <c r="E23" i="55"/>
  <c r="E24" i="55"/>
  <c r="E25" i="55"/>
  <c r="E26" i="55"/>
  <c r="E27" i="55"/>
  <c r="E28" i="55"/>
  <c r="E29" i="55"/>
  <c r="E30" i="55"/>
  <c r="E31" i="55"/>
  <c r="E32" i="55"/>
  <c r="E33" i="55"/>
  <c r="E34" i="55"/>
  <c r="E35" i="55"/>
  <c r="E36" i="55"/>
  <c r="E37" i="55"/>
  <c r="E38" i="55"/>
  <c r="E39" i="55"/>
  <c r="E41" i="55"/>
  <c r="E43" i="55"/>
  <c r="E44" i="55"/>
  <c r="E45" i="55"/>
  <c r="E46" i="55"/>
  <c r="E47" i="55"/>
  <c r="E48" i="55"/>
  <c r="E49" i="55"/>
  <c r="E50" i="55"/>
  <c r="E51" i="55"/>
  <c r="E52" i="55"/>
  <c r="E53" i="55"/>
  <c r="E54" i="55"/>
  <c r="E55" i="55"/>
  <c r="E56" i="55"/>
  <c r="E57" i="55"/>
  <c r="E58" i="55"/>
  <c r="E59" i="55"/>
  <c r="E60" i="55"/>
  <c r="E61" i="55"/>
  <c r="E62" i="55"/>
  <c r="E63" i="55"/>
  <c r="E64" i="55"/>
  <c r="E65" i="55"/>
  <c r="E66" i="55"/>
  <c r="E67" i="55"/>
  <c r="E68" i="55"/>
  <c r="E69" i="55"/>
  <c r="E70" i="55"/>
  <c r="E71" i="55"/>
  <c r="E72" i="55"/>
  <c r="E73" i="55"/>
  <c r="E74" i="55"/>
  <c r="E75" i="55"/>
  <c r="E76" i="55"/>
  <c r="E77" i="55"/>
  <c r="E78" i="55"/>
  <c r="E79" i="55"/>
  <c r="E80" i="55"/>
  <c r="E81" i="55"/>
  <c r="E82" i="55"/>
  <c r="E83" i="55"/>
  <c r="E84" i="55"/>
  <c r="E85" i="55"/>
  <c r="E86" i="55"/>
  <c r="E87" i="55"/>
  <c r="E88" i="55"/>
  <c r="E89" i="55"/>
  <c r="E90" i="55"/>
  <c r="E91" i="55"/>
  <c r="E92" i="55"/>
  <c r="E93" i="55"/>
  <c r="E94" i="55"/>
  <c r="E95" i="55"/>
  <c r="E96" i="55"/>
  <c r="E97" i="55"/>
  <c r="E98" i="55"/>
  <c r="E99" i="55"/>
  <c r="E100" i="55"/>
  <c r="E101" i="55"/>
  <c r="E102" i="55"/>
  <c r="E103" i="55"/>
  <c r="E104" i="55"/>
  <c r="E105" i="55"/>
  <c r="E106" i="55"/>
  <c r="E107" i="55"/>
  <c r="E108" i="55"/>
  <c r="E109" i="55"/>
  <c r="E110" i="55"/>
  <c r="E111" i="55"/>
  <c r="E112" i="55"/>
  <c r="E113" i="55"/>
  <c r="E114" i="55"/>
  <c r="E115" i="55"/>
  <c r="E116" i="55"/>
  <c r="E117" i="55"/>
  <c r="E118" i="55"/>
  <c r="E119" i="55"/>
  <c r="E120" i="55"/>
  <c r="E121" i="55"/>
  <c r="E122" i="55"/>
  <c r="E123" i="55"/>
  <c r="E124" i="55"/>
  <c r="E125" i="55"/>
  <c r="E126" i="55"/>
  <c r="E127" i="55"/>
  <c r="E128" i="55"/>
  <c r="E129" i="55"/>
  <c r="E130" i="55"/>
  <c r="E132" i="55"/>
  <c r="E133" i="55"/>
  <c r="E134" i="55"/>
  <c r="E135" i="55"/>
  <c r="E136" i="55"/>
  <c r="E137" i="55"/>
  <c r="E138" i="55"/>
  <c r="E139" i="55"/>
  <c r="E140" i="55"/>
  <c r="E141" i="55"/>
  <c r="E142" i="55"/>
  <c r="E143" i="55"/>
  <c r="E144" i="55"/>
  <c r="E145" i="55"/>
  <c r="E146" i="55"/>
  <c r="E147" i="55"/>
  <c r="D147" i="53"/>
  <c r="E148" i="55" s="1"/>
  <c r="D148" i="53"/>
  <c r="E149" i="55" s="1"/>
  <c r="E150" i="55"/>
  <c r="E151" i="55"/>
  <c r="D149" i="53"/>
  <c r="E152" i="55" s="1"/>
  <c r="D150" i="53"/>
  <c r="E153" i="55" s="1"/>
  <c r="E154" i="55"/>
  <c r="E155" i="55"/>
  <c r="D151" i="53"/>
  <c r="E156" i="55" s="1"/>
  <c r="D152" i="53"/>
  <c r="E157" i="55" s="1"/>
  <c r="D153" i="53"/>
  <c r="E158" i="55" s="1"/>
  <c r="D154" i="53"/>
  <c r="E159" i="55" s="1"/>
  <c r="D155" i="53"/>
  <c r="E160" i="55" s="1"/>
  <c r="E161" i="55"/>
  <c r="E162" i="55"/>
  <c r="D156" i="53"/>
  <c r="E163" i="55" s="1"/>
  <c r="E164" i="55"/>
  <c r="D157" i="53"/>
  <c r="E165" i="55" s="1"/>
  <c r="E166" i="55"/>
  <c r="E167" i="55"/>
  <c r="E168" i="55"/>
  <c r="E169" i="55"/>
  <c r="E170" i="55"/>
  <c r="E171" i="55"/>
  <c r="E172" i="55"/>
  <c r="E173" i="55"/>
  <c r="E175" i="55"/>
  <c r="E176" i="55"/>
  <c r="D159" i="53"/>
  <c r="E177" i="55" s="1"/>
  <c r="D160" i="53"/>
  <c r="E178" i="55" s="1"/>
  <c r="D161" i="53"/>
  <c r="E179" i="55" s="1"/>
  <c r="D162" i="53"/>
  <c r="E180" i="55" s="1"/>
  <c r="D163" i="53"/>
  <c r="E181" i="55" s="1"/>
  <c r="D164" i="53"/>
  <c r="E182" i="55" s="1"/>
  <c r="D165" i="53"/>
  <c r="E183" i="55" s="1"/>
  <c r="D166" i="53"/>
  <c r="E184" i="55" s="1"/>
  <c r="D167" i="53"/>
  <c r="E185" i="55" s="1"/>
  <c r="D168" i="53"/>
  <c r="E186" i="55" s="1"/>
  <c r="D169" i="53"/>
  <c r="E187" i="55" s="1"/>
  <c r="D170" i="53"/>
  <c r="E188" i="55" s="1"/>
  <c r="D171" i="53"/>
  <c r="E189" i="55" s="1"/>
  <c r="D172" i="53"/>
  <c r="E190" i="55" s="1"/>
  <c r="D173" i="53"/>
  <c r="E191" i="55" s="1"/>
  <c r="D174" i="53"/>
  <c r="E192" i="55" s="1"/>
  <c r="D175" i="53"/>
  <c r="E193" i="55" s="1"/>
  <c r="E194" i="55"/>
  <c r="D176" i="53"/>
  <c r="E195" i="55" s="1"/>
  <c r="D177" i="53"/>
  <c r="E196" i="55" s="1"/>
  <c r="D178" i="53"/>
  <c r="E197" i="55" s="1"/>
  <c r="D179" i="53"/>
  <c r="E198" i="55" s="1"/>
  <c r="E199" i="55"/>
  <c r="D180" i="53"/>
  <c r="E200" i="55" s="1"/>
  <c r="D181" i="53"/>
  <c r="E201" i="55" s="1"/>
  <c r="D182" i="53"/>
  <c r="E202" i="55" s="1"/>
  <c r="E203" i="55"/>
  <c r="E204" i="55"/>
  <c r="D183" i="53"/>
  <c r="E205" i="55" s="1"/>
  <c r="E206" i="55"/>
  <c r="D184" i="53"/>
  <c r="E207" i="55" s="1"/>
  <c r="D185" i="53"/>
  <c r="E208" i="55" s="1"/>
  <c r="D186" i="53"/>
  <c r="E209" i="55" s="1"/>
  <c r="E210" i="55"/>
  <c r="E211" i="55"/>
  <c r="D187" i="53"/>
  <c r="E212" i="55" s="1"/>
  <c r="D188" i="53"/>
  <c r="E213" i="55" s="1"/>
  <c r="E214" i="55"/>
  <c r="E215" i="55"/>
  <c r="E216" i="55"/>
  <c r="E217" i="55"/>
  <c r="D189" i="53"/>
  <c r="E218" i="55" s="1"/>
  <c r="E219" i="55"/>
  <c r="E220" i="55"/>
  <c r="E221" i="55"/>
  <c r="D190" i="53"/>
  <c r="E222" i="55" s="1"/>
  <c r="D191" i="53"/>
  <c r="E223" i="55" s="1"/>
  <c r="D192" i="53"/>
  <c r="E224" i="55" s="1"/>
  <c r="E225" i="55"/>
  <c r="E226" i="55"/>
  <c r="D193" i="53"/>
  <c r="E227" i="55" s="1"/>
  <c r="D194" i="53"/>
  <c r="E228" i="55" s="1"/>
  <c r="D195" i="53"/>
  <c r="E229" i="55" s="1"/>
  <c r="E230" i="55"/>
  <c r="D196" i="53"/>
  <c r="E231" i="55" s="1"/>
  <c r="E232" i="55"/>
  <c r="D197" i="53"/>
  <c r="E233" i="55" s="1"/>
  <c r="E234" i="55"/>
  <c r="E235" i="55"/>
  <c r="E236" i="55"/>
  <c r="D198" i="53"/>
  <c r="E237" i="55" s="1"/>
  <c r="E9" i="55"/>
  <c r="E8" i="55"/>
  <c r="E7" i="55"/>
  <c r="B147" i="53"/>
  <c r="B148" i="53"/>
  <c r="B149" i="53"/>
  <c r="B150" i="53"/>
  <c r="B151" i="53"/>
  <c r="B152" i="53"/>
  <c r="B153" i="53"/>
  <c r="B154" i="53"/>
  <c r="B155" i="53"/>
  <c r="B156" i="53"/>
  <c r="B157" i="53"/>
  <c r="B159" i="53"/>
  <c r="B160" i="53"/>
  <c r="B161" i="53"/>
  <c r="B162" i="53"/>
  <c r="B163" i="53"/>
  <c r="B164" i="53"/>
  <c r="B165" i="53"/>
  <c r="B166" i="53"/>
  <c r="B167" i="53"/>
  <c r="B168" i="53"/>
  <c r="B169" i="53"/>
  <c r="B170" i="53"/>
  <c r="B171" i="53"/>
  <c r="B172" i="53"/>
  <c r="B175" i="53"/>
  <c r="B176" i="53"/>
  <c r="B177" i="53"/>
  <c r="B178" i="53"/>
  <c r="B179" i="53"/>
  <c r="B180" i="53"/>
  <c r="B181" i="53"/>
  <c r="B182" i="53"/>
  <c r="B183" i="53"/>
  <c r="B184" i="53"/>
  <c r="B185" i="53"/>
  <c r="B186" i="53"/>
  <c r="B187" i="53"/>
  <c r="B188" i="53"/>
  <c r="B189" i="53"/>
  <c r="B190" i="53"/>
  <c r="B191" i="53"/>
  <c r="B192" i="53"/>
  <c r="B193" i="53"/>
  <c r="B194" i="53"/>
  <c r="B195" i="53"/>
  <c r="B196" i="53"/>
  <c r="B197" i="53"/>
  <c r="B198" i="53"/>
  <c r="Q237" i="55"/>
  <c r="P237" i="55"/>
  <c r="S237" i="55" s="1"/>
  <c r="J237" i="55"/>
  <c r="R237" i="55" s="1"/>
  <c r="I237" i="55"/>
  <c r="F237" i="55"/>
  <c r="D237" i="55" a="1"/>
  <c r="D237" i="55" s="1"/>
  <c r="C237" i="55"/>
  <c r="G198" i="53"/>
  <c r="B237" i="55"/>
  <c r="Q236" i="55"/>
  <c r="P236" i="55"/>
  <c r="S236" i="55" s="1"/>
  <c r="J236" i="55"/>
  <c r="R236" i="55" s="1"/>
  <c r="I236" i="55"/>
  <c r="F236" i="55"/>
  <c r="D236" i="55" a="1"/>
  <c r="D236" i="55" s="1"/>
  <c r="H236" i="55" s="1"/>
  <c r="C236" i="55"/>
  <c r="B236" i="55"/>
  <c r="Q235" i="55"/>
  <c r="P235" i="55"/>
  <c r="J235" i="55"/>
  <c r="I235" i="55"/>
  <c r="F235" i="55"/>
  <c r="D235" i="55" a="1"/>
  <c r="D235" i="55" s="1"/>
  <c r="H235" i="55" s="1"/>
  <c r="C235" i="55"/>
  <c r="B235" i="55"/>
  <c r="Q234" i="55"/>
  <c r="P234" i="55"/>
  <c r="J234" i="55"/>
  <c r="I234" i="55"/>
  <c r="F234" i="55"/>
  <c r="D234" i="55" a="1"/>
  <c r="D234" i="55" s="1"/>
  <c r="G234" i="55" s="1"/>
  <c r="C234" i="55"/>
  <c r="B234" i="55"/>
  <c r="Q233" i="55"/>
  <c r="P233" i="55"/>
  <c r="S233" i="55" s="1"/>
  <c r="J233" i="55"/>
  <c r="R233" i="55" s="1"/>
  <c r="I233" i="55"/>
  <c r="F233" i="55"/>
  <c r="D233" i="55" a="1"/>
  <c r="D233" i="55" s="1"/>
  <c r="G233" i="55" s="1"/>
  <c r="C233" i="55"/>
  <c r="G197" i="53"/>
  <c r="B233" i="55"/>
  <c r="Q232" i="55"/>
  <c r="P232" i="55"/>
  <c r="S232" i="55" s="1"/>
  <c r="J232" i="55"/>
  <c r="I232" i="55"/>
  <c r="F232" i="55"/>
  <c r="D232" i="55" a="1"/>
  <c r="D232" i="55" s="1"/>
  <c r="G232" i="55" s="1"/>
  <c r="C232" i="55"/>
  <c r="B232" i="55"/>
  <c r="Q231" i="55"/>
  <c r="P231" i="55"/>
  <c r="S231" i="55" s="1"/>
  <c r="J231" i="55"/>
  <c r="R231" i="55" s="1"/>
  <c r="I231" i="55"/>
  <c r="F231" i="55"/>
  <c r="D231" i="55" a="1"/>
  <c r="D231" i="55" s="1"/>
  <c r="L220" i="53"/>
  <c r="J277" i="55" s="1"/>
  <c r="C231" i="55"/>
  <c r="G196" i="53"/>
  <c r="B231" i="55"/>
  <c r="Q230" i="55"/>
  <c r="P230" i="55"/>
  <c r="J230" i="55"/>
  <c r="R230" i="55" s="1"/>
  <c r="I230" i="55"/>
  <c r="F230" i="55"/>
  <c r="D230" i="55" a="1"/>
  <c r="D230" i="55" s="1"/>
  <c r="H230" i="55" s="1"/>
  <c r="C230" i="55"/>
  <c r="B230" i="55"/>
  <c r="Q229" i="55"/>
  <c r="P229" i="55"/>
  <c r="S229" i="55" s="1"/>
  <c r="J229" i="55"/>
  <c r="R229" i="55" s="1"/>
  <c r="I229" i="55"/>
  <c r="F229" i="55"/>
  <c r="D229" i="55" a="1"/>
  <c r="D229" i="55" s="1"/>
  <c r="G229" i="55" s="1"/>
  <c r="C229" i="55"/>
  <c r="G195" i="53"/>
  <c r="B229" i="55"/>
  <c r="Q228" i="55"/>
  <c r="P228" i="55"/>
  <c r="S228" i="55" s="1"/>
  <c r="J228" i="55"/>
  <c r="R228" i="55" s="1"/>
  <c r="I228" i="55"/>
  <c r="F228" i="55"/>
  <c r="D228" i="55" a="1"/>
  <c r="D228" i="55" s="1"/>
  <c r="G228" i="55" s="1"/>
  <c r="C228" i="55"/>
  <c r="G194" i="53"/>
  <c r="B228" i="55"/>
  <c r="Q227" i="55"/>
  <c r="P227" i="55"/>
  <c r="S227" i="55" s="1"/>
  <c r="J227" i="55"/>
  <c r="I227" i="55"/>
  <c r="F227" i="55"/>
  <c r="D227" i="55" a="1"/>
  <c r="D227" i="55" s="1"/>
  <c r="C227" i="55"/>
  <c r="G193" i="53"/>
  <c r="B227" i="55"/>
  <c r="Q226" i="55"/>
  <c r="P226" i="55"/>
  <c r="S226" i="55" s="1"/>
  <c r="J226" i="55"/>
  <c r="R226" i="55" s="1"/>
  <c r="I226" i="55"/>
  <c r="F226" i="55"/>
  <c r="D226" i="55" a="1"/>
  <c r="D226" i="55" s="1"/>
  <c r="G226" i="55" s="1"/>
  <c r="C226" i="55"/>
  <c r="B226" i="55"/>
  <c r="Q225" i="55"/>
  <c r="P225" i="55"/>
  <c r="J225" i="55"/>
  <c r="R225" i="55" s="1"/>
  <c r="I225" i="55"/>
  <c r="F225" i="55"/>
  <c r="D225" i="55" a="1"/>
  <c r="D225" i="55" s="1"/>
  <c r="G225" i="55" s="1"/>
  <c r="C225" i="55"/>
  <c r="B225" i="55"/>
  <c r="Q224" i="55"/>
  <c r="P224" i="55"/>
  <c r="S224" i="55" s="1"/>
  <c r="J224" i="55"/>
  <c r="R224" i="55" s="1"/>
  <c r="I224" i="55"/>
  <c r="F224" i="55"/>
  <c r="D224" i="55" a="1"/>
  <c r="D224" i="55" s="1"/>
  <c r="G224" i="55" s="1"/>
  <c r="C224" i="55"/>
  <c r="G192" i="53" s="1"/>
  <c r="B224" i="55"/>
  <c r="Q223" i="55"/>
  <c r="P223" i="55"/>
  <c r="S223" i="55" s="1"/>
  <c r="J223" i="55"/>
  <c r="R223" i="55" s="1"/>
  <c r="I223" i="55"/>
  <c r="F223" i="55"/>
  <c r="D223" i="55" a="1"/>
  <c r="D223" i="55" s="1"/>
  <c r="C223" i="55"/>
  <c r="G191" i="53" s="1"/>
  <c r="B223" i="55"/>
  <c r="Q222" i="55"/>
  <c r="P222" i="55"/>
  <c r="S222" i="55" s="1"/>
  <c r="J222" i="55"/>
  <c r="R222" i="55" s="1"/>
  <c r="I222" i="55"/>
  <c r="F222" i="55"/>
  <c r="D222" i="55" a="1"/>
  <c r="D222" i="55" s="1"/>
  <c r="H222" i="55" s="1"/>
  <c r="C222" i="55"/>
  <c r="G190" i="53"/>
  <c r="B222" i="55"/>
  <c r="Q221" i="55"/>
  <c r="P221" i="55"/>
  <c r="S221" i="55" s="1"/>
  <c r="J221" i="55"/>
  <c r="I221" i="55"/>
  <c r="F221" i="55"/>
  <c r="D221" i="55" a="1"/>
  <c r="D221" i="55" s="1"/>
  <c r="H221" i="55" s="1"/>
  <c r="C221" i="55"/>
  <c r="B221" i="55"/>
  <c r="Q220" i="55"/>
  <c r="P220" i="55"/>
  <c r="J220" i="55"/>
  <c r="I220" i="55"/>
  <c r="F220" i="55"/>
  <c r="D220" i="55" a="1"/>
  <c r="D220" i="55" s="1"/>
  <c r="H220" i="55" s="1"/>
  <c r="C220" i="55"/>
  <c r="B220" i="55"/>
  <c r="Q219" i="55"/>
  <c r="P219" i="55"/>
  <c r="S219" i="55" s="1"/>
  <c r="J219" i="55"/>
  <c r="I219" i="55"/>
  <c r="F219" i="55"/>
  <c r="D219" i="55" a="1"/>
  <c r="D219" i="55" s="1"/>
  <c r="H219" i="55" s="1"/>
  <c r="C219" i="55"/>
  <c r="B219" i="55"/>
  <c r="Q218" i="55"/>
  <c r="P218" i="55"/>
  <c r="S218" i="55" s="1"/>
  <c r="J218" i="55"/>
  <c r="R218" i="55" s="1"/>
  <c r="I218" i="55"/>
  <c r="F218" i="55"/>
  <c r="D218" i="55" a="1"/>
  <c r="D218" i="55" s="1"/>
  <c r="C218" i="55"/>
  <c r="G189" i="53" s="1"/>
  <c r="B218" i="55"/>
  <c r="Q217" i="55"/>
  <c r="P217" i="55"/>
  <c r="S217" i="55" s="1"/>
  <c r="J217" i="55"/>
  <c r="I217" i="55"/>
  <c r="F217" i="55"/>
  <c r="D217" i="55" a="1"/>
  <c r="D217" i="55" s="1"/>
  <c r="H217" i="55" s="1"/>
  <c r="C217" i="55"/>
  <c r="B217" i="55"/>
  <c r="Q216" i="55"/>
  <c r="P216" i="55"/>
  <c r="J216" i="55"/>
  <c r="I216" i="55"/>
  <c r="F216" i="55"/>
  <c r="D216" i="55" a="1"/>
  <c r="D216" i="55" s="1"/>
  <c r="H216" i="55" s="1"/>
  <c r="C216" i="55"/>
  <c r="B216" i="55"/>
  <c r="Q215" i="55"/>
  <c r="P215" i="55"/>
  <c r="S215" i="55" s="1"/>
  <c r="J215" i="55"/>
  <c r="I215" i="55"/>
  <c r="F215" i="55"/>
  <c r="D215" i="55" a="1"/>
  <c r="D215" i="55" s="1"/>
  <c r="C215" i="55"/>
  <c r="B215" i="55"/>
  <c r="Q214" i="55"/>
  <c r="P214" i="55"/>
  <c r="S214" i="55" s="1"/>
  <c r="J214" i="55"/>
  <c r="I214" i="55"/>
  <c r="F214" i="55"/>
  <c r="D214" i="55" a="1"/>
  <c r="D214" i="55" s="1"/>
  <c r="H214" i="55" s="1"/>
  <c r="C214" i="55"/>
  <c r="B214" i="55"/>
  <c r="Q213" i="55"/>
  <c r="P213" i="55"/>
  <c r="S213" i="55" s="1"/>
  <c r="J213" i="55"/>
  <c r="R213" i="55" s="1"/>
  <c r="I213" i="55"/>
  <c r="F213" i="55"/>
  <c r="D213" i="55" a="1"/>
  <c r="D213" i="55" s="1"/>
  <c r="G213" i="55" s="1"/>
  <c r="C213" i="55"/>
  <c r="G188" i="53"/>
  <c r="B213" i="55"/>
  <c r="Q212" i="55"/>
  <c r="P212" i="55"/>
  <c r="S212" i="55" s="1"/>
  <c r="J212" i="55"/>
  <c r="R212" i="55" s="1"/>
  <c r="I212" i="55"/>
  <c r="F212" i="55"/>
  <c r="D212" i="55" a="1"/>
  <c r="D212" i="55" s="1"/>
  <c r="C212" i="55"/>
  <c r="G187" i="53"/>
  <c r="B212" i="55"/>
  <c r="Q211" i="55"/>
  <c r="P211" i="55"/>
  <c r="J211" i="55"/>
  <c r="R211" i="55" s="1"/>
  <c r="I211" i="55"/>
  <c r="F211" i="55"/>
  <c r="D211" i="55" a="1"/>
  <c r="D211" i="55" s="1"/>
  <c r="C211" i="55"/>
  <c r="B211" i="55"/>
  <c r="Q210" i="55"/>
  <c r="P210" i="55"/>
  <c r="S210" i="55" s="1"/>
  <c r="J210" i="55"/>
  <c r="I210" i="55"/>
  <c r="F210" i="55"/>
  <c r="D210" i="55" a="1"/>
  <c r="D210" i="55" s="1"/>
  <c r="C210" i="55"/>
  <c r="B210" i="55"/>
  <c r="Q209" i="55"/>
  <c r="P209" i="55"/>
  <c r="S209" i="55" s="1"/>
  <c r="J209" i="55"/>
  <c r="R209" i="55" s="1"/>
  <c r="I209" i="55"/>
  <c r="F209" i="55"/>
  <c r="D209" i="55" a="1"/>
  <c r="D209" i="55" s="1"/>
  <c r="G209" i="55" s="1"/>
  <c r="C209" i="55"/>
  <c r="G186" i="53" s="1"/>
  <c r="B209" i="55"/>
  <c r="Q208" i="55"/>
  <c r="P208" i="55"/>
  <c r="S208" i="55" s="1"/>
  <c r="J208" i="55"/>
  <c r="R208" i="55" s="1"/>
  <c r="I208" i="55"/>
  <c r="F208" i="55"/>
  <c r="D208" i="55" a="1"/>
  <c r="D208" i="55" s="1"/>
  <c r="G208" i="55" s="1"/>
  <c r="C208" i="55"/>
  <c r="G185" i="53" s="1"/>
  <c r="B208" i="55"/>
  <c r="Q207" i="55"/>
  <c r="P207" i="55"/>
  <c r="S207" i="55" s="1"/>
  <c r="J207" i="55"/>
  <c r="R207" i="55" s="1"/>
  <c r="I207" i="55"/>
  <c r="F207" i="55"/>
  <c r="D207" i="55" a="1"/>
  <c r="D207" i="55" s="1"/>
  <c r="H207" i="55" s="1"/>
  <c r="C207" i="55"/>
  <c r="G184" i="53" s="1"/>
  <c r="B207" i="55"/>
  <c r="Q206" i="55"/>
  <c r="P206" i="55"/>
  <c r="S206" i="55" s="1"/>
  <c r="J206" i="55"/>
  <c r="R206" i="55" s="1"/>
  <c r="I206" i="55"/>
  <c r="F206" i="55"/>
  <c r="D206" i="55" a="1"/>
  <c r="D206" i="55" s="1"/>
  <c r="G206" i="55" s="1"/>
  <c r="C206" i="55"/>
  <c r="B206" i="55"/>
  <c r="Q205" i="55"/>
  <c r="P205" i="55"/>
  <c r="S205" i="55" s="1"/>
  <c r="J205" i="55"/>
  <c r="R205" i="55" s="1"/>
  <c r="I205" i="55"/>
  <c r="F205" i="55"/>
  <c r="D205" i="55" a="1"/>
  <c r="D205" i="55" s="1"/>
  <c r="H205" i="55" s="1"/>
  <c r="C205" i="55"/>
  <c r="G183" i="53"/>
  <c r="B205" i="55"/>
  <c r="Q204" i="55"/>
  <c r="P204" i="55"/>
  <c r="S204" i="55" s="1"/>
  <c r="J204" i="55"/>
  <c r="R204" i="55" s="1"/>
  <c r="I204" i="55"/>
  <c r="F204" i="55"/>
  <c r="D204" i="55" a="1"/>
  <c r="D204" i="55" s="1"/>
  <c r="G204" i="55" s="1"/>
  <c r="C204" i="55"/>
  <c r="B204" i="55"/>
  <c r="Q203" i="55"/>
  <c r="P203" i="55"/>
  <c r="S203" i="55" s="1"/>
  <c r="J203" i="55"/>
  <c r="I203" i="55"/>
  <c r="F203" i="55"/>
  <c r="D203" i="55" a="1"/>
  <c r="D203" i="55" s="1"/>
  <c r="G203" i="55" s="1"/>
  <c r="C203" i="55"/>
  <c r="B203" i="55"/>
  <c r="Q202" i="55"/>
  <c r="P202" i="55"/>
  <c r="S202" i="55" s="1"/>
  <c r="J202" i="55"/>
  <c r="R202" i="55" s="1"/>
  <c r="I202" i="55"/>
  <c r="F202" i="55"/>
  <c r="D202" i="55" a="1"/>
  <c r="D202" i="55" s="1"/>
  <c r="C202" i="55"/>
  <c r="G182" i="53"/>
  <c r="B202" i="55"/>
  <c r="Q201" i="55"/>
  <c r="P201" i="55"/>
  <c r="S201" i="55" s="1"/>
  <c r="J201" i="55"/>
  <c r="R201" i="55" s="1"/>
  <c r="I201" i="55"/>
  <c r="F201" i="55"/>
  <c r="D201" i="55" a="1"/>
  <c r="D201" i="55" s="1"/>
  <c r="C201" i="55"/>
  <c r="G181" i="53" s="1"/>
  <c r="B201" i="55"/>
  <c r="Q200" i="55"/>
  <c r="P200" i="55"/>
  <c r="S200" i="55" s="1"/>
  <c r="J200" i="55"/>
  <c r="R200" i="55" s="1"/>
  <c r="I200" i="55"/>
  <c r="F200" i="55"/>
  <c r="D200" i="55" a="1"/>
  <c r="D200" i="55" s="1"/>
  <c r="C200" i="55"/>
  <c r="G180" i="53" s="1"/>
  <c r="B200" i="55"/>
  <c r="Q199" i="55"/>
  <c r="P199" i="55"/>
  <c r="S199" i="55" s="1"/>
  <c r="J199" i="55"/>
  <c r="I199" i="55"/>
  <c r="F199" i="55"/>
  <c r="D199" i="55" a="1"/>
  <c r="D199" i="55" s="1"/>
  <c r="C199" i="55"/>
  <c r="B199" i="55"/>
  <c r="Q198" i="55"/>
  <c r="P198" i="55"/>
  <c r="S198" i="55" s="1"/>
  <c r="J198" i="55"/>
  <c r="R198" i="55" s="1"/>
  <c r="I198" i="55"/>
  <c r="F198" i="55"/>
  <c r="D198" i="55" a="1"/>
  <c r="D198" i="55" s="1"/>
  <c r="G198" i="55" s="1"/>
  <c r="C198" i="55"/>
  <c r="G179" i="53"/>
  <c r="B198" i="55"/>
  <c r="Q197" i="55"/>
  <c r="P197" i="55"/>
  <c r="S197" i="55" s="1"/>
  <c r="J197" i="55"/>
  <c r="R197" i="55" s="1"/>
  <c r="I197" i="55"/>
  <c r="F197" i="55"/>
  <c r="D197" i="55" a="1"/>
  <c r="D197" i="55" s="1"/>
  <c r="H197" i="55" s="1"/>
  <c r="C197" i="55"/>
  <c r="G178" i="53" s="1"/>
  <c r="B197" i="55"/>
  <c r="Q196" i="55"/>
  <c r="P196" i="55"/>
  <c r="S196" i="55" s="1"/>
  <c r="J196" i="55"/>
  <c r="R196" i="55" s="1"/>
  <c r="I196" i="55"/>
  <c r="F196" i="55"/>
  <c r="D196" i="55" a="1"/>
  <c r="D196" i="55" s="1"/>
  <c r="G196" i="55" s="1"/>
  <c r="C196" i="55"/>
  <c r="G177" i="53"/>
  <c r="B196" i="55"/>
  <c r="Q195" i="55"/>
  <c r="P195" i="55"/>
  <c r="S195" i="55" s="1"/>
  <c r="J195" i="55"/>
  <c r="R195" i="55" s="1"/>
  <c r="I195" i="55"/>
  <c r="F195" i="55"/>
  <c r="D195" i="55" a="1"/>
  <c r="D195" i="55" s="1"/>
  <c r="G195" i="55" s="1"/>
  <c r="C195" i="55"/>
  <c r="G176" i="53" s="1"/>
  <c r="B195" i="55"/>
  <c r="Q194" i="55"/>
  <c r="P194" i="55"/>
  <c r="S194" i="55" s="1"/>
  <c r="J194" i="55"/>
  <c r="I194" i="55"/>
  <c r="F194" i="55"/>
  <c r="D194" i="55" a="1"/>
  <c r="D194" i="55" s="1"/>
  <c r="H194" i="55" s="1"/>
  <c r="C194" i="55"/>
  <c r="B194" i="55"/>
  <c r="Q193" i="55"/>
  <c r="P193" i="55"/>
  <c r="S193" i="55" s="1"/>
  <c r="J193" i="55"/>
  <c r="R193" i="55" s="1"/>
  <c r="I193" i="55"/>
  <c r="F193" i="55"/>
  <c r="D193" i="55" a="1"/>
  <c r="D193" i="55" s="1"/>
  <c r="G193" i="55" s="1"/>
  <c r="C193" i="55"/>
  <c r="G175" i="53" s="1"/>
  <c r="B193" i="55"/>
  <c r="Q192" i="55"/>
  <c r="P192" i="55"/>
  <c r="S192" i="55" s="1"/>
  <c r="J192" i="55"/>
  <c r="I192" i="55"/>
  <c r="F192" i="55"/>
  <c r="D192" i="55" a="1"/>
  <c r="D192" i="55" s="1"/>
  <c r="H192" i="55" s="1"/>
  <c r="C192" i="55"/>
  <c r="G174" i="53"/>
  <c r="B192" i="55"/>
  <c r="Q191" i="55"/>
  <c r="P191" i="55"/>
  <c r="S191" i="55" s="1"/>
  <c r="J191" i="55"/>
  <c r="R191" i="55" s="1"/>
  <c r="I191" i="55"/>
  <c r="F191" i="55"/>
  <c r="D191" i="55" a="1"/>
  <c r="D191" i="55" s="1"/>
  <c r="H191" i="55" s="1"/>
  <c r="C191" i="55"/>
  <c r="G173" i="53" s="1"/>
  <c r="B191" i="55"/>
  <c r="Q190" i="55"/>
  <c r="P190" i="55"/>
  <c r="S190" i="55" s="1"/>
  <c r="J190" i="55"/>
  <c r="R190" i="55" s="1"/>
  <c r="I190" i="55"/>
  <c r="F190" i="55"/>
  <c r="D190" i="55" a="1"/>
  <c r="D190" i="55" s="1"/>
  <c r="C190" i="55"/>
  <c r="G172" i="53"/>
  <c r="B190" i="55"/>
  <c r="Q189" i="55"/>
  <c r="P189" i="55"/>
  <c r="S189" i="55" s="1"/>
  <c r="J189" i="55"/>
  <c r="R189" i="55" s="1"/>
  <c r="I189" i="55"/>
  <c r="F189" i="55"/>
  <c r="D189" i="55" a="1"/>
  <c r="D189" i="55" s="1"/>
  <c r="C189" i="55"/>
  <c r="G171" i="53"/>
  <c r="B189" i="55"/>
  <c r="Q188" i="55"/>
  <c r="P188" i="55"/>
  <c r="S188" i="55" s="1"/>
  <c r="J188" i="55"/>
  <c r="R188" i="55" s="1"/>
  <c r="I188" i="55"/>
  <c r="F188" i="55"/>
  <c r="D188" i="55" a="1"/>
  <c r="D188" i="55" s="1"/>
  <c r="C188" i="55"/>
  <c r="G170" i="53"/>
  <c r="B188" i="55"/>
  <c r="Q187" i="55"/>
  <c r="P187" i="55"/>
  <c r="J187" i="55"/>
  <c r="R187" i="55" s="1"/>
  <c r="I187" i="55"/>
  <c r="F187" i="55"/>
  <c r="D187" i="55" a="1"/>
  <c r="D187" i="55" s="1"/>
  <c r="C187" i="55"/>
  <c r="G169" i="53"/>
  <c r="B187" i="55"/>
  <c r="Q186" i="55"/>
  <c r="P186" i="55"/>
  <c r="S186" i="55" s="1"/>
  <c r="J186" i="55"/>
  <c r="R186" i="55" s="1"/>
  <c r="I186" i="55"/>
  <c r="F186" i="55"/>
  <c r="D186" i="55" a="1"/>
  <c r="D186" i="55" s="1"/>
  <c r="G186" i="55" s="1"/>
  <c r="C186" i="55"/>
  <c r="G168" i="53" s="1"/>
  <c r="B186" i="55"/>
  <c r="Q185" i="55"/>
  <c r="P185" i="55"/>
  <c r="S185" i="55" s="1"/>
  <c r="J185" i="55"/>
  <c r="R185" i="55" s="1"/>
  <c r="I185" i="55"/>
  <c r="F185" i="55"/>
  <c r="D185" i="55" a="1"/>
  <c r="D185" i="55" s="1"/>
  <c r="C185" i="55"/>
  <c r="G167" i="53"/>
  <c r="B185" i="55"/>
  <c r="Q184" i="55"/>
  <c r="P184" i="55"/>
  <c r="S184" i="55" s="1"/>
  <c r="J184" i="55"/>
  <c r="R184" i="55" s="1"/>
  <c r="I184" i="55"/>
  <c r="F184" i="55"/>
  <c r="D184" i="55" a="1"/>
  <c r="D184" i="55" s="1"/>
  <c r="H184" i="55" s="1"/>
  <c r="C184" i="55"/>
  <c r="G166" i="53"/>
  <c r="B184" i="55"/>
  <c r="Q183" i="55"/>
  <c r="P183" i="55"/>
  <c r="S183" i="55" s="1"/>
  <c r="J183" i="55"/>
  <c r="R183" i="55" s="1"/>
  <c r="I183" i="55"/>
  <c r="F183" i="55"/>
  <c r="D183" i="55" a="1"/>
  <c r="D183" i="55" s="1"/>
  <c r="G183" i="55" s="1"/>
  <c r="C183" i="55"/>
  <c r="G165" i="53" s="1"/>
  <c r="B183" i="55"/>
  <c r="Q182" i="55"/>
  <c r="P182" i="55"/>
  <c r="S182" i="55" s="1"/>
  <c r="J182" i="55"/>
  <c r="R182" i="55" s="1"/>
  <c r="I182" i="55"/>
  <c r="F182" i="55"/>
  <c r="D182" i="55" a="1"/>
  <c r="D182" i="55" s="1"/>
  <c r="G182" i="55" s="1"/>
  <c r="C182" i="55"/>
  <c r="G164" i="53" s="1"/>
  <c r="B182" i="55"/>
  <c r="Q181" i="55"/>
  <c r="P181" i="55"/>
  <c r="S181" i="55" s="1"/>
  <c r="J181" i="55"/>
  <c r="R181" i="55" s="1"/>
  <c r="I181" i="55"/>
  <c r="F181" i="55"/>
  <c r="D181" i="55" a="1"/>
  <c r="D181" i="55" s="1"/>
  <c r="G181" i="55" s="1"/>
  <c r="C181" i="55"/>
  <c r="G163" i="53" s="1"/>
  <c r="B181" i="55"/>
  <c r="Q180" i="55"/>
  <c r="P180" i="55"/>
  <c r="S180" i="55" s="1"/>
  <c r="J180" i="55"/>
  <c r="R180" i="55" s="1"/>
  <c r="I180" i="55"/>
  <c r="F180" i="55"/>
  <c r="D180" i="55" a="1"/>
  <c r="D180" i="55" s="1"/>
  <c r="C180" i="55"/>
  <c r="G162" i="53"/>
  <c r="B180" i="55"/>
  <c r="Q179" i="55"/>
  <c r="P179" i="55"/>
  <c r="S179" i="55" s="1"/>
  <c r="J179" i="55"/>
  <c r="R179" i="55" s="1"/>
  <c r="I179" i="55"/>
  <c r="F179" i="55"/>
  <c r="D179" i="55" a="1"/>
  <c r="D179" i="55" s="1"/>
  <c r="G179" i="55" s="1"/>
  <c r="C179" i="55"/>
  <c r="G161" i="53" s="1"/>
  <c r="B179" i="55"/>
  <c r="Q178" i="55"/>
  <c r="P178" i="55"/>
  <c r="S178" i="55" s="1"/>
  <c r="J178" i="55"/>
  <c r="R178" i="55" s="1"/>
  <c r="I178" i="55"/>
  <c r="F178" i="55"/>
  <c r="D178" i="55" a="1"/>
  <c r="D178" i="55" s="1"/>
  <c r="G178" i="55" s="1"/>
  <c r="C178" i="55"/>
  <c r="G160" i="53" s="1"/>
  <c r="B178" i="55"/>
  <c r="Q177" i="55"/>
  <c r="P177" i="55"/>
  <c r="S177" i="55" s="1"/>
  <c r="J177" i="55"/>
  <c r="R177" i="55" s="1"/>
  <c r="I177" i="55"/>
  <c r="F177" i="55"/>
  <c r="D177" i="55" a="1"/>
  <c r="D177" i="55" s="1"/>
  <c r="G177" i="55" s="1"/>
  <c r="C177" i="55"/>
  <c r="G159" i="53" s="1"/>
  <c r="B177" i="55"/>
  <c r="Q176" i="55"/>
  <c r="P176" i="55"/>
  <c r="J176" i="55"/>
  <c r="I176" i="55"/>
  <c r="F176" i="55"/>
  <c r="D176" i="55" a="1"/>
  <c r="D176" i="55" s="1"/>
  <c r="G176" i="55" s="1"/>
  <c r="C176" i="55"/>
  <c r="B176" i="55"/>
  <c r="Q175" i="55"/>
  <c r="P175" i="55"/>
  <c r="J175" i="55"/>
  <c r="I175" i="55"/>
  <c r="F175" i="55"/>
  <c r="D175" i="55" a="1"/>
  <c r="D175" i="55" s="1"/>
  <c r="H175" i="55" s="1"/>
  <c r="C175" i="55"/>
  <c r="B175" i="55"/>
  <c r="Q174" i="55"/>
  <c r="P174" i="55"/>
  <c r="S174" i="55" s="1"/>
  <c r="J174" i="55"/>
  <c r="R174" i="55" s="1"/>
  <c r="I174" i="55"/>
  <c r="F174" i="55"/>
  <c r="D174" i="55" a="1"/>
  <c r="D174" i="55" s="1"/>
  <c r="H174" i="55" s="1"/>
  <c r="B174" i="55"/>
  <c r="Q173" i="55"/>
  <c r="P173" i="55"/>
  <c r="J173" i="55"/>
  <c r="I173" i="55"/>
  <c r="F173" i="55"/>
  <c r="D173" i="55" a="1"/>
  <c r="D173" i="55" s="1"/>
  <c r="C173" i="55"/>
  <c r="B173" i="55"/>
  <c r="Q172" i="55"/>
  <c r="P172" i="55"/>
  <c r="S172" i="55" s="1"/>
  <c r="J172" i="55"/>
  <c r="I172" i="55"/>
  <c r="F172" i="55"/>
  <c r="D172" i="55" a="1"/>
  <c r="D172" i="55" s="1"/>
  <c r="G172" i="55" s="1"/>
  <c r="C172" i="55"/>
  <c r="B172" i="55"/>
  <c r="Q171" i="55"/>
  <c r="P171" i="55"/>
  <c r="S171" i="55" s="1"/>
  <c r="J171" i="55"/>
  <c r="I171" i="55"/>
  <c r="F171" i="55"/>
  <c r="D171" i="55" a="1"/>
  <c r="D171" i="55" s="1"/>
  <c r="G171" i="55" s="1"/>
  <c r="C171" i="55"/>
  <c r="B171" i="55"/>
  <c r="Q170" i="55"/>
  <c r="P170" i="55"/>
  <c r="S170" i="55" s="1"/>
  <c r="J170" i="55"/>
  <c r="I170" i="55"/>
  <c r="F170" i="55"/>
  <c r="D170" i="55" a="1"/>
  <c r="D170" i="55" s="1"/>
  <c r="G170" i="55" s="1"/>
  <c r="C170" i="55"/>
  <c r="B170" i="55"/>
  <c r="Q169" i="55"/>
  <c r="P169" i="55"/>
  <c r="S169" i="55" s="1"/>
  <c r="J169" i="55"/>
  <c r="I169" i="55"/>
  <c r="F169" i="55"/>
  <c r="D169" i="55" a="1"/>
  <c r="D169" i="55" s="1"/>
  <c r="H169" i="55" s="1"/>
  <c r="C169" i="55"/>
  <c r="B169" i="55"/>
  <c r="Q168" i="55"/>
  <c r="P168" i="55"/>
  <c r="S168" i="55" s="1"/>
  <c r="J168" i="55"/>
  <c r="I168" i="55"/>
  <c r="F168" i="55"/>
  <c r="D168" i="55" a="1"/>
  <c r="D168" i="55" s="1"/>
  <c r="H168" i="55" s="1"/>
  <c r="C168" i="55"/>
  <c r="B168" i="55"/>
  <c r="Q167" i="55"/>
  <c r="P167" i="55"/>
  <c r="S167" i="55" s="1"/>
  <c r="J167" i="55"/>
  <c r="R167" i="55" s="1"/>
  <c r="I167" i="55"/>
  <c r="F167" i="55"/>
  <c r="D167" i="55" a="1"/>
  <c r="D167" i="55" s="1"/>
  <c r="H167" i="55" s="1"/>
  <c r="C167" i="55"/>
  <c r="B167" i="55"/>
  <c r="Q166" i="55"/>
  <c r="P166" i="55"/>
  <c r="S166" i="55" s="1"/>
  <c r="J166" i="55"/>
  <c r="I166" i="55"/>
  <c r="F166" i="55"/>
  <c r="D166" i="55" a="1"/>
  <c r="D166" i="55" s="1"/>
  <c r="C166" i="55"/>
  <c r="B166" i="55"/>
  <c r="Q165" i="55"/>
  <c r="P165" i="55"/>
  <c r="S165" i="55" s="1"/>
  <c r="J165" i="55"/>
  <c r="R165" i="55" s="1"/>
  <c r="I165" i="55"/>
  <c r="F165" i="55"/>
  <c r="D165" i="55" a="1"/>
  <c r="D165" i="55" s="1"/>
  <c r="H165" i="55" s="1"/>
  <c r="C165" i="55"/>
  <c r="G157" i="53"/>
  <c r="B165" i="55"/>
  <c r="Q164" i="55"/>
  <c r="P164" i="55"/>
  <c r="J164" i="55"/>
  <c r="I164" i="55"/>
  <c r="F164" i="55"/>
  <c r="D164" i="55" a="1"/>
  <c r="D164" i="55" s="1"/>
  <c r="H164" i="55" s="1"/>
  <c r="C164" i="55"/>
  <c r="B164" i="55"/>
  <c r="Q163" i="55"/>
  <c r="P163" i="55"/>
  <c r="S163" i="55" s="1"/>
  <c r="J163" i="55"/>
  <c r="R163" i="55" s="1"/>
  <c r="I163" i="55"/>
  <c r="F163" i="55"/>
  <c r="D163" i="55" a="1"/>
  <c r="D163" i="55" s="1"/>
  <c r="G163" i="55" s="1"/>
  <c r="C163" i="55"/>
  <c r="G156" i="53"/>
  <c r="B163" i="55"/>
  <c r="Q162" i="55"/>
  <c r="P162" i="55"/>
  <c r="J162" i="55"/>
  <c r="R162" i="55" s="1"/>
  <c r="I162" i="55"/>
  <c r="F162" i="55"/>
  <c r="D162" i="55" a="1"/>
  <c r="D162" i="55" s="1"/>
  <c r="C162" i="55"/>
  <c r="B162" i="55"/>
  <c r="Q161" i="55"/>
  <c r="P161" i="55"/>
  <c r="S161" i="55" s="1"/>
  <c r="J161" i="55"/>
  <c r="I161" i="55"/>
  <c r="F161" i="55"/>
  <c r="D161" i="55" a="1"/>
  <c r="D161" i="55" s="1"/>
  <c r="H161" i="55" s="1"/>
  <c r="C161" i="55"/>
  <c r="B161" i="55"/>
  <c r="Q160" i="55"/>
  <c r="P160" i="55"/>
  <c r="S160" i="55" s="1"/>
  <c r="J160" i="55"/>
  <c r="R160" i="55" s="1"/>
  <c r="I160" i="55"/>
  <c r="F160" i="55"/>
  <c r="D160" i="55" a="1"/>
  <c r="D160" i="55" s="1"/>
  <c r="G160" i="55" s="1"/>
  <c r="C160" i="55"/>
  <c r="G155" i="53" s="1"/>
  <c r="B160" i="55"/>
  <c r="Q159" i="55"/>
  <c r="P159" i="55"/>
  <c r="S159" i="55" s="1"/>
  <c r="J159" i="55"/>
  <c r="R159" i="55" s="1"/>
  <c r="I159" i="55"/>
  <c r="F159" i="55"/>
  <c r="D159" i="55" a="1"/>
  <c r="D159" i="55" s="1"/>
  <c r="H159" i="55" s="1"/>
  <c r="C159" i="55"/>
  <c r="G154" i="53" s="1"/>
  <c r="B159" i="55"/>
  <c r="Q158" i="55"/>
  <c r="P158" i="55"/>
  <c r="S158" i="55" s="1"/>
  <c r="J158" i="55"/>
  <c r="R158" i="55" s="1"/>
  <c r="I158" i="55"/>
  <c r="F158" i="55"/>
  <c r="D158" i="55" a="1"/>
  <c r="D158" i="55" s="1"/>
  <c r="G158" i="55" s="1"/>
  <c r="C158" i="55"/>
  <c r="G153" i="53"/>
  <c r="B158" i="55"/>
  <c r="Q157" i="55"/>
  <c r="P157" i="55"/>
  <c r="S157" i="55" s="1"/>
  <c r="J157" i="55"/>
  <c r="R157" i="55" s="1"/>
  <c r="I157" i="55"/>
  <c r="F157" i="55"/>
  <c r="D157" i="55" a="1"/>
  <c r="D157" i="55" s="1"/>
  <c r="H157" i="55" s="1"/>
  <c r="C157" i="55"/>
  <c r="G152" i="53" s="1"/>
  <c r="B157" i="55"/>
  <c r="Q156" i="55"/>
  <c r="P156" i="55"/>
  <c r="S156" i="55" s="1"/>
  <c r="J156" i="55"/>
  <c r="R156" i="55" s="1"/>
  <c r="I156" i="55"/>
  <c r="F156" i="55"/>
  <c r="D156" i="55" a="1"/>
  <c r="D156" i="55" s="1"/>
  <c r="G156" i="55" s="1"/>
  <c r="C156" i="55"/>
  <c r="G151" i="53"/>
  <c r="B156" i="55"/>
  <c r="Q155" i="55"/>
  <c r="P155" i="55"/>
  <c r="S155" i="55" s="1"/>
  <c r="J155" i="55"/>
  <c r="I155" i="55"/>
  <c r="F155" i="55"/>
  <c r="D155" i="55" a="1"/>
  <c r="D155" i="55" s="1"/>
  <c r="H155" i="55" s="1"/>
  <c r="C155" i="55"/>
  <c r="B155" i="55"/>
  <c r="Q154" i="55"/>
  <c r="P154" i="55"/>
  <c r="S154" i="55" s="1"/>
  <c r="J154" i="55"/>
  <c r="I154" i="55"/>
  <c r="F154" i="55"/>
  <c r="D154" i="55" a="1"/>
  <c r="D154" i="55" s="1"/>
  <c r="H154" i="55" s="1"/>
  <c r="C154" i="55"/>
  <c r="B154" i="55"/>
  <c r="Q153" i="55"/>
  <c r="P153" i="55"/>
  <c r="S153" i="55" s="1"/>
  <c r="J153" i="55"/>
  <c r="R153" i="55" s="1"/>
  <c r="I153" i="55"/>
  <c r="F153" i="55"/>
  <c r="D153" i="55" a="1"/>
  <c r="D153" i="55" s="1"/>
  <c r="C153" i="55"/>
  <c r="G150" i="53"/>
  <c r="B153" i="55"/>
  <c r="Q152" i="55"/>
  <c r="P152" i="55"/>
  <c r="S152" i="55" s="1"/>
  <c r="J152" i="55"/>
  <c r="R152" i="55" s="1"/>
  <c r="I152" i="55"/>
  <c r="F152" i="55"/>
  <c r="D152" i="55" a="1"/>
  <c r="D152" i="55" s="1"/>
  <c r="C152" i="55"/>
  <c r="G149" i="53"/>
  <c r="B152" i="55"/>
  <c r="Q151" i="55"/>
  <c r="P151" i="55"/>
  <c r="J151" i="55"/>
  <c r="R151" i="55" s="1"/>
  <c r="I151" i="55"/>
  <c r="F151" i="55"/>
  <c r="D151" i="55" a="1"/>
  <c r="D151" i="55" s="1"/>
  <c r="H151" i="55" s="1"/>
  <c r="C151" i="55"/>
  <c r="B151" i="55"/>
  <c r="Q150" i="55"/>
  <c r="P150" i="55"/>
  <c r="J150" i="55"/>
  <c r="R150" i="55" s="1"/>
  <c r="I150" i="55"/>
  <c r="F150" i="55"/>
  <c r="D150" i="55" a="1"/>
  <c r="D150" i="55" s="1"/>
  <c r="H150" i="55" s="1"/>
  <c r="C150" i="55"/>
  <c r="B150" i="55"/>
  <c r="Q149" i="55"/>
  <c r="P149" i="55"/>
  <c r="S149" i="55" s="1"/>
  <c r="J149" i="55"/>
  <c r="R149" i="55" s="1"/>
  <c r="I149" i="55"/>
  <c r="F149" i="55"/>
  <c r="D149" i="55" a="1"/>
  <c r="D149" i="55" s="1"/>
  <c r="C149" i="55"/>
  <c r="G148" i="53" s="1"/>
  <c r="B149" i="55"/>
  <c r="Q148" i="55"/>
  <c r="P148" i="55"/>
  <c r="S148" i="55" s="1"/>
  <c r="J148" i="55"/>
  <c r="R148" i="55" s="1"/>
  <c r="I148" i="55"/>
  <c r="F148" i="55"/>
  <c r="D148" i="55" a="1"/>
  <c r="D148" i="55" s="1"/>
  <c r="C148" i="55"/>
  <c r="G147" i="53"/>
  <c r="B148" i="55"/>
  <c r="Q147" i="55"/>
  <c r="P147" i="55"/>
  <c r="S147" i="55" s="1"/>
  <c r="J147" i="55"/>
  <c r="R147" i="55" s="1"/>
  <c r="I147" i="55"/>
  <c r="F147" i="55"/>
  <c r="D147" i="55" a="1"/>
  <c r="D147" i="55" s="1"/>
  <c r="G147" i="55" s="1"/>
  <c r="C147" i="55"/>
  <c r="B147" i="55"/>
  <c r="Q146" i="55"/>
  <c r="P146" i="55"/>
  <c r="S146" i="55" s="1"/>
  <c r="J146" i="55"/>
  <c r="I146" i="55"/>
  <c r="F146" i="55"/>
  <c r="D146" i="55" a="1"/>
  <c r="D146" i="55" s="1"/>
  <c r="G146" i="55" s="1"/>
  <c r="C146" i="55"/>
  <c r="B146" i="55"/>
  <c r="Q145" i="55"/>
  <c r="P145" i="55"/>
  <c r="S145" i="55" s="1"/>
  <c r="J145" i="55"/>
  <c r="R145" i="55" s="1"/>
  <c r="I145" i="55"/>
  <c r="F145" i="55"/>
  <c r="D145" i="55" a="1"/>
  <c r="D145" i="55" s="1"/>
  <c r="H145" i="55" s="1"/>
  <c r="C145" i="55"/>
  <c r="B145" i="55"/>
  <c r="Q144" i="55"/>
  <c r="P144" i="55"/>
  <c r="S144" i="55" s="1"/>
  <c r="J144" i="55"/>
  <c r="I144" i="55"/>
  <c r="F144" i="55"/>
  <c r="D144" i="55" a="1"/>
  <c r="D144" i="55" s="1"/>
  <c r="G144" i="55" s="1"/>
  <c r="C144" i="55"/>
  <c r="B144" i="55"/>
  <c r="Q143" i="55"/>
  <c r="P143" i="55"/>
  <c r="S143" i="55" s="1"/>
  <c r="J143" i="55"/>
  <c r="R143" i="55" s="1"/>
  <c r="I143" i="55"/>
  <c r="F143" i="55"/>
  <c r="D143" i="55" a="1"/>
  <c r="D143" i="55" s="1"/>
  <c r="G143" i="55" s="1"/>
  <c r="C143" i="55"/>
  <c r="B143" i="55"/>
  <c r="Q142" i="55"/>
  <c r="P142" i="55"/>
  <c r="S142" i="55" s="1"/>
  <c r="J142" i="55"/>
  <c r="R142" i="55" s="1"/>
  <c r="I142" i="55"/>
  <c r="F142" i="55"/>
  <c r="D142" i="55" a="1"/>
  <c r="D142" i="55" s="1"/>
  <c r="H142" i="55" s="1"/>
  <c r="C142" i="55"/>
  <c r="B142" i="55"/>
  <c r="Q141" i="55"/>
  <c r="P141" i="55"/>
  <c r="S141" i="55" s="1"/>
  <c r="J141" i="55"/>
  <c r="R141" i="55" s="1"/>
  <c r="I141" i="55"/>
  <c r="F141" i="55"/>
  <c r="D141" i="55" a="1"/>
  <c r="D141" i="55" s="1"/>
  <c r="H141" i="55" s="1"/>
  <c r="C141" i="55"/>
  <c r="B141" i="55"/>
  <c r="Q140" i="55"/>
  <c r="P140" i="55"/>
  <c r="S140" i="55" s="1"/>
  <c r="J140" i="55"/>
  <c r="R140" i="55" s="1"/>
  <c r="I140" i="55"/>
  <c r="F140" i="55"/>
  <c r="D140" i="55" a="1"/>
  <c r="D140" i="55" s="1"/>
  <c r="C140" i="55"/>
  <c r="B140" i="55"/>
  <c r="Q139" i="55"/>
  <c r="P139" i="55"/>
  <c r="S139" i="55" s="1"/>
  <c r="J139" i="55"/>
  <c r="R139" i="55" s="1"/>
  <c r="I139" i="55"/>
  <c r="F139" i="55"/>
  <c r="D139" i="55" a="1"/>
  <c r="D139" i="55" s="1"/>
  <c r="G139" i="55" s="1"/>
  <c r="C139" i="55"/>
  <c r="B139" i="55"/>
  <c r="Q138" i="55"/>
  <c r="P138" i="55"/>
  <c r="S138" i="55" s="1"/>
  <c r="J138" i="55"/>
  <c r="R138" i="55" s="1"/>
  <c r="I138" i="55"/>
  <c r="F138" i="55"/>
  <c r="D138" i="55" a="1"/>
  <c r="D138" i="55" s="1"/>
  <c r="C138" i="55"/>
  <c r="B138" i="55"/>
  <c r="Q137" i="55"/>
  <c r="P137" i="55"/>
  <c r="S137" i="55" s="1"/>
  <c r="J137" i="55"/>
  <c r="R137" i="55" s="1"/>
  <c r="I137" i="55"/>
  <c r="F137" i="55"/>
  <c r="D137" i="55" a="1"/>
  <c r="D137" i="55" s="1"/>
  <c r="C137" i="55"/>
  <c r="B137" i="55"/>
  <c r="Q136" i="55"/>
  <c r="P136" i="55"/>
  <c r="S136" i="55" s="1"/>
  <c r="J136" i="55"/>
  <c r="I136" i="55"/>
  <c r="F136" i="55"/>
  <c r="D136" i="55" a="1"/>
  <c r="D136" i="55" s="1"/>
  <c r="G136" i="55" s="1"/>
  <c r="C136" i="55"/>
  <c r="B136" i="55"/>
  <c r="Q135" i="55"/>
  <c r="P135" i="55"/>
  <c r="S135" i="55" s="1"/>
  <c r="J135" i="55"/>
  <c r="R135" i="55" s="1"/>
  <c r="I135" i="55"/>
  <c r="F135" i="55"/>
  <c r="D135" i="55" a="1"/>
  <c r="D135" i="55" s="1"/>
  <c r="H135" i="55" s="1"/>
  <c r="C135" i="55"/>
  <c r="B135" i="55"/>
  <c r="Q134" i="55"/>
  <c r="P134" i="55"/>
  <c r="S134" i="55" s="1"/>
  <c r="J134" i="55"/>
  <c r="I134" i="55"/>
  <c r="F134" i="55"/>
  <c r="D134" i="55" a="1"/>
  <c r="D134" i="55" s="1"/>
  <c r="G134" i="55" s="1"/>
  <c r="C134" i="55"/>
  <c r="B134" i="55"/>
  <c r="Q133" i="55"/>
  <c r="P133" i="55"/>
  <c r="S133" i="55" s="1"/>
  <c r="J133" i="55"/>
  <c r="R133" i="55" s="1"/>
  <c r="I133" i="55"/>
  <c r="F133" i="55"/>
  <c r="D133" i="55" a="1"/>
  <c r="D133" i="55" s="1"/>
  <c r="C133" i="55"/>
  <c r="B133" i="55"/>
  <c r="Q132" i="55"/>
  <c r="P132" i="55"/>
  <c r="S132" i="55" s="1"/>
  <c r="J132" i="55"/>
  <c r="I132" i="55"/>
  <c r="F132" i="55"/>
  <c r="D132" i="55" a="1"/>
  <c r="D132" i="55" s="1"/>
  <c r="G132" i="55" s="1"/>
  <c r="C132" i="55"/>
  <c r="B132" i="55"/>
  <c r="Q131" i="55"/>
  <c r="P131" i="55"/>
  <c r="S131" i="55" s="1"/>
  <c r="J131" i="55"/>
  <c r="R131" i="55" s="1"/>
  <c r="I131" i="55"/>
  <c r="F131" i="55"/>
  <c r="D131" i="55" a="1"/>
  <c r="D131" i="55" s="1"/>
  <c r="H131" i="55" s="1"/>
  <c r="C131" i="55"/>
  <c r="B131" i="55"/>
  <c r="Q130" i="55"/>
  <c r="P130" i="55"/>
  <c r="S130" i="55" s="1"/>
  <c r="J130" i="55"/>
  <c r="I130" i="55"/>
  <c r="F130" i="55"/>
  <c r="D130" i="55" a="1"/>
  <c r="D130" i="55" s="1"/>
  <c r="G130" i="55" s="1"/>
  <c r="C130" i="55"/>
  <c r="B130" i="55"/>
  <c r="Q129" i="55"/>
  <c r="P129" i="55"/>
  <c r="S129" i="55" s="1"/>
  <c r="J129" i="55"/>
  <c r="R129" i="55" s="1"/>
  <c r="I129" i="55"/>
  <c r="F129" i="55"/>
  <c r="D129" i="55" a="1"/>
  <c r="D129" i="55" s="1"/>
  <c r="C129" i="55"/>
  <c r="B129" i="55"/>
  <c r="Q128" i="55"/>
  <c r="P128" i="55"/>
  <c r="S128" i="55" s="1"/>
  <c r="J128" i="55"/>
  <c r="R128" i="55" s="1"/>
  <c r="I128" i="55"/>
  <c r="F128" i="55"/>
  <c r="D128" i="55" a="1"/>
  <c r="D128" i="55" s="1"/>
  <c r="C128" i="55"/>
  <c r="B128" i="55"/>
  <c r="Q127" i="55"/>
  <c r="P127" i="55"/>
  <c r="S127" i="55" s="1"/>
  <c r="J127" i="55"/>
  <c r="R127" i="55" s="1"/>
  <c r="I127" i="55"/>
  <c r="F127" i="55"/>
  <c r="D127" i="55" a="1"/>
  <c r="D127" i="55" s="1"/>
  <c r="C127" i="55"/>
  <c r="B127" i="55"/>
  <c r="Q126" i="55"/>
  <c r="P126" i="55"/>
  <c r="S126" i="55" s="1"/>
  <c r="J126" i="55"/>
  <c r="I126" i="55"/>
  <c r="F126" i="55"/>
  <c r="D126" i="55" a="1"/>
  <c r="D126" i="55" s="1"/>
  <c r="H126" i="55" s="1"/>
  <c r="C126" i="55"/>
  <c r="B126" i="55"/>
  <c r="Q125" i="55"/>
  <c r="P125" i="55"/>
  <c r="S125" i="55" s="1"/>
  <c r="J125" i="55"/>
  <c r="R125" i="55" s="1"/>
  <c r="I125" i="55"/>
  <c r="F125" i="55"/>
  <c r="D125" i="55" a="1"/>
  <c r="D125" i="55" s="1"/>
  <c r="G125" i="55" s="1"/>
  <c r="C125" i="55"/>
  <c r="B125" i="55"/>
  <c r="Q124" i="55"/>
  <c r="P124" i="55"/>
  <c r="S124" i="55" s="1"/>
  <c r="J124" i="55"/>
  <c r="R124" i="55" s="1"/>
  <c r="I124" i="55"/>
  <c r="F124" i="55"/>
  <c r="D124" i="55" a="1"/>
  <c r="D124" i="55" s="1"/>
  <c r="G124" i="55" s="1"/>
  <c r="C124" i="55"/>
  <c r="B124" i="55"/>
  <c r="Q123" i="55"/>
  <c r="P123" i="55"/>
  <c r="S123" i="55" s="1"/>
  <c r="J123" i="55"/>
  <c r="R123" i="55" s="1"/>
  <c r="I123" i="55"/>
  <c r="F123" i="55"/>
  <c r="D123" i="55" a="1"/>
  <c r="D123" i="55" s="1"/>
  <c r="G123" i="55" s="1"/>
  <c r="C123" i="55"/>
  <c r="B123" i="55"/>
  <c r="Q122" i="55"/>
  <c r="P122" i="55"/>
  <c r="S122" i="55" s="1"/>
  <c r="J122" i="55"/>
  <c r="R122" i="55" s="1"/>
  <c r="I122" i="55"/>
  <c r="F122" i="55"/>
  <c r="D122" i="55" a="1"/>
  <c r="D122" i="55" s="1"/>
  <c r="G122" i="55" s="1"/>
  <c r="C122" i="55"/>
  <c r="B122" i="55"/>
  <c r="Q121" i="55"/>
  <c r="P121" i="55"/>
  <c r="S121" i="55" s="1"/>
  <c r="J121" i="55"/>
  <c r="R121" i="55" s="1"/>
  <c r="I121" i="55"/>
  <c r="F121" i="55"/>
  <c r="D121" i="55" a="1"/>
  <c r="D121" i="55" s="1"/>
  <c r="C121" i="55"/>
  <c r="B121" i="55"/>
  <c r="Q120" i="55"/>
  <c r="P120" i="55"/>
  <c r="S120" i="55" s="1"/>
  <c r="J120" i="55"/>
  <c r="R120" i="55" s="1"/>
  <c r="I120" i="55"/>
  <c r="F120" i="55"/>
  <c r="D120" i="55" a="1"/>
  <c r="D120" i="55" s="1"/>
  <c r="G120" i="55" s="1"/>
  <c r="C120" i="55"/>
  <c r="B120" i="55"/>
  <c r="Q119" i="55"/>
  <c r="P119" i="55"/>
  <c r="J119" i="55"/>
  <c r="R119" i="55" s="1"/>
  <c r="I119" i="55"/>
  <c r="F119" i="55"/>
  <c r="D119" i="55" a="1"/>
  <c r="D119" i="55" s="1"/>
  <c r="H119" i="55" s="1"/>
  <c r="C119" i="55"/>
  <c r="B119" i="55"/>
  <c r="Q118" i="55"/>
  <c r="P118" i="55"/>
  <c r="S118" i="55" s="1"/>
  <c r="J118" i="55"/>
  <c r="R118" i="55" s="1"/>
  <c r="I118" i="55"/>
  <c r="F118" i="55"/>
  <c r="D118" i="55" a="1"/>
  <c r="D118" i="55" s="1"/>
  <c r="H118" i="55" s="1"/>
  <c r="C118" i="55"/>
  <c r="B118" i="55"/>
  <c r="Q117" i="55"/>
  <c r="P117" i="55"/>
  <c r="J117" i="55"/>
  <c r="R117" i="55" s="1"/>
  <c r="I117" i="55"/>
  <c r="F117" i="55"/>
  <c r="D117" i="55" a="1"/>
  <c r="D117" i="55" s="1"/>
  <c r="G117" i="55" s="1"/>
  <c r="C117" i="55"/>
  <c r="B117" i="55"/>
  <c r="Q116" i="55"/>
  <c r="P116" i="55"/>
  <c r="S116" i="55" s="1"/>
  <c r="J116" i="55"/>
  <c r="I116" i="55"/>
  <c r="F116" i="55"/>
  <c r="D116" i="55" a="1"/>
  <c r="D116" i="55" s="1"/>
  <c r="G116" i="55" s="1"/>
  <c r="C116" i="55"/>
  <c r="B116" i="55"/>
  <c r="Q115" i="55"/>
  <c r="P115" i="55"/>
  <c r="S115" i="55" s="1"/>
  <c r="J115" i="55"/>
  <c r="R115" i="55" s="1"/>
  <c r="I115" i="55"/>
  <c r="F115" i="55"/>
  <c r="D115" i="55" a="1"/>
  <c r="D115" i="55" s="1"/>
  <c r="H115" i="55" s="1"/>
  <c r="C115" i="55"/>
  <c r="B115" i="55"/>
  <c r="Q114" i="55"/>
  <c r="P114" i="55"/>
  <c r="S114" i="55" s="1"/>
  <c r="J114" i="55"/>
  <c r="R114" i="55" s="1"/>
  <c r="I114" i="55"/>
  <c r="F114" i="55"/>
  <c r="D114" i="55" a="1"/>
  <c r="D114" i="55" s="1"/>
  <c r="C114" i="55"/>
  <c r="B114" i="55"/>
  <c r="Q113" i="55"/>
  <c r="P113" i="55"/>
  <c r="S113" i="55" s="1"/>
  <c r="J113" i="55"/>
  <c r="R113" i="55" s="1"/>
  <c r="I113" i="55"/>
  <c r="F113" i="55"/>
  <c r="D113" i="55" a="1"/>
  <c r="D113" i="55" s="1"/>
  <c r="H113" i="55" s="1"/>
  <c r="C113" i="55"/>
  <c r="B113" i="55"/>
  <c r="Q112" i="55"/>
  <c r="P112" i="55"/>
  <c r="S112" i="55" s="1"/>
  <c r="J112" i="55"/>
  <c r="R112" i="55" s="1"/>
  <c r="I112" i="55"/>
  <c r="F112" i="55"/>
  <c r="D112" i="55" a="1"/>
  <c r="D112" i="55" s="1"/>
  <c r="C112" i="55"/>
  <c r="B112" i="55"/>
  <c r="Q111" i="55"/>
  <c r="P111" i="55"/>
  <c r="S111" i="55" s="1"/>
  <c r="J111" i="55"/>
  <c r="R111" i="55" s="1"/>
  <c r="I111" i="55"/>
  <c r="F111" i="55"/>
  <c r="D111" i="55" a="1"/>
  <c r="D111" i="55" s="1"/>
  <c r="H111" i="55" s="1"/>
  <c r="C111" i="55"/>
  <c r="B111" i="55"/>
  <c r="Q110" i="55"/>
  <c r="P110" i="55"/>
  <c r="J110" i="55"/>
  <c r="I110" i="55"/>
  <c r="F110" i="55"/>
  <c r="D110" i="55" a="1"/>
  <c r="D110" i="55" s="1"/>
  <c r="H110" i="55" s="1"/>
  <c r="C110" i="55"/>
  <c r="B110" i="55"/>
  <c r="Q109" i="55"/>
  <c r="P109" i="55"/>
  <c r="S109" i="55" s="1"/>
  <c r="J109" i="55"/>
  <c r="R109" i="55" s="1"/>
  <c r="I109" i="55"/>
  <c r="F109" i="55"/>
  <c r="D109" i="55" a="1"/>
  <c r="D109" i="55" s="1"/>
  <c r="G109" i="55" s="1"/>
  <c r="C109" i="55"/>
  <c r="B109" i="55"/>
  <c r="Q108" i="55"/>
  <c r="P108" i="55"/>
  <c r="S108" i="55" s="1"/>
  <c r="J108" i="55"/>
  <c r="R108" i="55" s="1"/>
  <c r="I108" i="55"/>
  <c r="F108" i="55"/>
  <c r="D108" i="55" a="1"/>
  <c r="D108" i="55" s="1"/>
  <c r="C108" i="55"/>
  <c r="B108" i="55"/>
  <c r="Q107" i="55"/>
  <c r="P107" i="55"/>
  <c r="S107" i="55" s="1"/>
  <c r="J107" i="55"/>
  <c r="R107" i="55" s="1"/>
  <c r="I107" i="55"/>
  <c r="F107" i="55"/>
  <c r="D107" i="55" a="1"/>
  <c r="D107" i="55" s="1"/>
  <c r="G107" i="55" s="1"/>
  <c r="C107" i="55"/>
  <c r="B107" i="55"/>
  <c r="Q106" i="55"/>
  <c r="P106" i="55"/>
  <c r="S106" i="55" s="1"/>
  <c r="J106" i="55"/>
  <c r="I106" i="55"/>
  <c r="F106" i="55"/>
  <c r="D106" i="55" a="1"/>
  <c r="D106" i="55" s="1"/>
  <c r="G106" i="55" s="1"/>
  <c r="C106" i="55"/>
  <c r="B106" i="55"/>
  <c r="D86" i="55" a="1"/>
  <c r="D86" i="55" s="1"/>
  <c r="G86" i="55" s="1"/>
  <c r="J86" i="55"/>
  <c r="R86" i="55" s="1"/>
  <c r="B7" i="55"/>
  <c r="T2" i="53"/>
  <c r="R220" i="53"/>
  <c r="M203" i="55" s="1" a="1"/>
  <c r="M203" i="55" s="1"/>
  <c r="O220" i="53"/>
  <c r="K2" i="53"/>
  <c r="I7" i="55"/>
  <c r="I8" i="55"/>
  <c r="AD2" i="53"/>
  <c r="AC2" i="53"/>
  <c r="AB2" i="53"/>
  <c r="AA2" i="53"/>
  <c r="W2" i="53"/>
  <c r="V2" i="53"/>
  <c r="U2" i="53"/>
  <c r="R2" i="53"/>
  <c r="O2" i="53"/>
  <c r="L2" i="53"/>
  <c r="I46" i="55"/>
  <c r="I98" i="55"/>
  <c r="J16" i="55"/>
  <c r="J17" i="55"/>
  <c r="D16" i="55" a="1"/>
  <c r="D16" i="55" s="1"/>
  <c r="H16" i="55" s="1"/>
  <c r="D17" i="55" a="1"/>
  <c r="D17" i="55" s="1"/>
  <c r="H17" i="55" s="1"/>
  <c r="D9" i="55" a="1"/>
  <c r="D9" i="55" s="1"/>
  <c r="H9" i="55" s="1"/>
  <c r="D10" i="55" a="1"/>
  <c r="D10" i="55" s="1"/>
  <c r="H10" i="55" s="1"/>
  <c r="D11" i="55" a="1"/>
  <c r="D11" i="55" s="1"/>
  <c r="H11" i="55" s="1"/>
  <c r="D12" i="55" a="1"/>
  <c r="D12" i="55" s="1"/>
  <c r="H12" i="55" s="1"/>
  <c r="D13" i="55" a="1"/>
  <c r="D13" i="55" s="1"/>
  <c r="D14" i="55" a="1"/>
  <c r="D14" i="55" s="1"/>
  <c r="G14" i="55" s="1"/>
  <c r="D15" i="55" a="1"/>
  <c r="D15" i="55" s="1"/>
  <c r="H15" i="55" s="1"/>
  <c r="D18" i="55" a="1"/>
  <c r="D18" i="55" s="1"/>
  <c r="G18" i="55" s="1"/>
  <c r="D19" i="55" a="1"/>
  <c r="D19" i="55" s="1"/>
  <c r="D20" i="55" a="1"/>
  <c r="D20" i="55" s="1"/>
  <c r="H20" i="55" s="1"/>
  <c r="D21" i="55" a="1"/>
  <c r="D21" i="55" s="1"/>
  <c r="G21" i="55" s="1"/>
  <c r="D22" i="55" a="1"/>
  <c r="D22" i="55" s="1"/>
  <c r="G22" i="55" s="1"/>
  <c r="D23" i="55" a="1"/>
  <c r="D23" i="55" s="1"/>
  <c r="D24" i="55" a="1"/>
  <c r="D24" i="55" s="1"/>
  <c r="H24" i="55" s="1"/>
  <c r="D25" i="55" a="1"/>
  <c r="D25" i="55" s="1"/>
  <c r="G25" i="55" s="1"/>
  <c r="D26" i="55" a="1"/>
  <c r="D26" i="55" s="1"/>
  <c r="H26" i="55" s="1"/>
  <c r="D27" i="55" a="1"/>
  <c r="D27" i="55" s="1"/>
  <c r="G27" i="55" s="1"/>
  <c r="J27" i="55"/>
  <c r="D28" i="55" a="1"/>
  <c r="D28" i="55" s="1"/>
  <c r="G28" i="55" s="1"/>
  <c r="D29" i="55" a="1"/>
  <c r="D29" i="55" s="1"/>
  <c r="D30" i="55" a="1"/>
  <c r="D30" i="55" s="1"/>
  <c r="H30" i="55" s="1"/>
  <c r="D31" i="55" a="1"/>
  <c r="D31" i="55" s="1"/>
  <c r="G31" i="55" s="1"/>
  <c r="D32" i="55" a="1"/>
  <c r="D32" i="55" s="1"/>
  <c r="H32" i="55" s="1"/>
  <c r="D33" i="55" a="1"/>
  <c r="D33" i="55" s="1"/>
  <c r="G33" i="55" s="1"/>
  <c r="D34" i="55" a="1"/>
  <c r="D34" i="55" s="1"/>
  <c r="D35" i="55" a="1"/>
  <c r="D35" i="55" s="1"/>
  <c r="H35" i="55" s="1"/>
  <c r="D36" i="55" a="1"/>
  <c r="D36" i="55" s="1"/>
  <c r="G36" i="55" s="1"/>
  <c r="D37" i="55" a="1"/>
  <c r="D37" i="55" s="1"/>
  <c r="D38" i="55" a="1"/>
  <c r="D38" i="55" s="1"/>
  <c r="J38" i="55"/>
  <c r="D39" i="55" a="1"/>
  <c r="D39" i="55" s="1"/>
  <c r="H39" i="55" s="1"/>
  <c r="D40" i="55" a="1"/>
  <c r="D40" i="55" s="1"/>
  <c r="D41" i="55" a="1"/>
  <c r="D41" i="55" s="1"/>
  <c r="J41" i="55"/>
  <c r="R41" i="55" s="1"/>
  <c r="P41" i="55"/>
  <c r="S41" i="55" s="1"/>
  <c r="D42" i="55" a="1"/>
  <c r="D42" i="55" s="1"/>
  <c r="G42" i="55" s="1"/>
  <c r="D43" i="55" a="1"/>
  <c r="D43" i="55" s="1"/>
  <c r="D44" i="55" a="1"/>
  <c r="D44" i="55" s="1"/>
  <c r="G44" i="55" s="1"/>
  <c r="D45" i="55" a="1"/>
  <c r="D45" i="55" s="1"/>
  <c r="H45" i="55" s="1"/>
  <c r="J45" i="55"/>
  <c r="D46" i="55" a="1"/>
  <c r="D46" i="55" s="1"/>
  <c r="G46" i="55" s="1"/>
  <c r="D47" i="55" a="1"/>
  <c r="D47" i="55" s="1"/>
  <c r="H47" i="55" s="1"/>
  <c r="J47" i="55"/>
  <c r="D48" i="55" a="1"/>
  <c r="D48" i="55" s="1"/>
  <c r="G48" i="55" s="1"/>
  <c r="J48" i="55"/>
  <c r="D49" i="55" a="1"/>
  <c r="D49" i="55" s="1"/>
  <c r="G49" i="55" s="1"/>
  <c r="D50" i="55" a="1"/>
  <c r="D50" i="55" s="1"/>
  <c r="J50" i="55"/>
  <c r="D51" i="55" a="1"/>
  <c r="D51" i="55" s="1"/>
  <c r="D52" i="55" a="1"/>
  <c r="D52" i="55" s="1"/>
  <c r="G52" i="55" s="1"/>
  <c r="J52" i="55"/>
  <c r="D53" i="55" a="1"/>
  <c r="D53" i="55" s="1"/>
  <c r="G53" i="55" s="1"/>
  <c r="J53" i="55"/>
  <c r="R53" i="55" s="1"/>
  <c r="D54" i="55" a="1"/>
  <c r="D54" i="55" s="1"/>
  <c r="J54" i="55"/>
  <c r="D55" i="55" a="1"/>
  <c r="D55" i="55" s="1"/>
  <c r="J55" i="55"/>
  <c r="R55" i="55" s="1"/>
  <c r="D56" i="55" a="1"/>
  <c r="D56" i="55" s="1"/>
  <c r="H56" i="55" s="1"/>
  <c r="D57" i="55" a="1"/>
  <c r="D57" i="55" s="1"/>
  <c r="H57" i="55" s="1"/>
  <c r="J57" i="55"/>
  <c r="R57" i="55" s="1"/>
  <c r="D58" i="55" a="1"/>
  <c r="D58" i="55" s="1"/>
  <c r="H58" i="55" s="1"/>
  <c r="D59" i="55" a="1"/>
  <c r="D59" i="55" s="1"/>
  <c r="D60" i="55" a="1"/>
  <c r="D60" i="55" s="1"/>
  <c r="D61" i="55" a="1"/>
  <c r="D61" i="55" s="1"/>
  <c r="H61" i="55" s="1"/>
  <c r="D62" i="55" a="1"/>
  <c r="D62" i="55" s="1"/>
  <c r="H62" i="55" s="1"/>
  <c r="D63" i="55" a="1"/>
  <c r="D63" i="55" s="1"/>
  <c r="J63" i="55"/>
  <c r="R63" i="55" s="1"/>
  <c r="D64" i="55" a="1"/>
  <c r="D64" i="55" s="1"/>
  <c r="G64" i="55" s="1"/>
  <c r="D65" i="55" a="1"/>
  <c r="D65" i="55" s="1"/>
  <c r="D66" i="55" a="1"/>
  <c r="D66" i="55" s="1"/>
  <c r="H66" i="55" s="1"/>
  <c r="D67" i="55" a="1"/>
  <c r="D67" i="55" s="1"/>
  <c r="D68" i="55" a="1"/>
  <c r="D68" i="55" s="1"/>
  <c r="H68" i="55" s="1"/>
  <c r="D69" i="55" a="1"/>
  <c r="D69" i="55" s="1"/>
  <c r="H69" i="55" s="1"/>
  <c r="D70" i="55" a="1"/>
  <c r="D70" i="55" s="1"/>
  <c r="G70" i="55" s="1"/>
  <c r="J70" i="55"/>
  <c r="D71" i="55" a="1"/>
  <c r="D71" i="55" s="1"/>
  <c r="H71" i="55" s="1"/>
  <c r="D72" i="55" a="1"/>
  <c r="D72" i="55" s="1"/>
  <c r="H72" i="55" s="1"/>
  <c r="D73" i="55" a="1"/>
  <c r="D73" i="55" s="1"/>
  <c r="H73" i="55" s="1"/>
  <c r="D74" i="55" a="1"/>
  <c r="D74" i="55" s="1"/>
  <c r="H74" i="55" s="1"/>
  <c r="D75" i="55" a="1"/>
  <c r="D75" i="55" s="1"/>
  <c r="H75" i="55" s="1"/>
  <c r="D76" i="55" a="1"/>
  <c r="D76" i="55" s="1"/>
  <c r="G76" i="55" s="1"/>
  <c r="D77" i="55" a="1"/>
  <c r="D77" i="55" s="1"/>
  <c r="H77" i="55" s="1"/>
  <c r="J77" i="55"/>
  <c r="D78" i="55" a="1"/>
  <c r="D78" i="55" s="1"/>
  <c r="G78" i="55" s="1"/>
  <c r="D79" i="55" a="1"/>
  <c r="D79" i="55" s="1"/>
  <c r="D80" i="55" a="1"/>
  <c r="D80" i="55" s="1"/>
  <c r="G80" i="55" s="1"/>
  <c r="D81" i="55" a="1"/>
  <c r="D81" i="55" s="1"/>
  <c r="D82" i="55" a="1"/>
  <c r="D82" i="55" s="1"/>
  <c r="D83" i="55" a="1"/>
  <c r="D83" i="55" s="1"/>
  <c r="H83" i="55" s="1"/>
  <c r="D84" i="55" a="1"/>
  <c r="D84" i="55" s="1"/>
  <c r="H84" i="55" s="1"/>
  <c r="D85" i="55" a="1"/>
  <c r="D85" i="55" s="1"/>
  <c r="D87" i="55" a="1"/>
  <c r="D87" i="55" s="1"/>
  <c r="H87" i="55" s="1"/>
  <c r="D88" i="55" a="1"/>
  <c r="D88" i="55" s="1"/>
  <c r="H88" i="55" s="1"/>
  <c r="D89" i="55" a="1"/>
  <c r="D89" i="55" s="1"/>
  <c r="D90" i="55" a="1"/>
  <c r="D90" i="55" s="1"/>
  <c r="G90" i="55" s="1"/>
  <c r="D91" i="55" a="1"/>
  <c r="D91" i="55" s="1"/>
  <c r="H91" i="55" s="1"/>
  <c r="D92" i="55" a="1"/>
  <c r="D92" i="55" s="1"/>
  <c r="G92" i="55" s="1"/>
  <c r="D93" i="55" a="1"/>
  <c r="D93" i="55" s="1"/>
  <c r="D94" i="55" a="1"/>
  <c r="D94" i="55" s="1"/>
  <c r="D95" i="55" a="1"/>
  <c r="D95" i="55" s="1"/>
  <c r="D96" i="55" a="1"/>
  <c r="D96" i="55" s="1"/>
  <c r="D97" i="55" a="1"/>
  <c r="D97" i="55" s="1"/>
  <c r="D98" i="55" a="1"/>
  <c r="D98" i="55" s="1"/>
  <c r="H98" i="55" s="1"/>
  <c r="D99" i="55" a="1"/>
  <c r="D99" i="55" s="1"/>
  <c r="H99" i="55" s="1"/>
  <c r="D100" i="55" a="1"/>
  <c r="D100" i="55" s="1"/>
  <c r="G100" i="55" s="1"/>
  <c r="D101" i="55" a="1"/>
  <c r="D101" i="55" s="1"/>
  <c r="H101" i="55" s="1"/>
  <c r="D102" i="55" a="1"/>
  <c r="D102" i="55" s="1"/>
  <c r="H102" i="55" s="1"/>
  <c r="J102" i="55"/>
  <c r="D103" i="55" a="1"/>
  <c r="D103" i="55" s="1"/>
  <c r="D104" i="55" a="1"/>
  <c r="D104" i="55" s="1"/>
  <c r="G104" i="55" s="1"/>
  <c r="J104" i="55"/>
  <c r="R104" i="55" s="1"/>
  <c r="D105" i="55" a="1"/>
  <c r="D105" i="55" s="1"/>
  <c r="H105" i="55" s="1"/>
  <c r="Q104" i="55"/>
  <c r="I9" i="55"/>
  <c r="I10" i="55"/>
  <c r="I11" i="55"/>
  <c r="I12" i="55"/>
  <c r="I13" i="55"/>
  <c r="I14" i="55"/>
  <c r="I15" i="55"/>
  <c r="I16" i="55"/>
  <c r="I17" i="55"/>
  <c r="I18" i="55"/>
  <c r="I19" i="55"/>
  <c r="I20" i="55"/>
  <c r="I21" i="55"/>
  <c r="I22" i="55"/>
  <c r="I23" i="55"/>
  <c r="I24" i="55"/>
  <c r="I25" i="55"/>
  <c r="I26" i="55"/>
  <c r="I27" i="55"/>
  <c r="I28" i="55"/>
  <c r="I29" i="55"/>
  <c r="I30" i="55"/>
  <c r="I31" i="55"/>
  <c r="I32" i="55"/>
  <c r="I33" i="55"/>
  <c r="I34" i="55"/>
  <c r="I35" i="55"/>
  <c r="I36" i="55"/>
  <c r="I37" i="55"/>
  <c r="I38" i="55"/>
  <c r="I39" i="55"/>
  <c r="I40" i="55"/>
  <c r="I41" i="55"/>
  <c r="I42" i="55"/>
  <c r="I43" i="55"/>
  <c r="I44" i="55"/>
  <c r="I45" i="55"/>
  <c r="I47" i="55"/>
  <c r="I48" i="55"/>
  <c r="I49" i="55"/>
  <c r="I50" i="55"/>
  <c r="I51" i="55"/>
  <c r="I52" i="55"/>
  <c r="I53" i="55"/>
  <c r="I54" i="55"/>
  <c r="I55" i="55"/>
  <c r="I56" i="55"/>
  <c r="I57" i="55"/>
  <c r="I58" i="55"/>
  <c r="I59" i="55"/>
  <c r="I60" i="55"/>
  <c r="I61" i="55"/>
  <c r="I62" i="55"/>
  <c r="I63" i="55"/>
  <c r="I64" i="55"/>
  <c r="I65" i="55"/>
  <c r="I66" i="55"/>
  <c r="I67" i="55"/>
  <c r="I68" i="55"/>
  <c r="I69" i="55"/>
  <c r="I70" i="55"/>
  <c r="I71" i="55"/>
  <c r="I72" i="55"/>
  <c r="I73" i="55"/>
  <c r="I74" i="55"/>
  <c r="I75" i="55"/>
  <c r="I76" i="55"/>
  <c r="I77" i="55"/>
  <c r="I78" i="55"/>
  <c r="I79" i="55"/>
  <c r="I80" i="55"/>
  <c r="I81" i="55"/>
  <c r="I82" i="55"/>
  <c r="I83" i="55"/>
  <c r="I84" i="55"/>
  <c r="I85" i="55"/>
  <c r="I86" i="55"/>
  <c r="I87" i="55"/>
  <c r="I88" i="55"/>
  <c r="I89" i="55"/>
  <c r="I90" i="55"/>
  <c r="I91" i="55"/>
  <c r="I92" i="55"/>
  <c r="I93" i="55"/>
  <c r="I94" i="55"/>
  <c r="I95" i="55"/>
  <c r="I96" i="55"/>
  <c r="I97" i="55"/>
  <c r="I99" i="55"/>
  <c r="I100" i="55"/>
  <c r="I101" i="55"/>
  <c r="I102" i="55"/>
  <c r="I103" i="55"/>
  <c r="I104" i="55"/>
  <c r="I105" i="55"/>
  <c r="B104" i="55"/>
  <c r="Q9" i="55"/>
  <c r="Q10" i="55"/>
  <c r="Q11" i="55"/>
  <c r="Q12" i="55"/>
  <c r="Q13" i="55"/>
  <c r="Q14" i="55"/>
  <c r="Q15" i="55"/>
  <c r="Q16" i="55"/>
  <c r="Q17" i="55"/>
  <c r="Q18" i="55"/>
  <c r="Q19" i="55"/>
  <c r="Q20" i="55"/>
  <c r="Q21" i="55"/>
  <c r="Q22" i="55"/>
  <c r="Q23" i="55"/>
  <c r="Q24" i="55"/>
  <c r="Q25" i="55"/>
  <c r="Q26" i="55"/>
  <c r="Q27" i="55"/>
  <c r="Q28" i="55"/>
  <c r="Q29" i="55"/>
  <c r="Q30" i="55"/>
  <c r="Q31" i="55"/>
  <c r="Q32" i="55"/>
  <c r="Q33" i="55"/>
  <c r="Q34" i="55"/>
  <c r="Q35" i="55"/>
  <c r="Q36" i="55"/>
  <c r="Q37" i="55"/>
  <c r="Q38" i="55"/>
  <c r="Q39" i="55"/>
  <c r="Q40" i="55"/>
  <c r="Q41" i="55"/>
  <c r="Q42" i="55"/>
  <c r="Q43" i="55"/>
  <c r="Q44" i="55"/>
  <c r="Q45" i="55"/>
  <c r="Q46" i="55"/>
  <c r="Q47" i="55"/>
  <c r="Q48" i="55"/>
  <c r="Q49" i="55"/>
  <c r="Q50" i="55"/>
  <c r="Q51" i="55"/>
  <c r="Q52" i="55"/>
  <c r="Q53" i="55"/>
  <c r="Q54" i="55"/>
  <c r="Q55" i="55"/>
  <c r="Q56" i="55"/>
  <c r="Q57" i="55"/>
  <c r="Q58" i="55"/>
  <c r="Q59" i="55"/>
  <c r="Q60" i="55"/>
  <c r="Q61" i="55"/>
  <c r="Q62" i="55"/>
  <c r="Q63" i="55"/>
  <c r="Q64" i="55"/>
  <c r="Q65" i="55"/>
  <c r="Q66" i="55"/>
  <c r="Q67" i="55"/>
  <c r="Q68" i="55"/>
  <c r="Q69" i="55"/>
  <c r="Q70" i="55"/>
  <c r="Q71" i="55"/>
  <c r="Q72" i="55"/>
  <c r="Q73" i="55"/>
  <c r="Q74" i="55"/>
  <c r="Q75" i="55"/>
  <c r="Q76" i="55"/>
  <c r="Q77" i="55"/>
  <c r="Q78" i="55"/>
  <c r="Q79" i="55"/>
  <c r="Q80" i="55"/>
  <c r="Q81" i="55"/>
  <c r="Q82" i="55"/>
  <c r="Q83" i="55"/>
  <c r="Q84" i="55"/>
  <c r="Q85" i="55"/>
  <c r="Q86" i="55"/>
  <c r="Q87" i="55"/>
  <c r="Q88" i="55"/>
  <c r="Q89" i="55"/>
  <c r="Q90" i="55"/>
  <c r="Q91" i="55"/>
  <c r="Q92" i="55"/>
  <c r="Q93" i="55"/>
  <c r="Q94" i="55"/>
  <c r="Q95" i="55"/>
  <c r="Q96" i="55"/>
  <c r="Q97" i="55"/>
  <c r="Q98" i="55"/>
  <c r="Q99" i="55"/>
  <c r="Q100" i="55"/>
  <c r="Q101" i="55"/>
  <c r="Q102" i="55"/>
  <c r="Q103" i="55"/>
  <c r="Q105" i="55"/>
  <c r="Q8" i="55"/>
  <c r="Q7" i="55"/>
  <c r="P13" i="55"/>
  <c r="S13" i="55" s="1"/>
  <c r="J13" i="55"/>
  <c r="R13" i="55" s="1"/>
  <c r="P18" i="55"/>
  <c r="S18" i="55" s="1"/>
  <c r="P19" i="55"/>
  <c r="S19" i="55" s="1"/>
  <c r="J19" i="55"/>
  <c r="P20" i="55"/>
  <c r="S20" i="55" s="1"/>
  <c r="J20" i="55"/>
  <c r="R20" i="55" s="1"/>
  <c r="P21" i="55"/>
  <c r="S21" i="55" s="1"/>
  <c r="J21" i="55"/>
  <c r="P22" i="55"/>
  <c r="S22" i="55" s="1"/>
  <c r="P32" i="55"/>
  <c r="P35" i="55"/>
  <c r="S35" i="55" s="1"/>
  <c r="P39" i="55"/>
  <c r="S39" i="55" s="1"/>
  <c r="P42" i="55"/>
  <c r="S42" i="55" s="1"/>
  <c r="P51" i="55"/>
  <c r="J51" i="55"/>
  <c r="P55" i="55"/>
  <c r="S55" i="55" s="1"/>
  <c r="P60" i="55"/>
  <c r="S60" i="55" s="1"/>
  <c r="P64" i="55"/>
  <c r="S64" i="55" s="1"/>
  <c r="J64" i="55"/>
  <c r="R64" i="55" s="1"/>
  <c r="P80" i="55"/>
  <c r="S80" i="55" s="1"/>
  <c r="J9" i="55"/>
  <c r="J10" i="55"/>
  <c r="J11" i="55"/>
  <c r="R11" i="55" s="1"/>
  <c r="P11" i="55"/>
  <c r="S11" i="55" s="1"/>
  <c r="J12" i="55"/>
  <c r="J14" i="55"/>
  <c r="J15" i="55"/>
  <c r="R15" i="55" s="1"/>
  <c r="J18" i="55"/>
  <c r="J22" i="55"/>
  <c r="J23" i="55"/>
  <c r="R23" i="55" s="1"/>
  <c r="J24" i="55"/>
  <c r="J25" i="55"/>
  <c r="J26" i="55"/>
  <c r="R26" i="55" s="1"/>
  <c r="P26" i="55"/>
  <c r="S26" i="55" s="1"/>
  <c r="J28" i="55"/>
  <c r="R28" i="55" s="1"/>
  <c r="J29" i="55"/>
  <c r="R29" i="55" s="1"/>
  <c r="J30" i="55"/>
  <c r="R30" i="55" s="1"/>
  <c r="J31" i="55"/>
  <c r="R31" i="55" s="1"/>
  <c r="J32" i="55"/>
  <c r="J33" i="55"/>
  <c r="P33" i="55"/>
  <c r="S33" i="55" s="1"/>
  <c r="J34" i="55"/>
  <c r="J35" i="55"/>
  <c r="R35" i="55" s="1"/>
  <c r="J36" i="55"/>
  <c r="R36" i="55" s="1"/>
  <c r="J37" i="55"/>
  <c r="R37" i="55" s="1"/>
  <c r="J39" i="55"/>
  <c r="R39" i="55" s="1"/>
  <c r="J40" i="55"/>
  <c r="J42" i="55"/>
  <c r="J43" i="55"/>
  <c r="R43" i="55" s="1"/>
  <c r="J44" i="55"/>
  <c r="R44" i="55" s="1"/>
  <c r="J46" i="55"/>
  <c r="R46" i="55" s="1"/>
  <c r="J49" i="55"/>
  <c r="P52" i="55"/>
  <c r="P53" i="55"/>
  <c r="S53" i="55" s="1"/>
  <c r="J56" i="55"/>
  <c r="R56" i="55" s="1"/>
  <c r="P57" i="55"/>
  <c r="S57" i="55" s="1"/>
  <c r="J58" i="55"/>
  <c r="R58" i="55" s="1"/>
  <c r="J59" i="55"/>
  <c r="R59" i="55" s="1"/>
  <c r="P59" i="55"/>
  <c r="S59" i="55" s="1"/>
  <c r="J60" i="55"/>
  <c r="R60" i="55" s="1"/>
  <c r="J61" i="55"/>
  <c r="R61" i="55" s="1"/>
  <c r="J62" i="55"/>
  <c r="R62" i="55" s="1"/>
  <c r="P62" i="55"/>
  <c r="S62" i="55" s="1"/>
  <c r="J65" i="55"/>
  <c r="R65" i="55" s="1"/>
  <c r="J66" i="55"/>
  <c r="P66" i="55"/>
  <c r="S66" i="55" s="1"/>
  <c r="J67" i="55"/>
  <c r="R67" i="55" s="1"/>
  <c r="J68" i="55"/>
  <c r="R68" i="55" s="1"/>
  <c r="J69" i="55"/>
  <c r="J71" i="55"/>
  <c r="R71" i="55" s="1"/>
  <c r="J72" i="55"/>
  <c r="J73" i="55"/>
  <c r="J74" i="55"/>
  <c r="R74" i="55" s="1"/>
  <c r="J75" i="55"/>
  <c r="J76" i="55"/>
  <c r="R76" i="55" s="1"/>
  <c r="J78" i="55"/>
  <c r="J79" i="55"/>
  <c r="J80" i="55"/>
  <c r="J81" i="55"/>
  <c r="J82" i="55"/>
  <c r="R82" i="55" s="1"/>
  <c r="J83" i="55"/>
  <c r="P83" i="55"/>
  <c r="J84" i="55"/>
  <c r="R84" i="55" s="1"/>
  <c r="J85" i="55"/>
  <c r="J87" i="55"/>
  <c r="R87" i="55" s="1"/>
  <c r="J88" i="55"/>
  <c r="R88" i="55" s="1"/>
  <c r="J89" i="55"/>
  <c r="J90" i="55"/>
  <c r="P90" i="55"/>
  <c r="S90" i="55" s="1"/>
  <c r="J91" i="55"/>
  <c r="J92" i="55"/>
  <c r="P92" i="55"/>
  <c r="J93" i="55"/>
  <c r="R93" i="55" s="1"/>
  <c r="P93" i="55"/>
  <c r="S93" i="55" s="1"/>
  <c r="J94" i="55"/>
  <c r="J95" i="55"/>
  <c r="R95" i="55" s="1"/>
  <c r="J96" i="55"/>
  <c r="R96" i="55" s="1"/>
  <c r="J97" i="55"/>
  <c r="J98" i="55"/>
  <c r="R98" i="55" s="1"/>
  <c r="J99" i="55"/>
  <c r="J100" i="55"/>
  <c r="P100" i="55"/>
  <c r="J101" i="55"/>
  <c r="J103" i="55"/>
  <c r="R103" i="55" s="1"/>
  <c r="J105" i="55"/>
  <c r="J8" i="55"/>
  <c r="P8" i="55"/>
  <c r="S8" i="55" s="1"/>
  <c r="J7" i="55"/>
  <c r="D8" i="55" a="1"/>
  <c r="D8" i="55" s="1"/>
  <c r="H8" i="55" s="1"/>
  <c r="D7" i="55" a="1"/>
  <c r="D7" i="55" s="1"/>
  <c r="B13" i="55"/>
  <c r="B14" i="55"/>
  <c r="B15" i="55"/>
  <c r="B16" i="55"/>
  <c r="B17" i="55"/>
  <c r="B18" i="55"/>
  <c r="B19" i="55"/>
  <c r="B20" i="55"/>
  <c r="B21" i="55"/>
  <c r="B22" i="55"/>
  <c r="B23" i="55"/>
  <c r="B24" i="55"/>
  <c r="B25" i="55"/>
  <c r="B26" i="55"/>
  <c r="B27" i="55"/>
  <c r="B28" i="55"/>
  <c r="B29" i="55"/>
  <c r="B30" i="55"/>
  <c r="B31" i="55"/>
  <c r="B32" i="55"/>
  <c r="B33" i="55"/>
  <c r="B34" i="55"/>
  <c r="B35" i="55"/>
  <c r="B36" i="55"/>
  <c r="B37" i="55"/>
  <c r="B38" i="55"/>
  <c r="B39" i="55"/>
  <c r="B41" i="55"/>
  <c r="B42" i="55"/>
  <c r="B43" i="55"/>
  <c r="B44" i="55"/>
  <c r="B45" i="55"/>
  <c r="B46" i="55"/>
  <c r="B47" i="55"/>
  <c r="B48" i="55"/>
  <c r="B49" i="55"/>
  <c r="B50" i="55"/>
  <c r="B51" i="55"/>
  <c r="B52" i="55"/>
  <c r="B53" i="55"/>
  <c r="B54" i="55"/>
  <c r="B55" i="55"/>
  <c r="B56" i="55"/>
  <c r="B57" i="55"/>
  <c r="B58" i="55"/>
  <c r="B59" i="55"/>
  <c r="B60" i="55"/>
  <c r="B61" i="55"/>
  <c r="B62" i="55"/>
  <c r="B63" i="55"/>
  <c r="B64" i="55"/>
  <c r="B65" i="55"/>
  <c r="B66" i="55"/>
  <c r="B67" i="55"/>
  <c r="B68" i="55"/>
  <c r="B69" i="55"/>
  <c r="B70" i="55"/>
  <c r="B71" i="55"/>
  <c r="B72" i="55"/>
  <c r="B73" i="55"/>
  <c r="B74" i="55"/>
  <c r="B75" i="55"/>
  <c r="B76" i="55"/>
  <c r="B77" i="55"/>
  <c r="B78" i="55"/>
  <c r="B79" i="55"/>
  <c r="B80" i="55"/>
  <c r="B81" i="55"/>
  <c r="B82" i="55"/>
  <c r="B83" i="55"/>
  <c r="B84" i="55"/>
  <c r="B85" i="55"/>
  <c r="B86" i="55"/>
  <c r="B87" i="55"/>
  <c r="B88" i="55"/>
  <c r="B89" i="55"/>
  <c r="B90" i="55"/>
  <c r="B91" i="55"/>
  <c r="B92" i="55"/>
  <c r="B93" i="55"/>
  <c r="B94" i="55"/>
  <c r="B95" i="55"/>
  <c r="B96" i="55"/>
  <c r="B97" i="55"/>
  <c r="B98" i="55"/>
  <c r="B99" i="55"/>
  <c r="B100" i="55"/>
  <c r="B101" i="55"/>
  <c r="B102" i="55"/>
  <c r="B103" i="55"/>
  <c r="B105" i="55"/>
  <c r="B9" i="55"/>
  <c r="B10" i="55"/>
  <c r="B11" i="55"/>
  <c r="B12" i="55"/>
  <c r="B8" i="55"/>
  <c r="T220" i="53"/>
  <c r="K220" i="53"/>
  <c r="F105" i="55"/>
  <c r="C105" i="55"/>
  <c r="F104" i="55"/>
  <c r="C104" i="55"/>
  <c r="C7" i="55"/>
  <c r="F14" i="55"/>
  <c r="F16" i="55"/>
  <c r="F22" i="55"/>
  <c r="F24" i="55"/>
  <c r="F30" i="55"/>
  <c r="F32" i="55"/>
  <c r="F38" i="55"/>
  <c r="F40" i="55"/>
  <c r="F46" i="55"/>
  <c r="F48" i="55"/>
  <c r="F54" i="55"/>
  <c r="F56" i="55"/>
  <c r="F62" i="55"/>
  <c r="F64" i="55"/>
  <c r="F70" i="55"/>
  <c r="F72" i="55"/>
  <c r="F78" i="55"/>
  <c r="F80" i="55"/>
  <c r="F86" i="55"/>
  <c r="F88" i="55"/>
  <c r="F94" i="55"/>
  <c r="F96" i="55"/>
  <c r="F102" i="55"/>
  <c r="F8" i="55"/>
  <c r="M3" i="52"/>
  <c r="F9" i="55"/>
  <c r="F10" i="55"/>
  <c r="F11" i="55"/>
  <c r="F12" i="55"/>
  <c r="F13" i="55"/>
  <c r="F15" i="55"/>
  <c r="F17" i="55"/>
  <c r="F18" i="55"/>
  <c r="F19" i="55"/>
  <c r="F20" i="55"/>
  <c r="F21" i="55"/>
  <c r="F23" i="55"/>
  <c r="F25" i="55"/>
  <c r="F26" i="55"/>
  <c r="F27" i="55"/>
  <c r="F28" i="55"/>
  <c r="F29" i="55"/>
  <c r="F31" i="55"/>
  <c r="F33" i="55"/>
  <c r="F34" i="55"/>
  <c r="F35" i="55"/>
  <c r="F36" i="55"/>
  <c r="F37" i="55"/>
  <c r="F39" i="55"/>
  <c r="F41" i="55"/>
  <c r="F42" i="55"/>
  <c r="F43" i="55"/>
  <c r="F44" i="55"/>
  <c r="F45" i="55"/>
  <c r="F47" i="55"/>
  <c r="F49" i="55"/>
  <c r="F50" i="55"/>
  <c r="F51" i="55"/>
  <c r="F52" i="55"/>
  <c r="F53" i="55"/>
  <c r="F55" i="55"/>
  <c r="F57" i="55"/>
  <c r="F58" i="55"/>
  <c r="F59" i="55"/>
  <c r="F60" i="55"/>
  <c r="F61" i="55"/>
  <c r="F63" i="55"/>
  <c r="F65" i="55"/>
  <c r="F66" i="55"/>
  <c r="F67" i="55"/>
  <c r="F68" i="55"/>
  <c r="F69" i="55"/>
  <c r="F71" i="55"/>
  <c r="F73" i="55"/>
  <c r="F74" i="55"/>
  <c r="F75" i="55"/>
  <c r="F76" i="55"/>
  <c r="F77" i="55"/>
  <c r="F79" i="55"/>
  <c r="F81" i="55"/>
  <c r="F82" i="55"/>
  <c r="F83" i="55"/>
  <c r="F84" i="55"/>
  <c r="F85" i="55"/>
  <c r="F87" i="55"/>
  <c r="F89" i="55"/>
  <c r="F90" i="55"/>
  <c r="F91" i="55"/>
  <c r="F92" i="55"/>
  <c r="F93" i="55"/>
  <c r="F95" i="55"/>
  <c r="F97" i="55"/>
  <c r="F98" i="55"/>
  <c r="F99" i="55"/>
  <c r="F100" i="55"/>
  <c r="F101" i="55"/>
  <c r="F103" i="55"/>
  <c r="C15" i="55"/>
  <c r="C16" i="55"/>
  <c r="C17" i="55"/>
  <c r="C18" i="55"/>
  <c r="C19" i="55"/>
  <c r="C20" i="55"/>
  <c r="C21" i="55"/>
  <c r="C22" i="55"/>
  <c r="C23" i="55"/>
  <c r="C24" i="55"/>
  <c r="C25" i="55"/>
  <c r="C26" i="55"/>
  <c r="C27" i="55"/>
  <c r="C28" i="55"/>
  <c r="C29" i="55"/>
  <c r="C30" i="55"/>
  <c r="C31" i="55"/>
  <c r="C32" i="55"/>
  <c r="C33" i="55"/>
  <c r="C34" i="55"/>
  <c r="C35" i="55"/>
  <c r="C36" i="55"/>
  <c r="C37" i="55"/>
  <c r="C38" i="55"/>
  <c r="C39" i="55"/>
  <c r="C41" i="55"/>
  <c r="C42" i="55"/>
  <c r="C43" i="55"/>
  <c r="C44" i="55"/>
  <c r="C45" i="55"/>
  <c r="C46" i="55"/>
  <c r="C47" i="55"/>
  <c r="C48" i="55"/>
  <c r="C49" i="55"/>
  <c r="C50" i="55"/>
  <c r="C51" i="55"/>
  <c r="C52" i="55"/>
  <c r="C53" i="55"/>
  <c r="C54" i="55"/>
  <c r="C55" i="55"/>
  <c r="C56" i="55"/>
  <c r="C57" i="55"/>
  <c r="C58" i="55"/>
  <c r="C59" i="55"/>
  <c r="C60" i="55"/>
  <c r="C61" i="55"/>
  <c r="C62" i="55"/>
  <c r="C63" i="55"/>
  <c r="C64" i="55"/>
  <c r="C65" i="55"/>
  <c r="C66" i="55"/>
  <c r="C67" i="55"/>
  <c r="C68" i="55"/>
  <c r="C69" i="55"/>
  <c r="C70" i="55"/>
  <c r="C71" i="55"/>
  <c r="C72" i="55"/>
  <c r="C73" i="55"/>
  <c r="C74" i="55"/>
  <c r="C75" i="55"/>
  <c r="C76" i="55"/>
  <c r="C77" i="55"/>
  <c r="C78" i="55"/>
  <c r="C79" i="55"/>
  <c r="C80" i="55"/>
  <c r="C81" i="55"/>
  <c r="C82" i="55"/>
  <c r="C83" i="55"/>
  <c r="C84" i="55"/>
  <c r="C85" i="55"/>
  <c r="C86" i="55"/>
  <c r="C87" i="55"/>
  <c r="C88" i="55"/>
  <c r="C89" i="55"/>
  <c r="C90" i="55"/>
  <c r="C91" i="55"/>
  <c r="C92" i="55"/>
  <c r="C93" i="55"/>
  <c r="C94" i="55"/>
  <c r="C95" i="55"/>
  <c r="C96" i="55"/>
  <c r="C97" i="55"/>
  <c r="C98" i="55"/>
  <c r="C99" i="55"/>
  <c r="C100" i="55"/>
  <c r="C101" i="55"/>
  <c r="C102" i="55"/>
  <c r="C103" i="55"/>
  <c r="C9" i="55"/>
  <c r="C10" i="55"/>
  <c r="C11" i="55"/>
  <c r="C12" i="55"/>
  <c r="C13" i="55"/>
  <c r="C14" i="55"/>
  <c r="C8" i="55"/>
  <c r="M13" i="52"/>
  <c r="M12" i="52"/>
  <c r="M11" i="52"/>
  <c r="M10" i="52"/>
  <c r="M9" i="52"/>
  <c r="M8" i="52"/>
  <c r="M7" i="52"/>
  <c r="M6" i="52"/>
  <c r="M5" i="52"/>
  <c r="M4" i="52"/>
  <c r="AD220" i="53"/>
  <c r="AC220" i="53"/>
  <c r="AB220" i="53"/>
  <c r="AA220" i="53"/>
  <c r="W220" i="53"/>
  <c r="V220" i="53"/>
  <c r="U220" i="53"/>
  <c r="S198" i="53"/>
  <c r="S197" i="53"/>
  <c r="S196" i="53"/>
  <c r="S195" i="53"/>
  <c r="S194" i="53"/>
  <c r="S193" i="53"/>
  <c r="S192" i="53"/>
  <c r="S191" i="53"/>
  <c r="S190" i="53"/>
  <c r="S189" i="53"/>
  <c r="S188" i="53"/>
  <c r="S187" i="53"/>
  <c r="S186" i="53"/>
  <c r="S185" i="53"/>
  <c r="S184" i="53"/>
  <c r="S183" i="53"/>
  <c r="S182" i="53"/>
  <c r="S181" i="53"/>
  <c r="S180" i="53"/>
  <c r="S179" i="53"/>
  <c r="S178" i="53"/>
  <c r="S177" i="53"/>
  <c r="S176" i="53"/>
  <c r="S175" i="53"/>
  <c r="S174" i="53"/>
  <c r="S173" i="53"/>
  <c r="S172" i="53"/>
  <c r="S171" i="53"/>
  <c r="S170" i="53"/>
  <c r="S169" i="53"/>
  <c r="S168" i="53"/>
  <c r="S167" i="53"/>
  <c r="S166" i="53"/>
  <c r="S165" i="53"/>
  <c r="S164" i="53"/>
  <c r="S163" i="53"/>
  <c r="S162" i="53"/>
  <c r="S161" i="53"/>
  <c r="S160" i="53"/>
  <c r="S159" i="53"/>
  <c r="S157" i="53"/>
  <c r="S156" i="53"/>
  <c r="S155" i="53"/>
  <c r="S154" i="53"/>
  <c r="S153" i="53"/>
  <c r="S152" i="53"/>
  <c r="S151" i="53"/>
  <c r="S150" i="53"/>
  <c r="S149" i="53"/>
  <c r="S148" i="53"/>
  <c r="S147" i="53"/>
  <c r="P94" i="55"/>
  <c r="S94" i="55" s="1"/>
  <c r="P56" i="55"/>
  <c r="S56" i="55" s="1"/>
  <c r="P54" i="55"/>
  <c r="P38" i="55"/>
  <c r="S38" i="55" s="1"/>
  <c r="P31" i="55"/>
  <c r="S31" i="55" s="1"/>
  <c r="P99" i="55"/>
  <c r="S99" i="55" s="1"/>
  <c r="P58" i="55"/>
  <c r="Z198" i="53"/>
  <c r="Z197" i="53"/>
  <c r="Z196" i="53"/>
  <c r="Z195" i="53"/>
  <c r="Z194" i="53"/>
  <c r="Z193" i="53"/>
  <c r="Z192" i="53"/>
  <c r="Z191" i="53"/>
  <c r="Z190" i="53"/>
  <c r="Z189" i="53"/>
  <c r="Z188" i="53"/>
  <c r="Z187" i="53"/>
  <c r="Z186" i="53"/>
  <c r="Z185" i="53"/>
  <c r="Z184" i="53"/>
  <c r="Z183" i="53"/>
  <c r="P9" i="55"/>
  <c r="S9" i="55" s="1"/>
  <c r="Z182" i="53"/>
  <c r="Z181" i="53"/>
  <c r="Z180" i="53"/>
  <c r="Z179" i="53"/>
  <c r="Z178" i="53"/>
  <c r="Z177" i="53"/>
  <c r="Z176" i="53"/>
  <c r="Z175" i="53"/>
  <c r="Z174" i="53"/>
  <c r="Z173" i="53"/>
  <c r="Z172" i="53"/>
  <c r="P95" i="55"/>
  <c r="S95" i="55" s="1"/>
  <c r="Z171" i="53"/>
  <c r="Z170" i="53"/>
  <c r="Z169" i="53"/>
  <c r="Z168" i="53"/>
  <c r="Z167" i="53"/>
  <c r="Z166" i="53"/>
  <c r="Z165" i="53"/>
  <c r="Z164" i="53"/>
  <c r="Z163" i="53"/>
  <c r="Z162" i="53"/>
  <c r="Z161" i="53"/>
  <c r="Z160" i="53"/>
  <c r="Z159" i="53"/>
  <c r="Z157" i="53"/>
  <c r="P70" i="55"/>
  <c r="S70" i="55" s="1"/>
  <c r="Z156" i="53"/>
  <c r="Z155" i="53"/>
  <c r="Z154" i="53"/>
  <c r="Z153" i="53"/>
  <c r="Z152" i="53"/>
  <c r="Z151" i="53"/>
  <c r="Z150" i="53"/>
  <c r="Z149" i="53"/>
  <c r="Z148" i="53"/>
  <c r="Z147" i="53"/>
  <c r="P24" i="55"/>
  <c r="S24" i="55" s="1"/>
  <c r="P82" i="55"/>
  <c r="S82" i="55" s="1"/>
  <c r="P81" i="55"/>
  <c r="S81" i="55" s="1"/>
  <c r="P46" i="55"/>
  <c r="P14" i="55"/>
  <c r="S14" i="55" s="1"/>
  <c r="C7" i="26"/>
  <c r="D7" i="26"/>
  <c r="D6" i="26" s="1"/>
  <c r="C9" i="26"/>
  <c r="D9" i="26" s="1"/>
  <c r="E9" i="26"/>
  <c r="F9" i="26"/>
  <c r="G9" i="26"/>
  <c r="H9" i="26" s="1"/>
  <c r="I9" i="26" s="1"/>
  <c r="J9" i="26" s="1"/>
  <c r="K9" i="26" s="1"/>
  <c r="L9" i="26" s="1"/>
  <c r="M9" i="26" s="1"/>
  <c r="N9" i="26" s="1"/>
  <c r="O9" i="26" s="1"/>
  <c r="P9" i="26" s="1"/>
  <c r="Q9" i="26" s="1"/>
  <c r="R9" i="26" s="1"/>
  <c r="S9" i="26" s="1"/>
  <c r="T9" i="26" s="1"/>
  <c r="U9" i="26" s="1"/>
  <c r="V9" i="26" s="1"/>
  <c r="W9" i="26" s="1"/>
  <c r="X9" i="26" s="1"/>
  <c r="Y9" i="26" s="1"/>
  <c r="Z9" i="26" s="1"/>
  <c r="AA9" i="26" s="1"/>
  <c r="AB9" i="26" s="1"/>
  <c r="AC9" i="26" s="1"/>
  <c r="AD9" i="26" s="1"/>
  <c r="AE9" i="26" s="1"/>
  <c r="AF9" i="26" s="1"/>
  <c r="AG9" i="26" s="1"/>
  <c r="AH9" i="26" s="1"/>
  <c r="AI9" i="26" s="1"/>
  <c r="AJ9" i="26" s="1"/>
  <c r="AK9" i="26" s="1"/>
  <c r="AL9" i="26" s="1"/>
  <c r="AM9" i="26" s="1"/>
  <c r="C4" i="26"/>
  <c r="D4" i="26"/>
  <c r="E4" i="26" s="1"/>
  <c r="F4" i="26" s="1"/>
  <c r="G4" i="26" s="1"/>
  <c r="H4" i="26" s="1"/>
  <c r="I4" i="26" s="1"/>
  <c r="J4" i="26" s="1"/>
  <c r="K4" i="26" s="1"/>
  <c r="L4" i="26" s="1"/>
  <c r="M4" i="26" s="1"/>
  <c r="N4" i="26" s="1"/>
  <c r="O4" i="26" s="1"/>
  <c r="P4" i="26" s="1"/>
  <c r="Q4" i="26" s="1"/>
  <c r="R4" i="26" s="1"/>
  <c r="S4" i="26" s="1"/>
  <c r="T4" i="26" s="1"/>
  <c r="U4" i="26" s="1"/>
  <c r="V4" i="26" s="1"/>
  <c r="W4" i="26" s="1"/>
  <c r="X4" i="26" s="1"/>
  <c r="Y4" i="26" s="1"/>
  <c r="Z4" i="26" s="1"/>
  <c r="AA4" i="26" s="1"/>
  <c r="AB4" i="26" s="1"/>
  <c r="AC4" i="26" s="1"/>
  <c r="AD4" i="26" s="1"/>
  <c r="AE4" i="26" s="1"/>
  <c r="AF4" i="26" s="1"/>
  <c r="AG4" i="26" s="1"/>
  <c r="AH4" i="26" s="1"/>
  <c r="AI4" i="26" s="1"/>
  <c r="AJ4" i="26" s="1"/>
  <c r="AK4" i="26" s="1"/>
  <c r="AL4" i="26" s="1"/>
  <c r="AM4" i="26" s="1"/>
  <c r="F2" i="26"/>
  <c r="D2" i="26"/>
  <c r="E2" i="26"/>
  <c r="J14" i="26" s="1"/>
  <c r="F7" i="55"/>
  <c r="P88" i="55"/>
  <c r="P73" i="55"/>
  <c r="S73" i="55" s="1"/>
  <c r="P34" i="55"/>
  <c r="S34" i="55" s="1"/>
  <c r="P102" i="55"/>
  <c r="P105" i="55"/>
  <c r="S105" i="55" s="1"/>
  <c r="P63" i="55"/>
  <c r="S63" i="55" s="1"/>
  <c r="P67" i="55"/>
  <c r="S67" i="55" s="1"/>
  <c r="P79" i="55"/>
  <c r="S79" i="55" s="1"/>
  <c r="P37" i="55"/>
  <c r="S37" i="55" s="1"/>
  <c r="P71" i="55"/>
  <c r="S71" i="55" s="1"/>
  <c r="P69" i="55"/>
  <c r="S69" i="55" s="1"/>
  <c r="P40" i="55"/>
  <c r="S40" i="55" s="1"/>
  <c r="P49" i="55"/>
  <c r="S49" i="55" s="1"/>
  <c r="P65" i="55"/>
  <c r="S65" i="55" s="1"/>
  <c r="P50" i="55"/>
  <c r="P15" i="55"/>
  <c r="S15" i="55" s="1"/>
  <c r="P87" i="55"/>
  <c r="P48" i="55"/>
  <c r="S48" i="55" s="1"/>
  <c r="P74" i="55"/>
  <c r="S74" i="55" s="1"/>
  <c r="P61" i="55"/>
  <c r="S61" i="55" s="1"/>
  <c r="P10" i="55"/>
  <c r="S10" i="55" s="1"/>
  <c r="P78" i="55"/>
  <c r="S78" i="55" s="1"/>
  <c r="P27" i="55"/>
  <c r="S27" i="55" s="1"/>
  <c r="P28" i="55"/>
  <c r="S28" i="55" s="1"/>
  <c r="P104" i="55"/>
  <c r="S104" i="55" s="1"/>
  <c r="P97" i="55"/>
  <c r="S97" i="55" s="1"/>
  <c r="P23" i="55"/>
  <c r="S23" i="55" s="1"/>
  <c r="P44" i="55"/>
  <c r="S44" i="55" s="1"/>
  <c r="P7" i="55"/>
  <c r="S7" i="55" s="1"/>
  <c r="P103" i="55"/>
  <c r="S103" i="55" s="1"/>
  <c r="P77" i="55"/>
  <c r="S77" i="55" s="1"/>
  <c r="P96" i="55"/>
  <c r="S96" i="55" s="1"/>
  <c r="P30" i="55"/>
  <c r="S30" i="55" s="1"/>
  <c r="P89" i="55"/>
  <c r="S89" i="55" s="1"/>
  <c r="P45" i="55"/>
  <c r="P68" i="55"/>
  <c r="S68" i="55" s="1"/>
  <c r="P86" i="55"/>
  <c r="S86" i="55" s="1"/>
  <c r="P36" i="55"/>
  <c r="S36" i="55" s="1"/>
  <c r="P47" i="55"/>
  <c r="P25" i="55"/>
  <c r="S25" i="55" s="1"/>
  <c r="P91" i="55"/>
  <c r="S91" i="55" s="1"/>
  <c r="P17" i="55"/>
  <c r="S17" i="55" s="1"/>
  <c r="P16" i="55"/>
  <c r="S16" i="55" s="1"/>
  <c r="P29" i="55"/>
  <c r="S29" i="55" s="1"/>
  <c r="P76" i="55"/>
  <c r="S76" i="55" s="1"/>
  <c r="P72" i="55"/>
  <c r="S72" i="55" s="1"/>
  <c r="P101" i="55"/>
  <c r="P98" i="55"/>
  <c r="S98" i="55" s="1"/>
  <c r="P43" i="55"/>
  <c r="P85" i="55"/>
  <c r="S85" i="55" s="1"/>
  <c r="P84" i="55"/>
  <c r="P75" i="55"/>
  <c r="S75" i="55" s="1"/>
  <c r="P12" i="55"/>
  <c r="S12" i="55" s="1"/>
  <c r="J2" i="55"/>
  <c r="AI12" i="26"/>
  <c r="G211" i="55"/>
  <c r="I12" i="26"/>
  <c r="H228" i="55"/>
  <c r="H240" i="55"/>
  <c r="G164" i="55"/>
  <c r="H254" i="55"/>
  <c r="E7" i="26"/>
  <c r="F7" i="26" s="1"/>
  <c r="L14" i="26"/>
  <c r="T14" i="26"/>
  <c r="N14" i="26"/>
  <c r="G239" i="55"/>
  <c r="M127" i="55" a="1"/>
  <c r="M127" i="55" s="1"/>
  <c r="O127" i="55" s="1"/>
  <c r="T236" i="55"/>
  <c r="H156" i="55"/>
  <c r="T226" i="55"/>
  <c r="H213" i="55"/>
  <c r="R227" i="55"/>
  <c r="T227" i="55" s="1"/>
  <c r="G253" i="55"/>
  <c r="H253" i="55"/>
  <c r="G219" i="55"/>
  <c r="H211" i="55"/>
  <c r="G237" i="55"/>
  <c r="H147" i="55"/>
  <c r="O12" i="26"/>
  <c r="D12" i="26"/>
  <c r="W12" i="26"/>
  <c r="AE12" i="26"/>
  <c r="I14" i="26"/>
  <c r="R14" i="26"/>
  <c r="AJ12" i="26"/>
  <c r="N12" i="26"/>
  <c r="Y14" i="26"/>
  <c r="AK12" i="26"/>
  <c r="AC14" i="26"/>
  <c r="Q12" i="26"/>
  <c r="AC12" i="26"/>
  <c r="AF14" i="26"/>
  <c r="AL14" i="26"/>
  <c r="AI14" i="26"/>
  <c r="AL12" i="26"/>
  <c r="M14" i="26"/>
  <c r="Z14" i="26"/>
  <c r="L12" i="26"/>
  <c r="U14" i="26"/>
  <c r="AB14" i="26"/>
  <c r="P14" i="26"/>
  <c r="B6" i="26"/>
  <c r="AD14" i="26"/>
  <c r="V12" i="26"/>
  <c r="D7" i="57"/>
  <c r="D12" i="57"/>
  <c r="D11" i="57"/>
  <c r="D10" i="57"/>
  <c r="D5" i="57"/>
  <c r="D8" i="57"/>
  <c r="D9" i="57"/>
  <c r="D6" i="57"/>
  <c r="R217" i="55" l="1"/>
  <c r="R219" i="55"/>
  <c r="R175" i="55"/>
  <c r="R192" i="55"/>
  <c r="R194" i="55"/>
  <c r="S225" i="55"/>
  <c r="H249" i="55"/>
  <c r="S47" i="55"/>
  <c r="R80" i="55"/>
  <c r="S173" i="55"/>
  <c r="R154" i="55"/>
  <c r="S187" i="55"/>
  <c r="R83" i="55"/>
  <c r="R78" i="55"/>
  <c r="R92" i="55"/>
  <c r="S45" i="55"/>
  <c r="R34" i="55"/>
  <c r="R214" i="55"/>
  <c r="R216" i="55"/>
  <c r="S235" i="55"/>
  <c r="R12" i="55"/>
  <c r="R18" i="55"/>
  <c r="R48" i="55"/>
  <c r="S162" i="55"/>
  <c r="R164" i="55"/>
  <c r="R176" i="55"/>
  <c r="S43" i="55"/>
  <c r="R102" i="55"/>
  <c r="R101" i="55"/>
  <c r="T101" i="55" s="1"/>
  <c r="R89" i="55"/>
  <c r="R72" i="55"/>
  <c r="R32" i="55"/>
  <c r="R47" i="55"/>
  <c r="S164" i="55"/>
  <c r="R166" i="55"/>
  <c r="R238" i="55"/>
  <c r="R66" i="55"/>
  <c r="S101" i="55"/>
  <c r="R10" i="55"/>
  <c r="R69" i="55"/>
  <c r="S117" i="55"/>
  <c r="S119" i="55"/>
  <c r="S230" i="55"/>
  <c r="R105" i="55"/>
  <c r="R16" i="55"/>
  <c r="T16" i="55" s="1"/>
  <c r="R19" i="55"/>
  <c r="R45" i="55"/>
  <c r="S151" i="55"/>
  <c r="S238" i="55"/>
  <c r="R8" i="55"/>
  <c r="R91" i="55"/>
  <c r="R75" i="55"/>
  <c r="R14" i="55"/>
  <c r="S32" i="55"/>
  <c r="R38" i="55"/>
  <c r="R17" i="55"/>
  <c r="R169" i="55"/>
  <c r="R171" i="55"/>
  <c r="R173" i="55"/>
  <c r="S175" i="55"/>
  <c r="S211" i="55"/>
  <c r="T211" i="55" s="1"/>
  <c r="R235" i="55"/>
  <c r="R90" i="55"/>
  <c r="R73" i="55"/>
  <c r="R33" i="55"/>
  <c r="R21" i="55"/>
  <c r="R215" i="55"/>
  <c r="R70" i="55"/>
  <c r="R221" i="55"/>
  <c r="R232" i="55"/>
  <c r="R245" i="55"/>
  <c r="R243" i="55"/>
  <c r="S100" i="55"/>
  <c r="H238" i="55"/>
  <c r="R9" i="55"/>
  <c r="S102" i="55"/>
  <c r="R54" i="55"/>
  <c r="T54" i="55" s="1"/>
  <c r="R210" i="55"/>
  <c r="R234" i="55"/>
  <c r="R100" i="55"/>
  <c r="S52" i="55"/>
  <c r="R99" i="55"/>
  <c r="R85" i="55"/>
  <c r="R49" i="55"/>
  <c r="S84" i="55"/>
  <c r="S46" i="55"/>
  <c r="S58" i="55"/>
  <c r="R97" i="55"/>
  <c r="S83" i="55"/>
  <c r="R155" i="55"/>
  <c r="R168" i="55"/>
  <c r="R170" i="55"/>
  <c r="R172" i="55"/>
  <c r="T172" i="55" s="1"/>
  <c r="S176" i="55"/>
  <c r="S234" i="55"/>
  <c r="S87" i="55"/>
  <c r="R42" i="55"/>
  <c r="R199" i="55"/>
  <c r="S88" i="55"/>
  <c r="R25" i="55"/>
  <c r="R94" i="55"/>
  <c r="R81" i="55"/>
  <c r="R40" i="55"/>
  <c r="R24" i="55"/>
  <c r="R51" i="55"/>
  <c r="R77" i="55"/>
  <c r="R52" i="55"/>
  <c r="R161" i="55"/>
  <c r="S50" i="55"/>
  <c r="T50" i="55" s="1"/>
  <c r="S54" i="55"/>
  <c r="S51" i="55"/>
  <c r="R27" i="55"/>
  <c r="R106" i="55"/>
  <c r="R110" i="55"/>
  <c r="R116" i="55"/>
  <c r="R126" i="55"/>
  <c r="R130" i="55"/>
  <c r="R132" i="55"/>
  <c r="R134" i="55"/>
  <c r="R136" i="55"/>
  <c r="R144" i="55"/>
  <c r="R146" i="55"/>
  <c r="R203" i="55"/>
  <c r="S216" i="55"/>
  <c r="R220" i="55"/>
  <c r="R79" i="55"/>
  <c r="S110" i="55"/>
  <c r="S220" i="55"/>
  <c r="R7" i="55"/>
  <c r="S92" i="55"/>
  <c r="R50" i="55"/>
  <c r="S150" i="55"/>
  <c r="M83" i="55" a="1"/>
  <c r="M83" i="55" s="1"/>
  <c r="M102" i="55" a="1"/>
  <c r="M102" i="55" s="1"/>
  <c r="M118" i="55" a="1"/>
  <c r="M118" i="55" s="1"/>
  <c r="O118" i="55" s="1"/>
  <c r="M225" i="55" a="1"/>
  <c r="M225" i="55" s="1"/>
  <c r="M164" i="55" a="1"/>
  <c r="M164" i="55" s="1"/>
  <c r="M230" i="55" a="1"/>
  <c r="M230" i="55" s="1"/>
  <c r="M74" i="55" a="1"/>
  <c r="M74" i="55" s="1"/>
  <c r="H241" i="55"/>
  <c r="H233" i="55"/>
  <c r="H203" i="55"/>
  <c r="G220" i="55"/>
  <c r="H224" i="55"/>
  <c r="G247" i="55"/>
  <c r="T241" i="55"/>
  <c r="H232" i="55"/>
  <c r="M251" i="55" a="1"/>
  <c r="M251" i="55" s="1"/>
  <c r="M155" i="55" a="1"/>
  <c r="M155" i="55" s="1"/>
  <c r="M78" i="55" a="1"/>
  <c r="M78" i="55" s="1"/>
  <c r="M80" i="55" a="1"/>
  <c r="M80" i="55" s="1"/>
  <c r="H242" i="55"/>
  <c r="G257" i="55"/>
  <c r="M202" i="55" a="1"/>
  <c r="M202" i="55" s="1"/>
  <c r="O202" i="55" s="1"/>
  <c r="G197" i="55"/>
  <c r="M40" i="55" a="1"/>
  <c r="M40" i="55" s="1"/>
  <c r="O40" i="55" s="1"/>
  <c r="G230" i="55"/>
  <c r="G217" i="55"/>
  <c r="M100" i="55" a="1"/>
  <c r="M100" i="55" s="1"/>
  <c r="M139" i="55" a="1"/>
  <c r="M139" i="55" s="1"/>
  <c r="O139" i="55" s="1"/>
  <c r="M29" i="55" a="1"/>
  <c r="M29" i="55" s="1"/>
  <c r="M213" i="55" a="1"/>
  <c r="M213" i="55" s="1"/>
  <c r="O213" i="55" s="1"/>
  <c r="G221" i="55"/>
  <c r="H172" i="55"/>
  <c r="H182" i="55"/>
  <c r="H117" i="55"/>
  <c r="G119" i="55"/>
  <c r="H132" i="55"/>
  <c r="H251" i="55"/>
  <c r="G255" i="55"/>
  <c r="G236" i="55"/>
  <c r="H181" i="55"/>
  <c r="H196" i="55"/>
  <c r="T217" i="55"/>
  <c r="M247" i="55" a="1"/>
  <c r="M247" i="55" s="1"/>
  <c r="O247" i="55" s="1"/>
  <c r="M71" i="55" a="1"/>
  <c r="M71" i="55" s="1"/>
  <c r="O71" i="55" s="1"/>
  <c r="G168" i="55"/>
  <c r="G165" i="55"/>
  <c r="G150" i="55"/>
  <c r="H163" i="55"/>
  <c r="H120" i="55"/>
  <c r="H78" i="55"/>
  <c r="H234" i="55"/>
  <c r="T198" i="55"/>
  <c r="T202" i="55"/>
  <c r="T165" i="55"/>
  <c r="G155" i="55"/>
  <c r="G191" i="55"/>
  <c r="T142" i="55"/>
  <c r="T257" i="55"/>
  <c r="H25" i="55"/>
  <c r="G248" i="55"/>
  <c r="H250" i="55"/>
  <c r="H171" i="55"/>
  <c r="G235" i="55"/>
  <c r="H183" i="55"/>
  <c r="G245" i="55"/>
  <c r="T183" i="55"/>
  <c r="M227" i="55" a="1"/>
  <c r="M227" i="55" s="1"/>
  <c r="O227" i="55" s="1"/>
  <c r="M125" i="55" a="1"/>
  <c r="M125" i="55" s="1"/>
  <c r="O125" i="55" s="1"/>
  <c r="M97" i="55" a="1"/>
  <c r="M97" i="55" s="1"/>
  <c r="M163" i="55" a="1"/>
  <c r="M163" i="55" s="1"/>
  <c r="O163" i="55" s="1"/>
  <c r="M14" i="55" a="1"/>
  <c r="M14" i="55" s="1"/>
  <c r="M206" i="55" a="1"/>
  <c r="M206" i="55" s="1"/>
  <c r="T14" i="55"/>
  <c r="M239" i="55" a="1"/>
  <c r="M239" i="55" s="1"/>
  <c r="O239" i="55" s="1"/>
  <c r="M15" i="55" a="1"/>
  <c r="M15" i="55" s="1"/>
  <c r="H179" i="55"/>
  <c r="M131" i="55" a="1"/>
  <c r="M131" i="55" s="1"/>
  <c r="M41" i="55" a="1"/>
  <c r="M41" i="55" s="1"/>
  <c r="M181" i="55" a="1"/>
  <c r="M181" i="55" s="1"/>
  <c r="O181" i="55" s="1"/>
  <c r="T244" i="55"/>
  <c r="T240" i="55"/>
  <c r="T230" i="55"/>
  <c r="T250" i="55"/>
  <c r="T215" i="55"/>
  <c r="M252" i="55" a="1"/>
  <c r="M252" i="55" s="1"/>
  <c r="O252" i="55" s="1"/>
  <c r="T155" i="55"/>
  <c r="T168" i="55"/>
  <c r="H42" i="55"/>
  <c r="H52" i="55"/>
  <c r="T145" i="55"/>
  <c r="H209" i="55"/>
  <c r="H229" i="55"/>
  <c r="G26" i="55"/>
  <c r="G207" i="55"/>
  <c r="G118" i="55"/>
  <c r="G161" i="55"/>
  <c r="G17" i="55"/>
  <c r="M176" i="55" a="1"/>
  <c r="M176" i="55" s="1"/>
  <c r="M201" i="55" a="1"/>
  <c r="M201" i="55" s="1"/>
  <c r="O201" i="55" s="1"/>
  <c r="M18" i="55" a="1"/>
  <c r="M18" i="55" s="1"/>
  <c r="M22" i="55" a="1"/>
  <c r="M22" i="55" s="1"/>
  <c r="T189" i="55"/>
  <c r="T221" i="55"/>
  <c r="T255" i="55"/>
  <c r="M77" i="55" a="1"/>
  <c r="M77" i="55" s="1"/>
  <c r="M205" i="55" a="1"/>
  <c r="M205" i="55" s="1"/>
  <c r="O205" i="55" s="1"/>
  <c r="M123" i="55" a="1"/>
  <c r="M123" i="55" s="1"/>
  <c r="O123" i="55" s="1"/>
  <c r="G169" i="55"/>
  <c r="M87" i="55" a="1"/>
  <c r="M87" i="55" s="1"/>
  <c r="M165" i="55" a="1"/>
  <c r="M165" i="55" s="1"/>
  <c r="O165" i="55" s="1"/>
  <c r="M187" i="55" a="1"/>
  <c r="M187" i="55" s="1"/>
  <c r="M235" i="55" a="1"/>
  <c r="M235" i="55" s="1"/>
  <c r="M28" i="55" a="1"/>
  <c r="M28" i="55" s="1"/>
  <c r="M68" i="55" a="1"/>
  <c r="M68" i="55" s="1"/>
  <c r="O68" i="55" s="1"/>
  <c r="M72" i="55" a="1"/>
  <c r="M72" i="55" s="1"/>
  <c r="G77" i="55"/>
  <c r="M50" i="55" a="1"/>
  <c r="M50" i="55" s="1"/>
  <c r="M191" i="55" a="1"/>
  <c r="M191" i="55" s="1"/>
  <c r="O191" i="55" s="1"/>
  <c r="T232" i="55"/>
  <c r="M35" i="55" a="1"/>
  <c r="M35" i="55" s="1"/>
  <c r="M59" i="55" a="1"/>
  <c r="M59" i="55" s="1"/>
  <c r="M242" i="55" a="1"/>
  <c r="M242" i="55" s="1"/>
  <c r="M76" i="55" a="1"/>
  <c r="M76" i="55" s="1"/>
  <c r="M248" i="55" a="1"/>
  <c r="M248" i="55" s="1"/>
  <c r="O248" i="55" s="1"/>
  <c r="M60" i="55" a="1"/>
  <c r="M60" i="55" s="1"/>
  <c r="G105" i="55"/>
  <c r="M57" i="55" a="1"/>
  <c r="M57" i="55" s="1"/>
  <c r="M171" i="55" a="1"/>
  <c r="M171" i="55" s="1"/>
  <c r="M84" i="55" a="1"/>
  <c r="M84" i="55" s="1"/>
  <c r="G16" i="55"/>
  <c r="M246" i="55" a="1"/>
  <c r="M246" i="55" s="1"/>
  <c r="O246" i="55" s="1"/>
  <c r="G142" i="55"/>
  <c r="G246" i="55"/>
  <c r="M91" i="55" a="1"/>
  <c r="M91" i="55" s="1"/>
  <c r="M208" i="55" a="1"/>
  <c r="M208" i="55" s="1"/>
  <c r="O208" i="55" s="1"/>
  <c r="M117" i="55" a="1"/>
  <c r="M117" i="55" s="1"/>
  <c r="M106" i="55" a="1"/>
  <c r="M106" i="55" s="1"/>
  <c r="M69" i="55" a="1"/>
  <c r="M69" i="55" s="1"/>
  <c r="M219" i="55" a="1"/>
  <c r="M219" i="55" s="1"/>
  <c r="M130" i="55" a="1"/>
  <c r="M130" i="55" s="1"/>
  <c r="H130" i="55"/>
  <c r="H122" i="55"/>
  <c r="O41" i="59"/>
  <c r="U41" i="59" s="1"/>
  <c r="M115" i="55" a="1"/>
  <c r="M115" i="55" s="1"/>
  <c r="O115" i="55" s="1"/>
  <c r="M133" i="55" a="1"/>
  <c r="M133" i="55" s="1"/>
  <c r="G157" i="55"/>
  <c r="M197" i="55" a="1"/>
  <c r="M197" i="55" s="1"/>
  <c r="O197" i="55" s="1"/>
  <c r="M222" i="55" a="1"/>
  <c r="M222" i="55" s="1"/>
  <c r="O222" i="55" s="1"/>
  <c r="M138" i="55" a="1"/>
  <c r="M138" i="55" s="1"/>
  <c r="O138" i="55" s="1"/>
  <c r="H225" i="55"/>
  <c r="M73" i="55" a="1"/>
  <c r="M73" i="55" s="1"/>
  <c r="M184" i="55" a="1"/>
  <c r="M184" i="55" s="1"/>
  <c r="O184" i="55" s="1"/>
  <c r="H33" i="55"/>
  <c r="M189" i="55" a="1"/>
  <c r="M189" i="55" s="1"/>
  <c r="O189" i="55" s="1"/>
  <c r="M10" i="55" a="1"/>
  <c r="M10" i="55" s="1"/>
  <c r="T178" i="55"/>
  <c r="G32" i="55"/>
  <c r="M240" i="55" a="1"/>
  <c r="M240" i="55" s="1"/>
  <c r="O240" i="55" s="1"/>
  <c r="M185" i="55" a="1"/>
  <c r="M185" i="55" s="1"/>
  <c r="O185" i="55" s="1"/>
  <c r="M111" i="55" a="1"/>
  <c r="M111" i="55" s="1"/>
  <c r="M89" i="55" a="1"/>
  <c r="M89" i="55" s="1"/>
  <c r="G15" i="55"/>
  <c r="G91" i="55"/>
  <c r="G66" i="55"/>
  <c r="T144" i="55"/>
  <c r="T150" i="55"/>
  <c r="G8" i="55"/>
  <c r="M243" i="55" a="1"/>
  <c r="M243" i="55" s="1"/>
  <c r="M114" i="55" a="1"/>
  <c r="M114" i="55" s="1"/>
  <c r="O114" i="55" s="1"/>
  <c r="M254" i="55" a="1"/>
  <c r="M254" i="55" s="1"/>
  <c r="O254" i="55" s="1"/>
  <c r="M198" i="55" a="1"/>
  <c r="M198" i="55" s="1"/>
  <c r="O198" i="55" s="1"/>
  <c r="M144" i="55" a="1"/>
  <c r="M144" i="55" s="1"/>
  <c r="M45" i="55" a="1"/>
  <c r="M45" i="55" s="1"/>
  <c r="M149" i="55" a="1"/>
  <c r="M149" i="55" s="1"/>
  <c r="O149" i="55" s="1"/>
  <c r="M104" i="55" a="1"/>
  <c r="M104" i="55" s="1"/>
  <c r="M101" i="55" a="1"/>
  <c r="M101" i="55" s="1"/>
  <c r="M121" i="55" a="1"/>
  <c r="M121" i="55" s="1"/>
  <c r="G45" i="55"/>
  <c r="M188" i="55" a="1"/>
  <c r="M188" i="55" s="1"/>
  <c r="O188" i="55" s="1"/>
  <c r="M11" i="55" a="1"/>
  <c r="M11" i="55" s="1"/>
  <c r="G24" i="55"/>
  <c r="G214" i="55"/>
  <c r="H116" i="55"/>
  <c r="H208" i="55"/>
  <c r="M85" i="55" a="1"/>
  <c r="M85" i="55" s="1"/>
  <c r="H21" i="55"/>
  <c r="K13" i="59"/>
  <c r="M245" i="55" a="1"/>
  <c r="M245" i="55" s="1"/>
  <c r="H186" i="55"/>
  <c r="M258" i="55" a="1"/>
  <c r="M258" i="55" s="1"/>
  <c r="O258" i="55" s="1"/>
  <c r="M232" i="55" a="1"/>
  <c r="M232" i="55" s="1"/>
  <c r="M200" i="55" a="1"/>
  <c r="M200" i="55" s="1"/>
  <c r="O200" i="55" s="1"/>
  <c r="M216" i="55" a="1"/>
  <c r="M216" i="55" s="1"/>
  <c r="G20" i="55"/>
  <c r="M182" i="55" a="1"/>
  <c r="M182" i="55" s="1"/>
  <c r="O182" i="55" s="1"/>
  <c r="M55" i="55" a="1"/>
  <c r="M55" i="55" s="1"/>
  <c r="M146" i="55" a="1"/>
  <c r="M146" i="55" s="1"/>
  <c r="M168" i="55" a="1"/>
  <c r="M168" i="55" s="1"/>
  <c r="M25" i="55" a="1"/>
  <c r="M25" i="55" s="1"/>
  <c r="M23" i="55" a="1"/>
  <c r="M23" i="55" s="1"/>
  <c r="O23" i="55" s="1"/>
  <c r="M145" i="55" a="1"/>
  <c r="M145" i="55" s="1"/>
  <c r="O145" i="55" s="1"/>
  <c r="M26" i="55" a="1"/>
  <c r="M26" i="55" s="1"/>
  <c r="M37" i="55" a="1"/>
  <c r="M37" i="55" s="1"/>
  <c r="M63" i="55" a="1"/>
  <c r="M63" i="55" s="1"/>
  <c r="O63" i="55" s="1"/>
  <c r="G115" i="55"/>
  <c r="Q4" i="59"/>
  <c r="M94" i="55" a="1"/>
  <c r="M94" i="55" s="1"/>
  <c r="M120" i="55" a="1"/>
  <c r="M120" i="55" s="1"/>
  <c r="O120" i="55" s="1"/>
  <c r="M212" i="55" a="1"/>
  <c r="M212" i="55" s="1"/>
  <c r="O212" i="55" s="1"/>
  <c r="M92" i="55" a="1"/>
  <c r="M92" i="55" s="1"/>
  <c r="M39" i="55" a="1"/>
  <c r="M39" i="55" s="1"/>
  <c r="M173" i="55" a="1"/>
  <c r="M173" i="55" s="1"/>
  <c r="M231" i="55" a="1"/>
  <c r="M231" i="55" s="1"/>
  <c r="M105" i="55" a="1"/>
  <c r="M105" i="55" s="1"/>
  <c r="M51" i="55" a="1"/>
  <c r="M51" i="55" s="1"/>
  <c r="M140" i="55" a="1"/>
  <c r="M140" i="55" s="1"/>
  <c r="O140" i="55" s="1"/>
  <c r="G192" i="55"/>
  <c r="M223" i="55" a="1"/>
  <c r="M223" i="55" s="1"/>
  <c r="O223" i="55" s="1"/>
  <c r="M157" i="55" a="1"/>
  <c r="M157" i="55" s="1"/>
  <c r="O157" i="55" s="1"/>
  <c r="M113" i="55" a="1"/>
  <c r="M113" i="55" s="1"/>
  <c r="O113" i="55" s="1"/>
  <c r="M61" i="55" a="1"/>
  <c r="M61" i="55" s="1"/>
  <c r="O61" i="55" s="1"/>
  <c r="M90" i="55" a="1"/>
  <c r="M90" i="55" s="1"/>
  <c r="M108" i="55" a="1"/>
  <c r="M108" i="55" s="1"/>
  <c r="O108" i="55" s="1"/>
  <c r="M13" i="55" a="1"/>
  <c r="M13" i="55" s="1"/>
  <c r="M136" i="55" a="1"/>
  <c r="M136" i="55" s="1"/>
  <c r="M195" i="55" a="1"/>
  <c r="M195" i="55" s="1"/>
  <c r="G167" i="55"/>
  <c r="H177" i="55"/>
  <c r="M147" i="55" a="1"/>
  <c r="M147" i="55" s="1"/>
  <c r="M103" i="55" a="1"/>
  <c r="M103" i="55" s="1"/>
  <c r="O103" i="55" s="1"/>
  <c r="M122" i="55" a="1"/>
  <c r="M122" i="55" s="1"/>
  <c r="O122" i="55" s="1"/>
  <c r="M153" i="55" a="1"/>
  <c r="M153" i="55" s="1"/>
  <c r="O153" i="55" s="1"/>
  <c r="M95" i="55" a="1"/>
  <c r="M95" i="55" s="1"/>
  <c r="O95" i="55" s="1"/>
  <c r="M9" i="55" a="1"/>
  <c r="M9" i="55" s="1"/>
  <c r="M21" i="55" a="1"/>
  <c r="M21" i="55" s="1"/>
  <c r="M204" i="55" a="1"/>
  <c r="M204" i="55" s="1"/>
  <c r="M256" i="55" a="1"/>
  <c r="M256" i="55" s="1"/>
  <c r="O256" i="55" s="1"/>
  <c r="M129" i="55" a="1"/>
  <c r="M129" i="55" s="1"/>
  <c r="O129" i="55" s="1"/>
  <c r="M116" i="55" a="1"/>
  <c r="M116" i="55" s="1"/>
  <c r="M43" i="55" a="1"/>
  <c r="M43" i="55" s="1"/>
  <c r="M24" i="55" a="1"/>
  <c r="M24" i="55" s="1"/>
  <c r="M249" i="55" a="1"/>
  <c r="M249" i="55" s="1"/>
  <c r="M186" i="55" a="1"/>
  <c r="M186" i="55" s="1"/>
  <c r="O186" i="55" s="1"/>
  <c r="M20" i="55" a="1"/>
  <c r="M20" i="55" s="1"/>
  <c r="M56" i="55" a="1"/>
  <c r="M56" i="55" s="1"/>
  <c r="O56" i="55" s="1"/>
  <c r="M150" i="55" a="1"/>
  <c r="M150" i="55" s="1"/>
  <c r="M175" i="55" a="1"/>
  <c r="M175" i="55" s="1"/>
  <c r="M215" i="55" a="1"/>
  <c r="M215" i="55" s="1"/>
  <c r="M93" i="55" a="1"/>
  <c r="M93" i="55" s="1"/>
  <c r="M151" i="55" a="1"/>
  <c r="M151" i="55" s="1"/>
  <c r="M126" i="55" a="1"/>
  <c r="M126" i="55" s="1"/>
  <c r="M49" i="55" a="1"/>
  <c r="M49" i="55" s="1"/>
  <c r="M167" i="55" a="1"/>
  <c r="M167" i="55" s="1"/>
  <c r="M257" i="55" a="1"/>
  <c r="M257" i="55" s="1"/>
  <c r="M234" i="55" a="1"/>
  <c r="M234" i="55" s="1"/>
  <c r="M166" i="55" a="1"/>
  <c r="M166" i="55" s="1"/>
  <c r="M143" i="55" a="1"/>
  <c r="M143" i="55" s="1"/>
  <c r="M36" i="55" a="1"/>
  <c r="M36" i="55" s="1"/>
  <c r="M228" i="55" a="1"/>
  <c r="M228" i="55" s="1"/>
  <c r="O228" i="55" s="1"/>
  <c r="M17" i="55" a="1"/>
  <c r="M17" i="55" s="1"/>
  <c r="M34" i="55" a="1"/>
  <c r="M34" i="55" s="1"/>
  <c r="M52" i="55" a="1"/>
  <c r="M52" i="55" s="1"/>
  <c r="M193" i="55" a="1"/>
  <c r="M193" i="55" s="1"/>
  <c r="O193" i="55" s="1"/>
  <c r="M109" i="55" a="1"/>
  <c r="M109" i="55" s="1"/>
  <c r="M211" i="55" a="1"/>
  <c r="M211" i="55" s="1"/>
  <c r="M148" i="55" a="1"/>
  <c r="M148" i="55" s="1"/>
  <c r="O148" i="55" s="1"/>
  <c r="M19" i="55" a="1"/>
  <c r="M19" i="55" s="1"/>
  <c r="M65" i="55" a="1"/>
  <c r="M65" i="55" s="1"/>
  <c r="O65" i="55" s="1"/>
  <c r="M237" i="55" a="1"/>
  <c r="M237" i="55" s="1"/>
  <c r="M79" i="55" a="1"/>
  <c r="M79" i="55" s="1"/>
  <c r="M107" i="55" a="1"/>
  <c r="M107" i="55" s="1"/>
  <c r="M128" i="55" a="1"/>
  <c r="M128" i="55" s="1"/>
  <c r="O128" i="55" s="1"/>
  <c r="M112" i="55" a="1"/>
  <c r="M112" i="55" s="1"/>
  <c r="O112" i="55" s="1"/>
  <c r="M250" i="55" a="1"/>
  <c r="M250" i="55" s="1"/>
  <c r="O250" i="55" s="1"/>
  <c r="M99" i="55" a="1"/>
  <c r="M99" i="55" s="1"/>
  <c r="M190" i="55" a="1"/>
  <c r="M190" i="55" s="1"/>
  <c r="O190" i="55" s="1"/>
  <c r="M238" i="55" a="1"/>
  <c r="M238" i="55" s="1"/>
  <c r="M38" i="55" a="1"/>
  <c r="M38" i="55" s="1"/>
  <c r="M152" i="55" a="1"/>
  <c r="M152" i="55" s="1"/>
  <c r="O152" i="55" s="1"/>
  <c r="M194" i="55" a="1"/>
  <c r="M194" i="55" s="1"/>
  <c r="M16" i="55" a="1"/>
  <c r="M16" i="55" s="1"/>
  <c r="M44" i="55" a="1"/>
  <c r="M44" i="55" s="1"/>
  <c r="H124" i="55"/>
  <c r="H139" i="55"/>
  <c r="M277" i="55"/>
  <c r="M172" i="55" a="1"/>
  <c r="M172" i="55" s="1"/>
  <c r="M88" i="55" a="1"/>
  <c r="M88" i="55" s="1"/>
  <c r="M82" i="55" a="1"/>
  <c r="M82" i="55" s="1"/>
  <c r="O82" i="55" s="1"/>
  <c r="M241" i="55" a="1"/>
  <c r="M241" i="55" s="1"/>
  <c r="O241" i="55" s="1"/>
  <c r="M154" i="55" a="1"/>
  <c r="M154" i="55" s="1"/>
  <c r="M255" i="55" a="1"/>
  <c r="M255" i="55" s="1"/>
  <c r="O255" i="55" s="1"/>
  <c r="M220" i="55" a="1"/>
  <c r="M220" i="55" s="1"/>
  <c r="M183" i="55" a="1"/>
  <c r="M183" i="55" s="1"/>
  <c r="O183" i="55" s="1"/>
  <c r="M132" i="55" a="1"/>
  <c r="M132" i="55" s="1"/>
  <c r="M170" i="55" a="1"/>
  <c r="M170" i="55" s="1"/>
  <c r="M209" i="55" a="1"/>
  <c r="M209" i="55" s="1"/>
  <c r="O209" i="55" s="1"/>
  <c r="M236" i="55" a="1"/>
  <c r="M236" i="55" s="1"/>
  <c r="M12" i="55" a="1"/>
  <c r="M12" i="55" s="1"/>
  <c r="M244" i="55" a="1"/>
  <c r="M244" i="55" s="1"/>
  <c r="O244" i="55" s="1"/>
  <c r="M7" i="55" a="1"/>
  <c r="M7" i="55" s="1"/>
  <c r="M70" i="55" a="1"/>
  <c r="M70" i="55" s="1"/>
  <c r="M42" i="55" a="1"/>
  <c r="M42" i="55" s="1"/>
  <c r="G194" i="55"/>
  <c r="M156" i="55" a="1"/>
  <c r="M156" i="55" s="1"/>
  <c r="O156" i="55" s="1"/>
  <c r="M210" i="55" a="1"/>
  <c r="M210" i="55" s="1"/>
  <c r="M75" i="55" a="1"/>
  <c r="M75" i="55" s="1"/>
  <c r="M135" i="55" a="1"/>
  <c r="M135" i="55" s="1"/>
  <c r="G110" i="55"/>
  <c r="G131" i="55"/>
  <c r="M2" i="55"/>
  <c r="M47" i="55" a="1"/>
  <c r="M47" i="55" s="1"/>
  <c r="M169" i="55" a="1"/>
  <c r="M169" i="55" s="1"/>
  <c r="M58" i="55" a="1"/>
  <c r="M58" i="55" s="1"/>
  <c r="M214" i="55" a="1"/>
  <c r="M214" i="55" s="1"/>
  <c r="M46" i="55" a="1"/>
  <c r="M46" i="55" s="1"/>
  <c r="M32" i="55" a="1"/>
  <c r="M32" i="55" s="1"/>
  <c r="G73" i="55"/>
  <c r="M134" i="55" a="1"/>
  <c r="M134" i="55" s="1"/>
  <c r="M33" i="55" a="1"/>
  <c r="M33" i="55" s="1"/>
  <c r="M137" i="55" a="1"/>
  <c r="M137" i="55" s="1"/>
  <c r="M48" i="55" a="1"/>
  <c r="M48" i="55" s="1"/>
  <c r="M110" i="55" a="1"/>
  <c r="M110" i="55" s="1"/>
  <c r="M221" i="55" a="1"/>
  <c r="M221" i="55" s="1"/>
  <c r="M196" i="55" a="1"/>
  <c r="M196" i="55" s="1"/>
  <c r="O196" i="55" s="1"/>
  <c r="M158" i="55" a="1"/>
  <c r="M158" i="55" s="1"/>
  <c r="O158" i="55" s="1"/>
  <c r="M159" i="55" a="1"/>
  <c r="M159" i="55" s="1"/>
  <c r="O159" i="55" s="1"/>
  <c r="M218" i="55" a="1"/>
  <c r="M218" i="55" s="1"/>
  <c r="O218" i="55" s="1"/>
  <c r="G68" i="55"/>
  <c r="H36" i="55"/>
  <c r="H31" i="55"/>
  <c r="M178" i="55" a="1"/>
  <c r="M178" i="55" s="1"/>
  <c r="O178" i="55" s="1"/>
  <c r="M119" i="55" a="1"/>
  <c r="M119" i="55" s="1"/>
  <c r="M96" i="55" a="1"/>
  <c r="M96" i="55" s="1"/>
  <c r="O96" i="55" s="1"/>
  <c r="M8" i="55" a="1"/>
  <c r="M8" i="55" s="1"/>
  <c r="M67" i="55" a="1"/>
  <c r="M67" i="55" s="1"/>
  <c r="O67" i="55" s="1"/>
  <c r="M30" i="55" a="1"/>
  <c r="M30" i="55" s="1"/>
  <c r="O30" i="55" s="1"/>
  <c r="T129" i="55"/>
  <c r="T188" i="55"/>
  <c r="M179" i="55" a="1"/>
  <c r="M179" i="55" s="1"/>
  <c r="O179" i="55" s="1"/>
  <c r="M224" i="55" a="1"/>
  <c r="M224" i="55" s="1"/>
  <c r="O224" i="55" s="1"/>
  <c r="M54" i="55" a="1"/>
  <c r="M54" i="55" s="1"/>
  <c r="M98" i="55" a="1"/>
  <c r="M98" i="55" s="1"/>
  <c r="H14" i="55"/>
  <c r="G99" i="55"/>
  <c r="M86" i="55" a="1"/>
  <c r="M86" i="55" s="1"/>
  <c r="O86" i="55" s="1"/>
  <c r="M160" i="55" a="1"/>
  <c r="M160" i="55" s="1"/>
  <c r="O160" i="55" s="1"/>
  <c r="M27" i="55" a="1"/>
  <c r="M27" i="55" s="1"/>
  <c r="G174" i="55"/>
  <c r="H176" i="55"/>
  <c r="T163" i="55"/>
  <c r="T154" i="55"/>
  <c r="T167" i="55"/>
  <c r="T175" i="55"/>
  <c r="T194" i="55"/>
  <c r="T205" i="55"/>
  <c r="T106" i="55"/>
  <c r="T58" i="55"/>
  <c r="H178" i="55"/>
  <c r="H92" i="55"/>
  <c r="G35" i="55"/>
  <c r="G12" i="55"/>
  <c r="H206" i="55"/>
  <c r="G58" i="55"/>
  <c r="T253" i="55"/>
  <c r="T238" i="55"/>
  <c r="G9" i="55"/>
  <c r="H28" i="55"/>
  <c r="G151" i="55"/>
  <c r="M142" i="55" a="1"/>
  <c r="M142" i="55" s="1"/>
  <c r="O142" i="55" s="1"/>
  <c r="M199" i="55" a="1"/>
  <c r="M199" i="55" s="1"/>
  <c r="T138" i="55"/>
  <c r="T140" i="55"/>
  <c r="G30" i="55"/>
  <c r="G74" i="55"/>
  <c r="H46" i="55"/>
  <c r="M124" i="55" a="1"/>
  <c r="M124" i="55" s="1"/>
  <c r="O124" i="55" s="1"/>
  <c r="T180" i="55"/>
  <c r="G39" i="55"/>
  <c r="H86" i="55"/>
  <c r="H48" i="55"/>
  <c r="M53" i="55" a="1"/>
  <c r="M53" i="55" s="1"/>
  <c r="T120" i="55"/>
  <c r="Q2" i="55"/>
  <c r="N203" i="55" a="1"/>
  <c r="N203" i="55" s="1"/>
  <c r="O203" i="55" s="1"/>
  <c r="M229" i="55" a="1"/>
  <c r="M229" i="55" s="1"/>
  <c r="O229" i="55" s="1"/>
  <c r="M207" i="55" a="1"/>
  <c r="M207" i="55" s="1"/>
  <c r="M64" i="55" a="1"/>
  <c r="M64" i="55" s="1"/>
  <c r="O64" i="55" s="1"/>
  <c r="M141" i="55" a="1"/>
  <c r="M141" i="55" s="1"/>
  <c r="O141" i="55" s="1"/>
  <c r="T216" i="55"/>
  <c r="T113" i="55"/>
  <c r="H134" i="55"/>
  <c r="G113" i="55"/>
  <c r="G175" i="55"/>
  <c r="H212" i="55"/>
  <c r="G212" i="55"/>
  <c r="R7" i="59"/>
  <c r="H90" i="55"/>
  <c r="T143" i="55"/>
  <c r="T181" i="55"/>
  <c r="T196" i="55"/>
  <c r="K32" i="59"/>
  <c r="C36" i="59"/>
  <c r="N36" i="59" s="1"/>
  <c r="H158" i="55"/>
  <c r="H104" i="55"/>
  <c r="M174" i="55" a="1"/>
  <c r="M174" i="55" s="1"/>
  <c r="O174" i="55" s="1"/>
  <c r="M180" i="55" a="1"/>
  <c r="M180" i="55" s="1"/>
  <c r="O180" i="55" s="1"/>
  <c r="M192" i="55" a="1"/>
  <c r="M192" i="55" s="1"/>
  <c r="M177" i="55" a="1"/>
  <c r="M177" i="55" s="1"/>
  <c r="O177" i="55" s="1"/>
  <c r="M233" i="55" a="1"/>
  <c r="M233" i="55" s="1"/>
  <c r="O233" i="55" s="1"/>
  <c r="M62" i="55" a="1"/>
  <c r="M62" i="55" s="1"/>
  <c r="O62" i="55" s="1"/>
  <c r="T102" i="55"/>
  <c r="T136" i="55"/>
  <c r="T108" i="55"/>
  <c r="C34" i="59"/>
  <c r="N34" i="59" s="1"/>
  <c r="N41" i="55" a="1"/>
  <c r="N41" i="55" s="1"/>
  <c r="T46" i="55"/>
  <c r="N204" i="55" a="1"/>
  <c r="N204" i="55" s="1"/>
  <c r="G11" i="55"/>
  <c r="E33" i="59"/>
  <c r="P13" i="59"/>
  <c r="H226" i="55"/>
  <c r="T112" i="55"/>
  <c r="G98" i="55"/>
  <c r="Q32" i="59"/>
  <c r="P9" i="59"/>
  <c r="I34" i="59"/>
  <c r="E26" i="59"/>
  <c r="S21" i="59"/>
  <c r="H136" i="55"/>
  <c r="K22" i="59"/>
  <c r="M217" i="55" a="1"/>
  <c r="M217" i="55" s="1"/>
  <c r="M31" i="55" a="1"/>
  <c r="M31" i="55" s="1"/>
  <c r="M161" i="55" a="1"/>
  <c r="M161" i="55" s="1"/>
  <c r="M66" i="55" a="1"/>
  <c r="M66" i="55" s="1"/>
  <c r="M81" i="55" a="1"/>
  <c r="M81" i="55" s="1"/>
  <c r="E21" i="59"/>
  <c r="G47" i="55"/>
  <c r="H106" i="55"/>
  <c r="K37" i="59"/>
  <c r="Q6" i="59"/>
  <c r="M253" i="55" a="1"/>
  <c r="M253" i="55" s="1"/>
  <c r="O253" i="55" s="1"/>
  <c r="M226" i="55" a="1"/>
  <c r="M226" i="55" s="1"/>
  <c r="M162" i="55" a="1"/>
  <c r="M162" i="55" s="1"/>
  <c r="T137" i="55"/>
  <c r="T159" i="55"/>
  <c r="T212" i="55"/>
  <c r="T246" i="55"/>
  <c r="C12" i="59"/>
  <c r="Q38" i="59"/>
  <c r="G61" i="55"/>
  <c r="H160" i="55"/>
  <c r="H80" i="55"/>
  <c r="T73" i="55"/>
  <c r="T152" i="55"/>
  <c r="G59" i="55"/>
  <c r="H59" i="55"/>
  <c r="G133" i="55"/>
  <c r="H133" i="55"/>
  <c r="G137" i="55"/>
  <c r="H137" i="55"/>
  <c r="G29" i="55"/>
  <c r="H29" i="55"/>
  <c r="N249" i="55" a="1"/>
  <c r="N249" i="55" s="1"/>
  <c r="N97" i="55" a="1"/>
  <c r="N97" i="55" s="1"/>
  <c r="K36" i="59"/>
  <c r="B11" i="59"/>
  <c r="H8" i="59"/>
  <c r="S10" i="59"/>
  <c r="S41" i="59"/>
  <c r="Q41" i="59"/>
  <c r="Q7" i="59"/>
  <c r="P27" i="59"/>
  <c r="I8" i="59"/>
  <c r="S27" i="59"/>
  <c r="B41" i="59"/>
  <c r="V41" i="59" s="1"/>
  <c r="B7" i="59"/>
  <c r="P38" i="59"/>
  <c r="P41" i="59"/>
  <c r="B37" i="59"/>
  <c r="T37" i="59" s="1"/>
  <c r="B13" i="59"/>
  <c r="V13" i="59" s="1"/>
  <c r="S6" i="59"/>
  <c r="G244" i="55"/>
  <c r="T130" i="55"/>
  <c r="P220" i="53"/>
  <c r="L169" i="55" s="1" a="1"/>
  <c r="L169" i="55" s="1"/>
  <c r="B39" i="59"/>
  <c r="J5" i="59"/>
  <c r="D41" i="59"/>
  <c r="N70" i="55" a="1"/>
  <c r="N70" i="55" s="1"/>
  <c r="X220" i="53"/>
  <c r="D12" i="59"/>
  <c r="C4" i="59"/>
  <c r="G34" i="59"/>
  <c r="M34" i="59" s="1"/>
  <c r="P40" i="59"/>
  <c r="G154" i="55"/>
  <c r="D8" i="59"/>
  <c r="S32" i="59"/>
  <c r="P11" i="59"/>
  <c r="D5" i="59"/>
  <c r="D34" i="59"/>
  <c r="I25" i="59"/>
  <c r="O34" i="59"/>
  <c r="U34" i="59" s="1"/>
  <c r="C37" i="59"/>
  <c r="L37" i="59" s="1"/>
  <c r="B5" i="59"/>
  <c r="B6" i="59"/>
  <c r="I5" i="59"/>
  <c r="C32" i="59"/>
  <c r="E32" i="59"/>
  <c r="P21" i="59"/>
  <c r="K38" i="59"/>
  <c r="C26" i="59"/>
  <c r="J32" i="59"/>
  <c r="G216" i="55"/>
  <c r="G38" i="59"/>
  <c r="M38" i="59" s="1"/>
  <c r="T139" i="55"/>
  <c r="N42" i="55" a="1"/>
  <c r="N42" i="55" s="1"/>
  <c r="N89" i="55" a="1"/>
  <c r="N89" i="55" s="1"/>
  <c r="T190" i="55"/>
  <c r="T247" i="55"/>
  <c r="T80" i="55"/>
  <c r="R22" i="59"/>
  <c r="E38" i="59"/>
  <c r="R34" i="59"/>
  <c r="P24" i="59"/>
  <c r="S40" i="59"/>
  <c r="N183" i="55" a="1"/>
  <c r="N183" i="55" s="1"/>
  <c r="N135" i="55" a="1"/>
  <c r="N135" i="55" s="1"/>
  <c r="N210" i="55" a="1"/>
  <c r="N210" i="55" s="1"/>
  <c r="N233" i="55" a="1"/>
  <c r="N233" i="55" s="1"/>
  <c r="G72" i="55"/>
  <c r="B21" i="59"/>
  <c r="K24" i="59"/>
  <c r="R19" i="59"/>
  <c r="E10" i="59"/>
  <c r="H11" i="59"/>
  <c r="B20" i="59"/>
  <c r="P20" i="59"/>
  <c r="I36" i="59"/>
  <c r="S5" i="59"/>
  <c r="J10" i="59"/>
  <c r="Q39" i="59"/>
  <c r="P12" i="59"/>
  <c r="C40" i="59"/>
  <c r="L40" i="59" s="1"/>
  <c r="D10" i="59"/>
  <c r="C7" i="59"/>
  <c r="Q5" i="59"/>
  <c r="D24" i="59"/>
  <c r="H170" i="55"/>
  <c r="T218" i="55"/>
  <c r="N195" i="55" a="1"/>
  <c r="N195" i="55" s="1"/>
  <c r="P33" i="59"/>
  <c r="D38" i="59"/>
  <c r="S12" i="59"/>
  <c r="I11" i="59"/>
  <c r="I40" i="59"/>
  <c r="G41" i="59"/>
  <c r="M41" i="59" s="1"/>
  <c r="Q33" i="59"/>
  <c r="Q9" i="59"/>
  <c r="E23" i="59"/>
  <c r="J38" i="59"/>
  <c r="H4" i="59"/>
  <c r="S23" i="59"/>
  <c r="C23" i="59"/>
  <c r="H7" i="59"/>
  <c r="R20" i="59"/>
  <c r="K10" i="59"/>
  <c r="Q19" i="59"/>
  <c r="C25" i="59"/>
  <c r="E24" i="59"/>
  <c r="E37" i="59"/>
  <c r="D7" i="59"/>
  <c r="N224" i="55" a="1"/>
  <c r="N224" i="55" s="1"/>
  <c r="H5" i="59"/>
  <c r="O36" i="59"/>
  <c r="U36" i="59" s="1"/>
  <c r="O38" i="59"/>
  <c r="U38" i="59" s="1"/>
  <c r="C20" i="59"/>
  <c r="K4" i="59"/>
  <c r="J35" i="59"/>
  <c r="D40" i="59"/>
  <c r="G36" i="59"/>
  <c r="M36" i="59" s="1"/>
  <c r="D39" i="59"/>
  <c r="Q26" i="59"/>
  <c r="K41" i="59"/>
  <c r="J27" i="59"/>
  <c r="D23" i="59"/>
  <c r="S7" i="59"/>
  <c r="Q37" i="59"/>
  <c r="C39" i="59"/>
  <c r="N39" i="59" s="1"/>
  <c r="H37" i="59"/>
  <c r="I35" i="59"/>
  <c r="H27" i="59"/>
  <c r="O13" i="59"/>
  <c r="U13" i="59" s="1"/>
  <c r="H100" i="55"/>
  <c r="N36" i="55" a="1"/>
  <c r="N36" i="55" s="1"/>
  <c r="O19" i="59"/>
  <c r="J18" i="59"/>
  <c r="R8" i="59"/>
  <c r="S36" i="59"/>
  <c r="S11" i="59"/>
  <c r="S37" i="59"/>
  <c r="H64" i="55"/>
  <c r="N102" i="55" a="1"/>
  <c r="N102" i="55" s="1"/>
  <c r="O102" i="55" s="1"/>
  <c r="N235" i="55" a="1"/>
  <c r="N235" i="55" s="1"/>
  <c r="N166" i="55" a="1"/>
  <c r="N166" i="55" s="1"/>
  <c r="H123" i="55"/>
  <c r="I6" i="59"/>
  <c r="J21" i="59"/>
  <c r="K34" i="59"/>
  <c r="J39" i="59"/>
  <c r="B10" i="59"/>
  <c r="I23" i="59"/>
  <c r="E35" i="59"/>
  <c r="S38" i="59"/>
  <c r="I19" i="59"/>
  <c r="R36" i="59"/>
  <c r="D25" i="59"/>
  <c r="P35" i="59"/>
  <c r="S9" i="59"/>
  <c r="Q10" i="59"/>
  <c r="R6" i="59"/>
  <c r="O33" i="59"/>
  <c r="U33" i="59" s="1"/>
  <c r="H26" i="59"/>
  <c r="G37" i="59"/>
  <c r="M37" i="59" s="1"/>
  <c r="G20" i="59"/>
  <c r="T116" i="55"/>
  <c r="T200" i="55"/>
  <c r="T233" i="55"/>
  <c r="L144" i="55" a="1"/>
  <c r="L144" i="55" s="1"/>
  <c r="N35" i="55" a="1"/>
  <c r="N35" i="55" s="1"/>
  <c r="N180" i="55" a="1"/>
  <c r="N180" i="55" s="1"/>
  <c r="J24" i="59"/>
  <c r="J11" i="59"/>
  <c r="J19" i="59"/>
  <c r="H22" i="59"/>
  <c r="G102" i="55"/>
  <c r="N157" i="55" a="1"/>
  <c r="N157" i="55" s="1"/>
  <c r="N162" i="55" a="1"/>
  <c r="N162" i="55" s="1"/>
  <c r="N212" i="55" a="1"/>
  <c r="N212" i="55" s="1"/>
  <c r="H125" i="55"/>
  <c r="R10" i="59"/>
  <c r="E36" i="59"/>
  <c r="D36" i="59"/>
  <c r="S26" i="59"/>
  <c r="P18" i="59"/>
  <c r="J25" i="59"/>
  <c r="H39" i="59"/>
  <c r="I20" i="59"/>
  <c r="I9" i="59"/>
  <c r="K12" i="59"/>
  <c r="P22" i="59"/>
  <c r="D9" i="59"/>
  <c r="E18" i="59"/>
  <c r="H19" i="59"/>
  <c r="R33" i="59"/>
  <c r="S18" i="59"/>
  <c r="E34" i="59"/>
  <c r="T104" i="55"/>
  <c r="T91" i="55"/>
  <c r="G205" i="55"/>
  <c r="Q24" i="59"/>
  <c r="I41" i="59"/>
  <c r="P19" i="59"/>
  <c r="N2" i="55"/>
  <c r="N58" i="55" a="1"/>
  <c r="N58" i="55" s="1"/>
  <c r="D37" i="59"/>
  <c r="H36" i="59"/>
  <c r="C18" i="59"/>
  <c r="E40" i="59"/>
  <c r="K5" i="59"/>
  <c r="J40" i="59"/>
  <c r="Q34" i="59"/>
  <c r="C19" i="59"/>
  <c r="C21" i="59"/>
  <c r="H40" i="59"/>
  <c r="K39" i="59"/>
  <c r="I10" i="59"/>
  <c r="Q11" i="59"/>
  <c r="J13" i="59"/>
  <c r="R4" i="59"/>
  <c r="D13" i="59"/>
  <c r="Q8" i="59"/>
  <c r="C41" i="59"/>
  <c r="N18" i="55" a="1"/>
  <c r="N18" i="55" s="1"/>
  <c r="G35" i="59"/>
  <c r="M35" i="59" s="1"/>
  <c r="C33" i="59"/>
  <c r="N49" i="55" a="1"/>
  <c r="N49" i="55" s="1"/>
  <c r="N98" i="55" a="1"/>
  <c r="N98" i="55" s="1"/>
  <c r="I32" i="59"/>
  <c r="P23" i="59"/>
  <c r="G69" i="55"/>
  <c r="D20" i="59"/>
  <c r="N38" i="55" a="1"/>
  <c r="N38" i="55" s="1"/>
  <c r="N77" i="55" a="1"/>
  <c r="N77" i="55" s="1"/>
  <c r="R5" i="59"/>
  <c r="R23" i="59"/>
  <c r="R18" i="59"/>
  <c r="K19" i="59"/>
  <c r="E4" i="59"/>
  <c r="D33" i="59"/>
  <c r="O40" i="59"/>
  <c r="U40" i="59" s="1"/>
  <c r="J37" i="59"/>
  <c r="Q27" i="59"/>
  <c r="R21" i="59"/>
  <c r="G33" i="59"/>
  <c r="M33" i="59" s="1"/>
  <c r="D18" i="59"/>
  <c r="Q36" i="59"/>
  <c r="H24" i="59"/>
  <c r="Q25" i="59"/>
  <c r="D21" i="59"/>
  <c r="D22" i="59"/>
  <c r="I12" i="59"/>
  <c r="H12" i="59"/>
  <c r="T63" i="55"/>
  <c r="T33" i="55"/>
  <c r="T153" i="55"/>
  <c r="T166" i="55"/>
  <c r="N127" i="55" a="1"/>
  <c r="N127" i="55" s="1"/>
  <c r="I21" i="59"/>
  <c r="K9" i="59"/>
  <c r="I27" i="59"/>
  <c r="C9" i="59"/>
  <c r="Q18" i="59"/>
  <c r="E6" i="59"/>
  <c r="C13" i="59"/>
  <c r="L13" i="59" s="1"/>
  <c r="E13" i="59"/>
  <c r="K18" i="59"/>
  <c r="B26" i="59"/>
  <c r="H10" i="59"/>
  <c r="B18" i="59"/>
  <c r="Q21" i="59"/>
  <c r="I13" i="59"/>
  <c r="E11" i="55"/>
  <c r="K40" i="59"/>
  <c r="O35" i="59"/>
  <c r="U35" i="59" s="1"/>
  <c r="G145" i="55"/>
  <c r="P4" i="59"/>
  <c r="J33" i="59"/>
  <c r="K33" i="59"/>
  <c r="N155" i="55" a="1"/>
  <c r="N155" i="55" s="1"/>
  <c r="G10" i="55"/>
  <c r="N26" i="55" a="1"/>
  <c r="N26" i="55" s="1"/>
  <c r="P26" i="59"/>
  <c r="J26" i="59"/>
  <c r="J9" i="59"/>
  <c r="O32" i="59"/>
  <c r="U32" i="59" s="1"/>
  <c r="P7" i="59"/>
  <c r="K26" i="59"/>
  <c r="S34" i="59"/>
  <c r="R24" i="59"/>
  <c r="I38" i="59"/>
  <c r="R41" i="59"/>
  <c r="P25" i="59"/>
  <c r="B35" i="59"/>
  <c r="I4" i="59"/>
  <c r="I22" i="59"/>
  <c r="H41" i="59"/>
  <c r="J7" i="59"/>
  <c r="G40" i="59"/>
  <c r="M40" i="59" s="1"/>
  <c r="K23" i="59"/>
  <c r="J4" i="59"/>
  <c r="H27" i="55"/>
  <c r="K25" i="59"/>
  <c r="H25" i="59"/>
  <c r="S35" i="59"/>
  <c r="P37" i="59"/>
  <c r="J22" i="59"/>
  <c r="K11" i="59"/>
  <c r="E19" i="59"/>
  <c r="J36" i="59"/>
  <c r="D35" i="59"/>
  <c r="P32" i="59"/>
  <c r="J20" i="59"/>
  <c r="K20" i="59"/>
  <c r="H21" i="59"/>
  <c r="C27" i="59"/>
  <c r="N27" i="59" s="1"/>
  <c r="H35" i="59"/>
  <c r="N205" i="55" a="1"/>
  <c r="N205" i="55" s="1"/>
  <c r="D4" i="59"/>
  <c r="S4" i="59"/>
  <c r="Q40" i="59"/>
  <c r="R26" i="59"/>
  <c r="E9" i="59"/>
  <c r="K21" i="59"/>
  <c r="S22" i="59"/>
  <c r="C24" i="59"/>
  <c r="I26" i="59"/>
  <c r="D6" i="59"/>
  <c r="B23" i="59"/>
  <c r="E41" i="59"/>
  <c r="H13" i="59"/>
  <c r="R37" i="59"/>
  <c r="R12" i="59"/>
  <c r="D27" i="59"/>
  <c r="H20" i="59"/>
  <c r="K35" i="59"/>
  <c r="B34" i="59"/>
  <c r="N248" i="55" a="1"/>
  <c r="N248" i="55" s="1"/>
  <c r="P36" i="59"/>
  <c r="B25" i="59"/>
  <c r="H53" i="55"/>
  <c r="H70" i="55"/>
  <c r="N130" i="55" a="1"/>
  <c r="N130" i="55" s="1"/>
  <c r="G87" i="55"/>
  <c r="G57" i="55"/>
  <c r="I24" i="59"/>
  <c r="C11" i="59"/>
  <c r="B38" i="59"/>
  <c r="F38" i="59" s="1"/>
  <c r="H32" i="59"/>
  <c r="C10" i="59"/>
  <c r="I37" i="59"/>
  <c r="R40" i="59"/>
  <c r="S19" i="59"/>
  <c r="E39" i="59"/>
  <c r="B8" i="59"/>
  <c r="I39" i="59"/>
  <c r="K7" i="59"/>
  <c r="B33" i="59"/>
  <c r="F33" i="59" s="1"/>
  <c r="E12" i="59"/>
  <c r="J12" i="59"/>
  <c r="Q35" i="59"/>
  <c r="E11" i="59"/>
  <c r="E20" i="59"/>
  <c r="R9" i="59"/>
  <c r="E5" i="59"/>
  <c r="E8" i="59"/>
  <c r="R32" i="59"/>
  <c r="I7" i="59"/>
  <c r="S25" i="59"/>
  <c r="G22" i="59"/>
  <c r="B19" i="59"/>
  <c r="S8" i="59"/>
  <c r="R38" i="59"/>
  <c r="S20" i="59"/>
  <c r="P8" i="59"/>
  <c r="H33" i="59"/>
  <c r="K8" i="59"/>
  <c r="B4" i="59"/>
  <c r="N100" i="55" a="1"/>
  <c r="N100" i="55" s="1"/>
  <c r="O100" i="55" s="1"/>
  <c r="N129" i="55" a="1"/>
  <c r="N129" i="55" s="1"/>
  <c r="D32" i="59"/>
  <c r="I33" i="59"/>
  <c r="Q12" i="59"/>
  <c r="C38" i="59"/>
  <c r="N38" i="59" s="1"/>
  <c r="S24" i="59"/>
  <c r="S33" i="59"/>
  <c r="G39" i="59"/>
  <c r="M39" i="59" s="1"/>
  <c r="P39" i="59"/>
  <c r="D11" i="59"/>
  <c r="R35" i="59"/>
  <c r="Q13" i="59"/>
  <c r="P10" i="59"/>
  <c r="E27" i="59"/>
  <c r="B22" i="59"/>
  <c r="R25" i="59"/>
  <c r="D19" i="59"/>
  <c r="K6" i="59"/>
  <c r="T186" i="55"/>
  <c r="T12" i="55"/>
  <c r="T41" i="55"/>
  <c r="T171" i="55"/>
  <c r="T107" i="55"/>
  <c r="T111" i="55"/>
  <c r="T126" i="55"/>
  <c r="T36" i="55"/>
  <c r="T131" i="55"/>
  <c r="Z2" i="53"/>
  <c r="O24" i="59"/>
  <c r="T158" i="55"/>
  <c r="T21" i="55"/>
  <c r="T256" i="55"/>
  <c r="T43" i="55"/>
  <c r="T117" i="55"/>
  <c r="T119" i="55"/>
  <c r="T222" i="55"/>
  <c r="T57" i="55"/>
  <c r="T26" i="55"/>
  <c r="T62" i="55"/>
  <c r="T40" i="55"/>
  <c r="T17" i="55"/>
  <c r="T123" i="55"/>
  <c r="T125" i="55"/>
  <c r="T24" i="55"/>
  <c r="T157" i="55"/>
  <c r="T193" i="55"/>
  <c r="T195" i="55"/>
  <c r="T141" i="55"/>
  <c r="T118" i="55"/>
  <c r="T86" i="55"/>
  <c r="T75" i="55"/>
  <c r="T15" i="55"/>
  <c r="T53" i="55"/>
  <c r="R251" i="55"/>
  <c r="T251" i="55" s="1"/>
  <c r="T114" i="55"/>
  <c r="T243" i="55"/>
  <c r="T170" i="55"/>
  <c r="T204" i="55"/>
  <c r="T213" i="55"/>
  <c r="T161" i="55"/>
  <c r="T252" i="55"/>
  <c r="T239" i="55"/>
  <c r="T82" i="55"/>
  <c r="T124" i="55"/>
  <c r="T47" i="55"/>
  <c r="T20" i="55"/>
  <c r="T27" i="55"/>
  <c r="T147" i="55"/>
  <c r="T169" i="55"/>
  <c r="T128" i="55"/>
  <c r="T135" i="55"/>
  <c r="T162" i="55"/>
  <c r="T149" i="55"/>
  <c r="T224" i="55"/>
  <c r="T258" i="55"/>
  <c r="T103" i="55"/>
  <c r="T39" i="55"/>
  <c r="T59" i="55"/>
  <c r="T60" i="55"/>
  <c r="T55" i="55"/>
  <c r="T115" i="55"/>
  <c r="T182" i="55"/>
  <c r="T206" i="55"/>
  <c r="T208" i="55"/>
  <c r="T100" i="55"/>
  <c r="T13" i="55"/>
  <c r="T133" i="55"/>
  <c r="T210" i="55"/>
  <c r="T237" i="55"/>
  <c r="T45" i="55"/>
  <c r="T121" i="55"/>
  <c r="T151" i="55"/>
  <c r="T156" i="55"/>
  <c r="T201" i="55"/>
  <c r="T97" i="55"/>
  <c r="T69" i="55"/>
  <c r="T173" i="55"/>
  <c r="T179" i="55"/>
  <c r="T146" i="55"/>
  <c r="T164" i="55"/>
  <c r="T225" i="55"/>
  <c r="T94" i="55"/>
  <c r="T49" i="55"/>
  <c r="T11" i="55"/>
  <c r="T209" i="55"/>
  <c r="T207" i="55"/>
  <c r="T84" i="55"/>
  <c r="T66" i="55"/>
  <c r="T28" i="55"/>
  <c r="T127" i="55"/>
  <c r="T148" i="55"/>
  <c r="T185" i="55"/>
  <c r="T187" i="55"/>
  <c r="T122" i="55"/>
  <c r="T31" i="55"/>
  <c r="T176" i="55"/>
  <c r="T64" i="55"/>
  <c r="T38" i="55"/>
  <c r="T174" i="55"/>
  <c r="T191" i="55"/>
  <c r="G38" i="55"/>
  <c r="H38" i="55"/>
  <c r="G210" i="55"/>
  <c r="H210" i="55"/>
  <c r="G37" i="55"/>
  <c r="H37" i="55"/>
  <c r="G7" i="59"/>
  <c r="T88" i="55"/>
  <c r="H188" i="55"/>
  <c r="G188" i="55"/>
  <c r="T99" i="55"/>
  <c r="H54" i="55"/>
  <c r="G54" i="55"/>
  <c r="H19" i="55"/>
  <c r="G19" i="55"/>
  <c r="G63" i="55"/>
  <c r="H63" i="55"/>
  <c r="G75" i="55"/>
  <c r="H103" i="55"/>
  <c r="G103" i="55"/>
  <c r="H51" i="55"/>
  <c r="G51" i="55"/>
  <c r="G159" i="55"/>
  <c r="O5" i="59"/>
  <c r="G152" i="55"/>
  <c r="H152" i="55"/>
  <c r="T105" i="55"/>
  <c r="T90" i="55"/>
  <c r="G184" i="55"/>
  <c r="T132" i="55"/>
  <c r="E10" i="55"/>
  <c r="T254" i="55"/>
  <c r="N277" i="55"/>
  <c r="N34" i="55" a="1"/>
  <c r="N34" i="55" s="1"/>
  <c r="G19" i="59"/>
  <c r="T44" i="55"/>
  <c r="T29" i="55"/>
  <c r="T110" i="55"/>
  <c r="T134" i="55"/>
  <c r="T192" i="55"/>
  <c r="O7" i="59"/>
  <c r="T160" i="55"/>
  <c r="T199" i="55"/>
  <c r="T229" i="55"/>
  <c r="T245" i="55"/>
  <c r="T74" i="55"/>
  <c r="T42" i="55"/>
  <c r="T48" i="55"/>
  <c r="T203" i="55"/>
  <c r="T231" i="55"/>
  <c r="G23" i="59"/>
  <c r="G5" i="59"/>
  <c r="G8" i="59"/>
  <c r="G26" i="59"/>
  <c r="T87" i="55"/>
  <c r="N108" i="55" a="1"/>
  <c r="N108" i="55" s="1"/>
  <c r="N194" i="55" a="1"/>
  <c r="N194" i="55" s="1"/>
  <c r="T30" i="55"/>
  <c r="T37" i="55"/>
  <c r="O26" i="59"/>
  <c r="T85" i="55"/>
  <c r="T248" i="55"/>
  <c r="T79" i="55"/>
  <c r="T228" i="55"/>
  <c r="T177" i="55"/>
  <c r="T184" i="55"/>
  <c r="T219" i="55"/>
  <c r="N33" i="55" a="1"/>
  <c r="N33" i="55" s="1"/>
  <c r="T7" i="55"/>
  <c r="O37" i="59"/>
  <c r="U37" i="59" s="1"/>
  <c r="T8" i="55"/>
  <c r="T83" i="55"/>
  <c r="T109" i="55"/>
  <c r="P5" i="59"/>
  <c r="C8" i="59"/>
  <c r="K27" i="59"/>
  <c r="G32" i="59"/>
  <c r="M32" i="59" s="1"/>
  <c r="H144" i="55"/>
  <c r="N126" i="55" a="1"/>
  <c r="N126" i="55" s="1"/>
  <c r="N142" i="55" a="1"/>
  <c r="N142" i="55" s="1"/>
  <c r="N238" i="55" a="1"/>
  <c r="N238" i="55" s="1"/>
  <c r="J41" i="59"/>
  <c r="E25" i="59"/>
  <c r="B36" i="59"/>
  <c r="H38" i="59"/>
  <c r="C6" i="59"/>
  <c r="R27" i="59"/>
  <c r="H34" i="59"/>
  <c r="S13" i="59"/>
  <c r="E7" i="59"/>
  <c r="P34" i="59"/>
  <c r="H6" i="59"/>
  <c r="P6" i="59"/>
  <c r="R39" i="59"/>
  <c r="H18" i="59"/>
  <c r="B9" i="59"/>
  <c r="C22" i="59"/>
  <c r="R13" i="59"/>
  <c r="S39" i="59"/>
  <c r="B24" i="59"/>
  <c r="B27" i="59"/>
  <c r="T223" i="55"/>
  <c r="T242" i="55"/>
  <c r="G101" i="55"/>
  <c r="J23" i="59"/>
  <c r="B32" i="59"/>
  <c r="Q23" i="59"/>
  <c r="J6" i="59"/>
  <c r="H23" i="59"/>
  <c r="I18" i="59"/>
  <c r="E22" i="59"/>
  <c r="Q20" i="59"/>
  <c r="C35" i="59"/>
  <c r="N35" i="59" s="1"/>
  <c r="B40" i="59"/>
  <c r="F40" i="59" s="1"/>
  <c r="J34" i="59"/>
  <c r="J8" i="59"/>
  <c r="H9" i="59"/>
  <c r="B12" i="59"/>
  <c r="D26" i="59"/>
  <c r="C5" i="59"/>
  <c r="Q22" i="59"/>
  <c r="R11" i="59"/>
  <c r="O39" i="59"/>
  <c r="U39" i="59" s="1"/>
  <c r="T249" i="55"/>
  <c r="H96" i="55"/>
  <c r="G81" i="55"/>
  <c r="H81" i="55"/>
  <c r="G215" i="55"/>
  <c r="H215" i="55"/>
  <c r="L215" i="55" a="1"/>
  <c r="L215" i="55" s="1"/>
  <c r="G256" i="55"/>
  <c r="H256" i="55"/>
  <c r="G82" i="55"/>
  <c r="H82" i="55"/>
  <c r="H112" i="55"/>
  <c r="G112" i="55"/>
  <c r="H129" i="55"/>
  <c r="G129" i="55"/>
  <c r="H187" i="55"/>
  <c r="G187" i="55"/>
  <c r="G201" i="55"/>
  <c r="H201" i="55"/>
  <c r="G258" i="55"/>
  <c r="H258" i="55"/>
  <c r="H95" i="55"/>
  <c r="G95" i="55"/>
  <c r="H41" i="55"/>
  <c r="H18" i="55"/>
  <c r="G114" i="55"/>
  <c r="H153" i="55"/>
  <c r="G153" i="55"/>
  <c r="H162" i="55"/>
  <c r="G162" i="55"/>
  <c r="H231" i="55"/>
  <c r="G231" i="55"/>
  <c r="I277" i="55"/>
  <c r="N220" i="53"/>
  <c r="K201" i="55" s="1" a="1"/>
  <c r="K201" i="55" s="1"/>
  <c r="P2" i="53"/>
  <c r="N2" i="53"/>
  <c r="I2" i="55"/>
  <c r="O18" i="59"/>
  <c r="G18" i="59"/>
  <c r="G4" i="59"/>
  <c r="AE220" i="53"/>
  <c r="Q277" i="55"/>
  <c r="AE2" i="53"/>
  <c r="N27" i="55" a="1"/>
  <c r="N27" i="55" s="1"/>
  <c r="N160" i="55" a="1"/>
  <c r="N160" i="55" s="1"/>
  <c r="N73" i="55" a="1"/>
  <c r="N73" i="55" s="1"/>
  <c r="O73" i="55" s="1"/>
  <c r="N148" i="55" a="1"/>
  <c r="N148" i="55" s="1"/>
  <c r="N44" i="55" a="1"/>
  <c r="N44" i="55" s="1"/>
  <c r="N232" i="55" a="1"/>
  <c r="N232" i="55" s="1"/>
  <c r="O232" i="55" s="1"/>
  <c r="N69" i="55" a="1"/>
  <c r="N69" i="55" s="1"/>
  <c r="N246" i="55" a="1"/>
  <c r="N246" i="55" s="1"/>
  <c r="N225" i="55" a="1"/>
  <c r="N225" i="55" s="1"/>
  <c r="N140" i="55" a="1"/>
  <c r="N140" i="55" s="1"/>
  <c r="N67" i="55" a="1"/>
  <c r="N67" i="55" s="1"/>
  <c r="N193" i="55" a="1"/>
  <c r="N193" i="55" s="1"/>
  <c r="N223" i="55" a="1"/>
  <c r="N223" i="55" s="1"/>
  <c r="N14" i="55" a="1"/>
  <c r="N14" i="55" s="1"/>
  <c r="O14" i="55" s="1"/>
  <c r="N13" i="55" a="1"/>
  <c r="N13" i="55" s="1"/>
  <c r="N75" i="55" a="1"/>
  <c r="N75" i="55" s="1"/>
  <c r="N111" i="55" a="1"/>
  <c r="N111" i="55" s="1"/>
  <c r="N51" i="55" a="1"/>
  <c r="N51" i="55" s="1"/>
  <c r="O51" i="55" s="1"/>
  <c r="N165" i="55" a="1"/>
  <c r="N165" i="55" s="1"/>
  <c r="N85" i="55" a="1"/>
  <c r="N85" i="55" s="1"/>
  <c r="N92" i="55" a="1"/>
  <c r="N92" i="55" s="1"/>
  <c r="N117" i="55" a="1"/>
  <c r="N117" i="55" s="1"/>
  <c r="N125" i="55" a="1"/>
  <c r="N125" i="55" s="1"/>
  <c r="N176" i="55" a="1"/>
  <c r="N176" i="55" s="1"/>
  <c r="O176" i="55" s="1"/>
  <c r="N222" i="55" a="1"/>
  <c r="N222" i="55" s="1"/>
  <c r="N209" i="55" a="1"/>
  <c r="N209" i="55" s="1"/>
  <c r="N219" i="55" a="1"/>
  <c r="N219" i="55" s="1"/>
  <c r="O219" i="55" s="1"/>
  <c r="N170" i="55" a="1"/>
  <c r="N170" i="55" s="1"/>
  <c r="N80" i="55" a="1"/>
  <c r="N80" i="55" s="1"/>
  <c r="O80" i="55" s="1"/>
  <c r="N120" i="55" a="1"/>
  <c r="N120" i="55" s="1"/>
  <c r="N136" i="55" a="1"/>
  <c r="N136" i="55" s="1"/>
  <c r="N236" i="55" a="1"/>
  <c r="N236" i="55" s="1"/>
  <c r="N181" i="55" a="1"/>
  <c r="N181" i="55" s="1"/>
  <c r="N141" i="55" a="1"/>
  <c r="N141" i="55" s="1"/>
  <c r="N192" i="55" a="1"/>
  <c r="N192" i="55" s="1"/>
  <c r="X2" i="53"/>
  <c r="N53" i="55" a="1"/>
  <c r="N53" i="55" s="1"/>
  <c r="N95" i="55" a="1"/>
  <c r="N95" i="55" s="1"/>
  <c r="N207" i="55" a="1"/>
  <c r="N207" i="55" s="1"/>
  <c r="N76" i="55" a="1"/>
  <c r="N76" i="55" s="1"/>
  <c r="O76" i="55" s="1"/>
  <c r="N156" i="55" a="1"/>
  <c r="N156" i="55" s="1"/>
  <c r="N39" i="55" a="1"/>
  <c r="N39" i="55" s="1"/>
  <c r="N99" i="55" a="1"/>
  <c r="N99" i="55" s="1"/>
  <c r="N213" i="55" a="1"/>
  <c r="N213" i="55" s="1"/>
  <c r="N25" i="55" a="1"/>
  <c r="N25" i="55" s="1"/>
  <c r="N173" i="55" a="1"/>
  <c r="N173" i="55" s="1"/>
  <c r="N56" i="55" a="1"/>
  <c r="N56" i="55" s="1"/>
  <c r="N211" i="55" a="1"/>
  <c r="N211" i="55" s="1"/>
  <c r="N72" i="55" a="1"/>
  <c r="N72" i="55" s="1"/>
  <c r="N163" i="55" a="1"/>
  <c r="N163" i="55" s="1"/>
  <c r="N118" i="55" a="1"/>
  <c r="N118" i="55" s="1"/>
  <c r="N86" i="55" a="1"/>
  <c r="N86" i="55" s="1"/>
  <c r="N216" i="55" a="1"/>
  <c r="N216" i="55" s="1"/>
  <c r="N184" i="55" a="1"/>
  <c r="N184" i="55" s="1"/>
  <c r="N150" i="55" a="1"/>
  <c r="N150" i="55" s="1"/>
  <c r="N149" i="55" a="1"/>
  <c r="N149" i="55" s="1"/>
  <c r="N46" i="55" a="1"/>
  <c r="N46" i="55" s="1"/>
  <c r="N132" i="55" a="1"/>
  <c r="N132" i="55" s="1"/>
  <c r="N90" i="55" a="1"/>
  <c r="N90" i="55" s="1"/>
  <c r="N240" i="55" a="1"/>
  <c r="N240" i="55" s="1"/>
  <c r="N196" i="55" a="1"/>
  <c r="N196" i="55" s="1"/>
  <c r="N178" i="55" a="1"/>
  <c r="N178" i="55" s="1"/>
  <c r="N28" i="55" a="1"/>
  <c r="N28" i="55" s="1"/>
  <c r="N187" i="55" a="1"/>
  <c r="N187" i="55" s="1"/>
  <c r="O187" i="55" s="1"/>
  <c r="N168" i="55" a="1"/>
  <c r="N168" i="55" s="1"/>
  <c r="N123" i="55" a="1"/>
  <c r="N123" i="55" s="1"/>
  <c r="N228" i="55" a="1"/>
  <c r="N228" i="55" s="1"/>
  <c r="N101" i="55" a="1"/>
  <c r="N101" i="55" s="1"/>
  <c r="N115" i="55" a="1"/>
  <c r="N115" i="55" s="1"/>
  <c r="N79" i="55" a="1"/>
  <c r="N79" i="55" s="1"/>
  <c r="O79" i="55" s="1"/>
  <c r="N197" i="55" a="1"/>
  <c r="N197" i="55" s="1"/>
  <c r="N121" i="55" a="1"/>
  <c r="N121" i="55" s="1"/>
  <c r="N214" i="55" a="1"/>
  <c r="N214" i="55" s="1"/>
  <c r="N103" i="55" a="1"/>
  <c r="N103" i="55" s="1"/>
  <c r="N159" i="55" a="1"/>
  <c r="N159" i="55" s="1"/>
  <c r="N161" i="55" a="1"/>
  <c r="N161" i="55" s="1"/>
  <c r="N47" i="55" a="1"/>
  <c r="N47" i="55" s="1"/>
  <c r="N206" i="55" a="1"/>
  <c r="N206" i="55" s="1"/>
  <c r="O206" i="55" s="1"/>
  <c r="N245" i="55" a="1"/>
  <c r="N245" i="55" s="1"/>
  <c r="N60" i="55" a="1"/>
  <c r="N60" i="55" s="1"/>
  <c r="N119" i="55" a="1"/>
  <c r="N119" i="55" s="1"/>
  <c r="N65" i="55" a="1"/>
  <c r="N65" i="55" s="1"/>
  <c r="N253" i="55" a="1"/>
  <c r="N253" i="55" s="1"/>
  <c r="N23" i="55" a="1"/>
  <c r="N23" i="55" s="1"/>
  <c r="N116" i="55" a="1"/>
  <c r="N116" i="55" s="1"/>
  <c r="N43" i="55" a="1"/>
  <c r="N43" i="55" s="1"/>
  <c r="N220" i="55" a="1"/>
  <c r="N220" i="55" s="1"/>
  <c r="N22" i="55" a="1"/>
  <c r="N22" i="55" s="1"/>
  <c r="O22" i="55" s="1"/>
  <c r="N242" i="55" a="1"/>
  <c r="N242" i="55" s="1"/>
  <c r="N179" i="55" a="1"/>
  <c r="N179" i="55" s="1"/>
  <c r="N154" i="55" a="1"/>
  <c r="N154" i="55" s="1"/>
  <c r="N16" i="55" a="1"/>
  <c r="N16" i="55" s="1"/>
  <c r="N258" i="55" a="1"/>
  <c r="N258" i="55" s="1"/>
  <c r="N174" i="55" a="1"/>
  <c r="N174" i="55" s="1"/>
  <c r="N251" i="55" a="1"/>
  <c r="N251" i="55" s="1"/>
  <c r="O251" i="55" s="1"/>
  <c r="N243" i="55" a="1"/>
  <c r="N243" i="55" s="1"/>
  <c r="O243" i="55" s="1"/>
  <c r="N146" i="55" a="1"/>
  <c r="N146" i="55" s="1"/>
  <c r="O146" i="55" s="1"/>
  <c r="N7" i="55" a="1"/>
  <c r="N7" i="55" s="1"/>
  <c r="N202" i="55" a="1"/>
  <c r="N202" i="55" s="1"/>
  <c r="N94" i="55" a="1"/>
  <c r="N94" i="55" s="1"/>
  <c r="N52" i="55" a="1"/>
  <c r="N52" i="55" s="1"/>
  <c r="N68" i="55" a="1"/>
  <c r="N68" i="55" s="1"/>
  <c r="N48" i="55" a="1"/>
  <c r="N48" i="55" s="1"/>
  <c r="N64" i="55" a="1"/>
  <c r="N64" i="55" s="1"/>
  <c r="N229" i="55" a="1"/>
  <c r="N229" i="55" s="1"/>
  <c r="N122" i="55" a="1"/>
  <c r="N122" i="55" s="1"/>
  <c r="N66" i="55" a="1"/>
  <c r="N66" i="55" s="1"/>
  <c r="N91" i="55" a="1"/>
  <c r="N91" i="55" s="1"/>
  <c r="N171" i="55" a="1"/>
  <c r="N171" i="55" s="1"/>
  <c r="N107" i="55" a="1"/>
  <c r="N107" i="55" s="1"/>
  <c r="N226" i="55" a="1"/>
  <c r="N226" i="55" s="1"/>
  <c r="N137" i="55" a="1"/>
  <c r="N137" i="55" s="1"/>
  <c r="N167" i="55" a="1"/>
  <c r="N167" i="55" s="1"/>
  <c r="N114" i="55" a="1"/>
  <c r="N114" i="55" s="1"/>
  <c r="N104" i="55" a="1"/>
  <c r="N104" i="55" s="1"/>
  <c r="N191" i="55" a="1"/>
  <c r="N191" i="55" s="1"/>
  <c r="N10" i="55" a="1"/>
  <c r="N10" i="55" s="1"/>
  <c r="O10" i="55" s="1"/>
  <c r="N105" i="55" a="1"/>
  <c r="N105" i="55" s="1"/>
  <c r="N201" i="55" a="1"/>
  <c r="N201" i="55" s="1"/>
  <c r="N110" i="55" a="1"/>
  <c r="N110" i="55" s="1"/>
  <c r="N71" i="55" a="1"/>
  <c r="N71" i="55" s="1"/>
  <c r="N234" i="55" a="1"/>
  <c r="N234" i="55" s="1"/>
  <c r="O234" i="55" s="1"/>
  <c r="N83" i="55" a="1"/>
  <c r="N83" i="55" s="1"/>
  <c r="O83" i="55" s="1"/>
  <c r="N133" i="55" a="1"/>
  <c r="N133" i="55" s="1"/>
  <c r="O133" i="55" s="1"/>
  <c r="N57" i="55" a="1"/>
  <c r="N57" i="55" s="1"/>
  <c r="O57" i="55" s="1"/>
  <c r="N188" i="55" a="1"/>
  <c r="N188" i="55" s="1"/>
  <c r="N8" i="55" a="1"/>
  <c r="N8" i="55" s="1"/>
  <c r="N147" i="55" a="1"/>
  <c r="N147" i="55" s="1"/>
  <c r="N134" i="55" a="1"/>
  <c r="N134" i="55" s="1"/>
  <c r="O134" i="55" s="1"/>
  <c r="N255" i="55" a="1"/>
  <c r="N255" i="55" s="1"/>
  <c r="N164" i="55" a="1"/>
  <c r="N164" i="55" s="1"/>
  <c r="O164" i="55" s="1"/>
  <c r="N63" i="55" a="1"/>
  <c r="N63" i="55" s="1"/>
  <c r="N257" i="55" a="1"/>
  <c r="N257" i="55" s="1"/>
  <c r="O257" i="55" s="1"/>
  <c r="N237" i="55" a="1"/>
  <c r="N237" i="55" s="1"/>
  <c r="N152" i="55" a="1"/>
  <c r="N152" i="55" s="1"/>
  <c r="N54" i="55" a="1"/>
  <c r="N54" i="55" s="1"/>
  <c r="N29" i="55" a="1"/>
  <c r="N29" i="55" s="1"/>
  <c r="O29" i="55" s="1"/>
  <c r="N169" i="55" a="1"/>
  <c r="N169" i="55" s="1"/>
  <c r="N252" i="55" a="1"/>
  <c r="N252" i="55" s="1"/>
  <c r="N84" i="55" a="1"/>
  <c r="N84" i="55" s="1"/>
  <c r="O84" i="55" s="1"/>
  <c r="N244" i="55" a="1"/>
  <c r="N244" i="55" s="1"/>
  <c r="N143" i="55" a="1"/>
  <c r="N143" i="55" s="1"/>
  <c r="N24" i="55" a="1"/>
  <c r="N24" i="55" s="1"/>
  <c r="N172" i="55" a="1"/>
  <c r="N172" i="55" s="1"/>
  <c r="O172" i="55" s="1"/>
  <c r="N40" i="55" a="1"/>
  <c r="N40" i="55" s="1"/>
  <c r="N158" i="55" a="1"/>
  <c r="N158" i="55" s="1"/>
  <c r="N218" i="55" a="1"/>
  <c r="N218" i="55" s="1"/>
  <c r="N153" i="55" a="1"/>
  <c r="N153" i="55" s="1"/>
  <c r="N19" i="55" a="1"/>
  <c r="N19" i="55" s="1"/>
  <c r="O19" i="55" s="1"/>
  <c r="N82" i="55" a="1"/>
  <c r="N82" i="55" s="1"/>
  <c r="N190" i="55" a="1"/>
  <c r="N190" i="55" s="1"/>
  <c r="N93" i="55" a="1"/>
  <c r="N93" i="55" s="1"/>
  <c r="N241" i="55" a="1"/>
  <c r="N241" i="55" s="1"/>
  <c r="N112" i="55" a="1"/>
  <c r="N112" i="55" s="1"/>
  <c r="N15" i="55" a="1"/>
  <c r="N15" i="55" s="1"/>
  <c r="O15" i="55" s="1"/>
  <c r="N9" i="55" a="1"/>
  <c r="N9" i="55" s="1"/>
  <c r="O9" i="55" s="1"/>
  <c r="N138" i="55" a="1"/>
  <c r="N138" i="55" s="1"/>
  <c r="N217" i="55" a="1"/>
  <c r="N217" i="55" s="1"/>
  <c r="N199" i="55" a="1"/>
  <c r="N199" i="55" s="1"/>
  <c r="N59" i="55" a="1"/>
  <c r="N59" i="55" s="1"/>
  <c r="N254" i="55" a="1"/>
  <c r="N254" i="55" s="1"/>
  <c r="N50" i="55" a="1"/>
  <c r="N50" i="55" s="1"/>
  <c r="O50" i="55" s="1"/>
  <c r="N221" i="55" a="1"/>
  <c r="N221" i="55" s="1"/>
  <c r="N20" i="55" a="1"/>
  <c r="N20" i="55" s="1"/>
  <c r="N186" i="55" a="1"/>
  <c r="N186" i="55" s="1"/>
  <c r="N182" i="55" a="1"/>
  <c r="N182" i="55" s="1"/>
  <c r="N208" i="55" a="1"/>
  <c r="N208" i="55" s="1"/>
  <c r="N124" i="55" a="1"/>
  <c r="N124" i="55" s="1"/>
  <c r="N31" i="55" a="1"/>
  <c r="N31" i="55" s="1"/>
  <c r="N131" i="55" a="1"/>
  <c r="N131" i="55" s="1"/>
  <c r="O131" i="55" s="1"/>
  <c r="N55" i="55" a="1"/>
  <c r="N55" i="55" s="1"/>
  <c r="O55" i="55" s="1"/>
  <c r="N21" i="55" a="1"/>
  <c r="N21" i="55" s="1"/>
  <c r="O21" i="55" s="1"/>
  <c r="N45" i="55" a="1"/>
  <c r="N45" i="55" s="1"/>
  <c r="O45" i="55" s="1"/>
  <c r="N87" i="55" a="1"/>
  <c r="N87" i="55" s="1"/>
  <c r="O87" i="55" s="1"/>
  <c r="N62" i="55" a="1"/>
  <c r="N62" i="55" s="1"/>
  <c r="N151" i="55" a="1"/>
  <c r="N151" i="55" s="1"/>
  <c r="O151" i="55" s="1"/>
  <c r="L187" i="55" a="1"/>
  <c r="L187" i="55" s="1"/>
  <c r="L57" i="55" a="1"/>
  <c r="L57" i="55" s="1"/>
  <c r="L236" i="55" a="1"/>
  <c r="L236" i="55" s="1"/>
  <c r="L119" i="55" a="1"/>
  <c r="L119" i="55" s="1"/>
  <c r="L245" i="55" a="1"/>
  <c r="L245" i="55" s="1"/>
  <c r="L126" i="55" a="1"/>
  <c r="L126" i="55" s="1"/>
  <c r="L208" i="55" a="1"/>
  <c r="L208" i="55" s="1"/>
  <c r="L123" i="55" a="1"/>
  <c r="L123" i="55" s="1"/>
  <c r="L241" i="55" a="1"/>
  <c r="L241" i="55" s="1"/>
  <c r="L122" i="55" a="1"/>
  <c r="L122" i="55" s="1"/>
  <c r="L103" i="55" a="1"/>
  <c r="L103" i="55" s="1"/>
  <c r="L14" i="55" a="1"/>
  <c r="L14" i="55" s="1"/>
  <c r="L115" i="55" a="1"/>
  <c r="L115" i="55" s="1"/>
  <c r="L219" i="55" a="1"/>
  <c r="L219" i="55" s="1"/>
  <c r="L181" i="55" a="1"/>
  <c r="L181" i="55" s="1"/>
  <c r="L156" i="55" a="1"/>
  <c r="L156" i="55" s="1"/>
  <c r="L27" i="55" a="1"/>
  <c r="L27" i="55" s="1"/>
  <c r="L23" i="55" a="1"/>
  <c r="L23" i="55" s="1"/>
  <c r="L19" i="55" a="1"/>
  <c r="L19" i="55" s="1"/>
  <c r="L128" i="55" a="1"/>
  <c r="L128" i="55" s="1"/>
  <c r="L15" i="55" a="1"/>
  <c r="L15" i="55" s="1"/>
  <c r="L229" i="55" a="1"/>
  <c r="L229" i="55" s="1"/>
  <c r="L22" i="55" a="1"/>
  <c r="L22" i="55" s="1"/>
  <c r="L110" i="55" a="1"/>
  <c r="L110" i="55" s="1"/>
  <c r="L73" i="55" a="1"/>
  <c r="L73" i="55" s="1"/>
  <c r="L125" i="55" a="1"/>
  <c r="L125" i="55" s="1"/>
  <c r="L87" i="55" a="1"/>
  <c r="L87" i="55" s="1"/>
  <c r="L10" i="55" a="1"/>
  <c r="L10" i="55" s="1"/>
  <c r="L157" i="55" a="1"/>
  <c r="L157" i="55" s="1"/>
  <c r="L117" i="55" a="1"/>
  <c r="L117" i="55" s="1"/>
  <c r="L101" i="55" a="1"/>
  <c r="L101" i="55" s="1"/>
  <c r="L135" i="55" a="1"/>
  <c r="L135" i="55" s="1"/>
  <c r="L170" i="55" a="1"/>
  <c r="L170" i="55" s="1"/>
  <c r="L116" i="55" a="1"/>
  <c r="L116" i="55" s="1"/>
  <c r="L194" i="55" a="1"/>
  <c r="L194" i="55" s="1"/>
  <c r="L195" i="55" a="1"/>
  <c r="L195" i="55" s="1"/>
  <c r="L211" i="55" a="1"/>
  <c r="L211" i="55" s="1"/>
  <c r="L196" i="55" a="1"/>
  <c r="L196" i="55" s="1"/>
  <c r="L186" i="55" a="1"/>
  <c r="L186" i="55" s="1"/>
  <c r="L62" i="55" a="1"/>
  <c r="L62" i="55" s="1"/>
  <c r="L160" i="55" a="1"/>
  <c r="L160" i="55" s="1"/>
  <c r="L61" i="55" a="1"/>
  <c r="L61" i="55" s="1"/>
  <c r="L53" i="55" a="1"/>
  <c r="L53" i="55" s="1"/>
  <c r="L203" i="55" a="1"/>
  <c r="L203" i="55" s="1"/>
  <c r="L168" i="55" a="1"/>
  <c r="L168" i="55" s="1"/>
  <c r="L106" i="55" a="1"/>
  <c r="L106" i="55" s="1"/>
  <c r="L65" i="55" a="1"/>
  <c r="L65" i="55" s="1"/>
  <c r="G41" i="55"/>
  <c r="T197" i="55"/>
  <c r="O9" i="59"/>
  <c r="Z220" i="53"/>
  <c r="G11" i="59"/>
  <c r="F35" i="59"/>
  <c r="V35" i="59"/>
  <c r="H67" i="55"/>
  <c r="G67" i="55"/>
  <c r="O204" i="55"/>
  <c r="T95" i="55"/>
  <c r="H79" i="55"/>
  <c r="G79" i="55"/>
  <c r="L79" i="55" a="1"/>
  <c r="L79" i="55" s="1"/>
  <c r="G189" i="55"/>
  <c r="O28" i="55"/>
  <c r="H50" i="55"/>
  <c r="L50" i="55" a="1"/>
  <c r="L50" i="55" s="1"/>
  <c r="G50" i="55"/>
  <c r="H40" i="55"/>
  <c r="G40" i="55"/>
  <c r="H173" i="55"/>
  <c r="G173" i="55"/>
  <c r="L173" i="55" a="1"/>
  <c r="L173" i="55" s="1"/>
  <c r="O11" i="59"/>
  <c r="O25" i="59"/>
  <c r="U25" i="59" s="1"/>
  <c r="O21" i="59"/>
  <c r="O6" i="59"/>
  <c r="G10" i="59"/>
  <c r="G24" i="59"/>
  <c r="S220" i="53"/>
  <c r="G25" i="59"/>
  <c r="T35" i="55"/>
  <c r="L40" i="55" a="1"/>
  <c r="L40" i="55" s="1"/>
  <c r="T35" i="59"/>
  <c r="G85" i="55"/>
  <c r="H85" i="55"/>
  <c r="H189" i="55"/>
  <c r="T67" i="55"/>
  <c r="T10" i="55"/>
  <c r="T72" i="55"/>
  <c r="G121" i="55"/>
  <c r="H121" i="55"/>
  <c r="H166" i="55"/>
  <c r="G166" i="55"/>
  <c r="G6" i="59"/>
  <c r="G27" i="59"/>
  <c r="M27" i="59" s="1"/>
  <c r="G13" i="59"/>
  <c r="M13" i="59" s="1"/>
  <c r="T71" i="55"/>
  <c r="H13" i="55"/>
  <c r="G13" i="55"/>
  <c r="O22" i="59"/>
  <c r="O8" i="59"/>
  <c r="O12" i="59"/>
  <c r="T25" i="55"/>
  <c r="H128" i="55"/>
  <c r="G128" i="55"/>
  <c r="H140" i="55"/>
  <c r="G140" i="55"/>
  <c r="G200" i="55"/>
  <c r="H200" i="55"/>
  <c r="G252" i="55"/>
  <c r="H252" i="55"/>
  <c r="G243" i="55"/>
  <c r="H243" i="55"/>
  <c r="L105" i="55" a="1"/>
  <c r="L105" i="55" s="1"/>
  <c r="G56" i="55"/>
  <c r="G12" i="59"/>
  <c r="H89" i="55"/>
  <c r="G89" i="55"/>
  <c r="H76" i="55"/>
  <c r="H223" i="55"/>
  <c r="G223" i="55"/>
  <c r="T68" i="55"/>
  <c r="G88" i="55"/>
  <c r="G149" i="55"/>
  <c r="H149" i="55"/>
  <c r="H202" i="55"/>
  <c r="G202" i="55"/>
  <c r="T235" i="55"/>
  <c r="H237" i="55"/>
  <c r="L56" i="55" a="1"/>
  <c r="L56" i="55" s="1"/>
  <c r="G62" i="55"/>
  <c r="T19" i="55"/>
  <c r="H198" i="55"/>
  <c r="H107" i="55"/>
  <c r="H44" i="55"/>
  <c r="G218" i="55"/>
  <c r="H218" i="55"/>
  <c r="O4" i="59"/>
  <c r="O10" i="59"/>
  <c r="T98" i="55"/>
  <c r="G108" i="55"/>
  <c r="H108" i="55"/>
  <c r="H127" i="55"/>
  <c r="G127" i="55"/>
  <c r="H244" i="55"/>
  <c r="T70" i="55"/>
  <c r="O20" i="59"/>
  <c r="U20" i="59" s="1"/>
  <c r="G21" i="59"/>
  <c r="T52" i="55"/>
  <c r="T34" i="55"/>
  <c r="T96" i="55"/>
  <c r="T65" i="55"/>
  <c r="O27" i="59"/>
  <c r="U27" i="59" s="1"/>
  <c r="N96" i="55" a="1"/>
  <c r="N96" i="55" s="1"/>
  <c r="T93" i="55"/>
  <c r="T32" i="55"/>
  <c r="T77" i="55"/>
  <c r="T92" i="55"/>
  <c r="T61" i="55"/>
  <c r="T23" i="55"/>
  <c r="T9" i="55"/>
  <c r="S2" i="53"/>
  <c r="G111" i="55"/>
  <c r="T214" i="55"/>
  <c r="T89" i="55"/>
  <c r="T51" i="55"/>
  <c r="T56" i="55"/>
  <c r="T76" i="55"/>
  <c r="H22" i="55"/>
  <c r="O23" i="59"/>
  <c r="D13" i="57"/>
  <c r="E5" i="57"/>
  <c r="E6" i="57" s="1"/>
  <c r="E7" i="57" s="1"/>
  <c r="E8" i="57" s="1"/>
  <c r="E9" i="57" s="1"/>
  <c r="E10" i="57" s="1"/>
  <c r="E11" i="57" s="1"/>
  <c r="E12" i="57" s="1"/>
  <c r="G199" i="55"/>
  <c r="H199" i="55"/>
  <c r="G180" i="55"/>
  <c r="H180" i="55"/>
  <c r="H109" i="55"/>
  <c r="G148" i="55"/>
  <c r="H148" i="55"/>
  <c r="G23" i="55"/>
  <c r="T18" i="55"/>
  <c r="H23" i="55"/>
  <c r="G185" i="55"/>
  <c r="H185" i="55"/>
  <c r="G222" i="55"/>
  <c r="G71" i="55"/>
  <c r="G7" i="26"/>
  <c r="F6" i="26"/>
  <c r="H7" i="55"/>
  <c r="G7" i="55"/>
  <c r="G97" i="55"/>
  <c r="H97" i="55"/>
  <c r="H43" i="55"/>
  <c r="G43" i="55"/>
  <c r="T81" i="55"/>
  <c r="G65" i="55"/>
  <c r="H65" i="55"/>
  <c r="H190" i="55"/>
  <c r="G190" i="55"/>
  <c r="G227" i="55"/>
  <c r="H227" i="55"/>
  <c r="L109" i="55" a="1"/>
  <c r="L109" i="55" s="1"/>
  <c r="L138" i="55" a="1"/>
  <c r="L138" i="55" s="1"/>
  <c r="H60" i="55"/>
  <c r="L199" i="55" a="1"/>
  <c r="L199" i="55" s="1"/>
  <c r="G60" i="55"/>
  <c r="G138" i="55"/>
  <c r="H55" i="55"/>
  <c r="G55" i="55"/>
  <c r="H138" i="55"/>
  <c r="T78" i="55"/>
  <c r="H94" i="55"/>
  <c r="G94" i="55"/>
  <c r="G83" i="55"/>
  <c r="H93" i="55"/>
  <c r="G93" i="55"/>
  <c r="G34" i="55"/>
  <c r="H34" i="55"/>
  <c r="C6" i="26"/>
  <c r="N128" i="55" a="1"/>
  <c r="N128" i="55" s="1"/>
  <c r="N74" i="55" a="1"/>
  <c r="N74" i="55" s="1"/>
  <c r="O74" i="55" s="1"/>
  <c r="N30" i="55" a="1"/>
  <c r="N30" i="55" s="1"/>
  <c r="N215" i="55" a="1"/>
  <c r="N215" i="55" s="1"/>
  <c r="O215" i="55" s="1"/>
  <c r="N139" i="55" a="1"/>
  <c r="N139" i="55" s="1"/>
  <c r="AA14" i="26"/>
  <c r="H193" i="55"/>
  <c r="J12" i="26"/>
  <c r="AH12" i="26"/>
  <c r="AK14" i="26"/>
  <c r="N227" i="55" a="1"/>
  <c r="N227" i="55" s="1"/>
  <c r="N144" i="55" a="1"/>
  <c r="N144" i="55" s="1"/>
  <c r="O144" i="55" s="1"/>
  <c r="N81" i="55" a="1"/>
  <c r="N81" i="55" s="1"/>
  <c r="G141" i="55"/>
  <c r="G135" i="55"/>
  <c r="H14" i="26"/>
  <c r="H204" i="55"/>
  <c r="F14" i="26"/>
  <c r="N256" i="55" a="1"/>
  <c r="N256" i="55" s="1"/>
  <c r="N145" i="55" a="1"/>
  <c r="N145" i="55" s="1"/>
  <c r="H114" i="55"/>
  <c r="F12" i="26"/>
  <c r="G12" i="26"/>
  <c r="X12" i="26"/>
  <c r="N175" i="55" a="1"/>
  <c r="N175" i="55" s="1"/>
  <c r="O175" i="55" s="1"/>
  <c r="AB12" i="26"/>
  <c r="H146" i="55"/>
  <c r="AF12" i="26"/>
  <c r="V14" i="26"/>
  <c r="N32" i="55" a="1"/>
  <c r="N32" i="55" s="1"/>
  <c r="O32" i="55" s="1"/>
  <c r="N109" i="55" a="1"/>
  <c r="N109" i="55" s="1"/>
  <c r="O109" i="55" s="1"/>
  <c r="N61" i="55" a="1"/>
  <c r="N61" i="55" s="1"/>
  <c r="K14" i="26"/>
  <c r="T12" i="26"/>
  <c r="AE14" i="26"/>
  <c r="N200" i="55" a="1"/>
  <c r="N200" i="55" s="1"/>
  <c r="U12" i="26"/>
  <c r="Z12" i="26"/>
  <c r="S12" i="26"/>
  <c r="N37" i="55" a="1"/>
  <c r="N37" i="55" s="1"/>
  <c r="O37" i="55" s="1"/>
  <c r="G96" i="55"/>
  <c r="E6" i="26"/>
  <c r="C12" i="26"/>
  <c r="G2" i="26"/>
  <c r="H195" i="55"/>
  <c r="B12" i="26"/>
  <c r="G84" i="55"/>
  <c r="G9" i="59"/>
  <c r="N78" i="55" a="1"/>
  <c r="N78" i="55" s="1"/>
  <c r="O78" i="55" s="1"/>
  <c r="AH14" i="26"/>
  <c r="R12" i="26"/>
  <c r="W14" i="26"/>
  <c r="N250" i="55" a="1"/>
  <c r="N250" i="55" s="1"/>
  <c r="N106" i="55" a="1"/>
  <c r="N106" i="55" s="1"/>
  <c r="N247" i="55" a="1"/>
  <c r="N247" i="55" s="1"/>
  <c r="AA12" i="26"/>
  <c r="AJ14" i="26"/>
  <c r="O14" i="26"/>
  <c r="E12" i="26"/>
  <c r="Y12" i="26"/>
  <c r="N231" i="55" a="1"/>
  <c r="N231" i="55" s="1"/>
  <c r="O231" i="55" s="1"/>
  <c r="N12" i="55" a="1"/>
  <c r="N12" i="55" s="1"/>
  <c r="O12" i="55" s="1"/>
  <c r="N11" i="55" a="1"/>
  <c r="N11" i="55" s="1"/>
  <c r="O11" i="55" s="1"/>
  <c r="N185" i="55" a="1"/>
  <c r="N185" i="55" s="1"/>
  <c r="N189" i="55" a="1"/>
  <c r="N189" i="55" s="1"/>
  <c r="AG12" i="26"/>
  <c r="H12" i="26"/>
  <c r="AG14" i="26"/>
  <c r="X14" i="26"/>
  <c r="R22" i="55"/>
  <c r="T22" i="55" s="1"/>
  <c r="N230" i="55" a="1"/>
  <c r="N230" i="55" s="1"/>
  <c r="O230" i="55" s="1"/>
  <c r="N239" i="55" a="1"/>
  <c r="N239" i="55" s="1"/>
  <c r="N177" i="55" a="1"/>
  <c r="N177" i="55" s="1"/>
  <c r="N88" i="55" a="1"/>
  <c r="N88" i="55" s="1"/>
  <c r="O88" i="55" s="1"/>
  <c r="N198" i="55" a="1"/>
  <c r="N198" i="55" s="1"/>
  <c r="Q14" i="26"/>
  <c r="M12" i="26"/>
  <c r="S14" i="26"/>
  <c r="N17" i="55" a="1"/>
  <c r="N17" i="55" s="1"/>
  <c r="N113" i="55" a="1"/>
  <c r="N113" i="55" s="1"/>
  <c r="H143" i="55"/>
  <c r="G14" i="26"/>
  <c r="G126" i="55"/>
  <c r="K12" i="26"/>
  <c r="H49" i="55"/>
  <c r="AD12" i="26"/>
  <c r="P12" i="26"/>
  <c r="T220" i="55" l="1"/>
  <c r="O85" i="55"/>
  <c r="T234" i="55"/>
  <c r="O106" i="55"/>
  <c r="O211" i="55"/>
  <c r="O236" i="55"/>
  <c r="O59" i="55"/>
  <c r="O77" i="55"/>
  <c r="O16" i="55"/>
  <c r="O93" i="55"/>
  <c r="O58" i="55"/>
  <c r="O54" i="55"/>
  <c r="O18" i="55"/>
  <c r="O42" i="55"/>
  <c r="O155" i="55"/>
  <c r="O26" i="55"/>
  <c r="O130" i="55"/>
  <c r="O7" i="55"/>
  <c r="O75" i="55"/>
  <c r="O225" i="55"/>
  <c r="O20" i="55"/>
  <c r="O91" i="55"/>
  <c r="O117" i="55"/>
  <c r="O126" i="55"/>
  <c r="O116" i="55"/>
  <c r="O94" i="55"/>
  <c r="O104" i="55"/>
  <c r="O107" i="55"/>
  <c r="O33" i="55"/>
  <c r="O90" i="55"/>
  <c r="O41" i="55"/>
  <c r="N19" i="59"/>
  <c r="O35" i="55"/>
  <c r="O13" i="55"/>
  <c r="O237" i="55"/>
  <c r="O43" i="55"/>
  <c r="O167" i="55"/>
  <c r="O111" i="55"/>
  <c r="O137" i="55"/>
  <c r="O60" i="55"/>
  <c r="O171" i="55"/>
  <c r="O72" i="55"/>
  <c r="L39" i="59"/>
  <c r="T7" i="59"/>
  <c r="O70" i="55"/>
  <c r="L134" i="55" a="1"/>
  <c r="L134" i="55" s="1"/>
  <c r="L52" i="55" a="1"/>
  <c r="L52" i="55" s="1"/>
  <c r="L185" i="55" a="1"/>
  <c r="L185" i="55" s="1"/>
  <c r="L217" i="55" a="1"/>
  <c r="L217" i="55" s="1"/>
  <c r="L20" i="55" a="1"/>
  <c r="L20" i="55" s="1"/>
  <c r="L198" i="55" a="1"/>
  <c r="L198" i="55" s="1"/>
  <c r="L131" i="55" a="1"/>
  <c r="L131" i="55" s="1"/>
  <c r="L210" i="55" a="1"/>
  <c r="L210" i="55" s="1"/>
  <c r="L177" i="55" a="1"/>
  <c r="L177" i="55" s="1"/>
  <c r="L44" i="55" a="1"/>
  <c r="L44" i="55" s="1"/>
  <c r="L206" i="55" a="1"/>
  <c r="L206" i="55" s="1"/>
  <c r="O150" i="55"/>
  <c r="L64" i="55" a="1"/>
  <c r="L64" i="55" s="1"/>
  <c r="L190" i="55" a="1"/>
  <c r="L190" i="55" s="1"/>
  <c r="L16" i="55" a="1"/>
  <c r="L16" i="55" s="1"/>
  <c r="L93" i="55" a="1"/>
  <c r="L93" i="55" s="1"/>
  <c r="O105" i="55"/>
  <c r="L191" i="55" a="1"/>
  <c r="L191" i="55" s="1"/>
  <c r="L33" i="55" a="1"/>
  <c r="L33" i="55" s="1"/>
  <c r="L174" i="55" a="1"/>
  <c r="L174" i="55" s="1"/>
  <c r="L76" i="55" a="1"/>
  <c r="L76" i="55" s="1"/>
  <c r="L91" i="55" a="1"/>
  <c r="L91" i="55" s="1"/>
  <c r="L133" i="55" a="1"/>
  <c r="L133" i="55" s="1"/>
  <c r="L8" i="55" a="1"/>
  <c r="L8" i="55" s="1"/>
  <c r="L11" i="55" a="1"/>
  <c r="L11" i="55" s="1"/>
  <c r="L163" i="55" a="1"/>
  <c r="L163" i="55" s="1"/>
  <c r="L230" i="55" a="1"/>
  <c r="L230" i="55" s="1"/>
  <c r="L42" i="55" a="1"/>
  <c r="L42" i="55" s="1"/>
  <c r="L68" i="55" a="1"/>
  <c r="L68" i="55" s="1"/>
  <c r="O168" i="55"/>
  <c r="L71" i="55" a="1"/>
  <c r="L71" i="55" s="1"/>
  <c r="L35" i="59"/>
  <c r="L234" i="55" a="1"/>
  <c r="L234" i="55" s="1"/>
  <c r="L188" i="55" a="1"/>
  <c r="L188" i="55" s="1"/>
  <c r="L255" i="55" a="1"/>
  <c r="L255" i="55" s="1"/>
  <c r="L213" i="55" a="1"/>
  <c r="L213" i="55" s="1"/>
  <c r="L72" i="55" a="1"/>
  <c r="L72" i="55" s="1"/>
  <c r="O147" i="55"/>
  <c r="L107" i="55" a="1"/>
  <c r="L107" i="55" s="1"/>
  <c r="L85" i="55" a="1"/>
  <c r="L85" i="55" s="1"/>
  <c r="L172" i="55" a="1"/>
  <c r="L172" i="55" s="1"/>
  <c r="L166" i="55" a="1"/>
  <c r="L166" i="55" s="1"/>
  <c r="L13" i="55" a="1"/>
  <c r="L13" i="55" s="1"/>
  <c r="L45" i="55" a="1"/>
  <c r="L45" i="55" s="1"/>
  <c r="L178" i="55" a="1"/>
  <c r="L178" i="55" s="1"/>
  <c r="L60" i="55" a="1"/>
  <c r="L60" i="55" s="1"/>
  <c r="L28" i="55" a="1"/>
  <c r="L28" i="55" s="1"/>
  <c r="L124" i="55" a="1"/>
  <c r="L124" i="55" s="1"/>
  <c r="L90" i="55" a="1"/>
  <c r="L90" i="55" s="1"/>
  <c r="L99" i="55" a="1"/>
  <c r="L99" i="55" s="1"/>
  <c r="L7" i="55" a="1"/>
  <c r="L7" i="55" s="1"/>
  <c r="F24" i="59"/>
  <c r="O52" i="55"/>
  <c r="O221" i="55"/>
  <c r="U8" i="59"/>
  <c r="O245" i="55"/>
  <c r="F8" i="59"/>
  <c r="L159" i="55" a="1"/>
  <c r="L159" i="55" s="1"/>
  <c r="L182" i="55" a="1"/>
  <c r="L182" i="55" s="1"/>
  <c r="O238" i="55"/>
  <c r="O34" i="55"/>
  <c r="L120" i="55" a="1"/>
  <c r="L120" i="55" s="1"/>
  <c r="L100" i="55" a="1"/>
  <c r="L100" i="55" s="1"/>
  <c r="L252" i="55" a="1"/>
  <c r="L252" i="55" s="1"/>
  <c r="L54" i="55" a="1"/>
  <c r="L54" i="55" s="1"/>
  <c r="L39" i="55" a="1"/>
  <c r="L39" i="55" s="1"/>
  <c r="L204" i="55" a="1"/>
  <c r="L204" i="55" s="1"/>
  <c r="O97" i="55"/>
  <c r="L129" i="55" a="1"/>
  <c r="L129" i="55" s="1"/>
  <c r="L94" i="55" a="1"/>
  <c r="L94" i="55" s="1"/>
  <c r="L197" i="55" a="1"/>
  <c r="L197" i="55" s="1"/>
  <c r="L180" i="55" a="1"/>
  <c r="L180" i="55" s="1"/>
  <c r="L152" i="55" a="1"/>
  <c r="L152" i="55" s="1"/>
  <c r="L153" i="55" a="1"/>
  <c r="L153" i="55" s="1"/>
  <c r="L51" i="55" a="1"/>
  <c r="L51" i="55" s="1"/>
  <c r="L114" i="55" a="1"/>
  <c r="L114" i="55" s="1"/>
  <c r="L184" i="55" a="1"/>
  <c r="L184" i="55" s="1"/>
  <c r="L112" i="55" a="1"/>
  <c r="L112" i="55" s="1"/>
  <c r="L189" i="55" a="1"/>
  <c r="L189" i="55" s="1"/>
  <c r="L201" i="55" a="1"/>
  <c r="L201" i="55" s="1"/>
  <c r="L18" i="55" a="1"/>
  <c r="L18" i="55" s="1"/>
  <c r="L34" i="55" a="1"/>
  <c r="L34" i="55" s="1"/>
  <c r="O154" i="55"/>
  <c r="O110" i="55"/>
  <c r="L21" i="59"/>
  <c r="O119" i="55"/>
  <c r="O249" i="55"/>
  <c r="V7" i="59"/>
  <c r="O195" i="55"/>
  <c r="O92" i="55"/>
  <c r="O36" i="55"/>
  <c r="O99" i="55"/>
  <c r="O39" i="55"/>
  <c r="F10" i="59"/>
  <c r="O53" i="55"/>
  <c r="O101" i="55"/>
  <c r="O44" i="55"/>
  <c r="L86" i="55" a="1"/>
  <c r="L86" i="55" s="1"/>
  <c r="T26" i="59"/>
  <c r="O47" i="55"/>
  <c r="O25" i="55"/>
  <c r="O170" i="55"/>
  <c r="O242" i="55"/>
  <c r="O214" i="55"/>
  <c r="L38" i="55" a="1"/>
  <c r="L38" i="55" s="1"/>
  <c r="O69" i="55"/>
  <c r="L142" i="55" a="1"/>
  <c r="L142" i="55" s="1"/>
  <c r="O132" i="55"/>
  <c r="O166" i="55"/>
  <c r="O235" i="55"/>
  <c r="O38" i="55"/>
  <c r="N7" i="59"/>
  <c r="O98" i="55"/>
  <c r="O8" i="55"/>
  <c r="O173" i="55"/>
  <c r="O17" i="55"/>
  <c r="O220" i="55"/>
  <c r="O89" i="55"/>
  <c r="T33" i="59"/>
  <c r="V33" i="59"/>
  <c r="O136" i="55"/>
  <c r="O135" i="55"/>
  <c r="O194" i="55"/>
  <c r="O169" i="55"/>
  <c r="F26" i="59"/>
  <c r="O207" i="55"/>
  <c r="O216" i="55"/>
  <c r="V10" i="59"/>
  <c r="O31" i="55"/>
  <c r="O192" i="55"/>
  <c r="O24" i="55"/>
  <c r="F25" i="59"/>
  <c r="O143" i="55"/>
  <c r="V6" i="59"/>
  <c r="O121" i="55"/>
  <c r="O48" i="55"/>
  <c r="F37" i="59"/>
  <c r="V4" i="59"/>
  <c r="L77" i="55" a="1"/>
  <c r="L77" i="55" s="1"/>
  <c r="L254" i="55" a="1"/>
  <c r="L254" i="55" s="1"/>
  <c r="L24" i="55" a="1"/>
  <c r="L24" i="55" s="1"/>
  <c r="L113" i="55" a="1"/>
  <c r="L113" i="55" s="1"/>
  <c r="L239" i="55" a="1"/>
  <c r="L239" i="55" s="1"/>
  <c r="L48" i="55" a="1"/>
  <c r="L48" i="55" s="1"/>
  <c r="L70" i="55" a="1"/>
  <c r="L70" i="55" s="1"/>
  <c r="L98" i="55" a="1"/>
  <c r="L98" i="55" s="1"/>
  <c r="L95" i="55" a="1"/>
  <c r="L95" i="55" s="1"/>
  <c r="L47" i="55" a="1"/>
  <c r="L47" i="55" s="1"/>
  <c r="L256" i="55" a="1"/>
  <c r="L256" i="55" s="1"/>
  <c r="L46" i="55" a="1"/>
  <c r="L46" i="55" s="1"/>
  <c r="L149" i="55" a="1"/>
  <c r="L149" i="55" s="1"/>
  <c r="L147" i="55" a="1"/>
  <c r="L147" i="55" s="1"/>
  <c r="L88" i="55" a="1"/>
  <c r="L88" i="55" s="1"/>
  <c r="O49" i="55"/>
  <c r="L136" i="55" a="1"/>
  <c r="L136" i="55" s="1"/>
  <c r="L200" i="55" a="1"/>
  <c r="L200" i="55" s="1"/>
  <c r="O27" i="55"/>
  <c r="L132" i="55" a="1"/>
  <c r="L132" i="55" s="1"/>
  <c r="L96" i="55" a="1"/>
  <c r="L96" i="55" s="1"/>
  <c r="L225" i="55" a="1"/>
  <c r="L225" i="55" s="1"/>
  <c r="V8" i="59"/>
  <c r="L30" i="55" a="1"/>
  <c r="L30" i="55" s="1"/>
  <c r="O162" i="55"/>
  <c r="F21" i="59"/>
  <c r="V24" i="59"/>
  <c r="L232" i="55" a="1"/>
  <c r="L232" i="55" s="1"/>
  <c r="O210" i="55"/>
  <c r="S42" i="59"/>
  <c r="L154" i="55" a="1"/>
  <c r="L154" i="55" s="1"/>
  <c r="Q14" i="59"/>
  <c r="L192" i="55" a="1"/>
  <c r="L192" i="55" s="1"/>
  <c r="M5" i="59"/>
  <c r="L34" i="59"/>
  <c r="O46" i="55"/>
  <c r="L82" i="55" a="1"/>
  <c r="L82" i="55" s="1"/>
  <c r="N5" i="59"/>
  <c r="L223" i="55" a="1"/>
  <c r="L223" i="55" s="1"/>
  <c r="L58" i="55" a="1"/>
  <c r="L58" i="55" s="1"/>
  <c r="L41" i="55" a="1"/>
  <c r="L41" i="55" s="1"/>
  <c r="L92" i="55" a="1"/>
  <c r="L92" i="55" s="1"/>
  <c r="L21" i="55" a="1"/>
  <c r="L21" i="55" s="1"/>
  <c r="V11" i="59"/>
  <c r="K67" i="55" a="1"/>
  <c r="K67" i="55" s="1"/>
  <c r="N40" i="59"/>
  <c r="D28" i="59"/>
  <c r="F28" i="59" s="1" a="1"/>
  <c r="F28" i="59" s="1"/>
  <c r="L26" i="59"/>
  <c r="O161" i="55"/>
  <c r="O81" i="55"/>
  <c r="T4" i="59"/>
  <c r="V23" i="59"/>
  <c r="H42" i="59"/>
  <c r="F11" i="59"/>
  <c r="K193" i="55" a="1"/>
  <c r="K193" i="55" s="1"/>
  <c r="K155" i="55" a="1"/>
  <c r="K155" i="55" s="1"/>
  <c r="O199" i="55"/>
  <c r="N25" i="59"/>
  <c r="N13" i="59"/>
  <c r="K149" i="55" a="1"/>
  <c r="K149" i="55" s="1"/>
  <c r="O217" i="55"/>
  <c r="Q28" i="59"/>
  <c r="F9" i="59"/>
  <c r="B28" i="59"/>
  <c r="N11" i="59"/>
  <c r="F5" i="59"/>
  <c r="Q42" i="59"/>
  <c r="O66" i="55"/>
  <c r="L38" i="59"/>
  <c r="E42" i="59"/>
  <c r="K40" i="55" a="1"/>
  <c r="K40" i="55" s="1"/>
  <c r="K84" i="55" a="1"/>
  <c r="K84" i="55" s="1"/>
  <c r="K88" i="55" a="1"/>
  <c r="K88" i="55" s="1"/>
  <c r="V37" i="59"/>
  <c r="N8" i="59"/>
  <c r="F19" i="59"/>
  <c r="K91" i="55" a="1"/>
  <c r="K91" i="55" s="1"/>
  <c r="G42" i="59"/>
  <c r="M42" i="59" s="1"/>
  <c r="M6" i="59"/>
  <c r="K14" i="59"/>
  <c r="D42" i="59"/>
  <c r="F42" i="59" s="1" a="1"/>
  <c r="F42" i="59" s="1"/>
  <c r="N12" i="59"/>
  <c r="K89" i="55" a="1"/>
  <c r="K89" i="55" s="1"/>
  <c r="K202" i="55" a="1"/>
  <c r="K202" i="55" s="1"/>
  <c r="K55" i="55" a="1"/>
  <c r="K55" i="55" s="1"/>
  <c r="N37" i="59"/>
  <c r="F18" i="59"/>
  <c r="K189" i="55" a="1"/>
  <c r="K189" i="55" s="1"/>
  <c r="K101" i="55" a="1"/>
  <c r="K101" i="55" s="1"/>
  <c r="K127" i="55" a="1"/>
  <c r="K127" i="55" s="1"/>
  <c r="K107" i="55" a="1"/>
  <c r="K107" i="55" s="1"/>
  <c r="K85" i="55" a="1"/>
  <c r="K85" i="55" s="1"/>
  <c r="O226" i="55"/>
  <c r="F4" i="59"/>
  <c r="K105" i="55" a="1"/>
  <c r="K105" i="55" s="1"/>
  <c r="K34" i="55" a="1"/>
  <c r="K34" i="55" s="1"/>
  <c r="K22" i="55" a="1"/>
  <c r="K22" i="55" s="1"/>
  <c r="K102" i="55" a="1"/>
  <c r="K102" i="55" s="1"/>
  <c r="K71" i="55" a="1"/>
  <c r="K71" i="55" s="1"/>
  <c r="K62" i="55" a="1"/>
  <c r="K62" i="55" s="1"/>
  <c r="K198" i="55" a="1"/>
  <c r="K198" i="55" s="1"/>
  <c r="K173" i="55" a="1"/>
  <c r="K173" i="55" s="1"/>
  <c r="K79" i="55" a="1"/>
  <c r="K79" i="55" s="1"/>
  <c r="N24" i="59"/>
  <c r="U19" i="59"/>
  <c r="K44" i="55" a="1"/>
  <c r="K44" i="55" s="1"/>
  <c r="K199" i="55" a="1"/>
  <c r="K199" i="55" s="1"/>
  <c r="K56" i="55" a="1"/>
  <c r="K56" i="55" s="1"/>
  <c r="M8" i="59"/>
  <c r="N10" i="59"/>
  <c r="K98" i="55" a="1"/>
  <c r="K98" i="55" s="1"/>
  <c r="K237" i="55" a="1"/>
  <c r="K237" i="55" s="1"/>
  <c r="K121" i="55" a="1"/>
  <c r="K121" i="55" s="1"/>
  <c r="K243" i="55" a="1"/>
  <c r="K243" i="55" s="1"/>
  <c r="K138" i="55" a="1"/>
  <c r="K138" i="55" s="1"/>
  <c r="K223" i="55" a="1"/>
  <c r="K223" i="55" s="1"/>
  <c r="K109" i="55" a="1"/>
  <c r="K109" i="55" s="1"/>
  <c r="K23" i="55" a="1"/>
  <c r="K23" i="55" s="1"/>
  <c r="V20" i="59"/>
  <c r="M23" i="59"/>
  <c r="N20" i="59"/>
  <c r="K42" i="59"/>
  <c r="K60" i="55" a="1"/>
  <c r="K60" i="55" s="1"/>
  <c r="K82" i="55" a="1"/>
  <c r="K82" i="55" s="1"/>
  <c r="V21" i="59"/>
  <c r="F20" i="59"/>
  <c r="K222" i="55" a="1"/>
  <c r="K222" i="55" s="1"/>
  <c r="K49" i="55" a="1"/>
  <c r="K49" i="55" s="1"/>
  <c r="K244" i="55" a="1"/>
  <c r="K244" i="55" s="1"/>
  <c r="K83" i="55" a="1"/>
  <c r="K83" i="55" s="1"/>
  <c r="K180" i="55" a="1"/>
  <c r="K180" i="55" s="1"/>
  <c r="K76" i="55" a="1"/>
  <c r="K76" i="55" s="1"/>
  <c r="K13" i="55" a="1"/>
  <c r="K13" i="55" s="1"/>
  <c r="K128" i="55" a="1"/>
  <c r="K128" i="55" s="1"/>
  <c r="K65" i="55" a="1"/>
  <c r="K65" i="55" s="1"/>
  <c r="K35" i="55" a="1"/>
  <c r="K35" i="55" s="1"/>
  <c r="K140" i="55" a="1"/>
  <c r="K140" i="55" s="1"/>
  <c r="N23" i="59"/>
  <c r="L246" i="55" a="1"/>
  <c r="L246" i="55" s="1"/>
  <c r="L242" i="55" a="1"/>
  <c r="L242" i="55" s="1"/>
  <c r="L43" i="55" a="1"/>
  <c r="L43" i="55" s="1"/>
  <c r="L80" i="55" a="1"/>
  <c r="L80" i="55" s="1"/>
  <c r="L228" i="55" a="1"/>
  <c r="L228" i="55" s="1"/>
  <c r="L150" i="55" a="1"/>
  <c r="L150" i="55" s="1"/>
  <c r="L162" i="55" a="1"/>
  <c r="L162" i="55" s="1"/>
  <c r="L218" i="55" a="1"/>
  <c r="L218" i="55" s="1"/>
  <c r="L161" i="55" a="1"/>
  <c r="L161" i="55" s="1"/>
  <c r="L118" i="55" a="1"/>
  <c r="L118" i="55" s="1"/>
  <c r="L257" i="55" a="1"/>
  <c r="L257" i="55" s="1"/>
  <c r="L35" i="55" a="1"/>
  <c r="L35" i="55" s="1"/>
  <c r="L164" i="55" a="1"/>
  <c r="L164" i="55" s="1"/>
  <c r="L167" i="55" a="1"/>
  <c r="L167" i="55" s="1"/>
  <c r="L143" i="55" a="1"/>
  <c r="L143" i="55" s="1"/>
  <c r="L78" i="55" a="1"/>
  <c r="L78" i="55" s="1"/>
  <c r="L12" i="55" a="1"/>
  <c r="L12" i="55" s="1"/>
  <c r="L205" i="55" a="1"/>
  <c r="L205" i="55" s="1"/>
  <c r="L148" i="55" a="1"/>
  <c r="L148" i="55" s="1"/>
  <c r="L83" i="55" a="1"/>
  <c r="L83" i="55" s="1"/>
  <c r="L55" i="55" a="1"/>
  <c r="L55" i="55" s="1"/>
  <c r="L212" i="55" a="1"/>
  <c r="L212" i="55" s="1"/>
  <c r="L207" i="55" a="1"/>
  <c r="L207" i="55" s="1"/>
  <c r="L9" i="55" a="1"/>
  <c r="L9" i="55" s="1"/>
  <c r="L179" i="55" a="1"/>
  <c r="L179" i="55" s="1"/>
  <c r="L235" i="55" a="1"/>
  <c r="L235" i="55" s="1"/>
  <c r="L63" i="55" a="1"/>
  <c r="L63" i="55" s="1"/>
  <c r="K215" i="55" a="1"/>
  <c r="K215" i="55" s="1"/>
  <c r="L67" i="55" a="1"/>
  <c r="L67" i="55" s="1"/>
  <c r="L249" i="55" a="1"/>
  <c r="L249" i="55" s="1"/>
  <c r="L224" i="55" a="1"/>
  <c r="L224" i="55" s="1"/>
  <c r="L31" i="55" a="1"/>
  <c r="L31" i="55" s="1"/>
  <c r="L243" i="55" a="1"/>
  <c r="L243" i="55" s="1"/>
  <c r="L231" i="55" a="1"/>
  <c r="L231" i="55" s="1"/>
  <c r="L36" i="59"/>
  <c r="L240" i="55" a="1"/>
  <c r="L240" i="55" s="1"/>
  <c r="L66" i="55" a="1"/>
  <c r="L66" i="55" s="1"/>
  <c r="L146" i="55" a="1"/>
  <c r="L146" i="55" s="1"/>
  <c r="L158" i="55" a="1"/>
  <c r="L158" i="55" s="1"/>
  <c r="L222" i="55" a="1"/>
  <c r="L222" i="55" s="1"/>
  <c r="L176" i="55" a="1"/>
  <c r="L176" i="55" s="1"/>
  <c r="C42" i="59"/>
  <c r="N42" i="59" s="1"/>
  <c r="L97" i="55" a="1"/>
  <c r="L97" i="55" s="1"/>
  <c r="L130" i="55" a="1"/>
  <c r="L130" i="55" s="1"/>
  <c r="L238" i="55" a="1"/>
  <c r="L238" i="55" s="1"/>
  <c r="L220" i="55" a="1"/>
  <c r="L220" i="55" s="1"/>
  <c r="L141" i="55" a="1"/>
  <c r="L141" i="55" s="1"/>
  <c r="L111" i="55" a="1"/>
  <c r="L111" i="55" s="1"/>
  <c r="L183" i="55" a="1"/>
  <c r="L183" i="55" s="1"/>
  <c r="L165" i="55" a="1"/>
  <c r="L165" i="55" s="1"/>
  <c r="L171" i="55" a="1"/>
  <c r="L171" i="55" s="1"/>
  <c r="L127" i="55" a="1"/>
  <c r="L127" i="55" s="1"/>
  <c r="L221" i="55" a="1"/>
  <c r="L221" i="55" s="1"/>
  <c r="L26" i="55" a="1"/>
  <c r="L26" i="55" s="1"/>
  <c r="L233" i="55" a="1"/>
  <c r="L233" i="55" s="1"/>
  <c r="L121" i="55" a="1"/>
  <c r="L121" i="55" s="1"/>
  <c r="L29" i="55" a="1"/>
  <c r="L29" i="55" s="1"/>
  <c r="L89" i="55" a="1"/>
  <c r="L89" i="55" s="1"/>
  <c r="L237" i="55" a="1"/>
  <c r="L237" i="55" s="1"/>
  <c r="L37" i="55" a="1"/>
  <c r="L37" i="55" s="1"/>
  <c r="L155" i="55" a="1"/>
  <c r="L155" i="55" s="1"/>
  <c r="L49" i="55" a="1"/>
  <c r="L49" i="55" s="1"/>
  <c r="L84" i="55" a="1"/>
  <c r="L84" i="55" s="1"/>
  <c r="L69" i="55" a="1"/>
  <c r="L69" i="55" s="1"/>
  <c r="L140" i="55" a="1"/>
  <c r="L140" i="55" s="1"/>
  <c r="L17" i="55" a="1"/>
  <c r="L17" i="55" s="1"/>
  <c r="L209" i="55" a="1"/>
  <c r="L209" i="55" s="1"/>
  <c r="L251" i="55" a="1"/>
  <c r="L251" i="55" s="1"/>
  <c r="L250" i="55" a="1"/>
  <c r="L250" i="55" s="1"/>
  <c r="V25" i="59"/>
  <c r="L227" i="55" a="1"/>
  <c r="L227" i="55" s="1"/>
  <c r="L247" i="55" a="1"/>
  <c r="L247" i="55" s="1"/>
  <c r="L104" i="55" a="1"/>
  <c r="L104" i="55" s="1"/>
  <c r="L151" i="55" a="1"/>
  <c r="L151" i="55" s="1"/>
  <c r="L102" i="55" a="1"/>
  <c r="L102" i="55" s="1"/>
  <c r="L139" i="55" a="1"/>
  <c r="L139" i="55" s="1"/>
  <c r="L36" i="55" a="1"/>
  <c r="L36" i="55" s="1"/>
  <c r="L248" i="55" a="1"/>
  <c r="L248" i="55" s="1"/>
  <c r="L226" i="55" a="1"/>
  <c r="L226" i="55" s="1"/>
  <c r="L253" i="55" a="1"/>
  <c r="L253" i="55" s="1"/>
  <c r="L258" i="55" a="1"/>
  <c r="L258" i="55" s="1"/>
  <c r="L202" i="55" a="1"/>
  <c r="L202" i="55" s="1"/>
  <c r="L74" i="55" a="1"/>
  <c r="L74" i="55" s="1"/>
  <c r="L145" i="55" a="1"/>
  <c r="L145" i="55" s="1"/>
  <c r="K28" i="59"/>
  <c r="R14" i="59"/>
  <c r="N9" i="59"/>
  <c r="N6" i="59"/>
  <c r="T19" i="59"/>
  <c r="V19" i="59"/>
  <c r="M22" i="59"/>
  <c r="L137" i="55" a="1"/>
  <c r="L137" i="55" s="1"/>
  <c r="S28" i="59"/>
  <c r="P28" i="59"/>
  <c r="R42" i="59"/>
  <c r="V18" i="59"/>
  <c r="L214" i="55" a="1"/>
  <c r="L214" i="55" s="1"/>
  <c r="J14" i="59"/>
  <c r="J42" i="59"/>
  <c r="V38" i="59"/>
  <c r="N33" i="59"/>
  <c r="L33" i="59"/>
  <c r="L20" i="59"/>
  <c r="M20" i="59"/>
  <c r="L22" i="59"/>
  <c r="T38" i="59"/>
  <c r="I42" i="59"/>
  <c r="T41" i="59"/>
  <c r="F41" i="59"/>
  <c r="E28" i="59"/>
  <c r="M26" i="59"/>
  <c r="L27" i="59"/>
  <c r="I28" i="59"/>
  <c r="H28" i="59"/>
  <c r="N41" i="59"/>
  <c r="L41" i="59"/>
  <c r="T34" i="59"/>
  <c r="V34" i="59"/>
  <c r="F34" i="59"/>
  <c r="N26" i="59"/>
  <c r="T39" i="59"/>
  <c r="F39" i="59"/>
  <c r="V39" i="59"/>
  <c r="G28" i="59"/>
  <c r="P42" i="59"/>
  <c r="I14" i="59"/>
  <c r="L23" i="59"/>
  <c r="V22" i="59"/>
  <c r="J28" i="59"/>
  <c r="E14" i="59"/>
  <c r="U7" i="59"/>
  <c r="V26" i="59"/>
  <c r="L81" i="55" a="1"/>
  <c r="L81" i="55" s="1"/>
  <c r="L32" i="55" a="1"/>
  <c r="L32" i="55" s="1"/>
  <c r="L75" i="55" a="1"/>
  <c r="L75" i="55" s="1"/>
  <c r="L25" i="55" a="1"/>
  <c r="L25" i="55" s="1"/>
  <c r="L2" i="55"/>
  <c r="L193" i="55" a="1"/>
  <c r="L193" i="55" s="1"/>
  <c r="L216" i="55" a="1"/>
  <c r="L216" i="55" s="1"/>
  <c r="L277" i="55"/>
  <c r="L175" i="55" a="1"/>
  <c r="L175" i="55" s="1"/>
  <c r="L244" i="55" a="1"/>
  <c r="L244" i="55" s="1"/>
  <c r="S14" i="59"/>
  <c r="V5" i="59"/>
  <c r="T24" i="59"/>
  <c r="L59" i="55" a="1"/>
  <c r="L59" i="55" s="1"/>
  <c r="L32" i="59"/>
  <c r="N32" i="59"/>
  <c r="N4" i="59"/>
  <c r="R28" i="59"/>
  <c r="F23" i="59"/>
  <c r="D14" i="59"/>
  <c r="F14" i="59" s="1" a="1"/>
  <c r="F14" i="59" s="1"/>
  <c r="N21" i="59"/>
  <c r="F6" i="59"/>
  <c r="F13" i="59"/>
  <c r="T13" i="59"/>
  <c r="L108" i="55" a="1"/>
  <c r="L108" i="55" s="1"/>
  <c r="U4" i="59"/>
  <c r="U24" i="59"/>
  <c r="F7" i="59"/>
  <c r="B42" i="59"/>
  <c r="B14" i="59"/>
  <c r="T25" i="59"/>
  <c r="P14" i="59"/>
  <c r="U26" i="59"/>
  <c r="V12" i="59"/>
  <c r="F12" i="59"/>
  <c r="L7" i="59"/>
  <c r="M7" i="59"/>
  <c r="F27" i="59"/>
  <c r="T27" i="59"/>
  <c r="V27" i="59"/>
  <c r="V36" i="59"/>
  <c r="F36" i="59"/>
  <c r="T36" i="59"/>
  <c r="T40" i="59"/>
  <c r="V40" i="59"/>
  <c r="V9" i="59"/>
  <c r="K95" i="55" a="1"/>
  <c r="K95" i="55" s="1"/>
  <c r="H14" i="59"/>
  <c r="K129" i="55" a="1"/>
  <c r="K129" i="55" s="1"/>
  <c r="F22" i="59"/>
  <c r="N18" i="59"/>
  <c r="K162" i="55" a="1"/>
  <c r="K162" i="55" s="1"/>
  <c r="O42" i="59"/>
  <c r="U42" i="59" s="1"/>
  <c r="K153" i="55" a="1"/>
  <c r="K153" i="55" s="1"/>
  <c r="M19" i="59"/>
  <c r="L19" i="59"/>
  <c r="K166" i="55" a="1"/>
  <c r="K166" i="55" s="1"/>
  <c r="V32" i="59"/>
  <c r="T32" i="59"/>
  <c r="F32" i="59"/>
  <c r="O2" i="55"/>
  <c r="O277" i="55"/>
  <c r="U5" i="59"/>
  <c r="T5" i="59"/>
  <c r="L8" i="59"/>
  <c r="N22" i="59"/>
  <c r="C14" i="59"/>
  <c r="L5" i="59"/>
  <c r="C28" i="59"/>
  <c r="L42" i="59"/>
  <c r="T11" i="59"/>
  <c r="U11" i="59"/>
  <c r="U12" i="59"/>
  <c r="T12" i="59"/>
  <c r="U22" i="59"/>
  <c r="T22" i="59"/>
  <c r="T8" i="59"/>
  <c r="L11" i="59"/>
  <c r="M11" i="59"/>
  <c r="K169" i="55" a="1"/>
  <c r="K169" i="55" s="1"/>
  <c r="K175" i="55" a="1"/>
  <c r="K175" i="55" s="1"/>
  <c r="K225" i="55" a="1"/>
  <c r="K225" i="55" s="1"/>
  <c r="K238" i="55" a="1"/>
  <c r="K238" i="55" s="1"/>
  <c r="K209" i="55" a="1"/>
  <c r="K209" i="55" s="1"/>
  <c r="K167" i="55" a="1"/>
  <c r="K167" i="55" s="1"/>
  <c r="K33" i="55" a="1"/>
  <c r="K33" i="55" s="1"/>
  <c r="K80" i="55" a="1"/>
  <c r="K80" i="55" s="1"/>
  <c r="K68" i="55" a="1"/>
  <c r="K68" i="55" s="1"/>
  <c r="K30" i="55" a="1"/>
  <c r="K30" i="55" s="1"/>
  <c r="K228" i="55" a="1"/>
  <c r="K228" i="55" s="1"/>
  <c r="K137" i="55" a="1"/>
  <c r="K137" i="55" s="1"/>
  <c r="K246" i="55" a="1"/>
  <c r="K246" i="55" s="1"/>
  <c r="K208" i="55" a="1"/>
  <c r="K208" i="55" s="1"/>
  <c r="K19" i="55" a="1"/>
  <c r="K19" i="55" s="1"/>
  <c r="K17" i="55" a="1"/>
  <c r="K17" i="55" s="1"/>
  <c r="K230" i="55" a="1"/>
  <c r="K230" i="55" s="1"/>
  <c r="K151" i="55" a="1"/>
  <c r="K151" i="55" s="1"/>
  <c r="K216" i="55" a="1"/>
  <c r="K216" i="55" s="1"/>
  <c r="K240" i="55" a="1"/>
  <c r="K240" i="55" s="1"/>
  <c r="K59" i="55" a="1"/>
  <c r="K59" i="55" s="1"/>
  <c r="K254" i="55" a="1"/>
  <c r="K254" i="55" s="1"/>
  <c r="K182" i="55" a="1"/>
  <c r="K182" i="55" s="1"/>
  <c r="K123" i="55" a="1"/>
  <c r="K123" i="55" s="1"/>
  <c r="K171" i="55" a="1"/>
  <c r="K171" i="55" s="1"/>
  <c r="K152" i="55" a="1"/>
  <c r="K152" i="55" s="1"/>
  <c r="K106" i="55" a="1"/>
  <c r="K106" i="55" s="1"/>
  <c r="K46" i="55" a="1"/>
  <c r="K46" i="55" s="1"/>
  <c r="K221" i="55" a="1"/>
  <c r="K221" i="55" s="1"/>
  <c r="K58" i="55" a="1"/>
  <c r="K58" i="55" s="1"/>
  <c r="K188" i="55" a="1"/>
  <c r="K188" i="55" s="1"/>
  <c r="K251" i="55" a="1"/>
  <c r="K251" i="55" s="1"/>
  <c r="K63" i="55" a="1"/>
  <c r="K63" i="55" s="1"/>
  <c r="K245" i="55" a="1"/>
  <c r="K245" i="55" s="1"/>
  <c r="K20" i="55" a="1"/>
  <c r="K20" i="55" s="1"/>
  <c r="K181" i="55" a="1"/>
  <c r="K181" i="55" s="1"/>
  <c r="K31" i="55" a="1"/>
  <c r="K31" i="55" s="1"/>
  <c r="K28" i="55" a="1"/>
  <c r="K28" i="55" s="1"/>
  <c r="K104" i="55" a="1"/>
  <c r="K104" i="55" s="1"/>
  <c r="K236" i="55" a="1"/>
  <c r="K236" i="55" s="1"/>
  <c r="K158" i="55" a="1"/>
  <c r="K158" i="55" s="1"/>
  <c r="K143" i="55" a="1"/>
  <c r="K143" i="55" s="1"/>
  <c r="K192" i="55" a="1"/>
  <c r="K192" i="55" s="1"/>
  <c r="K124" i="55" a="1"/>
  <c r="K124" i="55" s="1"/>
  <c r="K154" i="55" a="1"/>
  <c r="K154" i="55" s="1"/>
  <c r="K139" i="55" a="1"/>
  <c r="K139" i="55" s="1"/>
  <c r="K75" i="55" a="1"/>
  <c r="K75" i="55" s="1"/>
  <c r="K196" i="55" a="1"/>
  <c r="K196" i="55" s="1"/>
  <c r="K184" i="55" a="1"/>
  <c r="K184" i="55" s="1"/>
  <c r="K214" i="55" a="1"/>
  <c r="K214" i="55" s="1"/>
  <c r="K148" i="55" a="1"/>
  <c r="K148" i="55" s="1"/>
  <c r="K210" i="55" a="1"/>
  <c r="K210" i="55" s="1"/>
  <c r="K247" i="55" a="1"/>
  <c r="K247" i="55" s="1"/>
  <c r="K26" i="55" a="1"/>
  <c r="K26" i="55" s="1"/>
  <c r="K25" i="55" a="1"/>
  <c r="K25" i="55" s="1"/>
  <c r="K133" i="55" a="1"/>
  <c r="K133" i="55" s="1"/>
  <c r="K183" i="55" a="1"/>
  <c r="K183" i="55" s="1"/>
  <c r="K277" i="55"/>
  <c r="K176" i="55" a="1"/>
  <c r="K176" i="55" s="1"/>
  <c r="K53" i="55" a="1"/>
  <c r="K53" i="55" s="1"/>
  <c r="K150" i="55" a="1"/>
  <c r="K150" i="55" s="1"/>
  <c r="K190" i="55" a="1"/>
  <c r="K190" i="55" s="1"/>
  <c r="K2" i="55"/>
  <c r="K146" i="55" a="1"/>
  <c r="K146" i="55" s="1"/>
  <c r="K132" i="55" a="1"/>
  <c r="K132" i="55" s="1"/>
  <c r="K250" i="55" a="1"/>
  <c r="K250" i="55" s="1"/>
  <c r="K160" i="55" a="1"/>
  <c r="K160" i="55" s="1"/>
  <c r="K177" i="55" a="1"/>
  <c r="K177" i="55" s="1"/>
  <c r="K165" i="55" a="1"/>
  <c r="K165" i="55" s="1"/>
  <c r="K130" i="55" a="1"/>
  <c r="K130" i="55" s="1"/>
  <c r="K213" i="55" a="1"/>
  <c r="K213" i="55" s="1"/>
  <c r="K161" i="55" a="1"/>
  <c r="K161" i="55" s="1"/>
  <c r="K144" i="55" a="1"/>
  <c r="K144" i="55" s="1"/>
  <c r="K66" i="55" a="1"/>
  <c r="K66" i="55" s="1"/>
  <c r="K204" i="55" a="1"/>
  <c r="K204" i="55" s="1"/>
  <c r="K72" i="55" a="1"/>
  <c r="K72" i="55" s="1"/>
  <c r="K174" i="55" a="1"/>
  <c r="K174" i="55" s="1"/>
  <c r="K113" i="55" a="1"/>
  <c r="K113" i="55" s="1"/>
  <c r="K191" i="55" a="1"/>
  <c r="K191" i="55" s="1"/>
  <c r="K252" i="55" a="1"/>
  <c r="K252" i="55" s="1"/>
  <c r="K74" i="55" a="1"/>
  <c r="K74" i="55" s="1"/>
  <c r="K115" i="55" a="1"/>
  <c r="K115" i="55" s="1"/>
  <c r="K248" i="55" a="1"/>
  <c r="K248" i="55" s="1"/>
  <c r="K156" i="55" a="1"/>
  <c r="K156" i="55" s="1"/>
  <c r="K9" i="55" a="1"/>
  <c r="K9" i="55" s="1"/>
  <c r="K99" i="55" a="1"/>
  <c r="K99" i="55" s="1"/>
  <c r="K38" i="55" a="1"/>
  <c r="K38" i="55" s="1"/>
  <c r="K116" i="55" a="1"/>
  <c r="K116" i="55" s="1"/>
  <c r="K110" i="55" a="1"/>
  <c r="K110" i="55" s="1"/>
  <c r="K226" i="55" a="1"/>
  <c r="K226" i="55" s="1"/>
  <c r="K224" i="55" a="1"/>
  <c r="K224" i="55" s="1"/>
  <c r="K179" i="55" a="1"/>
  <c r="K179" i="55" s="1"/>
  <c r="K185" i="55" a="1"/>
  <c r="K185" i="55" s="1"/>
  <c r="K11" i="55" a="1"/>
  <c r="K11" i="55" s="1"/>
  <c r="K10" i="55" a="1"/>
  <c r="K10" i="55" s="1"/>
  <c r="K16" i="55" a="1"/>
  <c r="K16" i="55" s="1"/>
  <c r="K108" i="55" a="1"/>
  <c r="K108" i="55" s="1"/>
  <c r="K118" i="55" a="1"/>
  <c r="K118" i="55" s="1"/>
  <c r="K172" i="55" a="1"/>
  <c r="K172" i="55" s="1"/>
  <c r="K24" i="55" a="1"/>
  <c r="K24" i="55" s="1"/>
  <c r="K206" i="55" a="1"/>
  <c r="K206" i="55" s="1"/>
  <c r="K27" i="55" a="1"/>
  <c r="K27" i="55" s="1"/>
  <c r="K157" i="55" a="1"/>
  <c r="K157" i="55" s="1"/>
  <c r="K39" i="55" a="1"/>
  <c r="K39" i="55" s="1"/>
  <c r="K126" i="55" a="1"/>
  <c r="K126" i="55" s="1"/>
  <c r="K47" i="55" a="1"/>
  <c r="K47" i="55" s="1"/>
  <c r="K200" i="55" a="1"/>
  <c r="K200" i="55" s="1"/>
  <c r="K45" i="55" a="1"/>
  <c r="K45" i="55" s="1"/>
  <c r="K100" i="55" a="1"/>
  <c r="K100" i="55" s="1"/>
  <c r="K170" i="55" a="1"/>
  <c r="K170" i="55" s="1"/>
  <c r="K90" i="55" a="1"/>
  <c r="K90" i="55" s="1"/>
  <c r="K134" i="55" a="1"/>
  <c r="K134" i="55" s="1"/>
  <c r="K217" i="55" a="1"/>
  <c r="K217" i="55" s="1"/>
  <c r="K195" i="55" a="1"/>
  <c r="K195" i="55" s="1"/>
  <c r="K69" i="55" a="1"/>
  <c r="K69" i="55" s="1"/>
  <c r="K205" i="55" a="1"/>
  <c r="K205" i="55" s="1"/>
  <c r="K178" i="55" a="1"/>
  <c r="K178" i="55" s="1"/>
  <c r="K232" i="55" a="1"/>
  <c r="K232" i="55" s="1"/>
  <c r="K142" i="55" a="1"/>
  <c r="K142" i="55" s="1"/>
  <c r="K242" i="55" a="1"/>
  <c r="K242" i="55" s="1"/>
  <c r="K207" i="55" a="1"/>
  <c r="K207" i="55" s="1"/>
  <c r="K93" i="55" a="1"/>
  <c r="K93" i="55" s="1"/>
  <c r="K77" i="55" a="1"/>
  <c r="K77" i="55" s="1"/>
  <c r="K125" i="55" a="1"/>
  <c r="K125" i="55" s="1"/>
  <c r="K87" i="55" a="1"/>
  <c r="K87" i="55" s="1"/>
  <c r="K52" i="55" a="1"/>
  <c r="K52" i="55" s="1"/>
  <c r="K48" i="55" a="1"/>
  <c r="K48" i="55" s="1"/>
  <c r="K120" i="55" a="1"/>
  <c r="K120" i="55" s="1"/>
  <c r="K227" i="55" a="1"/>
  <c r="K227" i="55" s="1"/>
  <c r="K234" i="55" a="1"/>
  <c r="K234" i="55" s="1"/>
  <c r="K220" i="55" a="1"/>
  <c r="K220" i="55" s="1"/>
  <c r="K163" i="55" a="1"/>
  <c r="K163" i="55" s="1"/>
  <c r="K212" i="55" a="1"/>
  <c r="K212" i="55" s="1"/>
  <c r="K12" i="55" a="1"/>
  <c r="K12" i="55" s="1"/>
  <c r="K14" i="55" a="1"/>
  <c r="K14" i="55" s="1"/>
  <c r="K51" i="55" a="1"/>
  <c r="K51" i="55" s="1"/>
  <c r="K186" i="55" a="1"/>
  <c r="K186" i="55" s="1"/>
  <c r="K203" i="55" a="1"/>
  <c r="K203" i="55" s="1"/>
  <c r="K92" i="55" a="1"/>
  <c r="K92" i="55" s="1"/>
  <c r="K135" i="55" a="1"/>
  <c r="K135" i="55" s="1"/>
  <c r="K197" i="55" a="1"/>
  <c r="K197" i="55" s="1"/>
  <c r="K36" i="55" a="1"/>
  <c r="K36" i="55" s="1"/>
  <c r="K81" i="55" a="1"/>
  <c r="K81" i="55" s="1"/>
  <c r="K136" i="55" a="1"/>
  <c r="K136" i="55" s="1"/>
  <c r="K249" i="55" a="1"/>
  <c r="K249" i="55" s="1"/>
  <c r="K32" i="55" a="1"/>
  <c r="K32" i="55" s="1"/>
  <c r="K253" i="55" a="1"/>
  <c r="K253" i="55" s="1"/>
  <c r="K97" i="55" a="1"/>
  <c r="K97" i="55" s="1"/>
  <c r="K141" i="55" a="1"/>
  <c r="K141" i="55" s="1"/>
  <c r="K219" i="55" a="1"/>
  <c r="K219" i="55" s="1"/>
  <c r="K211" i="55" a="1"/>
  <c r="K211" i="55" s="1"/>
  <c r="K231" i="55" a="1"/>
  <c r="K231" i="55" s="1"/>
  <c r="K235" i="55" a="1"/>
  <c r="K235" i="55" s="1"/>
  <c r="K8" i="55" a="1"/>
  <c r="K8" i="55" s="1"/>
  <c r="K86" i="55" a="1"/>
  <c r="K86" i="55" s="1"/>
  <c r="K131" i="55" a="1"/>
  <c r="K131" i="55" s="1"/>
  <c r="K70" i="55" a="1"/>
  <c r="K70" i="55" s="1"/>
  <c r="K73" i="55" a="1"/>
  <c r="K73" i="55" s="1"/>
  <c r="K117" i="55" a="1"/>
  <c r="K117" i="55" s="1"/>
  <c r="K145" i="55" a="1"/>
  <c r="K145" i="55" s="1"/>
  <c r="K119" i="55" a="1"/>
  <c r="K119" i="55" s="1"/>
  <c r="K42" i="55" a="1"/>
  <c r="K42" i="55" s="1"/>
  <c r="K78" i="55" a="1"/>
  <c r="K78" i="55" s="1"/>
  <c r="K43" i="55" a="1"/>
  <c r="K43" i="55" s="1"/>
  <c r="K37" i="55" a="1"/>
  <c r="K37" i="55" s="1"/>
  <c r="K54" i="55" a="1"/>
  <c r="K54" i="55" s="1"/>
  <c r="K29" i="55" a="1"/>
  <c r="K29" i="55" s="1"/>
  <c r="K111" i="55" a="1"/>
  <c r="K111" i="55" s="1"/>
  <c r="K164" i="55" a="1"/>
  <c r="K164" i="55" s="1"/>
  <c r="K147" i="55" a="1"/>
  <c r="K147" i="55" s="1"/>
  <c r="K7" i="55" a="1"/>
  <c r="K7" i="55" s="1"/>
  <c r="K159" i="55" a="1"/>
  <c r="K159" i="55" s="1"/>
  <c r="K21" i="55" a="1"/>
  <c r="K21" i="55" s="1"/>
  <c r="K241" i="55" a="1"/>
  <c r="K241" i="55" s="1"/>
  <c r="K168" i="55" a="1"/>
  <c r="K168" i="55" s="1"/>
  <c r="K15" i="55" a="1"/>
  <c r="K15" i="55" s="1"/>
  <c r="K57" i="55" a="1"/>
  <c r="K57" i="55" s="1"/>
  <c r="K194" i="55" a="1"/>
  <c r="K194" i="55" s="1"/>
  <c r="K257" i="55" a="1"/>
  <c r="K257" i="55" s="1"/>
  <c r="K18" i="55" a="1"/>
  <c r="K18" i="55" s="1"/>
  <c r="K103" i="55" a="1"/>
  <c r="K103" i="55" s="1"/>
  <c r="K64" i="55" a="1"/>
  <c r="K64" i="55" s="1"/>
  <c r="K233" i="55" a="1"/>
  <c r="K233" i="55" s="1"/>
  <c r="K229" i="55" a="1"/>
  <c r="K229" i="55" s="1"/>
  <c r="K218" i="55" a="1"/>
  <c r="K218" i="55" s="1"/>
  <c r="K239" i="55" a="1"/>
  <c r="K239" i="55" s="1"/>
  <c r="K122" i="55" a="1"/>
  <c r="K122" i="55" s="1"/>
  <c r="K255" i="55" a="1"/>
  <c r="K255" i="55" s="1"/>
  <c r="K61" i="55" a="1"/>
  <c r="K61" i="55" s="1"/>
  <c r="K112" i="55" a="1"/>
  <c r="K112" i="55" s="1"/>
  <c r="K96" i="55" a="1"/>
  <c r="K96" i="55" s="1"/>
  <c r="P2" i="55"/>
  <c r="P277" i="55"/>
  <c r="U9" i="59"/>
  <c r="T9" i="59"/>
  <c r="K114" i="55" a="1"/>
  <c r="K114" i="55" s="1"/>
  <c r="K258" i="55" a="1"/>
  <c r="K258" i="55" s="1"/>
  <c r="M4" i="59"/>
  <c r="L4" i="59"/>
  <c r="M21" i="59"/>
  <c r="T23" i="59"/>
  <c r="U23" i="59"/>
  <c r="M18" i="59"/>
  <c r="L18" i="59"/>
  <c r="L25" i="59"/>
  <c r="M25" i="59"/>
  <c r="L24" i="59"/>
  <c r="M24" i="59"/>
  <c r="K41" i="55" a="1"/>
  <c r="K41" i="55" s="1"/>
  <c r="U10" i="59"/>
  <c r="T10" i="59"/>
  <c r="L6" i="59"/>
  <c r="T6" i="59"/>
  <c r="U6" i="59"/>
  <c r="T18" i="59"/>
  <c r="U18" i="59"/>
  <c r="K256" i="55" a="1"/>
  <c r="K256" i="55" s="1"/>
  <c r="O14" i="59"/>
  <c r="L12" i="59"/>
  <c r="M12" i="59"/>
  <c r="K187" i="55" a="1"/>
  <c r="K187" i="55" s="1"/>
  <c r="K94" i="55" a="1"/>
  <c r="K94" i="55" s="1"/>
  <c r="M10" i="59"/>
  <c r="L10" i="59"/>
  <c r="O28" i="59"/>
  <c r="U21" i="59"/>
  <c r="T21" i="59"/>
  <c r="T20" i="59"/>
  <c r="K50" i="55" a="1"/>
  <c r="K50" i="55" s="1"/>
  <c r="M9" i="59"/>
  <c r="L9" i="59"/>
  <c r="G14" i="59"/>
  <c r="G277" i="55"/>
  <c r="G278" i="55"/>
  <c r="G3" i="55"/>
  <c r="G2" i="55"/>
  <c r="G6" i="26"/>
  <c r="H7" i="26"/>
  <c r="H2" i="55"/>
  <c r="H277" i="55"/>
  <c r="L28" i="59" l="1"/>
  <c r="V28" i="59"/>
  <c r="T14" i="59"/>
  <c r="U28" i="59"/>
  <c r="V14" i="59"/>
  <c r="M28" i="59"/>
  <c r="N28" i="59"/>
  <c r="V42" i="59"/>
  <c r="T42" i="59"/>
  <c r="U14" i="59"/>
  <c r="N14" i="59"/>
  <c r="R2" i="55"/>
  <c r="S277" i="55"/>
  <c r="S2" i="55"/>
  <c r="R277" i="55"/>
  <c r="T28" i="59"/>
  <c r="I7" i="26"/>
  <c r="H6" i="26"/>
  <c r="H278" i="55"/>
  <c r="H3" i="55"/>
  <c r="M14" i="59"/>
  <c r="L14" i="59"/>
  <c r="T277" i="55" l="1"/>
  <c r="T2" i="55"/>
  <c r="I6" i="26"/>
  <c r="J7" i="26"/>
  <c r="K7" i="26" l="1"/>
  <c r="J6" i="26"/>
  <c r="K6" i="26" l="1"/>
  <c r="L7" i="26"/>
  <c r="M7" i="26" l="1"/>
  <c r="L6" i="26"/>
  <c r="N7" i="26" l="1"/>
  <c r="M6" i="26"/>
  <c r="N6" i="26" l="1"/>
  <c r="O7" i="26"/>
  <c r="P7" i="26" l="1"/>
  <c r="O6" i="26"/>
  <c r="P6" i="26" l="1"/>
  <c r="Q7" i="26"/>
  <c r="R7" i="26" l="1"/>
  <c r="Q6" i="26"/>
  <c r="S7" i="26" l="1"/>
  <c r="R6" i="26"/>
  <c r="S6" i="26" l="1"/>
  <c r="T7" i="26"/>
  <c r="U7" i="26" l="1"/>
  <c r="T6" i="26"/>
  <c r="V7" i="26" l="1"/>
  <c r="U6" i="26"/>
  <c r="W7" i="26" l="1"/>
  <c r="V6" i="26"/>
  <c r="X7" i="26" l="1"/>
  <c r="W6" i="26"/>
  <c r="Y7" i="26" l="1"/>
  <c r="X6" i="26"/>
  <c r="Y6" i="26" l="1"/>
  <c r="Z7" i="26"/>
  <c r="Z6" i="26" l="1"/>
  <c r="AA7" i="26"/>
  <c r="AA6" i="26" l="1"/>
  <c r="AB7" i="26"/>
  <c r="AC7" i="26" l="1"/>
  <c r="AB6" i="26"/>
  <c r="AC6" i="26" l="1"/>
  <c r="AD7" i="26"/>
  <c r="AD6" i="26" l="1"/>
  <c r="AE7" i="26"/>
  <c r="AF7" i="26" l="1"/>
  <c r="AE6" i="26"/>
  <c r="AG7" i="26" l="1"/>
  <c r="AF6" i="26"/>
  <c r="AG6" i="26" l="1"/>
  <c r="AH7" i="26"/>
  <c r="AI7" i="26" l="1"/>
  <c r="AH6" i="26"/>
  <c r="AI6" i="26" l="1"/>
  <c r="AJ7" i="26"/>
  <c r="AJ6" i="26" l="1"/>
  <c r="AK7" i="26"/>
  <c r="AL7" i="26" l="1"/>
  <c r="AK6" i="26"/>
  <c r="AL6" i="26" l="1"/>
  <c r="AM7" i="26"/>
  <c r="AM6" i="2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Saeed</author>
  </authors>
  <commentList>
    <comment ref="B1" authorId="0" shapeId="0" xr:uid="{00000000-0006-0000-0000-000001000000}">
      <text>
        <r>
          <rPr>
            <b/>
            <sz val="9"/>
            <color indexed="81"/>
            <rFont val="Tahoma"/>
            <family val="2"/>
          </rPr>
          <t>Saeed:</t>
        </r>
        <r>
          <rPr>
            <sz val="9"/>
            <color indexed="81"/>
            <rFont val="Tahoma"/>
            <family val="2"/>
          </rPr>
          <t xml:space="preserve">
Category could be: 
Log, 
Question, 
Concern, 
Suggestion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3" authorId="0" shapeId="0" xr:uid="{1A0B955B-C3D0-4AAD-8983-C355B5F9CF13}">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17" authorId="0" shapeId="0" xr:uid="{52973E01-0C53-4DED-A927-13D565CF3227}">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 ref="A31" authorId="0" shapeId="0" xr:uid="{82FCF150-E172-4D2F-A2F1-27448E4FA826}">
      <text>
        <r>
          <rPr>
            <b/>
            <sz val="9"/>
            <color indexed="81"/>
            <rFont val="Tahoma"/>
            <family val="2"/>
          </rPr>
          <t>• All 'unique' Sub-IP Block names from 'DiagsRawData' tab's 'Sub-IP Block' column D MUST be listed in each of 'Total &amp; New+Delta &amp; Legacy' table for accurate total summary calculation.
•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2" authorId="0" shapeId="0" xr:uid="{8EA0046D-2D1F-406A-A7A5-797A17A191AF}">
      <text>
        <r>
          <rPr>
            <b/>
            <sz val="9"/>
            <color indexed="81"/>
            <rFont val="Tahoma"/>
            <family val="2"/>
          </rPr>
          <t>All unique 'Feature Task ID' per 'Feature Name / Description' MUST be listed in 'Feature Raw Data' tab</t>
        </r>
        <r>
          <rPr>
            <sz val="9"/>
            <color indexed="81"/>
            <rFont val="Tahoma"/>
            <family val="2"/>
          </rPr>
          <t xml:space="preserve">
</t>
        </r>
      </text>
    </comment>
    <comment ref="B2" authorId="0" shapeId="0" xr:uid="{3050CF3A-C0CA-455F-AF30-7887AD12E54D}">
      <text>
        <r>
          <rPr>
            <b/>
            <sz val="9"/>
            <color indexed="81"/>
            <rFont val="Tahoma"/>
            <family val="2"/>
          </rPr>
          <t>All IP Features, including those not supported by Diags, must be provided and present in this column</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V2" authorId="0" shapeId="0" xr:uid="{D0B01B64-0E4B-4AE5-B5C4-A2606392E2AB}">
      <text>
        <r>
          <rPr>
            <b/>
            <sz val="9"/>
            <color indexed="81"/>
            <rFont val="Tahoma"/>
            <family val="2"/>
          </rPr>
          <t xml:space="preserve">IP Owner(s) to write down and enter any comments here that they would like to highlight as the overall status or progress in this Cell V2/V3. This will be used to collect the comments along with other details to populate automatically and will be fetched for the weekly status report as need be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<sst xmlns="http://schemas.openxmlformats.org/spreadsheetml/2006/main" count="5896" uniqueCount="1002">
  <si>
    <t>Date</t>
  </si>
  <si>
    <t>Category</t>
  </si>
  <si>
    <t>Requester</t>
  </si>
  <si>
    <t>Change</t>
  </si>
  <si>
    <t>Reason</t>
  </si>
  <si>
    <t>Comments / Next Steps</t>
  </si>
  <si>
    <t>Log</t>
  </si>
  <si>
    <t>Elmer</t>
  </si>
  <si>
    <t>Changed priority fom High/Medium/Low to P1/P2/P3</t>
  </si>
  <si>
    <t>Aligned with CTA feature lists</t>
  </si>
  <si>
    <t>n/a</t>
  </si>
  <si>
    <t>Saeed</t>
  </si>
  <si>
    <t xml:space="preserve">Removed SLT &amp; BP columns.  </t>
  </si>
  <si>
    <t>Too difficult to keep in sync and consistent.</t>
  </si>
  <si>
    <t>Create separate tracker for Diag Suites</t>
  </si>
  <si>
    <t>Suggestion</t>
  </si>
  <si>
    <t>Add “Summary” tab similar to current trackers that provide % summaries for code and execution development (not tied to features)</t>
  </si>
  <si>
    <t>See Elmer's email for MHUB example</t>
  </si>
  <si>
    <t>In summay tab, provide means to report % completion breakdowns against P1/2/3, HW sub blocks, and new/legacy/delta progress</t>
  </si>
  <si>
    <t>Tuan</t>
  </si>
  <si>
    <t>Provide means to track development work not related to test cases - i.e., libraries, etc.</t>
  </si>
  <si>
    <t>See Tuan's email on 8/20 for example</t>
  </si>
  <si>
    <t>Team</t>
  </si>
  <si>
    <t>Remove Feature Description from "Diags Raw Data" tab</t>
  </si>
  <si>
    <t>Add new tab "Feature Raw Data" to align with Feature list provided by the program.  PM is the only one to edit this tab.</t>
  </si>
  <si>
    <t>Align "Feature ID", "Feature Name" and columns with the those from "Feature Raw Data".</t>
  </si>
  <si>
    <t>Added "Entitled" column; make it drop down with Yes/No input.  Need to be  manually populated during planning.</t>
  </si>
  <si>
    <t>Repurposed "Committed" column; make it a drop down with Yes/No; populated automatically based on input from Diags Raw Data tab.</t>
  </si>
  <si>
    <t>Remove feature priority from Diag Raw Data</t>
  </si>
  <si>
    <t>After the tracker is set up during planning, and once status info is populated anywhere in it, all future changes and updates will need to be done manually, and carefully.  Ideally, Diag Lead and PM agree and coordinate on what these change are, and where they would go.</t>
  </si>
  <si>
    <t>Pass</t>
  </si>
  <si>
    <t>Yes</t>
  </si>
  <si>
    <t>C-Model</t>
  </si>
  <si>
    <t>Legacy</t>
  </si>
  <si>
    <t>Diagnostics</t>
  </si>
  <si>
    <t>TNG</t>
  </si>
  <si>
    <t>Fail</t>
  </si>
  <si>
    <t>No</t>
  </si>
  <si>
    <t>FPGA</t>
  </si>
  <si>
    <t>Delta</t>
  </si>
  <si>
    <t>Driver</t>
  </si>
  <si>
    <t>TServer</t>
  </si>
  <si>
    <t>Not Run</t>
  </si>
  <si>
    <t>Gopher</t>
  </si>
  <si>
    <t>New</t>
  </si>
  <si>
    <t>IPSE</t>
  </si>
  <si>
    <t>CDL</t>
  </si>
  <si>
    <t>N/A</t>
  </si>
  <si>
    <t>N-1</t>
  </si>
  <si>
    <t>Storm</t>
  </si>
  <si>
    <t>Emulator</t>
  </si>
  <si>
    <t>Other</t>
  </si>
  <si>
    <t>SimNow</t>
  </si>
  <si>
    <t>Tab</t>
  </si>
  <si>
    <t>Purpose</t>
  </si>
  <si>
    <t>Who populates</t>
  </si>
  <si>
    <t>When populated</t>
  </si>
  <si>
    <t>Notes</t>
  </si>
  <si>
    <t>Diags Raw Data</t>
  </si>
  <si>
    <t>Contains raw information about the features &amp; tests, as well as status info (code &amp; test development, pre-silicon verification and post-silicon validation)</t>
  </si>
  <si>
    <t>Diag Lead, PM</t>
  </si>
  <si>
    <t>During planning, and on-going</t>
  </si>
  <si>
    <t>PINK highlighted columns/cells to be filled up by Diags IP teams or PMs</t>
  </si>
  <si>
    <t>Sub-IP Block Summary</t>
  </si>
  <si>
    <t>Contains Sub-IP Block summary (Total &amp; New+Delta &amp; Legacy) rolled up based on data in Diags Raw Data</t>
  </si>
  <si>
    <t>Feature Raw Data</t>
  </si>
  <si>
    <t>Contains Feature info as provided by CTA; with Feaure Task IDs representing CTA JIRA tickets</t>
  </si>
  <si>
    <t>PM, Diag Lead</t>
  </si>
  <si>
    <t>Feature Summary</t>
  </si>
  <si>
    <t>Feature-centric information rolled up based on data in Diags Raw Data, as well as per feature Entitled/Committed info</t>
  </si>
  <si>
    <t>Progress</t>
  </si>
  <si>
    <t>Provides a graphical view of Planned vs. Actual progress with Coding, Verification (Pre-Silicon), and Validation (Post-Silicon)</t>
  </si>
  <si>
    <t>PM</t>
  </si>
  <si>
    <t>Usage</t>
  </si>
  <si>
    <t>Explains main purpose for each tab, and key fields. Please carefully read ‘Usage’ tab’s descriptions and instructions of all columns and tabs</t>
  </si>
  <si>
    <t>Columns (Fields)</t>
  </si>
  <si>
    <t>Feature &amp; Test Details</t>
  </si>
  <si>
    <t>Feature Task ID</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</si>
  <si>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It should be based on what's listed in 'Feature Raw Data' tab</t>
  </si>
  <si>
    <t>Planning Phase</t>
  </si>
  <si>
    <t>• This column should be populated based on mapping of tests (in the Test Case ID column) to the features that the test covers
• If a test applies to multiple features, repeat the Feature Task ID, comma separated, and one per line within the same cell
• Feature Task IDs must match exactly between Diags Raw Data and Feature Summary tabs
• Only features that are entitled &amp; committed should be included here</t>
  </si>
  <si>
    <t>Feature Name / Description</t>
  </si>
  <si>
    <t>Feature Name as known by CTA forums, FET Leads, Domain Leads and/or IPSEs</t>
  </si>
  <si>
    <t>• Associated Feature Name/Description that matches the Feature Task ID within the same row
• If a test applies to multiple features, repeat the Feature Name/Description, comma separated, and one per line within the same cell</t>
  </si>
  <si>
    <t>Owner</t>
  </si>
  <si>
    <t>Diag owner for the given test/feature</t>
  </si>
  <si>
    <t>Diag Lead</t>
  </si>
  <si>
    <t>• This is informational only, and does not play any role in the rollup of status in the initial template. It can be used at discretion of Diag Lead and PM per specific needs of the IP and program</t>
  </si>
  <si>
    <t>Sub-IP Block</t>
  </si>
  <si>
    <t>• Sub-IP Block MUST NOT be blank or empty
• Sub-IP Block within the IP that the feature belongs to (e.g. GFX or DCN IP's Sub-IP Block)
• Sub-IP Block names example (e.g. PSP IP has CCP, DRM, PSP as a type of Sub-IP Block names. GMHUB IP has MMHUB, ATHUB, GFXHUB as a type of Sub-IP Block names)
• Use Test Suite and/or actual IP name for this column if the Sub-IP Block doesn't exist for the given IP (e.g. DF, PCIE, IOAPIC, etc.)
• No blank cells per row allowed in 'DiagsRawData' tab's column D. This column MUST be filled with some type of Sub-IP Block names</t>
  </si>
  <si>
    <t>• This information gets used in 'Sub-IP Block Summary' tab's column A and for each of table's summary calculation. Please indicate correct Sub-IP Block names in each line item accordingly</t>
  </si>
  <si>
    <t>Sub-Block Test Name</t>
  </si>
  <si>
    <t>Diagnostics Sub-Block Test Name only if available or applicable. This column can be empty if no need to be used for certain IPs</t>
  </si>
  <si>
    <t>• This is an informational and optional field, and not used in any formulas of roll-up</t>
  </si>
  <si>
    <t>Test Name / Description</t>
  </si>
  <si>
    <t>Name of the test as known in the Diag world, and used for communication with other teams</t>
  </si>
  <si>
    <t>Priority</t>
  </si>
  <si>
    <t>Program priority for the given feature</t>
  </si>
  <si>
    <t>Automatically generated based on 'Priority' column in 'Feature Summary' tab</t>
  </si>
  <si>
    <t>Test Case ID</t>
  </si>
  <si>
    <t>Unique Test Case ID, as used in Diag suites and/or scripts. "One Test Case ID" per row only</t>
  </si>
  <si>
    <t>• Do not use different designations for same test – i.e., "TestId7.1" and "TestId007.001". Pick one, and stick with it consistently
• Ideally, this can be such that it can be parsed from this table, and used in automation (as possible future enhancement)</t>
  </si>
  <si>
    <t>Parameters</t>
  </si>
  <si>
    <t>Parameters needed to run the given test. Please indicate any parameters that are required to run the test properly</t>
  </si>
  <si>
    <t>• This can be such that it can be parsed from this table, and used in automation</t>
  </si>
  <si>
    <t>Effort</t>
  </si>
  <si>
    <t xml:space="preserve">This is a relative estimate of effort (in person hours) required to develop test plan and code the feature's test cases. By default per each row's test - Effort: 1 = 1 hour of effort </t>
  </si>
  <si>
    <t>• The effort estimate will initially be used only to calculate weighted % complete for test plan and code development. It will not be used for actual planning and forecasting of completion timelines</t>
  </si>
  <si>
    <t>Total Variations</t>
  </si>
  <si>
    <t>Total number of test variations for the given row's particular test case</t>
  </si>
  <si>
    <t>For instance, tcid103.003-010 means there are a total of 8 test variations</t>
  </si>
  <si>
    <t>• Used to specify the category for the test (Legacy vs. Delta vs. New)
• Feature and/or Test Category: New (completely new test), Delta (enhanced or modified test from existing one) or Legacy (no change)
• Category per row MUST NOT be blank or empty, and it MUST be only chosen between 'Legacy', 'Delta' and 'New' from the drop down menu per row
• This ‘Category’ column’s information gets used in ‘Sub-IP Block Summary’ tab for each of 'New+Delta' &amp; 'Legacy' table's summary calculation</t>
  </si>
  <si>
    <r>
      <rPr>
        <b/>
        <u/>
        <sz val="11"/>
        <color rgb="FFFF0000"/>
        <rFont val="Calibri"/>
        <family val="2"/>
        <scheme val="minor"/>
      </rPr>
      <t>New</t>
    </r>
    <r>
      <rPr>
        <sz val="11"/>
        <color rgb="FFFF0000"/>
        <rFont val="Calibri"/>
        <family val="2"/>
        <scheme val="minor"/>
      </rPr>
      <t xml:space="preserve">: Test is completely new for this IP/program
</t>
    </r>
    <r>
      <rPr>
        <b/>
        <u/>
        <sz val="11"/>
        <color rgb="FFFF0000"/>
        <rFont val="Calibri"/>
        <family val="2"/>
        <scheme val="minor"/>
      </rPr>
      <t>Delta</t>
    </r>
    <r>
      <rPr>
        <sz val="11"/>
        <color rgb="FFFF0000"/>
        <rFont val="Calibri"/>
        <family val="2"/>
        <scheme val="minor"/>
      </rPr>
      <t xml:space="preserve">: Test already exists, but needs some modifications to use for this IP/program
</t>
    </r>
    <r>
      <rPr>
        <b/>
        <u/>
        <sz val="11"/>
        <color rgb="FFFF0000"/>
        <rFont val="Calibri"/>
        <family val="2"/>
        <scheme val="minor"/>
      </rPr>
      <t>Legacy</t>
    </r>
    <r>
      <rPr>
        <sz val="11"/>
        <color rgb="FFFF0000"/>
        <rFont val="Calibri"/>
        <family val="2"/>
        <scheme val="minor"/>
      </rPr>
      <t>: Test already exists, and can be used as is; no modification is needed for test plan, nor code</t>
    </r>
  </si>
  <si>
    <t>Test Plan &amp; Code Status</t>
  </si>
  <si>
    <t>% TP Done</t>
  </si>
  <si>
    <t>Percent complete for test plan associated with this given row's test</t>
  </si>
  <si>
    <t>Development Phase</t>
  </si>
  <si>
    <r>
      <rPr>
        <b/>
        <u/>
        <sz val="11"/>
        <color rgb="FFFF0000"/>
        <rFont val="Calibri"/>
        <family val="2"/>
        <scheme val="minor"/>
      </rPr>
      <t>90%</t>
    </r>
    <r>
      <rPr>
        <sz val="11"/>
        <color rgb="FFFF0000"/>
        <rFont val="Calibri"/>
        <family val="2"/>
        <scheme val="minor"/>
      </rPr>
      <t xml:space="preserve">: Test plan completely written
</t>
    </r>
    <r>
      <rPr>
        <b/>
        <u/>
        <sz val="11"/>
        <color rgb="FFFF0000"/>
        <rFont val="Calibri"/>
        <family val="2"/>
        <scheme val="minor"/>
      </rPr>
      <t>95%</t>
    </r>
    <r>
      <rPr>
        <sz val="11"/>
        <color rgb="FFFF0000"/>
        <rFont val="Calibri"/>
        <family val="2"/>
        <scheme val="minor"/>
      </rPr>
      <t xml:space="preserve">: Test plan reviewed within Diag teams
</t>
    </r>
    <r>
      <rPr>
        <b/>
        <u/>
        <sz val="11"/>
        <color rgb="FFFF0000"/>
        <rFont val="Calibri"/>
        <family val="2"/>
        <scheme val="minor"/>
      </rPr>
      <t>100%</t>
    </r>
    <r>
      <rPr>
        <sz val="11"/>
        <color rgb="FFFF0000"/>
        <rFont val="Calibri"/>
        <family val="2"/>
        <scheme val="minor"/>
      </rPr>
      <t>: Test plan reviewed with FET Lead and others, and signed off</t>
    </r>
  </si>
  <si>
    <t># Written</t>
  </si>
  <si>
    <t>Total number of test variations written for that row's given test out of what's indicated in 'Total Variations' column for the same row</t>
  </si>
  <si>
    <t>This is to identify how many test variations are written from the 'Total Variation' planned for the given row's test</t>
  </si>
  <si>
    <t>% Code Done</t>
  </si>
  <si>
    <t>Percent complete for code asociated with this test</t>
  </si>
  <si>
    <t>For each row's test: # Written / Total Variations = % Code Done</t>
  </si>
  <si>
    <t>Pre-Silicon Plan / Status</t>
  </si>
  <si>
    <t>P/S Env.</t>
  </si>
  <si>
    <t>Pre-silicon environment that is planned to be used for this test. If more than one environment used, capture the one that provides the most confidence</t>
  </si>
  <si>
    <t>• This is a drop down with the current options as: C-Model, FGPA, Gopher, N-1, Emulator, SimNow and N/A. N/A implies no pre-silicon is planned</t>
  </si>
  <si>
    <t># of Planned Pre-Si Test Cases</t>
  </si>
  <si>
    <t xml:space="preserve">Total number of tests that have been scoped to run out of 'Total Variations' available during pre-silicon phase for that row's test </t>
  </si>
  <si>
    <t>Pre-Silicon Phase</t>
  </si>
  <si>
    <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</si>
  <si>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Total Run</t>
  </si>
  <si>
    <t>Total number of tests that have been executed, regardless of pass/waived/fail/skip status during pre-silicon phase for that row's test</t>
  </si>
  <si>
    <t>Number of tests that have been validated / passed on pre-silicon</t>
  </si>
  <si>
    <t>Waived</t>
  </si>
  <si>
    <t>Number of tests that have been consciously waived for whatever reason on pre-silicon</t>
  </si>
  <si>
    <t>Number of tests that have failed when tried on pre-silicon</t>
  </si>
  <si>
    <t>Skip</t>
  </si>
  <si>
    <t>Number of tests that have skipped when tried on pre-silicon</t>
  </si>
  <si>
    <t>% Pass Rate</t>
  </si>
  <si>
    <t>(Pass + Waived) / (Total Run) tests for that row's test on pre-silicon</t>
  </si>
  <si>
    <t>Errors or Pre-Silicon Comments / Notes</t>
  </si>
  <si>
    <t>Diags engineers to indicate any errors occurred when running the test or any Pre-Silicon Comments / Notes</t>
  </si>
  <si>
    <t>Post-Silicon Execution Status</t>
  </si>
  <si>
    <t>Total number of tests that have been executed, regardless of pass/waived/fail/skip status on silicon</t>
  </si>
  <si>
    <t>Post-Silicon Phase</t>
  </si>
  <si>
    <t>• This is calculated based on Pass/Waived/Fail/Skip info</t>
  </si>
  <si>
    <t>Number of tests that have been validated / passed on silicon</t>
  </si>
  <si>
    <t>Number of tests that have been consciously waived for whatever reason on silicon</t>
  </si>
  <si>
    <t>• This number is counted as 'Pass' in status rollups</t>
  </si>
  <si>
    <t>Number of tests that have failed when tried on silicon</t>
  </si>
  <si>
    <t>Number of tests that have skipped when tried on silicon</t>
  </si>
  <si>
    <t>• This number is counted as 'Fail' in status rollups</t>
  </si>
  <si>
    <t>(Pass + Waived) / (Total Run) tests for that row's test on silicon</t>
  </si>
  <si>
    <t>Errors or Execution Comments / Notes</t>
  </si>
  <si>
    <t>Diags engineers to indicate any errors occurred when running the test or any Post-Silicon Execution Comments / Notes</t>
  </si>
  <si>
    <t>ETA</t>
  </si>
  <si>
    <t>Estimated, and agreed upon, target week after ASIC Back or U/U to have the given feature validated</t>
  </si>
  <si>
    <t>Automatically generated based on 'ETA' column in 'Feature Summary' tab</t>
  </si>
  <si>
    <t>Issue or Bug Tracking Reference (e.g. JIRA Ticket ID)</t>
  </si>
  <si>
    <t>Tracking information to use as reference to track bug found or issue to closure</t>
  </si>
  <si>
    <t>• Ideally, in case of Fail/Skip, tracking information should be provided here - i.e., JIRA or Ontrack ticket ID or link</t>
  </si>
  <si>
    <t>Total &amp; New+Delta &amp; Legacy</t>
  </si>
  <si>
    <t>• List of all Sub-IP Block names from 'Diags Raw Data' tab's column D (e.g. GFX or DCN IP's Sub-IP Block)
• All those "unique" Sub-IP Block names from 'Diags Raw Data' tab's column D MUST be listed in each of the table (Total &amp; New+Delta &amp; Legacy), and it should be same Sub-IP Block names to be listed across all tables for accurate total summary calculation
• Please use actual Test Suite or IP name in 'Diags Raw Data' tab's column D if the Sub-IP Block doesn't exist for the given IP (e.g. DF,PCIE, IOAPIC, etc.)
• No blank cells per row allowed in 'DiagsRawData' tab's column D. This column MUST be filled with some type of Sub-IP Block names</t>
  </si>
  <si>
    <t>• The ‘Sub-IP Block’ column’s information from 'Diags Raw Data' tab's column D gets used in ‘Sub-IP Block Summary’ tab's column A and for each of table’s summary calculation. Please indicate correct Sub-IP Block names in each line item accordingly
• All calculation formulas in ‘Sub-IP Block Summary’ tab are based on unique Sub-IP Block names listed in ‘Sub-IP Block’ column A in each of ‘Total’ &amp; ‘New+Delta’ &amp; ‘Legacy’ table</t>
  </si>
  <si>
    <t>Code Status</t>
  </si>
  <si>
    <t># of Tests (Total)</t>
  </si>
  <si>
    <t>Total number of tests for each of the Sub-IP Block or total</t>
  </si>
  <si>
    <t>Automatically generated</t>
  </si>
  <si>
    <t>Total number of tests that have been scoped to run during pre-silicon phase for each of the Sub-IP Block or total</t>
  </si>
  <si>
    <t>This is a relative estimate of effort (in person hours) required to develop test plan and code the feature's test cases</t>
  </si>
  <si>
    <t>Automatically generated based on 'Effort' column in 'Diags Raw Data' tab</t>
  </si>
  <si>
    <t># Tests Written</t>
  </si>
  <si>
    <t>Total number of tests written for each of the Sub-IP Block or total</t>
  </si>
  <si>
    <t>% Tests Written</t>
  </si>
  <si>
    <t>(# Tests Written) / (# of Tests (Total)) for each of the Sub-IP Block or total</t>
  </si>
  <si>
    <t>Pre-Silicon Status</t>
  </si>
  <si>
    <t>Total number of tests that have been executed, regardless of pass/waived/fail/skip status on pre-silicon for each of the Sub-IP Block or total</t>
  </si>
  <si>
    <r>
      <t xml:space="preserve">Automatically generated
</t>
    </r>
    <r>
      <rPr>
        <sz val="11"/>
        <color rgb="FFFF0000"/>
        <rFont val="Calibri"/>
        <family val="2"/>
        <scheme val="minor"/>
      </rPr>
      <t xml:space="preserve">• Decided to use ‘Total Run/Pass/Waived/Fail/Skip’ status columns in ‘Pre-Silicon Plan / Status’ table in ‘Diags Raw Data’ tab and ‘Pre-Silicon Status’ table in ‘Sub-IP Block Summary’ tab of Diagnostics IP Status Tracker 2.0
• For this reason, ‘P/S Status’ column is removed as it’s not needed anymore
• ‘Waived’ &amp; ‘Skip’ columns will be optional to use, </t>
    </r>
    <r>
      <rPr>
        <b/>
        <sz val="11"/>
        <color rgb="FFFF0000"/>
        <rFont val="Calibri"/>
        <family val="2"/>
        <scheme val="minor"/>
      </rPr>
      <t>so by default these two columns will be hided</t>
    </r>
    <r>
      <rPr>
        <sz val="11"/>
        <color rgb="FFFF0000"/>
        <rFont val="Calibri"/>
        <family val="2"/>
        <scheme val="minor"/>
      </rPr>
      <t xml:space="preserve"> for ‘Pre-Silicon Plan / Status’ table in ‘Diags Raw Data’ and ‘Pre-Silicon Status’ table in ‘Sub-IP Block Summary’ tab
• For those Diags IP teams who would like to use them can un-hide these columns and record the ‘Waived’ &amp; ‘Skip’ tests status for pre-silicon as well as need be</t>
    </r>
  </si>
  <si>
    <t>Number of tests that have been validated / passed on pre-silicon for each of the Sub-IP Block or total</t>
  </si>
  <si>
    <t>Number of tests that have been consciously waived for whatever reason on pre-silicon for each of the Sub-IP Block or total</t>
  </si>
  <si>
    <t>Number of tests that have failed when tried on pre-silicon for each of the Sub-IP Block or total</t>
  </si>
  <si>
    <t>Number of tests that have skipped when tried on pre-silicon for each of the Sub-IP Block or total</t>
  </si>
  <si>
    <t>% Coverage</t>
  </si>
  <si>
    <t>(Total Run) / (# of Planned Pre-Si Test Cases) on pre-silicon for each of the Sub-IP Block or total</t>
  </si>
  <si>
    <t>(Pass + Waived) / (Total Run) on pre-silicon for each of the Sub-IP Block or total</t>
  </si>
  <si>
    <t>% Validated</t>
  </si>
  <si>
    <t>(Pass + Waived) / (# of Planned Pre-Si Test Cases) on pre-silicon for each of the Sub-IP Block or total</t>
  </si>
  <si>
    <t>Total number of tests that have been executed, regardless of pass/waived/fail/skip status on silicon for each of the Sub-IP Block or total</t>
  </si>
  <si>
    <t>Number of tests that have been validated / passed on silicon for each of the Sub-IP Block or total</t>
  </si>
  <si>
    <t>Number of tests that have been consciously waived for whatever reason on silicon for each of the Sub-IP Block or total</t>
  </si>
  <si>
    <t>Number of tests that have failed when tried on silicon for each of the Sub-IP Block or total</t>
  </si>
  <si>
    <t>Number of tests that have skipped when tried on silicon for each of the Sub-IP Block or total</t>
  </si>
  <si>
    <t>(Total Run) / (# of Tests (Total)) on silicon for each of the Sub-IP Block or total</t>
  </si>
  <si>
    <t>(Pass + Waived) / (Total Run) on silicon for each of the Sub-IP Block or total</t>
  </si>
  <si>
    <t>(Pass + Waived) / (# of Tests (Total)) on silicon for each of the Sub-IP Block or total</t>
  </si>
  <si>
    <t>CTA Feature Info</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</si>
  <si>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All unique 'Feature Task ID' per 'Feature Name / Description' MUST be listed in 'Feature Raw Data' tab</t>
  </si>
  <si>
    <t>• All IP Features, including those not supported by Diags, must be provided and present in 'Feature Name / Description' column
• All feature list items for the given IP of the program MUST be listed in ‘Feature Name / Description’ column in ‘Feature Raw Data’ tab
• ‘Feature Task ID’ per feature list item can be a fake ID to begin with if it’s not available</t>
  </si>
  <si>
    <t>• All IP Features, including those not supported by Diags, must be provided and present in this column
• Associated Feature Name/Description that matches the Feature Task ID within the same row</t>
  </si>
  <si>
    <t>• P1, P2 or P3 priority that's defined or given by the program team per feature</t>
  </si>
  <si>
    <t>Component/s</t>
  </si>
  <si>
    <t>Used to specify the Component/s for the given feature (Diagnostics vs. Driver vs. IPSE vs. N/A)</t>
  </si>
  <si>
    <t>• This is a drop down with current options as: Diagnostics, Driver, IPSE and N/A</t>
  </si>
  <si>
    <t>Used to specify the category for the given feature (Legacy vs. Delta vs. New)</t>
  </si>
  <si>
    <t>• This is a drop down with current options as: Legacy, Delta and New</t>
  </si>
  <si>
    <t>HW IP Revision</t>
  </si>
  <si>
    <t>To indicate HW IP Revision for the given IP of the program</t>
  </si>
  <si>
    <t>• Feature Task ID as known and used by CTA forums, FET Leads, Domain Leads and/or IPSEs; with Feaure Task IDs representing CTA JIRA tickets #
• It's okay to use a fake or arbitrary Feature Task ID per Feature Name to begin with at least to distinguish one from the other if the CTA Feature Task ID is not available and/or consumed much in early phase of the program (use actual or correct IDs only when it’s provided by the program teams as need be)
• The number of rows in 'Feature Summary' tab for the list of features should be same as the number of rows for the list of features in 'Feature Raw Data' tab. Basically, all unique 'Feature Task ID' per 'Feature Name / Description' MUST be listed in 'Feature Summary' tab as well</t>
  </si>
  <si>
    <t>• All IP Features, including those not supported by Diags, must be provided and present in this column 
• Same number of 'Feature Task ID' listed in 'Feature Raw Data' tab MUST be listed in 'Feature Task ID' column A in 'Feature Summary' tab</t>
  </si>
  <si>
    <t>Automatically generated based on 'Priority' column in 'Feature Raw Data' tab</t>
  </si>
  <si>
    <t>Test Case IDs</t>
  </si>
  <si>
    <t>List of all Test Case IDs that provide coverage for this feature</t>
  </si>
  <si>
    <t>Sub-IP Block within the IP that the feature belongs to (e.g. GFX or DCN IP's Sub-IP Block). Please use actual Test Suite or IP name in 'Diags Raw Data' tab's column D if the Sub-IP Block doesn't exist for the given IP (e.g. DF, PCIE, IOAPIC, etc.). No blank cells per row allowed in 'Diags Raw Data' tab's column D. This column MUST be filled with Sub-IP Block names</t>
  </si>
  <si>
    <t>Entitled?</t>
  </si>
  <si>
    <t>If the feature can be covered by Diags,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</si>
  <si>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only captures if feature can be covered by Diags, not necessarily if it would be</t>
  </si>
  <si>
    <t>Committed?</t>
  </si>
  <si>
    <t>If Diag can commit to support this feature, then Yes; else, No</t>
  </si>
  <si>
    <t>• This is initially and programatically populated, based on Feature Task ID and Test Case ID mapping in Diags Raw Data Tab. Once mapping is complete, this needs to be reviewed and updated, as needed. Accuracy of this information is on Diag Lead, so they must be corrected as need be
• Note, this should reflect if feature is committed to be covered by Diags - i.e., a feature can be 'Entitled', but not 'Committed'</t>
  </si>
  <si>
    <t># Tests Per Feature</t>
  </si>
  <si>
    <t>Total number of test variations that cover the given feature</t>
  </si>
  <si>
    <t>PM calculates this programatically, based on info on 'Diags Raw Data' Tab.  Accuracy of this information is on Diag Lead</t>
  </si>
  <si>
    <t>Rolled up % Complete for test plan development for the given feature</t>
  </si>
  <si>
    <t>Ongoing</t>
  </si>
  <si>
    <t>Rolled up % Complete for code development for the given feature</t>
  </si>
  <si>
    <t># Planned</t>
  </si>
  <si>
    <t>Number of tests planned to go through pre-silicon, regardless of env used</t>
  </si>
  <si>
    <t># Passed</t>
  </si>
  <si>
    <t>Total number of tests passed on pre-silicon, regardless of env used</t>
  </si>
  <si>
    <t>Percent number of tests passed on pre-silicon out of planned tests. Formula: (# Passed) / (# Planned)</t>
  </si>
  <si>
    <t># Executed</t>
  </si>
  <si>
    <t>Total number of tets that have been executed on post-silicon</t>
  </si>
  <si>
    <t>Total number of tests that have already passed, or waived on post-silicon</t>
  </si>
  <si>
    <t>Percent test coverage; an indication of % of tests have been executed on ASIC, regardless of test results. Formula: (# Executed) / (# Tests Per Feature)</t>
  </si>
  <si>
    <t>Percent pass rate; an indication of % of tests that have passed/waived out of those already executed on ASIC. Formula: (# Passed) / (# Executed)</t>
  </si>
  <si>
    <t>This is a number that combines '% Coverage' and '% Pass Rate' to give an overall view of progress towards 100% coverage and 100% Pass Rate. This is the number that needs to reach 100% for the fearture to be considered fully validated. Formula: (% Coverage) * (% Pass Rate)</t>
  </si>
  <si>
    <t>Planning Phase; Ongoing</t>
  </si>
  <si>
    <t>Use format 'WK1', 'WK2', etc., starting from ASIC Back or U/U being WK1</t>
  </si>
  <si>
    <r>
      <t xml:space="preserve">Scenario: </t>
    </r>
    <r>
      <rPr>
        <sz val="11"/>
        <color theme="1"/>
        <rFont val="Calibri"/>
        <family val="2"/>
        <scheme val="minor"/>
      </rPr>
      <t xml:space="preserve">there are cross IP features coverage, meaning one IP team will require other IP Diag test case to cover their feature. </t>
    </r>
    <r>
      <rPr>
        <b/>
        <sz val="11"/>
        <color theme="1"/>
        <rFont val="Calibri"/>
        <family val="2"/>
        <scheme val="minor"/>
      </rPr>
      <t xml:space="preserve">
Example below: </t>
    </r>
    <r>
      <rPr>
        <sz val="11"/>
        <color theme="1"/>
        <rFont val="Calibri"/>
        <family val="2"/>
        <scheme val="minor"/>
      </rPr>
      <t>DCN test case CAB001 is used to cover MALL feature "MALL-FEAT-93"</t>
    </r>
  </si>
  <si>
    <t>Feature</t>
  </si>
  <si>
    <t>Feature discription</t>
  </si>
  <si>
    <t>Feature IP domain</t>
  </si>
  <si>
    <t>Test case to cover the feature</t>
  </si>
  <si>
    <t>Test Case IP domain</t>
  </si>
  <si>
    <t>NV31-DCN-146</t>
  </si>
  <si>
    <t>CAB</t>
  </si>
  <si>
    <t>DCN</t>
  </si>
  <si>
    <t>CAB001</t>
  </si>
  <si>
    <t>MALL-FEAT-93</t>
  </si>
  <si>
    <t>Display from MALL</t>
  </si>
  <si>
    <t>MALL</t>
  </si>
  <si>
    <t>Working flow:
1, Under DCN Diag IP tracker :Diag raw data, adding MALL feature id in the required test case. This need to be reviewed by both IP lead.
2, Under MALL Diag IP tracker:Update diag raw data. The effort will reflect MALL owner’s effort for reviewing test plan, update any code/lib to support CAB, support in pre / post-silicon debugging, etc.</t>
  </si>
  <si>
    <t>DCN IP Tracker</t>
  </si>
  <si>
    <t>NV31-DCN-144</t>
  </si>
  <si>
    <t>Display feature 144</t>
  </si>
  <si>
    <t>DIO</t>
  </si>
  <si>
    <t>ExampleTestName-398</t>
  </si>
  <si>
    <t>P1</t>
  </si>
  <si>
    <t>DIO120</t>
  </si>
  <si>
    <t xml:space="preserve">New </t>
  </si>
  <si>
    <t>NV31-DCN-145</t>
  </si>
  <si>
    <t xml:space="preserve">DCHUB: feature xx </t>
  </si>
  <si>
    <t>DCHB</t>
  </si>
  <si>
    <t>ExampleTestName-399</t>
  </si>
  <si>
    <t>DCHB100</t>
  </si>
  <si>
    <t xml:space="preserve">delta </t>
  </si>
  <si>
    <r>
      <t xml:space="preserve">NV31-DCN-146, </t>
    </r>
    <r>
      <rPr>
        <sz val="11"/>
        <color rgb="FFFF0000"/>
        <rFont val="Calibri"/>
        <family val="2"/>
      </rPr>
      <t>MALL-FEAT-93</t>
    </r>
  </si>
  <si>
    <r>
      <t xml:space="preserve">CAB,
</t>
    </r>
    <r>
      <rPr>
        <sz val="11"/>
        <color rgb="FFFF0000"/>
        <rFont val="Calibri"/>
        <family val="2"/>
      </rPr>
      <t>Display refresh from MALL</t>
    </r>
  </si>
  <si>
    <t>CAB: Display refresh from MALL</t>
  </si>
  <si>
    <t>MALL IP Tracker</t>
  </si>
  <si>
    <t>MALL-FEAT-92</t>
  </si>
  <si>
    <t>Feature name - EX-FEAT-093</t>
  </si>
  <si>
    <t>MALL test description</t>
  </si>
  <si>
    <t>tcid493.393</t>
  </si>
  <si>
    <t xml:space="preserve">Legacy </t>
  </si>
  <si>
    <t>WK7</t>
  </si>
  <si>
    <t>Display refresh from MALL</t>
  </si>
  <si>
    <t>This feature is covered in DCN Diag tracker</t>
  </si>
  <si>
    <t>P2</t>
  </si>
  <si>
    <t>MALL-FEAT-94</t>
  </si>
  <si>
    <t>MALL feature 94</t>
  </si>
  <si>
    <t>ExampleTestName-395</t>
  </si>
  <si>
    <t>P3</t>
  </si>
  <si>
    <t>tcid495.395</t>
  </si>
  <si>
    <t>WK6</t>
  </si>
  <si>
    <t>Updates made</t>
  </si>
  <si>
    <t>Author</t>
  </si>
  <si>
    <t>Initial Rollout</t>
  </si>
  <si>
    <t>• Renamed tabs and removed spaces in the names
• Updated Usage instructions based on training notes</t>
  </si>
  <si>
    <t>Froze top rows for key tabs</t>
  </si>
  <si>
    <t>Added Instructions tab for getting started</t>
  </si>
  <si>
    <t>Cleaned up formulas in 'Feature Summary' tab for the number of entries to look up</t>
  </si>
  <si>
    <t>Added 1 decimal place to % Coverage, % Pass Rate, and % Validated in 'Feature Summary' tab</t>
  </si>
  <si>
    <t>IP Status Tracker 2.0 - Major changes made. Added 'Sub-Block Summary' tab and some columns in the existing tabs for more detailed tracking. Updated 'Usage' tab to provide descriptions and instructions of all columns and tabs</t>
  </si>
  <si>
    <t>Ben</t>
  </si>
  <si>
    <t>IP Status Tracker 2.0 - Made final changes for 2.0 template based on what's been agreed with Brian H. and Staff
• Decided to use “Test-basis” formulas as well just for ‘Total Summary’ in ‘Feature Summary’ tab of Diagnostics IP Status Tracker 2.0, so it won’t count the duplicated tests per feature as the sum total, and the ‘Total Summary’ can be same across the tabs so it’s consistent and therefore no confusion by Diags IP teams 
• Decided to use ‘Total Run/Pass/Waived/Fail/Skip’ status columns in ‘Pre-Silicon Plan / Status’ table in ‘Diags Raw Data’ tab of Diagnostics IP Status Tracker 2.0. For this reason, ‘P/S Status’ column is removed as it’s not needed anymore. ‘Waived’ &amp; ‘Skip’ columns will be optional to use, so by default these two columns will be hided for ‘Pre-Silicon Plan / Status’ table in ‘Diags Raw Data’ and ‘Pre-Silicon Status’ table in ‘Sub-IP Block Summary’ tab
• 'Sub-IP Block Summary' tab is updated accordingly as well
• Updated 'Usage' tab to provide more descriptions and instructions of all columns and tabs</t>
  </si>
  <si>
    <t>Added "Cross-IP tracking HowTo" tab to list the steps tracking cross-IP coverage</t>
  </si>
  <si>
    <t>Karen</t>
  </si>
  <si>
    <t>Added "Framework" column under "Diags Raw Data" tab to list out which diags framework is being used for each test case</t>
  </si>
  <si>
    <r>
      <t xml:space="preserve">PLEASE CAREFULLY READ 'Usage' tab’s descriptions and instructions of all columns and tabs.   </t>
    </r>
    <r>
      <rPr>
        <b/>
        <sz val="14"/>
        <color rgb="FFFF96EB"/>
        <rFont val="Calibri"/>
        <family val="2"/>
        <scheme val="minor"/>
      </rPr>
      <t>PINK</t>
    </r>
    <r>
      <rPr>
        <b/>
        <sz val="14"/>
        <color theme="1"/>
        <rFont val="Calibri"/>
        <family val="2"/>
        <scheme val="minor"/>
      </rPr>
      <t xml:space="preserve"> highlighted columns/cells in ‘Diags Raw Data’, ‘Sub-IP Block Summary’, ‘Feature Raw Data’ and ‘Feature Summary’ tabs are the ones to be filled up by either Diags IP teams, Managers or PMs.   All other columns/cells that are not highlighted in PINK means it most likely has formulas in each of the tab, so </t>
    </r>
    <r>
      <rPr>
        <b/>
        <sz val="14"/>
        <color rgb="FFFF0000"/>
        <rFont val="Calibri"/>
        <family val="2"/>
        <scheme val="minor"/>
      </rPr>
      <t>PLEASE DO NOT TOUCH</t>
    </r>
    <r>
      <rPr>
        <b/>
        <sz val="14"/>
        <color theme="1"/>
        <rFont val="Calibri"/>
        <family val="2"/>
        <scheme val="minor"/>
      </rPr>
      <t xml:space="preserve"> or overwrite it</t>
    </r>
  </si>
  <si>
    <t>Total Summary</t>
  </si>
  <si>
    <r>
      <t xml:space="preserve">‘Sub-IP Block’ column D and 'Category' column L in ‘Diags Raw Data’ tab’s each cell per row </t>
    </r>
    <r>
      <rPr>
        <b/>
        <sz val="14"/>
        <color rgb="FFFF0000"/>
        <rFont val="Calibri"/>
        <family val="2"/>
        <scheme val="minor"/>
      </rPr>
      <t>MUST NOT</t>
    </r>
    <r>
      <rPr>
        <b/>
        <sz val="14"/>
        <color theme="1"/>
        <rFont val="Calibri"/>
        <family val="2"/>
        <scheme val="minor"/>
      </rPr>
      <t xml:space="preserve"> be blank or empty.   PLEASE READ the Notes in 'Sub-IP Block' cell (D5) and 'Category' cell (L5).   The‘Sub-IP Block’ column’s Sub-IP Block names and 'Category' column's information gets used in ‘Sub-IP Block Summary’ tab and in each of 'Total' &amp; 'New+Delta' &amp; 'Legacy' table for accurate summary calculation.   Please indicate correct Sub-IP Block names and choose Category in each line item accordingly</t>
    </r>
  </si>
  <si>
    <t>Test Plan &amp; 
Code Status</t>
  </si>
  <si>
    <t>Pre-Silicon 
Plan / Status</t>
  </si>
  <si>
    <t>Post Silicon Execution Status</t>
  </si>
  <si>
    <t>Framework</t>
  </si>
  <si>
    <t>Dennis</t>
  </si>
  <si>
    <t>WK5</t>
  </si>
  <si>
    <t>Steven/David</t>
  </si>
  <si>
    <t>ppi201.2</t>
  </si>
  <si>
    <t>WK4</t>
  </si>
  <si>
    <t>Xiaojing/Yu Xuan</t>
  </si>
  <si>
    <t>spi20.0,spi20.1</t>
  </si>
  <si>
    <t>std4.34</t>
  </si>
  <si>
    <t>David/Faez</t>
  </si>
  <si>
    <t>WK3</t>
  </si>
  <si>
    <t>Yu Xuan</t>
  </si>
  <si>
    <t>./tserverlite -test=ge1.0 -skip_consoleblank_check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</si>
  <si>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David/Steven</t>
  </si>
  <si>
    <t>PPI101.5</t>
  </si>
  <si>
    <t>PPI100.141</t>
  </si>
  <si>
    <t>placeholder_n.1</t>
  </si>
  <si>
    <t>Xiaojing</t>
  </si>
  <si>
    <t>gfx.sr_stat</t>
  </si>
  <si>
    <t>placeholder_o.1</t>
  </si>
  <si>
    <t>placeholder_p.1</t>
  </si>
  <si>
    <t>ppi41.2,ppi41.22,ppi41.42,ppi41.52</t>
  </si>
  <si>
    <t>Faez/Frank</t>
  </si>
  <si>
    <t>txi91.0-1</t>
  </si>
  <si>
    <t>logged into jira. Will check on silicon.</t>
  </si>
  <si>
    <t>Frank</t>
  </si>
  <si>
    <t>txi90.0-5</t>
  </si>
  <si>
    <t>Glenn/Javad</t>
  </si>
  <si>
    <t>Botao</t>
  </si>
  <si>
    <t>gfx_inst/atomic_denorm can only run in GopherPlus env.
Verify if single variation pass on gopher+ good enough</t>
  </si>
  <si>
    <t>ppi302.3,ppi302.5</t>
  </si>
  <si>
    <t>placeholder_q.1</t>
  </si>
  <si>
    <t>WK9</t>
  </si>
  <si>
    <t>rt1.320</t>
  </si>
  <si>
    <t>WK2</t>
  </si>
  <si>
    <t>rt1.330</t>
  </si>
  <si>
    <t>rt1.302</t>
  </si>
  <si>
    <t>Glenn/Javad/JJ/Anthony</t>
  </si>
  <si>
    <t>-c +/diag/gpu/vml2/global/mode=On -c +/diag/gpu/vml2/context/0/mode=On -c +/diag/gpu/allocationRerouting=NoDeviceMemory</t>
  </si>
  <si>
    <t>placeholder_d.1</t>
  </si>
  <si>
    <t>placeholder_e.1</t>
  </si>
  <si>
    <t>Javad</t>
  </si>
  <si>
    <t>gfx.cmm_cache_last_use_policy_monolithic</t>
  </si>
  <si>
    <t>WK8</t>
  </si>
  <si>
    <t>glxi60.1-3</t>
  </si>
  <si>
    <t xml:space="preserve"> -vm</t>
  </si>
  <si>
    <t>gci1301.0</t>
  </si>
  <si>
    <t>gci1304.0</t>
  </si>
  <si>
    <t>-pv_proxy=true -counter=SQC_PERF_SEL_ICACHE_PREFETCH_REQ_CACHELINES,SQC_PERF_SEL_ICACHE_PREFETCH_MISSES -countertemp=counterfile</t>
  </si>
  <si>
    <t>gci1305.2</t>
  </si>
  <si>
    <t>Shuhui</t>
  </si>
  <si>
    <t>https://ontrack-internal.amd.com/browse/TNG-8400</t>
  </si>
  <si>
    <t>gci1303.0</t>
  </si>
  <si>
    <t>-tt_enable=true -tt_config=tt.ini</t>
  </si>
  <si>
    <t>Indirect coverage: Can be covered by any test with thread trace enabled</t>
  </si>
  <si>
    <t>gfx.inst_perf/vglobal_signed_offset</t>
  </si>
  <si>
    <t>WK1</t>
  </si>
  <si>
    <t>Steven</t>
  </si>
  <si>
    <t>Not a feature, the MAS to be delivered by the DE team</t>
  </si>
  <si>
    <t>Removal feature, not visible to diags</t>
  </si>
  <si>
    <t>Waived from gfx coverage by IPSE</t>
  </si>
  <si>
    <t>IPSE team will cover this</t>
  </si>
  <si>
    <t>./tserverlite -test=ge2.0 -skip_consoleblank_check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
./tserverlite -test=ge2.1 -skip_consoleblank_check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</si>
  <si>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gci1300.0,gci1300.1,gci1300.2,gci1300.3</t>
  </si>
  <si>
    <t>spi124.0,spi124.1</t>
  </si>
  <si>
    <t>spi125</t>
  </si>
  <si>
    <t>Issues in gfx_pm4_packets</t>
  </si>
  <si>
    <t>Pierce</t>
  </si>
  <si>
    <t>placeholder_f.1</t>
  </si>
  <si>
    <t>Daniel G</t>
  </si>
  <si>
    <t>cpi400.0</t>
  </si>
  <si>
    <t>cpi410.0</t>
  </si>
  <si>
    <t>placeholder_r.1</t>
  </si>
  <si>
    <t>spi1390,spi1391</t>
  </si>
  <si>
    <t>https://ontrack-internal.amd.com/browse/TNG-7782</t>
  </si>
  <si>
    <t>Driver team will verify this</t>
  </si>
  <si>
    <t>gci3.12</t>
  </si>
  <si>
    <t>./tserverlite -test=gci3.12 -skip_consoleblank_check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</si>
  <si>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https://ontrack-internal.amd.com/browse/TNG-8507</t>
  </si>
  <si>
    <t>shci2041</t>
  </si>
  <si>
    <t>"-tt_enable=1 -tt_config=exclude_nondetail_wavestart_ext=1,exclude_nondetail_alloc=1,wavestart_mode=wg_id,tracese=0,wavetype=127,ctrlmode=on,stall_all_simds=1 -thread_trace_config=exclude_nondetail_wavestart_ext=1,exclude_nondetail_alloc=1,wavestart_mode=wg_id,tracese=0,wavetype=127,ctrlmode=on,stall_all_simds=1"</t>
  </si>
  <si>
    <t>https://ontrack-internal.amd.com/browse/DIAG-19897
Thread trace related can only be verified in gopher and using thread trace viewer.
There are a few perf counters that are not tested but the test is avaliable.
SQ_PERF_SEL_INSTS_LOCK
SQ_PERF_SEL_INST_CYCLES_VALU_WMMA
SQ_PERF_SEL_INSTS_VEC32_VALU_WMMA
SQ_PERF_SEL_INSTS_WMMA_LOAD
SQ_PERF_SEL_INSTS_TEX_BLOCK_LOAD
SQ_PERF_SEL_INSTS_TEX_BLOCK_STORE</t>
  </si>
  <si>
    <t>may need write in TNG</t>
  </si>
  <si>
    <t>std5.9</t>
  </si>
  <si>
    <t>run with -tZTileBuffer=0 and 1</t>
  </si>
  <si>
    <t>Same to 12.164</t>
  </si>
  <si>
    <t>placeholder_g.1-8</t>
  </si>
  <si>
    <t>https://ontrack-internal.amd.com/browse/TNG-8491</t>
  </si>
  <si>
    <t>For gci1305.3 only, "-vm -tc_ulVidmemFragmentSize=0"</t>
  </si>
  <si>
    <t>Steven/JJ/Anthony</t>
  </si>
  <si>
    <t>gfx.cmm_sax_utcl1_monolithic/utcl0_disable</t>
  </si>
  <si>
    <t>spi197</t>
  </si>
  <si>
    <t>spi2010,spi2011</t>
  </si>
  <si>
    <t>spi2020,spi2021</t>
  </si>
  <si>
    <t>Indirect</t>
  </si>
  <si>
    <t>https://ontrack-internal.amd.com/browse/TNG-8760</t>
  </si>
  <si>
    <t>Claire/Meiru</t>
  </si>
  <si>
    <t>gci669.1-12</t>
  </si>
  <si>
    <t>Deprecated, not visible to diags</t>
  </si>
  <si>
    <t>Not visible to diags, will be tested by IPSE team</t>
  </si>
  <si>
    <t>gfx.red_triangle_draw_composite</t>
  </si>
  <si>
    <t>navi48.gfx.ge.register_access</t>
  </si>
  <si>
    <t>No direct coverage required</t>
  </si>
  <si>
    <t>IPSE team will cover this, with RLC FW team support</t>
  </si>
  <si>
    <t>IPSE coverage</t>
  </si>
  <si>
    <t>Indirect covered by regular clock stretch, not directly covered by diag</t>
  </si>
  <si>
    <t>food_store,mountain_range,navi48.gfx.ge.register_access</t>
  </si>
  <si>
    <t>IMU team will cover this</t>
  </si>
  <si>
    <t>David</t>
  </si>
  <si>
    <t xml:space="preserve">wgs.6 :: wgs_dispatch_sanity_pm4_01           pass
wgs.8 :: wgs_dispatch_two_pipes_pm4_01    pass
wgs.1 :: wgs_ace_cwsr_pm4_01                        not run
wgs.100 :: wgs_dispatch_sanity_tacl_01        pass
wgs.12 :: wgs_gl1_ret_xnack_pm4_01              pass
gci30.3 ::linpack_wgs                                           not run
wgs_interrrupt_tacl                                              pass
gci22.11 :: shader_memory_copy                      pass
</t>
  </si>
  <si>
    <t>Partially covered by 12.030 and in tserver gci1307 test.
https://ontrack-internal.amd.com/browse/TNG-8541</t>
  </si>
  <si>
    <t>glxi60.7</t>
  </si>
  <si>
    <t>Will be covered by any DCC tests</t>
  </si>
  <si>
    <t>glxi60.5</t>
  </si>
  <si>
    <t>glxi60.6</t>
  </si>
  <si>
    <t>Not visible to diags</t>
  </si>
  <si>
    <t>./tserverlite -test=ge3.0 -skip_consoleblank_check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</si>
  <si>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placeholder_s.1</t>
  </si>
  <si>
    <t>placeholder_h.1</t>
  </si>
  <si>
    <t>gfx.ieee_min_max</t>
  </si>
  <si>
    <t>https://ontrack-internal.amd.com/browse/TNG-7987</t>
  </si>
  <si>
    <t>Invisible to diags, workload cross the original die interface will cover</t>
  </si>
  <si>
    <t>glxi29.8</t>
  </si>
  <si>
    <t>gfx.cmm_sax_utcl0_invalidation_monolithic/utcl0_enable</t>
  </si>
  <si>
    <t>Waived by design/FET lead</t>
  </si>
  <si>
    <t>Sid</t>
  </si>
  <si>
    <t>./tserverlite -cf=tserver-soclfb-frontdoor.cf -test=gci28.3 -d=1</t>
  </si>
  <si>
    <t>glxi86.1-2</t>
  </si>
  <si>
    <t>rlc1.0</t>
  </si>
  <si>
    <t>./tserverlite -test=rlc1.0 -skip_consoleblank_check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</si>
  <si>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./tserverlite -test=rlc1.1 -skip_consoleblank_check -pcispoof=00ad:7540 -pm4lib_disableCheckBlockBusy=1 -d=1 -nobios -no_toollib -disable_libdce -load_ucode=tcore -tcorelog -tc_Rs64CompEn=1 -tc_Rs64CompProduction=1  -tc_Rs64GfxEn=1 -tc_Rs64GfxProduction=1 -tc_LoadMesUCode=1 -tc_MicrocodeLoadEnable=1 -bEnableIslandPowerGating=1 -tglUsingPairsPacket=0 -mall_bypass_frwk -df_ecc_bypass_frwk -disable_libtmz -disable_displaymanager=1 -gpu_copyengine=tcore -tc_DefaultCopyUtil=HostCopy -tCBClearMethod=forcefill -tZBClearMethod=forcefill -tSBClearMethod=fill -tc_SkipHDPCacheFlush -skiptextbuffering -skip_iommu_check -tDumpColor -skip_consoleblank_check -texture_shader_tile_copy=0 -dumpframes=all -tstamptimeout=7200 -tglPresent=0 -v=debug -autocrcprimary=false -tc_DisableCpCmpRings=0 -pm4lib_Present=0 -tDumpImage=1 -crcmode=none;</t>
  </si>
  <si>
    <t>https://ontrack-internal.amd.com/browse/TNG-8759</t>
  </si>
  <si>
    <t>"-tt_enable=1 -vm -tt_config=tracese=0,stall_all_simds=0,wavestart_mode=wg_id"</t>
  </si>
  <si>
    <t>Requires thread trace viewer</t>
  </si>
  <si>
    <t>GFX IPSE will cover the Perfmon related features</t>
  </si>
  <si>
    <t>gfx.inst_perf/v_dual_mov_b32</t>
  </si>
  <si>
    <t>https://ontrack-internal.amd.com/browse/TNG-8273</t>
  </si>
  <si>
    <t xml:space="preserve">Not a feature </t>
  </si>
  <si>
    <t>The change is a quality initiative, and transparent to software.</t>
  </si>
  <si>
    <t>This is a pre-silicon initiative thus does not apply to PostSi.  We can waive this one from PostSi coverage.   Makhan/Wanshou to align with design team accordingly.</t>
  </si>
  <si>
    <t>Design confirmed feature is fully dropped</t>
  </si>
  <si>
    <t xml:space="preserve">This is a pure H/W change which impacts the SRAM access.   This would be covered implicitly by running various 3D/Compute workload.   There is no need to develop a target test case for this feature. </t>
  </si>
  <si>
    <t>Not applicable to our scope and waived</t>
  </si>
  <si>
    <t>Device level change, no in-out verification, indirect coverage through GFXOFF setting ClockGatingGfxRepeaterFgcg=1, PMM coverage through CGCG/PG features</t>
  </si>
  <si>
    <t>Device level change, no in-out verification, indirect coverage through GFXOFF setting ClockGatingGfxMgcg=1, PMM coverage through CGCG/PG features</t>
  </si>
  <si>
    <t>Deferred GFX13, GFXIPARCH-785</t>
  </si>
  <si>
    <t>Removed, DEGFX12-10852</t>
  </si>
  <si>
    <t>WGS dependent</t>
  </si>
  <si>
    <t>PMM coverage through CGCG/PG features</t>
  </si>
  <si>
    <t>Indirect coverage through FGCG</t>
  </si>
  <si>
    <t>OSS diag will provide coverage</t>
  </si>
  <si>
    <t>Not POR for NV48/44</t>
  </si>
  <si>
    <t>Xiaojing/Botao</t>
  </si>
  <si>
    <t>gci1311</t>
  </si>
  <si>
    <t xml:space="preserve">Indrect coverage with front door loading </t>
  </si>
  <si>
    <t xml:space="preserve">The feature is not applicable to Navi44/48.   Please remove this from your feature list. </t>
  </si>
  <si>
    <t>Feature removal, no software visibility.</t>
  </si>
  <si>
    <t>placeholder_i.1</t>
  </si>
  <si>
    <t>Tserver</t>
  </si>
  <si>
    <t>de-featured</t>
  </si>
  <si>
    <t>Faez</t>
  </si>
  <si>
    <t>rt1.400-401</t>
  </si>
  <si>
    <t>This is a removal, and no direct coverage is required.   Makhan/Wanshou to check with Arch and waive from PostSi coverage.</t>
  </si>
  <si>
    <t>Steven/Glenn</t>
  </si>
  <si>
    <t>utci16.1</t>
  </si>
  <si>
    <t>Feature removal inside hardware, no software visibility.</t>
  </si>
  <si>
    <t>IPSE confirmed chiplet only</t>
  </si>
  <si>
    <t>shci2039.0-3</t>
  </si>
  <si>
    <t>"-tt_enable=1 -vm -tt_config=traceSe=0"</t>
  </si>
  <si>
    <t>David/Glenn/Javad</t>
  </si>
  <si>
    <t>WGS related, covered by gaming exerciser with test firmware</t>
  </si>
  <si>
    <t>rt33.0</t>
  </si>
  <si>
    <t>rt33.1-2</t>
  </si>
  <si>
    <t>gci1307.4-7</t>
  </si>
  <si>
    <t>Tested on gopher+
Partially addresses by 12.030</t>
  </si>
  <si>
    <t>placeholder_k.1-2</t>
  </si>
  <si>
    <t>tested on GopherLite</t>
  </si>
  <si>
    <t>spi453</t>
  </si>
  <si>
    <t>glxi61.1-2</t>
  </si>
  <si>
    <t>gfx.linpack_gfx_compute</t>
  </si>
  <si>
    <t>placeholder_l.1-8</t>
  </si>
  <si>
    <t>placeholder_a.1-108</t>
  </si>
  <si>
    <t xml:space="preserve">PPA team will enable this, IPSE team will verify </t>
  </si>
  <si>
    <t>gci1310</t>
  </si>
  <si>
    <t>Leverage SMU coverage through feature enablement</t>
  </si>
  <si>
    <t>Risc-V features, will be tested by IPSE team</t>
  </si>
  <si>
    <t>gci1309.0-3</t>
  </si>
  <si>
    <t>gmhub.athub_raw_monolithic_test/CPWD</t>
  </si>
  <si>
    <t>Will use MHUB team's ATHUB RAW check and Single VC for GFX IO test's CPWD variation as coverage</t>
  </si>
  <si>
    <t>PMM test will deliver gfxoff by AB+8wks (dependency)</t>
  </si>
  <si>
    <t>gfx.inst_perf/v_wmma_f32_16x16x.*
gfx.inst_perf/v_wmma_i32_16x16x32_iu4
gci39.1-6</t>
  </si>
  <si>
    <t>Partially covered by 12.209. Checked cycles by using thread trace WMMA8/WMMA16 tokens</t>
  </si>
  <si>
    <t>Confirmed ownership has been passed to SDMA team for perf verfication</t>
  </si>
  <si>
    <t>This is a pre-silicon DV effort that does not apply to post-silicon</t>
  </si>
  <si>
    <t>placeholder_b.1</t>
  </si>
  <si>
    <t>Steven/Frank</t>
  </si>
  <si>
    <t>txi83</t>
  </si>
  <si>
    <t>gfx.stress3d.gfxoff/food_store</t>
  </si>
  <si>
    <t>IMU team will cover this, in diag this is an indirect coverage through GFXOFF</t>
  </si>
  <si>
    <t>No need for diag to do performance check</t>
  </si>
  <si>
    <t>Not visible to diags, not programmable</t>
  </si>
  <si>
    <t>Risc-V feature, will be tested by IPSE team</t>
  </si>
  <si>
    <t xml:space="preserve">PLEASE DO NOT CROSS THIS LINE.   Insert New Rows OR Copied Cells "Above" The Last Known Good Row Only So Each Copied Cells &amp; Rows Still Contains The Right Formulas (Similar Concept for Removing or Deleting Rows)        </t>
  </si>
  <si>
    <t xml:space="preserve"> </t>
  </si>
  <si>
    <r>
      <t xml:space="preserve">Summary Progress by Sub-IP Block (e.g. GFX or DCN IP's Sub-IP Block).   Use Test Suite and/or actual IP name (e.g. DF, PCIE, IOAPIC, etc.) if the Sub-IP Block doesn't exist for the given IP
All 'unique' Sub-Block names from 'DiagsRawData' tab's 'Sub-IP Block' column D </t>
    </r>
    <r>
      <rPr>
        <b/>
        <sz val="14"/>
        <color rgb="FFFF0000"/>
        <rFont val="Calibri"/>
        <family val="2"/>
        <scheme val="minor"/>
      </rPr>
      <t>MUST</t>
    </r>
    <r>
      <rPr>
        <b/>
        <sz val="14"/>
        <rFont val="Calibri"/>
        <family val="2"/>
        <scheme val="minor"/>
      </rPr>
      <t xml:space="preserve"> be listed in each of 'Total' &amp; 'New+Delta' &amp; 'Legacy' table for accurate total summary calculation</t>
    </r>
  </si>
  <si>
    <t>Total</t>
  </si>
  <si>
    <t>CMM</t>
  </si>
  <si>
    <t>CTL</t>
  </si>
  <si>
    <t>GC</t>
  </si>
  <si>
    <t>GEO</t>
  </si>
  <si>
    <t>GFX</t>
  </si>
  <si>
    <t>PP</t>
  </si>
  <si>
    <t>SH</t>
  </si>
  <si>
    <t>SIO</t>
  </si>
  <si>
    <t>TEX</t>
  </si>
  <si>
    <t>UTCL2</t>
  </si>
  <si>
    <t>Grand Total</t>
  </si>
  <si>
    <t>New+Delta</t>
  </si>
  <si>
    <t>New+Delta Total</t>
  </si>
  <si>
    <t>Legacy Total</t>
  </si>
  <si>
    <r>
      <t xml:space="preserve">All feature list items for the given IP of the program </t>
    </r>
    <r>
      <rPr>
        <b/>
        <sz val="14"/>
        <color rgb="FFFF0000"/>
        <rFont val="Calibri"/>
        <family val="2"/>
        <scheme val="minor"/>
      </rPr>
      <t>MUST</t>
    </r>
    <r>
      <rPr>
        <b/>
        <sz val="14"/>
        <color theme="1"/>
        <rFont val="Calibri"/>
        <family val="2"/>
        <scheme val="minor"/>
      </rPr>
      <t xml:space="preserve"> be listed in ‘Feature Name / Description’ column in ‘Feature Raw Data’ tab.   ‘Feature Task ID’ per feature list item can be a fake ID to begin with if it’s not available</t>
    </r>
  </si>
  <si>
    <t>Big Rock</t>
  </si>
  <si>
    <t>Emulation Priority</t>
  </si>
  <si>
    <t>Navi4x configuration changes</t>
  </si>
  <si>
    <t>Total # of Features</t>
  </si>
  <si>
    <t xml:space="preserve">Separate color blend opt bits out of CB_COLORn_INFO </t>
  </si>
  <si>
    <t>Total # of P1</t>
  </si>
  <si>
    <t xml:space="preserve">Change SPI_VS_OUT_CONFIG and SPI_PS_IN_CONTROL from context to persistent state regs </t>
  </si>
  <si>
    <t>Total # of P2</t>
  </si>
  <si>
    <t xml:space="preserve">Separate PS_ITER_SAMPLE out of PA_SC_MODE_CNTL_1 </t>
  </si>
  <si>
    <t>Total # of P3</t>
  </si>
  <si>
    <t xml:space="preserve">Separate SAMPLE_RATE out of DB_COUNT_CONTROL </t>
  </si>
  <si>
    <t>Total # of Diagnostics</t>
  </si>
  <si>
    <t xml:space="preserve">GE_CNTL and VGT_LS_HS_CONFIG changes </t>
  </si>
  <si>
    <t>Total # of Driver</t>
  </si>
  <si>
    <t xml:space="preserve">PA_SC_AA_CONFIG changes </t>
  </si>
  <si>
    <t>Total # of IPSE</t>
  </si>
  <si>
    <t xml:space="preserve">PA_SC_CONSERVATIVE_RASTERIZATION_CNTL changes </t>
  </si>
  <si>
    <t>Total # of N/A</t>
  </si>
  <si>
    <t xml:space="preserve">Eliminate PA_SU_SC_MODE_CNTL.KEEP_TOGETHER_ENABLE </t>
  </si>
  <si>
    <t>Total # of Legacy</t>
  </si>
  <si>
    <t xml:space="preserve">Separate AUTO_RESET_CNTL from PA_SC_LINE_STIPPLE </t>
  </si>
  <si>
    <t>Total # of Delta</t>
  </si>
  <si>
    <t xml:space="preserve">Implicit viewport scissoring </t>
  </si>
  <si>
    <t>Total # of New</t>
  </si>
  <si>
    <t xml:space="preserve">Simplify workaround for DEGGIGXX0-4644 </t>
  </si>
  <si>
    <t>Separate event enable bits out of SPI_CONFIG_CNTL</t>
  </si>
  <si>
    <t xml:space="preserve">Split DB_RENDER_OVERRIDE </t>
  </si>
  <si>
    <t xml:space="preserve">DB_STENCILREFMASK refactor </t>
  </si>
  <si>
    <t xml:space="preserve">Per target control for CB BIG_PAGE/L2_BYPASS </t>
  </si>
  <si>
    <t xml:space="preserve">MSAA shader write support for D/S images </t>
  </si>
  <si>
    <t xml:space="preserve">Broadcast stores </t>
  </si>
  <si>
    <t xml:space="preserve">out of order per-wave vmem returns </t>
  </si>
  <si>
    <t>New (Big Rock)</t>
  </si>
  <si>
    <t>Configuration agnostic memory scope and policy control (dup of 12.041)</t>
  </si>
  <si>
    <t>Add support for image atomics fp32 add (makes fp32 add orthogonal).  Make fp behaviour among lds/cmm/df identical</t>
  </si>
  <si>
    <t xml:space="preserve">Support greater than 16k x 16k x 8k textures  (64k x 64k x 16k, inc. 16 mip levels to support 64k).  Reduce/simplify swizzle modes. </t>
  </si>
  <si>
    <t xml:space="preserve">Unclamped image load/store support </t>
  </si>
  <si>
    <t xml:space="preserve">Move PRT++ atomic ops out of TCP tags </t>
  </si>
  <si>
    <t xml:space="preserve">Double Ray Tracing Intersect Engine </t>
  </si>
  <si>
    <t xml:space="preserve">RT instance node transform </t>
  </si>
  <si>
    <t xml:space="preserve">64B RT node </t>
  </si>
  <si>
    <t>New GL2 policies (same/child of 12.027)</t>
  </si>
  <si>
    <t xml:space="preserve">Unify GLC-&gt;EA request interface </t>
  </si>
  <si>
    <t>GLC guarantee of same address order for any op or scope (dep. On 12.042)</t>
  </si>
  <si>
    <t>GLC Cascading Read-Mod-Write Atomic Ops (includes retaining gfx11 atomic ops)</t>
  </si>
  <si>
    <t xml:space="preserve">GLC Full CL sized write support </t>
  </si>
  <si>
    <t xml:space="preserve">GLC Up to 256B Write Support to EA </t>
  </si>
  <si>
    <t>cache last_use policy (child of 12.041/12.027)</t>
  </si>
  <si>
    <t>Distributed compression architecture in CMM and client impacts (w/ physical meta-data)</t>
  </si>
  <si>
    <t xml:space="preserve">SQG Ring Bus conversion for multi-chip </t>
  </si>
  <si>
    <t>Split workgroup barrier</t>
  </si>
  <si>
    <t>Shader Instruction Data Prefetch (viola item)</t>
  </si>
  <si>
    <t>Shader software data dependency control</t>
  </si>
  <si>
    <t>Shader SALU Float support (in M1/M2/gfx11.5)</t>
  </si>
  <si>
    <t>VGPR DMA for Function Calls (uniform mask only)</t>
  </si>
  <si>
    <t xml:space="preserve">Shader Debugger Enablement </t>
  </si>
  <si>
    <t xml:space="preserve">Shader Illegal Instruction Detection </t>
  </si>
  <si>
    <t xml:space="preserve">Support PERMUTE/BPERMUTE for wave64 </t>
  </si>
  <si>
    <t xml:space="preserve">Shader VALU Improvements </t>
  </si>
  <si>
    <t>Modified (Big Rock)</t>
  </si>
  <si>
    <t xml:space="preserve">Shader Scalar Improvements </t>
  </si>
  <si>
    <t xml:space="preserve">Fix SQG GRBM design </t>
  </si>
  <si>
    <t>SQC Latency reduction (inherit approach from mi300)</t>
  </si>
  <si>
    <t xml:space="preserve">WGP-takeover mode </t>
  </si>
  <si>
    <t>Shader Instruction Store convert to Cache (likely in M2/gfx11.5)</t>
  </si>
  <si>
    <t xml:space="preserve">Shader signed memory offsets </t>
  </si>
  <si>
    <t xml:space="preserve">Move SQG outside of SPI </t>
  </si>
  <si>
    <t xml:space="preserve">Dynamic VGPR allocation </t>
  </si>
  <si>
    <t xml:space="preserve">Prep for Navi + MIx00 shader merge </t>
  </si>
  <si>
    <t>Documentation - UTCL* MAS</t>
  </si>
  <si>
    <t xml:space="preserve">UTCL1: check page_size using the stored frag_size </t>
  </si>
  <si>
    <t xml:space="preserve">Remove unused client shootdown interface </t>
  </si>
  <si>
    <t xml:space="preserve">GPUVM PTE bits </t>
  </si>
  <si>
    <t xml:space="preserve">Deprecate metadata probe and client shootdown in UTCL0 </t>
  </si>
  <si>
    <t xml:space="preserve">GCR single cycle UTC request interface </t>
  </si>
  <si>
    <t xml:space="preserve">RLC dont disable CGCG while thread trace is active </t>
  </si>
  <si>
    <t xml:space="preserve">CP ucode use dispatch index for TTMP init </t>
  </si>
  <si>
    <t>Single Pass Wave64 Trans Issue (in M2)</t>
  </si>
  <si>
    <t xml:space="preserve">PH Memory Queues </t>
  </si>
  <si>
    <t xml:space="preserve">Harvesting enabled by default </t>
  </si>
  <si>
    <t>WGP&amp;RB GRBM Index Remapping (possible gfx11.5)</t>
  </si>
  <si>
    <t xml:space="preserve">CSC Group Launch guarantee </t>
  </si>
  <si>
    <t xml:space="preserve">GFX Pipe Group Launch Guarantee </t>
  </si>
  <si>
    <t xml:space="preserve">Packet Hardening for Microsoft Telemetry </t>
  </si>
  <si>
    <t xml:space="preserve">add TCP out of order response support </t>
  </si>
  <si>
    <t xml:space="preserve">CP/RLC/SDMA 40-bit Register Addressing to GRBM&lt;&gt;RSMU </t>
  </si>
  <si>
    <t xml:space="preserve">Removal of Clear State Context 0 and reclamation for rendering </t>
  </si>
  <si>
    <t xml:space="preserve">MES Handling Doorbell Misses </t>
  </si>
  <si>
    <t xml:space="preserve">Simplify software debugger register change process </t>
  </si>
  <si>
    <t xml:space="preserve">Double shader DOT Int4 and Int8 rates </t>
  </si>
  <si>
    <t xml:space="preserve">Remove SA Affinity for Pixel Shaders </t>
  </si>
  <si>
    <t xml:space="preserve">RS64 L0 Instr Cache </t>
  </si>
  <si>
    <t xml:space="preserve">RS64 L0 Data Cache </t>
  </si>
  <si>
    <t xml:space="preserve">RS64 Bit Manip Instructions </t>
  </si>
  <si>
    <t>RS64 Dynamic TMR Loading</t>
  </si>
  <si>
    <t>Shader pseudo-scalar trans ops (M2 item)</t>
  </si>
  <si>
    <t>Shader reduce VGPR writes (M2 item, evaluate for gaming)</t>
  </si>
  <si>
    <t>Shader double wave64 VINTERP rate (por gfx11.5, evaluate gaming)</t>
  </si>
  <si>
    <t xml:space="preserve">Shader Performance Profiler Enablement </t>
  </si>
  <si>
    <t xml:space="preserve">Architected SGPR Values </t>
  </si>
  <si>
    <t xml:space="preserve">Hybrid Depth Compression </t>
  </si>
  <si>
    <t xml:space="preserve">HiZ/S in SC </t>
  </si>
  <si>
    <t xml:space="preserve">CB codec removal/simplifications </t>
  </si>
  <si>
    <t xml:space="preserve">VRS fragment compression </t>
  </si>
  <si>
    <t>RS64 64bit Stream Input</t>
  </si>
  <si>
    <t>RS64 Atomic ISA Ext</t>
  </si>
  <si>
    <t>GLx bus widths and configuration</t>
  </si>
  <si>
    <t>CH 256B read/write support</t>
  </si>
  <si>
    <t>Add SP support for float8 (fp8/bf8) dot products (ieee and/or non-ieee)</t>
  </si>
  <si>
    <t>Make shader round-robin arb in workgroup usable by driver</t>
  </si>
  <si>
    <t>Capture shader memviol source to speed up bringup debug</t>
  </si>
  <si>
    <t>UTCL2 UTCL1 Dummy INV interface removal</t>
  </si>
  <si>
    <t>Additional SAx client to UTCL1 (from 12.</t>
  </si>
  <si>
    <t>Ping-Pong walking for dispatches</t>
  </si>
  <si>
    <t>Compute Grid Programmable Walk Order (cs_grid_walk_order).   If not doing morton'ish (ex. 2x2) then improving launch rate for existing typewriter (ex 4x1) is P1)</t>
  </si>
  <si>
    <t>Compute Thread Walk Order (cs_thread_walk_order)</t>
  </si>
  <si>
    <t>DC-&gt;SPI wire reduction</t>
  </si>
  <si>
    <t>wave64 FMAF32 power reduction (M2 item) -&gt; large area</t>
  </si>
  <si>
    <t>Add Structured Sparsity Support</t>
  </si>
  <si>
    <t>Fully connect capability to use high and normal MALL reuse hint (child of 12.027/12.041)</t>
  </si>
  <si>
    <t>UTCL1_identity_mode  (SED Crest)</t>
  </si>
  <si>
    <t>deprecate HPG</t>
  </si>
  <si>
    <t>reduce GE_DIST to GE_SE wire count</t>
  </si>
  <si>
    <t>All debug bus buffers to 4K size</t>
  </si>
  <si>
    <t>ge_se in sed.  Sub item under basic configuration</t>
  </si>
  <si>
    <t>register cleanup</t>
  </si>
  <si>
    <t>Add support to the SDMA to dequeue similar to the way the CP does</t>
  </si>
  <si>
    <t>Update PA/SC support for 1 to 9SE and updated pix distribution algorithm</t>
  </si>
  <si>
    <t>Drop the FSR support from SC PBB implementation</t>
  </si>
  <si>
    <t>DB design simplificaitons while updating for hybrid depth compression</t>
  </si>
  <si>
    <t>add DRAM logging support for RLC</t>
  </si>
  <si>
    <t>Add RLC SRM as an RLC_CH client</t>
  </si>
  <si>
    <t>IPSE team will cover</t>
  </si>
  <si>
    <t>change RLC LX7 config used for power management</t>
  </si>
  <si>
    <t>NAVI4X no longer has SED, not applicable</t>
  </si>
  <si>
    <t>increase adaptive stretch response of GDFLL</t>
  </si>
  <si>
    <t>Register remap to match M1</t>
  </si>
  <si>
    <t>GFX12 IMU - Remove CPAXI and send doorbells directly to CP/RLC/SDMA</t>
  </si>
  <si>
    <t>GFX12 IMU - Modify doorbell interface from Syshub to IMU</t>
  </si>
  <si>
    <t>GFX12 IMU - Add Resets and idle sidebands</t>
  </si>
  <si>
    <t>GFX12 Firewall update for 40 bit address</t>
  </si>
  <si>
    <t>Work Graph Scheduler</t>
  </si>
  <si>
    <t xml:space="preserve">Remove the data duplication for MLOPS </t>
  </si>
  <si>
    <t>Add Conditional-subtract memory atomic for locks</t>
  </si>
  <si>
    <t>DCC sector size to increase to 128B</t>
  </si>
  <si>
    <t>DCC auto-CT detection</t>
  </si>
  <si>
    <t>Sector-separated DCC compressed data layout</t>
  </si>
  <si>
    <t>rename GE BIA containers</t>
  </si>
  <si>
    <t>Data return for clamped PRT is "0" only (no longer needs to be programable)</t>
  </si>
  <si>
    <t>Remove BIG_PAGE control for UTC probing</t>
  </si>
  <si>
    <t>Remove passthru_en/esgs_ring_itemsize/old gs fastlaunch</t>
  </si>
  <si>
    <t>VRS removal in DCC</t>
  </si>
  <si>
    <t>Remove F32 from CPG and CPC; No BC support in PM4 parsers</t>
  </si>
  <si>
    <t>move offchip lds manager to GE</t>
  </si>
  <si>
    <t>Improve SPI work limiting controls (spi_work_limit_ctrl)</t>
  </si>
  <si>
    <t>[Navi4x] Move RTAVFS/DLDO/DFLL initialization to after CP is running workloads</t>
  </si>
  <si>
    <t>Indirect covered by initialization (front door loading)</t>
  </si>
  <si>
    <t>[Navi4x] SDMA ucode caching</t>
  </si>
  <si>
    <t>[Navi4x] CP ucode firmware execution speed-up via cache priming</t>
  </si>
  <si>
    <t>[Navi4x] Remove SDMA load/run commands or disallow DRAM access allowed for load/run commands</t>
  </si>
  <si>
    <t>RS64 Debug Enablement</t>
  </si>
  <si>
    <t>SED client to 256B reads</t>
  </si>
  <si>
    <t>Shader VALU min/max IEEE compliant</t>
  </si>
  <si>
    <t>Convert PAL implementation of streamout to sw solution enables GDS removal</t>
  </si>
  <si>
    <t>SED&lt;&gt;AID and AID&lt;&gt;AID interfaces must support arbitrary clk deviation, so protocols like valid-only need to be converted.</t>
  </si>
  <si>
    <t>GCRD-&gt;GCR response interface to credit/debit</t>
  </si>
  <si>
    <t>GCRD_SE SAX client</t>
  </si>
  <si>
    <t>Limit wires SED&lt;-&gt;AID for PMM Ips</t>
  </si>
  <si>
    <t>GFX12 UTLC2 - Add idle sidebands</t>
  </si>
  <si>
    <t>GFX12 SDMA - Add sidebands to control Idle request</t>
  </si>
  <si>
    <t>remove GCR dummy UTCL2 invalidation interface</t>
  </si>
  <si>
    <t>GFX12 EA - Add idle sidebands</t>
  </si>
  <si>
    <t>Swap PRIM_CONFIG register to SA_UNIT_DISABLE register</t>
  </si>
  <si>
    <t>GTS support in GFX12</t>
  </si>
  <si>
    <t>Remove harvesting connectivity/RTL mux in SP</t>
  </si>
  <si>
    <t>GFX12 IH Gasket update for chiplet design</t>
  </si>
  <si>
    <t>TBD: Diag will cover this feature like before, but need to sync with design</t>
  </si>
  <si>
    <t>GFX12 IMU - Add FIFO for blocked RSMU writes and keep read outstanding</t>
  </si>
  <si>
    <t>SPM sample sync across AID and GFX to DF</t>
  </si>
  <si>
    <t>Faulting illegal ops to PCIE</t>
  </si>
  <si>
    <t>Perfmon: GFX - Convert all counter modules to SPM-only mode</t>
  </si>
  <si>
    <t>Perfmon: GFX - GFX SPM sampling window to be driven by REFCLK</t>
  </si>
  <si>
    <t>Perfmon: GFX - SQ counters to support shader type filters per individual counter</t>
  </si>
  <si>
    <t>Perfmon: GFX - Custom data injection from CP into SPM with delta counters</t>
  </si>
  <si>
    <t>WMMA wave level matrix load Instruction</t>
  </si>
  <si>
    <t>Perfmon: GFX - VMID Specific Profiling/Debugging</t>
  </si>
  <si>
    <t>NV4x: Perfmon: Review and refinement of available perf counter events for GC and DF</t>
  </si>
  <si>
    <t xml:space="preserve">Fix VOPD dual V_MOV </t>
  </si>
  <si>
    <t>Modification of GS throttle (due to 12.118 ph_memory_queues)</t>
  </si>
  <si>
    <t>MEM_PWR_CTRL Bus increase to support FGCG</t>
  </si>
  <si>
    <t>Wavied, will be covered by IPSE team</t>
  </si>
  <si>
    <t>[Strix] pbb_tile_order_rev -- from BRP:11.5.017</t>
  </si>
  <si>
    <t>Block Initiatives</t>
  </si>
  <si>
    <t>GFX EDC Controller using XVmin/Mafdd</t>
  </si>
  <si>
    <t>NV4x: GFX Cac Events selection enhancement</t>
  </si>
  <si>
    <t>GFX PCC latency optimization</t>
  </si>
  <si>
    <t>Airtight FIFO Design Robustness</t>
  </si>
  <si>
    <t>Benchmark Stimulus Replay at Block</t>
  </si>
  <si>
    <t xml:space="preserve">Adoption of RDL2RTL </t>
  </si>
  <si>
    <t>Remove Coverage into Render Targets</t>
  </si>
  <si>
    <t>SRAM Bit/byte write enable</t>
  </si>
  <si>
    <t>Improving MBFF ratio (Octa/Hexa Flops)</t>
  </si>
  <si>
    <t>Repeater Clock Gating (Clock Gating Efficiency focus)</t>
  </si>
  <si>
    <t>Diag will cover the functionality of clock gating, but need to figure out how to verify efficiency</t>
  </si>
  <si>
    <t>MGCG partitioning (Goal is to reduce gating residency of MGCG domains. Power saved is function of reduction in MGCG domain clock residency, and physical partitioning of domain (size of domain, clones, ICG placement, pre MGCG power).  </t>
  </si>
  <si>
    <t>TBD: Need to figure out how to verify this</t>
  </si>
  <si>
    <t>With GPO enabled, perfmon clock and flops connected to it are currently not gated. Proposal is to improve clock gating of “event” flops and counters used in performance monitor logic</t>
  </si>
  <si>
    <t>Combine clock gating, perf mon check, and GPO in diag test</t>
  </si>
  <si>
    <t>User Data Scatter Engine (RS64)</t>
  </si>
  <si>
    <t>Replace SDMA F32 with RS64</t>
  </si>
  <si>
    <t>Enable GPA in UTCL0 of SAx GL1C</t>
  </si>
  <si>
    <t>Switch GFX to Memgen-based SRAM FGCG</t>
  </si>
  <si>
    <t>Indirect cover with FGCG</t>
  </si>
  <si>
    <t>Add an L1 TLB into the SDMA front-end</t>
  </si>
  <si>
    <t>GFX12 IMU - Add light sleep and deep sleep to SRAMs</t>
  </si>
  <si>
    <t>GFX12 IMU - Add deep sleep support and sideband for IMUCLK</t>
  </si>
  <si>
    <t xml:space="preserve">Increase max scratch allocation </t>
  </si>
  <si>
    <t>TOC updates for RLC FW</t>
  </si>
  <si>
    <t xml:space="preserve">Indrect cover with front door loading </t>
  </si>
  <si>
    <t>Navi4c (chiplet) GFXIP STA Targets</t>
  </si>
  <si>
    <t>GE WD_QOS.DRAW_STALL behavior</t>
  </si>
  <si>
    <t>HP64 child reuse</t>
  </si>
  <si>
    <t>Ray Tracing Tri Pair optimization</t>
  </si>
  <si>
    <t>Remove Soft Lock feature</t>
  </si>
  <si>
    <t>Improve register based invalidation</t>
  </si>
  <si>
    <t>Make SE CAC Counters accessible over Debug Bus</t>
  </si>
  <si>
    <t>reduce VGPRs for LS and ES stages</t>
  </si>
  <si>
    <t>EA and GL2CC move from GRBM to GRBMH</t>
  </si>
  <si>
    <t>Expand V# const_stride from 14 to 17 bit width</t>
  </si>
  <si>
    <t>Improve Thread Trace ExecPopCount bandwidth</t>
  </si>
  <si>
    <t>Load_reserved/store_conditional support in SE$</t>
  </si>
  <si>
    <t>Load_reserved/store_conditional support in DF</t>
  </si>
  <si>
    <t>Change flags encoded in barycentrics to simplify detection of procedural nodes</t>
  </si>
  <si>
    <t>Remove culling with skip_triangles in TA</t>
  </si>
  <si>
    <t>Add AtomicAdd packed math for F16</t>
  </si>
  <si>
    <t>Extend compression control support in Texture</t>
  </si>
  <si>
    <t>Breaking SE reuse in Navi48</t>
  </si>
  <si>
    <t>Add HS and GS Stages to event collection for PS_DONE and PS_PARTIAL_FLUSH</t>
  </si>
  <si>
    <t>Proper Handling of the Force Decompression and Comp Key Read Command on compression-bypassed resources</t>
  </si>
  <si>
    <t>Decrease CS max grid size support to X,Y,Z = 32b,16b,16b</t>
  </si>
  <si>
    <t>Decrompress BLTs via SDMA</t>
  </si>
  <si>
    <t>Descope VRS Compression feature</t>
  </si>
  <si>
    <t>Remove support for Shared VGPRs and Subvector Execution</t>
  </si>
  <si>
    <t xml:space="preserve">BVH Footprint Improvement
</t>
  </si>
  <si>
    <t xml:space="preserve">RT support for OBB and Instance Node Intersection
</t>
  </si>
  <si>
    <t xml:space="preserve">Descope Verification of 16xaa for VRS Coarse Rates (1x2, 2x2, 2x1)
</t>
  </si>
  <si>
    <t>GFXCLK Deep Sleep trigger based on XVMIN</t>
  </si>
  <si>
    <t>SP Throttling and the first DIDT droop</t>
  </si>
  <si>
    <t>SP src operand invalidated by td/lds return</t>
  </si>
  <si>
    <t>Distributed DIDT controller</t>
  </si>
  <si>
    <t>TBD: Needs PMFW and PPA team to enable first, then see whether GFX Diags can cover</t>
  </si>
  <si>
    <t>GRBM/H SYNC registers</t>
  </si>
  <si>
    <t>RS64: Adding performance features for both Navi4x and MI400</t>
  </si>
  <si>
    <t>F8 1.4.3 IEEE mode behavior change (match with NV)</t>
  </si>
  <si>
    <t>RS64: No support for OOO IO read and write memory transactions</t>
  </si>
  <si>
    <t>Save and Restore of perfcounter and ttrace enable for GFXOFF/SRIOV</t>
  </si>
  <si>
    <t>GL2 shared across all SEs for Navi44/48</t>
  </si>
  <si>
    <t>2x MLOPs performance</t>
  </si>
  <si>
    <t>IO traffic can potentially block DRAM traffic</t>
  </si>
  <si>
    <t>Descope 8xaa for VRS coarse rates (1x2, 2x2, 2x1)</t>
  </si>
  <si>
    <t>Hook up AVFS debug bus to debug bus chains in 4 gc_2gl2c_1_tiles</t>
  </si>
  <si>
    <t>Add Ordered-Add memory atomic for faster SW Streamout (global_atomic_ordered_add_b64)</t>
  </si>
  <si>
    <t>Move GFX PSMs to faster clock for faster DIDT controller response</t>
  </si>
  <si>
    <t xml:space="preserve">Waived. PMM Diags, Tools team, and PPA team should cover this. </t>
  </si>
  <si>
    <t>Processor controllable performance counters for CP Bottleneck profiling</t>
  </si>
  <si>
    <t>decoding of op ATOMIC_UMAX_8_NO_RTN from EA to SDP is not expected</t>
  </si>
  <si>
    <t>Navi4 GFXIMU Interrupt Capability</t>
  </si>
  <si>
    <t>Allow GFX doorbells through IMU doorbell fence</t>
  </si>
  <si>
    <t>Increase DB Z cache size for performance</t>
  </si>
  <si>
    <t>Reduce PBB maximum batch size from 1024 to 512 and constrain the minimum bin size in the PBB to 128 pixels</t>
  </si>
  <si>
    <t>Deprioritize NOT_EOP=1 mode</t>
  </si>
  <si>
    <t xml:space="preserve">GFXCLK has risk to achieve 3.46GHz due to AR change </t>
  </si>
  <si>
    <t>PD</t>
  </si>
  <si>
    <t xml:space="preserve">Waived. PMM Diags and PPA team should cover this. </t>
  </si>
  <si>
    <t>Add new jump table for SET_SH_REG and SET_SH_REG_PAIRS when packet count=1 and state is clean</t>
  </si>
  <si>
    <t>Indirect coverage with updated/correct CP FW</t>
  </si>
  <si>
    <t>[Navi4m] GRBM Queue to optimize CP processor performance</t>
  </si>
  <si>
    <t>[RS64] Add Load-IO Custom instruction w/16 CSRs</t>
  </si>
  <si>
    <t>load_reserved store_conditional unitID aliasing requires a change in GFX client unitID values</t>
  </si>
  <si>
    <t>Increase in DB FIFOs for Write-Only Performance</t>
  </si>
  <si>
    <t>CB/DB compress to clear/single before sending to GLx</t>
  </si>
  <si>
    <t>2ch_cant_saturate_pcie_rdBW</t>
  </si>
  <si>
    <t>PLEASE CAREFULLY READ 'Usage' tab’s descriptions and instructions of all columns and tabs</t>
  </si>
  <si>
    <t>Enter Comments Here</t>
  </si>
  <si>
    <r>
      <t xml:space="preserve">Exact same number of ‘Feature Task ID’ per feature list item in ‘Feature Raw Data’ tab </t>
    </r>
    <r>
      <rPr>
        <b/>
        <sz val="14"/>
        <color rgb="FFFF0000"/>
        <rFont val="Calibri"/>
        <family val="2"/>
        <scheme val="minor"/>
      </rPr>
      <t>MUST</t>
    </r>
    <r>
      <rPr>
        <b/>
        <sz val="14"/>
        <color theme="1"/>
        <rFont val="Calibri"/>
        <family val="2"/>
        <scheme val="minor"/>
      </rPr>
      <t xml:space="preserve"> be equally listed in ‘Feature Task ID’ column A in ‘Feature Summary’ tab</t>
    </r>
  </si>
  <si>
    <t>PLEASE DO NOT CROSS THIS LINE.   Insert New Rows OR Copied Cells "Above" The Last Known Good Row Only So Each Copied Cells &amp; Rows Still Contains The Right Formulas (Similar Concept for Removing or Deleting Rows)</t>
  </si>
  <si>
    <t>Start</t>
  </si>
  <si>
    <t>End</t>
  </si>
  <si>
    <t>#Fturs</t>
  </si>
  <si>
    <t>#Vars</t>
  </si>
  <si>
    <t>#Weeks</t>
  </si>
  <si>
    <t>Vars/Wk</t>
  </si>
  <si>
    <t>Ariel
BTO</t>
  </si>
  <si>
    <t>Ariel
A/B</t>
  </si>
  <si>
    <t>Code</t>
  </si>
  <si>
    <t>Drive-To</t>
  </si>
  <si>
    <t>w38</t>
  </si>
  <si>
    <t>w39</t>
  </si>
  <si>
    <t>w40</t>
  </si>
  <si>
    <t>w41</t>
  </si>
  <si>
    <t>w42</t>
  </si>
  <si>
    <t>w43</t>
  </si>
  <si>
    <t>w44</t>
  </si>
  <si>
    <t>w45</t>
  </si>
  <si>
    <t>w46</t>
  </si>
  <si>
    <t>w47</t>
  </si>
  <si>
    <t>w48</t>
  </si>
  <si>
    <t>w49</t>
  </si>
  <si>
    <t>w50</t>
  </si>
  <si>
    <t>w51</t>
  </si>
  <si>
    <t>w52</t>
  </si>
  <si>
    <t>w1</t>
  </si>
  <si>
    <t>w2</t>
  </si>
  <si>
    <t>w3</t>
  </si>
  <si>
    <t>w4</t>
  </si>
  <si>
    <t>w5</t>
  </si>
  <si>
    <t>w6</t>
  </si>
  <si>
    <t>w7</t>
  </si>
  <si>
    <t>w8</t>
  </si>
  <si>
    <t>w9</t>
  </si>
  <si>
    <t>w10</t>
  </si>
  <si>
    <t>w11</t>
  </si>
  <si>
    <t>w12</t>
  </si>
  <si>
    <t>w13</t>
  </si>
  <si>
    <t>w14</t>
  </si>
  <si>
    <t>w15</t>
  </si>
  <si>
    <t>w16</t>
  </si>
  <si>
    <t>w17</t>
  </si>
  <si>
    <t>w18</t>
  </si>
  <si>
    <t>w19</t>
  </si>
  <si>
    <t>w20</t>
  </si>
  <si>
    <t>w21</t>
  </si>
  <si>
    <t>w22</t>
  </si>
  <si>
    <t>w23</t>
  </si>
  <si>
    <t># Coded</t>
  </si>
  <si>
    <t>% Coded</t>
  </si>
  <si>
    <t>Actual</t>
  </si>
  <si>
    <t># Verified</t>
  </si>
  <si>
    <t>% Verified</t>
  </si>
  <si>
    <t>Planned</t>
  </si>
  <si>
    <t>AB-26</t>
  </si>
  <si>
    <t>AB-25</t>
  </si>
  <si>
    <t>AB-24</t>
  </si>
  <si>
    <t>AB-23</t>
  </si>
  <si>
    <t>AB-22</t>
  </si>
  <si>
    <t>AB-21</t>
  </si>
  <si>
    <t>AB-20</t>
  </si>
  <si>
    <t>AB-19</t>
  </si>
  <si>
    <t>AB-18</t>
  </si>
  <si>
    <t>AB-17</t>
  </si>
  <si>
    <t>AB-16</t>
  </si>
  <si>
    <t>AB-15</t>
  </si>
  <si>
    <t>AB-14</t>
  </si>
  <si>
    <t>AB-13</t>
  </si>
  <si>
    <t>AB-12</t>
  </si>
  <si>
    <t>AB-11</t>
  </si>
  <si>
    <t>AB-10</t>
  </si>
  <si>
    <t>AB-09</t>
  </si>
  <si>
    <t>AB-08</t>
  </si>
  <si>
    <t>AB-07</t>
  </si>
  <si>
    <t>AB-06</t>
  </si>
  <si>
    <t>AB-05</t>
  </si>
  <si>
    <t>AB-04</t>
  </si>
  <si>
    <t>AB-03</t>
  </si>
  <si>
    <t>AB-02</t>
  </si>
  <si>
    <t>AB-01</t>
  </si>
  <si>
    <t>AB</t>
  </si>
  <si>
    <t>AB+01</t>
  </si>
  <si>
    <t>AB+02</t>
  </si>
  <si>
    <t>AB+03</t>
  </si>
  <si>
    <t>AB+04</t>
  </si>
  <si>
    <t>AB+05</t>
  </si>
  <si>
    <t>AB+06</t>
  </si>
  <si>
    <t>AB+07</t>
  </si>
  <si>
    <t>AB+08</t>
  </si>
  <si>
    <t>AB+09</t>
  </si>
  <si>
    <t>AB+10</t>
  </si>
  <si>
    <t>AB+11</t>
  </si>
  <si>
    <t>AB+12</t>
  </si>
  <si>
    <t>AB+13</t>
  </si>
  <si>
    <t>AB+14</t>
  </si>
  <si>
    <t>AB+15</t>
  </si>
  <si>
    <t>AB+16</t>
  </si>
  <si>
    <t>AB+17</t>
  </si>
  <si>
    <t>AB+18</t>
  </si>
  <si>
    <t>AB+19</t>
  </si>
  <si>
    <t>AB+20</t>
  </si>
  <si>
    <t>AB+21</t>
  </si>
  <si>
    <t>AB+22</t>
  </si>
  <si>
    <t>AB+23</t>
  </si>
  <si>
    <t>AB+24</t>
  </si>
  <si>
    <t>AB+25</t>
  </si>
  <si>
    <t>AB+26</t>
  </si>
  <si>
    <t>Row Labels</t>
  </si>
  <si>
    <t>Sum of #Tests</t>
  </si>
  <si>
    <t>wk-1</t>
  </si>
  <si>
    <t>wk-2</t>
  </si>
  <si>
    <t>wk-3</t>
  </si>
  <si>
    <t>wk-4</t>
  </si>
  <si>
    <t>wk-5</t>
  </si>
  <si>
    <t>wk-6</t>
  </si>
  <si>
    <t>wk-7</t>
  </si>
  <si>
    <t>wk-8</t>
  </si>
  <si>
    <t>./tserverlite -d=1 -cf=tserver-soclfb-frontdoor.cf -test=std1.6 -texture_shader_tile_copy=0 -maxframes=1 -pv_proxy -counter=TA_PERF_SEL_TA_BUSY,CB_PERF_SEL_DRAWN_PIXEL -countertemp=counterfile</t>
  </si>
  <si>
    <t>gfx.cmm_sa_policy_monolithic_gfx12.1-23</t>
  </si>
  <si>
    <t>gci1302.0,gci1302.1</t>
  </si>
  <si>
    <t>glxi82.1</t>
  </si>
  <si>
    <t>gfx.inst_perf/v_s_.1-10</t>
  </si>
  <si>
    <t>PPI406.1-2</t>
  </si>
  <si>
    <t xml:space="preserve"> for wave32, .1 for wave64</t>
  </si>
  <si>
    <t>gfx.inst_perf.1-64</t>
  </si>
  <si>
    <t>gci_wave32.950-960,gci_wave64.950-960</t>
  </si>
  <si>
    <t>rlci9.1 :: rlc_firewall_40bit_address,
rlci10.1 :: cp_firewall_40bit_address</t>
  </si>
  <si>
    <t>rlci9.1,rlci10.1</t>
  </si>
  <si>
    <t>wgs.6 :: wgs_dispatch_sanity_pm4_01
wgs.8 :: wgs_dispatch_two_pipes_pm4_01
wgs.1 :: wgs_ace_cwsr_pm4_01
wgs.100 :: wgs_dispatch_sanity_tacl_01
wgs.12 :: wgs_gl1_ret_xnack_pm4_01
gci30.3 ::linpack_wgs
wgs_interrrupt_tacl
gci22.11 :: shader_memory_copy</t>
  </si>
  <si>
    <t>placeholder_t.1-2</t>
  </si>
  <si>
    <t>with_tgre spm_&amp;_sqtt</t>
  </si>
  <si>
    <t>std1.6</t>
  </si>
  <si>
    <t>with tgre spm, cp test with spm</t>
  </si>
  <si>
    <t>std1.1</t>
  </si>
  <si>
    <t>with legacy pv_proxy</t>
  </si>
  <si>
    <t>gfx.inst_perf/global_load_tr.1-2</t>
  </si>
  <si>
    <t>std1.6,std2.6,std3.6,std4.6</t>
  </si>
  <si>
    <t xml:space="preserve"> wgs_gpa3_disable_dispatch_pm4_01</t>
  </si>
  <si>
    <t>cs160.1-2</t>
  </si>
  <si>
    <t>placeholder_j.1-4</t>
  </si>
  <si>
    <t>cpi415.1-2</t>
  </si>
  <si>
    <t>placeholder_c.1-2</t>
  </si>
  <si>
    <t>PPI39,PPI100.65</t>
  </si>
  <si>
    <t>ge1.0,ge1.1</t>
  </si>
  <si>
    <t xml:space="preserve"> -tglEnableSCBinning=0</t>
  </si>
  <si>
    <t>ge2.0,ge2.1,std1.6</t>
  </si>
  <si>
    <t>glxi85.1,glxi85.2</t>
  </si>
  <si>
    <t>std1.1,gci30.4</t>
  </si>
  <si>
    <t>sh1630,sh1631</t>
  </si>
  <si>
    <t>PPI406.1-8,PPI406.11-18,PPI406.21-28,PPI406.31-38,PPI406.41-48</t>
  </si>
  <si>
    <t>gci30.3</t>
  </si>
  <si>
    <t>gci1306.0-2,gssi212.11</t>
  </si>
  <si>
    <t>ge3.0,std4.34</t>
  </si>
  <si>
    <t>spi2940,spi2941</t>
  </si>
  <si>
    <t>gci820.0.1-20</t>
  </si>
  <si>
    <t>std1.6,gci30.3</t>
  </si>
  <si>
    <t>gci28.3</t>
  </si>
  <si>
    <t>std1.6.1-2,gci30_3.1-2</t>
  </si>
  <si>
    <t>Total Run.1</t>
  </si>
  <si>
    <t>Pass.1</t>
  </si>
  <si>
    <t>Waived.1</t>
  </si>
  <si>
    <t>Fail.1</t>
  </si>
  <si>
    <t>Skip.1</t>
  </si>
  <si>
    <t>% Pass Rate.1</t>
  </si>
  <si>
    <t/>
  </si>
  <si>
    <t>sc42.2,sc42.3,sc26.9,sc26.10,sc26.11,sc26.12</t>
  </si>
  <si>
    <t>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t>
  </si>
  <si>
    <t>gfx.cmm_cp_access_order_monolithic.1-3,gfx.cmm_sa_gl2_access_order_monolithic.1-3,gfx.cmm_sa_gl2_same_address_monolithic.1-2</t>
  </si>
  <si>
    <t>gfx.inst_perf/sched_mode_dep_mode1,gfx.inst_perf/sched_mode_dep_mode2</t>
  </si>
  <si>
    <t>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t>
  </si>
  <si>
    <t>gfx.inst_perf/global_load_block,gfx.inst_perf/global_store_block,gfx.inst_perf/scratch_load_block,gfx.inst_perf/scratch_store_block</t>
  </si>
  <si>
    <t>gci1305.0,gci1305.1</t>
  </si>
  <si>
    <t>gfx.inst_perf/ds_permute_b32_w64,gfx.inst_perf/ds_bpermute_b32_w64</t>
  </si>
  <si>
    <t>gfx.inst_perf/v_permlanex16_var_b32,gfx.inst_perf/v_permlane16_var_b32</t>
  </si>
  <si>
    <t>gfx.inst_perf/s_sleep_var,gfx.inst_perf/s_sleep,gfx.inst_perf/s_add_nc_u64,gfx.inst_perf/s_sub_nc_u64,gfx.inst_perf/s_mul_u64,gfx.inst_perf/s_mul_i32</t>
  </si>
  <si>
    <t>gci1303.0,gci1303.1,gci1303.2</t>
  </si>
  <si>
    <t>gfx.inst_perf/v_add_f64,gfx.inst_perf/v_mul_f64,gfx.inst_perf/v_lshlrev_b64</t>
  </si>
  <si>
    <t>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t>
  </si>
  <si>
    <t>gfx.inst_perf/v_dot4_i32_iu8,gfx.inst_perf/v_dot4_u32_u8,gfx.inst_perf/v_dot8_i32_iu4,gfx.inst_perf/v_dot8_u32_u4,gfx.inst_perf/v_wmma_i32_16x16x16_iu4,gfx.inst_perf/v_wmma_i32_16x16x32_iu4,gfx.inst_perf/v_wmma_i32_16x16x16_iu8</t>
  </si>
  <si>
    <t>shci2038.0-3,shci2038.104</t>
  </si>
  <si>
    <t>std1.1,std3.1,std4.1,rt1.300,rt1.320,gci1304,gci1305,gci1308,shci2033,shci2036,gssi212.10</t>
  </si>
  <si>
    <t>gfx.cmm_cp_ch_access_size_monolithic_gfx12,gfx.cmm_sdma_access_size_monolithic</t>
  </si>
  <si>
    <t>gfx.inst_perf/v_wmma.1-5,gfx.inst_perf/v_cvt.1-5,gfx.inst_perf/v_dot4_f32.1-5</t>
  </si>
  <si>
    <t>gci1305.0,gci1305.3,gci1305.4,gci1305.5,gci1305.6</t>
  </si>
  <si>
    <t>wgs.6,wgs.8,wgs.1,wgs.100,wgs.12,gci30.3,wgs_interrrupt_tacl,gci22.11</t>
  </si>
  <si>
    <t>gfx.inst_perf/flat_atomic_cond_sub_u32_global,gfx.inst_perf/flat_atomic_sub_clamp_u32_global,gfx.inst_perf/ds_cond_sub_rtn_u32,gfx.inst_perf/ds_sub_clamp_rtn_u32,gci1307.0-3</t>
  </si>
  <si>
    <t>shci2039.4,shci2039.5</t>
  </si>
  <si>
    <t>gfx.inst_perf.1-5,gci39.1-6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</si>
</sst>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mm/dd/yy;@"/>
    <numFmt numFmtId="165" formatCode="m/d;@"/>
    <numFmt numFmtId="166" formatCode="0.0%"/>
    <numFmt numFmtId="167" formatCode="0.000"/>
  </numFmts>
  <fonts count="52"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0"/>
      <color indexed="8"/>
      <name val="Arial"/>
      <family val="2"/>
    </font>
    <font>
      <b/>
      <sz val="9"/>
      <color theme="1"/>
      <name val="Calibri"/>
      <family val="2"/>
      <scheme val="minor"/>
    </font>
    <font>
      <b/>
      <sz val="9"/>
      <color rgb="FFFF0000"/>
      <name val="Calibri"/>
      <family val="2"/>
      <scheme val="minor"/>
    </font>
    <font>
      <sz val="9"/>
      <color theme="1"/>
      <name val="Calibri"/>
      <family val="2"/>
      <scheme val="minor"/>
    </font>
    <font>
      <b/>
      <sz val="9"/>
      <name val="Calibri"/>
      <family val="2"/>
      <scheme val="minor"/>
    </font>
    <font>
      <sz val="9"/>
      <name val="Calibri"/>
      <family val="2"/>
      <scheme val="minor"/>
    </font>
    <font>
      <b/>
      <sz val="9"/>
      <color rgb="FFC00000"/>
      <name val="Calibri"/>
      <family val="2"/>
      <scheme val="minor"/>
    </font>
    <font>
      <sz val="9"/>
      <color rgb="FFC00000"/>
      <name val="Calibri"/>
      <family val="2"/>
      <scheme val="minor"/>
    </font>
    <font>
      <sz val="9"/>
      <color indexed="81"/>
      <name val="Tahoma"/>
      <family val="2"/>
    </font>
    <font>
      <b/>
      <sz val="9"/>
      <color indexed="81"/>
      <name val="Tahoma"/>
      <family val="2"/>
    </font>
    <font>
      <sz val="8"/>
      <name val="Calibri"/>
      <family val="2"/>
      <scheme val="minor"/>
    </font>
    <font>
      <b/>
      <sz val="12"/>
      <color rgb="FFC00000"/>
      <name val="Calibri"/>
      <family val="2"/>
      <scheme val="minor"/>
    </font>
    <font>
      <sz val="12"/>
      <color theme="1"/>
      <name val="Calibri"/>
      <family val="2"/>
      <scheme val="minor"/>
    </font>
    <font>
      <b/>
      <sz val="10"/>
      <name val="Calibri"/>
      <family val="2"/>
      <scheme val="minor"/>
    </font>
    <font>
      <b/>
      <sz val="10"/>
      <color theme="1"/>
      <name val="Calibri"/>
      <family val="2"/>
      <scheme val="minor"/>
    </font>
    <font>
      <sz val="10"/>
      <name val="Calibri"/>
      <family val="2"/>
      <scheme val="minor"/>
    </font>
    <font>
      <b/>
      <u/>
      <sz val="11"/>
      <color rgb="FFFF0000"/>
      <name val="Calibri"/>
      <family val="2"/>
      <scheme val="minor"/>
    </font>
    <font>
      <b/>
      <sz val="14"/>
      <name val="Calibri"/>
      <family val="2"/>
      <scheme val="minor"/>
    </font>
    <font>
      <b/>
      <sz val="11"/>
      <color rgb="FFFF0000"/>
      <name val="Calibri"/>
      <family val="2"/>
      <scheme val="minor"/>
    </font>
    <font>
      <b/>
      <sz val="14"/>
      <color theme="1"/>
      <name val="Calibri"/>
      <family val="2"/>
      <scheme val="minor"/>
    </font>
    <font>
      <sz val="14"/>
      <color theme="1"/>
      <name val="Calibri"/>
      <family val="2"/>
      <scheme val="minor"/>
    </font>
    <font>
      <b/>
      <sz val="14"/>
      <color rgb="FFC00000"/>
      <name val="Calibri"/>
      <family val="2"/>
      <scheme val="minor"/>
    </font>
    <font>
      <b/>
      <sz val="11"/>
      <color rgb="FFC00000"/>
      <name val="Calibri"/>
      <family val="2"/>
      <scheme val="minor"/>
    </font>
    <font>
      <b/>
      <sz val="14"/>
      <color rgb="FFFF0000"/>
      <name val="Calibri"/>
      <family val="2"/>
      <scheme val="minor"/>
    </font>
    <font>
      <b/>
      <sz val="14"/>
      <color rgb="FFFF96EB"/>
      <name val="Calibri"/>
      <family val="2"/>
      <scheme val="minor"/>
    </font>
    <font>
      <b/>
      <sz val="11"/>
      <color theme="1"/>
      <name val="Calibri"/>
      <family val="2"/>
    </font>
    <font>
      <sz val="11"/>
      <color theme="1"/>
      <name val="Calibri"/>
      <family val="2"/>
    </font>
    <font>
      <b/>
      <sz val="11"/>
      <color rgb="FF000000"/>
      <name val="Calibri"/>
      <family val="2"/>
    </font>
    <font>
      <b/>
      <sz val="11"/>
      <name val="Calibri"/>
      <family val="2"/>
    </font>
    <font>
      <sz val="11"/>
      <color rgb="FF000000"/>
      <name val="Calibri"/>
      <family val="2"/>
    </font>
    <font>
      <sz val="11"/>
      <color rgb="FFFF0000"/>
      <name val="Calibri"/>
      <family val="2"/>
    </font>
    <font>
      <b/>
      <sz val="11"/>
      <name val="Calibri"/>
    </font>
  </fonts>
  <fills count="5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rgb="FFC00000"/>
        <bgColor indexed="64"/>
      </patternFill>
    </fill>
    <fill>
      <patternFill patternType="solid">
        <fgColor rgb="FF92D050"/>
        <bgColor indexed="64"/>
      </patternFill>
    </fill>
    <fill>
      <patternFill patternType="solid">
        <fgColor theme="6" tint="0.39997558519241921"/>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7" tint="0.79998168889431442"/>
        <bgColor indexed="64"/>
      </patternFill>
    </fill>
    <fill>
      <patternFill patternType="solid">
        <fgColor rgb="FFFFC000"/>
        <bgColor indexed="64"/>
      </patternFill>
    </fill>
    <fill>
      <patternFill patternType="solid">
        <fgColor rgb="FF00B0F0"/>
        <bgColor indexed="64"/>
      </patternFill>
    </fill>
    <fill>
      <patternFill patternType="solid">
        <fgColor theme="8" tint="0.39997558519241921"/>
        <bgColor indexed="64"/>
      </patternFill>
    </fill>
    <fill>
      <patternFill patternType="solid">
        <fgColor theme="8" tint="0.79998168889431442"/>
        <bgColor indexed="64"/>
      </patternFill>
    </fill>
    <fill>
      <patternFill patternType="solid">
        <fgColor theme="9" tint="0.39997558519241921"/>
        <bgColor indexed="64"/>
      </patternFill>
    </fill>
    <fill>
      <patternFill patternType="solid">
        <fgColor rgb="FFFF96EB"/>
        <bgColor indexed="64"/>
      </patternFill>
    </fill>
    <fill>
      <patternFill patternType="solid">
        <fgColor rgb="FFFFFF00"/>
        <bgColor indexed="64"/>
      </patternFill>
    </fill>
    <fill>
      <patternFill patternType="solid">
        <fgColor theme="3" tint="0.59999389629810485"/>
        <bgColor indexed="64"/>
      </patternFill>
    </fill>
    <fill>
      <patternFill patternType="solid">
        <fgColor rgb="FFDDD9C4"/>
        <bgColor indexed="64"/>
      </patternFill>
    </fill>
    <fill>
      <patternFill patternType="solid">
        <fgColor rgb="FFE7E6E6"/>
        <bgColor indexed="64"/>
      </patternFill>
    </fill>
  </fills>
  <borders count="8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style="thin">
        <color auto="1"/>
      </right>
      <top style="thin">
        <color auto="1"/>
      </top>
      <bottom style="thin">
        <color auto="1"/>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thin">
        <color auto="1"/>
      </left>
      <right style="thin">
        <color auto="1"/>
      </right>
      <top/>
      <bottom style="thin">
        <color auto="1"/>
      </bottom>
      <diagonal/>
    </border>
    <border>
      <left style="thin">
        <color auto="1"/>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thin">
        <color auto="1"/>
      </right>
      <top style="thin">
        <color auto="1"/>
      </top>
      <bottom/>
      <diagonal/>
    </border>
    <border>
      <left/>
      <right style="thin">
        <color auto="1"/>
      </right>
      <top style="thin">
        <color auto="1"/>
      </top>
      <bottom style="thin">
        <color auto="1"/>
      </bottom>
      <diagonal/>
    </border>
    <border>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diagonal/>
    </border>
    <border>
      <left/>
      <right style="thin">
        <color auto="1"/>
      </right>
      <top style="thin">
        <color auto="1"/>
      </top>
      <bottom style="medium">
        <color auto="1"/>
      </bottom>
      <diagonal/>
    </border>
    <border>
      <left/>
      <right style="thin">
        <color auto="1"/>
      </right>
      <top style="medium">
        <color auto="1"/>
      </top>
      <bottom style="thin">
        <color auto="1"/>
      </bottom>
      <diagonal/>
    </border>
    <border>
      <left/>
      <right style="medium">
        <color auto="1"/>
      </right>
      <top style="thin">
        <color auto="1"/>
      </top>
      <bottom/>
      <diagonal/>
    </border>
    <border>
      <left/>
      <right style="medium">
        <color auto="1"/>
      </right>
      <top style="thin">
        <color auto="1"/>
      </top>
      <bottom style="medium">
        <color auto="1"/>
      </bottom>
      <diagonal/>
    </border>
    <border>
      <left style="medium">
        <color indexed="64"/>
      </left>
      <right style="thin">
        <color auto="1"/>
      </right>
      <top/>
      <bottom/>
      <diagonal/>
    </border>
    <border>
      <left style="thin">
        <color auto="1"/>
      </left>
      <right style="medium">
        <color auto="1"/>
      </right>
      <top style="thin">
        <color auto="1"/>
      </top>
      <bottom/>
      <diagonal/>
    </border>
    <border>
      <left style="thin">
        <color auto="1"/>
      </left>
      <right style="medium">
        <color auto="1"/>
      </right>
      <top style="thin">
        <color auto="1"/>
      </top>
      <bottom style="medium">
        <color auto="1"/>
      </bottom>
      <diagonal/>
    </border>
    <border>
      <left style="medium">
        <color auto="1"/>
      </left>
      <right style="thin">
        <color auto="1"/>
      </right>
      <top/>
      <bottom style="thin">
        <color auto="1"/>
      </bottom>
      <diagonal/>
    </border>
    <border>
      <left/>
      <right/>
      <top style="thin">
        <color auto="1"/>
      </top>
      <bottom style="thin">
        <color auto="1"/>
      </bottom>
      <diagonal/>
    </border>
    <border>
      <left style="thin">
        <color auto="1"/>
      </left>
      <right/>
      <top style="medium">
        <color auto="1"/>
      </top>
      <bottom style="thin">
        <color auto="1"/>
      </bottom>
      <diagonal/>
    </border>
    <border>
      <left style="thin">
        <color auto="1"/>
      </left>
      <right/>
      <top style="thin">
        <color auto="1"/>
      </top>
      <bottom style="medium">
        <color auto="1"/>
      </bottom>
      <diagonal/>
    </border>
    <border>
      <left style="thin">
        <color auto="1"/>
      </left>
      <right/>
      <top style="medium">
        <color auto="1"/>
      </top>
      <bottom style="medium">
        <color auto="1"/>
      </bottom>
      <diagonal/>
    </border>
    <border>
      <left/>
      <right style="thin">
        <color auto="1"/>
      </right>
      <top style="medium">
        <color auto="1"/>
      </top>
      <bottom style="medium">
        <color auto="1"/>
      </bottom>
      <diagonal/>
    </border>
    <border>
      <left/>
      <right style="thin">
        <color auto="1"/>
      </right>
      <top/>
      <bottom style="thin">
        <color auto="1"/>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thin">
        <color auto="1"/>
      </bottom>
      <diagonal/>
    </border>
    <border>
      <left/>
      <right/>
      <top style="medium">
        <color indexed="64"/>
      </top>
      <bottom style="thin">
        <color auto="1"/>
      </bottom>
      <diagonal/>
    </border>
    <border>
      <left/>
      <right style="medium">
        <color indexed="64"/>
      </right>
      <top/>
      <bottom/>
      <diagonal/>
    </border>
    <border>
      <left style="medium">
        <color indexed="64"/>
      </left>
      <right style="medium">
        <color indexed="64"/>
      </right>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auto="1"/>
      </bottom>
      <diagonal/>
    </border>
    <border>
      <left style="medium">
        <color indexed="64"/>
      </left>
      <right style="medium">
        <color indexed="64"/>
      </right>
      <top style="medium">
        <color auto="1"/>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medium">
        <color indexed="64"/>
      </left>
      <right style="medium">
        <color indexed="64"/>
      </right>
      <top style="medium">
        <color indexed="64"/>
      </top>
      <bottom style="thin">
        <color auto="1"/>
      </bottom>
      <diagonal/>
    </border>
    <border>
      <left style="thin">
        <color auto="1"/>
      </left>
      <right/>
      <top style="thin">
        <color auto="1"/>
      </top>
      <bottom style="thin">
        <color auto="1"/>
      </bottom>
      <diagonal/>
    </border>
    <border>
      <left style="thin">
        <color auto="1"/>
      </left>
      <right style="thin">
        <color auto="1"/>
      </right>
      <top/>
      <bottom style="medium">
        <color indexed="64"/>
      </bottom>
      <diagonal/>
    </border>
    <border>
      <left style="thin">
        <color auto="1"/>
      </left>
      <right style="medium">
        <color auto="1"/>
      </right>
      <top/>
      <bottom style="medium">
        <color indexed="64"/>
      </bottom>
      <diagonal/>
    </border>
    <border>
      <left style="medium">
        <color auto="1"/>
      </left>
      <right style="thin">
        <color auto="1"/>
      </right>
      <top/>
      <bottom style="medium">
        <color indexed="64"/>
      </bottom>
      <diagonal/>
    </border>
    <border>
      <left style="thin">
        <color auto="1"/>
      </left>
      <right/>
      <top/>
      <bottom style="medium">
        <color indexed="64"/>
      </bottom>
      <diagonal/>
    </border>
    <border>
      <left/>
      <right/>
      <top style="medium">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thin">
        <color auto="1"/>
      </left>
      <right/>
      <top style="thin">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thin">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right style="thin">
        <color auto="1"/>
      </right>
      <top/>
      <bottom style="medium">
        <color auto="1"/>
      </bottom>
      <diagonal/>
    </border>
    <border>
      <left style="thin">
        <color auto="1"/>
      </left>
      <right/>
      <top style="medium">
        <color auto="1"/>
      </top>
      <bottom/>
      <diagonal/>
    </border>
    <border>
      <left/>
      <right style="thin">
        <color auto="1"/>
      </right>
      <top style="medium">
        <color auto="1"/>
      </top>
      <bottom/>
      <diagonal/>
    </border>
    <border>
      <left/>
      <right/>
      <top/>
      <bottom style="medium">
        <color indexed="64"/>
      </bottom>
      <diagonal/>
    </border>
    <border>
      <left style="medium">
        <color indexed="64"/>
      </left>
      <right style="thin">
        <color rgb="FF7F7F7F"/>
      </right>
      <top style="medium">
        <color indexed="64"/>
      </top>
      <bottom style="thin">
        <color rgb="FF7F7F7F"/>
      </bottom>
      <diagonal/>
    </border>
    <border>
      <left style="thin">
        <color rgb="FF7F7F7F"/>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right style="medium">
        <color indexed="64"/>
      </right>
      <top/>
      <bottom style="medium">
        <color indexed="64"/>
      </bottom>
      <diagonal/>
    </border>
    <border>
      <left style="thin">
        <color auto="1"/>
      </left>
      <right style="medium">
        <color auto="1"/>
      </right>
      <top/>
      <bottom/>
      <diagonal/>
    </border>
  </borders>
  <cellStyleXfs count="45">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9" fontId="1" fillId="0" borderId="0" applyFont="0" applyFill="0" applyBorder="0" applyAlignment="0" applyProtection="0"/>
    <xf numFmtId="0" fontId="20" fillId="0" borderId="0"/>
    <xf numFmtId="43" fontId="1" fillId="0" borderId="0" applyFont="0" applyFill="0" applyBorder="0" applyAlignment="0" applyProtection="0"/>
  </cellStyleXfs>
  <cellXfs count="730">
    <xf numFmtId="0" fontId="0" fillId="0" borderId="0" xfId="0"/>
    <xf numFmtId="0" fontId="21" fillId="0" borderId="26" xfId="0" applyFont="1" applyBorder="1"/>
    <xf numFmtId="0" fontId="21" fillId="0" borderId="10" xfId="0" applyFont="1" applyBorder="1"/>
    <xf numFmtId="0" fontId="23" fillId="0" borderId="10" xfId="0" applyFont="1" applyBorder="1"/>
    <xf numFmtId="0" fontId="21" fillId="36" borderId="29" xfId="0" applyFont="1" applyFill="1" applyBorder="1"/>
    <xf numFmtId="0" fontId="23" fillId="36" borderId="29" xfId="0" applyFont="1" applyFill="1" applyBorder="1"/>
    <xf numFmtId="0" fontId="23" fillId="36" borderId="25" xfId="0" applyFont="1" applyFill="1" applyBorder="1"/>
    <xf numFmtId="0" fontId="23" fillId="36" borderId="10" xfId="0" applyFont="1" applyFill="1" applyBorder="1"/>
    <xf numFmtId="0" fontId="21" fillId="0" borderId="19" xfId="0" applyFont="1" applyBorder="1"/>
    <xf numFmtId="0" fontId="23" fillId="0" borderId="19" xfId="0" applyFont="1" applyBorder="1"/>
    <xf numFmtId="165" fontId="23" fillId="0" borderId="10" xfId="0" applyNumberFormat="1" applyFont="1" applyBorder="1"/>
    <xf numFmtId="0" fontId="22" fillId="0" borderId="10" xfId="0" applyFont="1" applyBorder="1" applyAlignment="1">
      <alignment vertical="center" wrapText="1"/>
    </xf>
    <xf numFmtId="0" fontId="21" fillId="0" borderId="17" xfId="0" applyFont="1" applyBorder="1"/>
    <xf numFmtId="0" fontId="21" fillId="0" borderId="18" xfId="0" applyFont="1" applyBorder="1"/>
    <xf numFmtId="0" fontId="23" fillId="0" borderId="10" xfId="0" applyFont="1" applyBorder="1" applyAlignment="1">
      <alignment horizontal="center"/>
    </xf>
    <xf numFmtId="164" fontId="23" fillId="37" borderId="10" xfId="0" applyNumberFormat="1" applyFont="1" applyFill="1" applyBorder="1" applyAlignment="1">
      <alignment horizontal="center"/>
    </xf>
    <xf numFmtId="1" fontId="23" fillId="37" borderId="10" xfId="0" applyNumberFormat="1" applyFont="1" applyFill="1" applyBorder="1" applyAlignment="1">
      <alignment horizontal="center"/>
    </xf>
    <xf numFmtId="1" fontId="23" fillId="37" borderId="14" xfId="0" applyNumberFormat="1" applyFont="1" applyFill="1" applyBorder="1" applyAlignment="1">
      <alignment horizontal="center"/>
    </xf>
    <xf numFmtId="1" fontId="23" fillId="0" borderId="10" xfId="0" applyNumberFormat="1" applyFont="1" applyBorder="1" applyAlignment="1">
      <alignment horizontal="center"/>
    </xf>
    <xf numFmtId="1" fontId="23" fillId="0" borderId="14" xfId="0" applyNumberFormat="1" applyFont="1" applyBorder="1" applyAlignment="1">
      <alignment horizontal="center"/>
    </xf>
    <xf numFmtId="0" fontId="23" fillId="0" borderId="26" xfId="0" applyFont="1" applyBorder="1" applyAlignment="1">
      <alignment horizontal="center"/>
    </xf>
    <xf numFmtId="0" fontId="22" fillId="0" borderId="10" xfId="0" applyFont="1" applyBorder="1" applyAlignment="1">
      <alignment horizontal="center" vertical="center"/>
    </xf>
    <xf numFmtId="0" fontId="0" fillId="0" borderId="10" xfId="0" applyBorder="1"/>
    <xf numFmtId="9" fontId="23" fillId="0" borderId="10" xfId="0" applyNumberFormat="1" applyFont="1" applyBorder="1"/>
    <xf numFmtId="9" fontId="25" fillId="0" borderId="10" xfId="0" applyNumberFormat="1" applyFont="1" applyBorder="1"/>
    <xf numFmtId="9" fontId="23" fillId="38" borderId="24" xfId="42" applyFont="1" applyFill="1" applyBorder="1" applyAlignment="1">
      <alignment horizontal="center" vertical="center"/>
    </xf>
    <xf numFmtId="1" fontId="23" fillId="0" borderId="10" xfId="0" applyNumberFormat="1" applyFont="1" applyBorder="1"/>
    <xf numFmtId="9" fontId="24" fillId="35" borderId="23" xfId="0" applyNumberFormat="1" applyFont="1" applyFill="1" applyBorder="1" applyAlignment="1">
      <alignment vertical="center"/>
    </xf>
    <xf numFmtId="9" fontId="25" fillId="37" borderId="24" xfId="42" applyFont="1" applyFill="1" applyBorder="1" applyAlignment="1">
      <alignment horizontal="center" vertical="center"/>
    </xf>
    <xf numFmtId="1" fontId="23" fillId="37" borderId="17" xfId="0" applyNumberFormat="1" applyFont="1" applyFill="1" applyBorder="1" applyAlignment="1">
      <alignment horizontal="center" vertical="center"/>
    </xf>
    <xf numFmtId="164" fontId="21" fillId="34" borderId="17" xfId="0" applyNumberFormat="1" applyFont="1" applyFill="1" applyBorder="1" applyAlignment="1">
      <alignment horizontal="center" vertical="center"/>
    </xf>
    <xf numFmtId="164" fontId="24" fillId="34" borderId="17" xfId="0" applyNumberFormat="1" applyFont="1" applyFill="1" applyBorder="1" applyAlignment="1">
      <alignment horizontal="center" vertical="center"/>
    </xf>
    <xf numFmtId="0" fontId="21" fillId="34" borderId="25" xfId="0" applyFont="1" applyFill="1" applyBorder="1" applyAlignment="1">
      <alignment horizontal="center"/>
    </xf>
    <xf numFmtId="9" fontId="21" fillId="34" borderId="23" xfId="0" applyNumberFormat="1" applyFont="1" applyFill="1" applyBorder="1" applyAlignment="1">
      <alignment vertical="center"/>
    </xf>
    <xf numFmtId="0" fontId="21" fillId="34" borderId="16" xfId="0" applyFont="1" applyFill="1" applyBorder="1"/>
    <xf numFmtId="0" fontId="21" fillId="34" borderId="13" xfId="0" applyFont="1" applyFill="1" applyBorder="1" applyAlignment="1">
      <alignment horizontal="center"/>
    </xf>
    <xf numFmtId="0" fontId="21" fillId="34" borderId="17" xfId="0" applyFont="1" applyFill="1" applyBorder="1"/>
    <xf numFmtId="0" fontId="21" fillId="34" borderId="18" xfId="0" applyFont="1" applyFill="1" applyBorder="1"/>
    <xf numFmtId="1" fontId="23" fillId="37" borderId="10" xfId="0" applyNumberFormat="1" applyFont="1" applyFill="1" applyBorder="1" applyAlignment="1">
      <alignment horizontal="center" vertical="center"/>
    </xf>
    <xf numFmtId="9" fontId="23" fillId="37" borderId="10" xfId="42" applyFont="1" applyFill="1" applyBorder="1" applyAlignment="1">
      <alignment horizontal="center" vertical="center"/>
    </xf>
    <xf numFmtId="1" fontId="23" fillId="38" borderId="10" xfId="42" applyNumberFormat="1" applyFont="1" applyFill="1" applyBorder="1" applyAlignment="1">
      <alignment horizontal="center" vertical="center"/>
    </xf>
    <xf numFmtId="1" fontId="23" fillId="38" borderId="10" xfId="0" applyNumberFormat="1" applyFont="1" applyFill="1" applyBorder="1" applyAlignment="1">
      <alignment horizontal="center"/>
    </xf>
    <xf numFmtId="0" fontId="21" fillId="34" borderId="16" xfId="0" applyFont="1" applyFill="1" applyBorder="1" applyAlignment="1">
      <alignment vertical="center"/>
    </xf>
    <xf numFmtId="0" fontId="23" fillId="37" borderId="17" xfId="0" applyFont="1" applyFill="1" applyBorder="1" applyAlignment="1">
      <alignment horizontal="center"/>
    </xf>
    <xf numFmtId="9" fontId="21" fillId="34" borderId="13" xfId="0" applyNumberFormat="1" applyFont="1" applyFill="1" applyBorder="1" applyAlignment="1">
      <alignment vertical="center"/>
    </xf>
    <xf numFmtId="1" fontId="21" fillId="34" borderId="13" xfId="0" applyNumberFormat="1" applyFont="1" applyFill="1" applyBorder="1" applyAlignment="1">
      <alignment vertical="center"/>
    </xf>
    <xf numFmtId="0" fontId="23" fillId="36" borderId="19" xfId="0" applyFont="1" applyFill="1" applyBorder="1"/>
    <xf numFmtId="0" fontId="21" fillId="34" borderId="10" xfId="0" applyFont="1" applyFill="1" applyBorder="1" applyAlignment="1">
      <alignment horizontal="center"/>
    </xf>
    <xf numFmtId="0" fontId="21" fillId="35" borderId="13" xfId="0" applyFont="1" applyFill="1" applyBorder="1" applyAlignment="1">
      <alignment vertical="center"/>
    </xf>
    <xf numFmtId="164" fontId="26" fillId="36" borderId="31" xfId="0" applyNumberFormat="1" applyFont="1" applyFill="1" applyBorder="1" applyAlignment="1">
      <alignment horizontal="center" vertical="center"/>
    </xf>
    <xf numFmtId="0" fontId="26" fillId="36" borderId="27" xfId="0" applyFont="1" applyFill="1" applyBorder="1" applyAlignment="1">
      <alignment horizontal="center"/>
    </xf>
    <xf numFmtId="1" fontId="27" fillId="36" borderId="31" xfId="0" applyNumberFormat="1" applyFont="1" applyFill="1" applyBorder="1" applyAlignment="1">
      <alignment horizontal="center" vertical="center"/>
    </xf>
    <xf numFmtId="9" fontId="27" fillId="36" borderId="30" xfId="42" applyFont="1" applyFill="1" applyBorder="1" applyAlignment="1">
      <alignment horizontal="center" vertical="center"/>
    </xf>
    <xf numFmtId="0" fontId="27" fillId="36" borderId="26" xfId="0" applyFont="1" applyFill="1" applyBorder="1"/>
    <xf numFmtId="9" fontId="27" fillId="36" borderId="26" xfId="0" applyNumberFormat="1" applyFont="1" applyFill="1" applyBorder="1"/>
    <xf numFmtId="1" fontId="27" fillId="36" borderId="26" xfId="0" applyNumberFormat="1" applyFont="1" applyFill="1" applyBorder="1"/>
    <xf numFmtId="0" fontId="23" fillId="37" borderId="17" xfId="0" applyFont="1" applyFill="1" applyBorder="1" applyAlignment="1">
      <alignment horizontal="center" vertical="center"/>
    </xf>
    <xf numFmtId="1" fontId="23" fillId="38" borderId="10" xfId="0" applyNumberFormat="1" applyFont="1" applyFill="1" applyBorder="1" applyAlignment="1">
      <alignment horizontal="center" vertical="center"/>
    </xf>
    <xf numFmtId="0" fontId="23" fillId="0" borderId="19" xfId="0" applyFont="1" applyBorder="1" applyAlignment="1">
      <alignment horizontal="center"/>
    </xf>
    <xf numFmtId="0" fontId="0" fillId="0" borderId="19" xfId="0" applyBorder="1"/>
    <xf numFmtId="164" fontId="24" fillId="34" borderId="22" xfId="0" applyNumberFormat="1" applyFont="1" applyFill="1" applyBorder="1" applyAlignment="1">
      <alignment horizontal="center" vertical="center"/>
    </xf>
    <xf numFmtId="1" fontId="23" fillId="37" borderId="21" xfId="0" applyNumberFormat="1" applyFont="1" applyFill="1" applyBorder="1" applyAlignment="1">
      <alignment horizontal="center" vertical="center"/>
    </xf>
    <xf numFmtId="164" fontId="24" fillId="34" borderId="31" xfId="0" applyNumberFormat="1" applyFont="1" applyFill="1" applyBorder="1" applyAlignment="1">
      <alignment horizontal="center" vertical="center"/>
    </xf>
    <xf numFmtId="0" fontId="21" fillId="34" borderId="27" xfId="0" applyFont="1" applyFill="1" applyBorder="1" applyAlignment="1">
      <alignment horizontal="center"/>
    </xf>
    <xf numFmtId="0" fontId="21" fillId="34" borderId="24" xfId="0" applyFont="1" applyFill="1" applyBorder="1" applyAlignment="1">
      <alignment horizontal="center"/>
    </xf>
    <xf numFmtId="0" fontId="21" fillId="34" borderId="32" xfId="0" applyFont="1" applyFill="1" applyBorder="1" applyAlignment="1">
      <alignment horizontal="center"/>
    </xf>
    <xf numFmtId="0" fontId="21" fillId="34" borderId="29" xfId="0" applyFont="1" applyFill="1" applyBorder="1" applyAlignment="1">
      <alignment horizontal="center"/>
    </xf>
    <xf numFmtId="164" fontId="26" fillId="36" borderId="22" xfId="0" applyNumberFormat="1" applyFont="1" applyFill="1" applyBorder="1" applyAlignment="1">
      <alignment horizontal="center" vertical="center"/>
    </xf>
    <xf numFmtId="0" fontId="26" fillId="36" borderId="33" xfId="0" applyFont="1" applyFill="1" applyBorder="1" applyAlignment="1">
      <alignment horizontal="center"/>
    </xf>
    <xf numFmtId="9" fontId="25" fillId="37" borderId="33" xfId="42" applyFont="1" applyFill="1" applyBorder="1" applyAlignment="1">
      <alignment horizontal="center" vertical="center"/>
    </xf>
    <xf numFmtId="0" fontId="21" fillId="36" borderId="34" xfId="0" applyFont="1" applyFill="1" applyBorder="1"/>
    <xf numFmtId="0" fontId="23" fillId="36" borderId="21" xfId="0" applyFont="1" applyFill="1" applyBorder="1"/>
    <xf numFmtId="0" fontId="21" fillId="34" borderId="21" xfId="0" applyFont="1" applyFill="1" applyBorder="1" applyAlignment="1">
      <alignment horizontal="center"/>
    </xf>
    <xf numFmtId="0" fontId="23" fillId="0" borderId="21" xfId="0" applyFont="1" applyBorder="1"/>
    <xf numFmtId="9" fontId="23" fillId="0" borderId="21" xfId="0" applyNumberFormat="1" applyFont="1" applyBorder="1"/>
    <xf numFmtId="1" fontId="23" fillId="0" borderId="21" xfId="0" applyNumberFormat="1" applyFont="1" applyBorder="1"/>
    <xf numFmtId="9" fontId="23" fillId="0" borderId="33" xfId="0" applyNumberFormat="1" applyFont="1" applyBorder="1"/>
    <xf numFmtId="0" fontId="0" fillId="37" borderId="29" xfId="0" applyFill="1" applyBorder="1" applyAlignment="1">
      <alignment horizontal="center"/>
    </xf>
    <xf numFmtId="0" fontId="0" fillId="0" borderId="0" xfId="0" applyAlignment="1">
      <alignment vertical="center" wrapText="1"/>
    </xf>
    <xf numFmtId="0" fontId="0" fillId="0" borderId="0" xfId="0" applyAlignment="1">
      <alignment horizontal="left"/>
    </xf>
    <xf numFmtId="0" fontId="0" fillId="0" borderId="10" xfId="0" applyBorder="1" applyAlignment="1">
      <alignment vertical="center" wrapText="1"/>
    </xf>
    <xf numFmtId="0" fontId="0" fillId="0" borderId="0" xfId="0" applyAlignment="1">
      <alignment vertical="center"/>
    </xf>
    <xf numFmtId="0" fontId="0" fillId="40" borderId="10" xfId="0" applyFill="1" applyBorder="1" applyAlignment="1">
      <alignment vertical="center" wrapText="1"/>
    </xf>
    <xf numFmtId="0" fontId="0" fillId="33" borderId="10" xfId="0" applyFill="1" applyBorder="1" applyAlignment="1">
      <alignment vertical="center" wrapText="1"/>
    </xf>
    <xf numFmtId="0" fontId="16" fillId="0" borderId="0" xfId="0" applyFont="1" applyAlignment="1">
      <alignment vertical="center" wrapText="1"/>
    </xf>
    <xf numFmtId="0" fontId="0" fillId="0" borderId="14" xfId="0" applyBorder="1" applyAlignment="1">
      <alignment vertical="center" wrapText="1"/>
    </xf>
    <xf numFmtId="0" fontId="0" fillId="0" borderId="24" xfId="0" applyBorder="1" applyAlignment="1">
      <alignment vertical="center" wrapText="1"/>
    </xf>
    <xf numFmtId="0" fontId="0" fillId="0" borderId="36" xfId="0" applyBorder="1" applyAlignment="1">
      <alignment vertical="center" wrapText="1"/>
    </xf>
    <xf numFmtId="164" fontId="16" fillId="0" borderId="0" xfId="0" applyNumberFormat="1" applyFont="1" applyAlignment="1">
      <alignment vertical="center"/>
    </xf>
    <xf numFmtId="0" fontId="16" fillId="0" borderId="0" xfId="0" applyFont="1" applyAlignment="1">
      <alignment vertical="center"/>
    </xf>
    <xf numFmtId="164" fontId="0" fillId="0" borderId="0" xfId="0" applyNumberFormat="1" applyAlignment="1">
      <alignment vertical="center"/>
    </xf>
    <xf numFmtId="164" fontId="0" fillId="39" borderId="0" xfId="0" applyNumberFormat="1" applyFill="1" applyAlignment="1">
      <alignment vertical="center"/>
    </xf>
    <xf numFmtId="0" fontId="0" fillId="39" borderId="0" xfId="0" applyFill="1" applyAlignment="1">
      <alignment vertical="center"/>
    </xf>
    <xf numFmtId="0" fontId="0" fillId="39" borderId="0" xfId="0" applyFill="1" applyAlignment="1">
      <alignment vertical="center" wrapText="1"/>
    </xf>
    <xf numFmtId="0" fontId="0" fillId="40" borderId="17" xfId="0" applyFill="1" applyBorder="1" applyAlignment="1">
      <alignment vertical="center" wrapText="1"/>
    </xf>
    <xf numFmtId="0" fontId="0" fillId="40" borderId="14" xfId="0" applyFill="1" applyBorder="1" applyAlignment="1">
      <alignment vertical="center" wrapText="1"/>
    </xf>
    <xf numFmtId="0" fontId="0" fillId="40" borderId="24" xfId="0" applyFill="1" applyBorder="1" applyAlignment="1">
      <alignment vertical="center" wrapText="1"/>
    </xf>
    <xf numFmtId="0" fontId="0" fillId="40" borderId="36" xfId="0" applyFill="1" applyBorder="1" applyAlignment="1">
      <alignment vertical="center" wrapText="1"/>
    </xf>
    <xf numFmtId="0" fontId="0" fillId="33" borderId="26" xfId="0" applyFill="1" applyBorder="1" applyAlignment="1">
      <alignment vertical="center" wrapText="1"/>
    </xf>
    <xf numFmtId="0" fontId="0" fillId="33" borderId="14" xfId="0" applyFill="1" applyBorder="1" applyAlignment="1">
      <alignment vertical="center" wrapText="1"/>
    </xf>
    <xf numFmtId="0" fontId="0" fillId="33" borderId="24" xfId="0" applyFill="1" applyBorder="1" applyAlignment="1">
      <alignment vertical="center" wrapText="1"/>
    </xf>
    <xf numFmtId="0" fontId="0" fillId="33" borderId="36" xfId="0" applyFill="1" applyBorder="1" applyAlignment="1">
      <alignment vertical="center" wrapText="1"/>
    </xf>
    <xf numFmtId="0" fontId="0" fillId="41" borderId="17" xfId="0" applyFill="1" applyBorder="1" applyAlignment="1">
      <alignment vertical="center" wrapText="1"/>
    </xf>
    <xf numFmtId="0" fontId="0" fillId="41" borderId="18" xfId="0" applyFill="1" applyBorder="1" applyAlignment="1">
      <alignment vertical="center" wrapText="1"/>
    </xf>
    <xf numFmtId="0" fontId="0" fillId="41" borderId="24" xfId="0" applyFill="1" applyBorder="1" applyAlignment="1">
      <alignment vertical="center" wrapText="1"/>
    </xf>
    <xf numFmtId="0" fontId="0" fillId="42" borderId="17" xfId="0" applyFill="1" applyBorder="1" applyAlignment="1">
      <alignment vertical="center" wrapText="1"/>
    </xf>
    <xf numFmtId="0" fontId="0" fillId="42" borderId="18" xfId="0" applyFill="1" applyBorder="1" applyAlignment="1">
      <alignment vertical="center" wrapText="1"/>
    </xf>
    <xf numFmtId="0" fontId="0" fillId="42" borderId="24" xfId="0" applyFill="1" applyBorder="1" applyAlignment="1">
      <alignment vertical="center" wrapText="1"/>
    </xf>
    <xf numFmtId="0" fontId="0" fillId="42" borderId="36" xfId="0" applyFill="1" applyBorder="1" applyAlignment="1">
      <alignment vertical="center" wrapText="1"/>
    </xf>
    <xf numFmtId="0" fontId="0" fillId="41" borderId="10" xfId="0" applyFill="1" applyBorder="1" applyAlignment="1">
      <alignment vertical="center" wrapText="1"/>
    </xf>
    <xf numFmtId="0" fontId="16" fillId="43" borderId="15" xfId="0" applyFont="1" applyFill="1" applyBorder="1" applyAlignment="1">
      <alignment vertical="center" wrapText="1"/>
    </xf>
    <xf numFmtId="0" fontId="0" fillId="33" borderId="17" xfId="0" applyFill="1" applyBorder="1" applyAlignment="1">
      <alignment vertical="center" wrapText="1"/>
    </xf>
    <xf numFmtId="0" fontId="0" fillId="33" borderId="18" xfId="0" applyFill="1" applyBorder="1" applyAlignment="1">
      <alignment vertical="center" wrapText="1"/>
    </xf>
    <xf numFmtId="0" fontId="0" fillId="33" borderId="47" xfId="0" applyFill="1" applyBorder="1" applyAlignment="1">
      <alignment vertical="center" wrapText="1"/>
    </xf>
    <xf numFmtId="0" fontId="0" fillId="41" borderId="14" xfId="0" applyFill="1" applyBorder="1" applyAlignment="1">
      <alignment vertical="center" wrapText="1"/>
    </xf>
    <xf numFmtId="0" fontId="16" fillId="43" borderId="44" xfId="0" applyFont="1" applyFill="1" applyBorder="1" applyAlignment="1">
      <alignment vertical="center" wrapText="1"/>
    </xf>
    <xf numFmtId="0" fontId="16" fillId="43" borderId="48" xfId="0" applyFont="1" applyFill="1" applyBorder="1" applyAlignment="1">
      <alignment vertical="center" wrapText="1"/>
    </xf>
    <xf numFmtId="0" fontId="16" fillId="43" borderId="49" xfId="0" applyFont="1" applyFill="1" applyBorder="1" applyAlignment="1">
      <alignment vertical="center" wrapText="1"/>
    </xf>
    <xf numFmtId="0" fontId="16" fillId="43" borderId="50" xfId="0" applyFont="1" applyFill="1" applyBorder="1" applyAlignment="1">
      <alignment vertical="center" wrapText="1"/>
    </xf>
    <xf numFmtId="0" fontId="0" fillId="41" borderId="25" xfId="0" applyFill="1" applyBorder="1" applyAlignment="1">
      <alignment vertical="center" wrapText="1"/>
    </xf>
    <xf numFmtId="0" fontId="0" fillId="41" borderId="35" xfId="0" applyFill="1" applyBorder="1" applyAlignment="1">
      <alignment vertical="center" wrapText="1"/>
    </xf>
    <xf numFmtId="0" fontId="0" fillId="40" borderId="26" xfId="0" applyFill="1" applyBorder="1" applyAlignment="1">
      <alignment vertical="center" wrapText="1"/>
    </xf>
    <xf numFmtId="0" fontId="0" fillId="40" borderId="30" xfId="0" applyFill="1" applyBorder="1" applyAlignment="1">
      <alignment vertical="center" wrapText="1"/>
    </xf>
    <xf numFmtId="0" fontId="0" fillId="42" borderId="31" xfId="0" applyFill="1" applyBorder="1" applyAlignment="1">
      <alignment vertical="center" wrapText="1"/>
    </xf>
    <xf numFmtId="0" fontId="0" fillId="42" borderId="30" xfId="0" applyFill="1" applyBorder="1" applyAlignment="1">
      <alignment vertical="center" wrapText="1"/>
    </xf>
    <xf numFmtId="0" fontId="0" fillId="41" borderId="31" xfId="0" applyFill="1" applyBorder="1" applyAlignment="1">
      <alignment vertical="center" wrapText="1"/>
    </xf>
    <xf numFmtId="0" fontId="0" fillId="33" borderId="31" xfId="0" applyFill="1" applyBorder="1" applyAlignment="1">
      <alignment vertical="center" wrapText="1"/>
    </xf>
    <xf numFmtId="0" fontId="0" fillId="41" borderId="26" xfId="0" applyFill="1" applyBorder="1" applyAlignment="1">
      <alignment vertical="center" wrapText="1"/>
    </xf>
    <xf numFmtId="0" fontId="0" fillId="41" borderId="27" xfId="0" applyFill="1" applyBorder="1" applyAlignment="1">
      <alignment vertical="center" wrapText="1"/>
    </xf>
    <xf numFmtId="0" fontId="0" fillId="0" borderId="0" xfId="0" pivotButton="1"/>
    <xf numFmtId="9" fontId="0" fillId="0" borderId="0" xfId="42" applyFont="1"/>
    <xf numFmtId="9" fontId="0" fillId="0" borderId="0" xfId="0" applyNumberFormat="1"/>
    <xf numFmtId="9" fontId="35" fillId="0" borderId="10" xfId="42" applyFont="1" applyBorder="1" applyAlignment="1">
      <alignment horizontal="center" vertical="center"/>
    </xf>
    <xf numFmtId="9" fontId="35" fillId="0" borderId="10" xfId="0" applyNumberFormat="1" applyFont="1" applyBorder="1"/>
    <xf numFmtId="0" fontId="35" fillId="0" borderId="0" xfId="0" applyFont="1"/>
    <xf numFmtId="9" fontId="35" fillId="0" borderId="0" xfId="0" applyNumberFormat="1" applyFont="1"/>
    <xf numFmtId="0" fontId="33" fillId="0" borderId="0" xfId="0" applyFont="1"/>
    <xf numFmtId="165" fontId="35" fillId="0" borderId="0" xfId="0" applyNumberFormat="1" applyFont="1"/>
    <xf numFmtId="9" fontId="35" fillId="0" borderId="14" xfId="0" applyNumberFormat="1" applyFont="1" applyBorder="1"/>
    <xf numFmtId="9" fontId="35" fillId="0" borderId="24" xfId="42" applyFont="1" applyBorder="1" applyAlignment="1">
      <alignment horizontal="center" vertical="center"/>
    </xf>
    <xf numFmtId="9" fontId="35" fillId="0" borderId="24" xfId="0" applyNumberFormat="1" applyFont="1" applyBorder="1"/>
    <xf numFmtId="9" fontId="35" fillId="0" borderId="36" xfId="0" applyNumberFormat="1" applyFont="1" applyBorder="1"/>
    <xf numFmtId="9" fontId="35" fillId="0" borderId="10" xfId="42" applyFont="1" applyBorder="1" applyAlignment="1">
      <alignment horizontal="center"/>
    </xf>
    <xf numFmtId="9" fontId="35" fillId="0" borderId="10" xfId="42" applyFont="1" applyBorder="1"/>
    <xf numFmtId="9" fontId="35" fillId="0" borderId="14" xfId="42" applyFont="1" applyBorder="1"/>
    <xf numFmtId="9" fontId="35" fillId="0" borderId="0" xfId="42" applyFont="1"/>
    <xf numFmtId="9" fontId="35" fillId="0" borderId="26" xfId="42" applyFont="1" applyBorder="1" applyAlignment="1">
      <alignment horizontal="center" vertical="center"/>
    </xf>
    <xf numFmtId="9" fontId="35" fillId="0" borderId="30" xfId="42" applyFont="1" applyBorder="1" applyAlignment="1">
      <alignment horizontal="center" vertical="center"/>
    </xf>
    <xf numFmtId="9" fontId="33" fillId="35" borderId="49" xfId="0" applyNumberFormat="1" applyFont="1" applyFill="1" applyBorder="1" applyAlignment="1">
      <alignment vertical="center"/>
    </xf>
    <xf numFmtId="9" fontId="33" fillId="35" borderId="49" xfId="42" applyFont="1" applyFill="1" applyBorder="1" applyAlignment="1">
      <alignment vertical="center"/>
    </xf>
    <xf numFmtId="9" fontId="33" fillId="35" borderId="50" xfId="0" applyNumberFormat="1" applyFont="1" applyFill="1" applyBorder="1" applyAlignment="1">
      <alignment vertical="center"/>
    </xf>
    <xf numFmtId="9" fontId="33" fillId="35" borderId="48" xfId="0" applyNumberFormat="1" applyFont="1" applyFill="1" applyBorder="1" applyAlignment="1">
      <alignment vertical="center"/>
    </xf>
    <xf numFmtId="9" fontId="35" fillId="0" borderId="43" xfId="42" applyFont="1" applyBorder="1" applyAlignment="1">
      <alignment horizontal="center" vertical="center"/>
    </xf>
    <xf numFmtId="9" fontId="35" fillId="0" borderId="19" xfId="42" applyFont="1" applyBorder="1" applyAlignment="1">
      <alignment horizontal="center" vertical="center"/>
    </xf>
    <xf numFmtId="9" fontId="35" fillId="0" borderId="19" xfId="0" applyNumberFormat="1" applyFont="1" applyBorder="1"/>
    <xf numFmtId="9" fontId="35" fillId="0" borderId="20" xfId="0" applyNumberFormat="1" applyFont="1" applyBorder="1"/>
    <xf numFmtId="0" fontId="33" fillId="35" borderId="44" xfId="0" applyFont="1" applyFill="1" applyBorder="1" applyAlignment="1">
      <alignment vertical="center" wrapText="1"/>
    </xf>
    <xf numFmtId="0" fontId="34" fillId="35" borderId="42" xfId="0" applyFont="1" applyFill="1" applyBorder="1"/>
    <xf numFmtId="0" fontId="34" fillId="35" borderId="12" xfId="0" applyFont="1" applyFill="1" applyBorder="1"/>
    <xf numFmtId="0" fontId="34" fillId="35" borderId="15" xfId="0" applyFont="1" applyFill="1" applyBorder="1"/>
    <xf numFmtId="0" fontId="33" fillId="35" borderId="48" xfId="0" applyFont="1" applyFill="1" applyBorder="1" applyAlignment="1">
      <alignment vertical="center"/>
    </xf>
    <xf numFmtId="1" fontId="35" fillId="0" borderId="43" xfId="0" applyNumberFormat="1" applyFont="1" applyBorder="1" applyAlignment="1">
      <alignment horizontal="center" vertical="center"/>
    </xf>
    <xf numFmtId="1" fontId="35" fillId="0" borderId="19" xfId="0" applyNumberFormat="1" applyFont="1" applyBorder="1" applyAlignment="1">
      <alignment horizontal="center" vertical="center"/>
    </xf>
    <xf numFmtId="0" fontId="35" fillId="0" borderId="19" xfId="0" applyFont="1" applyBorder="1" applyAlignment="1">
      <alignment horizontal="center"/>
    </xf>
    <xf numFmtId="0" fontId="35" fillId="0" borderId="19" xfId="0" applyFont="1" applyBorder="1" applyAlignment="1">
      <alignment horizontal="center" vertical="center"/>
    </xf>
    <xf numFmtId="0" fontId="35" fillId="0" borderId="19" xfId="0" applyFont="1" applyBorder="1"/>
    <xf numFmtId="0" fontId="35" fillId="0" borderId="20" xfId="0" applyFont="1" applyBorder="1"/>
    <xf numFmtId="0" fontId="16" fillId="43" borderId="12" xfId="0" applyFont="1" applyFill="1" applyBorder="1" applyAlignment="1">
      <alignment vertical="center" wrapText="1"/>
    </xf>
    <xf numFmtId="0" fontId="14" fillId="42" borderId="18" xfId="0" applyFont="1" applyFill="1" applyBorder="1" applyAlignment="1">
      <alignment vertical="center" wrapText="1"/>
    </xf>
    <xf numFmtId="164" fontId="0" fillId="0" borderId="0" xfId="0" applyNumberFormat="1" applyAlignment="1">
      <alignment horizontal="center" vertical="center"/>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18" fillId="0" borderId="0" xfId="0" applyFont="1" applyAlignment="1" applyProtection="1">
      <alignment vertical="center"/>
      <protection locked="0"/>
    </xf>
    <xf numFmtId="0" fontId="0" fillId="0" borderId="0" xfId="0" applyAlignment="1" applyProtection="1">
      <alignment horizontal="center" vertical="center"/>
      <protection locked="0"/>
    </xf>
    <xf numFmtId="1" fontId="0" fillId="0" borderId="0" xfId="0" applyNumberFormat="1" applyAlignment="1" applyProtection="1">
      <alignment vertical="center"/>
      <protection locked="0"/>
    </xf>
    <xf numFmtId="1" fontId="0" fillId="0" borderId="0" xfId="0" applyNumberFormat="1" applyAlignment="1">
      <alignment vertical="center"/>
    </xf>
    <xf numFmtId="0" fontId="32" fillId="0" borderId="26" xfId="0" applyFont="1" applyBorder="1" applyAlignment="1" applyProtection="1">
      <alignment vertical="center" wrapText="1"/>
      <protection locked="0"/>
    </xf>
    <xf numFmtId="0" fontId="32" fillId="0" borderId="10" xfId="0" applyFont="1" applyBorder="1" applyAlignment="1" applyProtection="1">
      <alignment vertical="center" wrapText="1"/>
      <protection locked="0"/>
    </xf>
    <xf numFmtId="0" fontId="0" fillId="0" borderId="26" xfId="0" applyBorder="1" applyAlignment="1" applyProtection="1">
      <alignment horizontal="left" vertical="center" wrapText="1"/>
      <protection locked="0"/>
    </xf>
    <xf numFmtId="0" fontId="0" fillId="0" borderId="10" xfId="0" applyBorder="1" applyAlignment="1" applyProtection="1">
      <alignment horizontal="left" vertical="center" wrapText="1"/>
      <protection locked="0"/>
    </xf>
    <xf numFmtId="0" fontId="0" fillId="40" borderId="10" xfId="0" applyFill="1" applyBorder="1" applyAlignment="1" applyProtection="1">
      <alignment horizontal="center" vertical="center" wrapText="1"/>
      <protection locked="0"/>
    </xf>
    <xf numFmtId="0" fontId="0" fillId="0" borderId="26" xfId="0" applyBorder="1" applyAlignment="1" applyProtection="1">
      <alignment vertical="center" wrapText="1"/>
      <protection locked="0"/>
    </xf>
    <xf numFmtId="0" fontId="0" fillId="0" borderId="10" xfId="0" applyBorder="1" applyAlignment="1" applyProtection="1">
      <alignment vertical="center" wrapText="1"/>
      <protection locked="0"/>
    </xf>
    <xf numFmtId="0" fontId="18" fillId="0" borderId="26" xfId="0" applyFont="1" applyBorder="1" applyAlignment="1" applyProtection="1">
      <alignment vertical="center" wrapText="1"/>
      <protection locked="0"/>
    </xf>
    <xf numFmtId="0" fontId="18" fillId="0" borderId="10" xfId="0" applyFont="1" applyBorder="1" applyAlignment="1" applyProtection="1">
      <alignment vertical="center" wrapText="1"/>
      <protection locked="0"/>
    </xf>
    <xf numFmtId="0" fontId="14" fillId="0" borderId="26" xfId="0" applyFont="1" applyBorder="1" applyAlignment="1" applyProtection="1">
      <alignment vertical="center" wrapText="1"/>
      <protection locked="0"/>
    </xf>
    <xf numFmtId="0" fontId="14" fillId="0" borderId="10" xfId="0" applyFont="1" applyBorder="1" applyAlignment="1" applyProtection="1">
      <alignment vertical="center" wrapText="1"/>
      <protection locked="0"/>
    </xf>
    <xf numFmtId="0" fontId="31" fillId="0" borderId="26" xfId="0" applyFont="1" applyBorder="1" applyAlignment="1" applyProtection="1">
      <alignment vertical="center" wrapText="1"/>
      <protection locked="0"/>
    </xf>
    <xf numFmtId="0" fontId="31" fillId="0" borderId="10" xfId="0" applyFont="1" applyBorder="1" applyAlignment="1" applyProtection="1">
      <alignment vertical="center" wrapText="1"/>
      <protection locked="0"/>
    </xf>
    <xf numFmtId="0" fontId="0" fillId="0" borderId="19" xfId="0" applyBorder="1" applyAlignment="1" applyProtection="1">
      <alignment vertical="center" wrapText="1"/>
      <protection locked="0"/>
    </xf>
    <xf numFmtId="0" fontId="0" fillId="0" borderId="19" xfId="0" applyBorder="1" applyAlignment="1" applyProtection="1">
      <alignment horizontal="center" vertical="center" wrapText="1"/>
      <protection locked="0"/>
    </xf>
    <xf numFmtId="0" fontId="0" fillId="0" borderId="10" xfId="0" applyBorder="1" applyAlignment="1" applyProtection="1">
      <alignment horizontal="center" vertical="center" wrapText="1"/>
      <protection locked="0"/>
    </xf>
    <xf numFmtId="0" fontId="0" fillId="0" borderId="19" xfId="0" applyBorder="1" applyAlignment="1">
      <alignment vertical="center" wrapText="1"/>
    </xf>
    <xf numFmtId="0" fontId="0" fillId="0" borderId="10" xfId="0" applyBorder="1" applyAlignment="1">
      <alignment horizontal="center" vertical="center" wrapText="1"/>
    </xf>
    <xf numFmtId="0" fontId="0" fillId="40" borderId="14" xfId="0" applyFill="1" applyBorder="1" applyAlignment="1">
      <alignment horizontal="center" vertical="center" wrapText="1"/>
    </xf>
    <xf numFmtId="9" fontId="0" fillId="0" borderId="19" xfId="42" applyFont="1" applyBorder="1" applyAlignment="1">
      <alignment vertical="center" wrapText="1"/>
    </xf>
    <xf numFmtId="1" fontId="0" fillId="0" borderId="19" xfId="42" applyNumberFormat="1" applyFont="1" applyBorder="1" applyAlignment="1">
      <alignment vertical="center" wrapText="1"/>
    </xf>
    <xf numFmtId="9" fontId="0" fillId="0" borderId="10" xfId="42" applyFont="1" applyBorder="1" applyAlignment="1">
      <alignment vertical="center" wrapText="1"/>
    </xf>
    <xf numFmtId="1" fontId="0" fillId="0" borderId="10" xfId="42" applyNumberFormat="1" applyFont="1" applyBorder="1" applyAlignment="1">
      <alignment vertical="center" wrapText="1"/>
    </xf>
    <xf numFmtId="166" fontId="0" fillId="0" borderId="19" xfId="0" applyNumberFormat="1" applyBorder="1" applyAlignment="1">
      <alignment vertical="center" wrapText="1"/>
    </xf>
    <xf numFmtId="166" fontId="0" fillId="0" borderId="19" xfId="42" applyNumberFormat="1" applyFont="1" applyBorder="1" applyAlignment="1">
      <alignment vertical="center" wrapText="1"/>
    </xf>
    <xf numFmtId="166" fontId="0" fillId="0" borderId="10" xfId="0" applyNumberFormat="1" applyBorder="1" applyAlignment="1">
      <alignment vertical="center" wrapText="1"/>
    </xf>
    <xf numFmtId="166" fontId="0" fillId="0" borderId="10" xfId="42" applyNumberFormat="1" applyFont="1" applyBorder="1" applyAlignment="1">
      <alignment vertical="center" wrapText="1"/>
    </xf>
    <xf numFmtId="0" fontId="16" fillId="43" borderId="49" xfId="0" applyFont="1" applyFill="1" applyBorder="1" applyAlignment="1">
      <alignment vertical="center"/>
    </xf>
    <xf numFmtId="1" fontId="18" fillId="46" borderId="10" xfId="0" applyNumberFormat="1" applyFont="1" applyFill="1" applyBorder="1" applyAlignment="1">
      <alignment horizontal="center" vertical="center"/>
    </xf>
    <xf numFmtId="166" fontId="18" fillId="46" borderId="10" xfId="42" applyNumberFormat="1" applyFont="1" applyFill="1" applyBorder="1" applyAlignment="1">
      <alignment horizontal="center" vertical="center"/>
    </xf>
    <xf numFmtId="0" fontId="18" fillId="46" borderId="10" xfId="0" applyFont="1" applyFill="1" applyBorder="1" applyAlignment="1">
      <alignment horizontal="center" vertical="center"/>
    </xf>
    <xf numFmtId="1" fontId="18" fillId="46" borderId="24" xfId="0" applyNumberFormat="1" applyFont="1" applyFill="1" applyBorder="1" applyAlignment="1">
      <alignment horizontal="center" vertical="center"/>
    </xf>
    <xf numFmtId="166" fontId="18" fillId="46" borderId="24" xfId="42" applyNumberFormat="1" applyFont="1" applyFill="1" applyBorder="1" applyAlignment="1">
      <alignment horizontal="center" vertical="center"/>
    </xf>
    <xf numFmtId="0" fontId="18" fillId="46" borderId="24" xfId="0" applyFont="1" applyFill="1" applyBorder="1" applyAlignment="1">
      <alignment horizontal="center" vertical="center"/>
    </xf>
    <xf numFmtId="1" fontId="18" fillId="46" borderId="19" xfId="0" applyNumberFormat="1" applyFont="1" applyFill="1" applyBorder="1" applyAlignment="1">
      <alignment horizontal="center" vertical="center"/>
    </xf>
    <xf numFmtId="166" fontId="18" fillId="46" borderId="19" xfId="42" applyNumberFormat="1" applyFont="1" applyFill="1" applyBorder="1" applyAlignment="1">
      <alignment horizontal="center" vertical="center"/>
    </xf>
    <xf numFmtId="0" fontId="18" fillId="46" borderId="19" xfId="0" applyFont="1" applyFill="1" applyBorder="1" applyAlignment="1">
      <alignment horizontal="center" vertical="center"/>
    </xf>
    <xf numFmtId="1" fontId="18" fillId="46" borderId="43" xfId="0" applyNumberFormat="1" applyFont="1" applyFill="1" applyBorder="1" applyAlignment="1">
      <alignment horizontal="center" vertical="center"/>
    </xf>
    <xf numFmtId="1" fontId="18" fillId="46" borderId="26" xfId="0" applyNumberFormat="1" applyFont="1" applyFill="1" applyBorder="1" applyAlignment="1">
      <alignment horizontal="center" vertical="center"/>
    </xf>
    <xf numFmtId="1" fontId="18" fillId="46" borderId="30" xfId="0" applyNumberFormat="1" applyFont="1" applyFill="1" applyBorder="1" applyAlignment="1">
      <alignment horizontal="center" vertical="center"/>
    </xf>
    <xf numFmtId="0" fontId="19" fillId="37" borderId="44" xfId="0" applyFont="1" applyFill="1" applyBorder="1" applyAlignment="1">
      <alignment horizontal="center" vertical="center"/>
    </xf>
    <xf numFmtId="0" fontId="19" fillId="47" borderId="44" xfId="0" applyFont="1" applyFill="1" applyBorder="1" applyAlignment="1">
      <alignment horizontal="center" vertical="center"/>
    </xf>
    <xf numFmtId="0" fontId="19" fillId="48" borderId="44" xfId="0" applyFont="1" applyFill="1" applyBorder="1" applyAlignment="1">
      <alignment horizontal="center" vertical="center"/>
    </xf>
    <xf numFmtId="9" fontId="0" fillId="0" borderId="0" xfId="42" pivotButton="1" applyFont="1"/>
    <xf numFmtId="1" fontId="18" fillId="50" borderId="37" xfId="0" applyNumberFormat="1" applyFont="1" applyFill="1" applyBorder="1" applyAlignment="1">
      <alignment horizontal="center" vertical="center"/>
    </xf>
    <xf numFmtId="1" fontId="18" fillId="50" borderId="19" xfId="0" applyNumberFormat="1" applyFont="1" applyFill="1" applyBorder="1" applyAlignment="1">
      <alignment horizontal="center" vertical="center"/>
    </xf>
    <xf numFmtId="166" fontId="18" fillId="50" borderId="19" xfId="42" applyNumberFormat="1" applyFont="1" applyFill="1" applyBorder="1" applyAlignment="1">
      <alignment horizontal="center" vertical="center"/>
    </xf>
    <xf numFmtId="0" fontId="18" fillId="50" borderId="19" xfId="0" applyFont="1" applyFill="1" applyBorder="1" applyAlignment="1">
      <alignment horizontal="center" vertical="center"/>
    </xf>
    <xf numFmtId="166" fontId="18" fillId="50" borderId="19" xfId="0" applyNumberFormat="1" applyFont="1" applyFill="1" applyBorder="1" applyAlignment="1">
      <alignment horizontal="center" vertical="center"/>
    </xf>
    <xf numFmtId="166" fontId="18" fillId="46" borderId="19" xfId="0" applyNumberFormat="1" applyFont="1" applyFill="1" applyBorder="1" applyAlignment="1">
      <alignment horizontal="center" vertical="center"/>
    </xf>
    <xf numFmtId="166" fontId="18" fillId="50" borderId="20" xfId="0" applyNumberFormat="1" applyFont="1" applyFill="1" applyBorder="1" applyAlignment="1">
      <alignment horizontal="center" vertical="center"/>
    </xf>
    <xf numFmtId="1" fontId="18" fillId="50" borderId="10" xfId="0" applyNumberFormat="1" applyFont="1" applyFill="1" applyBorder="1" applyAlignment="1">
      <alignment horizontal="center" vertical="center"/>
    </xf>
    <xf numFmtId="0" fontId="18" fillId="50" borderId="10" xfId="0" applyFont="1" applyFill="1" applyBorder="1" applyAlignment="1">
      <alignment horizontal="center" vertical="center"/>
    </xf>
    <xf numFmtId="166" fontId="18" fillId="50" borderId="10" xfId="0" applyNumberFormat="1" applyFont="1" applyFill="1" applyBorder="1" applyAlignment="1">
      <alignment horizontal="center" vertical="center"/>
    </xf>
    <xf numFmtId="166" fontId="18" fillId="46" borderId="10" xfId="0" applyNumberFormat="1" applyFont="1" applyFill="1" applyBorder="1" applyAlignment="1">
      <alignment horizontal="center" vertical="center"/>
    </xf>
    <xf numFmtId="1" fontId="18" fillId="50" borderId="13" xfId="0" applyNumberFormat="1" applyFont="1" applyFill="1" applyBorder="1" applyAlignment="1">
      <alignment horizontal="center" vertical="center"/>
    </xf>
    <xf numFmtId="166" fontId="18" fillId="46" borderId="14" xfId="0" applyNumberFormat="1" applyFont="1" applyFill="1" applyBorder="1" applyAlignment="1">
      <alignment horizontal="center" vertical="center"/>
    </xf>
    <xf numFmtId="1" fontId="18" fillId="50" borderId="23" xfId="0" applyNumberFormat="1" applyFont="1" applyFill="1" applyBorder="1" applyAlignment="1">
      <alignment horizontal="center" vertical="center"/>
    </xf>
    <xf numFmtId="1" fontId="18" fillId="50" borderId="24" xfId="0" applyNumberFormat="1" applyFont="1" applyFill="1" applyBorder="1" applyAlignment="1">
      <alignment horizontal="center" vertical="center"/>
    </xf>
    <xf numFmtId="0" fontId="18" fillId="50" borderId="24" xfId="0" applyFont="1" applyFill="1" applyBorder="1" applyAlignment="1">
      <alignment horizontal="center" vertical="center"/>
    </xf>
    <xf numFmtId="166" fontId="18" fillId="50" borderId="24" xfId="0" applyNumberFormat="1" applyFont="1" applyFill="1" applyBorder="1" applyAlignment="1">
      <alignment horizontal="center" vertical="center"/>
    </xf>
    <xf numFmtId="166" fontId="18" fillId="46" borderId="36" xfId="0" applyNumberFormat="1" applyFont="1" applyFill="1" applyBorder="1" applyAlignment="1">
      <alignment horizontal="center" vertical="center"/>
    </xf>
    <xf numFmtId="166" fontId="18" fillId="50" borderId="14" xfId="0" applyNumberFormat="1" applyFont="1" applyFill="1" applyBorder="1" applyAlignment="1">
      <alignment horizontal="center" vertical="center"/>
    </xf>
    <xf numFmtId="166" fontId="18" fillId="50" borderId="36" xfId="0" applyNumberFormat="1" applyFont="1" applyFill="1" applyBorder="1" applyAlignment="1">
      <alignment horizontal="center" vertical="center"/>
    </xf>
    <xf numFmtId="166" fontId="18" fillId="46" borderId="24" xfId="0" applyNumberFormat="1" applyFont="1" applyFill="1" applyBorder="1" applyAlignment="1">
      <alignment horizontal="center" vertical="center"/>
    </xf>
    <xf numFmtId="166" fontId="18" fillId="46" borderId="20" xfId="0" applyNumberFormat="1" applyFont="1" applyFill="1" applyBorder="1" applyAlignment="1">
      <alignment horizontal="center" vertical="center"/>
    </xf>
    <xf numFmtId="0" fontId="18" fillId="40" borderId="17" xfId="0" applyFont="1" applyFill="1" applyBorder="1" applyAlignment="1">
      <alignment horizontal="center" vertical="center"/>
    </xf>
    <xf numFmtId="0" fontId="18" fillId="40" borderId="10" xfId="0" applyFont="1" applyFill="1" applyBorder="1" applyAlignment="1">
      <alignment horizontal="center" vertical="center"/>
    </xf>
    <xf numFmtId="166" fontId="18" fillId="50" borderId="10" xfId="42" applyNumberFormat="1" applyFont="1" applyFill="1" applyBorder="1" applyAlignment="1">
      <alignment horizontal="center" vertical="center"/>
    </xf>
    <xf numFmtId="0" fontId="18" fillId="40" borderId="24" xfId="0" applyFont="1" applyFill="1" applyBorder="1" applyAlignment="1">
      <alignment horizontal="center" vertical="center"/>
    </xf>
    <xf numFmtId="166" fontId="18" fillId="50" borderId="24" xfId="42" applyNumberFormat="1" applyFont="1" applyFill="1" applyBorder="1" applyAlignment="1">
      <alignment horizontal="center" vertical="center"/>
    </xf>
    <xf numFmtId="0" fontId="18" fillId="0" borderId="0" xfId="0" applyFont="1" applyAlignment="1">
      <alignment horizontal="center" vertical="center"/>
    </xf>
    <xf numFmtId="166" fontId="18" fillId="40" borderId="39" xfId="0" applyNumberFormat="1" applyFont="1" applyFill="1" applyBorder="1" applyAlignment="1">
      <alignment horizontal="center" vertical="center"/>
    </xf>
    <xf numFmtId="166" fontId="18" fillId="40" borderId="57" xfId="0" applyNumberFormat="1" applyFont="1" applyFill="1" applyBorder="1" applyAlignment="1">
      <alignment horizontal="center" vertical="center"/>
    </xf>
    <xf numFmtId="166" fontId="18" fillId="40" borderId="40" xfId="0" applyNumberFormat="1" applyFont="1" applyFill="1" applyBorder="1" applyAlignment="1">
      <alignment horizontal="center" vertical="center"/>
    </xf>
    <xf numFmtId="0" fontId="0" fillId="0" borderId="0" xfId="0" applyAlignment="1">
      <alignment wrapText="1"/>
    </xf>
    <xf numFmtId="0" fontId="18" fillId="40" borderId="31" xfId="0" applyFont="1" applyFill="1" applyBorder="1" applyAlignment="1">
      <alignment horizontal="center" vertical="center"/>
    </xf>
    <xf numFmtId="0" fontId="18" fillId="40" borderId="26" xfId="0" applyFont="1" applyFill="1" applyBorder="1" applyAlignment="1">
      <alignment horizontal="center" vertical="center"/>
    </xf>
    <xf numFmtId="0" fontId="18" fillId="40" borderId="30" xfId="0" applyFont="1" applyFill="1" applyBorder="1" applyAlignment="1">
      <alignment horizontal="center" vertical="center"/>
    </xf>
    <xf numFmtId="0" fontId="19" fillId="43" borderId="44" xfId="0" applyFont="1" applyFill="1" applyBorder="1" applyAlignment="1">
      <alignment horizontal="center" vertical="center" wrapText="1"/>
    </xf>
    <xf numFmtId="0" fontId="31" fillId="37" borderId="44" xfId="0" applyFont="1" applyFill="1" applyBorder="1" applyAlignment="1">
      <alignment horizontal="center" vertical="center"/>
    </xf>
    <xf numFmtId="0" fontId="31" fillId="44" borderId="75" xfId="0" applyFont="1" applyFill="1" applyBorder="1" applyAlignment="1">
      <alignment horizontal="center" vertical="center"/>
    </xf>
    <xf numFmtId="0" fontId="31" fillId="44" borderId="61" xfId="0" applyFont="1" applyFill="1" applyBorder="1" applyAlignment="1">
      <alignment horizontal="center" vertical="center"/>
    </xf>
    <xf numFmtId="166" fontId="31" fillId="44" borderId="61" xfId="42" applyNumberFormat="1" applyFont="1" applyFill="1" applyBorder="1" applyAlignment="1">
      <alignment horizontal="center" vertical="center"/>
    </xf>
    <xf numFmtId="1" fontId="31" fillId="49" borderId="60" xfId="0" applyNumberFormat="1" applyFont="1" applyFill="1" applyBorder="1" applyAlignment="1">
      <alignment horizontal="center" vertical="center"/>
    </xf>
    <xf numFmtId="1" fontId="31" fillId="49" borderId="58" xfId="0" applyNumberFormat="1" applyFont="1" applyFill="1" applyBorder="1" applyAlignment="1">
      <alignment horizontal="center" vertical="center"/>
    </xf>
    <xf numFmtId="0" fontId="31" fillId="49" borderId="58" xfId="0" applyFont="1" applyFill="1" applyBorder="1" applyAlignment="1">
      <alignment horizontal="center" vertical="center"/>
    </xf>
    <xf numFmtId="166" fontId="31" fillId="49" borderId="58" xfId="42" applyNumberFormat="1" applyFont="1" applyFill="1" applyBorder="1" applyAlignment="1">
      <alignment horizontal="center" vertical="center"/>
    </xf>
    <xf numFmtId="166" fontId="31" fillId="49" borderId="58" xfId="0" applyNumberFormat="1" applyFont="1" applyFill="1" applyBorder="1" applyAlignment="1">
      <alignment horizontal="center" vertical="center"/>
    </xf>
    <xf numFmtId="166" fontId="31" fillId="49" borderId="59" xfId="0" applyNumberFormat="1" applyFont="1" applyFill="1" applyBorder="1" applyAlignment="1">
      <alignment horizontal="center" vertical="center"/>
    </xf>
    <xf numFmtId="1" fontId="31" fillId="45" borderId="72" xfId="0" applyNumberFormat="1" applyFont="1" applyFill="1" applyBorder="1" applyAlignment="1">
      <alignment horizontal="center" vertical="center"/>
    </xf>
    <xf numFmtId="1" fontId="31" fillId="45" borderId="58" xfId="0" applyNumberFormat="1" applyFont="1" applyFill="1" applyBorder="1" applyAlignment="1">
      <alignment horizontal="center" vertical="center"/>
    </xf>
    <xf numFmtId="0" fontId="31" fillId="45" borderId="58" xfId="0" applyFont="1" applyFill="1" applyBorder="1" applyAlignment="1">
      <alignment horizontal="center" vertical="center"/>
    </xf>
    <xf numFmtId="166" fontId="31" fillId="45" borderId="58" xfId="42" applyNumberFormat="1" applyFont="1" applyFill="1" applyBorder="1" applyAlignment="1">
      <alignment horizontal="center" vertical="center"/>
    </xf>
    <xf numFmtId="166" fontId="31" fillId="45" borderId="58" xfId="0" applyNumberFormat="1" applyFont="1" applyFill="1" applyBorder="1" applyAlignment="1">
      <alignment horizontal="center" vertical="center"/>
    </xf>
    <xf numFmtId="166" fontId="31" fillId="45" borderId="59" xfId="0" applyNumberFormat="1" applyFont="1" applyFill="1" applyBorder="1" applyAlignment="1">
      <alignment horizontal="center" vertical="center"/>
    </xf>
    <xf numFmtId="0" fontId="31" fillId="47" borderId="44" xfId="0" applyFont="1" applyFill="1" applyBorder="1" applyAlignment="1">
      <alignment horizontal="center" vertical="center"/>
    </xf>
    <xf numFmtId="0" fontId="31" fillId="48" borderId="44" xfId="0" applyFont="1" applyFill="1" applyBorder="1" applyAlignment="1">
      <alignment horizontal="center" vertical="center"/>
    </xf>
    <xf numFmtId="0" fontId="0" fillId="33" borderId="19" xfId="0" applyFill="1" applyBorder="1" applyAlignment="1">
      <alignment vertical="center" wrapText="1"/>
    </xf>
    <xf numFmtId="0" fontId="0" fillId="33" borderId="20" xfId="0" applyFill="1" applyBorder="1" applyAlignment="1">
      <alignment vertical="center" wrapText="1"/>
    </xf>
    <xf numFmtId="0" fontId="0" fillId="41" borderId="13" xfId="0" applyFill="1" applyBorder="1" applyAlignment="1">
      <alignment vertical="center" wrapText="1"/>
    </xf>
    <xf numFmtId="0" fontId="0" fillId="33" borderId="13" xfId="0" applyFill="1" applyBorder="1" applyAlignment="1">
      <alignment vertical="center" wrapText="1"/>
    </xf>
    <xf numFmtId="0" fontId="0" fillId="45" borderId="14" xfId="0" applyFill="1" applyBorder="1" applyAlignment="1">
      <alignment vertical="center" wrapText="1"/>
    </xf>
    <xf numFmtId="0" fontId="0" fillId="44" borderId="18" xfId="0" applyFill="1" applyBorder="1" applyAlignment="1">
      <alignment vertical="center" wrapText="1"/>
    </xf>
    <xf numFmtId="0" fontId="0" fillId="44" borderId="14" xfId="0" applyFill="1" applyBorder="1" applyAlignment="1">
      <alignment vertical="center" wrapText="1"/>
    </xf>
    <xf numFmtId="0" fontId="18" fillId="44" borderId="35" xfId="0" applyFont="1" applyFill="1" applyBorder="1" applyAlignment="1">
      <alignment vertical="center" wrapText="1"/>
    </xf>
    <xf numFmtId="0" fontId="0" fillId="49" borderId="10" xfId="0" applyFill="1" applyBorder="1" applyAlignment="1">
      <alignment vertical="center" wrapText="1"/>
    </xf>
    <xf numFmtId="0" fontId="0" fillId="45" borderId="35" xfId="0" applyFill="1" applyBorder="1" applyAlignment="1">
      <alignment vertical="center" wrapText="1"/>
    </xf>
    <xf numFmtId="0" fontId="0" fillId="40" borderId="19" xfId="0" applyFill="1" applyBorder="1" applyAlignment="1">
      <alignment vertical="center" wrapText="1"/>
    </xf>
    <xf numFmtId="0" fontId="0" fillId="35" borderId="17" xfId="0" applyFill="1" applyBorder="1" applyAlignment="1">
      <alignment vertical="center" wrapText="1"/>
    </xf>
    <xf numFmtId="0" fontId="0" fillId="35" borderId="10" xfId="0" applyFill="1" applyBorder="1" applyAlignment="1">
      <alignment vertical="center" wrapText="1"/>
    </xf>
    <xf numFmtId="0" fontId="0" fillId="35" borderId="14" xfId="0" applyFill="1" applyBorder="1" applyAlignment="1">
      <alignment vertical="center" wrapText="1"/>
    </xf>
    <xf numFmtId="0" fontId="0" fillId="35" borderId="24" xfId="0" applyFill="1" applyBorder="1" applyAlignment="1">
      <alignment vertical="center" wrapText="1"/>
    </xf>
    <xf numFmtId="0" fontId="0" fillId="35" borderId="36" xfId="0" applyFill="1" applyBorder="1" applyAlignment="1">
      <alignment vertical="center" wrapText="1"/>
    </xf>
    <xf numFmtId="0" fontId="16" fillId="43" borderId="63" xfId="0" applyFont="1" applyFill="1" applyBorder="1" applyAlignment="1">
      <alignment horizontal="center" vertical="center"/>
    </xf>
    <xf numFmtId="0" fontId="0" fillId="35" borderId="51" xfId="0" applyFill="1" applyBorder="1"/>
    <xf numFmtId="0" fontId="0" fillId="35" borderId="56" xfId="0" applyFill="1" applyBorder="1"/>
    <xf numFmtId="0" fontId="0" fillId="35" borderId="49" xfId="0" applyFill="1" applyBorder="1"/>
    <xf numFmtId="0" fontId="0" fillId="35" borderId="50" xfId="0" applyFill="1" applyBorder="1"/>
    <xf numFmtId="0" fontId="0" fillId="0" borderId="17" xfId="0" applyBorder="1" applyAlignment="1">
      <alignment vertical="center" wrapText="1"/>
    </xf>
    <xf numFmtId="0" fontId="0" fillId="44" borderId="17" xfId="0" applyFill="1" applyBorder="1" applyAlignment="1">
      <alignment vertical="center" wrapText="1"/>
    </xf>
    <xf numFmtId="0" fontId="0" fillId="44" borderId="10" xfId="0" applyFill="1" applyBorder="1" applyAlignment="1">
      <alignment vertical="center" wrapText="1"/>
    </xf>
    <xf numFmtId="0" fontId="0" fillId="44" borderId="25" xfId="0" applyFill="1" applyBorder="1" applyAlignment="1">
      <alignment vertical="center" wrapText="1"/>
    </xf>
    <xf numFmtId="0" fontId="0" fillId="49" borderId="17" xfId="0" applyFill="1" applyBorder="1" applyAlignment="1">
      <alignment vertical="center" wrapText="1"/>
    </xf>
    <xf numFmtId="0" fontId="0" fillId="49" borderId="24" xfId="0" applyFill="1" applyBorder="1" applyAlignment="1">
      <alignment vertical="center" wrapText="1"/>
    </xf>
    <xf numFmtId="0" fontId="0" fillId="45" borderId="10" xfId="0" applyFill="1" applyBorder="1" applyAlignment="1">
      <alignment vertical="center" wrapText="1"/>
    </xf>
    <xf numFmtId="0" fontId="0" fillId="45" borderId="25" xfId="0" applyFill="1" applyBorder="1" applyAlignment="1">
      <alignment vertical="center" wrapText="1"/>
    </xf>
    <xf numFmtId="0" fontId="0" fillId="45" borderId="13" xfId="0" applyFill="1" applyBorder="1" applyAlignment="1">
      <alignment vertical="center" wrapText="1"/>
    </xf>
    <xf numFmtId="0" fontId="0" fillId="45" borderId="28" xfId="0" applyFill="1" applyBorder="1" applyAlignment="1">
      <alignment vertical="center" wrapText="1"/>
    </xf>
    <xf numFmtId="0" fontId="0" fillId="49" borderId="16" xfId="0" applyFill="1" applyBorder="1" applyAlignment="1">
      <alignment vertical="center" wrapText="1"/>
    </xf>
    <xf numFmtId="0" fontId="0" fillId="49" borderId="13" xfId="0" applyFill="1" applyBorder="1" applyAlignment="1">
      <alignment vertical="center" wrapText="1"/>
    </xf>
    <xf numFmtId="0" fontId="0" fillId="49" borderId="23" xfId="0" applyFill="1" applyBorder="1" applyAlignment="1">
      <alignment vertical="center" wrapText="1"/>
    </xf>
    <xf numFmtId="0" fontId="0" fillId="44" borderId="31" xfId="0" applyFill="1" applyBorder="1" applyAlignment="1">
      <alignment vertical="center" wrapText="1"/>
    </xf>
    <xf numFmtId="0" fontId="0" fillId="44" borderId="26" xfId="0" applyFill="1" applyBorder="1" applyAlignment="1">
      <alignment vertical="center" wrapText="1"/>
    </xf>
    <xf numFmtId="0" fontId="0" fillId="44" borderId="27" xfId="0" applyFill="1" applyBorder="1" applyAlignment="1">
      <alignment vertical="center" wrapText="1"/>
    </xf>
    <xf numFmtId="0" fontId="0" fillId="33" borderId="43" xfId="0" applyFill="1" applyBorder="1" applyAlignment="1">
      <alignment vertical="center" wrapText="1"/>
    </xf>
    <xf numFmtId="0" fontId="38" fillId="44" borderId="74" xfId="0" applyFont="1" applyFill="1" applyBorder="1" applyAlignment="1">
      <alignment horizontal="center" vertical="center" wrapText="1"/>
    </xf>
    <xf numFmtId="0" fontId="38" fillId="44" borderId="70" xfId="0" applyFont="1" applyFill="1" applyBorder="1" applyAlignment="1">
      <alignment horizontal="center" vertical="center" wrapText="1"/>
    </xf>
    <xf numFmtId="1" fontId="38" fillId="44" borderId="70" xfId="0" applyNumberFormat="1" applyFont="1" applyFill="1" applyBorder="1" applyAlignment="1">
      <alignment horizontal="center" vertical="center" wrapText="1"/>
    </xf>
    <xf numFmtId="166" fontId="38" fillId="44" borderId="73" xfId="42" applyNumberFormat="1" applyFont="1" applyFill="1" applyBorder="1" applyAlignment="1">
      <alignment horizontal="center" vertical="center" wrapText="1"/>
    </xf>
    <xf numFmtId="0" fontId="38" fillId="49" borderId="11" xfId="0" applyFont="1" applyFill="1" applyBorder="1" applyAlignment="1">
      <alignment horizontal="center" vertical="center" wrapText="1"/>
    </xf>
    <xf numFmtId="0" fontId="38" fillId="49" borderId="12" xfId="0" applyFont="1" applyFill="1" applyBorder="1" applyAlignment="1">
      <alignment horizontal="center" vertical="center" wrapText="1"/>
    </xf>
    <xf numFmtId="0" fontId="38" fillId="49" borderId="15" xfId="0" applyFont="1" applyFill="1" applyBorder="1" applyAlignment="1">
      <alignment horizontal="center" vertical="center" wrapText="1"/>
    </xf>
    <xf numFmtId="0" fontId="38" fillId="45" borderId="42" xfId="0" applyFont="1" applyFill="1" applyBorder="1" applyAlignment="1">
      <alignment horizontal="center" vertical="center" wrapText="1"/>
    </xf>
    <xf numFmtId="0" fontId="38" fillId="45" borderId="12" xfId="0" applyFont="1" applyFill="1" applyBorder="1" applyAlignment="1">
      <alignment horizontal="center" vertical="center" wrapText="1"/>
    </xf>
    <xf numFmtId="0" fontId="38" fillId="45" borderId="15" xfId="0" applyFont="1" applyFill="1" applyBorder="1" applyAlignment="1">
      <alignment horizontal="center" vertical="center" wrapText="1"/>
    </xf>
    <xf numFmtId="0" fontId="14" fillId="40" borderId="14" xfId="0" applyFont="1" applyFill="1" applyBorder="1" applyAlignment="1">
      <alignment vertical="center" wrapText="1"/>
    </xf>
    <xf numFmtId="0" fontId="18" fillId="52" borderId="10" xfId="0" applyFont="1" applyFill="1" applyBorder="1" applyAlignment="1" applyProtection="1">
      <alignment vertical="center"/>
      <protection locked="0"/>
    </xf>
    <xf numFmtId="0" fontId="18" fillId="52" borderId="10" xfId="0" applyFont="1" applyFill="1" applyBorder="1" applyAlignment="1" applyProtection="1">
      <alignment horizontal="center" vertical="center"/>
      <protection locked="0"/>
    </xf>
    <xf numFmtId="0" fontId="18" fillId="52" borderId="14" xfId="0" applyFont="1" applyFill="1" applyBorder="1" applyAlignment="1" applyProtection="1">
      <alignment vertical="center"/>
      <protection locked="0"/>
    </xf>
    <xf numFmtId="0" fontId="18" fillId="52" borderId="18" xfId="0" applyFont="1" applyFill="1" applyBorder="1" applyAlignment="1">
      <alignment vertical="center" wrapText="1"/>
    </xf>
    <xf numFmtId="0" fontId="18" fillId="52" borderId="20" xfId="0" applyFont="1" applyFill="1" applyBorder="1" applyAlignment="1">
      <alignment vertical="center" wrapText="1"/>
    </xf>
    <xf numFmtId="0" fontId="0" fillId="52" borderId="30" xfId="0" applyFill="1" applyBorder="1" applyAlignment="1">
      <alignment vertical="center" wrapText="1"/>
    </xf>
    <xf numFmtId="0" fontId="0" fillId="52" borderId="26" xfId="0" applyFill="1" applyBorder="1" applyAlignment="1">
      <alignment vertical="center" wrapText="1"/>
    </xf>
    <xf numFmtId="0" fontId="0" fillId="52" borderId="16" xfId="0" applyFill="1" applyBorder="1" applyAlignment="1">
      <alignment vertical="center" wrapText="1"/>
    </xf>
    <xf numFmtId="0" fontId="0" fillId="52" borderId="13" xfId="0" applyFill="1" applyBorder="1" applyAlignment="1">
      <alignment vertical="center" wrapText="1"/>
    </xf>
    <xf numFmtId="0" fontId="0" fillId="52" borderId="23" xfId="0" applyFill="1" applyBorder="1" applyAlignment="1">
      <alignment vertical="center" wrapText="1"/>
    </xf>
    <xf numFmtId="0" fontId="0" fillId="52" borderId="31" xfId="0" applyFill="1" applyBorder="1" applyAlignment="1">
      <alignment vertical="center" wrapText="1"/>
    </xf>
    <xf numFmtId="0" fontId="18" fillId="52" borderId="48" xfId="0" applyFont="1" applyFill="1" applyBorder="1" applyAlignment="1" applyProtection="1">
      <alignment horizontal="center" vertical="center"/>
      <protection locked="0"/>
    </xf>
    <xf numFmtId="0" fontId="18" fillId="52" borderId="52" xfId="0" applyFont="1" applyFill="1" applyBorder="1" applyAlignment="1" applyProtection="1">
      <alignment horizontal="center" vertical="center"/>
      <protection locked="0"/>
    </xf>
    <xf numFmtId="0" fontId="0" fillId="52" borderId="17" xfId="0" applyFill="1" applyBorder="1" applyProtection="1">
      <protection locked="0"/>
    </xf>
    <xf numFmtId="0" fontId="0" fillId="52" borderId="10" xfId="0" applyFill="1" applyBorder="1" applyProtection="1">
      <protection locked="0"/>
    </xf>
    <xf numFmtId="0" fontId="0" fillId="40" borderId="10" xfId="0" applyFill="1" applyBorder="1" applyAlignment="1">
      <alignment horizontal="center" vertical="center" wrapText="1"/>
    </xf>
    <xf numFmtId="0" fontId="18" fillId="40" borderId="10" xfId="0" applyFont="1" applyFill="1" applyBorder="1" applyAlignment="1" applyProtection="1">
      <alignment horizontal="center" vertical="center" wrapText="1"/>
      <protection locked="0"/>
    </xf>
    <xf numFmtId="0" fontId="0" fillId="52" borderId="43" xfId="0" applyFill="1" applyBorder="1" applyAlignment="1">
      <alignment vertical="center" wrapText="1"/>
    </xf>
    <xf numFmtId="9" fontId="38" fillId="43" borderId="15" xfId="42" applyFont="1" applyFill="1" applyBorder="1" applyAlignment="1">
      <alignment horizontal="left" vertical="center" wrapText="1"/>
    </xf>
    <xf numFmtId="1" fontId="38" fillId="43" borderId="11" xfId="42" applyNumberFormat="1" applyFont="1" applyFill="1" applyBorder="1" applyAlignment="1">
      <alignment vertical="center" wrapText="1"/>
    </xf>
    <xf numFmtId="1" fontId="38" fillId="43" borderId="12" xfId="42" applyNumberFormat="1" applyFont="1" applyFill="1" applyBorder="1" applyAlignment="1">
      <alignment vertical="center" wrapText="1"/>
    </xf>
    <xf numFmtId="0" fontId="38" fillId="43" borderId="12" xfId="0" applyFont="1" applyFill="1" applyBorder="1" applyAlignment="1">
      <alignment horizontal="left" vertical="center" wrapText="1"/>
    </xf>
    <xf numFmtId="166" fontId="38" fillId="43" borderId="12" xfId="0" applyNumberFormat="1" applyFont="1" applyFill="1" applyBorder="1" applyAlignment="1">
      <alignment horizontal="left" vertical="center" wrapText="1"/>
    </xf>
    <xf numFmtId="166" fontId="38" fillId="43" borderId="12" xfId="42" applyNumberFormat="1" applyFont="1" applyFill="1" applyBorder="1" applyAlignment="1">
      <alignment horizontal="left" vertical="center" wrapText="1"/>
    </xf>
    <xf numFmtId="0" fontId="16" fillId="43" borderId="15" xfId="0" applyFont="1" applyFill="1" applyBorder="1" applyAlignment="1" applyProtection="1">
      <alignment horizontal="left" vertical="center" wrapText="1"/>
      <protection locked="0"/>
    </xf>
    <xf numFmtId="0" fontId="0" fillId="53" borderId="10" xfId="0" applyFill="1" applyBorder="1" applyAlignment="1">
      <alignment vertical="center" wrapText="1"/>
    </xf>
    <xf numFmtId="0" fontId="19" fillId="43" borderId="69" xfId="0" applyFont="1" applyFill="1" applyBorder="1" applyAlignment="1" applyProtection="1">
      <alignment horizontal="left" vertical="center" wrapText="1"/>
      <protection locked="0"/>
    </xf>
    <xf numFmtId="9" fontId="38" fillId="43" borderId="42" xfId="42" applyFont="1" applyFill="1" applyBorder="1" applyAlignment="1">
      <alignment horizontal="left" vertical="center" wrapText="1"/>
    </xf>
    <xf numFmtId="9" fontId="38" fillId="43" borderId="41" xfId="42" applyFont="1" applyFill="1" applyBorder="1" applyAlignment="1">
      <alignment horizontal="left" vertical="center" wrapText="1"/>
    </xf>
    <xf numFmtId="0" fontId="38" fillId="43" borderId="42" xfId="0" applyFont="1" applyFill="1" applyBorder="1" applyAlignment="1">
      <alignment horizontal="left" vertical="center" wrapText="1"/>
    </xf>
    <xf numFmtId="0" fontId="0" fillId="40" borderId="10" xfId="0" applyFill="1" applyBorder="1" applyAlignment="1" applyProtection="1">
      <alignment vertical="center"/>
      <protection locked="0"/>
    </xf>
    <xf numFmtId="0" fontId="0" fillId="40" borderId="10" xfId="0" applyFill="1" applyBorder="1" applyAlignment="1" applyProtection="1">
      <alignment horizontal="center" vertical="center"/>
      <protection locked="0"/>
    </xf>
    <xf numFmtId="0" fontId="18" fillId="40" borderId="10" xfId="0" applyFont="1" applyFill="1" applyBorder="1" applyAlignment="1" applyProtection="1">
      <alignment horizontal="center" vertical="center"/>
      <protection locked="0"/>
    </xf>
    <xf numFmtId="43" fontId="18" fillId="40" borderId="57" xfId="44" applyFont="1" applyFill="1" applyBorder="1" applyAlignment="1" applyProtection="1">
      <alignment vertical="center"/>
      <protection locked="0"/>
    </xf>
    <xf numFmtId="0" fontId="0" fillId="40" borderId="24" xfId="0" applyFill="1" applyBorder="1" applyAlignment="1" applyProtection="1">
      <alignment vertical="center"/>
      <protection locked="0"/>
    </xf>
    <xf numFmtId="0" fontId="0" fillId="40" borderId="24" xfId="0" applyFill="1" applyBorder="1" applyAlignment="1" applyProtection="1">
      <alignment horizontal="center" vertical="center"/>
      <protection locked="0"/>
    </xf>
    <xf numFmtId="0" fontId="18" fillId="40" borderId="24" xfId="0" applyFont="1" applyFill="1" applyBorder="1" applyAlignment="1" applyProtection="1">
      <alignment horizontal="center" vertical="center"/>
      <protection locked="0"/>
    </xf>
    <xf numFmtId="43" fontId="18" fillId="40" borderId="40" xfId="44" applyFont="1" applyFill="1" applyBorder="1" applyAlignment="1" applyProtection="1">
      <alignment vertical="center"/>
      <protection locked="0"/>
    </xf>
    <xf numFmtId="0" fontId="0" fillId="41" borderId="26" xfId="0" applyFill="1" applyBorder="1" applyAlignment="1" applyProtection="1">
      <alignment vertical="center"/>
      <protection locked="0"/>
    </xf>
    <xf numFmtId="0" fontId="18" fillId="41" borderId="10" xfId="0" applyFont="1" applyFill="1" applyBorder="1" applyAlignment="1" applyProtection="1">
      <alignment horizontal="center" vertical="center"/>
      <protection locked="0"/>
    </xf>
    <xf numFmtId="1" fontId="0" fillId="41" borderId="57" xfId="0" applyNumberFormat="1" applyFill="1" applyBorder="1" applyAlignment="1" applyProtection="1">
      <alignment vertical="center"/>
      <protection locked="0"/>
    </xf>
    <xf numFmtId="0" fontId="0" fillId="41" borderId="30" xfId="0" applyFill="1" applyBorder="1" applyAlignment="1" applyProtection="1">
      <alignment vertical="center"/>
      <protection locked="0"/>
    </xf>
    <xf numFmtId="0" fontId="18" fillId="41" borderId="24" xfId="0" applyFont="1" applyFill="1" applyBorder="1" applyAlignment="1" applyProtection="1">
      <alignment horizontal="center" vertical="center"/>
      <protection locked="0"/>
    </xf>
    <xf numFmtId="1" fontId="0" fillId="41" borderId="40" xfId="0" applyNumberFormat="1" applyFill="1" applyBorder="1" applyAlignment="1" applyProtection="1">
      <alignment vertical="center"/>
      <protection locked="0"/>
    </xf>
    <xf numFmtId="0" fontId="0" fillId="33" borderId="10" xfId="0" applyFill="1" applyBorder="1" applyAlignment="1" applyProtection="1">
      <alignment vertical="center"/>
      <protection locked="0"/>
    </xf>
    <xf numFmtId="0" fontId="0" fillId="33" borderId="24" xfId="0" applyFill="1" applyBorder="1" applyAlignment="1" applyProtection="1">
      <alignment vertical="center"/>
      <protection locked="0"/>
    </xf>
    <xf numFmtId="0" fontId="0" fillId="40" borderId="13" xfId="0" applyFill="1" applyBorder="1" applyAlignment="1" applyProtection="1">
      <alignment vertical="center"/>
      <protection locked="0"/>
    </xf>
    <xf numFmtId="0" fontId="0" fillId="33" borderId="14" xfId="0" applyFill="1" applyBorder="1" applyAlignment="1" applyProtection="1">
      <alignment vertical="center" wrapText="1"/>
      <protection locked="0"/>
    </xf>
    <xf numFmtId="0" fontId="0" fillId="33" borderId="14" xfId="0" applyFill="1" applyBorder="1" applyAlignment="1" applyProtection="1">
      <alignment vertical="center"/>
      <protection locked="0"/>
    </xf>
    <xf numFmtId="0" fontId="0" fillId="33" borderId="36" xfId="0" applyFill="1" applyBorder="1" applyAlignment="1" applyProtection="1">
      <alignment vertical="center"/>
      <protection locked="0"/>
    </xf>
    <xf numFmtId="166" fontId="0" fillId="0" borderId="19" xfId="0" applyNumberFormat="1" applyBorder="1" applyAlignment="1" applyProtection="1">
      <alignment horizontal="center" vertical="center" wrapText="1"/>
      <protection locked="0"/>
    </xf>
    <xf numFmtId="0" fontId="16" fillId="43" borderId="70" xfId="0" applyFont="1" applyFill="1" applyBorder="1" applyAlignment="1" applyProtection="1">
      <alignment horizontal="left" vertical="center" wrapText="1"/>
      <protection locked="0"/>
    </xf>
    <xf numFmtId="0" fontId="38" fillId="43" borderId="70" xfId="0" applyFont="1" applyFill="1" applyBorder="1" applyAlignment="1" applyProtection="1">
      <alignment horizontal="left" vertical="center" wrapText="1"/>
      <protection locked="0"/>
    </xf>
    <xf numFmtId="0" fontId="38" fillId="43" borderId="71" xfId="0" applyFont="1" applyFill="1" applyBorder="1" applyAlignment="1">
      <alignment horizontal="left" vertical="center" wrapText="1"/>
    </xf>
    <xf numFmtId="0" fontId="0" fillId="40" borderId="28" xfId="0" applyFill="1" applyBorder="1" applyAlignment="1" applyProtection="1">
      <alignment vertical="center"/>
      <protection locked="0"/>
    </xf>
    <xf numFmtId="0" fontId="0" fillId="40" borderId="25" xfId="0" applyFill="1" applyBorder="1" applyAlignment="1">
      <alignment horizontal="center" vertical="center" wrapText="1"/>
    </xf>
    <xf numFmtId="0" fontId="0" fillId="40" borderId="25" xfId="0" applyFill="1" applyBorder="1" applyAlignment="1">
      <alignment vertical="center" wrapText="1"/>
    </xf>
    <xf numFmtId="0" fontId="0" fillId="40" borderId="25" xfId="0" applyFill="1" applyBorder="1" applyAlignment="1" applyProtection="1">
      <alignment horizontal="center" vertical="center" wrapText="1"/>
      <protection locked="0"/>
    </xf>
    <xf numFmtId="0" fontId="0" fillId="40" borderId="35" xfId="0" applyFill="1" applyBorder="1" applyAlignment="1">
      <alignment horizontal="center" vertical="center" wrapText="1"/>
    </xf>
    <xf numFmtId="0" fontId="0" fillId="33" borderId="35" xfId="0" applyFill="1" applyBorder="1" applyAlignment="1" applyProtection="1">
      <alignment vertical="center" wrapText="1"/>
      <protection locked="0"/>
    </xf>
    <xf numFmtId="0" fontId="0" fillId="0" borderId="19" xfId="0" applyBorder="1" applyAlignment="1">
      <alignment horizontal="center" vertical="center" wrapText="1"/>
    </xf>
    <xf numFmtId="0" fontId="41" fillId="40" borderId="12" xfId="0" applyFont="1" applyFill="1" applyBorder="1" applyAlignment="1" applyProtection="1">
      <alignment horizontal="center" vertical="center"/>
      <protection locked="0"/>
    </xf>
    <xf numFmtId="0" fontId="41" fillId="40" borderId="15" xfId="0" applyFont="1" applyFill="1" applyBorder="1" applyAlignment="1" applyProtection="1">
      <alignment vertical="center"/>
      <protection locked="0"/>
    </xf>
    <xf numFmtId="0" fontId="41" fillId="41" borderId="11" xfId="0" applyFont="1" applyFill="1" applyBorder="1" applyAlignment="1" applyProtection="1">
      <alignment vertical="center"/>
      <protection locked="0"/>
    </xf>
    <xf numFmtId="0" fontId="41" fillId="41" borderId="12" xfId="0" applyFont="1" applyFill="1" applyBorder="1" applyAlignment="1" applyProtection="1">
      <alignment horizontal="center" vertical="center"/>
      <protection locked="0"/>
    </xf>
    <xf numFmtId="1" fontId="41" fillId="41" borderId="15" xfId="0" applyNumberFormat="1" applyFont="1" applyFill="1" applyBorder="1" applyAlignment="1">
      <alignment vertical="center"/>
    </xf>
    <xf numFmtId="0" fontId="41" fillId="33" borderId="12" xfId="0" applyFont="1" applyFill="1" applyBorder="1" applyAlignment="1" applyProtection="1">
      <alignment vertical="center"/>
      <protection locked="0"/>
    </xf>
    <xf numFmtId="0" fontId="41" fillId="33" borderId="15" xfId="0" applyFont="1" applyFill="1" applyBorder="1" applyAlignment="1" applyProtection="1">
      <alignment vertical="center"/>
      <protection locked="0"/>
    </xf>
    <xf numFmtId="0" fontId="41" fillId="40" borderId="17" xfId="0" applyFont="1" applyFill="1" applyBorder="1" applyAlignment="1" applyProtection="1">
      <alignment horizontal="center" vertical="center" wrapText="1"/>
      <protection locked="0"/>
    </xf>
    <xf numFmtId="166" fontId="41" fillId="40" borderId="24" xfId="0" applyNumberFormat="1" applyFont="1" applyFill="1" applyBorder="1" applyAlignment="1" applyProtection="1">
      <alignment horizontal="center" vertical="center" wrapText="1"/>
      <protection locked="0"/>
    </xf>
    <xf numFmtId="0" fontId="19" fillId="43" borderId="60" xfId="0" applyFont="1" applyFill="1" applyBorder="1" applyAlignment="1">
      <alignment horizontal="left" vertical="center"/>
    </xf>
    <xf numFmtId="0" fontId="16" fillId="43" borderId="58" xfId="0" applyFont="1" applyFill="1" applyBorder="1" applyAlignment="1">
      <alignment horizontal="left"/>
    </xf>
    <xf numFmtId="0" fontId="19" fillId="43" borderId="58" xfId="0" applyFont="1" applyFill="1" applyBorder="1" applyAlignment="1">
      <alignment horizontal="left" vertical="center"/>
    </xf>
    <xf numFmtId="0" fontId="19" fillId="43" borderId="59" xfId="0" applyFont="1" applyFill="1" applyBorder="1" applyAlignment="1">
      <alignment horizontal="left" vertical="center"/>
    </xf>
    <xf numFmtId="0" fontId="16" fillId="43" borderId="55" xfId="0" applyFont="1" applyFill="1" applyBorder="1" applyAlignment="1" applyProtection="1">
      <alignment horizontal="center" vertical="center"/>
      <protection locked="0"/>
    </xf>
    <xf numFmtId="166" fontId="0" fillId="0" borderId="0" xfId="42" applyNumberFormat="1" applyFont="1"/>
    <xf numFmtId="166" fontId="0" fillId="0" borderId="0" xfId="0" applyNumberFormat="1"/>
    <xf numFmtId="0" fontId="18" fillId="52" borderId="10" xfId="0" applyFont="1" applyFill="1" applyBorder="1" applyAlignment="1" applyProtection="1">
      <alignment horizontal="left" vertical="center"/>
      <protection locked="0"/>
    </xf>
    <xf numFmtId="0" fontId="0" fillId="40" borderId="10" xfId="0" applyFill="1" applyBorder="1" applyAlignment="1" applyProtection="1">
      <alignment horizontal="left" vertical="center"/>
      <protection locked="0"/>
    </xf>
    <xf numFmtId="0" fontId="0" fillId="40" borderId="24" xfId="0" applyFill="1" applyBorder="1" applyAlignment="1" applyProtection="1">
      <alignment horizontal="left" vertical="center"/>
      <protection locked="0"/>
    </xf>
    <xf numFmtId="0" fontId="0" fillId="40" borderId="10" xfId="0" applyFill="1" applyBorder="1" applyAlignment="1">
      <alignment horizontal="left" vertical="center" wrapText="1"/>
    </xf>
    <xf numFmtId="0" fontId="0" fillId="40" borderId="25" xfId="0" applyFill="1" applyBorder="1" applyAlignment="1">
      <alignment horizontal="left" vertical="center" wrapText="1"/>
    </xf>
    <xf numFmtId="0" fontId="0" fillId="45" borderId="16" xfId="0" applyFill="1" applyBorder="1" applyAlignment="1">
      <alignment vertical="center" wrapText="1"/>
    </xf>
    <xf numFmtId="0" fontId="0" fillId="45" borderId="17" xfId="0" applyFill="1" applyBorder="1" applyAlignment="1">
      <alignment vertical="center" wrapText="1"/>
    </xf>
    <xf numFmtId="0" fontId="0" fillId="45" borderId="18" xfId="0" applyFill="1" applyBorder="1" applyAlignment="1">
      <alignment vertical="center" wrapText="1"/>
    </xf>
    <xf numFmtId="0" fontId="16" fillId="43" borderId="42" xfId="0" applyFont="1" applyFill="1" applyBorder="1" applyAlignment="1">
      <alignment vertical="center" wrapText="1"/>
    </xf>
    <xf numFmtId="0" fontId="14" fillId="40" borderId="18" xfId="0" applyFont="1" applyFill="1" applyBorder="1" applyAlignment="1">
      <alignment vertical="center" wrapText="1"/>
    </xf>
    <xf numFmtId="0" fontId="0" fillId="52" borderId="27" xfId="0" applyFill="1" applyBorder="1" applyAlignment="1">
      <alignment vertical="center" wrapText="1"/>
    </xf>
    <xf numFmtId="0" fontId="14" fillId="40" borderId="35" xfId="0" applyFont="1" applyFill="1" applyBorder="1" applyAlignment="1">
      <alignment vertical="center" wrapText="1"/>
    </xf>
    <xf numFmtId="0" fontId="0" fillId="52" borderId="37" xfId="0" applyFill="1" applyBorder="1" applyAlignment="1">
      <alignment vertical="center" wrapText="1"/>
    </xf>
    <xf numFmtId="0" fontId="0" fillId="41" borderId="19" xfId="0" applyFill="1" applyBorder="1" applyAlignment="1">
      <alignment vertical="center" wrapText="1"/>
    </xf>
    <xf numFmtId="0" fontId="0" fillId="41" borderId="20" xfId="0" applyFill="1" applyBorder="1" applyAlignment="1">
      <alignment vertical="center" wrapText="1"/>
    </xf>
    <xf numFmtId="0" fontId="0" fillId="42" borderId="10" xfId="0" applyFill="1" applyBorder="1" applyAlignment="1">
      <alignment vertical="center" wrapText="1"/>
    </xf>
    <xf numFmtId="0" fontId="0" fillId="42" borderId="14" xfId="0" applyFill="1" applyBorder="1" applyAlignment="1">
      <alignment vertical="center" wrapText="1"/>
    </xf>
    <xf numFmtId="0" fontId="0" fillId="42" borderId="23" xfId="0" applyFill="1" applyBorder="1" applyAlignment="1">
      <alignment vertical="center" wrapText="1"/>
    </xf>
    <xf numFmtId="0" fontId="16" fillId="48" borderId="51" xfId="0" applyFont="1" applyFill="1" applyBorder="1" applyAlignment="1">
      <alignment horizontal="center" vertical="center" wrapText="1"/>
    </xf>
    <xf numFmtId="0" fontId="0" fillId="48" borderId="17" xfId="0" applyFill="1" applyBorder="1" applyAlignment="1">
      <alignment vertical="center" wrapText="1"/>
    </xf>
    <xf numFmtId="0" fontId="14" fillId="48" borderId="18" xfId="0" applyFont="1" applyFill="1" applyBorder="1" applyAlignment="1">
      <alignment vertical="center" wrapText="1"/>
    </xf>
    <xf numFmtId="0" fontId="14" fillId="35" borderId="18" xfId="0" applyFont="1" applyFill="1" applyBorder="1" applyAlignment="1">
      <alignment vertical="center" wrapText="1"/>
    </xf>
    <xf numFmtId="0" fontId="14" fillId="40" borderId="20" xfId="0" applyFont="1" applyFill="1" applyBorder="1" applyAlignment="1">
      <alignment vertical="center" wrapText="1"/>
    </xf>
    <xf numFmtId="0" fontId="14" fillId="35" borderId="14" xfId="0" applyFont="1" applyFill="1" applyBorder="1" applyAlignment="1">
      <alignment vertical="center" wrapText="1"/>
    </xf>
    <xf numFmtId="0" fontId="18" fillId="52" borderId="26" xfId="0" applyFont="1" applyFill="1" applyBorder="1" applyAlignment="1" applyProtection="1">
      <alignment vertical="center"/>
      <protection locked="0"/>
    </xf>
    <xf numFmtId="1" fontId="18" fillId="52" borderId="57" xfId="0" applyNumberFormat="1" applyFont="1" applyFill="1" applyBorder="1" applyAlignment="1" applyProtection="1">
      <alignment vertical="center"/>
      <protection locked="0"/>
    </xf>
    <xf numFmtId="0" fontId="18" fillId="33" borderId="10" xfId="0" applyFont="1" applyFill="1" applyBorder="1" applyAlignment="1">
      <alignment vertical="center"/>
    </xf>
    <xf numFmtId="0" fontId="18" fillId="40" borderId="17" xfId="0" applyFont="1" applyFill="1" applyBorder="1" applyAlignment="1">
      <alignment horizontal="left" vertical="center" wrapText="1"/>
    </xf>
    <xf numFmtId="0" fontId="18" fillId="40" borderId="17" xfId="0" applyFont="1" applyFill="1" applyBorder="1" applyAlignment="1">
      <alignment horizontal="center" vertical="center" wrapText="1"/>
    </xf>
    <xf numFmtId="0" fontId="18" fillId="40" borderId="17" xfId="0" applyFont="1" applyFill="1" applyBorder="1" applyAlignment="1">
      <alignment vertical="center" wrapText="1"/>
    </xf>
    <xf numFmtId="0" fontId="18" fillId="40" borderId="17" xfId="0" applyFont="1" applyFill="1" applyBorder="1" applyAlignment="1" applyProtection="1">
      <alignment horizontal="center" vertical="center" wrapText="1"/>
      <protection locked="0"/>
    </xf>
    <xf numFmtId="0" fontId="18" fillId="40" borderId="18" xfId="0" applyFont="1" applyFill="1" applyBorder="1" applyAlignment="1">
      <alignment horizontal="center" vertical="center" wrapText="1"/>
    </xf>
    <xf numFmtId="0" fontId="18" fillId="52" borderId="18" xfId="0" applyFont="1" applyFill="1" applyBorder="1" applyAlignment="1" applyProtection="1">
      <alignment vertical="center" wrapText="1"/>
      <protection locked="0"/>
    </xf>
    <xf numFmtId="0" fontId="18" fillId="52" borderId="13" xfId="0" applyFont="1" applyFill="1" applyBorder="1" applyAlignment="1" applyProtection="1">
      <alignment vertical="center"/>
      <protection locked="0"/>
    </xf>
    <xf numFmtId="0" fontId="18" fillId="40" borderId="10" xfId="0" applyFont="1" applyFill="1" applyBorder="1" applyAlignment="1">
      <alignment horizontal="left" vertical="center" wrapText="1"/>
    </xf>
    <xf numFmtId="0" fontId="18" fillId="40" borderId="10" xfId="0" applyFont="1" applyFill="1" applyBorder="1" applyAlignment="1">
      <alignment horizontal="center" vertical="center" wrapText="1"/>
    </xf>
    <xf numFmtId="0" fontId="18" fillId="40" borderId="10" xfId="0" applyFont="1" applyFill="1" applyBorder="1" applyAlignment="1">
      <alignment vertical="center" wrapText="1"/>
    </xf>
    <xf numFmtId="0" fontId="18" fillId="40" borderId="14" xfId="0" applyFont="1" applyFill="1" applyBorder="1" applyAlignment="1">
      <alignment horizontal="center" vertical="center" wrapText="1"/>
    </xf>
    <xf numFmtId="0" fontId="18" fillId="52" borderId="14" xfId="0" applyFont="1" applyFill="1" applyBorder="1" applyAlignment="1" applyProtection="1">
      <alignment vertical="center" wrapText="1"/>
      <protection locked="0"/>
    </xf>
    <xf numFmtId="9" fontId="18" fillId="42" borderId="18" xfId="42" applyFont="1" applyFill="1" applyBorder="1" applyAlignment="1">
      <alignment horizontal="center" vertical="center"/>
    </xf>
    <xf numFmtId="9" fontId="18" fillId="52" borderId="13" xfId="0" applyNumberFormat="1" applyFont="1" applyFill="1" applyBorder="1" applyAlignment="1" applyProtection="1">
      <alignment horizontal="center" vertical="center"/>
      <protection locked="0"/>
    </xf>
    <xf numFmtId="0" fontId="18" fillId="52" borderId="10" xfId="42" applyNumberFormat="1" applyFont="1" applyFill="1" applyBorder="1" applyAlignment="1" applyProtection="1">
      <alignment horizontal="center" vertical="center"/>
      <protection locked="0"/>
    </xf>
    <xf numFmtId="9" fontId="18" fillId="42" borderId="14" xfId="42" applyFont="1" applyFill="1" applyBorder="1" applyAlignment="1">
      <alignment horizontal="center" vertical="center"/>
    </xf>
    <xf numFmtId="9" fontId="18" fillId="42" borderId="13" xfId="0" applyNumberFormat="1" applyFont="1" applyFill="1" applyBorder="1" applyAlignment="1" applyProtection="1">
      <alignment horizontal="center" vertical="center"/>
      <protection locked="0"/>
    </xf>
    <xf numFmtId="0" fontId="18" fillId="42" borderId="10" xfId="42" applyNumberFormat="1" applyFont="1" applyFill="1" applyBorder="1" applyAlignment="1" applyProtection="1">
      <alignment horizontal="center" vertical="center"/>
      <protection locked="0"/>
    </xf>
    <xf numFmtId="9" fontId="18" fillId="42" borderId="23" xfId="0" applyNumberFormat="1" applyFont="1" applyFill="1" applyBorder="1" applyAlignment="1" applyProtection="1">
      <alignment horizontal="center" vertical="center"/>
      <protection locked="0"/>
    </xf>
    <xf numFmtId="0" fontId="18" fillId="42" borderId="24" xfId="42" applyNumberFormat="1" applyFont="1" applyFill="1" applyBorder="1" applyAlignment="1" applyProtection="1">
      <alignment horizontal="center" vertical="center"/>
      <protection locked="0"/>
    </xf>
    <xf numFmtId="9" fontId="18" fillId="42" borderId="36" xfId="42" applyFont="1" applyFill="1" applyBorder="1" applyAlignment="1">
      <alignment horizontal="center" vertical="center"/>
    </xf>
    <xf numFmtId="166" fontId="41" fillId="42" borderId="42" xfId="0" applyNumberFormat="1" applyFont="1" applyFill="1" applyBorder="1" applyAlignment="1" applyProtection="1">
      <alignment horizontal="center" vertical="center"/>
      <protection locked="0"/>
    </xf>
    <xf numFmtId="0" fontId="41" fillId="42" borderId="12" xfId="0" applyFont="1" applyFill="1" applyBorder="1" applyAlignment="1" applyProtection="1">
      <alignment horizontal="center" vertical="center"/>
      <protection locked="0"/>
    </xf>
    <xf numFmtId="166" fontId="41" fillId="42" borderId="41" xfId="42" applyNumberFormat="1" applyFont="1" applyFill="1" applyBorder="1" applyAlignment="1" applyProtection="1">
      <alignment horizontal="center" vertical="center"/>
      <protection locked="0"/>
    </xf>
    <xf numFmtId="1" fontId="41" fillId="41" borderId="12" xfId="0" applyNumberFormat="1" applyFont="1" applyFill="1" applyBorder="1" applyAlignment="1" applyProtection="1">
      <alignment horizontal="center" vertical="center"/>
      <protection locked="0"/>
    </xf>
    <xf numFmtId="166" fontId="41" fillId="41" borderId="12" xfId="0" applyNumberFormat="1" applyFont="1" applyFill="1" applyBorder="1" applyAlignment="1" applyProtection="1">
      <alignment horizontal="center" vertical="center"/>
      <protection locked="0"/>
    </xf>
    <xf numFmtId="0" fontId="41" fillId="33" borderId="11" xfId="0" applyFont="1" applyFill="1" applyBorder="1" applyAlignment="1" applyProtection="1">
      <alignment horizontal="center" vertical="center"/>
      <protection locked="0"/>
    </xf>
    <xf numFmtId="0" fontId="41" fillId="33" borderId="12" xfId="0" applyFont="1" applyFill="1" applyBorder="1" applyAlignment="1" applyProtection="1">
      <alignment horizontal="center" vertical="center"/>
      <protection locked="0"/>
    </xf>
    <xf numFmtId="166" fontId="41" fillId="33" borderId="12" xfId="0" applyNumberFormat="1" applyFont="1" applyFill="1" applyBorder="1" applyAlignment="1" applyProtection="1">
      <alignment horizontal="center" vertical="center"/>
      <protection locked="0"/>
    </xf>
    <xf numFmtId="166" fontId="18" fillId="33" borderId="17" xfId="0" applyNumberFormat="1" applyFont="1" applyFill="1" applyBorder="1" applyAlignment="1">
      <alignment horizontal="center" vertical="center"/>
    </xf>
    <xf numFmtId="1" fontId="18" fillId="33" borderId="13" xfId="0" applyNumberFormat="1" applyFont="1" applyFill="1" applyBorder="1" applyAlignment="1">
      <alignment horizontal="center" vertical="center"/>
    </xf>
    <xf numFmtId="1" fontId="18" fillId="52" borderId="10" xfId="0" applyNumberFormat="1" applyFont="1" applyFill="1" applyBorder="1" applyAlignment="1" applyProtection="1">
      <alignment horizontal="center" vertical="center"/>
      <protection locked="0"/>
    </xf>
    <xf numFmtId="1" fontId="0" fillId="33" borderId="13" xfId="0" applyNumberFormat="1" applyFill="1" applyBorder="1" applyAlignment="1">
      <alignment horizontal="center" vertical="center"/>
    </xf>
    <xf numFmtId="1" fontId="0" fillId="33" borderId="10" xfId="0" applyNumberFormat="1" applyFill="1" applyBorder="1" applyAlignment="1" applyProtection="1">
      <alignment horizontal="center" vertical="center"/>
      <protection locked="0"/>
    </xf>
    <xf numFmtId="166" fontId="0" fillId="33" borderId="10" xfId="0" applyNumberFormat="1" applyFill="1" applyBorder="1" applyAlignment="1">
      <alignment horizontal="center" vertical="center"/>
    </xf>
    <xf numFmtId="1" fontId="0" fillId="33" borderId="23" xfId="0" applyNumberFormat="1" applyFill="1" applyBorder="1" applyAlignment="1">
      <alignment horizontal="center" vertical="center"/>
    </xf>
    <xf numFmtId="1" fontId="0" fillId="33" borderId="24" xfId="0" applyNumberFormat="1" applyFill="1" applyBorder="1" applyAlignment="1" applyProtection="1">
      <alignment horizontal="center" vertical="center"/>
      <protection locked="0"/>
    </xf>
    <xf numFmtId="166" fontId="0" fillId="33" borderId="24" xfId="0" applyNumberFormat="1" applyFill="1" applyBorder="1" applyAlignment="1">
      <alignment horizontal="center" vertical="center"/>
    </xf>
    <xf numFmtId="1" fontId="41" fillId="33" borderId="11" xfId="0" applyNumberFormat="1" applyFont="1" applyFill="1" applyBorder="1" applyAlignment="1" applyProtection="1">
      <alignment horizontal="center" vertical="center"/>
      <protection locked="0"/>
    </xf>
    <xf numFmtId="1" fontId="41" fillId="33" borderId="12" xfId="0" applyNumberFormat="1" applyFont="1" applyFill="1" applyBorder="1" applyAlignment="1" applyProtection="1">
      <alignment horizontal="center" vertical="center"/>
      <protection locked="0"/>
    </xf>
    <xf numFmtId="1" fontId="18" fillId="41" borderId="10" xfId="0" applyNumberFormat="1" applyFont="1" applyFill="1" applyBorder="1" applyAlignment="1">
      <alignment horizontal="center" vertical="center"/>
    </xf>
    <xf numFmtId="166" fontId="18" fillId="41" borderId="10" xfId="0" applyNumberFormat="1" applyFont="1" applyFill="1" applyBorder="1" applyAlignment="1">
      <alignment horizontal="center" vertical="center"/>
    </xf>
    <xf numFmtId="1" fontId="0" fillId="41" borderId="10" xfId="0" applyNumberFormat="1" applyFill="1" applyBorder="1" applyAlignment="1">
      <alignment horizontal="center" vertical="center"/>
    </xf>
    <xf numFmtId="1" fontId="0" fillId="41" borderId="10" xfId="0" applyNumberFormat="1" applyFill="1" applyBorder="1" applyAlignment="1" applyProtection="1">
      <alignment horizontal="center" vertical="center"/>
      <protection locked="0"/>
    </xf>
    <xf numFmtId="166" fontId="0" fillId="41" borderId="10" xfId="0" applyNumberFormat="1" applyFill="1" applyBorder="1" applyAlignment="1">
      <alignment horizontal="center" vertical="center"/>
    </xf>
    <xf numFmtId="1" fontId="0" fillId="41" borderId="24" xfId="0" applyNumberFormat="1" applyFill="1" applyBorder="1" applyAlignment="1">
      <alignment horizontal="center" vertical="center"/>
    </xf>
    <xf numFmtId="1" fontId="0" fillId="41" borderId="24" xfId="0" applyNumberFormat="1" applyFill="1" applyBorder="1" applyAlignment="1" applyProtection="1">
      <alignment horizontal="center" vertical="center"/>
      <protection locked="0"/>
    </xf>
    <xf numFmtId="166" fontId="0" fillId="41" borderId="24" xfId="0" applyNumberFormat="1" applyFill="1" applyBorder="1" applyAlignment="1">
      <alignment horizontal="center" vertical="center"/>
    </xf>
    <xf numFmtId="166" fontId="18" fillId="42" borderId="31" xfId="42" applyNumberFormat="1" applyFont="1" applyFill="1" applyBorder="1" applyAlignment="1">
      <alignment horizontal="center" vertical="center" wrapText="1"/>
    </xf>
    <xf numFmtId="166" fontId="18" fillId="42" borderId="39" xfId="42" applyNumberFormat="1" applyFont="1" applyFill="1" applyBorder="1" applyAlignment="1">
      <alignment horizontal="center" vertical="center" wrapText="1"/>
    </xf>
    <xf numFmtId="1" fontId="18" fillId="41" borderId="16" xfId="42" applyNumberFormat="1" applyFont="1" applyFill="1" applyBorder="1" applyAlignment="1">
      <alignment horizontal="center" vertical="center" wrapText="1"/>
    </xf>
    <xf numFmtId="1" fontId="18" fillId="41" borderId="17" xfId="42" applyNumberFormat="1" applyFont="1" applyFill="1" applyBorder="1" applyAlignment="1">
      <alignment horizontal="center" vertical="center" wrapText="1"/>
    </xf>
    <xf numFmtId="166" fontId="18" fillId="41" borderId="18" xfId="42" applyNumberFormat="1" applyFont="1" applyFill="1" applyBorder="1" applyAlignment="1">
      <alignment horizontal="center" vertical="center" wrapText="1"/>
    </xf>
    <xf numFmtId="0" fontId="18" fillId="33" borderId="31" xfId="0" applyFont="1" applyFill="1" applyBorder="1" applyAlignment="1">
      <alignment horizontal="center" vertical="center" wrapText="1"/>
    </xf>
    <xf numFmtId="0" fontId="18" fillId="33" borderId="17" xfId="0" applyFont="1" applyFill="1" applyBorder="1" applyAlignment="1">
      <alignment horizontal="center" vertical="center" wrapText="1"/>
    </xf>
    <xf numFmtId="166" fontId="18" fillId="33" borderId="17" xfId="0" applyNumberFormat="1" applyFont="1" applyFill="1" applyBorder="1" applyAlignment="1">
      <alignment horizontal="center" vertical="center" wrapText="1"/>
    </xf>
    <xf numFmtId="166" fontId="18" fillId="33" borderId="17" xfId="42" applyNumberFormat="1" applyFont="1" applyFill="1" applyBorder="1" applyAlignment="1">
      <alignment horizontal="center" vertical="center" wrapText="1"/>
    </xf>
    <xf numFmtId="166" fontId="18" fillId="42" borderId="26" xfId="42" applyNumberFormat="1" applyFont="1" applyFill="1" applyBorder="1" applyAlignment="1">
      <alignment horizontal="center" vertical="center" wrapText="1"/>
    </xf>
    <xf numFmtId="166" fontId="18" fillId="42" borderId="57" xfId="42" applyNumberFormat="1" applyFont="1" applyFill="1" applyBorder="1" applyAlignment="1">
      <alignment horizontal="center" vertical="center" wrapText="1"/>
    </xf>
    <xf numFmtId="1" fontId="18" fillId="41" borderId="13" xfId="42" applyNumberFormat="1" applyFont="1" applyFill="1" applyBorder="1" applyAlignment="1">
      <alignment horizontal="center" vertical="center" wrapText="1"/>
    </xf>
    <xf numFmtId="1" fontId="18" fillId="41" borderId="10" xfId="42" applyNumberFormat="1" applyFont="1" applyFill="1" applyBorder="1" applyAlignment="1">
      <alignment horizontal="center" vertical="center" wrapText="1"/>
    </xf>
    <xf numFmtId="166" fontId="18" fillId="41" borderId="14" xfId="42" applyNumberFormat="1" applyFont="1" applyFill="1" applyBorder="1" applyAlignment="1">
      <alignment horizontal="center" vertical="center" wrapText="1"/>
    </xf>
    <xf numFmtId="0" fontId="18" fillId="33" borderId="26" xfId="0" applyFont="1" applyFill="1" applyBorder="1" applyAlignment="1">
      <alignment horizontal="center" vertical="center" wrapText="1"/>
    </xf>
    <xf numFmtId="0" fontId="18" fillId="33" borderId="10" xfId="0" applyFont="1" applyFill="1" applyBorder="1" applyAlignment="1">
      <alignment horizontal="center" vertical="center" wrapText="1"/>
    </xf>
    <xf numFmtId="166" fontId="18" fillId="33" borderId="10" xfId="0" applyNumberFormat="1" applyFont="1" applyFill="1" applyBorder="1" applyAlignment="1">
      <alignment horizontal="center" vertical="center" wrapText="1"/>
    </xf>
    <xf numFmtId="166" fontId="18" fillId="33" borderId="10" xfId="42" applyNumberFormat="1" applyFont="1" applyFill="1" applyBorder="1" applyAlignment="1">
      <alignment horizontal="center" vertical="center" wrapText="1"/>
    </xf>
    <xf numFmtId="166" fontId="0" fillId="42" borderId="26" xfId="42" applyNumberFormat="1" applyFont="1" applyFill="1" applyBorder="1" applyAlignment="1">
      <alignment horizontal="center" vertical="center" wrapText="1"/>
    </xf>
    <xf numFmtId="166" fontId="0" fillId="42" borderId="57" xfId="42" applyNumberFormat="1" applyFont="1" applyFill="1" applyBorder="1" applyAlignment="1">
      <alignment horizontal="center" vertical="center" wrapText="1"/>
    </xf>
    <xf numFmtId="1" fontId="0" fillId="41" borderId="13" xfId="42" applyNumberFormat="1" applyFont="1" applyFill="1" applyBorder="1" applyAlignment="1">
      <alignment horizontal="center" vertical="center" wrapText="1"/>
    </xf>
    <xf numFmtId="1" fontId="0" fillId="41" borderId="10" xfId="42" applyNumberFormat="1" applyFont="1" applyFill="1" applyBorder="1" applyAlignment="1">
      <alignment horizontal="center" vertical="center" wrapText="1"/>
    </xf>
    <xf numFmtId="166" fontId="0" fillId="41" borderId="14" xfId="42" applyNumberFormat="1" applyFont="1" applyFill="1" applyBorder="1" applyAlignment="1">
      <alignment horizontal="center" vertical="center" wrapText="1"/>
    </xf>
    <xf numFmtId="0" fontId="0" fillId="33" borderId="26" xfId="0" applyFill="1" applyBorder="1" applyAlignment="1">
      <alignment horizontal="center" vertical="center" wrapText="1"/>
    </xf>
    <xf numFmtId="0" fontId="0" fillId="33" borderId="10" xfId="0" applyFill="1" applyBorder="1" applyAlignment="1">
      <alignment horizontal="center" vertical="center" wrapText="1"/>
    </xf>
    <xf numFmtId="166" fontId="0" fillId="33" borderId="10" xfId="0" applyNumberFormat="1" applyFill="1" applyBorder="1" applyAlignment="1">
      <alignment horizontal="center" vertical="center" wrapText="1"/>
    </xf>
    <xf numFmtId="166" fontId="0" fillId="33" borderId="10" xfId="42" applyNumberFormat="1" applyFont="1" applyFill="1" applyBorder="1" applyAlignment="1">
      <alignment horizontal="center" vertical="center" wrapText="1"/>
    </xf>
    <xf numFmtId="166" fontId="0" fillId="42" borderId="27" xfId="42" applyNumberFormat="1" applyFont="1" applyFill="1" applyBorder="1" applyAlignment="1">
      <alignment horizontal="center" vertical="center" wrapText="1"/>
    </xf>
    <xf numFmtId="166" fontId="0" fillId="42" borderId="66" xfId="42" applyNumberFormat="1" applyFont="1" applyFill="1" applyBorder="1" applyAlignment="1">
      <alignment horizontal="center" vertical="center" wrapText="1"/>
    </xf>
    <xf numFmtId="1" fontId="0" fillId="41" borderId="28" xfId="42" applyNumberFormat="1" applyFont="1" applyFill="1" applyBorder="1" applyAlignment="1">
      <alignment horizontal="center" vertical="center" wrapText="1"/>
    </xf>
    <xf numFmtId="1" fontId="0" fillId="41" borderId="25" xfId="42" applyNumberFormat="1" applyFont="1" applyFill="1" applyBorder="1" applyAlignment="1">
      <alignment horizontal="center" vertical="center" wrapText="1"/>
    </xf>
    <xf numFmtId="166" fontId="0" fillId="41" borderId="35" xfId="42" applyNumberFormat="1" applyFont="1" applyFill="1" applyBorder="1" applyAlignment="1">
      <alignment horizontal="center" vertical="center" wrapText="1"/>
    </xf>
    <xf numFmtId="0" fontId="0" fillId="33" borderId="27" xfId="0" applyFill="1" applyBorder="1" applyAlignment="1">
      <alignment horizontal="center" vertical="center" wrapText="1"/>
    </xf>
    <xf numFmtId="0" fontId="0" fillId="33" borderId="25" xfId="0" applyFill="1" applyBorder="1" applyAlignment="1">
      <alignment horizontal="center" vertical="center" wrapText="1"/>
    </xf>
    <xf numFmtId="166" fontId="0" fillId="33" borderId="25" xfId="0" applyNumberFormat="1" applyFill="1" applyBorder="1" applyAlignment="1">
      <alignment horizontal="center" vertical="center" wrapText="1"/>
    </xf>
    <xf numFmtId="166" fontId="0" fillId="33" borderId="25" xfId="42" applyNumberFormat="1" applyFont="1" applyFill="1" applyBorder="1" applyAlignment="1">
      <alignment horizontal="center" vertical="center" wrapText="1"/>
    </xf>
    <xf numFmtId="0" fontId="42" fillId="35" borderId="65" xfId="0" applyFont="1" applyFill="1" applyBorder="1" applyAlignment="1">
      <alignment horizontal="center"/>
    </xf>
    <xf numFmtId="0" fontId="42" fillId="35" borderId="22" xfId="0" applyFont="1" applyFill="1" applyBorder="1" applyAlignment="1">
      <alignment horizontal="center"/>
    </xf>
    <xf numFmtId="0" fontId="42" fillId="35" borderId="21" xfId="0" applyFont="1" applyFill="1" applyBorder="1" applyAlignment="1">
      <alignment horizontal="center"/>
    </xf>
    <xf numFmtId="0" fontId="42" fillId="35" borderId="33" xfId="0" applyFont="1" applyFill="1" applyBorder="1" applyAlignment="1">
      <alignment horizontal="center"/>
    </xf>
    <xf numFmtId="0" fontId="0" fillId="52" borderId="17" xfId="0" applyFill="1" applyBorder="1" applyAlignment="1" applyProtection="1">
      <alignment horizontal="center"/>
      <protection locked="0"/>
    </xf>
    <xf numFmtId="0" fontId="0" fillId="52" borderId="10" xfId="0" applyFill="1" applyBorder="1" applyAlignment="1" applyProtection="1">
      <alignment horizontal="center"/>
      <protection locked="0"/>
    </xf>
    <xf numFmtId="0" fontId="0" fillId="52" borderId="18" xfId="0" applyFill="1" applyBorder="1" applyAlignment="1" applyProtection="1">
      <alignment horizontal="center"/>
      <protection locked="0"/>
    </xf>
    <xf numFmtId="0" fontId="0" fillId="52" borderId="14" xfId="0" applyFill="1" applyBorder="1" applyAlignment="1" applyProtection="1">
      <alignment horizontal="center"/>
      <protection locked="0"/>
    </xf>
    <xf numFmtId="0" fontId="0" fillId="53" borderId="25" xfId="0" applyFill="1" applyBorder="1" applyAlignment="1">
      <alignment vertical="center" wrapText="1"/>
    </xf>
    <xf numFmtId="0" fontId="45" fillId="43" borderId="10" xfId="0" applyFont="1" applyFill="1" applyBorder="1" applyAlignment="1">
      <alignment vertical="center" wrapText="1"/>
    </xf>
    <xf numFmtId="0" fontId="46" fillId="0" borderId="10" xfId="0" applyFont="1" applyBorder="1" applyAlignment="1">
      <alignment vertical="center" wrapText="1"/>
    </xf>
    <xf numFmtId="0" fontId="16" fillId="52" borderId="0" xfId="0" applyFont="1" applyFill="1" applyAlignment="1">
      <alignment horizontal="left" vertical="center" wrapText="1"/>
    </xf>
    <xf numFmtId="0" fontId="16" fillId="0" borderId="0" xfId="0" applyFont="1" applyAlignment="1">
      <alignment horizontal="left" vertical="center"/>
    </xf>
    <xf numFmtId="0" fontId="45" fillId="55" borderId="10" xfId="0" applyFont="1" applyFill="1" applyBorder="1" applyAlignment="1">
      <alignment vertical="center" wrapText="1"/>
    </xf>
    <xf numFmtId="0" fontId="47" fillId="55" borderId="10" xfId="0" applyFont="1" applyFill="1" applyBorder="1" applyAlignment="1">
      <alignment vertical="center"/>
    </xf>
    <xf numFmtId="0" fontId="47" fillId="43" borderId="10" xfId="0" applyFont="1" applyFill="1" applyBorder="1" applyAlignment="1">
      <alignment vertical="center"/>
    </xf>
    <xf numFmtId="0" fontId="48" fillId="55" borderId="10" xfId="0" applyFont="1" applyFill="1" applyBorder="1" applyAlignment="1">
      <alignment vertical="center"/>
    </xf>
    <xf numFmtId="0" fontId="47" fillId="56" borderId="10" xfId="0" applyFont="1" applyFill="1" applyBorder="1" applyAlignment="1">
      <alignment vertical="center"/>
    </xf>
    <xf numFmtId="0" fontId="49" fillId="0" borderId="10" xfId="0" applyFont="1" applyBorder="1" applyAlignment="1">
      <alignment vertical="center" wrapText="1"/>
    </xf>
    <xf numFmtId="0" fontId="49" fillId="0" borderId="10" xfId="0" applyFont="1" applyBorder="1" applyAlignment="1">
      <alignment vertical="center"/>
    </xf>
    <xf numFmtId="0" fontId="49" fillId="0" borderId="10" xfId="0" applyFont="1" applyBorder="1" applyAlignment="1">
      <alignment horizontal="center" vertical="center"/>
    </xf>
    <xf numFmtId="0" fontId="46" fillId="0" borderId="10" xfId="0" applyFont="1" applyBorder="1" applyAlignment="1">
      <alignment vertical="center"/>
    </xf>
    <xf numFmtId="0" fontId="16" fillId="52" borderId="0" xfId="0" applyFont="1" applyFill="1" applyAlignment="1">
      <alignment vertical="center"/>
    </xf>
    <xf numFmtId="0" fontId="48" fillId="56" borderId="10" xfId="0" applyFont="1" applyFill="1" applyBorder="1" applyAlignment="1">
      <alignment vertical="center"/>
    </xf>
    <xf numFmtId="9" fontId="49" fillId="0" borderId="10" xfId="0" applyNumberFormat="1" applyFont="1" applyBorder="1" applyAlignment="1">
      <alignment horizontal="center" vertical="center"/>
    </xf>
    <xf numFmtId="0" fontId="50" fillId="0" borderId="10" xfId="0" applyFont="1" applyBorder="1" applyAlignment="1">
      <alignment horizontal="center" vertical="center"/>
    </xf>
    <xf numFmtId="0" fontId="50" fillId="0" borderId="10" xfId="0" applyFont="1" applyBorder="1" applyAlignment="1">
      <alignment vertical="center"/>
    </xf>
    <xf numFmtId="164" fontId="16" fillId="44" borderId="10" xfId="0" applyNumberFormat="1" applyFont="1" applyFill="1" applyBorder="1" applyAlignment="1">
      <alignment horizontal="center" vertical="center"/>
    </xf>
    <xf numFmtId="0" fontId="16" fillId="44" borderId="10" xfId="0" applyFont="1" applyFill="1" applyBorder="1" applyAlignment="1">
      <alignment vertical="center"/>
    </xf>
    <xf numFmtId="164" fontId="0" fillId="0" borderId="10" xfId="0" applyNumberFormat="1" applyBorder="1" applyAlignment="1">
      <alignment horizontal="center" vertical="center"/>
    </xf>
    <xf numFmtId="0" fontId="0" fillId="0" borderId="10" xfId="0" applyBorder="1" applyAlignment="1">
      <alignment vertical="center"/>
    </xf>
    <xf numFmtId="0" fontId="32" fillId="0" borderId="27" xfId="0" applyFont="1" applyBorder="1" applyAlignment="1" applyProtection="1">
      <alignment vertical="center" wrapText="1"/>
      <protection locked="0"/>
    </xf>
    <xf numFmtId="0" fontId="0" fillId="0" borderId="43" xfId="0" applyBorder="1" applyAlignment="1" applyProtection="1">
      <alignment vertical="center" wrapText="1"/>
      <protection locked="0"/>
    </xf>
    <xf numFmtId="0" fontId="18" fillId="40" borderId="26" xfId="0" applyFont="1" applyFill="1" applyBorder="1" applyAlignment="1" applyProtection="1">
      <alignment vertical="center"/>
      <protection locked="0"/>
    </xf>
    <xf numFmtId="167" fontId="0" fillId="52" borderId="16" xfId="0" applyNumberFormat="1" applyFill="1" applyBorder="1" applyProtection="1">
      <protection locked="0"/>
    </xf>
    <xf numFmtId="167" fontId="0" fillId="52" borderId="13" xfId="0" applyNumberFormat="1" applyFill="1" applyBorder="1" applyProtection="1">
      <protection locked="0"/>
    </xf>
    <xf numFmtId="0" fontId="19" fillId="43" borderId="0" xfId="0" applyFont="1" applyFill="1" applyAlignment="1">
      <alignment horizontal="left" vertical="center"/>
    </xf>
    <xf numFmtId="0" fontId="0" fillId="52" borderId="13" xfId="0" applyFill="1" applyBorder="1" applyAlignment="1" applyProtection="1">
      <alignment horizontal="center"/>
      <protection locked="0"/>
    </xf>
    <xf numFmtId="43" fontId="18" fillId="52" borderId="14" xfId="44" applyFont="1" applyFill="1" applyBorder="1" applyAlignment="1" applyProtection="1">
      <alignment horizontal="center" vertical="center"/>
      <protection locked="0"/>
    </xf>
    <xf numFmtId="0" fontId="19" fillId="43" borderId="0" xfId="0" applyFont="1" applyFill="1" applyAlignment="1">
      <alignment vertical="center"/>
    </xf>
    <xf numFmtId="0" fontId="0" fillId="52" borderId="14" xfId="0" applyFill="1" applyBorder="1" applyProtection="1">
      <protection locked="0"/>
    </xf>
    <xf numFmtId="0" fontId="0" fillId="0" borderId="14" xfId="0" applyBorder="1" applyProtection="1">
      <protection locked="0"/>
    </xf>
    <xf numFmtId="167" fontId="0" fillId="52" borderId="13" xfId="0" applyNumberFormat="1" applyFill="1" applyBorder="1" applyAlignment="1" applyProtection="1">
      <alignment vertical="center"/>
      <protection locked="0"/>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0" fontId="51" fillId="0" borderId="10" xfId="0" applyFont="1" applyBorder="1" applyAlignment="1">
      <alignment horizontal="center" vertical="top"/>
    </xf>
    <xf numFmtId="167" fontId="51" fillId="0" borderId="10" xfId="0" applyNumberFormat="1" applyFont="1" applyBorder="1" applyAlignment="1">
      <alignment horizontal="center" vertical="top"/>
    </xf>
    <xf numFmtId="167" fontId="0" fillId="0" borderId="0" xfId="0" applyNumberFormat="1"/>
    <xf numFmtId="167" fontId="0" fillId="40" borderId="13" xfId="0" applyNumberFormat="1" applyFill="1" applyBorder="1" applyAlignment="1" applyProtection="1">
      <alignment vertical="center" wrapText="1"/>
      <protection locked="0"/>
    </xf>
    <xf numFmtId="167" fontId="0" fillId="40" borderId="23" xfId="0" applyNumberFormat="1" applyFill="1" applyBorder="1" applyAlignment="1" applyProtection="1">
      <alignment vertical="center" wrapText="1"/>
      <protection locked="0"/>
    </xf>
    <xf numFmtId="167" fontId="39" fillId="51" borderId="63" xfId="0" applyNumberFormat="1" applyFont="1" applyFill="1" applyBorder="1" applyAlignment="1" applyProtection="1">
      <alignment horizontal="center" vertical="center" wrapText="1"/>
      <protection locked="0"/>
    </xf>
    <xf numFmtId="167" fontId="39" fillId="51" borderId="55" xfId="0" applyNumberFormat="1" applyFont="1" applyFill="1" applyBorder="1" applyAlignment="1" applyProtection="1">
      <alignment horizontal="center" vertical="center" wrapText="1"/>
      <protection locked="0"/>
    </xf>
    <xf numFmtId="167" fontId="0" fillId="0" borderId="0" xfId="0" applyNumberFormat="1" applyAlignment="1" applyProtection="1">
      <alignment vertical="center" wrapText="1"/>
      <protection locked="0"/>
    </xf>
    <xf numFmtId="0" fontId="14" fillId="41" borderId="35" xfId="0" applyFont="1" applyFill="1" applyBorder="1" applyAlignment="1">
      <alignment horizontal="left" vertical="center" wrapText="1"/>
    </xf>
    <xf numFmtId="0" fontId="14" fillId="41" borderId="82" xfId="0" applyFont="1" applyFill="1" applyBorder="1" applyAlignment="1">
      <alignment horizontal="left" vertical="center" wrapText="1"/>
    </xf>
    <xf numFmtId="0" fontId="14" fillId="41" borderId="59" xfId="0" applyFont="1" applyFill="1" applyBorder="1" applyAlignment="1">
      <alignment horizontal="left" vertical="center" wrapText="1"/>
    </xf>
    <xf numFmtId="0" fontId="0" fillId="49" borderId="71" xfId="0" applyFill="1" applyBorder="1" applyAlignment="1">
      <alignment horizontal="left" vertical="center" wrapText="1"/>
    </xf>
    <xf numFmtId="0" fontId="0" fillId="49" borderId="82" xfId="0" applyFill="1" applyBorder="1" applyAlignment="1">
      <alignment horizontal="left" vertical="center" wrapText="1"/>
    </xf>
    <xf numFmtId="0" fontId="0" fillId="49" borderId="59" xfId="0" applyFill="1" applyBorder="1" applyAlignment="1">
      <alignment horizontal="left" vertical="center" wrapText="1"/>
    </xf>
    <xf numFmtId="0" fontId="16" fillId="43" borderId="51" xfId="0" applyFont="1" applyFill="1" applyBorder="1" applyAlignment="1">
      <alignment horizontal="center" vertical="center" wrapText="1"/>
    </xf>
    <xf numFmtId="0" fontId="16" fillId="43" borderId="52" xfId="0" applyFont="1" applyFill="1" applyBorder="1" applyAlignment="1">
      <alignment horizontal="center" vertical="center" wrapText="1"/>
    </xf>
    <xf numFmtId="0" fontId="16" fillId="43" borderId="53" xfId="0" applyFont="1" applyFill="1" applyBorder="1" applyAlignment="1">
      <alignment horizontal="center" vertical="center" wrapText="1"/>
    </xf>
    <xf numFmtId="0" fontId="16" fillId="40" borderId="51" xfId="0" applyFont="1" applyFill="1" applyBorder="1" applyAlignment="1">
      <alignment horizontal="center" vertical="center" wrapText="1"/>
    </xf>
    <xf numFmtId="0" fontId="16" fillId="40" borderId="52" xfId="0" applyFont="1" applyFill="1" applyBorder="1" applyAlignment="1">
      <alignment horizontal="center" vertical="center" wrapText="1"/>
    </xf>
    <xf numFmtId="0" fontId="16" fillId="40" borderId="53" xfId="0" applyFont="1" applyFill="1" applyBorder="1" applyAlignment="1">
      <alignment horizontal="center" vertical="center" wrapText="1"/>
    </xf>
    <xf numFmtId="0" fontId="16" fillId="42" borderId="51" xfId="0" applyFont="1" applyFill="1" applyBorder="1" applyAlignment="1">
      <alignment horizontal="center" vertical="center" wrapText="1"/>
    </xf>
    <xf numFmtId="0" fontId="16" fillId="42" borderId="53" xfId="0" applyFont="1" applyFill="1" applyBorder="1" applyAlignment="1">
      <alignment horizontal="center" vertical="center" wrapText="1"/>
    </xf>
    <xf numFmtId="0" fontId="16" fillId="41" borderId="51" xfId="0" applyFont="1" applyFill="1" applyBorder="1" applyAlignment="1">
      <alignment horizontal="center" vertical="center" wrapText="1"/>
    </xf>
    <xf numFmtId="0" fontId="16" fillId="41" borderId="52" xfId="0" applyFont="1" applyFill="1" applyBorder="1" applyAlignment="1">
      <alignment horizontal="center" vertical="center" wrapText="1"/>
    </xf>
    <xf numFmtId="0" fontId="16" fillId="41" borderId="53" xfId="0" applyFont="1" applyFill="1" applyBorder="1" applyAlignment="1">
      <alignment horizontal="center" vertical="center" wrapText="1"/>
    </xf>
    <xf numFmtId="0" fontId="16" fillId="33" borderId="56" xfId="0" applyFont="1" applyFill="1" applyBorder="1" applyAlignment="1">
      <alignment horizontal="center" vertical="center" wrapText="1"/>
    </xf>
    <xf numFmtId="0" fontId="16" fillId="33" borderId="49" xfId="0" applyFont="1" applyFill="1" applyBorder="1" applyAlignment="1">
      <alignment horizontal="center" vertical="center" wrapText="1"/>
    </xf>
    <xf numFmtId="0" fontId="16" fillId="33" borderId="50" xfId="0" applyFont="1" applyFill="1" applyBorder="1" applyAlignment="1">
      <alignment horizontal="center" vertical="center" wrapText="1"/>
    </xf>
    <xf numFmtId="0" fontId="16" fillId="43" borderId="42" xfId="0" applyFont="1" applyFill="1" applyBorder="1" applyAlignment="1">
      <alignment vertical="center" wrapText="1"/>
    </xf>
    <xf numFmtId="0" fontId="16" fillId="43" borderId="12" xfId="0" applyFont="1" applyFill="1" applyBorder="1" applyAlignment="1">
      <alignment vertical="center" wrapText="1"/>
    </xf>
    <xf numFmtId="0" fontId="0" fillId="0" borderId="16" xfId="0" applyBorder="1" applyAlignment="1">
      <alignment vertical="center" wrapText="1"/>
    </xf>
    <xf numFmtId="0" fontId="0" fillId="0" borderId="17" xfId="0" applyBorder="1" applyAlignment="1">
      <alignment vertical="center" wrapText="1"/>
    </xf>
    <xf numFmtId="0" fontId="0" fillId="0" borderId="23" xfId="0" applyBorder="1" applyAlignment="1">
      <alignment horizontal="left" vertical="center" wrapText="1"/>
    </xf>
    <xf numFmtId="0" fontId="0" fillId="0" borderId="24" xfId="0" applyBorder="1" applyAlignment="1">
      <alignment horizontal="left" vertical="center" wrapText="1"/>
    </xf>
    <xf numFmtId="0" fontId="0" fillId="0" borderId="79" xfId="0" applyBorder="1" applyAlignment="1">
      <alignment horizontal="left" vertical="center" wrapText="1"/>
    </xf>
    <xf numFmtId="0" fontId="0" fillId="0" borderId="38" xfId="0" applyBorder="1" applyAlignment="1">
      <alignment horizontal="left" vertical="center" wrapText="1"/>
    </xf>
    <xf numFmtId="0" fontId="0" fillId="0" borderId="26" xfId="0" applyBorder="1" applyAlignment="1">
      <alignment horizontal="left" vertical="center" wrapText="1"/>
    </xf>
    <xf numFmtId="0" fontId="0" fillId="0" borderId="79" xfId="0" applyBorder="1" applyAlignment="1">
      <alignment horizontal="left" vertical="center"/>
    </xf>
    <xf numFmtId="0" fontId="0" fillId="0" borderId="38" xfId="0" applyBorder="1" applyAlignment="1">
      <alignment horizontal="left" vertical="center"/>
    </xf>
    <xf numFmtId="0" fontId="0" fillId="0" borderId="26" xfId="0" applyBorder="1" applyAlignment="1">
      <alignment horizontal="left" vertical="center"/>
    </xf>
    <xf numFmtId="0" fontId="16" fillId="35" borderId="63" xfId="0" applyFont="1" applyFill="1" applyBorder="1" applyAlignment="1">
      <alignment horizontal="center" vertical="center" wrapText="1"/>
    </xf>
    <xf numFmtId="0" fontId="16" fillId="35" borderId="54" xfId="0" applyFont="1" applyFill="1" applyBorder="1" applyAlignment="1">
      <alignment horizontal="center" vertical="center" wrapText="1"/>
    </xf>
    <xf numFmtId="0" fontId="16" fillId="35" borderId="55" xfId="0" applyFont="1" applyFill="1" applyBorder="1" applyAlignment="1">
      <alignment horizontal="center" vertical="center" wrapText="1"/>
    </xf>
    <xf numFmtId="0" fontId="16" fillId="44" borderId="51" xfId="0" applyFont="1" applyFill="1" applyBorder="1" applyAlignment="1">
      <alignment horizontal="center" vertical="center" wrapText="1"/>
    </xf>
    <xf numFmtId="0" fontId="16" fillId="44" borderId="52" xfId="0" applyFont="1" applyFill="1" applyBorder="1" applyAlignment="1">
      <alignment horizontal="center" vertical="center" wrapText="1"/>
    </xf>
    <xf numFmtId="0" fontId="16" fillId="44" borderId="53" xfId="0" applyFont="1" applyFill="1" applyBorder="1" applyAlignment="1">
      <alignment horizontal="center" vertical="center" wrapText="1"/>
    </xf>
    <xf numFmtId="0" fontId="16" fillId="49" borderId="54" xfId="0" applyFont="1" applyFill="1" applyBorder="1" applyAlignment="1">
      <alignment horizontal="center" vertical="center" wrapText="1"/>
    </xf>
    <xf numFmtId="0" fontId="16" fillId="49" borderId="55" xfId="0" applyFont="1" applyFill="1" applyBorder="1" applyAlignment="1">
      <alignment horizontal="center" vertical="center" wrapText="1"/>
    </xf>
    <xf numFmtId="0" fontId="16" fillId="45" borderId="51" xfId="0" applyFont="1" applyFill="1" applyBorder="1" applyAlignment="1">
      <alignment horizontal="center" vertical="center" wrapText="1"/>
    </xf>
    <xf numFmtId="0" fontId="16" fillId="45" borderId="52" xfId="0" applyFont="1" applyFill="1" applyBorder="1" applyAlignment="1">
      <alignment horizontal="center" vertical="center" wrapText="1"/>
    </xf>
    <xf numFmtId="0" fontId="16" fillId="45" borderId="53" xfId="0" applyFont="1" applyFill="1" applyBorder="1" applyAlignment="1">
      <alignment horizontal="center" vertical="center" wrapText="1"/>
    </xf>
    <xf numFmtId="0" fontId="16" fillId="42" borderId="63" xfId="0" applyFont="1" applyFill="1" applyBorder="1" applyAlignment="1">
      <alignment horizontal="center" vertical="center" wrapText="1"/>
    </xf>
    <xf numFmtId="0" fontId="16" fillId="42" borderId="54" xfId="0" applyFont="1" applyFill="1" applyBorder="1" applyAlignment="1">
      <alignment horizontal="center" vertical="center" wrapText="1"/>
    </xf>
    <xf numFmtId="0" fontId="16" fillId="42" borderId="55" xfId="0" applyFont="1" applyFill="1" applyBorder="1" applyAlignment="1">
      <alignment horizontal="center" vertical="center" wrapText="1"/>
    </xf>
    <xf numFmtId="0" fontId="16" fillId="41" borderId="63" xfId="0" applyFont="1" applyFill="1" applyBorder="1" applyAlignment="1">
      <alignment horizontal="center" vertical="center" wrapText="1"/>
    </xf>
    <xf numFmtId="0" fontId="16" fillId="41" borderId="54" xfId="0" applyFont="1" applyFill="1" applyBorder="1" applyAlignment="1">
      <alignment horizontal="center" vertical="center" wrapText="1"/>
    </xf>
    <xf numFmtId="0" fontId="16" fillId="41" borderId="55" xfId="0" applyFont="1" applyFill="1" applyBorder="1" applyAlignment="1">
      <alignment horizontal="center" vertical="center" wrapText="1"/>
    </xf>
    <xf numFmtId="0" fontId="16" fillId="33" borderId="51" xfId="0" applyFont="1" applyFill="1" applyBorder="1" applyAlignment="1">
      <alignment horizontal="center" vertical="center" wrapText="1"/>
    </xf>
    <xf numFmtId="0" fontId="16" fillId="33" borderId="52" xfId="0" applyFont="1" applyFill="1" applyBorder="1" applyAlignment="1">
      <alignment horizontal="center" vertical="center" wrapText="1"/>
    </xf>
    <xf numFmtId="0" fontId="16" fillId="33" borderId="53" xfId="0" applyFont="1" applyFill="1" applyBorder="1" applyAlignment="1">
      <alignment horizontal="center" vertical="center" wrapText="1"/>
    </xf>
    <xf numFmtId="0" fontId="16" fillId="54" borderId="0" xfId="0" applyFont="1" applyFill="1" applyAlignment="1">
      <alignment horizontal="left" vertical="center" wrapText="1"/>
    </xf>
    <xf numFmtId="0" fontId="16" fillId="54" borderId="0" xfId="0" applyFont="1" applyFill="1" applyAlignment="1">
      <alignment horizontal="left" vertical="center"/>
    </xf>
    <xf numFmtId="167" fontId="39" fillId="51" borderId="67" xfId="0" applyNumberFormat="1"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wrapText="1"/>
      <protection locked="0"/>
    </xf>
    <xf numFmtId="0" fontId="39" fillId="51" borderId="62" xfId="0" applyFont="1" applyFill="1" applyBorder="1" applyAlignment="1" applyProtection="1">
      <alignment horizontal="center" vertical="center"/>
      <protection locked="0"/>
    </xf>
    <xf numFmtId="0" fontId="39" fillId="51" borderId="68" xfId="0" applyFont="1" applyFill="1" applyBorder="1" applyAlignment="1" applyProtection="1">
      <alignment horizontal="center" vertical="center" wrapText="1"/>
      <protection locked="0"/>
    </xf>
    <xf numFmtId="167" fontId="41" fillId="40" borderId="67" xfId="0" applyNumberFormat="1" applyFont="1" applyFill="1" applyBorder="1" applyAlignment="1" applyProtection="1">
      <alignment horizontal="center" vertical="center" wrapText="1"/>
      <protection locked="0"/>
    </xf>
    <xf numFmtId="0" fontId="41" fillId="40" borderId="62" xfId="0" applyFont="1" applyFill="1" applyBorder="1" applyAlignment="1" applyProtection="1">
      <alignment horizontal="center" vertical="center" wrapText="1"/>
      <protection locked="0"/>
    </xf>
    <xf numFmtId="0" fontId="41" fillId="40" borderId="42" xfId="0" applyFont="1" applyFill="1" applyBorder="1" applyAlignment="1" applyProtection="1">
      <alignment horizontal="center" vertical="center" wrapText="1"/>
      <protection locked="0"/>
    </xf>
    <xf numFmtId="167" fontId="37" fillId="40" borderId="76" xfId="11" applyNumberFormat="1" applyFont="1" applyFill="1" applyBorder="1" applyAlignment="1" applyProtection="1">
      <alignment horizontal="center" vertical="center"/>
      <protection locked="0"/>
    </xf>
    <xf numFmtId="0" fontId="37" fillId="40" borderId="77" xfId="11" applyFont="1" applyFill="1" applyBorder="1" applyAlignment="1" applyProtection="1">
      <alignment horizontal="center" vertical="center"/>
      <protection locked="0"/>
    </xf>
    <xf numFmtId="0" fontId="37" fillId="40" borderId="78" xfId="11" applyFont="1" applyFill="1" applyBorder="1" applyAlignment="1" applyProtection="1">
      <alignment horizontal="center" vertical="center"/>
      <protection locked="0"/>
    </xf>
    <xf numFmtId="9" fontId="37" fillId="42" borderId="31" xfId="0" applyNumberFormat="1" applyFont="1" applyFill="1" applyBorder="1" applyAlignment="1" applyProtection="1">
      <alignment horizontal="center" vertical="center"/>
      <protection locked="0"/>
    </xf>
    <xf numFmtId="9" fontId="37" fillId="42" borderId="46" xfId="0" applyNumberFormat="1" applyFont="1" applyFill="1" applyBorder="1" applyAlignment="1" applyProtection="1">
      <alignment horizontal="center" vertical="center"/>
      <protection locked="0"/>
    </xf>
    <xf numFmtId="9" fontId="37" fillId="42" borderId="39" xfId="0" applyNumberFormat="1" applyFont="1" applyFill="1" applyBorder="1" applyAlignment="1" applyProtection="1">
      <alignment horizontal="center" vertical="center"/>
      <protection locked="0"/>
    </xf>
    <xf numFmtId="0" fontId="37" fillId="33" borderId="16" xfId="0" applyFont="1" applyFill="1" applyBorder="1" applyAlignment="1" applyProtection="1">
      <alignment horizontal="center" vertical="center"/>
      <protection locked="0"/>
    </xf>
    <xf numFmtId="0" fontId="37" fillId="33" borderId="17" xfId="0" applyFont="1" applyFill="1" applyBorder="1" applyAlignment="1" applyProtection="1">
      <alignment horizontal="center" vertical="center"/>
      <protection locked="0"/>
    </xf>
    <xf numFmtId="0" fontId="37" fillId="33" borderId="39" xfId="0" applyFont="1" applyFill="1" applyBorder="1" applyAlignment="1" applyProtection="1">
      <alignment horizontal="center" vertical="center"/>
      <protection locked="0"/>
    </xf>
    <xf numFmtId="0" fontId="37" fillId="33" borderId="18" xfId="0" applyFont="1" applyFill="1" applyBorder="1" applyAlignment="1" applyProtection="1">
      <alignment horizontal="center" vertical="center"/>
      <protection locked="0"/>
    </xf>
    <xf numFmtId="0" fontId="37" fillId="41" borderId="63" xfId="0" applyFont="1" applyFill="1" applyBorder="1" applyAlignment="1" applyProtection="1">
      <alignment horizontal="center" vertical="center"/>
      <protection locked="0"/>
    </xf>
    <xf numFmtId="0" fontId="37" fillId="41" borderId="64" xfId="0" applyFont="1" applyFill="1" applyBorder="1" applyAlignment="1" applyProtection="1">
      <alignment horizontal="center" vertical="center"/>
      <protection locked="0"/>
    </xf>
    <xf numFmtId="0" fontId="37" fillId="41" borderId="65" xfId="0" applyFont="1" applyFill="1" applyBorder="1" applyAlignment="1" applyProtection="1">
      <alignment horizontal="center" vertical="center"/>
      <protection locked="0"/>
    </xf>
    <xf numFmtId="0" fontId="37" fillId="51" borderId="67" xfId="0" applyFont="1" applyFill="1" applyBorder="1" applyAlignment="1">
      <alignment horizontal="center" vertical="center" wrapText="1"/>
    </xf>
    <xf numFmtId="0" fontId="37" fillId="51" borderId="62" xfId="0" applyFont="1" applyFill="1" applyBorder="1" applyAlignment="1">
      <alignment horizontal="center" vertical="center"/>
    </xf>
    <xf numFmtId="0" fontId="37" fillId="51" borderId="68" xfId="0" applyFont="1" applyFill="1" applyBorder="1" applyAlignment="1">
      <alignment horizontal="center" vertical="center"/>
    </xf>
    <xf numFmtId="0" fontId="19" fillId="44" borderId="64" xfId="0" applyFont="1" applyFill="1" applyBorder="1" applyAlignment="1">
      <alignment horizontal="center" vertical="center"/>
    </xf>
    <xf numFmtId="1" fontId="19" fillId="49" borderId="69" xfId="0" applyNumberFormat="1" applyFont="1" applyFill="1" applyBorder="1" applyAlignment="1">
      <alignment horizontal="center" vertical="center"/>
    </xf>
    <xf numFmtId="1" fontId="19" fillId="49" borderId="70" xfId="0" applyNumberFormat="1" applyFont="1" applyFill="1" applyBorder="1" applyAlignment="1">
      <alignment horizontal="center" vertical="center"/>
    </xf>
    <xf numFmtId="1" fontId="19" fillId="49" borderId="71" xfId="0" applyNumberFormat="1" applyFont="1" applyFill="1" applyBorder="1" applyAlignment="1">
      <alignment horizontal="center" vertical="center"/>
    </xf>
    <xf numFmtId="0" fontId="19" fillId="45" borderId="74" xfId="0" applyFont="1" applyFill="1" applyBorder="1" applyAlignment="1">
      <alignment horizontal="center" vertical="center"/>
    </xf>
    <xf numFmtId="0" fontId="19" fillId="45" borderId="70" xfId="0" applyFont="1" applyFill="1" applyBorder="1" applyAlignment="1">
      <alignment horizontal="center" vertical="center"/>
    </xf>
    <xf numFmtId="0" fontId="19" fillId="45" borderId="71" xfId="0" applyFont="1" applyFill="1" applyBorder="1" applyAlignment="1">
      <alignment horizontal="center" vertical="center"/>
    </xf>
    <xf numFmtId="0" fontId="16" fillId="43" borderId="45" xfId="0" applyFont="1" applyFill="1" applyBorder="1" applyAlignment="1">
      <alignment horizontal="center" vertical="center" wrapText="1"/>
    </xf>
    <xf numFmtId="0" fontId="16" fillId="43" borderId="79" xfId="0" applyFont="1" applyFill="1" applyBorder="1" applyAlignment="1">
      <alignment horizontal="center" vertical="center" wrapText="1"/>
    </xf>
    <xf numFmtId="0" fontId="16" fillId="43" borderId="80" xfId="0" applyFont="1" applyFill="1" applyBorder="1" applyAlignment="1">
      <alignment horizontal="center" vertical="center" wrapText="1"/>
    </xf>
    <xf numFmtId="0" fontId="16" fillId="43" borderId="45" xfId="0" applyFont="1" applyFill="1" applyBorder="1" applyAlignment="1">
      <alignment horizontal="center" vertical="center"/>
    </xf>
    <xf numFmtId="0" fontId="16" fillId="43" borderId="79" xfId="0" applyFont="1" applyFill="1" applyBorder="1" applyAlignment="1">
      <alignment horizontal="center" vertical="center"/>
    </xf>
    <xf numFmtId="0" fontId="16" fillId="43" borderId="80" xfId="0" applyFont="1" applyFill="1" applyBorder="1" applyAlignment="1">
      <alignment horizontal="center" vertical="center"/>
    </xf>
    <xf numFmtId="0" fontId="0" fillId="52" borderId="67" xfId="0" applyFill="1" applyBorder="1" applyAlignment="1" applyProtection="1">
      <alignment horizontal="center" vertical="center"/>
      <protection locked="0"/>
    </xf>
    <xf numFmtId="0" fontId="0" fillId="52" borderId="68" xfId="0" applyFill="1" applyBorder="1" applyAlignment="1" applyProtection="1">
      <alignment horizontal="center" vertical="center"/>
      <protection locked="0"/>
    </xf>
    <xf numFmtId="0" fontId="39" fillId="51" borderId="67" xfId="0" applyFont="1" applyFill="1" applyBorder="1" applyAlignment="1">
      <alignment horizontal="center" wrapText="1"/>
    </xf>
    <xf numFmtId="0" fontId="40" fillId="51" borderId="62" xfId="0" applyFont="1" applyFill="1" applyBorder="1" applyAlignment="1">
      <alignment horizontal="center" wrapText="1"/>
    </xf>
    <xf numFmtId="0" fontId="40" fillId="51" borderId="68" xfId="0" applyFont="1" applyFill="1" applyBorder="1" applyAlignment="1">
      <alignment horizontal="center" wrapText="1"/>
    </xf>
    <xf numFmtId="0" fontId="39" fillId="42" borderId="69" xfId="0" applyFont="1" applyFill="1" applyBorder="1" applyAlignment="1" applyProtection="1">
      <alignment horizontal="center" vertical="center" wrapText="1"/>
      <protection locked="0"/>
    </xf>
    <xf numFmtId="0" fontId="39" fillId="42" borderId="71" xfId="0" applyFont="1" applyFill="1" applyBorder="1" applyAlignment="1" applyProtection="1">
      <alignment horizontal="center" vertical="center" wrapText="1"/>
      <protection locked="0"/>
    </xf>
    <xf numFmtId="0" fontId="39" fillId="40" borderId="63" xfId="0" applyFont="1" applyFill="1" applyBorder="1" applyAlignment="1" applyProtection="1">
      <alignment horizontal="center" vertical="center" wrapText="1"/>
      <protection locked="0"/>
    </xf>
    <xf numFmtId="0" fontId="39" fillId="40" borderId="64" xfId="0" applyFont="1" applyFill="1" applyBorder="1" applyAlignment="1" applyProtection="1">
      <alignment horizontal="center" vertical="center" wrapText="1"/>
      <protection locked="0"/>
    </xf>
    <xf numFmtId="0" fontId="39" fillId="40" borderId="65" xfId="0" applyFont="1" applyFill="1" applyBorder="1" applyAlignment="1" applyProtection="1">
      <alignment horizontal="center" vertical="center" wrapText="1"/>
      <protection locked="0"/>
    </xf>
    <xf numFmtId="0" fontId="39" fillId="41" borderId="63" xfId="0" applyFont="1" applyFill="1" applyBorder="1" applyAlignment="1" applyProtection="1">
      <alignment horizontal="center" vertical="center" wrapText="1"/>
      <protection locked="0"/>
    </xf>
    <xf numFmtId="0" fontId="39" fillId="41" borderId="64" xfId="0" applyFont="1" applyFill="1" applyBorder="1" applyAlignment="1" applyProtection="1">
      <alignment horizontal="center" vertical="center" wrapText="1"/>
      <protection locked="0"/>
    </xf>
    <xf numFmtId="0" fontId="39" fillId="41" borderId="65" xfId="0" applyFont="1" applyFill="1" applyBorder="1" applyAlignment="1" applyProtection="1">
      <alignment horizontal="center" vertical="center" wrapText="1"/>
      <protection locked="0"/>
    </xf>
    <xf numFmtId="0" fontId="39" fillId="33" borderId="63" xfId="0" applyFont="1" applyFill="1" applyBorder="1" applyAlignment="1" applyProtection="1">
      <alignment horizontal="center" vertical="center" wrapText="1"/>
      <protection locked="0"/>
    </xf>
    <xf numFmtId="0" fontId="39" fillId="33" borderId="64" xfId="0" applyFont="1" applyFill="1" applyBorder="1" applyAlignment="1" applyProtection="1">
      <alignment horizontal="center" vertical="center" wrapText="1"/>
      <protection locked="0"/>
    </xf>
    <xf numFmtId="0" fontId="39" fillId="33" borderId="65" xfId="0" applyFont="1" applyFill="1" applyBorder="1" applyAlignment="1" applyProtection="1">
      <alignment horizontal="center" vertical="center" wrapText="1"/>
      <protection locked="0"/>
    </xf>
    <xf numFmtId="0" fontId="41" fillId="40" borderId="63" xfId="0" applyFont="1" applyFill="1" applyBorder="1" applyAlignment="1">
      <alignment horizontal="center" vertical="center" wrapText="1"/>
    </xf>
    <xf numFmtId="0" fontId="41" fillId="40" borderId="64" xfId="0" applyFont="1" applyFill="1" applyBorder="1" applyAlignment="1">
      <alignment horizontal="center" vertical="center" wrapText="1"/>
    </xf>
    <xf numFmtId="0" fontId="41" fillId="40" borderId="74" xfId="0" applyFont="1" applyFill="1" applyBorder="1" applyAlignment="1">
      <alignment horizontal="center" vertical="center" wrapText="1"/>
    </xf>
    <xf numFmtId="0" fontId="41" fillId="40" borderId="55" xfId="0" applyFont="1" applyFill="1" applyBorder="1" applyAlignment="1">
      <alignment horizontal="center" vertical="center" wrapText="1"/>
    </xf>
    <xf numFmtId="0" fontId="41" fillId="40" borderId="75" xfId="0" applyFont="1" applyFill="1" applyBorder="1" applyAlignment="1">
      <alignment horizontal="center" vertical="center" wrapText="1"/>
    </xf>
    <xf numFmtId="0" fontId="41" fillId="40" borderId="72" xfId="0" applyFont="1" applyFill="1" applyBorder="1" applyAlignment="1">
      <alignment horizontal="center" vertical="center" wrapText="1"/>
    </xf>
    <xf numFmtId="0" fontId="39" fillId="51" borderId="63" xfId="0" applyFont="1" applyFill="1" applyBorder="1" applyAlignment="1" applyProtection="1">
      <alignment horizontal="center" vertical="center" wrapText="1"/>
      <protection locked="0"/>
    </xf>
    <xf numFmtId="0" fontId="0" fillId="51" borderId="64" xfId="0" applyFill="1" applyBorder="1" applyAlignment="1" applyProtection="1">
      <alignment horizontal="center" vertical="center" wrapText="1"/>
      <protection locked="0"/>
    </xf>
    <xf numFmtId="0" fontId="0" fillId="51" borderId="65" xfId="0" applyFill="1" applyBorder="1" applyAlignment="1" applyProtection="1">
      <alignment horizontal="center" vertical="center" wrapText="1"/>
      <protection locked="0"/>
    </xf>
    <xf numFmtId="0" fontId="0" fillId="51" borderId="54" xfId="0" applyFill="1" applyBorder="1" applyAlignment="1" applyProtection="1">
      <alignment horizontal="center" vertical="center" wrapText="1"/>
      <protection locked="0"/>
    </xf>
    <xf numFmtId="0" fontId="0" fillId="51" borderId="0" xfId="0" applyFill="1" applyAlignment="1" applyProtection="1">
      <alignment horizontal="center" vertical="center" wrapText="1"/>
      <protection locked="0"/>
    </xf>
    <xf numFmtId="0" fontId="0" fillId="51" borderId="47" xfId="0" applyFill="1" applyBorder="1" applyAlignment="1" applyProtection="1">
      <alignment horizontal="center" vertical="center" wrapText="1"/>
      <protection locked="0"/>
    </xf>
    <xf numFmtId="166" fontId="41" fillId="41" borderId="18" xfId="42" applyNumberFormat="1" applyFont="1" applyFill="1" applyBorder="1" applyAlignment="1">
      <alignment horizontal="center" vertical="center" wrapText="1"/>
    </xf>
    <xf numFmtId="166" fontId="41" fillId="41" borderId="36" xfId="42" applyNumberFormat="1" applyFont="1" applyFill="1" applyBorder="1" applyAlignment="1">
      <alignment horizontal="center" vertical="center" wrapText="1"/>
    </xf>
    <xf numFmtId="1" fontId="41" fillId="33" borderId="31" xfId="0" applyNumberFormat="1" applyFont="1" applyFill="1" applyBorder="1" applyAlignment="1">
      <alignment horizontal="center" vertical="center" wrapText="1"/>
    </xf>
    <xf numFmtId="1" fontId="41" fillId="33" borderId="30" xfId="0" applyNumberFormat="1" applyFont="1" applyFill="1" applyBorder="1" applyAlignment="1">
      <alignment horizontal="center" vertical="center" wrapText="1"/>
    </xf>
    <xf numFmtId="1" fontId="41" fillId="41" borderId="17" xfId="0" applyNumberFormat="1" applyFont="1" applyFill="1" applyBorder="1" applyAlignment="1">
      <alignment horizontal="center" vertical="center" wrapText="1"/>
    </xf>
    <xf numFmtId="1" fontId="41" fillId="41" borderId="24" xfId="0" applyNumberFormat="1" applyFont="1" applyFill="1" applyBorder="1" applyAlignment="1">
      <alignment horizontal="center" vertical="center" wrapText="1"/>
    </xf>
    <xf numFmtId="0" fontId="41" fillId="0" borderId="51" xfId="0" applyFont="1" applyBorder="1" applyAlignment="1" applyProtection="1">
      <alignment horizontal="center" vertical="center" wrapText="1"/>
      <protection locked="0"/>
    </xf>
    <xf numFmtId="0" fontId="41" fillId="0" borderId="53" xfId="0" applyFont="1" applyBorder="1" applyAlignment="1" applyProtection="1">
      <alignment horizontal="center" vertical="center" wrapText="1"/>
      <protection locked="0"/>
    </xf>
    <xf numFmtId="0" fontId="39" fillId="51" borderId="55" xfId="0" applyFont="1" applyFill="1" applyBorder="1" applyAlignment="1" applyProtection="1">
      <alignment horizontal="center" vertical="center" wrapText="1"/>
      <protection locked="0"/>
    </xf>
    <xf numFmtId="0" fontId="39" fillId="51" borderId="75" xfId="0" applyFont="1" applyFill="1" applyBorder="1" applyAlignment="1" applyProtection="1">
      <alignment horizontal="center" vertical="center" wrapText="1"/>
      <protection locked="0"/>
    </xf>
    <xf numFmtId="0" fontId="39" fillId="51" borderId="81" xfId="0" applyFont="1" applyFill="1" applyBorder="1" applyAlignment="1" applyProtection="1">
      <alignment horizontal="center" vertical="center" wrapText="1"/>
      <protection locked="0"/>
    </xf>
    <xf numFmtId="166" fontId="41" fillId="42" borderId="31" xfId="42" applyNumberFormat="1" applyFont="1" applyFill="1" applyBorder="1" applyAlignment="1">
      <alignment horizontal="center" vertical="center" wrapText="1"/>
    </xf>
    <xf numFmtId="166" fontId="41" fillId="42" borderId="30" xfId="42" applyNumberFormat="1" applyFont="1" applyFill="1" applyBorder="1" applyAlignment="1">
      <alignment horizontal="center" vertical="center" wrapText="1"/>
    </xf>
    <xf numFmtId="166" fontId="41" fillId="42" borderId="39" xfId="42" applyNumberFormat="1" applyFont="1" applyFill="1" applyBorder="1" applyAlignment="1">
      <alignment horizontal="center" vertical="center" wrapText="1"/>
    </xf>
    <xf numFmtId="166" fontId="41" fillId="42" borderId="40" xfId="42" applyNumberFormat="1" applyFont="1" applyFill="1" applyBorder="1" applyAlignment="1">
      <alignment horizontal="center" vertical="center" wrapText="1"/>
    </xf>
    <xf numFmtId="1" fontId="41" fillId="41" borderId="16" xfId="0" applyNumberFormat="1" applyFont="1" applyFill="1" applyBorder="1" applyAlignment="1">
      <alignment horizontal="center" vertical="center" wrapText="1"/>
    </xf>
    <xf numFmtId="1" fontId="41" fillId="41" borderId="23" xfId="0" applyNumberFormat="1" applyFont="1" applyFill="1" applyBorder="1" applyAlignment="1">
      <alignment horizontal="center" vertical="center" wrapText="1"/>
    </xf>
    <xf numFmtId="166" fontId="41" fillId="33" borderId="17" xfId="42" applyNumberFormat="1" applyFont="1" applyFill="1" applyBorder="1" applyAlignment="1">
      <alignment horizontal="center" vertical="center" wrapText="1"/>
    </xf>
    <xf numFmtId="166" fontId="41" fillId="33" borderId="24" xfId="42" applyNumberFormat="1" applyFont="1" applyFill="1" applyBorder="1" applyAlignment="1">
      <alignment horizontal="center" vertical="center" wrapText="1"/>
    </xf>
    <xf numFmtId="0" fontId="41" fillId="33" borderId="18" xfId="0" applyFont="1" applyFill="1" applyBorder="1" applyAlignment="1" applyProtection="1">
      <alignment horizontal="center" vertical="center" wrapText="1"/>
      <protection locked="0"/>
    </xf>
    <xf numFmtId="0" fontId="41" fillId="33" borderId="36" xfId="0" applyFont="1" applyFill="1" applyBorder="1" applyAlignment="1" applyProtection="1">
      <alignment horizontal="center" vertical="center" wrapText="1"/>
      <protection locked="0"/>
    </xf>
    <xf numFmtId="0" fontId="41" fillId="33" borderId="17" xfId="0" applyFont="1" applyFill="1" applyBorder="1" applyAlignment="1">
      <alignment horizontal="center" vertical="center" wrapText="1"/>
    </xf>
    <xf numFmtId="0" fontId="41" fillId="33" borderId="24" xfId="0" applyFont="1" applyFill="1" applyBorder="1" applyAlignment="1">
      <alignment horizontal="center" vertical="center" wrapText="1"/>
    </xf>
    <xf numFmtId="0" fontId="41" fillId="40" borderId="17" xfId="0" applyFont="1" applyFill="1" applyBorder="1" applyAlignment="1">
      <alignment horizontal="center" vertical="center" wrapText="1"/>
    </xf>
    <xf numFmtId="0" fontId="41" fillId="40" borderId="24" xfId="0" applyFont="1" applyFill="1" applyBorder="1" applyAlignment="1">
      <alignment horizontal="center" vertical="center" wrapText="1"/>
    </xf>
    <xf numFmtId="0" fontId="41" fillId="40" borderId="18" xfId="0" applyFont="1" applyFill="1" applyBorder="1" applyAlignment="1">
      <alignment horizontal="center" vertical="center" wrapText="1"/>
    </xf>
    <xf numFmtId="0" fontId="41" fillId="40" borderId="36" xfId="0" applyFont="1" applyFill="1" applyBorder="1" applyAlignment="1">
      <alignment horizontal="center" vertical="center" wrapText="1"/>
    </xf>
    <xf numFmtId="0" fontId="39" fillId="51" borderId="64" xfId="0" applyFont="1" applyFill="1" applyBorder="1" applyAlignment="1" applyProtection="1">
      <alignment horizontal="center" vertical="center" wrapText="1"/>
      <protection locked="0"/>
    </xf>
    <xf numFmtId="0" fontId="39" fillId="51" borderId="65" xfId="0" applyFont="1" applyFill="1" applyBorder="1" applyAlignment="1" applyProtection="1">
      <alignment horizontal="center" vertical="center" wrapText="1"/>
      <protection locked="0"/>
    </xf>
    <xf numFmtId="166" fontId="41" fillId="41" borderId="39" xfId="42" applyNumberFormat="1" applyFont="1" applyFill="1" applyBorder="1" applyAlignment="1">
      <alignment horizontal="center" vertical="center" wrapText="1"/>
    </xf>
    <xf numFmtId="166" fontId="41" fillId="41" borderId="40" xfId="42" applyNumberFormat="1" applyFont="1" applyFill="1" applyBorder="1" applyAlignment="1">
      <alignment horizontal="center" vertical="center" wrapText="1"/>
    </xf>
    <xf numFmtId="1" fontId="41" fillId="33" borderId="16" xfId="0" applyNumberFormat="1" applyFont="1" applyFill="1" applyBorder="1" applyAlignment="1">
      <alignment horizontal="center" vertical="center" wrapText="1"/>
    </xf>
    <xf numFmtId="1" fontId="41" fillId="33" borderId="23" xfId="0" applyNumberFormat="1" applyFont="1" applyFill="1" applyBorder="1" applyAlignment="1">
      <alignment horizontal="center" vertical="center" wrapText="1"/>
    </xf>
    <xf numFmtId="0" fontId="41" fillId="40" borderId="39" xfId="0" applyFont="1" applyFill="1" applyBorder="1" applyAlignment="1">
      <alignment horizontal="center" vertical="center" wrapText="1"/>
    </xf>
    <xf numFmtId="0" fontId="41" fillId="40" borderId="40" xfId="0" applyFont="1" applyFill="1" applyBorder="1" applyAlignment="1">
      <alignment horizontal="center" vertical="center" wrapText="1"/>
    </xf>
    <xf numFmtId="166" fontId="41" fillId="42" borderId="16" xfId="42" applyNumberFormat="1" applyFont="1" applyFill="1" applyBorder="1" applyAlignment="1">
      <alignment horizontal="center" vertical="center" wrapText="1"/>
    </xf>
    <xf numFmtId="166" fontId="41" fillId="42" borderId="23" xfId="42" applyNumberFormat="1" applyFont="1" applyFill="1" applyBorder="1" applyAlignment="1">
      <alignment horizontal="center" vertical="center" wrapText="1"/>
    </xf>
    <xf numFmtId="166" fontId="41" fillId="42" borderId="18" xfId="42" applyNumberFormat="1" applyFont="1" applyFill="1" applyBorder="1" applyAlignment="1">
      <alignment horizontal="center" vertical="center" wrapText="1"/>
    </xf>
    <xf numFmtId="166" fontId="41" fillId="42" borderId="36" xfId="42" applyNumberFormat="1" applyFont="1" applyFill="1" applyBorder="1" applyAlignment="1">
      <alignment horizontal="center" vertical="center" wrapText="1"/>
    </xf>
    <xf numFmtId="1" fontId="41" fillId="41" borderId="31" xfId="0" applyNumberFormat="1" applyFont="1" applyFill="1" applyBorder="1" applyAlignment="1">
      <alignment horizontal="center" vertical="center" wrapText="1"/>
    </xf>
    <xf numFmtId="1" fontId="41" fillId="41" borderId="30" xfId="0" applyNumberFormat="1" applyFont="1" applyFill="1" applyBorder="1" applyAlignment="1">
      <alignment horizontal="center" vertical="center" wrapText="1"/>
    </xf>
    <xf numFmtId="0" fontId="22" fillId="0" borderId="25" xfId="0" applyFont="1" applyBorder="1" applyAlignment="1">
      <alignment horizontal="center" vertical="center" wrapText="1"/>
    </xf>
    <xf numFmtId="0" fontId="22" fillId="0" borderId="29" xfId="0" applyFont="1" applyBorder="1" applyAlignment="1">
      <alignment horizontal="center" vertical="center"/>
    </xf>
    <xf numFmtId="0" fontId="21" fillId="34" borderId="16" xfId="0" applyFont="1" applyFill="1" applyBorder="1" applyAlignment="1">
      <alignment horizontal="center" vertical="center" wrapText="1"/>
    </xf>
    <xf numFmtId="0" fontId="21" fillId="34" borderId="13" xfId="0" applyFont="1" applyFill="1" applyBorder="1" applyAlignment="1">
      <alignment horizontal="center" vertical="center"/>
    </xf>
    <xf numFmtId="0" fontId="21" fillId="34" borderId="28" xfId="0" applyFont="1" applyFill="1" applyBorder="1" applyAlignment="1">
      <alignment horizontal="center" vertical="center"/>
    </xf>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Comma" xfId="44" builtinId="3"/>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5" xfId="43" xr:uid="{00000000-0005-0000-0000-000025000000}"/>
    <cellStyle name="Note" xfId="15" builtinId="10" customBuiltin="1"/>
    <cellStyle name="Output" xfId="10" builtinId="21" customBuiltin="1"/>
    <cellStyle name="Percent" xfId="42" builtinId="5"/>
    <cellStyle name="Title" xfId="1" builtinId="15" customBuiltin="1"/>
    <cellStyle name="Total" xfId="17" builtinId="25" customBuiltin="1"/>
    <cellStyle name="Warning Text" xfId="14" builtinId="11" customBuiltin="1"/>
  </cellStyles>
  <dxfs count="0"/>
  <tableStyles count="0" defaultTableStyle="TableStyleMedium9" defaultPivotStyle="PivotStyleLight16"/>
  <colors>
    <mruColors>
      <color rgb="FFFF96EB"/>
      <color rgb="FFFF7DD7"/>
      <color rgb="FFFFB9EB"/>
      <color rgb="FFFF66CC"/>
      <color rgb="FFFF66FF"/>
      <color rgb="FFFF99FF"/>
      <color rgb="FFFB8FFB"/>
      <color rgb="FFFA64FA"/>
      <color rgb="FFF018F0"/>
      <color rgb="FFFFE10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1.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GFX10 New Feature Code Development </a:t>
            </a:r>
            <a:r>
              <a:rPr lang="en-US">
                <a:solidFill>
                  <a:srgbClr val="00B0F0"/>
                </a:solidFill>
              </a:rPr>
              <a:t>Drive-To</a:t>
            </a:r>
            <a:r>
              <a:rPr lang="en-US"/>
              <a:t> vs. Actual </a:t>
            </a:r>
            <a:r>
              <a:rPr lang="en-US">
                <a:solidFill>
                  <a:srgbClr val="C00000"/>
                </a:solidFill>
              </a:rPr>
              <a:t>Coded </a:t>
            </a:r>
            <a:r>
              <a:rPr lang="en-US">
                <a:solidFill>
                  <a:schemeClr val="bg1"/>
                </a:solidFill>
              </a:rPr>
              <a:t>&amp;</a:t>
            </a:r>
            <a:r>
              <a:rPr lang="en-US">
                <a:solidFill>
                  <a:srgbClr val="C00000"/>
                </a:solidFill>
              </a:rPr>
              <a:t> </a:t>
            </a:r>
            <a:r>
              <a:rPr lang="en-US">
                <a:solidFill>
                  <a:srgbClr val="92D050"/>
                </a:solidFill>
              </a:rPr>
              <a:t>Verified</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Drive-To</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(WIP)'!$B$7:$AM$7</c:f>
              <c:numCache>
                <c:formatCode>0%</c:formatCode>
                <c:ptCount val="38"/>
                <c:pt idx="0">
                  <c:v>1.4999999999999999E-2</c:v>
                </c:pt>
                <c:pt idx="1">
                  <c:v>0.03</c:v>
                </c:pt>
                <c:pt idx="2">
                  <c:v>0.05</c:v>
                </c:pt>
                <c:pt idx="3">
                  <c:v>7.0000000000000007E-2</c:v>
                </c:pt>
                <c:pt idx="4">
                  <c:v>9.0000000000000011E-2</c:v>
                </c:pt>
                <c:pt idx="5">
                  <c:v>0.11000000000000001</c:v>
                </c:pt>
                <c:pt idx="6">
                  <c:v>0.13</c:v>
                </c:pt>
                <c:pt idx="7">
                  <c:v>0.15</c:v>
                </c:pt>
                <c:pt idx="8">
                  <c:v>0.18</c:v>
                </c:pt>
                <c:pt idx="9">
                  <c:v>0.21</c:v>
                </c:pt>
                <c:pt idx="10">
                  <c:v>0.24</c:v>
                </c:pt>
                <c:pt idx="11">
                  <c:v>0.27</c:v>
                </c:pt>
                <c:pt idx="12">
                  <c:v>0.30000000000000004</c:v>
                </c:pt>
                <c:pt idx="13">
                  <c:v>0.33000000000000007</c:v>
                </c:pt>
                <c:pt idx="14">
                  <c:v>0.34000000000000008</c:v>
                </c:pt>
                <c:pt idx="15">
                  <c:v>0.35000000000000009</c:v>
                </c:pt>
                <c:pt idx="16">
                  <c:v>0.38000000000000012</c:v>
                </c:pt>
                <c:pt idx="17">
                  <c:v>0.41000000000000014</c:v>
                </c:pt>
                <c:pt idx="18">
                  <c:v>0.44000000000000017</c:v>
                </c:pt>
                <c:pt idx="19">
                  <c:v>0.4700000000000002</c:v>
                </c:pt>
                <c:pt idx="20">
                  <c:v>0.50000000000000022</c:v>
                </c:pt>
                <c:pt idx="21">
                  <c:v>0.53000000000000025</c:v>
                </c:pt>
                <c:pt idx="22">
                  <c:v>0.56000000000000028</c:v>
                </c:pt>
                <c:pt idx="23">
                  <c:v>0.5900000000000003</c:v>
                </c:pt>
                <c:pt idx="24">
                  <c:v>0.62000000000000033</c:v>
                </c:pt>
                <c:pt idx="25">
                  <c:v>0.65000000000000036</c:v>
                </c:pt>
                <c:pt idx="26">
                  <c:v>0.68000000000000038</c:v>
                </c:pt>
                <c:pt idx="27">
                  <c:v>0.71000000000000041</c:v>
                </c:pt>
                <c:pt idx="28">
                  <c:v>0.74000000000000044</c:v>
                </c:pt>
                <c:pt idx="29">
                  <c:v>0.77000000000000046</c:v>
                </c:pt>
                <c:pt idx="30">
                  <c:v>0.80000000000000049</c:v>
                </c:pt>
                <c:pt idx="31">
                  <c:v>0.83000000000000052</c:v>
                </c:pt>
                <c:pt idx="32">
                  <c:v>0.86000000000000054</c:v>
                </c:pt>
                <c:pt idx="33">
                  <c:v>0.89000000000000057</c:v>
                </c:pt>
                <c:pt idx="34">
                  <c:v>0.9200000000000006</c:v>
                </c:pt>
                <c:pt idx="35">
                  <c:v>0.95000000000000062</c:v>
                </c:pt>
                <c:pt idx="36">
                  <c:v>0.98000000000000065</c:v>
                </c:pt>
                <c:pt idx="37">
                  <c:v>1.0100000000000007</c:v>
                </c:pt>
              </c:numCache>
            </c:numRef>
          </c:val>
          <c:smooth val="0"/>
          <c:extLst>
            <c:ext xmlns:c16="http://schemas.microsoft.com/office/drawing/2014/chart" uri="{C3380CC4-5D6E-409C-BE32-E72D297353CC}">
              <c16:uniqueId val="{00000000-B022-43F9-8F18-DB07B10A3D7D}"/>
            </c:ext>
          </c:extLst>
        </c:ser>
        <c:ser>
          <c:idx val="1"/>
          <c:order val="1"/>
          <c:tx>
            <c:v>Coded</c:v>
          </c:tx>
          <c:spPr>
            <a:ln w="34925" cap="rnd">
              <a:solidFill>
                <a:schemeClr val="accent2"/>
              </a:solidFill>
              <a:round/>
            </a:ln>
            <a:effectLst>
              <a:outerShdw blurRad="40000" dist="23000" dir="5400000" rotWithShape="0">
                <a:srgbClr val="000000">
                  <a:alpha val="35000"/>
                </a:srgbClr>
              </a:outerShdw>
            </a:effectLst>
          </c:spPr>
          <c:marker>
            <c:symbol val="none"/>
          </c:marker>
          <c:trendline>
            <c:spPr>
              <a:ln w="19050" cap="rnd">
                <a:solidFill>
                  <a:srgbClr val="FFFF00"/>
                </a:solidFill>
                <a:prstDash val="dashDot"/>
              </a:ln>
              <a:effectLst/>
            </c:spPr>
            <c:trendlineType val="linear"/>
            <c:forward val="2"/>
            <c:dispRSqr val="0"/>
            <c:dispEq val="0"/>
          </c:trendline>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(WIP)'!$B$12:$AM$12</c:f>
              <c:numCache>
                <c:formatCode>0%</c:formatCode>
                <c:ptCount val="3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1-B022-43F9-8F18-DB07B10A3D7D}"/>
            </c:ext>
          </c:extLst>
        </c:ser>
        <c:ser>
          <c:idx val="2"/>
          <c:order val="2"/>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 (WIP)'!$B$5:$AM$5</c:f>
              <c:strCache>
                <c:ptCount val="38"/>
                <c:pt idx="0">
                  <c:v>w38</c:v>
                </c:pt>
                <c:pt idx="1">
                  <c:v>w39</c:v>
                </c:pt>
                <c:pt idx="2">
                  <c:v>w40</c:v>
                </c:pt>
                <c:pt idx="3">
                  <c:v>w41</c:v>
                </c:pt>
                <c:pt idx="4">
                  <c:v>w42</c:v>
                </c:pt>
                <c:pt idx="5">
                  <c:v>w43</c:v>
                </c:pt>
                <c:pt idx="6">
                  <c:v>w44</c:v>
                </c:pt>
                <c:pt idx="7">
                  <c:v>w45</c:v>
                </c:pt>
                <c:pt idx="8">
                  <c:v>w46</c:v>
                </c:pt>
                <c:pt idx="9">
                  <c:v>w47</c:v>
                </c:pt>
                <c:pt idx="10">
                  <c:v>w48</c:v>
                </c:pt>
                <c:pt idx="11">
                  <c:v>w49</c:v>
                </c:pt>
                <c:pt idx="12">
                  <c:v>w50</c:v>
                </c:pt>
                <c:pt idx="13">
                  <c:v>w51</c:v>
                </c:pt>
                <c:pt idx="14">
                  <c:v>w52</c:v>
                </c:pt>
                <c:pt idx="15">
                  <c:v>w1</c:v>
                </c:pt>
                <c:pt idx="16">
                  <c:v>w2</c:v>
                </c:pt>
                <c:pt idx="17">
                  <c:v>w3</c:v>
                </c:pt>
                <c:pt idx="18">
                  <c:v>w4</c:v>
                </c:pt>
                <c:pt idx="19">
                  <c:v>w5</c:v>
                </c:pt>
                <c:pt idx="20">
                  <c:v>w6</c:v>
                </c:pt>
                <c:pt idx="21">
                  <c:v>w7</c:v>
                </c:pt>
                <c:pt idx="22">
                  <c:v>w8</c:v>
                </c:pt>
                <c:pt idx="23">
                  <c:v>w9</c:v>
                </c:pt>
                <c:pt idx="24">
                  <c:v>w10</c:v>
                </c:pt>
                <c:pt idx="25">
                  <c:v>w11</c:v>
                </c:pt>
                <c:pt idx="26">
                  <c:v>w12</c:v>
                </c:pt>
                <c:pt idx="27">
                  <c:v>w13</c:v>
                </c:pt>
                <c:pt idx="28">
                  <c:v>w14</c:v>
                </c:pt>
                <c:pt idx="29">
                  <c:v>w15</c:v>
                </c:pt>
                <c:pt idx="30">
                  <c:v>w16</c:v>
                </c:pt>
                <c:pt idx="31">
                  <c:v>w17</c:v>
                </c:pt>
                <c:pt idx="32">
                  <c:v>w18</c:v>
                </c:pt>
                <c:pt idx="33">
                  <c:v>w19</c:v>
                </c:pt>
                <c:pt idx="34">
                  <c:v>w20</c:v>
                </c:pt>
                <c:pt idx="35">
                  <c:v>w21</c:v>
                </c:pt>
                <c:pt idx="36">
                  <c:v>w22</c:v>
                </c:pt>
                <c:pt idx="37">
                  <c:v>w23</c:v>
                </c:pt>
              </c:strCache>
            </c:strRef>
          </c:cat>
          <c:val>
            <c:numRef>
              <c:f>'Progress (WIP)'!$B$14:$AM$14</c:f>
              <c:numCache>
                <c:formatCode>0%</c:formatCode>
                <c:ptCount val="38"/>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numCache>
            </c:numRef>
          </c:val>
          <c:smooth val="0"/>
          <c:extLst>
            <c:ext xmlns:c16="http://schemas.microsoft.com/office/drawing/2014/chart" uri="{C3380CC4-5D6E-409C-BE32-E72D297353CC}">
              <c16:uniqueId val="{00000000-5CB5-4BE7-81C5-735E37AF97CC}"/>
            </c:ext>
          </c:extLst>
        </c:ser>
        <c:dLbls>
          <c:showLegendKey val="0"/>
          <c:showVal val="0"/>
          <c:showCatName val="0"/>
          <c:showSerName val="0"/>
          <c:showPercent val="0"/>
          <c:showBubbleSize val="0"/>
        </c:dLbls>
        <c:smooth val="0"/>
        <c:axId val="2012879624"/>
        <c:axId val="-1481703416"/>
      </c:lineChart>
      <c:catAx>
        <c:axId val="201287962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703416"/>
        <c:crosses val="autoZero"/>
        <c:auto val="1"/>
        <c:lblAlgn val="ctr"/>
        <c:lblOffset val="100"/>
        <c:noMultiLvlLbl val="0"/>
      </c:catAx>
      <c:valAx>
        <c:axId val="-1481703416"/>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1287962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solidFill>
                  <a:srgbClr val="00B0F0"/>
                </a:solidFill>
              </a:rPr>
              <a:t>Coded</a:t>
            </a:r>
            <a:r>
              <a:rPr lang="en-US"/>
              <a:t> vs. </a:t>
            </a:r>
            <a:r>
              <a:rPr lang="en-US">
                <a:solidFill>
                  <a:srgbClr val="92D050"/>
                </a:solidFill>
              </a:rPr>
              <a:t>Verified </a:t>
            </a:r>
            <a:r>
              <a:rPr lang="en-US" sz="1600" b="1" i="0" u="none" strike="noStrike" baseline="0">
                <a:effectLst/>
              </a:rPr>
              <a:t>vs. </a:t>
            </a:r>
            <a:r>
              <a:rPr lang="en-US" sz="1600" b="1" i="0" u="none" strike="noStrike" baseline="0">
                <a:solidFill>
                  <a:schemeClr val="accent6">
                    <a:lumMod val="75000"/>
                  </a:schemeClr>
                </a:solidFill>
                <a:effectLst/>
              </a:rPr>
              <a:t>Validated</a:t>
            </a:r>
          </a:p>
          <a:p>
            <a:pPr>
              <a:defRPr/>
            </a:pPr>
            <a:r>
              <a:rPr lang="en-US" sz="1600" b="1" i="0" u="none" strike="noStrike" baseline="0">
                <a:solidFill>
                  <a:schemeClr val="bg1"/>
                </a:solidFill>
                <a:effectLst/>
              </a:rPr>
              <a:t>Solid Lines: Planned</a:t>
            </a:r>
          </a:p>
          <a:p>
            <a:pPr>
              <a:defRPr/>
            </a:pPr>
            <a:r>
              <a:rPr lang="en-US" sz="1600" b="1" i="0" u="none" strike="noStrike" baseline="0">
                <a:solidFill>
                  <a:schemeClr val="bg1"/>
                </a:solidFill>
                <a:effectLst/>
              </a:rPr>
              <a:t>Dashed Lines: Actual</a:t>
            </a:r>
            <a:endParaRPr lang="en-US">
              <a:solidFill>
                <a:schemeClr val="bg1"/>
              </a:solidFill>
            </a:endParaRPr>
          </a:p>
        </c:rich>
      </c:tx>
      <c:layout>
        <c:manualLayout>
          <c:xMode val="edge"/>
          <c:yMode val="edge"/>
          <c:x val="0.3874143333893218"/>
          <c:y val="1.8912529550827423E-2"/>
        </c:manualLayout>
      </c:layout>
      <c:overlay val="0"/>
      <c:spPr>
        <a:noFill/>
        <a:ln>
          <a:solidFill>
            <a:schemeClr val="bg1">
              <a:lumMod val="95000"/>
            </a:schemeClr>
          </a:solid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v>Coded</c:v>
          </c:tx>
          <c:spPr>
            <a:ln w="34925" cap="rnd">
              <a:solidFill>
                <a:schemeClr val="accent1"/>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Progress!$B$2:$AT$2</c:f>
              <c:numCache>
                <c:formatCode>0%</c:formatCode>
                <c:ptCount val="45"/>
                <c:pt idx="0">
                  <c:v>0.1</c:v>
                </c:pt>
                <c:pt idx="1">
                  <c:v>0.15</c:v>
                </c:pt>
                <c:pt idx="2">
                  <c:v>0.17</c:v>
                </c:pt>
                <c:pt idx="3">
                  <c:v>0.23</c:v>
                </c:pt>
                <c:pt idx="4">
                  <c:v>0.28000000000000003</c:v>
                </c:pt>
                <c:pt idx="5">
                  <c:v>0.35</c:v>
                </c:pt>
                <c:pt idx="6">
                  <c:v>0.4</c:v>
                </c:pt>
                <c:pt idx="7">
                  <c:v>0.45</c:v>
                </c:pt>
                <c:pt idx="8">
                  <c:v>0.5</c:v>
                </c:pt>
                <c:pt idx="9">
                  <c:v>0.57999999999999996</c:v>
                </c:pt>
                <c:pt idx="10">
                  <c:v>0.62</c:v>
                </c:pt>
                <c:pt idx="11">
                  <c:v>0.68</c:v>
                </c:pt>
                <c:pt idx="12">
                  <c:v>0.71000000000000008</c:v>
                </c:pt>
                <c:pt idx="13">
                  <c:v>0.7400000000000001</c:v>
                </c:pt>
                <c:pt idx="14">
                  <c:v>0.75000000000000011</c:v>
                </c:pt>
                <c:pt idx="15">
                  <c:v>0.76000000000000012</c:v>
                </c:pt>
                <c:pt idx="16">
                  <c:v>0.79000000000000015</c:v>
                </c:pt>
                <c:pt idx="17">
                  <c:v>0.82000000000000017</c:v>
                </c:pt>
                <c:pt idx="18">
                  <c:v>0.8500000000000002</c:v>
                </c:pt>
                <c:pt idx="19">
                  <c:v>0.88000000000000023</c:v>
                </c:pt>
                <c:pt idx="20">
                  <c:v>0.91000000000000025</c:v>
                </c:pt>
                <c:pt idx="21">
                  <c:v>0.94000000000000028</c:v>
                </c:pt>
                <c:pt idx="22">
                  <c:v>0.97000000000000031</c:v>
                </c:pt>
                <c:pt idx="23">
                  <c:v>1.0000000000000002</c:v>
                </c:pt>
              </c:numCache>
            </c:numRef>
          </c:val>
          <c:smooth val="0"/>
          <c:extLst>
            <c:ext xmlns:c16="http://schemas.microsoft.com/office/drawing/2014/chart" uri="{C3380CC4-5D6E-409C-BE32-E72D297353CC}">
              <c16:uniqueId val="{00000000-D0CE-4EEC-9E3C-ECA03E6DC651}"/>
            </c:ext>
          </c:extLst>
        </c:ser>
        <c:ser>
          <c:idx val="2"/>
          <c:order val="1"/>
          <c:tx>
            <c:v>Verified</c:v>
          </c:tx>
          <c:spPr>
            <a:ln w="34925" cap="rnd">
              <a:solidFill>
                <a:schemeClr val="accent3"/>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Progress!$B$3:$AT$3</c:f>
              <c:numCache>
                <c:formatCode>0%</c:formatCode>
                <c:ptCount val="45"/>
                <c:pt idx="10">
                  <c:v>0.1</c:v>
                </c:pt>
                <c:pt idx="11">
                  <c:v>0.15</c:v>
                </c:pt>
                <c:pt idx="12">
                  <c:v>0.2</c:v>
                </c:pt>
                <c:pt idx="13">
                  <c:v>0.3</c:v>
                </c:pt>
                <c:pt idx="14">
                  <c:v>0.35</c:v>
                </c:pt>
                <c:pt idx="15">
                  <c:v>0.4</c:v>
                </c:pt>
                <c:pt idx="16">
                  <c:v>0.4</c:v>
                </c:pt>
                <c:pt idx="17">
                  <c:v>0.4</c:v>
                </c:pt>
                <c:pt idx="18">
                  <c:v>0.4</c:v>
                </c:pt>
                <c:pt idx="19">
                  <c:v>0.4</c:v>
                </c:pt>
                <c:pt idx="20">
                  <c:v>0.5</c:v>
                </c:pt>
                <c:pt idx="21">
                  <c:v>0.6</c:v>
                </c:pt>
                <c:pt idx="22">
                  <c:v>0.65</c:v>
                </c:pt>
                <c:pt idx="23">
                  <c:v>0.7</c:v>
                </c:pt>
                <c:pt idx="24">
                  <c:v>0.8</c:v>
                </c:pt>
                <c:pt idx="25">
                  <c:v>0.9</c:v>
                </c:pt>
                <c:pt idx="26">
                  <c:v>1</c:v>
                </c:pt>
              </c:numCache>
            </c:numRef>
          </c:val>
          <c:smooth val="0"/>
          <c:extLst>
            <c:ext xmlns:c16="http://schemas.microsoft.com/office/drawing/2014/chart" uri="{C3380CC4-5D6E-409C-BE32-E72D297353CC}">
              <c16:uniqueId val="{00000003-D0CE-4EEC-9E3C-ECA03E6DC651}"/>
            </c:ext>
          </c:extLst>
        </c:ser>
        <c:ser>
          <c:idx val="1"/>
          <c:order val="2"/>
          <c:tx>
            <c:v>Validated</c:v>
          </c:tx>
          <c:spPr>
            <a:ln w="34925" cap="rnd">
              <a:solidFill>
                <a:schemeClr val="accent6">
                  <a:lumMod val="75000"/>
                </a:schemeClr>
              </a:solidFill>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Progress!$B$4:$AT$4</c:f>
              <c:numCache>
                <c:formatCode>0%</c:formatCode>
                <c:ptCount val="45"/>
                <c:pt idx="26">
                  <c:v>0.05</c:v>
                </c:pt>
                <c:pt idx="27">
                  <c:v>0.2</c:v>
                </c:pt>
                <c:pt idx="28">
                  <c:v>0.3</c:v>
                </c:pt>
                <c:pt idx="29">
                  <c:v>0.5</c:v>
                </c:pt>
                <c:pt idx="30">
                  <c:v>0.6</c:v>
                </c:pt>
                <c:pt idx="31">
                  <c:v>0.65</c:v>
                </c:pt>
                <c:pt idx="32">
                  <c:v>0.7</c:v>
                </c:pt>
                <c:pt idx="33">
                  <c:v>0.85</c:v>
                </c:pt>
                <c:pt idx="34">
                  <c:v>0.9</c:v>
                </c:pt>
                <c:pt idx="35">
                  <c:v>0.95</c:v>
                </c:pt>
                <c:pt idx="36">
                  <c:v>1</c:v>
                </c:pt>
              </c:numCache>
            </c:numRef>
          </c:val>
          <c:smooth val="0"/>
          <c:extLst>
            <c:ext xmlns:c16="http://schemas.microsoft.com/office/drawing/2014/chart" uri="{C3380CC4-5D6E-409C-BE32-E72D297353CC}">
              <c16:uniqueId val="{00000002-D0CE-4EEC-9E3C-ECA03E6DC651}"/>
            </c:ext>
          </c:extLst>
        </c:ser>
        <c:ser>
          <c:idx val="3"/>
          <c:order val="3"/>
          <c:tx>
            <c:v>Coded</c:v>
          </c:tx>
          <c:spPr>
            <a:ln w="34925" cap="rnd">
              <a:solidFill>
                <a:schemeClr val="tx2">
                  <a:lumMod val="60000"/>
                  <a:lumOff val="40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Progress!$B$6:$AT$6</c:f>
              <c:numCache>
                <c:formatCode>0%</c:formatCode>
                <c:ptCount val="45"/>
                <c:pt idx="0">
                  <c:v>0.08</c:v>
                </c:pt>
                <c:pt idx="1">
                  <c:v>0.12</c:v>
                </c:pt>
                <c:pt idx="2">
                  <c:v>0.15</c:v>
                </c:pt>
                <c:pt idx="3">
                  <c:v>0.18</c:v>
                </c:pt>
                <c:pt idx="4">
                  <c:v>0.24</c:v>
                </c:pt>
                <c:pt idx="5">
                  <c:v>0.3</c:v>
                </c:pt>
                <c:pt idx="6">
                  <c:v>0.35</c:v>
                </c:pt>
                <c:pt idx="7">
                  <c:v>0.4</c:v>
                </c:pt>
                <c:pt idx="8">
                  <c:v>0.45</c:v>
                </c:pt>
                <c:pt idx="9">
                  <c:v>0.5</c:v>
                </c:pt>
                <c:pt idx="10">
                  <c:v>0.57999999999999996</c:v>
                </c:pt>
                <c:pt idx="11">
                  <c:v>0.59</c:v>
                </c:pt>
                <c:pt idx="12">
                  <c:v>0.6</c:v>
                </c:pt>
                <c:pt idx="13">
                  <c:v>0.65</c:v>
                </c:pt>
                <c:pt idx="14">
                  <c:v>0.68</c:v>
                </c:pt>
                <c:pt idx="15">
                  <c:v>0.7</c:v>
                </c:pt>
                <c:pt idx="16">
                  <c:v>0.72</c:v>
                </c:pt>
                <c:pt idx="17">
                  <c:v>0.74</c:v>
                </c:pt>
                <c:pt idx="18">
                  <c:v>0.76</c:v>
                </c:pt>
                <c:pt idx="19">
                  <c:v>0.78</c:v>
                </c:pt>
                <c:pt idx="20">
                  <c:v>0.8</c:v>
                </c:pt>
                <c:pt idx="21">
                  <c:v>0.85</c:v>
                </c:pt>
                <c:pt idx="22">
                  <c:v>0.88</c:v>
                </c:pt>
                <c:pt idx="23">
                  <c:v>0.9</c:v>
                </c:pt>
              </c:numCache>
            </c:numRef>
          </c:val>
          <c:smooth val="0"/>
          <c:extLst>
            <c:ext xmlns:c16="http://schemas.microsoft.com/office/drawing/2014/chart" uri="{C3380CC4-5D6E-409C-BE32-E72D297353CC}">
              <c16:uniqueId val="{00000001-BDF1-4705-8627-6DCC1A40C3F4}"/>
            </c:ext>
          </c:extLst>
        </c:ser>
        <c:ser>
          <c:idx val="4"/>
          <c:order val="4"/>
          <c:tx>
            <c:v>Verified</c:v>
          </c:tx>
          <c:spPr>
            <a:ln w="34925" cap="rnd">
              <a:solidFill>
                <a:srgbClr val="92D050"/>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Progress!$B$7:$AT$7</c:f>
              <c:numCache>
                <c:formatCode>0%</c:formatCode>
                <c:ptCount val="45"/>
                <c:pt idx="11">
                  <c:v>7.0000000000000007E-2</c:v>
                </c:pt>
                <c:pt idx="12">
                  <c:v>0.12</c:v>
                </c:pt>
                <c:pt idx="13">
                  <c:v>0.17</c:v>
                </c:pt>
                <c:pt idx="14">
                  <c:v>0.27</c:v>
                </c:pt>
                <c:pt idx="15">
                  <c:v>0.31999999999999995</c:v>
                </c:pt>
                <c:pt idx="16">
                  <c:v>0.37</c:v>
                </c:pt>
                <c:pt idx="17">
                  <c:v>0.37</c:v>
                </c:pt>
                <c:pt idx="18">
                  <c:v>0.37</c:v>
                </c:pt>
                <c:pt idx="19">
                  <c:v>0.37</c:v>
                </c:pt>
                <c:pt idx="20">
                  <c:v>0.37</c:v>
                </c:pt>
                <c:pt idx="21">
                  <c:v>0.47</c:v>
                </c:pt>
                <c:pt idx="22">
                  <c:v>0.56999999999999995</c:v>
                </c:pt>
                <c:pt idx="23">
                  <c:v>0.62</c:v>
                </c:pt>
                <c:pt idx="24">
                  <c:v>0.66999999999999993</c:v>
                </c:pt>
                <c:pt idx="25">
                  <c:v>0.77</c:v>
                </c:pt>
                <c:pt idx="26">
                  <c:v>0.87</c:v>
                </c:pt>
                <c:pt idx="27">
                  <c:v>0.97</c:v>
                </c:pt>
              </c:numCache>
            </c:numRef>
          </c:val>
          <c:smooth val="0"/>
          <c:extLst>
            <c:ext xmlns:c16="http://schemas.microsoft.com/office/drawing/2014/chart" uri="{C3380CC4-5D6E-409C-BE32-E72D297353CC}">
              <c16:uniqueId val="{00000002-BDF1-4705-8627-6DCC1A40C3F4}"/>
            </c:ext>
          </c:extLst>
        </c:ser>
        <c:ser>
          <c:idx val="5"/>
          <c:order val="5"/>
          <c:tx>
            <c:v>Validated</c:v>
          </c:tx>
          <c:spPr>
            <a:ln w="34925" cap="rnd">
              <a:solidFill>
                <a:schemeClr val="accent6">
                  <a:lumMod val="75000"/>
                </a:schemeClr>
              </a:solidFill>
              <a:prstDash val="dash"/>
              <a:round/>
            </a:ln>
            <a:effectLst>
              <a:outerShdw blurRad="40000" dist="23000" dir="5400000" rotWithShape="0">
                <a:srgbClr val="000000">
                  <a:alpha val="35000"/>
                </a:srgbClr>
              </a:outerShdw>
            </a:effectLst>
          </c:spPr>
          <c:marker>
            <c:symbol val="none"/>
          </c:marker>
          <c:cat>
            <c:strRef>
              <c:f>Progress!$B$1:$AT$1</c:f>
              <c:strCache>
                <c:ptCount val="45"/>
                <c:pt idx="0">
                  <c:v>AB-26</c:v>
                </c:pt>
                <c:pt idx="1">
                  <c:v>AB-25</c:v>
                </c:pt>
                <c:pt idx="2">
                  <c:v>AB-24</c:v>
                </c:pt>
                <c:pt idx="3">
                  <c:v>AB-23</c:v>
                </c:pt>
                <c:pt idx="4">
                  <c:v>AB-22</c:v>
                </c:pt>
                <c:pt idx="5">
                  <c:v>AB-21</c:v>
                </c:pt>
                <c:pt idx="6">
                  <c:v>AB-20</c:v>
                </c:pt>
                <c:pt idx="7">
                  <c:v>AB-19</c:v>
                </c:pt>
                <c:pt idx="8">
                  <c:v>AB-18</c:v>
                </c:pt>
                <c:pt idx="9">
                  <c:v>AB-17</c:v>
                </c:pt>
                <c:pt idx="10">
                  <c:v>AB-16</c:v>
                </c:pt>
                <c:pt idx="11">
                  <c:v>AB-15</c:v>
                </c:pt>
                <c:pt idx="12">
                  <c:v>AB-14</c:v>
                </c:pt>
                <c:pt idx="13">
                  <c:v>AB-13</c:v>
                </c:pt>
                <c:pt idx="14">
                  <c:v>AB-12</c:v>
                </c:pt>
                <c:pt idx="15">
                  <c:v>AB-11</c:v>
                </c:pt>
                <c:pt idx="16">
                  <c:v>AB-10</c:v>
                </c:pt>
                <c:pt idx="17">
                  <c:v>AB-09</c:v>
                </c:pt>
                <c:pt idx="18">
                  <c:v>AB-08</c:v>
                </c:pt>
                <c:pt idx="19">
                  <c:v>AB-07</c:v>
                </c:pt>
                <c:pt idx="20">
                  <c:v>AB-06</c:v>
                </c:pt>
                <c:pt idx="21">
                  <c:v>AB-05</c:v>
                </c:pt>
                <c:pt idx="22">
                  <c:v>AB-04</c:v>
                </c:pt>
                <c:pt idx="23">
                  <c:v>AB-03</c:v>
                </c:pt>
                <c:pt idx="24">
                  <c:v>AB-02</c:v>
                </c:pt>
                <c:pt idx="25">
                  <c:v>AB-01</c:v>
                </c:pt>
                <c:pt idx="26">
                  <c:v>AB</c:v>
                </c:pt>
                <c:pt idx="27">
                  <c:v>AB+01</c:v>
                </c:pt>
                <c:pt idx="28">
                  <c:v>AB+02</c:v>
                </c:pt>
                <c:pt idx="29">
                  <c:v>AB+03</c:v>
                </c:pt>
                <c:pt idx="30">
                  <c:v>AB+04</c:v>
                </c:pt>
                <c:pt idx="31">
                  <c:v>AB+05</c:v>
                </c:pt>
                <c:pt idx="32">
                  <c:v>AB+06</c:v>
                </c:pt>
                <c:pt idx="33">
                  <c:v>AB+07</c:v>
                </c:pt>
                <c:pt idx="34">
                  <c:v>AB+08</c:v>
                </c:pt>
                <c:pt idx="35">
                  <c:v>AB+09</c:v>
                </c:pt>
                <c:pt idx="36">
                  <c:v>AB+10</c:v>
                </c:pt>
                <c:pt idx="37">
                  <c:v>AB+11</c:v>
                </c:pt>
                <c:pt idx="38">
                  <c:v>AB+12</c:v>
                </c:pt>
                <c:pt idx="39">
                  <c:v>AB+13</c:v>
                </c:pt>
                <c:pt idx="40">
                  <c:v>AB+14</c:v>
                </c:pt>
                <c:pt idx="41">
                  <c:v>AB+15</c:v>
                </c:pt>
                <c:pt idx="42">
                  <c:v>AB+16</c:v>
                </c:pt>
                <c:pt idx="43">
                  <c:v>AB+17</c:v>
                </c:pt>
                <c:pt idx="44">
                  <c:v>AB+18</c:v>
                </c:pt>
              </c:strCache>
            </c:strRef>
          </c:cat>
          <c:val>
            <c:numRef>
              <c:f>Progress!$B$8:$AT$8</c:f>
              <c:numCache>
                <c:formatCode>0%</c:formatCode>
                <c:ptCount val="45"/>
                <c:pt idx="26">
                  <c:v>0.08</c:v>
                </c:pt>
                <c:pt idx="27">
                  <c:v>0.15</c:v>
                </c:pt>
                <c:pt idx="28">
                  <c:v>0.26</c:v>
                </c:pt>
                <c:pt idx="29">
                  <c:v>0.4</c:v>
                </c:pt>
                <c:pt idx="30">
                  <c:v>0.5</c:v>
                </c:pt>
                <c:pt idx="31">
                  <c:v>0.55000000000000004</c:v>
                </c:pt>
                <c:pt idx="32">
                  <c:v>0.6</c:v>
                </c:pt>
                <c:pt idx="33">
                  <c:v>0.7</c:v>
                </c:pt>
                <c:pt idx="34">
                  <c:v>0.75</c:v>
                </c:pt>
                <c:pt idx="35">
                  <c:v>0.78</c:v>
                </c:pt>
                <c:pt idx="36">
                  <c:v>0.8</c:v>
                </c:pt>
                <c:pt idx="37">
                  <c:v>0.85</c:v>
                </c:pt>
                <c:pt idx="38">
                  <c:v>0.88</c:v>
                </c:pt>
                <c:pt idx="39">
                  <c:v>0.9</c:v>
                </c:pt>
                <c:pt idx="40">
                  <c:v>0.95</c:v>
                </c:pt>
                <c:pt idx="41">
                  <c:v>1</c:v>
                </c:pt>
              </c:numCache>
            </c:numRef>
          </c:val>
          <c:smooth val="0"/>
          <c:extLst>
            <c:ext xmlns:c16="http://schemas.microsoft.com/office/drawing/2014/chart" uri="{C3380CC4-5D6E-409C-BE32-E72D297353CC}">
              <c16:uniqueId val="{00000003-BDF1-4705-8627-6DCC1A40C3F4}"/>
            </c:ext>
          </c:extLst>
        </c:ser>
        <c:dLbls>
          <c:showLegendKey val="0"/>
          <c:showVal val="0"/>
          <c:showCatName val="0"/>
          <c:showSerName val="0"/>
          <c:showPercent val="0"/>
          <c:showBubbleSize val="0"/>
        </c:dLbls>
        <c:smooth val="0"/>
        <c:axId val="-1481696504"/>
        <c:axId val="-1481695928"/>
      </c:lineChart>
      <c:catAx>
        <c:axId val="-148169650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5928"/>
        <c:crosses val="autoZero"/>
        <c:auto val="1"/>
        <c:lblAlgn val="ctr"/>
        <c:lblOffset val="100"/>
        <c:noMultiLvlLbl val="0"/>
      </c:catAx>
      <c:valAx>
        <c:axId val="-1481695928"/>
        <c:scaling>
          <c:orientation val="minMax"/>
        </c:scaling>
        <c:delete val="0"/>
        <c:axPos val="l"/>
        <c:majorGridlines>
          <c:spPr>
            <a:ln w="9525" cap="flat" cmpd="sng" algn="ctr">
              <a:solidFill>
                <a:schemeClr val="lt1">
                  <a:lumMod val="95000"/>
                  <a:alpha val="10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4816965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485775</xdr:colOff>
      <xdr:row>15</xdr:row>
      <xdr:rowOff>0</xdr:rowOff>
    </xdr:from>
    <xdr:to>
      <xdr:col>26</xdr:col>
      <xdr:colOff>38100</xdr:colOff>
      <xdr:row>48</xdr:row>
      <xdr:rowOff>28575</xdr:rowOff>
    </xdr:to>
    <xdr:graphicFrame macro="">
      <xdr:nvGraphicFramePr>
        <xdr:cNvPr id="2" name="Chart 1">
          <a:extLst>
            <a:ext uri="{FF2B5EF4-FFF2-40B4-BE49-F238E27FC236}">
              <a16:creationId xmlns:a16="http://schemas.microsoft.com/office/drawing/2014/main" id="{211C36F7-A071-4C64-9BC8-362EE617A72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8</xdr:row>
      <xdr:rowOff>123825</xdr:rowOff>
    </xdr:from>
    <xdr:to>
      <xdr:col>42</xdr:col>
      <xdr:colOff>19050</xdr:colOff>
      <xdr:row>41</xdr:row>
      <xdr:rowOff>152400</xdr:rowOff>
    </xdr:to>
    <xdr:graphicFrame macro="">
      <xdr:nvGraphicFramePr>
        <xdr:cNvPr id="2" name="Chart 1">
          <a:extLst>
            <a:ext uri="{FF2B5EF4-FFF2-40B4-BE49-F238E27FC236}">
              <a16:creationId xmlns:a16="http://schemas.microsoft.com/office/drawing/2014/main" id="{B2506360-3CD9-4A90-BDB4-7E89F8FEC26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openxmlformats.org/officeDocument/2006/relationships/externalLinkPath" Target="xlFile://Root/AMD-BenKwak/AMD-Diagnostics/PM%20Sync%20Meeting/IP%20Status%20Tracker/Diagnostics%20IP%20Status%20Tracker%20Template.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eed" refreshedDate="43752.586622222225" createdVersion="6" refreshedVersion="6" minRefreshableVersion="3" recordCount="100" xr:uid="{EB75BEC3-D89B-4B33-A745-0955DBE6E762}">
  <cacheSource type="worksheet">
    <worksheetSource ref="A2:S102" sheet="FeatureSummary" r:id="rId2"/>
  </cacheSource>
  <cacheFields count="19">
    <cacheField name="Feature ID" numFmtId="0">
      <sharedItems/>
    </cacheField>
    <cacheField name="Priority" numFmtId="0">
      <sharedItems/>
    </cacheField>
    <cacheField name="Test Case IDs" numFmtId="0">
      <sharedItems longText="1"/>
    </cacheField>
    <cacheField name="Effort" numFmtId="0">
      <sharedItems containsSemiMixedTypes="0" containsString="0" containsNumber="1" containsInteger="1" minValue="0" maxValue="80"/>
    </cacheField>
    <cacheField name="Sub-Block" numFmtId="0">
      <sharedItems/>
    </cacheField>
    <cacheField name="Entitled?" numFmtId="0">
      <sharedItems/>
    </cacheField>
    <cacheField name="Committed?" numFmtId="0">
      <sharedItems/>
    </cacheField>
    <cacheField name="#Tests" numFmtId="0">
      <sharedItems containsSemiMixedTypes="0" containsString="0" containsNumber="1" containsInteger="1" minValue="0" maxValue="47"/>
    </cacheField>
    <cacheField name="%TP" numFmtId="9">
      <sharedItems containsSemiMixedTypes="0" containsString="0" containsNumber="1" minValue="0" maxValue="1"/>
    </cacheField>
    <cacheField name="%Code" numFmtId="9">
      <sharedItems containsSemiMixedTypes="0" containsString="0" containsNumber="1" minValue="0" maxValue="1"/>
    </cacheField>
    <cacheField name="Planned" numFmtId="1">
      <sharedItems containsSemiMixedTypes="0" containsString="0" containsNumber="1" containsInteger="1" minValue="0" maxValue="39"/>
    </cacheField>
    <cacheField name="#Passed" numFmtId="1">
      <sharedItems containsSemiMixedTypes="0" containsString="0" containsNumber="1" containsInteger="1" minValue="0" maxValue="26"/>
    </cacheField>
    <cacheField name="% Pass Rate" numFmtId="9">
      <sharedItems containsSemiMixedTypes="0" containsString="0" containsNumber="1" minValue="0" maxValue="1"/>
    </cacheField>
    <cacheField name="#Executed" numFmtId="0">
      <sharedItems containsSemiMixedTypes="0" containsString="0" containsNumber="1" containsInteger="1" minValue="0" maxValue="43"/>
    </cacheField>
    <cacheField name="#Passed2" numFmtId="0">
      <sharedItems containsSemiMixedTypes="0" containsString="0" containsNumber="1" containsInteger="1" minValue="0" maxValue="33"/>
    </cacheField>
    <cacheField name="% Coverage" numFmtId="9">
      <sharedItems containsSemiMixedTypes="0" containsString="0" containsNumber="1" minValue="0" maxValue="1"/>
    </cacheField>
    <cacheField name="% Pass Rate2" numFmtId="9">
      <sharedItems containsSemiMixedTypes="0" containsString="0" containsNumber="1" minValue="0" maxValue="1"/>
    </cacheField>
    <cacheField name="% Validated" numFmtId="9">
      <sharedItems containsSemiMixedTypes="0" containsString="0" containsNumber="1" minValue="0" maxValue="1"/>
    </cacheField>
    <cacheField name="ETA" numFmtId="0">
      <sharedItems count="9">
        <s v="wk-1"/>
        <s v="wk-2"/>
        <s v="wk-3"/>
        <s v="wk-4"/>
        <s v="N/A"/>
        <s v="wk-5"/>
        <s v="wk-6"/>
        <s v="wk-7"/>
        <s v="wk-8"/>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
  <r>
    <s v="EX-FEAT-01"/>
    <s v="P1"/>
    <s v="tcid101.001, tcid102.002, tcid103.003, tcid104.004, tcid105.005, tcid106.006, tcid107.007, tcid111.011, tcid121.021, tcid201.101, tcid301.201, "/>
    <n v="4"/>
    <s v="SB-1"/>
    <s v="Yes"/>
    <s v="Yes"/>
    <n v="47"/>
    <n v="0.6436170212765957"/>
    <n v="0.33510638297872342"/>
    <n v="39"/>
    <n v="24"/>
    <n v="0.61538461538461542"/>
    <n v="43"/>
    <n v="33"/>
    <n v="0.91489361702127658"/>
    <n v="0.76744186046511631"/>
    <n v="0.7021276595744681"/>
    <x v="0"/>
  </r>
  <r>
    <s v="EX-FEAT-02"/>
    <s v="P3"/>
    <s v="tcid202.102, tcid302.202, "/>
    <n v="8"/>
    <s v="SB-2"/>
    <s v="Yes"/>
    <s v="Yes"/>
    <n v="2"/>
    <n v="0.875"/>
    <n v="0.75"/>
    <n v="0"/>
    <n v="0"/>
    <n v="0"/>
    <n v="2"/>
    <n v="0"/>
    <n v="1"/>
    <n v="0"/>
    <n v="0"/>
    <x v="0"/>
  </r>
  <r>
    <s v="EX-FEAT-03"/>
    <s v="P2"/>
    <s v="tcid203.103, tcid303.203, "/>
    <n v="8"/>
    <s v="SB-1"/>
    <s v="Yes"/>
    <s v="Yes"/>
    <n v="2"/>
    <n v="0.875"/>
    <n v="0.75"/>
    <n v="1"/>
    <n v="0"/>
    <n v="0"/>
    <n v="1"/>
    <n v="0"/>
    <n v="0.5"/>
    <n v="0"/>
    <n v="0"/>
    <x v="1"/>
  </r>
  <r>
    <s v="EX-FEAT-04"/>
    <s v="P1"/>
    <s v="tcid204.104, tcid205.105, tcid206.106, tcid207.107, tcid304.204, "/>
    <n v="12"/>
    <s v="SB-2"/>
    <s v="Yes"/>
    <s v="Yes"/>
    <n v="5"/>
    <n v="1"/>
    <n v="0.85"/>
    <n v="0"/>
    <n v="0"/>
    <n v="0"/>
    <n v="3"/>
    <n v="2"/>
    <n v="0.6"/>
    <n v="0.66666666666666663"/>
    <n v="0.39999999999999997"/>
    <x v="2"/>
  </r>
  <r>
    <s v="EX-FEAT-05"/>
    <s v="P1"/>
    <s v="tcid305.205, "/>
    <n v="16"/>
    <s v="SB-3"/>
    <s v="Yes"/>
    <s v="Yes"/>
    <n v="1"/>
    <n v="1"/>
    <n v="0.25"/>
    <n v="0"/>
    <n v="0"/>
    <n v="0"/>
    <n v="1"/>
    <n v="0"/>
    <n v="1"/>
    <n v="0"/>
    <n v="0"/>
    <x v="3"/>
  </r>
  <r>
    <s v="EX-FEAT-06"/>
    <s v="P1"/>
    <s v="tcid306.206, tcid306.207, tcid306.208, tcid306.209, tcid306.210, tcid306.211, tcid306.212, tcid306.213, tcid306.214, tcid306.215, tcid306.216, tcid306.217, tcid306.218, tcid306.219, tcid306.220, "/>
    <n v="4"/>
    <s v="SB-1"/>
    <s v="Yes"/>
    <s v="Yes"/>
    <n v="15"/>
    <n v="0.8666666666666667"/>
    <n v="0.6333333333333333"/>
    <n v="1"/>
    <n v="1"/>
    <n v="1"/>
    <n v="6"/>
    <n v="0"/>
    <n v="0.4"/>
    <n v="0"/>
    <n v="0"/>
    <x v="0"/>
  </r>
  <r>
    <s v="EX-FEAT-07"/>
    <s v="P3"/>
    <s v=""/>
    <n v="0"/>
    <e v="#N/A"/>
    <s v="No"/>
    <s v="No"/>
    <n v="0"/>
    <n v="0"/>
    <n v="0"/>
    <n v="0"/>
    <n v="0"/>
    <n v="0"/>
    <n v="0"/>
    <n v="0"/>
    <n v="0"/>
    <n v="0"/>
    <n v="0"/>
    <x v="4"/>
  </r>
  <r>
    <s v="EX-FEAT-08"/>
    <s v="P3"/>
    <s v="tcid108.008, tcid208.108, "/>
    <n v="16"/>
    <s v="SB-2"/>
    <s v="Yes"/>
    <s v="Yes"/>
    <n v="2"/>
    <n v="1"/>
    <n v="0.625"/>
    <n v="1"/>
    <n v="1"/>
    <n v="1"/>
    <n v="2"/>
    <n v="2"/>
    <n v="1"/>
    <n v="1"/>
    <n v="1"/>
    <x v="1"/>
  </r>
  <r>
    <s v="EX-FEAT-09"/>
    <s v="P2"/>
    <s v="tcid109.009, tcid209.109, "/>
    <n v="40"/>
    <s v="SB-5"/>
    <s v="Yes"/>
    <s v="Yes"/>
    <n v="2"/>
    <n v="1"/>
    <n v="1"/>
    <n v="0"/>
    <n v="0"/>
    <n v="0"/>
    <n v="2"/>
    <n v="1"/>
    <n v="1"/>
    <n v="0.5"/>
    <n v="0.5"/>
    <x v="1"/>
  </r>
  <r>
    <s v="EX-FEAT-10"/>
    <s v="P2"/>
    <s v="tcid110.010, tcid210.110, tcid211.111, tcid212.112, tcid213.113, tcid214.114, tcid215.115, tcid216.116, tcid300.200, tcid500.400, "/>
    <n v="4"/>
    <s v="SB-2"/>
    <s v="Yes"/>
    <s v="Yes"/>
    <n v="10"/>
    <n v="0.875"/>
    <n v="0.75"/>
    <n v="1"/>
    <n v="0"/>
    <n v="0"/>
    <n v="10"/>
    <n v="7"/>
    <n v="1"/>
    <n v="0.7"/>
    <n v="0.7"/>
    <x v="1"/>
  </r>
  <r>
    <s v="EX-FEAT-11"/>
    <s v="P2"/>
    <s v="tcid111.011, tcid112.012, tcid113.013, tcid114.014, tcid115.015, tcid116.016, "/>
    <n v="16"/>
    <s v="SB-3"/>
    <s v="Yes"/>
    <s v="Yes"/>
    <n v="21"/>
    <n v="0.80952380952380953"/>
    <n v="0.59523809523809523"/>
    <n v="20"/>
    <n v="7"/>
    <n v="0.35"/>
    <n v="16"/>
    <n v="15"/>
    <n v="0.76190476190476186"/>
    <n v="0.9375"/>
    <n v="0.71428571428571419"/>
    <x v="2"/>
  </r>
  <r>
    <s v="EX-FEAT-12"/>
    <s v="P1"/>
    <s v=""/>
    <n v="0"/>
    <e v="#N/A"/>
    <s v="No"/>
    <s v="No"/>
    <n v="0"/>
    <n v="0"/>
    <n v="0"/>
    <n v="0"/>
    <n v="0"/>
    <n v="0"/>
    <n v="0"/>
    <n v="0"/>
    <n v="0"/>
    <n v="0"/>
    <n v="0"/>
    <x v="4"/>
  </r>
  <r>
    <s v="EX-FEAT-13"/>
    <s v="P1"/>
    <s v=""/>
    <n v="0"/>
    <e v="#N/A"/>
    <s v="No"/>
    <s v="No"/>
    <n v="0"/>
    <n v="0"/>
    <n v="0"/>
    <n v="0"/>
    <n v="0"/>
    <n v="0"/>
    <n v="0"/>
    <n v="0"/>
    <n v="0"/>
    <n v="0"/>
    <n v="0"/>
    <x v="4"/>
  </r>
  <r>
    <s v="EX-FEAT-14"/>
    <s v="P2"/>
    <s v=""/>
    <n v="0"/>
    <e v="#N/A"/>
    <s v="No"/>
    <s v="No"/>
    <n v="0"/>
    <n v="0"/>
    <n v="0"/>
    <n v="0"/>
    <n v="0"/>
    <n v="0"/>
    <n v="0"/>
    <n v="0"/>
    <n v="0"/>
    <n v="0"/>
    <n v="0"/>
    <x v="4"/>
  </r>
  <r>
    <s v="EX-FEAT-15"/>
    <s v="P1"/>
    <s v=""/>
    <n v="0"/>
    <e v="#N/A"/>
    <s v="No"/>
    <s v="No"/>
    <n v="0"/>
    <n v="0"/>
    <n v="0"/>
    <n v="0"/>
    <n v="0"/>
    <n v="0"/>
    <n v="0"/>
    <n v="0"/>
    <n v="0"/>
    <n v="0"/>
    <n v="0"/>
    <x v="4"/>
  </r>
  <r>
    <s v="EX-FEAT-16"/>
    <s v="P2"/>
    <s v=""/>
    <n v="0"/>
    <e v="#N/A"/>
    <s v="No"/>
    <s v="No"/>
    <n v="0"/>
    <n v="0"/>
    <n v="0"/>
    <n v="0"/>
    <n v="0"/>
    <n v="0"/>
    <n v="0"/>
    <n v="0"/>
    <n v="0"/>
    <n v="0"/>
    <n v="0"/>
    <x v="4"/>
  </r>
  <r>
    <s v="EX-FEAT-17"/>
    <s v="P1"/>
    <s v="tcid117.017, tcid217.117, "/>
    <n v="4"/>
    <s v="SB-2"/>
    <s v="Yes"/>
    <s v="Yes"/>
    <n v="2"/>
    <n v="1"/>
    <n v="0.625"/>
    <n v="1"/>
    <n v="0"/>
    <n v="0"/>
    <n v="2"/>
    <n v="2"/>
    <n v="1"/>
    <n v="1"/>
    <n v="1"/>
    <x v="2"/>
  </r>
  <r>
    <s v="EX-FEAT-18"/>
    <s v="P3"/>
    <s v="tcid118.018, tcid218.118, tcid418.318, "/>
    <n v="4"/>
    <s v="SB-3"/>
    <s v="Yes"/>
    <s v="Yes"/>
    <n v="3"/>
    <n v="0.83333333333333337"/>
    <n v="0.58333333333333337"/>
    <n v="0"/>
    <n v="0"/>
    <n v="0"/>
    <n v="3"/>
    <n v="2"/>
    <n v="1"/>
    <n v="0.66666666666666663"/>
    <n v="0.66666666666666663"/>
    <x v="5"/>
  </r>
  <r>
    <s v="EX-FEAT-19"/>
    <s v="P3"/>
    <s v="tcid119.019, tcid219.119, tcid419.319, "/>
    <n v="8"/>
    <s v="SB-1"/>
    <s v="Yes"/>
    <s v="Yes"/>
    <n v="4"/>
    <n v="0.6875"/>
    <n v="0.4375"/>
    <n v="3"/>
    <n v="3"/>
    <n v="1"/>
    <n v="4"/>
    <n v="3"/>
    <n v="1"/>
    <n v="0.75"/>
    <n v="0.75"/>
    <x v="6"/>
  </r>
  <r>
    <s v="EX-FEAT-20"/>
    <s v="P3"/>
    <s v="tcid120.020, tcid220.120, tcid420.320, "/>
    <n v="8"/>
    <s v="SB-7"/>
    <s v="Yes"/>
    <s v="Yes"/>
    <n v="3"/>
    <n v="0.75"/>
    <n v="0.41666666666666669"/>
    <n v="2"/>
    <n v="1"/>
    <n v="0.5"/>
    <n v="3"/>
    <n v="2"/>
    <n v="1"/>
    <n v="0.66666666666666663"/>
    <n v="0.66666666666666663"/>
    <x v="6"/>
  </r>
  <r>
    <s v="EX-FEAT-21"/>
    <s v="P3"/>
    <s v="tcid121.021, tcid221.121, tcid321.221, tcid421.321, "/>
    <n v="6"/>
    <s v="SB-4"/>
    <s v="Yes"/>
    <s v="Yes"/>
    <n v="9"/>
    <n v="0.66666666666666663"/>
    <n v="0.27777777777777779"/>
    <n v="2"/>
    <n v="1"/>
    <n v="0.5"/>
    <n v="8"/>
    <n v="7"/>
    <n v="0.88888888888888884"/>
    <n v="0.875"/>
    <n v="0.77777777777777768"/>
    <x v="3"/>
  </r>
  <r>
    <s v="EX-FEAT-22"/>
    <s v="P2"/>
    <s v="tcid122.022, tcid222.122, tcid223.123, tcid224.124, tcid225.125, tcid226.126, tcid227.127, tcid322.222, tcid422.322, "/>
    <n v="8"/>
    <s v="SB-2"/>
    <s v="Yes"/>
    <s v="Yes"/>
    <n v="9"/>
    <n v="0.83333333333333337"/>
    <n v="0.75"/>
    <n v="3"/>
    <n v="1"/>
    <n v="0.33333333333333331"/>
    <n v="8"/>
    <n v="8"/>
    <n v="0.88888888888888884"/>
    <n v="1"/>
    <n v="0.88888888888888884"/>
    <x v="2"/>
  </r>
  <r>
    <s v="EX-FEAT-23"/>
    <s v="P2"/>
    <s v="tcid123.023, tcid323.223, tcid423.323, "/>
    <n v="8"/>
    <s v="SB-1"/>
    <s v="Yes"/>
    <s v="Yes"/>
    <n v="9"/>
    <n v="0.97222222222222221"/>
    <n v="0.72222222222222221"/>
    <n v="9"/>
    <n v="1"/>
    <n v="0.1111111111111111"/>
    <n v="7"/>
    <n v="7"/>
    <n v="0.77777777777777779"/>
    <n v="1"/>
    <n v="0.77777777777777779"/>
    <x v="2"/>
  </r>
  <r>
    <s v="EX-FEAT-24"/>
    <s v="P1"/>
    <s v="tcid124.024, tcid125.025, tcid126.026, tcid127.027, tcid128.028, tcid129.029, tcid130.030, tcid131.031, tcid132.032, tcid133.033, tcid134.034, tcid135.035, tcid136.036, tcid137.037, tcid324.224, tcid424.324, "/>
    <n v="4"/>
    <s v="SB-3"/>
    <s v="Yes"/>
    <s v="Yes"/>
    <n v="44"/>
    <n v="0.95454545454545459"/>
    <n v="0.59090909090909094"/>
    <n v="39"/>
    <n v="26"/>
    <n v="0.66666666666666663"/>
    <n v="36"/>
    <n v="31"/>
    <n v="0.81818181818181823"/>
    <n v="0.86111111111111116"/>
    <n v="0.70454545454545459"/>
    <x v="2"/>
  </r>
  <r>
    <s v="EX-FEAT-25"/>
    <s v="P2"/>
    <s v="tcid325.225, tcid425.325, "/>
    <n v="8"/>
    <s v="SB-8"/>
    <s v="Yes"/>
    <s v="Yes"/>
    <n v="2"/>
    <n v="0.75"/>
    <n v="0.5"/>
    <n v="2"/>
    <n v="0"/>
    <n v="0"/>
    <n v="1"/>
    <n v="1"/>
    <n v="0.5"/>
    <n v="1"/>
    <n v="0.5"/>
    <x v="5"/>
  </r>
  <r>
    <s v="EX-FEAT-26"/>
    <s v="P2"/>
    <s v=""/>
    <n v="0"/>
    <e v="#N/A"/>
    <s v="No"/>
    <s v="No"/>
    <n v="0"/>
    <n v="0"/>
    <n v="0"/>
    <n v="0"/>
    <n v="0"/>
    <n v="0"/>
    <n v="0"/>
    <n v="0"/>
    <n v="0"/>
    <n v="0"/>
    <n v="0"/>
    <x v="4"/>
  </r>
  <r>
    <s v="EX-FEAT-27"/>
    <s v="P2"/>
    <s v="tcid327.227, tcid327.228, tcid327.229, tcid327.230, tcid327.231, tcid327.232, tcid327.233, tcid427.327, "/>
    <n v="6"/>
    <s v="SB-3"/>
    <s v="Yes"/>
    <s v="Yes"/>
    <n v="8"/>
    <n v="0.78125"/>
    <n v="0.46875"/>
    <n v="5"/>
    <n v="2"/>
    <n v="0.4"/>
    <n v="6"/>
    <n v="6"/>
    <n v="0.75"/>
    <n v="1"/>
    <n v="0.75"/>
    <x v="3"/>
  </r>
  <r>
    <s v="EX-FEAT-28"/>
    <s v="P3"/>
    <s v="tcid228.128, tcid428.328, "/>
    <n v="8"/>
    <s v="SB-1"/>
    <s v="Yes"/>
    <s v="Yes"/>
    <n v="2"/>
    <n v="0.75"/>
    <n v="0.625"/>
    <n v="1"/>
    <n v="1"/>
    <n v="1"/>
    <n v="2"/>
    <n v="2"/>
    <n v="1"/>
    <n v="1"/>
    <n v="1"/>
    <x v="3"/>
  </r>
  <r>
    <s v="EX-FEAT-29"/>
    <s v="P3"/>
    <s v=""/>
    <n v="0"/>
    <e v="#N/A"/>
    <s v="No"/>
    <s v="No"/>
    <n v="0"/>
    <n v="0"/>
    <n v="0"/>
    <n v="0"/>
    <n v="0"/>
    <n v="0"/>
    <n v="0"/>
    <n v="0"/>
    <n v="0"/>
    <n v="0"/>
    <n v="0"/>
    <x v="4"/>
  </r>
  <r>
    <s v="EX-FEAT-30"/>
    <s v="P1"/>
    <s v="tcid230.130, tcid230.131, tcid230.132, tcid230.133, tcid230.134, tcid230.135, tcid230.136, tcid230.137, tcid230.138, tcid430.330, "/>
    <n v="4"/>
    <s v="SB-2"/>
    <s v="Yes"/>
    <s v="Yes"/>
    <n v="10"/>
    <n v="0.9"/>
    <n v="0.77500000000000002"/>
    <n v="6"/>
    <n v="4"/>
    <n v="0.66666666666666663"/>
    <n v="10"/>
    <n v="3"/>
    <n v="1"/>
    <n v="0.3"/>
    <n v="0.3"/>
    <x v="0"/>
  </r>
  <r>
    <s v="EX-FEAT-31"/>
    <s v="P3"/>
    <s v="tcid431.331, "/>
    <n v="8"/>
    <s v="SB-3"/>
    <s v="Yes"/>
    <s v="Yes"/>
    <n v="1"/>
    <n v="1"/>
    <n v="1"/>
    <n v="0"/>
    <n v="0"/>
    <n v="0"/>
    <n v="1"/>
    <n v="0"/>
    <n v="1"/>
    <n v="0"/>
    <n v="0"/>
    <x v="5"/>
  </r>
  <r>
    <s v="EX-FEAT-32"/>
    <s v="P3"/>
    <s v="tcid432.332, "/>
    <n v="8"/>
    <s v="SB-1"/>
    <s v="Yes"/>
    <s v="Yes"/>
    <n v="1"/>
    <n v="1"/>
    <n v="1"/>
    <n v="0"/>
    <n v="0"/>
    <n v="0"/>
    <n v="1"/>
    <n v="0"/>
    <n v="1"/>
    <n v="0"/>
    <n v="0"/>
    <x v="2"/>
  </r>
  <r>
    <s v="EX-FEAT-33"/>
    <s v="P3"/>
    <s v=""/>
    <n v="0"/>
    <e v="#N/A"/>
    <s v="No"/>
    <s v="No"/>
    <n v="0"/>
    <n v="0"/>
    <n v="0"/>
    <n v="0"/>
    <n v="0"/>
    <n v="0"/>
    <n v="0"/>
    <n v="0"/>
    <n v="0"/>
    <n v="0"/>
    <n v="0"/>
    <x v="4"/>
  </r>
  <r>
    <s v="EX-FEAT-34"/>
    <s v="P2"/>
    <s v="tcid334.234, tcid434.334, "/>
    <n v="8"/>
    <s v="SB-2"/>
    <s v="Yes"/>
    <s v="Yes"/>
    <n v="2"/>
    <n v="1"/>
    <n v="1"/>
    <n v="0"/>
    <n v="0"/>
    <n v="0"/>
    <n v="2"/>
    <n v="1"/>
    <n v="1"/>
    <n v="0.5"/>
    <n v="0.5"/>
    <x v="2"/>
  </r>
  <r>
    <s v="EX-FEAT-35"/>
    <s v="P1"/>
    <s v="tcid335.235, tcid435.335, "/>
    <n v="8"/>
    <s v="SB-4"/>
    <s v="Yes"/>
    <s v="Yes"/>
    <n v="2"/>
    <n v="1"/>
    <n v="1"/>
    <n v="1"/>
    <n v="0"/>
    <n v="0"/>
    <n v="2"/>
    <n v="1"/>
    <n v="1"/>
    <n v="0.5"/>
    <n v="0.5"/>
    <x v="3"/>
  </r>
  <r>
    <s v="EX-FEAT-36"/>
    <s v="P2"/>
    <s v=""/>
    <n v="0"/>
    <e v="#N/A"/>
    <s v="No"/>
    <s v="No"/>
    <n v="0"/>
    <n v="0"/>
    <n v="0"/>
    <n v="0"/>
    <n v="0"/>
    <n v="0"/>
    <n v="0"/>
    <n v="0"/>
    <n v="0"/>
    <n v="0"/>
    <n v="0"/>
    <x v="4"/>
  </r>
  <r>
    <s v="EX-FEAT-37"/>
    <s v="P3"/>
    <s v="tcid337.237, tcid437.337, "/>
    <n v="8"/>
    <s v="SB-1"/>
    <s v="Yes"/>
    <s v="Yes"/>
    <n v="2"/>
    <n v="0.75"/>
    <n v="0.625"/>
    <n v="1"/>
    <n v="1"/>
    <n v="1"/>
    <n v="2"/>
    <n v="1"/>
    <n v="1"/>
    <n v="0.5"/>
    <n v="0.5"/>
    <x v="7"/>
  </r>
  <r>
    <s v="EX-FEAT-38"/>
    <s v="P1"/>
    <s v="tcid138.038, tcid338.238, tcid438.338, "/>
    <n v="8"/>
    <s v="SB-6"/>
    <s v="Yes"/>
    <s v="Yes"/>
    <n v="3"/>
    <n v="0.83333333333333337"/>
    <n v="0.66666666666666663"/>
    <n v="2"/>
    <n v="2"/>
    <n v="1"/>
    <n v="2"/>
    <n v="1"/>
    <n v="0.66666666666666663"/>
    <n v="0.5"/>
    <n v="0.33333333333333331"/>
    <x v="0"/>
  </r>
  <r>
    <s v="EX-FEAT-39"/>
    <s v="P2"/>
    <s v="tcid139.039, tcid239.139, tcid339.239, tcid439.339, "/>
    <n v="6"/>
    <s v="SB-8"/>
    <s v="Yes"/>
    <s v="Yes"/>
    <n v="4"/>
    <n v="0.75"/>
    <n v="0.625"/>
    <n v="3"/>
    <n v="1"/>
    <n v="0.33333333333333331"/>
    <n v="3"/>
    <n v="2"/>
    <n v="0.75"/>
    <n v="0.66666666666666663"/>
    <n v="0.5"/>
    <x v="3"/>
  </r>
  <r>
    <s v="EX-FEAT-40"/>
    <s v="P1"/>
    <s v="tcid140.040, tcid240.140, tcid340.240, tcid440.340, "/>
    <n v="8"/>
    <s v="SB-2"/>
    <s v="Yes"/>
    <s v="Yes"/>
    <n v="4"/>
    <n v="0.75"/>
    <n v="0.625"/>
    <n v="3"/>
    <n v="1"/>
    <n v="0.33333333333333331"/>
    <n v="4"/>
    <n v="3"/>
    <n v="1"/>
    <n v="0.75"/>
    <n v="0.75"/>
    <x v="1"/>
  </r>
  <r>
    <s v="EX-FEAT-41"/>
    <s v="P1"/>
    <s v="tcid141.041, tcid241.141, tcid341.241, tcid441.341, "/>
    <n v="8"/>
    <s v="SB-2"/>
    <s v="Yes"/>
    <s v="Yes"/>
    <n v="4"/>
    <n v="0.8125"/>
    <n v="0.4375"/>
    <n v="2"/>
    <n v="0"/>
    <n v="0"/>
    <n v="3"/>
    <n v="2"/>
    <n v="0.75"/>
    <n v="0.66666666666666663"/>
    <n v="0.5"/>
    <x v="0"/>
  </r>
  <r>
    <s v="EX-FEAT-42"/>
    <s v="P1"/>
    <s v="tcid142.042, tcid242.142, tcid342.242, tcid442.342, "/>
    <n v="4"/>
    <s v="SB-3"/>
    <s v="Yes"/>
    <s v="Yes"/>
    <n v="4"/>
    <n v="0.75"/>
    <n v="0.5625"/>
    <n v="1"/>
    <n v="1"/>
    <n v="1"/>
    <n v="3"/>
    <n v="2"/>
    <n v="0.75"/>
    <n v="0.66666666666666663"/>
    <n v="0.5"/>
    <x v="0"/>
  </r>
  <r>
    <s v="EX-FEAT-43"/>
    <s v="P3"/>
    <s v="tcid143.043, tcid243.143, tcid343.243, tcid443.343, "/>
    <n v="8"/>
    <s v="SB-2"/>
    <s v="Yes"/>
    <s v="Yes"/>
    <n v="9"/>
    <n v="0.97222222222222221"/>
    <n v="0.94444444444444442"/>
    <n v="8"/>
    <n v="7"/>
    <n v="0.875"/>
    <n v="9"/>
    <n v="8"/>
    <n v="1"/>
    <n v="0.88888888888888884"/>
    <n v="0.88888888888888884"/>
    <x v="6"/>
  </r>
  <r>
    <s v="EX-FEAT-44"/>
    <s v="P2"/>
    <s v="tcid144.044, tcid145.045, tcid146.046, tcid147.047, tcid148.048, tcid149.049, tcid150.050, tcid151.051, tcid152.052, tcid244.144, tcid244.145, tcid244.146, tcid244.147, tcid244.148, tcid244.149, tcid244.150, tcid244.151, tcid244.152, tcid244.153, tcid244.154, tcid244.155, tcid244.156, tcid344.244, tcid444.344, "/>
    <n v="8"/>
    <s v="SB-2"/>
    <s v="Yes"/>
    <s v="Yes"/>
    <n v="27"/>
    <n v="0.87037037037037035"/>
    <n v="0.78703703703703709"/>
    <n v="10"/>
    <n v="3"/>
    <n v="0.3"/>
    <n v="24"/>
    <n v="11"/>
    <n v="0.88888888888888884"/>
    <n v="0.45833333333333331"/>
    <n v="0.40740740740740738"/>
    <x v="3"/>
  </r>
  <r>
    <s v="EX-FEAT-45"/>
    <s v="P1"/>
    <s v=""/>
    <n v="0"/>
    <e v="#N/A"/>
    <s v="No"/>
    <s v="No"/>
    <n v="0"/>
    <n v="0"/>
    <n v="0"/>
    <n v="0"/>
    <n v="0"/>
    <n v="0"/>
    <n v="0"/>
    <n v="0"/>
    <n v="0"/>
    <n v="0"/>
    <n v="0"/>
    <x v="4"/>
  </r>
  <r>
    <s v="EX-FEAT-46"/>
    <s v="P3"/>
    <s v="tcid346.246, tcid347.247, tcid348.248, tcid349.249, tcid350.250, tcid351.251, tcid446.346, "/>
    <n v="8"/>
    <s v="SB-1"/>
    <s v="Yes"/>
    <s v="Yes"/>
    <n v="7"/>
    <n v="0.9285714285714286"/>
    <n v="0.7142857142857143"/>
    <n v="5"/>
    <n v="3"/>
    <n v="0.6"/>
    <n v="6"/>
    <n v="6"/>
    <n v="0.8571428571428571"/>
    <n v="1"/>
    <n v="0.8571428571428571"/>
    <x v="1"/>
  </r>
  <r>
    <s v="EX-FEAT-47"/>
    <s v="P2"/>
    <s v="tcid447.347, "/>
    <n v="8"/>
    <s v="SB-5"/>
    <s v="Yes"/>
    <s v="Yes"/>
    <n v="1"/>
    <n v="1"/>
    <n v="1"/>
    <n v="0"/>
    <n v="0"/>
    <n v="0"/>
    <n v="0"/>
    <n v="0"/>
    <n v="0"/>
    <n v="0"/>
    <n v="0"/>
    <x v="1"/>
  </r>
  <r>
    <s v="EX-FEAT-48"/>
    <s v="P1"/>
    <s v="tcid448.348, "/>
    <n v="4"/>
    <s v="SB-3"/>
    <s v="Yes"/>
    <s v="Yes"/>
    <n v="1"/>
    <n v="1"/>
    <n v="1"/>
    <n v="0"/>
    <n v="0"/>
    <n v="0"/>
    <n v="0"/>
    <n v="0"/>
    <n v="0"/>
    <n v="0"/>
    <n v="0"/>
    <x v="1"/>
  </r>
  <r>
    <s v="EX-FEAT-49"/>
    <s v="P1"/>
    <s v=""/>
    <n v="0"/>
    <e v="#N/A"/>
    <s v="No"/>
    <s v="No"/>
    <n v="0"/>
    <n v="0"/>
    <n v="0"/>
    <n v="0"/>
    <n v="0"/>
    <n v="0"/>
    <n v="0"/>
    <n v="0"/>
    <n v="0"/>
    <n v="0"/>
    <n v="0"/>
    <x v="4"/>
  </r>
  <r>
    <s v="EX-FEAT-50"/>
    <s v="P2"/>
    <s v="tcid450.350, "/>
    <n v="8"/>
    <s v="SB-8"/>
    <s v="Yes"/>
    <s v="Yes"/>
    <n v="1"/>
    <n v="0.75"/>
    <n v="0.75"/>
    <n v="1"/>
    <n v="1"/>
    <n v="1"/>
    <n v="0"/>
    <n v="0"/>
    <n v="0"/>
    <n v="0"/>
    <n v="0"/>
    <x v="3"/>
  </r>
  <r>
    <s v="EX-FEAT-51"/>
    <s v="P1"/>
    <s v="tcid451.351, "/>
    <n v="6"/>
    <s v="SB-1"/>
    <s v="Yes"/>
    <s v="Yes"/>
    <n v="1"/>
    <n v="0.75"/>
    <n v="0.75"/>
    <n v="0"/>
    <n v="0"/>
    <n v="0"/>
    <n v="0"/>
    <n v="0"/>
    <n v="0"/>
    <n v="0"/>
    <n v="0"/>
    <x v="3"/>
  </r>
  <r>
    <s v="EX-FEAT-52"/>
    <s v="P2"/>
    <s v="tcid352.252, tcid452.352, "/>
    <n v="8"/>
    <s v="SB-2"/>
    <s v="Yes"/>
    <s v="Yes"/>
    <n v="2"/>
    <n v="0.875"/>
    <n v="0.625"/>
    <n v="1"/>
    <n v="1"/>
    <n v="1"/>
    <n v="2"/>
    <n v="2"/>
    <n v="1"/>
    <n v="1"/>
    <n v="1"/>
    <x v="3"/>
  </r>
  <r>
    <s v="EX-FEAT-53"/>
    <s v="P3"/>
    <s v="tcid153.053, tcid353.253, tcid453.353, "/>
    <n v="8"/>
    <s v="SB-4"/>
    <s v="Yes"/>
    <s v="Yes"/>
    <n v="3"/>
    <n v="1"/>
    <n v="0.75"/>
    <n v="3"/>
    <n v="0"/>
    <n v="0"/>
    <n v="3"/>
    <n v="3"/>
    <n v="1"/>
    <n v="1"/>
    <n v="1"/>
    <x v="1"/>
  </r>
  <r>
    <s v="EX-FEAT-54"/>
    <s v="P1"/>
    <s v=""/>
    <n v="0"/>
    <e v="#N/A"/>
    <s v="No"/>
    <s v="No"/>
    <n v="0"/>
    <n v="0"/>
    <n v="0"/>
    <n v="0"/>
    <n v="0"/>
    <n v="0"/>
    <n v="0"/>
    <n v="0"/>
    <n v="0"/>
    <n v="0"/>
    <n v="0"/>
    <x v="4"/>
  </r>
  <r>
    <s v="EX-FEAT-55"/>
    <s v="P3"/>
    <s v="tcid155.055, tcid355.255, tcid455.355, "/>
    <n v="8"/>
    <s v="SB-3"/>
    <s v="Yes"/>
    <s v="Yes"/>
    <n v="3"/>
    <n v="0.66666666666666663"/>
    <n v="0.33333333333333331"/>
    <n v="0"/>
    <n v="0"/>
    <n v="0"/>
    <n v="3"/>
    <n v="2"/>
    <n v="1"/>
    <n v="0.66666666666666663"/>
    <n v="0.66666666666666663"/>
    <x v="2"/>
  </r>
  <r>
    <s v="EX-FEAT-56"/>
    <s v="P1"/>
    <s v="tcid156.056, tcid356.256, tcid357.257, tcid358.258, tcid359.259, tcid456.356, "/>
    <n v="8"/>
    <s v="SB-5"/>
    <s v="Yes"/>
    <s v="Yes"/>
    <n v="6"/>
    <n v="0.83333333333333337"/>
    <n v="0.75"/>
    <n v="5"/>
    <n v="2"/>
    <n v="0.4"/>
    <n v="6"/>
    <n v="2"/>
    <n v="1"/>
    <n v="0.33333333333333331"/>
    <n v="0.33333333333333331"/>
    <x v="1"/>
  </r>
  <r>
    <s v="EX-FEAT-57"/>
    <s v="P3"/>
    <s v="tcid157.057, tcid257.157, tcid457.357, "/>
    <n v="6"/>
    <s v="SB-2"/>
    <s v="Yes"/>
    <s v="Yes"/>
    <n v="3"/>
    <n v="1"/>
    <n v="1"/>
    <n v="2"/>
    <n v="1"/>
    <n v="0.5"/>
    <n v="3"/>
    <n v="2"/>
    <n v="1"/>
    <n v="0.66666666666666663"/>
    <n v="0.66666666666666663"/>
    <x v="3"/>
  </r>
  <r>
    <s v="EX-FEAT-58"/>
    <s v="P3"/>
    <s v=""/>
    <n v="0"/>
    <e v="#N/A"/>
    <s v="No"/>
    <s v="No"/>
    <n v="0"/>
    <n v="0"/>
    <n v="0"/>
    <n v="0"/>
    <n v="0"/>
    <n v="0"/>
    <n v="0"/>
    <n v="0"/>
    <n v="0"/>
    <n v="0"/>
    <n v="0"/>
    <x v="4"/>
  </r>
  <r>
    <s v="EX-FEAT-59"/>
    <s v="P3"/>
    <s v="tcid159.059, tcid259.159, tcid459.359, "/>
    <n v="8"/>
    <s v="SB-4"/>
    <s v="Yes"/>
    <s v="Yes"/>
    <n v="3"/>
    <n v="0.91666666666666663"/>
    <n v="0.83333333333333337"/>
    <n v="0"/>
    <n v="0"/>
    <n v="0"/>
    <n v="2"/>
    <n v="2"/>
    <n v="0.66666666666666663"/>
    <n v="1"/>
    <n v="0.66666666666666663"/>
    <x v="1"/>
  </r>
  <r>
    <s v="EX-FEAT-60"/>
    <s v="P3"/>
    <s v="tcid160.060, tcid260.160, tcid260.161, tcid260.162, tcid260.163, tcid360.260, tcid460.360, "/>
    <n v="6"/>
    <s v="SB-3"/>
    <s v="Yes"/>
    <s v="Yes"/>
    <n v="7"/>
    <n v="0.8928571428571429"/>
    <n v="0.7142857142857143"/>
    <n v="3"/>
    <n v="1"/>
    <n v="0.33333333333333331"/>
    <n v="6"/>
    <n v="5"/>
    <n v="0.8571428571428571"/>
    <n v="0.83333333333333337"/>
    <n v="0.7142857142857143"/>
    <x v="1"/>
  </r>
  <r>
    <s v="EX-FEAT-61"/>
    <s v="P3"/>
    <s v="tcid161.061, tcid361.261, tcid461.361, "/>
    <n v="80"/>
    <s v="SB-2"/>
    <s v="Yes"/>
    <s v="Yes"/>
    <n v="3"/>
    <n v="0.66666666666666663"/>
    <n v="0.25"/>
    <n v="2"/>
    <n v="2"/>
    <n v="1"/>
    <n v="3"/>
    <n v="2"/>
    <n v="1"/>
    <n v="0.66666666666666663"/>
    <n v="0.66666666666666663"/>
    <x v="5"/>
  </r>
  <r>
    <s v="EX-FEAT-62"/>
    <s v="P2"/>
    <s v="tcid162.062, tcid362.262, tcid462.362, "/>
    <n v="4"/>
    <s v="SB-6"/>
    <s v="Yes"/>
    <s v="Yes"/>
    <n v="3"/>
    <n v="0.75"/>
    <n v="0.66666666666666663"/>
    <n v="1"/>
    <n v="1"/>
    <n v="1"/>
    <n v="3"/>
    <n v="3"/>
    <n v="1"/>
    <n v="1"/>
    <n v="1"/>
    <x v="7"/>
  </r>
  <r>
    <s v="EX-FEAT-63"/>
    <s v="P2"/>
    <s v="tcid163.063, tcid164.064, tcid165.065, tcid166.066, tcid167.067, tcid363.263, tcid463.363, "/>
    <n v="4"/>
    <s v="SB-8"/>
    <s v="Yes"/>
    <s v="Yes"/>
    <n v="7"/>
    <n v="0.8928571428571429"/>
    <n v="0.7857142857142857"/>
    <n v="7"/>
    <n v="4"/>
    <n v="0.5714285714285714"/>
    <n v="7"/>
    <n v="7"/>
    <n v="1"/>
    <n v="1"/>
    <n v="1"/>
    <x v="5"/>
  </r>
  <r>
    <s v="EX-FEAT-64"/>
    <s v="P3"/>
    <s v="tcid264.164, tcid364.264, tcid464.364, "/>
    <n v="4"/>
    <s v="SB-2"/>
    <s v="Yes"/>
    <s v="Yes"/>
    <n v="3"/>
    <n v="0.91666666666666663"/>
    <n v="0.91666666666666663"/>
    <n v="2"/>
    <n v="0"/>
    <n v="0"/>
    <n v="3"/>
    <n v="3"/>
    <n v="1"/>
    <n v="1"/>
    <n v="1"/>
    <x v="8"/>
  </r>
  <r>
    <s v="EX-FEAT-65"/>
    <s v="P3"/>
    <s v="tcid265.165, tcid265.166, tcid265.167, tcid265.168, tcid265.169, tcid265.170, tcid265.171, tcid265.172, tcid265.173, tcid265.174, tcid265.175, tcid265.176, tcid265.177, tcid265.178, tcid265.179, tcid365.265, tcid465.365, "/>
    <n v="8"/>
    <s v="SB-7"/>
    <s v="Yes"/>
    <s v="Yes"/>
    <n v="17"/>
    <n v="0.76470588235294112"/>
    <n v="0.61764705882352944"/>
    <n v="1"/>
    <n v="1"/>
    <n v="1"/>
    <n v="17"/>
    <n v="17"/>
    <n v="1"/>
    <n v="1"/>
    <n v="1"/>
    <x v="3"/>
  </r>
  <r>
    <s v="EX-FEAT-66"/>
    <s v="P3"/>
    <s v="tcid366.266, tcid466.366, "/>
    <n v="8"/>
    <s v="SB-3"/>
    <s v="Yes"/>
    <s v="Yes"/>
    <n v="2"/>
    <n v="0.875"/>
    <n v="0.75"/>
    <n v="2"/>
    <n v="2"/>
    <n v="1"/>
    <n v="2"/>
    <n v="2"/>
    <n v="1"/>
    <n v="1"/>
    <n v="1"/>
    <x v="3"/>
  </r>
  <r>
    <s v="EX-FEAT-67"/>
    <s v="P3"/>
    <s v="tcid367.267, tcid467.367, "/>
    <n v="4"/>
    <s v="SB-4"/>
    <s v="Yes"/>
    <s v="Yes"/>
    <n v="2"/>
    <n v="0.875"/>
    <n v="0.75"/>
    <n v="1"/>
    <n v="0"/>
    <n v="0"/>
    <n v="2"/>
    <n v="2"/>
    <n v="1"/>
    <n v="1"/>
    <n v="1"/>
    <x v="5"/>
  </r>
  <r>
    <s v="EX-FEAT-68"/>
    <s v="P3"/>
    <s v="tcid168.068, tcid368.268, tcid468.368, "/>
    <n v="8"/>
    <s v="SB-5"/>
    <s v="Yes"/>
    <s v="Yes"/>
    <n v="3"/>
    <n v="0.91666666666666663"/>
    <n v="0.83333333333333337"/>
    <n v="2"/>
    <n v="0"/>
    <n v="0"/>
    <n v="3"/>
    <n v="3"/>
    <n v="1"/>
    <n v="1"/>
    <n v="1"/>
    <x v="6"/>
  </r>
  <r>
    <s v="EX-FEAT-69"/>
    <s v="P2"/>
    <s v="tcid169.069, tcid369.269, tcid469.369, "/>
    <n v="8"/>
    <s v="SB-8"/>
    <s v="Yes"/>
    <s v="Yes"/>
    <n v="3"/>
    <n v="0.75"/>
    <n v="0.5"/>
    <n v="3"/>
    <n v="2"/>
    <n v="0.66666666666666663"/>
    <n v="3"/>
    <n v="3"/>
    <n v="1"/>
    <n v="1"/>
    <n v="1"/>
    <x v="7"/>
  </r>
  <r>
    <s v="EX-FEAT-70"/>
    <s v="P3"/>
    <s v="tcid170.070, tcid370.270, tcid470.370, "/>
    <n v="6"/>
    <s v="SB-4"/>
    <s v="Yes"/>
    <s v="Yes"/>
    <n v="3"/>
    <n v="0.91666666666666663"/>
    <n v="0.58333333333333337"/>
    <n v="2"/>
    <n v="1"/>
    <n v="0.5"/>
    <n v="3"/>
    <n v="3"/>
    <n v="1"/>
    <n v="1"/>
    <n v="1"/>
    <x v="5"/>
  </r>
  <r>
    <s v="EX-FEAT-71"/>
    <s v="P3"/>
    <s v="tcid171.071, tcid371.271, tcid471.371, "/>
    <n v="8"/>
    <s v="SB-8"/>
    <s v="Yes"/>
    <s v="Yes"/>
    <n v="3"/>
    <n v="0.83333333333333337"/>
    <n v="0.58333333333333337"/>
    <n v="1"/>
    <n v="0"/>
    <n v="0"/>
    <n v="3"/>
    <n v="2"/>
    <n v="1"/>
    <n v="0.66666666666666663"/>
    <n v="0.66666666666666663"/>
    <x v="5"/>
  </r>
  <r>
    <s v="EX-FEAT-72"/>
    <s v="P2"/>
    <s v="tcid172.072, tcid372.272, tcid373.273, tcid374.274, tcid375.275, tcid376.276, tcid377.277, tcid378.278, tcid379.279, tcid380.280, tcid472.372, "/>
    <n v="8"/>
    <s v="SB-7"/>
    <s v="Yes"/>
    <s v="Yes"/>
    <n v="11"/>
    <n v="0.90909090909090906"/>
    <n v="0.56818181818181823"/>
    <n v="9"/>
    <n v="5"/>
    <n v="0.55555555555555558"/>
    <n v="11"/>
    <n v="2"/>
    <n v="1"/>
    <n v="0.18181818181818182"/>
    <n v="0.18181818181818182"/>
    <x v="5"/>
  </r>
  <r>
    <s v="EX-FEAT-73"/>
    <s v="P3"/>
    <s v="tcid173.073, tcid473.373, "/>
    <n v="4"/>
    <s v="SB-4"/>
    <s v="Yes"/>
    <s v="Yes"/>
    <n v="2"/>
    <n v="1"/>
    <n v="1"/>
    <n v="1"/>
    <n v="1"/>
    <n v="1"/>
    <n v="2"/>
    <n v="2"/>
    <n v="1"/>
    <n v="1"/>
    <n v="1"/>
    <x v="8"/>
  </r>
  <r>
    <s v="EX-FEAT-74"/>
    <s v="P3"/>
    <s v=""/>
    <n v="0"/>
    <e v="#N/A"/>
    <s v="No"/>
    <s v="No"/>
    <n v="0"/>
    <n v="0"/>
    <n v="0"/>
    <n v="0"/>
    <n v="0"/>
    <n v="0"/>
    <n v="0"/>
    <n v="0"/>
    <n v="0"/>
    <n v="0"/>
    <n v="0"/>
    <x v="4"/>
  </r>
  <r>
    <s v="EX-FEAT-75"/>
    <s v="P3"/>
    <s v="tcid175.075, tcid475.375, "/>
    <n v="8"/>
    <s v="SB-8"/>
    <s v="Yes"/>
    <s v="Yes"/>
    <n v="2"/>
    <n v="0.875"/>
    <n v="0.75"/>
    <n v="0"/>
    <n v="0"/>
    <n v="0"/>
    <n v="2"/>
    <n v="1"/>
    <n v="1"/>
    <n v="0.5"/>
    <n v="0.5"/>
    <x v="7"/>
  </r>
  <r>
    <s v="EX-FEAT-76"/>
    <s v="P3"/>
    <s v="tcid176.076, tcid476.376, "/>
    <n v="6"/>
    <s v="SB-8"/>
    <s v="Yes"/>
    <s v="Yes"/>
    <n v="2"/>
    <n v="0.875"/>
    <n v="0.5"/>
    <n v="1"/>
    <n v="1"/>
    <n v="1"/>
    <n v="2"/>
    <n v="1"/>
    <n v="1"/>
    <n v="0.5"/>
    <n v="0.5"/>
    <x v="5"/>
  </r>
  <r>
    <s v="EX-FEAT-77"/>
    <s v="P2"/>
    <s v="tcid177.077, tcid477.377, "/>
    <n v="8"/>
    <s v="SB-4"/>
    <s v="Yes"/>
    <s v="Yes"/>
    <n v="3"/>
    <n v="1"/>
    <n v="1"/>
    <n v="3"/>
    <n v="0"/>
    <n v="0"/>
    <n v="2"/>
    <n v="1"/>
    <n v="0.66666666666666663"/>
    <n v="0.5"/>
    <n v="0.33333333333333331"/>
    <x v="6"/>
  </r>
  <r>
    <s v="EX-FEAT-78"/>
    <s v="P2"/>
    <s v="tcid178.078, tcid478.378, "/>
    <n v="8"/>
    <s v="SB-9"/>
    <s v="Yes"/>
    <s v="Yes"/>
    <n v="2"/>
    <n v="0.625"/>
    <n v="0.5"/>
    <n v="1"/>
    <n v="1"/>
    <n v="1"/>
    <n v="2"/>
    <n v="0"/>
    <n v="1"/>
    <n v="0"/>
    <n v="0"/>
    <x v="8"/>
  </r>
  <r>
    <s v="EX-FEAT-79"/>
    <s v="P3"/>
    <s v="tcid179.079, tcid479.379, "/>
    <n v="4"/>
    <s v="SB-9"/>
    <s v="Yes"/>
    <s v="Yes"/>
    <n v="2"/>
    <n v="1"/>
    <n v="1"/>
    <n v="2"/>
    <n v="1"/>
    <n v="0.5"/>
    <n v="2"/>
    <n v="0"/>
    <n v="1"/>
    <n v="0"/>
    <n v="0"/>
    <x v="5"/>
  </r>
  <r>
    <s v="EX-FEAT-80"/>
    <s v="P3"/>
    <s v="tcid180.080, tcid181.081, tcid182.082, tcid183.083, tcid184.084, tcid185.085, tcid186.086, tcid187.087, tcid188.088, tcid189.089, tcid190.090, tcid191.091, tcid192.092, tcid193.093, tcid194.094, tcid195.095, tcid196.096, tcid197.097, tcid198.098, tcid199.099, tcid200.100, tcid280.180, tcid480.380, "/>
    <n v="8"/>
    <s v="SB-7"/>
    <s v="Yes"/>
    <s v="Yes"/>
    <n v="23"/>
    <n v="0.77173913043478259"/>
    <n v="0.64130434782608692"/>
    <n v="16"/>
    <n v="8"/>
    <n v="0.5"/>
    <n v="23"/>
    <n v="10"/>
    <n v="1"/>
    <n v="0.43478260869565216"/>
    <n v="0.43478260869565216"/>
    <x v="5"/>
  </r>
  <r>
    <s v="EX-FEAT-81"/>
    <s v="P3"/>
    <s v="tcid281.181, tcid381.281, tcid481.381, "/>
    <n v="8"/>
    <s v="SB-4"/>
    <s v="Yes"/>
    <s v="Yes"/>
    <n v="17"/>
    <n v="0.98529411764705888"/>
    <n v="0.98529411764705888"/>
    <n v="1"/>
    <n v="1"/>
    <n v="1"/>
    <n v="3"/>
    <n v="1"/>
    <n v="0.17647058823529413"/>
    <n v="0.33333333333333331"/>
    <n v="5.8823529411764705E-2"/>
    <x v="5"/>
  </r>
  <r>
    <s v="EX-FEAT-82"/>
    <s v="P3"/>
    <s v="tcid282.182, tcid382.282, tcid482.382, "/>
    <n v="6"/>
    <s v="SB-9"/>
    <s v="Yes"/>
    <s v="Yes"/>
    <n v="3"/>
    <n v="0.83333333333333337"/>
    <n v="0.58333333333333337"/>
    <n v="0"/>
    <n v="0"/>
    <n v="0"/>
    <n v="3"/>
    <n v="1"/>
    <n v="1"/>
    <n v="0.33333333333333331"/>
    <n v="0.33333333333333331"/>
    <x v="8"/>
  </r>
  <r>
    <s v="EX-FEAT-83"/>
    <s v="P3"/>
    <s v="tcid283.183, tcid383.283, tcid483.383, "/>
    <n v="8"/>
    <s v="SB-5"/>
    <s v="Yes"/>
    <s v="Yes"/>
    <n v="3"/>
    <n v="0.83333333333333337"/>
    <n v="0.66666666666666663"/>
    <n v="3"/>
    <n v="2"/>
    <n v="0.66666666666666663"/>
    <n v="2"/>
    <n v="1"/>
    <n v="0.66666666666666663"/>
    <n v="0.5"/>
    <n v="0.33333333333333331"/>
    <x v="5"/>
  </r>
  <r>
    <s v="EX-FEAT-84"/>
    <s v="P2"/>
    <s v="tcid284.184, tcid284.185, tcid284.186, tcid284.187, tcid284.188, tcid384.284, tcid484.384, "/>
    <n v="8"/>
    <s v="SB-5"/>
    <s v="Yes"/>
    <s v="Yes"/>
    <n v="7"/>
    <n v="1"/>
    <n v="0.6071428571428571"/>
    <n v="4"/>
    <n v="3"/>
    <n v="0.75"/>
    <n v="6"/>
    <n v="0"/>
    <n v="0.8571428571428571"/>
    <n v="0"/>
    <n v="0"/>
    <x v="6"/>
  </r>
  <r>
    <s v="EX-FEAT-85"/>
    <s v="P2"/>
    <s v="tcid385.285, tcid386.286, tcid387.287, tcid388.288, tcid389.289, tcid390.290, tcid391.291, tcid392.292, tcid485.385, "/>
    <n v="4"/>
    <s v="SB-9"/>
    <s v="Yes"/>
    <s v="Yes"/>
    <n v="9"/>
    <n v="0.72222222222222221"/>
    <n v="0.63888888888888884"/>
    <n v="6"/>
    <n v="4"/>
    <n v="0.66666666666666663"/>
    <n v="4"/>
    <n v="4"/>
    <n v="0.44444444444444442"/>
    <n v="1"/>
    <n v="0.44444444444444442"/>
    <x v="7"/>
  </r>
  <r>
    <s v="EX-FEAT-86"/>
    <s v="P3"/>
    <s v="tcid486.386, "/>
    <n v="8"/>
    <s v="SB-6"/>
    <s v="Yes"/>
    <s v="Yes"/>
    <n v="1"/>
    <n v="1"/>
    <n v="0.5"/>
    <n v="0"/>
    <n v="0"/>
    <n v="0"/>
    <n v="1"/>
    <n v="1"/>
    <n v="1"/>
    <n v="1"/>
    <n v="1"/>
    <x v="8"/>
  </r>
  <r>
    <s v="EX-FEAT-87"/>
    <s v="P3"/>
    <s v="tcid487.387, "/>
    <n v="8"/>
    <s v="SB-9"/>
    <s v="Yes"/>
    <s v="Yes"/>
    <n v="1"/>
    <n v="1"/>
    <n v="0.5"/>
    <n v="0"/>
    <n v="0"/>
    <n v="0"/>
    <n v="1"/>
    <n v="1"/>
    <n v="1"/>
    <n v="1"/>
    <n v="1"/>
    <x v="8"/>
  </r>
  <r>
    <s v="EX-FEAT-88"/>
    <s v="P3"/>
    <s v="tcid488.388, "/>
    <n v="6"/>
    <s v="SB-6"/>
    <s v="Yes"/>
    <s v="Yes"/>
    <n v="1"/>
    <n v="0.75"/>
    <n v="0.75"/>
    <n v="0"/>
    <n v="0"/>
    <n v="0"/>
    <n v="1"/>
    <n v="1"/>
    <n v="1"/>
    <n v="1"/>
    <n v="1"/>
    <x v="7"/>
  </r>
  <r>
    <s v="EX-FEAT-89"/>
    <s v="P3"/>
    <s v="tcid289.189, tcid489.389, "/>
    <n v="8"/>
    <s v="SB-9"/>
    <s v="Yes"/>
    <s v="Yes"/>
    <n v="2"/>
    <n v="0.875"/>
    <n v="0.875"/>
    <n v="1"/>
    <n v="1"/>
    <n v="1"/>
    <n v="2"/>
    <n v="1"/>
    <n v="1"/>
    <n v="0.5"/>
    <n v="0.5"/>
    <x v="6"/>
  </r>
  <r>
    <s v="EX-FEAT-90"/>
    <s v="P2"/>
    <s v="tcid290.190, tcid290.191, tcid290.192, tcid290.193, tcid290.194, tcid290.195, tcid290.196, tcid290.197, tcid490.390, "/>
    <n v="8"/>
    <s v="SB-6"/>
    <s v="Yes"/>
    <s v="Yes"/>
    <n v="9"/>
    <n v="0.88888888888888884"/>
    <n v="0.66666666666666663"/>
    <n v="6"/>
    <n v="3"/>
    <n v="0.5"/>
    <n v="9"/>
    <n v="8"/>
    <n v="1"/>
    <n v="0.88888888888888884"/>
    <n v="0.88888888888888884"/>
    <x v="7"/>
  </r>
  <r>
    <s v="EX-FEAT-91"/>
    <s v="P3"/>
    <s v="tcid491.391, "/>
    <n v="6"/>
    <s v="SB-8"/>
    <s v="Yes"/>
    <s v="Yes"/>
    <n v="1"/>
    <n v="0.75"/>
    <n v="0.75"/>
    <n v="0"/>
    <n v="0"/>
    <n v="0"/>
    <n v="1"/>
    <n v="1"/>
    <n v="1"/>
    <n v="1"/>
    <n v="1"/>
    <x v="7"/>
  </r>
  <r>
    <s v="EX-FEAT-92"/>
    <s v="P3"/>
    <s v="tcid492.392, "/>
    <n v="80"/>
    <s v="SB-6"/>
    <s v="Yes"/>
    <s v="Yes"/>
    <n v="1"/>
    <n v="0.75"/>
    <n v="0.5"/>
    <n v="0"/>
    <n v="0"/>
    <n v="0"/>
    <n v="1"/>
    <n v="1"/>
    <n v="1"/>
    <n v="1"/>
    <n v="1"/>
    <x v="6"/>
  </r>
  <r>
    <s v="EX-FEAT-93"/>
    <s v="P2"/>
    <s v="tcid393.293, tcid493.393, "/>
    <n v="4"/>
    <s v="SB-8"/>
    <s v="Yes"/>
    <s v="Yes"/>
    <n v="2"/>
    <n v="0.875"/>
    <n v="0.5"/>
    <n v="1"/>
    <n v="0"/>
    <n v="0"/>
    <n v="2"/>
    <n v="2"/>
    <n v="1"/>
    <n v="1"/>
    <n v="1"/>
    <x v="6"/>
  </r>
  <r>
    <s v="EX-FEAT-94"/>
    <s v="P3"/>
    <s v="tcid394.294, tcid494.394, "/>
    <n v="4"/>
    <s v="SB-8"/>
    <s v="Yes"/>
    <s v="Yes"/>
    <n v="2"/>
    <n v="1"/>
    <n v="0.75"/>
    <n v="0"/>
    <n v="0"/>
    <n v="0"/>
    <n v="2"/>
    <n v="1"/>
    <n v="1"/>
    <n v="0.5"/>
    <n v="0.5"/>
    <x v="6"/>
  </r>
  <r>
    <s v="EX-FEAT-95"/>
    <s v="P3"/>
    <s v="tcid395.295, tcid495.395, "/>
    <n v="4"/>
    <s v="SB-8"/>
    <s v="Yes"/>
    <s v="Yes"/>
    <n v="2"/>
    <n v="0.625"/>
    <n v="0.5"/>
    <n v="1"/>
    <n v="1"/>
    <n v="1"/>
    <n v="2"/>
    <n v="1"/>
    <n v="1"/>
    <n v="0.5"/>
    <n v="0.5"/>
    <x v="8"/>
  </r>
  <r>
    <s v="EX-FEAT-96"/>
    <s v="P2"/>
    <s v="tcid396.296, tcid496.396, "/>
    <n v="1"/>
    <s v="SB-8"/>
    <s v="Yes"/>
    <s v="Yes"/>
    <n v="2"/>
    <n v="0.625"/>
    <n v="0.375"/>
    <n v="1"/>
    <n v="1"/>
    <n v="1"/>
    <n v="2"/>
    <n v="1"/>
    <n v="1"/>
    <n v="0.5"/>
    <n v="0.5"/>
    <x v="8"/>
  </r>
  <r>
    <s v="EX-FEAT-97"/>
    <s v="P2"/>
    <s v="tcid397.297, tcid497.397, "/>
    <n v="2"/>
    <s v="SB-5"/>
    <s v="Yes"/>
    <s v="Yes"/>
    <n v="2"/>
    <n v="0.75"/>
    <n v="0.625"/>
    <n v="0"/>
    <n v="0"/>
    <n v="0"/>
    <n v="2"/>
    <n v="1"/>
    <n v="1"/>
    <n v="0.5"/>
    <n v="0.5"/>
    <x v="8"/>
  </r>
  <r>
    <s v="EX-FEAT-98"/>
    <s v="P2"/>
    <s v="tcid298.198, tcid398.298, tcid399.299, tcid400.300, tcid401.301, tcid402.302, tcid403.303, tcid404.304, tcid405.305, tcid406.306, tcid407.307, tcid408.308, tcid409.309, tcid410.310, tcid411.311, tcid412.312, tcid413.313, tcid414.314, tcid415.315, tcid416.316, tcid417.317, tcid498.398, "/>
    <n v="4"/>
    <s v="SB-9"/>
    <s v="Yes"/>
    <s v="Yes"/>
    <n v="22"/>
    <n v="0.85227272727272729"/>
    <n v="0.625"/>
    <n v="15"/>
    <n v="6"/>
    <n v="0.4"/>
    <n v="22"/>
    <n v="16"/>
    <n v="1"/>
    <n v="0.72727272727272729"/>
    <n v="0.72727272727272729"/>
    <x v="6"/>
  </r>
  <r>
    <s v="EX-FEAT-99"/>
    <s v="P2"/>
    <s v="tcid299.199, tcid499.399, "/>
    <n v="5"/>
    <s v="SB-5"/>
    <s v="Yes"/>
    <s v="Yes"/>
    <n v="2"/>
    <n v="1"/>
    <n v="0.625"/>
    <n v="1"/>
    <n v="1"/>
    <n v="1"/>
    <n v="2"/>
    <n v="1"/>
    <n v="1"/>
    <n v="0.5"/>
    <n v="0.5"/>
    <x v="6"/>
  </r>
  <r>
    <s v="EX-FEAT-100"/>
    <s v="P3"/>
    <s v="tcid300.200, tcid500.400, "/>
    <n v="2"/>
    <s v="SB-5"/>
    <s v="Yes"/>
    <s v="Yes"/>
    <n v="2"/>
    <n v="0.875"/>
    <n v="0.75"/>
    <n v="0"/>
    <n v="0"/>
    <n v="0"/>
    <n v="2"/>
    <n v="0"/>
    <n v="1"/>
    <n v="0"/>
    <n v="0"/>
    <x v="8"/>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60A4072-D989-4B6D-B794-E7508FAF808B}" name="PivotTable1" cacheId="10"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location ref="A3:B13" firstHeaderRow="1" firstDataRow="1" firstDataCol="1"/>
  <pivotFields count="19">
    <pivotField showAll="0"/>
    <pivotField showAll="0"/>
    <pivotField showAll="0"/>
    <pivotField showAll="0"/>
    <pivotField showAll="0"/>
    <pivotField showAll="0"/>
    <pivotField showAll="0"/>
    <pivotField dataField="1" showAll="0"/>
    <pivotField numFmtId="9" showAll="0"/>
    <pivotField numFmtId="9" showAll="0"/>
    <pivotField numFmtId="1" showAll="0"/>
    <pivotField numFmtId="1" showAll="0"/>
    <pivotField numFmtId="9" showAll="0"/>
    <pivotField showAll="0"/>
    <pivotField showAll="0"/>
    <pivotField numFmtId="9" showAll="0"/>
    <pivotField numFmtId="9" showAll="0"/>
    <pivotField numFmtId="9" showAll="0"/>
    <pivotField axis="axisRow" showAll="0">
      <items count="10">
        <item x="4"/>
        <item n="wk-1" x="0"/>
        <item x="1"/>
        <item x="2"/>
        <item x="3"/>
        <item x="5"/>
        <item x="6"/>
        <item x="7"/>
        <item x="8"/>
        <item t="default"/>
      </items>
    </pivotField>
  </pivotFields>
  <rowFields count="1">
    <field x="18"/>
  </rowFields>
  <rowItems count="10">
    <i>
      <x/>
    </i>
    <i>
      <x v="1"/>
    </i>
    <i>
      <x v="2"/>
    </i>
    <i>
      <x v="3"/>
    </i>
    <i>
      <x v="4"/>
    </i>
    <i>
      <x v="5"/>
    </i>
    <i>
      <x v="6"/>
    </i>
    <i>
      <x v="7"/>
    </i>
    <i>
      <x v="8"/>
    </i>
    <i t="grand">
      <x/>
    </i>
  </rowItems>
  <colItems count="1">
    <i/>
  </colItems>
  <dataFields count="1">
    <dataField name="Sum of #Tests" fld="7"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1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F15"/>
  <sheetViews>
    <sheetView workbookViewId="0"/>
  </sheetViews>
  <sheetFormatPr defaultColWidth="9.42578125" defaultRowHeight="15" x14ac:dyDescent="0.25"/>
  <cols>
    <col min="1" max="1" width="8.5703125" style="90" bestFit="1" customWidth="1"/>
    <col min="2" max="2" width="10.5703125" style="81" bestFit="1" customWidth="1"/>
    <col min="3" max="3" width="10.42578125" style="81" bestFit="1" customWidth="1"/>
    <col min="4" max="4" width="120.42578125" style="78" bestFit="1" customWidth="1"/>
    <col min="5" max="5" width="40.42578125" style="81" bestFit="1" customWidth="1"/>
    <col min="6" max="6" width="35.42578125" style="81" bestFit="1" customWidth="1"/>
    <col min="7" max="16384" width="9.42578125" style="81"/>
  </cols>
  <sheetData>
    <row r="1" spans="1:6" x14ac:dyDescent="0.25">
      <c r="A1" s="88" t="s">
        <v>0</v>
      </c>
      <c r="B1" s="89" t="s">
        <v>1</v>
      </c>
      <c r="C1" s="89" t="s">
        <v>2</v>
      </c>
      <c r="D1" s="84" t="s">
        <v>3</v>
      </c>
      <c r="E1" s="89" t="s">
        <v>4</v>
      </c>
      <c r="F1" s="89" t="s">
        <v>5</v>
      </c>
    </row>
    <row r="2" spans="1:6" x14ac:dyDescent="0.25">
      <c r="A2" s="90">
        <v>43651</v>
      </c>
      <c r="B2" s="81" t="s">
        <v>6</v>
      </c>
      <c r="C2" s="81" t="s">
        <v>7</v>
      </c>
      <c r="D2" s="78" t="s">
        <v>8</v>
      </c>
      <c r="E2" s="81" t="s">
        <v>9</v>
      </c>
      <c r="F2" s="81" t="s">
        <v>10</v>
      </c>
    </row>
    <row r="3" spans="1:6" x14ac:dyDescent="0.25">
      <c r="A3" s="90">
        <v>43697</v>
      </c>
      <c r="B3" s="81" t="s">
        <v>6</v>
      </c>
      <c r="C3" s="81" t="s">
        <v>11</v>
      </c>
      <c r="D3" s="78" t="s">
        <v>12</v>
      </c>
      <c r="E3" s="81" t="s">
        <v>13</v>
      </c>
      <c r="F3" s="81" t="s">
        <v>14</v>
      </c>
    </row>
    <row r="4" spans="1:6" ht="30" x14ac:dyDescent="0.25">
      <c r="A4" s="90">
        <v>43651</v>
      </c>
      <c r="B4" s="81" t="s">
        <v>15</v>
      </c>
      <c r="C4" s="81" t="s">
        <v>7</v>
      </c>
      <c r="D4" s="78" t="s">
        <v>16</v>
      </c>
      <c r="F4" s="81" t="s">
        <v>17</v>
      </c>
    </row>
    <row r="5" spans="1:6" x14ac:dyDescent="0.25">
      <c r="A5" s="90">
        <v>43651</v>
      </c>
      <c r="B5" s="81" t="s">
        <v>15</v>
      </c>
      <c r="C5" s="81" t="s">
        <v>7</v>
      </c>
      <c r="D5" s="78" t="s">
        <v>18</v>
      </c>
    </row>
    <row r="6" spans="1:6" x14ac:dyDescent="0.25">
      <c r="A6" s="90">
        <v>43697</v>
      </c>
      <c r="B6" s="81" t="s">
        <v>15</v>
      </c>
      <c r="C6" s="81" t="s">
        <v>19</v>
      </c>
      <c r="D6" s="78" t="s">
        <v>20</v>
      </c>
      <c r="F6" s="81" t="s">
        <v>21</v>
      </c>
    </row>
    <row r="7" spans="1:6" x14ac:dyDescent="0.25">
      <c r="A7" s="91">
        <v>43713</v>
      </c>
      <c r="B7" s="92" t="s">
        <v>6</v>
      </c>
      <c r="C7" s="92" t="s">
        <v>22</v>
      </c>
      <c r="D7" s="93" t="s">
        <v>23</v>
      </c>
      <c r="E7" s="92"/>
      <c r="F7" s="92"/>
    </row>
    <row r="8" spans="1:6" x14ac:dyDescent="0.25">
      <c r="A8" s="90">
        <v>43713</v>
      </c>
      <c r="B8" s="81" t="s">
        <v>6</v>
      </c>
      <c r="C8" s="81" t="s">
        <v>22</v>
      </c>
      <c r="D8" s="78" t="s">
        <v>24</v>
      </c>
    </row>
    <row r="9" spans="1:6" x14ac:dyDescent="0.25">
      <c r="A9" s="90">
        <v>43713</v>
      </c>
      <c r="B9" s="81" t="s">
        <v>6</v>
      </c>
      <c r="C9" s="81" t="s">
        <v>22</v>
      </c>
      <c r="D9" s="78" t="s">
        <v>25</v>
      </c>
    </row>
    <row r="10" spans="1:6" x14ac:dyDescent="0.25">
      <c r="A10" s="90">
        <v>43713</v>
      </c>
      <c r="B10" s="81" t="s">
        <v>6</v>
      </c>
      <c r="C10" s="81" t="s">
        <v>22</v>
      </c>
      <c r="D10" s="78" t="s">
        <v>26</v>
      </c>
    </row>
    <row r="11" spans="1:6" ht="30" x14ac:dyDescent="0.25">
      <c r="A11" s="90">
        <v>43713</v>
      </c>
      <c r="B11" s="81" t="s">
        <v>6</v>
      </c>
      <c r="C11" s="81" t="s">
        <v>22</v>
      </c>
      <c r="D11" s="78" t="s">
        <v>27</v>
      </c>
    </row>
    <row r="12" spans="1:6" x14ac:dyDescent="0.25">
      <c r="A12" s="90">
        <v>43721</v>
      </c>
      <c r="B12" s="81" t="s">
        <v>6</v>
      </c>
      <c r="C12" s="81" t="s">
        <v>22</v>
      </c>
      <c r="D12" s="78" t="s">
        <v>28</v>
      </c>
    </row>
    <row r="15" spans="1:6" ht="45" x14ac:dyDescent="0.25">
      <c r="D15" s="78" t="s">
        <v>29</v>
      </c>
    </row>
  </sheetData>
  <pageMargins left="0.7" right="0.7" top="0.75" bottom="0.75" header="0.3" footer="0.3"/>
  <pageSetup orientation="portrait" r:id="rId1"/>
  <headerFooter>
    <oddHeader>&amp;L&amp;"Arial"&amp;10&amp;K0000FF[AMD Official Use Only]&amp;1#</oddHeader>
  </headerFooter>
  <legacy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K7"/>
  <sheetViews>
    <sheetView workbookViewId="0">
      <selection activeCell="K7" sqref="K7"/>
    </sheetView>
  </sheetViews>
  <sheetFormatPr defaultColWidth="8.42578125" defaultRowHeight="15" x14ac:dyDescent="0.25"/>
  <cols>
    <col min="1" max="1" width="8.42578125" style="79"/>
    <col min="5" max="5" width="9" style="79" bestFit="1" customWidth="1"/>
    <col min="9" max="9" width="11" bestFit="1" customWidth="1"/>
  </cols>
  <sheetData>
    <row r="1" spans="1:11" x14ac:dyDescent="0.25">
      <c r="A1" s="79" t="s">
        <v>30</v>
      </c>
      <c r="C1" t="s">
        <v>31</v>
      </c>
      <c r="E1" s="79" t="s">
        <v>32</v>
      </c>
      <c r="G1" t="s">
        <v>33</v>
      </c>
      <c r="I1" t="s">
        <v>34</v>
      </c>
      <c r="K1" t="s">
        <v>35</v>
      </c>
    </row>
    <row r="2" spans="1:11" x14ac:dyDescent="0.25">
      <c r="A2" s="79" t="s">
        <v>36</v>
      </c>
      <c r="C2" t="s">
        <v>37</v>
      </c>
      <c r="E2" s="79" t="s">
        <v>38</v>
      </c>
      <c r="G2" t="s">
        <v>39</v>
      </c>
      <c r="I2" t="s">
        <v>40</v>
      </c>
      <c r="K2" t="s">
        <v>41</v>
      </c>
    </row>
    <row r="3" spans="1:11" x14ac:dyDescent="0.25">
      <c r="A3" s="79" t="s">
        <v>42</v>
      </c>
      <c r="E3" s="79" t="s">
        <v>43</v>
      </c>
      <c r="G3" t="s">
        <v>44</v>
      </c>
      <c r="I3" t="s">
        <v>45</v>
      </c>
      <c r="K3" t="s">
        <v>46</v>
      </c>
    </row>
    <row r="4" spans="1:11" x14ac:dyDescent="0.25">
      <c r="A4" s="79" t="s">
        <v>47</v>
      </c>
      <c r="E4" s="79" t="s">
        <v>48</v>
      </c>
      <c r="I4" t="s">
        <v>47</v>
      </c>
      <c r="K4" t="s">
        <v>49</v>
      </c>
    </row>
    <row r="5" spans="1:11" x14ac:dyDescent="0.25">
      <c r="E5" s="79" t="s">
        <v>50</v>
      </c>
      <c r="K5" t="s">
        <v>51</v>
      </c>
    </row>
    <row r="6" spans="1:11" x14ac:dyDescent="0.25">
      <c r="E6" s="79" t="s">
        <v>52</v>
      </c>
      <c r="K6" t="s">
        <v>47</v>
      </c>
    </row>
    <row r="7" spans="1:11" x14ac:dyDescent="0.25">
      <c r="E7" s="79" t="s">
        <v>47</v>
      </c>
    </row>
  </sheetData>
  <pageMargins left="0.7" right="0.7" top="0.75" bottom="0.75" header="0.3" footer="0.3"/>
  <pageSetup orientation="portrait" r:id="rId1"/>
  <headerFooter>
    <oddHeader>&amp;L&amp;"Arial"&amp;10&amp;K0000FF[AMD Official Use Only]&amp;1#</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G90"/>
  <sheetViews>
    <sheetView workbookViewId="0">
      <pane xSplit="3" ySplit="8" topLeftCell="D20" activePane="bottomRight" state="frozen"/>
      <selection pane="topRight" activeCell="D1" sqref="D1"/>
      <selection pane="bottomLeft" activeCell="A9" sqref="A9"/>
      <selection pane="bottomRight" activeCell="D20" sqref="D20"/>
    </sheetView>
  </sheetViews>
  <sheetFormatPr defaultColWidth="26.42578125" defaultRowHeight="15" x14ac:dyDescent="0.25"/>
  <cols>
    <col min="1" max="1" width="20.5703125" style="84" bestFit="1" customWidth="1"/>
    <col min="2" max="2" width="27" style="78" bestFit="1" customWidth="1"/>
    <col min="3" max="3" width="26" style="78" bestFit="1" customWidth="1"/>
    <col min="4" max="4" width="83.42578125" style="78" customWidth="1"/>
    <col min="5" max="5" width="14.5703125" style="78" bestFit="1" customWidth="1"/>
    <col min="6" max="6" width="28.42578125" style="78" bestFit="1" customWidth="1"/>
    <col min="7" max="7" width="66.5703125" style="78" customWidth="1"/>
    <col min="8" max="16384" width="26.42578125" style="78"/>
  </cols>
  <sheetData>
    <row r="1" spans="1:7" s="84" customFormat="1" ht="30.75" thickBot="1" x14ac:dyDescent="0.3">
      <c r="A1" s="115" t="s">
        <v>53</v>
      </c>
      <c r="B1" s="586" t="s">
        <v>54</v>
      </c>
      <c r="C1" s="587"/>
      <c r="D1" s="587"/>
      <c r="E1" s="167" t="s">
        <v>55</v>
      </c>
      <c r="F1" s="167" t="s">
        <v>56</v>
      </c>
      <c r="G1" s="110" t="s">
        <v>57</v>
      </c>
    </row>
    <row r="2" spans="1:7" x14ac:dyDescent="0.25">
      <c r="A2" s="116" t="s">
        <v>58</v>
      </c>
      <c r="B2" s="588" t="s">
        <v>59</v>
      </c>
      <c r="C2" s="589"/>
      <c r="D2" s="589"/>
      <c r="E2" s="295" t="s">
        <v>60</v>
      </c>
      <c r="F2" s="295" t="s">
        <v>61</v>
      </c>
      <c r="G2" s="326" t="s">
        <v>62</v>
      </c>
    </row>
    <row r="3" spans="1:7" s="81" customFormat="1" x14ac:dyDescent="0.25">
      <c r="A3" s="203" t="s">
        <v>63</v>
      </c>
      <c r="B3" s="595" t="s">
        <v>64</v>
      </c>
      <c r="C3" s="596"/>
      <c r="D3" s="597"/>
      <c r="E3" s="80" t="s">
        <v>60</v>
      </c>
      <c r="F3" s="80" t="s">
        <v>61</v>
      </c>
      <c r="G3" s="327" t="s">
        <v>62</v>
      </c>
    </row>
    <row r="4" spans="1:7" x14ac:dyDescent="0.25">
      <c r="A4" s="203" t="s">
        <v>65</v>
      </c>
      <c r="B4" s="592" t="s">
        <v>66</v>
      </c>
      <c r="C4" s="593"/>
      <c r="D4" s="594"/>
      <c r="E4" s="80" t="s">
        <v>67</v>
      </c>
      <c r="F4" s="80" t="s">
        <v>61</v>
      </c>
      <c r="G4" s="327" t="s">
        <v>62</v>
      </c>
    </row>
    <row r="5" spans="1:7" x14ac:dyDescent="0.25">
      <c r="A5" s="117" t="s">
        <v>68</v>
      </c>
      <c r="B5" s="592" t="s">
        <v>69</v>
      </c>
      <c r="C5" s="593"/>
      <c r="D5" s="594"/>
      <c r="E5" s="80" t="s">
        <v>67</v>
      </c>
      <c r="F5" s="80" t="s">
        <v>61</v>
      </c>
      <c r="G5" s="327" t="s">
        <v>62</v>
      </c>
    </row>
    <row r="6" spans="1:7" x14ac:dyDescent="0.25">
      <c r="A6" s="117" t="s">
        <v>70</v>
      </c>
      <c r="B6" s="592" t="s">
        <v>71</v>
      </c>
      <c r="C6" s="593"/>
      <c r="D6" s="594"/>
      <c r="E6" s="80" t="s">
        <v>72</v>
      </c>
      <c r="F6" s="80" t="s">
        <v>61</v>
      </c>
      <c r="G6" s="85"/>
    </row>
    <row r="7" spans="1:7" ht="15.75" thickBot="1" x14ac:dyDescent="0.3">
      <c r="A7" s="118" t="s">
        <v>73</v>
      </c>
      <c r="B7" s="590" t="s">
        <v>74</v>
      </c>
      <c r="C7" s="591"/>
      <c r="D7" s="591"/>
      <c r="E7" s="86" t="s">
        <v>72</v>
      </c>
      <c r="F7" s="86"/>
      <c r="G7" s="87"/>
    </row>
    <row r="8" spans="1:7" s="84" customFormat="1" ht="30.75" thickBot="1" x14ac:dyDescent="0.3">
      <c r="A8" s="115" t="s">
        <v>53</v>
      </c>
      <c r="B8" s="408" t="s">
        <v>1</v>
      </c>
      <c r="C8" s="167" t="s">
        <v>75</v>
      </c>
      <c r="D8" s="167" t="s">
        <v>54</v>
      </c>
      <c r="E8" s="167" t="s">
        <v>55</v>
      </c>
      <c r="F8" s="167" t="s">
        <v>56</v>
      </c>
      <c r="G8" s="110" t="s">
        <v>57</v>
      </c>
    </row>
    <row r="9" spans="1:7" ht="105" x14ac:dyDescent="0.25">
      <c r="A9" s="572" t="s">
        <v>58</v>
      </c>
      <c r="B9" s="575" t="s">
        <v>76</v>
      </c>
      <c r="C9" s="333" t="s">
        <v>77</v>
      </c>
      <c r="D9" s="94" t="s">
        <v>78</v>
      </c>
      <c r="E9" s="94" t="s">
        <v>60</v>
      </c>
      <c r="F9" s="94" t="s">
        <v>79</v>
      </c>
      <c r="G9" s="409" t="s">
        <v>80</v>
      </c>
    </row>
    <row r="10" spans="1:7" ht="75" x14ac:dyDescent="0.25">
      <c r="A10" s="573"/>
      <c r="B10" s="576"/>
      <c r="C10" s="329" t="s">
        <v>81</v>
      </c>
      <c r="D10" s="82" t="s">
        <v>82</v>
      </c>
      <c r="E10" s="82" t="s">
        <v>60</v>
      </c>
      <c r="F10" s="82" t="s">
        <v>79</v>
      </c>
      <c r="G10" s="322" t="s">
        <v>83</v>
      </c>
    </row>
    <row r="11" spans="1:7" ht="45" x14ac:dyDescent="0.25">
      <c r="A11" s="573"/>
      <c r="B11" s="576"/>
      <c r="C11" s="329" t="s">
        <v>84</v>
      </c>
      <c r="D11" s="82" t="s">
        <v>85</v>
      </c>
      <c r="E11" s="82" t="s">
        <v>86</v>
      </c>
      <c r="F11" s="82" t="s">
        <v>79</v>
      </c>
      <c r="G11" s="95" t="s">
        <v>87</v>
      </c>
    </row>
    <row r="12" spans="1:7" ht="120" x14ac:dyDescent="0.25">
      <c r="A12" s="573"/>
      <c r="B12" s="576"/>
      <c r="C12" s="329" t="s">
        <v>88</v>
      </c>
      <c r="D12" s="348" t="s">
        <v>89</v>
      </c>
      <c r="E12" s="82" t="s">
        <v>86</v>
      </c>
      <c r="F12" s="82" t="s">
        <v>79</v>
      </c>
      <c r="G12" s="322" t="s">
        <v>90</v>
      </c>
    </row>
    <row r="13" spans="1:7" ht="30" x14ac:dyDescent="0.25">
      <c r="A13" s="573"/>
      <c r="B13" s="576"/>
      <c r="C13" s="329" t="s">
        <v>91</v>
      </c>
      <c r="D13" s="82" t="s">
        <v>92</v>
      </c>
      <c r="E13" s="82" t="s">
        <v>86</v>
      </c>
      <c r="F13" s="82" t="s">
        <v>79</v>
      </c>
      <c r="G13" s="95" t="s">
        <v>93</v>
      </c>
    </row>
    <row r="14" spans="1:7" ht="30" x14ac:dyDescent="0.25">
      <c r="A14" s="573"/>
      <c r="B14" s="576"/>
      <c r="C14" s="329" t="s">
        <v>94</v>
      </c>
      <c r="D14" s="82" t="s">
        <v>95</v>
      </c>
      <c r="E14" s="82" t="s">
        <v>86</v>
      </c>
      <c r="F14" s="82" t="s">
        <v>79</v>
      </c>
      <c r="G14" s="95" t="s">
        <v>93</v>
      </c>
    </row>
    <row r="15" spans="1:7" ht="30" x14ac:dyDescent="0.25">
      <c r="A15" s="573"/>
      <c r="B15" s="576"/>
      <c r="C15" s="121" t="s">
        <v>96</v>
      </c>
      <c r="D15" s="82" t="s">
        <v>97</v>
      </c>
      <c r="E15" s="82" t="s">
        <v>60</v>
      </c>
      <c r="F15" s="82" t="s">
        <v>79</v>
      </c>
      <c r="G15" s="95" t="s">
        <v>98</v>
      </c>
    </row>
    <row r="16" spans="1:7" ht="60" x14ac:dyDescent="0.25">
      <c r="A16" s="573"/>
      <c r="B16" s="576"/>
      <c r="C16" s="329" t="s">
        <v>99</v>
      </c>
      <c r="D16" s="348" t="s">
        <v>100</v>
      </c>
      <c r="E16" s="82" t="s">
        <v>86</v>
      </c>
      <c r="F16" s="82" t="s">
        <v>79</v>
      </c>
      <c r="G16" s="322" t="s">
        <v>101</v>
      </c>
    </row>
    <row r="17" spans="1:7" ht="30" x14ac:dyDescent="0.25">
      <c r="A17" s="573"/>
      <c r="B17" s="576"/>
      <c r="C17" s="329" t="s">
        <v>102</v>
      </c>
      <c r="D17" s="82" t="s">
        <v>103</v>
      </c>
      <c r="E17" s="82" t="s">
        <v>86</v>
      </c>
      <c r="F17" s="82" t="s">
        <v>79</v>
      </c>
      <c r="G17" s="95" t="s">
        <v>104</v>
      </c>
    </row>
    <row r="18" spans="1:7" ht="45" x14ac:dyDescent="0.25">
      <c r="A18" s="573"/>
      <c r="B18" s="576"/>
      <c r="C18" s="329" t="s">
        <v>105</v>
      </c>
      <c r="D18" s="82" t="s">
        <v>106</v>
      </c>
      <c r="E18" s="82" t="s">
        <v>86</v>
      </c>
      <c r="F18" s="82" t="s">
        <v>79</v>
      </c>
      <c r="G18" s="95" t="s">
        <v>107</v>
      </c>
    </row>
    <row r="19" spans="1:7" x14ac:dyDescent="0.25">
      <c r="A19" s="573"/>
      <c r="B19" s="576"/>
      <c r="C19" s="329" t="s">
        <v>108</v>
      </c>
      <c r="D19" s="82" t="s">
        <v>109</v>
      </c>
      <c r="E19" s="82" t="s">
        <v>86</v>
      </c>
      <c r="F19" s="82" t="s">
        <v>79</v>
      </c>
      <c r="G19" s="95" t="s">
        <v>110</v>
      </c>
    </row>
    <row r="20" spans="1:7" ht="105.75" thickBot="1" x14ac:dyDescent="0.3">
      <c r="A20" s="573"/>
      <c r="B20" s="577"/>
      <c r="C20" s="410" t="s">
        <v>1</v>
      </c>
      <c r="D20" s="519" t="s">
        <v>111</v>
      </c>
      <c r="E20" s="379" t="s">
        <v>86</v>
      </c>
      <c r="F20" s="379" t="s">
        <v>79</v>
      </c>
      <c r="G20" s="411" t="s">
        <v>112</v>
      </c>
    </row>
    <row r="21" spans="1:7" ht="45" x14ac:dyDescent="0.25">
      <c r="A21" s="573"/>
      <c r="B21" s="609" t="s">
        <v>113</v>
      </c>
      <c r="C21" s="330" t="s">
        <v>114</v>
      </c>
      <c r="D21" s="105" t="s">
        <v>115</v>
      </c>
      <c r="E21" s="105" t="s">
        <v>86</v>
      </c>
      <c r="F21" s="105" t="s">
        <v>116</v>
      </c>
      <c r="G21" s="168" t="s">
        <v>117</v>
      </c>
    </row>
    <row r="22" spans="1:7" ht="30" x14ac:dyDescent="0.25">
      <c r="A22" s="573"/>
      <c r="B22" s="610"/>
      <c r="C22" s="331" t="s">
        <v>118</v>
      </c>
      <c r="D22" s="415" t="s">
        <v>119</v>
      </c>
      <c r="E22" s="415" t="s">
        <v>86</v>
      </c>
      <c r="F22" s="415" t="s">
        <v>116</v>
      </c>
      <c r="G22" s="416" t="s">
        <v>120</v>
      </c>
    </row>
    <row r="23" spans="1:7" ht="15.75" thickBot="1" x14ac:dyDescent="0.3">
      <c r="A23" s="573"/>
      <c r="B23" s="611"/>
      <c r="C23" s="417" t="s">
        <v>121</v>
      </c>
      <c r="D23" s="107" t="s">
        <v>122</v>
      </c>
      <c r="E23" s="107" t="s">
        <v>86</v>
      </c>
      <c r="F23" s="107" t="s">
        <v>116</v>
      </c>
      <c r="G23" s="108" t="s">
        <v>123</v>
      </c>
    </row>
    <row r="24" spans="1:7" ht="30" customHeight="1" x14ac:dyDescent="0.25">
      <c r="A24" s="573"/>
      <c r="B24" s="612" t="s">
        <v>124</v>
      </c>
      <c r="C24" s="412" t="s">
        <v>125</v>
      </c>
      <c r="D24" s="413" t="s">
        <v>126</v>
      </c>
      <c r="E24" s="413" t="s">
        <v>86</v>
      </c>
      <c r="F24" s="413" t="s">
        <v>79</v>
      </c>
      <c r="G24" s="414" t="s">
        <v>127</v>
      </c>
    </row>
    <row r="25" spans="1:7" ht="30" customHeight="1" x14ac:dyDescent="0.25">
      <c r="A25" s="573"/>
      <c r="B25" s="613"/>
      <c r="C25" s="331" t="s">
        <v>128</v>
      </c>
      <c r="D25" s="109" t="s">
        <v>129</v>
      </c>
      <c r="E25" s="109" t="s">
        <v>86</v>
      </c>
      <c r="F25" s="109" t="s">
        <v>130</v>
      </c>
      <c r="G25" s="566" t="s">
        <v>131</v>
      </c>
    </row>
    <row r="26" spans="1:7" ht="30" x14ac:dyDescent="0.25">
      <c r="A26" s="573"/>
      <c r="B26" s="613"/>
      <c r="C26" s="276" t="s">
        <v>132</v>
      </c>
      <c r="D26" s="109" t="s">
        <v>133</v>
      </c>
      <c r="E26" s="109" t="s">
        <v>86</v>
      </c>
      <c r="F26" s="109" t="s">
        <v>130</v>
      </c>
      <c r="G26" s="567"/>
    </row>
    <row r="27" spans="1:7" x14ac:dyDescent="0.25">
      <c r="A27" s="573"/>
      <c r="B27" s="613"/>
      <c r="C27" s="331" t="s">
        <v>30</v>
      </c>
      <c r="D27" s="109" t="s">
        <v>134</v>
      </c>
      <c r="E27" s="109" t="s">
        <v>86</v>
      </c>
      <c r="F27" s="109" t="s">
        <v>130</v>
      </c>
      <c r="G27" s="567"/>
    </row>
    <row r="28" spans="1:7" x14ac:dyDescent="0.25">
      <c r="A28" s="573"/>
      <c r="B28" s="613"/>
      <c r="C28" s="331" t="s">
        <v>135</v>
      </c>
      <c r="D28" s="109" t="s">
        <v>136</v>
      </c>
      <c r="E28" s="109" t="s">
        <v>86</v>
      </c>
      <c r="F28" s="109" t="s">
        <v>130</v>
      </c>
      <c r="G28" s="567"/>
    </row>
    <row r="29" spans="1:7" x14ac:dyDescent="0.25">
      <c r="A29" s="573"/>
      <c r="B29" s="613"/>
      <c r="C29" s="331" t="s">
        <v>36</v>
      </c>
      <c r="D29" s="109" t="s">
        <v>137</v>
      </c>
      <c r="E29" s="109" t="s">
        <v>86</v>
      </c>
      <c r="F29" s="109" t="s">
        <v>130</v>
      </c>
      <c r="G29" s="567"/>
    </row>
    <row r="30" spans="1:7" x14ac:dyDescent="0.25">
      <c r="A30" s="573"/>
      <c r="B30" s="613"/>
      <c r="C30" s="331" t="s">
        <v>138</v>
      </c>
      <c r="D30" s="109" t="s">
        <v>139</v>
      </c>
      <c r="E30" s="109" t="s">
        <v>86</v>
      </c>
      <c r="F30" s="109" t="s">
        <v>130</v>
      </c>
      <c r="G30" s="567"/>
    </row>
    <row r="31" spans="1:7" x14ac:dyDescent="0.25">
      <c r="A31" s="573"/>
      <c r="B31" s="613"/>
      <c r="C31" s="276" t="s">
        <v>140</v>
      </c>
      <c r="D31" s="109" t="s">
        <v>141</v>
      </c>
      <c r="E31" s="109" t="s">
        <v>86</v>
      </c>
      <c r="F31" s="109" t="s">
        <v>130</v>
      </c>
      <c r="G31" s="567"/>
    </row>
    <row r="32" spans="1:7" ht="30.75" thickBot="1" x14ac:dyDescent="0.3">
      <c r="A32" s="573"/>
      <c r="B32" s="614"/>
      <c r="C32" s="332" t="s">
        <v>142</v>
      </c>
      <c r="D32" s="104" t="s">
        <v>143</v>
      </c>
      <c r="E32" s="104" t="s">
        <v>86</v>
      </c>
      <c r="F32" s="104" t="s">
        <v>130</v>
      </c>
      <c r="G32" s="568"/>
    </row>
    <row r="33" spans="1:7" ht="30" x14ac:dyDescent="0.25">
      <c r="A33" s="573"/>
      <c r="B33" s="615" t="s">
        <v>144</v>
      </c>
      <c r="C33" s="311" t="s">
        <v>132</v>
      </c>
      <c r="D33" s="274" t="s">
        <v>145</v>
      </c>
      <c r="E33" s="274" t="s">
        <v>86</v>
      </c>
      <c r="F33" s="274" t="s">
        <v>146</v>
      </c>
      <c r="G33" s="275" t="s">
        <v>147</v>
      </c>
    </row>
    <row r="34" spans="1:7" x14ac:dyDescent="0.25">
      <c r="A34" s="573"/>
      <c r="B34" s="616"/>
      <c r="C34" s="329" t="s">
        <v>30</v>
      </c>
      <c r="D34" s="83" t="s">
        <v>148</v>
      </c>
      <c r="E34" s="83" t="s">
        <v>86</v>
      </c>
      <c r="F34" s="83" t="s">
        <v>146</v>
      </c>
      <c r="G34" s="99"/>
    </row>
    <row r="35" spans="1:7" x14ac:dyDescent="0.25">
      <c r="A35" s="573"/>
      <c r="B35" s="616"/>
      <c r="C35" s="329" t="s">
        <v>135</v>
      </c>
      <c r="D35" s="83" t="s">
        <v>149</v>
      </c>
      <c r="E35" s="83" t="s">
        <v>86</v>
      </c>
      <c r="F35" s="83" t="s">
        <v>146</v>
      </c>
      <c r="G35" s="99" t="s">
        <v>150</v>
      </c>
    </row>
    <row r="36" spans="1:7" x14ac:dyDescent="0.25">
      <c r="A36" s="573"/>
      <c r="B36" s="616"/>
      <c r="C36" s="329" t="s">
        <v>36</v>
      </c>
      <c r="D36" s="83" t="s">
        <v>151</v>
      </c>
      <c r="E36" s="83" t="s">
        <v>86</v>
      </c>
      <c r="F36" s="83" t="s">
        <v>146</v>
      </c>
      <c r="G36" s="113"/>
    </row>
    <row r="37" spans="1:7" x14ac:dyDescent="0.25">
      <c r="A37" s="573"/>
      <c r="B37" s="616"/>
      <c r="C37" s="329" t="s">
        <v>138</v>
      </c>
      <c r="D37" s="83" t="s">
        <v>152</v>
      </c>
      <c r="E37" s="83" t="s">
        <v>86</v>
      </c>
      <c r="F37" s="83" t="s">
        <v>146</v>
      </c>
      <c r="G37" s="99" t="s">
        <v>153</v>
      </c>
    </row>
    <row r="38" spans="1:7" x14ac:dyDescent="0.25">
      <c r="A38" s="573"/>
      <c r="B38" s="616"/>
      <c r="C38" s="277" t="s">
        <v>140</v>
      </c>
      <c r="D38" s="83" t="s">
        <v>154</v>
      </c>
      <c r="E38" s="83" t="s">
        <v>86</v>
      </c>
      <c r="F38" s="83" t="s">
        <v>146</v>
      </c>
      <c r="G38" s="99"/>
    </row>
    <row r="39" spans="1:7" ht="30" x14ac:dyDescent="0.25">
      <c r="A39" s="573"/>
      <c r="B39" s="616"/>
      <c r="C39" s="331" t="s">
        <v>155</v>
      </c>
      <c r="D39" s="83" t="s">
        <v>156</v>
      </c>
      <c r="E39" s="83" t="s">
        <v>86</v>
      </c>
      <c r="F39" s="83" t="s">
        <v>146</v>
      </c>
      <c r="G39" s="99"/>
    </row>
    <row r="40" spans="1:7" ht="30" x14ac:dyDescent="0.25">
      <c r="A40" s="573"/>
      <c r="B40" s="616"/>
      <c r="C40" s="277" t="s">
        <v>157</v>
      </c>
      <c r="D40" s="83" t="s">
        <v>158</v>
      </c>
      <c r="E40" s="83" t="s">
        <v>60</v>
      </c>
      <c r="F40" s="83" t="s">
        <v>146</v>
      </c>
      <c r="G40" s="99" t="s">
        <v>159</v>
      </c>
    </row>
    <row r="41" spans="1:7" ht="45.75" thickBot="1" x14ac:dyDescent="0.3">
      <c r="A41" s="573"/>
      <c r="B41" s="617"/>
      <c r="C41" s="328" t="s">
        <v>160</v>
      </c>
      <c r="D41" s="100" t="s">
        <v>161</v>
      </c>
      <c r="E41" s="100" t="s">
        <v>86</v>
      </c>
      <c r="F41" s="100" t="s">
        <v>146</v>
      </c>
      <c r="G41" s="101" t="s">
        <v>162</v>
      </c>
    </row>
    <row r="42" spans="1:7" ht="135.75" thickBot="1" x14ac:dyDescent="0.3">
      <c r="A42" s="572" t="s">
        <v>63</v>
      </c>
      <c r="B42" s="418" t="s">
        <v>163</v>
      </c>
      <c r="C42" s="333" t="s">
        <v>88</v>
      </c>
      <c r="D42" s="419" t="s">
        <v>164</v>
      </c>
      <c r="E42" s="419" t="s">
        <v>86</v>
      </c>
      <c r="F42" s="419" t="s">
        <v>79</v>
      </c>
      <c r="G42" s="420" t="s">
        <v>165</v>
      </c>
    </row>
    <row r="43" spans="1:7" ht="15" customHeight="1" x14ac:dyDescent="0.25">
      <c r="A43" s="573"/>
      <c r="B43" s="601" t="s">
        <v>166</v>
      </c>
      <c r="C43" s="308" t="s">
        <v>167</v>
      </c>
      <c r="D43" s="296" t="s">
        <v>168</v>
      </c>
      <c r="E43" s="296" t="s">
        <v>67</v>
      </c>
      <c r="F43" s="296" t="s">
        <v>79</v>
      </c>
      <c r="G43" s="279" t="s">
        <v>169</v>
      </c>
    </row>
    <row r="44" spans="1:7" ht="30" x14ac:dyDescent="0.25">
      <c r="A44" s="573"/>
      <c r="B44" s="602"/>
      <c r="C44" s="309" t="s">
        <v>128</v>
      </c>
      <c r="D44" s="297" t="s">
        <v>170</v>
      </c>
      <c r="E44" s="297" t="s">
        <v>67</v>
      </c>
      <c r="F44" s="297" t="s">
        <v>79</v>
      </c>
      <c r="G44" s="280" t="s">
        <v>169</v>
      </c>
    </row>
    <row r="45" spans="1:7" ht="30" x14ac:dyDescent="0.25">
      <c r="A45" s="573"/>
      <c r="B45" s="602"/>
      <c r="C45" s="309" t="s">
        <v>105</v>
      </c>
      <c r="D45" s="297" t="s">
        <v>171</v>
      </c>
      <c r="E45" s="297" t="s">
        <v>67</v>
      </c>
      <c r="F45" s="297" t="s">
        <v>79</v>
      </c>
      <c r="G45" s="280" t="s">
        <v>172</v>
      </c>
    </row>
    <row r="46" spans="1:7" x14ac:dyDescent="0.25">
      <c r="A46" s="573"/>
      <c r="B46" s="602"/>
      <c r="C46" s="309" t="s">
        <v>173</v>
      </c>
      <c r="D46" s="297" t="s">
        <v>174</v>
      </c>
      <c r="E46" s="297" t="s">
        <v>67</v>
      </c>
      <c r="F46" s="297" t="s">
        <v>79</v>
      </c>
      <c r="G46" s="280" t="s">
        <v>169</v>
      </c>
    </row>
    <row r="47" spans="1:7" ht="15.75" thickBot="1" x14ac:dyDescent="0.3">
      <c r="A47" s="573"/>
      <c r="B47" s="603"/>
      <c r="C47" s="310" t="s">
        <v>175</v>
      </c>
      <c r="D47" s="298" t="s">
        <v>176</v>
      </c>
      <c r="E47" s="297" t="s">
        <v>67</v>
      </c>
      <c r="F47" s="298" t="s">
        <v>79</v>
      </c>
      <c r="G47" s="281" t="s">
        <v>169</v>
      </c>
    </row>
    <row r="48" spans="1:7" ht="30" x14ac:dyDescent="0.25">
      <c r="A48" s="573"/>
      <c r="B48" s="604" t="s">
        <v>177</v>
      </c>
      <c r="C48" s="305" t="s">
        <v>132</v>
      </c>
      <c r="D48" s="299" t="s">
        <v>178</v>
      </c>
      <c r="E48" s="299" t="s">
        <v>67</v>
      </c>
      <c r="F48" s="299" t="s">
        <v>130</v>
      </c>
      <c r="G48" s="569" t="s">
        <v>179</v>
      </c>
    </row>
    <row r="49" spans="1:7" ht="30" x14ac:dyDescent="0.25">
      <c r="A49" s="573"/>
      <c r="B49" s="604"/>
      <c r="C49" s="306" t="s">
        <v>30</v>
      </c>
      <c r="D49" s="282" t="s">
        <v>180</v>
      </c>
      <c r="E49" s="282" t="s">
        <v>67</v>
      </c>
      <c r="F49" s="282" t="s">
        <v>130</v>
      </c>
      <c r="G49" s="570"/>
    </row>
    <row r="50" spans="1:7" ht="30" x14ac:dyDescent="0.25">
      <c r="A50" s="573"/>
      <c r="B50" s="604"/>
      <c r="C50" s="306" t="s">
        <v>135</v>
      </c>
      <c r="D50" s="282" t="s">
        <v>181</v>
      </c>
      <c r="E50" s="282" t="s">
        <v>67</v>
      </c>
      <c r="F50" s="282" t="s">
        <v>130</v>
      </c>
      <c r="G50" s="570"/>
    </row>
    <row r="51" spans="1:7" ht="30" x14ac:dyDescent="0.25">
      <c r="A51" s="573"/>
      <c r="B51" s="604"/>
      <c r="C51" s="306" t="s">
        <v>36</v>
      </c>
      <c r="D51" s="282" t="s">
        <v>182</v>
      </c>
      <c r="E51" s="282" t="s">
        <v>67</v>
      </c>
      <c r="F51" s="282" t="s">
        <v>130</v>
      </c>
      <c r="G51" s="570"/>
    </row>
    <row r="52" spans="1:7" ht="30" x14ac:dyDescent="0.25">
      <c r="A52" s="573"/>
      <c r="B52" s="604"/>
      <c r="C52" s="306" t="s">
        <v>138</v>
      </c>
      <c r="D52" s="282" t="s">
        <v>183</v>
      </c>
      <c r="E52" s="282" t="s">
        <v>67</v>
      </c>
      <c r="F52" s="282" t="s">
        <v>130</v>
      </c>
      <c r="G52" s="570"/>
    </row>
    <row r="53" spans="1:7" ht="30" x14ac:dyDescent="0.25">
      <c r="A53" s="573"/>
      <c r="B53" s="604"/>
      <c r="C53" s="306" t="s">
        <v>184</v>
      </c>
      <c r="D53" s="282" t="s">
        <v>185</v>
      </c>
      <c r="E53" s="282" t="s">
        <v>67</v>
      </c>
      <c r="F53" s="282" t="s">
        <v>130</v>
      </c>
      <c r="G53" s="570"/>
    </row>
    <row r="54" spans="1:7" x14ac:dyDescent="0.25">
      <c r="A54" s="573"/>
      <c r="B54" s="604"/>
      <c r="C54" s="306" t="s">
        <v>140</v>
      </c>
      <c r="D54" s="282" t="s">
        <v>186</v>
      </c>
      <c r="E54" s="282" t="s">
        <v>67</v>
      </c>
      <c r="F54" s="282" t="s">
        <v>130</v>
      </c>
      <c r="G54" s="570"/>
    </row>
    <row r="55" spans="1:7" ht="30.75" thickBot="1" x14ac:dyDescent="0.3">
      <c r="A55" s="573"/>
      <c r="B55" s="605"/>
      <c r="C55" s="307" t="s">
        <v>187</v>
      </c>
      <c r="D55" s="300" t="s">
        <v>188</v>
      </c>
      <c r="E55" s="300" t="s">
        <v>67</v>
      </c>
      <c r="F55" s="300" t="s">
        <v>130</v>
      </c>
      <c r="G55" s="571"/>
    </row>
    <row r="56" spans="1:7" ht="30" x14ac:dyDescent="0.25">
      <c r="A56" s="573"/>
      <c r="B56" s="606" t="s">
        <v>144</v>
      </c>
      <c r="C56" s="405" t="s">
        <v>132</v>
      </c>
      <c r="D56" s="406" t="s">
        <v>189</v>
      </c>
      <c r="E56" s="406" t="s">
        <v>67</v>
      </c>
      <c r="F56" s="406" t="s">
        <v>146</v>
      </c>
      <c r="G56" s="407" t="s">
        <v>169</v>
      </c>
    </row>
    <row r="57" spans="1:7" ht="30" x14ac:dyDescent="0.25">
      <c r="A57" s="573"/>
      <c r="B57" s="607"/>
      <c r="C57" s="303" t="s">
        <v>30</v>
      </c>
      <c r="D57" s="301" t="s">
        <v>190</v>
      </c>
      <c r="E57" s="301" t="s">
        <v>67</v>
      </c>
      <c r="F57" s="301" t="s">
        <v>146</v>
      </c>
      <c r="G57" s="278" t="s">
        <v>169</v>
      </c>
    </row>
    <row r="58" spans="1:7" ht="30" x14ac:dyDescent="0.25">
      <c r="A58" s="573"/>
      <c r="B58" s="607"/>
      <c r="C58" s="303" t="s">
        <v>135</v>
      </c>
      <c r="D58" s="301" t="s">
        <v>191</v>
      </c>
      <c r="E58" s="301" t="s">
        <v>67</v>
      </c>
      <c r="F58" s="301" t="s">
        <v>146</v>
      </c>
      <c r="G58" s="278" t="s">
        <v>169</v>
      </c>
    </row>
    <row r="59" spans="1:7" x14ac:dyDescent="0.25">
      <c r="A59" s="573"/>
      <c r="B59" s="607"/>
      <c r="C59" s="303" t="s">
        <v>36</v>
      </c>
      <c r="D59" s="301" t="s">
        <v>192</v>
      </c>
      <c r="E59" s="301" t="s">
        <v>67</v>
      </c>
      <c r="F59" s="301" t="s">
        <v>146</v>
      </c>
      <c r="G59" s="278" t="s">
        <v>169</v>
      </c>
    </row>
    <row r="60" spans="1:7" ht="30" x14ac:dyDescent="0.25">
      <c r="A60" s="573"/>
      <c r="B60" s="607"/>
      <c r="C60" s="303" t="s">
        <v>138</v>
      </c>
      <c r="D60" s="301" t="s">
        <v>193</v>
      </c>
      <c r="E60" s="301" t="s">
        <v>67</v>
      </c>
      <c r="F60" s="301" t="s">
        <v>146</v>
      </c>
      <c r="G60" s="278" t="s">
        <v>169</v>
      </c>
    </row>
    <row r="61" spans="1:7" x14ac:dyDescent="0.25">
      <c r="A61" s="573"/>
      <c r="B61" s="607"/>
      <c r="C61" s="303" t="s">
        <v>184</v>
      </c>
      <c r="D61" s="301" t="s">
        <v>194</v>
      </c>
      <c r="E61" s="301" t="s">
        <v>67</v>
      </c>
      <c r="F61" s="301" t="s">
        <v>146</v>
      </c>
      <c r="G61" s="278" t="s">
        <v>169</v>
      </c>
    </row>
    <row r="62" spans="1:7" x14ac:dyDescent="0.25">
      <c r="A62" s="573"/>
      <c r="B62" s="607"/>
      <c r="C62" s="303" t="s">
        <v>140</v>
      </c>
      <c r="D62" s="301" t="s">
        <v>195</v>
      </c>
      <c r="E62" s="301" t="s">
        <v>67</v>
      </c>
      <c r="F62" s="301" t="s">
        <v>146</v>
      </c>
      <c r="G62" s="278" t="s">
        <v>169</v>
      </c>
    </row>
    <row r="63" spans="1:7" ht="15.75" thickBot="1" x14ac:dyDescent="0.3">
      <c r="A63" s="574"/>
      <c r="B63" s="608"/>
      <c r="C63" s="304" t="s">
        <v>187</v>
      </c>
      <c r="D63" s="302" t="s">
        <v>196</v>
      </c>
      <c r="E63" s="302" t="s">
        <v>67</v>
      </c>
      <c r="F63" s="302" t="s">
        <v>146</v>
      </c>
      <c r="G63" s="283" t="s">
        <v>169</v>
      </c>
    </row>
    <row r="64" spans="1:7" ht="120" x14ac:dyDescent="0.25">
      <c r="A64" s="573" t="s">
        <v>65</v>
      </c>
      <c r="B64" s="598" t="s">
        <v>197</v>
      </c>
      <c r="C64" s="330" t="s">
        <v>77</v>
      </c>
      <c r="D64" s="285" t="s">
        <v>198</v>
      </c>
      <c r="E64" s="285" t="s">
        <v>60</v>
      </c>
      <c r="F64" s="285" t="s">
        <v>79</v>
      </c>
      <c r="G64" s="421" t="s">
        <v>199</v>
      </c>
    </row>
    <row r="65" spans="1:7" ht="60" x14ac:dyDescent="0.25">
      <c r="A65" s="573"/>
      <c r="B65" s="599"/>
      <c r="C65" s="331" t="s">
        <v>81</v>
      </c>
      <c r="D65" s="286" t="s">
        <v>82</v>
      </c>
      <c r="E65" s="286" t="s">
        <v>60</v>
      </c>
      <c r="F65" s="286" t="s">
        <v>79</v>
      </c>
      <c r="G65" s="423" t="s">
        <v>200</v>
      </c>
    </row>
    <row r="66" spans="1:7" ht="30" x14ac:dyDescent="0.25">
      <c r="A66" s="573"/>
      <c r="B66" s="599"/>
      <c r="C66" s="331" t="s">
        <v>96</v>
      </c>
      <c r="D66" s="286" t="s">
        <v>97</v>
      </c>
      <c r="E66" s="286" t="s">
        <v>60</v>
      </c>
      <c r="F66" s="286" t="s">
        <v>79</v>
      </c>
      <c r="G66" s="287" t="s">
        <v>201</v>
      </c>
    </row>
    <row r="67" spans="1:7" ht="30" x14ac:dyDescent="0.25">
      <c r="A67" s="573"/>
      <c r="B67" s="599"/>
      <c r="C67" s="331" t="s">
        <v>202</v>
      </c>
      <c r="D67" s="286" t="s">
        <v>203</v>
      </c>
      <c r="E67" s="286" t="s">
        <v>60</v>
      </c>
      <c r="F67" s="286" t="s">
        <v>79</v>
      </c>
      <c r="G67" s="287" t="s">
        <v>204</v>
      </c>
    </row>
    <row r="68" spans="1:7" x14ac:dyDescent="0.25">
      <c r="A68" s="573"/>
      <c r="B68" s="599"/>
      <c r="C68" s="331" t="s">
        <v>1</v>
      </c>
      <c r="D68" s="286" t="s">
        <v>205</v>
      </c>
      <c r="E68" s="286" t="s">
        <v>60</v>
      </c>
      <c r="F68" s="286" t="s">
        <v>79</v>
      </c>
      <c r="G68" s="287" t="s">
        <v>206</v>
      </c>
    </row>
    <row r="69" spans="1:7" ht="15.75" thickBot="1" x14ac:dyDescent="0.3">
      <c r="A69" s="573"/>
      <c r="B69" s="600"/>
      <c r="C69" s="332" t="s">
        <v>207</v>
      </c>
      <c r="D69" s="288" t="s">
        <v>208</v>
      </c>
      <c r="E69" s="288" t="s">
        <v>60</v>
      </c>
      <c r="F69" s="288" t="s">
        <v>79</v>
      </c>
      <c r="G69" s="289"/>
    </row>
    <row r="70" spans="1:7" ht="150" x14ac:dyDescent="0.25">
      <c r="A70" s="572" t="s">
        <v>68</v>
      </c>
      <c r="B70" s="575" t="s">
        <v>76</v>
      </c>
      <c r="C70" s="340" t="s">
        <v>77</v>
      </c>
      <c r="D70" s="284" t="s">
        <v>209</v>
      </c>
      <c r="E70" s="284" t="s">
        <v>60</v>
      </c>
      <c r="F70" s="284" t="s">
        <v>79</v>
      </c>
      <c r="G70" s="422" t="s">
        <v>210</v>
      </c>
    </row>
    <row r="71" spans="1:7" x14ac:dyDescent="0.25">
      <c r="A71" s="573"/>
      <c r="B71" s="576"/>
      <c r="C71" s="121" t="s">
        <v>81</v>
      </c>
      <c r="D71" s="82" t="s">
        <v>82</v>
      </c>
      <c r="E71" s="82" t="s">
        <v>60</v>
      </c>
      <c r="F71" s="82" t="s">
        <v>79</v>
      </c>
      <c r="G71" s="95" t="s">
        <v>169</v>
      </c>
    </row>
    <row r="72" spans="1:7" ht="30" x14ac:dyDescent="0.25">
      <c r="A72" s="573"/>
      <c r="B72" s="576"/>
      <c r="C72" s="121" t="s">
        <v>96</v>
      </c>
      <c r="D72" s="82" t="s">
        <v>97</v>
      </c>
      <c r="E72" s="82" t="s">
        <v>60</v>
      </c>
      <c r="F72" s="82" t="s">
        <v>79</v>
      </c>
      <c r="G72" s="95" t="s">
        <v>211</v>
      </c>
    </row>
    <row r="73" spans="1:7" x14ac:dyDescent="0.25">
      <c r="A73" s="573"/>
      <c r="B73" s="576"/>
      <c r="C73" s="121" t="s">
        <v>212</v>
      </c>
      <c r="D73" s="82" t="s">
        <v>213</v>
      </c>
      <c r="E73" s="82" t="s">
        <v>86</v>
      </c>
      <c r="F73" s="82" t="s">
        <v>79</v>
      </c>
      <c r="G73" s="95" t="s">
        <v>169</v>
      </c>
    </row>
    <row r="74" spans="1:7" ht="60" customHeight="1" x14ac:dyDescent="0.25">
      <c r="A74" s="573"/>
      <c r="B74" s="576"/>
      <c r="C74" s="121" t="s">
        <v>88</v>
      </c>
      <c r="D74" s="82" t="s">
        <v>214</v>
      </c>
      <c r="E74" s="82" t="s">
        <v>86</v>
      </c>
      <c r="F74" s="82" t="s">
        <v>79</v>
      </c>
      <c r="G74" s="95" t="s">
        <v>169</v>
      </c>
    </row>
    <row r="75" spans="1:7" x14ac:dyDescent="0.25">
      <c r="A75" s="573"/>
      <c r="B75" s="576"/>
      <c r="C75" s="121" t="s">
        <v>1</v>
      </c>
      <c r="D75" s="82" t="s">
        <v>205</v>
      </c>
      <c r="E75" s="82" t="s">
        <v>86</v>
      </c>
      <c r="F75" s="82" t="s">
        <v>79</v>
      </c>
      <c r="G75" s="95" t="s">
        <v>169</v>
      </c>
    </row>
    <row r="76" spans="1:7" ht="105" x14ac:dyDescent="0.25">
      <c r="A76" s="573"/>
      <c r="B76" s="576"/>
      <c r="C76" s="121" t="s">
        <v>215</v>
      </c>
      <c r="D76" s="82" t="s">
        <v>216</v>
      </c>
      <c r="E76" s="82" t="s">
        <v>60</v>
      </c>
      <c r="F76" s="82" t="s">
        <v>79</v>
      </c>
      <c r="G76" s="322" t="s">
        <v>217</v>
      </c>
    </row>
    <row r="77" spans="1:7" ht="105" x14ac:dyDescent="0.25">
      <c r="A77" s="573"/>
      <c r="B77" s="576"/>
      <c r="C77" s="121" t="s">
        <v>218</v>
      </c>
      <c r="D77" s="82" t="s">
        <v>219</v>
      </c>
      <c r="E77" s="82" t="s">
        <v>60</v>
      </c>
      <c r="F77" s="82" t="s">
        <v>79</v>
      </c>
      <c r="G77" s="322" t="s">
        <v>220</v>
      </c>
    </row>
    <row r="78" spans="1:7" ht="30" x14ac:dyDescent="0.25">
      <c r="A78" s="573"/>
      <c r="B78" s="576"/>
      <c r="C78" s="121" t="s">
        <v>105</v>
      </c>
      <c r="D78" s="82" t="s">
        <v>171</v>
      </c>
      <c r="E78" s="82" t="s">
        <v>86</v>
      </c>
      <c r="F78" s="82" t="s">
        <v>79</v>
      </c>
      <c r="G78" s="95" t="s">
        <v>172</v>
      </c>
    </row>
    <row r="79" spans="1:7" ht="30.75" thickBot="1" x14ac:dyDescent="0.3">
      <c r="A79" s="573"/>
      <c r="B79" s="577"/>
      <c r="C79" s="122" t="s">
        <v>221</v>
      </c>
      <c r="D79" s="96" t="s">
        <v>222</v>
      </c>
      <c r="E79" s="96" t="s">
        <v>60</v>
      </c>
      <c r="F79" s="96" t="s">
        <v>79</v>
      </c>
      <c r="G79" s="97" t="s">
        <v>223</v>
      </c>
    </row>
    <row r="80" spans="1:7" ht="30" x14ac:dyDescent="0.25">
      <c r="A80" s="573"/>
      <c r="B80" s="578" t="s">
        <v>113</v>
      </c>
      <c r="C80" s="123" t="s">
        <v>114</v>
      </c>
      <c r="D80" s="105" t="s">
        <v>224</v>
      </c>
      <c r="E80" s="105" t="s">
        <v>60</v>
      </c>
      <c r="F80" s="105" t="s">
        <v>225</v>
      </c>
      <c r="G80" s="106" t="s">
        <v>223</v>
      </c>
    </row>
    <row r="81" spans="1:7" ht="30.75" thickBot="1" x14ac:dyDescent="0.3">
      <c r="A81" s="573"/>
      <c r="B81" s="579"/>
      <c r="C81" s="124" t="s">
        <v>121</v>
      </c>
      <c r="D81" s="107" t="s">
        <v>226</v>
      </c>
      <c r="E81" s="107" t="s">
        <v>60</v>
      </c>
      <c r="F81" s="107" t="s">
        <v>225</v>
      </c>
      <c r="G81" s="108" t="s">
        <v>223</v>
      </c>
    </row>
    <row r="82" spans="1:7" ht="30" x14ac:dyDescent="0.25">
      <c r="A82" s="573"/>
      <c r="B82" s="580" t="s">
        <v>124</v>
      </c>
      <c r="C82" s="125" t="s">
        <v>227</v>
      </c>
      <c r="D82" s="102" t="s">
        <v>228</v>
      </c>
      <c r="E82" s="102" t="s">
        <v>60</v>
      </c>
      <c r="F82" s="102" t="s">
        <v>79</v>
      </c>
      <c r="G82" s="103" t="s">
        <v>223</v>
      </c>
    </row>
    <row r="83" spans="1:7" ht="30" x14ac:dyDescent="0.25">
      <c r="A83" s="573"/>
      <c r="B83" s="581"/>
      <c r="C83" s="127" t="s">
        <v>229</v>
      </c>
      <c r="D83" s="109" t="s">
        <v>230</v>
      </c>
      <c r="E83" s="109" t="s">
        <v>60</v>
      </c>
      <c r="F83" s="109" t="s">
        <v>225</v>
      </c>
      <c r="G83" s="114" t="s">
        <v>223</v>
      </c>
    </row>
    <row r="84" spans="1:7" ht="30.75" thickBot="1" x14ac:dyDescent="0.3">
      <c r="A84" s="573"/>
      <c r="B84" s="582"/>
      <c r="C84" s="128" t="s">
        <v>187</v>
      </c>
      <c r="D84" s="119" t="s">
        <v>231</v>
      </c>
      <c r="E84" s="119" t="s">
        <v>60</v>
      </c>
      <c r="F84" s="119" t="s">
        <v>225</v>
      </c>
      <c r="G84" s="120" t="s">
        <v>223</v>
      </c>
    </row>
    <row r="85" spans="1:7" ht="30" x14ac:dyDescent="0.25">
      <c r="A85" s="573"/>
      <c r="B85" s="583" t="s">
        <v>144</v>
      </c>
      <c r="C85" s="126" t="s">
        <v>232</v>
      </c>
      <c r="D85" s="111" t="s">
        <v>233</v>
      </c>
      <c r="E85" s="111" t="s">
        <v>60</v>
      </c>
      <c r="F85" s="111" t="s">
        <v>225</v>
      </c>
      <c r="G85" s="112" t="s">
        <v>223</v>
      </c>
    </row>
    <row r="86" spans="1:7" ht="30" x14ac:dyDescent="0.25">
      <c r="A86" s="573"/>
      <c r="B86" s="584"/>
      <c r="C86" s="98" t="s">
        <v>229</v>
      </c>
      <c r="D86" s="83" t="s">
        <v>234</v>
      </c>
      <c r="E86" s="83" t="s">
        <v>60</v>
      </c>
      <c r="F86" s="83" t="s">
        <v>225</v>
      </c>
      <c r="G86" s="99" t="s">
        <v>223</v>
      </c>
    </row>
    <row r="87" spans="1:7" ht="30" x14ac:dyDescent="0.25">
      <c r="A87" s="573"/>
      <c r="B87" s="584"/>
      <c r="C87" s="98" t="s">
        <v>184</v>
      </c>
      <c r="D87" s="83" t="s">
        <v>235</v>
      </c>
      <c r="E87" s="83" t="s">
        <v>60</v>
      </c>
      <c r="F87" s="83" t="s">
        <v>225</v>
      </c>
      <c r="G87" s="99" t="s">
        <v>223</v>
      </c>
    </row>
    <row r="88" spans="1:7" ht="30" x14ac:dyDescent="0.25">
      <c r="A88" s="573"/>
      <c r="B88" s="584"/>
      <c r="C88" s="98" t="s">
        <v>140</v>
      </c>
      <c r="D88" s="83" t="s">
        <v>236</v>
      </c>
      <c r="E88" s="83" t="s">
        <v>60</v>
      </c>
      <c r="F88" s="83" t="s">
        <v>225</v>
      </c>
      <c r="G88" s="99" t="s">
        <v>223</v>
      </c>
    </row>
    <row r="89" spans="1:7" ht="45" customHeight="1" x14ac:dyDescent="0.25">
      <c r="A89" s="573"/>
      <c r="B89" s="584"/>
      <c r="C89" s="98" t="s">
        <v>187</v>
      </c>
      <c r="D89" s="83" t="s">
        <v>237</v>
      </c>
      <c r="E89" s="83" t="s">
        <v>60</v>
      </c>
      <c r="F89" s="83" t="s">
        <v>225</v>
      </c>
      <c r="G89" s="99" t="s">
        <v>223</v>
      </c>
    </row>
    <row r="90" spans="1:7" ht="30.75" thickBot="1" x14ac:dyDescent="0.3">
      <c r="A90" s="574"/>
      <c r="B90" s="585"/>
      <c r="C90" s="328" t="s">
        <v>157</v>
      </c>
      <c r="D90" s="100" t="s">
        <v>158</v>
      </c>
      <c r="E90" s="100" t="s">
        <v>60</v>
      </c>
      <c r="F90" s="100" t="s">
        <v>238</v>
      </c>
      <c r="G90" s="101" t="s">
        <v>239</v>
      </c>
    </row>
  </sheetData>
  <mergeCells count="25">
    <mergeCell ref="B9:B20"/>
    <mergeCell ref="A9:A41"/>
    <mergeCell ref="B64:B69"/>
    <mergeCell ref="B43:B47"/>
    <mergeCell ref="B48:B55"/>
    <mergeCell ref="B56:B63"/>
    <mergeCell ref="A42:A63"/>
    <mergeCell ref="A64:A69"/>
    <mergeCell ref="B21:B23"/>
    <mergeCell ref="B24:B32"/>
    <mergeCell ref="B33:B41"/>
    <mergeCell ref="B1:D1"/>
    <mergeCell ref="B2:D2"/>
    <mergeCell ref="B7:D7"/>
    <mergeCell ref="B4:D4"/>
    <mergeCell ref="B5:D5"/>
    <mergeCell ref="B6:D6"/>
    <mergeCell ref="B3:D3"/>
    <mergeCell ref="G25:G32"/>
    <mergeCell ref="G48:G55"/>
    <mergeCell ref="A70:A90"/>
    <mergeCell ref="B70:B79"/>
    <mergeCell ref="B80:B81"/>
    <mergeCell ref="B82:B84"/>
    <mergeCell ref="B85:B90"/>
  </mergeCells>
  <pageMargins left="0.7" right="0.7" top="0.75" bottom="0.75" header="0.3" footer="0.3"/>
  <pageSetup orientation="portrait" r:id="rId1"/>
  <headerFooter>
    <oddHeader>&amp;L&amp;"Arial"&amp;10&amp;K0000FF[AMD Official Use Only]&amp;1#</oddHead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A16EA3-3552-42AE-B32E-9E208D209399}">
  <dimension ref="A2:S18"/>
  <sheetViews>
    <sheetView topLeftCell="A13" workbookViewId="0">
      <selection activeCell="B27" sqref="B27"/>
    </sheetView>
  </sheetViews>
  <sheetFormatPr defaultColWidth="8.5703125" defaultRowHeight="15" x14ac:dyDescent="0.25"/>
  <cols>
    <col min="1" max="1" width="14.5703125" bestFit="1" customWidth="1"/>
    <col min="2" max="2" width="26.42578125" bestFit="1" customWidth="1"/>
    <col min="3" max="3" width="12.5703125" customWidth="1"/>
    <col min="4" max="4" width="14.5703125" customWidth="1"/>
    <col min="5" max="5" width="18.5703125" customWidth="1"/>
    <col min="6" max="6" width="39.42578125" bestFit="1" customWidth="1"/>
    <col min="7" max="7" width="7.42578125" bestFit="1" customWidth="1"/>
    <col min="8" max="8" width="11.42578125" bestFit="1" customWidth="1"/>
    <col min="11" max="11" width="15" bestFit="1" customWidth="1"/>
  </cols>
  <sheetData>
    <row r="2" spans="1:19" ht="54.75" customHeight="1" x14ac:dyDescent="0.25">
      <c r="A2" s="618" t="s">
        <v>240</v>
      </c>
      <c r="B2" s="618"/>
      <c r="C2" s="618"/>
      <c r="D2" s="618"/>
      <c r="E2" s="618"/>
      <c r="F2" s="89"/>
      <c r="G2" s="89"/>
      <c r="H2" s="89"/>
      <c r="I2" s="89"/>
      <c r="J2" s="89"/>
      <c r="K2" s="89"/>
      <c r="L2" s="89"/>
      <c r="M2" s="89"/>
      <c r="N2" s="89"/>
      <c r="O2" s="89"/>
      <c r="P2" s="89"/>
      <c r="Q2" s="89"/>
      <c r="R2" s="89"/>
    </row>
    <row r="3" spans="1:19" ht="45" x14ac:dyDescent="0.25">
      <c r="A3" s="520" t="s">
        <v>241</v>
      </c>
      <c r="B3" s="520" t="s">
        <v>242</v>
      </c>
      <c r="C3" s="520" t="s">
        <v>243</v>
      </c>
      <c r="D3" s="520" t="s">
        <v>244</v>
      </c>
      <c r="E3" s="520" t="s">
        <v>245</v>
      </c>
    </row>
    <row r="4" spans="1:19" x14ac:dyDescent="0.25">
      <c r="A4" s="521" t="s">
        <v>246</v>
      </c>
      <c r="B4" s="521" t="s">
        <v>247</v>
      </c>
      <c r="C4" s="521" t="s">
        <v>248</v>
      </c>
      <c r="D4" s="521" t="s">
        <v>249</v>
      </c>
      <c r="E4" s="521" t="s">
        <v>248</v>
      </c>
    </row>
    <row r="5" spans="1:19" x14ac:dyDescent="0.25">
      <c r="A5" s="521" t="s">
        <v>250</v>
      </c>
      <c r="B5" s="521" t="s">
        <v>251</v>
      </c>
      <c r="C5" s="521" t="s">
        <v>252</v>
      </c>
      <c r="D5" s="521" t="s">
        <v>249</v>
      </c>
      <c r="E5" s="521" t="s">
        <v>248</v>
      </c>
    </row>
    <row r="6" spans="1:19" x14ac:dyDescent="0.25">
      <c r="A6" s="81"/>
    </row>
    <row r="7" spans="1:19" ht="59.25" customHeight="1" x14ac:dyDescent="0.25">
      <c r="A7" s="618" t="s">
        <v>253</v>
      </c>
      <c r="B7" s="619"/>
      <c r="C7" s="619"/>
      <c r="D7" s="619"/>
      <c r="E7" s="619"/>
      <c r="F7" s="619"/>
      <c r="G7" s="619"/>
      <c r="H7" s="619"/>
      <c r="I7" s="619"/>
      <c r="J7" s="619"/>
      <c r="K7" s="619"/>
      <c r="L7" s="619"/>
      <c r="M7" s="89"/>
      <c r="N7" s="89"/>
      <c r="O7" s="89"/>
      <c r="P7" s="89"/>
      <c r="Q7" s="89"/>
      <c r="R7" s="89"/>
      <c r="S7" s="89"/>
    </row>
    <row r="8" spans="1:19" x14ac:dyDescent="0.25">
      <c r="A8" s="522" t="s">
        <v>254</v>
      </c>
      <c r="B8" s="523"/>
      <c r="C8" s="523"/>
      <c r="D8" s="523"/>
      <c r="E8" s="523"/>
      <c r="F8" s="523"/>
      <c r="G8" s="523"/>
      <c r="H8" s="523"/>
      <c r="I8" s="523"/>
      <c r="J8" s="523"/>
      <c r="K8" s="523"/>
      <c r="L8" s="523"/>
      <c r="M8" s="89"/>
      <c r="N8" s="89"/>
      <c r="O8" s="89"/>
      <c r="P8" s="89"/>
      <c r="Q8" s="89"/>
      <c r="R8" s="89"/>
      <c r="S8" s="89"/>
    </row>
    <row r="9" spans="1:19" x14ac:dyDescent="0.25">
      <c r="A9" s="524" t="s">
        <v>77</v>
      </c>
      <c r="B9" s="525" t="s">
        <v>81</v>
      </c>
      <c r="C9" s="525" t="s">
        <v>84</v>
      </c>
      <c r="D9" s="526" t="s">
        <v>88</v>
      </c>
      <c r="E9" s="525" t="s">
        <v>91</v>
      </c>
      <c r="F9" s="525" t="s">
        <v>94</v>
      </c>
      <c r="G9" s="525" t="s">
        <v>96</v>
      </c>
      <c r="H9" s="525" t="s">
        <v>99</v>
      </c>
      <c r="I9" s="525" t="s">
        <v>102</v>
      </c>
      <c r="J9" s="527" t="s">
        <v>105</v>
      </c>
      <c r="K9" s="527" t="s">
        <v>108</v>
      </c>
      <c r="L9" s="528" t="s">
        <v>1</v>
      </c>
    </row>
    <row r="10" spans="1:19" x14ac:dyDescent="0.25">
      <c r="A10" s="529" t="s">
        <v>255</v>
      </c>
      <c r="B10" s="530" t="s">
        <v>256</v>
      </c>
      <c r="C10" s="530"/>
      <c r="D10" s="531" t="s">
        <v>257</v>
      </c>
      <c r="E10" s="532"/>
      <c r="F10" s="530" t="s">
        <v>258</v>
      </c>
      <c r="G10" s="531" t="s">
        <v>259</v>
      </c>
      <c r="H10" s="530" t="s">
        <v>260</v>
      </c>
      <c r="I10" s="530"/>
      <c r="J10" s="531">
        <v>1</v>
      </c>
      <c r="K10" s="531">
        <v>1</v>
      </c>
      <c r="L10" s="531" t="s">
        <v>261</v>
      </c>
    </row>
    <row r="11" spans="1:19" x14ac:dyDescent="0.25">
      <c r="A11" s="529" t="s">
        <v>262</v>
      </c>
      <c r="B11" s="530" t="s">
        <v>263</v>
      </c>
      <c r="C11" s="530"/>
      <c r="D11" s="531" t="s">
        <v>264</v>
      </c>
      <c r="E11" s="532"/>
      <c r="F11" s="530" t="s">
        <v>265</v>
      </c>
      <c r="G11" s="531" t="s">
        <v>259</v>
      </c>
      <c r="H11" s="530" t="s">
        <v>266</v>
      </c>
      <c r="I11" s="530"/>
      <c r="J11" s="531">
        <v>1</v>
      </c>
      <c r="K11" s="531">
        <v>1</v>
      </c>
      <c r="L11" s="531" t="s">
        <v>267</v>
      </c>
    </row>
    <row r="12" spans="1:19" ht="45" x14ac:dyDescent="0.25">
      <c r="A12" s="529" t="s">
        <v>268</v>
      </c>
      <c r="B12" s="529" t="s">
        <v>269</v>
      </c>
      <c r="C12" s="530"/>
      <c r="D12" s="531" t="s">
        <v>247</v>
      </c>
      <c r="E12" s="532"/>
      <c r="F12" s="530" t="s">
        <v>270</v>
      </c>
      <c r="G12" s="531" t="e">
        <v>#N/A</v>
      </c>
      <c r="H12" s="530" t="s">
        <v>249</v>
      </c>
      <c r="I12" s="530"/>
      <c r="J12" s="531">
        <v>1</v>
      </c>
      <c r="K12" s="531">
        <v>1</v>
      </c>
      <c r="L12" s="531" t="s">
        <v>261</v>
      </c>
    </row>
    <row r="13" spans="1:19" x14ac:dyDescent="0.25">
      <c r="A13" s="533" t="s">
        <v>271</v>
      </c>
    </row>
    <row r="14" spans="1:19" x14ac:dyDescent="0.25">
      <c r="A14" s="524" t="s">
        <v>77</v>
      </c>
      <c r="B14" s="525" t="s">
        <v>81</v>
      </c>
      <c r="C14" s="525" t="s">
        <v>84</v>
      </c>
      <c r="D14" s="526" t="s">
        <v>88</v>
      </c>
      <c r="E14" s="525" t="s">
        <v>91</v>
      </c>
      <c r="F14" s="525" t="s">
        <v>94</v>
      </c>
      <c r="G14" s="525" t="s">
        <v>96</v>
      </c>
      <c r="H14" s="525" t="s">
        <v>99</v>
      </c>
      <c r="I14" s="525" t="s">
        <v>102</v>
      </c>
      <c r="J14" s="527" t="s">
        <v>105</v>
      </c>
      <c r="K14" s="527" t="s">
        <v>108</v>
      </c>
      <c r="L14" s="534" t="s">
        <v>1</v>
      </c>
      <c r="M14" s="527" t="s">
        <v>114</v>
      </c>
      <c r="N14" s="527" t="s">
        <v>118</v>
      </c>
      <c r="O14" s="527" t="s">
        <v>121</v>
      </c>
      <c r="P14" s="527" t="s">
        <v>125</v>
      </c>
      <c r="Q14" s="527" t="s">
        <v>128</v>
      </c>
      <c r="R14" s="527" t="s">
        <v>132</v>
      </c>
      <c r="S14" s="527" t="s">
        <v>157</v>
      </c>
    </row>
    <row r="15" spans="1:19" x14ac:dyDescent="0.25">
      <c r="A15" s="529" t="s">
        <v>272</v>
      </c>
      <c r="B15" s="530" t="s">
        <v>273</v>
      </c>
      <c r="C15" s="530"/>
      <c r="D15" s="531" t="s">
        <v>252</v>
      </c>
      <c r="E15" s="530"/>
      <c r="F15" s="530" t="s">
        <v>274</v>
      </c>
      <c r="G15" s="531" t="s">
        <v>259</v>
      </c>
      <c r="H15" s="530" t="s">
        <v>275</v>
      </c>
      <c r="I15" s="530"/>
      <c r="J15" s="531">
        <v>1</v>
      </c>
      <c r="K15" s="531">
        <v>1</v>
      </c>
      <c r="L15" s="531" t="s">
        <v>276</v>
      </c>
      <c r="M15" s="535">
        <v>0</v>
      </c>
      <c r="N15" s="531"/>
      <c r="O15" s="535">
        <v>0</v>
      </c>
      <c r="P15" s="530" t="s">
        <v>48</v>
      </c>
      <c r="Q15" s="531">
        <v>1</v>
      </c>
      <c r="R15" s="531">
        <v>0</v>
      </c>
      <c r="S15" s="530" t="s">
        <v>277</v>
      </c>
    </row>
    <row r="16" spans="1:19" x14ac:dyDescent="0.25">
      <c r="A16" s="529" t="s">
        <v>250</v>
      </c>
      <c r="B16" s="530" t="s">
        <v>278</v>
      </c>
      <c r="C16" s="530"/>
      <c r="D16" s="536" t="s">
        <v>247</v>
      </c>
      <c r="E16" s="530"/>
      <c r="F16" s="530" t="s">
        <v>279</v>
      </c>
      <c r="G16" s="531" t="s">
        <v>280</v>
      </c>
      <c r="H16" s="537" t="s">
        <v>249</v>
      </c>
      <c r="I16" s="530"/>
      <c r="J16" s="531">
        <v>1</v>
      </c>
      <c r="K16" s="531">
        <v>1</v>
      </c>
      <c r="L16" s="531" t="s">
        <v>261</v>
      </c>
      <c r="M16" s="535">
        <v>0</v>
      </c>
      <c r="N16" s="531"/>
      <c r="O16" s="535">
        <v>0</v>
      </c>
      <c r="P16" s="530" t="s">
        <v>48</v>
      </c>
      <c r="Q16" s="531">
        <v>1</v>
      </c>
      <c r="R16" s="531">
        <v>0</v>
      </c>
      <c r="S16" s="530" t="s">
        <v>277</v>
      </c>
    </row>
    <row r="17" spans="1:19" x14ac:dyDescent="0.25">
      <c r="A17" s="529" t="s">
        <v>281</v>
      </c>
      <c r="B17" s="530" t="s">
        <v>282</v>
      </c>
      <c r="C17" s="530"/>
      <c r="D17" s="531" t="s">
        <v>252</v>
      </c>
      <c r="E17" s="530"/>
      <c r="F17" s="530" t="s">
        <v>283</v>
      </c>
      <c r="G17" s="531" t="s">
        <v>284</v>
      </c>
      <c r="H17" s="530" t="s">
        <v>285</v>
      </c>
      <c r="I17" s="530"/>
      <c r="J17" s="531">
        <v>1</v>
      </c>
      <c r="K17" s="531">
        <v>1</v>
      </c>
      <c r="L17" s="531" t="s">
        <v>276</v>
      </c>
      <c r="M17" s="535">
        <v>0</v>
      </c>
      <c r="N17" s="531"/>
      <c r="O17" s="535">
        <v>0</v>
      </c>
      <c r="P17" s="530" t="s">
        <v>48</v>
      </c>
      <c r="Q17" s="531">
        <v>1</v>
      </c>
      <c r="R17" s="531">
        <v>0</v>
      </c>
      <c r="S17" s="530" t="s">
        <v>286</v>
      </c>
    </row>
    <row r="18" spans="1:19" x14ac:dyDescent="0.25">
      <c r="A18" s="81"/>
    </row>
  </sheetData>
  <mergeCells count="2">
    <mergeCell ref="A2:E2"/>
    <mergeCell ref="A7:L7"/>
  </mergeCells>
  <pageMargins left="0.7" right="0.7" top="0.75" bottom="0.75" header="0.3" footer="0.3"/>
  <pageSetup orientation="portrait" r:id="rId1"/>
  <headerFooter>
    <oddHeader>&amp;L&amp;"Arial"&amp;10&amp;K0000FF[AMD Official Use Only]&amp;1#</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E4EA5C-04D7-4972-ACBB-8CA829A9CF39}">
  <dimension ref="A1:C11"/>
  <sheetViews>
    <sheetView workbookViewId="0">
      <pane xSplit="1" ySplit="1" topLeftCell="B9" activePane="bottomRight" state="frozen"/>
      <selection pane="topRight" activeCell="B1" sqref="B1"/>
      <selection pane="bottomLeft" activeCell="A2" sqref="A2"/>
      <selection pane="bottomRight" activeCell="B14" sqref="B14"/>
    </sheetView>
  </sheetViews>
  <sheetFormatPr defaultColWidth="9.42578125" defaultRowHeight="15" x14ac:dyDescent="0.25"/>
  <cols>
    <col min="1" max="1" width="9.5703125" style="169" bestFit="1" customWidth="1"/>
    <col min="2" max="2" width="123" style="81" bestFit="1" customWidth="1"/>
    <col min="3" max="3" width="7.42578125" style="81" bestFit="1" customWidth="1"/>
    <col min="4" max="16384" width="9.42578125" style="81"/>
  </cols>
  <sheetData>
    <row r="1" spans="1:3" x14ac:dyDescent="0.25">
      <c r="A1" s="538" t="s">
        <v>0</v>
      </c>
      <c r="B1" s="539" t="s">
        <v>287</v>
      </c>
      <c r="C1" s="539" t="s">
        <v>288</v>
      </c>
    </row>
    <row r="2" spans="1:3" x14ac:dyDescent="0.25">
      <c r="A2" s="540">
        <v>43807</v>
      </c>
      <c r="B2" s="541" t="s">
        <v>289</v>
      </c>
      <c r="C2" s="541" t="s">
        <v>11</v>
      </c>
    </row>
    <row r="3" spans="1:3" ht="30" x14ac:dyDescent="0.25">
      <c r="A3" s="540">
        <v>43937</v>
      </c>
      <c r="B3" s="80" t="s">
        <v>290</v>
      </c>
      <c r="C3" s="541" t="s">
        <v>11</v>
      </c>
    </row>
    <row r="4" spans="1:3" x14ac:dyDescent="0.25">
      <c r="A4" s="540">
        <v>43941</v>
      </c>
      <c r="B4" s="541" t="s">
        <v>291</v>
      </c>
      <c r="C4" s="541" t="s">
        <v>11</v>
      </c>
    </row>
    <row r="5" spans="1:3" x14ac:dyDescent="0.25">
      <c r="A5" s="540">
        <v>43942</v>
      </c>
      <c r="B5" s="541" t="s">
        <v>292</v>
      </c>
      <c r="C5" s="541" t="s">
        <v>11</v>
      </c>
    </row>
    <row r="6" spans="1:3" x14ac:dyDescent="0.25">
      <c r="A6" s="540">
        <v>43963</v>
      </c>
      <c r="B6" s="541" t="s">
        <v>293</v>
      </c>
      <c r="C6" s="541" t="s">
        <v>11</v>
      </c>
    </row>
    <row r="7" spans="1:3" x14ac:dyDescent="0.25">
      <c r="A7" s="540">
        <v>43990</v>
      </c>
      <c r="B7" s="541" t="s">
        <v>294</v>
      </c>
      <c r="C7" s="541" t="s">
        <v>11</v>
      </c>
    </row>
    <row r="8" spans="1:3" ht="30" x14ac:dyDescent="0.25">
      <c r="A8" s="540">
        <v>44104</v>
      </c>
      <c r="B8" s="80" t="s">
        <v>295</v>
      </c>
      <c r="C8" s="541" t="s">
        <v>296</v>
      </c>
    </row>
    <row r="9" spans="1:3" ht="150" x14ac:dyDescent="0.25">
      <c r="A9" s="540">
        <v>44128</v>
      </c>
      <c r="B9" s="80" t="s">
        <v>297</v>
      </c>
      <c r="C9" s="541" t="s">
        <v>296</v>
      </c>
    </row>
    <row r="10" spans="1:3" x14ac:dyDescent="0.25">
      <c r="A10" s="540">
        <v>44361</v>
      </c>
      <c r="B10" s="541" t="s">
        <v>298</v>
      </c>
      <c r="C10" s="541" t="s">
        <v>299</v>
      </c>
    </row>
    <row r="11" spans="1:3" x14ac:dyDescent="0.25">
      <c r="A11" s="540">
        <v>44813</v>
      </c>
      <c r="B11" s="541" t="s">
        <v>300</v>
      </c>
      <c r="C11" s="541" t="s">
        <v>296</v>
      </c>
    </row>
  </sheetData>
  <pageMargins left="0.7" right="0.7" top="0.75" bottom="0.75" header="0.3" footer="0.3"/>
  <pageSetup orientation="portrait" r:id="rId1"/>
  <headerFooter>
    <oddHeader>&amp;L&amp;"Arial"&amp;10&amp;K0000FF[AMD Official Use Only]&amp;1#</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filterMode="1"/>
  <dimension ref="A1:AH222"/>
  <sheetViews>
    <sheetView tabSelected="1" zoomScaleNormal="100" workbookViewId="0">
      <pane xSplit="2" ySplit="5" topLeftCell="G40" activePane="bottomRight" state="frozen"/>
      <selection pane="topRight" activeCell="C1" sqref="C1"/>
      <selection pane="bottomLeft" activeCell="A4" sqref="A4"/>
      <selection pane="bottomRight" activeCell="H45" sqref="H45"/>
    </sheetView>
  </sheetViews>
  <sheetFormatPr defaultColWidth="9.42578125" defaultRowHeight="15" x14ac:dyDescent="0.25"/>
  <cols>
    <col min="1" max="1" width="12.42578125" style="565" customWidth="1"/>
    <col min="2" max="2" width="51.140625" style="170" customWidth="1"/>
    <col min="3" max="3" width="17.5703125" style="170" customWidth="1"/>
    <col min="4" max="4" width="7" style="173" customWidth="1"/>
    <col min="5" max="5" width="7.42578125" style="170" customWidth="1"/>
    <col min="6" max="6" width="29.42578125" style="170" customWidth="1"/>
    <col min="7" max="7" width="9.5703125" style="170" bestFit="1" customWidth="1"/>
    <col min="8" max="8" width="127.7109375" style="173" customWidth="1"/>
    <col min="9" max="9" width="13.42578125" style="173" customWidth="1"/>
    <col min="10" max="10" width="7.42578125" style="170" customWidth="1"/>
    <col min="11" max="11" width="7.5703125" style="170" customWidth="1"/>
    <col min="12" max="12" width="17.42578125" style="170" bestFit="1" customWidth="1"/>
    <col min="13" max="13" width="11.42578125" style="170" hidden="1" customWidth="1"/>
    <col min="14" max="14" width="12.42578125" style="170" bestFit="1" customWidth="1"/>
    <col min="15" max="15" width="11.5703125" style="170" bestFit="1" customWidth="1"/>
    <col min="16" max="16" width="15" style="170" bestFit="1" customWidth="1"/>
    <col min="17" max="17" width="10.42578125" style="170" hidden="1" customWidth="1"/>
    <col min="18" max="18" width="26.42578125" style="175" hidden="1" customWidth="1"/>
    <col min="19" max="19" width="11.42578125" style="175" hidden="1" customWidth="1"/>
    <col min="20" max="20" width="7.42578125" style="174" hidden="1" customWidth="1"/>
    <col min="21" max="23" width="6.42578125" style="174" hidden="1" customWidth="1"/>
    <col min="24" max="24" width="13.42578125" style="174" hidden="1" customWidth="1"/>
    <col min="25" max="25" width="49.5703125" style="175" hidden="1" customWidth="1"/>
    <col min="26" max="26" width="11.42578125" style="175" bestFit="1" customWidth="1"/>
    <col min="27" max="27" width="7.42578125" style="174" bestFit="1" customWidth="1"/>
    <col min="28" max="28" width="10.42578125" style="174" bestFit="1" customWidth="1"/>
    <col min="29" max="29" width="6.42578125" style="174" bestFit="1" customWidth="1"/>
    <col min="30" max="30" width="7" style="174" bestFit="1" customWidth="1"/>
    <col min="31" max="31" width="13.42578125" style="174" bestFit="1" customWidth="1"/>
    <col min="32" max="32" width="45.5703125" style="170" customWidth="1"/>
    <col min="33" max="33" width="6.42578125" style="170" bestFit="1" customWidth="1"/>
    <col min="34" max="34" width="60.5703125" style="170" customWidth="1"/>
    <col min="35" max="16384" width="9.42578125" style="170"/>
  </cols>
  <sheetData>
    <row r="1" spans="1:34" ht="18.75" x14ac:dyDescent="0.25">
      <c r="A1" s="620" t="s">
        <v>301</v>
      </c>
      <c r="B1" s="621"/>
      <c r="C1" s="621"/>
      <c r="D1" s="621"/>
      <c r="E1" s="621"/>
      <c r="F1" s="621"/>
      <c r="G1" s="621"/>
      <c r="H1" s="621"/>
      <c r="I1" s="621"/>
      <c r="J1" s="621"/>
      <c r="K1" s="621"/>
      <c r="L1" s="621"/>
      <c r="M1" s="621"/>
      <c r="N1" s="621"/>
      <c r="O1" s="621"/>
      <c r="P1" s="621"/>
      <c r="Q1" s="621"/>
      <c r="R1" s="621"/>
      <c r="S1" s="621"/>
      <c r="T1" s="621"/>
      <c r="U1" s="621"/>
      <c r="V1" s="621"/>
      <c r="W1" s="621"/>
      <c r="X1" s="621"/>
      <c r="Y1" s="622"/>
      <c r="Z1" s="621"/>
      <c r="AA1" s="621"/>
      <c r="AB1" s="621"/>
      <c r="AC1" s="621"/>
      <c r="AD1" s="621"/>
      <c r="AE1" s="621"/>
      <c r="AF1" s="621"/>
      <c r="AG1" s="621"/>
      <c r="AH1" s="623"/>
    </row>
    <row r="2" spans="1:34" ht="18.75" x14ac:dyDescent="0.25">
      <c r="A2" s="624" t="s">
        <v>302</v>
      </c>
      <c r="B2" s="625"/>
      <c r="C2" s="625"/>
      <c r="D2" s="625"/>
      <c r="E2" s="625"/>
      <c r="F2" s="625"/>
      <c r="G2" s="625"/>
      <c r="H2" s="625"/>
      <c r="I2" s="625"/>
      <c r="J2" s="626"/>
      <c r="K2" s="384">
        <f>SUM(K6:K217)</f>
        <v>210</v>
      </c>
      <c r="L2" s="384">
        <f>SUM(L6:L217)</f>
        <v>724</v>
      </c>
      <c r="M2" s="385"/>
      <c r="N2" s="448">
        <f>SUMPRODUCT(K6:K217,N6:N217)/K220</f>
        <v>1</v>
      </c>
      <c r="O2" s="449">
        <f>SUM(O6:O217)</f>
        <v>716.09999999999991</v>
      </c>
      <c r="P2" s="450">
        <f>SUMPRODUCT(K6:K217,P6:P217)/K220</f>
        <v>0.96642857142857153</v>
      </c>
      <c r="Q2" s="386"/>
      <c r="R2" s="387">
        <f t="shared" ref="R2:W2" si="0">SUM(R6:R217)</f>
        <v>528</v>
      </c>
      <c r="S2" s="451">
        <f t="shared" si="0"/>
        <v>445</v>
      </c>
      <c r="T2" s="451">
        <f t="shared" si="0"/>
        <v>433</v>
      </c>
      <c r="U2" s="451">
        <f t="shared" si="0"/>
        <v>0</v>
      </c>
      <c r="V2" s="451">
        <f t="shared" si="0"/>
        <v>12</v>
      </c>
      <c r="W2" s="451">
        <f t="shared" si="0"/>
        <v>0</v>
      </c>
      <c r="X2" s="452">
        <f>IF((R220=0),1,((T220+U220)/R220*100%))</f>
        <v>0.82007575757575757</v>
      </c>
      <c r="Y2" s="388"/>
      <c r="Z2" s="465">
        <f>SUM(Z6:Z217)</f>
        <v>291</v>
      </c>
      <c r="AA2" s="466">
        <f>SUM(AA6:AA217)</f>
        <v>289</v>
      </c>
      <c r="AB2" s="466">
        <f>SUM(AB6:AB217)</f>
        <v>1</v>
      </c>
      <c r="AC2" s="466">
        <f>SUM(AC6:AC217)</f>
        <v>1</v>
      </c>
      <c r="AD2" s="466">
        <f>SUM(AD6:AD217)</f>
        <v>0</v>
      </c>
      <c r="AE2" s="455">
        <f>IF((L220=0),1,((AA220+AB220)/L220*100%))</f>
        <v>0.40055248618784528</v>
      </c>
      <c r="AF2" s="389"/>
      <c r="AG2" s="389"/>
      <c r="AH2" s="390"/>
    </row>
    <row r="3" spans="1:34" ht="19.5" customHeight="1" thickBot="1" x14ac:dyDescent="0.3">
      <c r="A3" s="620" t="s">
        <v>303</v>
      </c>
      <c r="B3" s="621"/>
      <c r="C3" s="621"/>
      <c r="D3" s="621"/>
      <c r="E3" s="621"/>
      <c r="F3" s="621"/>
      <c r="G3" s="621"/>
      <c r="H3" s="621"/>
      <c r="I3" s="621"/>
      <c r="J3" s="621"/>
      <c r="K3" s="621"/>
      <c r="L3" s="621"/>
      <c r="M3" s="621"/>
      <c r="N3" s="621"/>
      <c r="O3" s="621"/>
      <c r="P3" s="621"/>
      <c r="Q3" s="621"/>
      <c r="R3" s="621"/>
      <c r="S3" s="621"/>
      <c r="T3" s="621"/>
      <c r="U3" s="621"/>
      <c r="V3" s="621"/>
      <c r="W3" s="621"/>
      <c r="X3" s="621"/>
      <c r="Y3" s="622"/>
      <c r="Z3" s="621"/>
      <c r="AA3" s="621"/>
      <c r="AB3" s="621"/>
      <c r="AC3" s="621"/>
      <c r="AD3" s="621"/>
      <c r="AE3" s="621"/>
      <c r="AF3" s="621"/>
      <c r="AG3" s="621"/>
      <c r="AH3" s="623"/>
    </row>
    <row r="4" spans="1:34" ht="31.5" customHeight="1" x14ac:dyDescent="0.25">
      <c r="A4" s="627" t="s">
        <v>76</v>
      </c>
      <c r="B4" s="628"/>
      <c r="C4" s="628"/>
      <c r="D4" s="628"/>
      <c r="E4" s="628"/>
      <c r="F4" s="628"/>
      <c r="G4" s="628"/>
      <c r="H4" s="628"/>
      <c r="I4" s="628"/>
      <c r="J4" s="628"/>
      <c r="K4" s="628"/>
      <c r="L4" s="628"/>
      <c r="M4" s="629"/>
      <c r="N4" s="630" t="s">
        <v>304</v>
      </c>
      <c r="O4" s="631"/>
      <c r="P4" s="632"/>
      <c r="Q4" s="637" t="s">
        <v>305</v>
      </c>
      <c r="R4" s="638"/>
      <c r="S4" s="638"/>
      <c r="T4" s="638"/>
      <c r="U4" s="638"/>
      <c r="V4" s="638"/>
      <c r="W4" s="638"/>
      <c r="X4" s="638"/>
      <c r="Y4" s="639"/>
      <c r="Z4" s="633" t="s">
        <v>306</v>
      </c>
      <c r="AA4" s="634"/>
      <c r="AB4" s="634"/>
      <c r="AC4" s="634"/>
      <c r="AD4" s="634"/>
      <c r="AE4" s="635"/>
      <c r="AF4" s="635"/>
      <c r="AG4" s="635"/>
      <c r="AH4" s="636"/>
    </row>
    <row r="5" spans="1:34" s="171" customFormat="1" ht="15.75" customHeight="1" x14ac:dyDescent="0.25">
      <c r="A5" s="559" t="s">
        <v>77</v>
      </c>
      <c r="B5" s="558" t="s">
        <v>81</v>
      </c>
      <c r="C5" s="558" t="s">
        <v>84</v>
      </c>
      <c r="D5" s="558" t="s">
        <v>88</v>
      </c>
      <c r="E5" s="558" t="s">
        <v>91</v>
      </c>
      <c r="F5" s="558" t="s">
        <v>94</v>
      </c>
      <c r="G5" s="558" t="s">
        <v>96</v>
      </c>
      <c r="H5" s="558" t="s">
        <v>99</v>
      </c>
      <c r="I5" s="558" t="s">
        <v>307</v>
      </c>
      <c r="J5" s="558" t="s">
        <v>102</v>
      </c>
      <c r="K5" s="558" t="s">
        <v>105</v>
      </c>
      <c r="L5" s="558" t="s">
        <v>108</v>
      </c>
      <c r="M5" s="558" t="s">
        <v>1</v>
      </c>
      <c r="N5" s="558" t="s">
        <v>114</v>
      </c>
      <c r="O5" s="558" t="s">
        <v>118</v>
      </c>
      <c r="P5" s="558" t="s">
        <v>121</v>
      </c>
      <c r="Q5" s="558" t="s">
        <v>125</v>
      </c>
      <c r="R5" s="558" t="s">
        <v>128</v>
      </c>
      <c r="S5" s="558" t="s">
        <v>132</v>
      </c>
      <c r="T5" s="558" t="s">
        <v>30</v>
      </c>
      <c r="U5" s="558" t="s">
        <v>135</v>
      </c>
      <c r="V5" s="558" t="s">
        <v>36</v>
      </c>
      <c r="W5" s="558" t="s">
        <v>138</v>
      </c>
      <c r="X5" s="558" t="s">
        <v>140</v>
      </c>
      <c r="Y5" s="558" t="s">
        <v>142</v>
      </c>
      <c r="Z5" s="558" t="s">
        <v>972</v>
      </c>
      <c r="AA5" s="558" t="s">
        <v>973</v>
      </c>
      <c r="AB5" s="558" t="s">
        <v>974</v>
      </c>
      <c r="AC5" s="558" t="s">
        <v>975</v>
      </c>
      <c r="AD5" s="558" t="s">
        <v>976</v>
      </c>
      <c r="AE5" s="558" t="s">
        <v>977</v>
      </c>
      <c r="AF5" s="558" t="s">
        <v>155</v>
      </c>
      <c r="AG5" s="558" t="s">
        <v>157</v>
      </c>
      <c r="AH5" s="558" t="s">
        <v>160</v>
      </c>
    </row>
    <row r="6" spans="1:34" x14ac:dyDescent="0.25">
      <c r="A6" s="560">
        <v>12</v>
      </c>
      <c r="B6" t="s">
        <v>530</v>
      </c>
      <c r="C6" t="s">
        <v>308</v>
      </c>
      <c r="D6" t="s">
        <v>517</v>
      </c>
      <c r="E6" t="s">
        <v>978</v>
      </c>
      <c r="F6" t="s">
        <v>978</v>
      </c>
      <c r="G6" t="s">
        <v>259</v>
      </c>
      <c r="H6" t="s">
        <v>945</v>
      </c>
      <c r="I6" t="s">
        <v>41</v>
      </c>
      <c r="J6" t="s">
        <v>978</v>
      </c>
      <c r="K6">
        <v>1</v>
      </c>
      <c r="L6">
        <v>1</v>
      </c>
      <c r="M6" t="s">
        <v>44</v>
      </c>
      <c r="N6">
        <v>1</v>
      </c>
      <c r="O6">
        <v>1</v>
      </c>
      <c r="P6">
        <v>1</v>
      </c>
      <c r="Q6" t="s">
        <v>32</v>
      </c>
      <c r="R6">
        <v>1</v>
      </c>
      <c r="S6">
        <v>1</v>
      </c>
      <c r="T6">
        <v>1</v>
      </c>
      <c r="U6" t="s">
        <v>978</v>
      </c>
      <c r="V6" t="s">
        <v>978</v>
      </c>
      <c r="W6" t="s">
        <v>978</v>
      </c>
      <c r="X6">
        <v>1</v>
      </c>
      <c r="Y6" t="s">
        <v>978</v>
      </c>
      <c r="Z6">
        <v>1</v>
      </c>
      <c r="AA6">
        <v>1</v>
      </c>
      <c r="AB6" t="s">
        <v>978</v>
      </c>
      <c r="AC6" t="s">
        <v>978</v>
      </c>
      <c r="AD6" t="s">
        <v>978</v>
      </c>
      <c r="AE6">
        <v>1</v>
      </c>
      <c r="AF6" t="s">
        <v>931</v>
      </c>
      <c r="AG6" t="s">
        <v>309</v>
      </c>
      <c r="AH6" t="s">
        <v>978</v>
      </c>
    </row>
    <row r="7" spans="1:34" x14ac:dyDescent="0.25">
      <c r="A7" s="560">
        <v>12.000999999999999</v>
      </c>
      <c r="B7" t="s">
        <v>532</v>
      </c>
      <c r="C7" t="s">
        <v>310</v>
      </c>
      <c r="D7" t="s">
        <v>518</v>
      </c>
      <c r="E7" t="s">
        <v>978</v>
      </c>
      <c r="F7" t="s">
        <v>978</v>
      </c>
      <c r="G7" t="s">
        <v>259</v>
      </c>
      <c r="H7" t="s">
        <v>311</v>
      </c>
      <c r="I7" t="s">
        <v>41</v>
      </c>
      <c r="J7" t="s">
        <v>978</v>
      </c>
      <c r="K7">
        <v>1</v>
      </c>
      <c r="L7">
        <v>1</v>
      </c>
      <c r="M7" t="s">
        <v>44</v>
      </c>
      <c r="N7">
        <v>1</v>
      </c>
      <c r="O7">
        <v>1</v>
      </c>
      <c r="P7">
        <v>1</v>
      </c>
      <c r="Q7" t="s">
        <v>32</v>
      </c>
      <c r="R7">
        <v>1</v>
      </c>
      <c r="S7">
        <v>0</v>
      </c>
      <c r="T7" t="s">
        <v>978</v>
      </c>
      <c r="U7" t="s">
        <v>978</v>
      </c>
      <c r="V7" t="s">
        <v>978</v>
      </c>
      <c r="W7" t="s">
        <v>978</v>
      </c>
      <c r="X7">
        <v>0</v>
      </c>
      <c r="Y7" t="s">
        <v>978</v>
      </c>
      <c r="Z7">
        <v>0</v>
      </c>
      <c r="AA7" t="s">
        <v>978</v>
      </c>
      <c r="AB7" t="s">
        <v>978</v>
      </c>
      <c r="AC7" t="s">
        <v>978</v>
      </c>
      <c r="AD7" t="s">
        <v>978</v>
      </c>
      <c r="AE7">
        <v>0</v>
      </c>
      <c r="AF7" t="s">
        <v>978</v>
      </c>
      <c r="AG7" t="s">
        <v>312</v>
      </c>
      <c r="AH7" t="s">
        <v>978</v>
      </c>
    </row>
    <row r="8" spans="1:34" x14ac:dyDescent="0.25">
      <c r="A8" s="560">
        <v>12.001999999999899</v>
      </c>
      <c r="B8" t="s">
        <v>534</v>
      </c>
      <c r="C8" t="s">
        <v>313</v>
      </c>
      <c r="D8" t="s">
        <v>520</v>
      </c>
      <c r="E8" t="s">
        <v>978</v>
      </c>
      <c r="F8" t="s">
        <v>978</v>
      </c>
      <c r="G8" t="s">
        <v>259</v>
      </c>
      <c r="H8" t="s">
        <v>314</v>
      </c>
      <c r="I8" t="s">
        <v>41</v>
      </c>
      <c r="J8" t="s">
        <v>978</v>
      </c>
      <c r="K8">
        <v>1</v>
      </c>
      <c r="L8">
        <v>2</v>
      </c>
      <c r="M8" t="s">
        <v>44</v>
      </c>
      <c r="N8">
        <v>1</v>
      </c>
      <c r="O8">
        <v>2</v>
      </c>
      <c r="P8">
        <v>1</v>
      </c>
      <c r="Q8" t="s">
        <v>32</v>
      </c>
      <c r="R8">
        <v>2</v>
      </c>
      <c r="S8">
        <v>2</v>
      </c>
      <c r="T8">
        <v>2</v>
      </c>
      <c r="U8" t="s">
        <v>978</v>
      </c>
      <c r="V8" t="s">
        <v>978</v>
      </c>
      <c r="W8" t="s">
        <v>978</v>
      </c>
      <c r="X8">
        <v>1</v>
      </c>
      <c r="Y8" t="s">
        <v>978</v>
      </c>
      <c r="Z8">
        <v>0</v>
      </c>
      <c r="AA8" t="s">
        <v>978</v>
      </c>
      <c r="AB8" t="s">
        <v>978</v>
      </c>
      <c r="AC8" t="s">
        <v>978</v>
      </c>
      <c r="AD8" t="s">
        <v>978</v>
      </c>
      <c r="AE8">
        <v>0</v>
      </c>
      <c r="AF8" t="s">
        <v>978</v>
      </c>
      <c r="AG8" t="s">
        <v>312</v>
      </c>
      <c r="AH8" t="s">
        <v>978</v>
      </c>
    </row>
    <row r="9" spans="1:34" x14ac:dyDescent="0.25">
      <c r="A9" s="560">
        <v>12.002999999999901</v>
      </c>
      <c r="B9" t="s">
        <v>536</v>
      </c>
      <c r="C9" t="s">
        <v>310</v>
      </c>
      <c r="D9" t="s">
        <v>518</v>
      </c>
      <c r="E9" t="s">
        <v>978</v>
      </c>
      <c r="F9" t="s">
        <v>978</v>
      </c>
      <c r="G9" t="s">
        <v>259</v>
      </c>
      <c r="H9" t="s">
        <v>315</v>
      </c>
      <c r="I9" t="s">
        <v>41</v>
      </c>
      <c r="J9" t="s">
        <v>978</v>
      </c>
      <c r="K9">
        <v>1</v>
      </c>
      <c r="L9">
        <v>1</v>
      </c>
      <c r="M9" t="s">
        <v>44</v>
      </c>
      <c r="N9">
        <v>1</v>
      </c>
      <c r="O9">
        <v>1</v>
      </c>
      <c r="P9">
        <v>1</v>
      </c>
      <c r="Q9" t="s">
        <v>32</v>
      </c>
      <c r="R9">
        <v>1</v>
      </c>
      <c r="S9">
        <v>0</v>
      </c>
      <c r="T9" t="s">
        <v>978</v>
      </c>
      <c r="U9" t="s">
        <v>978</v>
      </c>
      <c r="V9" t="s">
        <v>978</v>
      </c>
      <c r="W9" t="s">
        <v>978</v>
      </c>
      <c r="X9">
        <v>0</v>
      </c>
      <c r="Y9" t="s">
        <v>978</v>
      </c>
      <c r="Z9">
        <v>0</v>
      </c>
      <c r="AA9" t="s">
        <v>978</v>
      </c>
      <c r="AB9" t="s">
        <v>978</v>
      </c>
      <c r="AC9" t="s">
        <v>978</v>
      </c>
      <c r="AD9" t="s">
        <v>978</v>
      </c>
      <c r="AE9">
        <v>0</v>
      </c>
      <c r="AF9" t="s">
        <v>978</v>
      </c>
      <c r="AG9" t="s">
        <v>309</v>
      </c>
      <c r="AH9" t="s">
        <v>978</v>
      </c>
    </row>
    <row r="10" spans="1:34" ht="21.75" customHeight="1" x14ac:dyDescent="0.25">
      <c r="A10" s="560">
        <v>12.0039999999999</v>
      </c>
      <c r="B10" t="s">
        <v>538</v>
      </c>
      <c r="C10" t="s">
        <v>316</v>
      </c>
      <c r="D10" t="s">
        <v>518</v>
      </c>
      <c r="E10" t="s">
        <v>978</v>
      </c>
      <c r="F10" t="s">
        <v>978</v>
      </c>
      <c r="G10" t="s">
        <v>259</v>
      </c>
      <c r="H10" t="s">
        <v>956</v>
      </c>
      <c r="I10" t="s">
        <v>41</v>
      </c>
      <c r="J10" t="s">
        <v>978</v>
      </c>
      <c r="K10">
        <v>1</v>
      </c>
      <c r="L10">
        <v>2</v>
      </c>
      <c r="M10" t="s">
        <v>44</v>
      </c>
      <c r="N10">
        <v>1</v>
      </c>
      <c r="O10">
        <v>2</v>
      </c>
      <c r="P10">
        <v>1</v>
      </c>
      <c r="Q10" t="s">
        <v>32</v>
      </c>
      <c r="R10">
        <v>1</v>
      </c>
      <c r="S10">
        <v>0</v>
      </c>
      <c r="T10" t="s">
        <v>978</v>
      </c>
      <c r="U10" t="s">
        <v>978</v>
      </c>
      <c r="V10" t="s">
        <v>978</v>
      </c>
      <c r="W10" t="s">
        <v>978</v>
      </c>
      <c r="X10">
        <v>0</v>
      </c>
      <c r="Y10" t="s">
        <v>978</v>
      </c>
      <c r="Z10">
        <v>0</v>
      </c>
      <c r="AA10" t="s">
        <v>978</v>
      </c>
      <c r="AB10" t="s">
        <v>978</v>
      </c>
      <c r="AC10" t="s">
        <v>978</v>
      </c>
      <c r="AD10" t="s">
        <v>978</v>
      </c>
      <c r="AE10">
        <v>0</v>
      </c>
      <c r="AF10" t="s">
        <v>978</v>
      </c>
      <c r="AG10" t="s">
        <v>317</v>
      </c>
      <c r="AH10" t="s">
        <v>978</v>
      </c>
    </row>
    <row r="11" spans="1:34" ht="20.25" customHeight="1" x14ac:dyDescent="0.25">
      <c r="A11" s="560">
        <v>12.005999999999901</v>
      </c>
      <c r="B11" t="s">
        <v>540</v>
      </c>
      <c r="C11" t="s">
        <v>318</v>
      </c>
      <c r="D11" t="s">
        <v>516</v>
      </c>
      <c r="E11" t="s">
        <v>978</v>
      </c>
      <c r="F11" t="s">
        <v>978</v>
      </c>
      <c r="G11" t="s">
        <v>259</v>
      </c>
      <c r="H11" t="s">
        <v>957</v>
      </c>
      <c r="I11" t="s">
        <v>41</v>
      </c>
      <c r="J11" t="s">
        <v>978</v>
      </c>
      <c r="K11">
        <v>1</v>
      </c>
      <c r="L11">
        <v>2</v>
      </c>
      <c r="M11" t="s">
        <v>44</v>
      </c>
      <c r="N11">
        <v>1</v>
      </c>
      <c r="O11">
        <v>2</v>
      </c>
      <c r="P11">
        <v>1</v>
      </c>
      <c r="Q11" t="s">
        <v>32</v>
      </c>
      <c r="R11">
        <v>2</v>
      </c>
      <c r="S11">
        <v>2</v>
      </c>
      <c r="T11">
        <v>2</v>
      </c>
      <c r="U11" t="s">
        <v>978</v>
      </c>
      <c r="V11" t="s">
        <v>978</v>
      </c>
      <c r="W11" t="s">
        <v>978</v>
      </c>
      <c r="X11">
        <v>1</v>
      </c>
      <c r="Y11" t="s">
        <v>319</v>
      </c>
      <c r="Z11">
        <v>0</v>
      </c>
      <c r="AA11" t="s">
        <v>978</v>
      </c>
      <c r="AB11" t="s">
        <v>978</v>
      </c>
      <c r="AC11" t="s">
        <v>978</v>
      </c>
      <c r="AD11" t="s">
        <v>978</v>
      </c>
      <c r="AE11">
        <v>0</v>
      </c>
      <c r="AF11" t="s">
        <v>978</v>
      </c>
      <c r="AG11" t="s">
        <v>309</v>
      </c>
      <c r="AH11" t="s">
        <v>978</v>
      </c>
    </row>
    <row r="12" spans="1:34" x14ac:dyDescent="0.25">
      <c r="A12" s="560">
        <v>12.0069999999999</v>
      </c>
      <c r="B12" t="s">
        <v>542</v>
      </c>
      <c r="C12" t="s">
        <v>320</v>
      </c>
      <c r="D12" t="s">
        <v>518</v>
      </c>
      <c r="E12" t="s">
        <v>978</v>
      </c>
      <c r="F12" t="s">
        <v>978</v>
      </c>
      <c r="G12" t="s">
        <v>259</v>
      </c>
      <c r="H12" t="s">
        <v>321</v>
      </c>
      <c r="I12" t="s">
        <v>41</v>
      </c>
      <c r="J12" t="s">
        <v>978</v>
      </c>
      <c r="K12">
        <v>1</v>
      </c>
      <c r="L12">
        <v>1</v>
      </c>
      <c r="M12" t="s">
        <v>39</v>
      </c>
      <c r="N12">
        <v>1</v>
      </c>
      <c r="O12">
        <v>1</v>
      </c>
      <c r="P12">
        <v>1</v>
      </c>
      <c r="Q12" t="s">
        <v>32</v>
      </c>
      <c r="R12">
        <v>1</v>
      </c>
      <c r="S12">
        <v>0</v>
      </c>
      <c r="T12" t="s">
        <v>978</v>
      </c>
      <c r="U12" t="s">
        <v>978</v>
      </c>
      <c r="V12" t="s">
        <v>978</v>
      </c>
      <c r="W12" t="s">
        <v>978</v>
      </c>
      <c r="X12">
        <v>0</v>
      </c>
      <c r="Y12" t="s">
        <v>978</v>
      </c>
      <c r="Z12">
        <v>0</v>
      </c>
      <c r="AA12" t="s">
        <v>978</v>
      </c>
      <c r="AB12" t="s">
        <v>978</v>
      </c>
      <c r="AC12" t="s">
        <v>978</v>
      </c>
      <c r="AD12" t="s">
        <v>978</v>
      </c>
      <c r="AE12">
        <v>0</v>
      </c>
      <c r="AF12" t="s">
        <v>978</v>
      </c>
      <c r="AG12" t="s">
        <v>317</v>
      </c>
      <c r="AH12" t="s">
        <v>978</v>
      </c>
    </row>
    <row r="13" spans="1:34" x14ac:dyDescent="0.25">
      <c r="A13" s="560">
        <v>12.0079999999999</v>
      </c>
      <c r="B13" t="s">
        <v>544</v>
      </c>
      <c r="C13" t="s">
        <v>320</v>
      </c>
      <c r="D13" t="s">
        <v>518</v>
      </c>
      <c r="E13" t="s">
        <v>978</v>
      </c>
      <c r="F13" t="s">
        <v>978</v>
      </c>
      <c r="G13" t="s">
        <v>259</v>
      </c>
      <c r="H13" t="s">
        <v>322</v>
      </c>
      <c r="I13" t="s">
        <v>41</v>
      </c>
      <c r="J13" t="s">
        <v>978</v>
      </c>
      <c r="K13">
        <v>1</v>
      </c>
      <c r="L13">
        <v>1</v>
      </c>
      <c r="M13" t="s">
        <v>39</v>
      </c>
      <c r="N13">
        <v>1</v>
      </c>
      <c r="O13">
        <v>1</v>
      </c>
      <c r="P13">
        <v>1</v>
      </c>
      <c r="Q13" t="s">
        <v>32</v>
      </c>
      <c r="R13">
        <v>1</v>
      </c>
      <c r="S13">
        <v>0</v>
      </c>
      <c r="T13" t="s">
        <v>978</v>
      </c>
      <c r="U13" t="s">
        <v>978</v>
      </c>
      <c r="V13" t="s">
        <v>978</v>
      </c>
      <c r="W13" t="s">
        <v>978</v>
      </c>
      <c r="X13">
        <v>0</v>
      </c>
      <c r="Y13" t="s">
        <v>978</v>
      </c>
      <c r="Z13">
        <v>0</v>
      </c>
      <c r="AA13" t="s">
        <v>978</v>
      </c>
      <c r="AB13" t="s">
        <v>978</v>
      </c>
      <c r="AC13" t="s">
        <v>978</v>
      </c>
      <c r="AD13" t="s">
        <v>978</v>
      </c>
      <c r="AE13">
        <v>0</v>
      </c>
      <c r="AF13" t="s">
        <v>978</v>
      </c>
      <c r="AG13" t="s">
        <v>317</v>
      </c>
      <c r="AH13" t="s">
        <v>978</v>
      </c>
    </row>
    <row r="14" spans="1:34" x14ac:dyDescent="0.25">
      <c r="A14" s="560">
        <v>12.008999999999901</v>
      </c>
      <c r="B14" t="s">
        <v>546</v>
      </c>
      <c r="C14" t="s">
        <v>320</v>
      </c>
      <c r="D14" t="s">
        <v>518</v>
      </c>
      <c r="E14" t="s">
        <v>978</v>
      </c>
      <c r="F14" t="s">
        <v>958</v>
      </c>
      <c r="G14" t="s">
        <v>259</v>
      </c>
      <c r="H14" t="s">
        <v>945</v>
      </c>
      <c r="I14" t="s">
        <v>41</v>
      </c>
      <c r="J14" t="s">
        <v>978</v>
      </c>
      <c r="K14">
        <v>1</v>
      </c>
      <c r="L14">
        <v>1</v>
      </c>
      <c r="M14" t="s">
        <v>44</v>
      </c>
      <c r="N14">
        <v>1</v>
      </c>
      <c r="O14">
        <v>1</v>
      </c>
      <c r="P14">
        <v>1</v>
      </c>
      <c r="Q14" t="s">
        <v>32</v>
      </c>
      <c r="R14">
        <v>1</v>
      </c>
      <c r="S14">
        <v>0</v>
      </c>
      <c r="T14" t="s">
        <v>978</v>
      </c>
      <c r="U14" t="s">
        <v>978</v>
      </c>
      <c r="V14" t="s">
        <v>978</v>
      </c>
      <c r="W14" t="s">
        <v>978</v>
      </c>
      <c r="X14">
        <v>0</v>
      </c>
      <c r="Y14" t="s">
        <v>978</v>
      </c>
      <c r="Z14">
        <v>0</v>
      </c>
      <c r="AA14" t="s">
        <v>978</v>
      </c>
      <c r="AB14" t="s">
        <v>978</v>
      </c>
      <c r="AC14" t="s">
        <v>978</v>
      </c>
      <c r="AD14" t="s">
        <v>978</v>
      </c>
      <c r="AE14">
        <v>0</v>
      </c>
      <c r="AF14" t="s">
        <v>978</v>
      </c>
      <c r="AG14" t="s">
        <v>317</v>
      </c>
      <c r="AH14" t="s">
        <v>978</v>
      </c>
    </row>
    <row r="15" spans="1:34" ht="24.75" customHeight="1" x14ac:dyDescent="0.25">
      <c r="A15" s="560">
        <v>12.0099999999999</v>
      </c>
      <c r="B15" t="s">
        <v>548</v>
      </c>
      <c r="C15" t="s">
        <v>320</v>
      </c>
      <c r="D15" t="s">
        <v>518</v>
      </c>
      <c r="E15" t="s">
        <v>978</v>
      </c>
      <c r="F15" t="s">
        <v>978</v>
      </c>
      <c r="G15" t="s">
        <v>259</v>
      </c>
      <c r="H15" t="s">
        <v>323</v>
      </c>
      <c r="I15" t="s">
        <v>41</v>
      </c>
      <c r="J15" t="s">
        <v>978</v>
      </c>
      <c r="K15">
        <v>1</v>
      </c>
      <c r="L15">
        <v>1</v>
      </c>
      <c r="M15" t="s">
        <v>44</v>
      </c>
      <c r="N15">
        <v>1</v>
      </c>
      <c r="O15">
        <v>0</v>
      </c>
      <c r="P15">
        <v>0</v>
      </c>
      <c r="Q15" t="s">
        <v>32</v>
      </c>
      <c r="R15">
        <v>1</v>
      </c>
      <c r="S15">
        <v>0</v>
      </c>
      <c r="T15" t="s">
        <v>978</v>
      </c>
      <c r="U15" t="s">
        <v>978</v>
      </c>
      <c r="V15" t="s">
        <v>978</v>
      </c>
      <c r="W15" t="s">
        <v>978</v>
      </c>
      <c r="X15">
        <v>0</v>
      </c>
      <c r="Y15" t="s">
        <v>978</v>
      </c>
      <c r="Z15">
        <v>0</v>
      </c>
      <c r="AA15" t="s">
        <v>978</v>
      </c>
      <c r="AB15" t="s">
        <v>978</v>
      </c>
      <c r="AC15" t="s">
        <v>978</v>
      </c>
      <c r="AD15" t="s">
        <v>978</v>
      </c>
      <c r="AE15">
        <v>0</v>
      </c>
      <c r="AF15" t="s">
        <v>978</v>
      </c>
      <c r="AG15" t="s">
        <v>317</v>
      </c>
      <c r="AH15" t="s">
        <v>978</v>
      </c>
    </row>
    <row r="16" spans="1:34" ht="74.25" customHeight="1" x14ac:dyDescent="0.25">
      <c r="A16" s="560">
        <v>12.010999999999999</v>
      </c>
      <c r="B16" t="s">
        <v>978</v>
      </c>
      <c r="C16" t="s">
        <v>320</v>
      </c>
      <c r="D16" t="s">
        <v>978</v>
      </c>
      <c r="E16" t="s">
        <v>978</v>
      </c>
      <c r="F16" t="s">
        <v>978</v>
      </c>
      <c r="G16" t="s">
        <v>978</v>
      </c>
      <c r="H16" t="s">
        <v>979</v>
      </c>
      <c r="I16" t="s">
        <v>41</v>
      </c>
      <c r="J16" t="s">
        <v>978</v>
      </c>
      <c r="K16">
        <v>1</v>
      </c>
      <c r="L16">
        <v>7</v>
      </c>
      <c r="M16" t="s">
        <v>978</v>
      </c>
      <c r="N16">
        <v>1</v>
      </c>
      <c r="O16">
        <v>7</v>
      </c>
      <c r="P16">
        <v>1</v>
      </c>
      <c r="Q16" t="s">
        <v>32</v>
      </c>
      <c r="R16">
        <v>6</v>
      </c>
      <c r="S16">
        <v>2</v>
      </c>
      <c r="T16">
        <v>2</v>
      </c>
      <c r="U16" t="s">
        <v>978</v>
      </c>
      <c r="V16" t="s">
        <v>978</v>
      </c>
      <c r="W16" t="s">
        <v>978</v>
      </c>
      <c r="X16">
        <v>0.33333333333333331</v>
      </c>
      <c r="Y16" t="s">
        <v>978</v>
      </c>
      <c r="Z16">
        <v>0</v>
      </c>
      <c r="AA16" t="s">
        <v>978</v>
      </c>
      <c r="AB16" t="s">
        <v>978</v>
      </c>
      <c r="AC16" t="s">
        <v>978</v>
      </c>
      <c r="AD16" t="s">
        <v>978</v>
      </c>
      <c r="AE16">
        <v>0</v>
      </c>
      <c r="AF16" t="s">
        <v>978</v>
      </c>
      <c r="AG16" t="s">
        <v>312</v>
      </c>
      <c r="AH16" t="s">
        <v>978</v>
      </c>
    </row>
    <row r="17" spans="1:34" hidden="1" x14ac:dyDescent="0.25">
      <c r="A17">
        <v>12.0129999999999</v>
      </c>
      <c r="B17" t="s">
        <v>553</v>
      </c>
      <c r="C17" t="s">
        <v>324</v>
      </c>
      <c r="D17" t="s">
        <v>520</v>
      </c>
      <c r="E17" t="s">
        <v>978</v>
      </c>
      <c r="F17" t="s">
        <v>978</v>
      </c>
      <c r="G17" t="s">
        <v>280</v>
      </c>
      <c r="H17" t="s">
        <v>325</v>
      </c>
      <c r="I17" t="s">
        <v>35</v>
      </c>
      <c r="J17" t="s">
        <v>978</v>
      </c>
      <c r="K17">
        <v>1</v>
      </c>
      <c r="L17">
        <v>2</v>
      </c>
      <c r="M17" t="s">
        <v>44</v>
      </c>
      <c r="N17">
        <v>1</v>
      </c>
      <c r="O17">
        <v>1.8</v>
      </c>
      <c r="P17">
        <v>0.9</v>
      </c>
      <c r="Q17" t="s">
        <v>32</v>
      </c>
      <c r="R17">
        <v>1</v>
      </c>
      <c r="S17">
        <v>1</v>
      </c>
      <c r="T17">
        <v>1</v>
      </c>
      <c r="U17" t="s">
        <v>978</v>
      </c>
      <c r="V17" t="s">
        <v>978</v>
      </c>
      <c r="W17" t="s">
        <v>978</v>
      </c>
      <c r="X17">
        <v>1</v>
      </c>
      <c r="Y17" t="s">
        <v>978</v>
      </c>
      <c r="Z17">
        <v>0</v>
      </c>
      <c r="AA17" t="s">
        <v>978</v>
      </c>
      <c r="AB17" t="s">
        <v>978</v>
      </c>
      <c r="AC17" t="s">
        <v>978</v>
      </c>
      <c r="AD17" t="s">
        <v>978</v>
      </c>
      <c r="AE17">
        <v>0</v>
      </c>
      <c r="AF17" t="s">
        <v>978</v>
      </c>
      <c r="AG17" t="s">
        <v>277</v>
      </c>
      <c r="AH17" t="s">
        <v>978</v>
      </c>
    </row>
    <row r="18" spans="1:34" x14ac:dyDescent="0.25">
      <c r="A18" s="560">
        <v>12.0139999999999</v>
      </c>
      <c r="B18" t="s">
        <v>554</v>
      </c>
      <c r="C18" t="s">
        <v>320</v>
      </c>
      <c r="D18" t="s">
        <v>518</v>
      </c>
      <c r="E18" t="s">
        <v>978</v>
      </c>
      <c r="F18" t="s">
        <v>978</v>
      </c>
      <c r="G18" t="s">
        <v>259</v>
      </c>
      <c r="H18" t="s">
        <v>326</v>
      </c>
      <c r="I18" t="s">
        <v>41</v>
      </c>
      <c r="J18" t="s">
        <v>978</v>
      </c>
      <c r="K18">
        <v>1</v>
      </c>
      <c r="L18">
        <v>1</v>
      </c>
      <c r="M18" t="s">
        <v>44</v>
      </c>
      <c r="N18">
        <v>1</v>
      </c>
      <c r="O18">
        <v>0</v>
      </c>
      <c r="P18">
        <v>0</v>
      </c>
      <c r="Q18" t="s">
        <v>32</v>
      </c>
      <c r="R18">
        <v>1</v>
      </c>
      <c r="S18">
        <v>0</v>
      </c>
      <c r="T18" t="s">
        <v>978</v>
      </c>
      <c r="U18" t="s">
        <v>978</v>
      </c>
      <c r="V18" t="s">
        <v>978</v>
      </c>
      <c r="W18" t="s">
        <v>978</v>
      </c>
      <c r="X18">
        <v>0</v>
      </c>
      <c r="Y18" t="s">
        <v>978</v>
      </c>
      <c r="Z18">
        <v>0</v>
      </c>
      <c r="AA18" t="s">
        <v>978</v>
      </c>
      <c r="AB18" t="s">
        <v>978</v>
      </c>
      <c r="AC18" t="s">
        <v>978</v>
      </c>
      <c r="AD18" t="s">
        <v>978</v>
      </c>
      <c r="AE18">
        <v>0</v>
      </c>
      <c r="AF18" t="s">
        <v>978</v>
      </c>
      <c r="AG18" t="s">
        <v>312</v>
      </c>
      <c r="AH18" t="s">
        <v>978</v>
      </c>
    </row>
    <row r="19" spans="1:34" x14ac:dyDescent="0.25">
      <c r="A19" s="560">
        <v>12.014999999999899</v>
      </c>
      <c r="B19" t="s">
        <v>555</v>
      </c>
      <c r="C19" t="s">
        <v>320</v>
      </c>
      <c r="D19" t="s">
        <v>518</v>
      </c>
      <c r="E19" t="s">
        <v>978</v>
      </c>
      <c r="F19" t="s">
        <v>978</v>
      </c>
      <c r="G19" t="s">
        <v>259</v>
      </c>
      <c r="H19" t="s">
        <v>327</v>
      </c>
      <c r="I19" t="s">
        <v>41</v>
      </c>
      <c r="J19" t="s">
        <v>978</v>
      </c>
      <c r="K19">
        <v>1</v>
      </c>
      <c r="L19">
        <v>1</v>
      </c>
      <c r="M19" t="s">
        <v>39</v>
      </c>
      <c r="N19">
        <v>1</v>
      </c>
      <c r="O19">
        <v>0</v>
      </c>
      <c r="P19">
        <v>0</v>
      </c>
      <c r="Q19" t="s">
        <v>32</v>
      </c>
      <c r="R19">
        <v>1</v>
      </c>
      <c r="S19">
        <v>0</v>
      </c>
      <c r="T19" t="s">
        <v>978</v>
      </c>
      <c r="U19" t="s">
        <v>978</v>
      </c>
      <c r="V19" t="s">
        <v>978</v>
      </c>
      <c r="W19" t="s">
        <v>978</v>
      </c>
      <c r="X19">
        <v>0</v>
      </c>
      <c r="Y19" t="s">
        <v>978</v>
      </c>
      <c r="Z19">
        <v>0</v>
      </c>
      <c r="AA19" t="s">
        <v>978</v>
      </c>
      <c r="AB19" t="s">
        <v>978</v>
      </c>
      <c r="AC19" t="s">
        <v>978</v>
      </c>
      <c r="AD19" t="s">
        <v>978</v>
      </c>
      <c r="AE19">
        <v>0</v>
      </c>
      <c r="AF19" t="s">
        <v>978</v>
      </c>
      <c r="AG19" t="s">
        <v>312</v>
      </c>
      <c r="AH19" t="s">
        <v>978</v>
      </c>
    </row>
    <row r="20" spans="1:34" x14ac:dyDescent="0.25">
      <c r="A20" s="560">
        <v>12.015999999999901</v>
      </c>
      <c r="B20" t="s">
        <v>556</v>
      </c>
      <c r="C20" t="s">
        <v>310</v>
      </c>
      <c r="D20" t="s">
        <v>518</v>
      </c>
      <c r="E20" t="s">
        <v>978</v>
      </c>
      <c r="F20" t="s">
        <v>978</v>
      </c>
      <c r="G20" t="s">
        <v>259</v>
      </c>
      <c r="H20" t="s">
        <v>328</v>
      </c>
      <c r="I20" t="s">
        <v>41</v>
      </c>
      <c r="J20" t="s">
        <v>978</v>
      </c>
      <c r="K20">
        <v>1</v>
      </c>
      <c r="L20">
        <v>4</v>
      </c>
      <c r="M20" t="s">
        <v>44</v>
      </c>
      <c r="N20">
        <v>1</v>
      </c>
      <c r="O20">
        <v>4</v>
      </c>
      <c r="P20">
        <v>1</v>
      </c>
      <c r="Q20" t="s">
        <v>32</v>
      </c>
      <c r="R20">
        <v>1</v>
      </c>
      <c r="S20">
        <v>0</v>
      </c>
      <c r="T20" t="s">
        <v>978</v>
      </c>
      <c r="U20" t="s">
        <v>978</v>
      </c>
      <c r="V20" t="s">
        <v>978</v>
      </c>
      <c r="W20" t="s">
        <v>978</v>
      </c>
      <c r="X20">
        <v>0</v>
      </c>
      <c r="Y20" t="s">
        <v>978</v>
      </c>
      <c r="Z20">
        <v>0</v>
      </c>
      <c r="AA20" t="s">
        <v>978</v>
      </c>
      <c r="AB20" t="s">
        <v>978</v>
      </c>
      <c r="AC20" t="s">
        <v>978</v>
      </c>
      <c r="AD20" t="s">
        <v>978</v>
      </c>
      <c r="AE20">
        <v>0</v>
      </c>
      <c r="AF20" t="s">
        <v>978</v>
      </c>
      <c r="AG20" t="s">
        <v>309</v>
      </c>
      <c r="AH20" t="s">
        <v>978</v>
      </c>
    </row>
    <row r="21" spans="1:34" x14ac:dyDescent="0.25">
      <c r="A21" s="560">
        <v>12.018999999999901</v>
      </c>
      <c r="B21" t="s">
        <v>558</v>
      </c>
      <c r="C21" t="s">
        <v>329</v>
      </c>
      <c r="D21" t="s">
        <v>521</v>
      </c>
      <c r="E21" t="s">
        <v>978</v>
      </c>
      <c r="F21" t="s">
        <v>978</v>
      </c>
      <c r="G21" t="s">
        <v>259</v>
      </c>
      <c r="H21" t="s">
        <v>330</v>
      </c>
      <c r="I21" t="s">
        <v>41</v>
      </c>
      <c r="J21" t="s">
        <v>978</v>
      </c>
      <c r="K21">
        <v>1</v>
      </c>
      <c r="L21">
        <v>2</v>
      </c>
      <c r="M21" t="s">
        <v>44</v>
      </c>
      <c r="N21">
        <v>1</v>
      </c>
      <c r="O21">
        <v>2</v>
      </c>
      <c r="P21">
        <v>1</v>
      </c>
      <c r="Q21" t="s">
        <v>43</v>
      </c>
      <c r="R21">
        <v>2</v>
      </c>
      <c r="S21">
        <v>2</v>
      </c>
      <c r="T21">
        <v>1</v>
      </c>
      <c r="U21" t="s">
        <v>978</v>
      </c>
      <c r="V21">
        <v>1</v>
      </c>
      <c r="W21" t="s">
        <v>978</v>
      </c>
      <c r="X21">
        <v>0.5</v>
      </c>
      <c r="Y21" t="s">
        <v>331</v>
      </c>
      <c r="Z21">
        <v>0</v>
      </c>
      <c r="AA21" t="s">
        <v>978</v>
      </c>
      <c r="AB21" t="s">
        <v>978</v>
      </c>
      <c r="AC21" t="s">
        <v>978</v>
      </c>
      <c r="AD21" t="s">
        <v>978</v>
      </c>
      <c r="AE21">
        <v>0</v>
      </c>
      <c r="AF21" t="s">
        <v>978</v>
      </c>
      <c r="AG21" t="s">
        <v>309</v>
      </c>
      <c r="AH21" t="s">
        <v>978</v>
      </c>
    </row>
    <row r="22" spans="1:34" hidden="1" x14ac:dyDescent="0.25">
      <c r="A22">
        <v>12.0199999999999</v>
      </c>
      <c r="B22" t="s">
        <v>559</v>
      </c>
      <c r="C22" t="s">
        <v>332</v>
      </c>
      <c r="D22" t="s">
        <v>521</v>
      </c>
      <c r="E22" t="s">
        <v>978</v>
      </c>
      <c r="F22" t="s">
        <v>978</v>
      </c>
      <c r="G22" t="s">
        <v>259</v>
      </c>
      <c r="H22" t="s">
        <v>333</v>
      </c>
      <c r="I22" t="s">
        <v>41</v>
      </c>
      <c r="J22" t="s">
        <v>978</v>
      </c>
      <c r="K22">
        <v>1</v>
      </c>
      <c r="L22">
        <v>6</v>
      </c>
      <c r="M22" t="s">
        <v>44</v>
      </c>
      <c r="N22">
        <v>1</v>
      </c>
      <c r="O22">
        <v>6</v>
      </c>
      <c r="P22">
        <v>1</v>
      </c>
      <c r="Q22" t="s">
        <v>43</v>
      </c>
      <c r="R22">
        <v>6</v>
      </c>
      <c r="S22">
        <v>6</v>
      </c>
      <c r="T22">
        <v>6</v>
      </c>
      <c r="U22" t="s">
        <v>978</v>
      </c>
      <c r="V22" t="s">
        <v>978</v>
      </c>
      <c r="W22" t="s">
        <v>978</v>
      </c>
      <c r="X22">
        <v>1</v>
      </c>
      <c r="Y22" t="s">
        <v>978</v>
      </c>
      <c r="Z22">
        <v>0</v>
      </c>
      <c r="AA22" t="s">
        <v>978</v>
      </c>
      <c r="AB22" t="s">
        <v>978</v>
      </c>
      <c r="AC22" t="s">
        <v>978</v>
      </c>
      <c r="AD22" t="s">
        <v>978</v>
      </c>
      <c r="AE22">
        <v>0</v>
      </c>
      <c r="AF22" t="s">
        <v>978</v>
      </c>
      <c r="AG22" t="s">
        <v>317</v>
      </c>
      <c r="AH22" t="s">
        <v>978</v>
      </c>
    </row>
    <row r="23" spans="1:34" x14ac:dyDescent="0.25">
      <c r="A23" s="560">
        <v>12.0299999999999</v>
      </c>
      <c r="B23" t="s">
        <v>562</v>
      </c>
      <c r="C23" t="s">
        <v>335</v>
      </c>
      <c r="D23" t="s">
        <v>519</v>
      </c>
      <c r="E23" t="s">
        <v>978</v>
      </c>
      <c r="F23" t="s">
        <v>978</v>
      </c>
      <c r="G23" t="s">
        <v>259</v>
      </c>
      <c r="H23" t="s">
        <v>980</v>
      </c>
      <c r="I23" t="s">
        <v>35</v>
      </c>
      <c r="J23" t="s">
        <v>978</v>
      </c>
      <c r="K23">
        <v>1</v>
      </c>
      <c r="L23">
        <v>18</v>
      </c>
      <c r="M23" t="s">
        <v>44</v>
      </c>
      <c r="N23">
        <v>1</v>
      </c>
      <c r="O23">
        <v>18</v>
      </c>
      <c r="P23">
        <v>1</v>
      </c>
      <c r="Q23" t="s">
        <v>32</v>
      </c>
      <c r="R23">
        <v>18</v>
      </c>
      <c r="S23">
        <v>18</v>
      </c>
      <c r="T23">
        <v>18</v>
      </c>
      <c r="U23" t="s">
        <v>978</v>
      </c>
      <c r="V23" t="s">
        <v>978</v>
      </c>
      <c r="W23" t="s">
        <v>978</v>
      </c>
      <c r="X23">
        <v>1</v>
      </c>
      <c r="Y23" t="s">
        <v>336</v>
      </c>
      <c r="Z23">
        <v>18</v>
      </c>
      <c r="AA23">
        <v>18</v>
      </c>
      <c r="AB23" t="s">
        <v>978</v>
      </c>
      <c r="AC23" t="s">
        <v>978</v>
      </c>
      <c r="AD23" t="s">
        <v>978</v>
      </c>
      <c r="AE23">
        <v>1</v>
      </c>
      <c r="AF23" t="s">
        <v>978</v>
      </c>
      <c r="AG23" t="s">
        <v>309</v>
      </c>
      <c r="AH23" t="s">
        <v>978</v>
      </c>
    </row>
    <row r="24" spans="1:34" x14ac:dyDescent="0.25">
      <c r="A24" s="560">
        <v>12.030999999999899</v>
      </c>
      <c r="B24" t="s">
        <v>563</v>
      </c>
      <c r="C24" t="s">
        <v>310</v>
      </c>
      <c r="D24" t="s">
        <v>518</v>
      </c>
      <c r="E24" t="s">
        <v>978</v>
      </c>
      <c r="F24" t="s">
        <v>978</v>
      </c>
      <c r="G24" t="s">
        <v>259</v>
      </c>
      <c r="H24" t="s">
        <v>337</v>
      </c>
      <c r="I24" t="s">
        <v>41</v>
      </c>
      <c r="J24" t="s">
        <v>978</v>
      </c>
      <c r="K24">
        <v>1</v>
      </c>
      <c r="L24">
        <v>2</v>
      </c>
      <c r="M24" t="s">
        <v>44</v>
      </c>
      <c r="N24">
        <v>1</v>
      </c>
      <c r="O24">
        <v>2</v>
      </c>
      <c r="P24">
        <v>1</v>
      </c>
      <c r="Q24" t="s">
        <v>43</v>
      </c>
      <c r="R24">
        <v>2</v>
      </c>
      <c r="S24">
        <v>2</v>
      </c>
      <c r="T24">
        <v>2</v>
      </c>
      <c r="U24" t="s">
        <v>978</v>
      </c>
      <c r="V24" t="s">
        <v>978</v>
      </c>
      <c r="W24" t="s">
        <v>978</v>
      </c>
      <c r="X24">
        <v>1</v>
      </c>
      <c r="Y24" t="s">
        <v>978</v>
      </c>
      <c r="Z24">
        <v>0</v>
      </c>
      <c r="AA24" t="s">
        <v>978</v>
      </c>
      <c r="AB24" t="s">
        <v>978</v>
      </c>
      <c r="AC24" t="s">
        <v>978</v>
      </c>
      <c r="AD24" t="s">
        <v>978</v>
      </c>
      <c r="AE24">
        <v>0</v>
      </c>
      <c r="AF24" t="s">
        <v>978</v>
      </c>
      <c r="AG24" t="s">
        <v>317</v>
      </c>
      <c r="AH24" t="s">
        <v>978</v>
      </c>
    </row>
    <row r="25" spans="1:34" hidden="1" x14ac:dyDescent="0.25">
      <c r="A25">
        <v>12.0329999999999</v>
      </c>
      <c r="B25" t="s">
        <v>564</v>
      </c>
      <c r="C25" t="s">
        <v>332</v>
      </c>
      <c r="D25" t="s">
        <v>521</v>
      </c>
      <c r="E25" t="s">
        <v>978</v>
      </c>
      <c r="F25" t="s">
        <v>978</v>
      </c>
      <c r="G25" t="s">
        <v>280</v>
      </c>
      <c r="H25" t="s">
        <v>338</v>
      </c>
      <c r="I25" t="s">
        <v>35</v>
      </c>
      <c r="J25" t="s">
        <v>978</v>
      </c>
      <c r="K25">
        <v>1</v>
      </c>
      <c r="L25">
        <v>1</v>
      </c>
      <c r="M25" t="s">
        <v>44</v>
      </c>
      <c r="N25">
        <v>1</v>
      </c>
      <c r="O25">
        <v>0</v>
      </c>
      <c r="P25">
        <v>0</v>
      </c>
      <c r="Q25" t="s">
        <v>32</v>
      </c>
      <c r="R25">
        <v>1</v>
      </c>
      <c r="S25">
        <v>0</v>
      </c>
      <c r="T25" t="s">
        <v>978</v>
      </c>
      <c r="U25" t="s">
        <v>978</v>
      </c>
      <c r="V25" t="s">
        <v>978</v>
      </c>
      <c r="W25" t="s">
        <v>978</v>
      </c>
      <c r="X25">
        <v>0</v>
      </c>
      <c r="Y25" t="s">
        <v>978</v>
      </c>
      <c r="Z25">
        <v>0</v>
      </c>
      <c r="AA25" t="s">
        <v>978</v>
      </c>
      <c r="AB25" t="s">
        <v>978</v>
      </c>
      <c r="AC25" t="s">
        <v>978</v>
      </c>
      <c r="AD25" t="s">
        <v>978</v>
      </c>
      <c r="AE25">
        <v>0</v>
      </c>
      <c r="AF25" t="s">
        <v>978</v>
      </c>
      <c r="AG25" t="s">
        <v>339</v>
      </c>
      <c r="AH25" t="s">
        <v>978</v>
      </c>
    </row>
    <row r="26" spans="1:34" x14ac:dyDescent="0.25">
      <c r="A26" s="560">
        <v>12.0359999999999</v>
      </c>
      <c r="B26" t="s">
        <v>566</v>
      </c>
      <c r="C26" t="s">
        <v>332</v>
      </c>
      <c r="D26" t="s">
        <v>521</v>
      </c>
      <c r="E26" t="s">
        <v>978</v>
      </c>
      <c r="F26" t="s">
        <v>978</v>
      </c>
      <c r="G26" t="s">
        <v>259</v>
      </c>
      <c r="H26" t="s">
        <v>340</v>
      </c>
      <c r="I26" t="s">
        <v>41</v>
      </c>
      <c r="J26" t="s">
        <v>978</v>
      </c>
      <c r="K26">
        <v>1</v>
      </c>
      <c r="L26">
        <v>1</v>
      </c>
      <c r="M26" t="s">
        <v>44</v>
      </c>
      <c r="N26">
        <v>1</v>
      </c>
      <c r="O26">
        <v>1</v>
      </c>
      <c r="P26">
        <v>1</v>
      </c>
      <c r="Q26" t="s">
        <v>43</v>
      </c>
      <c r="R26">
        <v>1</v>
      </c>
      <c r="S26">
        <v>1</v>
      </c>
      <c r="T26">
        <v>1</v>
      </c>
      <c r="U26" t="s">
        <v>978</v>
      </c>
      <c r="V26" t="s">
        <v>978</v>
      </c>
      <c r="W26" t="s">
        <v>978</v>
      </c>
      <c r="X26">
        <v>1</v>
      </c>
      <c r="Y26" t="s">
        <v>978</v>
      </c>
      <c r="Z26">
        <v>1</v>
      </c>
      <c r="AA26">
        <v>1</v>
      </c>
      <c r="AB26" t="s">
        <v>978</v>
      </c>
      <c r="AC26" t="s">
        <v>978</v>
      </c>
      <c r="AD26" t="s">
        <v>978</v>
      </c>
      <c r="AE26">
        <v>1</v>
      </c>
      <c r="AF26" t="s">
        <v>978</v>
      </c>
      <c r="AG26" t="s">
        <v>341</v>
      </c>
      <c r="AH26" t="s">
        <v>978</v>
      </c>
    </row>
    <row r="27" spans="1:34" x14ac:dyDescent="0.25">
      <c r="A27" s="560">
        <v>12.037000000000001</v>
      </c>
      <c r="B27" t="s">
        <v>567</v>
      </c>
      <c r="C27" t="s">
        <v>332</v>
      </c>
      <c r="D27" t="s">
        <v>521</v>
      </c>
      <c r="E27" t="s">
        <v>978</v>
      </c>
      <c r="F27" t="s">
        <v>978</v>
      </c>
      <c r="G27" t="s">
        <v>259</v>
      </c>
      <c r="H27" t="s">
        <v>342</v>
      </c>
      <c r="I27" t="s">
        <v>41</v>
      </c>
      <c r="J27" t="s">
        <v>978</v>
      </c>
      <c r="K27">
        <v>1</v>
      </c>
      <c r="L27">
        <v>1</v>
      </c>
      <c r="M27" t="s">
        <v>44</v>
      </c>
      <c r="N27">
        <v>1</v>
      </c>
      <c r="O27">
        <v>1</v>
      </c>
      <c r="P27">
        <v>1</v>
      </c>
      <c r="Q27" t="s">
        <v>43</v>
      </c>
      <c r="R27">
        <v>1</v>
      </c>
      <c r="S27">
        <v>1</v>
      </c>
      <c r="T27">
        <v>1</v>
      </c>
      <c r="U27" t="s">
        <v>978</v>
      </c>
      <c r="V27" t="s">
        <v>978</v>
      </c>
      <c r="W27" t="s">
        <v>978</v>
      </c>
      <c r="X27">
        <v>1</v>
      </c>
      <c r="Y27" t="s">
        <v>978</v>
      </c>
      <c r="Z27">
        <v>1</v>
      </c>
      <c r="AA27">
        <v>1</v>
      </c>
      <c r="AB27" t="s">
        <v>978</v>
      </c>
      <c r="AC27" t="s">
        <v>978</v>
      </c>
      <c r="AD27" t="s">
        <v>978</v>
      </c>
      <c r="AE27">
        <v>1</v>
      </c>
      <c r="AF27" t="s">
        <v>978</v>
      </c>
      <c r="AG27" t="s">
        <v>317</v>
      </c>
      <c r="AH27" t="s">
        <v>978</v>
      </c>
    </row>
    <row r="28" spans="1:34" x14ac:dyDescent="0.25">
      <c r="A28" s="560">
        <v>12.0399999999999</v>
      </c>
      <c r="B28" t="s">
        <v>568</v>
      </c>
      <c r="C28" t="s">
        <v>332</v>
      </c>
      <c r="D28" t="s">
        <v>521</v>
      </c>
      <c r="E28" t="s">
        <v>978</v>
      </c>
      <c r="F28" t="s">
        <v>978</v>
      </c>
      <c r="G28" t="s">
        <v>259</v>
      </c>
      <c r="H28" t="s">
        <v>343</v>
      </c>
      <c r="I28" t="s">
        <v>41</v>
      </c>
      <c r="J28" t="s">
        <v>978</v>
      </c>
      <c r="K28">
        <v>1</v>
      </c>
      <c r="L28">
        <v>1</v>
      </c>
      <c r="M28" t="s">
        <v>44</v>
      </c>
      <c r="N28">
        <v>1</v>
      </c>
      <c r="O28">
        <v>1</v>
      </c>
      <c r="P28">
        <v>1</v>
      </c>
      <c r="Q28" t="s">
        <v>43</v>
      </c>
      <c r="R28">
        <v>1</v>
      </c>
      <c r="S28">
        <v>1</v>
      </c>
      <c r="T28">
        <v>1</v>
      </c>
      <c r="U28" t="s">
        <v>978</v>
      </c>
      <c r="V28" t="s">
        <v>978</v>
      </c>
      <c r="W28" t="s">
        <v>978</v>
      </c>
      <c r="X28">
        <v>1</v>
      </c>
      <c r="Y28" t="s">
        <v>978</v>
      </c>
      <c r="Z28">
        <v>1</v>
      </c>
      <c r="AA28">
        <v>1</v>
      </c>
      <c r="AB28" t="s">
        <v>978</v>
      </c>
      <c r="AC28" t="s">
        <v>978</v>
      </c>
      <c r="AD28" t="s">
        <v>978</v>
      </c>
      <c r="AE28">
        <v>1</v>
      </c>
      <c r="AF28" t="s">
        <v>978</v>
      </c>
      <c r="AG28" t="s">
        <v>341</v>
      </c>
      <c r="AH28" t="s">
        <v>978</v>
      </c>
    </row>
    <row r="29" spans="1:34" hidden="1" x14ac:dyDescent="0.25">
      <c r="A29">
        <v>12.041</v>
      </c>
      <c r="B29" t="s">
        <v>569</v>
      </c>
      <c r="C29" t="s">
        <v>334</v>
      </c>
      <c r="D29" t="s">
        <v>513</v>
      </c>
      <c r="E29" t="s">
        <v>978</v>
      </c>
      <c r="F29" t="s">
        <v>978</v>
      </c>
      <c r="G29" t="s">
        <v>259</v>
      </c>
      <c r="H29" t="s">
        <v>932</v>
      </c>
      <c r="I29" t="s">
        <v>35</v>
      </c>
      <c r="J29" t="s">
        <v>978</v>
      </c>
      <c r="K29">
        <v>1</v>
      </c>
      <c r="L29">
        <v>23</v>
      </c>
      <c r="M29" t="s">
        <v>44</v>
      </c>
      <c r="N29">
        <v>1</v>
      </c>
      <c r="O29">
        <v>23</v>
      </c>
      <c r="P29">
        <v>1</v>
      </c>
      <c r="Q29" t="s">
        <v>43</v>
      </c>
      <c r="R29">
        <v>18</v>
      </c>
      <c r="S29">
        <v>18</v>
      </c>
      <c r="T29">
        <v>18</v>
      </c>
      <c r="U29" t="s">
        <v>978</v>
      </c>
      <c r="V29" t="s">
        <v>978</v>
      </c>
      <c r="W29" t="s">
        <v>978</v>
      </c>
      <c r="X29">
        <v>1</v>
      </c>
      <c r="Y29" t="s">
        <v>978</v>
      </c>
      <c r="Z29">
        <v>0</v>
      </c>
      <c r="AA29" t="s">
        <v>978</v>
      </c>
      <c r="AB29" t="s">
        <v>978</v>
      </c>
      <c r="AC29" t="s">
        <v>978</v>
      </c>
      <c r="AD29" t="s">
        <v>978</v>
      </c>
      <c r="AE29">
        <v>0</v>
      </c>
      <c r="AF29" t="s">
        <v>978</v>
      </c>
      <c r="AG29" t="s">
        <v>312</v>
      </c>
      <c r="AH29" t="s">
        <v>978</v>
      </c>
    </row>
    <row r="30" spans="1:34" x14ac:dyDescent="0.25">
      <c r="A30" s="560">
        <v>12.0419999999999</v>
      </c>
      <c r="B30" t="s">
        <v>570</v>
      </c>
      <c r="C30" t="s">
        <v>344</v>
      </c>
      <c r="D30" t="s">
        <v>513</v>
      </c>
      <c r="E30" t="s">
        <v>978</v>
      </c>
      <c r="F30" t="s">
        <v>978</v>
      </c>
      <c r="G30" t="s">
        <v>259</v>
      </c>
      <c r="H30" t="s">
        <v>981</v>
      </c>
      <c r="I30" t="s">
        <v>35</v>
      </c>
      <c r="J30" t="s">
        <v>345</v>
      </c>
      <c r="K30">
        <v>1</v>
      </c>
      <c r="L30">
        <v>8</v>
      </c>
      <c r="M30" t="s">
        <v>44</v>
      </c>
      <c r="N30">
        <v>1</v>
      </c>
      <c r="O30">
        <v>8</v>
      </c>
      <c r="P30">
        <v>1</v>
      </c>
      <c r="Q30" t="s">
        <v>32</v>
      </c>
      <c r="R30">
        <v>1</v>
      </c>
      <c r="S30">
        <v>0</v>
      </c>
      <c r="T30" t="s">
        <v>978</v>
      </c>
      <c r="U30" t="s">
        <v>978</v>
      </c>
      <c r="V30" t="s">
        <v>978</v>
      </c>
      <c r="W30" t="s">
        <v>978</v>
      </c>
      <c r="X30">
        <v>0</v>
      </c>
      <c r="Y30" t="s">
        <v>978</v>
      </c>
      <c r="Z30">
        <v>0</v>
      </c>
      <c r="AA30" t="s">
        <v>978</v>
      </c>
      <c r="AB30" t="s">
        <v>978</v>
      </c>
      <c r="AC30" t="s">
        <v>978</v>
      </c>
      <c r="AD30" t="s">
        <v>978</v>
      </c>
      <c r="AE30">
        <v>0</v>
      </c>
      <c r="AF30" t="s">
        <v>978</v>
      </c>
      <c r="AG30" t="s">
        <v>309</v>
      </c>
      <c r="AH30" t="s">
        <v>978</v>
      </c>
    </row>
    <row r="31" spans="1:34" x14ac:dyDescent="0.25">
      <c r="A31" s="560">
        <v>12.043999999999899</v>
      </c>
      <c r="B31" t="s">
        <v>571</v>
      </c>
      <c r="C31" t="s">
        <v>344</v>
      </c>
      <c r="D31" t="s">
        <v>513</v>
      </c>
      <c r="E31" t="s">
        <v>978</v>
      </c>
      <c r="F31" t="s">
        <v>978</v>
      </c>
      <c r="G31" t="s">
        <v>259</v>
      </c>
      <c r="H31" t="s">
        <v>981</v>
      </c>
      <c r="I31" t="s">
        <v>35</v>
      </c>
      <c r="J31" t="s">
        <v>978</v>
      </c>
      <c r="K31">
        <v>1</v>
      </c>
      <c r="L31">
        <v>8</v>
      </c>
      <c r="M31" t="s">
        <v>44</v>
      </c>
      <c r="N31">
        <v>1</v>
      </c>
      <c r="O31">
        <v>8</v>
      </c>
      <c r="P31">
        <v>1</v>
      </c>
      <c r="Q31" t="s">
        <v>32</v>
      </c>
      <c r="R31">
        <v>1</v>
      </c>
      <c r="S31">
        <v>0</v>
      </c>
      <c r="T31" t="s">
        <v>978</v>
      </c>
      <c r="U31" t="s">
        <v>978</v>
      </c>
      <c r="V31" t="s">
        <v>978</v>
      </c>
      <c r="W31" t="s">
        <v>978</v>
      </c>
      <c r="X31">
        <v>0</v>
      </c>
      <c r="Y31" t="s">
        <v>978</v>
      </c>
      <c r="Z31">
        <v>0</v>
      </c>
      <c r="AA31" t="s">
        <v>978</v>
      </c>
      <c r="AB31" t="s">
        <v>978</v>
      </c>
      <c r="AC31" t="s">
        <v>978</v>
      </c>
      <c r="AD31" t="s">
        <v>978</v>
      </c>
      <c r="AE31">
        <v>0</v>
      </c>
      <c r="AF31" t="s">
        <v>978</v>
      </c>
      <c r="AG31" t="s">
        <v>309</v>
      </c>
      <c r="AH31" t="s">
        <v>978</v>
      </c>
    </row>
    <row r="32" spans="1:34" x14ac:dyDescent="0.25">
      <c r="A32" s="560">
        <v>12.047999999999901</v>
      </c>
      <c r="B32" t="s">
        <v>573</v>
      </c>
      <c r="C32" t="s">
        <v>334</v>
      </c>
      <c r="D32" t="s">
        <v>513</v>
      </c>
      <c r="E32" t="s">
        <v>978</v>
      </c>
      <c r="F32" t="s">
        <v>978</v>
      </c>
      <c r="G32" t="s">
        <v>280</v>
      </c>
      <c r="H32" t="s">
        <v>346</v>
      </c>
      <c r="I32" t="s">
        <v>35</v>
      </c>
      <c r="J32" t="s">
        <v>978</v>
      </c>
      <c r="K32">
        <v>1</v>
      </c>
      <c r="L32">
        <v>1</v>
      </c>
      <c r="M32" t="s">
        <v>44</v>
      </c>
      <c r="N32">
        <v>1</v>
      </c>
      <c r="O32">
        <v>1</v>
      </c>
      <c r="P32">
        <v>1</v>
      </c>
      <c r="Q32" t="s">
        <v>32</v>
      </c>
      <c r="R32">
        <v>1</v>
      </c>
      <c r="S32">
        <v>1</v>
      </c>
      <c r="T32">
        <v>1</v>
      </c>
      <c r="U32" t="s">
        <v>978</v>
      </c>
      <c r="V32" t="s">
        <v>978</v>
      </c>
      <c r="W32" t="s">
        <v>978</v>
      </c>
      <c r="X32">
        <v>1</v>
      </c>
      <c r="Y32" t="s">
        <v>978</v>
      </c>
      <c r="Z32">
        <v>0</v>
      </c>
      <c r="AA32" t="s">
        <v>978</v>
      </c>
      <c r="AB32" t="s">
        <v>978</v>
      </c>
      <c r="AC32" t="s">
        <v>978</v>
      </c>
      <c r="AD32" t="s">
        <v>978</v>
      </c>
      <c r="AE32">
        <v>0</v>
      </c>
      <c r="AF32" t="s">
        <v>978</v>
      </c>
      <c r="AG32" t="s">
        <v>277</v>
      </c>
      <c r="AH32" t="s">
        <v>978</v>
      </c>
    </row>
    <row r="33" spans="1:34" x14ac:dyDescent="0.25">
      <c r="A33" s="560">
        <v>12.0489999999999</v>
      </c>
      <c r="B33" t="s">
        <v>574</v>
      </c>
      <c r="C33" t="s">
        <v>334</v>
      </c>
      <c r="D33" t="s">
        <v>513</v>
      </c>
      <c r="E33" t="s">
        <v>978</v>
      </c>
      <c r="F33" t="s">
        <v>978</v>
      </c>
      <c r="G33" t="s">
        <v>259</v>
      </c>
      <c r="H33" t="s">
        <v>347</v>
      </c>
      <c r="I33" t="s">
        <v>35</v>
      </c>
      <c r="J33" t="s">
        <v>978</v>
      </c>
      <c r="K33">
        <v>1</v>
      </c>
      <c r="L33">
        <v>1</v>
      </c>
      <c r="M33" t="s">
        <v>44</v>
      </c>
      <c r="N33">
        <v>1</v>
      </c>
      <c r="O33">
        <v>1</v>
      </c>
      <c r="P33">
        <v>1</v>
      </c>
      <c r="Q33" t="s">
        <v>32</v>
      </c>
      <c r="R33">
        <v>1</v>
      </c>
      <c r="S33">
        <v>1</v>
      </c>
      <c r="T33">
        <v>1</v>
      </c>
      <c r="U33" t="s">
        <v>978</v>
      </c>
      <c r="V33" t="s">
        <v>978</v>
      </c>
      <c r="W33" t="s">
        <v>978</v>
      </c>
      <c r="X33">
        <v>1</v>
      </c>
      <c r="Y33" t="s">
        <v>978</v>
      </c>
      <c r="Z33">
        <v>0</v>
      </c>
      <c r="AA33" t="s">
        <v>978</v>
      </c>
      <c r="AB33" t="s">
        <v>978</v>
      </c>
      <c r="AC33" t="s">
        <v>978</v>
      </c>
      <c r="AD33" t="s">
        <v>978</v>
      </c>
      <c r="AE33">
        <v>0</v>
      </c>
      <c r="AF33" t="s">
        <v>978</v>
      </c>
      <c r="AG33" t="s">
        <v>341</v>
      </c>
      <c r="AH33" t="s">
        <v>978</v>
      </c>
    </row>
    <row r="34" spans="1:34" x14ac:dyDescent="0.25">
      <c r="A34" s="560">
        <v>12.051</v>
      </c>
      <c r="B34" t="s">
        <v>575</v>
      </c>
      <c r="C34" t="s">
        <v>348</v>
      </c>
      <c r="D34" t="s">
        <v>513</v>
      </c>
      <c r="E34" t="s">
        <v>978</v>
      </c>
      <c r="F34" t="s">
        <v>978</v>
      </c>
      <c r="G34" t="s">
        <v>280</v>
      </c>
      <c r="H34" t="s">
        <v>349</v>
      </c>
      <c r="I34" t="s">
        <v>35</v>
      </c>
      <c r="J34" t="s">
        <v>978</v>
      </c>
      <c r="K34">
        <v>1</v>
      </c>
      <c r="L34">
        <v>1</v>
      </c>
      <c r="M34" t="s">
        <v>44</v>
      </c>
      <c r="N34">
        <v>1</v>
      </c>
      <c r="O34">
        <v>1</v>
      </c>
      <c r="P34">
        <v>1</v>
      </c>
      <c r="Q34" t="s">
        <v>32</v>
      </c>
      <c r="R34">
        <v>0</v>
      </c>
      <c r="S34">
        <v>0</v>
      </c>
      <c r="T34" t="s">
        <v>978</v>
      </c>
      <c r="U34" t="s">
        <v>978</v>
      </c>
      <c r="V34" t="s">
        <v>978</v>
      </c>
      <c r="W34" t="s">
        <v>978</v>
      </c>
      <c r="X34">
        <v>1</v>
      </c>
      <c r="Y34" t="s">
        <v>978</v>
      </c>
      <c r="Z34">
        <v>0</v>
      </c>
      <c r="AA34" t="s">
        <v>978</v>
      </c>
      <c r="AB34" t="s">
        <v>978</v>
      </c>
      <c r="AC34" t="s">
        <v>978</v>
      </c>
      <c r="AD34" t="s">
        <v>978</v>
      </c>
      <c r="AE34">
        <v>0</v>
      </c>
      <c r="AF34" t="s">
        <v>978</v>
      </c>
      <c r="AG34" t="s">
        <v>350</v>
      </c>
      <c r="AH34" t="s">
        <v>978</v>
      </c>
    </row>
    <row r="35" spans="1:34" x14ac:dyDescent="0.25">
      <c r="A35" s="560">
        <v>12.0529999999999</v>
      </c>
      <c r="B35" t="s">
        <v>576</v>
      </c>
      <c r="C35" t="s">
        <v>334</v>
      </c>
      <c r="D35" t="s">
        <v>513</v>
      </c>
      <c r="E35" t="s">
        <v>978</v>
      </c>
      <c r="F35" t="s">
        <v>978</v>
      </c>
      <c r="G35" t="s">
        <v>259</v>
      </c>
      <c r="H35" t="s">
        <v>351</v>
      </c>
      <c r="I35" t="s">
        <v>41</v>
      </c>
      <c r="J35" t="s">
        <v>352</v>
      </c>
      <c r="K35">
        <v>1</v>
      </c>
      <c r="L35">
        <v>3</v>
      </c>
      <c r="M35" t="s">
        <v>44</v>
      </c>
      <c r="N35">
        <v>1</v>
      </c>
      <c r="O35">
        <v>3</v>
      </c>
      <c r="P35">
        <v>1</v>
      </c>
      <c r="Q35" t="s">
        <v>43</v>
      </c>
      <c r="R35">
        <v>1</v>
      </c>
      <c r="S35">
        <v>1</v>
      </c>
      <c r="T35">
        <v>1</v>
      </c>
      <c r="U35" t="s">
        <v>978</v>
      </c>
      <c r="V35" t="s">
        <v>978</v>
      </c>
      <c r="W35" t="s">
        <v>978</v>
      </c>
      <c r="X35">
        <v>1</v>
      </c>
      <c r="Y35" t="s">
        <v>978</v>
      </c>
      <c r="Z35">
        <v>3</v>
      </c>
      <c r="AA35">
        <v>3</v>
      </c>
      <c r="AB35" t="s">
        <v>978</v>
      </c>
      <c r="AC35" t="s">
        <v>978</v>
      </c>
      <c r="AD35" t="s">
        <v>978</v>
      </c>
      <c r="AE35">
        <v>1</v>
      </c>
      <c r="AF35" t="s">
        <v>978</v>
      </c>
      <c r="AG35" t="s">
        <v>309</v>
      </c>
      <c r="AH35" t="s">
        <v>978</v>
      </c>
    </row>
    <row r="36" spans="1:34" hidden="1" x14ac:dyDescent="0.25">
      <c r="A36">
        <v>12.0549999999999</v>
      </c>
      <c r="B36" t="s">
        <v>578</v>
      </c>
      <c r="C36" t="s">
        <v>335</v>
      </c>
      <c r="D36" t="s">
        <v>519</v>
      </c>
      <c r="E36" t="s">
        <v>978</v>
      </c>
      <c r="F36" t="s">
        <v>978</v>
      </c>
      <c r="G36" t="s">
        <v>259</v>
      </c>
      <c r="H36" t="s">
        <v>353</v>
      </c>
      <c r="I36" t="s">
        <v>41</v>
      </c>
      <c r="J36" t="s">
        <v>978</v>
      </c>
      <c r="K36">
        <v>1</v>
      </c>
      <c r="L36">
        <v>1</v>
      </c>
      <c r="M36" t="s">
        <v>44</v>
      </c>
      <c r="N36">
        <v>1</v>
      </c>
      <c r="O36">
        <v>1</v>
      </c>
      <c r="P36">
        <v>1</v>
      </c>
      <c r="Q36" t="s">
        <v>32</v>
      </c>
      <c r="R36">
        <v>1</v>
      </c>
      <c r="S36">
        <v>1</v>
      </c>
      <c r="T36">
        <v>1</v>
      </c>
      <c r="U36" t="s">
        <v>978</v>
      </c>
      <c r="V36" t="s">
        <v>978</v>
      </c>
      <c r="W36" t="s">
        <v>978</v>
      </c>
      <c r="X36">
        <v>1</v>
      </c>
      <c r="Y36" t="s">
        <v>978</v>
      </c>
      <c r="Z36">
        <v>1</v>
      </c>
      <c r="AA36">
        <v>1</v>
      </c>
      <c r="AB36" t="s">
        <v>978</v>
      </c>
      <c r="AC36" t="s">
        <v>978</v>
      </c>
      <c r="AD36" t="s">
        <v>978</v>
      </c>
      <c r="AE36">
        <v>1</v>
      </c>
      <c r="AF36" t="s">
        <v>978</v>
      </c>
      <c r="AG36" t="s">
        <v>309</v>
      </c>
      <c r="AH36" t="s">
        <v>978</v>
      </c>
    </row>
    <row r="37" spans="1:34" x14ac:dyDescent="0.25">
      <c r="A37" s="560">
        <v>12.0559999999999</v>
      </c>
      <c r="B37" t="s">
        <v>579</v>
      </c>
      <c r="C37" t="s">
        <v>335</v>
      </c>
      <c r="D37" t="s">
        <v>519</v>
      </c>
      <c r="E37" t="s">
        <v>978</v>
      </c>
      <c r="F37" t="s">
        <v>978</v>
      </c>
      <c r="G37" t="s">
        <v>259</v>
      </c>
      <c r="H37" t="s">
        <v>354</v>
      </c>
      <c r="I37" t="s">
        <v>41</v>
      </c>
      <c r="J37" t="s">
        <v>355</v>
      </c>
      <c r="K37">
        <v>1</v>
      </c>
      <c r="L37">
        <v>1</v>
      </c>
      <c r="M37" t="s">
        <v>44</v>
      </c>
      <c r="N37">
        <v>1</v>
      </c>
      <c r="O37">
        <v>1</v>
      </c>
      <c r="P37">
        <v>1</v>
      </c>
      <c r="Q37" t="s">
        <v>32</v>
      </c>
      <c r="R37">
        <v>1</v>
      </c>
      <c r="S37">
        <v>1</v>
      </c>
      <c r="T37">
        <v>1</v>
      </c>
      <c r="U37" t="s">
        <v>978</v>
      </c>
      <c r="V37" t="s">
        <v>978</v>
      </c>
      <c r="W37" t="s">
        <v>978</v>
      </c>
      <c r="X37">
        <v>1</v>
      </c>
      <c r="Y37" t="s">
        <v>978</v>
      </c>
      <c r="Z37">
        <v>1</v>
      </c>
      <c r="AA37">
        <v>1</v>
      </c>
      <c r="AB37" t="s">
        <v>978</v>
      </c>
      <c r="AC37" t="s">
        <v>978</v>
      </c>
      <c r="AD37" t="s">
        <v>978</v>
      </c>
      <c r="AE37">
        <v>1</v>
      </c>
      <c r="AF37" t="s">
        <v>978</v>
      </c>
      <c r="AG37" t="s">
        <v>309</v>
      </c>
      <c r="AH37" t="s">
        <v>978</v>
      </c>
    </row>
    <row r="38" spans="1:34" x14ac:dyDescent="0.25">
      <c r="A38" s="560">
        <v>12.057</v>
      </c>
      <c r="B38" t="s">
        <v>580</v>
      </c>
      <c r="C38" t="s">
        <v>335</v>
      </c>
      <c r="D38" t="s">
        <v>519</v>
      </c>
      <c r="E38" t="s">
        <v>978</v>
      </c>
      <c r="F38" t="s">
        <v>978</v>
      </c>
      <c r="G38" t="s">
        <v>280</v>
      </c>
      <c r="H38" t="s">
        <v>982</v>
      </c>
      <c r="I38" t="s">
        <v>35</v>
      </c>
      <c r="J38" t="s">
        <v>978</v>
      </c>
      <c r="K38">
        <v>1</v>
      </c>
      <c r="L38">
        <v>2</v>
      </c>
      <c r="M38" t="s">
        <v>44</v>
      </c>
      <c r="N38">
        <v>1</v>
      </c>
      <c r="O38">
        <v>2</v>
      </c>
      <c r="P38">
        <v>1</v>
      </c>
      <c r="Q38" t="s">
        <v>32</v>
      </c>
      <c r="R38">
        <v>2</v>
      </c>
      <c r="S38">
        <v>2</v>
      </c>
      <c r="T38">
        <v>2</v>
      </c>
      <c r="U38" t="s">
        <v>978</v>
      </c>
      <c r="V38" t="s">
        <v>978</v>
      </c>
      <c r="W38" t="s">
        <v>978</v>
      </c>
      <c r="X38">
        <v>1</v>
      </c>
      <c r="Y38" t="s">
        <v>978</v>
      </c>
      <c r="Z38">
        <v>2</v>
      </c>
      <c r="AA38">
        <v>2</v>
      </c>
      <c r="AB38" t="s">
        <v>978</v>
      </c>
      <c r="AC38" t="s">
        <v>978</v>
      </c>
      <c r="AD38" t="s">
        <v>978</v>
      </c>
      <c r="AE38">
        <v>1</v>
      </c>
      <c r="AF38" t="s">
        <v>978</v>
      </c>
      <c r="AG38" t="s">
        <v>350</v>
      </c>
      <c r="AH38" t="s">
        <v>978</v>
      </c>
    </row>
    <row r="39" spans="1:34" ht="173.25" customHeight="1" x14ac:dyDescent="0.25">
      <c r="A39" s="560">
        <v>12.0589999999999</v>
      </c>
      <c r="B39" t="s">
        <v>581</v>
      </c>
      <c r="C39" t="s">
        <v>335</v>
      </c>
      <c r="D39" t="s">
        <v>519</v>
      </c>
      <c r="E39" t="s">
        <v>978</v>
      </c>
      <c r="F39" t="s">
        <v>978</v>
      </c>
      <c r="G39" t="s">
        <v>259</v>
      </c>
      <c r="H39" t="s">
        <v>983</v>
      </c>
      <c r="I39" t="s">
        <v>35</v>
      </c>
      <c r="J39" t="s">
        <v>978</v>
      </c>
      <c r="K39">
        <v>1</v>
      </c>
      <c r="L39">
        <v>62</v>
      </c>
      <c r="M39" t="s">
        <v>44</v>
      </c>
      <c r="N39">
        <v>1</v>
      </c>
      <c r="O39">
        <v>62</v>
      </c>
      <c r="P39">
        <v>1</v>
      </c>
      <c r="Q39" t="s">
        <v>32</v>
      </c>
      <c r="R39">
        <v>62</v>
      </c>
      <c r="S39">
        <v>62</v>
      </c>
      <c r="T39">
        <v>62</v>
      </c>
      <c r="U39" t="s">
        <v>978</v>
      </c>
      <c r="V39" t="s">
        <v>978</v>
      </c>
      <c r="W39" t="s">
        <v>978</v>
      </c>
      <c r="X39">
        <v>1</v>
      </c>
      <c r="Y39" t="s">
        <v>978</v>
      </c>
      <c r="Z39">
        <v>62</v>
      </c>
      <c r="AA39">
        <v>62</v>
      </c>
      <c r="AB39" t="s">
        <v>978</v>
      </c>
      <c r="AC39" t="s">
        <v>978</v>
      </c>
      <c r="AD39" t="s">
        <v>978</v>
      </c>
      <c r="AE39">
        <v>1</v>
      </c>
      <c r="AF39" t="s">
        <v>978</v>
      </c>
      <c r="AG39" t="s">
        <v>309</v>
      </c>
      <c r="AH39" t="s">
        <v>978</v>
      </c>
    </row>
    <row r="40" spans="1:34" x14ac:dyDescent="0.25">
      <c r="A40" s="560">
        <v>12.059999999999899</v>
      </c>
      <c r="B40" t="s">
        <v>582</v>
      </c>
      <c r="C40" t="s">
        <v>335</v>
      </c>
      <c r="D40" t="s">
        <v>519</v>
      </c>
      <c r="E40" t="s">
        <v>978</v>
      </c>
      <c r="F40" t="s">
        <v>978</v>
      </c>
      <c r="G40" t="s">
        <v>259</v>
      </c>
      <c r="H40" t="s">
        <v>984</v>
      </c>
      <c r="I40" t="s">
        <v>35</v>
      </c>
      <c r="J40" t="s">
        <v>978</v>
      </c>
      <c r="K40">
        <v>1</v>
      </c>
      <c r="L40">
        <v>4</v>
      </c>
      <c r="M40" t="s">
        <v>44</v>
      </c>
      <c r="N40">
        <v>1</v>
      </c>
      <c r="O40">
        <v>4</v>
      </c>
      <c r="P40">
        <v>1</v>
      </c>
      <c r="Q40" t="s">
        <v>43</v>
      </c>
      <c r="R40">
        <v>4</v>
      </c>
      <c r="S40">
        <v>4</v>
      </c>
      <c r="T40">
        <v>4</v>
      </c>
      <c r="U40" t="s">
        <v>978</v>
      </c>
      <c r="V40" t="s">
        <v>978</v>
      </c>
      <c r="W40" t="s">
        <v>978</v>
      </c>
      <c r="X40">
        <v>1</v>
      </c>
      <c r="Y40" t="s">
        <v>978</v>
      </c>
      <c r="Z40">
        <v>4</v>
      </c>
      <c r="AA40">
        <v>4</v>
      </c>
      <c r="AB40" t="s">
        <v>978</v>
      </c>
      <c r="AC40" t="s">
        <v>978</v>
      </c>
      <c r="AD40" t="s">
        <v>978</v>
      </c>
      <c r="AE40">
        <v>1</v>
      </c>
      <c r="AF40" t="s">
        <v>978</v>
      </c>
      <c r="AG40" t="s">
        <v>309</v>
      </c>
      <c r="AH40" t="s">
        <v>978</v>
      </c>
    </row>
    <row r="41" spans="1:34" hidden="1" x14ac:dyDescent="0.25">
      <c r="A41">
        <v>12.0619999999999</v>
      </c>
      <c r="B41" t="s">
        <v>583</v>
      </c>
      <c r="C41" t="s">
        <v>335</v>
      </c>
      <c r="D41" t="s">
        <v>519</v>
      </c>
      <c r="E41" t="s">
        <v>978</v>
      </c>
      <c r="F41" t="s">
        <v>978</v>
      </c>
      <c r="G41" t="s">
        <v>259</v>
      </c>
      <c r="H41" t="s">
        <v>985</v>
      </c>
      <c r="I41" t="s">
        <v>41</v>
      </c>
      <c r="J41" t="s">
        <v>978</v>
      </c>
      <c r="K41">
        <v>1</v>
      </c>
      <c r="L41">
        <v>2</v>
      </c>
      <c r="M41" t="s">
        <v>44</v>
      </c>
      <c r="N41">
        <v>1</v>
      </c>
      <c r="O41">
        <v>2</v>
      </c>
      <c r="P41">
        <v>1</v>
      </c>
      <c r="Q41" t="s">
        <v>32</v>
      </c>
      <c r="R41">
        <v>2</v>
      </c>
      <c r="S41">
        <v>2</v>
      </c>
      <c r="T41">
        <v>2</v>
      </c>
      <c r="U41" t="s">
        <v>978</v>
      </c>
      <c r="V41" t="s">
        <v>978</v>
      </c>
      <c r="W41" t="s">
        <v>978</v>
      </c>
      <c r="X41">
        <v>1</v>
      </c>
      <c r="Y41" t="s">
        <v>978</v>
      </c>
      <c r="Z41">
        <v>2</v>
      </c>
      <c r="AA41">
        <v>2</v>
      </c>
      <c r="AB41" t="s">
        <v>978</v>
      </c>
      <c r="AC41" t="s">
        <v>978</v>
      </c>
      <c r="AD41" t="s">
        <v>978</v>
      </c>
      <c r="AE41">
        <v>1</v>
      </c>
      <c r="AF41" t="s">
        <v>978</v>
      </c>
      <c r="AG41" t="s">
        <v>309</v>
      </c>
      <c r="AH41" t="s">
        <v>978</v>
      </c>
    </row>
    <row r="42" spans="1:34" x14ac:dyDescent="0.25">
      <c r="A42" s="560">
        <v>12.062999999999899</v>
      </c>
      <c r="B42" t="s">
        <v>584</v>
      </c>
      <c r="C42" t="s">
        <v>335</v>
      </c>
      <c r="D42" t="s">
        <v>519</v>
      </c>
      <c r="E42" t="s">
        <v>978</v>
      </c>
      <c r="F42" t="s">
        <v>978</v>
      </c>
      <c r="G42" t="s">
        <v>280</v>
      </c>
      <c r="H42" t="s">
        <v>356</v>
      </c>
      <c r="I42" t="s">
        <v>41</v>
      </c>
      <c r="J42" t="s">
        <v>978</v>
      </c>
      <c r="K42">
        <v>1</v>
      </c>
      <c r="L42">
        <v>1</v>
      </c>
      <c r="M42" t="s">
        <v>39</v>
      </c>
      <c r="N42">
        <v>1</v>
      </c>
      <c r="O42">
        <v>1</v>
      </c>
      <c r="P42">
        <v>1</v>
      </c>
      <c r="Q42" t="s">
        <v>32</v>
      </c>
      <c r="R42">
        <v>1</v>
      </c>
      <c r="S42">
        <v>1</v>
      </c>
      <c r="T42">
        <v>1</v>
      </c>
      <c r="U42" t="s">
        <v>978</v>
      </c>
      <c r="V42" t="s">
        <v>978</v>
      </c>
      <c r="W42" t="s">
        <v>978</v>
      </c>
      <c r="X42">
        <v>1</v>
      </c>
      <c r="Y42" t="s">
        <v>978</v>
      </c>
      <c r="Z42">
        <v>1</v>
      </c>
      <c r="AA42">
        <v>1</v>
      </c>
      <c r="AB42" t="s">
        <v>978</v>
      </c>
      <c r="AC42" t="s">
        <v>978</v>
      </c>
      <c r="AD42" t="s">
        <v>978</v>
      </c>
      <c r="AE42">
        <v>1</v>
      </c>
      <c r="AF42" t="s">
        <v>978</v>
      </c>
      <c r="AG42" t="s">
        <v>350</v>
      </c>
      <c r="AH42" t="s">
        <v>978</v>
      </c>
    </row>
    <row r="43" spans="1:34" x14ac:dyDescent="0.25">
      <c r="A43" s="560">
        <v>12.063999999999901</v>
      </c>
      <c r="B43" t="s">
        <v>585</v>
      </c>
      <c r="C43" t="s">
        <v>335</v>
      </c>
      <c r="D43" t="s">
        <v>519</v>
      </c>
      <c r="E43" t="s">
        <v>978</v>
      </c>
      <c r="F43" t="s">
        <v>978</v>
      </c>
      <c r="G43" t="s">
        <v>280</v>
      </c>
      <c r="H43" t="s">
        <v>986</v>
      </c>
      <c r="I43" t="s">
        <v>35</v>
      </c>
      <c r="J43" t="s">
        <v>978</v>
      </c>
      <c r="K43">
        <v>1</v>
      </c>
      <c r="L43">
        <v>2</v>
      </c>
      <c r="M43" t="s">
        <v>39</v>
      </c>
      <c r="N43">
        <v>1</v>
      </c>
      <c r="O43">
        <v>2</v>
      </c>
      <c r="P43">
        <v>1</v>
      </c>
      <c r="Q43" t="s">
        <v>32</v>
      </c>
      <c r="R43">
        <v>2</v>
      </c>
      <c r="S43">
        <v>2</v>
      </c>
      <c r="T43">
        <v>2</v>
      </c>
      <c r="U43" t="s">
        <v>978</v>
      </c>
      <c r="V43" t="s">
        <v>978</v>
      </c>
      <c r="W43" t="s">
        <v>978</v>
      </c>
      <c r="X43">
        <v>1</v>
      </c>
      <c r="Y43" t="s">
        <v>978</v>
      </c>
      <c r="Z43">
        <v>2</v>
      </c>
      <c r="AA43">
        <v>2</v>
      </c>
      <c r="AB43" t="s">
        <v>978</v>
      </c>
      <c r="AC43" t="s">
        <v>978</v>
      </c>
      <c r="AD43" t="s">
        <v>978</v>
      </c>
      <c r="AE43">
        <v>1</v>
      </c>
      <c r="AF43" t="s">
        <v>978</v>
      </c>
      <c r="AG43" t="s">
        <v>350</v>
      </c>
      <c r="AH43" t="s">
        <v>978</v>
      </c>
    </row>
    <row r="44" spans="1:34" x14ac:dyDescent="0.25">
      <c r="A44" s="560">
        <v>12.0649999999999</v>
      </c>
      <c r="B44" t="s">
        <v>586</v>
      </c>
      <c r="C44" t="s">
        <v>357</v>
      </c>
      <c r="D44" t="s">
        <v>519</v>
      </c>
      <c r="E44" t="s">
        <v>978</v>
      </c>
      <c r="F44" t="s">
        <v>978</v>
      </c>
      <c r="G44" t="s">
        <v>259</v>
      </c>
      <c r="H44" t="s">
        <v>987</v>
      </c>
      <c r="I44" t="s">
        <v>35</v>
      </c>
      <c r="J44" t="s">
        <v>978</v>
      </c>
      <c r="K44">
        <v>1</v>
      </c>
      <c r="L44">
        <v>2</v>
      </c>
      <c r="M44" t="s">
        <v>39</v>
      </c>
      <c r="N44">
        <v>1</v>
      </c>
      <c r="O44">
        <v>2</v>
      </c>
      <c r="P44">
        <v>1</v>
      </c>
      <c r="Q44" t="s">
        <v>32</v>
      </c>
      <c r="R44">
        <v>2</v>
      </c>
      <c r="S44">
        <v>2</v>
      </c>
      <c r="T44">
        <v>2</v>
      </c>
      <c r="U44" t="s">
        <v>978</v>
      </c>
      <c r="V44" t="s">
        <v>978</v>
      </c>
      <c r="W44" t="s">
        <v>978</v>
      </c>
      <c r="X44">
        <v>1</v>
      </c>
      <c r="Y44" t="s">
        <v>358</v>
      </c>
      <c r="Z44">
        <v>2</v>
      </c>
      <c r="AA44">
        <v>2</v>
      </c>
      <c r="AB44" t="s">
        <v>978</v>
      </c>
      <c r="AC44" t="s">
        <v>978</v>
      </c>
      <c r="AD44" t="s">
        <v>978</v>
      </c>
      <c r="AE44">
        <v>1</v>
      </c>
      <c r="AF44" t="s">
        <v>978</v>
      </c>
      <c r="AG44" t="s">
        <v>341</v>
      </c>
      <c r="AH44" t="s">
        <v>978</v>
      </c>
    </row>
    <row r="45" spans="1:34" ht="81" customHeight="1" x14ac:dyDescent="0.25">
      <c r="A45" s="560">
        <v>12.065999999999899</v>
      </c>
      <c r="B45" t="s">
        <v>588</v>
      </c>
      <c r="C45" t="s">
        <v>335</v>
      </c>
      <c r="D45" t="s">
        <v>519</v>
      </c>
      <c r="E45" t="s">
        <v>978</v>
      </c>
      <c r="F45" t="s">
        <v>978</v>
      </c>
      <c r="G45" t="s">
        <v>280</v>
      </c>
      <c r="H45" t="s">
        <v>988</v>
      </c>
      <c r="I45" t="s">
        <v>35</v>
      </c>
      <c r="J45" t="s">
        <v>978</v>
      </c>
      <c r="K45">
        <v>1</v>
      </c>
      <c r="L45">
        <v>6</v>
      </c>
      <c r="M45" t="s">
        <v>39</v>
      </c>
      <c r="N45">
        <v>1</v>
      </c>
      <c r="O45">
        <v>6</v>
      </c>
      <c r="P45">
        <v>1</v>
      </c>
      <c r="Q45" t="s">
        <v>32</v>
      </c>
      <c r="R45">
        <v>6</v>
      </c>
      <c r="S45">
        <v>6</v>
      </c>
      <c r="T45">
        <v>6</v>
      </c>
      <c r="U45" t="s">
        <v>978</v>
      </c>
      <c r="V45" t="s">
        <v>978</v>
      </c>
      <c r="W45" t="s">
        <v>978</v>
      </c>
      <c r="X45">
        <v>1</v>
      </c>
      <c r="Y45" t="s">
        <v>978</v>
      </c>
      <c r="Z45">
        <v>6</v>
      </c>
      <c r="AA45">
        <v>6</v>
      </c>
      <c r="AB45" t="s">
        <v>978</v>
      </c>
      <c r="AC45" t="s">
        <v>978</v>
      </c>
      <c r="AD45" t="s">
        <v>978</v>
      </c>
      <c r="AE45">
        <v>1</v>
      </c>
      <c r="AF45" t="s">
        <v>978</v>
      </c>
      <c r="AG45" t="s">
        <v>350</v>
      </c>
      <c r="AH45" t="s">
        <v>978</v>
      </c>
    </row>
    <row r="46" spans="1:34" x14ac:dyDescent="0.25">
      <c r="A46" s="560">
        <v>12.066999999999901</v>
      </c>
      <c r="B46" t="s">
        <v>589</v>
      </c>
      <c r="C46" t="s">
        <v>335</v>
      </c>
      <c r="D46" t="s">
        <v>519</v>
      </c>
      <c r="E46" t="s">
        <v>978</v>
      </c>
      <c r="F46" t="s">
        <v>978</v>
      </c>
      <c r="G46" t="s">
        <v>259</v>
      </c>
      <c r="H46" t="s">
        <v>359</v>
      </c>
      <c r="I46" t="s">
        <v>41</v>
      </c>
      <c r="J46" t="s">
        <v>360</v>
      </c>
      <c r="K46">
        <v>1</v>
      </c>
      <c r="L46">
        <v>1</v>
      </c>
      <c r="M46" t="s">
        <v>39</v>
      </c>
      <c r="N46">
        <v>1</v>
      </c>
      <c r="O46">
        <v>1</v>
      </c>
      <c r="P46">
        <v>1</v>
      </c>
      <c r="Q46" t="s">
        <v>43</v>
      </c>
      <c r="R46">
        <v>1</v>
      </c>
      <c r="S46">
        <v>1</v>
      </c>
      <c r="T46">
        <v>1</v>
      </c>
      <c r="U46" t="s">
        <v>978</v>
      </c>
      <c r="V46" t="s">
        <v>978</v>
      </c>
      <c r="W46" t="s">
        <v>978</v>
      </c>
      <c r="X46">
        <v>1</v>
      </c>
      <c r="Y46" t="s">
        <v>361</v>
      </c>
      <c r="Z46">
        <v>1</v>
      </c>
      <c r="AA46">
        <v>1</v>
      </c>
      <c r="AB46" t="s">
        <v>978</v>
      </c>
      <c r="AC46" t="s">
        <v>978</v>
      </c>
      <c r="AD46" t="s">
        <v>978</v>
      </c>
      <c r="AE46">
        <v>1</v>
      </c>
      <c r="AF46" t="s">
        <v>978</v>
      </c>
      <c r="AG46" t="s">
        <v>309</v>
      </c>
      <c r="AH46" t="s">
        <v>978</v>
      </c>
    </row>
    <row r="47" spans="1:34" x14ac:dyDescent="0.25">
      <c r="A47" s="560">
        <v>12.0689999999999</v>
      </c>
      <c r="B47" t="s">
        <v>591</v>
      </c>
      <c r="C47" t="s">
        <v>335</v>
      </c>
      <c r="D47" t="s">
        <v>519</v>
      </c>
      <c r="E47" t="s">
        <v>978</v>
      </c>
      <c r="F47" t="s">
        <v>978</v>
      </c>
      <c r="G47" t="s">
        <v>259</v>
      </c>
      <c r="H47" t="s">
        <v>989</v>
      </c>
      <c r="I47" t="s">
        <v>41</v>
      </c>
      <c r="J47" t="s">
        <v>978</v>
      </c>
      <c r="K47">
        <v>1</v>
      </c>
      <c r="L47">
        <v>3</v>
      </c>
      <c r="M47" t="s">
        <v>44</v>
      </c>
      <c r="N47">
        <v>1</v>
      </c>
      <c r="O47">
        <v>3</v>
      </c>
      <c r="P47">
        <v>1</v>
      </c>
      <c r="Q47" t="s">
        <v>32</v>
      </c>
      <c r="R47">
        <v>3</v>
      </c>
      <c r="S47">
        <v>3</v>
      </c>
      <c r="T47">
        <v>3</v>
      </c>
      <c r="U47" t="s">
        <v>978</v>
      </c>
      <c r="V47" t="s">
        <v>978</v>
      </c>
      <c r="W47" t="s">
        <v>978</v>
      </c>
      <c r="X47">
        <v>1</v>
      </c>
      <c r="Y47" t="s">
        <v>978</v>
      </c>
      <c r="Z47">
        <v>3</v>
      </c>
      <c r="AA47">
        <v>3</v>
      </c>
      <c r="AB47" t="s">
        <v>978</v>
      </c>
      <c r="AC47" t="s">
        <v>978</v>
      </c>
      <c r="AD47" t="s">
        <v>978</v>
      </c>
      <c r="AE47">
        <v>1</v>
      </c>
      <c r="AF47" t="s">
        <v>978</v>
      </c>
      <c r="AG47" t="s">
        <v>309</v>
      </c>
      <c r="AH47" t="s">
        <v>978</v>
      </c>
    </row>
    <row r="48" spans="1:34" x14ac:dyDescent="0.25">
      <c r="A48" s="560">
        <v>12.072999999999899</v>
      </c>
      <c r="B48" t="s">
        <v>593</v>
      </c>
      <c r="C48" t="s">
        <v>335</v>
      </c>
      <c r="D48" t="s">
        <v>519</v>
      </c>
      <c r="E48" t="s">
        <v>978</v>
      </c>
      <c r="F48" t="s">
        <v>978</v>
      </c>
      <c r="G48" t="s">
        <v>280</v>
      </c>
      <c r="H48" t="s">
        <v>362</v>
      </c>
      <c r="I48" t="s">
        <v>35</v>
      </c>
      <c r="J48" t="s">
        <v>978</v>
      </c>
      <c r="K48">
        <v>1</v>
      </c>
      <c r="L48">
        <v>1</v>
      </c>
      <c r="M48" t="s">
        <v>44</v>
      </c>
      <c r="N48">
        <v>1</v>
      </c>
      <c r="O48">
        <v>1</v>
      </c>
      <c r="P48">
        <v>1</v>
      </c>
      <c r="Q48" t="s">
        <v>32</v>
      </c>
      <c r="R48">
        <v>1</v>
      </c>
      <c r="S48">
        <v>1</v>
      </c>
      <c r="T48">
        <v>1</v>
      </c>
      <c r="U48" t="s">
        <v>978</v>
      </c>
      <c r="V48" t="s">
        <v>978</v>
      </c>
      <c r="W48" t="s">
        <v>978</v>
      </c>
      <c r="X48">
        <v>1</v>
      </c>
      <c r="Y48" t="s">
        <v>978</v>
      </c>
      <c r="Z48">
        <v>1</v>
      </c>
      <c r="AA48">
        <v>1</v>
      </c>
      <c r="AB48" t="s">
        <v>978</v>
      </c>
      <c r="AC48" t="s">
        <v>978</v>
      </c>
      <c r="AD48" t="s">
        <v>978</v>
      </c>
      <c r="AE48">
        <v>1</v>
      </c>
      <c r="AF48" t="s">
        <v>978</v>
      </c>
      <c r="AG48" t="s">
        <v>350</v>
      </c>
      <c r="AH48" t="s">
        <v>978</v>
      </c>
    </row>
    <row r="49" spans="1:34" x14ac:dyDescent="0.25">
      <c r="A49" s="560">
        <v>12.078999999999899</v>
      </c>
      <c r="B49" t="s">
        <v>595</v>
      </c>
      <c r="C49" t="s">
        <v>357</v>
      </c>
      <c r="D49" t="s">
        <v>519</v>
      </c>
      <c r="E49" t="s">
        <v>978</v>
      </c>
      <c r="F49" t="s">
        <v>978</v>
      </c>
      <c r="G49" t="s">
        <v>259</v>
      </c>
      <c r="H49" t="s">
        <v>933</v>
      </c>
      <c r="I49" t="s">
        <v>41</v>
      </c>
      <c r="J49" t="s">
        <v>978</v>
      </c>
      <c r="K49">
        <v>1</v>
      </c>
      <c r="L49">
        <v>2</v>
      </c>
      <c r="M49" t="s">
        <v>44</v>
      </c>
      <c r="N49">
        <v>1</v>
      </c>
      <c r="O49">
        <v>2</v>
      </c>
      <c r="P49">
        <v>1</v>
      </c>
      <c r="Q49" t="s">
        <v>32</v>
      </c>
      <c r="R49">
        <v>2</v>
      </c>
      <c r="S49">
        <v>2</v>
      </c>
      <c r="T49">
        <v>2</v>
      </c>
      <c r="U49" t="s">
        <v>978</v>
      </c>
      <c r="V49" t="s">
        <v>978</v>
      </c>
      <c r="W49" t="s">
        <v>978</v>
      </c>
      <c r="X49">
        <v>1</v>
      </c>
      <c r="Y49" t="s">
        <v>978</v>
      </c>
      <c r="Z49">
        <v>2</v>
      </c>
      <c r="AA49">
        <v>2</v>
      </c>
      <c r="AB49" t="s">
        <v>978</v>
      </c>
      <c r="AC49" t="s">
        <v>978</v>
      </c>
      <c r="AD49" t="s">
        <v>978</v>
      </c>
      <c r="AE49">
        <v>1</v>
      </c>
      <c r="AF49" t="s">
        <v>978</v>
      </c>
      <c r="AG49" t="s">
        <v>363</v>
      </c>
      <c r="AH49" t="s">
        <v>978</v>
      </c>
    </row>
    <row r="50" spans="1:34" x14ac:dyDescent="0.25">
      <c r="A50" s="560">
        <v>12.0839999999999</v>
      </c>
      <c r="B50" t="s">
        <v>596</v>
      </c>
      <c r="C50" t="s">
        <v>335</v>
      </c>
      <c r="D50" t="s">
        <v>519</v>
      </c>
      <c r="E50" t="s">
        <v>978</v>
      </c>
      <c r="F50" t="s">
        <v>978</v>
      </c>
      <c r="G50" t="s">
        <v>280</v>
      </c>
      <c r="H50" t="s">
        <v>990</v>
      </c>
      <c r="I50" t="s">
        <v>35</v>
      </c>
      <c r="J50" t="s">
        <v>978</v>
      </c>
      <c r="K50">
        <v>1</v>
      </c>
      <c r="L50">
        <v>3</v>
      </c>
      <c r="M50" t="s">
        <v>44</v>
      </c>
      <c r="N50">
        <v>1</v>
      </c>
      <c r="O50">
        <v>3</v>
      </c>
      <c r="P50">
        <v>1</v>
      </c>
      <c r="Q50" t="s">
        <v>32</v>
      </c>
      <c r="R50">
        <v>3</v>
      </c>
      <c r="S50">
        <v>3</v>
      </c>
      <c r="T50">
        <v>3</v>
      </c>
      <c r="U50" t="s">
        <v>978</v>
      </c>
      <c r="V50" t="s">
        <v>978</v>
      </c>
      <c r="W50" t="s">
        <v>978</v>
      </c>
      <c r="X50">
        <v>1</v>
      </c>
      <c r="Y50" t="s">
        <v>978</v>
      </c>
      <c r="Z50">
        <v>3</v>
      </c>
      <c r="AA50">
        <v>3</v>
      </c>
      <c r="AB50" t="s">
        <v>978</v>
      </c>
      <c r="AC50" t="s">
        <v>978</v>
      </c>
      <c r="AD50" t="s">
        <v>978</v>
      </c>
      <c r="AE50">
        <v>1</v>
      </c>
      <c r="AF50" t="s">
        <v>978</v>
      </c>
      <c r="AG50" t="s">
        <v>350</v>
      </c>
      <c r="AH50" t="s">
        <v>978</v>
      </c>
    </row>
    <row r="51" spans="1:34" x14ac:dyDescent="0.25">
      <c r="A51" s="560">
        <v>12.112</v>
      </c>
      <c r="B51" t="s">
        <v>602</v>
      </c>
      <c r="C51" t="s">
        <v>364</v>
      </c>
      <c r="D51" t="s">
        <v>513</v>
      </c>
      <c r="E51" t="s">
        <v>978</v>
      </c>
      <c r="F51" t="s">
        <v>978</v>
      </c>
      <c r="G51" t="s">
        <v>280</v>
      </c>
      <c r="H51" t="s">
        <v>934</v>
      </c>
      <c r="I51" t="s">
        <v>41</v>
      </c>
      <c r="J51" t="s">
        <v>978</v>
      </c>
      <c r="K51">
        <v>1</v>
      </c>
      <c r="L51">
        <v>1</v>
      </c>
      <c r="M51" t="s">
        <v>44</v>
      </c>
      <c r="N51">
        <v>1</v>
      </c>
      <c r="O51">
        <v>1</v>
      </c>
      <c r="P51">
        <v>1</v>
      </c>
      <c r="Q51" t="s">
        <v>32</v>
      </c>
      <c r="R51">
        <v>1</v>
      </c>
      <c r="S51">
        <v>0</v>
      </c>
      <c r="T51" t="s">
        <v>978</v>
      </c>
      <c r="U51" t="s">
        <v>978</v>
      </c>
      <c r="V51" t="s">
        <v>978</v>
      </c>
      <c r="W51" t="s">
        <v>978</v>
      </c>
      <c r="X51">
        <v>0</v>
      </c>
      <c r="Y51" t="s">
        <v>978</v>
      </c>
      <c r="Z51">
        <v>0</v>
      </c>
      <c r="AA51" t="s">
        <v>978</v>
      </c>
      <c r="AB51" t="s">
        <v>978</v>
      </c>
      <c r="AC51" t="s">
        <v>978</v>
      </c>
      <c r="AD51" t="s">
        <v>978</v>
      </c>
      <c r="AE51">
        <v>0</v>
      </c>
      <c r="AF51" t="s">
        <v>978</v>
      </c>
      <c r="AG51" t="s">
        <v>350</v>
      </c>
      <c r="AH51" t="s">
        <v>978</v>
      </c>
    </row>
    <row r="52" spans="1:34" x14ac:dyDescent="0.25">
      <c r="A52" s="560">
        <v>12.115</v>
      </c>
      <c r="B52" t="s">
        <v>605</v>
      </c>
      <c r="C52" t="s">
        <v>335</v>
      </c>
      <c r="D52" t="s">
        <v>519</v>
      </c>
      <c r="E52" t="s">
        <v>978</v>
      </c>
      <c r="F52" t="s">
        <v>978</v>
      </c>
      <c r="G52" t="s">
        <v>259</v>
      </c>
      <c r="H52" t="s">
        <v>991</v>
      </c>
      <c r="I52" t="s">
        <v>35</v>
      </c>
      <c r="J52" t="s">
        <v>978</v>
      </c>
      <c r="K52">
        <v>1</v>
      </c>
      <c r="L52">
        <v>14</v>
      </c>
      <c r="M52" t="s">
        <v>44</v>
      </c>
      <c r="N52">
        <v>1</v>
      </c>
      <c r="O52">
        <v>14</v>
      </c>
      <c r="P52">
        <v>1</v>
      </c>
      <c r="Q52" t="s">
        <v>32</v>
      </c>
      <c r="R52">
        <v>14</v>
      </c>
      <c r="S52">
        <v>14</v>
      </c>
      <c r="T52">
        <v>14</v>
      </c>
      <c r="U52" t="s">
        <v>978</v>
      </c>
      <c r="V52" t="s">
        <v>978</v>
      </c>
      <c r="W52" t="s">
        <v>978</v>
      </c>
      <c r="X52">
        <v>1</v>
      </c>
      <c r="Y52" t="s">
        <v>978</v>
      </c>
      <c r="Z52">
        <v>14</v>
      </c>
      <c r="AA52">
        <v>14</v>
      </c>
      <c r="AB52" t="s">
        <v>978</v>
      </c>
      <c r="AC52" t="s">
        <v>978</v>
      </c>
      <c r="AD52" t="s">
        <v>978</v>
      </c>
      <c r="AE52">
        <v>1</v>
      </c>
      <c r="AF52" t="s">
        <v>978</v>
      </c>
      <c r="AG52" t="s">
        <v>309</v>
      </c>
      <c r="AH52" t="s">
        <v>978</v>
      </c>
    </row>
    <row r="53" spans="1:34" hidden="1" x14ac:dyDescent="0.25">
      <c r="A53">
        <v>12.118</v>
      </c>
      <c r="B53" t="s">
        <v>606</v>
      </c>
      <c r="C53" t="s">
        <v>318</v>
      </c>
      <c r="D53" t="s">
        <v>516</v>
      </c>
      <c r="E53" t="s">
        <v>978</v>
      </c>
      <c r="F53" t="s">
        <v>978</v>
      </c>
      <c r="G53" t="s">
        <v>259</v>
      </c>
      <c r="H53" t="s">
        <v>959</v>
      </c>
      <c r="I53" t="s">
        <v>41</v>
      </c>
      <c r="J53" t="s">
        <v>978</v>
      </c>
      <c r="K53">
        <v>1</v>
      </c>
      <c r="L53">
        <v>3</v>
      </c>
      <c r="M53" t="s">
        <v>44</v>
      </c>
      <c r="N53">
        <v>1</v>
      </c>
      <c r="O53">
        <v>3</v>
      </c>
      <c r="P53">
        <v>1</v>
      </c>
      <c r="Q53" t="s">
        <v>43</v>
      </c>
      <c r="R53">
        <v>3</v>
      </c>
      <c r="S53">
        <v>3</v>
      </c>
      <c r="T53">
        <v>3</v>
      </c>
      <c r="U53" t="s">
        <v>978</v>
      </c>
      <c r="V53" t="s">
        <v>978</v>
      </c>
      <c r="W53" t="s">
        <v>978</v>
      </c>
      <c r="X53">
        <v>1</v>
      </c>
      <c r="Y53" t="s">
        <v>369</v>
      </c>
      <c r="Z53">
        <v>0</v>
      </c>
      <c r="AA53" t="s">
        <v>978</v>
      </c>
      <c r="AB53" t="s">
        <v>978</v>
      </c>
      <c r="AC53" t="s">
        <v>978</v>
      </c>
      <c r="AD53" t="s">
        <v>978</v>
      </c>
      <c r="AE53">
        <v>0</v>
      </c>
      <c r="AF53" t="s">
        <v>978</v>
      </c>
      <c r="AG53" t="s">
        <v>309</v>
      </c>
      <c r="AH53" t="s">
        <v>978</v>
      </c>
    </row>
    <row r="54" spans="1:34" x14ac:dyDescent="0.25">
      <c r="A54" s="560">
        <v>12.12</v>
      </c>
      <c r="B54" t="s">
        <v>608</v>
      </c>
      <c r="C54" t="s">
        <v>324</v>
      </c>
      <c r="D54" t="s">
        <v>514</v>
      </c>
      <c r="E54" t="s">
        <v>978</v>
      </c>
      <c r="F54" t="s">
        <v>978</v>
      </c>
      <c r="G54" t="s">
        <v>259</v>
      </c>
      <c r="H54" t="s">
        <v>370</v>
      </c>
      <c r="I54" t="s">
        <v>41</v>
      </c>
      <c r="J54" t="s">
        <v>978</v>
      </c>
      <c r="K54">
        <v>1</v>
      </c>
      <c r="L54">
        <v>4</v>
      </c>
      <c r="M54" t="s">
        <v>44</v>
      </c>
      <c r="N54">
        <v>1</v>
      </c>
      <c r="O54">
        <v>4</v>
      </c>
      <c r="P54">
        <v>1</v>
      </c>
      <c r="Q54" t="s">
        <v>43</v>
      </c>
      <c r="R54">
        <v>4</v>
      </c>
      <c r="S54">
        <v>4</v>
      </c>
      <c r="T54">
        <v>4</v>
      </c>
      <c r="U54" t="s">
        <v>978</v>
      </c>
      <c r="V54" t="s">
        <v>978</v>
      </c>
      <c r="W54" t="s">
        <v>978</v>
      </c>
      <c r="X54">
        <v>1</v>
      </c>
      <c r="Y54" t="s">
        <v>978</v>
      </c>
      <c r="Z54">
        <v>0</v>
      </c>
      <c r="AA54" t="s">
        <v>978</v>
      </c>
      <c r="AB54" t="s">
        <v>978</v>
      </c>
      <c r="AC54" t="s">
        <v>978</v>
      </c>
      <c r="AD54" t="s">
        <v>978</v>
      </c>
      <c r="AE54">
        <v>0</v>
      </c>
      <c r="AF54" t="s">
        <v>978</v>
      </c>
      <c r="AG54" t="s">
        <v>309</v>
      </c>
      <c r="AH54" t="s">
        <v>978</v>
      </c>
    </row>
    <row r="55" spans="1:34" hidden="1" x14ac:dyDescent="0.25">
      <c r="A55">
        <v>12.124000000000001</v>
      </c>
      <c r="B55" t="s">
        <v>609</v>
      </c>
      <c r="C55" t="s">
        <v>313</v>
      </c>
      <c r="D55" t="s">
        <v>520</v>
      </c>
      <c r="E55" t="s">
        <v>978</v>
      </c>
      <c r="F55" t="s">
        <v>978</v>
      </c>
      <c r="G55" t="s">
        <v>280</v>
      </c>
      <c r="H55" t="s">
        <v>371</v>
      </c>
      <c r="I55" t="s">
        <v>41</v>
      </c>
      <c r="J55" t="s">
        <v>978</v>
      </c>
      <c r="K55">
        <v>1</v>
      </c>
      <c r="L55">
        <v>2</v>
      </c>
      <c r="M55" t="s">
        <v>44</v>
      </c>
      <c r="N55">
        <v>1</v>
      </c>
      <c r="O55">
        <v>2</v>
      </c>
      <c r="P55">
        <v>1</v>
      </c>
      <c r="Q55" t="s">
        <v>32</v>
      </c>
      <c r="R55">
        <v>2</v>
      </c>
      <c r="S55">
        <v>2</v>
      </c>
      <c r="T55">
        <v>2</v>
      </c>
      <c r="U55" t="s">
        <v>978</v>
      </c>
      <c r="V55" t="s">
        <v>978</v>
      </c>
      <c r="W55" t="s">
        <v>978</v>
      </c>
      <c r="X55">
        <v>1</v>
      </c>
      <c r="Y55" t="s">
        <v>978</v>
      </c>
      <c r="Z55">
        <v>0</v>
      </c>
      <c r="AA55" t="s">
        <v>978</v>
      </c>
      <c r="AB55" t="s">
        <v>978</v>
      </c>
      <c r="AC55" t="s">
        <v>978</v>
      </c>
      <c r="AD55" t="s">
        <v>978</v>
      </c>
      <c r="AE55">
        <v>0</v>
      </c>
      <c r="AF55" t="s">
        <v>978</v>
      </c>
      <c r="AG55" t="s">
        <v>277</v>
      </c>
      <c r="AH55" t="s">
        <v>978</v>
      </c>
    </row>
    <row r="56" spans="1:34" x14ac:dyDescent="0.25">
      <c r="A56" s="560">
        <v>12.125</v>
      </c>
      <c r="B56" t="s">
        <v>610</v>
      </c>
      <c r="C56" t="s">
        <v>313</v>
      </c>
      <c r="D56" t="s">
        <v>520</v>
      </c>
      <c r="E56" t="s">
        <v>978</v>
      </c>
      <c r="F56" t="s">
        <v>978</v>
      </c>
      <c r="G56" t="s">
        <v>280</v>
      </c>
      <c r="H56" t="s">
        <v>372</v>
      </c>
      <c r="I56" t="s">
        <v>41</v>
      </c>
      <c r="J56" t="s">
        <v>978</v>
      </c>
      <c r="K56">
        <v>1</v>
      </c>
      <c r="L56">
        <v>1</v>
      </c>
      <c r="M56" t="s">
        <v>44</v>
      </c>
      <c r="N56">
        <v>1</v>
      </c>
      <c r="O56">
        <v>1</v>
      </c>
      <c r="P56">
        <v>1</v>
      </c>
      <c r="Q56" t="s">
        <v>32</v>
      </c>
      <c r="R56">
        <v>1</v>
      </c>
      <c r="S56">
        <v>1</v>
      </c>
      <c r="T56">
        <v>1</v>
      </c>
      <c r="U56" t="s">
        <v>978</v>
      </c>
      <c r="V56" t="s">
        <v>978</v>
      </c>
      <c r="W56" t="s">
        <v>978</v>
      </c>
      <c r="X56">
        <v>1</v>
      </c>
      <c r="Y56" t="s">
        <v>373</v>
      </c>
      <c r="Z56">
        <v>0</v>
      </c>
      <c r="AA56" t="s">
        <v>978</v>
      </c>
      <c r="AB56" t="s">
        <v>978</v>
      </c>
      <c r="AC56" t="s">
        <v>978</v>
      </c>
      <c r="AD56" t="s">
        <v>978</v>
      </c>
      <c r="AE56">
        <v>0</v>
      </c>
      <c r="AF56" t="s">
        <v>978</v>
      </c>
      <c r="AG56" t="s">
        <v>286</v>
      </c>
      <c r="AH56" t="s">
        <v>978</v>
      </c>
    </row>
    <row r="57" spans="1:34" hidden="1" x14ac:dyDescent="0.25">
      <c r="A57">
        <v>12.128</v>
      </c>
      <c r="B57" t="s">
        <v>611</v>
      </c>
      <c r="C57" t="s">
        <v>374</v>
      </c>
      <c r="D57" t="s">
        <v>514</v>
      </c>
      <c r="E57" t="s">
        <v>978</v>
      </c>
      <c r="F57" t="s">
        <v>978</v>
      </c>
      <c r="G57" t="s">
        <v>259</v>
      </c>
      <c r="H57" t="s">
        <v>375</v>
      </c>
      <c r="I57" t="s">
        <v>35</v>
      </c>
      <c r="J57" t="s">
        <v>978</v>
      </c>
      <c r="K57">
        <v>1</v>
      </c>
      <c r="L57">
        <v>1</v>
      </c>
      <c r="M57" t="s">
        <v>44</v>
      </c>
      <c r="N57">
        <v>1</v>
      </c>
      <c r="O57">
        <v>1</v>
      </c>
      <c r="P57">
        <v>1</v>
      </c>
      <c r="Q57" t="s">
        <v>32</v>
      </c>
      <c r="R57">
        <v>1</v>
      </c>
      <c r="S57">
        <v>0</v>
      </c>
      <c r="T57" t="s">
        <v>978</v>
      </c>
      <c r="U57" t="s">
        <v>978</v>
      </c>
      <c r="V57" t="s">
        <v>978</v>
      </c>
      <c r="W57" t="s">
        <v>978</v>
      </c>
      <c r="X57">
        <v>0</v>
      </c>
      <c r="Y57" t="s">
        <v>978</v>
      </c>
      <c r="Z57">
        <v>0</v>
      </c>
      <c r="AA57" t="s">
        <v>978</v>
      </c>
      <c r="AB57" t="s">
        <v>978</v>
      </c>
      <c r="AC57" t="s">
        <v>978</v>
      </c>
      <c r="AD57" t="s">
        <v>978</v>
      </c>
      <c r="AE57">
        <v>0</v>
      </c>
      <c r="AF57" t="s">
        <v>978</v>
      </c>
      <c r="AG57" t="s">
        <v>309</v>
      </c>
      <c r="AH57" t="s">
        <v>978</v>
      </c>
    </row>
    <row r="58" spans="1:34" x14ac:dyDescent="0.25">
      <c r="A58" s="560">
        <v>12.13</v>
      </c>
      <c r="B58" t="s">
        <v>612</v>
      </c>
      <c r="C58" t="s">
        <v>364</v>
      </c>
      <c r="D58" t="s">
        <v>513</v>
      </c>
      <c r="E58" t="s">
        <v>978</v>
      </c>
      <c r="F58" t="s">
        <v>978</v>
      </c>
      <c r="G58" t="s">
        <v>259</v>
      </c>
      <c r="H58" t="s">
        <v>960</v>
      </c>
      <c r="I58" t="s">
        <v>41</v>
      </c>
      <c r="J58" t="s">
        <v>978</v>
      </c>
      <c r="K58">
        <v>1</v>
      </c>
      <c r="L58">
        <v>2</v>
      </c>
      <c r="M58" t="s">
        <v>44</v>
      </c>
      <c r="N58">
        <v>1</v>
      </c>
      <c r="O58">
        <v>2</v>
      </c>
      <c r="P58">
        <v>1</v>
      </c>
      <c r="Q58" t="s">
        <v>32</v>
      </c>
      <c r="R58">
        <v>1</v>
      </c>
      <c r="S58">
        <v>0</v>
      </c>
      <c r="T58" t="s">
        <v>978</v>
      </c>
      <c r="U58" t="s">
        <v>978</v>
      </c>
      <c r="V58" t="s">
        <v>978</v>
      </c>
      <c r="W58" t="s">
        <v>978</v>
      </c>
      <c r="X58">
        <v>0</v>
      </c>
      <c r="Y58" t="s">
        <v>978</v>
      </c>
      <c r="Z58">
        <v>0</v>
      </c>
      <c r="AA58" t="s">
        <v>978</v>
      </c>
      <c r="AB58" t="s">
        <v>978</v>
      </c>
      <c r="AC58" t="s">
        <v>978</v>
      </c>
      <c r="AD58" t="s">
        <v>978</v>
      </c>
      <c r="AE58">
        <v>0</v>
      </c>
      <c r="AF58" t="s">
        <v>978</v>
      </c>
      <c r="AG58" t="s">
        <v>312</v>
      </c>
      <c r="AH58" t="s">
        <v>978</v>
      </c>
    </row>
    <row r="59" spans="1:34" x14ac:dyDescent="0.25">
      <c r="A59" s="560">
        <v>12.132</v>
      </c>
      <c r="B59" t="s">
        <v>613</v>
      </c>
      <c r="C59" t="s">
        <v>376</v>
      </c>
      <c r="D59" t="s">
        <v>514</v>
      </c>
      <c r="E59" t="s">
        <v>978</v>
      </c>
      <c r="F59" t="s">
        <v>978</v>
      </c>
      <c r="G59" t="s">
        <v>259</v>
      </c>
      <c r="H59" t="s">
        <v>377</v>
      </c>
      <c r="I59" t="s">
        <v>41</v>
      </c>
      <c r="J59" t="s">
        <v>978</v>
      </c>
      <c r="K59">
        <v>1</v>
      </c>
      <c r="L59">
        <v>2</v>
      </c>
      <c r="M59" t="s">
        <v>44</v>
      </c>
      <c r="N59">
        <v>1</v>
      </c>
      <c r="O59">
        <v>2</v>
      </c>
      <c r="P59">
        <v>1</v>
      </c>
      <c r="Q59" t="s">
        <v>43</v>
      </c>
      <c r="R59">
        <v>2</v>
      </c>
      <c r="S59">
        <v>0</v>
      </c>
      <c r="T59" t="s">
        <v>978</v>
      </c>
      <c r="U59" t="s">
        <v>978</v>
      </c>
      <c r="V59" t="s">
        <v>978</v>
      </c>
      <c r="W59" t="s">
        <v>978</v>
      </c>
      <c r="X59">
        <v>0</v>
      </c>
      <c r="Y59" t="s">
        <v>978</v>
      </c>
      <c r="Z59">
        <v>0</v>
      </c>
      <c r="AA59" t="s">
        <v>978</v>
      </c>
      <c r="AB59" t="s">
        <v>978</v>
      </c>
      <c r="AC59" t="s">
        <v>978</v>
      </c>
      <c r="AD59" t="s">
        <v>978</v>
      </c>
      <c r="AE59">
        <v>0</v>
      </c>
      <c r="AF59" t="s">
        <v>978</v>
      </c>
      <c r="AG59" t="s">
        <v>341</v>
      </c>
      <c r="AH59" t="s">
        <v>978</v>
      </c>
    </row>
    <row r="60" spans="1:34" hidden="1" x14ac:dyDescent="0.25">
      <c r="A60">
        <v>12.132999999999999</v>
      </c>
      <c r="B60" t="s">
        <v>614</v>
      </c>
      <c r="C60" t="s">
        <v>376</v>
      </c>
      <c r="D60" t="s">
        <v>514</v>
      </c>
      <c r="E60" t="s">
        <v>978</v>
      </c>
      <c r="F60" t="s">
        <v>978</v>
      </c>
      <c r="G60" t="s">
        <v>259</v>
      </c>
      <c r="H60" t="s">
        <v>378</v>
      </c>
      <c r="I60" t="s">
        <v>41</v>
      </c>
      <c r="J60" t="s">
        <v>978</v>
      </c>
      <c r="K60">
        <v>1</v>
      </c>
      <c r="L60">
        <v>1</v>
      </c>
      <c r="M60" t="s">
        <v>44</v>
      </c>
      <c r="N60">
        <v>1</v>
      </c>
      <c r="O60">
        <v>1</v>
      </c>
      <c r="P60">
        <v>1</v>
      </c>
      <c r="Q60" t="s">
        <v>32</v>
      </c>
      <c r="R60">
        <v>1</v>
      </c>
      <c r="S60">
        <v>0</v>
      </c>
      <c r="T60" t="s">
        <v>978</v>
      </c>
      <c r="U60" t="s">
        <v>978</v>
      </c>
      <c r="V60" t="s">
        <v>978</v>
      </c>
      <c r="W60" t="s">
        <v>978</v>
      </c>
      <c r="X60">
        <v>0</v>
      </c>
      <c r="Y60" t="s">
        <v>978</v>
      </c>
      <c r="Z60">
        <v>0</v>
      </c>
      <c r="AA60" t="s">
        <v>978</v>
      </c>
      <c r="AB60" t="s">
        <v>978</v>
      </c>
      <c r="AC60" t="s">
        <v>978</v>
      </c>
      <c r="AD60" t="s">
        <v>978</v>
      </c>
      <c r="AE60">
        <v>0</v>
      </c>
      <c r="AF60" t="s">
        <v>978</v>
      </c>
      <c r="AG60" t="s">
        <v>309</v>
      </c>
      <c r="AH60" t="s">
        <v>978</v>
      </c>
    </row>
    <row r="61" spans="1:34" hidden="1" x14ac:dyDescent="0.25">
      <c r="A61">
        <v>12.134</v>
      </c>
      <c r="B61" t="s">
        <v>615</v>
      </c>
      <c r="C61" t="s">
        <v>376</v>
      </c>
      <c r="D61" t="s">
        <v>514</v>
      </c>
      <c r="E61" t="s">
        <v>978</v>
      </c>
      <c r="F61" t="s">
        <v>978</v>
      </c>
      <c r="G61" t="s">
        <v>259</v>
      </c>
      <c r="H61" t="s">
        <v>379</v>
      </c>
      <c r="I61" t="s">
        <v>41</v>
      </c>
      <c r="J61" t="s">
        <v>978</v>
      </c>
      <c r="K61">
        <v>1</v>
      </c>
      <c r="L61">
        <v>1</v>
      </c>
      <c r="M61" t="s">
        <v>44</v>
      </c>
      <c r="N61">
        <v>1</v>
      </c>
      <c r="O61">
        <v>0</v>
      </c>
      <c r="P61">
        <v>0</v>
      </c>
      <c r="Q61" t="s">
        <v>32</v>
      </c>
      <c r="R61">
        <v>1</v>
      </c>
      <c r="S61">
        <v>0</v>
      </c>
      <c r="T61" t="s">
        <v>978</v>
      </c>
      <c r="U61" t="s">
        <v>978</v>
      </c>
      <c r="V61" t="s">
        <v>978</v>
      </c>
      <c r="W61" t="s">
        <v>978</v>
      </c>
      <c r="X61">
        <v>0</v>
      </c>
      <c r="Y61" t="s">
        <v>978</v>
      </c>
      <c r="Z61">
        <v>0</v>
      </c>
      <c r="AA61" t="s">
        <v>978</v>
      </c>
      <c r="AB61" t="s">
        <v>978</v>
      </c>
      <c r="AC61" t="s">
        <v>978</v>
      </c>
      <c r="AD61" t="s">
        <v>978</v>
      </c>
      <c r="AE61">
        <v>0</v>
      </c>
      <c r="AF61" t="s">
        <v>978</v>
      </c>
      <c r="AG61" t="s">
        <v>309</v>
      </c>
      <c r="AH61" t="s">
        <v>978</v>
      </c>
    </row>
    <row r="62" spans="1:34" hidden="1" x14ac:dyDescent="0.25">
      <c r="A62">
        <v>12.138999999999999</v>
      </c>
      <c r="B62" t="s">
        <v>616</v>
      </c>
      <c r="C62" t="s">
        <v>313</v>
      </c>
      <c r="D62" t="s">
        <v>520</v>
      </c>
      <c r="E62" t="s">
        <v>978</v>
      </c>
      <c r="F62" t="s">
        <v>978</v>
      </c>
      <c r="G62" t="s">
        <v>259</v>
      </c>
      <c r="H62" t="s">
        <v>380</v>
      </c>
      <c r="I62" t="s">
        <v>41</v>
      </c>
      <c r="J62" t="s">
        <v>978</v>
      </c>
      <c r="K62">
        <v>1</v>
      </c>
      <c r="L62">
        <v>2</v>
      </c>
      <c r="M62" t="s">
        <v>44</v>
      </c>
      <c r="N62">
        <v>1</v>
      </c>
      <c r="O62">
        <v>2</v>
      </c>
      <c r="P62">
        <v>1</v>
      </c>
      <c r="Q62" t="s">
        <v>32</v>
      </c>
      <c r="R62">
        <v>2</v>
      </c>
      <c r="S62">
        <v>2</v>
      </c>
      <c r="T62">
        <v>2</v>
      </c>
      <c r="U62" t="s">
        <v>978</v>
      </c>
      <c r="V62" t="s">
        <v>978</v>
      </c>
      <c r="W62" t="s">
        <v>978</v>
      </c>
      <c r="X62">
        <v>1</v>
      </c>
      <c r="Y62" t="s">
        <v>978</v>
      </c>
      <c r="Z62">
        <v>0</v>
      </c>
      <c r="AA62" t="s">
        <v>978</v>
      </c>
      <c r="AB62" t="s">
        <v>978</v>
      </c>
      <c r="AC62" t="s">
        <v>978</v>
      </c>
      <c r="AD62" t="s">
        <v>978</v>
      </c>
      <c r="AE62">
        <v>0</v>
      </c>
      <c r="AF62" t="s">
        <v>978</v>
      </c>
      <c r="AG62" t="s">
        <v>312</v>
      </c>
      <c r="AH62" t="s">
        <v>978</v>
      </c>
    </row>
    <row r="63" spans="1:34" hidden="1" x14ac:dyDescent="0.25">
      <c r="A63">
        <v>12.141999999999999</v>
      </c>
      <c r="B63" t="s">
        <v>617</v>
      </c>
      <c r="C63" t="s">
        <v>357</v>
      </c>
      <c r="D63" t="s">
        <v>519</v>
      </c>
      <c r="E63" t="s">
        <v>978</v>
      </c>
      <c r="F63" t="s">
        <v>978</v>
      </c>
      <c r="G63" t="s">
        <v>259</v>
      </c>
      <c r="H63" t="s">
        <v>992</v>
      </c>
      <c r="I63" t="s">
        <v>35</v>
      </c>
      <c r="J63" t="s">
        <v>978</v>
      </c>
      <c r="K63">
        <v>1</v>
      </c>
      <c r="L63">
        <v>7</v>
      </c>
      <c r="M63" t="s">
        <v>39</v>
      </c>
      <c r="N63">
        <v>1</v>
      </c>
      <c r="O63">
        <v>7</v>
      </c>
      <c r="P63">
        <v>1</v>
      </c>
      <c r="Q63" t="s">
        <v>43</v>
      </c>
      <c r="R63">
        <v>7</v>
      </c>
      <c r="S63">
        <v>7</v>
      </c>
      <c r="T63">
        <v>7</v>
      </c>
      <c r="U63" t="s">
        <v>978</v>
      </c>
      <c r="V63" t="s">
        <v>978</v>
      </c>
      <c r="W63" t="s">
        <v>978</v>
      </c>
      <c r="X63">
        <v>1</v>
      </c>
      <c r="Y63" t="s">
        <v>381</v>
      </c>
      <c r="Z63">
        <v>7</v>
      </c>
      <c r="AA63">
        <v>7</v>
      </c>
      <c r="AB63" t="s">
        <v>978</v>
      </c>
      <c r="AC63" t="s">
        <v>978</v>
      </c>
      <c r="AD63" t="s">
        <v>978</v>
      </c>
      <c r="AE63">
        <v>1</v>
      </c>
      <c r="AF63" t="s">
        <v>978</v>
      </c>
      <c r="AG63" t="s">
        <v>363</v>
      </c>
      <c r="AH63" t="s">
        <v>978</v>
      </c>
    </row>
    <row r="64" spans="1:34" hidden="1" x14ac:dyDescent="0.25">
      <c r="A64">
        <v>12.146000000000001</v>
      </c>
      <c r="B64" t="s">
        <v>619</v>
      </c>
      <c r="C64" t="s">
        <v>318</v>
      </c>
      <c r="D64" t="s">
        <v>514</v>
      </c>
      <c r="E64" t="s">
        <v>978</v>
      </c>
      <c r="F64" t="s">
        <v>978</v>
      </c>
      <c r="G64" t="s">
        <v>259</v>
      </c>
      <c r="H64" t="s">
        <v>961</v>
      </c>
      <c r="I64" t="s">
        <v>41</v>
      </c>
      <c r="J64" t="s">
        <v>978</v>
      </c>
      <c r="K64">
        <v>1</v>
      </c>
      <c r="L64">
        <v>2</v>
      </c>
      <c r="M64" t="s">
        <v>44</v>
      </c>
      <c r="N64">
        <v>1</v>
      </c>
      <c r="O64">
        <v>2</v>
      </c>
      <c r="P64">
        <v>1</v>
      </c>
      <c r="Q64" t="s">
        <v>32</v>
      </c>
      <c r="R64">
        <v>2</v>
      </c>
      <c r="S64">
        <v>2</v>
      </c>
      <c r="T64">
        <v>1</v>
      </c>
      <c r="U64" t="s">
        <v>978</v>
      </c>
      <c r="V64">
        <v>1</v>
      </c>
      <c r="W64" t="s">
        <v>978</v>
      </c>
      <c r="X64">
        <v>0.5</v>
      </c>
      <c r="Y64" t="s">
        <v>978</v>
      </c>
      <c r="Z64">
        <v>1</v>
      </c>
      <c r="AA64">
        <v>1</v>
      </c>
      <c r="AB64" t="s">
        <v>978</v>
      </c>
      <c r="AC64" t="s">
        <v>978</v>
      </c>
      <c r="AD64" t="s">
        <v>978</v>
      </c>
      <c r="AE64">
        <v>0.5</v>
      </c>
      <c r="AF64" t="s">
        <v>978</v>
      </c>
      <c r="AG64" t="s">
        <v>309</v>
      </c>
      <c r="AH64" t="s">
        <v>978</v>
      </c>
    </row>
    <row r="65" spans="1:34" x14ac:dyDescent="0.25">
      <c r="A65" s="560">
        <v>12.148</v>
      </c>
      <c r="B65" t="s">
        <v>620</v>
      </c>
      <c r="C65" t="s">
        <v>318</v>
      </c>
      <c r="D65" t="s">
        <v>514</v>
      </c>
      <c r="E65" t="s">
        <v>978</v>
      </c>
      <c r="F65" t="s">
        <v>978</v>
      </c>
      <c r="G65" t="s">
        <v>259</v>
      </c>
      <c r="H65" t="s">
        <v>961</v>
      </c>
      <c r="I65" t="s">
        <v>41</v>
      </c>
      <c r="J65" t="s">
        <v>978</v>
      </c>
      <c r="K65">
        <v>1</v>
      </c>
      <c r="L65">
        <v>2</v>
      </c>
      <c r="M65" t="s">
        <v>44</v>
      </c>
      <c r="N65">
        <v>1</v>
      </c>
      <c r="O65">
        <v>2</v>
      </c>
      <c r="P65">
        <v>1</v>
      </c>
      <c r="Q65" t="s">
        <v>32</v>
      </c>
      <c r="R65">
        <v>2</v>
      </c>
      <c r="S65">
        <v>2</v>
      </c>
      <c r="T65">
        <v>1</v>
      </c>
      <c r="U65" t="s">
        <v>978</v>
      </c>
      <c r="V65">
        <v>1</v>
      </c>
      <c r="W65" t="s">
        <v>978</v>
      </c>
      <c r="X65">
        <v>0.5</v>
      </c>
      <c r="Y65" t="s">
        <v>978</v>
      </c>
      <c r="Z65">
        <v>1</v>
      </c>
      <c r="AA65">
        <v>1</v>
      </c>
      <c r="AB65" t="s">
        <v>978</v>
      </c>
      <c r="AC65" t="s">
        <v>978</v>
      </c>
      <c r="AD65" t="s">
        <v>978</v>
      </c>
      <c r="AE65">
        <v>0.5</v>
      </c>
      <c r="AF65" t="s">
        <v>978</v>
      </c>
      <c r="AG65" t="s">
        <v>309</v>
      </c>
      <c r="AH65" t="s">
        <v>978</v>
      </c>
    </row>
    <row r="66" spans="1:34" hidden="1" x14ac:dyDescent="0.25">
      <c r="A66">
        <v>12.15</v>
      </c>
      <c r="B66" t="s">
        <v>621</v>
      </c>
      <c r="C66" t="s">
        <v>318</v>
      </c>
      <c r="D66" t="s">
        <v>514</v>
      </c>
      <c r="E66" t="s">
        <v>978</v>
      </c>
      <c r="F66" t="s">
        <v>978</v>
      </c>
      <c r="G66" t="s">
        <v>259</v>
      </c>
      <c r="H66" t="s">
        <v>383</v>
      </c>
      <c r="I66" t="s">
        <v>35</v>
      </c>
      <c r="J66" t="s">
        <v>978</v>
      </c>
      <c r="K66">
        <v>1</v>
      </c>
      <c r="L66">
        <v>1</v>
      </c>
      <c r="M66" t="s">
        <v>44</v>
      </c>
      <c r="N66">
        <v>1</v>
      </c>
      <c r="O66">
        <v>1</v>
      </c>
      <c r="P66">
        <v>1</v>
      </c>
      <c r="Q66" t="s">
        <v>43</v>
      </c>
      <c r="R66">
        <v>1</v>
      </c>
      <c r="S66">
        <v>1</v>
      </c>
      <c r="T66">
        <v>1</v>
      </c>
      <c r="U66" t="s">
        <v>978</v>
      </c>
      <c r="V66" t="s">
        <v>978</v>
      </c>
      <c r="W66" t="s">
        <v>978</v>
      </c>
      <c r="X66">
        <v>1</v>
      </c>
      <c r="Y66" t="s">
        <v>384</v>
      </c>
      <c r="Z66">
        <v>1</v>
      </c>
      <c r="AA66">
        <v>1</v>
      </c>
      <c r="AB66" t="s">
        <v>978</v>
      </c>
      <c r="AC66" t="s">
        <v>978</v>
      </c>
      <c r="AD66" t="s">
        <v>978</v>
      </c>
      <c r="AE66">
        <v>1</v>
      </c>
      <c r="AF66" t="s">
        <v>978</v>
      </c>
      <c r="AG66" t="s">
        <v>309</v>
      </c>
      <c r="AH66" t="s">
        <v>978</v>
      </c>
    </row>
    <row r="67" spans="1:34" hidden="1" x14ac:dyDescent="0.25">
      <c r="A67">
        <v>12.157</v>
      </c>
      <c r="B67" t="s">
        <v>623</v>
      </c>
      <c r="C67" t="s">
        <v>357</v>
      </c>
      <c r="D67" t="s">
        <v>519</v>
      </c>
      <c r="E67" t="s">
        <v>978</v>
      </c>
      <c r="F67" t="s">
        <v>978</v>
      </c>
      <c r="G67" t="s">
        <v>280</v>
      </c>
      <c r="H67" t="s">
        <v>935</v>
      </c>
      <c r="I67" t="s">
        <v>35</v>
      </c>
      <c r="J67" t="s">
        <v>978</v>
      </c>
      <c r="K67">
        <v>1</v>
      </c>
      <c r="L67">
        <v>10</v>
      </c>
      <c r="M67" t="s">
        <v>44</v>
      </c>
      <c r="N67">
        <v>1</v>
      </c>
      <c r="O67">
        <v>10</v>
      </c>
      <c r="P67">
        <v>1</v>
      </c>
      <c r="Q67" t="s">
        <v>32</v>
      </c>
      <c r="R67">
        <v>10</v>
      </c>
      <c r="S67">
        <v>10</v>
      </c>
      <c r="T67">
        <v>10</v>
      </c>
      <c r="U67" t="s">
        <v>978</v>
      </c>
      <c r="V67" t="s">
        <v>978</v>
      </c>
      <c r="W67" t="s">
        <v>978</v>
      </c>
      <c r="X67">
        <v>1</v>
      </c>
      <c r="Y67" t="s">
        <v>385</v>
      </c>
      <c r="Z67">
        <v>10</v>
      </c>
      <c r="AA67">
        <v>10</v>
      </c>
      <c r="AB67" t="s">
        <v>978</v>
      </c>
      <c r="AC67" t="s">
        <v>978</v>
      </c>
      <c r="AD67" t="s">
        <v>978</v>
      </c>
      <c r="AE67">
        <v>1</v>
      </c>
      <c r="AF67" t="s">
        <v>978</v>
      </c>
      <c r="AG67" t="s">
        <v>350</v>
      </c>
      <c r="AH67" t="s">
        <v>978</v>
      </c>
    </row>
    <row r="68" spans="1:34" x14ac:dyDescent="0.25">
      <c r="A68" s="560">
        <v>12.159000000000001</v>
      </c>
      <c r="B68" t="s">
        <v>624</v>
      </c>
      <c r="C68" t="s">
        <v>357</v>
      </c>
      <c r="D68" t="s">
        <v>519</v>
      </c>
      <c r="E68" t="s">
        <v>978</v>
      </c>
      <c r="F68" t="s">
        <v>978</v>
      </c>
      <c r="G68" t="s">
        <v>259</v>
      </c>
      <c r="H68" t="s">
        <v>993</v>
      </c>
      <c r="I68" t="s">
        <v>41</v>
      </c>
      <c r="J68" t="s">
        <v>978</v>
      </c>
      <c r="K68">
        <v>1</v>
      </c>
      <c r="L68">
        <v>5</v>
      </c>
      <c r="M68" t="s">
        <v>44</v>
      </c>
      <c r="N68">
        <v>1</v>
      </c>
      <c r="O68">
        <v>5</v>
      </c>
      <c r="P68">
        <v>1</v>
      </c>
      <c r="Q68" t="s">
        <v>43</v>
      </c>
      <c r="R68">
        <v>5</v>
      </c>
      <c r="S68">
        <v>5</v>
      </c>
      <c r="T68">
        <v>5</v>
      </c>
      <c r="U68" t="s">
        <v>978</v>
      </c>
      <c r="V68" t="s">
        <v>978</v>
      </c>
      <c r="W68" t="s">
        <v>978</v>
      </c>
      <c r="X68">
        <v>1</v>
      </c>
      <c r="Y68" t="s">
        <v>978</v>
      </c>
      <c r="Z68">
        <v>5</v>
      </c>
      <c r="AA68">
        <v>5</v>
      </c>
      <c r="AB68" t="s">
        <v>978</v>
      </c>
      <c r="AC68" t="s">
        <v>978</v>
      </c>
      <c r="AD68" t="s">
        <v>978</v>
      </c>
      <c r="AE68">
        <v>1</v>
      </c>
      <c r="AF68" t="s">
        <v>978</v>
      </c>
      <c r="AG68" t="s">
        <v>363</v>
      </c>
      <c r="AH68" t="s">
        <v>978</v>
      </c>
    </row>
    <row r="69" spans="1:34" x14ac:dyDescent="0.25">
      <c r="A69" s="560">
        <v>12.16</v>
      </c>
      <c r="B69" t="s">
        <v>625</v>
      </c>
      <c r="C69" t="s">
        <v>357</v>
      </c>
      <c r="D69" t="s">
        <v>519</v>
      </c>
      <c r="E69" t="s">
        <v>978</v>
      </c>
      <c r="F69" t="s">
        <v>978</v>
      </c>
      <c r="G69" t="s">
        <v>280</v>
      </c>
      <c r="H69" t="s">
        <v>386</v>
      </c>
      <c r="I69" t="s">
        <v>41</v>
      </c>
      <c r="J69" t="s">
        <v>978</v>
      </c>
      <c r="K69">
        <v>1</v>
      </c>
      <c r="L69">
        <v>1</v>
      </c>
      <c r="M69" t="s">
        <v>44</v>
      </c>
      <c r="N69">
        <v>1</v>
      </c>
      <c r="O69">
        <v>1</v>
      </c>
      <c r="P69">
        <v>1</v>
      </c>
      <c r="Q69" t="s">
        <v>32</v>
      </c>
      <c r="R69">
        <v>1</v>
      </c>
      <c r="S69">
        <v>1</v>
      </c>
      <c r="T69">
        <v>1</v>
      </c>
      <c r="U69" t="s">
        <v>978</v>
      </c>
      <c r="V69" t="s">
        <v>978</v>
      </c>
      <c r="W69" t="s">
        <v>978</v>
      </c>
      <c r="X69">
        <v>1</v>
      </c>
      <c r="Y69" t="s">
        <v>978</v>
      </c>
      <c r="Z69">
        <v>1</v>
      </c>
      <c r="AA69">
        <v>1</v>
      </c>
      <c r="AB69" t="s">
        <v>978</v>
      </c>
      <c r="AC69" t="s">
        <v>978</v>
      </c>
      <c r="AD69" t="s">
        <v>978</v>
      </c>
      <c r="AE69">
        <v>1</v>
      </c>
      <c r="AF69" t="s">
        <v>978</v>
      </c>
      <c r="AG69" t="s">
        <v>286</v>
      </c>
      <c r="AH69" t="s">
        <v>978</v>
      </c>
    </row>
    <row r="70" spans="1:34" hidden="1" x14ac:dyDescent="0.25">
      <c r="A70">
        <v>12.162000000000001</v>
      </c>
      <c r="B70" t="s">
        <v>626</v>
      </c>
      <c r="C70" t="s">
        <v>357</v>
      </c>
      <c r="D70" t="s">
        <v>519</v>
      </c>
      <c r="E70" t="s">
        <v>978</v>
      </c>
      <c r="F70" t="s">
        <v>978</v>
      </c>
      <c r="G70" t="s">
        <v>259</v>
      </c>
      <c r="H70" t="s">
        <v>994</v>
      </c>
      <c r="I70" t="s">
        <v>41</v>
      </c>
      <c r="J70" t="s">
        <v>387</v>
      </c>
      <c r="K70">
        <v>1</v>
      </c>
      <c r="L70">
        <v>14</v>
      </c>
      <c r="M70" t="s">
        <v>39</v>
      </c>
      <c r="N70">
        <v>1</v>
      </c>
      <c r="O70">
        <v>14</v>
      </c>
      <c r="P70">
        <v>1</v>
      </c>
      <c r="Q70" t="s">
        <v>43</v>
      </c>
      <c r="R70">
        <v>14</v>
      </c>
      <c r="S70">
        <v>14</v>
      </c>
      <c r="T70">
        <v>11</v>
      </c>
      <c r="U70" t="s">
        <v>978</v>
      </c>
      <c r="V70">
        <v>3</v>
      </c>
      <c r="W70" t="s">
        <v>978</v>
      </c>
      <c r="X70">
        <v>0.7857142857142857</v>
      </c>
      <c r="Y70" t="s">
        <v>388</v>
      </c>
      <c r="Z70">
        <v>3</v>
      </c>
      <c r="AA70">
        <v>3</v>
      </c>
      <c r="AB70" t="s">
        <v>978</v>
      </c>
      <c r="AC70" t="s">
        <v>978</v>
      </c>
      <c r="AD70" t="s">
        <v>978</v>
      </c>
      <c r="AE70">
        <v>0.2142857142857143</v>
      </c>
      <c r="AF70" t="s">
        <v>978</v>
      </c>
      <c r="AG70" t="s">
        <v>309</v>
      </c>
      <c r="AH70" t="s">
        <v>978</v>
      </c>
    </row>
    <row r="71" spans="1:34" ht="15" customHeight="1" x14ac:dyDescent="0.25">
      <c r="A71" s="560">
        <v>12.163</v>
      </c>
      <c r="B71" t="s">
        <v>627</v>
      </c>
      <c r="C71" t="s">
        <v>313</v>
      </c>
      <c r="D71" t="s">
        <v>520</v>
      </c>
      <c r="E71" t="s">
        <v>978</v>
      </c>
      <c r="F71" t="s">
        <v>978</v>
      </c>
      <c r="G71" t="s">
        <v>280</v>
      </c>
      <c r="H71" t="s">
        <v>962</v>
      </c>
      <c r="I71" t="s">
        <v>41</v>
      </c>
      <c r="J71" t="s">
        <v>978</v>
      </c>
      <c r="K71">
        <v>1</v>
      </c>
      <c r="L71">
        <v>2</v>
      </c>
      <c r="M71" t="s">
        <v>44</v>
      </c>
      <c r="N71">
        <v>1</v>
      </c>
      <c r="O71">
        <v>2</v>
      </c>
      <c r="P71">
        <v>1</v>
      </c>
      <c r="Q71" t="s">
        <v>32</v>
      </c>
      <c r="R71">
        <v>2</v>
      </c>
      <c r="S71">
        <v>2</v>
      </c>
      <c r="T71">
        <v>1</v>
      </c>
      <c r="U71" t="s">
        <v>978</v>
      </c>
      <c r="V71">
        <v>1</v>
      </c>
      <c r="W71" t="s">
        <v>978</v>
      </c>
      <c r="X71">
        <v>0.5</v>
      </c>
      <c r="Y71" t="s">
        <v>389</v>
      </c>
      <c r="Z71">
        <v>0</v>
      </c>
      <c r="AA71" t="s">
        <v>978</v>
      </c>
      <c r="AB71" t="s">
        <v>978</v>
      </c>
      <c r="AC71" t="s">
        <v>978</v>
      </c>
      <c r="AD71" t="s">
        <v>978</v>
      </c>
      <c r="AE71">
        <v>0</v>
      </c>
      <c r="AF71" t="s">
        <v>978</v>
      </c>
      <c r="AG71" t="s">
        <v>286</v>
      </c>
      <c r="AH71" t="s">
        <v>978</v>
      </c>
    </row>
    <row r="72" spans="1:34" x14ac:dyDescent="0.25">
      <c r="A72" s="560">
        <v>12.164</v>
      </c>
      <c r="B72" t="s">
        <v>628</v>
      </c>
      <c r="C72" t="s">
        <v>316</v>
      </c>
      <c r="D72" t="s">
        <v>518</v>
      </c>
      <c r="E72" t="s">
        <v>978</v>
      </c>
      <c r="F72" t="s">
        <v>978</v>
      </c>
      <c r="G72" t="s">
        <v>259</v>
      </c>
      <c r="H72" t="s">
        <v>963</v>
      </c>
      <c r="I72" t="s">
        <v>41</v>
      </c>
      <c r="J72" t="s">
        <v>978</v>
      </c>
      <c r="K72">
        <v>1</v>
      </c>
      <c r="L72">
        <v>54</v>
      </c>
      <c r="M72" t="s">
        <v>44</v>
      </c>
      <c r="N72">
        <v>1</v>
      </c>
      <c r="O72">
        <v>54</v>
      </c>
      <c r="P72">
        <v>1</v>
      </c>
      <c r="Q72" t="s">
        <v>32</v>
      </c>
      <c r="R72">
        <v>4</v>
      </c>
      <c r="S72">
        <v>4</v>
      </c>
      <c r="T72">
        <v>4</v>
      </c>
      <c r="U72" t="s">
        <v>978</v>
      </c>
      <c r="V72" t="s">
        <v>978</v>
      </c>
      <c r="W72" t="s">
        <v>978</v>
      </c>
      <c r="X72">
        <v>1</v>
      </c>
      <c r="Y72" t="s">
        <v>978</v>
      </c>
      <c r="Z72">
        <v>32</v>
      </c>
      <c r="AA72">
        <v>32</v>
      </c>
      <c r="AB72" t="s">
        <v>978</v>
      </c>
      <c r="AC72" t="s">
        <v>978</v>
      </c>
      <c r="AD72" t="s">
        <v>978</v>
      </c>
      <c r="AE72">
        <v>0.59259259259259256</v>
      </c>
      <c r="AF72" t="s">
        <v>978</v>
      </c>
      <c r="AG72" t="s">
        <v>341</v>
      </c>
      <c r="AH72" t="s">
        <v>978</v>
      </c>
    </row>
    <row r="73" spans="1:34" x14ac:dyDescent="0.25">
      <c r="A73" s="560">
        <v>12.164999999999999</v>
      </c>
      <c r="B73" t="s">
        <v>629</v>
      </c>
      <c r="C73" t="s">
        <v>310</v>
      </c>
      <c r="D73" t="s">
        <v>518</v>
      </c>
      <c r="E73" t="s">
        <v>978</v>
      </c>
      <c r="F73" t="s">
        <v>978</v>
      </c>
      <c r="G73" t="s">
        <v>259</v>
      </c>
      <c r="H73" t="s">
        <v>390</v>
      </c>
      <c r="I73" t="s">
        <v>41</v>
      </c>
      <c r="J73" t="s">
        <v>978</v>
      </c>
      <c r="K73">
        <v>1</v>
      </c>
      <c r="L73">
        <v>1</v>
      </c>
      <c r="M73" t="s">
        <v>44</v>
      </c>
      <c r="N73">
        <v>1</v>
      </c>
      <c r="O73">
        <v>1</v>
      </c>
      <c r="P73">
        <v>1</v>
      </c>
      <c r="Q73" t="s">
        <v>43</v>
      </c>
      <c r="R73">
        <v>1</v>
      </c>
      <c r="S73">
        <v>1</v>
      </c>
      <c r="T73">
        <v>1</v>
      </c>
      <c r="U73" t="s">
        <v>978</v>
      </c>
      <c r="V73" t="s">
        <v>978</v>
      </c>
      <c r="W73" t="s">
        <v>978</v>
      </c>
      <c r="X73">
        <v>1</v>
      </c>
      <c r="Y73" t="s">
        <v>391</v>
      </c>
      <c r="Z73">
        <v>0</v>
      </c>
      <c r="AA73" t="s">
        <v>978</v>
      </c>
      <c r="AB73" t="s">
        <v>978</v>
      </c>
      <c r="AC73" t="s">
        <v>978</v>
      </c>
      <c r="AD73" t="s">
        <v>978</v>
      </c>
      <c r="AE73">
        <v>0</v>
      </c>
      <c r="AF73" t="s">
        <v>978</v>
      </c>
      <c r="AG73" t="s">
        <v>341</v>
      </c>
      <c r="AH73" t="s">
        <v>978</v>
      </c>
    </row>
    <row r="74" spans="1:34" x14ac:dyDescent="0.25">
      <c r="A74" s="560">
        <v>12.167</v>
      </c>
      <c r="B74" t="s">
        <v>630</v>
      </c>
      <c r="C74" t="s">
        <v>320</v>
      </c>
      <c r="D74" t="s">
        <v>518</v>
      </c>
      <c r="E74" t="s">
        <v>978</v>
      </c>
      <c r="F74" t="s">
        <v>978</v>
      </c>
      <c r="G74" t="s">
        <v>259</v>
      </c>
      <c r="H74" t="s">
        <v>936</v>
      </c>
      <c r="I74" t="s">
        <v>41</v>
      </c>
      <c r="J74" t="s">
        <v>978</v>
      </c>
      <c r="K74">
        <v>1</v>
      </c>
      <c r="L74">
        <v>2</v>
      </c>
      <c r="M74" t="s">
        <v>44</v>
      </c>
      <c r="N74">
        <v>1</v>
      </c>
      <c r="O74">
        <v>2</v>
      </c>
      <c r="P74">
        <v>1</v>
      </c>
      <c r="Q74" t="s">
        <v>32</v>
      </c>
      <c r="R74">
        <v>1</v>
      </c>
      <c r="S74">
        <v>0</v>
      </c>
      <c r="T74" t="s">
        <v>978</v>
      </c>
      <c r="U74" t="s">
        <v>978</v>
      </c>
      <c r="V74" t="s">
        <v>978</v>
      </c>
      <c r="W74" t="s">
        <v>978</v>
      </c>
      <c r="X74">
        <v>0</v>
      </c>
      <c r="Y74" t="s">
        <v>978</v>
      </c>
      <c r="Z74">
        <v>0</v>
      </c>
      <c r="AA74" t="s">
        <v>978</v>
      </c>
      <c r="AB74" t="s">
        <v>978</v>
      </c>
      <c r="AC74" t="s">
        <v>978</v>
      </c>
      <c r="AD74" t="s">
        <v>978</v>
      </c>
      <c r="AE74">
        <v>0</v>
      </c>
      <c r="AF74" t="s">
        <v>978</v>
      </c>
      <c r="AG74" t="s">
        <v>309</v>
      </c>
      <c r="AH74" t="s">
        <v>978</v>
      </c>
    </row>
    <row r="75" spans="1:34" x14ac:dyDescent="0.25">
      <c r="A75" s="560">
        <v>12.175000000000001</v>
      </c>
      <c r="B75" t="s">
        <v>633</v>
      </c>
      <c r="C75" t="s">
        <v>318</v>
      </c>
      <c r="D75" t="s">
        <v>514</v>
      </c>
      <c r="E75" t="s">
        <v>978</v>
      </c>
      <c r="F75" t="s">
        <v>978</v>
      </c>
      <c r="G75" t="s">
        <v>259</v>
      </c>
      <c r="H75" t="s">
        <v>964</v>
      </c>
      <c r="I75" t="s">
        <v>41</v>
      </c>
      <c r="J75" t="s">
        <v>978</v>
      </c>
      <c r="K75">
        <v>1</v>
      </c>
      <c r="L75">
        <v>1</v>
      </c>
      <c r="M75" t="s">
        <v>44</v>
      </c>
      <c r="N75">
        <v>1</v>
      </c>
      <c r="O75">
        <v>1</v>
      </c>
      <c r="P75">
        <v>1</v>
      </c>
      <c r="Q75" t="s">
        <v>32</v>
      </c>
      <c r="R75">
        <v>1</v>
      </c>
      <c r="S75">
        <v>1</v>
      </c>
      <c r="T75" t="s">
        <v>978</v>
      </c>
      <c r="U75" t="s">
        <v>978</v>
      </c>
      <c r="V75">
        <v>1</v>
      </c>
      <c r="W75" t="s">
        <v>978</v>
      </c>
      <c r="X75">
        <v>0</v>
      </c>
      <c r="Y75" t="s">
        <v>978</v>
      </c>
      <c r="Z75">
        <v>0</v>
      </c>
      <c r="AA75" t="s">
        <v>978</v>
      </c>
      <c r="AB75" t="s">
        <v>978</v>
      </c>
      <c r="AC75" t="s">
        <v>978</v>
      </c>
      <c r="AD75" t="s">
        <v>978</v>
      </c>
      <c r="AE75">
        <v>0</v>
      </c>
      <c r="AF75" t="s">
        <v>978</v>
      </c>
      <c r="AG75" t="s">
        <v>309</v>
      </c>
      <c r="AH75" t="s">
        <v>978</v>
      </c>
    </row>
    <row r="76" spans="1:34" x14ac:dyDescent="0.25">
      <c r="A76" s="560">
        <v>12.183999999999999</v>
      </c>
      <c r="B76" t="s">
        <v>634</v>
      </c>
      <c r="C76" t="s">
        <v>334</v>
      </c>
      <c r="D76" t="s">
        <v>513</v>
      </c>
      <c r="E76" t="s">
        <v>978</v>
      </c>
      <c r="F76" t="s">
        <v>978</v>
      </c>
      <c r="G76" t="s">
        <v>259</v>
      </c>
      <c r="H76" t="s">
        <v>393</v>
      </c>
      <c r="I76" t="s">
        <v>35</v>
      </c>
      <c r="J76" t="s">
        <v>978</v>
      </c>
      <c r="K76">
        <v>1</v>
      </c>
      <c r="L76">
        <v>8</v>
      </c>
      <c r="M76" t="s">
        <v>44</v>
      </c>
      <c r="N76">
        <v>1</v>
      </c>
      <c r="O76">
        <v>8</v>
      </c>
      <c r="P76">
        <v>1</v>
      </c>
      <c r="Q76" t="s">
        <v>43</v>
      </c>
      <c r="R76">
        <v>8</v>
      </c>
      <c r="S76">
        <v>8</v>
      </c>
      <c r="T76">
        <v>8</v>
      </c>
      <c r="U76" t="s">
        <v>978</v>
      </c>
      <c r="V76" t="s">
        <v>978</v>
      </c>
      <c r="W76" t="s">
        <v>978</v>
      </c>
      <c r="X76">
        <v>1</v>
      </c>
      <c r="Y76" t="s">
        <v>978</v>
      </c>
      <c r="Z76">
        <v>0</v>
      </c>
      <c r="AA76" t="s">
        <v>978</v>
      </c>
      <c r="AB76" t="s">
        <v>978</v>
      </c>
      <c r="AC76" t="s">
        <v>978</v>
      </c>
      <c r="AD76" t="s">
        <v>978</v>
      </c>
      <c r="AE76">
        <v>0</v>
      </c>
      <c r="AF76" t="s">
        <v>978</v>
      </c>
      <c r="AG76" t="s">
        <v>341</v>
      </c>
      <c r="AH76" t="s">
        <v>978</v>
      </c>
    </row>
    <row r="77" spans="1:34" x14ac:dyDescent="0.25">
      <c r="A77" s="560">
        <v>12.185</v>
      </c>
      <c r="B77" t="s">
        <v>635</v>
      </c>
      <c r="C77" t="s">
        <v>334</v>
      </c>
      <c r="D77" t="s">
        <v>513</v>
      </c>
      <c r="E77" t="s">
        <v>978</v>
      </c>
      <c r="F77" t="s">
        <v>978</v>
      </c>
      <c r="G77" t="s">
        <v>259</v>
      </c>
      <c r="H77" t="s">
        <v>995</v>
      </c>
      <c r="I77" t="s">
        <v>35</v>
      </c>
      <c r="J77" t="s">
        <v>978</v>
      </c>
      <c r="K77">
        <v>1</v>
      </c>
      <c r="L77">
        <v>2</v>
      </c>
      <c r="M77" t="s">
        <v>44</v>
      </c>
      <c r="N77">
        <v>1</v>
      </c>
      <c r="O77">
        <v>2</v>
      </c>
      <c r="P77">
        <v>1</v>
      </c>
      <c r="Q77" t="s">
        <v>32</v>
      </c>
      <c r="R77">
        <v>2</v>
      </c>
      <c r="S77">
        <v>2</v>
      </c>
      <c r="T77">
        <v>2</v>
      </c>
      <c r="U77" t="s">
        <v>978</v>
      </c>
      <c r="V77" t="s">
        <v>978</v>
      </c>
      <c r="W77" t="s">
        <v>978</v>
      </c>
      <c r="X77">
        <v>1</v>
      </c>
      <c r="Y77" t="s">
        <v>978</v>
      </c>
      <c r="Z77">
        <v>0</v>
      </c>
      <c r="AA77" t="s">
        <v>978</v>
      </c>
      <c r="AB77" t="s">
        <v>978</v>
      </c>
      <c r="AC77" t="s">
        <v>978</v>
      </c>
      <c r="AD77" t="s">
        <v>978</v>
      </c>
      <c r="AE77">
        <v>0</v>
      </c>
      <c r="AF77" t="s">
        <v>978</v>
      </c>
      <c r="AG77" t="s">
        <v>317</v>
      </c>
      <c r="AH77" t="s">
        <v>978</v>
      </c>
    </row>
    <row r="78" spans="1:34" x14ac:dyDescent="0.25">
      <c r="A78" s="560">
        <v>12.186</v>
      </c>
      <c r="B78" t="s">
        <v>636</v>
      </c>
      <c r="C78" t="s">
        <v>357</v>
      </c>
      <c r="D78" t="s">
        <v>519</v>
      </c>
      <c r="E78" t="s">
        <v>978</v>
      </c>
      <c r="F78" t="s">
        <v>978</v>
      </c>
      <c r="G78" t="s">
        <v>259</v>
      </c>
      <c r="H78" t="s">
        <v>996</v>
      </c>
      <c r="I78" t="s">
        <v>35</v>
      </c>
      <c r="J78" t="s">
        <v>978</v>
      </c>
      <c r="K78">
        <v>1</v>
      </c>
      <c r="L78">
        <v>15</v>
      </c>
      <c r="M78" t="s">
        <v>44</v>
      </c>
      <c r="N78">
        <v>1</v>
      </c>
      <c r="O78">
        <v>15</v>
      </c>
      <c r="P78">
        <v>1</v>
      </c>
      <c r="Q78" t="s">
        <v>32</v>
      </c>
      <c r="R78">
        <v>15</v>
      </c>
      <c r="S78">
        <v>15</v>
      </c>
      <c r="T78">
        <v>15</v>
      </c>
      <c r="U78" t="s">
        <v>978</v>
      </c>
      <c r="V78" t="s">
        <v>978</v>
      </c>
      <c r="W78" t="s">
        <v>978</v>
      </c>
      <c r="X78">
        <v>1</v>
      </c>
      <c r="Y78" t="s">
        <v>394</v>
      </c>
      <c r="Z78">
        <v>15</v>
      </c>
      <c r="AA78">
        <v>15</v>
      </c>
      <c r="AB78" t="s">
        <v>978</v>
      </c>
      <c r="AC78" t="s">
        <v>978</v>
      </c>
      <c r="AD78" t="s">
        <v>978</v>
      </c>
      <c r="AE78">
        <v>1</v>
      </c>
      <c r="AF78" t="s">
        <v>978</v>
      </c>
      <c r="AG78" t="s">
        <v>317</v>
      </c>
      <c r="AH78" t="s">
        <v>978</v>
      </c>
    </row>
    <row r="79" spans="1:34" x14ac:dyDescent="0.25">
      <c r="A79" s="560">
        <v>12.188000000000001</v>
      </c>
      <c r="B79" t="s">
        <v>637</v>
      </c>
      <c r="C79" t="s">
        <v>357</v>
      </c>
      <c r="D79" t="s">
        <v>519</v>
      </c>
      <c r="E79" t="s">
        <v>978</v>
      </c>
      <c r="F79" t="s">
        <v>978</v>
      </c>
      <c r="G79" t="s">
        <v>259</v>
      </c>
      <c r="H79" t="s">
        <v>965</v>
      </c>
      <c r="I79" t="s">
        <v>41</v>
      </c>
      <c r="J79" t="s">
        <v>978</v>
      </c>
      <c r="K79">
        <v>1</v>
      </c>
      <c r="L79">
        <v>3</v>
      </c>
      <c r="M79" t="s">
        <v>44</v>
      </c>
      <c r="N79">
        <v>1</v>
      </c>
      <c r="O79">
        <v>3</v>
      </c>
      <c r="P79">
        <v>1</v>
      </c>
      <c r="Q79" t="s">
        <v>32</v>
      </c>
      <c r="R79">
        <v>3</v>
      </c>
      <c r="S79">
        <v>3</v>
      </c>
      <c r="T79">
        <v>3</v>
      </c>
      <c r="U79" t="s">
        <v>978</v>
      </c>
      <c r="V79" t="s">
        <v>978</v>
      </c>
      <c r="W79" t="s">
        <v>978</v>
      </c>
      <c r="X79">
        <v>1</v>
      </c>
      <c r="Y79" t="s">
        <v>978</v>
      </c>
      <c r="Z79">
        <v>3</v>
      </c>
      <c r="AA79">
        <v>3</v>
      </c>
      <c r="AB79" t="s">
        <v>978</v>
      </c>
      <c r="AC79" t="s">
        <v>978</v>
      </c>
      <c r="AD79" t="s">
        <v>978</v>
      </c>
      <c r="AE79">
        <v>1</v>
      </c>
      <c r="AF79" t="s">
        <v>978</v>
      </c>
      <c r="AG79" t="s">
        <v>312</v>
      </c>
      <c r="AH79" t="s">
        <v>978</v>
      </c>
    </row>
    <row r="80" spans="1:34" x14ac:dyDescent="0.25">
      <c r="A80" s="560">
        <v>12.191000000000001</v>
      </c>
      <c r="B80" t="s">
        <v>638</v>
      </c>
      <c r="C80" t="s">
        <v>357</v>
      </c>
      <c r="D80" t="s">
        <v>519</v>
      </c>
      <c r="E80" t="s">
        <v>978</v>
      </c>
      <c r="F80" t="s">
        <v>978</v>
      </c>
      <c r="G80" t="s">
        <v>259</v>
      </c>
      <c r="H80" t="s">
        <v>997</v>
      </c>
      <c r="I80" t="s">
        <v>41</v>
      </c>
      <c r="J80" t="s">
        <v>395</v>
      </c>
      <c r="K80">
        <v>1</v>
      </c>
      <c r="L80">
        <v>5</v>
      </c>
      <c r="M80" t="s">
        <v>44</v>
      </c>
      <c r="N80">
        <v>1</v>
      </c>
      <c r="O80">
        <v>5</v>
      </c>
      <c r="P80">
        <v>1</v>
      </c>
      <c r="Q80" t="s">
        <v>32</v>
      </c>
      <c r="R80">
        <v>5</v>
      </c>
      <c r="S80">
        <v>5</v>
      </c>
      <c r="T80">
        <v>5</v>
      </c>
      <c r="U80" t="s">
        <v>978</v>
      </c>
      <c r="V80" t="s">
        <v>978</v>
      </c>
      <c r="W80" t="s">
        <v>978</v>
      </c>
      <c r="X80">
        <v>1</v>
      </c>
      <c r="Y80" t="s">
        <v>978</v>
      </c>
      <c r="Z80">
        <v>5</v>
      </c>
      <c r="AA80">
        <v>5</v>
      </c>
      <c r="AB80" t="s">
        <v>978</v>
      </c>
      <c r="AC80" t="s">
        <v>978</v>
      </c>
      <c r="AD80" t="s">
        <v>978</v>
      </c>
      <c r="AE80">
        <v>1</v>
      </c>
      <c r="AF80" t="s">
        <v>978</v>
      </c>
      <c r="AG80" t="s">
        <v>309</v>
      </c>
      <c r="AH80" t="s">
        <v>978</v>
      </c>
    </row>
    <row r="81" spans="1:34" hidden="1" x14ac:dyDescent="0.25">
      <c r="A81">
        <v>12.193</v>
      </c>
      <c r="B81" t="s">
        <v>640</v>
      </c>
      <c r="C81" t="s">
        <v>396</v>
      </c>
      <c r="D81" t="s">
        <v>513</v>
      </c>
      <c r="E81" t="s">
        <v>978</v>
      </c>
      <c r="F81" t="s">
        <v>978</v>
      </c>
      <c r="G81" t="s">
        <v>259</v>
      </c>
      <c r="H81" t="s">
        <v>397</v>
      </c>
      <c r="I81" t="s">
        <v>35</v>
      </c>
      <c r="J81" t="s">
        <v>978</v>
      </c>
      <c r="K81">
        <v>1</v>
      </c>
      <c r="L81">
        <v>1</v>
      </c>
      <c r="M81" t="s">
        <v>44</v>
      </c>
      <c r="N81">
        <v>1</v>
      </c>
      <c r="O81">
        <v>1</v>
      </c>
      <c r="P81">
        <v>1</v>
      </c>
      <c r="Q81" t="s">
        <v>43</v>
      </c>
      <c r="R81">
        <v>1</v>
      </c>
      <c r="S81">
        <v>1</v>
      </c>
      <c r="T81">
        <v>1</v>
      </c>
      <c r="U81" t="s">
        <v>978</v>
      </c>
      <c r="V81" t="s">
        <v>978</v>
      </c>
      <c r="W81" t="s">
        <v>978</v>
      </c>
      <c r="X81">
        <v>1</v>
      </c>
      <c r="Y81" t="s">
        <v>978</v>
      </c>
      <c r="Z81">
        <v>0</v>
      </c>
      <c r="AA81" t="s">
        <v>978</v>
      </c>
      <c r="AB81" t="s">
        <v>978</v>
      </c>
      <c r="AC81" t="s">
        <v>978</v>
      </c>
      <c r="AD81" t="s">
        <v>978</v>
      </c>
      <c r="AE81">
        <v>0</v>
      </c>
      <c r="AF81" t="s">
        <v>978</v>
      </c>
      <c r="AG81" t="s">
        <v>309</v>
      </c>
      <c r="AH81" t="s">
        <v>978</v>
      </c>
    </row>
    <row r="82" spans="1:34" x14ac:dyDescent="0.25">
      <c r="A82" s="560">
        <v>12.196999999999999</v>
      </c>
      <c r="B82" t="s">
        <v>641</v>
      </c>
      <c r="C82" t="s">
        <v>313</v>
      </c>
      <c r="D82" t="s">
        <v>520</v>
      </c>
      <c r="E82" t="s">
        <v>978</v>
      </c>
      <c r="F82" t="s">
        <v>978</v>
      </c>
      <c r="G82" t="s">
        <v>280</v>
      </c>
      <c r="H82" t="s">
        <v>398</v>
      </c>
      <c r="I82" t="s">
        <v>41</v>
      </c>
      <c r="J82" t="s">
        <v>978</v>
      </c>
      <c r="K82">
        <v>1</v>
      </c>
      <c r="L82">
        <v>1</v>
      </c>
      <c r="M82" t="s">
        <v>44</v>
      </c>
      <c r="N82">
        <v>1</v>
      </c>
      <c r="O82">
        <v>1</v>
      </c>
      <c r="P82">
        <v>1</v>
      </c>
      <c r="Q82" t="s">
        <v>32</v>
      </c>
      <c r="R82">
        <v>1</v>
      </c>
      <c r="S82">
        <v>1</v>
      </c>
      <c r="T82">
        <v>1</v>
      </c>
      <c r="U82" t="s">
        <v>978</v>
      </c>
      <c r="V82" t="s">
        <v>978</v>
      </c>
      <c r="W82" t="s">
        <v>978</v>
      </c>
      <c r="X82">
        <v>1</v>
      </c>
      <c r="Y82" t="s">
        <v>978</v>
      </c>
      <c r="Z82">
        <v>0</v>
      </c>
      <c r="AA82" t="s">
        <v>978</v>
      </c>
      <c r="AB82" t="s">
        <v>978</v>
      </c>
      <c r="AC82" t="s">
        <v>978</v>
      </c>
      <c r="AD82" t="s">
        <v>978</v>
      </c>
      <c r="AE82">
        <v>0</v>
      </c>
      <c r="AF82" t="s">
        <v>978</v>
      </c>
      <c r="AG82" t="s">
        <v>350</v>
      </c>
      <c r="AH82" t="s">
        <v>978</v>
      </c>
    </row>
    <row r="83" spans="1:34" x14ac:dyDescent="0.25">
      <c r="A83" s="560">
        <v>12.201000000000001</v>
      </c>
      <c r="B83" t="s">
        <v>642</v>
      </c>
      <c r="C83" t="s">
        <v>313</v>
      </c>
      <c r="D83" t="s">
        <v>520</v>
      </c>
      <c r="E83" t="s">
        <v>978</v>
      </c>
      <c r="F83" t="s">
        <v>978</v>
      </c>
      <c r="G83" t="s">
        <v>259</v>
      </c>
      <c r="H83" t="s">
        <v>399</v>
      </c>
      <c r="I83" t="s">
        <v>41</v>
      </c>
      <c r="J83" t="s">
        <v>978</v>
      </c>
      <c r="K83">
        <v>1</v>
      </c>
      <c r="L83">
        <v>2</v>
      </c>
      <c r="M83" t="s">
        <v>44</v>
      </c>
      <c r="N83">
        <v>1</v>
      </c>
      <c r="O83">
        <v>2</v>
      </c>
      <c r="P83">
        <v>1</v>
      </c>
      <c r="Q83" t="s">
        <v>32</v>
      </c>
      <c r="R83">
        <v>2</v>
      </c>
      <c r="S83">
        <v>2</v>
      </c>
      <c r="T83">
        <v>2</v>
      </c>
      <c r="U83" t="s">
        <v>978</v>
      </c>
      <c r="V83" t="s">
        <v>978</v>
      </c>
      <c r="W83" t="s">
        <v>978</v>
      </c>
      <c r="X83">
        <v>1</v>
      </c>
      <c r="Y83" t="s">
        <v>978</v>
      </c>
      <c r="Z83">
        <v>0</v>
      </c>
      <c r="AA83" t="s">
        <v>978</v>
      </c>
      <c r="AB83" t="s">
        <v>978</v>
      </c>
      <c r="AC83" t="s">
        <v>978</v>
      </c>
      <c r="AD83" t="s">
        <v>978</v>
      </c>
      <c r="AE83">
        <v>0</v>
      </c>
      <c r="AF83" t="s">
        <v>978</v>
      </c>
      <c r="AG83" t="s">
        <v>309</v>
      </c>
      <c r="AH83" t="s">
        <v>978</v>
      </c>
    </row>
    <row r="84" spans="1:34" x14ac:dyDescent="0.25">
      <c r="A84" s="560">
        <v>12.202</v>
      </c>
      <c r="B84" t="s">
        <v>643</v>
      </c>
      <c r="C84" t="s">
        <v>313</v>
      </c>
      <c r="D84" t="s">
        <v>520</v>
      </c>
      <c r="E84" t="s">
        <v>978</v>
      </c>
      <c r="F84" t="s">
        <v>978</v>
      </c>
      <c r="G84" t="s">
        <v>259</v>
      </c>
      <c r="H84" t="s">
        <v>400</v>
      </c>
      <c r="I84" t="s">
        <v>41</v>
      </c>
      <c r="J84" t="s">
        <v>978</v>
      </c>
      <c r="K84">
        <v>1</v>
      </c>
      <c r="L84">
        <v>2</v>
      </c>
      <c r="M84" t="s">
        <v>44</v>
      </c>
      <c r="N84">
        <v>1</v>
      </c>
      <c r="O84">
        <v>2</v>
      </c>
      <c r="P84">
        <v>1</v>
      </c>
      <c r="Q84" t="s">
        <v>32</v>
      </c>
      <c r="R84">
        <v>2</v>
      </c>
      <c r="S84">
        <v>2</v>
      </c>
      <c r="T84">
        <v>2</v>
      </c>
      <c r="U84" t="s">
        <v>978</v>
      </c>
      <c r="V84" t="s">
        <v>978</v>
      </c>
      <c r="W84" t="s">
        <v>978</v>
      </c>
      <c r="X84">
        <v>1</v>
      </c>
      <c r="Y84" t="s">
        <v>373</v>
      </c>
      <c r="Z84">
        <v>0</v>
      </c>
      <c r="AA84" t="s">
        <v>978</v>
      </c>
      <c r="AB84" t="s">
        <v>978</v>
      </c>
      <c r="AC84" t="s">
        <v>978</v>
      </c>
      <c r="AD84" t="s">
        <v>978</v>
      </c>
      <c r="AE84">
        <v>0</v>
      </c>
      <c r="AF84" t="s">
        <v>978</v>
      </c>
      <c r="AG84" t="s">
        <v>312</v>
      </c>
      <c r="AH84" t="s">
        <v>978</v>
      </c>
    </row>
    <row r="85" spans="1:34" hidden="1" x14ac:dyDescent="0.25">
      <c r="A85">
        <v>12.208</v>
      </c>
      <c r="B85" t="s">
        <v>645</v>
      </c>
      <c r="C85" t="s">
        <v>357</v>
      </c>
      <c r="D85" t="s">
        <v>519</v>
      </c>
      <c r="E85" t="s">
        <v>978</v>
      </c>
      <c r="F85" t="s">
        <v>978</v>
      </c>
      <c r="G85" t="s">
        <v>280</v>
      </c>
      <c r="H85" t="s">
        <v>938</v>
      </c>
      <c r="I85" t="s">
        <v>35</v>
      </c>
      <c r="J85" t="s">
        <v>978</v>
      </c>
      <c r="K85">
        <v>1</v>
      </c>
      <c r="L85">
        <v>64</v>
      </c>
      <c r="M85" t="s">
        <v>44</v>
      </c>
      <c r="N85">
        <v>1</v>
      </c>
      <c r="O85">
        <v>64</v>
      </c>
      <c r="P85">
        <v>1</v>
      </c>
      <c r="Q85" t="s">
        <v>32</v>
      </c>
      <c r="R85">
        <v>64</v>
      </c>
      <c r="S85">
        <v>64</v>
      </c>
      <c r="T85">
        <v>64</v>
      </c>
      <c r="U85" t="s">
        <v>978</v>
      </c>
      <c r="V85" t="s">
        <v>978</v>
      </c>
      <c r="W85" t="s">
        <v>978</v>
      </c>
      <c r="X85">
        <v>1</v>
      </c>
      <c r="Y85" t="s">
        <v>402</v>
      </c>
      <c r="Z85">
        <v>0</v>
      </c>
      <c r="AA85" t="s">
        <v>978</v>
      </c>
      <c r="AB85" t="s">
        <v>978</v>
      </c>
      <c r="AC85" t="s">
        <v>978</v>
      </c>
      <c r="AD85" t="s">
        <v>978</v>
      </c>
      <c r="AE85">
        <v>0</v>
      </c>
      <c r="AF85" t="s">
        <v>978</v>
      </c>
      <c r="AG85" t="s">
        <v>350</v>
      </c>
      <c r="AH85" t="s">
        <v>978</v>
      </c>
    </row>
    <row r="86" spans="1:34" x14ac:dyDescent="0.25">
      <c r="A86" s="560">
        <v>12.209</v>
      </c>
      <c r="B86" t="s">
        <v>646</v>
      </c>
      <c r="C86" t="s">
        <v>403</v>
      </c>
      <c r="D86" t="s">
        <v>519</v>
      </c>
      <c r="E86" t="s">
        <v>978</v>
      </c>
      <c r="F86" t="s">
        <v>937</v>
      </c>
      <c r="G86" t="s">
        <v>259</v>
      </c>
      <c r="H86" t="s">
        <v>939</v>
      </c>
      <c r="I86" t="s">
        <v>41</v>
      </c>
      <c r="J86" t="s">
        <v>978</v>
      </c>
      <c r="K86">
        <v>1</v>
      </c>
      <c r="L86">
        <v>22</v>
      </c>
      <c r="M86" t="s">
        <v>44</v>
      </c>
      <c r="N86">
        <v>1</v>
      </c>
      <c r="O86">
        <v>22</v>
      </c>
      <c r="P86">
        <v>1</v>
      </c>
      <c r="Q86" t="s">
        <v>32</v>
      </c>
      <c r="R86">
        <v>22</v>
      </c>
      <c r="S86">
        <v>2</v>
      </c>
      <c r="T86">
        <v>2</v>
      </c>
      <c r="U86" t="s">
        <v>978</v>
      </c>
      <c r="V86" t="s">
        <v>978</v>
      </c>
      <c r="W86" t="s">
        <v>978</v>
      </c>
      <c r="X86">
        <v>9.0909090909090912E-2</v>
      </c>
      <c r="Y86" t="s">
        <v>978</v>
      </c>
      <c r="Z86">
        <v>4</v>
      </c>
      <c r="AA86">
        <v>4</v>
      </c>
      <c r="AB86" t="s">
        <v>978</v>
      </c>
      <c r="AC86" t="s">
        <v>978</v>
      </c>
      <c r="AD86" t="s">
        <v>978</v>
      </c>
      <c r="AE86">
        <v>0.1818181818181818</v>
      </c>
      <c r="AF86" t="s">
        <v>978</v>
      </c>
      <c r="AG86" t="s">
        <v>317</v>
      </c>
      <c r="AH86" t="s">
        <v>978</v>
      </c>
    </row>
    <row r="87" spans="1:34" x14ac:dyDescent="0.25">
      <c r="A87" s="560">
        <v>12.21</v>
      </c>
      <c r="B87" t="s">
        <v>647</v>
      </c>
      <c r="C87" t="s">
        <v>364</v>
      </c>
      <c r="D87" t="s">
        <v>513</v>
      </c>
      <c r="E87" t="s">
        <v>978</v>
      </c>
      <c r="F87" t="s">
        <v>978</v>
      </c>
      <c r="G87" t="s">
        <v>259</v>
      </c>
      <c r="H87" t="s">
        <v>404</v>
      </c>
      <c r="I87" t="s">
        <v>41</v>
      </c>
      <c r="J87" t="s">
        <v>978</v>
      </c>
      <c r="K87">
        <v>1</v>
      </c>
      <c r="L87">
        <v>12</v>
      </c>
      <c r="M87" t="s">
        <v>44</v>
      </c>
      <c r="N87">
        <v>1</v>
      </c>
      <c r="O87">
        <v>12</v>
      </c>
      <c r="P87">
        <v>1</v>
      </c>
      <c r="Q87" t="s">
        <v>43</v>
      </c>
      <c r="R87">
        <v>1</v>
      </c>
      <c r="S87">
        <v>0</v>
      </c>
      <c r="T87" t="s">
        <v>978</v>
      </c>
      <c r="U87" t="s">
        <v>978</v>
      </c>
      <c r="V87" t="s">
        <v>978</v>
      </c>
      <c r="W87" t="s">
        <v>978</v>
      </c>
      <c r="X87">
        <v>0</v>
      </c>
      <c r="Y87" t="s">
        <v>978</v>
      </c>
      <c r="Z87">
        <v>0</v>
      </c>
      <c r="AA87" t="s">
        <v>978</v>
      </c>
      <c r="AB87" t="s">
        <v>978</v>
      </c>
      <c r="AC87" t="s">
        <v>978</v>
      </c>
      <c r="AD87" t="s">
        <v>978</v>
      </c>
      <c r="AE87">
        <v>0</v>
      </c>
      <c r="AF87" t="s">
        <v>978</v>
      </c>
      <c r="AG87" t="s">
        <v>312</v>
      </c>
      <c r="AH87" t="s">
        <v>978</v>
      </c>
    </row>
    <row r="88" spans="1:34" x14ac:dyDescent="0.25">
      <c r="A88" s="560">
        <v>12.218999999999999</v>
      </c>
      <c r="B88" t="s">
        <v>652</v>
      </c>
      <c r="C88" t="s">
        <v>324</v>
      </c>
      <c r="D88" t="s">
        <v>516</v>
      </c>
      <c r="E88" t="s">
        <v>978</v>
      </c>
      <c r="F88" t="s">
        <v>978</v>
      </c>
      <c r="G88" t="s">
        <v>259</v>
      </c>
      <c r="H88" t="s">
        <v>407</v>
      </c>
      <c r="I88" t="s">
        <v>35</v>
      </c>
      <c r="J88" t="s">
        <v>978</v>
      </c>
      <c r="K88">
        <v>1</v>
      </c>
      <c r="L88">
        <v>1</v>
      </c>
      <c r="M88" t="s">
        <v>44</v>
      </c>
      <c r="N88">
        <v>1</v>
      </c>
      <c r="O88">
        <v>1</v>
      </c>
      <c r="P88">
        <v>1</v>
      </c>
      <c r="Q88" t="s">
        <v>32</v>
      </c>
      <c r="R88">
        <v>1</v>
      </c>
      <c r="S88">
        <v>0</v>
      </c>
      <c r="T88" t="s">
        <v>978</v>
      </c>
      <c r="U88" t="s">
        <v>978</v>
      </c>
      <c r="V88" t="s">
        <v>978</v>
      </c>
      <c r="W88" t="s">
        <v>978</v>
      </c>
      <c r="X88">
        <v>0</v>
      </c>
      <c r="Y88" t="s">
        <v>978</v>
      </c>
      <c r="Z88">
        <v>0</v>
      </c>
      <c r="AA88" t="s">
        <v>978</v>
      </c>
      <c r="AB88" t="s">
        <v>978</v>
      </c>
      <c r="AC88" t="s">
        <v>978</v>
      </c>
      <c r="AD88" t="s">
        <v>978</v>
      </c>
      <c r="AE88">
        <v>0</v>
      </c>
      <c r="AF88" t="s">
        <v>978</v>
      </c>
      <c r="AG88" t="s">
        <v>312</v>
      </c>
      <c r="AH88" t="s">
        <v>978</v>
      </c>
    </row>
    <row r="89" spans="1:34" x14ac:dyDescent="0.25">
      <c r="A89" s="560">
        <v>12.22</v>
      </c>
      <c r="B89" t="s">
        <v>653</v>
      </c>
      <c r="C89" t="s">
        <v>324</v>
      </c>
      <c r="D89" t="s">
        <v>516</v>
      </c>
      <c r="E89" t="s">
        <v>978</v>
      </c>
      <c r="F89" t="s">
        <v>978</v>
      </c>
      <c r="G89" t="s">
        <v>259</v>
      </c>
      <c r="H89" t="s">
        <v>408</v>
      </c>
      <c r="I89" t="s">
        <v>35</v>
      </c>
      <c r="J89" t="s">
        <v>978</v>
      </c>
      <c r="K89">
        <v>1</v>
      </c>
      <c r="L89">
        <v>1</v>
      </c>
      <c r="M89" t="s">
        <v>44</v>
      </c>
      <c r="N89">
        <v>1</v>
      </c>
      <c r="O89">
        <v>1</v>
      </c>
      <c r="P89">
        <v>1</v>
      </c>
      <c r="Q89" t="s">
        <v>32</v>
      </c>
      <c r="R89">
        <v>1</v>
      </c>
      <c r="S89">
        <v>1</v>
      </c>
      <c r="T89">
        <v>1</v>
      </c>
      <c r="U89" t="s">
        <v>978</v>
      </c>
      <c r="V89" t="s">
        <v>978</v>
      </c>
      <c r="W89" t="s">
        <v>978</v>
      </c>
      <c r="X89">
        <v>1</v>
      </c>
      <c r="Y89" t="s">
        <v>978</v>
      </c>
      <c r="Z89">
        <v>0</v>
      </c>
      <c r="AA89" t="s">
        <v>978</v>
      </c>
      <c r="AB89" t="s">
        <v>978</v>
      </c>
      <c r="AC89" t="s">
        <v>978</v>
      </c>
      <c r="AD89" t="s">
        <v>978</v>
      </c>
      <c r="AE89">
        <v>0</v>
      </c>
      <c r="AF89" t="s">
        <v>978</v>
      </c>
      <c r="AG89" t="s">
        <v>312</v>
      </c>
      <c r="AH89" t="s">
        <v>978</v>
      </c>
    </row>
    <row r="90" spans="1:34" x14ac:dyDescent="0.25">
      <c r="A90" s="560">
        <v>12.223000000000001</v>
      </c>
      <c r="B90" t="s">
        <v>655</v>
      </c>
      <c r="C90" t="s">
        <v>320</v>
      </c>
      <c r="D90" t="s">
        <v>518</v>
      </c>
      <c r="E90" t="s">
        <v>978</v>
      </c>
      <c r="F90" t="s">
        <v>978</v>
      </c>
      <c r="G90" t="s">
        <v>259</v>
      </c>
      <c r="H90" t="s">
        <v>969</v>
      </c>
      <c r="I90" t="s">
        <v>41</v>
      </c>
      <c r="J90" t="s">
        <v>978</v>
      </c>
      <c r="K90">
        <v>1</v>
      </c>
      <c r="L90">
        <v>2</v>
      </c>
      <c r="M90" t="s">
        <v>44</v>
      </c>
      <c r="N90">
        <v>1</v>
      </c>
      <c r="O90">
        <v>2</v>
      </c>
      <c r="P90">
        <v>1</v>
      </c>
      <c r="Q90" t="s">
        <v>32</v>
      </c>
      <c r="R90">
        <v>1</v>
      </c>
      <c r="S90">
        <v>1</v>
      </c>
      <c r="T90">
        <v>1</v>
      </c>
      <c r="U90" t="s">
        <v>978</v>
      </c>
      <c r="V90" t="s">
        <v>978</v>
      </c>
      <c r="W90" t="s">
        <v>978</v>
      </c>
      <c r="X90">
        <v>1</v>
      </c>
      <c r="Y90" t="s">
        <v>978</v>
      </c>
      <c r="Z90">
        <v>2</v>
      </c>
      <c r="AA90">
        <v>2</v>
      </c>
      <c r="AB90" t="s">
        <v>978</v>
      </c>
      <c r="AC90" t="s">
        <v>978</v>
      </c>
      <c r="AD90" t="s">
        <v>978</v>
      </c>
      <c r="AE90">
        <v>1</v>
      </c>
      <c r="AF90" t="s">
        <v>978</v>
      </c>
      <c r="AG90" t="s">
        <v>309</v>
      </c>
      <c r="AH90" t="s">
        <v>978</v>
      </c>
    </row>
    <row r="91" spans="1:34" x14ac:dyDescent="0.25">
      <c r="A91" s="560">
        <v>12.225</v>
      </c>
      <c r="B91" t="s">
        <v>657</v>
      </c>
      <c r="C91" t="s">
        <v>320</v>
      </c>
      <c r="D91" t="s">
        <v>518</v>
      </c>
      <c r="E91" t="s">
        <v>978</v>
      </c>
      <c r="F91" t="s">
        <v>392</v>
      </c>
      <c r="G91" t="s">
        <v>259</v>
      </c>
      <c r="H91" t="s">
        <v>936</v>
      </c>
      <c r="I91" t="s">
        <v>41</v>
      </c>
      <c r="J91" t="s">
        <v>978</v>
      </c>
      <c r="K91">
        <v>1</v>
      </c>
      <c r="L91">
        <v>2</v>
      </c>
      <c r="M91" t="s">
        <v>44</v>
      </c>
      <c r="N91">
        <v>1</v>
      </c>
      <c r="O91">
        <v>2</v>
      </c>
      <c r="P91">
        <v>1</v>
      </c>
      <c r="Q91" t="s">
        <v>32</v>
      </c>
      <c r="R91">
        <v>1</v>
      </c>
      <c r="S91">
        <v>0</v>
      </c>
      <c r="T91" t="s">
        <v>978</v>
      </c>
      <c r="U91" t="s">
        <v>978</v>
      </c>
      <c r="V91" t="s">
        <v>978</v>
      </c>
      <c r="W91" t="s">
        <v>978</v>
      </c>
      <c r="X91">
        <v>0</v>
      </c>
      <c r="Y91" t="s">
        <v>978</v>
      </c>
      <c r="Z91">
        <v>0</v>
      </c>
      <c r="AA91" t="s">
        <v>978</v>
      </c>
      <c r="AB91" t="s">
        <v>978</v>
      </c>
      <c r="AC91" t="s">
        <v>978</v>
      </c>
      <c r="AD91" t="s">
        <v>978</v>
      </c>
      <c r="AE91">
        <v>0</v>
      </c>
      <c r="AF91" t="s">
        <v>978</v>
      </c>
      <c r="AG91" t="s">
        <v>309</v>
      </c>
      <c r="AH91" t="s">
        <v>978</v>
      </c>
    </row>
    <row r="92" spans="1:34" x14ac:dyDescent="0.25">
      <c r="A92" s="560">
        <v>12.247</v>
      </c>
      <c r="B92" t="s">
        <v>664</v>
      </c>
      <c r="C92" t="s">
        <v>324</v>
      </c>
      <c r="D92" t="s">
        <v>516</v>
      </c>
      <c r="E92" t="s">
        <v>978</v>
      </c>
      <c r="F92" t="s">
        <v>978</v>
      </c>
      <c r="G92" t="s">
        <v>259</v>
      </c>
      <c r="H92" t="s">
        <v>413</v>
      </c>
      <c r="I92" t="s">
        <v>35</v>
      </c>
      <c r="J92" t="s">
        <v>978</v>
      </c>
      <c r="K92">
        <v>1</v>
      </c>
      <c r="L92">
        <v>3</v>
      </c>
      <c r="M92" t="s">
        <v>44</v>
      </c>
      <c r="N92">
        <v>1</v>
      </c>
      <c r="O92">
        <v>3</v>
      </c>
      <c r="P92">
        <v>1</v>
      </c>
      <c r="Q92" t="s">
        <v>32</v>
      </c>
      <c r="R92">
        <v>1</v>
      </c>
      <c r="S92">
        <v>1</v>
      </c>
      <c r="T92">
        <v>1</v>
      </c>
      <c r="U92" t="s">
        <v>978</v>
      </c>
      <c r="V92" t="s">
        <v>978</v>
      </c>
      <c r="W92" t="s">
        <v>978</v>
      </c>
      <c r="X92">
        <v>1</v>
      </c>
      <c r="Y92" t="s">
        <v>978</v>
      </c>
      <c r="Z92">
        <v>0</v>
      </c>
      <c r="AA92" t="s">
        <v>978</v>
      </c>
      <c r="AB92" t="s">
        <v>978</v>
      </c>
      <c r="AC92" t="s">
        <v>978</v>
      </c>
      <c r="AD92" t="s">
        <v>978</v>
      </c>
      <c r="AE92">
        <v>0</v>
      </c>
      <c r="AF92" t="s">
        <v>978</v>
      </c>
      <c r="AG92" t="s">
        <v>312</v>
      </c>
      <c r="AH92" t="s">
        <v>978</v>
      </c>
    </row>
    <row r="93" spans="1:34" x14ac:dyDescent="0.25">
      <c r="A93" s="560">
        <v>12.266</v>
      </c>
      <c r="B93" t="s">
        <v>668</v>
      </c>
      <c r="C93" t="s">
        <v>415</v>
      </c>
      <c r="D93" t="s">
        <v>514</v>
      </c>
      <c r="E93" t="s">
        <v>978</v>
      </c>
      <c r="F93" t="s">
        <v>940</v>
      </c>
      <c r="G93" t="s">
        <v>259</v>
      </c>
      <c r="H93" t="s">
        <v>941</v>
      </c>
      <c r="I93" t="s">
        <v>41</v>
      </c>
      <c r="J93" t="s">
        <v>978</v>
      </c>
      <c r="K93">
        <v>1</v>
      </c>
      <c r="L93">
        <v>2</v>
      </c>
      <c r="M93" t="s">
        <v>44</v>
      </c>
      <c r="N93">
        <v>1</v>
      </c>
      <c r="O93">
        <v>2</v>
      </c>
      <c r="P93">
        <v>1</v>
      </c>
      <c r="Q93" t="s">
        <v>32</v>
      </c>
      <c r="R93">
        <v>1</v>
      </c>
      <c r="S93">
        <v>0</v>
      </c>
      <c r="T93" t="s">
        <v>978</v>
      </c>
      <c r="U93" t="s">
        <v>978</v>
      </c>
      <c r="V93" t="s">
        <v>978</v>
      </c>
      <c r="W93" t="s">
        <v>978</v>
      </c>
      <c r="X93">
        <v>0</v>
      </c>
      <c r="Y93" t="s">
        <v>978</v>
      </c>
      <c r="Z93">
        <v>0</v>
      </c>
      <c r="AA93" t="s">
        <v>978</v>
      </c>
      <c r="AB93" t="s">
        <v>978</v>
      </c>
      <c r="AC93" t="s">
        <v>978</v>
      </c>
      <c r="AD93" t="s">
        <v>978</v>
      </c>
      <c r="AE93">
        <v>0</v>
      </c>
      <c r="AF93" t="s">
        <v>978</v>
      </c>
      <c r="AG93" t="s">
        <v>312</v>
      </c>
      <c r="AH93" t="s">
        <v>978</v>
      </c>
    </row>
    <row r="94" spans="1:34" hidden="1" x14ac:dyDescent="0.25">
      <c r="A94">
        <v>12.27</v>
      </c>
      <c r="B94" t="s">
        <v>669</v>
      </c>
      <c r="C94" t="s">
        <v>415</v>
      </c>
      <c r="D94" t="s">
        <v>514</v>
      </c>
      <c r="E94" t="s">
        <v>978</v>
      </c>
      <c r="F94" t="s">
        <v>942</v>
      </c>
      <c r="G94" t="s">
        <v>259</v>
      </c>
      <c r="H94" t="s">
        <v>998</v>
      </c>
      <c r="I94" t="s">
        <v>41</v>
      </c>
      <c r="J94" t="s">
        <v>978</v>
      </c>
      <c r="K94">
        <v>1</v>
      </c>
      <c r="L94">
        <v>8</v>
      </c>
      <c r="M94" t="s">
        <v>44</v>
      </c>
      <c r="N94">
        <v>1</v>
      </c>
      <c r="O94">
        <v>8</v>
      </c>
      <c r="P94">
        <v>1</v>
      </c>
      <c r="Q94" t="s">
        <v>43</v>
      </c>
      <c r="R94">
        <v>6</v>
      </c>
      <c r="S94">
        <v>6</v>
      </c>
      <c r="T94">
        <v>6</v>
      </c>
      <c r="U94" t="s">
        <v>978</v>
      </c>
      <c r="V94" t="s">
        <v>978</v>
      </c>
      <c r="W94" t="s">
        <v>978</v>
      </c>
      <c r="X94">
        <v>1</v>
      </c>
      <c r="Y94" t="s">
        <v>416</v>
      </c>
      <c r="Z94">
        <v>8</v>
      </c>
      <c r="AA94">
        <v>6</v>
      </c>
      <c r="AB94">
        <v>1</v>
      </c>
      <c r="AC94">
        <v>1</v>
      </c>
      <c r="AD94" t="s">
        <v>978</v>
      </c>
      <c r="AE94">
        <v>0.875</v>
      </c>
      <c r="AF94" t="s">
        <v>978</v>
      </c>
      <c r="AG94" t="s">
        <v>309</v>
      </c>
      <c r="AH94" t="s">
        <v>978</v>
      </c>
    </row>
    <row r="95" spans="1:34" hidden="1" x14ac:dyDescent="0.25">
      <c r="A95">
        <v>12.276</v>
      </c>
      <c r="B95" t="s">
        <v>670</v>
      </c>
      <c r="C95" t="s">
        <v>403</v>
      </c>
      <c r="D95" t="s">
        <v>519</v>
      </c>
      <c r="E95" t="s">
        <v>978</v>
      </c>
      <c r="F95" t="s">
        <v>978</v>
      </c>
      <c r="G95" t="s">
        <v>259</v>
      </c>
      <c r="H95" t="s">
        <v>968</v>
      </c>
      <c r="I95" t="s">
        <v>41</v>
      </c>
      <c r="J95" t="s">
        <v>978</v>
      </c>
      <c r="K95">
        <v>1</v>
      </c>
      <c r="L95">
        <v>20</v>
      </c>
      <c r="M95" t="s">
        <v>44</v>
      </c>
      <c r="N95">
        <v>1</v>
      </c>
      <c r="O95">
        <v>20</v>
      </c>
      <c r="P95">
        <v>1</v>
      </c>
      <c r="Q95" t="s">
        <v>32</v>
      </c>
      <c r="R95">
        <v>14</v>
      </c>
      <c r="S95">
        <v>0</v>
      </c>
      <c r="T95" t="s">
        <v>978</v>
      </c>
      <c r="U95" t="s">
        <v>978</v>
      </c>
      <c r="V95" t="s">
        <v>978</v>
      </c>
      <c r="W95" t="s">
        <v>978</v>
      </c>
      <c r="X95">
        <v>0</v>
      </c>
      <c r="Y95" t="s">
        <v>978</v>
      </c>
      <c r="Z95">
        <v>10</v>
      </c>
      <c r="AA95">
        <v>10</v>
      </c>
      <c r="AB95" t="s">
        <v>978</v>
      </c>
      <c r="AC95" t="s">
        <v>978</v>
      </c>
      <c r="AD95" t="s">
        <v>978</v>
      </c>
      <c r="AE95">
        <v>0.5</v>
      </c>
      <c r="AF95" t="s">
        <v>978</v>
      </c>
      <c r="AG95" t="s">
        <v>309</v>
      </c>
      <c r="AH95" t="s">
        <v>978</v>
      </c>
    </row>
    <row r="96" spans="1:34" x14ac:dyDescent="0.25">
      <c r="A96" s="560">
        <v>12.276999999999999</v>
      </c>
      <c r="B96" t="s">
        <v>671</v>
      </c>
      <c r="C96" t="s">
        <v>357</v>
      </c>
      <c r="D96" t="s">
        <v>519</v>
      </c>
      <c r="E96" t="s">
        <v>978</v>
      </c>
      <c r="F96" t="s">
        <v>978</v>
      </c>
      <c r="G96" t="s">
        <v>280</v>
      </c>
      <c r="H96" t="s">
        <v>999</v>
      </c>
      <c r="I96" t="s">
        <v>35</v>
      </c>
      <c r="J96" t="s">
        <v>978</v>
      </c>
      <c r="K96">
        <v>1</v>
      </c>
      <c r="L96">
        <v>8</v>
      </c>
      <c r="M96" t="s">
        <v>44</v>
      </c>
      <c r="N96">
        <v>1</v>
      </c>
      <c r="O96">
        <v>8</v>
      </c>
      <c r="P96">
        <v>1</v>
      </c>
      <c r="Q96" t="s">
        <v>32</v>
      </c>
      <c r="R96">
        <v>8</v>
      </c>
      <c r="S96">
        <v>8</v>
      </c>
      <c r="T96">
        <v>8</v>
      </c>
      <c r="U96" t="s">
        <v>978</v>
      </c>
      <c r="V96" t="s">
        <v>978</v>
      </c>
      <c r="W96" t="s">
        <v>978</v>
      </c>
      <c r="X96">
        <v>1</v>
      </c>
      <c r="Y96" t="s">
        <v>417</v>
      </c>
      <c r="Z96">
        <v>8</v>
      </c>
      <c r="AA96">
        <v>8</v>
      </c>
      <c r="AB96" t="s">
        <v>978</v>
      </c>
      <c r="AC96" t="s">
        <v>978</v>
      </c>
      <c r="AD96" t="s">
        <v>978</v>
      </c>
      <c r="AE96">
        <v>1</v>
      </c>
      <c r="AF96" t="s">
        <v>978</v>
      </c>
      <c r="AG96" t="s">
        <v>350</v>
      </c>
      <c r="AH96" t="s">
        <v>978</v>
      </c>
    </row>
    <row r="97" spans="1:34" x14ac:dyDescent="0.25">
      <c r="A97" s="560">
        <v>12.278</v>
      </c>
      <c r="B97" t="s">
        <v>672</v>
      </c>
      <c r="C97" t="s">
        <v>334</v>
      </c>
      <c r="D97" t="s">
        <v>513</v>
      </c>
      <c r="E97" t="s">
        <v>978</v>
      </c>
      <c r="F97" t="s">
        <v>978</v>
      </c>
      <c r="G97" t="s">
        <v>259</v>
      </c>
      <c r="H97" t="s">
        <v>418</v>
      </c>
      <c r="I97" t="s">
        <v>41</v>
      </c>
      <c r="J97" t="s">
        <v>352</v>
      </c>
      <c r="K97">
        <v>1</v>
      </c>
      <c r="L97">
        <v>1</v>
      </c>
      <c r="M97" t="s">
        <v>44</v>
      </c>
      <c r="N97">
        <v>1</v>
      </c>
      <c r="O97">
        <v>1</v>
      </c>
      <c r="P97">
        <v>1</v>
      </c>
      <c r="Q97" t="s">
        <v>43</v>
      </c>
      <c r="R97">
        <v>1</v>
      </c>
      <c r="S97">
        <v>1</v>
      </c>
      <c r="T97">
        <v>1</v>
      </c>
      <c r="U97" t="s">
        <v>978</v>
      </c>
      <c r="V97" t="s">
        <v>978</v>
      </c>
      <c r="W97" t="s">
        <v>978</v>
      </c>
      <c r="X97">
        <v>1</v>
      </c>
      <c r="Y97" t="s">
        <v>419</v>
      </c>
      <c r="Z97">
        <v>1</v>
      </c>
      <c r="AA97">
        <v>1</v>
      </c>
      <c r="AB97" t="s">
        <v>978</v>
      </c>
      <c r="AC97" t="s">
        <v>978</v>
      </c>
      <c r="AD97" t="s">
        <v>978</v>
      </c>
      <c r="AE97">
        <v>1</v>
      </c>
      <c r="AF97" t="s">
        <v>978</v>
      </c>
      <c r="AG97" t="s">
        <v>309</v>
      </c>
      <c r="AH97" t="s">
        <v>978</v>
      </c>
    </row>
    <row r="98" spans="1:34" x14ac:dyDescent="0.25">
      <c r="A98" s="560">
        <v>12.28</v>
      </c>
      <c r="B98" t="s">
        <v>673</v>
      </c>
      <c r="C98" t="s">
        <v>334</v>
      </c>
      <c r="D98" t="s">
        <v>513</v>
      </c>
      <c r="E98" t="s">
        <v>978</v>
      </c>
      <c r="F98" t="s">
        <v>978</v>
      </c>
      <c r="G98" t="s">
        <v>259</v>
      </c>
      <c r="H98" t="s">
        <v>420</v>
      </c>
      <c r="I98" t="s">
        <v>41</v>
      </c>
      <c r="J98" t="s">
        <v>352</v>
      </c>
      <c r="K98">
        <v>1</v>
      </c>
      <c r="L98">
        <v>1</v>
      </c>
      <c r="M98" t="s">
        <v>44</v>
      </c>
      <c r="N98">
        <v>1</v>
      </c>
      <c r="O98">
        <v>1</v>
      </c>
      <c r="P98">
        <v>1</v>
      </c>
      <c r="Q98" t="s">
        <v>43</v>
      </c>
      <c r="R98">
        <v>2</v>
      </c>
      <c r="S98">
        <v>2</v>
      </c>
      <c r="T98">
        <v>2</v>
      </c>
      <c r="U98" t="s">
        <v>978</v>
      </c>
      <c r="V98" t="s">
        <v>978</v>
      </c>
      <c r="W98" t="s">
        <v>978</v>
      </c>
      <c r="X98">
        <v>1</v>
      </c>
      <c r="Y98" t="s">
        <v>978</v>
      </c>
      <c r="Z98">
        <v>1</v>
      </c>
      <c r="AA98">
        <v>1</v>
      </c>
      <c r="AB98" t="s">
        <v>978</v>
      </c>
      <c r="AC98" t="s">
        <v>978</v>
      </c>
      <c r="AD98" t="s">
        <v>978</v>
      </c>
      <c r="AE98">
        <v>1</v>
      </c>
      <c r="AF98" t="s">
        <v>978</v>
      </c>
      <c r="AG98" t="s">
        <v>309</v>
      </c>
      <c r="AH98" t="s">
        <v>978</v>
      </c>
    </row>
    <row r="99" spans="1:34" ht="96.75" customHeight="1" x14ac:dyDescent="0.25">
      <c r="A99" s="560">
        <v>12.281000000000001</v>
      </c>
      <c r="B99" t="s">
        <v>674</v>
      </c>
      <c r="C99" t="s">
        <v>334</v>
      </c>
      <c r="D99" t="s">
        <v>513</v>
      </c>
      <c r="E99" t="s">
        <v>978</v>
      </c>
      <c r="F99" t="s">
        <v>978</v>
      </c>
      <c r="G99" t="s">
        <v>259</v>
      </c>
      <c r="H99" t="s">
        <v>421</v>
      </c>
      <c r="I99" t="s">
        <v>41</v>
      </c>
      <c r="J99" t="s">
        <v>352</v>
      </c>
      <c r="K99">
        <v>1</v>
      </c>
      <c r="L99">
        <v>1</v>
      </c>
      <c r="M99" t="s">
        <v>44</v>
      </c>
      <c r="N99">
        <v>1</v>
      </c>
      <c r="O99">
        <v>1</v>
      </c>
      <c r="P99">
        <v>1</v>
      </c>
      <c r="Q99" t="s">
        <v>43</v>
      </c>
      <c r="R99">
        <v>1</v>
      </c>
      <c r="S99">
        <v>1</v>
      </c>
      <c r="T99">
        <v>1</v>
      </c>
      <c r="U99" t="s">
        <v>978</v>
      </c>
      <c r="V99" t="s">
        <v>978</v>
      </c>
      <c r="W99" t="s">
        <v>978</v>
      </c>
      <c r="X99">
        <v>1</v>
      </c>
      <c r="Y99" t="s">
        <v>978</v>
      </c>
      <c r="Z99">
        <v>1</v>
      </c>
      <c r="AA99">
        <v>1</v>
      </c>
      <c r="AB99" t="s">
        <v>978</v>
      </c>
      <c r="AC99" t="s">
        <v>978</v>
      </c>
      <c r="AD99" t="s">
        <v>978</v>
      </c>
      <c r="AE99">
        <v>1</v>
      </c>
      <c r="AF99" t="s">
        <v>978</v>
      </c>
      <c r="AG99" t="s">
        <v>309</v>
      </c>
      <c r="AH99" t="s">
        <v>978</v>
      </c>
    </row>
    <row r="100" spans="1:34" x14ac:dyDescent="0.25">
      <c r="A100" s="560">
        <v>12.282</v>
      </c>
      <c r="B100" t="s">
        <v>675</v>
      </c>
      <c r="C100" t="s">
        <v>324</v>
      </c>
      <c r="D100" t="s">
        <v>516</v>
      </c>
      <c r="E100" t="s">
        <v>978</v>
      </c>
      <c r="F100" t="s">
        <v>978</v>
      </c>
      <c r="G100" t="s">
        <v>259</v>
      </c>
      <c r="H100" t="s">
        <v>408</v>
      </c>
      <c r="I100" t="s">
        <v>35</v>
      </c>
      <c r="J100" t="s">
        <v>978</v>
      </c>
      <c r="K100">
        <v>1</v>
      </c>
      <c r="L100">
        <v>1</v>
      </c>
      <c r="M100" t="s">
        <v>44</v>
      </c>
      <c r="N100">
        <v>1</v>
      </c>
      <c r="O100">
        <v>1</v>
      </c>
      <c r="P100">
        <v>1</v>
      </c>
      <c r="Q100" t="s">
        <v>32</v>
      </c>
      <c r="R100">
        <v>1</v>
      </c>
      <c r="S100">
        <v>1</v>
      </c>
      <c r="T100">
        <v>1</v>
      </c>
      <c r="U100" t="s">
        <v>978</v>
      </c>
      <c r="V100" t="s">
        <v>978</v>
      </c>
      <c r="W100" t="s">
        <v>978</v>
      </c>
      <c r="X100">
        <v>1</v>
      </c>
      <c r="Y100" t="s">
        <v>978</v>
      </c>
      <c r="Z100">
        <v>0</v>
      </c>
      <c r="AA100" t="s">
        <v>978</v>
      </c>
      <c r="AB100" t="s">
        <v>978</v>
      </c>
      <c r="AC100" t="s">
        <v>978</v>
      </c>
      <c r="AD100" t="s">
        <v>978</v>
      </c>
      <c r="AE100">
        <v>0</v>
      </c>
      <c r="AF100" t="s">
        <v>978</v>
      </c>
      <c r="AG100" t="s">
        <v>317</v>
      </c>
      <c r="AH100" t="s">
        <v>978</v>
      </c>
    </row>
    <row r="101" spans="1:34" x14ac:dyDescent="0.25">
      <c r="A101" s="560">
        <v>12.292</v>
      </c>
      <c r="B101" t="s">
        <v>681</v>
      </c>
      <c r="C101" t="s">
        <v>318</v>
      </c>
      <c r="D101" t="s">
        <v>516</v>
      </c>
      <c r="E101" t="s">
        <v>978</v>
      </c>
      <c r="F101" t="s">
        <v>978</v>
      </c>
      <c r="G101" t="s">
        <v>259</v>
      </c>
      <c r="H101" t="s">
        <v>966</v>
      </c>
      <c r="I101" t="s">
        <v>41</v>
      </c>
      <c r="J101" t="s">
        <v>978</v>
      </c>
      <c r="K101">
        <v>1</v>
      </c>
      <c r="L101">
        <v>2</v>
      </c>
      <c r="M101" t="s">
        <v>44</v>
      </c>
      <c r="N101">
        <v>1</v>
      </c>
      <c r="O101">
        <v>2</v>
      </c>
      <c r="P101">
        <v>1</v>
      </c>
      <c r="Q101" t="s">
        <v>32</v>
      </c>
      <c r="R101">
        <v>2</v>
      </c>
      <c r="S101">
        <v>2</v>
      </c>
      <c r="T101">
        <v>1</v>
      </c>
      <c r="U101" t="s">
        <v>978</v>
      </c>
      <c r="V101">
        <v>1</v>
      </c>
      <c r="W101" t="s">
        <v>978</v>
      </c>
      <c r="X101">
        <v>0.5</v>
      </c>
      <c r="Y101" t="s">
        <v>423</v>
      </c>
      <c r="Z101">
        <v>1</v>
      </c>
      <c r="AA101">
        <v>1</v>
      </c>
      <c r="AB101" t="s">
        <v>978</v>
      </c>
      <c r="AC101" t="s">
        <v>978</v>
      </c>
      <c r="AD101" t="s">
        <v>978</v>
      </c>
      <c r="AE101">
        <v>0.5</v>
      </c>
      <c r="AF101" t="s">
        <v>978</v>
      </c>
      <c r="AG101" t="s">
        <v>309</v>
      </c>
      <c r="AH101" t="s">
        <v>978</v>
      </c>
    </row>
    <row r="102" spans="1:34" hidden="1" x14ac:dyDescent="0.25">
      <c r="A102">
        <v>12.294</v>
      </c>
      <c r="B102" t="s">
        <v>682</v>
      </c>
      <c r="C102" t="s">
        <v>313</v>
      </c>
      <c r="D102" t="s">
        <v>520</v>
      </c>
      <c r="E102" t="s">
        <v>978</v>
      </c>
      <c r="F102" t="s">
        <v>978</v>
      </c>
      <c r="G102" t="s">
        <v>259</v>
      </c>
      <c r="H102" t="s">
        <v>967</v>
      </c>
      <c r="I102" t="s">
        <v>41</v>
      </c>
      <c r="J102" t="s">
        <v>978</v>
      </c>
      <c r="K102">
        <v>1</v>
      </c>
      <c r="L102">
        <v>2</v>
      </c>
      <c r="M102" t="s">
        <v>44</v>
      </c>
      <c r="N102">
        <v>1</v>
      </c>
      <c r="O102">
        <v>2</v>
      </c>
      <c r="P102">
        <v>1</v>
      </c>
      <c r="Q102" t="s">
        <v>32</v>
      </c>
      <c r="R102">
        <v>2</v>
      </c>
      <c r="S102">
        <v>2</v>
      </c>
      <c r="T102">
        <v>2</v>
      </c>
      <c r="U102" t="s">
        <v>978</v>
      </c>
      <c r="V102" t="s">
        <v>978</v>
      </c>
      <c r="W102" t="s">
        <v>978</v>
      </c>
      <c r="X102">
        <v>1</v>
      </c>
      <c r="Y102" t="s">
        <v>978</v>
      </c>
      <c r="Z102">
        <v>0</v>
      </c>
      <c r="AA102" t="s">
        <v>978</v>
      </c>
      <c r="AB102" t="s">
        <v>978</v>
      </c>
      <c r="AC102" t="s">
        <v>978</v>
      </c>
      <c r="AD102" t="s">
        <v>978</v>
      </c>
      <c r="AE102">
        <v>0</v>
      </c>
      <c r="AF102" t="s">
        <v>978</v>
      </c>
      <c r="AG102" t="s">
        <v>312</v>
      </c>
      <c r="AH102" t="s">
        <v>978</v>
      </c>
    </row>
    <row r="103" spans="1:34" x14ac:dyDescent="0.25">
      <c r="A103" s="560">
        <v>12.301</v>
      </c>
      <c r="B103" t="s">
        <v>686</v>
      </c>
      <c r="C103" t="s">
        <v>376</v>
      </c>
      <c r="D103" t="s">
        <v>514</v>
      </c>
      <c r="E103" t="s">
        <v>978</v>
      </c>
      <c r="F103" t="s">
        <v>978</v>
      </c>
      <c r="G103" t="s">
        <v>280</v>
      </c>
      <c r="H103" t="s">
        <v>424</v>
      </c>
      <c r="I103" t="s">
        <v>41</v>
      </c>
      <c r="J103" t="s">
        <v>978</v>
      </c>
      <c r="K103">
        <v>1</v>
      </c>
      <c r="L103">
        <v>1</v>
      </c>
      <c r="M103" t="s">
        <v>44</v>
      </c>
      <c r="N103">
        <v>1</v>
      </c>
      <c r="O103">
        <v>0</v>
      </c>
      <c r="P103">
        <v>0</v>
      </c>
      <c r="Q103" t="s">
        <v>32</v>
      </c>
      <c r="R103">
        <v>1</v>
      </c>
      <c r="S103">
        <v>0</v>
      </c>
      <c r="T103" t="s">
        <v>978</v>
      </c>
      <c r="U103" t="s">
        <v>978</v>
      </c>
      <c r="V103" t="s">
        <v>978</v>
      </c>
      <c r="W103" t="s">
        <v>978</v>
      </c>
      <c r="X103">
        <v>0</v>
      </c>
      <c r="Y103" t="s">
        <v>978</v>
      </c>
      <c r="Z103">
        <v>0</v>
      </c>
      <c r="AA103" t="s">
        <v>978</v>
      </c>
      <c r="AB103" t="s">
        <v>978</v>
      </c>
      <c r="AC103" t="s">
        <v>978</v>
      </c>
      <c r="AD103" t="s">
        <v>978</v>
      </c>
      <c r="AE103">
        <v>0</v>
      </c>
      <c r="AF103" t="s">
        <v>978</v>
      </c>
      <c r="AG103" t="s">
        <v>277</v>
      </c>
      <c r="AH103" t="s">
        <v>978</v>
      </c>
    </row>
    <row r="104" spans="1:34" x14ac:dyDescent="0.25">
      <c r="A104" s="560">
        <v>12.31</v>
      </c>
      <c r="B104" t="s">
        <v>689</v>
      </c>
      <c r="C104" t="s">
        <v>334</v>
      </c>
      <c r="D104" t="s">
        <v>513</v>
      </c>
      <c r="E104" t="s">
        <v>978</v>
      </c>
      <c r="F104" t="s">
        <v>978</v>
      </c>
      <c r="G104" t="s">
        <v>259</v>
      </c>
      <c r="H104" t="s">
        <v>425</v>
      </c>
      <c r="I104" t="s">
        <v>35</v>
      </c>
      <c r="J104" t="s">
        <v>978</v>
      </c>
      <c r="K104">
        <v>1</v>
      </c>
      <c r="L104">
        <v>1</v>
      </c>
      <c r="M104" t="s">
        <v>44</v>
      </c>
      <c r="N104">
        <v>1</v>
      </c>
      <c r="O104">
        <v>1</v>
      </c>
      <c r="P104">
        <v>1</v>
      </c>
      <c r="Q104" t="s">
        <v>32</v>
      </c>
      <c r="R104">
        <v>1</v>
      </c>
      <c r="S104">
        <v>1</v>
      </c>
      <c r="T104">
        <v>1</v>
      </c>
      <c r="U104" t="s">
        <v>978</v>
      </c>
      <c r="V104" t="s">
        <v>978</v>
      </c>
      <c r="W104" t="s">
        <v>978</v>
      </c>
      <c r="X104">
        <v>1</v>
      </c>
      <c r="Y104" t="s">
        <v>978</v>
      </c>
      <c r="Z104">
        <v>0</v>
      </c>
      <c r="AA104" t="s">
        <v>978</v>
      </c>
      <c r="AB104" t="s">
        <v>978</v>
      </c>
      <c r="AC104" t="s">
        <v>978</v>
      </c>
      <c r="AD104" t="s">
        <v>978</v>
      </c>
      <c r="AE104">
        <v>0</v>
      </c>
      <c r="AF104" t="s">
        <v>978</v>
      </c>
      <c r="AG104" t="s">
        <v>341</v>
      </c>
      <c r="AH104" t="s">
        <v>978</v>
      </c>
    </row>
    <row r="105" spans="1:34" x14ac:dyDescent="0.25">
      <c r="A105" s="560">
        <v>12.311</v>
      </c>
      <c r="B105" t="s">
        <v>690</v>
      </c>
      <c r="C105" t="s">
        <v>357</v>
      </c>
      <c r="D105" t="s">
        <v>519</v>
      </c>
      <c r="E105" t="s">
        <v>978</v>
      </c>
      <c r="F105" t="s">
        <v>978</v>
      </c>
      <c r="G105" t="s">
        <v>259</v>
      </c>
      <c r="H105" t="s">
        <v>426</v>
      </c>
      <c r="I105" t="s">
        <v>35</v>
      </c>
      <c r="J105" t="s">
        <v>978</v>
      </c>
      <c r="K105">
        <v>1</v>
      </c>
      <c r="L105">
        <v>1</v>
      </c>
      <c r="M105" t="s">
        <v>44</v>
      </c>
      <c r="N105">
        <v>1</v>
      </c>
      <c r="O105">
        <v>1</v>
      </c>
      <c r="P105">
        <v>1</v>
      </c>
      <c r="Q105" t="s">
        <v>43</v>
      </c>
      <c r="R105">
        <v>1</v>
      </c>
      <c r="S105">
        <v>1</v>
      </c>
      <c r="T105">
        <v>1</v>
      </c>
      <c r="U105" t="s">
        <v>978</v>
      </c>
      <c r="V105" t="s">
        <v>978</v>
      </c>
      <c r="W105" t="s">
        <v>978</v>
      </c>
      <c r="X105">
        <v>1</v>
      </c>
      <c r="Y105" t="s">
        <v>427</v>
      </c>
      <c r="Z105">
        <v>1</v>
      </c>
      <c r="AA105">
        <v>1</v>
      </c>
      <c r="AB105" t="s">
        <v>978</v>
      </c>
      <c r="AC105" t="s">
        <v>978</v>
      </c>
      <c r="AD105" t="s">
        <v>978</v>
      </c>
      <c r="AE105">
        <v>1</v>
      </c>
      <c r="AF105" t="s">
        <v>978</v>
      </c>
      <c r="AG105" t="s">
        <v>363</v>
      </c>
      <c r="AH105" t="s">
        <v>978</v>
      </c>
    </row>
    <row r="106" spans="1:34" x14ac:dyDescent="0.25">
      <c r="A106" s="560">
        <v>12.319000000000001</v>
      </c>
      <c r="B106" t="s">
        <v>693</v>
      </c>
      <c r="C106" t="s">
        <v>364</v>
      </c>
      <c r="D106" t="s">
        <v>513</v>
      </c>
      <c r="E106" t="s">
        <v>978</v>
      </c>
      <c r="F106" t="s">
        <v>978</v>
      </c>
      <c r="G106" t="s">
        <v>259</v>
      </c>
      <c r="H106" t="s">
        <v>429</v>
      </c>
      <c r="I106" t="s">
        <v>41</v>
      </c>
      <c r="J106" t="s">
        <v>978</v>
      </c>
      <c r="K106">
        <v>1</v>
      </c>
      <c r="L106">
        <v>1</v>
      </c>
      <c r="M106" t="s">
        <v>44</v>
      </c>
      <c r="N106">
        <v>1</v>
      </c>
      <c r="O106">
        <v>1</v>
      </c>
      <c r="P106">
        <v>1</v>
      </c>
      <c r="Q106" t="s">
        <v>32</v>
      </c>
      <c r="R106">
        <v>1</v>
      </c>
      <c r="S106">
        <v>0</v>
      </c>
      <c r="T106" t="s">
        <v>978</v>
      </c>
      <c r="U106" t="s">
        <v>978</v>
      </c>
      <c r="V106" t="s">
        <v>978</v>
      </c>
      <c r="W106" t="s">
        <v>978</v>
      </c>
      <c r="X106">
        <v>0</v>
      </c>
      <c r="Y106" t="s">
        <v>978</v>
      </c>
      <c r="Z106">
        <v>0</v>
      </c>
      <c r="AA106" t="s">
        <v>978</v>
      </c>
      <c r="AB106" t="s">
        <v>978</v>
      </c>
      <c r="AC106" t="s">
        <v>978</v>
      </c>
      <c r="AD106" t="s">
        <v>978</v>
      </c>
      <c r="AE106">
        <v>0</v>
      </c>
      <c r="AF106" t="s">
        <v>978</v>
      </c>
      <c r="AG106" t="s">
        <v>309</v>
      </c>
      <c r="AH106" t="s">
        <v>978</v>
      </c>
    </row>
    <row r="107" spans="1:34" hidden="1" x14ac:dyDescent="0.25">
      <c r="A107">
        <v>12.32</v>
      </c>
      <c r="B107" t="s">
        <v>694</v>
      </c>
      <c r="C107" t="s">
        <v>396</v>
      </c>
      <c r="D107" t="s">
        <v>513</v>
      </c>
      <c r="E107" t="s">
        <v>978</v>
      </c>
      <c r="F107" t="s">
        <v>978</v>
      </c>
      <c r="G107" t="s">
        <v>259</v>
      </c>
      <c r="H107" t="s">
        <v>430</v>
      </c>
      <c r="I107" t="s">
        <v>35</v>
      </c>
      <c r="J107" t="s">
        <v>978</v>
      </c>
      <c r="K107">
        <v>1</v>
      </c>
      <c r="L107">
        <v>1</v>
      </c>
      <c r="M107" t="s">
        <v>44</v>
      </c>
      <c r="N107">
        <v>1</v>
      </c>
      <c r="O107">
        <v>1</v>
      </c>
      <c r="P107">
        <v>1</v>
      </c>
      <c r="Q107" t="s">
        <v>32</v>
      </c>
      <c r="R107">
        <v>1</v>
      </c>
      <c r="S107">
        <v>0</v>
      </c>
      <c r="T107" t="s">
        <v>978</v>
      </c>
      <c r="U107" t="s">
        <v>978</v>
      </c>
      <c r="V107" t="s">
        <v>978</v>
      </c>
      <c r="W107" t="s">
        <v>978</v>
      </c>
      <c r="X107">
        <v>0</v>
      </c>
      <c r="Y107" t="s">
        <v>978</v>
      </c>
      <c r="Z107">
        <v>0</v>
      </c>
      <c r="AA107" t="s">
        <v>978</v>
      </c>
      <c r="AB107" t="s">
        <v>978</v>
      </c>
      <c r="AC107" t="s">
        <v>978</v>
      </c>
      <c r="AD107" t="s">
        <v>978</v>
      </c>
      <c r="AE107">
        <v>0</v>
      </c>
      <c r="AF107" t="s">
        <v>978</v>
      </c>
      <c r="AG107" t="s">
        <v>286</v>
      </c>
      <c r="AH107" t="s">
        <v>978</v>
      </c>
    </row>
    <row r="108" spans="1:34" x14ac:dyDescent="0.25">
      <c r="A108" s="560">
        <v>12.333</v>
      </c>
      <c r="B108" t="s">
        <v>700</v>
      </c>
      <c r="C108" t="s">
        <v>415</v>
      </c>
      <c r="D108" t="s">
        <v>515</v>
      </c>
      <c r="E108" t="s">
        <v>978</v>
      </c>
      <c r="F108" t="s">
        <v>978</v>
      </c>
      <c r="G108" t="s">
        <v>280</v>
      </c>
      <c r="H108" t="s">
        <v>971</v>
      </c>
      <c r="I108" t="s">
        <v>35</v>
      </c>
      <c r="J108" t="s">
        <v>978</v>
      </c>
      <c r="K108">
        <v>1</v>
      </c>
      <c r="L108">
        <v>4</v>
      </c>
      <c r="M108" t="s">
        <v>44</v>
      </c>
      <c r="N108">
        <v>1</v>
      </c>
      <c r="O108">
        <v>4</v>
      </c>
      <c r="P108">
        <v>1</v>
      </c>
      <c r="Q108" t="s">
        <v>32</v>
      </c>
      <c r="R108">
        <v>4</v>
      </c>
      <c r="S108">
        <v>4</v>
      </c>
      <c r="T108">
        <v>4</v>
      </c>
      <c r="U108" t="s">
        <v>978</v>
      </c>
      <c r="V108" t="s">
        <v>978</v>
      </c>
      <c r="W108" t="s">
        <v>978</v>
      </c>
      <c r="X108">
        <v>1</v>
      </c>
      <c r="Y108" t="s">
        <v>978</v>
      </c>
      <c r="Z108">
        <v>0</v>
      </c>
      <c r="AA108" t="s">
        <v>978</v>
      </c>
      <c r="AB108" t="s">
        <v>978</v>
      </c>
      <c r="AC108" t="s">
        <v>978</v>
      </c>
      <c r="AD108" t="s">
        <v>978</v>
      </c>
      <c r="AE108">
        <v>0</v>
      </c>
      <c r="AF108" t="s">
        <v>978</v>
      </c>
      <c r="AG108" t="s">
        <v>286</v>
      </c>
      <c r="AH108" t="s">
        <v>978</v>
      </c>
    </row>
    <row r="109" spans="1:34" ht="27.75" customHeight="1" x14ac:dyDescent="0.25">
      <c r="A109" s="560">
        <v>12.334</v>
      </c>
      <c r="B109" t="s">
        <v>701</v>
      </c>
      <c r="C109" t="s">
        <v>415</v>
      </c>
      <c r="D109" t="s">
        <v>514</v>
      </c>
      <c r="E109" t="s">
        <v>978</v>
      </c>
      <c r="F109" t="s">
        <v>978</v>
      </c>
      <c r="G109" t="s">
        <v>259</v>
      </c>
      <c r="H109" t="s">
        <v>943</v>
      </c>
      <c r="I109" t="s">
        <v>35</v>
      </c>
      <c r="J109" t="s">
        <v>978</v>
      </c>
      <c r="K109">
        <v>1</v>
      </c>
      <c r="L109">
        <v>2</v>
      </c>
      <c r="M109" t="s">
        <v>44</v>
      </c>
      <c r="N109">
        <v>1</v>
      </c>
      <c r="O109">
        <v>2</v>
      </c>
      <c r="P109">
        <v>1</v>
      </c>
      <c r="Q109" t="s">
        <v>32</v>
      </c>
      <c r="R109">
        <v>2</v>
      </c>
      <c r="S109">
        <v>0</v>
      </c>
      <c r="T109" t="s">
        <v>978</v>
      </c>
      <c r="U109" t="s">
        <v>978</v>
      </c>
      <c r="V109" t="s">
        <v>978</v>
      </c>
      <c r="W109" t="s">
        <v>978</v>
      </c>
      <c r="X109">
        <v>0</v>
      </c>
      <c r="Y109" t="s">
        <v>978</v>
      </c>
      <c r="Z109">
        <v>2</v>
      </c>
      <c r="AA109">
        <v>2</v>
      </c>
      <c r="AB109" t="s">
        <v>978</v>
      </c>
      <c r="AC109" t="s">
        <v>978</v>
      </c>
      <c r="AD109" t="s">
        <v>978</v>
      </c>
      <c r="AE109">
        <v>1</v>
      </c>
      <c r="AF109" t="s">
        <v>978</v>
      </c>
      <c r="AG109" t="s">
        <v>312</v>
      </c>
      <c r="AH109" t="s">
        <v>978</v>
      </c>
    </row>
    <row r="110" spans="1:34" x14ac:dyDescent="0.25">
      <c r="A110" s="560">
        <v>12.339</v>
      </c>
      <c r="B110" t="s">
        <v>703</v>
      </c>
      <c r="C110" t="s">
        <v>432</v>
      </c>
      <c r="D110" t="s">
        <v>514</v>
      </c>
      <c r="E110" t="s">
        <v>978</v>
      </c>
      <c r="F110" t="s">
        <v>978</v>
      </c>
      <c r="G110" t="s">
        <v>259</v>
      </c>
      <c r="H110" t="s">
        <v>970</v>
      </c>
      <c r="I110" t="s">
        <v>41</v>
      </c>
      <c r="J110" t="s">
        <v>433</v>
      </c>
      <c r="K110">
        <v>1</v>
      </c>
      <c r="L110">
        <v>1</v>
      </c>
      <c r="M110" t="s">
        <v>44</v>
      </c>
      <c r="N110">
        <v>1</v>
      </c>
      <c r="O110">
        <v>1</v>
      </c>
      <c r="P110">
        <v>1</v>
      </c>
      <c r="Q110" t="s">
        <v>50</v>
      </c>
      <c r="R110">
        <v>1</v>
      </c>
      <c r="S110">
        <v>1</v>
      </c>
      <c r="T110">
        <v>1</v>
      </c>
      <c r="U110" t="s">
        <v>978</v>
      </c>
      <c r="V110" t="s">
        <v>978</v>
      </c>
      <c r="W110" t="s">
        <v>978</v>
      </c>
      <c r="X110">
        <v>1</v>
      </c>
      <c r="Y110" t="s">
        <v>978</v>
      </c>
      <c r="Z110">
        <v>1</v>
      </c>
      <c r="AA110">
        <v>1</v>
      </c>
      <c r="AB110" t="s">
        <v>978</v>
      </c>
      <c r="AC110" t="s">
        <v>978</v>
      </c>
      <c r="AD110" t="s">
        <v>978</v>
      </c>
      <c r="AE110">
        <v>1</v>
      </c>
      <c r="AF110" t="s">
        <v>978</v>
      </c>
      <c r="AG110" t="s">
        <v>309</v>
      </c>
      <c r="AH110" t="s">
        <v>978</v>
      </c>
    </row>
    <row r="111" spans="1:34" hidden="1" x14ac:dyDescent="0.25">
      <c r="A111">
        <v>12.343</v>
      </c>
      <c r="B111" t="s">
        <v>706</v>
      </c>
      <c r="C111" t="s">
        <v>318</v>
      </c>
      <c r="D111" t="s">
        <v>514</v>
      </c>
      <c r="E111" t="s">
        <v>978</v>
      </c>
      <c r="F111" t="s">
        <v>944</v>
      </c>
      <c r="G111" t="s">
        <v>259</v>
      </c>
      <c r="H111" t="s">
        <v>945</v>
      </c>
      <c r="I111" t="s">
        <v>41</v>
      </c>
      <c r="J111" t="s">
        <v>978</v>
      </c>
      <c r="K111">
        <v>1</v>
      </c>
      <c r="L111">
        <v>1</v>
      </c>
      <c r="M111" t="s">
        <v>44</v>
      </c>
      <c r="N111">
        <v>1</v>
      </c>
      <c r="O111">
        <v>1</v>
      </c>
      <c r="P111">
        <v>1</v>
      </c>
      <c r="Q111" t="s">
        <v>32</v>
      </c>
      <c r="R111">
        <v>1</v>
      </c>
      <c r="S111">
        <v>1</v>
      </c>
      <c r="T111" t="s">
        <v>978</v>
      </c>
      <c r="U111" t="s">
        <v>978</v>
      </c>
      <c r="V111">
        <v>1</v>
      </c>
      <c r="W111" t="s">
        <v>978</v>
      </c>
      <c r="X111">
        <v>0</v>
      </c>
      <c r="Y111" t="s">
        <v>978</v>
      </c>
      <c r="Z111">
        <v>0</v>
      </c>
      <c r="AA111" t="s">
        <v>978</v>
      </c>
      <c r="AB111" t="s">
        <v>978</v>
      </c>
      <c r="AC111" t="s">
        <v>978</v>
      </c>
      <c r="AD111" t="s">
        <v>978</v>
      </c>
      <c r="AE111">
        <v>0</v>
      </c>
      <c r="AF111" t="s">
        <v>978</v>
      </c>
      <c r="AG111" t="s">
        <v>309</v>
      </c>
      <c r="AH111" t="s">
        <v>978</v>
      </c>
    </row>
    <row r="112" spans="1:34" hidden="1" x14ac:dyDescent="0.25">
      <c r="A112">
        <v>12.343999999999999</v>
      </c>
      <c r="B112" t="s">
        <v>707</v>
      </c>
      <c r="C112" t="s">
        <v>364</v>
      </c>
      <c r="D112" t="s">
        <v>513</v>
      </c>
      <c r="E112" t="s">
        <v>978</v>
      </c>
      <c r="F112" t="s">
        <v>978</v>
      </c>
      <c r="G112" t="s">
        <v>259</v>
      </c>
      <c r="H112" t="s">
        <v>434</v>
      </c>
      <c r="I112" t="s">
        <v>41</v>
      </c>
      <c r="J112" t="s">
        <v>978</v>
      </c>
      <c r="K112">
        <v>1</v>
      </c>
      <c r="L112">
        <v>2</v>
      </c>
      <c r="M112" t="s">
        <v>44</v>
      </c>
      <c r="N112">
        <v>1</v>
      </c>
      <c r="O112">
        <v>2</v>
      </c>
      <c r="P112">
        <v>1</v>
      </c>
      <c r="Q112" t="s">
        <v>32</v>
      </c>
      <c r="R112">
        <v>1</v>
      </c>
      <c r="S112">
        <v>0</v>
      </c>
      <c r="T112" t="s">
        <v>978</v>
      </c>
      <c r="U112" t="s">
        <v>978</v>
      </c>
      <c r="V112" t="s">
        <v>978</v>
      </c>
      <c r="W112" t="s">
        <v>978</v>
      </c>
      <c r="X112">
        <v>0</v>
      </c>
      <c r="Y112" t="s">
        <v>978</v>
      </c>
      <c r="Z112">
        <v>0</v>
      </c>
      <c r="AA112" t="s">
        <v>978</v>
      </c>
      <c r="AB112" t="s">
        <v>978</v>
      </c>
      <c r="AC112" t="s">
        <v>978</v>
      </c>
      <c r="AD112" t="s">
        <v>978</v>
      </c>
      <c r="AE112">
        <v>0</v>
      </c>
      <c r="AF112" t="s">
        <v>978</v>
      </c>
      <c r="AG112" t="s">
        <v>286</v>
      </c>
      <c r="AH112" t="s">
        <v>978</v>
      </c>
    </row>
    <row r="113" spans="1:34" hidden="1" x14ac:dyDescent="0.25">
      <c r="A113">
        <v>12.349</v>
      </c>
      <c r="B113" t="s">
        <v>708</v>
      </c>
      <c r="C113" t="s">
        <v>318</v>
      </c>
      <c r="D113" t="s">
        <v>515</v>
      </c>
      <c r="E113" t="s">
        <v>978</v>
      </c>
      <c r="F113" t="s">
        <v>946</v>
      </c>
      <c r="G113" t="s">
        <v>280</v>
      </c>
      <c r="H113" t="s">
        <v>945</v>
      </c>
      <c r="I113" t="s">
        <v>41</v>
      </c>
      <c r="J113" t="s">
        <v>978</v>
      </c>
      <c r="K113">
        <v>1</v>
      </c>
      <c r="L113">
        <v>2</v>
      </c>
      <c r="M113" t="s">
        <v>44</v>
      </c>
      <c r="N113">
        <v>1</v>
      </c>
      <c r="O113">
        <v>1.5</v>
      </c>
      <c r="P113">
        <v>0.75</v>
      </c>
      <c r="Q113" t="s">
        <v>32</v>
      </c>
      <c r="R113">
        <v>1</v>
      </c>
      <c r="S113">
        <v>1</v>
      </c>
      <c r="T113" t="s">
        <v>978</v>
      </c>
      <c r="U113" t="s">
        <v>978</v>
      </c>
      <c r="V113">
        <v>1</v>
      </c>
      <c r="W113" t="s">
        <v>978</v>
      </c>
      <c r="X113">
        <v>0</v>
      </c>
      <c r="Y113" t="s">
        <v>978</v>
      </c>
      <c r="Z113">
        <v>0</v>
      </c>
      <c r="AA113" t="s">
        <v>978</v>
      </c>
      <c r="AB113" t="s">
        <v>978</v>
      </c>
      <c r="AC113" t="s">
        <v>978</v>
      </c>
      <c r="AD113" t="s">
        <v>978</v>
      </c>
      <c r="AE113">
        <v>0</v>
      </c>
      <c r="AF113" t="s">
        <v>978</v>
      </c>
      <c r="AG113" t="s">
        <v>350</v>
      </c>
      <c r="AH113" t="s">
        <v>978</v>
      </c>
    </row>
    <row r="114" spans="1:34" hidden="1" x14ac:dyDescent="0.25">
      <c r="A114">
        <v>12.356</v>
      </c>
      <c r="B114" t="s">
        <v>709</v>
      </c>
      <c r="C114" t="s">
        <v>318</v>
      </c>
      <c r="D114" t="s">
        <v>515</v>
      </c>
      <c r="E114" t="s">
        <v>978</v>
      </c>
      <c r="F114" t="s">
        <v>978</v>
      </c>
      <c r="G114" t="s">
        <v>259</v>
      </c>
      <c r="H114" t="s">
        <v>435</v>
      </c>
      <c r="I114" t="s">
        <v>41</v>
      </c>
      <c r="J114" t="s">
        <v>978</v>
      </c>
      <c r="K114">
        <v>1</v>
      </c>
      <c r="L114">
        <v>1</v>
      </c>
      <c r="M114" t="s">
        <v>44</v>
      </c>
      <c r="N114">
        <v>1</v>
      </c>
      <c r="O114">
        <v>1</v>
      </c>
      <c r="P114">
        <v>1</v>
      </c>
      <c r="Q114" t="s">
        <v>43</v>
      </c>
      <c r="R114">
        <v>1</v>
      </c>
      <c r="S114">
        <v>1</v>
      </c>
      <c r="T114">
        <v>1</v>
      </c>
      <c r="U114" t="s">
        <v>978</v>
      </c>
      <c r="V114" t="s">
        <v>978</v>
      </c>
      <c r="W114" t="s">
        <v>978</v>
      </c>
      <c r="X114">
        <v>1</v>
      </c>
      <c r="Y114" t="s">
        <v>436</v>
      </c>
      <c r="Z114">
        <v>0</v>
      </c>
      <c r="AA114" t="s">
        <v>978</v>
      </c>
      <c r="AB114" t="s">
        <v>978</v>
      </c>
      <c r="AC114" t="s">
        <v>978</v>
      </c>
      <c r="AD114" t="s">
        <v>978</v>
      </c>
      <c r="AE114">
        <v>0</v>
      </c>
      <c r="AF114" t="s">
        <v>978</v>
      </c>
      <c r="AG114" t="s">
        <v>309</v>
      </c>
      <c r="AH114" t="s">
        <v>978</v>
      </c>
    </row>
    <row r="115" spans="1:34" x14ac:dyDescent="0.25">
      <c r="A115" s="560">
        <v>12.356999999999999</v>
      </c>
      <c r="B115" t="s">
        <v>710</v>
      </c>
      <c r="C115" t="s">
        <v>308</v>
      </c>
      <c r="D115" t="s">
        <v>515</v>
      </c>
      <c r="E115" t="s">
        <v>978</v>
      </c>
      <c r="F115" t="s">
        <v>948</v>
      </c>
      <c r="G115" t="s">
        <v>259</v>
      </c>
      <c r="H115" t="s">
        <v>947</v>
      </c>
      <c r="I115" t="s">
        <v>41</v>
      </c>
      <c r="J115" t="s">
        <v>978</v>
      </c>
      <c r="K115">
        <v>1</v>
      </c>
      <c r="L115">
        <v>1</v>
      </c>
      <c r="M115" t="s">
        <v>44</v>
      </c>
      <c r="N115">
        <v>1</v>
      </c>
      <c r="O115">
        <v>1</v>
      </c>
      <c r="P115">
        <v>1</v>
      </c>
      <c r="Q115" t="s">
        <v>32</v>
      </c>
      <c r="R115">
        <v>1</v>
      </c>
      <c r="S115">
        <v>1</v>
      </c>
      <c r="T115">
        <v>1</v>
      </c>
      <c r="U115" t="s">
        <v>978</v>
      </c>
      <c r="V115" t="s">
        <v>978</v>
      </c>
      <c r="W115" t="s">
        <v>978</v>
      </c>
      <c r="X115">
        <v>1</v>
      </c>
      <c r="Y115" t="s">
        <v>978</v>
      </c>
      <c r="Z115">
        <v>0</v>
      </c>
      <c r="AA115" t="s">
        <v>978</v>
      </c>
      <c r="AB115" t="s">
        <v>978</v>
      </c>
      <c r="AC115" t="s">
        <v>978</v>
      </c>
      <c r="AD115" t="s">
        <v>978</v>
      </c>
      <c r="AE115">
        <v>0</v>
      </c>
      <c r="AF115" t="s">
        <v>978</v>
      </c>
      <c r="AG115" t="s">
        <v>309</v>
      </c>
      <c r="AH115" t="s">
        <v>978</v>
      </c>
    </row>
    <row r="116" spans="1:34" x14ac:dyDescent="0.25">
      <c r="A116" s="560">
        <v>12.358000000000001</v>
      </c>
      <c r="B116" t="s">
        <v>711</v>
      </c>
      <c r="C116" t="s">
        <v>318</v>
      </c>
      <c r="D116" t="s">
        <v>515</v>
      </c>
      <c r="E116" t="s">
        <v>978</v>
      </c>
      <c r="F116" t="s">
        <v>978</v>
      </c>
      <c r="G116" t="s">
        <v>280</v>
      </c>
      <c r="H116" t="s">
        <v>435</v>
      </c>
      <c r="I116" t="s">
        <v>41</v>
      </c>
      <c r="J116" t="s">
        <v>978</v>
      </c>
      <c r="K116">
        <v>1</v>
      </c>
      <c r="L116">
        <v>1</v>
      </c>
      <c r="M116" t="s">
        <v>44</v>
      </c>
      <c r="N116">
        <v>1</v>
      </c>
      <c r="O116">
        <v>1</v>
      </c>
      <c r="P116">
        <v>1</v>
      </c>
      <c r="Q116" t="s">
        <v>43</v>
      </c>
      <c r="R116">
        <v>1</v>
      </c>
      <c r="S116">
        <v>1</v>
      </c>
      <c r="T116">
        <v>1</v>
      </c>
      <c r="U116" t="s">
        <v>978</v>
      </c>
      <c r="V116" t="s">
        <v>978</v>
      </c>
      <c r="W116" t="s">
        <v>978</v>
      </c>
      <c r="X116">
        <v>1</v>
      </c>
      <c r="Y116" t="s">
        <v>437</v>
      </c>
      <c r="Z116">
        <v>0</v>
      </c>
      <c r="AA116" t="s">
        <v>978</v>
      </c>
      <c r="AB116" t="s">
        <v>978</v>
      </c>
      <c r="AC116" t="s">
        <v>978</v>
      </c>
      <c r="AD116" t="s">
        <v>978</v>
      </c>
      <c r="AE116">
        <v>0</v>
      </c>
      <c r="AF116" t="s">
        <v>978</v>
      </c>
      <c r="AG116" t="s">
        <v>350</v>
      </c>
      <c r="AH116" t="s">
        <v>978</v>
      </c>
    </row>
    <row r="117" spans="1:34" hidden="1" x14ac:dyDescent="0.25">
      <c r="A117">
        <v>12.36</v>
      </c>
      <c r="B117" t="s">
        <v>712</v>
      </c>
      <c r="C117" t="s">
        <v>357</v>
      </c>
      <c r="D117" t="s">
        <v>519</v>
      </c>
      <c r="E117" t="s">
        <v>978</v>
      </c>
      <c r="F117" t="s">
        <v>978</v>
      </c>
      <c r="G117" t="s">
        <v>280</v>
      </c>
      <c r="H117" t="s">
        <v>949</v>
      </c>
      <c r="I117" t="s">
        <v>35</v>
      </c>
      <c r="J117" t="s">
        <v>978</v>
      </c>
      <c r="K117">
        <v>1</v>
      </c>
      <c r="L117">
        <v>2</v>
      </c>
      <c r="M117" t="s">
        <v>44</v>
      </c>
      <c r="N117">
        <v>1</v>
      </c>
      <c r="O117">
        <v>2</v>
      </c>
      <c r="P117">
        <v>1</v>
      </c>
      <c r="Q117" t="s">
        <v>32</v>
      </c>
      <c r="R117">
        <v>2</v>
      </c>
      <c r="S117">
        <v>2</v>
      </c>
      <c r="T117">
        <v>2</v>
      </c>
      <c r="U117" t="s">
        <v>978</v>
      </c>
      <c r="V117" t="s">
        <v>978</v>
      </c>
      <c r="W117" t="s">
        <v>978</v>
      </c>
      <c r="X117">
        <v>1</v>
      </c>
      <c r="Y117" t="s">
        <v>438</v>
      </c>
      <c r="Z117">
        <v>2</v>
      </c>
      <c r="AA117">
        <v>2</v>
      </c>
      <c r="AB117" t="s">
        <v>978</v>
      </c>
      <c r="AC117" t="s">
        <v>978</v>
      </c>
      <c r="AD117" t="s">
        <v>978</v>
      </c>
      <c r="AE117">
        <v>1</v>
      </c>
      <c r="AF117" t="s">
        <v>978</v>
      </c>
      <c r="AG117" t="s">
        <v>286</v>
      </c>
      <c r="AH117" t="s">
        <v>978</v>
      </c>
    </row>
    <row r="118" spans="1:34" x14ac:dyDescent="0.25">
      <c r="A118" s="560">
        <v>12.361000000000001</v>
      </c>
      <c r="B118" t="s">
        <v>713</v>
      </c>
      <c r="C118" t="s">
        <v>357</v>
      </c>
      <c r="D118" t="s">
        <v>519</v>
      </c>
      <c r="E118" t="s">
        <v>978</v>
      </c>
      <c r="F118" t="s">
        <v>978</v>
      </c>
      <c r="G118" t="s">
        <v>280</v>
      </c>
      <c r="H118" t="s">
        <v>1000</v>
      </c>
      <c r="I118" t="s">
        <v>41</v>
      </c>
      <c r="J118" t="s">
        <v>439</v>
      </c>
      <c r="K118">
        <v>2</v>
      </c>
      <c r="L118">
        <v>2</v>
      </c>
      <c r="M118" t="s">
        <v>44</v>
      </c>
      <c r="N118">
        <v>1</v>
      </c>
      <c r="O118">
        <v>2</v>
      </c>
      <c r="P118">
        <v>1</v>
      </c>
      <c r="Q118" t="s">
        <v>43</v>
      </c>
      <c r="R118">
        <v>1</v>
      </c>
      <c r="S118">
        <v>1</v>
      </c>
      <c r="T118">
        <v>1</v>
      </c>
      <c r="U118" t="s">
        <v>978</v>
      </c>
      <c r="V118" t="s">
        <v>978</v>
      </c>
      <c r="W118" t="s">
        <v>978</v>
      </c>
      <c r="X118">
        <v>1</v>
      </c>
      <c r="Y118" t="s">
        <v>440</v>
      </c>
      <c r="Z118">
        <v>2</v>
      </c>
      <c r="AA118">
        <v>2</v>
      </c>
      <c r="AB118" t="s">
        <v>978</v>
      </c>
      <c r="AC118" t="s">
        <v>978</v>
      </c>
      <c r="AD118" t="s">
        <v>978</v>
      </c>
      <c r="AE118">
        <v>1</v>
      </c>
      <c r="AF118" t="s">
        <v>978</v>
      </c>
      <c r="AG118" t="s">
        <v>350</v>
      </c>
      <c r="AH118" t="s">
        <v>978</v>
      </c>
    </row>
    <row r="119" spans="1:34" hidden="1" x14ac:dyDescent="0.25">
      <c r="A119">
        <v>12.37</v>
      </c>
      <c r="B119" t="s">
        <v>715</v>
      </c>
      <c r="C119" t="s">
        <v>357</v>
      </c>
      <c r="D119" t="s">
        <v>519</v>
      </c>
      <c r="E119" t="s">
        <v>978</v>
      </c>
      <c r="F119" t="s">
        <v>978</v>
      </c>
      <c r="G119" t="s">
        <v>280</v>
      </c>
      <c r="H119" t="s">
        <v>442</v>
      </c>
      <c r="I119" t="s">
        <v>35</v>
      </c>
      <c r="J119" t="s">
        <v>978</v>
      </c>
      <c r="K119">
        <v>1</v>
      </c>
      <c r="L119">
        <v>1</v>
      </c>
      <c r="M119" t="s">
        <v>44</v>
      </c>
      <c r="N119">
        <v>1</v>
      </c>
      <c r="O119">
        <v>1</v>
      </c>
      <c r="P119">
        <v>1</v>
      </c>
      <c r="Q119" t="s">
        <v>32</v>
      </c>
      <c r="R119">
        <v>1</v>
      </c>
      <c r="S119">
        <v>1</v>
      </c>
      <c r="T119">
        <v>1</v>
      </c>
      <c r="U119" t="s">
        <v>978</v>
      </c>
      <c r="V119" t="s">
        <v>978</v>
      </c>
      <c r="W119" t="s">
        <v>978</v>
      </c>
      <c r="X119">
        <v>1</v>
      </c>
      <c r="Y119" t="s">
        <v>443</v>
      </c>
      <c r="Z119">
        <v>1</v>
      </c>
      <c r="AA119">
        <v>1</v>
      </c>
      <c r="AB119" t="s">
        <v>978</v>
      </c>
      <c r="AC119" t="s">
        <v>978</v>
      </c>
      <c r="AD119" t="s">
        <v>978</v>
      </c>
      <c r="AE119">
        <v>1</v>
      </c>
      <c r="AF119" t="s">
        <v>978</v>
      </c>
      <c r="AG119" t="s">
        <v>286</v>
      </c>
      <c r="AH119" t="s">
        <v>978</v>
      </c>
    </row>
    <row r="120" spans="1:34" x14ac:dyDescent="0.25">
      <c r="A120" s="560">
        <v>12.372999999999999</v>
      </c>
      <c r="B120" t="s">
        <v>716</v>
      </c>
      <c r="C120" t="s">
        <v>313</v>
      </c>
      <c r="D120" t="s">
        <v>516</v>
      </c>
      <c r="E120" t="s">
        <v>978</v>
      </c>
      <c r="F120" t="s">
        <v>978</v>
      </c>
      <c r="G120" t="s">
        <v>259</v>
      </c>
      <c r="H120" t="s">
        <v>950</v>
      </c>
      <c r="I120" t="s">
        <v>41</v>
      </c>
      <c r="J120" t="s">
        <v>978</v>
      </c>
      <c r="K120">
        <v>1</v>
      </c>
      <c r="L120">
        <v>4</v>
      </c>
      <c r="M120" t="s">
        <v>44</v>
      </c>
      <c r="N120">
        <v>1</v>
      </c>
      <c r="O120">
        <v>4</v>
      </c>
      <c r="P120">
        <v>1</v>
      </c>
      <c r="Q120" t="s">
        <v>32</v>
      </c>
      <c r="R120">
        <v>4</v>
      </c>
      <c r="S120">
        <v>4</v>
      </c>
      <c r="T120">
        <v>3</v>
      </c>
      <c r="U120" t="s">
        <v>978</v>
      </c>
      <c r="V120">
        <v>1</v>
      </c>
      <c r="W120" t="s">
        <v>978</v>
      </c>
      <c r="X120">
        <v>0.75</v>
      </c>
      <c r="Y120" t="s">
        <v>978</v>
      </c>
      <c r="Z120">
        <v>4</v>
      </c>
      <c r="AA120">
        <v>4</v>
      </c>
      <c r="AB120" t="s">
        <v>978</v>
      </c>
      <c r="AC120" t="s">
        <v>978</v>
      </c>
      <c r="AD120" t="s">
        <v>978</v>
      </c>
      <c r="AE120">
        <v>1</v>
      </c>
      <c r="AF120" t="s">
        <v>978</v>
      </c>
      <c r="AG120" t="s">
        <v>312</v>
      </c>
      <c r="AH120" t="s">
        <v>978</v>
      </c>
    </row>
    <row r="121" spans="1:34" hidden="1" x14ac:dyDescent="0.25">
      <c r="A121">
        <v>12.412000000000001</v>
      </c>
      <c r="B121" t="s">
        <v>738</v>
      </c>
      <c r="C121" t="s">
        <v>320</v>
      </c>
      <c r="D121" t="s">
        <v>513</v>
      </c>
      <c r="E121" t="s">
        <v>978</v>
      </c>
      <c r="F121" t="s">
        <v>951</v>
      </c>
      <c r="G121" t="s">
        <v>259</v>
      </c>
      <c r="H121" t="s">
        <v>952</v>
      </c>
      <c r="I121" t="s">
        <v>41</v>
      </c>
      <c r="J121" t="s">
        <v>978</v>
      </c>
      <c r="K121">
        <v>1</v>
      </c>
      <c r="L121">
        <v>2</v>
      </c>
      <c r="M121" t="s">
        <v>44</v>
      </c>
      <c r="N121">
        <v>1</v>
      </c>
      <c r="O121">
        <v>2</v>
      </c>
      <c r="P121">
        <v>1</v>
      </c>
      <c r="Q121" t="s">
        <v>32</v>
      </c>
      <c r="R121">
        <v>2</v>
      </c>
      <c r="S121">
        <v>2</v>
      </c>
      <c r="T121">
        <v>2</v>
      </c>
      <c r="U121" t="s">
        <v>978</v>
      </c>
      <c r="V121" t="s">
        <v>978</v>
      </c>
      <c r="W121" t="s">
        <v>978</v>
      </c>
      <c r="X121">
        <v>1</v>
      </c>
      <c r="Y121" t="s">
        <v>454</v>
      </c>
      <c r="Z121">
        <v>0</v>
      </c>
      <c r="AA121" t="s">
        <v>978</v>
      </c>
      <c r="AB121" t="s">
        <v>978</v>
      </c>
      <c r="AC121" t="s">
        <v>978</v>
      </c>
      <c r="AD121" t="s">
        <v>978</v>
      </c>
      <c r="AE121">
        <v>0</v>
      </c>
      <c r="AF121" t="s">
        <v>978</v>
      </c>
      <c r="AG121" t="s">
        <v>309</v>
      </c>
      <c r="AH121" t="s">
        <v>978</v>
      </c>
    </row>
    <row r="122" spans="1:34" hidden="1" x14ac:dyDescent="0.25">
      <c r="A122">
        <v>12.42</v>
      </c>
      <c r="B122" t="s">
        <v>744</v>
      </c>
      <c r="C122" t="s">
        <v>459</v>
      </c>
      <c r="D122" t="s">
        <v>520</v>
      </c>
      <c r="E122" t="s">
        <v>978</v>
      </c>
      <c r="F122" t="s">
        <v>978</v>
      </c>
      <c r="G122" t="s">
        <v>280</v>
      </c>
      <c r="H122" t="s">
        <v>460</v>
      </c>
      <c r="I122" t="s">
        <v>35</v>
      </c>
      <c r="J122" t="s">
        <v>978</v>
      </c>
      <c r="K122">
        <v>1</v>
      </c>
      <c r="L122">
        <v>1</v>
      </c>
      <c r="M122" t="s">
        <v>44</v>
      </c>
      <c r="N122">
        <v>1</v>
      </c>
      <c r="O122">
        <v>1</v>
      </c>
      <c r="P122">
        <v>1</v>
      </c>
      <c r="Q122" t="s">
        <v>32</v>
      </c>
      <c r="R122">
        <v>1</v>
      </c>
      <c r="S122">
        <v>0</v>
      </c>
      <c r="T122" t="s">
        <v>978</v>
      </c>
      <c r="U122" t="s">
        <v>978</v>
      </c>
      <c r="V122" t="s">
        <v>978</v>
      </c>
      <c r="W122" t="s">
        <v>978</v>
      </c>
      <c r="X122">
        <v>0</v>
      </c>
      <c r="Y122" t="s">
        <v>978</v>
      </c>
      <c r="Z122">
        <v>0</v>
      </c>
      <c r="AA122" t="s">
        <v>978</v>
      </c>
      <c r="AB122" t="s">
        <v>978</v>
      </c>
      <c r="AC122" t="s">
        <v>978</v>
      </c>
      <c r="AD122" t="s">
        <v>978</v>
      </c>
      <c r="AE122">
        <v>0</v>
      </c>
      <c r="AF122" t="s">
        <v>978</v>
      </c>
      <c r="AG122" t="s">
        <v>277</v>
      </c>
      <c r="AH122" t="s">
        <v>978</v>
      </c>
    </row>
    <row r="123" spans="1:34" hidden="1" x14ac:dyDescent="0.25">
      <c r="A123">
        <v>12.429</v>
      </c>
      <c r="B123" t="s">
        <v>749</v>
      </c>
      <c r="C123" t="s">
        <v>332</v>
      </c>
      <c r="D123" t="s">
        <v>521</v>
      </c>
      <c r="E123" t="s">
        <v>978</v>
      </c>
      <c r="F123" t="s">
        <v>978</v>
      </c>
      <c r="G123" t="s">
        <v>259</v>
      </c>
      <c r="H123" t="s">
        <v>464</v>
      </c>
      <c r="I123" t="s">
        <v>465</v>
      </c>
      <c r="J123" t="s">
        <v>978</v>
      </c>
      <c r="K123">
        <v>1</v>
      </c>
      <c r="L123">
        <v>1</v>
      </c>
      <c r="M123" t="s">
        <v>44</v>
      </c>
      <c r="N123">
        <v>1</v>
      </c>
      <c r="O123">
        <v>1</v>
      </c>
      <c r="P123">
        <v>1</v>
      </c>
      <c r="Q123" t="s">
        <v>43</v>
      </c>
      <c r="R123">
        <v>1</v>
      </c>
      <c r="S123">
        <v>1</v>
      </c>
      <c r="T123">
        <v>1</v>
      </c>
      <c r="U123" t="s">
        <v>978</v>
      </c>
      <c r="V123" t="s">
        <v>978</v>
      </c>
      <c r="W123" t="s">
        <v>978</v>
      </c>
      <c r="X123">
        <v>1</v>
      </c>
      <c r="Y123" t="s">
        <v>466</v>
      </c>
      <c r="Z123">
        <v>0</v>
      </c>
      <c r="AA123" t="s">
        <v>978</v>
      </c>
      <c r="AB123" t="s">
        <v>978</v>
      </c>
      <c r="AC123" t="s">
        <v>978</v>
      </c>
      <c r="AD123" t="s">
        <v>978</v>
      </c>
      <c r="AE123">
        <v>0</v>
      </c>
      <c r="AF123" t="s">
        <v>978</v>
      </c>
      <c r="AG123" t="s">
        <v>309</v>
      </c>
      <c r="AH123" t="s">
        <v>978</v>
      </c>
    </row>
    <row r="124" spans="1:34" hidden="1" x14ac:dyDescent="0.25">
      <c r="A124">
        <v>12.43</v>
      </c>
      <c r="B124" t="s">
        <v>750</v>
      </c>
      <c r="C124" t="s">
        <v>467</v>
      </c>
      <c r="D124" t="s">
        <v>521</v>
      </c>
      <c r="E124" t="s">
        <v>978</v>
      </c>
      <c r="F124" t="s">
        <v>978</v>
      </c>
      <c r="G124" t="s">
        <v>259</v>
      </c>
      <c r="H124" t="s">
        <v>468</v>
      </c>
      <c r="I124" t="s">
        <v>41</v>
      </c>
      <c r="J124" t="s">
        <v>978</v>
      </c>
      <c r="K124">
        <v>1</v>
      </c>
      <c r="L124">
        <v>2</v>
      </c>
      <c r="M124" t="s">
        <v>44</v>
      </c>
      <c r="N124">
        <v>1</v>
      </c>
      <c r="O124">
        <v>2</v>
      </c>
      <c r="P124">
        <v>1</v>
      </c>
      <c r="Q124" t="s">
        <v>43</v>
      </c>
      <c r="R124">
        <v>2</v>
      </c>
      <c r="S124">
        <v>2</v>
      </c>
      <c r="T124">
        <v>2</v>
      </c>
      <c r="U124" t="s">
        <v>978</v>
      </c>
      <c r="V124" t="s">
        <v>978</v>
      </c>
      <c r="W124" t="s">
        <v>978</v>
      </c>
      <c r="X124">
        <v>1</v>
      </c>
      <c r="Y124" t="s">
        <v>978</v>
      </c>
      <c r="Z124">
        <v>0</v>
      </c>
      <c r="AA124" t="s">
        <v>978</v>
      </c>
      <c r="AB124" t="s">
        <v>978</v>
      </c>
      <c r="AC124" t="s">
        <v>978</v>
      </c>
      <c r="AD124" t="s">
        <v>978</v>
      </c>
      <c r="AE124">
        <v>0</v>
      </c>
      <c r="AF124" t="s">
        <v>978</v>
      </c>
      <c r="AG124" t="s">
        <v>312</v>
      </c>
      <c r="AH124" t="s">
        <v>978</v>
      </c>
    </row>
    <row r="125" spans="1:34" x14ac:dyDescent="0.25">
      <c r="A125" s="560">
        <v>12.439</v>
      </c>
      <c r="B125" t="s">
        <v>752</v>
      </c>
      <c r="C125" t="s">
        <v>470</v>
      </c>
      <c r="D125" t="s">
        <v>514</v>
      </c>
      <c r="E125" t="s">
        <v>978</v>
      </c>
      <c r="F125" t="s">
        <v>978</v>
      </c>
      <c r="G125" t="s">
        <v>280</v>
      </c>
      <c r="H125" t="s">
        <v>471</v>
      </c>
      <c r="I125" t="s">
        <v>41</v>
      </c>
      <c r="J125" t="s">
        <v>978</v>
      </c>
      <c r="K125">
        <v>1</v>
      </c>
      <c r="L125">
        <v>1</v>
      </c>
      <c r="M125" t="s">
        <v>44</v>
      </c>
      <c r="N125">
        <v>1</v>
      </c>
      <c r="O125">
        <v>1</v>
      </c>
      <c r="P125">
        <v>1</v>
      </c>
      <c r="Q125" t="s">
        <v>32</v>
      </c>
      <c r="R125">
        <v>1</v>
      </c>
      <c r="S125">
        <v>0</v>
      </c>
      <c r="T125" t="s">
        <v>978</v>
      </c>
      <c r="U125" t="s">
        <v>978</v>
      </c>
      <c r="V125" t="s">
        <v>978</v>
      </c>
      <c r="W125" t="s">
        <v>978</v>
      </c>
      <c r="X125">
        <v>0</v>
      </c>
      <c r="Y125" t="s">
        <v>978</v>
      </c>
      <c r="Z125">
        <v>0</v>
      </c>
      <c r="AA125" t="s">
        <v>978</v>
      </c>
      <c r="AB125" t="s">
        <v>978</v>
      </c>
      <c r="AC125" t="s">
        <v>978</v>
      </c>
      <c r="AD125" t="s">
        <v>978</v>
      </c>
      <c r="AE125">
        <v>0</v>
      </c>
      <c r="AF125" t="s">
        <v>978</v>
      </c>
      <c r="AG125" t="s">
        <v>350</v>
      </c>
      <c r="AH125" t="s">
        <v>978</v>
      </c>
    </row>
    <row r="126" spans="1:34" hidden="1" x14ac:dyDescent="0.25">
      <c r="A126">
        <v>12.444000000000001</v>
      </c>
      <c r="B126" t="s">
        <v>756</v>
      </c>
      <c r="C126" t="s">
        <v>332</v>
      </c>
      <c r="D126" t="s">
        <v>521</v>
      </c>
      <c r="E126" t="s">
        <v>978</v>
      </c>
      <c r="F126" t="s">
        <v>978</v>
      </c>
      <c r="G126" t="s">
        <v>280</v>
      </c>
      <c r="H126" t="s">
        <v>953</v>
      </c>
      <c r="I126" t="s">
        <v>41</v>
      </c>
      <c r="J126" t="s">
        <v>978</v>
      </c>
      <c r="K126">
        <v>1</v>
      </c>
      <c r="L126">
        <v>4</v>
      </c>
      <c r="M126" t="s">
        <v>44</v>
      </c>
      <c r="N126">
        <v>1</v>
      </c>
      <c r="O126">
        <v>4</v>
      </c>
      <c r="P126">
        <v>1</v>
      </c>
      <c r="Q126" t="s">
        <v>43</v>
      </c>
      <c r="R126">
        <v>4</v>
      </c>
      <c r="S126">
        <v>4</v>
      </c>
      <c r="T126">
        <v>4</v>
      </c>
      <c r="U126" t="s">
        <v>978</v>
      </c>
      <c r="V126" t="s">
        <v>978</v>
      </c>
      <c r="W126" t="s">
        <v>978</v>
      </c>
      <c r="X126">
        <v>1</v>
      </c>
      <c r="Y126" t="s">
        <v>978</v>
      </c>
      <c r="Z126">
        <v>0</v>
      </c>
      <c r="AA126" t="s">
        <v>978</v>
      </c>
      <c r="AB126" t="s">
        <v>978</v>
      </c>
      <c r="AC126" t="s">
        <v>978</v>
      </c>
      <c r="AD126" t="s">
        <v>978</v>
      </c>
      <c r="AE126">
        <v>0</v>
      </c>
      <c r="AF126" t="s">
        <v>978</v>
      </c>
      <c r="AG126" t="s">
        <v>350</v>
      </c>
      <c r="AH126" t="s">
        <v>978</v>
      </c>
    </row>
    <row r="127" spans="1:34" hidden="1" x14ac:dyDescent="0.25">
      <c r="A127">
        <v>12.445</v>
      </c>
      <c r="B127" t="s">
        <v>757</v>
      </c>
      <c r="C127" t="s">
        <v>357</v>
      </c>
      <c r="D127" t="s">
        <v>519</v>
      </c>
      <c r="E127" t="s">
        <v>978</v>
      </c>
      <c r="F127" t="s">
        <v>978</v>
      </c>
      <c r="G127" t="s">
        <v>280</v>
      </c>
      <c r="H127" t="s">
        <v>474</v>
      </c>
      <c r="I127" t="s">
        <v>41</v>
      </c>
      <c r="J127" t="s">
        <v>475</v>
      </c>
      <c r="K127">
        <v>1</v>
      </c>
      <c r="L127">
        <v>4</v>
      </c>
      <c r="M127" t="s">
        <v>44</v>
      </c>
      <c r="N127">
        <v>1</v>
      </c>
      <c r="O127">
        <v>4</v>
      </c>
      <c r="P127">
        <v>1</v>
      </c>
      <c r="Q127" t="s">
        <v>43</v>
      </c>
      <c r="R127">
        <v>4</v>
      </c>
      <c r="S127">
        <v>4</v>
      </c>
      <c r="T127">
        <v>4</v>
      </c>
      <c r="U127" t="s">
        <v>978</v>
      </c>
      <c r="V127" t="s">
        <v>978</v>
      </c>
      <c r="W127" t="s">
        <v>978</v>
      </c>
      <c r="X127">
        <v>1</v>
      </c>
      <c r="Y127" t="s">
        <v>440</v>
      </c>
      <c r="Z127">
        <v>4</v>
      </c>
      <c r="AA127">
        <v>4</v>
      </c>
      <c r="AB127" t="s">
        <v>978</v>
      </c>
      <c r="AC127" t="s">
        <v>978</v>
      </c>
      <c r="AD127" t="s">
        <v>978</v>
      </c>
      <c r="AE127">
        <v>1</v>
      </c>
      <c r="AF127" t="s">
        <v>978</v>
      </c>
      <c r="AG127" t="s">
        <v>350</v>
      </c>
      <c r="AH127" t="s">
        <v>978</v>
      </c>
    </row>
    <row r="128" spans="1:34" hidden="1" x14ac:dyDescent="0.25">
      <c r="A128">
        <v>12.448</v>
      </c>
      <c r="B128" t="s">
        <v>760</v>
      </c>
      <c r="C128" t="s">
        <v>467</v>
      </c>
      <c r="D128" t="s">
        <v>521</v>
      </c>
      <c r="E128" t="s">
        <v>978</v>
      </c>
      <c r="F128" t="s">
        <v>978</v>
      </c>
      <c r="G128" t="s">
        <v>280</v>
      </c>
      <c r="H128" t="s">
        <v>478</v>
      </c>
      <c r="I128" t="s">
        <v>41</v>
      </c>
      <c r="J128" t="s">
        <v>978</v>
      </c>
      <c r="K128">
        <v>1</v>
      </c>
      <c r="L128">
        <v>1</v>
      </c>
      <c r="M128" t="s">
        <v>44</v>
      </c>
      <c r="N128">
        <v>1</v>
      </c>
      <c r="O128">
        <v>1</v>
      </c>
      <c r="P128">
        <v>1</v>
      </c>
      <c r="Q128" t="s">
        <v>43</v>
      </c>
      <c r="R128">
        <v>1</v>
      </c>
      <c r="S128">
        <v>1</v>
      </c>
      <c r="T128">
        <v>1</v>
      </c>
      <c r="U128" t="s">
        <v>978</v>
      </c>
      <c r="V128" t="s">
        <v>978</v>
      </c>
      <c r="W128" t="s">
        <v>978</v>
      </c>
      <c r="X128">
        <v>1</v>
      </c>
      <c r="Y128" t="s">
        <v>978</v>
      </c>
      <c r="Z128">
        <v>0</v>
      </c>
      <c r="AA128" t="s">
        <v>978</v>
      </c>
      <c r="AB128" t="s">
        <v>978</v>
      </c>
      <c r="AC128" t="s">
        <v>978</v>
      </c>
      <c r="AD128" t="s">
        <v>978</v>
      </c>
      <c r="AE128">
        <v>0</v>
      </c>
      <c r="AF128" t="s">
        <v>978</v>
      </c>
      <c r="AG128" t="s">
        <v>350</v>
      </c>
      <c r="AH128" t="s">
        <v>978</v>
      </c>
    </row>
    <row r="129" spans="1:34" x14ac:dyDescent="0.25">
      <c r="A129" s="560">
        <v>12.449</v>
      </c>
      <c r="B129" t="s">
        <v>761</v>
      </c>
      <c r="C129" t="s">
        <v>467</v>
      </c>
      <c r="D129" t="s">
        <v>521</v>
      </c>
      <c r="E129" t="s">
        <v>978</v>
      </c>
      <c r="F129" t="s">
        <v>978</v>
      </c>
      <c r="G129" t="s">
        <v>259</v>
      </c>
      <c r="H129" t="s">
        <v>479</v>
      </c>
      <c r="I129" t="s">
        <v>41</v>
      </c>
      <c r="J129" t="s">
        <v>978</v>
      </c>
      <c r="K129">
        <v>1</v>
      </c>
      <c r="L129">
        <v>2</v>
      </c>
      <c r="M129" t="s">
        <v>44</v>
      </c>
      <c r="N129">
        <v>1</v>
      </c>
      <c r="O129">
        <v>2</v>
      </c>
      <c r="P129">
        <v>1</v>
      </c>
      <c r="Q129" t="s">
        <v>43</v>
      </c>
      <c r="R129">
        <v>2</v>
      </c>
      <c r="S129">
        <v>2</v>
      </c>
      <c r="T129">
        <v>2</v>
      </c>
      <c r="U129" t="s">
        <v>978</v>
      </c>
      <c r="V129" t="s">
        <v>978</v>
      </c>
      <c r="W129" t="s">
        <v>978</v>
      </c>
      <c r="X129">
        <v>1</v>
      </c>
      <c r="Y129" t="s">
        <v>978</v>
      </c>
      <c r="Z129">
        <v>0</v>
      </c>
      <c r="AA129" t="s">
        <v>978</v>
      </c>
      <c r="AB129" t="s">
        <v>978</v>
      </c>
      <c r="AC129" t="s">
        <v>978</v>
      </c>
      <c r="AD129" t="s">
        <v>978</v>
      </c>
      <c r="AE129">
        <v>0</v>
      </c>
      <c r="AF129" t="s">
        <v>978</v>
      </c>
      <c r="AG129" t="s">
        <v>286</v>
      </c>
      <c r="AH129" t="s">
        <v>978</v>
      </c>
    </row>
    <row r="130" spans="1:34" ht="35.25" customHeight="1" x14ac:dyDescent="0.25">
      <c r="A130" s="560">
        <v>12.45</v>
      </c>
      <c r="B130" t="s">
        <v>762</v>
      </c>
      <c r="C130" t="s">
        <v>357</v>
      </c>
      <c r="D130" t="s">
        <v>519</v>
      </c>
      <c r="E130" t="s">
        <v>978</v>
      </c>
      <c r="F130" t="s">
        <v>978</v>
      </c>
      <c r="G130" t="s">
        <v>280</v>
      </c>
      <c r="H130" t="s">
        <v>480</v>
      </c>
      <c r="I130" t="s">
        <v>41</v>
      </c>
      <c r="J130" t="s">
        <v>978</v>
      </c>
      <c r="K130">
        <v>1</v>
      </c>
      <c r="L130">
        <v>4</v>
      </c>
      <c r="M130" t="s">
        <v>44</v>
      </c>
      <c r="N130">
        <v>1</v>
      </c>
      <c r="O130">
        <v>4</v>
      </c>
      <c r="P130">
        <v>1</v>
      </c>
      <c r="Q130" t="s">
        <v>43</v>
      </c>
      <c r="R130">
        <v>4</v>
      </c>
      <c r="S130">
        <v>4</v>
      </c>
      <c r="T130">
        <v>4</v>
      </c>
      <c r="U130" t="s">
        <v>978</v>
      </c>
      <c r="V130" t="s">
        <v>978</v>
      </c>
      <c r="W130" t="s">
        <v>978</v>
      </c>
      <c r="X130">
        <v>1</v>
      </c>
      <c r="Y130" t="s">
        <v>481</v>
      </c>
      <c r="Z130">
        <v>4</v>
      </c>
      <c r="AA130">
        <v>4</v>
      </c>
      <c r="AB130" t="s">
        <v>978</v>
      </c>
      <c r="AC130" t="s">
        <v>978</v>
      </c>
      <c r="AD130" t="s">
        <v>978</v>
      </c>
      <c r="AE130">
        <v>1</v>
      </c>
      <c r="AF130" t="s">
        <v>978</v>
      </c>
      <c r="AG130" t="s">
        <v>277</v>
      </c>
      <c r="AH130" t="s">
        <v>978</v>
      </c>
    </row>
    <row r="131" spans="1:34" x14ac:dyDescent="0.25">
      <c r="A131" s="560">
        <v>12.451000000000001</v>
      </c>
      <c r="B131" t="s">
        <v>763</v>
      </c>
      <c r="C131" t="s">
        <v>332</v>
      </c>
      <c r="D131" t="s">
        <v>521</v>
      </c>
      <c r="E131" t="s">
        <v>978</v>
      </c>
      <c r="F131" t="s">
        <v>978</v>
      </c>
      <c r="G131" t="s">
        <v>259</v>
      </c>
      <c r="H131" t="s">
        <v>482</v>
      </c>
      <c r="I131" t="s">
        <v>41</v>
      </c>
      <c r="J131" t="s">
        <v>978</v>
      </c>
      <c r="K131">
        <v>1</v>
      </c>
      <c r="L131">
        <v>2</v>
      </c>
      <c r="M131" t="s">
        <v>44</v>
      </c>
      <c r="N131">
        <v>1</v>
      </c>
      <c r="O131">
        <v>2</v>
      </c>
      <c r="P131">
        <v>1</v>
      </c>
      <c r="Q131" t="s">
        <v>43</v>
      </c>
      <c r="R131">
        <v>2</v>
      </c>
      <c r="S131">
        <v>2</v>
      </c>
      <c r="T131">
        <v>2</v>
      </c>
      <c r="U131" t="s">
        <v>978</v>
      </c>
      <c r="V131" t="s">
        <v>978</v>
      </c>
      <c r="W131" t="s">
        <v>978</v>
      </c>
      <c r="X131">
        <v>1</v>
      </c>
      <c r="Y131" t="s">
        <v>483</v>
      </c>
      <c r="Z131">
        <v>0</v>
      </c>
      <c r="AA131" t="s">
        <v>978</v>
      </c>
      <c r="AB131" t="s">
        <v>978</v>
      </c>
      <c r="AC131" t="s">
        <v>978</v>
      </c>
      <c r="AD131" t="s">
        <v>978</v>
      </c>
      <c r="AE131">
        <v>0</v>
      </c>
      <c r="AF131" t="s">
        <v>978</v>
      </c>
      <c r="AG131" t="s">
        <v>286</v>
      </c>
      <c r="AH131" t="s">
        <v>978</v>
      </c>
    </row>
    <row r="132" spans="1:34" x14ac:dyDescent="0.25">
      <c r="A132" s="560">
        <v>12.452999999999999</v>
      </c>
      <c r="B132" t="s">
        <v>765</v>
      </c>
      <c r="C132" t="s">
        <v>313</v>
      </c>
      <c r="D132" t="s">
        <v>520</v>
      </c>
      <c r="E132" t="s">
        <v>978</v>
      </c>
      <c r="F132" t="s">
        <v>978</v>
      </c>
      <c r="G132" t="s">
        <v>280</v>
      </c>
      <c r="H132" t="s">
        <v>484</v>
      </c>
      <c r="I132" t="s">
        <v>41</v>
      </c>
      <c r="J132" t="s">
        <v>978</v>
      </c>
      <c r="K132">
        <v>1</v>
      </c>
      <c r="L132">
        <v>1</v>
      </c>
      <c r="M132" t="s">
        <v>44</v>
      </c>
      <c r="N132">
        <v>1</v>
      </c>
      <c r="O132">
        <v>1</v>
      </c>
      <c r="P132">
        <v>1</v>
      </c>
      <c r="Q132" t="s">
        <v>32</v>
      </c>
      <c r="R132">
        <v>1</v>
      </c>
      <c r="S132">
        <v>1</v>
      </c>
      <c r="T132">
        <v>1</v>
      </c>
      <c r="U132" t="s">
        <v>978</v>
      </c>
      <c r="V132" t="s">
        <v>978</v>
      </c>
      <c r="W132" t="s">
        <v>978</v>
      </c>
      <c r="X132">
        <v>1</v>
      </c>
      <c r="Y132" t="s">
        <v>978</v>
      </c>
      <c r="Z132">
        <v>0</v>
      </c>
      <c r="AA132" t="s">
        <v>978</v>
      </c>
      <c r="AB132" t="s">
        <v>978</v>
      </c>
      <c r="AC132" t="s">
        <v>978</v>
      </c>
      <c r="AD132" t="s">
        <v>978</v>
      </c>
      <c r="AE132">
        <v>0</v>
      </c>
      <c r="AF132" t="s">
        <v>978</v>
      </c>
      <c r="AG132" t="s">
        <v>286</v>
      </c>
      <c r="AH132" t="s">
        <v>978</v>
      </c>
    </row>
    <row r="133" spans="1:34" x14ac:dyDescent="0.25">
      <c r="A133" s="560">
        <v>12.454000000000001</v>
      </c>
      <c r="B133" t="s">
        <v>766</v>
      </c>
      <c r="C133" t="s">
        <v>334</v>
      </c>
      <c r="D133" t="s">
        <v>513</v>
      </c>
      <c r="E133" t="s">
        <v>978</v>
      </c>
      <c r="F133" t="s">
        <v>978</v>
      </c>
      <c r="G133" t="s">
        <v>280</v>
      </c>
      <c r="H133" t="s">
        <v>485</v>
      </c>
      <c r="I133" t="s">
        <v>41</v>
      </c>
      <c r="J133" t="s">
        <v>352</v>
      </c>
      <c r="K133">
        <v>1</v>
      </c>
      <c r="L133">
        <v>2</v>
      </c>
      <c r="M133" t="s">
        <v>44</v>
      </c>
      <c r="N133">
        <v>1</v>
      </c>
      <c r="O133">
        <v>2</v>
      </c>
      <c r="P133">
        <v>1</v>
      </c>
      <c r="Q133" t="s">
        <v>32</v>
      </c>
      <c r="R133">
        <v>2</v>
      </c>
      <c r="S133">
        <v>2</v>
      </c>
      <c r="T133">
        <v>2</v>
      </c>
      <c r="U133" t="s">
        <v>978</v>
      </c>
      <c r="V133" t="s">
        <v>978</v>
      </c>
      <c r="W133" t="s">
        <v>978</v>
      </c>
      <c r="X133">
        <v>1</v>
      </c>
      <c r="Y133" t="s">
        <v>978</v>
      </c>
      <c r="Z133">
        <v>2</v>
      </c>
      <c r="AA133">
        <v>2</v>
      </c>
      <c r="AB133" t="s">
        <v>978</v>
      </c>
      <c r="AC133" t="s">
        <v>978</v>
      </c>
      <c r="AD133" t="s">
        <v>978</v>
      </c>
      <c r="AE133">
        <v>1</v>
      </c>
      <c r="AF133" t="s">
        <v>978</v>
      </c>
      <c r="AG133" t="s">
        <v>350</v>
      </c>
      <c r="AH133" t="s">
        <v>978</v>
      </c>
    </row>
    <row r="134" spans="1:34" x14ac:dyDescent="0.25">
      <c r="A134" s="560">
        <v>12.455</v>
      </c>
      <c r="B134" t="s">
        <v>767</v>
      </c>
      <c r="C134" t="s">
        <v>324</v>
      </c>
      <c r="D134" t="s">
        <v>520</v>
      </c>
      <c r="E134" t="s">
        <v>978</v>
      </c>
      <c r="F134" t="s">
        <v>978</v>
      </c>
      <c r="G134" t="s">
        <v>280</v>
      </c>
      <c r="H134" t="s">
        <v>486</v>
      </c>
      <c r="I134" t="s">
        <v>35</v>
      </c>
      <c r="J134" t="s">
        <v>978</v>
      </c>
      <c r="K134">
        <v>1</v>
      </c>
      <c r="L134">
        <v>1</v>
      </c>
      <c r="M134" t="s">
        <v>44</v>
      </c>
      <c r="N134">
        <v>1</v>
      </c>
      <c r="O134">
        <v>1</v>
      </c>
      <c r="P134">
        <v>1</v>
      </c>
      <c r="Q134" t="s">
        <v>32</v>
      </c>
      <c r="R134">
        <v>1</v>
      </c>
      <c r="S134">
        <v>0</v>
      </c>
      <c r="T134" t="s">
        <v>978</v>
      </c>
      <c r="U134" t="s">
        <v>978</v>
      </c>
      <c r="V134" t="s">
        <v>978</v>
      </c>
      <c r="W134" t="s">
        <v>978</v>
      </c>
      <c r="X134">
        <v>0</v>
      </c>
      <c r="Y134" t="s">
        <v>978</v>
      </c>
      <c r="Z134">
        <v>0</v>
      </c>
      <c r="AA134" t="s">
        <v>978</v>
      </c>
      <c r="AB134" t="s">
        <v>978</v>
      </c>
      <c r="AC134" t="s">
        <v>978</v>
      </c>
      <c r="AD134" t="s">
        <v>978</v>
      </c>
      <c r="AE134">
        <v>0</v>
      </c>
      <c r="AF134" t="s">
        <v>978</v>
      </c>
      <c r="AG134" t="s">
        <v>286</v>
      </c>
      <c r="AH134" t="s">
        <v>978</v>
      </c>
    </row>
    <row r="135" spans="1:34" x14ac:dyDescent="0.25">
      <c r="A135" s="560">
        <v>12.46</v>
      </c>
      <c r="B135" t="s">
        <v>771</v>
      </c>
      <c r="C135" t="s">
        <v>332</v>
      </c>
      <c r="D135" t="s">
        <v>521</v>
      </c>
      <c r="E135" t="s">
        <v>978</v>
      </c>
      <c r="F135" t="s">
        <v>978</v>
      </c>
      <c r="G135" t="s">
        <v>280</v>
      </c>
      <c r="H135" t="s">
        <v>487</v>
      </c>
      <c r="I135" t="s">
        <v>41</v>
      </c>
      <c r="J135" t="s">
        <v>978</v>
      </c>
      <c r="K135">
        <v>1</v>
      </c>
      <c r="L135">
        <v>8</v>
      </c>
      <c r="M135" t="s">
        <v>44</v>
      </c>
      <c r="N135">
        <v>1</v>
      </c>
      <c r="O135">
        <v>8</v>
      </c>
      <c r="P135">
        <v>1</v>
      </c>
      <c r="Q135" t="s">
        <v>43</v>
      </c>
      <c r="R135">
        <v>4</v>
      </c>
      <c r="S135">
        <v>4</v>
      </c>
      <c r="T135">
        <v>4</v>
      </c>
      <c r="U135" t="s">
        <v>978</v>
      </c>
      <c r="V135" t="s">
        <v>978</v>
      </c>
      <c r="W135" t="s">
        <v>978</v>
      </c>
      <c r="X135">
        <v>1</v>
      </c>
      <c r="Y135" t="s">
        <v>978</v>
      </c>
      <c r="Z135">
        <v>0</v>
      </c>
      <c r="AA135" t="s">
        <v>978</v>
      </c>
      <c r="AB135" t="s">
        <v>978</v>
      </c>
      <c r="AC135" t="s">
        <v>978</v>
      </c>
      <c r="AD135" t="s">
        <v>978</v>
      </c>
      <c r="AE135">
        <v>0</v>
      </c>
      <c r="AF135" t="s">
        <v>978</v>
      </c>
      <c r="AG135" t="s">
        <v>277</v>
      </c>
      <c r="AH135" t="s">
        <v>978</v>
      </c>
    </row>
    <row r="136" spans="1:34" x14ac:dyDescent="0.25">
      <c r="A136" s="560">
        <v>12.461</v>
      </c>
      <c r="B136" t="s">
        <v>772</v>
      </c>
      <c r="C136" t="s">
        <v>332</v>
      </c>
      <c r="D136" t="s">
        <v>521</v>
      </c>
      <c r="E136" t="s">
        <v>978</v>
      </c>
      <c r="F136" t="s">
        <v>978</v>
      </c>
      <c r="G136" t="s">
        <v>280</v>
      </c>
      <c r="H136" t="s">
        <v>488</v>
      </c>
      <c r="I136" t="s">
        <v>41</v>
      </c>
      <c r="J136" t="s">
        <v>978</v>
      </c>
      <c r="K136">
        <v>1</v>
      </c>
      <c r="L136">
        <v>108</v>
      </c>
      <c r="M136" t="s">
        <v>44</v>
      </c>
      <c r="N136">
        <v>1</v>
      </c>
      <c r="O136">
        <v>108</v>
      </c>
      <c r="P136">
        <v>1</v>
      </c>
      <c r="Q136" t="s">
        <v>43</v>
      </c>
      <c r="R136">
        <v>20</v>
      </c>
      <c r="S136">
        <v>20</v>
      </c>
      <c r="T136">
        <v>20</v>
      </c>
      <c r="U136" t="s">
        <v>978</v>
      </c>
      <c r="V136" t="s">
        <v>978</v>
      </c>
      <c r="W136" t="s">
        <v>978</v>
      </c>
      <c r="X136">
        <v>1</v>
      </c>
      <c r="Y136" t="s">
        <v>978</v>
      </c>
      <c r="Z136">
        <v>0</v>
      </c>
      <c r="AA136" t="s">
        <v>978</v>
      </c>
      <c r="AB136" t="s">
        <v>978</v>
      </c>
      <c r="AC136" t="s">
        <v>978</v>
      </c>
      <c r="AD136" t="s">
        <v>978</v>
      </c>
      <c r="AE136">
        <v>0</v>
      </c>
      <c r="AF136" t="s">
        <v>978</v>
      </c>
      <c r="AG136" t="s">
        <v>350</v>
      </c>
      <c r="AH136" t="s">
        <v>978</v>
      </c>
    </row>
    <row r="137" spans="1:34" ht="15.75" hidden="1" customHeight="1" thickBot="1" x14ac:dyDescent="0.25">
      <c r="A137">
        <v>12.465</v>
      </c>
      <c r="B137" t="s">
        <v>776</v>
      </c>
      <c r="C137" t="s">
        <v>357</v>
      </c>
      <c r="D137" t="s">
        <v>519</v>
      </c>
      <c r="E137" t="s">
        <v>978</v>
      </c>
      <c r="F137" t="s">
        <v>978</v>
      </c>
      <c r="G137" t="s">
        <v>280</v>
      </c>
      <c r="H137" t="s">
        <v>490</v>
      </c>
      <c r="I137" t="s">
        <v>41</v>
      </c>
      <c r="J137" t="s">
        <v>978</v>
      </c>
      <c r="K137">
        <v>1</v>
      </c>
      <c r="L137">
        <v>1</v>
      </c>
      <c r="M137" t="s">
        <v>44</v>
      </c>
      <c r="N137">
        <v>1</v>
      </c>
      <c r="O137">
        <v>1</v>
      </c>
      <c r="P137">
        <v>1</v>
      </c>
      <c r="Q137" t="s">
        <v>43</v>
      </c>
      <c r="R137">
        <v>1</v>
      </c>
      <c r="S137">
        <v>1</v>
      </c>
      <c r="T137">
        <v>1</v>
      </c>
      <c r="U137" t="s">
        <v>978</v>
      </c>
      <c r="V137" t="s">
        <v>978</v>
      </c>
      <c r="W137" t="s">
        <v>978</v>
      </c>
      <c r="X137">
        <v>1</v>
      </c>
      <c r="Y137" t="s">
        <v>978</v>
      </c>
      <c r="Z137">
        <v>1</v>
      </c>
      <c r="AA137">
        <v>1</v>
      </c>
      <c r="AB137" t="s">
        <v>978</v>
      </c>
      <c r="AC137" t="s">
        <v>978</v>
      </c>
      <c r="AD137" t="s">
        <v>978</v>
      </c>
      <c r="AE137">
        <v>1</v>
      </c>
      <c r="AF137" t="s">
        <v>978</v>
      </c>
      <c r="AG137" t="s">
        <v>286</v>
      </c>
      <c r="AH137" t="s">
        <v>978</v>
      </c>
    </row>
    <row r="138" spans="1:34" hidden="1" x14ac:dyDescent="0.25">
      <c r="A138">
        <v>12.467000000000001</v>
      </c>
      <c r="B138" t="s">
        <v>779</v>
      </c>
      <c r="C138" t="s">
        <v>376</v>
      </c>
      <c r="D138" t="s">
        <v>514</v>
      </c>
      <c r="E138" t="s">
        <v>978</v>
      </c>
      <c r="F138" t="s">
        <v>978</v>
      </c>
      <c r="G138" t="s">
        <v>259</v>
      </c>
      <c r="H138" t="s">
        <v>954</v>
      </c>
      <c r="I138" t="s">
        <v>41</v>
      </c>
      <c r="J138" t="s">
        <v>978</v>
      </c>
      <c r="K138">
        <v>1</v>
      </c>
      <c r="L138">
        <v>2</v>
      </c>
      <c r="M138" t="s">
        <v>44</v>
      </c>
      <c r="N138">
        <v>1</v>
      </c>
      <c r="O138">
        <v>1</v>
      </c>
      <c r="P138">
        <v>0.5</v>
      </c>
      <c r="Q138" t="s">
        <v>32</v>
      </c>
      <c r="R138">
        <v>2</v>
      </c>
      <c r="S138">
        <v>0</v>
      </c>
      <c r="T138" t="s">
        <v>978</v>
      </c>
      <c r="U138" t="s">
        <v>978</v>
      </c>
      <c r="V138" t="s">
        <v>978</v>
      </c>
      <c r="W138" t="s">
        <v>978</v>
      </c>
      <c r="X138">
        <v>0</v>
      </c>
      <c r="Y138" t="s">
        <v>978</v>
      </c>
      <c r="Z138">
        <v>0</v>
      </c>
      <c r="AA138" t="s">
        <v>978</v>
      </c>
      <c r="AB138" t="s">
        <v>978</v>
      </c>
      <c r="AC138" t="s">
        <v>978</v>
      </c>
      <c r="AD138" t="s">
        <v>978</v>
      </c>
      <c r="AE138">
        <v>0</v>
      </c>
      <c r="AF138" t="s">
        <v>978</v>
      </c>
      <c r="AG138" t="s">
        <v>317</v>
      </c>
      <c r="AH138" t="s">
        <v>978</v>
      </c>
    </row>
    <row r="139" spans="1:34" hidden="1" x14ac:dyDescent="0.25">
      <c r="A139">
        <v>12.468999999999999</v>
      </c>
      <c r="B139" t="s">
        <v>781</v>
      </c>
      <c r="C139" t="s">
        <v>357</v>
      </c>
      <c r="D139" t="s">
        <v>519</v>
      </c>
      <c r="E139" t="s">
        <v>978</v>
      </c>
      <c r="F139" t="s">
        <v>978</v>
      </c>
      <c r="G139" t="s">
        <v>280</v>
      </c>
      <c r="H139" t="s">
        <v>493</v>
      </c>
      <c r="I139" t="s">
        <v>41</v>
      </c>
      <c r="J139" t="s">
        <v>978</v>
      </c>
      <c r="K139">
        <v>1</v>
      </c>
      <c r="L139">
        <v>4</v>
      </c>
      <c r="M139" t="s">
        <v>44</v>
      </c>
      <c r="N139">
        <v>1</v>
      </c>
      <c r="O139">
        <v>4</v>
      </c>
      <c r="P139">
        <v>1</v>
      </c>
      <c r="Q139" t="s">
        <v>32</v>
      </c>
      <c r="R139">
        <v>4</v>
      </c>
      <c r="S139">
        <v>4</v>
      </c>
      <c r="T139">
        <v>4</v>
      </c>
      <c r="U139" t="s">
        <v>978</v>
      </c>
      <c r="V139" t="s">
        <v>978</v>
      </c>
      <c r="W139" t="s">
        <v>978</v>
      </c>
      <c r="X139">
        <v>1</v>
      </c>
      <c r="Y139" t="s">
        <v>978</v>
      </c>
      <c r="Z139">
        <v>4</v>
      </c>
      <c r="AA139">
        <v>4</v>
      </c>
      <c r="AB139" t="s">
        <v>978</v>
      </c>
      <c r="AC139" t="s">
        <v>978</v>
      </c>
      <c r="AD139" t="s">
        <v>978</v>
      </c>
      <c r="AE139">
        <v>1</v>
      </c>
      <c r="AF139" t="s">
        <v>978</v>
      </c>
      <c r="AG139" t="s">
        <v>277</v>
      </c>
      <c r="AH139" t="s">
        <v>978</v>
      </c>
    </row>
    <row r="140" spans="1:34" hidden="1" x14ac:dyDescent="0.25">
      <c r="A140">
        <v>12.47</v>
      </c>
      <c r="B140" t="s">
        <v>782</v>
      </c>
      <c r="C140" t="s">
        <v>364</v>
      </c>
      <c r="D140" t="s">
        <v>513</v>
      </c>
      <c r="E140" t="s">
        <v>978</v>
      </c>
      <c r="F140" t="s">
        <v>978</v>
      </c>
      <c r="G140" t="s">
        <v>259</v>
      </c>
      <c r="H140" t="s">
        <v>494</v>
      </c>
      <c r="I140" t="s">
        <v>35</v>
      </c>
      <c r="J140" t="s">
        <v>978</v>
      </c>
      <c r="K140">
        <v>1</v>
      </c>
      <c r="L140">
        <v>1</v>
      </c>
      <c r="M140" t="s">
        <v>44</v>
      </c>
      <c r="N140">
        <v>1</v>
      </c>
      <c r="O140">
        <v>1</v>
      </c>
      <c r="P140">
        <v>1</v>
      </c>
      <c r="Q140" t="s">
        <v>50</v>
      </c>
      <c r="R140">
        <v>1</v>
      </c>
      <c r="S140">
        <v>0</v>
      </c>
      <c r="T140" t="s">
        <v>978</v>
      </c>
      <c r="U140" t="s">
        <v>978</v>
      </c>
      <c r="V140" t="s">
        <v>978</v>
      </c>
      <c r="W140" t="s">
        <v>978</v>
      </c>
      <c r="X140">
        <v>0</v>
      </c>
      <c r="Y140" t="s">
        <v>495</v>
      </c>
      <c r="Z140">
        <v>0</v>
      </c>
      <c r="AA140" t="s">
        <v>978</v>
      </c>
      <c r="AB140" t="s">
        <v>978</v>
      </c>
      <c r="AC140" t="s">
        <v>978</v>
      </c>
      <c r="AD140" t="s">
        <v>978</v>
      </c>
      <c r="AE140">
        <v>0</v>
      </c>
      <c r="AF140" t="s">
        <v>978</v>
      </c>
      <c r="AG140" t="s">
        <v>309</v>
      </c>
      <c r="AH140" t="s">
        <v>978</v>
      </c>
    </row>
    <row r="141" spans="1:34" hidden="1" x14ac:dyDescent="0.25">
      <c r="A141">
        <v>12.471</v>
      </c>
      <c r="B141" t="s">
        <v>783</v>
      </c>
      <c r="C141" t="s">
        <v>324</v>
      </c>
      <c r="D141" t="s">
        <v>520</v>
      </c>
      <c r="E141" t="s">
        <v>978</v>
      </c>
      <c r="F141" t="s">
        <v>978</v>
      </c>
      <c r="G141" t="s">
        <v>280</v>
      </c>
      <c r="H141" t="s">
        <v>325</v>
      </c>
      <c r="I141" t="s">
        <v>41</v>
      </c>
      <c r="J141" t="s">
        <v>978</v>
      </c>
      <c r="K141">
        <v>1</v>
      </c>
      <c r="L141">
        <v>1</v>
      </c>
      <c r="M141" t="s">
        <v>44</v>
      </c>
      <c r="N141">
        <v>1</v>
      </c>
      <c r="O141">
        <v>0.8</v>
      </c>
      <c r="P141">
        <v>0.8</v>
      </c>
      <c r="Q141" t="s">
        <v>32</v>
      </c>
      <c r="R141">
        <v>1</v>
      </c>
      <c r="S141">
        <v>0</v>
      </c>
      <c r="T141" t="s">
        <v>978</v>
      </c>
      <c r="U141" t="s">
        <v>978</v>
      </c>
      <c r="V141" t="s">
        <v>978</v>
      </c>
      <c r="W141" t="s">
        <v>978</v>
      </c>
      <c r="X141">
        <v>0</v>
      </c>
      <c r="Y141" t="s">
        <v>978</v>
      </c>
      <c r="Z141">
        <v>0</v>
      </c>
      <c r="AA141" t="s">
        <v>978</v>
      </c>
      <c r="AB141" t="s">
        <v>978</v>
      </c>
      <c r="AC141" t="s">
        <v>978</v>
      </c>
      <c r="AD141" t="s">
        <v>978</v>
      </c>
      <c r="AE141">
        <v>0</v>
      </c>
      <c r="AF141" t="s">
        <v>496</v>
      </c>
      <c r="AG141" t="s">
        <v>350</v>
      </c>
      <c r="AH141" t="s">
        <v>978</v>
      </c>
    </row>
    <row r="142" spans="1:34" x14ac:dyDescent="0.25">
      <c r="A142" s="560">
        <v>12.474</v>
      </c>
      <c r="B142" t="s">
        <v>785</v>
      </c>
      <c r="C142" t="s">
        <v>357</v>
      </c>
      <c r="D142" t="s">
        <v>519</v>
      </c>
      <c r="E142" t="s">
        <v>978</v>
      </c>
      <c r="F142" t="s">
        <v>497</v>
      </c>
      <c r="G142" t="s">
        <v>280</v>
      </c>
      <c r="H142" t="s">
        <v>1001</v>
      </c>
      <c r="I142" t="s">
        <v>35</v>
      </c>
      <c r="J142" t="s">
        <v>978</v>
      </c>
      <c r="K142">
        <v>1</v>
      </c>
      <c r="L142">
        <v>11</v>
      </c>
      <c r="M142" t="s">
        <v>44</v>
      </c>
      <c r="N142">
        <v>1</v>
      </c>
      <c r="O142">
        <v>11</v>
      </c>
      <c r="P142">
        <v>1</v>
      </c>
      <c r="Q142" t="s">
        <v>43</v>
      </c>
      <c r="R142">
        <v>11</v>
      </c>
      <c r="S142">
        <v>11</v>
      </c>
      <c r="T142">
        <v>11</v>
      </c>
      <c r="U142" t="s">
        <v>978</v>
      </c>
      <c r="V142" t="s">
        <v>978</v>
      </c>
      <c r="W142" t="s">
        <v>978</v>
      </c>
      <c r="X142">
        <v>1</v>
      </c>
      <c r="Y142" t="s">
        <v>498</v>
      </c>
      <c r="Z142">
        <v>11</v>
      </c>
      <c r="AA142">
        <v>11</v>
      </c>
      <c r="AB142" t="s">
        <v>978</v>
      </c>
      <c r="AC142" t="s">
        <v>978</v>
      </c>
      <c r="AD142" t="s">
        <v>978</v>
      </c>
      <c r="AE142">
        <v>1</v>
      </c>
      <c r="AF142" t="s">
        <v>978</v>
      </c>
      <c r="AG142" t="s">
        <v>286</v>
      </c>
      <c r="AH142" t="s">
        <v>978</v>
      </c>
    </row>
    <row r="143" spans="1:34" x14ac:dyDescent="0.25">
      <c r="A143" s="560">
        <v>12.478999999999999</v>
      </c>
      <c r="B143" t="s">
        <v>789</v>
      </c>
      <c r="C143" t="s">
        <v>344</v>
      </c>
      <c r="D143" t="s">
        <v>513</v>
      </c>
      <c r="E143" t="s">
        <v>978</v>
      </c>
      <c r="F143" t="s">
        <v>978</v>
      </c>
      <c r="G143" t="s">
        <v>280</v>
      </c>
      <c r="H143" t="s">
        <v>501</v>
      </c>
      <c r="I143" t="s">
        <v>35</v>
      </c>
      <c r="J143" t="s">
        <v>978</v>
      </c>
      <c r="K143">
        <v>1</v>
      </c>
      <c r="L143">
        <v>1</v>
      </c>
      <c r="M143" t="s">
        <v>44</v>
      </c>
      <c r="N143">
        <v>1</v>
      </c>
      <c r="O143">
        <v>1</v>
      </c>
      <c r="P143">
        <v>1</v>
      </c>
      <c r="Q143" t="s">
        <v>32</v>
      </c>
      <c r="R143">
        <v>1</v>
      </c>
      <c r="S143">
        <v>0</v>
      </c>
      <c r="T143" t="s">
        <v>978</v>
      </c>
      <c r="U143" t="s">
        <v>978</v>
      </c>
      <c r="V143" t="s">
        <v>978</v>
      </c>
      <c r="W143" t="s">
        <v>978</v>
      </c>
      <c r="X143">
        <v>0</v>
      </c>
      <c r="Y143" t="s">
        <v>978</v>
      </c>
      <c r="Z143">
        <v>0</v>
      </c>
      <c r="AA143" t="s">
        <v>978</v>
      </c>
      <c r="AB143" t="s">
        <v>978</v>
      </c>
      <c r="AC143" t="s">
        <v>978</v>
      </c>
      <c r="AD143" t="s">
        <v>978</v>
      </c>
      <c r="AE143">
        <v>0</v>
      </c>
      <c r="AF143" t="s">
        <v>978</v>
      </c>
      <c r="AG143" t="s">
        <v>350</v>
      </c>
      <c r="AH143" t="s">
        <v>978</v>
      </c>
    </row>
    <row r="144" spans="1:34" hidden="1" x14ac:dyDescent="0.25">
      <c r="A144">
        <v>12.484</v>
      </c>
      <c r="B144" t="s">
        <v>793</v>
      </c>
      <c r="C144" t="s">
        <v>502</v>
      </c>
      <c r="D144" t="s">
        <v>513</v>
      </c>
      <c r="E144" t="s">
        <v>978</v>
      </c>
      <c r="F144" t="s">
        <v>978</v>
      </c>
      <c r="G144" t="s">
        <v>259</v>
      </c>
      <c r="H144" t="s">
        <v>503</v>
      </c>
      <c r="I144" t="s">
        <v>41</v>
      </c>
      <c r="J144" t="s">
        <v>978</v>
      </c>
      <c r="K144">
        <v>1</v>
      </c>
      <c r="L144">
        <v>1</v>
      </c>
      <c r="M144" t="s">
        <v>44</v>
      </c>
      <c r="N144">
        <v>1</v>
      </c>
      <c r="O144">
        <v>1</v>
      </c>
      <c r="P144">
        <v>1</v>
      </c>
      <c r="Q144" t="s">
        <v>32</v>
      </c>
      <c r="R144">
        <v>1</v>
      </c>
      <c r="S144">
        <v>0</v>
      </c>
      <c r="T144" t="s">
        <v>978</v>
      </c>
      <c r="U144" t="s">
        <v>978</v>
      </c>
      <c r="V144" t="s">
        <v>978</v>
      </c>
      <c r="W144" t="s">
        <v>978</v>
      </c>
      <c r="X144">
        <v>0</v>
      </c>
      <c r="Y144" t="s">
        <v>978</v>
      </c>
      <c r="Z144">
        <v>0</v>
      </c>
      <c r="AA144" t="s">
        <v>978</v>
      </c>
      <c r="AB144" t="s">
        <v>978</v>
      </c>
      <c r="AC144" t="s">
        <v>978</v>
      </c>
      <c r="AD144" t="s">
        <v>978</v>
      </c>
      <c r="AE144">
        <v>0</v>
      </c>
      <c r="AF144" t="s">
        <v>978</v>
      </c>
      <c r="AG144" t="s">
        <v>277</v>
      </c>
      <c r="AH144" t="s">
        <v>978</v>
      </c>
    </row>
    <row r="145" spans="1:34" hidden="1" x14ac:dyDescent="0.25">
      <c r="A145">
        <v>12.488</v>
      </c>
      <c r="B145" t="s">
        <v>797</v>
      </c>
      <c r="C145" t="s">
        <v>320</v>
      </c>
      <c r="D145" t="s">
        <v>518</v>
      </c>
      <c r="E145" t="s">
        <v>978</v>
      </c>
      <c r="F145" t="s">
        <v>978</v>
      </c>
      <c r="G145" t="s">
        <v>284</v>
      </c>
      <c r="H145" t="s">
        <v>945</v>
      </c>
      <c r="I145" t="s">
        <v>41</v>
      </c>
      <c r="J145" t="s">
        <v>978</v>
      </c>
      <c r="K145">
        <v>1</v>
      </c>
      <c r="L145">
        <v>1</v>
      </c>
      <c r="M145" t="s">
        <v>44</v>
      </c>
      <c r="N145">
        <v>1</v>
      </c>
      <c r="O145">
        <v>1</v>
      </c>
      <c r="P145">
        <v>1</v>
      </c>
      <c r="Q145" t="s">
        <v>32</v>
      </c>
      <c r="R145">
        <v>1</v>
      </c>
      <c r="S145">
        <v>0</v>
      </c>
      <c r="T145" t="s">
        <v>978</v>
      </c>
      <c r="U145" t="s">
        <v>978</v>
      </c>
      <c r="V145" t="s">
        <v>978</v>
      </c>
      <c r="W145" t="s">
        <v>978</v>
      </c>
      <c r="X145">
        <v>0</v>
      </c>
      <c r="Y145" t="s">
        <v>978</v>
      </c>
      <c r="Z145">
        <v>0</v>
      </c>
      <c r="AA145" t="s">
        <v>978</v>
      </c>
      <c r="AB145" t="s">
        <v>978</v>
      </c>
      <c r="AC145" t="s">
        <v>978</v>
      </c>
      <c r="AD145" t="s">
        <v>978</v>
      </c>
      <c r="AE145">
        <v>0</v>
      </c>
      <c r="AF145" t="s">
        <v>978</v>
      </c>
      <c r="AG145" t="s">
        <v>350</v>
      </c>
      <c r="AH145" t="s">
        <v>978</v>
      </c>
    </row>
    <row r="146" spans="1:34" x14ac:dyDescent="0.25">
      <c r="A146" s="560">
        <v>12.499000000000001</v>
      </c>
      <c r="B146" t="s">
        <v>808</v>
      </c>
      <c r="C146" t="s">
        <v>334</v>
      </c>
      <c r="D146" t="s">
        <v>513</v>
      </c>
      <c r="E146" t="s">
        <v>978</v>
      </c>
      <c r="F146" t="s">
        <v>978</v>
      </c>
      <c r="G146" t="s">
        <v>280</v>
      </c>
      <c r="H146" t="s">
        <v>955</v>
      </c>
      <c r="I146" t="s">
        <v>41</v>
      </c>
      <c r="J146" t="s">
        <v>352</v>
      </c>
      <c r="K146">
        <v>1</v>
      </c>
      <c r="L146">
        <v>2</v>
      </c>
      <c r="M146" t="s">
        <v>44</v>
      </c>
      <c r="N146">
        <v>1</v>
      </c>
      <c r="O146">
        <v>2</v>
      </c>
      <c r="P146">
        <v>1</v>
      </c>
      <c r="Q146" t="s">
        <v>32</v>
      </c>
      <c r="R146">
        <v>1</v>
      </c>
      <c r="S146">
        <v>0</v>
      </c>
      <c r="T146" t="s">
        <v>978</v>
      </c>
      <c r="U146" t="s">
        <v>978</v>
      </c>
      <c r="V146" t="s">
        <v>978</v>
      </c>
      <c r="W146" t="s">
        <v>978</v>
      </c>
      <c r="X146">
        <v>0</v>
      </c>
      <c r="Y146" t="s">
        <v>978</v>
      </c>
      <c r="Z146">
        <v>0</v>
      </c>
      <c r="AA146" t="s">
        <v>978</v>
      </c>
      <c r="AB146" t="s">
        <v>978</v>
      </c>
      <c r="AC146" t="s">
        <v>978</v>
      </c>
      <c r="AD146" t="s">
        <v>978</v>
      </c>
      <c r="AE146">
        <v>0</v>
      </c>
      <c r="AF146" t="s">
        <v>978</v>
      </c>
      <c r="AG146" t="s">
        <v>350</v>
      </c>
      <c r="AH146" t="s">
        <v>978</v>
      </c>
    </row>
    <row r="147" spans="1:34" ht="15.75" hidden="1" thickBot="1" x14ac:dyDescent="0.3">
      <c r="A147" s="546">
        <v>12.302</v>
      </c>
      <c r="B147" s="323" t="str">
        <f>VLOOKUP(A147,'Feature Raw Data'!$A$3:$B$3922,2,FALSE)</f>
        <v>[Navi4x] Remove SDMA load/run commands or disallow DRAM access allowed for load/run commands</v>
      </c>
      <c r="C147" s="323" t="s">
        <v>47</v>
      </c>
      <c r="D147" s="324" t="str">
        <f>VLOOKUP(A147,'Feature Raw Data'!$A$3:$F$3922,6,FALSE)</f>
        <v>CTL</v>
      </c>
      <c r="E147" s="323"/>
      <c r="F147" s="323"/>
      <c r="G147" s="243" t="str">
        <f>VLOOKUP(A147,'Feature Summary'!$A$7:$C$4170,3,FALSE)</f>
        <v>P2</v>
      </c>
      <c r="H147" s="400" t="s">
        <v>47</v>
      </c>
      <c r="I147" s="424" t="s">
        <v>47</v>
      </c>
      <c r="J147" s="323"/>
      <c r="K147" s="324">
        <v>1</v>
      </c>
      <c r="L147" s="324">
        <v>0</v>
      </c>
      <c r="M147" s="549" t="str">
        <f>VLOOKUP(A147,'Feature Raw Data'!$A$3:$E$3922,5,FALSE)</f>
        <v>New</v>
      </c>
      <c r="N147" s="440">
        <v>1</v>
      </c>
      <c r="O147" s="441"/>
      <c r="P147" s="439">
        <f t="shared" ref="P147:P179" si="1">IF((L147=0),1,(O147/L147))</f>
        <v>1</v>
      </c>
      <c r="Q147" s="424" t="s">
        <v>47</v>
      </c>
      <c r="R147" s="324">
        <v>0</v>
      </c>
      <c r="S147" s="467">
        <f t="shared" ref="S147:S179" si="2">SUM(T147:W147)</f>
        <v>0</v>
      </c>
      <c r="T147" s="458"/>
      <c r="U147" s="458"/>
      <c r="V147" s="458"/>
      <c r="W147" s="458"/>
      <c r="X147" s="468">
        <f t="shared" ref="X147:X180" si="3">IF((R147=0),1,((T147+U147)/R147*100%))</f>
        <v>1</v>
      </c>
      <c r="Y147" s="551" t="s">
        <v>366</v>
      </c>
      <c r="Z147" s="457">
        <f t="shared" ref="Z147:Z179" si="4">SUM(AA147:AD147)</f>
        <v>0</v>
      </c>
      <c r="AA147" s="458"/>
      <c r="AB147" s="458"/>
      <c r="AC147" s="458"/>
      <c r="AD147" s="458"/>
      <c r="AE147" s="456">
        <f t="shared" ref="AE147:AE180" si="5">IF((L147=0),1,((AA147+AB147)/L147*100%))</f>
        <v>1</v>
      </c>
      <c r="AF147" s="323"/>
      <c r="AG147" s="426" t="s">
        <v>47</v>
      </c>
      <c r="AH147" s="325"/>
    </row>
    <row r="148" spans="1:34" ht="15.75" hidden="1" thickBot="1" x14ac:dyDescent="0.3">
      <c r="A148" s="546">
        <v>12.308</v>
      </c>
      <c r="B148" s="323" t="str">
        <f>VLOOKUP(A148,'Feature Raw Data'!$A$3:$B$3922,2,FALSE)</f>
        <v>RS64 Debug Enablement</v>
      </c>
      <c r="C148" s="323" t="s">
        <v>376</v>
      </c>
      <c r="D148" s="324" t="str">
        <f>VLOOKUP(A148,'Feature Raw Data'!$A$3:$F$3922,6,FALSE)</f>
        <v>CTL</v>
      </c>
      <c r="E148" s="323"/>
      <c r="F148" s="323"/>
      <c r="G148" s="243" t="str">
        <f>VLOOKUP(A148,'Feature Summary'!$A$7:$C$4170,3,FALSE)</f>
        <v>P1</v>
      </c>
      <c r="H148" s="400" t="s">
        <v>47</v>
      </c>
      <c r="I148" s="424" t="s">
        <v>47</v>
      </c>
      <c r="J148" s="323"/>
      <c r="K148" s="324">
        <v>1</v>
      </c>
      <c r="L148" s="324">
        <v>0</v>
      </c>
      <c r="M148" s="549" t="str">
        <f>VLOOKUP(A148,'Feature Raw Data'!$A$3:$E$3922,5,FALSE)</f>
        <v>New</v>
      </c>
      <c r="N148" s="440">
        <v>1</v>
      </c>
      <c r="O148" s="441"/>
      <c r="P148" s="439">
        <f t="shared" si="1"/>
        <v>1</v>
      </c>
      <c r="Q148" s="424" t="s">
        <v>47</v>
      </c>
      <c r="R148" s="324">
        <v>0</v>
      </c>
      <c r="S148" s="467">
        <f t="shared" si="2"/>
        <v>0</v>
      </c>
      <c r="T148" s="458"/>
      <c r="U148" s="458"/>
      <c r="V148" s="458"/>
      <c r="W148" s="458"/>
      <c r="X148" s="468">
        <f t="shared" si="3"/>
        <v>1</v>
      </c>
      <c r="Y148" s="425" t="s">
        <v>406</v>
      </c>
      <c r="Z148" s="457">
        <f t="shared" si="4"/>
        <v>0</v>
      </c>
      <c r="AA148" s="458"/>
      <c r="AB148" s="458"/>
      <c r="AC148" s="458"/>
      <c r="AD148" s="458"/>
      <c r="AE148" s="456">
        <f t="shared" si="5"/>
        <v>1</v>
      </c>
      <c r="AF148" s="323"/>
      <c r="AG148" s="426" t="s">
        <v>47</v>
      </c>
      <c r="AH148" s="325"/>
    </row>
    <row r="149" spans="1:34" ht="15.75" hidden="1" thickBot="1" x14ac:dyDescent="0.3">
      <c r="A149" s="546">
        <v>12.311999999999999</v>
      </c>
      <c r="B149" s="323" t="str">
        <f>VLOOKUP(A149,'Feature Raw Data'!$A$3:$B$3922,2,FALSE)</f>
        <v>Convert PAL implementation of streamout to sw solution enables GDS removal</v>
      </c>
      <c r="C149" s="323" t="s">
        <v>324</v>
      </c>
      <c r="D149" s="324" t="str">
        <f>VLOOKUP(A149,'Feature Raw Data'!$A$3:$F$3922,6,FALSE)</f>
        <v>SIO</v>
      </c>
      <c r="E149" s="323"/>
      <c r="F149" s="323"/>
      <c r="G149" s="243" t="str">
        <f>VLOOKUP(A149,'Feature Summary'!$A$7:$C$4170,3,FALSE)</f>
        <v>P1</v>
      </c>
      <c r="H149" s="400" t="s">
        <v>47</v>
      </c>
      <c r="I149" s="424" t="s">
        <v>47</v>
      </c>
      <c r="J149" s="323"/>
      <c r="K149" s="324">
        <v>1</v>
      </c>
      <c r="L149" s="324">
        <v>0</v>
      </c>
      <c r="M149" s="549" t="str">
        <f>VLOOKUP(A149,'Feature Raw Data'!$A$3:$E$3922,5,FALSE)</f>
        <v>New</v>
      </c>
      <c r="N149" s="440">
        <v>1</v>
      </c>
      <c r="O149" s="441"/>
      <c r="P149" s="439">
        <f t="shared" si="1"/>
        <v>1</v>
      </c>
      <c r="Q149" s="424" t="s">
        <v>47</v>
      </c>
      <c r="R149" s="324">
        <v>0</v>
      </c>
      <c r="S149" s="467">
        <f t="shared" si="2"/>
        <v>0</v>
      </c>
      <c r="T149" s="458"/>
      <c r="U149" s="458"/>
      <c r="V149" s="458"/>
      <c r="W149" s="458"/>
      <c r="X149" s="468">
        <f t="shared" si="3"/>
        <v>1</v>
      </c>
      <c r="Y149" s="551" t="s">
        <v>366</v>
      </c>
      <c r="Z149" s="457">
        <f t="shared" si="4"/>
        <v>0</v>
      </c>
      <c r="AA149" s="458"/>
      <c r="AB149" s="458"/>
      <c r="AC149" s="458"/>
      <c r="AD149" s="458"/>
      <c r="AE149" s="456">
        <f t="shared" si="5"/>
        <v>1</v>
      </c>
      <c r="AF149" s="323"/>
      <c r="AG149" s="426" t="s">
        <v>47</v>
      </c>
      <c r="AH149" s="325"/>
    </row>
    <row r="150" spans="1:34" ht="15.75" hidden="1" thickBot="1" x14ac:dyDescent="0.3">
      <c r="A150" s="546">
        <v>12.318</v>
      </c>
      <c r="B150" s="323" t="str">
        <f>VLOOKUP(A150,'Feature Raw Data'!$A$3:$B$3922,2,FALSE)</f>
        <v>SED&lt;&gt;AID and AID&lt;&gt;AID interfaces must support arbitrary clk deviation, so protocols like valid-only need to be converted.</v>
      </c>
      <c r="C150" s="323" t="s">
        <v>320</v>
      </c>
      <c r="D150" s="324" t="str">
        <f>VLOOKUP(A150,'Feature Raw Data'!$A$3:$F$3922,6,FALSE)</f>
        <v>GC</v>
      </c>
      <c r="E150" s="323"/>
      <c r="F150" s="323"/>
      <c r="G150" s="243" t="str">
        <f>VLOOKUP(A150,'Feature Summary'!$A$7:$C$4170,3,FALSE)</f>
        <v>P1</v>
      </c>
      <c r="H150" s="400" t="s">
        <v>47</v>
      </c>
      <c r="I150" s="424" t="s">
        <v>47</v>
      </c>
      <c r="J150" s="323"/>
      <c r="K150" s="324">
        <v>1</v>
      </c>
      <c r="L150" s="324">
        <v>0</v>
      </c>
      <c r="M150" s="549" t="str">
        <f>VLOOKUP(A150,'Feature Raw Data'!$A$3:$E$3922,5,FALSE)</f>
        <v>New</v>
      </c>
      <c r="N150" s="440">
        <v>1</v>
      </c>
      <c r="O150" s="441"/>
      <c r="P150" s="439">
        <f t="shared" si="1"/>
        <v>1</v>
      </c>
      <c r="Q150" s="424" t="s">
        <v>47</v>
      </c>
      <c r="R150" s="324">
        <v>0</v>
      </c>
      <c r="S150" s="467">
        <f t="shared" si="2"/>
        <v>0</v>
      </c>
      <c r="T150" s="458"/>
      <c r="U150" s="458"/>
      <c r="V150" s="458"/>
      <c r="W150" s="458"/>
      <c r="X150" s="468">
        <f t="shared" si="3"/>
        <v>1</v>
      </c>
      <c r="Y150" s="425" t="s">
        <v>428</v>
      </c>
      <c r="Z150" s="457">
        <f t="shared" si="4"/>
        <v>0</v>
      </c>
      <c r="AA150" s="458"/>
      <c r="AB150" s="458"/>
      <c r="AC150" s="458"/>
      <c r="AD150" s="458"/>
      <c r="AE150" s="456">
        <f t="shared" si="5"/>
        <v>1</v>
      </c>
      <c r="AF150" s="323"/>
      <c r="AG150" s="426" t="s">
        <v>47</v>
      </c>
      <c r="AH150" s="325"/>
    </row>
    <row r="151" spans="1:34" ht="15.75" hidden="1" thickBot="1" x14ac:dyDescent="0.3">
      <c r="A151" s="553">
        <v>12.321</v>
      </c>
      <c r="B151" s="323" t="str">
        <f>VLOOKUP(A151,'Feature Raw Data'!$A$3:$B$3922,2,FALSE)</f>
        <v>Limit wires SED&lt;-&gt;AID for PMM Ips</v>
      </c>
      <c r="C151" s="323" t="s">
        <v>334</v>
      </c>
      <c r="D151" s="324" t="str">
        <f>VLOOKUP(A151,'Feature Raw Data'!$A$3:$F$3922,6,FALSE)</f>
        <v>CMM</v>
      </c>
      <c r="E151" s="323"/>
      <c r="F151" s="323"/>
      <c r="G151" s="243" t="str">
        <f>VLOOKUP(A151,'Feature Summary'!$A$7:$C$4170,3,FALSE)</f>
        <v>P1</v>
      </c>
      <c r="H151" s="400" t="s">
        <v>47</v>
      </c>
      <c r="I151" s="424" t="s">
        <v>47</v>
      </c>
      <c r="J151" s="323"/>
      <c r="K151" s="324">
        <v>1</v>
      </c>
      <c r="L151" s="324">
        <v>0</v>
      </c>
      <c r="M151" s="549" t="str">
        <f>VLOOKUP(A151,'Feature Raw Data'!$A$3:$E$3922,5,FALSE)</f>
        <v>New</v>
      </c>
      <c r="N151" s="440">
        <v>1</v>
      </c>
      <c r="O151" s="441"/>
      <c r="P151" s="439">
        <f t="shared" si="1"/>
        <v>1</v>
      </c>
      <c r="Q151" s="424" t="s">
        <v>47</v>
      </c>
      <c r="R151" s="324">
        <v>0</v>
      </c>
      <c r="S151" s="467">
        <f t="shared" si="2"/>
        <v>0</v>
      </c>
      <c r="T151" s="458"/>
      <c r="U151" s="458"/>
      <c r="V151" s="458"/>
      <c r="W151" s="458"/>
      <c r="X151" s="468">
        <f t="shared" si="3"/>
        <v>1</v>
      </c>
      <c r="Y151" s="551" t="s">
        <v>422</v>
      </c>
      <c r="Z151" s="457">
        <f t="shared" si="4"/>
        <v>0</v>
      </c>
      <c r="AA151" s="458"/>
      <c r="AB151" s="458"/>
      <c r="AC151" s="458"/>
      <c r="AD151" s="458"/>
      <c r="AE151" s="456">
        <f t="shared" si="5"/>
        <v>1</v>
      </c>
      <c r="AF151" s="323"/>
      <c r="AG151" s="426" t="s">
        <v>47</v>
      </c>
      <c r="AH151" s="325"/>
    </row>
    <row r="152" spans="1:34" ht="15.75" hidden="1" thickBot="1" x14ac:dyDescent="0.3">
      <c r="A152" s="546">
        <v>12.321999999999999</v>
      </c>
      <c r="B152" s="323" t="str">
        <f>VLOOKUP(A152,'Feature Raw Data'!$A$3:$B$3922,2,FALSE)</f>
        <v>GFX12 UTLC2 - Add idle sidebands</v>
      </c>
      <c r="C152" s="323" t="s">
        <v>364</v>
      </c>
      <c r="D152" s="324" t="str">
        <f>VLOOKUP(A152,'Feature Raw Data'!$A$3:$F$3922,6,FALSE)</f>
        <v>CMM</v>
      </c>
      <c r="E152" s="323"/>
      <c r="F152" s="323"/>
      <c r="G152" s="243" t="str">
        <f>VLOOKUP(A152,'Feature Summary'!$A$7:$C$4170,3,FALSE)</f>
        <v>P2</v>
      </c>
      <c r="H152" s="400" t="s">
        <v>47</v>
      </c>
      <c r="I152" s="424" t="s">
        <v>47</v>
      </c>
      <c r="J152" s="323"/>
      <c r="K152" s="324">
        <v>1</v>
      </c>
      <c r="L152" s="324">
        <v>0</v>
      </c>
      <c r="M152" s="549" t="str">
        <f>VLOOKUP(A152,'Feature Raw Data'!$A$3:$E$3922,5,FALSE)</f>
        <v>New</v>
      </c>
      <c r="N152" s="440">
        <v>1</v>
      </c>
      <c r="O152" s="441"/>
      <c r="P152" s="439">
        <f t="shared" si="1"/>
        <v>1</v>
      </c>
      <c r="Q152" s="424" t="s">
        <v>47</v>
      </c>
      <c r="R152" s="324">
        <v>0</v>
      </c>
      <c r="S152" s="467">
        <f t="shared" si="2"/>
        <v>0</v>
      </c>
      <c r="T152" s="458"/>
      <c r="U152" s="458"/>
      <c r="V152" s="458"/>
      <c r="W152" s="458"/>
      <c r="X152" s="468">
        <f t="shared" si="3"/>
        <v>1</v>
      </c>
      <c r="Y152" s="425" t="s">
        <v>431</v>
      </c>
      <c r="Z152" s="457">
        <f t="shared" si="4"/>
        <v>0</v>
      </c>
      <c r="AA152" s="458"/>
      <c r="AB152" s="458"/>
      <c r="AC152" s="458"/>
      <c r="AD152" s="458"/>
      <c r="AE152" s="456">
        <f t="shared" si="5"/>
        <v>1</v>
      </c>
      <c r="AF152" s="323"/>
      <c r="AG152" s="426" t="s">
        <v>47</v>
      </c>
      <c r="AH152" s="325"/>
    </row>
    <row r="153" spans="1:34" ht="15.75" hidden="1" thickBot="1" x14ac:dyDescent="0.3">
      <c r="A153" s="546">
        <v>12.327999999999999</v>
      </c>
      <c r="B153" s="323" t="str">
        <f>VLOOKUP(A153,'Feature Raw Data'!$A$3:$B$3922,2,FALSE)</f>
        <v>GFX12 SDMA - Add sidebands to control Idle request</v>
      </c>
      <c r="C153" s="323" t="s">
        <v>320</v>
      </c>
      <c r="D153" s="324" t="str">
        <f>VLOOKUP(A153,'Feature Raw Data'!$A$3:$F$3922,6,FALSE)</f>
        <v>CTL</v>
      </c>
      <c r="E153" s="323"/>
      <c r="F153" s="323"/>
      <c r="G153" s="243" t="str">
        <f>VLOOKUP(A153,'Feature Summary'!$A$7:$C$4170,3,FALSE)</f>
        <v>P1</v>
      </c>
      <c r="H153" s="400" t="s">
        <v>47</v>
      </c>
      <c r="I153" s="424" t="s">
        <v>47</v>
      </c>
      <c r="J153" s="323"/>
      <c r="K153" s="324">
        <v>1</v>
      </c>
      <c r="L153" s="324">
        <v>0</v>
      </c>
      <c r="M153" s="549" t="str">
        <f>VLOOKUP(A153,'Feature Raw Data'!$A$3:$E$3922,5,FALSE)</f>
        <v>New</v>
      </c>
      <c r="N153" s="440">
        <v>1</v>
      </c>
      <c r="O153" s="441"/>
      <c r="P153" s="439">
        <f t="shared" si="1"/>
        <v>1</v>
      </c>
      <c r="Q153" s="424" t="s">
        <v>47</v>
      </c>
      <c r="R153" s="324">
        <v>0</v>
      </c>
      <c r="S153" s="467">
        <f t="shared" si="2"/>
        <v>0</v>
      </c>
      <c r="T153" s="458"/>
      <c r="U153" s="458"/>
      <c r="V153" s="458"/>
      <c r="W153" s="458"/>
      <c r="X153" s="468">
        <f t="shared" si="3"/>
        <v>1</v>
      </c>
      <c r="Y153" s="425" t="s">
        <v>422</v>
      </c>
      <c r="Z153" s="457">
        <f t="shared" si="4"/>
        <v>0</v>
      </c>
      <c r="AA153" s="458"/>
      <c r="AB153" s="458"/>
      <c r="AC153" s="458"/>
      <c r="AD153" s="458"/>
      <c r="AE153" s="456">
        <f t="shared" si="5"/>
        <v>1</v>
      </c>
      <c r="AF153" s="323"/>
      <c r="AG153" s="426" t="s">
        <v>47</v>
      </c>
      <c r="AH153" s="325"/>
    </row>
    <row r="154" spans="1:34" ht="15.75" hidden="1" thickBot="1" x14ac:dyDescent="0.3">
      <c r="A154" s="546">
        <v>12.329000000000001</v>
      </c>
      <c r="B154" s="323" t="str">
        <f>VLOOKUP(A154,'Feature Raw Data'!$A$3:$B$3922,2,FALSE)</f>
        <v>remove GCR dummy UTCL2 invalidation interface</v>
      </c>
      <c r="C154" s="323" t="s">
        <v>364</v>
      </c>
      <c r="D154" s="324" t="str">
        <f>VLOOKUP(A154,'Feature Raw Data'!$A$3:$F$3922,6,FALSE)</f>
        <v>CMM</v>
      </c>
      <c r="E154" s="323"/>
      <c r="F154" s="323"/>
      <c r="G154" s="243" t="str">
        <f>VLOOKUP(A154,'Feature Summary'!$A$7:$C$4170,3,FALSE)</f>
        <v>P2</v>
      </c>
      <c r="H154" s="400" t="s">
        <v>47</v>
      </c>
      <c r="I154" s="424" t="s">
        <v>47</v>
      </c>
      <c r="J154" s="323"/>
      <c r="K154" s="324">
        <v>1</v>
      </c>
      <c r="L154" s="324">
        <v>0</v>
      </c>
      <c r="M154" s="549" t="str">
        <f>VLOOKUP(A154,'Feature Raw Data'!$A$3:$E$3922,5,FALSE)</f>
        <v>New</v>
      </c>
      <c r="N154" s="440">
        <v>1</v>
      </c>
      <c r="O154" s="441"/>
      <c r="P154" s="439">
        <f t="shared" si="1"/>
        <v>1</v>
      </c>
      <c r="Q154" s="424" t="s">
        <v>47</v>
      </c>
      <c r="R154" s="324">
        <v>0</v>
      </c>
      <c r="S154" s="467">
        <f t="shared" si="2"/>
        <v>0</v>
      </c>
      <c r="T154" s="458"/>
      <c r="U154" s="458"/>
      <c r="V154" s="458"/>
      <c r="W154" s="458"/>
      <c r="X154" s="468">
        <f t="shared" si="3"/>
        <v>1</v>
      </c>
      <c r="Y154" s="551" t="s">
        <v>366</v>
      </c>
      <c r="Z154" s="457">
        <f t="shared" si="4"/>
        <v>0</v>
      </c>
      <c r="AA154" s="458"/>
      <c r="AB154" s="458"/>
      <c r="AC154" s="458"/>
      <c r="AD154" s="458"/>
      <c r="AE154" s="456">
        <f t="shared" si="5"/>
        <v>1</v>
      </c>
      <c r="AF154" s="323"/>
      <c r="AG154" s="426" t="s">
        <v>47</v>
      </c>
      <c r="AH154" s="325"/>
    </row>
    <row r="155" spans="1:34" ht="15.75" hidden="1" thickBot="1" x14ac:dyDescent="0.3">
      <c r="A155" s="553">
        <v>12.332000000000001</v>
      </c>
      <c r="B155" s="323" t="str">
        <f>VLOOKUP(A155,'Feature Raw Data'!$A$3:$B$3922,2,FALSE)</f>
        <v>GFX12 EA - Add idle sidebands</v>
      </c>
      <c r="C155" s="323" t="s">
        <v>334</v>
      </c>
      <c r="D155" s="324" t="str">
        <f>VLOOKUP(A155,'Feature Raw Data'!$A$3:$F$3922,6,FALSE)</f>
        <v>CMM</v>
      </c>
      <c r="E155" s="323"/>
      <c r="F155" s="323"/>
      <c r="G155" s="243" t="str">
        <f>VLOOKUP(A155,'Feature Summary'!$A$7:$C$4170,3,FALSE)</f>
        <v>P2</v>
      </c>
      <c r="H155" s="400" t="s">
        <v>47</v>
      </c>
      <c r="I155" s="424" t="s">
        <v>47</v>
      </c>
      <c r="J155" s="323"/>
      <c r="K155" s="324">
        <v>1</v>
      </c>
      <c r="L155" s="324">
        <v>0</v>
      </c>
      <c r="M155" s="549" t="str">
        <f>VLOOKUP(A155,'Feature Raw Data'!$A$3:$E$3922,5,FALSE)</f>
        <v>New</v>
      </c>
      <c r="N155" s="440">
        <v>1</v>
      </c>
      <c r="O155" s="441"/>
      <c r="P155" s="439">
        <f t="shared" si="1"/>
        <v>1</v>
      </c>
      <c r="Q155" s="424" t="s">
        <v>47</v>
      </c>
      <c r="R155" s="324">
        <v>0</v>
      </c>
      <c r="S155" s="467">
        <f t="shared" si="2"/>
        <v>0</v>
      </c>
      <c r="T155" s="458"/>
      <c r="U155" s="458"/>
      <c r="V155" s="458"/>
      <c r="W155" s="458"/>
      <c r="X155" s="468">
        <f t="shared" si="3"/>
        <v>1</v>
      </c>
      <c r="Y155" s="425" t="s">
        <v>422</v>
      </c>
      <c r="Z155" s="457">
        <f t="shared" si="4"/>
        <v>0</v>
      </c>
      <c r="AA155" s="458"/>
      <c r="AB155" s="458"/>
      <c r="AC155" s="458"/>
      <c r="AD155" s="458"/>
      <c r="AE155" s="456">
        <f t="shared" si="5"/>
        <v>1</v>
      </c>
      <c r="AF155" s="323"/>
      <c r="AG155" s="426" t="s">
        <v>47</v>
      </c>
      <c r="AH155" s="325"/>
    </row>
    <row r="156" spans="1:34" ht="15.75" hidden="1" thickBot="1" x14ac:dyDescent="0.3">
      <c r="A156" s="546">
        <v>12.336</v>
      </c>
      <c r="B156" s="323" t="str">
        <f>VLOOKUP(A156,'Feature Raw Data'!$A$3:$B$3922,2,FALSE)</f>
        <v>Remove harvesting connectivity/RTL mux in SP</v>
      </c>
      <c r="C156" s="323" t="s">
        <v>357</v>
      </c>
      <c r="D156" s="324" t="str">
        <f>VLOOKUP(A156,'Feature Raw Data'!$A$3:$F$3922,6,FALSE)</f>
        <v>SH</v>
      </c>
      <c r="E156" s="323"/>
      <c r="F156" s="323"/>
      <c r="G156" s="243" t="str">
        <f>VLOOKUP(A156,'Feature Summary'!$A$7:$C$4170,3,FALSE)</f>
        <v>P2</v>
      </c>
      <c r="H156" s="400" t="s">
        <v>47</v>
      </c>
      <c r="I156" s="424" t="s">
        <v>47</v>
      </c>
      <c r="J156" s="323"/>
      <c r="K156" s="324">
        <v>1</v>
      </c>
      <c r="L156" s="324">
        <v>0</v>
      </c>
      <c r="M156" s="549" t="str">
        <f>VLOOKUP(A156,'Feature Raw Data'!$A$3:$E$3922,5,FALSE)</f>
        <v>New</v>
      </c>
      <c r="N156" s="440">
        <v>1</v>
      </c>
      <c r="O156" s="441"/>
      <c r="P156" s="439">
        <f t="shared" si="1"/>
        <v>1</v>
      </c>
      <c r="Q156" s="424" t="s">
        <v>47</v>
      </c>
      <c r="R156" s="324">
        <v>0</v>
      </c>
      <c r="S156" s="467">
        <f t="shared" si="2"/>
        <v>0</v>
      </c>
      <c r="T156" s="458"/>
      <c r="U156" s="458"/>
      <c r="V156" s="458"/>
      <c r="W156" s="458"/>
      <c r="X156" s="468">
        <f t="shared" si="3"/>
        <v>1</v>
      </c>
      <c r="Y156" s="551" t="s">
        <v>422</v>
      </c>
      <c r="Z156" s="457">
        <f t="shared" si="4"/>
        <v>0</v>
      </c>
      <c r="AA156" s="458"/>
      <c r="AB156" s="458"/>
      <c r="AC156" s="458"/>
      <c r="AD156" s="458"/>
      <c r="AE156" s="456">
        <f t="shared" si="5"/>
        <v>1</v>
      </c>
      <c r="AF156" s="323"/>
      <c r="AG156" s="426" t="s">
        <v>47</v>
      </c>
      <c r="AH156" s="325"/>
    </row>
    <row r="157" spans="1:34" ht="15.75" hidden="1" thickBot="1" x14ac:dyDescent="0.3">
      <c r="A157" s="546">
        <v>12.342000000000001</v>
      </c>
      <c r="B157" s="323" t="str">
        <f>VLOOKUP(A157,'Feature Raw Data'!$A$3:$B$3922,2,FALSE)</f>
        <v>GFX12 IMU - Add FIFO for blocked RSMU writes and keep read outstanding</v>
      </c>
      <c r="C157" s="323" t="s">
        <v>320</v>
      </c>
      <c r="D157" s="324" t="str">
        <f>VLOOKUP(A157,'Feature Raw Data'!$A$3:$F$3922,6,FALSE)</f>
        <v>CTL</v>
      </c>
      <c r="E157" s="323"/>
      <c r="F157" s="323"/>
      <c r="G157" s="243" t="str">
        <f>VLOOKUP(A157,'Feature Summary'!$A$7:$C$4170,3,FALSE)</f>
        <v>P1</v>
      </c>
      <c r="H157" s="400" t="s">
        <v>47</v>
      </c>
      <c r="I157" s="424" t="s">
        <v>47</v>
      </c>
      <c r="J157" s="323"/>
      <c r="K157" s="324">
        <v>1</v>
      </c>
      <c r="L157" s="324">
        <v>0</v>
      </c>
      <c r="M157" s="549" t="str">
        <f>VLOOKUP(A157,'Feature Raw Data'!$A$3:$E$3922,5,FALSE)</f>
        <v>New</v>
      </c>
      <c r="N157" s="440">
        <v>1</v>
      </c>
      <c r="O157" s="441"/>
      <c r="P157" s="439">
        <f t="shared" si="1"/>
        <v>1</v>
      </c>
      <c r="Q157" s="424" t="s">
        <v>47</v>
      </c>
      <c r="R157" s="324">
        <v>0</v>
      </c>
      <c r="S157" s="467">
        <f t="shared" si="2"/>
        <v>0</v>
      </c>
      <c r="T157" s="458"/>
      <c r="U157" s="458"/>
      <c r="V157" s="458"/>
      <c r="W157" s="458"/>
      <c r="X157" s="468">
        <f t="shared" si="3"/>
        <v>1</v>
      </c>
      <c r="Y157" s="425" t="s">
        <v>414</v>
      </c>
      <c r="Z157" s="457">
        <f t="shared" si="4"/>
        <v>0</v>
      </c>
      <c r="AA157" s="458"/>
      <c r="AB157" s="458"/>
      <c r="AC157" s="458"/>
      <c r="AD157" s="458"/>
      <c r="AE157" s="456">
        <f t="shared" si="5"/>
        <v>1</v>
      </c>
      <c r="AF157" s="323"/>
      <c r="AG157" s="426" t="s">
        <v>47</v>
      </c>
      <c r="AH157" s="325"/>
    </row>
    <row r="158" spans="1:34" ht="15.75" hidden="1" thickBot="1" x14ac:dyDescent="0.3">
      <c r="A158" s="546">
        <v>12.366</v>
      </c>
      <c r="B158" s="323" t="str">
        <f>VLOOKUP(A158,'Feature Raw Data'!$A$3:$B$3922,2,FALSE)</f>
        <v>NV4x: Perfmon: Review and refinement of available perf counter events for GC and DF</v>
      </c>
      <c r="C158" s="323" t="s">
        <v>308</v>
      </c>
      <c r="D158" s="324" t="str">
        <f>VLOOKUP(A158,'Feature Raw Data'!$A$3:$F$3922,6,FALSE)</f>
        <v>GC</v>
      </c>
      <c r="E158" s="323"/>
      <c r="F158" s="323"/>
      <c r="G158" s="243" t="str">
        <f>VLOOKUP(A158,'Feature Summary'!$A$7:$C$4170,3,FALSE)</f>
        <v>P2</v>
      </c>
      <c r="H158" s="400" t="s">
        <v>47</v>
      </c>
      <c r="I158" s="424" t="s">
        <v>47</v>
      </c>
      <c r="J158" s="323"/>
      <c r="K158" s="324">
        <v>1</v>
      </c>
      <c r="L158" s="324">
        <v>0</v>
      </c>
      <c r="M158" s="549" t="str">
        <f>VLOOKUP(A158,'Feature Raw Data'!$A$3:$E$3922,5,FALSE)</f>
        <v>New</v>
      </c>
      <c r="N158" s="440">
        <v>1</v>
      </c>
      <c r="O158" s="441"/>
      <c r="P158" s="439">
        <f t="shared" si="1"/>
        <v>1</v>
      </c>
      <c r="Q158" s="424" t="s">
        <v>47</v>
      </c>
      <c r="R158" s="324">
        <v>0</v>
      </c>
      <c r="S158" s="467">
        <f t="shared" si="2"/>
        <v>0</v>
      </c>
      <c r="T158" s="458"/>
      <c r="U158" s="458"/>
      <c r="V158" s="458"/>
      <c r="W158" s="458"/>
      <c r="X158" s="468">
        <f t="shared" si="3"/>
        <v>1</v>
      </c>
      <c r="Y158" s="425" t="s">
        <v>441</v>
      </c>
      <c r="Z158" s="457">
        <f t="shared" si="4"/>
        <v>0</v>
      </c>
      <c r="AA158" s="458"/>
      <c r="AB158" s="458"/>
      <c r="AC158" s="458"/>
      <c r="AD158" s="458"/>
      <c r="AE158" s="456">
        <f t="shared" si="5"/>
        <v>1</v>
      </c>
      <c r="AF158" s="323"/>
      <c r="AG158" s="426" t="s">
        <v>47</v>
      </c>
      <c r="AH158" s="325"/>
    </row>
    <row r="159" spans="1:34" ht="15.75" hidden="1" thickBot="1" x14ac:dyDescent="0.3">
      <c r="A159" s="546">
        <v>12.374000000000001</v>
      </c>
      <c r="B159" s="323" t="str">
        <f>VLOOKUP(A159,'Feature Raw Data'!$A$3:$B$3922,2,FALSE)</f>
        <v>MEM_PWR_CTRL Bus increase to support FGCG</v>
      </c>
      <c r="C159" s="323" t="s">
        <v>374</v>
      </c>
      <c r="D159" s="324" t="str">
        <f>VLOOKUP(A159,'Feature Raw Data'!$A$3:$F$3922,6,FALSE)</f>
        <v>GC</v>
      </c>
      <c r="E159" s="323"/>
      <c r="F159" s="323"/>
      <c r="G159" s="243" t="str">
        <f>VLOOKUP(A159,'Feature Summary'!$A$7:$C$4170,3,FALSE)</f>
        <v>P1</v>
      </c>
      <c r="H159" s="400" t="s">
        <v>47</v>
      </c>
      <c r="I159" s="424" t="s">
        <v>47</v>
      </c>
      <c r="J159" s="323"/>
      <c r="K159" s="324">
        <v>1</v>
      </c>
      <c r="L159" s="324">
        <v>0</v>
      </c>
      <c r="M159" s="549" t="str">
        <f>VLOOKUP(A159,'Feature Raw Data'!$A$3:$E$3922,5,FALSE)</f>
        <v>New</v>
      </c>
      <c r="N159" s="440">
        <v>1</v>
      </c>
      <c r="O159" s="441"/>
      <c r="P159" s="439">
        <f t="shared" si="1"/>
        <v>1</v>
      </c>
      <c r="Q159" s="424" t="s">
        <v>47</v>
      </c>
      <c r="R159" s="324">
        <v>0</v>
      </c>
      <c r="S159" s="467">
        <f t="shared" si="2"/>
        <v>0</v>
      </c>
      <c r="T159" s="458"/>
      <c r="U159" s="458"/>
      <c r="V159" s="458"/>
      <c r="W159" s="458"/>
      <c r="X159" s="468">
        <f t="shared" si="3"/>
        <v>1</v>
      </c>
      <c r="Y159" s="425" t="s">
        <v>411</v>
      </c>
      <c r="Z159" s="457">
        <f t="shared" si="4"/>
        <v>0</v>
      </c>
      <c r="AA159" s="458"/>
      <c r="AB159" s="458"/>
      <c r="AC159" s="458"/>
      <c r="AD159" s="458"/>
      <c r="AE159" s="456">
        <f t="shared" si="5"/>
        <v>1</v>
      </c>
      <c r="AF159" s="323"/>
      <c r="AG159" s="426" t="s">
        <v>47</v>
      </c>
      <c r="AH159" s="325"/>
    </row>
    <row r="160" spans="1:34" ht="15.75" hidden="1" thickBot="1" x14ac:dyDescent="0.3">
      <c r="A160" s="546">
        <v>12.382</v>
      </c>
      <c r="B160" s="323" t="str">
        <f>VLOOKUP(A160,'Feature Raw Data'!$A$3:$B$3922,2,FALSE)</f>
        <v>[Strix] pbb_tile_order_rev -- from BRP:11.5.017</v>
      </c>
      <c r="C160" s="323" t="s">
        <v>310</v>
      </c>
      <c r="D160" s="324" t="str">
        <f>VLOOKUP(A160,'Feature Raw Data'!$A$3:$F$3922,6,FALSE)</f>
        <v>PP</v>
      </c>
      <c r="E160" s="323"/>
      <c r="F160" s="323"/>
      <c r="G160" s="243" t="str">
        <f>VLOOKUP(A160,'Feature Summary'!$A$7:$C$4170,3,FALSE)</f>
        <v>P2</v>
      </c>
      <c r="H160" s="400" t="s">
        <v>47</v>
      </c>
      <c r="I160" s="424" t="s">
        <v>47</v>
      </c>
      <c r="J160" s="323"/>
      <c r="K160" s="324">
        <v>1</v>
      </c>
      <c r="L160" s="324">
        <v>0</v>
      </c>
      <c r="M160" s="549" t="str">
        <f>VLOOKUP(A160,'Feature Raw Data'!$A$3:$E$3922,5,FALSE)</f>
        <v>Legacy</v>
      </c>
      <c r="N160" s="440">
        <v>1</v>
      </c>
      <c r="O160" s="441"/>
      <c r="P160" s="439">
        <f t="shared" si="1"/>
        <v>1</v>
      </c>
      <c r="Q160" s="424" t="s">
        <v>47</v>
      </c>
      <c r="R160" s="324">
        <v>0</v>
      </c>
      <c r="S160" s="467">
        <f t="shared" si="2"/>
        <v>0</v>
      </c>
      <c r="T160" s="458"/>
      <c r="U160" s="458"/>
      <c r="V160" s="458"/>
      <c r="W160" s="458"/>
      <c r="X160" s="468">
        <f t="shared" si="3"/>
        <v>1</v>
      </c>
      <c r="Y160" s="551" t="s">
        <v>382</v>
      </c>
      <c r="Z160" s="457">
        <f t="shared" si="4"/>
        <v>0</v>
      </c>
      <c r="AA160" s="458"/>
      <c r="AB160" s="458"/>
      <c r="AC160" s="458"/>
      <c r="AD160" s="458"/>
      <c r="AE160" s="456">
        <f t="shared" si="5"/>
        <v>1</v>
      </c>
      <c r="AF160" s="323"/>
      <c r="AG160" s="426" t="s">
        <v>47</v>
      </c>
      <c r="AH160" s="325"/>
    </row>
    <row r="161" spans="1:34" ht="15.75" hidden="1" thickBot="1" x14ac:dyDescent="0.3">
      <c r="A161" s="546">
        <v>12.387</v>
      </c>
      <c r="B161" s="323" t="str">
        <f>VLOOKUP(A161,'Feature Raw Data'!$A$3:$B$3922,2,FALSE)</f>
        <v>Block Initiatives</v>
      </c>
      <c r="C161" s="323" t="s">
        <v>47</v>
      </c>
      <c r="D161" s="324" t="str">
        <f>VLOOKUP(A161,'Feature Raw Data'!$A$3:$F$3922,6,FALSE)</f>
        <v>GFX</v>
      </c>
      <c r="E161" s="323"/>
      <c r="F161" s="323"/>
      <c r="G161" s="243" t="str">
        <f>VLOOKUP(A161,'Feature Summary'!$A$7:$C$4170,3,FALSE)</f>
        <v>P1</v>
      </c>
      <c r="H161" s="400" t="s">
        <v>47</v>
      </c>
      <c r="I161" s="424" t="s">
        <v>47</v>
      </c>
      <c r="J161" s="323"/>
      <c r="K161" s="324">
        <v>1</v>
      </c>
      <c r="L161" s="324">
        <v>0</v>
      </c>
      <c r="M161" s="549" t="str">
        <f>VLOOKUP(A161,'Feature Raw Data'!$A$3:$E$3922,5,FALSE)</f>
        <v>New</v>
      </c>
      <c r="N161" s="440">
        <v>1</v>
      </c>
      <c r="O161" s="441"/>
      <c r="P161" s="439">
        <f t="shared" si="1"/>
        <v>1</v>
      </c>
      <c r="Q161" s="424" t="s">
        <v>47</v>
      </c>
      <c r="R161" s="324">
        <v>0</v>
      </c>
      <c r="S161" s="467">
        <f t="shared" si="2"/>
        <v>0</v>
      </c>
      <c r="T161" s="458"/>
      <c r="U161" s="458"/>
      <c r="V161" s="458"/>
      <c r="W161" s="458"/>
      <c r="X161" s="468">
        <f t="shared" si="3"/>
        <v>1</v>
      </c>
      <c r="Y161" s="551" t="s">
        <v>444</v>
      </c>
      <c r="Z161" s="457">
        <f t="shared" si="4"/>
        <v>0</v>
      </c>
      <c r="AA161" s="458"/>
      <c r="AB161" s="458"/>
      <c r="AC161" s="458"/>
      <c r="AD161" s="458"/>
      <c r="AE161" s="456">
        <f t="shared" si="5"/>
        <v>1</v>
      </c>
      <c r="AF161" s="323"/>
      <c r="AG161" s="426" t="s">
        <v>47</v>
      </c>
      <c r="AH161" s="325"/>
    </row>
    <row r="162" spans="1:34" ht="15.75" hidden="1" thickBot="1" x14ac:dyDescent="0.3">
      <c r="A162" s="546">
        <v>12.388999999999999</v>
      </c>
      <c r="B162" s="323" t="str">
        <f>VLOOKUP(A162,'Feature Raw Data'!$A$3:$B$3922,2,FALSE)</f>
        <v>GFX EDC Controller using XVmin/Mafdd</v>
      </c>
      <c r="C162" s="323" t="s">
        <v>47</v>
      </c>
      <c r="D162" s="324" t="str">
        <f>VLOOKUP(A162,'Feature Raw Data'!$A$3:$F$3922,6,FALSE)</f>
        <v>CTL</v>
      </c>
      <c r="E162" s="323"/>
      <c r="F162" s="323"/>
      <c r="G162" s="243" t="str">
        <f>VLOOKUP(A162,'Feature Summary'!$A$7:$C$4170,3,FALSE)</f>
        <v>P1</v>
      </c>
      <c r="H162" s="400" t="s">
        <v>47</v>
      </c>
      <c r="I162" s="424" t="s">
        <v>47</v>
      </c>
      <c r="J162" s="323"/>
      <c r="K162" s="324">
        <v>1</v>
      </c>
      <c r="L162" s="324">
        <v>0</v>
      </c>
      <c r="M162" s="549" t="str">
        <f>VLOOKUP(A162,'Feature Raw Data'!$A$3:$E$3922,5,FALSE)</f>
        <v>New</v>
      </c>
      <c r="N162" s="440">
        <v>1</v>
      </c>
      <c r="O162" s="441"/>
      <c r="P162" s="439">
        <f t="shared" si="1"/>
        <v>1</v>
      </c>
      <c r="Q162" s="424" t="s">
        <v>47</v>
      </c>
      <c r="R162" s="324">
        <v>0</v>
      </c>
      <c r="S162" s="467">
        <f t="shared" si="2"/>
        <v>0</v>
      </c>
      <c r="T162" s="458"/>
      <c r="U162" s="458"/>
      <c r="V162" s="458"/>
      <c r="W162" s="458"/>
      <c r="X162" s="468">
        <f t="shared" si="3"/>
        <v>1</v>
      </c>
      <c r="Y162" s="551" t="s">
        <v>422</v>
      </c>
      <c r="Z162" s="457">
        <f t="shared" si="4"/>
        <v>0</v>
      </c>
      <c r="AA162" s="458"/>
      <c r="AB162" s="458"/>
      <c r="AC162" s="458"/>
      <c r="AD162" s="458"/>
      <c r="AE162" s="456">
        <f t="shared" si="5"/>
        <v>1</v>
      </c>
      <c r="AF162" s="323"/>
      <c r="AG162" s="426" t="s">
        <v>47</v>
      </c>
      <c r="AH162" s="325"/>
    </row>
    <row r="163" spans="1:34" ht="15.75" hidden="1" thickBot="1" x14ac:dyDescent="0.3">
      <c r="A163" s="546">
        <v>12.391999999999999</v>
      </c>
      <c r="B163" s="323" t="str">
        <f>VLOOKUP(A163,'Feature Raw Data'!$A$3:$B$3922,2,FALSE)</f>
        <v>NV4x: GFX Cac Events selection enhancement</v>
      </c>
      <c r="C163" s="323" t="s">
        <v>47</v>
      </c>
      <c r="D163" s="324" t="str">
        <f>VLOOKUP(A163,'Feature Raw Data'!$A$3:$F$3922,6,FALSE)</f>
        <v>CTL</v>
      </c>
      <c r="E163" s="323"/>
      <c r="F163" s="323"/>
      <c r="G163" s="243" t="str">
        <f>VLOOKUP(A163,'Feature Summary'!$A$7:$C$4170,3,FALSE)</f>
        <v>P2</v>
      </c>
      <c r="H163" s="400" t="s">
        <v>47</v>
      </c>
      <c r="I163" s="424" t="s">
        <v>47</v>
      </c>
      <c r="J163" s="323"/>
      <c r="K163" s="324">
        <v>1</v>
      </c>
      <c r="L163" s="324">
        <v>0</v>
      </c>
      <c r="M163" s="549" t="str">
        <f>VLOOKUP(A163,'Feature Raw Data'!$A$3:$E$3922,5,FALSE)</f>
        <v>New</v>
      </c>
      <c r="N163" s="440">
        <v>1</v>
      </c>
      <c r="O163" s="441"/>
      <c r="P163" s="439">
        <f t="shared" si="1"/>
        <v>1</v>
      </c>
      <c r="Q163" s="424" t="s">
        <v>47</v>
      </c>
      <c r="R163" s="324">
        <v>0</v>
      </c>
      <c r="S163" s="467">
        <f t="shared" si="2"/>
        <v>0</v>
      </c>
      <c r="T163" s="458"/>
      <c r="U163" s="458"/>
      <c r="V163" s="458"/>
      <c r="W163" s="458"/>
      <c r="X163" s="468">
        <f t="shared" si="3"/>
        <v>1</v>
      </c>
      <c r="Y163" s="551" t="s">
        <v>422</v>
      </c>
      <c r="Z163" s="457">
        <f t="shared" si="4"/>
        <v>0</v>
      </c>
      <c r="AA163" s="458"/>
      <c r="AB163" s="458"/>
      <c r="AC163" s="458"/>
      <c r="AD163" s="458"/>
      <c r="AE163" s="456">
        <f t="shared" si="5"/>
        <v>1</v>
      </c>
      <c r="AF163" s="323"/>
      <c r="AG163" s="426" t="s">
        <v>47</v>
      </c>
      <c r="AH163" s="325"/>
    </row>
    <row r="164" spans="1:34" ht="15.75" hidden="1" thickBot="1" x14ac:dyDescent="0.3">
      <c r="A164" s="546">
        <v>12.393000000000001</v>
      </c>
      <c r="B164" s="323" t="str">
        <f>VLOOKUP(A164,'Feature Raw Data'!$A$3:$B$3922,2,FALSE)</f>
        <v>GFX PCC latency optimization</v>
      </c>
      <c r="C164" s="323" t="s">
        <v>47</v>
      </c>
      <c r="D164" s="324" t="str">
        <f>VLOOKUP(A164,'Feature Raw Data'!$A$3:$F$3922,6,FALSE)</f>
        <v>CTL</v>
      </c>
      <c r="E164" s="323"/>
      <c r="F164" s="323"/>
      <c r="G164" s="243" t="str">
        <f>VLOOKUP(A164,'Feature Summary'!$A$7:$C$4170,3,FALSE)</f>
        <v>P1</v>
      </c>
      <c r="H164" s="400" t="s">
        <v>47</v>
      </c>
      <c r="I164" s="424" t="s">
        <v>47</v>
      </c>
      <c r="J164" s="323"/>
      <c r="K164" s="324">
        <v>1</v>
      </c>
      <c r="L164" s="324">
        <v>0</v>
      </c>
      <c r="M164" s="549" t="str">
        <f>VLOOKUP(A164,'Feature Raw Data'!$A$3:$E$3922,5,FALSE)</f>
        <v>New</v>
      </c>
      <c r="N164" s="440">
        <v>1</v>
      </c>
      <c r="O164" s="441"/>
      <c r="P164" s="439">
        <f t="shared" si="1"/>
        <v>1</v>
      </c>
      <c r="Q164" s="424" t="s">
        <v>47</v>
      </c>
      <c r="R164" s="324">
        <v>0</v>
      </c>
      <c r="S164" s="467">
        <f t="shared" si="2"/>
        <v>0</v>
      </c>
      <c r="T164" s="458"/>
      <c r="U164" s="458"/>
      <c r="V164" s="458"/>
      <c r="W164" s="458"/>
      <c r="X164" s="468">
        <f t="shared" si="3"/>
        <v>1</v>
      </c>
      <c r="Y164" s="551" t="s">
        <v>422</v>
      </c>
      <c r="Z164" s="457">
        <f t="shared" si="4"/>
        <v>0</v>
      </c>
      <c r="AA164" s="458"/>
      <c r="AB164" s="458"/>
      <c r="AC164" s="458"/>
      <c r="AD164" s="458"/>
      <c r="AE164" s="456">
        <f t="shared" si="5"/>
        <v>1</v>
      </c>
      <c r="AF164" s="323"/>
      <c r="AG164" s="426" t="s">
        <v>47</v>
      </c>
      <c r="AH164" s="325"/>
    </row>
    <row r="165" spans="1:34" ht="15.75" hidden="1" thickBot="1" x14ac:dyDescent="0.3">
      <c r="A165" s="546">
        <v>12.396000000000001</v>
      </c>
      <c r="B165" s="323" t="str">
        <f>VLOOKUP(A165,'Feature Raw Data'!$A$3:$B$3922,2,FALSE)</f>
        <v>Airtight FIFO Design Robustness</v>
      </c>
      <c r="C165" s="323" t="s">
        <v>324</v>
      </c>
      <c r="D165" s="324" t="str">
        <f>VLOOKUP(A165,'Feature Raw Data'!$A$3:$F$3922,6,FALSE)</f>
        <v>GFX</v>
      </c>
      <c r="E165" s="323"/>
      <c r="F165" s="323"/>
      <c r="G165" s="243" t="str">
        <f>VLOOKUP(A165,'Feature Summary'!$A$7:$C$4170,3,FALSE)</f>
        <v>P1</v>
      </c>
      <c r="H165" s="400" t="s">
        <v>47</v>
      </c>
      <c r="I165" s="424" t="s">
        <v>47</v>
      </c>
      <c r="J165" s="323"/>
      <c r="K165" s="324">
        <v>1</v>
      </c>
      <c r="L165" s="324">
        <v>0</v>
      </c>
      <c r="M165" s="549" t="str">
        <f>VLOOKUP(A165,'Feature Raw Data'!$A$3:$E$3922,5,FALSE)</f>
        <v>New</v>
      </c>
      <c r="N165" s="440">
        <v>1</v>
      </c>
      <c r="O165" s="441"/>
      <c r="P165" s="439">
        <f t="shared" si="1"/>
        <v>1</v>
      </c>
      <c r="Q165" s="424" t="s">
        <v>47</v>
      </c>
      <c r="R165" s="324">
        <v>0</v>
      </c>
      <c r="S165" s="467">
        <f t="shared" si="2"/>
        <v>0</v>
      </c>
      <c r="T165" s="458"/>
      <c r="U165" s="458"/>
      <c r="V165" s="458"/>
      <c r="W165" s="458"/>
      <c r="X165" s="468">
        <f t="shared" si="3"/>
        <v>1</v>
      </c>
      <c r="Y165" s="425" t="s">
        <v>445</v>
      </c>
      <c r="Z165" s="457">
        <f t="shared" si="4"/>
        <v>0</v>
      </c>
      <c r="AA165" s="458"/>
      <c r="AB165" s="458"/>
      <c r="AC165" s="458"/>
      <c r="AD165" s="458"/>
      <c r="AE165" s="456">
        <f t="shared" si="5"/>
        <v>1</v>
      </c>
      <c r="AF165" s="323"/>
      <c r="AG165" s="426" t="s">
        <v>47</v>
      </c>
      <c r="AH165" s="325"/>
    </row>
    <row r="166" spans="1:34" ht="15.75" hidden="1" thickBot="1" x14ac:dyDescent="0.3">
      <c r="A166" s="546">
        <v>12.397</v>
      </c>
      <c r="B166" s="323" t="str">
        <f>VLOOKUP(A166,'Feature Raw Data'!$A$3:$B$3922,2,FALSE)</f>
        <v>Benchmark Stimulus Replay at Block</v>
      </c>
      <c r="C166" s="323" t="s">
        <v>324</v>
      </c>
      <c r="D166" s="324" t="str">
        <f>VLOOKUP(A166,'Feature Raw Data'!$A$3:$F$3922,6,FALSE)</f>
        <v>GFX</v>
      </c>
      <c r="E166" s="323"/>
      <c r="F166" s="323"/>
      <c r="G166" s="243" t="str">
        <f>VLOOKUP(A166,'Feature Summary'!$A$7:$C$4170,3,FALSE)</f>
        <v>P2</v>
      </c>
      <c r="H166" s="400" t="s">
        <v>47</v>
      </c>
      <c r="I166" s="424" t="s">
        <v>47</v>
      </c>
      <c r="J166" s="323"/>
      <c r="K166" s="324">
        <v>1</v>
      </c>
      <c r="L166" s="324">
        <v>0</v>
      </c>
      <c r="M166" s="549" t="str">
        <f>VLOOKUP(A166,'Feature Raw Data'!$A$3:$E$3922,5,FALSE)</f>
        <v>New</v>
      </c>
      <c r="N166" s="440">
        <v>1</v>
      </c>
      <c r="O166" s="441"/>
      <c r="P166" s="439">
        <f t="shared" si="1"/>
        <v>1</v>
      </c>
      <c r="Q166" s="424" t="s">
        <v>47</v>
      </c>
      <c r="R166" s="324">
        <v>0</v>
      </c>
      <c r="S166" s="467">
        <f t="shared" si="2"/>
        <v>0</v>
      </c>
      <c r="T166" s="458"/>
      <c r="U166" s="458"/>
      <c r="V166" s="458"/>
      <c r="W166" s="458"/>
      <c r="X166" s="468">
        <f t="shared" si="3"/>
        <v>1</v>
      </c>
      <c r="Y166" s="425" t="s">
        <v>446</v>
      </c>
      <c r="Z166" s="457">
        <f t="shared" si="4"/>
        <v>0</v>
      </c>
      <c r="AA166" s="458"/>
      <c r="AB166" s="458"/>
      <c r="AC166" s="458"/>
      <c r="AD166" s="458"/>
      <c r="AE166" s="456">
        <f t="shared" si="5"/>
        <v>1</v>
      </c>
      <c r="AF166" s="323"/>
      <c r="AG166" s="426" t="s">
        <v>47</v>
      </c>
      <c r="AH166" s="325"/>
    </row>
    <row r="167" spans="1:34" ht="15.75" hidden="1" thickBot="1" x14ac:dyDescent="0.3">
      <c r="A167" s="546">
        <v>12.398</v>
      </c>
      <c r="B167" s="323" t="str">
        <f>VLOOKUP(A167,'Feature Raw Data'!$A$3:$B$3922,2,FALSE)</f>
        <v xml:space="preserve">Adoption of RDL2RTL </v>
      </c>
      <c r="C167" s="323" t="s">
        <v>324</v>
      </c>
      <c r="D167" s="324" t="str">
        <f>VLOOKUP(A167,'Feature Raw Data'!$A$3:$F$3922,6,FALSE)</f>
        <v>GFX</v>
      </c>
      <c r="E167" s="323"/>
      <c r="F167" s="323"/>
      <c r="G167" s="243" t="str">
        <f>VLOOKUP(A167,'Feature Summary'!$A$7:$C$4170,3,FALSE)</f>
        <v>P2</v>
      </c>
      <c r="H167" s="400" t="s">
        <v>47</v>
      </c>
      <c r="I167" s="424" t="s">
        <v>47</v>
      </c>
      <c r="J167" s="323"/>
      <c r="K167" s="324">
        <v>1</v>
      </c>
      <c r="L167" s="324">
        <v>0</v>
      </c>
      <c r="M167" s="549" t="str">
        <f>VLOOKUP(A167,'Feature Raw Data'!$A$3:$E$3922,5,FALSE)</f>
        <v>New</v>
      </c>
      <c r="N167" s="440">
        <v>1</v>
      </c>
      <c r="O167" s="441"/>
      <c r="P167" s="439">
        <f t="shared" si="1"/>
        <v>1</v>
      </c>
      <c r="Q167" s="424" t="s">
        <v>47</v>
      </c>
      <c r="R167" s="324">
        <v>0</v>
      </c>
      <c r="S167" s="467">
        <f t="shared" si="2"/>
        <v>0</v>
      </c>
      <c r="T167" s="458"/>
      <c r="U167" s="458"/>
      <c r="V167" s="458"/>
      <c r="W167" s="458"/>
      <c r="X167" s="468">
        <f t="shared" si="3"/>
        <v>1</v>
      </c>
      <c r="Y167" s="425" t="s">
        <v>446</v>
      </c>
      <c r="Z167" s="457">
        <f t="shared" si="4"/>
        <v>0</v>
      </c>
      <c r="AA167" s="458"/>
      <c r="AB167" s="458"/>
      <c r="AC167" s="458"/>
      <c r="AD167" s="458"/>
      <c r="AE167" s="456">
        <f t="shared" si="5"/>
        <v>1</v>
      </c>
      <c r="AF167" s="323"/>
      <c r="AG167" s="426" t="s">
        <v>47</v>
      </c>
      <c r="AH167" s="325"/>
    </row>
    <row r="168" spans="1:34" ht="15.75" hidden="1" thickBot="1" x14ac:dyDescent="0.3">
      <c r="A168" s="546">
        <v>12.398999999999999</v>
      </c>
      <c r="B168" s="323" t="str">
        <f>VLOOKUP(A168,'Feature Raw Data'!$A$3:$B$3922,2,FALSE)</f>
        <v>Remove Coverage into Render Targets</v>
      </c>
      <c r="C168" s="323" t="s">
        <v>310</v>
      </c>
      <c r="D168" s="324" t="str">
        <f>VLOOKUP(A168,'Feature Raw Data'!$A$3:$F$3922,6,FALSE)</f>
        <v>PP</v>
      </c>
      <c r="E168" s="323"/>
      <c r="F168" s="323"/>
      <c r="G168" s="243" t="str">
        <f>VLOOKUP(A168,'Feature Summary'!$A$7:$C$4170,3,FALSE)</f>
        <v>P1</v>
      </c>
      <c r="H168" s="400" t="s">
        <v>47</v>
      </c>
      <c r="I168" s="424" t="s">
        <v>47</v>
      </c>
      <c r="J168" s="323"/>
      <c r="K168" s="324">
        <v>1</v>
      </c>
      <c r="L168" s="324">
        <v>0</v>
      </c>
      <c r="M168" s="549" t="str">
        <f>VLOOKUP(A168,'Feature Raw Data'!$A$3:$E$3922,5,FALSE)</f>
        <v>New</v>
      </c>
      <c r="N168" s="440">
        <v>1</v>
      </c>
      <c r="O168" s="441"/>
      <c r="P168" s="439">
        <f t="shared" si="1"/>
        <v>1</v>
      </c>
      <c r="Q168" s="424" t="s">
        <v>47</v>
      </c>
      <c r="R168" s="324">
        <v>0</v>
      </c>
      <c r="S168" s="467">
        <f t="shared" si="2"/>
        <v>0</v>
      </c>
      <c r="T168" s="458"/>
      <c r="U168" s="458"/>
      <c r="V168" s="458"/>
      <c r="W168" s="458"/>
      <c r="X168" s="468">
        <f t="shared" si="3"/>
        <v>1</v>
      </c>
      <c r="Y168" s="425" t="s">
        <v>447</v>
      </c>
      <c r="Z168" s="457">
        <f t="shared" si="4"/>
        <v>0</v>
      </c>
      <c r="AA168" s="458"/>
      <c r="AB168" s="458"/>
      <c r="AC168" s="458"/>
      <c r="AD168" s="458"/>
      <c r="AE168" s="456">
        <f t="shared" si="5"/>
        <v>1</v>
      </c>
      <c r="AF168" s="323"/>
      <c r="AG168" s="426" t="s">
        <v>47</v>
      </c>
      <c r="AH168" s="325"/>
    </row>
    <row r="169" spans="1:34" ht="15.75" hidden="1" thickBot="1" x14ac:dyDescent="0.3">
      <c r="A169" s="546">
        <v>12.4</v>
      </c>
      <c r="B169" s="323" t="str">
        <f>VLOOKUP(A169,'Feature Raw Data'!$A$3:$B$3922,2,FALSE)</f>
        <v>SRAM Bit/byte write enable</v>
      </c>
      <c r="C169" s="323" t="s">
        <v>324</v>
      </c>
      <c r="D169" s="324" t="str">
        <f>VLOOKUP(A169,'Feature Raw Data'!$A$3:$F$3922,6,FALSE)</f>
        <v>GFX</v>
      </c>
      <c r="E169" s="323"/>
      <c r="F169" s="323"/>
      <c r="G169" s="243" t="str">
        <f>VLOOKUP(A169,'Feature Summary'!$A$7:$C$4170,3,FALSE)</f>
        <v>P1</v>
      </c>
      <c r="H169" s="400" t="s">
        <v>47</v>
      </c>
      <c r="I169" s="424" t="s">
        <v>47</v>
      </c>
      <c r="J169" s="323"/>
      <c r="K169" s="324">
        <v>1</v>
      </c>
      <c r="L169" s="324">
        <v>0</v>
      </c>
      <c r="M169" s="549" t="str">
        <f>VLOOKUP(A169,'Feature Raw Data'!$A$3:$E$3922,5,FALSE)</f>
        <v>New</v>
      </c>
      <c r="N169" s="440">
        <v>1</v>
      </c>
      <c r="O169" s="441"/>
      <c r="P169" s="439">
        <f t="shared" si="1"/>
        <v>1</v>
      </c>
      <c r="Q169" s="424" t="s">
        <v>47</v>
      </c>
      <c r="R169" s="324">
        <v>0</v>
      </c>
      <c r="S169" s="467">
        <f t="shared" si="2"/>
        <v>0</v>
      </c>
      <c r="T169" s="458"/>
      <c r="U169" s="458"/>
      <c r="V169" s="458"/>
      <c r="W169" s="458"/>
      <c r="X169" s="468">
        <f t="shared" si="3"/>
        <v>1</v>
      </c>
      <c r="Y169" s="425" t="s">
        <v>448</v>
      </c>
      <c r="Z169" s="457">
        <f t="shared" si="4"/>
        <v>0</v>
      </c>
      <c r="AA169" s="458"/>
      <c r="AB169" s="458"/>
      <c r="AC169" s="458"/>
      <c r="AD169" s="458"/>
      <c r="AE169" s="456">
        <f t="shared" si="5"/>
        <v>1</v>
      </c>
      <c r="AF169" s="323"/>
      <c r="AG169" s="426" t="s">
        <v>47</v>
      </c>
      <c r="AH169" s="325"/>
    </row>
    <row r="170" spans="1:34" ht="15.75" hidden="1" thickBot="1" x14ac:dyDescent="0.3">
      <c r="A170" s="553">
        <v>12.401</v>
      </c>
      <c r="B170" s="323" t="str">
        <f>VLOOKUP(A170,'Feature Raw Data'!$A$3:$B$3922,2,FALSE)</f>
        <v>Improving MBFF ratio (Octa/Hexa Flops)</v>
      </c>
      <c r="C170" s="323" t="s">
        <v>334</v>
      </c>
      <c r="D170" s="324" t="str">
        <f>VLOOKUP(A170,'Feature Raw Data'!$A$3:$F$3922,6,FALSE)</f>
        <v>CMM</v>
      </c>
      <c r="E170" s="323"/>
      <c r="F170" s="323"/>
      <c r="G170" s="243" t="str">
        <f>VLOOKUP(A170,'Feature Summary'!$A$7:$C$4170,3,FALSE)</f>
        <v>P2</v>
      </c>
      <c r="H170" s="400" t="s">
        <v>47</v>
      </c>
      <c r="I170" s="424" t="s">
        <v>47</v>
      </c>
      <c r="J170" s="323"/>
      <c r="K170" s="324">
        <v>1</v>
      </c>
      <c r="L170" s="324">
        <v>0</v>
      </c>
      <c r="M170" s="549" t="str">
        <f>VLOOKUP(A170,'Feature Raw Data'!$A$3:$E$3922,5,FALSE)</f>
        <v>New</v>
      </c>
      <c r="N170" s="440">
        <v>1</v>
      </c>
      <c r="O170" s="441"/>
      <c r="P170" s="439">
        <f t="shared" si="1"/>
        <v>1</v>
      </c>
      <c r="Q170" s="424" t="s">
        <v>47</v>
      </c>
      <c r="R170" s="324">
        <v>0</v>
      </c>
      <c r="S170" s="467">
        <f t="shared" si="2"/>
        <v>0</v>
      </c>
      <c r="T170" s="458"/>
      <c r="U170" s="458"/>
      <c r="V170" s="458"/>
      <c r="W170" s="458"/>
      <c r="X170" s="468">
        <f t="shared" si="3"/>
        <v>1</v>
      </c>
      <c r="Y170" s="425" t="s">
        <v>449</v>
      </c>
      <c r="Z170" s="457">
        <f t="shared" si="4"/>
        <v>0</v>
      </c>
      <c r="AA170" s="458"/>
      <c r="AB170" s="458"/>
      <c r="AC170" s="458"/>
      <c r="AD170" s="458"/>
      <c r="AE170" s="456">
        <f t="shared" si="5"/>
        <v>1</v>
      </c>
      <c r="AF170" s="323"/>
      <c r="AG170" s="426" t="s">
        <v>47</v>
      </c>
      <c r="AH170" s="325"/>
    </row>
    <row r="171" spans="1:34" ht="15.75" hidden="1" thickBot="1" x14ac:dyDescent="0.3">
      <c r="A171" s="546">
        <v>12.401999999999999</v>
      </c>
      <c r="B171" s="323" t="str">
        <f>VLOOKUP(A171,'Feature Raw Data'!$A$3:$B$3922,2,FALSE)</f>
        <v>Repeater Clock Gating (Clock Gating Efficiency focus)</v>
      </c>
      <c r="C171" s="323" t="s">
        <v>374</v>
      </c>
      <c r="D171" s="324" t="str">
        <f>VLOOKUP(A171,'Feature Raw Data'!$A$3:$F$3922,6,FALSE)</f>
        <v>GFX</v>
      </c>
      <c r="E171" s="323"/>
      <c r="F171" s="323"/>
      <c r="G171" s="243" t="str">
        <f>VLOOKUP(A171,'Feature Summary'!$A$7:$C$4170,3,FALSE)</f>
        <v>P1</v>
      </c>
      <c r="H171" s="400" t="s">
        <v>47</v>
      </c>
      <c r="I171" s="424" t="s">
        <v>47</v>
      </c>
      <c r="J171" s="323"/>
      <c r="K171" s="324">
        <v>1</v>
      </c>
      <c r="L171" s="324">
        <v>0</v>
      </c>
      <c r="M171" s="549" t="str">
        <f>VLOOKUP(A171,'Feature Raw Data'!$A$3:$E$3922,5,FALSE)</f>
        <v>New</v>
      </c>
      <c r="N171" s="440">
        <v>1</v>
      </c>
      <c r="O171" s="441"/>
      <c r="P171" s="439">
        <f t="shared" si="1"/>
        <v>1</v>
      </c>
      <c r="Q171" s="424" t="s">
        <v>47</v>
      </c>
      <c r="R171" s="324">
        <v>0</v>
      </c>
      <c r="S171" s="467">
        <f t="shared" si="2"/>
        <v>0</v>
      </c>
      <c r="T171" s="458"/>
      <c r="U171" s="458"/>
      <c r="V171" s="458"/>
      <c r="W171" s="458"/>
      <c r="X171" s="468">
        <f t="shared" si="3"/>
        <v>1</v>
      </c>
      <c r="Y171" s="425" t="s">
        <v>450</v>
      </c>
      <c r="Z171" s="457">
        <f t="shared" si="4"/>
        <v>0</v>
      </c>
      <c r="AA171" s="458"/>
      <c r="AB171" s="458"/>
      <c r="AC171" s="458"/>
      <c r="AD171" s="458"/>
      <c r="AE171" s="456">
        <f t="shared" si="5"/>
        <v>1</v>
      </c>
      <c r="AF171" s="323"/>
      <c r="AG171" s="426" t="s">
        <v>47</v>
      </c>
      <c r="AH171" s="325"/>
    </row>
    <row r="172" spans="1:34" ht="15.75" hidden="1" thickBot="1" x14ac:dyDescent="0.3">
      <c r="A172" s="546">
        <v>12.403</v>
      </c>
      <c r="B172" s="323" t="str">
        <f>VLOOKUP(A172,'Feature Raw Data'!$A$3:$B$3922,2,FALSE)</f>
        <v>MGCG partitioning (Goal is to reduce gating residency of MGCG domains. Power saved is function of reduction in MGCG domain clock residency, and physical partitioning of domain (size of domain, clones, ICG placement, pre MGCG power).  </v>
      </c>
      <c r="C172" s="323" t="s">
        <v>374</v>
      </c>
      <c r="D172" s="324" t="str">
        <f>VLOOKUP(A172,'Feature Raw Data'!$A$3:$F$3922,6,FALSE)</f>
        <v>GFX</v>
      </c>
      <c r="E172" s="323"/>
      <c r="F172" s="323"/>
      <c r="G172" s="243" t="str">
        <f>VLOOKUP(A172,'Feature Summary'!$A$7:$C$4170,3,FALSE)</f>
        <v>P1</v>
      </c>
      <c r="H172" s="400" t="s">
        <v>47</v>
      </c>
      <c r="I172" s="424" t="s">
        <v>47</v>
      </c>
      <c r="J172" s="323"/>
      <c r="K172" s="324">
        <v>1</v>
      </c>
      <c r="L172" s="324">
        <v>0</v>
      </c>
      <c r="M172" s="549" t="str">
        <f>VLOOKUP(A172,'Feature Raw Data'!$A$3:$E$3922,5,FALSE)</f>
        <v>New</v>
      </c>
      <c r="N172" s="440">
        <v>1</v>
      </c>
      <c r="O172" s="441"/>
      <c r="P172" s="439">
        <f t="shared" si="1"/>
        <v>1</v>
      </c>
      <c r="Q172" s="424" t="s">
        <v>47</v>
      </c>
      <c r="R172" s="324">
        <v>0</v>
      </c>
      <c r="S172" s="467">
        <f t="shared" si="2"/>
        <v>0</v>
      </c>
      <c r="T172" s="458"/>
      <c r="U172" s="458"/>
      <c r="V172" s="458"/>
      <c r="W172" s="458"/>
      <c r="X172" s="468">
        <f t="shared" si="3"/>
        <v>1</v>
      </c>
      <c r="Y172" s="425" t="s">
        <v>451</v>
      </c>
      <c r="Z172" s="457">
        <f t="shared" si="4"/>
        <v>0</v>
      </c>
      <c r="AA172" s="458"/>
      <c r="AB172" s="458"/>
      <c r="AC172" s="458"/>
      <c r="AD172" s="458"/>
      <c r="AE172" s="456">
        <f t="shared" si="5"/>
        <v>1</v>
      </c>
      <c r="AF172" s="323"/>
      <c r="AG172" s="426" t="s">
        <v>47</v>
      </c>
      <c r="AH172" s="325"/>
    </row>
    <row r="173" spans="1:34" ht="15.75" hidden="1" thickBot="1" x14ac:dyDescent="0.3">
      <c r="A173" s="546">
        <v>12.406000000000001</v>
      </c>
      <c r="B173" s="323" t="str">
        <f>VLOOKUP(A173,'Feature Raw Data'!$A$3:$B$3922,2,FALSE)</f>
        <v>With GPO enabled, perfmon clock and flops connected to it are currently not gated. Proposal is to improve clock gating of “event” flops and counters used in performance monitor logic</v>
      </c>
      <c r="C173" s="323" t="s">
        <v>374</v>
      </c>
      <c r="D173" s="324" t="str">
        <f>VLOOKUP(A173,'Feature Raw Data'!$A$3:$F$3922,6,FALSE)</f>
        <v>GFX</v>
      </c>
      <c r="E173" s="323"/>
      <c r="F173" s="323"/>
      <c r="G173" s="243" t="str">
        <f>VLOOKUP(A173,'Feature Summary'!$A$7:$C$4170,3,FALSE)</f>
        <v>P1</v>
      </c>
      <c r="H173" s="400" t="s">
        <v>47</v>
      </c>
      <c r="I173" s="424" t="s">
        <v>47</v>
      </c>
      <c r="J173" s="323"/>
      <c r="K173" s="324">
        <v>1</v>
      </c>
      <c r="L173" s="324">
        <v>0</v>
      </c>
      <c r="M173" s="549" t="str">
        <f>VLOOKUP(A173,'Feature Raw Data'!$A$3:$E$3922,5,FALSE)</f>
        <v>New</v>
      </c>
      <c r="N173" s="440">
        <v>1</v>
      </c>
      <c r="O173" s="441"/>
      <c r="P173" s="439">
        <f t="shared" si="1"/>
        <v>1</v>
      </c>
      <c r="Q173" s="424" t="s">
        <v>47</v>
      </c>
      <c r="R173" s="324">
        <v>0</v>
      </c>
      <c r="S173" s="467">
        <f t="shared" si="2"/>
        <v>0</v>
      </c>
      <c r="T173" s="458"/>
      <c r="U173" s="458"/>
      <c r="V173" s="458"/>
      <c r="W173" s="458"/>
      <c r="X173" s="468">
        <f>IF((R173=0),1,((T173+U173)/R173*100%))</f>
        <v>1</v>
      </c>
      <c r="Y173" s="425" t="s">
        <v>452</v>
      </c>
      <c r="Z173" s="457">
        <f t="shared" si="4"/>
        <v>0</v>
      </c>
      <c r="AA173" s="458"/>
      <c r="AB173" s="458"/>
      <c r="AC173" s="458"/>
      <c r="AD173" s="458"/>
      <c r="AE173" s="456">
        <f t="shared" si="5"/>
        <v>1</v>
      </c>
      <c r="AF173" s="323"/>
      <c r="AG173" s="426" t="s">
        <v>47</v>
      </c>
      <c r="AH173" s="325"/>
    </row>
    <row r="174" spans="1:34" ht="15.75" hidden="1" thickBot="1" x14ac:dyDescent="0.3">
      <c r="A174" s="546">
        <v>12.41</v>
      </c>
      <c r="B174" s="323" t="str">
        <f>VLOOKUP(A174,'Feature Raw Data'!$A$3:$B$3922,2,FALSE)</f>
        <v>User Data Scatter Engine (RS64)</v>
      </c>
      <c r="C174" s="323" t="s">
        <v>374</v>
      </c>
      <c r="D174" s="324" t="str">
        <f>VLOOKUP(A174,'Feature Raw Data'!$A$3:$F$3922,6,FALSE)</f>
        <v>CTL</v>
      </c>
      <c r="E174" s="323"/>
      <c r="F174" s="323"/>
      <c r="G174" s="243" t="str">
        <f>VLOOKUP(A174,'Feature Summary'!$A$7:$C$4170,3,FALSE)</f>
        <v>P1</v>
      </c>
      <c r="H174" s="400" t="s">
        <v>47</v>
      </c>
      <c r="I174" s="424" t="s">
        <v>47</v>
      </c>
      <c r="J174" s="323"/>
      <c r="K174" s="324">
        <v>1</v>
      </c>
      <c r="L174" s="324">
        <v>0</v>
      </c>
      <c r="M174" s="549" t="str">
        <f>VLOOKUP(A174,'Feature Raw Data'!$A$3:$E$3922,5,FALSE)</f>
        <v>New</v>
      </c>
      <c r="N174" s="440">
        <v>1</v>
      </c>
      <c r="O174" s="441"/>
      <c r="P174" s="439">
        <f t="shared" si="1"/>
        <v>1</v>
      </c>
      <c r="Q174" s="424" t="s">
        <v>47</v>
      </c>
      <c r="R174" s="324">
        <v>0</v>
      </c>
      <c r="S174" s="467">
        <f t="shared" si="2"/>
        <v>0</v>
      </c>
      <c r="T174" s="458"/>
      <c r="U174" s="458"/>
      <c r="V174" s="458"/>
      <c r="W174" s="458"/>
      <c r="X174" s="468">
        <f t="shared" si="3"/>
        <v>1</v>
      </c>
      <c r="Y174" s="425" t="s">
        <v>453</v>
      </c>
      <c r="Z174" s="457">
        <f t="shared" si="4"/>
        <v>0</v>
      </c>
      <c r="AA174" s="458"/>
      <c r="AB174" s="458"/>
      <c r="AC174" s="458"/>
      <c r="AD174" s="458"/>
      <c r="AE174" s="456">
        <f t="shared" si="5"/>
        <v>1</v>
      </c>
      <c r="AF174" s="323"/>
      <c r="AG174" s="426" t="s">
        <v>47</v>
      </c>
      <c r="AH174" s="325"/>
    </row>
    <row r="175" spans="1:34" ht="15.75" hidden="1" thickBot="1" x14ac:dyDescent="0.3">
      <c r="A175" s="546">
        <v>12.411</v>
      </c>
      <c r="B175" s="323" t="str">
        <f>VLOOKUP(A175,'Feature Raw Data'!$A$3:$B$3922,2,FALSE)</f>
        <v>Replace SDMA F32 with RS64</v>
      </c>
      <c r="C175" s="323" t="s">
        <v>318</v>
      </c>
      <c r="D175" s="324" t="str">
        <f>VLOOKUP(A175,'Feature Raw Data'!$A$3:$F$3922,6,FALSE)</f>
        <v>CTL</v>
      </c>
      <c r="E175" s="323"/>
      <c r="F175" s="323"/>
      <c r="G175" s="243" t="str">
        <f>VLOOKUP(A175,'Feature Summary'!$A$7:$C$4170,3,FALSE)</f>
        <v>P2</v>
      </c>
      <c r="H175" s="400" t="s">
        <v>47</v>
      </c>
      <c r="I175" s="424" t="s">
        <v>47</v>
      </c>
      <c r="J175" s="323"/>
      <c r="K175" s="324">
        <v>1</v>
      </c>
      <c r="L175" s="324">
        <v>0</v>
      </c>
      <c r="M175" s="549" t="str">
        <f>VLOOKUP(A175,'Feature Raw Data'!$A$3:$E$3922,5,FALSE)</f>
        <v>New</v>
      </c>
      <c r="N175" s="440">
        <v>1</v>
      </c>
      <c r="O175" s="441"/>
      <c r="P175" s="439">
        <f t="shared" si="1"/>
        <v>1</v>
      </c>
      <c r="Q175" s="424" t="s">
        <v>47</v>
      </c>
      <c r="R175" s="324">
        <v>0</v>
      </c>
      <c r="S175" s="467">
        <f t="shared" si="2"/>
        <v>0</v>
      </c>
      <c r="T175" s="458"/>
      <c r="U175" s="458"/>
      <c r="V175" s="458"/>
      <c r="W175" s="458"/>
      <c r="X175" s="468">
        <f t="shared" si="3"/>
        <v>1</v>
      </c>
      <c r="Y175" s="425"/>
      <c r="Z175" s="457">
        <f t="shared" si="4"/>
        <v>0</v>
      </c>
      <c r="AA175" s="458"/>
      <c r="AB175" s="458"/>
      <c r="AC175" s="458"/>
      <c r="AD175" s="458"/>
      <c r="AE175" s="456">
        <f t="shared" si="5"/>
        <v>1</v>
      </c>
      <c r="AF175" s="323"/>
      <c r="AG175" s="426" t="s">
        <v>47</v>
      </c>
      <c r="AH175" s="325"/>
    </row>
    <row r="176" spans="1:34" ht="15.75" hidden="1" thickBot="1" x14ac:dyDescent="0.3">
      <c r="A176" s="546">
        <v>12.413</v>
      </c>
      <c r="B176" s="323" t="str">
        <f>VLOOKUP(A176,'Feature Raw Data'!$A$3:$B$3922,2,FALSE)</f>
        <v>Switch GFX to Memgen-based SRAM FGCG</v>
      </c>
      <c r="C176" s="323" t="s">
        <v>374</v>
      </c>
      <c r="D176" s="324" t="str">
        <f>VLOOKUP(A176,'Feature Raw Data'!$A$3:$F$3922,6,FALSE)</f>
        <v>GC</v>
      </c>
      <c r="E176" s="323"/>
      <c r="F176" s="323"/>
      <c r="G176" s="243" t="str">
        <f>VLOOKUP(A176,'Feature Summary'!$A$7:$C$4170,3,FALSE)</f>
        <v>P1</v>
      </c>
      <c r="H176" s="400" t="s">
        <v>455</v>
      </c>
      <c r="I176" s="424" t="s">
        <v>47</v>
      </c>
      <c r="J176" s="323"/>
      <c r="K176" s="324">
        <v>1</v>
      </c>
      <c r="L176" s="324">
        <v>0</v>
      </c>
      <c r="M176" s="549" t="str">
        <f>VLOOKUP(A176,'Feature Raw Data'!$A$3:$E$3922,5,FALSE)</f>
        <v>New</v>
      </c>
      <c r="N176" s="440">
        <v>1</v>
      </c>
      <c r="O176" s="441"/>
      <c r="P176" s="439">
        <f>IF((L176=0),1,(O176/L176))</f>
        <v>1</v>
      </c>
      <c r="Q176" s="424" t="s">
        <v>32</v>
      </c>
      <c r="R176" s="324">
        <v>1</v>
      </c>
      <c r="S176" s="467">
        <f t="shared" si="2"/>
        <v>0</v>
      </c>
      <c r="T176" s="458"/>
      <c r="U176" s="458"/>
      <c r="V176" s="458"/>
      <c r="W176" s="458"/>
      <c r="X176" s="468">
        <f t="shared" si="3"/>
        <v>0</v>
      </c>
      <c r="Y176" s="425" t="s">
        <v>456</v>
      </c>
      <c r="Z176" s="457">
        <f t="shared" si="4"/>
        <v>0</v>
      </c>
      <c r="AA176" s="458"/>
      <c r="AB176" s="458"/>
      <c r="AC176" s="458"/>
      <c r="AD176" s="458"/>
      <c r="AE176" s="456">
        <f t="shared" si="5"/>
        <v>1</v>
      </c>
      <c r="AF176" s="323"/>
      <c r="AG176" s="426" t="s">
        <v>309</v>
      </c>
      <c r="AH176" s="325"/>
    </row>
    <row r="177" spans="1:34" ht="15.75" hidden="1" thickBot="1" x14ac:dyDescent="0.3">
      <c r="A177" s="546">
        <v>12.414</v>
      </c>
      <c r="B177" s="323" t="str">
        <f>VLOOKUP(A177,'Feature Raw Data'!$A$3:$B$3922,2,FALSE)</f>
        <v>Add an L1 TLB into the SDMA front-end</v>
      </c>
      <c r="C177" s="323" t="s">
        <v>364</v>
      </c>
      <c r="D177" s="324" t="str">
        <f>VLOOKUP(A177,'Feature Raw Data'!$A$3:$F$3922,6,FALSE)</f>
        <v>UTCL2</v>
      </c>
      <c r="E177" s="323"/>
      <c r="F177" s="323"/>
      <c r="G177" s="243" t="str">
        <f>VLOOKUP(A177,'Feature Summary'!$A$7:$C$4170,3,FALSE)</f>
        <v>P1</v>
      </c>
      <c r="H177" s="400" t="s">
        <v>47</v>
      </c>
      <c r="I177" s="424" t="s">
        <v>47</v>
      </c>
      <c r="J177" s="323"/>
      <c r="K177" s="324">
        <v>1</v>
      </c>
      <c r="L177" s="324">
        <v>0</v>
      </c>
      <c r="M177" s="549" t="str">
        <f>VLOOKUP(A177,'Feature Raw Data'!$A$3:$E$3922,5,FALSE)</f>
        <v>New</v>
      </c>
      <c r="N177" s="440">
        <v>1</v>
      </c>
      <c r="O177" s="441"/>
      <c r="P177" s="439">
        <f t="shared" si="1"/>
        <v>1</v>
      </c>
      <c r="Q177" s="424" t="s">
        <v>47</v>
      </c>
      <c r="R177" s="324">
        <v>0</v>
      </c>
      <c r="S177" s="467">
        <f t="shared" si="2"/>
        <v>0</v>
      </c>
      <c r="T177" s="458"/>
      <c r="U177" s="458"/>
      <c r="V177" s="458"/>
      <c r="W177" s="458"/>
      <c r="X177" s="468">
        <f t="shared" si="3"/>
        <v>1</v>
      </c>
      <c r="Y177" s="425" t="s">
        <v>457</v>
      </c>
      <c r="Z177" s="457">
        <f t="shared" si="4"/>
        <v>0</v>
      </c>
      <c r="AA177" s="458"/>
      <c r="AB177" s="458"/>
      <c r="AC177" s="458"/>
      <c r="AD177" s="458"/>
      <c r="AE177" s="456">
        <f t="shared" si="5"/>
        <v>1</v>
      </c>
      <c r="AF177" s="323"/>
      <c r="AG177" s="426" t="s">
        <v>47</v>
      </c>
      <c r="AH177" s="325"/>
    </row>
    <row r="178" spans="1:34" ht="15.75" hidden="1" thickBot="1" x14ac:dyDescent="0.3">
      <c r="A178" s="546">
        <v>12.417</v>
      </c>
      <c r="B178" s="323" t="str">
        <f>VLOOKUP(A178,'Feature Raw Data'!$A$3:$B$3922,2,FALSE)</f>
        <v>GFX12 IMU - Add light sleep and deep sleep to SRAMs</v>
      </c>
      <c r="C178" s="323" t="s">
        <v>320</v>
      </c>
      <c r="D178" s="324" t="str">
        <f>VLOOKUP(A178,'Feature Raw Data'!$A$3:$F$3922,6,FALSE)</f>
        <v>CTL</v>
      </c>
      <c r="E178" s="323"/>
      <c r="F178" s="323"/>
      <c r="G178" s="243" t="str">
        <f>VLOOKUP(A178,'Feature Summary'!$A$7:$C$4170,3,FALSE)</f>
        <v>P1</v>
      </c>
      <c r="H178" s="400" t="s">
        <v>47</v>
      </c>
      <c r="I178" s="424" t="s">
        <v>47</v>
      </c>
      <c r="J178" s="323"/>
      <c r="K178" s="324">
        <v>1</v>
      </c>
      <c r="L178" s="324">
        <v>0</v>
      </c>
      <c r="M178" s="549" t="str">
        <f>VLOOKUP(A178,'Feature Raw Data'!$A$3:$E$3922,5,FALSE)</f>
        <v>New</v>
      </c>
      <c r="N178" s="440">
        <v>1</v>
      </c>
      <c r="O178" s="441"/>
      <c r="P178" s="439">
        <f t="shared" si="1"/>
        <v>1</v>
      </c>
      <c r="Q178" s="424" t="s">
        <v>47</v>
      </c>
      <c r="R178" s="324">
        <v>0</v>
      </c>
      <c r="S178" s="467">
        <f t="shared" si="2"/>
        <v>0</v>
      </c>
      <c r="T178" s="458"/>
      <c r="U178" s="458"/>
      <c r="V178" s="458"/>
      <c r="W178" s="458"/>
      <c r="X178" s="468">
        <f t="shared" si="3"/>
        <v>1</v>
      </c>
      <c r="Y178" s="425" t="s">
        <v>458</v>
      </c>
      <c r="Z178" s="457">
        <f t="shared" si="4"/>
        <v>0</v>
      </c>
      <c r="AA178" s="458"/>
      <c r="AB178" s="458"/>
      <c r="AC178" s="458"/>
      <c r="AD178" s="458"/>
      <c r="AE178" s="456">
        <f t="shared" si="5"/>
        <v>1</v>
      </c>
      <c r="AF178" s="323"/>
      <c r="AG178" s="426" t="s">
        <v>47</v>
      </c>
      <c r="AH178" s="325"/>
    </row>
    <row r="179" spans="1:34" ht="15.75" hidden="1" thickBot="1" x14ac:dyDescent="0.3">
      <c r="A179" s="546">
        <v>12.417999999999999</v>
      </c>
      <c r="B179" s="323" t="str">
        <f>VLOOKUP(A179,'Feature Raw Data'!$A$3:$B$3922,2,FALSE)</f>
        <v>GFX12 IMU - Add deep sleep support and sideband for IMUCLK</v>
      </c>
      <c r="C179" s="323" t="s">
        <v>320</v>
      </c>
      <c r="D179" s="324" t="str">
        <f>VLOOKUP(A179,'Feature Raw Data'!$A$3:$F$3922,6,FALSE)</f>
        <v>CTL</v>
      </c>
      <c r="E179" s="323"/>
      <c r="F179" s="323"/>
      <c r="G179" s="243" t="str">
        <f>VLOOKUP(A179,'Feature Summary'!$A$7:$C$4170,3,FALSE)</f>
        <v>P1</v>
      </c>
      <c r="H179" s="400" t="s">
        <v>47</v>
      </c>
      <c r="I179" s="424" t="s">
        <v>47</v>
      </c>
      <c r="J179" s="323"/>
      <c r="K179" s="324">
        <v>1</v>
      </c>
      <c r="L179" s="324">
        <v>0</v>
      </c>
      <c r="M179" s="549" t="str">
        <f>VLOOKUP(A179,'Feature Raw Data'!$A$3:$E$3922,5,FALSE)</f>
        <v>New</v>
      </c>
      <c r="N179" s="440">
        <v>1</v>
      </c>
      <c r="O179" s="441"/>
      <c r="P179" s="439">
        <f t="shared" si="1"/>
        <v>1</v>
      </c>
      <c r="Q179" s="424" t="s">
        <v>47</v>
      </c>
      <c r="R179" s="324">
        <v>0</v>
      </c>
      <c r="S179" s="467">
        <f t="shared" si="2"/>
        <v>0</v>
      </c>
      <c r="T179" s="458"/>
      <c r="U179" s="458"/>
      <c r="V179" s="458"/>
      <c r="W179" s="458"/>
      <c r="X179" s="468">
        <f t="shared" si="3"/>
        <v>1</v>
      </c>
      <c r="Y179" s="425" t="s">
        <v>458</v>
      </c>
      <c r="Z179" s="457">
        <f t="shared" si="4"/>
        <v>0</v>
      </c>
      <c r="AA179" s="458"/>
      <c r="AB179" s="458"/>
      <c r="AC179" s="458"/>
      <c r="AD179" s="458"/>
      <c r="AE179" s="456">
        <f t="shared" si="5"/>
        <v>1</v>
      </c>
      <c r="AF179" s="323"/>
      <c r="AG179" s="426" t="s">
        <v>47</v>
      </c>
      <c r="AH179" s="325"/>
    </row>
    <row r="180" spans="1:34" ht="15.75" hidden="1" thickBot="1" x14ac:dyDescent="0.3">
      <c r="A180" s="546">
        <v>12.420999999999999</v>
      </c>
      <c r="B180" s="323" t="str">
        <f>VLOOKUP(A180,'Feature Raw Data'!$A$3:$B$3922,2,FALSE)</f>
        <v>TOC updates for RLC FW</v>
      </c>
      <c r="C180" s="323" t="s">
        <v>415</v>
      </c>
      <c r="D180" s="324" t="str">
        <f>VLOOKUP(A180,'Feature Raw Data'!$A$3:$F$3922,6,FALSE)</f>
        <v>CTL</v>
      </c>
      <c r="E180" s="323"/>
      <c r="F180" s="323"/>
      <c r="G180" s="243" t="str">
        <f>VLOOKUP(A180,'Feature Summary'!$A$7:$C$4170,3,FALSE)</f>
        <v>P1</v>
      </c>
      <c r="H180" s="400" t="s">
        <v>47</v>
      </c>
      <c r="I180" s="424" t="s">
        <v>47</v>
      </c>
      <c r="J180" s="323"/>
      <c r="K180" s="324">
        <v>1</v>
      </c>
      <c r="L180" s="324">
        <v>0</v>
      </c>
      <c r="M180" s="549" t="str">
        <f>VLOOKUP(A180,'Feature Raw Data'!$A$3:$E$3922,5,FALSE)</f>
        <v>New</v>
      </c>
      <c r="N180" s="440">
        <v>1</v>
      </c>
      <c r="O180" s="441"/>
      <c r="P180" s="439">
        <f t="shared" ref="P180:P214" si="6">IF((L180=0),1,(O180/L180))</f>
        <v>1</v>
      </c>
      <c r="Q180" s="424" t="s">
        <v>47</v>
      </c>
      <c r="R180" s="324">
        <v>0</v>
      </c>
      <c r="S180" s="467">
        <f t="shared" ref="S180:S198" si="7">SUM(T180:W180)</f>
        <v>0</v>
      </c>
      <c r="T180" s="458"/>
      <c r="U180" s="458"/>
      <c r="V180" s="458"/>
      <c r="W180" s="458"/>
      <c r="X180" s="468">
        <f t="shared" si="3"/>
        <v>1</v>
      </c>
      <c r="Y180" s="425" t="s">
        <v>461</v>
      </c>
      <c r="Z180" s="457">
        <f t="shared" ref="Z180:Z198" si="8">SUM(AA180:AD180)</f>
        <v>0</v>
      </c>
      <c r="AA180" s="458"/>
      <c r="AB180" s="458"/>
      <c r="AC180" s="458"/>
      <c r="AD180" s="458"/>
      <c r="AE180" s="456">
        <f t="shared" si="5"/>
        <v>1</v>
      </c>
      <c r="AF180" s="323"/>
      <c r="AG180" s="426" t="s">
        <v>47</v>
      </c>
      <c r="AH180" s="325"/>
    </row>
    <row r="181" spans="1:34" s="172" customFormat="1" ht="15.75" hidden="1" thickBot="1" x14ac:dyDescent="0.3">
      <c r="A181" s="546">
        <v>12.422000000000001</v>
      </c>
      <c r="B181" s="323" t="str">
        <f>VLOOKUP(A181,'Feature Raw Data'!$A$3:$B$3922,2,FALSE)</f>
        <v>Navi4c (chiplet) GFXIP STA Targets</v>
      </c>
      <c r="C181" s="323" t="s">
        <v>324</v>
      </c>
      <c r="D181" s="324" t="str">
        <f>VLOOKUP(A181,'Feature Raw Data'!$A$3:$F$3922,6,FALSE)</f>
        <v>GFX</v>
      </c>
      <c r="E181" s="323"/>
      <c r="F181" s="323"/>
      <c r="G181" s="243" t="str">
        <f>VLOOKUP(A181,'Feature Summary'!$A$7:$C$4170,3,FALSE)</f>
        <v>P1</v>
      </c>
      <c r="H181" s="400" t="s">
        <v>47</v>
      </c>
      <c r="I181" s="424" t="s">
        <v>47</v>
      </c>
      <c r="J181" s="323"/>
      <c r="K181" s="324">
        <v>1</v>
      </c>
      <c r="L181" s="324">
        <v>0</v>
      </c>
      <c r="M181" s="549" t="str">
        <f>VLOOKUP(A181,'Feature Raw Data'!$A$3:$E$3922,5,FALSE)</f>
        <v>New</v>
      </c>
      <c r="N181" s="440">
        <v>1</v>
      </c>
      <c r="O181" s="441"/>
      <c r="P181" s="439">
        <f t="shared" si="6"/>
        <v>1</v>
      </c>
      <c r="Q181" s="424" t="s">
        <v>47</v>
      </c>
      <c r="R181" s="324">
        <v>0</v>
      </c>
      <c r="S181" s="467">
        <f t="shared" si="7"/>
        <v>0</v>
      </c>
      <c r="T181" s="458"/>
      <c r="U181" s="458"/>
      <c r="V181" s="458"/>
      <c r="W181" s="458"/>
      <c r="X181" s="468">
        <f t="shared" ref="X181:X214" si="9">IF((R181=0),1,((T181+U181)/R181*100%))</f>
        <v>1</v>
      </c>
      <c r="Y181" s="425" t="s">
        <v>462</v>
      </c>
      <c r="Z181" s="457">
        <f t="shared" si="8"/>
        <v>0</v>
      </c>
      <c r="AA181" s="458"/>
      <c r="AB181" s="458"/>
      <c r="AC181" s="458"/>
      <c r="AD181" s="458"/>
      <c r="AE181" s="456">
        <f t="shared" ref="AE181:AE214" si="10">IF((L181=0),1,((AA181+AB181)/L181*100%))</f>
        <v>1</v>
      </c>
      <c r="AF181" s="323"/>
      <c r="AG181" s="426" t="s">
        <v>47</v>
      </c>
      <c r="AH181" s="325"/>
    </row>
    <row r="182" spans="1:34" ht="15.75" hidden="1" thickBot="1" x14ac:dyDescent="0.3">
      <c r="A182" s="546">
        <v>12.425000000000001</v>
      </c>
      <c r="B182" s="323" t="str">
        <f>VLOOKUP(A182,'Feature Raw Data'!$A$3:$B$3922,2,FALSE)</f>
        <v>GE WD_QOS.DRAW_STALL behavior</v>
      </c>
      <c r="C182" s="323" t="s">
        <v>324</v>
      </c>
      <c r="D182" s="324" t="str">
        <f>VLOOKUP(A182,'Feature Raw Data'!$A$3:$F$3922,6,FALSE)</f>
        <v>GEO</v>
      </c>
      <c r="E182" s="323"/>
      <c r="F182" s="323"/>
      <c r="G182" s="243" t="str">
        <f>VLOOKUP(A182,'Feature Summary'!$A$7:$C$4170,3,FALSE)</f>
        <v>P2</v>
      </c>
      <c r="H182" s="400" t="s">
        <v>47</v>
      </c>
      <c r="I182" s="424" t="s">
        <v>47</v>
      </c>
      <c r="J182" s="323"/>
      <c r="K182" s="324">
        <v>1</v>
      </c>
      <c r="L182" s="324">
        <v>0</v>
      </c>
      <c r="M182" s="549" t="str">
        <f>VLOOKUP(A182,'Feature Raw Data'!$A$3:$E$3922,5,FALSE)</f>
        <v>New</v>
      </c>
      <c r="N182" s="440">
        <v>1</v>
      </c>
      <c r="O182" s="441"/>
      <c r="P182" s="439">
        <f t="shared" si="6"/>
        <v>1</v>
      </c>
      <c r="Q182" s="424" t="s">
        <v>47</v>
      </c>
      <c r="R182" s="324">
        <v>0</v>
      </c>
      <c r="S182" s="467">
        <f t="shared" si="7"/>
        <v>0</v>
      </c>
      <c r="T182" s="458"/>
      <c r="U182" s="458"/>
      <c r="V182" s="458"/>
      <c r="W182" s="458"/>
      <c r="X182" s="468">
        <f t="shared" si="9"/>
        <v>1</v>
      </c>
      <c r="Y182" s="425" t="s">
        <v>463</v>
      </c>
      <c r="Z182" s="457">
        <f t="shared" si="8"/>
        <v>0</v>
      </c>
      <c r="AA182" s="458"/>
      <c r="AB182" s="458"/>
      <c r="AC182" s="458"/>
      <c r="AD182" s="458"/>
      <c r="AE182" s="456">
        <f t="shared" si="10"/>
        <v>1</v>
      </c>
      <c r="AF182" s="323"/>
      <c r="AG182" s="426" t="s">
        <v>47</v>
      </c>
      <c r="AH182" s="325"/>
    </row>
    <row r="183" spans="1:34" ht="15.75" hidden="1" thickBot="1" x14ac:dyDescent="0.3">
      <c r="A183" s="546">
        <v>12.438000000000001</v>
      </c>
      <c r="B183" s="323" t="str">
        <f>VLOOKUP(A183,'Feature Raw Data'!$A$3:$B$3922,2,FALSE)</f>
        <v>Remove Soft Lock feature</v>
      </c>
      <c r="C183" s="323" t="s">
        <v>324</v>
      </c>
      <c r="D183" s="324" t="str">
        <f>VLOOKUP(A183,'Feature Raw Data'!$A$3:$F$3922,6,FALSE)</f>
        <v>SIO</v>
      </c>
      <c r="E183" s="323"/>
      <c r="F183" s="323"/>
      <c r="G183" s="243" t="str">
        <f>VLOOKUP(A183,'Feature Summary'!$A$7:$C$4170,3,FALSE)</f>
        <v>P2</v>
      </c>
      <c r="H183" s="400" t="s">
        <v>47</v>
      </c>
      <c r="I183" s="424" t="s">
        <v>47</v>
      </c>
      <c r="J183" s="323"/>
      <c r="K183" s="324">
        <v>1</v>
      </c>
      <c r="L183" s="324">
        <v>0</v>
      </c>
      <c r="M183" s="549" t="str">
        <f>VLOOKUP(A183,'Feature Raw Data'!$A$3:$E$3922,5,FALSE)</f>
        <v>New</v>
      </c>
      <c r="N183" s="440">
        <v>1</v>
      </c>
      <c r="O183" s="441"/>
      <c r="P183" s="439">
        <f t="shared" si="6"/>
        <v>1</v>
      </c>
      <c r="Q183" s="424" t="s">
        <v>47</v>
      </c>
      <c r="R183" s="324">
        <v>0</v>
      </c>
      <c r="S183" s="467">
        <f t="shared" si="7"/>
        <v>0</v>
      </c>
      <c r="T183" s="458"/>
      <c r="U183" s="458"/>
      <c r="V183" s="458"/>
      <c r="W183" s="458"/>
      <c r="X183" s="468">
        <f t="shared" si="9"/>
        <v>1</v>
      </c>
      <c r="Y183" s="425" t="s">
        <v>469</v>
      </c>
      <c r="Z183" s="457">
        <f t="shared" si="8"/>
        <v>0</v>
      </c>
      <c r="AA183" s="458"/>
      <c r="AB183" s="458"/>
      <c r="AC183" s="458"/>
      <c r="AD183" s="458"/>
      <c r="AE183" s="456">
        <f t="shared" si="10"/>
        <v>1</v>
      </c>
      <c r="AF183" s="323"/>
      <c r="AG183" s="426" t="s">
        <v>47</v>
      </c>
      <c r="AH183" s="325"/>
    </row>
    <row r="184" spans="1:34" ht="15.75" hidden="1" thickBot="1" x14ac:dyDescent="0.3">
      <c r="A184" s="546">
        <v>12.44</v>
      </c>
      <c r="B184" s="323" t="str">
        <f>VLOOKUP(A184,'Feature Raw Data'!$A$3:$B$3922,2,FALSE)</f>
        <v>Make SE CAC Counters accessible over Debug Bus</v>
      </c>
      <c r="C184" s="323" t="s">
        <v>47</v>
      </c>
      <c r="D184" s="324" t="str">
        <f>VLOOKUP(A184,'Feature Raw Data'!$A$3:$F$3922,6,FALSE)</f>
        <v>CTL</v>
      </c>
      <c r="E184" s="323"/>
      <c r="F184" s="323"/>
      <c r="G184" s="243" t="str">
        <f>VLOOKUP(A184,'Feature Summary'!$A$7:$C$4170,3,FALSE)</f>
        <v>P2</v>
      </c>
      <c r="H184" s="400" t="s">
        <v>47</v>
      </c>
      <c r="I184" s="424" t="s">
        <v>47</v>
      </c>
      <c r="J184" s="323"/>
      <c r="K184" s="324">
        <v>1</v>
      </c>
      <c r="L184" s="324">
        <v>0</v>
      </c>
      <c r="M184" s="549" t="str">
        <f>VLOOKUP(A184,'Feature Raw Data'!$A$3:$E$3922,5,FALSE)</f>
        <v>New</v>
      </c>
      <c r="N184" s="440">
        <v>1</v>
      </c>
      <c r="O184" s="441"/>
      <c r="P184" s="439">
        <f t="shared" si="6"/>
        <v>1</v>
      </c>
      <c r="Q184" s="424" t="s">
        <v>47</v>
      </c>
      <c r="R184" s="324">
        <v>0</v>
      </c>
      <c r="S184" s="467">
        <f t="shared" si="7"/>
        <v>0</v>
      </c>
      <c r="T184" s="458"/>
      <c r="U184" s="458"/>
      <c r="V184" s="458"/>
      <c r="W184" s="458"/>
      <c r="X184" s="468">
        <f t="shared" si="9"/>
        <v>1</v>
      </c>
      <c r="Y184" s="551" t="s">
        <v>406</v>
      </c>
      <c r="Z184" s="457">
        <f t="shared" si="8"/>
        <v>0</v>
      </c>
      <c r="AA184" s="458"/>
      <c r="AB184" s="458"/>
      <c r="AC184" s="458"/>
      <c r="AD184" s="458"/>
      <c r="AE184" s="456">
        <f t="shared" si="10"/>
        <v>1</v>
      </c>
      <c r="AF184" s="323"/>
      <c r="AG184" s="426" t="s">
        <v>47</v>
      </c>
      <c r="AH184" s="325"/>
    </row>
    <row r="185" spans="1:34" ht="15.75" hidden="1" thickBot="1" x14ac:dyDescent="0.3">
      <c r="A185" s="546">
        <v>12.441000000000001</v>
      </c>
      <c r="B185" s="323" t="str">
        <f>VLOOKUP(A185,'Feature Raw Data'!$A$3:$B$3922,2,FALSE)</f>
        <v>reduce VGPRs for LS and ES stages</v>
      </c>
      <c r="C185" s="323" t="s">
        <v>324</v>
      </c>
      <c r="D185" s="324" t="str">
        <f>VLOOKUP(A185,'Feature Raw Data'!$A$3:$F$3922,6,FALSE)</f>
        <v>SIO</v>
      </c>
      <c r="E185" s="323"/>
      <c r="F185" s="323"/>
      <c r="G185" s="243" t="str">
        <f>VLOOKUP(A185,'Feature Summary'!$A$7:$C$4170,3,FALSE)</f>
        <v>P2</v>
      </c>
      <c r="H185" s="400" t="s">
        <v>47</v>
      </c>
      <c r="I185" s="424" t="s">
        <v>47</v>
      </c>
      <c r="J185" s="323"/>
      <c r="K185" s="324">
        <v>1</v>
      </c>
      <c r="L185" s="324">
        <v>0</v>
      </c>
      <c r="M185" s="549" t="str">
        <f>VLOOKUP(A185,'Feature Raw Data'!$A$3:$E$3922,5,FALSE)</f>
        <v>New</v>
      </c>
      <c r="N185" s="440">
        <v>1</v>
      </c>
      <c r="O185" s="441"/>
      <c r="P185" s="439">
        <f t="shared" si="6"/>
        <v>1</v>
      </c>
      <c r="Q185" s="424" t="s">
        <v>47</v>
      </c>
      <c r="R185" s="324">
        <v>0</v>
      </c>
      <c r="S185" s="467">
        <f t="shared" si="7"/>
        <v>0</v>
      </c>
      <c r="T185" s="458"/>
      <c r="U185" s="458"/>
      <c r="V185" s="458"/>
      <c r="W185" s="458"/>
      <c r="X185" s="468">
        <f t="shared" si="9"/>
        <v>1</v>
      </c>
      <c r="Y185" s="425" t="s">
        <v>472</v>
      </c>
      <c r="Z185" s="457">
        <f t="shared" si="8"/>
        <v>0</v>
      </c>
      <c r="AA185" s="458"/>
      <c r="AB185" s="458"/>
      <c r="AC185" s="458"/>
      <c r="AD185" s="458"/>
      <c r="AE185" s="456">
        <f t="shared" si="10"/>
        <v>1</v>
      </c>
      <c r="AF185" s="323"/>
      <c r="AG185" s="426" t="s">
        <v>47</v>
      </c>
      <c r="AH185" s="325"/>
    </row>
    <row r="186" spans="1:34" ht="15.75" hidden="1" thickBot="1" x14ac:dyDescent="0.3">
      <c r="A186" s="553">
        <v>12.442</v>
      </c>
      <c r="B186" s="323" t="str">
        <f>VLOOKUP(A186,'Feature Raw Data'!$A$3:$B$3922,2,FALSE)</f>
        <v>EA and GL2CC move from GRBM to GRBMH</v>
      </c>
      <c r="C186" s="323" t="s">
        <v>470</v>
      </c>
      <c r="D186" s="324" t="str">
        <f>VLOOKUP(A186,'Feature Raw Data'!$A$3:$F$3922,6,FALSE)</f>
        <v>CTL</v>
      </c>
      <c r="E186" s="323"/>
      <c r="F186" s="323"/>
      <c r="G186" s="243" t="str">
        <f>VLOOKUP(A186,'Feature Summary'!$A$7:$C$4170,3,FALSE)</f>
        <v>P2</v>
      </c>
      <c r="H186" s="400" t="s">
        <v>47</v>
      </c>
      <c r="I186" s="424" t="s">
        <v>47</v>
      </c>
      <c r="J186" s="323"/>
      <c r="K186" s="324">
        <v>1</v>
      </c>
      <c r="L186" s="324">
        <v>0</v>
      </c>
      <c r="M186" s="549" t="str">
        <f>VLOOKUP(A186,'Feature Raw Data'!$A$3:$E$3922,5,FALSE)</f>
        <v>New</v>
      </c>
      <c r="N186" s="440">
        <v>1</v>
      </c>
      <c r="O186" s="441"/>
      <c r="P186" s="439">
        <f t="shared" si="6"/>
        <v>1</v>
      </c>
      <c r="Q186" s="424" t="s">
        <v>47</v>
      </c>
      <c r="R186" s="324">
        <v>0</v>
      </c>
      <c r="S186" s="467">
        <f t="shared" si="7"/>
        <v>0</v>
      </c>
      <c r="T186" s="458"/>
      <c r="U186" s="458"/>
      <c r="V186" s="458"/>
      <c r="W186" s="458"/>
      <c r="X186" s="468">
        <f t="shared" si="9"/>
        <v>1</v>
      </c>
      <c r="Y186" s="425" t="s">
        <v>473</v>
      </c>
      <c r="Z186" s="457">
        <f t="shared" si="8"/>
        <v>0</v>
      </c>
      <c r="AA186" s="458"/>
      <c r="AB186" s="458"/>
      <c r="AC186" s="458"/>
      <c r="AD186" s="458"/>
      <c r="AE186" s="456">
        <f t="shared" si="10"/>
        <v>1</v>
      </c>
      <c r="AF186" s="323"/>
      <c r="AG186" s="426" t="s">
        <v>47</v>
      </c>
      <c r="AH186" s="325"/>
    </row>
    <row r="187" spans="1:34" ht="15.75" hidden="1" thickBot="1" x14ac:dyDescent="0.3">
      <c r="A187" s="553">
        <v>12.446</v>
      </c>
      <c r="B187" s="323" t="str">
        <f>VLOOKUP(A187,'Feature Raw Data'!$A$3:$B$3922,2,FALSE)</f>
        <v>Load_reserved/store_conditional support in SE$</v>
      </c>
      <c r="C187" s="323" t="s">
        <v>476</v>
      </c>
      <c r="D187" s="324" t="str">
        <f>VLOOKUP(A187,'Feature Raw Data'!$A$3:$F$3922,6,FALSE)</f>
        <v>CMM</v>
      </c>
      <c r="E187" s="323"/>
      <c r="F187" s="323"/>
      <c r="G187" s="243" t="str">
        <f>VLOOKUP(A187,'Feature Summary'!$A$7:$C$4170,3,FALSE)</f>
        <v>P2</v>
      </c>
      <c r="H187" s="400" t="s">
        <v>47</v>
      </c>
      <c r="I187" s="424" t="s">
        <v>47</v>
      </c>
      <c r="J187" s="323"/>
      <c r="K187" s="324">
        <v>1</v>
      </c>
      <c r="L187" s="324">
        <v>0</v>
      </c>
      <c r="M187" s="549" t="str">
        <f>VLOOKUP(A187,'Feature Raw Data'!$A$3:$E$3922,5,FALSE)</f>
        <v>New</v>
      </c>
      <c r="N187" s="440">
        <v>1</v>
      </c>
      <c r="O187" s="441"/>
      <c r="P187" s="439">
        <f t="shared" si="6"/>
        <v>1</v>
      </c>
      <c r="Q187" s="424" t="s">
        <v>47</v>
      </c>
      <c r="R187" s="324">
        <v>0</v>
      </c>
      <c r="S187" s="467">
        <f t="shared" si="7"/>
        <v>0</v>
      </c>
      <c r="T187" s="458"/>
      <c r="U187" s="458"/>
      <c r="V187" s="458"/>
      <c r="W187" s="458"/>
      <c r="X187" s="468">
        <f t="shared" si="9"/>
        <v>1</v>
      </c>
      <c r="Y187" s="425" t="s">
        <v>477</v>
      </c>
      <c r="Z187" s="457">
        <f t="shared" si="8"/>
        <v>0</v>
      </c>
      <c r="AA187" s="458"/>
      <c r="AB187" s="458"/>
      <c r="AC187" s="458"/>
      <c r="AD187" s="458"/>
      <c r="AE187" s="456">
        <f t="shared" si="10"/>
        <v>1</v>
      </c>
      <c r="AF187" s="323"/>
      <c r="AG187" s="426" t="s">
        <v>47</v>
      </c>
      <c r="AH187" s="325"/>
    </row>
    <row r="188" spans="1:34" ht="15.75" hidden="1" thickBot="1" x14ac:dyDescent="0.3">
      <c r="A188" s="553">
        <v>12.446999999999999</v>
      </c>
      <c r="B188" s="323" t="str">
        <f>VLOOKUP(A188,'Feature Raw Data'!$A$3:$B$3922,2,FALSE)</f>
        <v>Load_reserved/store_conditional support in DF</v>
      </c>
      <c r="C188" s="323" t="s">
        <v>476</v>
      </c>
      <c r="D188" s="324" t="str">
        <f>VLOOKUP(A188,'Feature Raw Data'!$A$3:$F$3922,6,FALSE)</f>
        <v>CMM</v>
      </c>
      <c r="E188" s="323"/>
      <c r="F188" s="323"/>
      <c r="G188" s="243" t="str">
        <f>VLOOKUP(A188,'Feature Summary'!$A$7:$C$4170,3,FALSE)</f>
        <v>P2</v>
      </c>
      <c r="H188" s="400" t="s">
        <v>47</v>
      </c>
      <c r="I188" s="424" t="s">
        <v>47</v>
      </c>
      <c r="J188" s="323"/>
      <c r="K188" s="324">
        <v>1</v>
      </c>
      <c r="L188" s="324">
        <v>0</v>
      </c>
      <c r="M188" s="549" t="str">
        <f>VLOOKUP(A188,'Feature Raw Data'!$A$3:$E$3922,5,FALSE)</f>
        <v>New</v>
      </c>
      <c r="N188" s="440">
        <v>1</v>
      </c>
      <c r="O188" s="441"/>
      <c r="P188" s="439">
        <f t="shared" si="6"/>
        <v>1</v>
      </c>
      <c r="Q188" s="424" t="s">
        <v>47</v>
      </c>
      <c r="R188" s="324">
        <v>0</v>
      </c>
      <c r="S188" s="467">
        <f t="shared" si="7"/>
        <v>0</v>
      </c>
      <c r="T188" s="458"/>
      <c r="U188" s="458"/>
      <c r="V188" s="458"/>
      <c r="W188" s="458"/>
      <c r="X188" s="468">
        <f t="shared" si="9"/>
        <v>1</v>
      </c>
      <c r="Y188" s="425" t="s">
        <v>477</v>
      </c>
      <c r="Z188" s="457">
        <f t="shared" si="8"/>
        <v>0</v>
      </c>
      <c r="AA188" s="458"/>
      <c r="AB188" s="458"/>
      <c r="AC188" s="458"/>
      <c r="AD188" s="458"/>
      <c r="AE188" s="456">
        <f t="shared" si="10"/>
        <v>1</v>
      </c>
      <c r="AF188" s="323"/>
      <c r="AG188" s="426" t="s">
        <v>47</v>
      </c>
      <c r="AH188" s="325"/>
    </row>
    <row r="189" spans="1:34" ht="15.75" hidden="1" thickBot="1" x14ac:dyDescent="0.3">
      <c r="A189" s="553">
        <v>12.452</v>
      </c>
      <c r="B189" s="323" t="str">
        <f>VLOOKUP(A189,'Feature Raw Data'!$A$3:$B$3922,2,FALSE)</f>
        <v>Breaking SE reuse in Navi48</v>
      </c>
      <c r="C189" s="323" t="s">
        <v>334</v>
      </c>
      <c r="D189" s="324" t="str">
        <f>VLOOKUP(A189,'Feature Raw Data'!$A$3:$F$3922,6,FALSE)</f>
        <v>CMM</v>
      </c>
      <c r="E189" s="323"/>
      <c r="F189" s="323"/>
      <c r="G189" s="243" t="str">
        <f>VLOOKUP(A189,'Feature Summary'!$A$7:$C$4170,3,FALSE)</f>
        <v>P2</v>
      </c>
      <c r="H189" s="400" t="s">
        <v>47</v>
      </c>
      <c r="I189" s="424" t="s">
        <v>47</v>
      </c>
      <c r="J189" s="323"/>
      <c r="K189" s="324">
        <v>1</v>
      </c>
      <c r="L189" s="324">
        <v>0</v>
      </c>
      <c r="M189" s="549" t="str">
        <f>VLOOKUP(A189,'Feature Raw Data'!$A$3:$E$3922,5,FALSE)</f>
        <v>New</v>
      </c>
      <c r="N189" s="440">
        <v>1</v>
      </c>
      <c r="O189" s="441"/>
      <c r="P189" s="439">
        <f t="shared" si="6"/>
        <v>1</v>
      </c>
      <c r="Q189" s="424" t="s">
        <v>47</v>
      </c>
      <c r="R189" s="324">
        <v>0</v>
      </c>
      <c r="S189" s="467">
        <f t="shared" si="7"/>
        <v>0</v>
      </c>
      <c r="T189" s="458"/>
      <c r="U189" s="458"/>
      <c r="V189" s="458"/>
      <c r="W189" s="458"/>
      <c r="X189" s="468">
        <f t="shared" si="9"/>
        <v>1</v>
      </c>
      <c r="Y189" s="425" t="s">
        <v>409</v>
      </c>
      <c r="Z189" s="457">
        <f t="shared" si="8"/>
        <v>0</v>
      </c>
      <c r="AA189" s="458"/>
      <c r="AB189" s="458"/>
      <c r="AC189" s="458"/>
      <c r="AD189" s="458"/>
      <c r="AE189" s="456">
        <f t="shared" si="10"/>
        <v>1</v>
      </c>
      <c r="AF189" s="323"/>
      <c r="AG189" s="426" t="s">
        <v>47</v>
      </c>
      <c r="AH189" s="325"/>
    </row>
    <row r="190" spans="1:34" ht="15.75" hidden="1" thickBot="1" x14ac:dyDescent="0.3">
      <c r="A190" s="546">
        <v>12.457000000000001</v>
      </c>
      <c r="B190" s="323" t="str">
        <f>VLOOKUP(A190,'Feature Raw Data'!$A$3:$B$3922,2,FALSE)</f>
        <v>Decrompress BLTs via SDMA</v>
      </c>
      <c r="C190" s="323" t="s">
        <v>318</v>
      </c>
      <c r="D190" s="324" t="str">
        <f>VLOOKUP(A190,'Feature Raw Data'!$A$3:$F$3922,6,FALSE)</f>
        <v>CTL</v>
      </c>
      <c r="E190" s="323"/>
      <c r="F190" s="323"/>
      <c r="G190" s="243" t="str">
        <f>VLOOKUP(A190,'Feature Summary'!$A$7:$C$4170,3,FALSE)</f>
        <v>P2</v>
      </c>
      <c r="H190" s="400" t="s">
        <v>47</v>
      </c>
      <c r="I190" s="424" t="s">
        <v>47</v>
      </c>
      <c r="J190" s="323"/>
      <c r="K190" s="324">
        <v>1</v>
      </c>
      <c r="L190" s="324">
        <v>0</v>
      </c>
      <c r="M190" s="549" t="str">
        <f>VLOOKUP(A190,'Feature Raw Data'!$A$3:$E$3922,5,FALSE)</f>
        <v>New</v>
      </c>
      <c r="N190" s="440">
        <v>1</v>
      </c>
      <c r="O190" s="441"/>
      <c r="P190" s="439">
        <f t="shared" si="6"/>
        <v>1</v>
      </c>
      <c r="Q190" s="424" t="s">
        <v>47</v>
      </c>
      <c r="R190" s="324">
        <v>0</v>
      </c>
      <c r="S190" s="467">
        <f t="shared" si="7"/>
        <v>0</v>
      </c>
      <c r="T190" s="458"/>
      <c r="U190" s="458"/>
      <c r="V190" s="458"/>
      <c r="W190" s="458"/>
      <c r="X190" s="468">
        <f t="shared" si="9"/>
        <v>1</v>
      </c>
      <c r="Y190" s="425"/>
      <c r="Z190" s="457">
        <f t="shared" si="8"/>
        <v>0</v>
      </c>
      <c r="AA190" s="458"/>
      <c r="AB190" s="458"/>
      <c r="AC190" s="458"/>
      <c r="AD190" s="458"/>
      <c r="AE190" s="456">
        <f t="shared" si="10"/>
        <v>1</v>
      </c>
      <c r="AF190" s="323"/>
      <c r="AG190" s="426" t="s">
        <v>47</v>
      </c>
      <c r="AH190" s="325"/>
    </row>
    <row r="191" spans="1:34" ht="15.75" hidden="1" thickBot="1" x14ac:dyDescent="0.3">
      <c r="A191" s="546">
        <v>12.458</v>
      </c>
      <c r="B191" s="323" t="str">
        <f>VLOOKUP(A191,'Feature Raw Data'!$A$3:$B$3922,2,FALSE)</f>
        <v>Descope VRS Compression feature</v>
      </c>
      <c r="C191" s="323" t="s">
        <v>310</v>
      </c>
      <c r="D191" s="324" t="str">
        <f>VLOOKUP(A191,'Feature Raw Data'!$A$3:$F$3922,6,FALSE)</f>
        <v>PP</v>
      </c>
      <c r="E191" s="323"/>
      <c r="F191" s="323"/>
      <c r="G191" s="243" t="str">
        <f>VLOOKUP(A191,'Feature Summary'!$A$7:$C$4170,3,FALSE)</f>
        <v>P2</v>
      </c>
      <c r="H191" s="400" t="s">
        <v>47</v>
      </c>
      <c r="I191" s="424" t="s">
        <v>47</v>
      </c>
      <c r="J191" s="323"/>
      <c r="K191" s="324">
        <v>1</v>
      </c>
      <c r="L191" s="324">
        <v>0</v>
      </c>
      <c r="M191" s="549" t="str">
        <f>VLOOKUP(A191,'Feature Raw Data'!$A$3:$E$3922,5,FALSE)</f>
        <v>New</v>
      </c>
      <c r="N191" s="440">
        <v>1</v>
      </c>
      <c r="O191" s="441"/>
      <c r="P191" s="439">
        <f t="shared" si="6"/>
        <v>1</v>
      </c>
      <c r="Q191" s="424" t="s">
        <v>47</v>
      </c>
      <c r="R191" s="324">
        <v>0</v>
      </c>
      <c r="S191" s="467">
        <f t="shared" si="7"/>
        <v>0</v>
      </c>
      <c r="T191" s="458"/>
      <c r="U191" s="458"/>
      <c r="V191" s="458"/>
      <c r="W191" s="458"/>
      <c r="X191" s="468">
        <f t="shared" si="9"/>
        <v>1</v>
      </c>
      <c r="Y191" s="551" t="s">
        <v>366</v>
      </c>
      <c r="Z191" s="457">
        <f t="shared" si="8"/>
        <v>0</v>
      </c>
      <c r="AA191" s="458"/>
      <c r="AB191" s="458"/>
      <c r="AC191" s="458"/>
      <c r="AD191" s="458"/>
      <c r="AE191" s="456">
        <f t="shared" si="10"/>
        <v>1</v>
      </c>
      <c r="AF191" s="323"/>
      <c r="AG191" s="426" t="s">
        <v>47</v>
      </c>
      <c r="AH191" s="325"/>
    </row>
    <row r="192" spans="1:34" ht="15.75" hidden="1" thickBot="1" x14ac:dyDescent="0.3">
      <c r="A192" s="546">
        <v>12.459</v>
      </c>
      <c r="B192" s="323" t="str">
        <f>VLOOKUP(A192,'Feature Raw Data'!$A$3:$B$3922,2,FALSE)</f>
        <v>Remove support for Shared VGPRs and Subvector Execution</v>
      </c>
      <c r="C192" s="323" t="s">
        <v>357</v>
      </c>
      <c r="D192" s="324" t="str">
        <f>VLOOKUP(A192,'Feature Raw Data'!$A$3:$F$3922,6,FALSE)</f>
        <v>SH</v>
      </c>
      <c r="E192" s="323"/>
      <c r="F192" s="323"/>
      <c r="G192" s="243" t="str">
        <f>VLOOKUP(A192,'Feature Summary'!$A$7:$C$4170,3,FALSE)</f>
        <v>P2</v>
      </c>
      <c r="H192" s="400" t="s">
        <v>47</v>
      </c>
      <c r="I192" s="424" t="s">
        <v>47</v>
      </c>
      <c r="J192" s="323"/>
      <c r="K192" s="324">
        <v>1</v>
      </c>
      <c r="L192" s="324">
        <v>0</v>
      </c>
      <c r="M192" s="549" t="str">
        <f>VLOOKUP(A192,'Feature Raw Data'!$A$3:$E$3922,5,FALSE)</f>
        <v>New</v>
      </c>
      <c r="N192" s="440">
        <v>1</v>
      </c>
      <c r="O192" s="441"/>
      <c r="P192" s="439">
        <f t="shared" si="6"/>
        <v>1</v>
      </c>
      <c r="Q192" s="424" t="s">
        <v>47</v>
      </c>
      <c r="R192" s="324">
        <v>0</v>
      </c>
      <c r="S192" s="467">
        <f t="shared" si="7"/>
        <v>0</v>
      </c>
      <c r="T192" s="458"/>
      <c r="U192" s="458"/>
      <c r="V192" s="458"/>
      <c r="W192" s="458"/>
      <c r="X192" s="468">
        <f t="shared" si="9"/>
        <v>1</v>
      </c>
      <c r="Y192" s="551" t="s">
        <v>422</v>
      </c>
      <c r="Z192" s="457">
        <f t="shared" si="8"/>
        <v>0</v>
      </c>
      <c r="AA192" s="458"/>
      <c r="AB192" s="458"/>
      <c r="AC192" s="458"/>
      <c r="AD192" s="458"/>
      <c r="AE192" s="456">
        <f t="shared" si="10"/>
        <v>1</v>
      </c>
      <c r="AF192" s="323"/>
      <c r="AG192" s="426" t="s">
        <v>47</v>
      </c>
      <c r="AH192" s="325"/>
    </row>
    <row r="193" spans="1:34" ht="15.75" hidden="1" thickBot="1" x14ac:dyDescent="0.3">
      <c r="A193" s="546">
        <v>12.462</v>
      </c>
      <c r="B193" s="323" t="str">
        <f>VLOOKUP(A193,'Feature Raw Data'!$A$3:$B$3922,2,FALSE)</f>
        <v xml:space="preserve">Descope Verification of 16xaa for VRS Coarse Rates (1x2, 2x2, 2x1)
</v>
      </c>
      <c r="C193" s="323" t="s">
        <v>310</v>
      </c>
      <c r="D193" s="324" t="str">
        <f>VLOOKUP(A193,'Feature Raw Data'!$A$3:$F$3922,6,FALSE)</f>
        <v>PP</v>
      </c>
      <c r="E193" s="323"/>
      <c r="F193" s="323"/>
      <c r="G193" s="243" t="str">
        <f>VLOOKUP(A193,'Feature Summary'!$A$7:$C$4170,3,FALSE)</f>
        <v>P3</v>
      </c>
      <c r="H193" s="400" t="s">
        <v>47</v>
      </c>
      <c r="I193" s="424" t="s">
        <v>47</v>
      </c>
      <c r="J193" s="323"/>
      <c r="K193" s="324">
        <v>1</v>
      </c>
      <c r="L193" s="324">
        <v>0</v>
      </c>
      <c r="M193" s="549" t="str">
        <f>VLOOKUP(A193,'Feature Raw Data'!$A$3:$E$3922,5,FALSE)</f>
        <v>New</v>
      </c>
      <c r="N193" s="440">
        <v>1</v>
      </c>
      <c r="O193" s="441"/>
      <c r="P193" s="439">
        <f t="shared" si="6"/>
        <v>1</v>
      </c>
      <c r="Q193" s="424" t="s">
        <v>47</v>
      </c>
      <c r="R193" s="324">
        <v>0</v>
      </c>
      <c r="S193" s="467">
        <f t="shared" si="7"/>
        <v>0</v>
      </c>
      <c r="T193" s="458"/>
      <c r="U193" s="458"/>
      <c r="V193" s="458"/>
      <c r="W193" s="458"/>
      <c r="X193" s="468">
        <f t="shared" si="9"/>
        <v>1</v>
      </c>
      <c r="Y193" s="551" t="s">
        <v>366</v>
      </c>
      <c r="Z193" s="457">
        <f t="shared" si="8"/>
        <v>0</v>
      </c>
      <c r="AA193" s="458"/>
      <c r="AB193" s="458"/>
      <c r="AC193" s="458"/>
      <c r="AD193" s="458"/>
      <c r="AE193" s="456">
        <f t="shared" si="10"/>
        <v>1</v>
      </c>
      <c r="AF193" s="323"/>
      <c r="AG193" s="426" t="s">
        <v>47</v>
      </c>
      <c r="AH193" s="325"/>
    </row>
    <row r="194" spans="1:34" ht="15.75" hidden="1" thickBot="1" x14ac:dyDescent="0.3">
      <c r="A194" s="546">
        <v>12.462999999999999</v>
      </c>
      <c r="B194" s="323" t="str">
        <f>VLOOKUP(A194,'Feature Raw Data'!$A$3:$B$3922,2,FALSE)</f>
        <v>GFXCLK Deep Sleep trigger based on XVMIN</v>
      </c>
      <c r="C194" s="323" t="s">
        <v>320</v>
      </c>
      <c r="D194" s="324" t="str">
        <f>VLOOKUP(A194,'Feature Raw Data'!$A$3:$F$3922,6,FALSE)</f>
        <v>CTL</v>
      </c>
      <c r="E194" s="323"/>
      <c r="F194" s="323"/>
      <c r="G194" s="243" t="str">
        <f>VLOOKUP(A194,'Feature Summary'!$A$7:$C$4170,3,FALSE)</f>
        <v>P2</v>
      </c>
      <c r="H194" s="400" t="s">
        <v>47</v>
      </c>
      <c r="I194" s="424" t="s">
        <v>47</v>
      </c>
      <c r="J194" s="323"/>
      <c r="K194" s="324">
        <v>1</v>
      </c>
      <c r="L194" s="324">
        <v>0</v>
      </c>
      <c r="M194" s="549" t="str">
        <f>VLOOKUP(A194,'Feature Raw Data'!$A$3:$E$3922,5,FALSE)</f>
        <v>New</v>
      </c>
      <c r="N194" s="440">
        <v>1</v>
      </c>
      <c r="O194" s="441"/>
      <c r="P194" s="439">
        <f t="shared" si="6"/>
        <v>1</v>
      </c>
      <c r="Q194" s="424" t="s">
        <v>47</v>
      </c>
      <c r="R194" s="324">
        <v>0</v>
      </c>
      <c r="S194" s="467">
        <f t="shared" si="7"/>
        <v>0</v>
      </c>
      <c r="T194" s="458"/>
      <c r="U194" s="458"/>
      <c r="V194" s="458"/>
      <c r="W194" s="458"/>
      <c r="X194" s="468">
        <f t="shared" si="9"/>
        <v>1</v>
      </c>
      <c r="Y194" s="425" t="s">
        <v>489</v>
      </c>
      <c r="Z194" s="457">
        <f t="shared" si="8"/>
        <v>0</v>
      </c>
      <c r="AA194" s="458"/>
      <c r="AB194" s="458"/>
      <c r="AC194" s="458"/>
      <c r="AD194" s="458"/>
      <c r="AE194" s="456">
        <f t="shared" si="10"/>
        <v>1</v>
      </c>
      <c r="AF194" s="323"/>
      <c r="AG194" s="426" t="s">
        <v>47</v>
      </c>
      <c r="AH194" s="325"/>
    </row>
    <row r="195" spans="1:34" ht="15.75" hidden="1" thickBot="1" x14ac:dyDescent="0.3">
      <c r="A195" s="546">
        <v>12.464</v>
      </c>
      <c r="B195" s="323" t="str">
        <f>VLOOKUP(A195,'Feature Raw Data'!$A$3:$B$3922,2,FALSE)</f>
        <v>SP Throttling and the first DIDT droop</v>
      </c>
      <c r="C195" s="323" t="s">
        <v>357</v>
      </c>
      <c r="D195" s="324" t="str">
        <f>VLOOKUP(A195,'Feature Raw Data'!$A$3:$F$3922,6,FALSE)</f>
        <v>SH</v>
      </c>
      <c r="E195" s="323"/>
      <c r="F195" s="323"/>
      <c r="G195" s="243" t="str">
        <f>VLOOKUP(A195,'Feature Summary'!$A$7:$C$4170,3,FALSE)</f>
        <v>P2</v>
      </c>
      <c r="H195" s="400" t="s">
        <v>47</v>
      </c>
      <c r="I195" s="424" t="s">
        <v>47</v>
      </c>
      <c r="J195" s="323"/>
      <c r="K195" s="324">
        <v>1</v>
      </c>
      <c r="L195" s="324">
        <v>0</v>
      </c>
      <c r="M195" s="549" t="str">
        <f>VLOOKUP(A195,'Feature Raw Data'!$A$3:$E$3922,5,FALSE)</f>
        <v>New</v>
      </c>
      <c r="N195" s="440">
        <v>1</v>
      </c>
      <c r="O195" s="441"/>
      <c r="P195" s="439">
        <f t="shared" si="6"/>
        <v>1</v>
      </c>
      <c r="Q195" s="424" t="s">
        <v>47</v>
      </c>
      <c r="R195" s="324">
        <v>0</v>
      </c>
      <c r="S195" s="467">
        <f t="shared" si="7"/>
        <v>0</v>
      </c>
      <c r="T195" s="458"/>
      <c r="U195" s="458"/>
      <c r="V195" s="458"/>
      <c r="W195" s="458"/>
      <c r="X195" s="468">
        <f t="shared" si="9"/>
        <v>1</v>
      </c>
      <c r="Y195" s="425" t="s">
        <v>422</v>
      </c>
      <c r="Z195" s="457">
        <f t="shared" si="8"/>
        <v>0</v>
      </c>
      <c r="AA195" s="458"/>
      <c r="AB195" s="458"/>
      <c r="AC195" s="458"/>
      <c r="AD195" s="458"/>
      <c r="AE195" s="456">
        <f t="shared" si="10"/>
        <v>1</v>
      </c>
      <c r="AF195" s="323"/>
      <c r="AG195" s="426" t="s">
        <v>47</v>
      </c>
      <c r="AH195" s="325"/>
    </row>
    <row r="196" spans="1:34" ht="15.75" hidden="1" thickBot="1" x14ac:dyDescent="0.3">
      <c r="A196" s="546">
        <v>12.465999999999999</v>
      </c>
      <c r="B196" s="323" t="str">
        <f>VLOOKUP(A196,'Feature Raw Data'!$A$3:$B$3922,2,FALSE)</f>
        <v>Distributed DIDT controller</v>
      </c>
      <c r="C196" s="323" t="s">
        <v>374</v>
      </c>
      <c r="D196" s="324" t="str">
        <f>VLOOKUP(A196,'Feature Raw Data'!$A$3:$F$3922,6,FALSE)</f>
        <v>CTL</v>
      </c>
      <c r="E196" s="323"/>
      <c r="F196" s="323"/>
      <c r="G196" s="243" t="str">
        <f>VLOOKUP(A196,'Feature Summary'!$A$7:$C$4170,3,FALSE)</f>
        <v>P2</v>
      </c>
      <c r="H196" s="400" t="s">
        <v>47</v>
      </c>
      <c r="I196" s="424" t="s">
        <v>47</v>
      </c>
      <c r="J196" s="323"/>
      <c r="K196" s="324">
        <v>1</v>
      </c>
      <c r="L196" s="324">
        <v>0</v>
      </c>
      <c r="M196" s="549" t="str">
        <f>VLOOKUP(A196,'Feature Raw Data'!$A$3:$E$3922,5,FALSE)</f>
        <v>New</v>
      </c>
      <c r="N196" s="440">
        <v>1</v>
      </c>
      <c r="O196" s="441"/>
      <c r="P196" s="439">
        <f t="shared" si="6"/>
        <v>1</v>
      </c>
      <c r="Q196" s="424" t="s">
        <v>32</v>
      </c>
      <c r="R196" s="324">
        <v>1</v>
      </c>
      <c r="S196" s="467">
        <f t="shared" si="7"/>
        <v>0</v>
      </c>
      <c r="T196" s="458"/>
      <c r="U196" s="458"/>
      <c r="V196" s="458"/>
      <c r="W196" s="458"/>
      <c r="X196" s="468">
        <f t="shared" si="9"/>
        <v>0</v>
      </c>
      <c r="Y196" s="425" t="s">
        <v>491</v>
      </c>
      <c r="Z196" s="457">
        <f t="shared" si="8"/>
        <v>0</v>
      </c>
      <c r="AA196" s="458"/>
      <c r="AB196" s="458"/>
      <c r="AC196" s="458"/>
      <c r="AD196" s="458"/>
      <c r="AE196" s="456">
        <f t="shared" si="10"/>
        <v>1</v>
      </c>
      <c r="AF196" s="323"/>
      <c r="AG196" s="426" t="s">
        <v>350</v>
      </c>
      <c r="AH196" s="325"/>
    </row>
    <row r="197" spans="1:34" ht="15.75" hidden="1" thickBot="1" x14ac:dyDescent="0.3">
      <c r="A197" s="546">
        <v>12.468</v>
      </c>
      <c r="B197" s="323" t="str">
        <f>VLOOKUP(A197,'Feature Raw Data'!$A$3:$B$3922,2,FALSE)</f>
        <v>RS64: Adding performance features for both Navi4x and MI400</v>
      </c>
      <c r="C197" s="323" t="s">
        <v>376</v>
      </c>
      <c r="D197" s="324" t="str">
        <f>VLOOKUP(A197,'Feature Raw Data'!$A$3:$F$3922,6,FALSE)</f>
        <v>CTL</v>
      </c>
      <c r="E197" s="323"/>
      <c r="F197" s="323"/>
      <c r="G197" s="243" t="str">
        <f>VLOOKUP(A197,'Feature Summary'!$A$7:$C$4170,3,FALSE)</f>
        <v>P2</v>
      </c>
      <c r="H197" s="400" t="s">
        <v>47</v>
      </c>
      <c r="I197" s="424" t="s">
        <v>47</v>
      </c>
      <c r="J197" s="323"/>
      <c r="K197" s="324">
        <v>1</v>
      </c>
      <c r="L197" s="324">
        <v>0</v>
      </c>
      <c r="M197" s="549" t="str">
        <f>VLOOKUP(A197,'Feature Raw Data'!$A$3:$E$3922,5,FALSE)</f>
        <v>New</v>
      </c>
      <c r="N197" s="440">
        <v>1</v>
      </c>
      <c r="O197" s="441"/>
      <c r="P197" s="439">
        <f t="shared" si="6"/>
        <v>1</v>
      </c>
      <c r="Q197" s="424" t="s">
        <v>47</v>
      </c>
      <c r="R197" s="324">
        <v>0</v>
      </c>
      <c r="S197" s="467">
        <f t="shared" si="7"/>
        <v>0</v>
      </c>
      <c r="T197" s="458"/>
      <c r="U197" s="458"/>
      <c r="V197" s="458"/>
      <c r="W197" s="458"/>
      <c r="X197" s="468">
        <f t="shared" si="9"/>
        <v>1</v>
      </c>
      <c r="Y197" s="425" t="s">
        <v>492</v>
      </c>
      <c r="Z197" s="457">
        <f t="shared" si="8"/>
        <v>0</v>
      </c>
      <c r="AA197" s="458"/>
      <c r="AB197" s="458"/>
      <c r="AC197" s="458"/>
      <c r="AD197" s="458"/>
      <c r="AE197" s="456">
        <f t="shared" si="10"/>
        <v>1</v>
      </c>
      <c r="AF197" s="323"/>
      <c r="AG197" s="426" t="s">
        <v>47</v>
      </c>
      <c r="AH197" s="325"/>
    </row>
    <row r="198" spans="1:34" ht="15.75" hidden="1" thickBot="1" x14ac:dyDescent="0.3">
      <c r="A198" s="553">
        <v>12.473000000000001</v>
      </c>
      <c r="B198" s="323" t="str">
        <f>VLOOKUP(A198,'Feature Raw Data'!$A$3:$B$3922,2,FALSE)</f>
        <v>GL2 shared across all SEs for Navi44/48</v>
      </c>
      <c r="C198" s="323" t="s">
        <v>334</v>
      </c>
      <c r="D198" s="324" t="str">
        <f>VLOOKUP(A198,'Feature Raw Data'!$A$3:$F$3922,6,FALSE)</f>
        <v>CMM</v>
      </c>
      <c r="E198" s="323"/>
      <c r="F198" s="323"/>
      <c r="G198" s="243" t="str">
        <f>VLOOKUP(A198,'Feature Summary'!$A$7:$C$4170,3,FALSE)</f>
        <v>P1</v>
      </c>
      <c r="H198" s="400"/>
      <c r="I198" s="424" t="s">
        <v>35</v>
      </c>
      <c r="J198" s="323"/>
      <c r="K198" s="324">
        <v>1</v>
      </c>
      <c r="L198" s="324">
        <v>0</v>
      </c>
      <c r="M198" s="549" t="str">
        <f>VLOOKUP(A198,'Feature Raw Data'!$A$3:$E$3922,5,FALSE)</f>
        <v>New</v>
      </c>
      <c r="N198" s="440">
        <v>1</v>
      </c>
      <c r="O198" s="441">
        <v>0</v>
      </c>
      <c r="P198" s="439">
        <f t="shared" si="6"/>
        <v>1</v>
      </c>
      <c r="Q198" s="424" t="s">
        <v>32</v>
      </c>
      <c r="R198" s="324">
        <v>1</v>
      </c>
      <c r="S198" s="467">
        <f t="shared" si="7"/>
        <v>0</v>
      </c>
      <c r="T198" s="458"/>
      <c r="U198" s="458"/>
      <c r="V198" s="458"/>
      <c r="W198" s="458"/>
      <c r="X198" s="468">
        <f t="shared" si="9"/>
        <v>0</v>
      </c>
      <c r="Y198" s="425"/>
      <c r="Z198" s="457">
        <f t="shared" si="8"/>
        <v>0</v>
      </c>
      <c r="AA198" s="458"/>
      <c r="AB198" s="458"/>
      <c r="AC198" s="458"/>
      <c r="AD198" s="458"/>
      <c r="AE198" s="456">
        <f t="shared" si="10"/>
        <v>1</v>
      </c>
      <c r="AF198" s="323"/>
      <c r="AG198" s="426" t="s">
        <v>309</v>
      </c>
      <c r="AH198" s="325"/>
    </row>
    <row r="199" spans="1:34" ht="15" hidden="1" customHeight="1" thickBot="1" x14ac:dyDescent="0.3">
      <c r="A199" s="553">
        <v>12.475</v>
      </c>
      <c r="B199" s="323" t="str">
        <f>VLOOKUP(A199,'Feature Raw Data'!$A$3:$B$3922,2,FALSE)</f>
        <v>IO traffic can potentially block DRAM traffic</v>
      </c>
      <c r="C199" s="323" t="s">
        <v>334</v>
      </c>
      <c r="D199" s="324" t="str">
        <f>VLOOKUP(A199,'Feature Raw Data'!$A$3:$F$3922,6,FALSE)</f>
        <v>CMM</v>
      </c>
      <c r="E199" s="323"/>
      <c r="F199" s="323"/>
      <c r="G199" s="243" t="str">
        <f>VLOOKUP(A199,'Feature Summary'!$A$7:$C$4170,3,FALSE)</f>
        <v>P1</v>
      </c>
      <c r="H199" s="400" t="s">
        <v>47</v>
      </c>
      <c r="I199" s="424" t="s">
        <v>47</v>
      </c>
      <c r="J199" s="323"/>
      <c r="K199" s="324">
        <v>1</v>
      </c>
      <c r="L199" s="324">
        <v>0</v>
      </c>
      <c r="M199" s="549" t="str">
        <f>VLOOKUP(A199,'Feature Raw Data'!$A$3:$E$3922,5,FALSE)</f>
        <v>New</v>
      </c>
      <c r="N199" s="440">
        <v>1</v>
      </c>
      <c r="O199" s="441"/>
      <c r="P199" s="439">
        <f t="shared" si="6"/>
        <v>1</v>
      </c>
      <c r="Q199" s="424" t="s">
        <v>47</v>
      </c>
      <c r="R199" s="324">
        <v>0</v>
      </c>
      <c r="S199" s="467">
        <f t="shared" ref="S199:S214" si="11">SUM(T199:W199)</f>
        <v>0</v>
      </c>
      <c r="T199" s="458"/>
      <c r="U199" s="458"/>
      <c r="V199" s="458"/>
      <c r="W199" s="458"/>
      <c r="X199" s="468">
        <f t="shared" si="9"/>
        <v>1</v>
      </c>
      <c r="Y199" s="551" t="s">
        <v>499</v>
      </c>
      <c r="Z199" s="457">
        <f t="shared" ref="Z199:Z214" si="12">SUM(AA199:AD199)</f>
        <v>0</v>
      </c>
      <c r="AA199" s="458"/>
      <c r="AB199" s="458"/>
      <c r="AC199" s="458"/>
      <c r="AD199" s="458"/>
      <c r="AE199" s="456">
        <f t="shared" si="10"/>
        <v>1</v>
      </c>
      <c r="AF199" s="323"/>
      <c r="AG199" s="426" t="s">
        <v>47</v>
      </c>
      <c r="AH199" s="325"/>
    </row>
    <row r="200" spans="1:34" ht="15.75" hidden="1" customHeight="1" thickBot="1" x14ac:dyDescent="0.3">
      <c r="A200" s="546">
        <v>12.476000000000001</v>
      </c>
      <c r="B200" s="323" t="str">
        <f>VLOOKUP(A200,'Feature Raw Data'!$A$3:$B$3922,2,FALSE)</f>
        <v>Descope 8xaa for VRS coarse rates (1x2, 2x2, 2x1)</v>
      </c>
      <c r="C200" s="323" t="s">
        <v>310</v>
      </c>
      <c r="D200" s="324" t="str">
        <f>VLOOKUP(A200,'Feature Raw Data'!$A$3:$F$3922,6,FALSE)</f>
        <v>PP</v>
      </c>
      <c r="E200" s="323"/>
      <c r="F200" s="323"/>
      <c r="G200" s="243" t="str">
        <f>VLOOKUP(A200,'Feature Summary'!$A$7:$C$4170,3,FALSE)</f>
        <v>P3</v>
      </c>
      <c r="H200" s="400" t="s">
        <v>47</v>
      </c>
      <c r="I200" s="424" t="s">
        <v>47</v>
      </c>
      <c r="J200" s="323"/>
      <c r="K200" s="324">
        <v>1</v>
      </c>
      <c r="L200" s="324">
        <v>0</v>
      </c>
      <c r="M200" s="549" t="str">
        <f>VLOOKUP(A200,'Feature Raw Data'!$A$3:$E$3922,5,FALSE)</f>
        <v>New</v>
      </c>
      <c r="N200" s="440">
        <v>1</v>
      </c>
      <c r="O200" s="441"/>
      <c r="P200" s="439">
        <f t="shared" si="6"/>
        <v>1</v>
      </c>
      <c r="Q200" s="424" t="s">
        <v>47</v>
      </c>
      <c r="R200" s="324">
        <v>0</v>
      </c>
      <c r="S200" s="467">
        <f t="shared" si="11"/>
        <v>0</v>
      </c>
      <c r="T200" s="458"/>
      <c r="U200" s="458"/>
      <c r="V200" s="458"/>
      <c r="W200" s="458"/>
      <c r="X200" s="468">
        <f t="shared" si="9"/>
        <v>1</v>
      </c>
      <c r="Y200" s="425" t="s">
        <v>500</v>
      </c>
      <c r="Z200" s="457">
        <f t="shared" si="12"/>
        <v>0</v>
      </c>
      <c r="AA200" s="458"/>
      <c r="AB200" s="458"/>
      <c r="AC200" s="458"/>
      <c r="AD200" s="458"/>
      <c r="AE200" s="456">
        <f t="shared" si="10"/>
        <v>1</v>
      </c>
      <c r="AF200" s="323"/>
      <c r="AG200" s="426" t="s">
        <v>47</v>
      </c>
      <c r="AH200" s="325"/>
    </row>
    <row r="201" spans="1:34" ht="15.75" hidden="1" thickBot="1" x14ac:dyDescent="0.3">
      <c r="A201" s="546">
        <v>12.477</v>
      </c>
      <c r="B201" s="323" t="str">
        <f>VLOOKUP(A201,'Feature Raw Data'!$A$3:$B$3922,2,FALSE)</f>
        <v>Hook up AVFS debug bus to debug bus chains in 4 gc_2gl2c_1_tiles</v>
      </c>
      <c r="C201" s="323" t="s">
        <v>376</v>
      </c>
      <c r="D201" s="324" t="str">
        <f>VLOOKUP(A201,'Feature Raw Data'!$A$3:$F$3922,6,FALSE)</f>
        <v>CTL</v>
      </c>
      <c r="E201" s="323"/>
      <c r="F201" s="323"/>
      <c r="G201" s="243" t="str">
        <f>VLOOKUP(A201,'Feature Summary'!$A$7:$C$4170,3,FALSE)</f>
        <v>P3</v>
      </c>
      <c r="H201" s="400" t="s">
        <v>47</v>
      </c>
      <c r="I201" s="424" t="s">
        <v>47</v>
      </c>
      <c r="J201" s="323"/>
      <c r="K201" s="324">
        <v>1</v>
      </c>
      <c r="L201" s="324">
        <v>0</v>
      </c>
      <c r="M201" s="549" t="str">
        <f>VLOOKUP(A201,'Feature Raw Data'!$A$3:$E$3922,5,FALSE)</f>
        <v>New</v>
      </c>
      <c r="N201" s="440">
        <v>1</v>
      </c>
      <c r="O201" s="441"/>
      <c r="P201" s="439">
        <f t="shared" si="6"/>
        <v>1</v>
      </c>
      <c r="Q201" s="424" t="s">
        <v>47</v>
      </c>
      <c r="R201" s="324">
        <v>0</v>
      </c>
      <c r="S201" s="467">
        <f t="shared" si="11"/>
        <v>0</v>
      </c>
      <c r="T201" s="458"/>
      <c r="U201" s="458"/>
      <c r="V201" s="458"/>
      <c r="W201" s="458"/>
      <c r="X201" s="468">
        <f t="shared" si="9"/>
        <v>1</v>
      </c>
      <c r="Y201" s="425" t="s">
        <v>406</v>
      </c>
      <c r="Z201" s="457">
        <f t="shared" si="12"/>
        <v>0</v>
      </c>
      <c r="AA201" s="458"/>
      <c r="AB201" s="458"/>
      <c r="AC201" s="458"/>
      <c r="AD201" s="458"/>
      <c r="AE201" s="456">
        <f t="shared" si="10"/>
        <v>1</v>
      </c>
      <c r="AF201" s="323"/>
      <c r="AG201" s="426" t="s">
        <v>47</v>
      </c>
      <c r="AH201" s="325"/>
    </row>
    <row r="202" spans="1:34" ht="15.75" hidden="1" thickBot="1" x14ac:dyDescent="0.3">
      <c r="A202" s="546">
        <v>12.48</v>
      </c>
      <c r="B202" s="323" t="str">
        <f>VLOOKUP(A202,'Feature Raw Data'!$A$3:$B$3922,2,FALSE)</f>
        <v>Move GFX PSMs to faster clock for faster DIDT controller response</v>
      </c>
      <c r="C202" s="323" t="s">
        <v>308</v>
      </c>
      <c r="D202" s="324" t="str">
        <f>VLOOKUP(A202,'Feature Raw Data'!$A$3:$F$3922,6,FALSE)</f>
        <v>CTL</v>
      </c>
      <c r="E202" s="323"/>
      <c r="F202" s="323"/>
      <c r="G202" s="243" t="str">
        <f>VLOOKUP(A202,'Feature Summary'!$A$7:$C$4170,3,FALSE)</f>
        <v>P3</v>
      </c>
      <c r="H202" s="400" t="s">
        <v>47</v>
      </c>
      <c r="I202" s="424" t="s">
        <v>47</v>
      </c>
      <c r="J202" s="323"/>
      <c r="K202" s="324">
        <v>1</v>
      </c>
      <c r="L202" s="324">
        <v>0</v>
      </c>
      <c r="M202" s="549" t="str">
        <f>VLOOKUP(A202,'Feature Raw Data'!$A$3:$E$3922,5,FALSE)</f>
        <v>New</v>
      </c>
      <c r="N202" s="440">
        <v>1</v>
      </c>
      <c r="O202" s="441"/>
      <c r="P202" s="439">
        <f t="shared" si="6"/>
        <v>1</v>
      </c>
      <c r="Q202" s="424" t="s">
        <v>47</v>
      </c>
      <c r="R202" s="324">
        <v>0</v>
      </c>
      <c r="S202" s="467">
        <f t="shared" si="11"/>
        <v>0</v>
      </c>
      <c r="T202" s="458"/>
      <c r="U202" s="458"/>
      <c r="V202" s="458"/>
      <c r="W202" s="458"/>
      <c r="X202" s="468">
        <f t="shared" si="9"/>
        <v>1</v>
      </c>
      <c r="Y202" s="551" t="str">
        <f>VLOOKUP(A202,'Feature Raw Data'!$A$3:$I$3922,9,FALSE)</f>
        <v xml:space="preserve">Waived. PMM Diags, Tools team, and PPA team should cover this. </v>
      </c>
      <c r="Z202" s="457">
        <f t="shared" si="12"/>
        <v>0</v>
      </c>
      <c r="AA202" s="458"/>
      <c r="AB202" s="458"/>
      <c r="AC202" s="458"/>
      <c r="AD202" s="458"/>
      <c r="AE202" s="456">
        <f t="shared" si="10"/>
        <v>1</v>
      </c>
      <c r="AF202" s="323"/>
      <c r="AG202" s="426" t="s">
        <v>47</v>
      </c>
      <c r="AH202" s="325"/>
    </row>
    <row r="203" spans="1:34" ht="15.75" hidden="1" thickBot="1" x14ac:dyDescent="0.3">
      <c r="A203" s="546">
        <v>12.483000000000001</v>
      </c>
      <c r="B203" s="323" t="str">
        <f>VLOOKUP(A203,'Feature Raw Data'!$A$3:$B$3922,2,FALSE)</f>
        <v>Processor controllable performance counters for CP Bottleneck profiling</v>
      </c>
      <c r="C203" s="323" t="s">
        <v>376</v>
      </c>
      <c r="D203" s="324" t="str">
        <f>VLOOKUP(A203,'Feature Raw Data'!$A$3:$F$3922,6,FALSE)</f>
        <v>CTL</v>
      </c>
      <c r="E203" s="323"/>
      <c r="F203" s="323"/>
      <c r="G203" s="243" t="str">
        <f>VLOOKUP(A203,'Feature Summary'!$A$7:$C$4170,3,FALSE)</f>
        <v>P3</v>
      </c>
      <c r="H203" s="400" t="s">
        <v>47</v>
      </c>
      <c r="I203" s="424" t="s">
        <v>47</v>
      </c>
      <c r="J203" s="323"/>
      <c r="K203" s="324">
        <v>1</v>
      </c>
      <c r="L203" s="324">
        <v>0</v>
      </c>
      <c r="M203" s="549" t="str">
        <f>VLOOKUP(A203,'Feature Raw Data'!$A$3:$E$3922,5,FALSE)</f>
        <v>New</v>
      </c>
      <c r="N203" s="440">
        <v>1</v>
      </c>
      <c r="O203" s="441"/>
      <c r="P203" s="439">
        <f t="shared" si="6"/>
        <v>1</v>
      </c>
      <c r="Q203" s="424" t="s">
        <v>47</v>
      </c>
      <c r="R203" s="324">
        <v>0</v>
      </c>
      <c r="S203" s="467">
        <f t="shared" si="11"/>
        <v>0</v>
      </c>
      <c r="T203" s="458"/>
      <c r="U203" s="458"/>
      <c r="V203" s="458"/>
      <c r="W203" s="458"/>
      <c r="X203" s="468">
        <f t="shared" si="9"/>
        <v>1</v>
      </c>
      <c r="Y203" s="425" t="s">
        <v>406</v>
      </c>
      <c r="Z203" s="457">
        <f t="shared" si="12"/>
        <v>0</v>
      </c>
      <c r="AA203" s="458"/>
      <c r="AB203" s="458"/>
      <c r="AC203" s="458"/>
      <c r="AD203" s="458"/>
      <c r="AE203" s="456">
        <f t="shared" si="10"/>
        <v>1</v>
      </c>
      <c r="AF203" s="323"/>
      <c r="AG203" s="426" t="s">
        <v>47</v>
      </c>
      <c r="AH203" s="325"/>
    </row>
    <row r="204" spans="1:34" ht="15.75" hidden="1" thickBot="1" x14ac:dyDescent="0.3">
      <c r="A204" s="546">
        <v>12.484999999999999</v>
      </c>
      <c r="B204" s="323" t="str">
        <f>VLOOKUP(A204,'Feature Raw Data'!$A$3:$B$3922,2,FALSE)</f>
        <v>Navi4 GFXIMU Interrupt Capability</v>
      </c>
      <c r="C204" s="323" t="s">
        <v>415</v>
      </c>
      <c r="D204" s="324" t="str">
        <f>VLOOKUP(A204,'Feature Raw Data'!$A$3:$F$3922,6,FALSE)</f>
        <v>CTL</v>
      </c>
      <c r="E204" s="323"/>
      <c r="F204" s="323"/>
      <c r="G204" s="243" t="str">
        <f>VLOOKUP(A204,'Feature Summary'!$A$7:$C$4170,3,FALSE)</f>
        <v>P3</v>
      </c>
      <c r="H204" s="400" t="s">
        <v>47</v>
      </c>
      <c r="I204" s="424" t="s">
        <v>47</v>
      </c>
      <c r="J204" s="323"/>
      <c r="K204" s="324">
        <v>1</v>
      </c>
      <c r="L204" s="324">
        <v>0</v>
      </c>
      <c r="M204" s="549" t="str">
        <f>VLOOKUP(A204,'Feature Raw Data'!$A$3:$E$3922,5,FALSE)</f>
        <v>New</v>
      </c>
      <c r="N204" s="440">
        <v>1</v>
      </c>
      <c r="O204" s="441"/>
      <c r="P204" s="439">
        <f t="shared" si="6"/>
        <v>1</v>
      </c>
      <c r="Q204" s="424" t="s">
        <v>47</v>
      </c>
      <c r="R204" s="324">
        <v>0</v>
      </c>
      <c r="S204" s="467">
        <f t="shared" si="11"/>
        <v>0</v>
      </c>
      <c r="T204" s="458"/>
      <c r="U204" s="458"/>
      <c r="V204" s="458"/>
      <c r="W204" s="458"/>
      <c r="X204" s="468">
        <f t="shared" si="9"/>
        <v>1</v>
      </c>
      <c r="Y204" s="425" t="s">
        <v>414</v>
      </c>
      <c r="Z204" s="457">
        <f t="shared" si="12"/>
        <v>0</v>
      </c>
      <c r="AA204" s="458"/>
      <c r="AB204" s="458"/>
      <c r="AC204" s="458"/>
      <c r="AD204" s="458"/>
      <c r="AE204" s="456">
        <f t="shared" si="10"/>
        <v>1</v>
      </c>
      <c r="AF204" s="323"/>
      <c r="AG204" s="426" t="s">
        <v>47</v>
      </c>
      <c r="AH204" s="325"/>
    </row>
    <row r="205" spans="1:34" ht="15.75" hidden="1" thickBot="1" x14ac:dyDescent="0.3">
      <c r="A205" s="546">
        <v>12.486000000000001</v>
      </c>
      <c r="B205" s="323" t="str">
        <f>VLOOKUP(A205,'Feature Raw Data'!$A$3:$B$3922,2,FALSE)</f>
        <v>Allow GFX doorbells through IMU doorbell fence</v>
      </c>
      <c r="C205" s="323" t="s">
        <v>374</v>
      </c>
      <c r="D205" s="324" t="str">
        <f>VLOOKUP(A205,'Feature Raw Data'!$A$3:$F$3922,6,FALSE)</f>
        <v>CTL</v>
      </c>
      <c r="E205" s="323"/>
      <c r="F205" s="323"/>
      <c r="G205" s="243" t="str">
        <f>VLOOKUP(A205,'Feature Summary'!$A$7:$C$4170,3,FALSE)</f>
        <v>P1</v>
      </c>
      <c r="H205" s="400" t="s">
        <v>504</v>
      </c>
      <c r="I205" s="424" t="s">
        <v>47</v>
      </c>
      <c r="J205" s="323"/>
      <c r="K205" s="324">
        <v>1</v>
      </c>
      <c r="L205" s="324">
        <v>0</v>
      </c>
      <c r="M205" s="549" t="str">
        <f>VLOOKUP(A205,'Feature Raw Data'!$A$3:$E$3922,5,FALSE)</f>
        <v>New</v>
      </c>
      <c r="N205" s="440">
        <v>1</v>
      </c>
      <c r="O205" s="441"/>
      <c r="P205" s="439">
        <f t="shared" si="6"/>
        <v>1</v>
      </c>
      <c r="Q205" s="424" t="s">
        <v>47</v>
      </c>
      <c r="R205" s="324">
        <v>0</v>
      </c>
      <c r="S205" s="467">
        <f t="shared" si="11"/>
        <v>0</v>
      </c>
      <c r="T205" s="458"/>
      <c r="U205" s="458"/>
      <c r="V205" s="458"/>
      <c r="W205" s="458"/>
      <c r="X205" s="468">
        <f t="shared" si="9"/>
        <v>1</v>
      </c>
      <c r="Y205" s="425" t="s">
        <v>505</v>
      </c>
      <c r="Z205" s="457">
        <f t="shared" si="12"/>
        <v>0</v>
      </c>
      <c r="AA205" s="458"/>
      <c r="AB205" s="458"/>
      <c r="AC205" s="458"/>
      <c r="AD205" s="458"/>
      <c r="AE205" s="456">
        <f t="shared" si="10"/>
        <v>1</v>
      </c>
      <c r="AF205" s="323"/>
      <c r="AG205" s="426" t="s">
        <v>47</v>
      </c>
      <c r="AH205" s="325"/>
    </row>
    <row r="206" spans="1:34" ht="15.75" hidden="1" thickBot="1" x14ac:dyDescent="0.3">
      <c r="A206" s="546">
        <v>12.487</v>
      </c>
      <c r="B206" s="323" t="str">
        <f>VLOOKUP(A206,'Feature Raw Data'!$A$3:$B$3922,2,FALSE)</f>
        <v>Increase DB Z cache size for performance</v>
      </c>
      <c r="C206" s="323" t="s">
        <v>310</v>
      </c>
      <c r="D206" s="324" t="str">
        <f>VLOOKUP(A206,'Feature Raw Data'!$A$3:$F$3922,6,FALSE)</f>
        <v>PP</v>
      </c>
      <c r="E206" s="323"/>
      <c r="F206" s="323"/>
      <c r="G206" s="243" t="str">
        <f>VLOOKUP(A206,'Feature Summary'!$A$7:$C$4170,3,FALSE)</f>
        <v>P3</v>
      </c>
      <c r="H206" s="400" t="s">
        <v>47</v>
      </c>
      <c r="I206" s="424" t="s">
        <v>47</v>
      </c>
      <c r="J206" s="323"/>
      <c r="K206" s="324">
        <v>1</v>
      </c>
      <c r="L206" s="324">
        <v>0</v>
      </c>
      <c r="M206" s="549" t="str">
        <f>VLOOKUP(A206,'Feature Raw Data'!$A$3:$E$3922,5,FALSE)</f>
        <v>New</v>
      </c>
      <c r="N206" s="440">
        <v>1</v>
      </c>
      <c r="O206" s="441"/>
      <c r="P206" s="439">
        <f t="shared" si="6"/>
        <v>1</v>
      </c>
      <c r="Q206" s="424" t="s">
        <v>47</v>
      </c>
      <c r="R206" s="324">
        <v>0</v>
      </c>
      <c r="S206" s="467">
        <f t="shared" si="11"/>
        <v>0</v>
      </c>
      <c r="T206" s="458"/>
      <c r="U206" s="458"/>
      <c r="V206" s="458"/>
      <c r="W206" s="458"/>
      <c r="X206" s="468">
        <f t="shared" si="9"/>
        <v>1</v>
      </c>
      <c r="Y206" s="425" t="s">
        <v>506</v>
      </c>
      <c r="Z206" s="457">
        <f t="shared" si="12"/>
        <v>0</v>
      </c>
      <c r="AA206" s="458"/>
      <c r="AB206" s="458"/>
      <c r="AC206" s="458"/>
      <c r="AD206" s="458"/>
      <c r="AE206" s="456">
        <f t="shared" si="10"/>
        <v>1</v>
      </c>
      <c r="AF206" s="323"/>
      <c r="AG206" s="426" t="s">
        <v>47</v>
      </c>
      <c r="AH206" s="325"/>
    </row>
    <row r="207" spans="1:34" ht="15.75" hidden="1" thickBot="1" x14ac:dyDescent="0.3">
      <c r="A207" s="546">
        <v>12.489000000000001</v>
      </c>
      <c r="B207" s="323" t="str">
        <f>VLOOKUP(A207,'Feature Raw Data'!$A$3:$B$3922,2,FALSE)</f>
        <v>Deprioritize NOT_EOP=1 mode</v>
      </c>
      <c r="C207" s="323" t="s">
        <v>324</v>
      </c>
      <c r="D207" s="324" t="str">
        <f>VLOOKUP(A207,'Feature Raw Data'!$A$3:$F$3922,6,FALSE)</f>
        <v>GEO</v>
      </c>
      <c r="E207" s="323"/>
      <c r="F207" s="323"/>
      <c r="G207" s="243" t="str">
        <f>VLOOKUP(A207,'Feature Summary'!$A$7:$C$4170,3,FALSE)</f>
        <v>P3</v>
      </c>
      <c r="H207" s="400" t="s">
        <v>47</v>
      </c>
      <c r="I207" s="424" t="s">
        <v>47</v>
      </c>
      <c r="J207" s="323"/>
      <c r="K207" s="324">
        <v>1</v>
      </c>
      <c r="L207" s="324">
        <v>0</v>
      </c>
      <c r="M207" s="549" t="str">
        <f>VLOOKUP(A207,'Feature Raw Data'!$A$3:$E$3922,5,FALSE)</f>
        <v>New</v>
      </c>
      <c r="N207" s="440">
        <v>1</v>
      </c>
      <c r="O207" s="441"/>
      <c r="P207" s="439">
        <f t="shared" si="6"/>
        <v>1</v>
      </c>
      <c r="Q207" s="424" t="s">
        <v>47</v>
      </c>
      <c r="R207" s="324">
        <v>0</v>
      </c>
      <c r="S207" s="467">
        <f t="shared" si="11"/>
        <v>0</v>
      </c>
      <c r="T207" s="458"/>
      <c r="U207" s="458"/>
      <c r="V207" s="458"/>
      <c r="W207" s="458"/>
      <c r="X207" s="468">
        <f t="shared" si="9"/>
        <v>1</v>
      </c>
      <c r="Y207" s="425" t="s">
        <v>446</v>
      </c>
      <c r="Z207" s="457">
        <f t="shared" si="12"/>
        <v>0</v>
      </c>
      <c r="AA207" s="458"/>
      <c r="AB207" s="458"/>
      <c r="AC207" s="458"/>
      <c r="AD207" s="458"/>
      <c r="AE207" s="456">
        <f t="shared" si="10"/>
        <v>1</v>
      </c>
      <c r="AF207" s="323"/>
      <c r="AG207" s="426" t="s">
        <v>47</v>
      </c>
      <c r="AH207" s="325"/>
    </row>
    <row r="208" spans="1:34" ht="15.75" hidden="1" thickBot="1" x14ac:dyDescent="0.3">
      <c r="A208" s="546">
        <v>12.49</v>
      </c>
      <c r="B208" s="323" t="str">
        <f>VLOOKUP(A208,'Feature Raw Data'!$A$3:$B$3922,2,FALSE)</f>
        <v xml:space="preserve">GFXCLK has risk to achieve 3.46GHz due to AR change </v>
      </c>
      <c r="C208" s="323" t="s">
        <v>308</v>
      </c>
      <c r="D208" s="324" t="str">
        <f>VLOOKUP(A208,'Feature Raw Data'!$A$3:$F$3922,6,FALSE)</f>
        <v>PD</v>
      </c>
      <c r="E208" s="323"/>
      <c r="F208" s="323"/>
      <c r="G208" s="243" t="str">
        <f>VLOOKUP(A208,'Feature Summary'!$A$7:$C$4170,3,FALSE)</f>
        <v>P2</v>
      </c>
      <c r="H208" s="400" t="s">
        <v>47</v>
      </c>
      <c r="I208" s="424" t="s">
        <v>47</v>
      </c>
      <c r="J208" s="323"/>
      <c r="K208" s="324">
        <v>1</v>
      </c>
      <c r="L208" s="324">
        <v>0</v>
      </c>
      <c r="M208" s="549" t="str">
        <f>VLOOKUP(A208,'Feature Raw Data'!$A$3:$E$3922,5,FALSE)</f>
        <v>New</v>
      </c>
      <c r="N208" s="440">
        <v>1</v>
      </c>
      <c r="O208" s="441"/>
      <c r="P208" s="439">
        <f t="shared" si="6"/>
        <v>1</v>
      </c>
      <c r="Q208" s="424" t="s">
        <v>47</v>
      </c>
      <c r="R208" s="324">
        <v>0</v>
      </c>
      <c r="S208" s="467">
        <f t="shared" si="11"/>
        <v>0</v>
      </c>
      <c r="T208" s="458"/>
      <c r="U208" s="458"/>
      <c r="V208" s="458"/>
      <c r="W208" s="458"/>
      <c r="X208" s="468">
        <f t="shared" si="9"/>
        <v>1</v>
      </c>
      <c r="Y208" s="551" t="str">
        <f>VLOOKUP(A208,'Feature Raw Data'!$A$3:$I$3922,9,FALSE)</f>
        <v xml:space="preserve">Waived. PMM Diags and PPA team should cover this. </v>
      </c>
      <c r="Z208" s="457">
        <f t="shared" si="12"/>
        <v>0</v>
      </c>
      <c r="AA208" s="458"/>
      <c r="AB208" s="458"/>
      <c r="AC208" s="458"/>
      <c r="AD208" s="458"/>
      <c r="AE208" s="456">
        <f t="shared" si="10"/>
        <v>1</v>
      </c>
      <c r="AF208" s="323"/>
      <c r="AG208" s="426" t="s">
        <v>47</v>
      </c>
      <c r="AH208" s="325"/>
    </row>
    <row r="209" spans="1:34" ht="15.75" hidden="1" thickBot="1" x14ac:dyDescent="0.3">
      <c r="A209" s="546">
        <v>12.493</v>
      </c>
      <c r="B209" s="323" t="str">
        <f>VLOOKUP(A209,'Feature Raw Data'!$A$3:$B$3922,2,FALSE)</f>
        <v>Add new jump table for SET_SH_REG and SET_SH_REG_PAIRS when packet count=1 and state is clean</v>
      </c>
      <c r="C209" s="323" t="s">
        <v>308</v>
      </c>
      <c r="D209" s="324" t="str">
        <f>VLOOKUP(A209,'Feature Raw Data'!$A$3:$F$3922,6,FALSE)</f>
        <v>CTL</v>
      </c>
      <c r="E209" s="323"/>
      <c r="F209" s="323"/>
      <c r="G209" s="243" t="str">
        <f>VLOOKUP(A209,'Feature Summary'!$A$7:$C$4170,3,FALSE)</f>
        <v>P3</v>
      </c>
      <c r="H209" s="400" t="s">
        <v>47</v>
      </c>
      <c r="I209" s="424" t="s">
        <v>47</v>
      </c>
      <c r="J209" s="323"/>
      <c r="K209" s="324">
        <v>1</v>
      </c>
      <c r="L209" s="324">
        <v>0</v>
      </c>
      <c r="M209" s="549" t="str">
        <f>VLOOKUP(A209,'Feature Raw Data'!$A$3:$E$3922,5,FALSE)</f>
        <v>New</v>
      </c>
      <c r="N209" s="440">
        <v>1</v>
      </c>
      <c r="O209" s="441"/>
      <c r="P209" s="439">
        <f t="shared" si="6"/>
        <v>1</v>
      </c>
      <c r="Q209" s="424" t="s">
        <v>47</v>
      </c>
      <c r="R209" s="324">
        <v>0</v>
      </c>
      <c r="S209" s="467">
        <f t="shared" si="11"/>
        <v>0</v>
      </c>
      <c r="T209" s="458"/>
      <c r="U209" s="458"/>
      <c r="V209" s="458"/>
      <c r="W209" s="458"/>
      <c r="X209" s="468">
        <f t="shared" si="9"/>
        <v>1</v>
      </c>
      <c r="Y209" s="551" t="str">
        <f>VLOOKUP(A209,'Feature Raw Data'!$A$3:$I$3922,9,FALSE)</f>
        <v>Indirect coverage with updated/correct CP FW</v>
      </c>
      <c r="Z209" s="457">
        <f t="shared" si="12"/>
        <v>0</v>
      </c>
      <c r="AA209" s="458"/>
      <c r="AB209" s="458"/>
      <c r="AC209" s="458"/>
      <c r="AD209" s="458"/>
      <c r="AE209" s="456">
        <f t="shared" si="10"/>
        <v>1</v>
      </c>
      <c r="AF209" s="323"/>
      <c r="AG209" s="426" t="s">
        <v>47</v>
      </c>
      <c r="AH209" s="325"/>
    </row>
    <row r="210" spans="1:34" ht="15.75" hidden="1" thickBot="1" x14ac:dyDescent="0.3">
      <c r="A210" s="546">
        <v>12.494</v>
      </c>
      <c r="B210" s="323" t="str">
        <f>VLOOKUP(A210,'Feature Raw Data'!$A$3:$B$3922,2,FALSE)</f>
        <v>[Navi4m] GRBM Queue to optimize CP processor performance</v>
      </c>
      <c r="C210" s="323" t="s">
        <v>376</v>
      </c>
      <c r="D210" s="324" t="str">
        <f>VLOOKUP(A210,'Feature Raw Data'!$A$3:$F$3922,6,FALSE)</f>
        <v>CTL</v>
      </c>
      <c r="E210" s="323"/>
      <c r="F210" s="323"/>
      <c r="G210" s="243" t="str">
        <f>VLOOKUP(A210,'Feature Summary'!$A$7:$C$4170,3,FALSE)</f>
        <v>P3</v>
      </c>
      <c r="H210" s="400" t="s">
        <v>47</v>
      </c>
      <c r="I210" s="424" t="s">
        <v>47</v>
      </c>
      <c r="J210" s="323"/>
      <c r="K210" s="324">
        <v>1</v>
      </c>
      <c r="L210" s="324">
        <v>0</v>
      </c>
      <c r="M210" s="549" t="str">
        <f>VLOOKUP(A210,'Feature Raw Data'!$A$3:$E$3922,5,FALSE)</f>
        <v>New</v>
      </c>
      <c r="N210" s="440">
        <v>1</v>
      </c>
      <c r="O210" s="441"/>
      <c r="P210" s="439">
        <f t="shared" si="6"/>
        <v>1</v>
      </c>
      <c r="Q210" s="424" t="s">
        <v>47</v>
      </c>
      <c r="R210" s="324">
        <v>0</v>
      </c>
      <c r="S210" s="467">
        <f t="shared" si="11"/>
        <v>0</v>
      </c>
      <c r="T210" s="458"/>
      <c r="U210" s="458"/>
      <c r="V210" s="458"/>
      <c r="W210" s="458"/>
      <c r="X210" s="468">
        <f t="shared" si="9"/>
        <v>1</v>
      </c>
      <c r="Y210" s="551" t="s">
        <v>507</v>
      </c>
      <c r="Z210" s="457">
        <f t="shared" si="12"/>
        <v>0</v>
      </c>
      <c r="AA210" s="458"/>
      <c r="AB210" s="458"/>
      <c r="AC210" s="458"/>
      <c r="AD210" s="458"/>
      <c r="AE210" s="456">
        <f t="shared" si="10"/>
        <v>1</v>
      </c>
      <c r="AF210" s="323"/>
      <c r="AG210" s="426" t="s">
        <v>47</v>
      </c>
      <c r="AH210" s="325"/>
    </row>
    <row r="211" spans="1:34" ht="15.75" hidden="1" thickBot="1" x14ac:dyDescent="0.3">
      <c r="A211" s="546">
        <v>12.494999999999999</v>
      </c>
      <c r="B211" s="323" t="str">
        <f>VLOOKUP(A211,'Feature Raw Data'!$A$3:$B$3922,2,FALSE)</f>
        <v>[RS64] Add Load-IO Custom instruction w/16 CSRs</v>
      </c>
      <c r="C211" s="323" t="s">
        <v>376</v>
      </c>
      <c r="D211" s="324" t="str">
        <f>VLOOKUP(A211,'Feature Raw Data'!$A$3:$F$3922,6,FALSE)</f>
        <v>CTL</v>
      </c>
      <c r="E211" s="323"/>
      <c r="F211" s="323"/>
      <c r="G211" s="243" t="str">
        <f>VLOOKUP(A211,'Feature Summary'!$A$7:$C$4170,3,FALSE)</f>
        <v>P2</v>
      </c>
      <c r="H211" s="400" t="s">
        <v>47</v>
      </c>
      <c r="I211" s="424" t="s">
        <v>47</v>
      </c>
      <c r="J211" s="323"/>
      <c r="K211" s="324">
        <v>1</v>
      </c>
      <c r="L211" s="324">
        <v>0</v>
      </c>
      <c r="M211" s="549" t="str">
        <f>VLOOKUP(A211,'Feature Raw Data'!$A$3:$E$3922,5,FALSE)</f>
        <v>New</v>
      </c>
      <c r="N211" s="440">
        <v>1</v>
      </c>
      <c r="O211" s="441"/>
      <c r="P211" s="439">
        <f t="shared" si="6"/>
        <v>1</v>
      </c>
      <c r="Q211" s="424" t="s">
        <v>47</v>
      </c>
      <c r="R211" s="324">
        <v>0</v>
      </c>
      <c r="S211" s="467">
        <f t="shared" si="11"/>
        <v>0</v>
      </c>
      <c r="T211" s="458"/>
      <c r="U211" s="458"/>
      <c r="V211" s="458"/>
      <c r="W211" s="458"/>
      <c r="X211" s="468">
        <f t="shared" si="9"/>
        <v>1</v>
      </c>
      <c r="Y211" s="551" t="s">
        <v>508</v>
      </c>
      <c r="Z211" s="457">
        <f t="shared" si="12"/>
        <v>0</v>
      </c>
      <c r="AA211" s="458"/>
      <c r="AB211" s="458"/>
      <c r="AC211" s="458"/>
      <c r="AD211" s="458"/>
      <c r="AE211" s="456">
        <f t="shared" si="10"/>
        <v>1</v>
      </c>
      <c r="AF211" s="323"/>
      <c r="AG211" s="426" t="s">
        <v>47</v>
      </c>
      <c r="AH211" s="325"/>
    </row>
    <row r="212" spans="1:34" ht="15.75" hidden="1" thickBot="1" x14ac:dyDescent="0.3">
      <c r="A212" s="553">
        <v>12.497</v>
      </c>
      <c r="B212" s="323" t="str">
        <f>VLOOKUP(A212,'Feature Raw Data'!$A$3:$B$3922,2,FALSE)</f>
        <v>load_reserved store_conditional unitID aliasing requires a change in GFX client unitID values</v>
      </c>
      <c r="C212" s="323" t="s">
        <v>476</v>
      </c>
      <c r="D212" s="324" t="str">
        <f>VLOOKUP(A212,'Feature Raw Data'!$A$3:$F$3922,6,FALSE)</f>
        <v>CMM</v>
      </c>
      <c r="E212" s="323"/>
      <c r="F212" s="323"/>
      <c r="G212" s="243" t="str">
        <f>VLOOKUP(A212,'Feature Summary'!$A$7:$C$4170,3,FALSE)</f>
        <v>P1</v>
      </c>
      <c r="H212" s="400" t="s">
        <v>47</v>
      </c>
      <c r="I212" s="424" t="s">
        <v>47</v>
      </c>
      <c r="J212" s="323"/>
      <c r="K212" s="324">
        <v>1</v>
      </c>
      <c r="L212" s="324">
        <v>0</v>
      </c>
      <c r="M212" s="549" t="str">
        <f>VLOOKUP(A212,'Feature Raw Data'!$A$3:$E$3922,5,FALSE)</f>
        <v>New</v>
      </c>
      <c r="N212" s="440">
        <v>1</v>
      </c>
      <c r="O212" s="441"/>
      <c r="P212" s="439">
        <f t="shared" si="6"/>
        <v>1</v>
      </c>
      <c r="Q212" s="424" t="s">
        <v>47</v>
      </c>
      <c r="R212" s="324">
        <v>0</v>
      </c>
      <c r="S212" s="467">
        <f t="shared" si="11"/>
        <v>0</v>
      </c>
      <c r="T212" s="458"/>
      <c r="U212" s="458"/>
      <c r="V212" s="458"/>
      <c r="W212" s="458"/>
      <c r="X212" s="468">
        <f t="shared" si="9"/>
        <v>1</v>
      </c>
      <c r="Y212" s="551" t="s">
        <v>477</v>
      </c>
      <c r="Z212" s="457">
        <f t="shared" si="12"/>
        <v>0</v>
      </c>
      <c r="AA212" s="458"/>
      <c r="AB212" s="458"/>
      <c r="AC212" s="458"/>
      <c r="AD212" s="458"/>
      <c r="AE212" s="456">
        <f t="shared" si="10"/>
        <v>1</v>
      </c>
      <c r="AF212" s="323"/>
      <c r="AG212" s="426" t="s">
        <v>47</v>
      </c>
      <c r="AH212" s="325"/>
    </row>
    <row r="213" spans="1:34" ht="15.75" hidden="1" thickBot="1" x14ac:dyDescent="0.3">
      <c r="A213" s="546">
        <v>12.497999999999999</v>
      </c>
      <c r="B213" s="323" t="str">
        <f>VLOOKUP(A213,'Feature Raw Data'!$A$3:$B$3922,2,FALSE)</f>
        <v>Increase in DB FIFOs for Write-Only Performance</v>
      </c>
      <c r="C213" s="323" t="s">
        <v>310</v>
      </c>
      <c r="D213" s="324" t="str">
        <f>VLOOKUP(A213,'Feature Raw Data'!$A$3:$F$3922,6,FALSE)</f>
        <v>PP</v>
      </c>
      <c r="E213" s="323"/>
      <c r="F213" s="323"/>
      <c r="G213" s="243" t="str">
        <f>VLOOKUP(A213,'Feature Summary'!$A$7:$C$4170,3,FALSE)</f>
        <v>P1</v>
      </c>
      <c r="H213" s="400" t="s">
        <v>47</v>
      </c>
      <c r="I213" s="424" t="s">
        <v>47</v>
      </c>
      <c r="J213" s="323"/>
      <c r="K213" s="324">
        <v>1</v>
      </c>
      <c r="L213" s="324">
        <v>0</v>
      </c>
      <c r="M213" s="549" t="str">
        <f>VLOOKUP(A213,'Feature Raw Data'!$A$3:$E$3922,5,FALSE)</f>
        <v>New</v>
      </c>
      <c r="N213" s="440">
        <v>1</v>
      </c>
      <c r="O213" s="441"/>
      <c r="P213" s="439">
        <f t="shared" si="6"/>
        <v>1</v>
      </c>
      <c r="Q213" s="424" t="s">
        <v>47</v>
      </c>
      <c r="R213" s="324">
        <v>0</v>
      </c>
      <c r="S213" s="467">
        <f t="shared" si="11"/>
        <v>0</v>
      </c>
      <c r="T213" s="458"/>
      <c r="U213" s="458"/>
      <c r="V213" s="458"/>
      <c r="W213" s="458"/>
      <c r="X213" s="468">
        <f t="shared" si="9"/>
        <v>1</v>
      </c>
      <c r="Y213" s="425" t="s">
        <v>506</v>
      </c>
      <c r="Z213" s="457">
        <f t="shared" si="12"/>
        <v>0</v>
      </c>
      <c r="AA213" s="458"/>
      <c r="AB213" s="458"/>
      <c r="AC213" s="458"/>
      <c r="AD213" s="458"/>
      <c r="AE213" s="456">
        <f t="shared" si="10"/>
        <v>1</v>
      </c>
      <c r="AF213" s="323"/>
      <c r="AG213" s="426" t="s">
        <v>47</v>
      </c>
      <c r="AH213" s="325"/>
    </row>
    <row r="214" spans="1:34" hidden="1" x14ac:dyDescent="0.25">
      <c r="A214" s="553">
        <v>12.5</v>
      </c>
      <c r="B214" s="323" t="str">
        <f>VLOOKUP(A214,'Feature Raw Data'!$A$3:$B$3922,2,FALSE)</f>
        <v>2ch_cant_saturate_pcie_rdBW</v>
      </c>
      <c r="C214" s="323" t="s">
        <v>334</v>
      </c>
      <c r="D214" s="324" t="str">
        <f>VLOOKUP(A214,'Feature Raw Data'!$A$3:$F$3922,6,FALSE)</f>
        <v>CMM</v>
      </c>
      <c r="E214" s="323"/>
      <c r="F214" s="323"/>
      <c r="G214" s="243" t="str">
        <f>VLOOKUP(A214,'Feature Summary'!$A$7:$C$4170,3,FALSE)</f>
        <v>P2</v>
      </c>
      <c r="H214" s="400" t="s">
        <v>47</v>
      </c>
      <c r="I214" s="424" t="s">
        <v>47</v>
      </c>
      <c r="J214" s="323"/>
      <c r="K214" s="324">
        <v>1</v>
      </c>
      <c r="L214" s="324">
        <v>0</v>
      </c>
      <c r="M214" s="549" t="str">
        <f>VLOOKUP(A214,'Feature Raw Data'!$A$3:$E$3922,5,FALSE)</f>
        <v>New</v>
      </c>
      <c r="N214" s="440">
        <v>1</v>
      </c>
      <c r="O214" s="441"/>
      <c r="P214" s="439">
        <f t="shared" si="6"/>
        <v>1</v>
      </c>
      <c r="Q214" s="424" t="s">
        <v>47</v>
      </c>
      <c r="R214" s="324">
        <v>0</v>
      </c>
      <c r="S214" s="467">
        <f t="shared" si="11"/>
        <v>0</v>
      </c>
      <c r="T214" s="458"/>
      <c r="U214" s="458"/>
      <c r="V214" s="458"/>
      <c r="W214" s="458"/>
      <c r="X214" s="468">
        <f t="shared" si="9"/>
        <v>1</v>
      </c>
      <c r="Y214" s="551" t="s">
        <v>499</v>
      </c>
      <c r="Z214" s="457">
        <f t="shared" si="12"/>
        <v>0</v>
      </c>
      <c r="AA214" s="458"/>
      <c r="AB214" s="458"/>
      <c r="AC214" s="458"/>
      <c r="AD214" s="458"/>
      <c r="AE214" s="456">
        <f t="shared" si="10"/>
        <v>1</v>
      </c>
      <c r="AF214" s="323"/>
      <c r="AG214" s="426" t="s">
        <v>47</v>
      </c>
      <c r="AH214" s="325"/>
    </row>
    <row r="215" spans="1:34" x14ac:dyDescent="0.25">
      <c r="A215" s="561"/>
      <c r="B215" s="353"/>
      <c r="C215" s="353"/>
      <c r="D215" s="354"/>
      <c r="E215" s="353"/>
      <c r="F215" s="353"/>
      <c r="G215" s="354"/>
      <c r="H215" s="401"/>
      <c r="I215" s="544"/>
      <c r="J215" s="353"/>
      <c r="K215" s="353"/>
      <c r="L215" s="355"/>
      <c r="M215" s="356"/>
      <c r="N215" s="443"/>
      <c r="O215" s="444"/>
      <c r="P215" s="442"/>
      <c r="Q215" s="361"/>
      <c r="R215" s="362"/>
      <c r="S215" s="469"/>
      <c r="T215" s="470"/>
      <c r="U215" s="470"/>
      <c r="V215" s="470"/>
      <c r="W215" s="470"/>
      <c r="X215" s="471"/>
      <c r="Y215" s="363"/>
      <c r="Z215" s="459"/>
      <c r="AA215" s="460"/>
      <c r="AB215" s="460"/>
      <c r="AC215" s="460"/>
      <c r="AD215" s="460"/>
      <c r="AE215" s="461"/>
      <c r="AF215" s="367"/>
      <c r="AG215" s="367"/>
      <c r="AH215" s="371"/>
    </row>
    <row r="216" spans="1:34" x14ac:dyDescent="0.25">
      <c r="A216" s="561"/>
      <c r="B216" s="353"/>
      <c r="C216" s="353"/>
      <c r="D216" s="354"/>
      <c r="E216" s="353"/>
      <c r="F216" s="353"/>
      <c r="G216" s="354"/>
      <c r="H216" s="401"/>
      <c r="I216" s="544"/>
      <c r="J216" s="353"/>
      <c r="K216" s="353"/>
      <c r="L216" s="355"/>
      <c r="M216" s="356"/>
      <c r="N216" s="443"/>
      <c r="O216" s="444"/>
      <c r="P216" s="442"/>
      <c r="Q216" s="361"/>
      <c r="R216" s="362"/>
      <c r="S216" s="469"/>
      <c r="T216" s="470"/>
      <c r="U216" s="470"/>
      <c r="V216" s="470"/>
      <c r="W216" s="470"/>
      <c r="X216" s="471"/>
      <c r="Y216" s="363"/>
      <c r="Z216" s="459"/>
      <c r="AA216" s="460"/>
      <c r="AB216" s="460"/>
      <c r="AC216" s="460"/>
      <c r="AD216" s="460"/>
      <c r="AE216" s="461"/>
      <c r="AF216" s="367"/>
      <c r="AG216" s="367"/>
      <c r="AH216" s="371"/>
    </row>
    <row r="217" spans="1:34" ht="15.75" thickBot="1" x14ac:dyDescent="0.3">
      <c r="A217" s="562"/>
      <c r="B217" s="357"/>
      <c r="C217" s="357"/>
      <c r="D217" s="358"/>
      <c r="E217" s="357"/>
      <c r="F217" s="357"/>
      <c r="G217" s="358"/>
      <c r="H217" s="402"/>
      <c r="I217" s="544"/>
      <c r="J217" s="357"/>
      <c r="K217" s="357"/>
      <c r="L217" s="359"/>
      <c r="M217" s="360"/>
      <c r="N217" s="445"/>
      <c r="O217" s="446"/>
      <c r="P217" s="447"/>
      <c r="Q217" s="364"/>
      <c r="R217" s="365"/>
      <c r="S217" s="472"/>
      <c r="T217" s="473"/>
      <c r="U217" s="473"/>
      <c r="V217" s="473"/>
      <c r="W217" s="473"/>
      <c r="X217" s="474"/>
      <c r="Y217" s="366"/>
      <c r="Z217" s="462"/>
      <c r="AA217" s="463"/>
      <c r="AB217" s="463"/>
      <c r="AC217" s="463"/>
      <c r="AD217" s="463"/>
      <c r="AE217" s="464"/>
      <c r="AF217" s="368"/>
      <c r="AG217" s="368"/>
      <c r="AH217" s="372"/>
    </row>
    <row r="218" spans="1:34" ht="15" customHeight="1" x14ac:dyDescent="0.25">
      <c r="A218" s="563" t="s">
        <v>509</v>
      </c>
      <c r="B218" s="554"/>
      <c r="C218" s="554"/>
      <c r="D218" s="554"/>
      <c r="E218" s="554"/>
      <c r="F218" s="554"/>
      <c r="G218" s="554"/>
      <c r="H218" s="554"/>
      <c r="I218" s="554"/>
      <c r="J218" s="554"/>
      <c r="K218" s="554"/>
      <c r="L218" s="554"/>
      <c r="M218" s="554"/>
      <c r="N218" s="554"/>
      <c r="O218" s="554"/>
      <c r="P218" s="554"/>
      <c r="Q218" s="554"/>
      <c r="R218" s="554"/>
      <c r="S218" s="554"/>
      <c r="T218" s="554"/>
      <c r="U218" s="554"/>
      <c r="V218" s="554"/>
      <c r="W218" s="554"/>
      <c r="X218" s="554"/>
      <c r="Y218" s="554"/>
      <c r="Z218" s="554"/>
      <c r="AA218" s="554"/>
      <c r="AB218" s="554"/>
      <c r="AC218" s="554"/>
      <c r="AD218" s="554"/>
      <c r="AE218" s="554"/>
      <c r="AF218" s="554"/>
      <c r="AG218" s="554"/>
      <c r="AH218" s="555"/>
    </row>
    <row r="219" spans="1:34" ht="15.75" customHeight="1" thickBot="1" x14ac:dyDescent="0.3">
      <c r="A219" s="564"/>
      <c r="B219" s="556"/>
      <c r="C219" s="556"/>
      <c r="D219" s="556"/>
      <c r="E219" s="556"/>
      <c r="F219" s="556"/>
      <c r="G219" s="556"/>
      <c r="H219" s="556"/>
      <c r="I219" s="556"/>
      <c r="J219" s="556"/>
      <c r="K219" s="556"/>
      <c r="L219" s="556"/>
      <c r="M219" s="556"/>
      <c r="N219" s="556"/>
      <c r="O219" s="556"/>
      <c r="P219" s="556"/>
      <c r="Q219" s="556"/>
      <c r="R219" s="556"/>
      <c r="S219" s="556"/>
      <c r="T219" s="556"/>
      <c r="U219" s="556"/>
      <c r="V219" s="556"/>
      <c r="W219" s="556"/>
      <c r="X219" s="556"/>
      <c r="Y219" s="556"/>
      <c r="Z219" s="556"/>
      <c r="AA219" s="556"/>
      <c r="AB219" s="556"/>
      <c r="AC219" s="556"/>
      <c r="AD219" s="556"/>
      <c r="AE219" s="556"/>
      <c r="AF219" s="556"/>
      <c r="AG219" s="556"/>
      <c r="AH219" s="557"/>
    </row>
    <row r="220" spans="1:34" ht="19.5" thickBot="1" x14ac:dyDescent="0.3">
      <c r="A220" s="624" t="s">
        <v>302</v>
      </c>
      <c r="B220" s="625"/>
      <c r="C220" s="625"/>
      <c r="D220" s="625"/>
      <c r="E220" s="625"/>
      <c r="F220" s="625"/>
      <c r="G220" s="625"/>
      <c r="H220" s="625"/>
      <c r="I220" s="625"/>
      <c r="J220" s="626"/>
      <c r="K220" s="384">
        <f>SUM(K6:K217)</f>
        <v>210</v>
      </c>
      <c r="L220" s="384">
        <f>SUM(L6:L217)</f>
        <v>724</v>
      </c>
      <c r="M220" s="385"/>
      <c r="N220" s="448">
        <f>SUMPRODUCT(K6:K217,N6:N217)/K220</f>
        <v>1</v>
      </c>
      <c r="O220" s="449">
        <f>SUM(O6:O217)</f>
        <v>716.09999999999991</v>
      </c>
      <c r="P220" s="450">
        <f>SUMPRODUCT(K6:K217,P6:P217)/K220</f>
        <v>0.96642857142857153</v>
      </c>
      <c r="Q220" s="386"/>
      <c r="R220" s="387">
        <f>SUM(R6:R217)</f>
        <v>528</v>
      </c>
      <c r="S220" s="451">
        <f>SUM(S6:S217)</f>
        <v>445</v>
      </c>
      <c r="T220" s="451">
        <f>SUM(T6:T217)</f>
        <v>433</v>
      </c>
      <c r="U220" s="387">
        <f t="shared" ref="U220:W220" si="13">SUM(U6:U217)</f>
        <v>0</v>
      </c>
      <c r="V220" s="387">
        <f t="shared" si="13"/>
        <v>12</v>
      </c>
      <c r="W220" s="387">
        <f t="shared" si="13"/>
        <v>0</v>
      </c>
      <c r="X220" s="452">
        <f>IF((R220=1),0,((T220+U220)/R220*100%))</f>
        <v>0.82007575757575757</v>
      </c>
      <c r="Y220" s="388"/>
      <c r="Z220" s="453">
        <f>SUM(Z6:Z217)</f>
        <v>291</v>
      </c>
      <c r="AA220" s="454">
        <f>SUM(AA6:AA217)</f>
        <v>289</v>
      </c>
      <c r="AB220" s="454">
        <f>SUM(AB6:AB217)</f>
        <v>1</v>
      </c>
      <c r="AC220" s="454">
        <f>SUM(AC6:AC217)</f>
        <v>1</v>
      </c>
      <c r="AD220" s="454">
        <f>SUM(AD6:AD217)</f>
        <v>0</v>
      </c>
      <c r="AE220" s="455">
        <f>IF((L220=0),1,((AA220+AB220)/L220*100%))</f>
        <v>0.40055248618784528</v>
      </c>
      <c r="AF220" s="389"/>
      <c r="AG220" s="389"/>
      <c r="AH220" s="390"/>
    </row>
    <row r="222" spans="1:34" x14ac:dyDescent="0.25">
      <c r="L222" s="170" t="s">
        <v>510</v>
      </c>
    </row>
  </sheetData>
  <sheetProtection insertColumns="0" insertRows="0" deleteRows="0" sort="0"/>
  <autoFilter ref="A5:AH220" xr:uid="{00000000-0009-0000-0000-000002000000}">
    <filterColumn colId="11">
      <filters blank="1">
        <filter val="1"/>
        <filter val="10"/>
        <filter val="108"/>
        <filter val="11"/>
        <filter val="12"/>
        <filter val="14"/>
        <filter val="15"/>
        <filter val="18"/>
        <filter val="2"/>
        <filter val="20"/>
        <filter val="22"/>
        <filter val="23"/>
        <filter val="3"/>
        <filter val="4"/>
        <filter val="5"/>
        <filter val="54"/>
        <filter val="6"/>
        <filter val="62"/>
        <filter val="64"/>
        <filter val="7"/>
        <filter val="724"/>
        <filter val="8"/>
      </filters>
    </filterColumn>
  </autoFilter>
  <mergeCells count="8">
    <mergeCell ref="A1:AH1"/>
    <mergeCell ref="A3:AH3"/>
    <mergeCell ref="A2:J2"/>
    <mergeCell ref="A220:J220"/>
    <mergeCell ref="A4:M4"/>
    <mergeCell ref="N4:P4"/>
    <mergeCell ref="Z4:AH4"/>
    <mergeCell ref="Q4:Y4"/>
  </mergeCells>
  <phoneticPr fontId="30" type="noConversion"/>
  <pageMargins left="0.7" right="0.7" top="0.75" bottom="0.75" header="0.3" footer="0.3"/>
  <pageSetup orientation="portrait" r:id="rId1"/>
  <headerFooter>
    <oddHeader>&amp;L&amp;"Arial"&amp;10&amp;K0000FF[AMD Official Use Only]&amp;1#</oddHeader>
  </headerFooter>
  <extLst>
    <ext xmlns:x14="http://schemas.microsoft.com/office/spreadsheetml/2009/9/main" uri="{CCE6A557-97BC-4b89-ADB6-D9C93CAAB3DF}">
      <x14:dataValidations xmlns:xm="http://schemas.microsoft.com/office/excel/2006/main" count="4">
        <x14:dataValidation type="list" allowBlank="1" showInputMessage="1" showErrorMessage="1" xr:uid="{F3EA239A-476E-4590-924A-7BA0D177C467}">
          <x14:formula1>
            <xm:f>'List Options'!$E$1:$E$6</xm:f>
          </x14:formula1>
          <xm:sqref>Q215:Q217</xm:sqref>
        </x14:dataValidation>
        <x14:dataValidation type="list" allowBlank="1" showInputMessage="1" showErrorMessage="1" xr:uid="{237AC15D-702E-46B4-89E7-DAB1EF5DAEB1}">
          <x14:formula1>
            <xm:f>'List Options'!$E$1:$E$7</xm:f>
          </x14:formula1>
          <xm:sqref>Q6:Q214</xm:sqref>
        </x14:dataValidation>
        <x14:dataValidation type="list" allowBlank="1" showInputMessage="1" showErrorMessage="1" xr:uid="{5513F172-4253-4807-A8CE-34D720193895}">
          <x14:formula1>
            <xm:f>'List Options'!$G$1:$G$3</xm:f>
          </x14:formula1>
          <xm:sqref>M6:M217</xm:sqref>
        </x14:dataValidation>
        <x14:dataValidation type="list" allowBlank="1" showInputMessage="1" showErrorMessage="1" xr:uid="{8B92A7F6-7ABF-446A-A0A1-23D59ABEAA7C}">
          <x14:formula1>
            <xm:f>'List Options'!$K$1:$K$6</xm:f>
          </x14:formula1>
          <xm:sqref>I6:I217</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2E9859-7EBE-4638-809A-217D1E466CE5}">
  <dimension ref="A1:V50"/>
  <sheetViews>
    <sheetView zoomScaleNormal="100" workbookViewId="0">
      <pane xSplit="1" ySplit="3" topLeftCell="B32" activePane="bottomRight" state="frozen"/>
      <selection pane="topRight" activeCell="B1" sqref="B1"/>
      <selection pane="bottomLeft" activeCell="A4" sqref="A4"/>
      <selection pane="bottomRight" activeCell="B37" sqref="B37"/>
    </sheetView>
  </sheetViews>
  <sheetFormatPr defaultColWidth="8.5703125" defaultRowHeight="15" x14ac:dyDescent="0.25"/>
  <cols>
    <col min="1" max="1" width="27.5703125" customWidth="1"/>
    <col min="2" max="2" width="15.5703125" bestFit="1" customWidth="1"/>
    <col min="3" max="3" width="27.5703125" bestFit="1" customWidth="1"/>
    <col min="4" max="4" width="6" bestFit="1" customWidth="1"/>
    <col min="5" max="5" width="14.42578125" bestFit="1" customWidth="1"/>
    <col min="6" max="6" width="15.42578125" bestFit="1" customWidth="1"/>
    <col min="7" max="8" width="9.42578125" customWidth="1"/>
    <col min="9" max="9" width="9.42578125" hidden="1" customWidth="1"/>
    <col min="10" max="10" width="9.42578125" customWidth="1"/>
    <col min="11" max="11" width="9.42578125" hidden="1" customWidth="1"/>
    <col min="12" max="14" width="11.42578125" customWidth="1"/>
    <col min="15" max="15" width="9.42578125" customWidth="1"/>
    <col min="20" max="22" width="11.42578125" bestFit="1" customWidth="1"/>
  </cols>
  <sheetData>
    <row r="1" spans="1:22" ht="39" customHeight="1" thickBot="1" x14ac:dyDescent="0.3">
      <c r="A1" s="640" t="s">
        <v>511</v>
      </c>
      <c r="B1" s="641"/>
      <c r="C1" s="641"/>
      <c r="D1" s="641"/>
      <c r="E1" s="641"/>
      <c r="F1" s="641"/>
      <c r="G1" s="641"/>
      <c r="H1" s="641"/>
      <c r="I1" s="641"/>
      <c r="J1" s="641"/>
      <c r="K1" s="641"/>
      <c r="L1" s="641"/>
      <c r="M1" s="641"/>
      <c r="N1" s="641"/>
      <c r="O1" s="641"/>
      <c r="P1" s="641"/>
      <c r="Q1" s="641"/>
      <c r="R1" s="641"/>
      <c r="S1" s="641"/>
      <c r="T1" s="641"/>
      <c r="U1" s="641"/>
      <c r="V1" s="642"/>
    </row>
    <row r="2" spans="1:22" ht="15.75" thickBot="1" x14ac:dyDescent="0.3">
      <c r="A2" s="218" t="s">
        <v>512</v>
      </c>
      <c r="B2" s="643" t="s">
        <v>166</v>
      </c>
      <c r="C2" s="643"/>
      <c r="D2" s="643"/>
      <c r="E2" s="643"/>
      <c r="F2" s="643"/>
      <c r="G2" s="644" t="s">
        <v>177</v>
      </c>
      <c r="H2" s="645"/>
      <c r="I2" s="645"/>
      <c r="J2" s="645"/>
      <c r="K2" s="645"/>
      <c r="L2" s="645"/>
      <c r="M2" s="645"/>
      <c r="N2" s="646"/>
      <c r="O2" s="647" t="s">
        <v>144</v>
      </c>
      <c r="P2" s="648"/>
      <c r="Q2" s="648"/>
      <c r="R2" s="648"/>
      <c r="S2" s="648"/>
      <c r="T2" s="648"/>
      <c r="U2" s="648"/>
      <c r="V2" s="649"/>
    </row>
    <row r="3" spans="1:22" s="251" customFormat="1" ht="30.75" thickBot="1" x14ac:dyDescent="0.3">
      <c r="A3" s="255" t="s">
        <v>88</v>
      </c>
      <c r="B3" s="312" t="s">
        <v>167</v>
      </c>
      <c r="C3" s="313" t="s">
        <v>128</v>
      </c>
      <c r="D3" s="314" t="s">
        <v>105</v>
      </c>
      <c r="E3" s="314" t="s">
        <v>173</v>
      </c>
      <c r="F3" s="315" t="s">
        <v>175</v>
      </c>
      <c r="G3" s="316" t="s">
        <v>132</v>
      </c>
      <c r="H3" s="317" t="s">
        <v>30</v>
      </c>
      <c r="I3" s="317" t="s">
        <v>135</v>
      </c>
      <c r="J3" s="317" t="s">
        <v>36</v>
      </c>
      <c r="K3" s="317" t="s">
        <v>138</v>
      </c>
      <c r="L3" s="317" t="s">
        <v>184</v>
      </c>
      <c r="M3" s="317" t="s">
        <v>140</v>
      </c>
      <c r="N3" s="318" t="s">
        <v>187</v>
      </c>
      <c r="O3" s="319" t="s">
        <v>132</v>
      </c>
      <c r="P3" s="320" t="s">
        <v>30</v>
      </c>
      <c r="Q3" s="320" t="s">
        <v>135</v>
      </c>
      <c r="R3" s="320" t="s">
        <v>36</v>
      </c>
      <c r="S3" s="320" t="s">
        <v>138</v>
      </c>
      <c r="T3" s="320" t="s">
        <v>184</v>
      </c>
      <c r="U3" s="320" t="s">
        <v>140</v>
      </c>
      <c r="V3" s="321" t="s">
        <v>187</v>
      </c>
    </row>
    <row r="4" spans="1:22" x14ac:dyDescent="0.25">
      <c r="A4" s="334" t="s">
        <v>513</v>
      </c>
      <c r="B4" s="252">
        <f>SUMIFS('Diags Raw Data'!$L$6:$L$4834,'Diags Raw Data'!$D$6:$D$4834,$A4)</f>
        <v>88</v>
      </c>
      <c r="C4" s="242">
        <f>SUMIFS('Diags Raw Data'!$R$6:$R$4834,'Diags Raw Data'!$D$6:$D$4834,$A4)</f>
        <v>54</v>
      </c>
      <c r="D4" s="242">
        <f>SUMIFS('Diags Raw Data'!$K$6:$K$4834,'Diags Raw Data'!$D$6:$D$4834,$A4)</f>
        <v>38</v>
      </c>
      <c r="E4" s="242">
        <f>SUMIFS('Diags Raw Data'!$O$6:$O$4834,'Diags Raw Data'!$D$6:$D$4834,$A4)</f>
        <v>88</v>
      </c>
      <c r="F4" s="248">
        <f>IF(NOT($B4=0), E4/$B4, "---")</f>
        <v>1</v>
      </c>
      <c r="G4" s="220">
        <f>SUMIFS('Diags Raw Data'!$S$6:$S$4834,'Diags Raw Data'!$D$6:$D$4834,$A4)</f>
        <v>41</v>
      </c>
      <c r="H4" s="221">
        <f>SUMIFS('Diags Raw Data'!$T$6:$T$4834,'Diags Raw Data'!$D$6:$D$4834,$A4)</f>
        <v>41</v>
      </c>
      <c r="I4" s="223">
        <f>SUMIFS('Diags Raw Data'!$U$6:$U$4834,'Diags Raw Data'!$D$6:$D$4834,$A4)</f>
        <v>0</v>
      </c>
      <c r="J4" s="221">
        <f>SUMIFS('Diags Raw Data'!$V$6:$V$4834,'Diags Raw Data'!$D$6:$D$4834,$A4)</f>
        <v>0</v>
      </c>
      <c r="K4" s="223">
        <f>SUMIFS('Diags Raw Data'!$W$6:$W$4834,'Diags Raw Data'!$D$6:$D$4834,$A4)</f>
        <v>0</v>
      </c>
      <c r="L4" s="222">
        <f>IF(NOT($C4=0), G4/$C4, "---")</f>
        <v>0.7592592592592593</v>
      </c>
      <c r="M4" s="224">
        <f>IF(NOT($G4=0), (H4+I4)/$G4, "---")</f>
        <v>1</v>
      </c>
      <c r="N4" s="226">
        <f>IF(NOT($C4=0), (H4+I4)/$C4, "---")</f>
        <v>0.7592592592592593</v>
      </c>
      <c r="O4" s="213">
        <f>SUMIFS('Diags Raw Data'!$Z$6:$Z$4834,'Diags Raw Data'!$D$6:$D$4834,$A4)</f>
        <v>8</v>
      </c>
      <c r="P4" s="210">
        <f>SUMIFS('Diags Raw Data'!$AA$6:$AA$4834,'Diags Raw Data'!$D$6:$D$4834,$A4)</f>
        <v>8</v>
      </c>
      <c r="Q4" s="212">
        <f>SUMIFS('Diags Raw Data'!$AB$6:$AB$4834,'Diags Raw Data'!$D$6:$D$4834,$A4)</f>
        <v>0</v>
      </c>
      <c r="R4" s="210">
        <f>SUMIFS('Diags Raw Data'!$AC$6:$AC$4834,'Diags Raw Data'!$D$6:$D$4834,$A4)</f>
        <v>0</v>
      </c>
      <c r="S4" s="212">
        <f>SUMIFS('Diags Raw Data'!$AD$6:$AD$4834,'Diags Raw Data'!$D$6:$D$4834,$A4)</f>
        <v>0</v>
      </c>
      <c r="T4" s="211">
        <f>IF(NOT($B4=0), O4/$B4, "---")</f>
        <v>9.0909090909090912E-2</v>
      </c>
      <c r="U4" s="225">
        <f>IF(NOT($O4=0), (P4+Q4)/$O4, "---")</f>
        <v>1</v>
      </c>
      <c r="V4" s="241">
        <f>IF(NOT($B4=0), (P4+Q4)/$B4, "---")</f>
        <v>9.0909090909090912E-2</v>
      </c>
    </row>
    <row r="5" spans="1:22" x14ac:dyDescent="0.25">
      <c r="A5" s="334" t="s">
        <v>514</v>
      </c>
      <c r="B5" s="253">
        <f>SUMIFS('Diags Raw Data'!$L$6:$L$4834,'Diags Raw Data'!$D$6:$D$4834,$A5)</f>
        <v>33</v>
      </c>
      <c r="C5" s="243">
        <f>SUMIFS('Diags Raw Data'!$R$6:$R$4834,'Diags Raw Data'!$D$6:$D$4834,$A5)</f>
        <v>31</v>
      </c>
      <c r="D5" s="243">
        <f>SUMIFS('Diags Raw Data'!$K$6:$K$4834,'Diags Raw Data'!$D$6:$D$4834,$A5)</f>
        <v>43</v>
      </c>
      <c r="E5" s="243">
        <f>SUMIFS('Diags Raw Data'!$O$6:$O$4834,'Diags Raw Data'!$D$6:$D$4834,$A5)</f>
        <v>30</v>
      </c>
      <c r="F5" s="249">
        <f t="shared" ref="F5:F12" si="0">IF(NOT($B5=0), E5/$B5, "---")</f>
        <v>0.90909090909090906</v>
      </c>
      <c r="G5" s="231">
        <f>SUMIFS('Diags Raw Data'!$S$6:$S$4834,'Diags Raw Data'!$D$6:$D$4834,$A5)</f>
        <v>18</v>
      </c>
      <c r="H5" s="227">
        <f>SUMIFS('Diags Raw Data'!$T$6:$T$4834,'Diags Raw Data'!$D$6:$D$4834,$A5)</f>
        <v>14</v>
      </c>
      <c r="I5" s="228">
        <f>SUMIFS('Diags Raw Data'!$U$6:$U$4834,'Diags Raw Data'!$D$6:$D$4834,$A5)</f>
        <v>0</v>
      </c>
      <c r="J5" s="227">
        <f>SUMIFS('Diags Raw Data'!$V$6:$V$4834,'Diags Raw Data'!$D$6:$D$4834,$A5)</f>
        <v>4</v>
      </c>
      <c r="K5" s="228">
        <f>SUMIFS('Diags Raw Data'!$W$6:$W$4834,'Diags Raw Data'!$D$6:$D$4834,$A5)</f>
        <v>0</v>
      </c>
      <c r="L5" s="244">
        <f t="shared" ref="L5:L13" si="1">IF(NOT($C5=0), G5/$C5, "---")</f>
        <v>0.58064516129032262</v>
      </c>
      <c r="M5" s="229">
        <f t="shared" ref="M5:M13" si="2">IF(NOT($G5=0), (H5+I5)/$G5, "---")</f>
        <v>0.77777777777777779</v>
      </c>
      <c r="N5" s="238">
        <f t="shared" ref="N5:N12" si="3">IF(NOT($C5=0), (H5+I5)/$C5, "---")</f>
        <v>0.45161290322580644</v>
      </c>
      <c r="O5" s="214">
        <f>SUMIFS('Diags Raw Data'!$Z$6:$Z$4834,'Diags Raw Data'!$D$6:$D$4834,$A5)</f>
        <v>14</v>
      </c>
      <c r="P5" s="204">
        <f>SUMIFS('Diags Raw Data'!$AA$6:$AA$4834,'Diags Raw Data'!$D$6:$D$4834,$A5)</f>
        <v>12</v>
      </c>
      <c r="Q5" s="206">
        <f>SUMIFS('Diags Raw Data'!$AB$6:$AB$4834,'Diags Raw Data'!$D$6:$D$4834,$A5)</f>
        <v>1</v>
      </c>
      <c r="R5" s="204">
        <f>SUMIFS('Diags Raw Data'!$AC$6:$AC$4834,'Diags Raw Data'!$D$6:$D$4834,$A5)</f>
        <v>1</v>
      </c>
      <c r="S5" s="206">
        <f>SUMIFS('Diags Raw Data'!$AD$6:$AD$4834,'Diags Raw Data'!$D$6:$D$4834,$A5)</f>
        <v>0</v>
      </c>
      <c r="T5" s="205">
        <f t="shared" ref="T5:T13" si="4">IF(NOT($B5=0), O5/$B5, "---")</f>
        <v>0.42424242424242425</v>
      </c>
      <c r="U5" s="230">
        <f t="shared" ref="U5:U8" si="5">IF(NOT($O5=0), (P5+Q5)/$O5, "---")</f>
        <v>0.9285714285714286</v>
      </c>
      <c r="V5" s="232">
        <f t="shared" ref="V5:V13" si="6">IF(NOT($B5=0), (P5+Q5)/$B5, "---")</f>
        <v>0.39393939393939392</v>
      </c>
    </row>
    <row r="6" spans="1:22" x14ac:dyDescent="0.25">
      <c r="A6" s="334" t="s">
        <v>515</v>
      </c>
      <c r="B6" s="253">
        <f>SUMIFS('Diags Raw Data'!$L$6:$L$4834,'Diags Raw Data'!$D$6:$D$4834,$A6)</f>
        <v>9</v>
      </c>
      <c r="C6" s="243">
        <f>SUMIFS('Diags Raw Data'!$R$6:$R$4834,'Diags Raw Data'!$D$6:$D$4834,$A6)</f>
        <v>9</v>
      </c>
      <c r="D6" s="243">
        <f>SUMIFS('Diags Raw Data'!$K$6:$K$4834,'Diags Raw Data'!$D$6:$D$4834,$A6)</f>
        <v>9</v>
      </c>
      <c r="E6" s="243">
        <f>SUMIFS('Diags Raw Data'!$O$6:$O$4834,'Diags Raw Data'!$D$6:$D$4834,$A6)</f>
        <v>8.5</v>
      </c>
      <c r="F6" s="249">
        <f t="shared" si="0"/>
        <v>0.94444444444444442</v>
      </c>
      <c r="G6" s="231">
        <f>SUMIFS('Diags Raw Data'!$S$6:$S$4834,'Diags Raw Data'!$D$6:$D$4834,$A6)</f>
        <v>8</v>
      </c>
      <c r="H6" s="227">
        <f>SUMIFS('Diags Raw Data'!$T$6:$T$4834,'Diags Raw Data'!$D$6:$D$4834,$A6)</f>
        <v>7</v>
      </c>
      <c r="I6" s="228">
        <f>SUMIFS('Diags Raw Data'!$U$6:$U$4834,'Diags Raw Data'!$D$6:$D$4834,$A6)</f>
        <v>0</v>
      </c>
      <c r="J6" s="227">
        <f>SUMIFS('Diags Raw Data'!$V$6:$V$4834,'Diags Raw Data'!$D$6:$D$4834,$A6)</f>
        <v>1</v>
      </c>
      <c r="K6" s="228">
        <f>SUMIFS('Diags Raw Data'!$W$6:$W$4834,'Diags Raw Data'!$D$6:$D$4834,$A6)</f>
        <v>0</v>
      </c>
      <c r="L6" s="244">
        <f t="shared" si="1"/>
        <v>0.88888888888888884</v>
      </c>
      <c r="M6" s="229">
        <f t="shared" si="2"/>
        <v>0.875</v>
      </c>
      <c r="N6" s="238">
        <f t="shared" si="3"/>
        <v>0.77777777777777779</v>
      </c>
      <c r="O6" s="214">
        <f>SUMIFS('Diags Raw Data'!$Z$6:$Z$4834,'Diags Raw Data'!$D$6:$D$4834,$A6)</f>
        <v>0</v>
      </c>
      <c r="P6" s="204">
        <f>SUMIFS('Diags Raw Data'!$AA$6:$AA$4834,'Diags Raw Data'!$D$6:$D$4834,$A6)</f>
        <v>0</v>
      </c>
      <c r="Q6" s="206">
        <f>SUMIFS('Diags Raw Data'!$AB$6:$AB$4834,'Diags Raw Data'!$D$6:$D$4834,$A6)</f>
        <v>0</v>
      </c>
      <c r="R6" s="204">
        <f>SUMIFS('Diags Raw Data'!$AC$6:$AC$4834,'Diags Raw Data'!$D$6:$D$4834,$A6)</f>
        <v>0</v>
      </c>
      <c r="S6" s="206">
        <f>SUMIFS('Diags Raw Data'!$AD$6:$AD$4834,'Diags Raw Data'!$D$6:$D$4834,$A6)</f>
        <v>0</v>
      </c>
      <c r="T6" s="205">
        <f t="shared" si="4"/>
        <v>0</v>
      </c>
      <c r="U6" s="230" t="str">
        <f t="shared" si="5"/>
        <v>---</v>
      </c>
      <c r="V6" s="232">
        <f t="shared" si="6"/>
        <v>0</v>
      </c>
    </row>
    <row r="7" spans="1:22" x14ac:dyDescent="0.25">
      <c r="A7" s="334" t="s">
        <v>516</v>
      </c>
      <c r="B7" s="253">
        <f>SUMIFS('Diags Raw Data'!$L$6:$L$4834,'Diags Raw Data'!$D$6:$D$4834,$A7)</f>
        <v>17</v>
      </c>
      <c r="C7" s="243">
        <f>SUMIFS('Diags Raw Data'!$R$6:$R$4834,'Diags Raw Data'!$D$6:$D$4834,$A7)</f>
        <v>15</v>
      </c>
      <c r="D7" s="243">
        <f>SUMIFS('Diags Raw Data'!$K$6:$K$4834,'Diags Raw Data'!$D$6:$D$4834,$A7)</f>
        <v>10</v>
      </c>
      <c r="E7" s="243">
        <f>SUMIFS('Diags Raw Data'!$O$6:$O$4834,'Diags Raw Data'!$D$6:$D$4834,$A7)</f>
        <v>17</v>
      </c>
      <c r="F7" s="249">
        <f t="shared" si="0"/>
        <v>1</v>
      </c>
      <c r="G7" s="231">
        <f>SUMIFS('Diags Raw Data'!$S$6:$S$4834,'Diags Raw Data'!$D$6:$D$4834,$A7)</f>
        <v>14</v>
      </c>
      <c r="H7" s="227">
        <f>SUMIFS('Diags Raw Data'!$T$6:$T$4834,'Diags Raw Data'!$D$6:$D$4834,$A7)</f>
        <v>12</v>
      </c>
      <c r="I7" s="228">
        <f>SUMIFS('Diags Raw Data'!$U$6:$U$4834,'Diags Raw Data'!$D$6:$D$4834,$A7)</f>
        <v>0</v>
      </c>
      <c r="J7" s="227">
        <f>SUMIFS('Diags Raw Data'!$V$6:$V$4834,'Diags Raw Data'!$D$6:$D$4834,$A7)</f>
        <v>2</v>
      </c>
      <c r="K7" s="228">
        <f>SUMIFS('Diags Raw Data'!$W$6:$W$4834,'Diags Raw Data'!$D$6:$D$4834,$A7)</f>
        <v>0</v>
      </c>
      <c r="L7" s="244">
        <f t="shared" si="1"/>
        <v>0.93333333333333335</v>
      </c>
      <c r="M7" s="229">
        <f t="shared" si="2"/>
        <v>0.8571428571428571</v>
      </c>
      <c r="N7" s="238">
        <f t="shared" si="3"/>
        <v>0.8</v>
      </c>
      <c r="O7" s="214">
        <f>SUMIFS('Diags Raw Data'!$Z$6:$Z$4834,'Diags Raw Data'!$D$6:$D$4834,$A7)</f>
        <v>5</v>
      </c>
      <c r="P7" s="204">
        <f>SUMIFS('Diags Raw Data'!$AA$6:$AA$4834,'Diags Raw Data'!$D$6:$D$4834,$A7)</f>
        <v>5</v>
      </c>
      <c r="Q7" s="206">
        <f>SUMIFS('Diags Raw Data'!$AB$6:$AB$4834,'Diags Raw Data'!$D$6:$D$4834,$A7)</f>
        <v>0</v>
      </c>
      <c r="R7" s="204">
        <f>SUMIFS('Diags Raw Data'!$AC$6:$AC$4834,'Diags Raw Data'!$D$6:$D$4834,$A7)</f>
        <v>0</v>
      </c>
      <c r="S7" s="206">
        <f>SUMIFS('Diags Raw Data'!$AD$6:$AD$4834,'Diags Raw Data'!$D$6:$D$4834,$A7)</f>
        <v>0</v>
      </c>
      <c r="T7" s="205">
        <f t="shared" si="4"/>
        <v>0.29411764705882354</v>
      </c>
      <c r="U7" s="230">
        <f t="shared" si="5"/>
        <v>1</v>
      </c>
      <c r="V7" s="232">
        <f t="shared" si="6"/>
        <v>0.29411764705882354</v>
      </c>
    </row>
    <row r="8" spans="1:22" x14ac:dyDescent="0.25">
      <c r="A8" s="334" t="s">
        <v>517</v>
      </c>
      <c r="B8" s="253">
        <f>SUMIFS('Diags Raw Data'!$L$6:$L$4834,'Diags Raw Data'!$D$6:$D$4834,$A8)</f>
        <v>1</v>
      </c>
      <c r="C8" s="243">
        <f>SUMIFS('Diags Raw Data'!$R$6:$R$4834,'Diags Raw Data'!$D$6:$D$4834,$A8)</f>
        <v>1</v>
      </c>
      <c r="D8" s="243">
        <f>SUMIFS('Diags Raw Data'!$K$6:$K$4834,'Diags Raw Data'!$D$6:$D$4834,$A8)</f>
        <v>10</v>
      </c>
      <c r="E8" s="243">
        <f>SUMIFS('Diags Raw Data'!$O$6:$O$4834,'Diags Raw Data'!$D$6:$D$4834,$A8)</f>
        <v>1</v>
      </c>
      <c r="F8" s="249">
        <f t="shared" si="0"/>
        <v>1</v>
      </c>
      <c r="G8" s="231">
        <f>SUMIFS('Diags Raw Data'!$S$6:$S$4834,'Diags Raw Data'!$D$6:$D$4834,$A8)</f>
        <v>1</v>
      </c>
      <c r="H8" s="227">
        <f>SUMIFS('Diags Raw Data'!$T$6:$T$4834,'Diags Raw Data'!$D$6:$D$4834,$A8)</f>
        <v>1</v>
      </c>
      <c r="I8" s="228">
        <f>SUMIFS('Diags Raw Data'!$U$6:$U$4834,'Diags Raw Data'!$D$6:$D$4834,$A8)</f>
        <v>0</v>
      </c>
      <c r="J8" s="227">
        <f>SUMIFS('Diags Raw Data'!$V$6:$V$4834,'Diags Raw Data'!$D$6:$D$4834,$A8)</f>
        <v>0</v>
      </c>
      <c r="K8" s="228">
        <f>SUMIFS('Diags Raw Data'!$W$6:$W$4834,'Diags Raw Data'!$D$6:$D$4834,$A8)</f>
        <v>0</v>
      </c>
      <c r="L8" s="244">
        <f t="shared" si="1"/>
        <v>1</v>
      </c>
      <c r="M8" s="229">
        <f t="shared" si="2"/>
        <v>1</v>
      </c>
      <c r="N8" s="238">
        <f t="shared" si="3"/>
        <v>1</v>
      </c>
      <c r="O8" s="214">
        <f>SUMIFS('Diags Raw Data'!$Z$6:$Z$4834,'Diags Raw Data'!$D$6:$D$4834,$A8)</f>
        <v>1</v>
      </c>
      <c r="P8" s="204">
        <f>SUMIFS('Diags Raw Data'!$AA$6:$AA$4834,'Diags Raw Data'!$D$6:$D$4834,$A8)</f>
        <v>1</v>
      </c>
      <c r="Q8" s="206">
        <f>SUMIFS('Diags Raw Data'!$AB$6:$AB$4834,'Diags Raw Data'!$D$6:$D$4834,$A8)</f>
        <v>0</v>
      </c>
      <c r="R8" s="204">
        <f>SUMIFS('Diags Raw Data'!$AC$6:$AC$4834,'Diags Raw Data'!$D$6:$D$4834,$A8)</f>
        <v>0</v>
      </c>
      <c r="S8" s="206">
        <f>SUMIFS('Diags Raw Data'!$AD$6:$AD$4834,'Diags Raw Data'!$D$6:$D$4834,$A8)</f>
        <v>0</v>
      </c>
      <c r="T8" s="205">
        <f t="shared" si="4"/>
        <v>1</v>
      </c>
      <c r="U8" s="230">
        <f t="shared" si="5"/>
        <v>1</v>
      </c>
      <c r="V8" s="232">
        <f t="shared" si="6"/>
        <v>1</v>
      </c>
    </row>
    <row r="9" spans="1:22" x14ac:dyDescent="0.25">
      <c r="A9" s="334" t="s">
        <v>518</v>
      </c>
      <c r="B9" s="253">
        <f>SUMIFS('Diags Raw Data'!$L$6:$L$4834,'Diags Raw Data'!$D$6:$D$4834,$A9)</f>
        <v>78</v>
      </c>
      <c r="C9" s="243">
        <f>SUMIFS('Diags Raw Data'!$R$6:$R$4834,'Diags Raw Data'!$D$6:$D$4834,$A9)</f>
        <v>21</v>
      </c>
      <c r="D9" s="243">
        <f>SUMIFS('Diags Raw Data'!$K$6:$K$4834,'Diags Raw Data'!$D$6:$D$4834,$A9)</f>
        <v>24</v>
      </c>
      <c r="E9" s="243">
        <f>SUMIFS('Diags Raw Data'!$O$6:$O$4834,'Diags Raw Data'!$D$6:$D$4834,$A9)</f>
        <v>75</v>
      </c>
      <c r="F9" s="249">
        <f t="shared" si="0"/>
        <v>0.96153846153846156</v>
      </c>
      <c r="G9" s="231">
        <f>SUMIFS('Diags Raw Data'!$S$6:$S$4834,'Diags Raw Data'!$D$6:$D$4834,$A9)</f>
        <v>8</v>
      </c>
      <c r="H9" s="227">
        <f>SUMIFS('Diags Raw Data'!$T$6:$T$4834,'Diags Raw Data'!$D$6:$D$4834,$A9)</f>
        <v>8</v>
      </c>
      <c r="I9" s="228">
        <f>SUMIFS('Diags Raw Data'!$U$6:$U$4834,'Diags Raw Data'!$D$6:$D$4834,$A9)</f>
        <v>0</v>
      </c>
      <c r="J9" s="227">
        <f>SUMIFS('Diags Raw Data'!$V$6:$V$4834,'Diags Raw Data'!$D$6:$D$4834,$A9)</f>
        <v>0</v>
      </c>
      <c r="K9" s="228">
        <f>SUMIFS('Diags Raw Data'!$W$6:$W$4834,'Diags Raw Data'!$D$6:$D$4834,$A9)</f>
        <v>0</v>
      </c>
      <c r="L9" s="244">
        <f t="shared" si="1"/>
        <v>0.38095238095238093</v>
      </c>
      <c r="M9" s="229">
        <f t="shared" si="2"/>
        <v>1</v>
      </c>
      <c r="N9" s="238">
        <f t="shared" si="3"/>
        <v>0.38095238095238093</v>
      </c>
      <c r="O9" s="214">
        <f>SUMIFS('Diags Raw Data'!$Z$6:$Z$4834,'Diags Raw Data'!$D$6:$D$4834,$A9)</f>
        <v>34</v>
      </c>
      <c r="P9" s="204">
        <f>SUMIFS('Diags Raw Data'!$AA$6:$AA$4834,'Diags Raw Data'!$D$6:$D$4834,$A9)</f>
        <v>34</v>
      </c>
      <c r="Q9" s="206">
        <f>SUMIFS('Diags Raw Data'!$AB$6:$AB$4834,'Diags Raw Data'!$D$6:$D$4834,$A9)</f>
        <v>0</v>
      </c>
      <c r="R9" s="204">
        <f>SUMIFS('Diags Raw Data'!$AC$6:$AC$4834,'Diags Raw Data'!$D$6:$D$4834,$A9)</f>
        <v>0</v>
      </c>
      <c r="S9" s="206">
        <f>SUMIFS('Diags Raw Data'!$AD$6:$AD$4834,'Diags Raw Data'!$D$6:$D$4834,$A9)</f>
        <v>0</v>
      </c>
      <c r="T9" s="205">
        <f t="shared" si="4"/>
        <v>0.4358974358974359</v>
      </c>
      <c r="U9" s="230">
        <f>IF(NOT($O9=0), (P9+Q9)/$O9, "---")</f>
        <v>1</v>
      </c>
      <c r="V9" s="232">
        <f t="shared" si="6"/>
        <v>0.4358974358974359</v>
      </c>
    </row>
    <row r="10" spans="1:22" x14ac:dyDescent="0.25">
      <c r="A10" s="334" t="s">
        <v>519</v>
      </c>
      <c r="B10" s="253">
        <f>SUMIFS('Diags Raw Data'!$L$6:$L$4834,'Diags Raw Data'!$D$6:$D$4834,$A10)</f>
        <v>329</v>
      </c>
      <c r="C10" s="243">
        <f>SUMIFS('Diags Raw Data'!$R$6:$R$4834,'Diags Raw Data'!$D$6:$D$4834,$A10)</f>
        <v>322</v>
      </c>
      <c r="D10" s="243">
        <f>SUMIFS('Diags Raw Data'!$K$6:$K$4834,'Diags Raw Data'!$D$6:$D$4834,$A10)</f>
        <v>42</v>
      </c>
      <c r="E10" s="243">
        <f>SUMIFS('Diags Raw Data'!$O$6:$O$4834,'Diags Raw Data'!$D$6:$D$4834,$A10)</f>
        <v>329</v>
      </c>
      <c r="F10" s="249">
        <f>IF(NOT($B10=0), E10/$B10, "---")</f>
        <v>1</v>
      </c>
      <c r="G10" s="231">
        <f>SUMIFS('Diags Raw Data'!$S$6:$S$4834,'Diags Raw Data'!$D$6:$D$4834,$A10)</f>
        <v>288</v>
      </c>
      <c r="H10" s="227">
        <f>SUMIFS('Diags Raw Data'!$T$6:$T$4834,'Diags Raw Data'!$D$6:$D$4834,$A10)</f>
        <v>285</v>
      </c>
      <c r="I10" s="228">
        <f>SUMIFS('Diags Raw Data'!$U$6:$U$4834,'Diags Raw Data'!$D$6:$D$4834,$A10)</f>
        <v>0</v>
      </c>
      <c r="J10" s="227">
        <f>SUMIFS('Diags Raw Data'!$V$6:$V$4834,'Diags Raw Data'!$D$6:$D$4834,$A10)</f>
        <v>3</v>
      </c>
      <c r="K10" s="228">
        <f>SUMIFS('Diags Raw Data'!$W$6:$W$4834,'Diags Raw Data'!$D$6:$D$4834,$A10)</f>
        <v>0</v>
      </c>
      <c r="L10" s="244">
        <f t="shared" si="1"/>
        <v>0.89440993788819878</v>
      </c>
      <c r="M10" s="229">
        <f t="shared" si="2"/>
        <v>0.98958333333333337</v>
      </c>
      <c r="N10" s="238">
        <f t="shared" si="3"/>
        <v>0.8850931677018633</v>
      </c>
      <c r="O10" s="214">
        <f>SUMIFS('Diags Raw Data'!$Z$6:$Z$4834,'Diags Raw Data'!$D$6:$D$4834,$A10)</f>
        <v>226</v>
      </c>
      <c r="P10" s="204">
        <f>SUMIFS('Diags Raw Data'!$AA$6:$AA$4834,'Diags Raw Data'!$D$6:$D$4834,$A10)</f>
        <v>226</v>
      </c>
      <c r="Q10" s="206">
        <f>SUMIFS('Diags Raw Data'!$AB$6:$AB$4834,'Diags Raw Data'!$D$6:$D$4834,$A10)</f>
        <v>0</v>
      </c>
      <c r="R10" s="204">
        <f>SUMIFS('Diags Raw Data'!$AC$6:$AC$4834,'Diags Raw Data'!$D$6:$D$4834,$A10)</f>
        <v>0</v>
      </c>
      <c r="S10" s="206">
        <f>SUMIFS('Diags Raw Data'!$AD$6:$AD$4834,'Diags Raw Data'!$D$6:$D$4834,$A10)</f>
        <v>0</v>
      </c>
      <c r="T10" s="205">
        <f t="shared" si="4"/>
        <v>0.68693009118541037</v>
      </c>
      <c r="U10" s="230">
        <f t="shared" ref="U10:U13" si="7">IF(NOT($O10=0), (P10+Q10)/$O10, "---")</f>
        <v>1</v>
      </c>
      <c r="V10" s="232">
        <f t="shared" si="6"/>
        <v>0.68693009118541037</v>
      </c>
    </row>
    <row r="11" spans="1:22" x14ac:dyDescent="0.25">
      <c r="A11" s="334" t="s">
        <v>520</v>
      </c>
      <c r="B11" s="253">
        <f>SUMIFS('Diags Raw Data'!$L$6:$L$4834,'Diags Raw Data'!$D$6:$D$4834,$A11)</f>
        <v>22</v>
      </c>
      <c r="C11" s="243">
        <f>SUMIFS('Diags Raw Data'!$R$6:$R$4834,'Diags Raw Data'!$D$6:$D$4834,$A11)</f>
        <v>21</v>
      </c>
      <c r="D11" s="243">
        <f>SUMIFS('Diags Raw Data'!$K$6:$K$4834,'Diags Raw Data'!$D$6:$D$4834,$A11)</f>
        <v>17</v>
      </c>
      <c r="E11" s="243">
        <f>SUMIFS('Diags Raw Data'!$O$6:$O$4834,'Diags Raw Data'!$D$6:$D$4834,$A11)</f>
        <v>21.6</v>
      </c>
      <c r="F11" s="249">
        <f t="shared" si="0"/>
        <v>0.98181818181818192</v>
      </c>
      <c r="G11" s="231">
        <f>SUMIFS('Diags Raw Data'!$S$6:$S$4834,'Diags Raw Data'!$D$6:$D$4834,$A11)</f>
        <v>18</v>
      </c>
      <c r="H11" s="227">
        <f>SUMIFS('Diags Raw Data'!$T$6:$T$4834,'Diags Raw Data'!$D$6:$D$4834,$A11)</f>
        <v>17</v>
      </c>
      <c r="I11" s="228">
        <f>SUMIFS('Diags Raw Data'!$U$6:$U$4834,'Diags Raw Data'!$D$6:$D$4834,$A11)</f>
        <v>0</v>
      </c>
      <c r="J11" s="227">
        <f>SUMIFS('Diags Raw Data'!$V$6:$V$4834,'Diags Raw Data'!$D$6:$D$4834,$A11)</f>
        <v>1</v>
      </c>
      <c r="K11" s="228">
        <f>SUMIFS('Diags Raw Data'!$W$6:$W$4834,'Diags Raw Data'!$D$6:$D$4834,$A11)</f>
        <v>0</v>
      </c>
      <c r="L11" s="244">
        <f t="shared" si="1"/>
        <v>0.8571428571428571</v>
      </c>
      <c r="M11" s="229">
        <f t="shared" si="2"/>
        <v>0.94444444444444442</v>
      </c>
      <c r="N11" s="238">
        <f t="shared" si="3"/>
        <v>0.80952380952380953</v>
      </c>
      <c r="O11" s="214">
        <f>SUMIFS('Diags Raw Data'!$Z$6:$Z$4834,'Diags Raw Data'!$D$6:$D$4834,$A11)</f>
        <v>0</v>
      </c>
      <c r="P11" s="204">
        <f>SUMIFS('Diags Raw Data'!$AA$6:$AA$4834,'Diags Raw Data'!$D$6:$D$4834,$A11)</f>
        <v>0</v>
      </c>
      <c r="Q11" s="206">
        <f>SUMIFS('Diags Raw Data'!$AB$6:$AB$4834,'Diags Raw Data'!$D$6:$D$4834,$A11)</f>
        <v>0</v>
      </c>
      <c r="R11" s="204">
        <f>SUMIFS('Diags Raw Data'!$AC$6:$AC$4834,'Diags Raw Data'!$D$6:$D$4834,$A11)</f>
        <v>0</v>
      </c>
      <c r="S11" s="206">
        <f>SUMIFS('Diags Raw Data'!$AD$6:$AD$4834,'Diags Raw Data'!$D$6:$D$4834,$A11)</f>
        <v>0</v>
      </c>
      <c r="T11" s="205">
        <f t="shared" si="4"/>
        <v>0</v>
      </c>
      <c r="U11" s="230" t="str">
        <f t="shared" si="7"/>
        <v>---</v>
      </c>
      <c r="V11" s="232">
        <f t="shared" si="6"/>
        <v>0</v>
      </c>
    </row>
    <row r="12" spans="1:22" x14ac:dyDescent="0.25">
      <c r="A12" s="334" t="s">
        <v>521</v>
      </c>
      <c r="B12" s="253">
        <f>SUMIFS('Diags Raw Data'!$L$6:$L$4834,'Diags Raw Data'!$D$6:$D$4834,$A12)</f>
        <v>140</v>
      </c>
      <c r="C12" s="243">
        <f>SUMIFS('Diags Raw Data'!$R$6:$R$4834,'Diags Raw Data'!$D$6:$D$4834,$A12)</f>
        <v>48</v>
      </c>
      <c r="D12" s="243">
        <f>SUMIFS('Diags Raw Data'!$K$6:$K$4834,'Diags Raw Data'!$D$6:$D$4834,$A12)</f>
        <v>14</v>
      </c>
      <c r="E12" s="243">
        <f>SUMIFS('Diags Raw Data'!$O$6:$O$4834,'Diags Raw Data'!$D$6:$D$4834,$A12)</f>
        <v>139</v>
      </c>
      <c r="F12" s="249">
        <f t="shared" si="0"/>
        <v>0.99285714285714288</v>
      </c>
      <c r="G12" s="231">
        <f>SUMIFS('Diags Raw Data'!$S$6:$S$4834,'Diags Raw Data'!$D$6:$D$4834,$A12)</f>
        <v>47</v>
      </c>
      <c r="H12" s="227">
        <f>SUMIFS('Diags Raw Data'!$T$6:$T$4834,'Diags Raw Data'!$D$6:$D$4834,$A12)</f>
        <v>46</v>
      </c>
      <c r="I12" s="228">
        <f>SUMIFS('Diags Raw Data'!$U$6:$U$4834,'Diags Raw Data'!$D$6:$D$4834,$A12)</f>
        <v>0</v>
      </c>
      <c r="J12" s="227">
        <f>SUMIFS('Diags Raw Data'!$V$6:$V$4834,'Diags Raw Data'!$D$6:$D$4834,$A12)</f>
        <v>1</v>
      </c>
      <c r="K12" s="228">
        <f>SUMIFS('Diags Raw Data'!$W$6:$W$4834,'Diags Raw Data'!$D$6:$D$4834,$A12)</f>
        <v>0</v>
      </c>
      <c r="L12" s="244">
        <f t="shared" si="1"/>
        <v>0.97916666666666663</v>
      </c>
      <c r="M12" s="229">
        <f t="shared" si="2"/>
        <v>0.97872340425531912</v>
      </c>
      <c r="N12" s="238">
        <f t="shared" si="3"/>
        <v>0.95833333333333337</v>
      </c>
      <c r="O12" s="214">
        <f>SUMIFS('Diags Raw Data'!$Z$6:$Z$4834,'Diags Raw Data'!$D$6:$D$4834,$A12)</f>
        <v>3</v>
      </c>
      <c r="P12" s="204">
        <f>SUMIFS('Diags Raw Data'!$AA$6:$AA$4834,'Diags Raw Data'!$D$6:$D$4834,$A12)</f>
        <v>3</v>
      </c>
      <c r="Q12" s="206">
        <f>SUMIFS('Diags Raw Data'!$AB$6:$AB$4834,'Diags Raw Data'!$D$6:$D$4834,$A12)</f>
        <v>0</v>
      </c>
      <c r="R12" s="204">
        <f>SUMIFS('Diags Raw Data'!$AC$6:$AC$4834,'Diags Raw Data'!$D$6:$D$4834,$A12)</f>
        <v>0</v>
      </c>
      <c r="S12" s="206">
        <f>SUMIFS('Diags Raw Data'!$AD$6:$AD$4834,'Diags Raw Data'!$D$6:$D$4834,$A12)</f>
        <v>0</v>
      </c>
      <c r="T12" s="205">
        <f t="shared" si="4"/>
        <v>2.1428571428571429E-2</v>
      </c>
      <c r="U12" s="230">
        <f t="shared" si="7"/>
        <v>1</v>
      </c>
      <c r="V12" s="232">
        <f t="shared" si="6"/>
        <v>2.1428571428571429E-2</v>
      </c>
    </row>
    <row r="13" spans="1:22" ht="15.75" thickBot="1" x14ac:dyDescent="0.3">
      <c r="A13" s="335" t="s">
        <v>522</v>
      </c>
      <c r="B13" s="254">
        <f>SUMIFS('Diags Raw Data'!$L$6:$L$4834,'Diags Raw Data'!$D$6:$D$4834,$A13)</f>
        <v>0</v>
      </c>
      <c r="C13" s="245">
        <f>SUMIFS('Diags Raw Data'!$R$6:$R$4834,'Diags Raw Data'!$D$6:$D$4834,$A13)</f>
        <v>0</v>
      </c>
      <c r="D13" s="245">
        <f>SUMIFS('Diags Raw Data'!$K$6:$K$4834,'Diags Raw Data'!$D$6:$D$4834,$A13)</f>
        <v>1</v>
      </c>
      <c r="E13" s="245">
        <f>SUMIFS('Diags Raw Data'!$O$6:$O$4834,'Diags Raw Data'!$D$6:$D$4834,$A13)</f>
        <v>0</v>
      </c>
      <c r="F13" s="250" t="str">
        <f>IF(NOT($B13=0), E13/$B13, "---")</f>
        <v>---</v>
      </c>
      <c r="G13" s="233">
        <f>SUMIFS('Diags Raw Data'!$S$6:$S$4834,'Diags Raw Data'!$D$6:$D$4834,$A13)</f>
        <v>0</v>
      </c>
      <c r="H13" s="234">
        <f>SUMIFS('Diags Raw Data'!$T$6:$T$4834,'Diags Raw Data'!$D$6:$D$4834,$A13)</f>
        <v>0</v>
      </c>
      <c r="I13" s="235">
        <f>SUMIFS('Diags Raw Data'!$U$6:$U$4834,'Diags Raw Data'!$D$6:$D$4834,$A13)</f>
        <v>0</v>
      </c>
      <c r="J13" s="234">
        <f>SUMIFS('Diags Raw Data'!$V$6:$V$4834,'Diags Raw Data'!$D$6:$D$4834,$A13)</f>
        <v>0</v>
      </c>
      <c r="K13" s="235">
        <f>SUMIFS('Diags Raw Data'!$W$6:$W$4834,'Diags Raw Data'!$D$6:$D$4834,$A13)</f>
        <v>0</v>
      </c>
      <c r="L13" s="246" t="str">
        <f t="shared" si="1"/>
        <v>---</v>
      </c>
      <c r="M13" s="236" t="str">
        <f t="shared" si="2"/>
        <v>---</v>
      </c>
      <c r="N13" s="239" t="str">
        <f>IF(NOT($C13=0), (H13+I13)/$C13, "---")</f>
        <v>---</v>
      </c>
      <c r="O13" s="215">
        <f>SUMIFS('Diags Raw Data'!$Z$6:$Z$4834,'Diags Raw Data'!$D$6:$D$4834,$A13)</f>
        <v>0</v>
      </c>
      <c r="P13" s="207">
        <f>SUMIFS('Diags Raw Data'!$AA$6:$AA$4834,'Diags Raw Data'!$D$6:$D$4834,$A13)</f>
        <v>0</v>
      </c>
      <c r="Q13" s="209">
        <f>SUMIFS('Diags Raw Data'!$AB$6:$AB$4834,'Diags Raw Data'!$D$6:$D$4834,$A13)</f>
        <v>0</v>
      </c>
      <c r="R13" s="207">
        <f>SUMIFS('Diags Raw Data'!$AC$6:$AC$4834,'Diags Raw Data'!$D$6:$D$4834,$A13)</f>
        <v>0</v>
      </c>
      <c r="S13" s="209">
        <f>SUMIFS('Diags Raw Data'!$AD$6:$AD$4834,'Diags Raw Data'!$D$6:$D$4834,$A13)</f>
        <v>0</v>
      </c>
      <c r="T13" s="208" t="str">
        <f t="shared" si="4"/>
        <v>---</v>
      </c>
      <c r="U13" s="240" t="str">
        <f t="shared" si="7"/>
        <v>---</v>
      </c>
      <c r="V13" s="237" t="str">
        <f t="shared" si="6"/>
        <v>---</v>
      </c>
    </row>
    <row r="14" spans="1:22" ht="16.5" thickBot="1" x14ac:dyDescent="0.3">
      <c r="A14" s="273" t="s">
        <v>523</v>
      </c>
      <c r="B14" s="257">
        <f>SUM(B4:B13)</f>
        <v>717</v>
      </c>
      <c r="C14" s="258">
        <f>SUM(C4:C13)</f>
        <v>522</v>
      </c>
      <c r="D14" s="258">
        <f>SUM(D4:D13)</f>
        <v>208</v>
      </c>
      <c r="E14" s="258">
        <f>SUM(E4:E13)</f>
        <v>709.1</v>
      </c>
      <c r="F14" s="259" cm="1">
        <f t="array" ref="F14">SUMPRODUCT(--(ISNUMBER(SEARCH("New",'Diags Raw Data'!$M$6:$M$4834))),'Diags Raw Data'!$K$6:$K$4834,'Diags Raw Data'!$P$6:$P$4834)/D14+SUMPRODUCT(--(ISNUMBER(SEARCH("Delta",'Diags Raw Data'!$M$6:$M$4834))),'Diags Raw Data'!$K$6:$K$4834,'Diags Raw Data'!$P$6:$P$4834)/D14+SUMPRODUCT(--(ISNUMBER(SEARCH("Legacy",'Diags Raw Data'!$M$6:$M$4834))),'Diags Raw Data'!$K$6:$K$4834,'Diags Raw Data'!$P$6:$P$4834)/D14</f>
        <v>0.97091346153846148</v>
      </c>
      <c r="G14" s="260">
        <f>SUM(G4:G13)</f>
        <v>443</v>
      </c>
      <c r="H14" s="261">
        <f>SUM(H4:H13)</f>
        <v>431</v>
      </c>
      <c r="I14" s="262">
        <f>SUM(I4:I13)</f>
        <v>0</v>
      </c>
      <c r="J14" s="261">
        <f>SUM(J4:J13)</f>
        <v>12</v>
      </c>
      <c r="K14" s="262">
        <f>SUM(K4:K13)</f>
        <v>0</v>
      </c>
      <c r="L14" s="263">
        <f>IF(NOT($C14=0), G14/$C14, "---")</f>
        <v>0.84865900383141768</v>
      </c>
      <c r="M14" s="264">
        <f>IF(NOT($G14=0), (H14+I14)/$G14, "---")</f>
        <v>0.97291196388261847</v>
      </c>
      <c r="N14" s="265">
        <f>IF(NOT($C14=0), (H14+I14)/$C14, "---")</f>
        <v>0.82567049808429116</v>
      </c>
      <c r="O14" s="266">
        <f>SUM(O4:O13)</f>
        <v>291</v>
      </c>
      <c r="P14" s="267">
        <f>SUM(P4:P13)</f>
        <v>289</v>
      </c>
      <c r="Q14" s="268">
        <f>SUM(Q4:Q13)</f>
        <v>1</v>
      </c>
      <c r="R14" s="267">
        <f>SUM(R4:R13)</f>
        <v>1</v>
      </c>
      <c r="S14" s="268">
        <f>SUM(S4:S13)</f>
        <v>0</v>
      </c>
      <c r="T14" s="269">
        <f>IF(NOT($B14=0), O14/$B14, "---")</f>
        <v>0.40585774058577406</v>
      </c>
      <c r="U14" s="270">
        <f>IF(NOT($O14=0), (P14+Q14)/$O14, "---")</f>
        <v>0.99656357388316152</v>
      </c>
      <c r="V14" s="271">
        <f>IF(NOT($B14=0), (P14+Q14)/$B14, "---")</f>
        <v>0.40446304044630405</v>
      </c>
    </row>
    <row r="15" spans="1:22" ht="15.75" thickBot="1" x14ac:dyDescent="0.3"/>
    <row r="16" spans="1:22" ht="15.75" thickBot="1" x14ac:dyDescent="0.3">
      <c r="A16" s="216" t="s">
        <v>524</v>
      </c>
      <c r="B16" s="643" t="s">
        <v>166</v>
      </c>
      <c r="C16" s="643"/>
      <c r="D16" s="643"/>
      <c r="E16" s="643"/>
      <c r="F16" s="643"/>
      <c r="G16" s="644" t="s">
        <v>177</v>
      </c>
      <c r="H16" s="645"/>
      <c r="I16" s="645"/>
      <c r="J16" s="645"/>
      <c r="K16" s="645"/>
      <c r="L16" s="645"/>
      <c r="M16" s="645"/>
      <c r="N16" s="646"/>
      <c r="O16" s="647" t="s">
        <v>144</v>
      </c>
      <c r="P16" s="648"/>
      <c r="Q16" s="648"/>
      <c r="R16" s="648"/>
      <c r="S16" s="648"/>
      <c r="T16" s="648"/>
      <c r="U16" s="648"/>
      <c r="V16" s="649"/>
    </row>
    <row r="17" spans="1:22" s="251" customFormat="1" ht="30.75" thickBot="1" x14ac:dyDescent="0.3">
      <c r="A17" s="255" t="s">
        <v>88</v>
      </c>
      <c r="B17" s="312" t="s">
        <v>167</v>
      </c>
      <c r="C17" s="313" t="s">
        <v>128</v>
      </c>
      <c r="D17" s="314" t="s">
        <v>105</v>
      </c>
      <c r="E17" s="314" t="s">
        <v>173</v>
      </c>
      <c r="F17" s="315" t="s">
        <v>175</v>
      </c>
      <c r="G17" s="316" t="s">
        <v>132</v>
      </c>
      <c r="H17" s="317" t="s">
        <v>30</v>
      </c>
      <c r="I17" s="317" t="s">
        <v>135</v>
      </c>
      <c r="J17" s="317" t="s">
        <v>36</v>
      </c>
      <c r="K17" s="317" t="s">
        <v>138</v>
      </c>
      <c r="L17" s="317" t="s">
        <v>184</v>
      </c>
      <c r="M17" s="317" t="s">
        <v>140</v>
      </c>
      <c r="N17" s="318" t="s">
        <v>187</v>
      </c>
      <c r="O17" s="319" t="s">
        <v>132</v>
      </c>
      <c r="P17" s="320" t="s">
        <v>30</v>
      </c>
      <c r="Q17" s="320" t="s">
        <v>135</v>
      </c>
      <c r="R17" s="320" t="s">
        <v>36</v>
      </c>
      <c r="S17" s="320" t="s">
        <v>138</v>
      </c>
      <c r="T17" s="320" t="s">
        <v>184</v>
      </c>
      <c r="U17" s="320" t="s">
        <v>140</v>
      </c>
      <c r="V17" s="321" t="s">
        <v>187</v>
      </c>
    </row>
    <row r="18" spans="1:22" x14ac:dyDescent="0.25">
      <c r="A18" s="334" t="s">
        <v>513</v>
      </c>
      <c r="B18" s="252">
        <f>SUMIFS('Diags Raw Data'!$L$6:$L$4834,'Diags Raw Data'!$D$6:$D$4834,$A18,'Diags Raw Data'!$M$6:$M$4834,"New")+SUMIFS('Diags Raw Data'!$L$6:$L$4834,'Diags Raw Data'!$D$6:$D$4834,$A18,'Diags Raw Data'!$M$6:$M$4834,"Delta")</f>
        <v>88</v>
      </c>
      <c r="C18" s="242">
        <f>SUMIFS('Diags Raw Data'!$R$6:$R$4834,'Diags Raw Data'!$D$6:$D$4834,$A18,'Diags Raw Data'!$M$6:$M$4834,"New")+SUMIFS('Diags Raw Data'!$R$6:$R$4834,'Diags Raw Data'!$D$6:$D$4834,$A18,'Diags Raw Data'!$M$6:$M$4834,"Delta")</f>
        <v>54</v>
      </c>
      <c r="D18" s="242">
        <f>SUMIFS('Diags Raw Data'!$K$6:$K$4834,'Diags Raw Data'!$D$6:$D$4834,$A18,'Diags Raw Data'!$M$6:$M$4834,"New")+SUMIFS('Diags Raw Data'!$K$6:$K$4834,'Diags Raw Data'!$D$6:$D$4834,$A18,'Diags Raw Data'!$M$6:$M$4834,"Delta")</f>
        <v>38</v>
      </c>
      <c r="E18" s="242">
        <f>SUMIFS('Diags Raw Data'!$O$6:$O$4834,'Diags Raw Data'!$D$6:$D$4834,$A18,'Diags Raw Data'!$M$6:$M$4834,"New")+SUMIFS('Diags Raw Data'!$O$6:$O$4834,'Diags Raw Data'!$D$6:$D$4834,$A18,'Diags Raw Data'!$M$6:$M$4834,"Delta")</f>
        <v>88</v>
      </c>
      <c r="F18" s="248">
        <f t="shared" ref="F18:F27" si="8">IF(NOT($B18=0), E18/$B18, "---")</f>
        <v>1</v>
      </c>
      <c r="G18" s="220">
        <f>SUMIFS('Diags Raw Data'!$S$6:$S$4834,'Diags Raw Data'!$D$6:$D$4834,$A18,'Diags Raw Data'!$M$6:$M$4834,"New")+SUMIFS('Diags Raw Data'!$S$6:$S$4834,'Diags Raw Data'!$D$6:$D$4834,$A18,'Diags Raw Data'!$M$6:$M$4834,"Delta")</f>
        <v>41</v>
      </c>
      <c r="H18" s="221">
        <f>SUMIFS('Diags Raw Data'!$T$6:$T$4834,'Diags Raw Data'!$D$6:$D$4834,$A18,'Diags Raw Data'!$M$6:$M$4834,"New")+SUMIFS('Diags Raw Data'!$T$6:$T$4834,'Diags Raw Data'!$D$6:$D$4834,$A18,'Diags Raw Data'!$M$6:$M$4834,"Delta")</f>
        <v>41</v>
      </c>
      <c r="I18" s="221">
        <f>SUMIFS('Diags Raw Data'!$U$6:$U$4834,'Diags Raw Data'!$D$6:$D$4834,$A18,'Diags Raw Data'!$M$6:$M$4834,"New")+SUMIFS('Diags Raw Data'!$U$6:$U$4834,'Diags Raw Data'!$D$6:$D$4834,$A18,'Diags Raw Data'!$M$6:$M$4834,"Delta")</f>
        <v>0</v>
      </c>
      <c r="J18" s="221">
        <f>SUMIFS('Diags Raw Data'!$V$6:$V$4834,'Diags Raw Data'!$D$6:$D$4834,$A18,'Diags Raw Data'!$M$6:$M$4834,"New")+SUMIFS('Diags Raw Data'!$V$6:$V$4834,'Diags Raw Data'!$D$6:$D$4834,$A18,'Diags Raw Data'!$M$6:$M$4834,"Delta")</f>
        <v>0</v>
      </c>
      <c r="K18" s="221">
        <f>SUMIFS('Diags Raw Data'!$W$6:$W$4834,'Diags Raw Data'!$D$6:$D$4834,$A18,'Diags Raw Data'!$M$6:$M$4834,"New")+SUMIFS('Diags Raw Data'!$W$6:$W$4834,'Diags Raw Data'!$D$6:$D$4834,$A18,'Diags Raw Data'!$M$6:$M$4834,"Delta")</f>
        <v>0</v>
      </c>
      <c r="L18" s="222">
        <f>IF(NOT($C18=0), G18/$C18, "---")</f>
        <v>0.7592592592592593</v>
      </c>
      <c r="M18" s="224">
        <f>IF(NOT($G18=0), (H18+I18)/$G18, "---")</f>
        <v>1</v>
      </c>
      <c r="N18" s="226">
        <f>IF(NOT($C18=0), (H18+I18)/$C18, "---")</f>
        <v>0.7592592592592593</v>
      </c>
      <c r="O18" s="213">
        <f>SUMIFS('Diags Raw Data'!$Z$6:$Z$4834,'Diags Raw Data'!$D$6:$D$4834,$A18,'Diags Raw Data'!$M$6:$M$4834,"New")+SUMIFS('Diags Raw Data'!$Z$6:$Z$4834,'Diags Raw Data'!$D$6:$D$4834,$A18,'Diags Raw Data'!$M$6:$M$4834,"Delta")</f>
        <v>8</v>
      </c>
      <c r="P18" s="210">
        <f>SUMIFS('Diags Raw Data'!$AA$6:$AA$4834,'Diags Raw Data'!$D$6:$D$4834,$A18,'Diags Raw Data'!$M$6:$M$4834,"New")+SUMIFS('Diags Raw Data'!$AA$6:$AA$4834,'Diags Raw Data'!$D$6:$D$4834,$A18,'Diags Raw Data'!$M$6:$M$4834,"Delta")</f>
        <v>8</v>
      </c>
      <c r="Q18" s="210">
        <f>SUMIFS('Diags Raw Data'!$AB$6:$AB$4834,'Diags Raw Data'!$D$6:$D$4834,$A18,'Diags Raw Data'!$M$6:$M$4834,"New")+SUMIFS('Diags Raw Data'!$AB$6:$AB$4834,'Diags Raw Data'!$D$6:$D$4834,$A18,'Diags Raw Data'!$M$6:$M$4834,"Delta")</f>
        <v>0</v>
      </c>
      <c r="R18" s="210">
        <f>SUMIFS('Diags Raw Data'!$AC$6:$AC$4834,'Diags Raw Data'!$D$6:$D$4834,$A18,'Diags Raw Data'!$M$6:$M$4834,"New")+SUMIFS('Diags Raw Data'!$AC$6:$AC$4834,'Diags Raw Data'!$D$6:$D$4834,$A18,'Diags Raw Data'!$M$6:$M$4834,"Delta")</f>
        <v>0</v>
      </c>
      <c r="S18" s="210">
        <f>SUMIFS('Diags Raw Data'!$AD$6:$AD$4834,'Diags Raw Data'!$D$6:$D$4834,$A18,'Diags Raw Data'!$M$6:$M$4834,"New")+SUMIFS('Diags Raw Data'!$AD$6:$AD$4834,'Diags Raw Data'!$D$6:$D$4834,$A18,'Diags Raw Data'!$M$6:$M$4834,"Delta")</f>
        <v>0</v>
      </c>
      <c r="T18" s="211">
        <f>IF(NOT($B18=0), O18/$B18, "---")</f>
        <v>9.0909090909090912E-2</v>
      </c>
      <c r="U18" s="225">
        <f>IF(NOT($O18=0), (P18+Q18)/$O18, "---")</f>
        <v>1</v>
      </c>
      <c r="V18" s="241">
        <f>IF(NOT($B18=0), (P18+Q18)/$B18, "---")</f>
        <v>9.0909090909090912E-2</v>
      </c>
    </row>
    <row r="19" spans="1:22" x14ac:dyDescent="0.25">
      <c r="A19" s="334" t="s">
        <v>514</v>
      </c>
      <c r="B19" s="253">
        <f>SUMIFS('Diags Raw Data'!$L$6:$L$4834,'Diags Raw Data'!$D$6:$D$4834,$A19,'Diags Raw Data'!$M$6:$M$4834,"New")+SUMIFS('Diags Raw Data'!$L$6:$L$4834,'Diags Raw Data'!$D$6:$D$4834,$A19,'Diags Raw Data'!$M$6:$M$4834,"Delta")</f>
        <v>33</v>
      </c>
      <c r="C19" s="243">
        <f>SUMIFS('Diags Raw Data'!$R$6:$R$4834,'Diags Raw Data'!$D$6:$D$4834,$A19,'Diags Raw Data'!$M$6:$M$4834,"New")+SUMIFS('Diags Raw Data'!$R$6:$R$4834,'Diags Raw Data'!$D$6:$D$4834,$A19,'Diags Raw Data'!$M$6:$M$4834,"Delta")</f>
        <v>31</v>
      </c>
      <c r="D19" s="243">
        <f>SUMIFS('Diags Raw Data'!$K$6:$K$4834,'Diags Raw Data'!$D$6:$D$4834,$A19,'Diags Raw Data'!$M$6:$M$4834,"New")+SUMIFS('Diags Raw Data'!$K$6:$K$4834,'Diags Raw Data'!$D$6:$D$4834,$A19,'Diags Raw Data'!$M$6:$M$4834,"Delta")</f>
        <v>43</v>
      </c>
      <c r="E19" s="243">
        <f>SUMIFS('Diags Raw Data'!$O$6:$O$4834,'Diags Raw Data'!$D$6:$D$4834,$A19,'Diags Raw Data'!$M$6:$M$4834,"New")+SUMIFS('Diags Raw Data'!$O$6:$O$4834,'Diags Raw Data'!$D$6:$D$4834,$A19,'Diags Raw Data'!$M$6:$M$4834,"Delta")</f>
        <v>30</v>
      </c>
      <c r="F19" s="249">
        <f t="shared" si="8"/>
        <v>0.90909090909090906</v>
      </c>
      <c r="G19" s="231">
        <f>SUMIFS('Diags Raw Data'!$S$6:$S$4834,'Diags Raw Data'!$D$6:$D$4834,$A19,'Diags Raw Data'!$M$6:$M$4834,"New")+SUMIFS('Diags Raw Data'!$S$6:$S$4834,'Diags Raw Data'!$D$6:$D$4834,$A19,'Diags Raw Data'!$M$6:$M$4834,"Delta")</f>
        <v>18</v>
      </c>
      <c r="H19" s="227">
        <f>SUMIFS('Diags Raw Data'!$T$6:$T$4834,'Diags Raw Data'!$D$6:$D$4834,$A19,'Diags Raw Data'!$M$6:$M$4834,"New")+SUMIFS('Diags Raw Data'!$T$6:$T$4834,'Diags Raw Data'!$D$6:$D$4834,$A19,'Diags Raw Data'!$M$6:$M$4834,"Delta")</f>
        <v>14</v>
      </c>
      <c r="I19" s="227">
        <f>SUMIFS('Diags Raw Data'!$U$6:$U$4834,'Diags Raw Data'!$D$6:$D$4834,$A19,'Diags Raw Data'!$M$6:$M$4834,"New")+SUMIFS('Diags Raw Data'!$U$6:$U$4834,'Diags Raw Data'!$D$6:$D$4834,$A19,'Diags Raw Data'!$M$6:$M$4834,"Delta")</f>
        <v>0</v>
      </c>
      <c r="J19" s="227">
        <f>SUMIFS('Diags Raw Data'!$V$6:$V$4834,'Diags Raw Data'!$D$6:$D$4834,$A19,'Diags Raw Data'!$M$6:$M$4834,"New")+SUMIFS('Diags Raw Data'!$V$6:$V$4834,'Diags Raw Data'!$D$6:$D$4834,$A19,'Diags Raw Data'!$M$6:$M$4834,"Delta")</f>
        <v>4</v>
      </c>
      <c r="K19" s="227">
        <f>SUMIFS('Diags Raw Data'!$W$6:$W$4834,'Diags Raw Data'!$D$6:$D$4834,$A19,'Diags Raw Data'!$M$6:$M$4834,"New")+SUMIFS('Diags Raw Data'!$W$6:$W$4834,'Diags Raw Data'!$D$6:$D$4834,$A19,'Diags Raw Data'!$M$6:$M$4834,"Delta")</f>
        <v>0</v>
      </c>
      <c r="L19" s="244">
        <f>IF(NOT($C19=0), G19/$C19, "---")</f>
        <v>0.58064516129032262</v>
      </c>
      <c r="M19" s="229">
        <f>IF(NOT($G19=0), (H19+I19)/$G19, "---")</f>
        <v>0.77777777777777779</v>
      </c>
      <c r="N19" s="238">
        <f>IF(NOT($C19=0), (H19+I19)/$C19, "---")</f>
        <v>0.45161290322580644</v>
      </c>
      <c r="O19" s="214">
        <f>SUMIFS('Diags Raw Data'!$Z$6:$Z$4834,'Diags Raw Data'!$D$6:$D$4834,$A19,'Diags Raw Data'!$M$6:$M$4834,"New")+SUMIFS('Diags Raw Data'!$Z$6:$Z$4834,'Diags Raw Data'!$D$6:$D$4834,$A19,'Diags Raw Data'!$M$6:$M$4834,"Delta")</f>
        <v>14</v>
      </c>
      <c r="P19" s="204">
        <f>SUMIFS('Diags Raw Data'!$AA$6:$AA$4834,'Diags Raw Data'!$D$6:$D$4834,$A19,'Diags Raw Data'!$M$6:$M$4834,"New")+SUMIFS('Diags Raw Data'!$AA$6:$AA$4834,'Diags Raw Data'!$D$6:$D$4834,$A19,'Diags Raw Data'!$M$6:$M$4834,"Delta")</f>
        <v>12</v>
      </c>
      <c r="Q19" s="204">
        <f>SUMIFS('Diags Raw Data'!$AB$6:$AB$4834,'Diags Raw Data'!$D$6:$D$4834,$A19,'Diags Raw Data'!$M$6:$M$4834,"New")+SUMIFS('Diags Raw Data'!$AB$6:$AB$4834,'Diags Raw Data'!$D$6:$D$4834,$A19,'Diags Raw Data'!$M$6:$M$4834,"Delta")</f>
        <v>1</v>
      </c>
      <c r="R19" s="204">
        <f>SUMIFS('Diags Raw Data'!$AC$6:$AC$4834,'Diags Raw Data'!$D$6:$D$4834,$A19,'Diags Raw Data'!$M$6:$M$4834,"New")+SUMIFS('Diags Raw Data'!$AC$6:$AC$4834,'Diags Raw Data'!$D$6:$D$4834,$A19,'Diags Raw Data'!$M$6:$M$4834,"Delta")</f>
        <v>1</v>
      </c>
      <c r="S19" s="204">
        <f>SUMIFS('Diags Raw Data'!$AD$6:$AD$4834,'Diags Raw Data'!$D$6:$D$4834,$A19,'Diags Raw Data'!$M$6:$M$4834,"New")+SUMIFS('Diags Raw Data'!$AD$6:$AD$4834,'Diags Raw Data'!$D$6:$D$4834,$A19,'Diags Raw Data'!$M$6:$M$4834,"Delta")</f>
        <v>0</v>
      </c>
      <c r="T19" s="205">
        <f>IF(NOT($B19=0), O19/$B19, "---")</f>
        <v>0.42424242424242425</v>
      </c>
      <c r="U19" s="230">
        <f>IF(NOT($O19=0), (P19+Q19)/$O19, "---")</f>
        <v>0.9285714285714286</v>
      </c>
      <c r="V19" s="232">
        <f t="shared" ref="V19:V28" si="9">IF(NOT($B19=0), (P19+Q19)/$B19, "---")</f>
        <v>0.39393939393939392</v>
      </c>
    </row>
    <row r="20" spans="1:22" x14ac:dyDescent="0.25">
      <c r="A20" s="334" t="s">
        <v>515</v>
      </c>
      <c r="B20" s="253">
        <f>SUMIFS('Diags Raw Data'!$L$6:$L$4834,'Diags Raw Data'!$D$6:$D$4834,$A20,'Diags Raw Data'!$M$6:$M$4834,"New")+SUMIFS('Diags Raw Data'!$L$6:$L$4834,'Diags Raw Data'!$D$6:$D$4834,$A20,'Diags Raw Data'!$M$6:$M$4834,"Delta")</f>
        <v>9</v>
      </c>
      <c r="C20" s="243">
        <f>SUMIFS('Diags Raw Data'!$R$6:$R$4834,'Diags Raw Data'!$D$6:$D$4834,$A20,'Diags Raw Data'!$M$6:$M$4834,"New")+SUMIFS('Diags Raw Data'!$R$6:$R$4834,'Diags Raw Data'!$D$6:$D$4834,$A20,'Diags Raw Data'!$M$6:$M$4834,"Delta")</f>
        <v>9</v>
      </c>
      <c r="D20" s="243">
        <f>SUMIFS('Diags Raw Data'!$K$6:$K$4834,'Diags Raw Data'!$D$6:$D$4834,$A20,'Diags Raw Data'!$M$6:$M$4834,"New")+SUMIFS('Diags Raw Data'!$K$6:$K$4834,'Diags Raw Data'!$D$6:$D$4834,$A20,'Diags Raw Data'!$M$6:$M$4834,"Delta")</f>
        <v>9</v>
      </c>
      <c r="E20" s="243">
        <f>SUMIFS('Diags Raw Data'!$O$6:$O$4834,'Diags Raw Data'!$D$6:$D$4834,$A20,'Diags Raw Data'!$M$6:$M$4834,"New")+SUMIFS('Diags Raw Data'!$O$6:$O$4834,'Diags Raw Data'!$D$6:$D$4834,$A20,'Diags Raw Data'!$M$6:$M$4834,"Delta")</f>
        <v>8.5</v>
      </c>
      <c r="F20" s="249">
        <f>IF(NOT($B20=0), E20/$B20, "---")</f>
        <v>0.94444444444444442</v>
      </c>
      <c r="G20" s="231">
        <f>SUMIFS('Diags Raw Data'!$S$6:$S$4834,'Diags Raw Data'!$D$6:$D$4834,$A20,'Diags Raw Data'!$M$6:$M$4834,"New")+SUMIFS('Diags Raw Data'!$S$6:$S$4834,'Diags Raw Data'!$D$6:$D$4834,$A20,'Diags Raw Data'!$M$6:$M$4834,"Delta")</f>
        <v>8</v>
      </c>
      <c r="H20" s="227">
        <f>SUMIFS('Diags Raw Data'!$T$6:$T$4834,'Diags Raw Data'!$D$6:$D$4834,$A20,'Diags Raw Data'!$M$6:$M$4834,"New")+SUMIFS('Diags Raw Data'!$T$6:$T$4834,'Diags Raw Data'!$D$6:$D$4834,$A20,'Diags Raw Data'!$M$6:$M$4834,"Delta")</f>
        <v>7</v>
      </c>
      <c r="I20" s="227">
        <f>SUMIFS('Diags Raw Data'!$U$6:$U$4834,'Diags Raw Data'!$D$6:$D$4834,$A20,'Diags Raw Data'!$M$6:$M$4834,"New")+SUMIFS('Diags Raw Data'!$U$6:$U$4834,'Diags Raw Data'!$D$6:$D$4834,$A20,'Diags Raw Data'!$M$6:$M$4834,"Delta")</f>
        <v>0</v>
      </c>
      <c r="J20" s="227">
        <f>SUMIFS('Diags Raw Data'!$V$6:$V$4834,'Diags Raw Data'!$D$6:$D$4834,$A20,'Diags Raw Data'!$M$6:$M$4834,"New")+SUMIFS('Diags Raw Data'!$V$6:$V$4834,'Diags Raw Data'!$D$6:$D$4834,$A20,'Diags Raw Data'!$M$6:$M$4834,"Delta")</f>
        <v>1</v>
      </c>
      <c r="K20" s="227">
        <f>SUMIFS('Diags Raw Data'!$W$6:$W$4834,'Diags Raw Data'!$D$6:$D$4834,$A20,'Diags Raw Data'!$M$6:$M$4834,"New")+SUMIFS('Diags Raw Data'!$W$6:$W$4834,'Diags Raw Data'!$D$6:$D$4834,$A20,'Diags Raw Data'!$M$6:$M$4834,"Delta")</f>
        <v>0</v>
      </c>
      <c r="L20" s="244">
        <f t="shared" ref="L20:L27" si="10">IF(NOT($C20=0), G20/$C20, "---")</f>
        <v>0.88888888888888884</v>
      </c>
      <c r="M20" s="229">
        <f>IF(NOT($G20=0), (H20+I20)/$G20, "---")</f>
        <v>0.875</v>
      </c>
      <c r="N20" s="238">
        <f t="shared" ref="N20:N27" si="11">IF(NOT($C20=0), (H20+I20)/$C20, "---")</f>
        <v>0.77777777777777779</v>
      </c>
      <c r="O20" s="214">
        <f>SUMIFS('Diags Raw Data'!$Z$6:$Z$4834,'Diags Raw Data'!$D$6:$D$4834,$A20,'Diags Raw Data'!$M$6:$M$4834,"New")+SUMIFS('Diags Raw Data'!$Z$6:$Z$4834,'Diags Raw Data'!$D$6:$D$4834,$A20,'Diags Raw Data'!$M$6:$M$4834,"Delta")</f>
        <v>0</v>
      </c>
      <c r="P20" s="204">
        <f>SUMIFS('Diags Raw Data'!$AA$6:$AA$4834,'Diags Raw Data'!$D$6:$D$4834,$A20,'Diags Raw Data'!$M$6:$M$4834,"New")+SUMIFS('Diags Raw Data'!$AA$6:$AA$4834,'Diags Raw Data'!$D$6:$D$4834,$A20,'Diags Raw Data'!$M$6:$M$4834,"Delta")</f>
        <v>0</v>
      </c>
      <c r="Q20" s="204">
        <f>SUMIFS('Diags Raw Data'!$AB$6:$AB$4834,'Diags Raw Data'!$D$6:$D$4834,$A20,'Diags Raw Data'!$M$6:$M$4834,"New")+SUMIFS('Diags Raw Data'!$AB$6:$AB$4834,'Diags Raw Data'!$D$6:$D$4834,$A20,'Diags Raw Data'!$M$6:$M$4834,"Delta")</f>
        <v>0</v>
      </c>
      <c r="R20" s="204">
        <f>SUMIFS('Diags Raw Data'!$AC$6:$AC$4834,'Diags Raw Data'!$D$6:$D$4834,$A20,'Diags Raw Data'!$M$6:$M$4834,"New")+SUMIFS('Diags Raw Data'!$AC$6:$AC$4834,'Diags Raw Data'!$D$6:$D$4834,$A20,'Diags Raw Data'!$M$6:$M$4834,"Delta")</f>
        <v>0</v>
      </c>
      <c r="S20" s="204">
        <f>SUMIFS('Diags Raw Data'!$AD$6:$AD$4834,'Diags Raw Data'!$D$6:$D$4834,$A20,'Diags Raw Data'!$M$6:$M$4834,"New")+SUMIFS('Diags Raw Data'!$AD$6:$AD$4834,'Diags Raw Data'!$D$6:$D$4834,$A20,'Diags Raw Data'!$M$6:$M$4834,"Delta")</f>
        <v>0</v>
      </c>
      <c r="T20" s="205">
        <f t="shared" ref="T20:T27" si="12">IF(NOT($B20=0), O20/$B20, "---")</f>
        <v>0</v>
      </c>
      <c r="U20" s="230" t="str">
        <f t="shared" ref="U20:U28" si="13">IF(NOT($O20=0), (P20+Q20)/$O20, "---")</f>
        <v>---</v>
      </c>
      <c r="V20" s="232">
        <f>IF(NOT($B20=0), (P20+Q20)/$B20, "---")</f>
        <v>0</v>
      </c>
    </row>
    <row r="21" spans="1:22" x14ac:dyDescent="0.25">
      <c r="A21" s="334" t="s">
        <v>516</v>
      </c>
      <c r="B21" s="253">
        <f>SUMIFS('Diags Raw Data'!$L$6:$L$4834,'Diags Raw Data'!$D$6:$D$4834,$A21,'Diags Raw Data'!$M$6:$M$4834,"New")+SUMIFS('Diags Raw Data'!$L$6:$L$4834,'Diags Raw Data'!$D$6:$D$4834,$A21,'Diags Raw Data'!$M$6:$M$4834,"Delta")</f>
        <v>17</v>
      </c>
      <c r="C21" s="243">
        <f>SUMIFS('Diags Raw Data'!$R$6:$R$4834,'Diags Raw Data'!$D$6:$D$4834,$A21,'Diags Raw Data'!$M$6:$M$4834,"New")+SUMIFS('Diags Raw Data'!$R$6:$R$4834,'Diags Raw Data'!$D$6:$D$4834,$A21,'Diags Raw Data'!$M$6:$M$4834,"Delta")</f>
        <v>15</v>
      </c>
      <c r="D21" s="243">
        <f>SUMIFS('Diags Raw Data'!$K$6:$K$4834,'Diags Raw Data'!$D$6:$D$4834,$A21,'Diags Raw Data'!$M$6:$M$4834,"New")+SUMIFS('Diags Raw Data'!$K$6:$K$4834,'Diags Raw Data'!$D$6:$D$4834,$A21,'Diags Raw Data'!$M$6:$M$4834,"Delta")</f>
        <v>10</v>
      </c>
      <c r="E21" s="243">
        <f>SUMIFS('Diags Raw Data'!$O$6:$O$4834,'Diags Raw Data'!$D$6:$D$4834,$A21,'Diags Raw Data'!$M$6:$M$4834,"New")+SUMIFS('Diags Raw Data'!$O$6:$O$4834,'Diags Raw Data'!$D$6:$D$4834,$A21,'Diags Raw Data'!$M$6:$M$4834,"Delta")</f>
        <v>17</v>
      </c>
      <c r="F21" s="249">
        <f t="shared" si="8"/>
        <v>1</v>
      </c>
      <c r="G21" s="231">
        <f>SUMIFS('Diags Raw Data'!$S$6:$S$4834,'Diags Raw Data'!$D$6:$D$4834,$A21,'Diags Raw Data'!$M$6:$M$4834,"New")+SUMIFS('Diags Raw Data'!$S$6:$S$4834,'Diags Raw Data'!$D$6:$D$4834,$A21,'Diags Raw Data'!$M$6:$M$4834,"Delta")</f>
        <v>14</v>
      </c>
      <c r="H21" s="227">
        <f>SUMIFS('Diags Raw Data'!$T$6:$T$4834,'Diags Raw Data'!$D$6:$D$4834,$A21,'Diags Raw Data'!$M$6:$M$4834,"New")+SUMIFS('Diags Raw Data'!$T$6:$T$4834,'Diags Raw Data'!$D$6:$D$4834,$A21,'Diags Raw Data'!$M$6:$M$4834,"Delta")</f>
        <v>12</v>
      </c>
      <c r="I21" s="227">
        <f>SUMIFS('Diags Raw Data'!$U$6:$U$4834,'Diags Raw Data'!$D$6:$D$4834,$A21,'Diags Raw Data'!$M$6:$M$4834,"New")+SUMIFS('Diags Raw Data'!$U$6:$U$4834,'Diags Raw Data'!$D$6:$D$4834,$A21,'Diags Raw Data'!$M$6:$M$4834,"Delta")</f>
        <v>0</v>
      </c>
      <c r="J21" s="227">
        <f>SUMIFS('Diags Raw Data'!$V$6:$V$4834,'Diags Raw Data'!$D$6:$D$4834,$A21,'Diags Raw Data'!$M$6:$M$4834,"New")+SUMIFS('Diags Raw Data'!$V$6:$V$4834,'Diags Raw Data'!$D$6:$D$4834,$A21,'Diags Raw Data'!$M$6:$M$4834,"Delta")</f>
        <v>2</v>
      </c>
      <c r="K21" s="227">
        <f>SUMIFS('Diags Raw Data'!$W$6:$W$4834,'Diags Raw Data'!$D$6:$D$4834,$A21,'Diags Raw Data'!$M$6:$M$4834,"New")+SUMIFS('Diags Raw Data'!$W$6:$W$4834,'Diags Raw Data'!$D$6:$D$4834,$A21,'Diags Raw Data'!$M$6:$M$4834,"Delta")</f>
        <v>0</v>
      </c>
      <c r="L21" s="244">
        <f t="shared" si="10"/>
        <v>0.93333333333333335</v>
      </c>
      <c r="M21" s="229">
        <f t="shared" ref="M21:M28" si="14">IF(NOT($G21=0), (H21+I21)/$G21, "---")</f>
        <v>0.8571428571428571</v>
      </c>
      <c r="N21" s="238">
        <f>IF(NOT($C21=0), (H21+I21)/$C21, "---")</f>
        <v>0.8</v>
      </c>
      <c r="O21" s="214">
        <f>SUMIFS('Diags Raw Data'!$Z$6:$Z$4834,'Diags Raw Data'!$D$6:$D$4834,$A21,'Diags Raw Data'!$M$6:$M$4834,"New")+SUMIFS('Diags Raw Data'!$Z$6:$Z$4834,'Diags Raw Data'!$D$6:$D$4834,$A21,'Diags Raw Data'!$M$6:$M$4834,"Delta")</f>
        <v>5</v>
      </c>
      <c r="P21" s="204">
        <f>SUMIFS('Diags Raw Data'!$AA$6:$AA$4834,'Diags Raw Data'!$D$6:$D$4834,$A21,'Diags Raw Data'!$M$6:$M$4834,"New")+SUMIFS('Diags Raw Data'!$AA$6:$AA$4834,'Diags Raw Data'!$D$6:$D$4834,$A21,'Diags Raw Data'!$M$6:$M$4834,"Delta")</f>
        <v>5</v>
      </c>
      <c r="Q21" s="204">
        <f>SUMIFS('Diags Raw Data'!$AB$6:$AB$4834,'Diags Raw Data'!$D$6:$D$4834,$A21,'Diags Raw Data'!$M$6:$M$4834,"New")+SUMIFS('Diags Raw Data'!$AB$6:$AB$4834,'Diags Raw Data'!$D$6:$D$4834,$A21,'Diags Raw Data'!$M$6:$M$4834,"Delta")</f>
        <v>0</v>
      </c>
      <c r="R21" s="204">
        <f>SUMIFS('Diags Raw Data'!$AC$6:$AC$4834,'Diags Raw Data'!$D$6:$D$4834,$A21,'Diags Raw Data'!$M$6:$M$4834,"New")+SUMIFS('Diags Raw Data'!$AC$6:$AC$4834,'Diags Raw Data'!$D$6:$D$4834,$A21,'Diags Raw Data'!$M$6:$M$4834,"Delta")</f>
        <v>0</v>
      </c>
      <c r="S21" s="204">
        <f>SUMIFS('Diags Raw Data'!$AD$6:$AD$4834,'Diags Raw Data'!$D$6:$D$4834,$A21,'Diags Raw Data'!$M$6:$M$4834,"New")+SUMIFS('Diags Raw Data'!$AD$6:$AD$4834,'Diags Raw Data'!$D$6:$D$4834,$A21,'Diags Raw Data'!$M$6:$M$4834,"Delta")</f>
        <v>0</v>
      </c>
      <c r="T21" s="205">
        <f t="shared" si="12"/>
        <v>0.29411764705882354</v>
      </c>
      <c r="U21" s="230">
        <f t="shared" si="13"/>
        <v>1</v>
      </c>
      <c r="V21" s="232">
        <f>IF(NOT($B21=0), (P21+Q21)/$B21, "---")</f>
        <v>0.29411764705882354</v>
      </c>
    </row>
    <row r="22" spans="1:22" x14ac:dyDescent="0.25">
      <c r="A22" s="334" t="s">
        <v>517</v>
      </c>
      <c r="B22" s="253">
        <f>SUMIFS('Diags Raw Data'!$L$6:$L$4834,'Diags Raw Data'!$D$6:$D$4834,$A22,'Diags Raw Data'!$M$6:$M$4834,"New")+SUMIFS('Diags Raw Data'!$L$6:$L$4834,'Diags Raw Data'!$D$6:$D$4834,$A22,'Diags Raw Data'!$M$6:$M$4834,"Delta")</f>
        <v>1</v>
      </c>
      <c r="C22" s="243">
        <f>SUMIFS('Diags Raw Data'!$R$6:$R$4834,'Diags Raw Data'!$D$6:$D$4834,$A22,'Diags Raw Data'!$M$6:$M$4834,"New")+SUMIFS('Diags Raw Data'!$R$6:$R$4834,'Diags Raw Data'!$D$6:$D$4834,$A22,'Diags Raw Data'!$M$6:$M$4834,"Delta")</f>
        <v>1</v>
      </c>
      <c r="D22" s="243">
        <f>SUMIFS('Diags Raw Data'!$K$6:$K$4834,'Diags Raw Data'!$D$6:$D$4834,$A22,'Diags Raw Data'!$M$6:$M$4834,"New")+SUMIFS('Diags Raw Data'!$K$6:$K$4834,'Diags Raw Data'!$D$6:$D$4834,$A22,'Diags Raw Data'!$M$6:$M$4834,"Delta")</f>
        <v>10</v>
      </c>
      <c r="E22" s="243">
        <f>SUMIFS('Diags Raw Data'!$O$6:$O$4834,'Diags Raw Data'!$D$6:$D$4834,$A22,'Diags Raw Data'!$M$6:$M$4834,"New")+SUMIFS('Diags Raw Data'!$O$6:$O$4834,'Diags Raw Data'!$D$6:$D$4834,$A22,'Diags Raw Data'!$M$6:$M$4834,"Delta")</f>
        <v>1</v>
      </c>
      <c r="F22" s="249">
        <f>IF(NOT($B22=0), E22/$B22, "---")</f>
        <v>1</v>
      </c>
      <c r="G22" s="231">
        <f>SUMIFS('Diags Raw Data'!$S$6:$S$4834,'Diags Raw Data'!$D$6:$D$4834,$A22,'Diags Raw Data'!$M$6:$M$4834,"New")+SUMIFS('Diags Raw Data'!$S$6:$S$4834,'Diags Raw Data'!$D$6:$D$4834,$A22,'Diags Raw Data'!$M$6:$M$4834,"Delta")</f>
        <v>1</v>
      </c>
      <c r="H22" s="227">
        <f>SUMIFS('Diags Raw Data'!$T$6:$T$4834,'Diags Raw Data'!$D$6:$D$4834,$A22,'Diags Raw Data'!$M$6:$M$4834,"New")+SUMIFS('Diags Raw Data'!$T$6:$T$4834,'Diags Raw Data'!$D$6:$D$4834,$A22,'Diags Raw Data'!$M$6:$M$4834,"Delta")</f>
        <v>1</v>
      </c>
      <c r="I22" s="227">
        <f>SUMIFS('Diags Raw Data'!$U$6:$U$4834,'Diags Raw Data'!$D$6:$D$4834,$A22,'Diags Raw Data'!$M$6:$M$4834,"New")+SUMIFS('Diags Raw Data'!$U$6:$U$4834,'Diags Raw Data'!$D$6:$D$4834,$A22,'Diags Raw Data'!$M$6:$M$4834,"Delta")</f>
        <v>0</v>
      </c>
      <c r="J22" s="227">
        <f>SUMIFS('Diags Raw Data'!$V$6:$V$4834,'Diags Raw Data'!$D$6:$D$4834,$A22,'Diags Raw Data'!$M$6:$M$4834,"New")+SUMIFS('Diags Raw Data'!$V$6:$V$4834,'Diags Raw Data'!$D$6:$D$4834,$A22,'Diags Raw Data'!$M$6:$M$4834,"Delta")</f>
        <v>0</v>
      </c>
      <c r="K22" s="227">
        <f>SUMIFS('Diags Raw Data'!$W$6:$W$4834,'Diags Raw Data'!$D$6:$D$4834,$A22,'Diags Raw Data'!$M$6:$M$4834,"New")+SUMIFS('Diags Raw Data'!$W$6:$W$4834,'Diags Raw Data'!$D$6:$D$4834,$A22,'Diags Raw Data'!$M$6:$M$4834,"Delta")</f>
        <v>0</v>
      </c>
      <c r="L22" s="244">
        <f t="shared" si="10"/>
        <v>1</v>
      </c>
      <c r="M22" s="229">
        <f t="shared" si="14"/>
        <v>1</v>
      </c>
      <c r="N22" s="238">
        <f t="shared" si="11"/>
        <v>1</v>
      </c>
      <c r="O22" s="214">
        <f>SUMIFS('Diags Raw Data'!$Z$6:$Z$4834,'Diags Raw Data'!$D$6:$D$4834,$A22,'Diags Raw Data'!$M$6:$M$4834,"New")+SUMIFS('Diags Raw Data'!$Z$6:$Z$4834,'Diags Raw Data'!$D$6:$D$4834,$A22,'Diags Raw Data'!$M$6:$M$4834,"Delta")</f>
        <v>1</v>
      </c>
      <c r="P22" s="204">
        <f>SUMIFS('Diags Raw Data'!$AA$6:$AA$4834,'Diags Raw Data'!$D$6:$D$4834,$A22,'Diags Raw Data'!$M$6:$M$4834,"New")+SUMIFS('Diags Raw Data'!$AA$6:$AA$4834,'Diags Raw Data'!$D$6:$D$4834,$A22,'Diags Raw Data'!$M$6:$M$4834,"Delta")</f>
        <v>1</v>
      </c>
      <c r="Q22" s="204">
        <f>SUMIFS('Diags Raw Data'!$AB$6:$AB$4834,'Diags Raw Data'!$D$6:$D$4834,$A22,'Diags Raw Data'!$M$6:$M$4834,"New")+SUMIFS('Diags Raw Data'!$AB$6:$AB$4834,'Diags Raw Data'!$D$6:$D$4834,$A22,'Diags Raw Data'!$M$6:$M$4834,"Delta")</f>
        <v>0</v>
      </c>
      <c r="R22" s="204">
        <f>SUMIFS('Diags Raw Data'!$AC$6:$AC$4834,'Diags Raw Data'!$D$6:$D$4834,$A22,'Diags Raw Data'!$M$6:$M$4834,"New")+SUMIFS('Diags Raw Data'!$AC$6:$AC$4834,'Diags Raw Data'!$D$6:$D$4834,$A22,'Diags Raw Data'!$M$6:$M$4834,"Delta")</f>
        <v>0</v>
      </c>
      <c r="S22" s="204">
        <f>SUMIFS('Diags Raw Data'!$AD$6:$AD$4834,'Diags Raw Data'!$D$6:$D$4834,$A22,'Diags Raw Data'!$M$6:$M$4834,"New")+SUMIFS('Diags Raw Data'!$AD$6:$AD$4834,'Diags Raw Data'!$D$6:$D$4834,$A22,'Diags Raw Data'!$M$6:$M$4834,"Delta")</f>
        <v>0</v>
      </c>
      <c r="T22" s="205">
        <f t="shared" si="12"/>
        <v>1</v>
      </c>
      <c r="U22" s="230">
        <f t="shared" si="13"/>
        <v>1</v>
      </c>
      <c r="V22" s="232">
        <f t="shared" si="9"/>
        <v>1</v>
      </c>
    </row>
    <row r="23" spans="1:22" x14ac:dyDescent="0.25">
      <c r="A23" s="334" t="s">
        <v>518</v>
      </c>
      <c r="B23" s="253">
        <f>SUMIFS('Diags Raw Data'!$L$6:$L$4834,'Diags Raw Data'!$D$6:$D$4834,$A23,'Diags Raw Data'!$M$6:$M$4834,"New")+SUMIFS('Diags Raw Data'!$L$6:$L$4834,'Diags Raw Data'!$D$6:$D$4834,$A23,'Diags Raw Data'!$M$6:$M$4834,"Delta")</f>
        <v>78</v>
      </c>
      <c r="C23" s="243">
        <f>SUMIFS('Diags Raw Data'!$R$6:$R$4834,'Diags Raw Data'!$D$6:$D$4834,$A23,'Diags Raw Data'!$M$6:$M$4834,"New")+SUMIFS('Diags Raw Data'!$R$6:$R$4834,'Diags Raw Data'!$D$6:$D$4834,$A23,'Diags Raw Data'!$M$6:$M$4834,"Delta")</f>
        <v>21</v>
      </c>
      <c r="D23" s="243">
        <f>SUMIFS('Diags Raw Data'!$K$6:$K$4834,'Diags Raw Data'!$D$6:$D$4834,$A23,'Diags Raw Data'!$M$6:$M$4834,"New")+SUMIFS('Diags Raw Data'!$K$6:$K$4834,'Diags Raw Data'!$D$6:$D$4834,$A23,'Diags Raw Data'!$M$6:$M$4834,"Delta")</f>
        <v>23</v>
      </c>
      <c r="E23" s="243">
        <f>SUMIFS('Diags Raw Data'!$O$6:$O$4834,'Diags Raw Data'!$D$6:$D$4834,$A23,'Diags Raw Data'!$M$6:$M$4834,"New")+SUMIFS('Diags Raw Data'!$O$6:$O$4834,'Diags Raw Data'!$D$6:$D$4834,$A23,'Diags Raw Data'!$M$6:$M$4834,"Delta")</f>
        <v>75</v>
      </c>
      <c r="F23" s="249">
        <f t="shared" si="8"/>
        <v>0.96153846153846156</v>
      </c>
      <c r="G23" s="231">
        <f>SUMIFS('Diags Raw Data'!$S$6:$S$4834,'Diags Raw Data'!$D$6:$D$4834,$A23,'Diags Raw Data'!$M$6:$M$4834,"New")+SUMIFS('Diags Raw Data'!$S$6:$S$4834,'Diags Raw Data'!$D$6:$D$4834,$A23,'Diags Raw Data'!$M$6:$M$4834,"Delta")</f>
        <v>8</v>
      </c>
      <c r="H23" s="227">
        <f>SUMIFS('Diags Raw Data'!$T$6:$T$4834,'Diags Raw Data'!$D$6:$D$4834,$A23,'Diags Raw Data'!$M$6:$M$4834,"New")+SUMIFS('Diags Raw Data'!$T$6:$T$4834,'Diags Raw Data'!$D$6:$D$4834,$A23,'Diags Raw Data'!$M$6:$M$4834,"Delta")</f>
        <v>8</v>
      </c>
      <c r="I23" s="227">
        <f>SUMIFS('Diags Raw Data'!$U$6:$U$4834,'Diags Raw Data'!$D$6:$D$4834,$A23,'Diags Raw Data'!$M$6:$M$4834,"New")+SUMIFS('Diags Raw Data'!$U$6:$U$4834,'Diags Raw Data'!$D$6:$D$4834,$A23,'Diags Raw Data'!$M$6:$M$4834,"Delta")</f>
        <v>0</v>
      </c>
      <c r="J23" s="227">
        <f>SUMIFS('Diags Raw Data'!$V$6:$V$4834,'Diags Raw Data'!$D$6:$D$4834,$A23,'Diags Raw Data'!$M$6:$M$4834,"New")+SUMIFS('Diags Raw Data'!$V$6:$V$4834,'Diags Raw Data'!$D$6:$D$4834,$A23,'Diags Raw Data'!$M$6:$M$4834,"Delta")</f>
        <v>0</v>
      </c>
      <c r="K23" s="227">
        <f>SUMIFS('Diags Raw Data'!$W$6:$W$4834,'Diags Raw Data'!$D$6:$D$4834,$A23,'Diags Raw Data'!$M$6:$M$4834,"New")+SUMIFS('Diags Raw Data'!$W$6:$W$4834,'Diags Raw Data'!$D$6:$D$4834,$A23,'Diags Raw Data'!$M$6:$M$4834,"Delta")</f>
        <v>0</v>
      </c>
      <c r="L23" s="244">
        <f t="shared" si="10"/>
        <v>0.38095238095238093</v>
      </c>
      <c r="M23" s="229">
        <f t="shared" si="14"/>
        <v>1</v>
      </c>
      <c r="N23" s="238">
        <f t="shared" si="11"/>
        <v>0.38095238095238093</v>
      </c>
      <c r="O23" s="214">
        <f>SUMIFS('Diags Raw Data'!$Z$6:$Z$4834,'Diags Raw Data'!$D$6:$D$4834,$A23,'Diags Raw Data'!$M$6:$M$4834,"New")+SUMIFS('Diags Raw Data'!$Z$6:$Z$4834,'Diags Raw Data'!$D$6:$D$4834,$A23,'Diags Raw Data'!$M$6:$M$4834,"Delta")</f>
        <v>34</v>
      </c>
      <c r="P23" s="204">
        <f>SUMIFS('Diags Raw Data'!$AA$6:$AA$4834,'Diags Raw Data'!$D$6:$D$4834,$A23,'Diags Raw Data'!$M$6:$M$4834,"New")+SUMIFS('Diags Raw Data'!$AA$6:$AA$4834,'Diags Raw Data'!$D$6:$D$4834,$A23,'Diags Raw Data'!$M$6:$M$4834,"Delta")</f>
        <v>34</v>
      </c>
      <c r="Q23" s="204">
        <f>SUMIFS('Diags Raw Data'!$AB$6:$AB$4834,'Diags Raw Data'!$D$6:$D$4834,$A23,'Diags Raw Data'!$M$6:$M$4834,"New")+SUMIFS('Diags Raw Data'!$AB$6:$AB$4834,'Diags Raw Data'!$D$6:$D$4834,$A23,'Diags Raw Data'!$M$6:$M$4834,"Delta")</f>
        <v>0</v>
      </c>
      <c r="R23" s="204">
        <f>SUMIFS('Diags Raw Data'!$AC$6:$AC$4834,'Diags Raw Data'!$D$6:$D$4834,$A23,'Diags Raw Data'!$M$6:$M$4834,"New")+SUMIFS('Diags Raw Data'!$AC$6:$AC$4834,'Diags Raw Data'!$D$6:$D$4834,$A23,'Diags Raw Data'!$M$6:$M$4834,"Delta")</f>
        <v>0</v>
      </c>
      <c r="S23" s="204">
        <f>SUMIFS('Diags Raw Data'!$AD$6:$AD$4834,'Diags Raw Data'!$D$6:$D$4834,$A23,'Diags Raw Data'!$M$6:$M$4834,"New")+SUMIFS('Diags Raw Data'!$AD$6:$AD$4834,'Diags Raw Data'!$D$6:$D$4834,$A23,'Diags Raw Data'!$M$6:$M$4834,"Delta")</f>
        <v>0</v>
      </c>
      <c r="T23" s="205">
        <f t="shared" si="12"/>
        <v>0.4358974358974359</v>
      </c>
      <c r="U23" s="230">
        <f t="shared" si="13"/>
        <v>1</v>
      </c>
      <c r="V23" s="232">
        <f t="shared" si="9"/>
        <v>0.4358974358974359</v>
      </c>
    </row>
    <row r="24" spans="1:22" x14ac:dyDescent="0.25">
      <c r="A24" s="334" t="s">
        <v>519</v>
      </c>
      <c r="B24" s="253">
        <f>SUMIFS('Diags Raw Data'!$L$6:$L$4834,'Diags Raw Data'!$D$6:$D$4834,$A24,'Diags Raw Data'!$M$6:$M$4834,"New")+SUMIFS('Diags Raw Data'!$L$6:$L$4834,'Diags Raw Data'!$D$6:$D$4834,$A24,'Diags Raw Data'!$M$6:$M$4834,"Delta")</f>
        <v>329</v>
      </c>
      <c r="C24" s="243">
        <f>SUMIFS('Diags Raw Data'!$R$6:$R$4834,'Diags Raw Data'!$D$6:$D$4834,$A24,'Diags Raw Data'!$M$6:$M$4834,"New")+SUMIFS('Diags Raw Data'!$R$6:$R$4834,'Diags Raw Data'!$D$6:$D$4834,$A24,'Diags Raw Data'!$M$6:$M$4834,"Delta")</f>
        <v>322</v>
      </c>
      <c r="D24" s="243">
        <f>SUMIFS('Diags Raw Data'!$K$6:$K$4834,'Diags Raw Data'!$D$6:$D$4834,$A24,'Diags Raw Data'!$M$6:$M$4834,"New")+SUMIFS('Diags Raw Data'!$K$6:$K$4834,'Diags Raw Data'!$D$6:$D$4834,$A24,'Diags Raw Data'!$M$6:$M$4834,"Delta")</f>
        <v>42</v>
      </c>
      <c r="E24" s="243">
        <f>SUMIFS('Diags Raw Data'!$O$6:$O$4834,'Diags Raw Data'!$D$6:$D$4834,$A24,'Diags Raw Data'!$M$6:$M$4834,"New")+SUMIFS('Diags Raw Data'!$O$6:$O$4834,'Diags Raw Data'!$D$6:$D$4834,$A24,'Diags Raw Data'!$M$6:$M$4834,"Delta")</f>
        <v>329</v>
      </c>
      <c r="F24" s="249">
        <f t="shared" si="8"/>
        <v>1</v>
      </c>
      <c r="G24" s="231">
        <f>SUMIFS('Diags Raw Data'!$S$6:$S$4834,'Diags Raw Data'!$D$6:$D$4834,$A24,'Diags Raw Data'!$M$6:$M$4834,"New")+SUMIFS('Diags Raw Data'!$S$6:$S$4834,'Diags Raw Data'!$D$6:$D$4834,$A24,'Diags Raw Data'!$M$6:$M$4834,"Delta")</f>
        <v>288</v>
      </c>
      <c r="H24" s="227">
        <f>SUMIFS('Diags Raw Data'!$T$6:$T$4834,'Diags Raw Data'!$D$6:$D$4834,$A24,'Diags Raw Data'!$M$6:$M$4834,"New")+SUMIFS('Diags Raw Data'!$T$6:$T$4834,'Diags Raw Data'!$D$6:$D$4834,$A24,'Diags Raw Data'!$M$6:$M$4834,"Delta")</f>
        <v>285</v>
      </c>
      <c r="I24" s="227">
        <f>SUMIFS('Diags Raw Data'!$U$6:$U$4834,'Diags Raw Data'!$D$6:$D$4834,$A24,'Diags Raw Data'!$M$6:$M$4834,"New")+SUMIFS('Diags Raw Data'!$U$6:$U$4834,'Diags Raw Data'!$D$6:$D$4834,$A24,'Diags Raw Data'!$M$6:$M$4834,"Delta")</f>
        <v>0</v>
      </c>
      <c r="J24" s="227">
        <f>SUMIFS('Diags Raw Data'!$V$6:$V$4834,'Diags Raw Data'!$D$6:$D$4834,$A24,'Diags Raw Data'!$M$6:$M$4834,"New")+SUMIFS('Diags Raw Data'!$V$6:$V$4834,'Diags Raw Data'!$D$6:$D$4834,$A24,'Diags Raw Data'!$M$6:$M$4834,"Delta")</f>
        <v>3</v>
      </c>
      <c r="K24" s="227">
        <f>SUMIFS('Diags Raw Data'!$W$6:$W$4834,'Diags Raw Data'!$D$6:$D$4834,$A24,'Diags Raw Data'!$M$6:$M$4834,"New")+SUMIFS('Diags Raw Data'!$W$6:$W$4834,'Diags Raw Data'!$D$6:$D$4834,$A24,'Diags Raw Data'!$M$6:$M$4834,"Delta")</f>
        <v>0</v>
      </c>
      <c r="L24" s="244">
        <f t="shared" si="10"/>
        <v>0.89440993788819878</v>
      </c>
      <c r="M24" s="229">
        <f t="shared" si="14"/>
        <v>0.98958333333333337</v>
      </c>
      <c r="N24" s="238">
        <f t="shared" si="11"/>
        <v>0.8850931677018633</v>
      </c>
      <c r="O24" s="214">
        <f>SUMIFS('Diags Raw Data'!$Z$6:$Z$4834,'Diags Raw Data'!$D$6:$D$4834,$A24,'Diags Raw Data'!$M$6:$M$4834,"New")+SUMIFS('Diags Raw Data'!$Z$6:$Z$4834,'Diags Raw Data'!$D$6:$D$4834,$A24,'Diags Raw Data'!$M$6:$M$4834,"Delta")</f>
        <v>226</v>
      </c>
      <c r="P24" s="204">
        <f>SUMIFS('Diags Raw Data'!$AA$6:$AA$4834,'Diags Raw Data'!$D$6:$D$4834,$A24,'Diags Raw Data'!$M$6:$M$4834,"New")+SUMIFS('Diags Raw Data'!$AA$6:$AA$4834,'Diags Raw Data'!$D$6:$D$4834,$A24,'Diags Raw Data'!$M$6:$M$4834,"Delta")</f>
        <v>226</v>
      </c>
      <c r="Q24" s="204">
        <f>SUMIFS('Diags Raw Data'!$AB$6:$AB$4834,'Diags Raw Data'!$D$6:$D$4834,$A24,'Diags Raw Data'!$M$6:$M$4834,"New")+SUMIFS('Diags Raw Data'!$AB$6:$AB$4834,'Diags Raw Data'!$D$6:$D$4834,$A24,'Diags Raw Data'!$M$6:$M$4834,"Delta")</f>
        <v>0</v>
      </c>
      <c r="R24" s="204">
        <f>SUMIFS('Diags Raw Data'!$AC$6:$AC$4834,'Diags Raw Data'!$D$6:$D$4834,$A24,'Diags Raw Data'!$M$6:$M$4834,"New")+SUMIFS('Diags Raw Data'!$AC$6:$AC$4834,'Diags Raw Data'!$D$6:$D$4834,$A24,'Diags Raw Data'!$M$6:$M$4834,"Delta")</f>
        <v>0</v>
      </c>
      <c r="S24" s="204">
        <f>SUMIFS('Diags Raw Data'!$AD$6:$AD$4834,'Diags Raw Data'!$D$6:$D$4834,$A24,'Diags Raw Data'!$M$6:$M$4834,"New")+SUMIFS('Diags Raw Data'!$AD$6:$AD$4834,'Diags Raw Data'!$D$6:$D$4834,$A24,'Diags Raw Data'!$M$6:$M$4834,"Delta")</f>
        <v>0</v>
      </c>
      <c r="T24" s="205">
        <f t="shared" si="12"/>
        <v>0.68693009118541037</v>
      </c>
      <c r="U24" s="230">
        <f t="shared" si="13"/>
        <v>1</v>
      </c>
      <c r="V24" s="232">
        <f t="shared" si="9"/>
        <v>0.68693009118541037</v>
      </c>
    </row>
    <row r="25" spans="1:22" x14ac:dyDescent="0.25">
      <c r="A25" s="334" t="s">
        <v>520</v>
      </c>
      <c r="B25" s="253">
        <f>SUMIFS('Diags Raw Data'!$L$6:$L$4834,'Diags Raw Data'!$D$6:$D$4834,$A25,'Diags Raw Data'!$M$6:$M$4834,"New")+SUMIFS('Diags Raw Data'!$L$6:$L$4834,'Diags Raw Data'!$D$6:$D$4834,$A25,'Diags Raw Data'!$M$6:$M$4834,"Delta")</f>
        <v>22</v>
      </c>
      <c r="C25" s="243">
        <f>SUMIFS('Diags Raw Data'!$R$6:$R$4834,'Diags Raw Data'!$D$6:$D$4834,$A25,'Diags Raw Data'!$M$6:$M$4834,"New")+SUMIFS('Diags Raw Data'!$R$6:$R$4834,'Diags Raw Data'!$D$6:$D$4834,$A25,'Diags Raw Data'!$M$6:$M$4834,"Delta")</f>
        <v>21</v>
      </c>
      <c r="D25" s="243">
        <f>SUMIFS('Diags Raw Data'!$K$6:$K$4834,'Diags Raw Data'!$D$6:$D$4834,$A25,'Diags Raw Data'!$M$6:$M$4834,"New")+SUMIFS('Diags Raw Data'!$K$6:$K$4834,'Diags Raw Data'!$D$6:$D$4834,$A25,'Diags Raw Data'!$M$6:$M$4834,"Delta")</f>
        <v>17</v>
      </c>
      <c r="E25" s="243">
        <f>SUMIFS('Diags Raw Data'!$O$6:$O$4834,'Diags Raw Data'!$D$6:$D$4834,$A25,'Diags Raw Data'!$M$6:$M$4834,"New")+SUMIFS('Diags Raw Data'!$O$6:$O$4834,'Diags Raw Data'!$D$6:$D$4834,$A25,'Diags Raw Data'!$M$6:$M$4834,"Delta")</f>
        <v>21.6</v>
      </c>
      <c r="F25" s="249">
        <f t="shared" si="8"/>
        <v>0.98181818181818192</v>
      </c>
      <c r="G25" s="231">
        <f>SUMIFS('Diags Raw Data'!$S$6:$S$4834,'Diags Raw Data'!$D$6:$D$4834,$A25,'Diags Raw Data'!$M$6:$M$4834,"New")+SUMIFS('Diags Raw Data'!$S$6:$S$4834,'Diags Raw Data'!$D$6:$D$4834,$A25,'Diags Raw Data'!$M$6:$M$4834,"Delta")</f>
        <v>18</v>
      </c>
      <c r="H25" s="227">
        <f>SUMIFS('Diags Raw Data'!$T$6:$T$4834,'Diags Raw Data'!$D$6:$D$4834,$A25,'Diags Raw Data'!$M$6:$M$4834,"New")+SUMIFS('Diags Raw Data'!$T$6:$T$4834,'Diags Raw Data'!$D$6:$D$4834,$A25,'Diags Raw Data'!$M$6:$M$4834,"Delta")</f>
        <v>17</v>
      </c>
      <c r="I25" s="227">
        <f>SUMIFS('Diags Raw Data'!$U$6:$U$4834,'Diags Raw Data'!$D$6:$D$4834,$A25,'Diags Raw Data'!$M$6:$M$4834,"New")+SUMIFS('Diags Raw Data'!$U$6:$U$4834,'Diags Raw Data'!$D$6:$D$4834,$A25,'Diags Raw Data'!$M$6:$M$4834,"Delta")</f>
        <v>0</v>
      </c>
      <c r="J25" s="227">
        <f>SUMIFS('Diags Raw Data'!$V$6:$V$4834,'Diags Raw Data'!$D$6:$D$4834,$A25,'Diags Raw Data'!$M$6:$M$4834,"New")+SUMIFS('Diags Raw Data'!$V$6:$V$4834,'Diags Raw Data'!$D$6:$D$4834,$A25,'Diags Raw Data'!$M$6:$M$4834,"Delta")</f>
        <v>1</v>
      </c>
      <c r="K25" s="227">
        <f>SUMIFS('Diags Raw Data'!$W$6:$W$4834,'Diags Raw Data'!$D$6:$D$4834,$A25,'Diags Raw Data'!$M$6:$M$4834,"New")+SUMIFS('Diags Raw Data'!$W$6:$W$4834,'Diags Raw Data'!$D$6:$D$4834,$A25,'Diags Raw Data'!$M$6:$M$4834,"Delta")</f>
        <v>0</v>
      </c>
      <c r="L25" s="244">
        <f t="shared" si="10"/>
        <v>0.8571428571428571</v>
      </c>
      <c r="M25" s="229">
        <f>IF(NOT($G25=0), (H25+I25)/$G25, "---")</f>
        <v>0.94444444444444442</v>
      </c>
      <c r="N25" s="238">
        <f t="shared" si="11"/>
        <v>0.80952380952380953</v>
      </c>
      <c r="O25" s="214">
        <f>SUMIFS('Diags Raw Data'!$Z$6:$Z$4834,'Diags Raw Data'!$D$6:$D$4834,$A25,'Diags Raw Data'!$M$6:$M$4834,"New")+SUMIFS('Diags Raw Data'!$Z$6:$Z$4834,'Diags Raw Data'!$D$6:$D$4834,$A25,'Diags Raw Data'!$M$6:$M$4834,"Delta")</f>
        <v>0</v>
      </c>
      <c r="P25" s="204">
        <f>SUMIFS('Diags Raw Data'!$AA$6:$AA$4834,'Diags Raw Data'!$D$6:$D$4834,$A25,'Diags Raw Data'!$M$6:$M$4834,"New")+SUMIFS('Diags Raw Data'!$AA$6:$AA$4834,'Diags Raw Data'!$D$6:$D$4834,$A25,'Diags Raw Data'!$M$6:$M$4834,"Delta")</f>
        <v>0</v>
      </c>
      <c r="Q25" s="204">
        <f>SUMIFS('Diags Raw Data'!$AB$6:$AB$4834,'Diags Raw Data'!$D$6:$D$4834,$A25,'Diags Raw Data'!$M$6:$M$4834,"New")+SUMIFS('Diags Raw Data'!$AB$6:$AB$4834,'Diags Raw Data'!$D$6:$D$4834,$A25,'Diags Raw Data'!$M$6:$M$4834,"Delta")</f>
        <v>0</v>
      </c>
      <c r="R25" s="204">
        <f>SUMIFS('Diags Raw Data'!$AC$6:$AC$4834,'Diags Raw Data'!$D$6:$D$4834,$A25,'Diags Raw Data'!$M$6:$M$4834,"New")+SUMIFS('Diags Raw Data'!$AC$6:$AC$4834,'Diags Raw Data'!$D$6:$D$4834,$A25,'Diags Raw Data'!$M$6:$M$4834,"Delta")</f>
        <v>0</v>
      </c>
      <c r="S25" s="204">
        <f>SUMIFS('Diags Raw Data'!$AD$6:$AD$4834,'Diags Raw Data'!$D$6:$D$4834,$A25,'Diags Raw Data'!$M$6:$M$4834,"New")+SUMIFS('Diags Raw Data'!$AD$6:$AD$4834,'Diags Raw Data'!$D$6:$D$4834,$A25,'Diags Raw Data'!$M$6:$M$4834,"Delta")</f>
        <v>0</v>
      </c>
      <c r="T25" s="205">
        <f t="shared" si="12"/>
        <v>0</v>
      </c>
      <c r="U25" s="230" t="str">
        <f t="shared" si="13"/>
        <v>---</v>
      </c>
      <c r="V25" s="232">
        <f t="shared" si="9"/>
        <v>0</v>
      </c>
    </row>
    <row r="26" spans="1:22" x14ac:dyDescent="0.25">
      <c r="A26" s="334" t="s">
        <v>521</v>
      </c>
      <c r="B26" s="253">
        <f>SUMIFS('Diags Raw Data'!$L$6:$L$4834,'Diags Raw Data'!$D$6:$D$4834,$A26,'Diags Raw Data'!$M$6:$M$4834,"New")+SUMIFS('Diags Raw Data'!$L$6:$L$4834,'Diags Raw Data'!$D$6:$D$4834,$A26,'Diags Raw Data'!$M$6:$M$4834,"Delta")</f>
        <v>140</v>
      </c>
      <c r="C26" s="243">
        <f>SUMIFS('Diags Raw Data'!$R$6:$R$4834,'Diags Raw Data'!$D$6:$D$4834,$A26,'Diags Raw Data'!$M$6:$M$4834,"New")+SUMIFS('Diags Raw Data'!$R$6:$R$4834,'Diags Raw Data'!$D$6:$D$4834,$A26,'Diags Raw Data'!$M$6:$M$4834,"Delta")</f>
        <v>48</v>
      </c>
      <c r="D26" s="243">
        <f>SUMIFS('Diags Raw Data'!$K$6:$K$4834,'Diags Raw Data'!$D$6:$D$4834,$A26,'Diags Raw Data'!$M$6:$M$4834,"New")+SUMIFS('Diags Raw Data'!$K$6:$K$4834,'Diags Raw Data'!$D$6:$D$4834,$A26,'Diags Raw Data'!$M$6:$M$4834,"Delta")</f>
        <v>14</v>
      </c>
      <c r="E26" s="243">
        <f>SUMIFS('Diags Raw Data'!$O$6:$O$4834,'Diags Raw Data'!$D$6:$D$4834,$A26,'Diags Raw Data'!$M$6:$M$4834,"New")+SUMIFS('Diags Raw Data'!$O$6:$O$4834,'Diags Raw Data'!$D$6:$D$4834,$A26,'Diags Raw Data'!$M$6:$M$4834,"Delta")</f>
        <v>139</v>
      </c>
      <c r="F26" s="249">
        <f t="shared" si="8"/>
        <v>0.99285714285714288</v>
      </c>
      <c r="G26" s="231">
        <f>SUMIFS('Diags Raw Data'!$S$6:$S$4834,'Diags Raw Data'!$D$6:$D$4834,$A26,'Diags Raw Data'!$M$6:$M$4834,"New")+SUMIFS('Diags Raw Data'!$S$6:$S$4834,'Diags Raw Data'!$D$6:$D$4834,$A26,'Diags Raw Data'!$M$6:$M$4834,"Delta")</f>
        <v>47</v>
      </c>
      <c r="H26" s="227">
        <f>SUMIFS('Diags Raw Data'!$T$6:$T$4834,'Diags Raw Data'!$D$6:$D$4834,$A26,'Diags Raw Data'!$M$6:$M$4834,"New")+SUMIFS('Diags Raw Data'!$T$6:$T$4834,'Diags Raw Data'!$D$6:$D$4834,$A26,'Diags Raw Data'!$M$6:$M$4834,"Delta")</f>
        <v>46</v>
      </c>
      <c r="I26" s="227">
        <f>SUMIFS('Diags Raw Data'!$U$6:$U$4834,'Diags Raw Data'!$D$6:$D$4834,$A26,'Diags Raw Data'!$M$6:$M$4834,"New")+SUMIFS('Diags Raw Data'!$U$6:$U$4834,'Diags Raw Data'!$D$6:$D$4834,$A26,'Diags Raw Data'!$M$6:$M$4834,"Delta")</f>
        <v>0</v>
      </c>
      <c r="J26" s="227">
        <f>SUMIFS('Diags Raw Data'!$V$6:$V$4834,'Diags Raw Data'!$D$6:$D$4834,$A26,'Diags Raw Data'!$M$6:$M$4834,"New")+SUMIFS('Diags Raw Data'!$V$6:$V$4834,'Diags Raw Data'!$D$6:$D$4834,$A26,'Diags Raw Data'!$M$6:$M$4834,"Delta")</f>
        <v>1</v>
      </c>
      <c r="K26" s="227">
        <f>SUMIFS('Diags Raw Data'!$W$6:$W$4834,'Diags Raw Data'!$D$6:$D$4834,$A26,'Diags Raw Data'!$M$6:$M$4834,"New")+SUMIFS('Diags Raw Data'!$W$6:$W$4834,'Diags Raw Data'!$D$6:$D$4834,$A26,'Diags Raw Data'!$M$6:$M$4834,"Delta")</f>
        <v>0</v>
      </c>
      <c r="L26" s="244">
        <f t="shared" si="10"/>
        <v>0.97916666666666663</v>
      </c>
      <c r="M26" s="229">
        <f t="shared" si="14"/>
        <v>0.97872340425531912</v>
      </c>
      <c r="N26" s="238">
        <f t="shared" si="11"/>
        <v>0.95833333333333337</v>
      </c>
      <c r="O26" s="214">
        <f>SUMIFS('Diags Raw Data'!$Z$6:$Z$4834,'Diags Raw Data'!$D$6:$D$4834,$A26,'Diags Raw Data'!$M$6:$M$4834,"New")+SUMIFS('Diags Raw Data'!$Z$6:$Z$4834,'Diags Raw Data'!$D$6:$D$4834,$A26,'Diags Raw Data'!$M$6:$M$4834,"Delta")</f>
        <v>3</v>
      </c>
      <c r="P26" s="204">
        <f>SUMIFS('Diags Raw Data'!$AA$6:$AA$4834,'Diags Raw Data'!$D$6:$D$4834,$A26,'Diags Raw Data'!$M$6:$M$4834,"New")+SUMIFS('Diags Raw Data'!$AA$6:$AA$4834,'Diags Raw Data'!$D$6:$D$4834,$A26,'Diags Raw Data'!$M$6:$M$4834,"Delta")</f>
        <v>3</v>
      </c>
      <c r="Q26" s="204">
        <f>SUMIFS('Diags Raw Data'!$AB$6:$AB$4834,'Diags Raw Data'!$D$6:$D$4834,$A26,'Diags Raw Data'!$M$6:$M$4834,"New")+SUMIFS('Diags Raw Data'!$AB$6:$AB$4834,'Diags Raw Data'!$D$6:$D$4834,$A26,'Diags Raw Data'!$M$6:$M$4834,"Delta")</f>
        <v>0</v>
      </c>
      <c r="R26" s="204">
        <f>SUMIFS('Diags Raw Data'!$AC$6:$AC$4834,'Diags Raw Data'!$D$6:$D$4834,$A26,'Diags Raw Data'!$M$6:$M$4834,"New")+SUMIFS('Diags Raw Data'!$AC$6:$AC$4834,'Diags Raw Data'!$D$6:$D$4834,$A26,'Diags Raw Data'!$M$6:$M$4834,"Delta")</f>
        <v>0</v>
      </c>
      <c r="S26" s="204">
        <f>SUMIFS('Diags Raw Data'!$AD$6:$AD$4834,'Diags Raw Data'!$D$6:$D$4834,$A26,'Diags Raw Data'!$M$6:$M$4834,"New")+SUMIFS('Diags Raw Data'!$AD$6:$AD$4834,'Diags Raw Data'!$D$6:$D$4834,$A26,'Diags Raw Data'!$M$6:$M$4834,"Delta")</f>
        <v>0</v>
      </c>
      <c r="T26" s="205">
        <f t="shared" si="12"/>
        <v>2.1428571428571429E-2</v>
      </c>
      <c r="U26" s="230">
        <f t="shared" si="13"/>
        <v>1</v>
      </c>
      <c r="V26" s="232">
        <f t="shared" si="9"/>
        <v>2.1428571428571429E-2</v>
      </c>
    </row>
    <row r="27" spans="1:22" ht="15.75" thickBot="1" x14ac:dyDescent="0.3">
      <c r="A27" s="335" t="s">
        <v>522</v>
      </c>
      <c r="B27" s="254">
        <f>SUMIFS('Diags Raw Data'!$L$6:$L$4834,'Diags Raw Data'!$D$6:$D$4834,$A27,'Diags Raw Data'!$M$6:$M$4834,"New")+SUMIFS('Diags Raw Data'!$L$6:$L$4834,'Diags Raw Data'!$D$6:$D$4834,$A27,'Diags Raw Data'!$M$6:$M$4834,"Delta")</f>
        <v>0</v>
      </c>
      <c r="C27" s="245">
        <f>SUMIFS('Diags Raw Data'!$R$6:$R$4834,'Diags Raw Data'!$D$6:$D$4834,$A27,'Diags Raw Data'!$M$6:$M$4834,"New")+SUMIFS('Diags Raw Data'!$R$6:$R$4834,'Diags Raw Data'!$D$6:$D$4834,$A27,'Diags Raw Data'!$M$6:$M$4834,"Delta")</f>
        <v>0</v>
      </c>
      <c r="D27" s="245">
        <f>SUMIFS('Diags Raw Data'!$K$6:$K$4834,'Diags Raw Data'!$D$6:$D$4834,$A27,'Diags Raw Data'!$M$6:$M$4834,"New")+SUMIFS('Diags Raw Data'!$K$6:$K$4834,'Diags Raw Data'!$D$6:$D$4834,$A27,'Diags Raw Data'!$M$6:$M$4834,"Delta")</f>
        <v>1</v>
      </c>
      <c r="E27" s="245">
        <f>SUMIFS('Diags Raw Data'!$O$6:$O$4834,'Diags Raw Data'!$D$6:$D$4834,$A27,'Diags Raw Data'!$M$6:$M$4834,"New")+SUMIFS('Diags Raw Data'!$O$6:$O$4834,'Diags Raw Data'!$D$6:$D$4834,$A27,'Diags Raw Data'!$M$6:$M$4834,"Delta")</f>
        <v>0</v>
      </c>
      <c r="F27" s="250" t="str">
        <f t="shared" si="8"/>
        <v>---</v>
      </c>
      <c r="G27" s="233">
        <f>SUMIFS('Diags Raw Data'!$S$6:$S$4834,'Diags Raw Data'!$D$6:$D$4834,$A27,'Diags Raw Data'!$M$6:$M$4834,"New")+SUMIFS('Diags Raw Data'!$S$6:$S$4834,'Diags Raw Data'!$D$6:$D$4834,$A27,'Diags Raw Data'!$M$6:$M$4834,"Delta")</f>
        <v>0</v>
      </c>
      <c r="H27" s="234">
        <f>SUMIFS('Diags Raw Data'!$T$6:$T$4834,'Diags Raw Data'!$D$6:$D$4834,$A27,'Diags Raw Data'!$M$6:$M$4834,"New")+SUMIFS('Diags Raw Data'!$T$6:$T$4834,'Diags Raw Data'!$D$6:$D$4834,$A27,'Diags Raw Data'!$M$6:$M$4834,"Delta")</f>
        <v>0</v>
      </c>
      <c r="I27" s="234">
        <f>SUMIFS('Diags Raw Data'!$U$6:$U$4834,'Diags Raw Data'!$D$6:$D$4834,$A27,'Diags Raw Data'!$M$6:$M$4834,"New")+SUMIFS('Diags Raw Data'!$U$6:$U$4834,'Diags Raw Data'!$D$6:$D$4834,$A27,'Diags Raw Data'!$M$6:$M$4834,"Delta")</f>
        <v>0</v>
      </c>
      <c r="J27" s="234">
        <f>SUMIFS('Diags Raw Data'!$V$6:$V$4834,'Diags Raw Data'!$D$6:$D$4834,$A27,'Diags Raw Data'!$M$6:$M$4834,"New")+SUMIFS('Diags Raw Data'!$V$6:$V$4834,'Diags Raw Data'!$D$6:$D$4834,$A27,'Diags Raw Data'!$M$6:$M$4834,"Delta")</f>
        <v>0</v>
      </c>
      <c r="K27" s="234">
        <f>SUMIFS('Diags Raw Data'!$W$6:$W$4834,'Diags Raw Data'!$D$6:$D$4834,$A27,'Diags Raw Data'!$M$6:$M$4834,"New")+SUMIFS('Diags Raw Data'!$W$6:$W$4834,'Diags Raw Data'!$D$6:$D$4834,$A27,'Diags Raw Data'!$M$6:$M$4834,"Delta")</f>
        <v>0</v>
      </c>
      <c r="L27" s="246" t="str">
        <f t="shared" si="10"/>
        <v>---</v>
      </c>
      <c r="M27" s="236" t="str">
        <f t="shared" si="14"/>
        <v>---</v>
      </c>
      <c r="N27" s="239" t="str">
        <f t="shared" si="11"/>
        <v>---</v>
      </c>
      <c r="O27" s="215">
        <f>SUMIFS('Diags Raw Data'!$Z$6:$Z$4834,'Diags Raw Data'!$D$6:$D$4834,$A27,'Diags Raw Data'!$M$6:$M$4834,"New")+SUMIFS('Diags Raw Data'!$Z$6:$Z$4834,'Diags Raw Data'!$D$6:$D$4834,$A27,'Diags Raw Data'!$M$6:$M$4834,"Delta")</f>
        <v>0</v>
      </c>
      <c r="P27" s="207">
        <f>SUMIFS('Diags Raw Data'!$AA$6:$AA$4834,'Diags Raw Data'!$D$6:$D$4834,$A27,'Diags Raw Data'!$M$6:$M$4834,"New")+SUMIFS('Diags Raw Data'!$AA$6:$AA$4834,'Diags Raw Data'!$D$6:$D$4834,$A27,'Diags Raw Data'!$M$6:$M$4834,"Delta")</f>
        <v>0</v>
      </c>
      <c r="Q27" s="207">
        <f>SUMIFS('Diags Raw Data'!$AB$6:$AB$4834,'Diags Raw Data'!$D$6:$D$4834,$A27,'Diags Raw Data'!$M$6:$M$4834,"New")+SUMIFS('Diags Raw Data'!$AB$6:$AB$4834,'Diags Raw Data'!$D$6:$D$4834,$A27,'Diags Raw Data'!$M$6:$M$4834,"Delta")</f>
        <v>0</v>
      </c>
      <c r="R27" s="207">
        <f>SUMIFS('Diags Raw Data'!$AC$6:$AC$4834,'Diags Raw Data'!$D$6:$D$4834,$A27,'Diags Raw Data'!$M$6:$M$4834,"New")+SUMIFS('Diags Raw Data'!$AC$6:$AC$4834,'Diags Raw Data'!$D$6:$D$4834,$A27,'Diags Raw Data'!$M$6:$M$4834,"Delta")</f>
        <v>0</v>
      </c>
      <c r="S27" s="207">
        <f>SUMIFS('Diags Raw Data'!$AD$6:$AD$4834,'Diags Raw Data'!$D$6:$D$4834,$A27,'Diags Raw Data'!$M$6:$M$4834,"New")+SUMIFS('Diags Raw Data'!$AD$6:$AD$4834,'Diags Raw Data'!$D$6:$D$4834,$A27,'Diags Raw Data'!$M$6:$M$4834,"Delta")</f>
        <v>0</v>
      </c>
      <c r="T27" s="208" t="str">
        <f t="shared" si="12"/>
        <v>---</v>
      </c>
      <c r="U27" s="240" t="str">
        <f t="shared" si="13"/>
        <v>---</v>
      </c>
      <c r="V27" s="237" t="str">
        <f t="shared" si="9"/>
        <v>---</v>
      </c>
    </row>
    <row r="28" spans="1:22" ht="16.5" thickBot="1" x14ac:dyDescent="0.3">
      <c r="A28" s="256" t="s">
        <v>525</v>
      </c>
      <c r="B28" s="257">
        <f>SUM(B18:B27)</f>
        <v>717</v>
      </c>
      <c r="C28" s="258">
        <f>SUM(C18:C27)</f>
        <v>522</v>
      </c>
      <c r="D28" s="258">
        <f>SUM(D18:D27)</f>
        <v>207</v>
      </c>
      <c r="E28" s="258">
        <f>SUM(E18:E27)</f>
        <v>709.1</v>
      </c>
      <c r="F28" s="259" cm="1">
        <f t="array" ref="F28">SUMPRODUCT(--(ISNUMBER(SEARCH("New",'Diags Raw Data'!$M$6:$M$4834))),'Diags Raw Data'!$K$6:$K$4834,'Diags Raw Data'!$P$6:$P$4834)/D28+SUMPRODUCT(--(ISNUMBER(SEARCH("Delta",'Diags Raw Data'!$M$6:$M$4834))),'Diags Raw Data'!$K$6:$K$4834,'Diags Raw Data'!$P$6:$P$4834)/D28</f>
        <v>0.97077294685990334</v>
      </c>
      <c r="G28" s="260">
        <f>SUM(G18:G27)</f>
        <v>443</v>
      </c>
      <c r="H28" s="261">
        <f>SUM(H18:H27)</f>
        <v>431</v>
      </c>
      <c r="I28" s="262">
        <f>SUM(I18:I27)</f>
        <v>0</v>
      </c>
      <c r="J28" s="261">
        <f>SUM(J18:J27)</f>
        <v>12</v>
      </c>
      <c r="K28" s="262">
        <f>SUM(K18:K27)</f>
        <v>0</v>
      </c>
      <c r="L28" s="263">
        <f>IF(NOT($C28=0), G28/$C28, "---")</f>
        <v>0.84865900383141768</v>
      </c>
      <c r="M28" s="264">
        <f t="shared" si="14"/>
        <v>0.97291196388261847</v>
      </c>
      <c r="N28" s="265">
        <f>IF(NOT($C28=0), (H28+I28)/$C28, "---")</f>
        <v>0.82567049808429116</v>
      </c>
      <c r="O28" s="266">
        <f>SUM(O18:O27)</f>
        <v>291</v>
      </c>
      <c r="P28" s="267">
        <f>SUM(P18:P27)</f>
        <v>289</v>
      </c>
      <c r="Q28" s="268">
        <f>SUM(Q18:Q27)</f>
        <v>1</v>
      </c>
      <c r="R28" s="267">
        <f>SUM(R18:R27)</f>
        <v>1</v>
      </c>
      <c r="S28" s="268">
        <f>SUM(S18:S27)</f>
        <v>0</v>
      </c>
      <c r="T28" s="269">
        <f>IF(NOT($B28=0), O28/$B28, "---")</f>
        <v>0.40585774058577406</v>
      </c>
      <c r="U28" s="270">
        <f t="shared" si="13"/>
        <v>0.99656357388316152</v>
      </c>
      <c r="V28" s="271">
        <f t="shared" si="9"/>
        <v>0.40446304044630405</v>
      </c>
    </row>
    <row r="29" spans="1:22" ht="15.75" thickBot="1" x14ac:dyDescent="0.3">
      <c r="A29" s="247"/>
      <c r="B29" s="247"/>
      <c r="C29" s="247"/>
      <c r="D29" s="247"/>
      <c r="E29" s="247"/>
      <c r="F29" s="247"/>
      <c r="G29" s="247"/>
      <c r="H29" s="247"/>
      <c r="I29" s="247"/>
      <c r="J29" s="247"/>
      <c r="K29" s="247"/>
      <c r="L29" s="247"/>
      <c r="M29" s="247"/>
      <c r="N29" s="247"/>
      <c r="O29" s="247"/>
      <c r="P29" s="247"/>
      <c r="Q29" s="247"/>
      <c r="R29" s="247"/>
      <c r="S29" s="247"/>
      <c r="T29" s="247"/>
      <c r="U29" s="247"/>
      <c r="V29" s="247"/>
    </row>
    <row r="30" spans="1:22" ht="15.75" thickBot="1" x14ac:dyDescent="0.3">
      <c r="A30" s="217" t="s">
        <v>33</v>
      </c>
      <c r="B30" s="643" t="s">
        <v>166</v>
      </c>
      <c r="C30" s="643"/>
      <c r="D30" s="643"/>
      <c r="E30" s="643"/>
      <c r="F30" s="643"/>
      <c r="G30" s="644" t="s">
        <v>177</v>
      </c>
      <c r="H30" s="645"/>
      <c r="I30" s="645"/>
      <c r="J30" s="645"/>
      <c r="K30" s="645"/>
      <c r="L30" s="645"/>
      <c r="M30" s="645"/>
      <c r="N30" s="646"/>
      <c r="O30" s="647" t="s">
        <v>144</v>
      </c>
      <c r="P30" s="648"/>
      <c r="Q30" s="648"/>
      <c r="R30" s="648"/>
      <c r="S30" s="648"/>
      <c r="T30" s="648"/>
      <c r="U30" s="648"/>
      <c r="V30" s="649"/>
    </row>
    <row r="31" spans="1:22" s="251" customFormat="1" ht="30.75" thickBot="1" x14ac:dyDescent="0.3">
      <c r="A31" s="255" t="s">
        <v>88</v>
      </c>
      <c r="B31" s="312" t="s">
        <v>167</v>
      </c>
      <c r="C31" s="313" t="s">
        <v>128</v>
      </c>
      <c r="D31" s="314" t="s">
        <v>105</v>
      </c>
      <c r="E31" s="314" t="s">
        <v>173</v>
      </c>
      <c r="F31" s="315" t="s">
        <v>175</v>
      </c>
      <c r="G31" s="316" t="s">
        <v>132</v>
      </c>
      <c r="H31" s="317" t="s">
        <v>30</v>
      </c>
      <c r="I31" s="317" t="s">
        <v>135</v>
      </c>
      <c r="J31" s="317" t="s">
        <v>36</v>
      </c>
      <c r="K31" s="317" t="s">
        <v>138</v>
      </c>
      <c r="L31" s="317" t="s">
        <v>184</v>
      </c>
      <c r="M31" s="317" t="s">
        <v>140</v>
      </c>
      <c r="N31" s="318" t="s">
        <v>187</v>
      </c>
      <c r="O31" s="319" t="s">
        <v>132</v>
      </c>
      <c r="P31" s="320" t="s">
        <v>30</v>
      </c>
      <c r="Q31" s="320" t="s">
        <v>135</v>
      </c>
      <c r="R31" s="320" t="s">
        <v>36</v>
      </c>
      <c r="S31" s="320" t="s">
        <v>138</v>
      </c>
      <c r="T31" s="320" t="s">
        <v>184</v>
      </c>
      <c r="U31" s="320" t="s">
        <v>140</v>
      </c>
      <c r="V31" s="321" t="s">
        <v>187</v>
      </c>
    </row>
    <row r="32" spans="1:22" x14ac:dyDescent="0.25">
      <c r="A32" s="334" t="s">
        <v>513</v>
      </c>
      <c r="B32" s="252">
        <f>SUMIFS('Diags Raw Data'!$L$6:$L$4834,'Diags Raw Data'!$D$6:$D$4834,$A32,'Diags Raw Data'!$M$6:$M$4834,"Legacy")</f>
        <v>0</v>
      </c>
      <c r="C32" s="242">
        <f>SUMIFS('Diags Raw Data'!$R$6:$R$4834,'Diags Raw Data'!$D$6:$D$4834,$A32,'Diags Raw Data'!$M$6:$M$4834,"Legacy")</f>
        <v>0</v>
      </c>
      <c r="D32" s="242">
        <f>SUMIFS('Diags Raw Data'!$K$6:$K$4834,'Diags Raw Data'!$D$6:$D$4834,$A32,'Diags Raw Data'!$M$6:$M$4834,"Legacy")</f>
        <v>0</v>
      </c>
      <c r="E32" s="242">
        <f>SUMIFS('Diags Raw Data'!$O$6:$O$4834,'Diags Raw Data'!$D$6:$D$4834,$A32,'Diags Raw Data'!$M$6:$M$4834,"Legacy")</f>
        <v>0</v>
      </c>
      <c r="F32" s="248" t="str">
        <f>IF(NOT($B32=0), E32/$B32, "---")</f>
        <v>---</v>
      </c>
      <c r="G32" s="220">
        <f>SUMIFS('Diags Raw Data'!$S$6:$S$4834,'Diags Raw Data'!$D$6:$D$4834,$A32,'Diags Raw Data'!$M$6:$M$4834,"Legacy")</f>
        <v>0</v>
      </c>
      <c r="H32" s="221">
        <f>SUMIFS('Diags Raw Data'!$T$6:$T$4834,'Diags Raw Data'!$D$6:$D$4834,$A32,'Diags Raw Data'!$M$6:$M$4834,"Legacy")</f>
        <v>0</v>
      </c>
      <c r="I32" s="223">
        <f>SUMIFS('Diags Raw Data'!$U$6:$U$4834,'Diags Raw Data'!$D$6:$D$4834,$A32,'Diags Raw Data'!$M$6:$M$4834,"Legacy")</f>
        <v>0</v>
      </c>
      <c r="J32" s="221">
        <f>SUMIFS('Diags Raw Data'!$V$6:$V$4834,'Diags Raw Data'!$D$6:$D$4834,$A32,'Diags Raw Data'!$M$6:$M$4834,"Legacy")</f>
        <v>0</v>
      </c>
      <c r="K32" s="223">
        <f>SUMIFS('Diags Raw Data'!$W$6:$W$4834,'Diags Raw Data'!$D$6:$D$4834,$A32,'Diags Raw Data'!$M$6:$M$4834,"Legacy")</f>
        <v>0</v>
      </c>
      <c r="L32" s="222" t="str">
        <f>IF(NOT($C32=0), G32/$C32, "---")</f>
        <v>---</v>
      </c>
      <c r="M32" s="224" t="str">
        <f>IF(NOT($G32=0), (H32+I32)/$G32, "---")</f>
        <v>---</v>
      </c>
      <c r="N32" s="226" t="str">
        <f>IF(NOT($C32=0), (H32+I32)/$C32, "---")</f>
        <v>---</v>
      </c>
      <c r="O32" s="213">
        <f>SUMIFS('Diags Raw Data'!$Z$6:$Z$4834,'Diags Raw Data'!$D$6:$D$4834,$A32,'Diags Raw Data'!$M$6:$M$4834,"Legacy")</f>
        <v>0</v>
      </c>
      <c r="P32" s="210">
        <f>SUMIFS('Diags Raw Data'!$AA$6:$AA$4834,'Diags Raw Data'!$D$6:$D$4834,$A32,'Diags Raw Data'!$M$6:$M$4834,"Legacy")</f>
        <v>0</v>
      </c>
      <c r="Q32" s="212">
        <f>SUMIFS('Diags Raw Data'!$AB$6:$AB$4834,'Diags Raw Data'!$D$6:$D$4834,$A32,'Diags Raw Data'!$M$6:$M$4834,"Legacy")</f>
        <v>0</v>
      </c>
      <c r="R32" s="210">
        <f>SUMIFS('Diags Raw Data'!$AC$6:$AC$4834,'Diags Raw Data'!$D$6:$D$4834,$A32,'Diags Raw Data'!$M$6:$M$4834,"Legacy")</f>
        <v>0</v>
      </c>
      <c r="S32" s="212">
        <f>SUMIFS('Diags Raw Data'!$AD$6:$AD$4834,'Diags Raw Data'!$D$6:$D$4834,$A32,'Diags Raw Data'!$M$6:$M$4834,"Legacy")</f>
        <v>0</v>
      </c>
      <c r="T32" s="211" t="str">
        <f>IF(NOT($B32=0), O32/$B32, "---")</f>
        <v>---</v>
      </c>
      <c r="U32" s="225" t="str">
        <f>IF(NOT($O32=0), (P32+Q32)/$O32, "---")</f>
        <v>---</v>
      </c>
      <c r="V32" s="241" t="str">
        <f>IF(NOT($B32=0), (P32+Q32)/$B32, "---")</f>
        <v>---</v>
      </c>
    </row>
    <row r="33" spans="1:22" x14ac:dyDescent="0.25">
      <c r="A33" s="334" t="s">
        <v>514</v>
      </c>
      <c r="B33" s="253">
        <f>SUMIFS('Diags Raw Data'!$L$6:$L$4834,'Diags Raw Data'!$D$6:$D$4834,$A33,'Diags Raw Data'!$M$6:$M$4834,"Legacy")</f>
        <v>0</v>
      </c>
      <c r="C33" s="243">
        <f>SUMIFS('Diags Raw Data'!$R$6:$R$4834,'Diags Raw Data'!$D$6:$D$4834,$A33,'Diags Raw Data'!$M$6:$M$4834,"Legacy")</f>
        <v>0</v>
      </c>
      <c r="D33" s="243">
        <f>SUMIFS('Diags Raw Data'!$K$6:$K$4834,'Diags Raw Data'!$D$6:$D$4834,$A33,'Diags Raw Data'!$M$6:$M$4834,"Legacy")</f>
        <v>0</v>
      </c>
      <c r="E33" s="243">
        <f>SUMIFS('Diags Raw Data'!$O$6:$O$4834,'Diags Raw Data'!$D$6:$D$4834,$A33,'Diags Raw Data'!$M$6:$M$4834,"Legacy")</f>
        <v>0</v>
      </c>
      <c r="F33" s="249" t="str">
        <f t="shared" ref="F33:F41" si="15">IF(NOT($B33=0), E33/$B33, "---")</f>
        <v>---</v>
      </c>
      <c r="G33" s="231">
        <f>SUMIFS('Diags Raw Data'!$S$6:$S$4834,'Diags Raw Data'!$D$6:$D$4834,$A33,'Diags Raw Data'!$M$6:$M$4834,"Legacy")</f>
        <v>0</v>
      </c>
      <c r="H33" s="227">
        <f>SUMIFS('Diags Raw Data'!$T$6:$T$4834,'Diags Raw Data'!$D$6:$D$4834,$A33,'Diags Raw Data'!$M$6:$M$4834,"Legacy")</f>
        <v>0</v>
      </c>
      <c r="I33" s="228">
        <f>SUMIFS('Diags Raw Data'!$U$6:$U$4834,'Diags Raw Data'!$D$6:$D$4834,$A33,'Diags Raw Data'!$M$6:$M$4834,"Legacy")</f>
        <v>0</v>
      </c>
      <c r="J33" s="227">
        <f>SUMIFS('Diags Raw Data'!$V$6:$V$4834,'Diags Raw Data'!$D$6:$D$4834,$A33,'Diags Raw Data'!$M$6:$M$4834,"Legacy")</f>
        <v>0</v>
      </c>
      <c r="K33" s="228">
        <f>SUMIFS('Diags Raw Data'!$W$6:$W$4834,'Diags Raw Data'!$D$6:$D$4834,$A33,'Diags Raw Data'!$M$6:$M$4834,"Legacy")</f>
        <v>0</v>
      </c>
      <c r="L33" s="244" t="str">
        <f t="shared" ref="L33:L41" si="16">IF(NOT($C33=0), G33/$C33, "---")</f>
        <v>---</v>
      </c>
      <c r="M33" s="229" t="str">
        <f t="shared" ref="M33:M42" si="17">IF(NOT($G33=0), (H33+I33)/$G33, "---")</f>
        <v>---</v>
      </c>
      <c r="N33" s="238" t="str">
        <f t="shared" ref="N33:N42" si="18">IF(NOT($C33=0), (H33+I33)/$C33, "---")</f>
        <v>---</v>
      </c>
      <c r="O33" s="214">
        <f>SUMIFS('Diags Raw Data'!$Z$6:$Z$4834,'Diags Raw Data'!$D$6:$D$4834,$A33,'Diags Raw Data'!$M$6:$M$4834,"Legacy")</f>
        <v>0</v>
      </c>
      <c r="P33" s="204">
        <f>SUMIFS('Diags Raw Data'!$AA$6:$AA$4834,'Diags Raw Data'!$D$6:$D$4834,$A33,'Diags Raw Data'!$M$6:$M$4834,"Legacy")</f>
        <v>0</v>
      </c>
      <c r="Q33" s="206">
        <f>SUMIFS('Diags Raw Data'!$AB$6:$AB$4834,'Diags Raw Data'!$D$6:$D$4834,$A33,'Diags Raw Data'!$M$6:$M$4834,"Legacy")</f>
        <v>0</v>
      </c>
      <c r="R33" s="204">
        <f>SUMIFS('Diags Raw Data'!$AC$6:$AC$4834,'Diags Raw Data'!$D$6:$D$4834,$A33,'Diags Raw Data'!$M$6:$M$4834,"Legacy")</f>
        <v>0</v>
      </c>
      <c r="S33" s="206">
        <f>SUMIFS('Diags Raw Data'!$AD$6:$AD$4834,'Diags Raw Data'!$D$6:$D$4834,$A33,'Diags Raw Data'!$M$6:$M$4834,"Legacy")</f>
        <v>0</v>
      </c>
      <c r="T33" s="205" t="str">
        <f t="shared" ref="T33:T41" si="19">IF(NOT($B33=0), O33/$B33, "---")</f>
        <v>---</v>
      </c>
      <c r="U33" s="230" t="str">
        <f t="shared" ref="U33:U42" si="20">IF(NOT($O33=0), (P33+Q33)/$O33, "---")</f>
        <v>---</v>
      </c>
      <c r="V33" s="232" t="str">
        <f t="shared" ref="V33:V41" si="21">IF(NOT($B33=0), (P33+Q33)/$B33, "---")</f>
        <v>---</v>
      </c>
    </row>
    <row r="34" spans="1:22" x14ac:dyDescent="0.25">
      <c r="A34" s="334" t="s">
        <v>515</v>
      </c>
      <c r="B34" s="253">
        <f>SUMIFS('Diags Raw Data'!$L$6:$L$4834,'Diags Raw Data'!$D$6:$D$4834,$A34,'Diags Raw Data'!$M$6:$M$4834,"Legacy")</f>
        <v>0</v>
      </c>
      <c r="C34" s="243">
        <f>SUMIFS('Diags Raw Data'!$R$6:$R$4834,'Diags Raw Data'!$D$6:$D$4834,$A34,'Diags Raw Data'!$M$6:$M$4834,"Legacy")</f>
        <v>0</v>
      </c>
      <c r="D34" s="243">
        <f>SUMIFS('Diags Raw Data'!$K$6:$K$4834,'Diags Raw Data'!$D$6:$D$4834,$A34,'Diags Raw Data'!$M$6:$M$4834,"Legacy")</f>
        <v>0</v>
      </c>
      <c r="E34" s="243">
        <f>SUMIFS('Diags Raw Data'!$O$6:$O$4834,'Diags Raw Data'!$D$6:$D$4834,$A34,'Diags Raw Data'!$M$6:$M$4834,"Legacy")</f>
        <v>0</v>
      </c>
      <c r="F34" s="249" t="str">
        <f t="shared" si="15"/>
        <v>---</v>
      </c>
      <c r="G34" s="231">
        <f>SUMIFS('Diags Raw Data'!$S$6:$S$4834,'Diags Raw Data'!$D$6:$D$4834,$A34,'Diags Raw Data'!$M$6:$M$4834,"Legacy")</f>
        <v>0</v>
      </c>
      <c r="H34" s="227">
        <f>SUMIFS('Diags Raw Data'!$T$6:$T$4834,'Diags Raw Data'!$D$6:$D$4834,$A34,'Diags Raw Data'!$M$6:$M$4834,"Legacy")</f>
        <v>0</v>
      </c>
      <c r="I34" s="228">
        <f>SUMIFS('Diags Raw Data'!$U$6:$U$4834,'Diags Raw Data'!$D$6:$D$4834,$A34,'Diags Raw Data'!$M$6:$M$4834,"Legacy")</f>
        <v>0</v>
      </c>
      <c r="J34" s="227">
        <f>SUMIFS('Diags Raw Data'!$V$6:$V$4834,'Diags Raw Data'!$D$6:$D$4834,$A34,'Diags Raw Data'!$M$6:$M$4834,"Legacy")</f>
        <v>0</v>
      </c>
      <c r="K34" s="228">
        <f>SUMIFS('Diags Raw Data'!$W$6:$W$4834,'Diags Raw Data'!$D$6:$D$4834,$A34,'Diags Raw Data'!$M$6:$M$4834,"Legacy")</f>
        <v>0</v>
      </c>
      <c r="L34" s="244" t="str">
        <f t="shared" si="16"/>
        <v>---</v>
      </c>
      <c r="M34" s="229" t="str">
        <f t="shared" si="17"/>
        <v>---</v>
      </c>
      <c r="N34" s="238" t="str">
        <f t="shared" si="18"/>
        <v>---</v>
      </c>
      <c r="O34" s="214">
        <f>SUMIFS('Diags Raw Data'!$Z$6:$Z$4834,'Diags Raw Data'!$D$6:$D$4834,$A34,'Diags Raw Data'!$M$6:$M$4834,"Legacy")</f>
        <v>0</v>
      </c>
      <c r="P34" s="204">
        <f>SUMIFS('Diags Raw Data'!$AA$6:$AA$4834,'Diags Raw Data'!$D$6:$D$4834,$A34,'Diags Raw Data'!$M$6:$M$4834,"Legacy")</f>
        <v>0</v>
      </c>
      <c r="Q34" s="206">
        <f>SUMIFS('Diags Raw Data'!$AB$6:$AB$4834,'Diags Raw Data'!$D$6:$D$4834,$A34,'Diags Raw Data'!$M$6:$M$4834,"Legacy")</f>
        <v>0</v>
      </c>
      <c r="R34" s="204">
        <f>SUMIFS('Diags Raw Data'!$AC$6:$AC$4834,'Diags Raw Data'!$D$6:$D$4834,$A34,'Diags Raw Data'!$M$6:$M$4834,"Legacy")</f>
        <v>0</v>
      </c>
      <c r="S34" s="206">
        <f>SUMIFS('Diags Raw Data'!$AD$6:$AD$4834,'Diags Raw Data'!$D$6:$D$4834,$A34,'Diags Raw Data'!$M$6:$M$4834,"Legacy")</f>
        <v>0</v>
      </c>
      <c r="T34" s="205" t="str">
        <f t="shared" si="19"/>
        <v>---</v>
      </c>
      <c r="U34" s="230" t="str">
        <f t="shared" si="20"/>
        <v>---</v>
      </c>
      <c r="V34" s="232" t="str">
        <f t="shared" si="21"/>
        <v>---</v>
      </c>
    </row>
    <row r="35" spans="1:22" x14ac:dyDescent="0.25">
      <c r="A35" s="334" t="s">
        <v>516</v>
      </c>
      <c r="B35" s="253">
        <f>SUMIFS('Diags Raw Data'!$L$6:$L$4834,'Diags Raw Data'!$D$6:$D$4834,$A35,'Diags Raw Data'!$M$6:$M$4834,"Legacy")</f>
        <v>0</v>
      </c>
      <c r="C35" s="243">
        <f>SUMIFS('Diags Raw Data'!$R$6:$R$4834,'Diags Raw Data'!$D$6:$D$4834,$A35,'Diags Raw Data'!$M$6:$M$4834,"Legacy")</f>
        <v>0</v>
      </c>
      <c r="D35" s="243">
        <f>SUMIFS('Diags Raw Data'!$K$6:$K$4834,'Diags Raw Data'!$D$6:$D$4834,$A35,'Diags Raw Data'!$M$6:$M$4834,"Legacy")</f>
        <v>0</v>
      </c>
      <c r="E35" s="243">
        <f>SUMIFS('Diags Raw Data'!$O$6:$O$4834,'Diags Raw Data'!$D$6:$D$4834,$A35,'Diags Raw Data'!$M$6:$M$4834,"Legacy")</f>
        <v>0</v>
      </c>
      <c r="F35" s="249" t="str">
        <f t="shared" si="15"/>
        <v>---</v>
      </c>
      <c r="G35" s="231">
        <f>SUMIFS('Diags Raw Data'!$S$6:$S$4834,'Diags Raw Data'!$D$6:$D$4834,$A35,'Diags Raw Data'!$M$6:$M$4834,"Legacy")</f>
        <v>0</v>
      </c>
      <c r="H35" s="227">
        <f>SUMIFS('Diags Raw Data'!$T$6:$T$4834,'Diags Raw Data'!$D$6:$D$4834,$A35,'Diags Raw Data'!$M$6:$M$4834,"Legacy")</f>
        <v>0</v>
      </c>
      <c r="I35" s="228">
        <f>SUMIFS('Diags Raw Data'!$U$6:$U$4834,'Diags Raw Data'!$D$6:$D$4834,$A35,'Diags Raw Data'!$M$6:$M$4834,"Legacy")</f>
        <v>0</v>
      </c>
      <c r="J35" s="227">
        <f>SUMIFS('Diags Raw Data'!$V$6:$V$4834,'Diags Raw Data'!$D$6:$D$4834,$A35,'Diags Raw Data'!$M$6:$M$4834,"Legacy")</f>
        <v>0</v>
      </c>
      <c r="K35" s="228">
        <f>SUMIFS('Diags Raw Data'!$W$6:$W$4834,'Diags Raw Data'!$D$6:$D$4834,$A35,'Diags Raw Data'!$M$6:$M$4834,"Legacy")</f>
        <v>0</v>
      </c>
      <c r="L35" s="244" t="str">
        <f t="shared" si="16"/>
        <v>---</v>
      </c>
      <c r="M35" s="229" t="str">
        <f t="shared" si="17"/>
        <v>---</v>
      </c>
      <c r="N35" s="238" t="str">
        <f t="shared" si="18"/>
        <v>---</v>
      </c>
      <c r="O35" s="214">
        <f>SUMIFS('Diags Raw Data'!$Z$6:$Z$4834,'Diags Raw Data'!$D$6:$D$4834,$A35,'Diags Raw Data'!$M$6:$M$4834,"Legacy")</f>
        <v>0</v>
      </c>
      <c r="P35" s="204">
        <f>SUMIFS('Diags Raw Data'!$AA$6:$AA$4834,'Diags Raw Data'!$D$6:$D$4834,$A35,'Diags Raw Data'!$M$6:$M$4834,"Legacy")</f>
        <v>0</v>
      </c>
      <c r="Q35" s="206">
        <f>SUMIFS('Diags Raw Data'!$AB$6:$AB$4834,'Diags Raw Data'!$D$6:$D$4834,$A35,'Diags Raw Data'!$M$6:$M$4834,"Legacy")</f>
        <v>0</v>
      </c>
      <c r="R35" s="204">
        <f>SUMIFS('Diags Raw Data'!$AC$6:$AC$4834,'Diags Raw Data'!$D$6:$D$4834,$A35,'Diags Raw Data'!$M$6:$M$4834,"Legacy")</f>
        <v>0</v>
      </c>
      <c r="S35" s="206">
        <f>SUMIFS('Diags Raw Data'!$AD$6:$AD$4834,'Diags Raw Data'!$D$6:$D$4834,$A35,'Diags Raw Data'!$M$6:$M$4834,"Legacy")</f>
        <v>0</v>
      </c>
      <c r="T35" s="205" t="str">
        <f t="shared" si="19"/>
        <v>---</v>
      </c>
      <c r="U35" s="230" t="str">
        <f t="shared" si="20"/>
        <v>---</v>
      </c>
      <c r="V35" s="232" t="str">
        <f t="shared" si="21"/>
        <v>---</v>
      </c>
    </row>
    <row r="36" spans="1:22" x14ac:dyDescent="0.25">
      <c r="A36" s="334" t="s">
        <v>517</v>
      </c>
      <c r="B36" s="253">
        <f>SUMIFS('Diags Raw Data'!$L$6:$L$4834,'Diags Raw Data'!$D$6:$D$4834,$A36,'Diags Raw Data'!$M$6:$M$4834,"Legacy")</f>
        <v>0</v>
      </c>
      <c r="C36" s="243">
        <f>SUMIFS('Diags Raw Data'!$R$6:$R$4834,'Diags Raw Data'!$D$6:$D$4834,$A36,'Diags Raw Data'!$M$6:$M$4834,"Legacy")</f>
        <v>0</v>
      </c>
      <c r="D36" s="243">
        <f>SUMIFS('Diags Raw Data'!$K$6:$K$4834,'Diags Raw Data'!$D$6:$D$4834,$A36,'Diags Raw Data'!$M$6:$M$4834,"Legacy")</f>
        <v>0</v>
      </c>
      <c r="E36" s="243">
        <f>SUMIFS('Diags Raw Data'!$O$6:$O$4834,'Diags Raw Data'!$D$6:$D$4834,$A36,'Diags Raw Data'!$M$6:$M$4834,"Legacy")</f>
        <v>0</v>
      </c>
      <c r="F36" s="249" t="str">
        <f t="shared" si="15"/>
        <v>---</v>
      </c>
      <c r="G36" s="231">
        <f>SUMIFS('Diags Raw Data'!$S$6:$S$4834,'Diags Raw Data'!$D$6:$D$4834,$A36,'Diags Raw Data'!$M$6:$M$4834,"Legacy")</f>
        <v>0</v>
      </c>
      <c r="H36" s="227">
        <f>SUMIFS('Diags Raw Data'!$T$6:$T$4834,'Diags Raw Data'!$D$6:$D$4834,$A36,'Diags Raw Data'!$M$6:$M$4834,"Legacy")</f>
        <v>0</v>
      </c>
      <c r="I36" s="228">
        <f>SUMIFS('Diags Raw Data'!$U$6:$U$4834,'Diags Raw Data'!$D$6:$D$4834,$A36,'Diags Raw Data'!$M$6:$M$4834,"Legacy")</f>
        <v>0</v>
      </c>
      <c r="J36" s="227">
        <f>SUMIFS('Diags Raw Data'!$V$6:$V$4834,'Diags Raw Data'!$D$6:$D$4834,$A36,'Diags Raw Data'!$M$6:$M$4834,"Legacy")</f>
        <v>0</v>
      </c>
      <c r="K36" s="228">
        <f>SUMIFS('Diags Raw Data'!$W$6:$W$4834,'Diags Raw Data'!$D$6:$D$4834,$A36,'Diags Raw Data'!$M$6:$M$4834,"Legacy")</f>
        <v>0</v>
      </c>
      <c r="L36" s="244" t="str">
        <f t="shared" si="16"/>
        <v>---</v>
      </c>
      <c r="M36" s="229" t="str">
        <f t="shared" si="17"/>
        <v>---</v>
      </c>
      <c r="N36" s="238" t="str">
        <f t="shared" si="18"/>
        <v>---</v>
      </c>
      <c r="O36" s="214">
        <f>SUMIFS('Diags Raw Data'!$Z$6:$Z$4834,'Diags Raw Data'!$D$6:$D$4834,$A36,'Diags Raw Data'!$M$6:$M$4834,"Legacy")</f>
        <v>0</v>
      </c>
      <c r="P36" s="204">
        <f>SUMIFS('Diags Raw Data'!$AA$6:$AA$4834,'Diags Raw Data'!$D$6:$D$4834,$A36,'Diags Raw Data'!$M$6:$M$4834,"Legacy")</f>
        <v>0</v>
      </c>
      <c r="Q36" s="206">
        <f>SUMIFS('Diags Raw Data'!$AB$6:$AB$4834,'Diags Raw Data'!$D$6:$D$4834,$A36,'Diags Raw Data'!$M$6:$M$4834,"Legacy")</f>
        <v>0</v>
      </c>
      <c r="R36" s="204">
        <f>SUMIFS('Diags Raw Data'!$AC$6:$AC$4834,'Diags Raw Data'!$D$6:$D$4834,$A36,'Diags Raw Data'!$M$6:$M$4834,"Legacy")</f>
        <v>0</v>
      </c>
      <c r="S36" s="206">
        <f>SUMIFS('Diags Raw Data'!$AD$6:$AD$4834,'Diags Raw Data'!$D$6:$D$4834,$A36,'Diags Raw Data'!$M$6:$M$4834,"Legacy")</f>
        <v>0</v>
      </c>
      <c r="T36" s="205" t="str">
        <f t="shared" si="19"/>
        <v>---</v>
      </c>
      <c r="U36" s="230" t="str">
        <f t="shared" si="20"/>
        <v>---</v>
      </c>
      <c r="V36" s="232" t="str">
        <f t="shared" si="21"/>
        <v>---</v>
      </c>
    </row>
    <row r="37" spans="1:22" x14ac:dyDescent="0.25">
      <c r="A37" s="334" t="s">
        <v>518</v>
      </c>
      <c r="B37" s="253">
        <f>SUMIFS('Diags Raw Data'!$L$6:$L$4834,'Diags Raw Data'!$D$6:$D$4834,$A37,'Diags Raw Data'!$M$6:$M$4834,"Legacy")</f>
        <v>0</v>
      </c>
      <c r="C37" s="243">
        <f>SUMIFS('Diags Raw Data'!$R$6:$R$4834,'Diags Raw Data'!$D$6:$D$4834,$A37,'Diags Raw Data'!$M$6:$M$4834,"Legacy")</f>
        <v>0</v>
      </c>
      <c r="D37" s="243">
        <f>SUMIFS('Diags Raw Data'!$K$6:$K$4834,'Diags Raw Data'!$D$6:$D$4834,$A37,'Diags Raw Data'!$M$6:$M$4834,"Legacy")</f>
        <v>1</v>
      </c>
      <c r="E37" s="243">
        <f>SUMIFS('Diags Raw Data'!$O$6:$O$4834,'Diags Raw Data'!$D$6:$D$4834,$A37,'Diags Raw Data'!$M$6:$M$4834,"Legacy")</f>
        <v>0</v>
      </c>
      <c r="F37" s="249" t="str">
        <f t="shared" si="15"/>
        <v>---</v>
      </c>
      <c r="G37" s="231">
        <f>SUMIFS('Diags Raw Data'!$S$6:$S$4834,'Diags Raw Data'!$D$6:$D$4834,$A37,'Diags Raw Data'!$M$6:$M$4834,"Legacy")</f>
        <v>0</v>
      </c>
      <c r="H37" s="227">
        <f>SUMIFS('Diags Raw Data'!$T$6:$T$4834,'Diags Raw Data'!$D$6:$D$4834,$A37,'Diags Raw Data'!$M$6:$M$4834,"Legacy")</f>
        <v>0</v>
      </c>
      <c r="I37" s="228">
        <f>SUMIFS('Diags Raw Data'!$U$6:$U$4834,'Diags Raw Data'!$D$6:$D$4834,$A37,'Diags Raw Data'!$M$6:$M$4834,"Legacy")</f>
        <v>0</v>
      </c>
      <c r="J37" s="227">
        <f>SUMIFS('Diags Raw Data'!$V$6:$V$4834,'Diags Raw Data'!$D$6:$D$4834,$A37,'Diags Raw Data'!$M$6:$M$4834,"Legacy")</f>
        <v>0</v>
      </c>
      <c r="K37" s="228">
        <f>SUMIFS('Diags Raw Data'!$W$6:$W$4834,'Diags Raw Data'!$D$6:$D$4834,$A37,'Diags Raw Data'!$M$6:$M$4834,"Legacy")</f>
        <v>0</v>
      </c>
      <c r="L37" s="244" t="str">
        <f t="shared" si="16"/>
        <v>---</v>
      </c>
      <c r="M37" s="229" t="str">
        <f t="shared" si="17"/>
        <v>---</v>
      </c>
      <c r="N37" s="238" t="str">
        <f t="shared" si="18"/>
        <v>---</v>
      </c>
      <c r="O37" s="214">
        <f>SUMIFS('Diags Raw Data'!$Z$6:$Z$4834,'Diags Raw Data'!$D$6:$D$4834,$A37,'Diags Raw Data'!$M$6:$M$4834,"Legacy")</f>
        <v>0</v>
      </c>
      <c r="P37" s="204">
        <f>SUMIFS('Diags Raw Data'!$AA$6:$AA$4834,'Diags Raw Data'!$D$6:$D$4834,$A37,'Diags Raw Data'!$M$6:$M$4834,"Legacy")</f>
        <v>0</v>
      </c>
      <c r="Q37" s="206">
        <f>SUMIFS('Diags Raw Data'!$AB$6:$AB$4834,'Diags Raw Data'!$D$6:$D$4834,$A37,'Diags Raw Data'!$M$6:$M$4834,"Legacy")</f>
        <v>0</v>
      </c>
      <c r="R37" s="204">
        <f>SUMIFS('Diags Raw Data'!$AC$6:$AC$4834,'Diags Raw Data'!$D$6:$D$4834,$A37,'Diags Raw Data'!$M$6:$M$4834,"Legacy")</f>
        <v>0</v>
      </c>
      <c r="S37" s="206">
        <f>SUMIFS('Diags Raw Data'!$AD$6:$AD$4834,'Diags Raw Data'!$D$6:$D$4834,$A37,'Diags Raw Data'!$M$6:$M$4834,"Legacy")</f>
        <v>0</v>
      </c>
      <c r="T37" s="205" t="str">
        <f t="shared" si="19"/>
        <v>---</v>
      </c>
      <c r="U37" s="230" t="str">
        <f t="shared" si="20"/>
        <v>---</v>
      </c>
      <c r="V37" s="232" t="str">
        <f t="shared" si="21"/>
        <v>---</v>
      </c>
    </row>
    <row r="38" spans="1:22" x14ac:dyDescent="0.25">
      <c r="A38" s="334" t="s">
        <v>519</v>
      </c>
      <c r="B38" s="253">
        <f>SUMIFS('Diags Raw Data'!$L$6:$L$4834,'Diags Raw Data'!$D$6:$D$4834,$A38,'Diags Raw Data'!$M$6:$M$4834,"Legacy")</f>
        <v>0</v>
      </c>
      <c r="C38" s="243">
        <f>SUMIFS('Diags Raw Data'!$R$6:$R$4834,'Diags Raw Data'!$D$6:$D$4834,$A38,'Diags Raw Data'!$M$6:$M$4834,"Legacy")</f>
        <v>0</v>
      </c>
      <c r="D38" s="243">
        <f>SUMIFS('Diags Raw Data'!$K$6:$K$4834,'Diags Raw Data'!$D$6:$D$4834,$A38,'Diags Raw Data'!$M$6:$M$4834,"Legacy")</f>
        <v>0</v>
      </c>
      <c r="E38" s="243">
        <f>SUMIFS('Diags Raw Data'!$O$6:$O$4834,'Diags Raw Data'!$D$6:$D$4834,$A38,'Diags Raw Data'!$M$6:$M$4834,"Legacy")</f>
        <v>0</v>
      </c>
      <c r="F38" s="249" t="str">
        <f t="shared" si="15"/>
        <v>---</v>
      </c>
      <c r="G38" s="231">
        <f>SUMIFS('Diags Raw Data'!$S$6:$S$4834,'Diags Raw Data'!$D$6:$D$4834,$A38,'Diags Raw Data'!$M$6:$M$4834,"Legacy")</f>
        <v>0</v>
      </c>
      <c r="H38" s="227">
        <f>SUMIFS('Diags Raw Data'!$T$6:$T$4834,'Diags Raw Data'!$D$6:$D$4834,$A38,'Diags Raw Data'!$M$6:$M$4834,"Legacy")</f>
        <v>0</v>
      </c>
      <c r="I38" s="228">
        <f>SUMIFS('Diags Raw Data'!$U$6:$U$4834,'Diags Raw Data'!$D$6:$D$4834,$A38,'Diags Raw Data'!$M$6:$M$4834,"Legacy")</f>
        <v>0</v>
      </c>
      <c r="J38" s="227">
        <f>SUMIFS('Diags Raw Data'!$V$6:$V$4834,'Diags Raw Data'!$D$6:$D$4834,$A38,'Diags Raw Data'!$M$6:$M$4834,"Legacy")</f>
        <v>0</v>
      </c>
      <c r="K38" s="228">
        <f>SUMIFS('Diags Raw Data'!$W$6:$W$4834,'Diags Raw Data'!$D$6:$D$4834,$A38,'Diags Raw Data'!$M$6:$M$4834,"Legacy")</f>
        <v>0</v>
      </c>
      <c r="L38" s="244" t="str">
        <f t="shared" si="16"/>
        <v>---</v>
      </c>
      <c r="M38" s="229" t="str">
        <f t="shared" si="17"/>
        <v>---</v>
      </c>
      <c r="N38" s="238" t="str">
        <f t="shared" si="18"/>
        <v>---</v>
      </c>
      <c r="O38" s="214">
        <f>SUMIFS('Diags Raw Data'!$Z$6:$Z$4834,'Diags Raw Data'!$D$6:$D$4834,$A38,'Diags Raw Data'!$M$6:$M$4834,"Legacy")</f>
        <v>0</v>
      </c>
      <c r="P38" s="204">
        <f>SUMIFS('Diags Raw Data'!$AA$6:$AA$4834,'Diags Raw Data'!$D$6:$D$4834,$A38,'Diags Raw Data'!$M$6:$M$4834,"Legacy")</f>
        <v>0</v>
      </c>
      <c r="Q38" s="206">
        <f>SUMIFS('Diags Raw Data'!$AB$6:$AB$4834,'Diags Raw Data'!$D$6:$D$4834,$A38,'Diags Raw Data'!$M$6:$M$4834,"Legacy")</f>
        <v>0</v>
      </c>
      <c r="R38" s="204">
        <f>SUMIFS('Diags Raw Data'!$AC$6:$AC$4834,'Diags Raw Data'!$D$6:$D$4834,$A38,'Diags Raw Data'!$M$6:$M$4834,"Legacy")</f>
        <v>0</v>
      </c>
      <c r="S38" s="206">
        <f>SUMIFS('Diags Raw Data'!$AD$6:$AD$4834,'Diags Raw Data'!$D$6:$D$4834,$A38,'Diags Raw Data'!$M$6:$M$4834,"Legacy")</f>
        <v>0</v>
      </c>
      <c r="T38" s="205" t="str">
        <f t="shared" si="19"/>
        <v>---</v>
      </c>
      <c r="U38" s="230" t="str">
        <f t="shared" si="20"/>
        <v>---</v>
      </c>
      <c r="V38" s="232" t="str">
        <f t="shared" si="21"/>
        <v>---</v>
      </c>
    </row>
    <row r="39" spans="1:22" x14ac:dyDescent="0.25">
      <c r="A39" s="334" t="s">
        <v>520</v>
      </c>
      <c r="B39" s="253">
        <f>SUMIFS('Diags Raw Data'!$L$6:$L$4834,'Diags Raw Data'!$D$6:$D$4834,$A39,'Diags Raw Data'!$M$6:$M$4834,"Legacy")</f>
        <v>0</v>
      </c>
      <c r="C39" s="243">
        <f>SUMIFS('Diags Raw Data'!$R$6:$R$4834,'Diags Raw Data'!$D$6:$D$4834,$A39,'Diags Raw Data'!$M$6:$M$4834,"Legacy")</f>
        <v>0</v>
      </c>
      <c r="D39" s="243">
        <f>SUMIFS('Diags Raw Data'!$K$6:$K$4834,'Diags Raw Data'!$D$6:$D$4834,$A39,'Diags Raw Data'!$M$6:$M$4834,"Legacy")</f>
        <v>0</v>
      </c>
      <c r="E39" s="243">
        <f>SUMIFS('Diags Raw Data'!$O$6:$O$4834,'Diags Raw Data'!$D$6:$D$4834,$A39,'Diags Raw Data'!$M$6:$M$4834,"Legacy")</f>
        <v>0</v>
      </c>
      <c r="F39" s="249" t="str">
        <f t="shared" si="15"/>
        <v>---</v>
      </c>
      <c r="G39" s="231">
        <f>SUMIFS('Diags Raw Data'!$S$6:$S$4834,'Diags Raw Data'!$D$6:$D$4834,$A39,'Diags Raw Data'!$M$6:$M$4834,"Legacy")</f>
        <v>0</v>
      </c>
      <c r="H39" s="227">
        <f>SUMIFS('Diags Raw Data'!$T$6:$T$4834,'Diags Raw Data'!$D$6:$D$4834,$A39,'Diags Raw Data'!$M$6:$M$4834,"Legacy")</f>
        <v>0</v>
      </c>
      <c r="I39" s="228">
        <f>SUMIFS('Diags Raw Data'!$U$6:$U$4834,'Diags Raw Data'!$D$6:$D$4834,$A39,'Diags Raw Data'!$M$6:$M$4834,"Legacy")</f>
        <v>0</v>
      </c>
      <c r="J39" s="227">
        <f>SUMIFS('Diags Raw Data'!$V$6:$V$4834,'Diags Raw Data'!$D$6:$D$4834,$A39,'Diags Raw Data'!$M$6:$M$4834,"Legacy")</f>
        <v>0</v>
      </c>
      <c r="K39" s="228">
        <f>SUMIFS('Diags Raw Data'!$W$6:$W$4834,'Diags Raw Data'!$D$6:$D$4834,$A39,'Diags Raw Data'!$M$6:$M$4834,"Legacy")</f>
        <v>0</v>
      </c>
      <c r="L39" s="244" t="str">
        <f t="shared" si="16"/>
        <v>---</v>
      </c>
      <c r="M39" s="229" t="str">
        <f t="shared" si="17"/>
        <v>---</v>
      </c>
      <c r="N39" s="238" t="str">
        <f t="shared" si="18"/>
        <v>---</v>
      </c>
      <c r="O39" s="214">
        <f>SUMIFS('Diags Raw Data'!$Z$6:$Z$4834,'Diags Raw Data'!$D$6:$D$4834,$A39,'Diags Raw Data'!$M$6:$M$4834,"Legacy")</f>
        <v>0</v>
      </c>
      <c r="P39" s="204">
        <f>SUMIFS('Diags Raw Data'!$AA$6:$AA$4834,'Diags Raw Data'!$D$6:$D$4834,$A39,'Diags Raw Data'!$M$6:$M$4834,"Legacy")</f>
        <v>0</v>
      </c>
      <c r="Q39" s="206">
        <f>SUMIFS('Diags Raw Data'!$AB$6:$AB$4834,'Diags Raw Data'!$D$6:$D$4834,$A39,'Diags Raw Data'!$M$6:$M$4834,"Legacy")</f>
        <v>0</v>
      </c>
      <c r="R39" s="204">
        <f>SUMIFS('Diags Raw Data'!$AC$6:$AC$4834,'Diags Raw Data'!$D$6:$D$4834,$A39,'Diags Raw Data'!$M$6:$M$4834,"Legacy")</f>
        <v>0</v>
      </c>
      <c r="S39" s="206">
        <f>SUMIFS('Diags Raw Data'!$AD$6:$AD$4834,'Diags Raw Data'!$D$6:$D$4834,$A39,'Diags Raw Data'!$M$6:$M$4834,"Legacy")</f>
        <v>0</v>
      </c>
      <c r="T39" s="205" t="str">
        <f t="shared" si="19"/>
        <v>---</v>
      </c>
      <c r="U39" s="230" t="str">
        <f t="shared" si="20"/>
        <v>---</v>
      </c>
      <c r="V39" s="232" t="str">
        <f t="shared" si="21"/>
        <v>---</v>
      </c>
    </row>
    <row r="40" spans="1:22" x14ac:dyDescent="0.25">
      <c r="A40" s="334" t="s">
        <v>521</v>
      </c>
      <c r="B40" s="253">
        <f>SUMIFS('Diags Raw Data'!$L$6:$L$4834,'Diags Raw Data'!$D$6:$D$4834,$A40,'Diags Raw Data'!$M$6:$M$4834,"Legacy")</f>
        <v>0</v>
      </c>
      <c r="C40" s="243">
        <f>SUMIFS('Diags Raw Data'!$R$6:$R$4834,'Diags Raw Data'!$D$6:$D$4834,$A40,'Diags Raw Data'!$M$6:$M$4834,"Legacy")</f>
        <v>0</v>
      </c>
      <c r="D40" s="243">
        <f>SUMIFS('Diags Raw Data'!$K$6:$K$4834,'Diags Raw Data'!$D$6:$D$4834,$A40,'Diags Raw Data'!$M$6:$M$4834,"Legacy")</f>
        <v>0</v>
      </c>
      <c r="E40" s="243">
        <f>SUMIFS('Diags Raw Data'!$O$6:$O$4834,'Diags Raw Data'!$D$6:$D$4834,$A40,'Diags Raw Data'!$M$6:$M$4834,"Legacy")</f>
        <v>0</v>
      </c>
      <c r="F40" s="249" t="str">
        <f t="shared" si="15"/>
        <v>---</v>
      </c>
      <c r="G40" s="231">
        <f>SUMIFS('Diags Raw Data'!$S$6:$S$4834,'Diags Raw Data'!$D$6:$D$4834,$A40,'Diags Raw Data'!$M$6:$M$4834,"Legacy")</f>
        <v>0</v>
      </c>
      <c r="H40" s="227">
        <f>SUMIFS('Diags Raw Data'!$T$6:$T$4834,'Diags Raw Data'!$D$6:$D$4834,$A40,'Diags Raw Data'!$M$6:$M$4834,"Legacy")</f>
        <v>0</v>
      </c>
      <c r="I40" s="228">
        <f>SUMIFS('Diags Raw Data'!$U$6:$U$4834,'Diags Raw Data'!$D$6:$D$4834,$A40,'Diags Raw Data'!$M$6:$M$4834,"Legacy")</f>
        <v>0</v>
      </c>
      <c r="J40" s="227">
        <f>SUMIFS('Diags Raw Data'!$V$6:$V$4834,'Diags Raw Data'!$D$6:$D$4834,$A40,'Diags Raw Data'!$M$6:$M$4834,"Legacy")</f>
        <v>0</v>
      </c>
      <c r="K40" s="228">
        <f>SUMIFS('Diags Raw Data'!$W$6:$W$4834,'Diags Raw Data'!$D$6:$D$4834,$A40,'Diags Raw Data'!$M$6:$M$4834,"Legacy")</f>
        <v>0</v>
      </c>
      <c r="L40" s="244" t="str">
        <f t="shared" si="16"/>
        <v>---</v>
      </c>
      <c r="M40" s="229" t="str">
        <f t="shared" si="17"/>
        <v>---</v>
      </c>
      <c r="N40" s="238" t="str">
        <f t="shared" si="18"/>
        <v>---</v>
      </c>
      <c r="O40" s="214">
        <f>SUMIFS('Diags Raw Data'!$Z$6:$Z$4834,'Diags Raw Data'!$D$6:$D$4834,$A40,'Diags Raw Data'!$M$6:$M$4834,"Legacy")</f>
        <v>0</v>
      </c>
      <c r="P40" s="204">
        <f>SUMIFS('Diags Raw Data'!$AA$6:$AA$4834,'Diags Raw Data'!$D$6:$D$4834,$A40,'Diags Raw Data'!$M$6:$M$4834,"Legacy")</f>
        <v>0</v>
      </c>
      <c r="Q40" s="206">
        <f>SUMIFS('Diags Raw Data'!$AB$6:$AB$4834,'Diags Raw Data'!$D$6:$D$4834,$A40,'Diags Raw Data'!$M$6:$M$4834,"Legacy")</f>
        <v>0</v>
      </c>
      <c r="R40" s="204">
        <f>SUMIFS('Diags Raw Data'!$AC$6:$AC$4834,'Diags Raw Data'!$D$6:$D$4834,$A40,'Diags Raw Data'!$M$6:$M$4834,"Legacy")</f>
        <v>0</v>
      </c>
      <c r="S40" s="206">
        <f>SUMIFS('Diags Raw Data'!$AD$6:$AD$4834,'Diags Raw Data'!$D$6:$D$4834,$A40,'Diags Raw Data'!$M$6:$M$4834,"Legacy")</f>
        <v>0</v>
      </c>
      <c r="T40" s="205" t="str">
        <f t="shared" si="19"/>
        <v>---</v>
      </c>
      <c r="U40" s="230" t="str">
        <f t="shared" si="20"/>
        <v>---</v>
      </c>
      <c r="V40" s="232" t="str">
        <f t="shared" si="21"/>
        <v>---</v>
      </c>
    </row>
    <row r="41" spans="1:22" ht="15.75" thickBot="1" x14ac:dyDescent="0.3">
      <c r="A41" s="335" t="s">
        <v>522</v>
      </c>
      <c r="B41" s="254">
        <f>SUMIFS('Diags Raw Data'!$L$6:$L$4834,'Diags Raw Data'!$D$6:$D$4834,$A41,'Diags Raw Data'!$M$6:$M$4834,"Legacy")</f>
        <v>0</v>
      </c>
      <c r="C41" s="245">
        <f>SUMIFS('Diags Raw Data'!$R$6:$R$4834,'Diags Raw Data'!$D$6:$D$4834,$A41,'Diags Raw Data'!$M$6:$M$4834,"Legacy")</f>
        <v>0</v>
      </c>
      <c r="D41" s="245">
        <f>SUMIFS('Diags Raw Data'!$K$6:$K$4834,'Diags Raw Data'!$D$6:$D$4834,$A41,'Diags Raw Data'!$M$6:$M$4834,"Legacy")</f>
        <v>0</v>
      </c>
      <c r="E41" s="245">
        <f>SUMIFS('Diags Raw Data'!$O$6:$O$4834,'Diags Raw Data'!$D$6:$D$4834,$A41,'Diags Raw Data'!$M$6:$M$4834,"Legacy")</f>
        <v>0</v>
      </c>
      <c r="F41" s="250" t="str">
        <f t="shared" si="15"/>
        <v>---</v>
      </c>
      <c r="G41" s="233">
        <f>SUMIFS('Diags Raw Data'!$S$6:$S$4834,'Diags Raw Data'!$D$6:$D$4834,$A41,'Diags Raw Data'!$M$6:$M$4834,"Legacy")</f>
        <v>0</v>
      </c>
      <c r="H41" s="234">
        <f>SUMIFS('Diags Raw Data'!$T$6:$T$4834,'Diags Raw Data'!$D$6:$D$4834,$A41,'Diags Raw Data'!$M$6:$M$4834,"Legacy")</f>
        <v>0</v>
      </c>
      <c r="I41" s="235">
        <f>SUMIFS('Diags Raw Data'!$U$6:$U$4834,'Diags Raw Data'!$D$6:$D$4834,$A41,'Diags Raw Data'!$M$6:$M$4834,"Legacy")</f>
        <v>0</v>
      </c>
      <c r="J41" s="234">
        <f>SUMIFS('Diags Raw Data'!$V$6:$V$4834,'Diags Raw Data'!$D$6:$D$4834,$A41,'Diags Raw Data'!$M$6:$M$4834,"Legacy")</f>
        <v>0</v>
      </c>
      <c r="K41" s="235">
        <f>SUMIFS('Diags Raw Data'!$W$6:$W$4834,'Diags Raw Data'!$D$6:$D$4834,$A41,'Diags Raw Data'!$M$6:$M$4834,"Legacy")</f>
        <v>0</v>
      </c>
      <c r="L41" s="246" t="str">
        <f t="shared" si="16"/>
        <v>---</v>
      </c>
      <c r="M41" s="236" t="str">
        <f t="shared" si="17"/>
        <v>---</v>
      </c>
      <c r="N41" s="239" t="str">
        <f t="shared" si="18"/>
        <v>---</v>
      </c>
      <c r="O41" s="215">
        <f>SUMIFS('Diags Raw Data'!$Z$6:$Z$4834,'Diags Raw Data'!$D$6:$D$4834,$A41,'Diags Raw Data'!$M$6:$M$4834,"Legacy")</f>
        <v>0</v>
      </c>
      <c r="P41" s="207">
        <f>SUMIFS('Diags Raw Data'!$AA$6:$AA$4834,'Diags Raw Data'!$D$6:$D$4834,$A41,'Diags Raw Data'!$M$6:$M$4834,"Legacy")</f>
        <v>0</v>
      </c>
      <c r="Q41" s="209">
        <f>SUMIFS('Diags Raw Data'!$AB$6:$AB$4834,'Diags Raw Data'!$D$6:$D$4834,$A41,'Diags Raw Data'!$M$6:$M$4834,"Legacy")</f>
        <v>0</v>
      </c>
      <c r="R41" s="207">
        <f>SUMIFS('Diags Raw Data'!$AC$6:$AC$4834,'Diags Raw Data'!$D$6:$D$4834,$A41,'Diags Raw Data'!$M$6:$M$4834,"Legacy")</f>
        <v>0</v>
      </c>
      <c r="S41" s="209">
        <f>SUMIFS('Diags Raw Data'!$AD$6:$AD$4834,'Diags Raw Data'!$D$6:$D$4834,$A41,'Diags Raw Data'!$M$6:$M$4834,"Legacy")</f>
        <v>0</v>
      </c>
      <c r="T41" s="208" t="str">
        <f t="shared" si="19"/>
        <v>---</v>
      </c>
      <c r="U41" s="240" t="str">
        <f t="shared" si="20"/>
        <v>---</v>
      </c>
      <c r="V41" s="237" t="str">
        <f t="shared" si="21"/>
        <v>---</v>
      </c>
    </row>
    <row r="42" spans="1:22" ht="16.5" thickBot="1" x14ac:dyDescent="0.3">
      <c r="A42" s="272" t="s">
        <v>526</v>
      </c>
      <c r="B42" s="257">
        <f>SUM(B32:B41)</f>
        <v>0</v>
      </c>
      <c r="C42" s="258">
        <f>SUM(C32:C41)</f>
        <v>0</v>
      </c>
      <c r="D42" s="258">
        <f>SUM(D32:D41)</f>
        <v>1</v>
      </c>
      <c r="E42" s="258">
        <f>SUM(E32:E41)</f>
        <v>0</v>
      </c>
      <c r="F42" s="259" cm="1">
        <f t="array" ref="F42">SUMPRODUCT(--(ISNUMBER(SEARCH("Legacy",'Diags Raw Data'!$M$6:$M$4834))),'Diags Raw Data'!$K$6:$K$4834,'Diags Raw Data'!$P$6:$P$4834)/D42</f>
        <v>1</v>
      </c>
      <c r="G42" s="260">
        <f>SUM(G32:G41)</f>
        <v>0</v>
      </c>
      <c r="H42" s="261">
        <f>SUM(H32:H41)</f>
        <v>0</v>
      </c>
      <c r="I42" s="262">
        <f>SUM(I32:I41)</f>
        <v>0</v>
      </c>
      <c r="J42" s="261">
        <f>SUM(J32:J41)</f>
        <v>0</v>
      </c>
      <c r="K42" s="262">
        <f>SUM(K32:K41)</f>
        <v>0</v>
      </c>
      <c r="L42" s="263" t="str">
        <f>IF(NOT($C42=0), G42/$C42, "---")</f>
        <v>---</v>
      </c>
      <c r="M42" s="264" t="str">
        <f t="shared" si="17"/>
        <v>---</v>
      </c>
      <c r="N42" s="265" t="str">
        <f t="shared" si="18"/>
        <v>---</v>
      </c>
      <c r="O42" s="266">
        <f>SUM(O32:O41)</f>
        <v>0</v>
      </c>
      <c r="P42" s="267">
        <f>SUM(P32:P41)</f>
        <v>0</v>
      </c>
      <c r="Q42" s="268">
        <f>SUM(Q32:Q41)</f>
        <v>0</v>
      </c>
      <c r="R42" s="267">
        <f>SUM(R32:R41)</f>
        <v>0</v>
      </c>
      <c r="S42" s="268">
        <f>SUM(S32:S41)</f>
        <v>0</v>
      </c>
      <c r="T42" s="269" t="str">
        <f>IF(NOT($B42=0), O42/$B42, "---")</f>
        <v>---</v>
      </c>
      <c r="U42" s="270" t="str">
        <f t="shared" si="20"/>
        <v>---</v>
      </c>
      <c r="V42" s="271" t="str">
        <f>IF(NOT($B42=0), (P42+Q42)/$B42, "---")</f>
        <v>---</v>
      </c>
    </row>
    <row r="43" spans="1:22" x14ac:dyDescent="0.25">
      <c r="A43" s="247"/>
      <c r="B43" s="247"/>
      <c r="C43" s="247"/>
      <c r="D43" s="247"/>
      <c r="E43" s="247"/>
      <c r="F43" s="247"/>
      <c r="G43" s="247"/>
      <c r="H43" s="247"/>
      <c r="I43" s="247"/>
      <c r="J43" s="247"/>
      <c r="K43" s="247"/>
      <c r="L43" s="247"/>
      <c r="M43" s="247"/>
      <c r="N43" s="247"/>
      <c r="O43" s="247"/>
      <c r="P43" s="247"/>
      <c r="Q43" s="247"/>
      <c r="R43" s="247"/>
      <c r="S43" s="247"/>
      <c r="T43" s="247"/>
      <c r="U43" s="247"/>
      <c r="V43" s="247"/>
    </row>
    <row r="45" spans="1:22" x14ac:dyDescent="0.25">
      <c r="F45" s="130"/>
    </row>
    <row r="48" spans="1:22" x14ac:dyDescent="0.25">
      <c r="F48" s="399"/>
    </row>
    <row r="49" spans="6:6" x14ac:dyDescent="0.25">
      <c r="F49" s="398"/>
    </row>
    <row r="50" spans="6:6" x14ac:dyDescent="0.25">
      <c r="F50" s="398"/>
    </row>
  </sheetData>
  <mergeCells count="10">
    <mergeCell ref="A1:V1"/>
    <mergeCell ref="B16:F16"/>
    <mergeCell ref="B30:F30"/>
    <mergeCell ref="G30:N30"/>
    <mergeCell ref="O30:V30"/>
    <mergeCell ref="G16:N16"/>
    <mergeCell ref="O16:V16"/>
    <mergeCell ref="B2:F2"/>
    <mergeCell ref="G2:N2"/>
    <mergeCell ref="O2:V2"/>
  </mergeCells>
  <phoneticPr fontId="30" type="noConversion"/>
  <conditionalFormatting sqref="F4:F13">
    <cfRule type="colorScale" priority="13">
      <colorScale>
        <cfvo type="percentile" val="10"/>
        <cfvo type="percentile" val="50"/>
        <cfvo type="percentile" val="90"/>
        <color rgb="FFF8696B"/>
        <color rgb="FFFFEB84"/>
        <color rgb="FF63BE7B"/>
      </colorScale>
    </cfRule>
    <cfRule type="colorScale" priority="11">
      <colorScale>
        <cfvo type="percent" val="0"/>
        <cfvo type="percent" val="50"/>
        <cfvo type="percent" val="100"/>
        <color rgb="FFF8696B"/>
        <color rgb="FFFFEB84"/>
        <color rgb="FF63BE7B"/>
      </colorScale>
    </cfRule>
    <cfRule type="colorScale" priority="12">
      <colorScale>
        <cfvo type="percent" val="0"/>
        <cfvo type="percent" val="50"/>
        <cfvo type="percent" val="100"/>
        <color rgb="FFF8696B"/>
        <color rgb="FFFFEB84"/>
        <color rgb="FF63BE7B"/>
      </colorScale>
    </cfRule>
    <cfRule type="colorScale" priority="14">
      <colorScale>
        <cfvo type="percent" val="0"/>
        <cfvo type="percent" val="50"/>
        <cfvo type="percent" val="100"/>
        <color rgb="FFF8696B"/>
        <color rgb="FFFFEB84"/>
        <color rgb="FF63BE7B"/>
      </colorScale>
    </cfRule>
    <cfRule type="colorScale" priority="15">
      <colorScale>
        <cfvo type="percentile" val="10"/>
        <cfvo type="percentile" val="50"/>
        <cfvo type="percentile" val="90"/>
        <color rgb="FFF8696B"/>
        <color rgb="FFFFEB84"/>
        <color rgb="FF63BE7B"/>
      </colorScale>
    </cfRule>
    <cfRule type="colorScale" priority="16">
      <colorScale>
        <cfvo type="percent" val="20"/>
        <cfvo type="percent" val="50"/>
        <cfvo type="percent" val="100"/>
        <color rgb="FFF8696B"/>
        <color rgb="FFFFEB84"/>
        <color rgb="FF63BE7B"/>
      </colorScale>
    </cfRule>
    <cfRule type="colorScale" priority="17">
      <colorScale>
        <cfvo type="min"/>
        <cfvo type="percentile" val="50"/>
        <cfvo type="max"/>
        <color rgb="FFF8696B"/>
        <color rgb="FFFFEB84"/>
        <color rgb="FF63BE7B"/>
      </colorScale>
    </cfRule>
  </conditionalFormatting>
  <conditionalFormatting sqref="F18:F27">
    <cfRule type="colorScale" priority="89">
      <colorScale>
        <cfvo type="percent" val="0"/>
        <cfvo type="percent" val="50"/>
        <cfvo type="percent" val="100"/>
        <color rgb="FFF8696B"/>
        <color rgb="FFFFEB84"/>
        <color rgb="FF63BE7B"/>
      </colorScale>
    </cfRule>
    <cfRule type="colorScale" priority="87">
      <colorScale>
        <cfvo type="percentile" val="10"/>
        <cfvo type="percentile" val="50"/>
        <cfvo type="percentile" val="90"/>
        <color rgb="FFF8696B"/>
        <color rgb="FFFFEB84"/>
        <color rgb="FF63BE7B"/>
      </colorScale>
    </cfRule>
    <cfRule type="colorScale" priority="86">
      <colorScale>
        <cfvo type="percent" val="0"/>
        <cfvo type="percent" val="50"/>
        <cfvo type="percent" val="100"/>
        <color rgb="FFF8696B"/>
        <color rgb="FFFFEB84"/>
        <color rgb="FF63BE7B"/>
      </colorScale>
    </cfRule>
    <cfRule type="colorScale" priority="94">
      <colorScale>
        <cfvo type="min"/>
        <cfvo type="percentile" val="50"/>
        <cfvo type="max"/>
        <color rgb="FFF8696B"/>
        <color rgb="FFFFEB84"/>
        <color rgb="FF63BE7B"/>
      </colorScale>
    </cfRule>
    <cfRule type="colorScale" priority="73">
      <colorScale>
        <cfvo type="percent" val="0"/>
        <cfvo type="percent" val="50"/>
        <cfvo type="percent" val="100"/>
        <color rgb="FFF8696B"/>
        <color rgb="FFFFEB84"/>
        <color rgb="FF63BE7B"/>
      </colorScale>
    </cfRule>
    <cfRule type="colorScale" priority="91">
      <colorScale>
        <cfvo type="percentile" val="10"/>
        <cfvo type="percentile" val="50"/>
        <cfvo type="percentile" val="90"/>
        <color rgb="FFF8696B"/>
        <color rgb="FFFFEB84"/>
        <color rgb="FF63BE7B"/>
      </colorScale>
    </cfRule>
    <cfRule type="colorScale" priority="93">
      <colorScale>
        <cfvo type="percent" val="20"/>
        <cfvo type="percent" val="50"/>
        <cfvo type="percent" val="100"/>
        <color rgb="FFF8696B"/>
        <color rgb="FFFFEB84"/>
        <color rgb="FF63BE7B"/>
      </colorScale>
    </cfRule>
  </conditionalFormatting>
  <conditionalFormatting sqref="F32:F41">
    <cfRule type="colorScale" priority="84">
      <colorScale>
        <cfvo type="percent" val="20"/>
        <cfvo type="percent" val="50"/>
        <cfvo type="percent" val="100"/>
        <color rgb="FFF8696B"/>
        <color rgb="FFFFEB84"/>
        <color rgb="FF63BE7B"/>
      </colorScale>
    </cfRule>
    <cfRule type="colorScale" priority="83">
      <colorScale>
        <cfvo type="percentile" val="10"/>
        <cfvo type="percentile" val="50"/>
        <cfvo type="percentile" val="90"/>
        <color rgb="FFF8696B"/>
        <color rgb="FFFFEB84"/>
        <color rgb="FF63BE7B"/>
      </colorScale>
    </cfRule>
    <cfRule type="colorScale" priority="82">
      <colorScale>
        <cfvo type="percent" val="0"/>
        <cfvo type="percent" val="50"/>
        <cfvo type="percent" val="100"/>
        <color rgb="FFF8696B"/>
        <color rgb="FFFFEB84"/>
        <color rgb="FF63BE7B"/>
      </colorScale>
    </cfRule>
    <cfRule type="colorScale" priority="81">
      <colorScale>
        <cfvo type="percentile" val="10"/>
        <cfvo type="percentile" val="50"/>
        <cfvo type="percentile" val="90"/>
        <color rgb="FFF8696B"/>
        <color rgb="FFFFEB84"/>
        <color rgb="FF63BE7B"/>
      </colorScale>
    </cfRule>
    <cfRule type="colorScale" priority="80">
      <colorScale>
        <cfvo type="percent" val="0"/>
        <cfvo type="percent" val="50"/>
        <cfvo type="percent" val="100"/>
        <color rgb="FFF8696B"/>
        <color rgb="FFFFEB84"/>
        <color rgb="FF63BE7B"/>
      </colorScale>
    </cfRule>
    <cfRule type="colorScale" priority="72">
      <colorScale>
        <cfvo type="percent" val="0"/>
        <cfvo type="percent" val="50"/>
        <cfvo type="percent" val="100"/>
        <color rgb="FFF8696B"/>
        <color rgb="FFFFEB84"/>
        <color rgb="FF63BE7B"/>
      </colorScale>
    </cfRule>
    <cfRule type="colorScale" priority="71">
      <colorScale>
        <cfvo type="percent" val="0"/>
        <cfvo type="percent" val="50"/>
        <cfvo type="percent" val="100"/>
        <color rgb="FFF8696B"/>
        <color rgb="FFFFEB84"/>
        <color rgb="FF63BE7B"/>
      </colorScale>
    </cfRule>
    <cfRule type="colorScale" priority="69">
      <colorScale>
        <cfvo type="percent" val="20"/>
        <cfvo type="percent" val="60"/>
        <cfvo type="percent" val="90"/>
        <color rgb="FFF8696B"/>
        <color rgb="FFFFEB84"/>
        <color rgb="FF63BE7B"/>
      </colorScale>
    </cfRule>
    <cfRule type="colorScale" priority="68">
      <colorScale>
        <cfvo type="percent" val="0"/>
        <cfvo type="percent" val="50"/>
        <cfvo type="percent" val="100"/>
        <color rgb="FFF8696B"/>
        <color rgb="FFFFEB84"/>
        <color rgb="FF63BE7B"/>
      </colorScale>
    </cfRule>
    <cfRule type="colorScale" priority="85">
      <colorScale>
        <cfvo type="min"/>
        <cfvo type="percentile" val="50"/>
        <cfvo type="max"/>
        <color rgb="FFF8696B"/>
        <color rgb="FFFFEB84"/>
        <color rgb="FF63BE7B"/>
      </colorScale>
    </cfRule>
  </conditionalFormatting>
  <conditionalFormatting sqref="L4:L13">
    <cfRule type="colorScale" priority="10">
      <colorScale>
        <cfvo type="percent" val="0"/>
        <cfvo type="percent" val="50"/>
        <cfvo type="percent" val="100"/>
        <color rgb="FFF8696B"/>
        <color rgb="FFFFEB84"/>
        <color rgb="FF63BE7B"/>
      </colorScale>
    </cfRule>
  </conditionalFormatting>
  <conditionalFormatting sqref="L18:L27 N18:N27">
    <cfRule type="colorScale" priority="51">
      <colorScale>
        <cfvo type="percent" val="0"/>
        <cfvo type="percent" val="50"/>
        <cfvo type="percent" val="100"/>
        <color rgb="FFF8696B"/>
        <color rgb="FFFFEB84"/>
        <color rgb="FF63BE7B"/>
      </colorScale>
    </cfRule>
    <cfRule type="colorScale" priority="47">
      <colorScale>
        <cfvo type="percent" val="0"/>
        <cfvo type="percent" val="50"/>
        <cfvo type="percent" val="100"/>
        <color rgb="FFF8696B"/>
        <color rgb="FFFFEB84"/>
        <color rgb="FF63BE7B"/>
      </colorScale>
    </cfRule>
  </conditionalFormatting>
  <conditionalFormatting sqref="L32:L41">
    <cfRule type="colorScale" priority="49">
      <colorScale>
        <cfvo type="percent" val="0"/>
        <cfvo type="percent" val="50"/>
        <cfvo type="percent" val="100"/>
        <color rgb="FFF8696B"/>
        <color rgb="FFFFEB84"/>
        <color rgb="FF63BE7B"/>
      </colorScale>
    </cfRule>
  </conditionalFormatting>
  <conditionalFormatting sqref="L4:N13">
    <cfRule type="colorScale" priority="2">
      <colorScale>
        <cfvo type="percent" val="0"/>
        <cfvo type="percent" val="50"/>
        <cfvo type="percent" val="100"/>
        <color rgb="FFF8696B"/>
        <color rgb="FFFFEB84"/>
        <color rgb="FF63BE7B"/>
      </colorScale>
    </cfRule>
  </conditionalFormatting>
  <conditionalFormatting sqref="L18:N27">
    <cfRule type="colorScale" priority="23">
      <colorScale>
        <cfvo type="percent" val="0"/>
        <cfvo type="percentile" val="50"/>
        <cfvo type="percent" val="100"/>
        <color rgb="FFF8696B"/>
        <color rgb="FFFFEB84"/>
        <color rgb="FF63BE7B"/>
      </colorScale>
    </cfRule>
  </conditionalFormatting>
  <conditionalFormatting sqref="L32:N41">
    <cfRule type="colorScale" priority="21">
      <colorScale>
        <cfvo type="percent" val="0"/>
        <cfvo type="percent" val="50"/>
        <cfvo type="percent" val="100"/>
        <color rgb="FFF8696B"/>
        <color rgb="FFFFEB84"/>
        <color rgb="FF63BE7B"/>
      </colorScale>
    </cfRule>
  </conditionalFormatting>
  <conditionalFormatting sqref="M4:M13">
    <cfRule type="colorScale" priority="8">
      <colorScale>
        <cfvo type="percent" val="0"/>
        <cfvo type="percent" val="50"/>
        <cfvo type="percent" val="100"/>
        <color rgb="FFF8696B"/>
        <color rgb="FFFFEB84"/>
        <color rgb="FF63BE7B"/>
      </colorScale>
    </cfRule>
    <cfRule type="colorScale" priority="7">
      <colorScale>
        <cfvo type="percent" val="0"/>
        <cfvo type="percent" val="50"/>
        <cfvo type="percent" val="100"/>
        <color rgb="FFF8696B"/>
        <color rgb="FFFFEB84"/>
        <color rgb="FF63BE7B"/>
      </colorScale>
    </cfRule>
  </conditionalFormatting>
  <conditionalFormatting sqref="M18:M27">
    <cfRule type="colorScale" priority="36">
      <colorScale>
        <cfvo type="percent" val="0"/>
        <cfvo type="percent" val="50"/>
        <cfvo type="percent" val="100"/>
        <color rgb="FFF8696B"/>
        <color rgb="FFFFEB84"/>
        <color rgb="FF63BE7B"/>
      </colorScale>
    </cfRule>
    <cfRule type="colorScale" priority="37">
      <colorScale>
        <cfvo type="percent" val="0"/>
        <cfvo type="percent" val="50"/>
        <cfvo type="percent" val="100"/>
        <color rgb="FFF8696B"/>
        <color rgb="FFFFEB84"/>
        <color rgb="FF63BE7B"/>
      </colorScale>
    </cfRule>
  </conditionalFormatting>
  <conditionalFormatting sqref="M32:M41">
    <cfRule type="colorScale" priority="34">
      <colorScale>
        <cfvo type="percent" val="0"/>
        <cfvo type="percent" val="50"/>
        <cfvo type="percent" val="100"/>
        <color rgb="FFF8696B"/>
        <color rgb="FFFFEB84"/>
        <color rgb="FF63BE7B"/>
      </colorScale>
    </cfRule>
    <cfRule type="colorScale" priority="35">
      <colorScale>
        <cfvo type="percent" val="0"/>
        <cfvo type="percent" val="50"/>
        <cfvo type="percent" val="100"/>
        <color rgb="FFF8696B"/>
        <color rgb="FFFFEB84"/>
        <color rgb="FF63BE7B"/>
      </colorScale>
    </cfRule>
  </conditionalFormatting>
  <conditionalFormatting sqref="N4:N13">
    <cfRule type="colorScale" priority="5">
      <colorScale>
        <cfvo type="percent" val="0"/>
        <cfvo type="percent" val="50"/>
        <cfvo type="percent" val="100"/>
        <color rgb="FFF8696B"/>
        <color rgb="FFFFEB84"/>
        <color rgb="FF63BE7B"/>
      </colorScale>
    </cfRule>
    <cfRule type="colorScale" priority="4">
      <colorScale>
        <cfvo type="percent" val="0"/>
        <cfvo type="percent" val="50"/>
        <cfvo type="percent" val="100"/>
        <color rgb="FFF8696B"/>
        <color rgb="FFFFEB84"/>
        <color rgb="FF63BE7B"/>
      </colorScale>
    </cfRule>
  </conditionalFormatting>
  <conditionalFormatting sqref="N32:N41">
    <cfRule type="colorScale" priority="29">
      <colorScale>
        <cfvo type="percent" val="0"/>
        <cfvo type="percent" val="50"/>
        <cfvo type="percent" val="100"/>
        <color rgb="FFF8696B"/>
        <color rgb="FFFFEB84"/>
        <color rgb="FF63BE7B"/>
      </colorScale>
    </cfRule>
    <cfRule type="colorScale" priority="28">
      <colorScale>
        <cfvo type="percent" val="0"/>
        <cfvo type="percent" val="50"/>
        <cfvo type="percent" val="100"/>
        <color rgb="FFF8696B"/>
        <color rgb="FFFFEB84"/>
        <color rgb="FF63BE7B"/>
      </colorScale>
    </cfRule>
  </conditionalFormatting>
  <conditionalFormatting sqref="T4:T13">
    <cfRule type="colorScale" priority="9">
      <colorScale>
        <cfvo type="percent" val="0"/>
        <cfvo type="percent" val="50"/>
        <cfvo type="percent" val="100"/>
        <color rgb="FFF8696B"/>
        <color rgb="FFFFEB84"/>
        <color rgb="FF63BE7B"/>
      </colorScale>
    </cfRule>
  </conditionalFormatting>
  <conditionalFormatting sqref="T18:T27 V18:V27">
    <cfRule type="colorScale" priority="50">
      <colorScale>
        <cfvo type="percent" val="0"/>
        <cfvo type="percent" val="50"/>
        <cfvo type="percent" val="100"/>
        <color rgb="FFF8696B"/>
        <color rgb="FFFFEB84"/>
        <color rgb="FF63BE7B"/>
      </colorScale>
    </cfRule>
  </conditionalFormatting>
  <conditionalFormatting sqref="T32:T41">
    <cfRule type="colorScale" priority="48">
      <colorScale>
        <cfvo type="percent" val="0"/>
        <cfvo type="percent" val="50"/>
        <cfvo type="percent" val="100"/>
        <color rgb="FFF8696B"/>
        <color rgb="FFFFEB84"/>
        <color rgb="FF63BE7B"/>
      </colorScale>
    </cfRule>
  </conditionalFormatting>
  <conditionalFormatting sqref="T4:V13">
    <cfRule type="colorScale" priority="1">
      <colorScale>
        <cfvo type="percent" val="0"/>
        <cfvo type="percent" val="50"/>
        <cfvo type="percent" val="100"/>
        <color rgb="FFF8696B"/>
        <color rgb="FFFFEB84"/>
        <color rgb="FF63BE7B"/>
      </colorScale>
    </cfRule>
  </conditionalFormatting>
  <conditionalFormatting sqref="T18:V27">
    <cfRule type="colorScale" priority="22">
      <colorScale>
        <cfvo type="percent" val="0"/>
        <cfvo type="percent" val="50"/>
        <cfvo type="percent" val="100"/>
        <color rgb="FFF8696B"/>
        <color rgb="FFFFEB84"/>
        <color rgb="FF63BE7B"/>
      </colorScale>
    </cfRule>
  </conditionalFormatting>
  <conditionalFormatting sqref="T32:V41">
    <cfRule type="colorScale" priority="20">
      <colorScale>
        <cfvo type="percent" val="0"/>
        <cfvo type="percent" val="50"/>
        <cfvo type="percent" val="100"/>
        <color rgb="FFF8696B"/>
        <color rgb="FFFFEB84"/>
        <color rgb="FF63BE7B"/>
      </colorScale>
    </cfRule>
  </conditionalFormatting>
  <conditionalFormatting sqref="U4:U13">
    <cfRule type="colorScale" priority="6">
      <colorScale>
        <cfvo type="percent" val="0"/>
        <cfvo type="percent" val="50"/>
        <cfvo type="percent" val="100"/>
        <color rgb="FFF8696B"/>
        <color rgb="FFFFEB84"/>
        <color rgb="FF63BE7B"/>
      </colorScale>
    </cfRule>
  </conditionalFormatting>
  <conditionalFormatting sqref="U18:U27">
    <cfRule type="colorScale" priority="40">
      <colorScale>
        <cfvo type="percent" val="0"/>
        <cfvo type="percent" val="50"/>
        <cfvo type="percent" val="100"/>
        <color rgb="FFF8696B"/>
        <color rgb="FFFFEB84"/>
        <color rgb="FF63BE7B"/>
      </colorScale>
    </cfRule>
  </conditionalFormatting>
  <conditionalFormatting sqref="U32:U41">
    <cfRule type="colorScale" priority="31">
      <colorScale>
        <cfvo type="percent" val="0"/>
        <cfvo type="percent" val="50"/>
        <cfvo type="percent" val="100"/>
        <color rgb="FFF8696B"/>
        <color rgb="FFFFEB84"/>
        <color rgb="FF63BE7B"/>
      </colorScale>
    </cfRule>
  </conditionalFormatting>
  <conditionalFormatting sqref="V4:V13">
    <cfRule type="colorScale" priority="3">
      <colorScale>
        <cfvo type="percent" val="0"/>
        <cfvo type="percent" val="50"/>
        <cfvo type="percent" val="100"/>
        <color rgb="FFF8696B"/>
        <color rgb="FFFFEB84"/>
        <color rgb="FF63BE7B"/>
      </colorScale>
    </cfRule>
  </conditionalFormatting>
  <conditionalFormatting sqref="V32:V41">
    <cfRule type="colorScale" priority="25">
      <colorScale>
        <cfvo type="percent" val="0"/>
        <cfvo type="percent" val="50"/>
        <cfvo type="percent" val="100"/>
        <color rgb="FFF8696B"/>
        <color rgb="FFFFEB84"/>
        <color rgb="FF63BE7B"/>
      </colorScale>
    </cfRule>
  </conditionalFormatting>
  <pageMargins left="0.7" right="0.7" top="0.75" bottom="0.75" header="0.3" footer="0.3"/>
  <pageSetup orientation="portrait" r:id="rId1"/>
  <headerFooter>
    <oddHeader>&amp;L&amp;"Arial"&amp;10&amp;K0000FF[AMD Official Use Only]&amp;1#</oddHeader>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265"/>
  <sheetViews>
    <sheetView zoomScaleNormal="100" workbookViewId="0">
      <pane ySplit="2" topLeftCell="A154" activePane="bottomLeft" state="frozen"/>
      <selection pane="bottomLeft" activeCell="C203" sqref="C203"/>
    </sheetView>
  </sheetViews>
  <sheetFormatPr defaultColWidth="8.5703125" defaultRowHeight="15" x14ac:dyDescent="0.25"/>
  <cols>
    <col min="1" max="1" width="16.5703125" bestFit="1" customWidth="1"/>
    <col min="2" max="2" width="71" customWidth="1"/>
    <col min="3" max="3" width="10" bestFit="1" customWidth="1"/>
    <col min="4" max="4" width="15.42578125" bestFit="1" customWidth="1"/>
    <col min="5" max="5" width="11.42578125" bestFit="1" customWidth="1"/>
    <col min="6" max="6" width="11.42578125" customWidth="1"/>
    <col min="7" max="7" width="18" customWidth="1"/>
    <col min="8" max="8" width="17.5703125" customWidth="1"/>
    <col min="9" max="9" width="70.42578125" customWidth="1"/>
    <col min="11" max="11" width="15.5703125" customWidth="1"/>
    <col min="12" max="12" width="20.42578125" customWidth="1"/>
  </cols>
  <sheetData>
    <row r="1" spans="1:13" ht="39" customHeight="1" thickBot="1" x14ac:dyDescent="0.35">
      <c r="A1" s="658" t="s">
        <v>527</v>
      </c>
      <c r="B1" s="659"/>
      <c r="C1" s="659"/>
      <c r="D1" s="659"/>
      <c r="E1" s="659"/>
      <c r="F1" s="659"/>
      <c r="G1" s="659"/>
      <c r="H1" s="659"/>
      <c r="I1" s="659"/>
      <c r="J1" s="659"/>
      <c r="K1" s="659"/>
      <c r="L1" s="659"/>
      <c r="M1" s="660"/>
    </row>
    <row r="2" spans="1:13" s="79" customFormat="1" ht="15.75" thickBot="1" x14ac:dyDescent="0.3">
      <c r="A2" s="393" t="s">
        <v>77</v>
      </c>
      <c r="B2" s="394" t="s">
        <v>81</v>
      </c>
      <c r="C2" s="395" t="s">
        <v>96</v>
      </c>
      <c r="D2" s="395" t="s">
        <v>202</v>
      </c>
      <c r="E2" s="396" t="s">
        <v>1</v>
      </c>
      <c r="F2" s="547" t="s">
        <v>88</v>
      </c>
      <c r="G2" s="547" t="s">
        <v>528</v>
      </c>
      <c r="H2" s="547" t="s">
        <v>529</v>
      </c>
      <c r="I2" s="550" t="s">
        <v>57</v>
      </c>
    </row>
    <row r="3" spans="1:13" ht="15.75" thickBot="1" x14ac:dyDescent="0.3">
      <c r="A3" s="545">
        <v>12</v>
      </c>
      <c r="B3" s="336" t="s">
        <v>530</v>
      </c>
      <c r="C3" s="515" t="s">
        <v>259</v>
      </c>
      <c r="D3" s="515" t="s">
        <v>34</v>
      </c>
      <c r="E3" s="517" t="s">
        <v>44</v>
      </c>
      <c r="F3" s="548" t="s">
        <v>517</v>
      </c>
      <c r="G3" s="516"/>
      <c r="H3" s="516"/>
      <c r="I3" s="551"/>
      <c r="K3" s="290" t="s">
        <v>77</v>
      </c>
      <c r="L3" s="291" t="s">
        <v>531</v>
      </c>
      <c r="M3" s="511">
        <f>COUNTA(A3:A3922)</f>
        <v>252</v>
      </c>
    </row>
    <row r="4" spans="1:13" x14ac:dyDescent="0.25">
      <c r="A4" s="546">
        <v>12.000999999999999</v>
      </c>
      <c r="B4" s="337" t="s">
        <v>532</v>
      </c>
      <c r="C4" s="516" t="s">
        <v>259</v>
      </c>
      <c r="D4" s="516" t="s">
        <v>34</v>
      </c>
      <c r="E4" s="518" t="s">
        <v>44</v>
      </c>
      <c r="F4" s="548" t="s">
        <v>518</v>
      </c>
      <c r="G4" s="516"/>
      <c r="H4" s="516"/>
      <c r="I4" s="551"/>
      <c r="K4" s="650" t="s">
        <v>96</v>
      </c>
      <c r="L4" s="292" t="s">
        <v>533</v>
      </c>
      <c r="M4" s="512">
        <f>COUNTIFS($C3:$C3922,"P1")</f>
        <v>151</v>
      </c>
    </row>
    <row r="5" spans="1:13" x14ac:dyDescent="0.25">
      <c r="A5" s="546">
        <v>12.001999999999999</v>
      </c>
      <c r="B5" s="337" t="s">
        <v>534</v>
      </c>
      <c r="C5" s="516" t="s">
        <v>259</v>
      </c>
      <c r="D5" s="516" t="s">
        <v>34</v>
      </c>
      <c r="E5" s="518" t="s">
        <v>44</v>
      </c>
      <c r="F5" s="548" t="s">
        <v>520</v>
      </c>
      <c r="G5" s="516"/>
      <c r="H5" s="516"/>
      <c r="I5" s="551"/>
      <c r="K5" s="651"/>
      <c r="L5" s="293" t="s">
        <v>535</v>
      </c>
      <c r="M5" s="513">
        <f>COUNTIFS($C3:$C3922,"P2")</f>
        <v>90</v>
      </c>
    </row>
    <row r="6" spans="1:13" ht="15.75" thickBot="1" x14ac:dyDescent="0.3">
      <c r="A6" s="546">
        <v>12.002999999999998</v>
      </c>
      <c r="B6" s="337" t="s">
        <v>536</v>
      </c>
      <c r="C6" s="516" t="s">
        <v>259</v>
      </c>
      <c r="D6" s="516" t="s">
        <v>34</v>
      </c>
      <c r="E6" s="518" t="s">
        <v>44</v>
      </c>
      <c r="F6" s="548" t="s">
        <v>518</v>
      </c>
      <c r="G6" s="516"/>
      <c r="H6" s="516"/>
      <c r="I6" s="551"/>
      <c r="K6" s="652"/>
      <c r="L6" s="294" t="s">
        <v>537</v>
      </c>
      <c r="M6" s="514">
        <f>COUNTIFS($C3:$C3922,"P3")</f>
        <v>11</v>
      </c>
    </row>
    <row r="7" spans="1:13" x14ac:dyDescent="0.25">
      <c r="A7" s="546">
        <v>12.003999999999998</v>
      </c>
      <c r="B7" s="337" t="s">
        <v>538</v>
      </c>
      <c r="C7" s="516" t="s">
        <v>259</v>
      </c>
      <c r="D7" s="516" t="s">
        <v>34</v>
      </c>
      <c r="E7" s="518" t="s">
        <v>44</v>
      </c>
      <c r="F7" s="548" t="s">
        <v>518</v>
      </c>
      <c r="G7" s="516"/>
      <c r="H7" s="516"/>
      <c r="I7" s="551"/>
      <c r="K7" s="653" t="s">
        <v>202</v>
      </c>
      <c r="L7" s="292" t="s">
        <v>539</v>
      </c>
      <c r="M7" s="512">
        <f>COUNTIFS($D3:$D3922,"Diagnostics")</f>
        <v>191</v>
      </c>
    </row>
    <row r="8" spans="1:13" x14ac:dyDescent="0.25">
      <c r="A8" s="546">
        <v>12.005999999999997</v>
      </c>
      <c r="B8" s="337" t="s">
        <v>540</v>
      </c>
      <c r="C8" s="516" t="s">
        <v>259</v>
      </c>
      <c r="D8" s="516" t="s">
        <v>34</v>
      </c>
      <c r="E8" s="518" t="s">
        <v>44</v>
      </c>
      <c r="F8" s="548" t="s">
        <v>516</v>
      </c>
      <c r="G8" s="516"/>
      <c r="H8" s="516"/>
      <c r="I8" s="551"/>
      <c r="K8" s="654"/>
      <c r="L8" s="293" t="s">
        <v>541</v>
      </c>
      <c r="M8" s="513">
        <f>COUNTIFS($D3:$D3922,"Driver")</f>
        <v>5</v>
      </c>
    </row>
    <row r="9" spans="1:13" x14ac:dyDescent="0.25">
      <c r="A9" s="546">
        <v>12.006999999999996</v>
      </c>
      <c r="B9" s="337" t="s">
        <v>542</v>
      </c>
      <c r="C9" s="516" t="s">
        <v>259</v>
      </c>
      <c r="D9" s="516" t="s">
        <v>34</v>
      </c>
      <c r="E9" s="518" t="s">
        <v>39</v>
      </c>
      <c r="F9" s="548" t="s">
        <v>518</v>
      </c>
      <c r="G9" s="516"/>
      <c r="H9" s="516"/>
      <c r="I9" s="551"/>
      <c r="K9" s="654"/>
      <c r="L9" s="293" t="s">
        <v>543</v>
      </c>
      <c r="M9" s="513">
        <f>COUNTIFS($D3:$D3922,"IPSE")</f>
        <v>12</v>
      </c>
    </row>
    <row r="10" spans="1:13" ht="15.75" thickBot="1" x14ac:dyDescent="0.3">
      <c r="A10" s="546">
        <v>12.007999999999996</v>
      </c>
      <c r="B10" s="337" t="s">
        <v>544</v>
      </c>
      <c r="C10" s="516" t="s">
        <v>259</v>
      </c>
      <c r="D10" s="516" t="s">
        <v>34</v>
      </c>
      <c r="E10" s="518" t="s">
        <v>39</v>
      </c>
      <c r="F10" s="548" t="s">
        <v>518</v>
      </c>
      <c r="G10" s="516"/>
      <c r="H10" s="516"/>
      <c r="I10" s="551"/>
      <c r="K10" s="655"/>
      <c r="L10" s="294" t="s">
        <v>545</v>
      </c>
      <c r="M10" s="514">
        <f>COUNTIFS($D3:$D3922,"N/A")</f>
        <v>44</v>
      </c>
    </row>
    <row r="11" spans="1:13" x14ac:dyDescent="0.25">
      <c r="A11" s="546">
        <v>12.008999999999995</v>
      </c>
      <c r="B11" s="337" t="s">
        <v>546</v>
      </c>
      <c r="C11" s="516" t="s">
        <v>259</v>
      </c>
      <c r="D11" s="516" t="s">
        <v>34</v>
      </c>
      <c r="E11" s="518" t="s">
        <v>44</v>
      </c>
      <c r="F11" s="548" t="s">
        <v>518</v>
      </c>
      <c r="G11" s="516"/>
      <c r="H11" s="516"/>
      <c r="I11" s="551"/>
      <c r="K11" s="653" t="s">
        <v>1</v>
      </c>
      <c r="L11" s="292" t="s">
        <v>547</v>
      </c>
      <c r="M11" s="512">
        <f>COUNTIFS($E3:$E3922,"Legacy")</f>
        <v>2</v>
      </c>
    </row>
    <row r="12" spans="1:13" x14ac:dyDescent="0.25">
      <c r="A12" s="546">
        <v>12.009999999999994</v>
      </c>
      <c r="B12" s="337" t="s">
        <v>548</v>
      </c>
      <c r="C12" s="516" t="s">
        <v>259</v>
      </c>
      <c r="D12" s="516" t="s">
        <v>34</v>
      </c>
      <c r="E12" s="518" t="s">
        <v>44</v>
      </c>
      <c r="F12" s="548" t="s">
        <v>518</v>
      </c>
      <c r="G12" s="516"/>
      <c r="H12" s="516"/>
      <c r="I12" s="551"/>
      <c r="K12" s="654"/>
      <c r="L12" s="293" t="s">
        <v>549</v>
      </c>
      <c r="M12" s="513">
        <f>COUNTIFS($E3:$E3922,"Delta")</f>
        <v>11</v>
      </c>
    </row>
    <row r="13" spans="1:13" ht="15.75" thickBot="1" x14ac:dyDescent="0.3">
      <c r="A13" s="546">
        <v>12.010999999999994</v>
      </c>
      <c r="B13" s="337" t="s">
        <v>550</v>
      </c>
      <c r="C13" s="516" t="s">
        <v>259</v>
      </c>
      <c r="D13" s="516" t="s">
        <v>34</v>
      </c>
      <c r="E13" s="518" t="s">
        <v>44</v>
      </c>
      <c r="F13" s="548" t="s">
        <v>518</v>
      </c>
      <c r="G13" s="516"/>
      <c r="H13" s="516"/>
      <c r="I13" s="551"/>
      <c r="K13" s="655"/>
      <c r="L13" s="294" t="s">
        <v>551</v>
      </c>
      <c r="M13" s="514">
        <f>COUNTIFS($E3:$E3922,"New")</f>
        <v>239</v>
      </c>
    </row>
    <row r="14" spans="1:13" ht="15.75" thickBot="1" x14ac:dyDescent="0.3">
      <c r="A14" s="546">
        <v>12.011999999999993</v>
      </c>
      <c r="B14" s="337" t="s">
        <v>552</v>
      </c>
      <c r="C14" s="516" t="s">
        <v>259</v>
      </c>
      <c r="D14" s="516" t="s">
        <v>34</v>
      </c>
      <c r="E14" s="518" t="s">
        <v>39</v>
      </c>
      <c r="F14" s="548" t="s">
        <v>518</v>
      </c>
      <c r="G14" s="516"/>
      <c r="H14" s="516"/>
      <c r="I14" s="551"/>
      <c r="K14" s="397" t="s">
        <v>207</v>
      </c>
      <c r="L14" s="656"/>
      <c r="M14" s="657"/>
    </row>
    <row r="15" spans="1:13" x14ac:dyDescent="0.25">
      <c r="A15" s="546">
        <v>12.012999999999993</v>
      </c>
      <c r="B15" s="337" t="s">
        <v>553</v>
      </c>
      <c r="C15" s="516" t="s">
        <v>280</v>
      </c>
      <c r="D15" s="516" t="s">
        <v>34</v>
      </c>
      <c r="E15" s="518" t="s">
        <v>44</v>
      </c>
      <c r="F15" s="548" t="s">
        <v>520</v>
      </c>
      <c r="G15" s="516"/>
      <c r="H15" s="516"/>
      <c r="I15" s="551"/>
    </row>
    <row r="16" spans="1:13" x14ac:dyDescent="0.25">
      <c r="A16" s="546">
        <v>12.013999999999992</v>
      </c>
      <c r="B16" s="337" t="s">
        <v>554</v>
      </c>
      <c r="C16" s="516" t="s">
        <v>259</v>
      </c>
      <c r="D16" s="516" t="s">
        <v>34</v>
      </c>
      <c r="E16" s="518" t="s">
        <v>44</v>
      </c>
      <c r="F16" s="548" t="s">
        <v>518</v>
      </c>
      <c r="G16" s="516"/>
      <c r="H16" s="516"/>
      <c r="I16" s="551"/>
    </row>
    <row r="17" spans="1:9" x14ac:dyDescent="0.25">
      <c r="A17" s="546">
        <v>12.014999999999992</v>
      </c>
      <c r="B17" s="337" t="s">
        <v>555</v>
      </c>
      <c r="C17" s="516" t="s">
        <v>259</v>
      </c>
      <c r="D17" s="516" t="s">
        <v>34</v>
      </c>
      <c r="E17" s="518" t="s">
        <v>39</v>
      </c>
      <c r="F17" s="548" t="s">
        <v>518</v>
      </c>
      <c r="G17" s="516"/>
      <c r="H17" s="516"/>
      <c r="I17" s="551"/>
    </row>
    <row r="18" spans="1:9" x14ac:dyDescent="0.25">
      <c r="A18" s="546">
        <v>12.015999999999991</v>
      </c>
      <c r="B18" s="337" t="s">
        <v>556</v>
      </c>
      <c r="C18" s="516" t="s">
        <v>259</v>
      </c>
      <c r="D18" s="516" t="s">
        <v>34</v>
      </c>
      <c r="E18" s="518" t="s">
        <v>44</v>
      </c>
      <c r="F18" s="548" t="s">
        <v>518</v>
      </c>
      <c r="G18" s="516"/>
      <c r="H18" s="516"/>
      <c r="I18" s="551"/>
    </row>
    <row r="19" spans="1:9" x14ac:dyDescent="0.25">
      <c r="A19" s="546">
        <v>12.016999999999991</v>
      </c>
      <c r="B19" s="337" t="s">
        <v>557</v>
      </c>
      <c r="C19" s="516" t="s">
        <v>259</v>
      </c>
      <c r="D19" s="516" t="s">
        <v>34</v>
      </c>
      <c r="E19" s="518" t="s">
        <v>44</v>
      </c>
      <c r="F19" s="548" t="s">
        <v>518</v>
      </c>
      <c r="G19" s="516"/>
      <c r="H19" s="516"/>
      <c r="I19" s="551"/>
    </row>
    <row r="20" spans="1:9" x14ac:dyDescent="0.25">
      <c r="A20" s="546">
        <v>12.018999999999989</v>
      </c>
      <c r="B20" s="337" t="s">
        <v>558</v>
      </c>
      <c r="C20" s="516" t="s">
        <v>259</v>
      </c>
      <c r="D20" s="516" t="s">
        <v>34</v>
      </c>
      <c r="E20" s="518" t="s">
        <v>44</v>
      </c>
      <c r="F20" s="548" t="s">
        <v>521</v>
      </c>
      <c r="G20" s="516"/>
      <c r="H20" s="516"/>
      <c r="I20" s="551"/>
    </row>
    <row r="21" spans="1:9" x14ac:dyDescent="0.25">
      <c r="A21" s="546">
        <v>12.019999999999989</v>
      </c>
      <c r="B21" s="337" t="s">
        <v>559</v>
      </c>
      <c r="C21" s="516" t="s">
        <v>259</v>
      </c>
      <c r="D21" s="516" t="s">
        <v>34</v>
      </c>
      <c r="E21" s="518" t="s">
        <v>44</v>
      </c>
      <c r="F21" s="548" t="s">
        <v>521</v>
      </c>
      <c r="G21" s="516" t="s">
        <v>560</v>
      </c>
      <c r="H21" s="516" t="s">
        <v>259</v>
      </c>
      <c r="I21" s="551"/>
    </row>
    <row r="22" spans="1:9" x14ac:dyDescent="0.25">
      <c r="A22" s="546">
        <v>12.026999999999985</v>
      </c>
      <c r="B22" s="337" t="s">
        <v>561</v>
      </c>
      <c r="C22" s="516" t="s">
        <v>259</v>
      </c>
      <c r="D22" s="516" t="s">
        <v>34</v>
      </c>
      <c r="E22" s="518" t="s">
        <v>44</v>
      </c>
      <c r="F22" s="548" t="s">
        <v>513</v>
      </c>
      <c r="G22" s="516"/>
      <c r="H22" s="516"/>
      <c r="I22" s="551"/>
    </row>
    <row r="23" spans="1:9" x14ac:dyDescent="0.25">
      <c r="A23" s="546">
        <v>12.029999999999983</v>
      </c>
      <c r="B23" s="337" t="s">
        <v>562</v>
      </c>
      <c r="C23" s="516" t="s">
        <v>259</v>
      </c>
      <c r="D23" s="516" t="s">
        <v>34</v>
      </c>
      <c r="E23" s="518" t="s">
        <v>44</v>
      </c>
      <c r="F23" s="548" t="s">
        <v>519</v>
      </c>
      <c r="G23" s="516"/>
      <c r="H23" s="516" t="s">
        <v>280</v>
      </c>
      <c r="I23" s="551"/>
    </row>
    <row r="24" spans="1:9" x14ac:dyDescent="0.25">
      <c r="A24" s="546">
        <v>12.030999999999983</v>
      </c>
      <c r="B24" s="337" t="s">
        <v>563</v>
      </c>
      <c r="C24" s="516" t="s">
        <v>259</v>
      </c>
      <c r="D24" s="516" t="s">
        <v>34</v>
      </c>
      <c r="E24" s="518" t="s">
        <v>44</v>
      </c>
      <c r="F24" s="548" t="s">
        <v>518</v>
      </c>
      <c r="G24" s="516"/>
      <c r="H24" s="516" t="s">
        <v>280</v>
      </c>
      <c r="I24" s="551"/>
    </row>
    <row r="25" spans="1:9" x14ac:dyDescent="0.25">
      <c r="A25" s="546">
        <v>12.032999999999982</v>
      </c>
      <c r="B25" s="337" t="s">
        <v>564</v>
      </c>
      <c r="C25" s="516" t="s">
        <v>280</v>
      </c>
      <c r="D25" s="516" t="s">
        <v>34</v>
      </c>
      <c r="E25" s="518" t="s">
        <v>44</v>
      </c>
      <c r="F25" s="548" t="s">
        <v>521</v>
      </c>
      <c r="G25" s="516"/>
      <c r="H25" s="516"/>
      <c r="I25" s="551"/>
    </row>
    <row r="26" spans="1:9" x14ac:dyDescent="0.25">
      <c r="A26" s="546">
        <v>12.033999999999981</v>
      </c>
      <c r="B26" s="337" t="s">
        <v>565</v>
      </c>
      <c r="C26" s="516" t="s">
        <v>280</v>
      </c>
      <c r="D26" s="516" t="s">
        <v>34</v>
      </c>
      <c r="E26" s="518" t="s">
        <v>44</v>
      </c>
      <c r="F26" s="548" t="s">
        <v>521</v>
      </c>
      <c r="G26" s="516"/>
      <c r="H26" s="516"/>
      <c r="I26" s="551"/>
    </row>
    <row r="27" spans="1:9" x14ac:dyDescent="0.25">
      <c r="A27" s="546">
        <v>12.03599999999998</v>
      </c>
      <c r="B27" s="337" t="s">
        <v>566</v>
      </c>
      <c r="C27" s="516" t="s">
        <v>259</v>
      </c>
      <c r="D27" s="516" t="s">
        <v>34</v>
      </c>
      <c r="E27" s="518" t="s">
        <v>44</v>
      </c>
      <c r="F27" s="548" t="s">
        <v>521</v>
      </c>
      <c r="G27" s="516" t="s">
        <v>560</v>
      </c>
      <c r="H27" s="516" t="s">
        <v>280</v>
      </c>
      <c r="I27" s="551"/>
    </row>
    <row r="28" spans="1:9" x14ac:dyDescent="0.25">
      <c r="A28" s="546">
        <v>12.037000000000001</v>
      </c>
      <c r="B28" s="337" t="s">
        <v>567</v>
      </c>
      <c r="C28" s="516" t="s">
        <v>259</v>
      </c>
      <c r="D28" s="516" t="s">
        <v>34</v>
      </c>
      <c r="E28" s="518" t="s">
        <v>44</v>
      </c>
      <c r="F28" s="548" t="s">
        <v>521</v>
      </c>
      <c r="G28" s="516" t="s">
        <v>560</v>
      </c>
      <c r="H28" s="516" t="s">
        <v>280</v>
      </c>
      <c r="I28" s="551"/>
    </row>
    <row r="29" spans="1:9" x14ac:dyDescent="0.25">
      <c r="A29" s="546">
        <v>12.039999999999978</v>
      </c>
      <c r="B29" s="337" t="s">
        <v>568</v>
      </c>
      <c r="C29" s="516" t="s">
        <v>259</v>
      </c>
      <c r="D29" s="516" t="s">
        <v>34</v>
      </c>
      <c r="E29" s="518" t="s">
        <v>44</v>
      </c>
      <c r="F29" s="548" t="s">
        <v>521</v>
      </c>
      <c r="G29" s="516" t="s">
        <v>560</v>
      </c>
      <c r="H29" s="516" t="s">
        <v>280</v>
      </c>
      <c r="I29" s="551"/>
    </row>
    <row r="30" spans="1:9" x14ac:dyDescent="0.25">
      <c r="A30" s="546">
        <v>12.041</v>
      </c>
      <c r="B30" s="337" t="s">
        <v>569</v>
      </c>
      <c r="C30" s="516" t="s">
        <v>259</v>
      </c>
      <c r="D30" s="516" t="s">
        <v>34</v>
      </c>
      <c r="E30" s="518" t="s">
        <v>44</v>
      </c>
      <c r="F30" s="548" t="s">
        <v>513</v>
      </c>
      <c r="G30" s="516"/>
      <c r="H30" s="516" t="s">
        <v>280</v>
      </c>
      <c r="I30" s="551"/>
    </row>
    <row r="31" spans="1:9" x14ac:dyDescent="0.25">
      <c r="A31" s="546">
        <v>12.041999999999977</v>
      </c>
      <c r="B31" s="337" t="s">
        <v>570</v>
      </c>
      <c r="C31" s="516" t="s">
        <v>259</v>
      </c>
      <c r="D31" s="516" t="s">
        <v>34</v>
      </c>
      <c r="E31" s="518" t="s">
        <v>44</v>
      </c>
      <c r="F31" s="548" t="s">
        <v>513</v>
      </c>
      <c r="G31" s="516"/>
      <c r="H31" s="516"/>
      <c r="I31" s="551"/>
    </row>
    <row r="32" spans="1:9" x14ac:dyDescent="0.25">
      <c r="A32" s="546">
        <v>12.043999999999976</v>
      </c>
      <c r="B32" s="337" t="s">
        <v>571</v>
      </c>
      <c r="C32" s="516" t="s">
        <v>259</v>
      </c>
      <c r="D32" s="516" t="s">
        <v>34</v>
      </c>
      <c r="E32" s="518" t="s">
        <v>44</v>
      </c>
      <c r="F32" s="548" t="s">
        <v>513</v>
      </c>
      <c r="G32" s="516"/>
      <c r="H32" s="516"/>
      <c r="I32" s="551"/>
    </row>
    <row r="33" spans="1:9" x14ac:dyDescent="0.25">
      <c r="A33" s="546">
        <v>12.045999999999975</v>
      </c>
      <c r="B33" s="337" t="s">
        <v>572</v>
      </c>
      <c r="C33" s="516" t="s">
        <v>259</v>
      </c>
      <c r="D33" s="516" t="s">
        <v>34</v>
      </c>
      <c r="E33" s="518" t="s">
        <v>44</v>
      </c>
      <c r="F33" s="548" t="s">
        <v>513</v>
      </c>
      <c r="G33" s="516"/>
      <c r="H33" s="516"/>
      <c r="I33" s="551"/>
    </row>
    <row r="34" spans="1:9" x14ac:dyDescent="0.25">
      <c r="A34" s="546">
        <v>12.047999999999973</v>
      </c>
      <c r="B34" s="337" t="s">
        <v>573</v>
      </c>
      <c r="C34" s="516" t="s">
        <v>280</v>
      </c>
      <c r="D34" s="516" t="s">
        <v>34</v>
      </c>
      <c r="E34" s="518" t="s">
        <v>44</v>
      </c>
      <c r="F34" s="548" t="s">
        <v>513</v>
      </c>
      <c r="G34" s="516"/>
      <c r="H34" s="516"/>
      <c r="I34" s="551"/>
    </row>
    <row r="35" spans="1:9" x14ac:dyDescent="0.25">
      <c r="A35" s="546">
        <v>12.048999999999973</v>
      </c>
      <c r="B35" s="337" t="s">
        <v>574</v>
      </c>
      <c r="C35" s="516" t="s">
        <v>259</v>
      </c>
      <c r="D35" s="516" t="s">
        <v>34</v>
      </c>
      <c r="E35" s="518" t="s">
        <v>44</v>
      </c>
      <c r="F35" s="548" t="s">
        <v>513</v>
      </c>
      <c r="G35" s="516"/>
      <c r="H35" s="516"/>
      <c r="I35" s="551"/>
    </row>
    <row r="36" spans="1:9" x14ac:dyDescent="0.25">
      <c r="A36" s="546">
        <v>12.051</v>
      </c>
      <c r="B36" s="337" t="s">
        <v>575</v>
      </c>
      <c r="C36" s="516" t="s">
        <v>280</v>
      </c>
      <c r="D36" s="516" t="s">
        <v>34</v>
      </c>
      <c r="E36" s="518" t="s">
        <v>44</v>
      </c>
      <c r="F36" s="548" t="s">
        <v>513</v>
      </c>
      <c r="G36" s="516"/>
      <c r="H36" s="516"/>
      <c r="I36" s="551"/>
    </row>
    <row r="37" spans="1:9" x14ac:dyDescent="0.25">
      <c r="A37" s="546">
        <v>12.052999999999971</v>
      </c>
      <c r="B37" s="337" t="s">
        <v>576</v>
      </c>
      <c r="C37" s="516" t="s">
        <v>259</v>
      </c>
      <c r="D37" s="516" t="s">
        <v>34</v>
      </c>
      <c r="E37" s="518" t="s">
        <v>44</v>
      </c>
      <c r="F37" s="548" t="s">
        <v>513</v>
      </c>
      <c r="G37" s="516" t="s">
        <v>560</v>
      </c>
      <c r="H37" s="516" t="s">
        <v>280</v>
      </c>
      <c r="I37" s="551"/>
    </row>
    <row r="38" spans="1:9" x14ac:dyDescent="0.25">
      <c r="A38" s="546">
        <v>12.054</v>
      </c>
      <c r="B38" s="337" t="s">
        <v>577</v>
      </c>
      <c r="C38" s="516" t="s">
        <v>259</v>
      </c>
      <c r="D38" s="516" t="s">
        <v>34</v>
      </c>
      <c r="E38" s="518" t="s">
        <v>44</v>
      </c>
      <c r="F38" s="548" t="s">
        <v>519</v>
      </c>
      <c r="G38" s="516"/>
      <c r="H38" s="516"/>
      <c r="I38" s="551"/>
    </row>
    <row r="39" spans="1:9" x14ac:dyDescent="0.25">
      <c r="A39" s="546">
        <v>12.05499999999997</v>
      </c>
      <c r="B39" s="337" t="s">
        <v>578</v>
      </c>
      <c r="C39" s="516" t="s">
        <v>259</v>
      </c>
      <c r="D39" s="516" t="s">
        <v>34</v>
      </c>
      <c r="E39" s="518" t="s">
        <v>44</v>
      </c>
      <c r="F39" s="548" t="s">
        <v>519</v>
      </c>
      <c r="G39" s="516"/>
      <c r="H39" s="516"/>
      <c r="I39" s="551"/>
    </row>
    <row r="40" spans="1:9" x14ac:dyDescent="0.25">
      <c r="A40" s="546">
        <v>12.055999999999969</v>
      </c>
      <c r="B40" s="337" t="s">
        <v>579</v>
      </c>
      <c r="C40" s="516" t="s">
        <v>259</v>
      </c>
      <c r="D40" s="516" t="s">
        <v>34</v>
      </c>
      <c r="E40" s="518" t="s">
        <v>44</v>
      </c>
      <c r="F40" s="548" t="s">
        <v>519</v>
      </c>
      <c r="G40" s="516"/>
      <c r="H40" s="516"/>
      <c r="I40" s="551"/>
    </row>
    <row r="41" spans="1:9" x14ac:dyDescent="0.25">
      <c r="A41" s="546">
        <v>12.057</v>
      </c>
      <c r="B41" s="337" t="s">
        <v>580</v>
      </c>
      <c r="C41" s="516" t="s">
        <v>280</v>
      </c>
      <c r="D41" s="516" t="s">
        <v>34</v>
      </c>
      <c r="E41" s="518" t="s">
        <v>44</v>
      </c>
      <c r="F41" s="548" t="s">
        <v>519</v>
      </c>
      <c r="G41" s="516"/>
      <c r="H41" s="516"/>
      <c r="I41" s="551"/>
    </row>
    <row r="42" spans="1:9" x14ac:dyDescent="0.25">
      <c r="A42" s="546">
        <v>12.058999999999967</v>
      </c>
      <c r="B42" s="337" t="s">
        <v>581</v>
      </c>
      <c r="C42" s="516" t="s">
        <v>259</v>
      </c>
      <c r="D42" s="516" t="s">
        <v>34</v>
      </c>
      <c r="E42" s="518" t="s">
        <v>44</v>
      </c>
      <c r="F42" s="548" t="s">
        <v>519</v>
      </c>
      <c r="G42" s="516"/>
      <c r="H42" s="516"/>
      <c r="I42" s="551"/>
    </row>
    <row r="43" spans="1:9" x14ac:dyDescent="0.25">
      <c r="A43" s="546">
        <v>12.059999999999967</v>
      </c>
      <c r="B43" s="337" t="s">
        <v>582</v>
      </c>
      <c r="C43" s="516" t="s">
        <v>259</v>
      </c>
      <c r="D43" s="516" t="s">
        <v>34</v>
      </c>
      <c r="E43" s="518" t="s">
        <v>44</v>
      </c>
      <c r="F43" s="548" t="s">
        <v>519</v>
      </c>
      <c r="G43" s="516" t="s">
        <v>560</v>
      </c>
      <c r="H43" s="516" t="s">
        <v>259</v>
      </c>
      <c r="I43" s="551"/>
    </row>
    <row r="44" spans="1:9" x14ac:dyDescent="0.25">
      <c r="A44" s="546">
        <v>12.061999999999966</v>
      </c>
      <c r="B44" s="337" t="s">
        <v>583</v>
      </c>
      <c r="C44" s="516" t="s">
        <v>259</v>
      </c>
      <c r="D44" s="516" t="s">
        <v>34</v>
      </c>
      <c r="E44" s="518" t="s">
        <v>44</v>
      </c>
      <c r="F44" s="548" t="s">
        <v>519</v>
      </c>
      <c r="G44" s="516"/>
      <c r="H44" s="516"/>
      <c r="I44" s="551"/>
    </row>
    <row r="45" spans="1:9" x14ac:dyDescent="0.25">
      <c r="A45" s="546">
        <v>12.062999999999965</v>
      </c>
      <c r="B45" s="337" t="s">
        <v>584</v>
      </c>
      <c r="C45" s="516" t="s">
        <v>280</v>
      </c>
      <c r="D45" s="516" t="s">
        <v>34</v>
      </c>
      <c r="E45" s="518" t="s">
        <v>39</v>
      </c>
      <c r="F45" s="548" t="s">
        <v>519</v>
      </c>
      <c r="G45" s="516"/>
      <c r="H45" s="516"/>
      <c r="I45" s="551"/>
    </row>
    <row r="46" spans="1:9" x14ac:dyDescent="0.25">
      <c r="A46" s="546">
        <v>12.063999999999965</v>
      </c>
      <c r="B46" s="337" t="s">
        <v>585</v>
      </c>
      <c r="C46" s="516" t="s">
        <v>280</v>
      </c>
      <c r="D46" s="516" t="s">
        <v>34</v>
      </c>
      <c r="E46" s="518" t="s">
        <v>39</v>
      </c>
      <c r="F46" s="548" t="s">
        <v>519</v>
      </c>
      <c r="G46" s="516"/>
      <c r="H46" s="516"/>
      <c r="I46" s="551"/>
    </row>
    <row r="47" spans="1:9" x14ac:dyDescent="0.25">
      <c r="A47" s="546">
        <v>12.064999999999964</v>
      </c>
      <c r="B47" s="337" t="s">
        <v>586</v>
      </c>
      <c r="C47" s="516" t="s">
        <v>259</v>
      </c>
      <c r="D47" s="516" t="s">
        <v>34</v>
      </c>
      <c r="E47" s="518" t="s">
        <v>39</v>
      </c>
      <c r="F47" s="548" t="s">
        <v>519</v>
      </c>
      <c r="G47" s="516" t="s">
        <v>587</v>
      </c>
      <c r="H47" s="516"/>
      <c r="I47" s="551"/>
    </row>
    <row r="48" spans="1:9" x14ac:dyDescent="0.25">
      <c r="A48" s="546">
        <v>12.065999999999963</v>
      </c>
      <c r="B48" s="337" t="s">
        <v>588</v>
      </c>
      <c r="C48" s="516" t="s">
        <v>280</v>
      </c>
      <c r="D48" s="516" t="s">
        <v>34</v>
      </c>
      <c r="E48" s="518" t="s">
        <v>39</v>
      </c>
      <c r="F48" s="548" t="s">
        <v>519</v>
      </c>
      <c r="G48" s="516"/>
      <c r="H48" s="516"/>
      <c r="I48" s="551"/>
    </row>
    <row r="49" spans="1:9" x14ac:dyDescent="0.25">
      <c r="A49" s="546">
        <v>12.066999999999963</v>
      </c>
      <c r="B49" s="337" t="s">
        <v>589</v>
      </c>
      <c r="C49" s="516" t="s">
        <v>259</v>
      </c>
      <c r="D49" s="516" t="s">
        <v>34</v>
      </c>
      <c r="E49" s="518" t="s">
        <v>39</v>
      </c>
      <c r="F49" s="548" t="s">
        <v>519</v>
      </c>
      <c r="G49" s="516"/>
      <c r="H49" s="516"/>
      <c r="I49" s="551"/>
    </row>
    <row r="50" spans="1:9" x14ac:dyDescent="0.25">
      <c r="A50" s="546">
        <v>12.067999999999962</v>
      </c>
      <c r="B50" s="337" t="s">
        <v>590</v>
      </c>
      <c r="C50" s="516" t="s">
        <v>259</v>
      </c>
      <c r="D50" s="516" t="s">
        <v>34</v>
      </c>
      <c r="E50" s="518" t="s">
        <v>33</v>
      </c>
      <c r="F50" s="548" t="s">
        <v>519</v>
      </c>
      <c r="G50" s="516"/>
      <c r="H50" s="516"/>
      <c r="I50" s="551"/>
    </row>
    <row r="51" spans="1:9" x14ac:dyDescent="0.25">
      <c r="A51" s="546">
        <v>12.068999999999962</v>
      </c>
      <c r="B51" s="337" t="s">
        <v>591</v>
      </c>
      <c r="C51" s="516" t="s">
        <v>259</v>
      </c>
      <c r="D51" s="516" t="s">
        <v>34</v>
      </c>
      <c r="E51" s="518" t="s">
        <v>44</v>
      </c>
      <c r="F51" s="548" t="s">
        <v>519</v>
      </c>
      <c r="G51" s="516" t="s">
        <v>560</v>
      </c>
      <c r="H51" s="516"/>
      <c r="I51" s="551"/>
    </row>
    <row r="52" spans="1:9" x14ac:dyDescent="0.25">
      <c r="A52" s="546">
        <v>12.070999999999961</v>
      </c>
      <c r="B52" s="337" t="s">
        <v>592</v>
      </c>
      <c r="C52" s="516" t="s">
        <v>280</v>
      </c>
      <c r="D52" s="516" t="s">
        <v>34</v>
      </c>
      <c r="E52" s="518" t="s">
        <v>44</v>
      </c>
      <c r="F52" s="548" t="s">
        <v>519</v>
      </c>
      <c r="G52" s="516"/>
      <c r="H52" s="516"/>
      <c r="I52" s="551"/>
    </row>
    <row r="53" spans="1:9" x14ac:dyDescent="0.25">
      <c r="A53" s="546">
        <v>12.07299999999996</v>
      </c>
      <c r="B53" s="337" t="s">
        <v>593</v>
      </c>
      <c r="C53" s="516" t="s">
        <v>280</v>
      </c>
      <c r="D53" s="516" t="s">
        <v>34</v>
      </c>
      <c r="E53" s="518" t="s">
        <v>44</v>
      </c>
      <c r="F53" s="548" t="s">
        <v>519</v>
      </c>
      <c r="G53" s="516"/>
      <c r="H53" s="516"/>
      <c r="I53" s="551"/>
    </row>
    <row r="54" spans="1:9" x14ac:dyDescent="0.25">
      <c r="A54" s="546">
        <v>12.077999999999957</v>
      </c>
      <c r="B54" s="337" t="s">
        <v>594</v>
      </c>
      <c r="C54" s="516" t="s">
        <v>259</v>
      </c>
      <c r="D54" s="516" t="s">
        <v>34</v>
      </c>
      <c r="E54" s="518" t="s">
        <v>44</v>
      </c>
      <c r="F54" s="548" t="s">
        <v>520</v>
      </c>
      <c r="G54" s="516"/>
      <c r="H54" s="516"/>
      <c r="I54" s="551"/>
    </row>
    <row r="55" spans="1:9" x14ac:dyDescent="0.25">
      <c r="A55" s="546">
        <v>12.078999999999956</v>
      </c>
      <c r="B55" s="337" t="s">
        <v>595</v>
      </c>
      <c r="C55" s="516" t="s">
        <v>259</v>
      </c>
      <c r="D55" s="516" t="s">
        <v>34</v>
      </c>
      <c r="E55" s="518" t="s">
        <v>44</v>
      </c>
      <c r="F55" s="548" t="s">
        <v>519</v>
      </c>
      <c r="G55" s="516" t="s">
        <v>560</v>
      </c>
      <c r="H55" s="516"/>
      <c r="I55" s="551"/>
    </row>
    <row r="56" spans="1:9" x14ac:dyDescent="0.25">
      <c r="A56" s="546">
        <v>12.083999999999953</v>
      </c>
      <c r="B56" s="337" t="s">
        <v>596</v>
      </c>
      <c r="C56" s="516" t="s">
        <v>280</v>
      </c>
      <c r="D56" s="516" t="s">
        <v>34</v>
      </c>
      <c r="E56" s="518" t="s">
        <v>44</v>
      </c>
      <c r="F56" s="548" t="s">
        <v>519</v>
      </c>
      <c r="G56" s="516"/>
      <c r="H56" s="516"/>
      <c r="I56" s="551"/>
    </row>
    <row r="57" spans="1:9" x14ac:dyDescent="0.25">
      <c r="A57" s="546">
        <v>12.092000000000001</v>
      </c>
      <c r="B57" s="337" t="s">
        <v>597</v>
      </c>
      <c r="C57" s="516" t="s">
        <v>280</v>
      </c>
      <c r="D57" s="516" t="s">
        <v>47</v>
      </c>
      <c r="E57" s="518" t="s">
        <v>44</v>
      </c>
      <c r="F57" s="548" t="s">
        <v>513</v>
      </c>
      <c r="G57" s="516"/>
      <c r="H57" s="516"/>
      <c r="I57" s="551" t="s">
        <v>365</v>
      </c>
    </row>
    <row r="58" spans="1:9" x14ac:dyDescent="0.25">
      <c r="A58" s="546">
        <v>12.096</v>
      </c>
      <c r="B58" s="337" t="s">
        <v>598</v>
      </c>
      <c r="C58" s="516" t="s">
        <v>280</v>
      </c>
      <c r="D58" s="516" t="s">
        <v>34</v>
      </c>
      <c r="E58" s="518" t="s">
        <v>44</v>
      </c>
      <c r="F58" s="548" t="s">
        <v>513</v>
      </c>
      <c r="G58" s="516"/>
      <c r="H58" s="516"/>
      <c r="I58" s="551"/>
    </row>
    <row r="59" spans="1:9" x14ac:dyDescent="0.25">
      <c r="A59" s="546">
        <v>12.098000000000001</v>
      </c>
      <c r="B59" s="337" t="s">
        <v>599</v>
      </c>
      <c r="C59" s="516" t="s">
        <v>280</v>
      </c>
      <c r="D59" s="516" t="s">
        <v>47</v>
      </c>
      <c r="E59" s="518" t="s">
        <v>44</v>
      </c>
      <c r="F59" s="548" t="s">
        <v>513</v>
      </c>
      <c r="G59" s="516"/>
      <c r="H59" s="516"/>
      <c r="I59" s="551" t="s">
        <v>366</v>
      </c>
    </row>
    <row r="60" spans="1:9" x14ac:dyDescent="0.25">
      <c r="A60" s="546">
        <v>12.103999999999999</v>
      </c>
      <c r="B60" s="337" t="s">
        <v>600</v>
      </c>
      <c r="C60" s="516" t="s">
        <v>259</v>
      </c>
      <c r="D60" s="516" t="s">
        <v>45</v>
      </c>
      <c r="E60" s="518" t="s">
        <v>44</v>
      </c>
      <c r="F60" s="548" t="s">
        <v>522</v>
      </c>
      <c r="G60" s="516"/>
      <c r="H60" s="516"/>
      <c r="I60" s="551" t="s">
        <v>367</v>
      </c>
    </row>
    <row r="61" spans="1:9" x14ac:dyDescent="0.25">
      <c r="A61" s="546">
        <v>12.111000000000001</v>
      </c>
      <c r="B61" s="337" t="s">
        <v>601</v>
      </c>
      <c r="C61" s="516" t="s">
        <v>280</v>
      </c>
      <c r="D61" s="516" t="s">
        <v>47</v>
      </c>
      <c r="E61" s="518" t="s">
        <v>44</v>
      </c>
      <c r="F61" s="548" t="s">
        <v>513</v>
      </c>
      <c r="G61" s="516"/>
      <c r="H61" s="516"/>
      <c r="I61" s="551" t="s">
        <v>366</v>
      </c>
    </row>
    <row r="62" spans="1:9" x14ac:dyDescent="0.25">
      <c r="A62" s="546">
        <v>12.112</v>
      </c>
      <c r="B62" s="337" t="s">
        <v>602</v>
      </c>
      <c r="C62" s="516" t="s">
        <v>280</v>
      </c>
      <c r="D62" s="516" t="s">
        <v>34</v>
      </c>
      <c r="E62" s="518" t="s">
        <v>44</v>
      </c>
      <c r="F62" s="548" t="s">
        <v>513</v>
      </c>
      <c r="G62" s="516"/>
      <c r="H62" s="516"/>
      <c r="I62" s="551"/>
    </row>
    <row r="63" spans="1:9" x14ac:dyDescent="0.25">
      <c r="A63" s="546">
        <v>12.113</v>
      </c>
      <c r="B63" s="337" t="s">
        <v>603</v>
      </c>
      <c r="C63" s="516" t="s">
        <v>280</v>
      </c>
      <c r="D63" s="516" t="s">
        <v>45</v>
      </c>
      <c r="E63" s="518" t="s">
        <v>44</v>
      </c>
      <c r="F63" s="548" t="s">
        <v>514</v>
      </c>
      <c r="G63" s="516"/>
      <c r="H63" s="516"/>
      <c r="I63" s="551" t="s">
        <v>368</v>
      </c>
    </row>
    <row r="64" spans="1:9" x14ac:dyDescent="0.25">
      <c r="A64" s="546">
        <v>12.114000000000001</v>
      </c>
      <c r="B64" s="337" t="s">
        <v>604</v>
      </c>
      <c r="C64" s="516" t="s">
        <v>280</v>
      </c>
      <c r="D64" s="516" t="s">
        <v>34</v>
      </c>
      <c r="E64" s="518" t="s">
        <v>44</v>
      </c>
      <c r="F64" s="548" t="s">
        <v>514</v>
      </c>
      <c r="G64" s="516"/>
      <c r="H64" s="516"/>
      <c r="I64" s="551"/>
    </row>
    <row r="65" spans="1:9" x14ac:dyDescent="0.25">
      <c r="A65" s="546">
        <v>12.115</v>
      </c>
      <c r="B65" s="337" t="s">
        <v>605</v>
      </c>
      <c r="C65" s="516" t="s">
        <v>259</v>
      </c>
      <c r="D65" s="516" t="s">
        <v>34</v>
      </c>
      <c r="E65" s="518" t="s">
        <v>44</v>
      </c>
      <c r="F65" s="548" t="s">
        <v>519</v>
      </c>
      <c r="G65" s="516"/>
      <c r="H65" s="516"/>
      <c r="I65" s="551"/>
    </row>
    <row r="66" spans="1:9" x14ac:dyDescent="0.25">
      <c r="A66" s="546">
        <v>12.118</v>
      </c>
      <c r="B66" s="337" t="s">
        <v>606</v>
      </c>
      <c r="C66" s="516" t="s">
        <v>259</v>
      </c>
      <c r="D66" s="516" t="s">
        <v>34</v>
      </c>
      <c r="E66" s="518" t="s">
        <v>44</v>
      </c>
      <c r="F66" s="548" t="s">
        <v>516</v>
      </c>
      <c r="G66" s="516" t="s">
        <v>560</v>
      </c>
      <c r="H66" s="516" t="s">
        <v>280</v>
      </c>
      <c r="I66" s="551"/>
    </row>
    <row r="67" spans="1:9" x14ac:dyDescent="0.25">
      <c r="A67" s="546">
        <v>12.119</v>
      </c>
      <c r="B67" s="337" t="s">
        <v>607</v>
      </c>
      <c r="C67" s="516" t="s">
        <v>259</v>
      </c>
      <c r="D67" s="516" t="s">
        <v>34</v>
      </c>
      <c r="E67" s="518" t="s">
        <v>44</v>
      </c>
      <c r="F67" s="548" t="s">
        <v>515</v>
      </c>
      <c r="G67" s="516"/>
      <c r="H67" s="516"/>
      <c r="I67" s="551"/>
    </row>
    <row r="68" spans="1:9" x14ac:dyDescent="0.25">
      <c r="A68" s="546">
        <v>12.12</v>
      </c>
      <c r="B68" s="337" t="s">
        <v>608</v>
      </c>
      <c r="C68" s="516" t="s">
        <v>259</v>
      </c>
      <c r="D68" s="516" t="s">
        <v>34</v>
      </c>
      <c r="E68" s="518" t="s">
        <v>44</v>
      </c>
      <c r="F68" s="548" t="s">
        <v>514</v>
      </c>
      <c r="G68" s="516"/>
      <c r="H68" s="516" t="s">
        <v>259</v>
      </c>
      <c r="I68" s="551"/>
    </row>
    <row r="69" spans="1:9" x14ac:dyDescent="0.25">
      <c r="A69" s="546">
        <v>12.124000000000001</v>
      </c>
      <c r="B69" s="337" t="s">
        <v>609</v>
      </c>
      <c r="C69" s="516" t="s">
        <v>280</v>
      </c>
      <c r="D69" s="516" t="s">
        <v>34</v>
      </c>
      <c r="E69" s="518" t="s">
        <v>44</v>
      </c>
      <c r="F69" s="548" t="s">
        <v>520</v>
      </c>
      <c r="G69" s="516"/>
      <c r="H69" s="516"/>
      <c r="I69" s="551"/>
    </row>
    <row r="70" spans="1:9" x14ac:dyDescent="0.25">
      <c r="A70" s="546">
        <v>12.125</v>
      </c>
      <c r="B70" s="337" t="s">
        <v>610</v>
      </c>
      <c r="C70" s="516" t="s">
        <v>280</v>
      </c>
      <c r="D70" s="516" t="s">
        <v>34</v>
      </c>
      <c r="E70" s="518" t="s">
        <v>44</v>
      </c>
      <c r="F70" s="548" t="s">
        <v>520</v>
      </c>
      <c r="G70" s="516"/>
      <c r="H70" s="516"/>
      <c r="I70" s="551"/>
    </row>
    <row r="71" spans="1:9" x14ac:dyDescent="0.25">
      <c r="A71" s="546">
        <v>12.128</v>
      </c>
      <c r="B71" s="337" t="s">
        <v>611</v>
      </c>
      <c r="C71" s="516" t="s">
        <v>259</v>
      </c>
      <c r="D71" s="516" t="s">
        <v>34</v>
      </c>
      <c r="E71" s="518" t="s">
        <v>44</v>
      </c>
      <c r="F71" s="548" t="s">
        <v>514</v>
      </c>
      <c r="G71" s="516"/>
      <c r="H71" s="516"/>
      <c r="I71" s="551"/>
    </row>
    <row r="72" spans="1:9" x14ac:dyDescent="0.25">
      <c r="A72" s="546">
        <v>12.13</v>
      </c>
      <c r="B72" s="337" t="s">
        <v>612</v>
      </c>
      <c r="C72" s="516" t="s">
        <v>259</v>
      </c>
      <c r="D72" s="516" t="s">
        <v>34</v>
      </c>
      <c r="E72" s="518" t="s">
        <v>44</v>
      </c>
      <c r="F72" s="548" t="s">
        <v>513</v>
      </c>
      <c r="G72" s="516" t="s">
        <v>560</v>
      </c>
      <c r="H72" s="516"/>
      <c r="I72" s="551"/>
    </row>
    <row r="73" spans="1:9" x14ac:dyDescent="0.25">
      <c r="A73" s="546">
        <v>12.132</v>
      </c>
      <c r="B73" s="337" t="s">
        <v>613</v>
      </c>
      <c r="C73" s="516" t="s">
        <v>259</v>
      </c>
      <c r="D73" s="516" t="s">
        <v>34</v>
      </c>
      <c r="E73" s="518" t="s">
        <v>44</v>
      </c>
      <c r="F73" s="548" t="s">
        <v>514</v>
      </c>
      <c r="G73" s="516"/>
      <c r="H73" s="516" t="s">
        <v>280</v>
      </c>
      <c r="I73" s="551"/>
    </row>
    <row r="74" spans="1:9" x14ac:dyDescent="0.25">
      <c r="A74" s="546">
        <v>12.132999999999999</v>
      </c>
      <c r="B74" s="337" t="s">
        <v>614</v>
      </c>
      <c r="C74" s="516" t="s">
        <v>259</v>
      </c>
      <c r="D74" s="516" t="s">
        <v>34</v>
      </c>
      <c r="E74" s="518" t="s">
        <v>44</v>
      </c>
      <c r="F74" s="548" t="s">
        <v>514</v>
      </c>
      <c r="G74" s="516"/>
      <c r="H74" s="516"/>
      <c r="I74" s="551"/>
    </row>
    <row r="75" spans="1:9" x14ac:dyDescent="0.25">
      <c r="A75" s="546">
        <v>12.134</v>
      </c>
      <c r="B75" s="337" t="s">
        <v>615</v>
      </c>
      <c r="C75" s="516" t="s">
        <v>259</v>
      </c>
      <c r="D75" s="516" t="s">
        <v>34</v>
      </c>
      <c r="E75" s="518" t="s">
        <v>44</v>
      </c>
      <c r="F75" s="548" t="s">
        <v>514</v>
      </c>
      <c r="G75" s="516"/>
      <c r="H75" s="516"/>
      <c r="I75" s="551"/>
    </row>
    <row r="76" spans="1:9" x14ac:dyDescent="0.25">
      <c r="A76" s="546">
        <v>12.138999999999999</v>
      </c>
      <c r="B76" s="337" t="s">
        <v>616</v>
      </c>
      <c r="C76" s="516" t="s">
        <v>259</v>
      </c>
      <c r="D76" s="516" t="s">
        <v>34</v>
      </c>
      <c r="E76" s="518" t="s">
        <v>44</v>
      </c>
      <c r="F76" s="548" t="s">
        <v>520</v>
      </c>
      <c r="G76" s="516"/>
      <c r="H76" s="516"/>
      <c r="I76" s="551"/>
    </row>
    <row r="77" spans="1:9" x14ac:dyDescent="0.25">
      <c r="A77" s="546">
        <v>12.141999999999999</v>
      </c>
      <c r="B77" s="337" t="s">
        <v>617</v>
      </c>
      <c r="C77" s="516" t="s">
        <v>259</v>
      </c>
      <c r="D77" s="516" t="s">
        <v>34</v>
      </c>
      <c r="E77" s="518" t="s">
        <v>39</v>
      </c>
      <c r="F77" s="548" t="s">
        <v>519</v>
      </c>
      <c r="G77" s="516"/>
      <c r="H77" s="516" t="s">
        <v>280</v>
      </c>
      <c r="I77" s="551"/>
    </row>
    <row r="78" spans="1:9" x14ac:dyDescent="0.25">
      <c r="A78" s="546">
        <v>12.143000000000001</v>
      </c>
      <c r="B78" s="337" t="s">
        <v>618</v>
      </c>
      <c r="C78" s="516" t="s">
        <v>259</v>
      </c>
      <c r="D78" s="516" t="s">
        <v>40</v>
      </c>
      <c r="E78" s="518" t="s">
        <v>44</v>
      </c>
      <c r="F78" s="548" t="s">
        <v>520</v>
      </c>
      <c r="G78" s="516"/>
      <c r="H78" s="516"/>
      <c r="I78" s="551" t="s">
        <v>382</v>
      </c>
    </row>
    <row r="79" spans="1:9" x14ac:dyDescent="0.25">
      <c r="A79" s="546">
        <v>12.146000000000001</v>
      </c>
      <c r="B79" s="337" t="s">
        <v>619</v>
      </c>
      <c r="C79" s="516" t="s">
        <v>259</v>
      </c>
      <c r="D79" s="516" t="s">
        <v>34</v>
      </c>
      <c r="E79" s="518" t="s">
        <v>44</v>
      </c>
      <c r="F79" s="548" t="s">
        <v>514</v>
      </c>
      <c r="G79" s="516"/>
      <c r="H79" s="516"/>
      <c r="I79" s="551"/>
    </row>
    <row r="80" spans="1:9" x14ac:dyDescent="0.25">
      <c r="A80" s="546">
        <v>12.148</v>
      </c>
      <c r="B80" s="337" t="s">
        <v>620</v>
      </c>
      <c r="C80" s="516" t="s">
        <v>259</v>
      </c>
      <c r="D80" s="516" t="s">
        <v>34</v>
      </c>
      <c r="E80" s="518" t="s">
        <v>44</v>
      </c>
      <c r="F80" s="548" t="s">
        <v>514</v>
      </c>
      <c r="G80" s="516"/>
      <c r="H80" s="516"/>
      <c r="I80" s="551"/>
    </row>
    <row r="81" spans="1:9" x14ac:dyDescent="0.25">
      <c r="A81" s="546">
        <v>12.15</v>
      </c>
      <c r="B81" s="337" t="s">
        <v>621</v>
      </c>
      <c r="C81" s="516" t="s">
        <v>259</v>
      </c>
      <c r="D81" s="516" t="s">
        <v>34</v>
      </c>
      <c r="E81" s="518" t="s">
        <v>44</v>
      </c>
      <c r="F81" s="548" t="s">
        <v>514</v>
      </c>
      <c r="G81" s="516"/>
      <c r="H81" s="516"/>
      <c r="I81" s="551"/>
    </row>
    <row r="82" spans="1:9" x14ac:dyDescent="0.25">
      <c r="A82" s="546">
        <v>12.151999999999999</v>
      </c>
      <c r="B82" s="337" t="s">
        <v>622</v>
      </c>
      <c r="C82" s="516" t="s">
        <v>259</v>
      </c>
      <c r="D82" s="516" t="s">
        <v>34</v>
      </c>
      <c r="E82" s="518" t="s">
        <v>44</v>
      </c>
      <c r="F82" s="548" t="s">
        <v>514</v>
      </c>
      <c r="G82" s="516"/>
      <c r="H82" s="516"/>
      <c r="I82" s="551"/>
    </row>
    <row r="83" spans="1:9" x14ac:dyDescent="0.25">
      <c r="A83" s="546">
        <v>12.157</v>
      </c>
      <c r="B83" s="337" t="s">
        <v>623</v>
      </c>
      <c r="C83" s="516" t="s">
        <v>280</v>
      </c>
      <c r="D83" s="516" t="s">
        <v>34</v>
      </c>
      <c r="E83" s="518" t="s">
        <v>44</v>
      </c>
      <c r="F83" s="548" t="s">
        <v>519</v>
      </c>
      <c r="G83" s="516"/>
      <c r="H83" s="516"/>
      <c r="I83" s="551"/>
    </row>
    <row r="84" spans="1:9" x14ac:dyDescent="0.25">
      <c r="A84" s="546">
        <v>12.159000000000001</v>
      </c>
      <c r="B84" s="337" t="s">
        <v>624</v>
      </c>
      <c r="C84" s="516" t="s">
        <v>259</v>
      </c>
      <c r="D84" s="516" t="s">
        <v>34</v>
      </c>
      <c r="E84" s="518" t="s">
        <v>44</v>
      </c>
      <c r="F84" s="548" t="s">
        <v>519</v>
      </c>
      <c r="G84" s="516"/>
      <c r="H84" s="516"/>
      <c r="I84" s="551"/>
    </row>
    <row r="85" spans="1:9" x14ac:dyDescent="0.25">
      <c r="A85" s="546">
        <v>12.16</v>
      </c>
      <c r="B85" s="337" t="s">
        <v>625</v>
      </c>
      <c r="C85" s="516" t="s">
        <v>280</v>
      </c>
      <c r="D85" s="516" t="s">
        <v>34</v>
      </c>
      <c r="E85" s="518" t="s">
        <v>44</v>
      </c>
      <c r="F85" s="548" t="s">
        <v>519</v>
      </c>
      <c r="G85" s="516"/>
      <c r="H85" s="516"/>
      <c r="I85" s="551"/>
    </row>
    <row r="86" spans="1:9" x14ac:dyDescent="0.25">
      <c r="A86" s="546">
        <v>12.162000000000001</v>
      </c>
      <c r="B86" s="337" t="s">
        <v>626</v>
      </c>
      <c r="C86" s="516" t="s">
        <v>259</v>
      </c>
      <c r="D86" s="516" t="s">
        <v>34</v>
      </c>
      <c r="E86" s="518" t="s">
        <v>39</v>
      </c>
      <c r="F86" s="548" t="s">
        <v>519</v>
      </c>
      <c r="G86" s="516"/>
      <c r="H86" s="516"/>
      <c r="I86" s="551"/>
    </row>
    <row r="87" spans="1:9" x14ac:dyDescent="0.25">
      <c r="A87" s="546">
        <v>12.163</v>
      </c>
      <c r="B87" s="337" t="s">
        <v>627</v>
      </c>
      <c r="C87" s="516" t="s">
        <v>280</v>
      </c>
      <c r="D87" s="516" t="s">
        <v>34</v>
      </c>
      <c r="E87" s="518" t="s">
        <v>44</v>
      </c>
      <c r="F87" s="548" t="s">
        <v>520</v>
      </c>
      <c r="G87" s="516"/>
      <c r="H87" s="516"/>
      <c r="I87" s="551"/>
    </row>
    <row r="88" spans="1:9" x14ac:dyDescent="0.25">
      <c r="A88" s="546">
        <v>12.164</v>
      </c>
      <c r="B88" s="337" t="s">
        <v>628</v>
      </c>
      <c r="C88" s="516" t="s">
        <v>259</v>
      </c>
      <c r="D88" s="516" t="s">
        <v>34</v>
      </c>
      <c r="E88" s="518" t="s">
        <v>44</v>
      </c>
      <c r="F88" s="548" t="s">
        <v>518</v>
      </c>
      <c r="G88" s="516"/>
      <c r="H88" s="516" t="s">
        <v>280</v>
      </c>
      <c r="I88" s="551"/>
    </row>
    <row r="89" spans="1:9" x14ac:dyDescent="0.25">
      <c r="A89" s="546">
        <v>12.164999999999999</v>
      </c>
      <c r="B89" s="337" t="s">
        <v>629</v>
      </c>
      <c r="C89" s="516" t="s">
        <v>259</v>
      </c>
      <c r="D89" s="516" t="s">
        <v>34</v>
      </c>
      <c r="E89" s="518" t="s">
        <v>44</v>
      </c>
      <c r="F89" s="548" t="s">
        <v>518</v>
      </c>
      <c r="G89" s="516"/>
      <c r="H89" s="516" t="s">
        <v>280</v>
      </c>
      <c r="I89" s="551"/>
    </row>
    <row r="90" spans="1:9" x14ac:dyDescent="0.25">
      <c r="A90" s="546">
        <v>12.167</v>
      </c>
      <c r="B90" s="337" t="s">
        <v>630</v>
      </c>
      <c r="C90" s="516" t="s">
        <v>259</v>
      </c>
      <c r="D90" s="516" t="s">
        <v>34</v>
      </c>
      <c r="E90" s="518" t="s">
        <v>44</v>
      </c>
      <c r="F90" s="548" t="s">
        <v>518</v>
      </c>
      <c r="G90" s="516"/>
      <c r="H90" s="516"/>
      <c r="I90" s="551"/>
    </row>
    <row r="91" spans="1:9" x14ac:dyDescent="0.25">
      <c r="A91" s="546">
        <v>12.167999999999999</v>
      </c>
      <c r="B91" s="337" t="s">
        <v>631</v>
      </c>
      <c r="C91" s="516" t="s">
        <v>259</v>
      </c>
      <c r="D91" s="516" t="s">
        <v>34</v>
      </c>
      <c r="E91" s="518" t="s">
        <v>44</v>
      </c>
      <c r="F91" s="548" t="s">
        <v>518</v>
      </c>
      <c r="G91" s="516"/>
      <c r="H91" s="516"/>
      <c r="I91" s="551"/>
    </row>
    <row r="92" spans="1:9" x14ac:dyDescent="0.25">
      <c r="A92" s="546">
        <v>12.173999999999999</v>
      </c>
      <c r="B92" s="337" t="s">
        <v>632</v>
      </c>
      <c r="C92" s="516" t="s">
        <v>259</v>
      </c>
      <c r="D92" s="516" t="s">
        <v>34</v>
      </c>
      <c r="E92" s="518" t="s">
        <v>44</v>
      </c>
      <c r="F92" s="548" t="s">
        <v>514</v>
      </c>
      <c r="G92" s="516"/>
      <c r="H92" s="516"/>
      <c r="I92" s="551"/>
    </row>
    <row r="93" spans="1:9" x14ac:dyDescent="0.25">
      <c r="A93" s="546">
        <v>12.175000000000001</v>
      </c>
      <c r="B93" s="337" t="s">
        <v>633</v>
      </c>
      <c r="C93" s="516" t="s">
        <v>259</v>
      </c>
      <c r="D93" s="516" t="s">
        <v>34</v>
      </c>
      <c r="E93" s="518" t="s">
        <v>44</v>
      </c>
      <c r="F93" s="548" t="s">
        <v>514</v>
      </c>
      <c r="G93" s="516"/>
      <c r="H93" s="516"/>
      <c r="I93" s="551"/>
    </row>
    <row r="94" spans="1:9" x14ac:dyDescent="0.25">
      <c r="A94" s="546">
        <v>12.183999999999999</v>
      </c>
      <c r="B94" s="337" t="s">
        <v>634</v>
      </c>
      <c r="C94" s="516" t="s">
        <v>259</v>
      </c>
      <c r="D94" s="516" t="s">
        <v>34</v>
      </c>
      <c r="E94" s="518" t="s">
        <v>44</v>
      </c>
      <c r="F94" s="548" t="s">
        <v>513</v>
      </c>
      <c r="G94" s="516"/>
      <c r="H94" s="516" t="s">
        <v>259</v>
      </c>
      <c r="I94" s="551"/>
    </row>
    <row r="95" spans="1:9" x14ac:dyDescent="0.25">
      <c r="A95" s="546">
        <v>12.185</v>
      </c>
      <c r="B95" s="337" t="s">
        <v>635</v>
      </c>
      <c r="C95" s="516" t="s">
        <v>259</v>
      </c>
      <c r="D95" s="516" t="s">
        <v>34</v>
      </c>
      <c r="E95" s="518" t="s">
        <v>44</v>
      </c>
      <c r="F95" s="548" t="s">
        <v>513</v>
      </c>
      <c r="G95" s="516"/>
      <c r="H95" s="516"/>
      <c r="I95" s="551"/>
    </row>
    <row r="96" spans="1:9" x14ac:dyDescent="0.25">
      <c r="A96" s="546">
        <v>12.186</v>
      </c>
      <c r="B96" s="337" t="s">
        <v>636</v>
      </c>
      <c r="C96" s="516" t="s">
        <v>259</v>
      </c>
      <c r="D96" s="516" t="s">
        <v>34</v>
      </c>
      <c r="E96" s="518" t="s">
        <v>44</v>
      </c>
      <c r="F96" s="548" t="s">
        <v>519</v>
      </c>
      <c r="G96" s="516"/>
      <c r="H96" s="516"/>
      <c r="I96" s="551"/>
    </row>
    <row r="97" spans="1:9" x14ac:dyDescent="0.25">
      <c r="A97" s="546">
        <v>12.188000000000001</v>
      </c>
      <c r="B97" s="337" t="s">
        <v>637</v>
      </c>
      <c r="C97" s="516" t="s">
        <v>259</v>
      </c>
      <c r="D97" s="516" t="s">
        <v>34</v>
      </c>
      <c r="E97" s="518" t="s">
        <v>44</v>
      </c>
      <c r="F97" s="548" t="s">
        <v>519</v>
      </c>
      <c r="G97" s="516"/>
      <c r="H97" s="516"/>
      <c r="I97" s="551"/>
    </row>
    <row r="98" spans="1:9" x14ac:dyDescent="0.25">
      <c r="A98" s="546">
        <v>12.191000000000001</v>
      </c>
      <c r="B98" s="337" t="s">
        <v>638</v>
      </c>
      <c r="C98" s="516" t="s">
        <v>259</v>
      </c>
      <c r="D98" s="516" t="s">
        <v>34</v>
      </c>
      <c r="E98" s="518" t="s">
        <v>44</v>
      </c>
      <c r="F98" s="548" t="s">
        <v>519</v>
      </c>
      <c r="G98" s="516"/>
      <c r="H98" s="516"/>
      <c r="I98" s="551"/>
    </row>
    <row r="99" spans="1:9" x14ac:dyDescent="0.25">
      <c r="A99" s="546">
        <v>12.192</v>
      </c>
      <c r="B99" s="337" t="s">
        <v>639</v>
      </c>
      <c r="C99" s="516" t="s">
        <v>280</v>
      </c>
      <c r="D99" s="516" t="s">
        <v>47</v>
      </c>
      <c r="E99" s="518" t="s">
        <v>44</v>
      </c>
      <c r="F99" s="548" t="s">
        <v>513</v>
      </c>
      <c r="G99" s="516"/>
      <c r="H99" s="516"/>
      <c r="I99" s="551" t="s">
        <v>366</v>
      </c>
    </row>
    <row r="100" spans="1:9" x14ac:dyDescent="0.25">
      <c r="A100" s="546">
        <v>12.193</v>
      </c>
      <c r="B100" s="337" t="s">
        <v>640</v>
      </c>
      <c r="C100" s="516" t="s">
        <v>259</v>
      </c>
      <c r="D100" s="516" t="s">
        <v>34</v>
      </c>
      <c r="E100" s="518" t="s">
        <v>44</v>
      </c>
      <c r="F100" s="548" t="s">
        <v>513</v>
      </c>
      <c r="G100" s="516"/>
      <c r="H100" s="516" t="s">
        <v>280</v>
      </c>
      <c r="I100" s="551"/>
    </row>
    <row r="101" spans="1:9" x14ac:dyDescent="0.25">
      <c r="A101" s="546">
        <v>12.196999999999999</v>
      </c>
      <c r="B101" s="337" t="s">
        <v>641</v>
      </c>
      <c r="C101" s="516" t="s">
        <v>280</v>
      </c>
      <c r="D101" s="516" t="s">
        <v>34</v>
      </c>
      <c r="E101" s="518" t="s">
        <v>44</v>
      </c>
      <c r="F101" s="548" t="s">
        <v>520</v>
      </c>
      <c r="G101" s="516"/>
      <c r="H101" s="516"/>
      <c r="I101" s="551"/>
    </row>
    <row r="102" spans="1:9" x14ac:dyDescent="0.25">
      <c r="A102" s="546">
        <v>12.201000000000001</v>
      </c>
      <c r="B102" s="337" t="s">
        <v>642</v>
      </c>
      <c r="C102" s="516" t="s">
        <v>259</v>
      </c>
      <c r="D102" s="516" t="s">
        <v>34</v>
      </c>
      <c r="E102" s="518" t="s">
        <v>44</v>
      </c>
      <c r="F102" s="548" t="s">
        <v>520</v>
      </c>
      <c r="G102" s="516" t="s">
        <v>560</v>
      </c>
      <c r="H102" s="516"/>
      <c r="I102" s="551"/>
    </row>
    <row r="103" spans="1:9" x14ac:dyDescent="0.25">
      <c r="A103" s="546">
        <v>12.202</v>
      </c>
      <c r="B103" s="337" t="s">
        <v>643</v>
      </c>
      <c r="C103" s="516" t="s">
        <v>259</v>
      </c>
      <c r="D103" s="516" t="s">
        <v>34</v>
      </c>
      <c r="E103" s="518" t="s">
        <v>44</v>
      </c>
      <c r="F103" s="548" t="s">
        <v>520</v>
      </c>
      <c r="G103" s="516" t="s">
        <v>560</v>
      </c>
      <c r="H103" s="516"/>
      <c r="I103" s="551"/>
    </row>
    <row r="104" spans="1:9" x14ac:dyDescent="0.25">
      <c r="A104" s="546">
        <v>12.206</v>
      </c>
      <c r="B104" s="337" t="s">
        <v>644</v>
      </c>
      <c r="C104" s="516" t="s">
        <v>259</v>
      </c>
      <c r="D104" s="516" t="s">
        <v>34</v>
      </c>
      <c r="E104" s="518" t="s">
        <v>44</v>
      </c>
      <c r="F104" s="548" t="s">
        <v>514</v>
      </c>
      <c r="G104" s="516"/>
      <c r="H104" s="516"/>
      <c r="I104" s="551" t="s">
        <v>401</v>
      </c>
    </row>
    <row r="105" spans="1:9" x14ac:dyDescent="0.25">
      <c r="A105" s="546">
        <v>12.208</v>
      </c>
      <c r="B105" s="337" t="s">
        <v>645</v>
      </c>
      <c r="C105" s="516" t="s">
        <v>280</v>
      </c>
      <c r="D105" s="516" t="s">
        <v>34</v>
      </c>
      <c r="E105" s="518" t="s">
        <v>44</v>
      </c>
      <c r="F105" s="548" t="s">
        <v>519</v>
      </c>
      <c r="G105" s="516"/>
      <c r="H105" s="516"/>
      <c r="I105" s="551"/>
    </row>
    <row r="106" spans="1:9" x14ac:dyDescent="0.25">
      <c r="A106" s="546">
        <v>12.209</v>
      </c>
      <c r="B106" s="337" t="s">
        <v>646</v>
      </c>
      <c r="C106" s="516" t="s">
        <v>259</v>
      </c>
      <c r="D106" s="516" t="s">
        <v>34</v>
      </c>
      <c r="E106" s="518" t="s">
        <v>44</v>
      </c>
      <c r="F106" s="548" t="s">
        <v>519</v>
      </c>
      <c r="G106" s="516"/>
      <c r="H106" s="516"/>
      <c r="I106" s="551"/>
    </row>
    <row r="107" spans="1:9" x14ac:dyDescent="0.25">
      <c r="A107" s="546">
        <v>12.21</v>
      </c>
      <c r="B107" s="337" t="s">
        <v>647</v>
      </c>
      <c r="C107" s="516" t="s">
        <v>259</v>
      </c>
      <c r="D107" s="516" t="s">
        <v>34</v>
      </c>
      <c r="E107" s="518" t="s">
        <v>44</v>
      </c>
      <c r="F107" s="548" t="s">
        <v>513</v>
      </c>
      <c r="G107" s="516"/>
      <c r="H107" s="516"/>
      <c r="I107" s="551"/>
    </row>
    <row r="108" spans="1:9" x14ac:dyDescent="0.25">
      <c r="A108" s="546">
        <v>12.211</v>
      </c>
      <c r="B108" s="337" t="s">
        <v>648</v>
      </c>
      <c r="C108" s="516" t="s">
        <v>259</v>
      </c>
      <c r="D108" s="516" t="s">
        <v>34</v>
      </c>
      <c r="E108" s="518" t="s">
        <v>44</v>
      </c>
      <c r="F108" s="548" t="s">
        <v>513</v>
      </c>
      <c r="G108" s="516"/>
      <c r="H108" s="516"/>
      <c r="I108" s="551"/>
    </row>
    <row r="109" spans="1:9" x14ac:dyDescent="0.25">
      <c r="A109" s="546">
        <v>12.212999999999999</v>
      </c>
      <c r="B109" s="337" t="s">
        <v>649</v>
      </c>
      <c r="C109" s="516" t="s">
        <v>259</v>
      </c>
      <c r="D109" s="516" t="s">
        <v>47</v>
      </c>
      <c r="E109" s="518" t="s">
        <v>44</v>
      </c>
      <c r="F109" s="548" t="s">
        <v>516</v>
      </c>
      <c r="G109" s="516"/>
      <c r="H109" s="516"/>
      <c r="I109" s="551" t="s">
        <v>405</v>
      </c>
    </row>
    <row r="110" spans="1:9" x14ac:dyDescent="0.25">
      <c r="A110" s="546">
        <v>12.214</v>
      </c>
      <c r="B110" s="337" t="s">
        <v>650</v>
      </c>
      <c r="C110" s="516" t="s">
        <v>259</v>
      </c>
      <c r="D110" s="516" t="s">
        <v>34</v>
      </c>
      <c r="E110" s="518" t="s">
        <v>44</v>
      </c>
      <c r="F110" s="548" t="s">
        <v>516</v>
      </c>
      <c r="G110" s="516"/>
      <c r="H110" s="516"/>
      <c r="I110" s="551" t="s">
        <v>401</v>
      </c>
    </row>
    <row r="111" spans="1:9" x14ac:dyDescent="0.25">
      <c r="A111" s="546">
        <v>12.215999999999999</v>
      </c>
      <c r="B111" s="337" t="s">
        <v>651</v>
      </c>
      <c r="C111" s="516" t="s">
        <v>259</v>
      </c>
      <c r="D111" s="516" t="s">
        <v>45</v>
      </c>
      <c r="E111" s="518" t="s">
        <v>44</v>
      </c>
      <c r="F111" s="548" t="s">
        <v>514</v>
      </c>
      <c r="G111" s="516"/>
      <c r="H111" s="516"/>
      <c r="I111" s="551" t="s">
        <v>406</v>
      </c>
    </row>
    <row r="112" spans="1:9" x14ac:dyDescent="0.25">
      <c r="A112" s="546">
        <v>12.218999999999999</v>
      </c>
      <c r="B112" s="337" t="s">
        <v>652</v>
      </c>
      <c r="C112" s="516" t="s">
        <v>259</v>
      </c>
      <c r="D112" s="516" t="s">
        <v>34</v>
      </c>
      <c r="E112" s="518" t="s">
        <v>44</v>
      </c>
      <c r="F112" s="548" t="s">
        <v>516</v>
      </c>
      <c r="G112" s="516"/>
      <c r="H112" s="516"/>
      <c r="I112" s="551"/>
    </row>
    <row r="113" spans="1:9" x14ac:dyDescent="0.25">
      <c r="A113" s="546">
        <v>12.22</v>
      </c>
      <c r="B113" s="337" t="s">
        <v>653</v>
      </c>
      <c r="C113" s="516" t="s">
        <v>259</v>
      </c>
      <c r="D113" s="516" t="s">
        <v>34</v>
      </c>
      <c r="E113" s="518" t="s">
        <v>44</v>
      </c>
      <c r="F113" s="548" t="s">
        <v>516</v>
      </c>
      <c r="G113" s="516"/>
      <c r="H113" s="516"/>
      <c r="I113" s="551"/>
    </row>
    <row r="114" spans="1:9" x14ac:dyDescent="0.25">
      <c r="A114" s="546">
        <v>12.221</v>
      </c>
      <c r="B114" s="337" t="s">
        <v>654</v>
      </c>
      <c r="C114" s="516" t="s">
        <v>259</v>
      </c>
      <c r="D114" s="516" t="s">
        <v>34</v>
      </c>
      <c r="E114" s="518" t="s">
        <v>44</v>
      </c>
      <c r="F114" s="548" t="s">
        <v>514</v>
      </c>
      <c r="G114" s="516"/>
      <c r="H114" s="516"/>
      <c r="I114" s="551"/>
    </row>
    <row r="115" spans="1:9" x14ac:dyDescent="0.25">
      <c r="A115" s="546">
        <v>12.223000000000001</v>
      </c>
      <c r="B115" s="337" t="s">
        <v>655</v>
      </c>
      <c r="C115" s="516" t="s">
        <v>259</v>
      </c>
      <c r="D115" s="516" t="s">
        <v>34</v>
      </c>
      <c r="E115" s="518" t="s">
        <v>44</v>
      </c>
      <c r="F115" s="548" t="s">
        <v>518</v>
      </c>
      <c r="G115" s="516"/>
      <c r="H115" s="516"/>
      <c r="I115" s="551"/>
    </row>
    <row r="116" spans="1:9" x14ac:dyDescent="0.25">
      <c r="A116" s="546">
        <v>12.224</v>
      </c>
      <c r="B116" s="337" t="s">
        <v>656</v>
      </c>
      <c r="C116" s="516" t="s">
        <v>259</v>
      </c>
      <c r="D116" s="516" t="s">
        <v>34</v>
      </c>
      <c r="E116" s="518" t="s">
        <v>44</v>
      </c>
      <c r="F116" s="548" t="s">
        <v>518</v>
      </c>
      <c r="G116" s="516"/>
      <c r="H116" s="516"/>
      <c r="I116" s="551"/>
    </row>
    <row r="117" spans="1:9" x14ac:dyDescent="0.25">
      <c r="A117" s="546">
        <v>12.225</v>
      </c>
      <c r="B117" s="337" t="s">
        <v>657</v>
      </c>
      <c r="C117" s="516" t="s">
        <v>259</v>
      </c>
      <c r="D117" s="516" t="s">
        <v>34</v>
      </c>
      <c r="E117" s="518" t="s">
        <v>44</v>
      </c>
      <c r="F117" s="548" t="s">
        <v>518</v>
      </c>
      <c r="G117" s="516"/>
      <c r="H117" s="516"/>
      <c r="I117" s="551"/>
    </row>
    <row r="118" spans="1:9" x14ac:dyDescent="0.25">
      <c r="A118" s="546">
        <v>12.233000000000001</v>
      </c>
      <c r="B118" s="337" t="s">
        <v>658</v>
      </c>
      <c r="C118" s="516" t="s">
        <v>280</v>
      </c>
      <c r="D118" s="516" t="s">
        <v>45</v>
      </c>
      <c r="E118" s="518" t="s">
        <v>44</v>
      </c>
      <c r="F118" s="548" t="s">
        <v>514</v>
      </c>
      <c r="G118" s="516"/>
      <c r="H118" s="516"/>
      <c r="I118" s="551" t="s">
        <v>410</v>
      </c>
    </row>
    <row r="119" spans="1:9" x14ac:dyDescent="0.25">
      <c r="A119" s="546">
        <v>12.234999999999999</v>
      </c>
      <c r="B119" s="337" t="s">
        <v>659</v>
      </c>
      <c r="C119" s="516" t="s">
        <v>280</v>
      </c>
      <c r="D119" s="516" t="s">
        <v>34</v>
      </c>
      <c r="E119" s="518" t="s">
        <v>44</v>
      </c>
      <c r="F119" s="548" t="s">
        <v>514</v>
      </c>
      <c r="G119" s="516"/>
      <c r="H119" s="516"/>
      <c r="I119" s="551" t="s">
        <v>660</v>
      </c>
    </row>
    <row r="120" spans="1:9" x14ac:dyDescent="0.25">
      <c r="A120" s="546">
        <v>12.236000000000001</v>
      </c>
      <c r="B120" s="337" t="s">
        <v>661</v>
      </c>
      <c r="C120" s="516" t="s">
        <v>259</v>
      </c>
      <c r="D120" s="516" t="s">
        <v>34</v>
      </c>
      <c r="E120" s="518" t="s">
        <v>44</v>
      </c>
      <c r="F120" s="548" t="s">
        <v>514</v>
      </c>
      <c r="G120" s="516"/>
      <c r="H120" s="516"/>
      <c r="I120" s="551" t="s">
        <v>662</v>
      </c>
    </row>
    <row r="121" spans="1:9" x14ac:dyDescent="0.25">
      <c r="A121" s="546">
        <v>12.239000000000001</v>
      </c>
      <c r="B121" s="337" t="s">
        <v>663</v>
      </c>
      <c r="C121" s="516" t="s">
        <v>280</v>
      </c>
      <c r="D121" s="516" t="s">
        <v>45</v>
      </c>
      <c r="E121" s="518" t="s">
        <v>44</v>
      </c>
      <c r="F121" s="548" t="s">
        <v>514</v>
      </c>
      <c r="G121" s="516"/>
      <c r="H121" s="516"/>
      <c r="I121" s="551" t="s">
        <v>412</v>
      </c>
    </row>
    <row r="122" spans="1:9" x14ac:dyDescent="0.25">
      <c r="A122" s="546">
        <v>12.247</v>
      </c>
      <c r="B122" s="337" t="s">
        <v>664</v>
      </c>
      <c r="C122" s="516" t="s">
        <v>259</v>
      </c>
      <c r="D122" s="516" t="s">
        <v>34</v>
      </c>
      <c r="E122" s="518" t="s">
        <v>44</v>
      </c>
      <c r="F122" s="548" t="s">
        <v>516</v>
      </c>
      <c r="G122" s="516"/>
      <c r="H122" s="516"/>
      <c r="I122" s="551"/>
    </row>
    <row r="123" spans="1:9" x14ac:dyDescent="0.25">
      <c r="A123" s="546">
        <v>12.253</v>
      </c>
      <c r="B123" s="337" t="s">
        <v>665</v>
      </c>
      <c r="C123" s="516" t="s">
        <v>259</v>
      </c>
      <c r="D123" s="516" t="s">
        <v>47</v>
      </c>
      <c r="E123" s="518" t="s">
        <v>44</v>
      </c>
      <c r="F123" s="548" t="s">
        <v>514</v>
      </c>
      <c r="G123" s="516"/>
      <c r="H123" s="516"/>
      <c r="I123" s="551" t="s">
        <v>414</v>
      </c>
    </row>
    <row r="124" spans="1:9" x14ac:dyDescent="0.25">
      <c r="A124" s="546">
        <v>12.255000000000001</v>
      </c>
      <c r="B124" s="337" t="s">
        <v>666</v>
      </c>
      <c r="C124" s="516" t="s">
        <v>259</v>
      </c>
      <c r="D124" s="516" t="s">
        <v>47</v>
      </c>
      <c r="E124" s="518" t="s">
        <v>44</v>
      </c>
      <c r="F124" s="548" t="s">
        <v>514</v>
      </c>
      <c r="G124" s="516"/>
      <c r="H124" s="516" t="s">
        <v>280</v>
      </c>
      <c r="I124" s="551" t="s">
        <v>414</v>
      </c>
    </row>
    <row r="125" spans="1:9" x14ac:dyDescent="0.25">
      <c r="A125" s="546">
        <v>12.263</v>
      </c>
      <c r="B125" s="337" t="s">
        <v>667</v>
      </c>
      <c r="C125" s="516" t="s">
        <v>259</v>
      </c>
      <c r="D125" s="516" t="s">
        <v>47</v>
      </c>
      <c r="E125" s="518" t="s">
        <v>44</v>
      </c>
      <c r="F125" s="548" t="s">
        <v>514</v>
      </c>
      <c r="G125" s="516"/>
      <c r="H125" s="516"/>
      <c r="I125" s="551" t="s">
        <v>414</v>
      </c>
    </row>
    <row r="126" spans="1:9" x14ac:dyDescent="0.25">
      <c r="A126" s="546">
        <v>12.266</v>
      </c>
      <c r="B126" s="337" t="s">
        <v>668</v>
      </c>
      <c r="C126" s="516" t="s">
        <v>259</v>
      </c>
      <c r="D126" s="516" t="s">
        <v>34</v>
      </c>
      <c r="E126" s="518" t="s">
        <v>44</v>
      </c>
      <c r="F126" s="548" t="s">
        <v>514</v>
      </c>
      <c r="G126" s="516"/>
      <c r="H126" s="516"/>
      <c r="I126" s="551"/>
    </row>
    <row r="127" spans="1:9" x14ac:dyDescent="0.25">
      <c r="A127" s="546">
        <v>12.27</v>
      </c>
      <c r="B127" s="337" t="s">
        <v>669</v>
      </c>
      <c r="C127" s="516" t="s">
        <v>259</v>
      </c>
      <c r="D127" s="516" t="s">
        <v>34</v>
      </c>
      <c r="E127" s="518" t="s">
        <v>44</v>
      </c>
      <c r="F127" s="548" t="s">
        <v>514</v>
      </c>
      <c r="G127" s="516" t="s">
        <v>560</v>
      </c>
      <c r="H127" s="516" t="s">
        <v>280</v>
      </c>
      <c r="I127" s="551"/>
    </row>
    <row r="128" spans="1:9" x14ac:dyDescent="0.25">
      <c r="A128" s="546">
        <v>12.276</v>
      </c>
      <c r="B128" s="337" t="s">
        <v>670</v>
      </c>
      <c r="C128" s="516" t="s">
        <v>259</v>
      </c>
      <c r="D128" s="516" t="s">
        <v>34</v>
      </c>
      <c r="E128" s="518" t="s">
        <v>44</v>
      </c>
      <c r="F128" s="548" t="s">
        <v>519</v>
      </c>
      <c r="G128" s="516"/>
      <c r="H128" s="516"/>
      <c r="I128" s="551"/>
    </row>
    <row r="129" spans="1:9" ht="15" customHeight="1" x14ac:dyDescent="0.25">
      <c r="A129" s="546">
        <v>12.276999999999999</v>
      </c>
      <c r="B129" s="337" t="s">
        <v>671</v>
      </c>
      <c r="C129" s="516" t="s">
        <v>280</v>
      </c>
      <c r="D129" s="516" t="s">
        <v>34</v>
      </c>
      <c r="E129" s="518" t="s">
        <v>44</v>
      </c>
      <c r="F129" s="548" t="s">
        <v>519</v>
      </c>
      <c r="G129" s="516"/>
      <c r="H129" s="516"/>
      <c r="I129" s="551"/>
    </row>
    <row r="130" spans="1:9" x14ac:dyDescent="0.25">
      <c r="A130" s="546">
        <v>12.278</v>
      </c>
      <c r="B130" s="337" t="s">
        <v>672</v>
      </c>
      <c r="C130" s="516" t="s">
        <v>259</v>
      </c>
      <c r="D130" s="516" t="s">
        <v>34</v>
      </c>
      <c r="E130" s="518" t="s">
        <v>44</v>
      </c>
      <c r="F130" s="548" t="s">
        <v>513</v>
      </c>
      <c r="G130" s="516"/>
      <c r="H130" s="516" t="s">
        <v>280</v>
      </c>
      <c r="I130" s="551"/>
    </row>
    <row r="131" spans="1:9" x14ac:dyDescent="0.25">
      <c r="A131" s="546">
        <v>12.28</v>
      </c>
      <c r="B131" s="337" t="s">
        <v>673</v>
      </c>
      <c r="C131" s="516" t="s">
        <v>259</v>
      </c>
      <c r="D131" s="516" t="s">
        <v>34</v>
      </c>
      <c r="E131" s="518" t="s">
        <v>44</v>
      </c>
      <c r="F131" s="548" t="s">
        <v>513</v>
      </c>
      <c r="G131" s="516"/>
      <c r="H131" s="516" t="s">
        <v>280</v>
      </c>
      <c r="I131" s="551"/>
    </row>
    <row r="132" spans="1:9" ht="66.75" customHeight="1" x14ac:dyDescent="0.25">
      <c r="A132" s="546">
        <v>12.281000000000001</v>
      </c>
      <c r="B132" s="337" t="s">
        <v>674</v>
      </c>
      <c r="C132" s="516" t="s">
        <v>259</v>
      </c>
      <c r="D132" s="516" t="s">
        <v>34</v>
      </c>
      <c r="E132" s="518" t="s">
        <v>44</v>
      </c>
      <c r="F132" s="548" t="s">
        <v>513</v>
      </c>
      <c r="G132" s="516"/>
      <c r="H132" s="516" t="s">
        <v>280</v>
      </c>
      <c r="I132" s="551"/>
    </row>
    <row r="133" spans="1:9" x14ac:dyDescent="0.25">
      <c r="A133" s="546">
        <v>12.282</v>
      </c>
      <c r="B133" s="337" t="s">
        <v>675</v>
      </c>
      <c r="C133" s="516" t="s">
        <v>259</v>
      </c>
      <c r="D133" s="516" t="s">
        <v>34</v>
      </c>
      <c r="E133" s="518" t="s">
        <v>44</v>
      </c>
      <c r="F133" s="548" t="s">
        <v>516</v>
      </c>
      <c r="G133" s="516"/>
      <c r="H133" s="516"/>
      <c r="I133" s="551"/>
    </row>
    <row r="134" spans="1:9" x14ac:dyDescent="0.25">
      <c r="A134" s="546">
        <v>12.284000000000001</v>
      </c>
      <c r="B134" s="337" t="s">
        <v>676</v>
      </c>
      <c r="C134" s="516" t="s">
        <v>280</v>
      </c>
      <c r="D134" s="516" t="s">
        <v>40</v>
      </c>
      <c r="E134" s="518" t="s">
        <v>44</v>
      </c>
      <c r="F134" s="548" t="s">
        <v>521</v>
      </c>
      <c r="G134" s="516"/>
      <c r="H134" s="516"/>
      <c r="I134" s="551" t="s">
        <v>422</v>
      </c>
    </row>
    <row r="135" spans="1:9" x14ac:dyDescent="0.25">
      <c r="A135" s="546">
        <v>12.285</v>
      </c>
      <c r="B135" s="337" t="s">
        <v>677</v>
      </c>
      <c r="C135" s="516" t="s">
        <v>280</v>
      </c>
      <c r="D135" s="516" t="s">
        <v>40</v>
      </c>
      <c r="E135" s="518" t="s">
        <v>44</v>
      </c>
      <c r="F135" s="548" t="s">
        <v>513</v>
      </c>
      <c r="G135" s="516"/>
      <c r="H135" s="516"/>
      <c r="I135" s="551" t="s">
        <v>366</v>
      </c>
    </row>
    <row r="136" spans="1:9" x14ac:dyDescent="0.25">
      <c r="A136" s="546">
        <v>12.286</v>
      </c>
      <c r="B136" s="337" t="s">
        <v>678</v>
      </c>
      <c r="C136" s="516" t="s">
        <v>259</v>
      </c>
      <c r="D136" s="516" t="s">
        <v>40</v>
      </c>
      <c r="E136" s="518" t="s">
        <v>44</v>
      </c>
      <c r="F136" s="548" t="s">
        <v>516</v>
      </c>
      <c r="G136" s="516"/>
      <c r="H136" s="516"/>
      <c r="I136" s="551" t="s">
        <v>366</v>
      </c>
    </row>
    <row r="137" spans="1:9" x14ac:dyDescent="0.25">
      <c r="A137" s="546">
        <v>12.287000000000001</v>
      </c>
      <c r="B137" s="337" t="s">
        <v>679</v>
      </c>
      <c r="C137" s="516" t="s">
        <v>259</v>
      </c>
      <c r="D137" s="516" t="s">
        <v>47</v>
      </c>
      <c r="E137" s="518" t="s">
        <v>44</v>
      </c>
      <c r="F137" s="548" t="s">
        <v>513</v>
      </c>
      <c r="G137" s="516"/>
      <c r="H137" s="516"/>
      <c r="I137" s="551" t="s">
        <v>366</v>
      </c>
    </row>
    <row r="138" spans="1:9" x14ac:dyDescent="0.25">
      <c r="A138" s="546">
        <v>12.291</v>
      </c>
      <c r="B138" s="337" t="s">
        <v>680</v>
      </c>
      <c r="C138" s="516" t="s">
        <v>280</v>
      </c>
      <c r="D138" s="516" t="s">
        <v>47</v>
      </c>
      <c r="E138" s="518" t="s">
        <v>44</v>
      </c>
      <c r="F138" s="548" t="s">
        <v>514</v>
      </c>
      <c r="G138" s="516"/>
      <c r="H138" s="516"/>
      <c r="I138" s="551" t="s">
        <v>366</v>
      </c>
    </row>
    <row r="139" spans="1:9" x14ac:dyDescent="0.25">
      <c r="A139" s="546">
        <v>12.292</v>
      </c>
      <c r="B139" s="337" t="s">
        <v>681</v>
      </c>
      <c r="C139" s="516" t="s">
        <v>259</v>
      </c>
      <c r="D139" s="516" t="s">
        <v>34</v>
      </c>
      <c r="E139" s="518" t="s">
        <v>44</v>
      </c>
      <c r="F139" s="548" t="s">
        <v>516</v>
      </c>
      <c r="G139" s="516"/>
      <c r="H139" s="516"/>
      <c r="I139" s="551"/>
    </row>
    <row r="140" spans="1:9" x14ac:dyDescent="0.25">
      <c r="A140" s="546">
        <v>12.294</v>
      </c>
      <c r="B140" s="337" t="s">
        <v>682</v>
      </c>
      <c r="C140" s="516" t="s">
        <v>259</v>
      </c>
      <c r="D140" s="516" t="s">
        <v>34</v>
      </c>
      <c r="E140" s="518" t="s">
        <v>44</v>
      </c>
      <c r="F140" s="548" t="s">
        <v>520</v>
      </c>
      <c r="G140" s="516"/>
      <c r="H140" s="516"/>
      <c r="I140" s="551"/>
    </row>
    <row r="141" spans="1:9" x14ac:dyDescent="0.25">
      <c r="A141" s="546">
        <v>12.298999999999999</v>
      </c>
      <c r="B141" s="337" t="s">
        <v>683</v>
      </c>
      <c r="C141" s="516" t="s">
        <v>280</v>
      </c>
      <c r="D141" s="516" t="s">
        <v>34</v>
      </c>
      <c r="E141" s="518" t="s">
        <v>44</v>
      </c>
      <c r="F141" s="548" t="s">
        <v>514</v>
      </c>
      <c r="G141" s="516"/>
      <c r="H141" s="516"/>
      <c r="I141" s="551" t="s">
        <v>684</v>
      </c>
    </row>
    <row r="142" spans="1:9" x14ac:dyDescent="0.25">
      <c r="A142" s="546">
        <v>12.3</v>
      </c>
      <c r="B142" s="337" t="s">
        <v>685</v>
      </c>
      <c r="C142" s="516" t="s">
        <v>280</v>
      </c>
      <c r="D142" s="516" t="s">
        <v>34</v>
      </c>
      <c r="E142" s="518" t="s">
        <v>44</v>
      </c>
      <c r="F142" s="548" t="s">
        <v>514</v>
      </c>
      <c r="G142" s="516"/>
      <c r="H142" s="516"/>
      <c r="I142" s="551"/>
    </row>
    <row r="143" spans="1:9" x14ac:dyDescent="0.25">
      <c r="A143" s="546">
        <v>12.301</v>
      </c>
      <c r="B143" s="337" t="s">
        <v>686</v>
      </c>
      <c r="C143" s="516" t="s">
        <v>280</v>
      </c>
      <c r="D143" s="516" t="s">
        <v>34</v>
      </c>
      <c r="E143" s="518" t="s">
        <v>44</v>
      </c>
      <c r="F143" s="548" t="s">
        <v>514</v>
      </c>
      <c r="G143" s="516"/>
      <c r="H143" s="516"/>
      <c r="I143" s="551"/>
    </row>
    <row r="144" spans="1:9" x14ac:dyDescent="0.25">
      <c r="A144" s="546">
        <v>12.302</v>
      </c>
      <c r="B144" s="337" t="s">
        <v>687</v>
      </c>
      <c r="C144" s="516" t="s">
        <v>280</v>
      </c>
      <c r="D144" s="516" t="s">
        <v>47</v>
      </c>
      <c r="E144" s="518" t="s">
        <v>44</v>
      </c>
      <c r="F144" s="548" t="s">
        <v>514</v>
      </c>
      <c r="G144" s="516"/>
      <c r="H144" s="516"/>
      <c r="I144" s="551" t="s">
        <v>366</v>
      </c>
    </row>
    <row r="145" spans="1:9" x14ac:dyDescent="0.25">
      <c r="A145" s="546">
        <v>12.308</v>
      </c>
      <c r="B145" s="337" t="s">
        <v>688</v>
      </c>
      <c r="C145" s="516" t="s">
        <v>259</v>
      </c>
      <c r="D145" s="516" t="s">
        <v>45</v>
      </c>
      <c r="E145" s="518" t="s">
        <v>44</v>
      </c>
      <c r="F145" s="548" t="s">
        <v>514</v>
      </c>
      <c r="G145" s="516"/>
      <c r="H145" s="516"/>
      <c r="I145" s="551" t="s">
        <v>406</v>
      </c>
    </row>
    <row r="146" spans="1:9" x14ac:dyDescent="0.25">
      <c r="A146" s="546">
        <v>12.31</v>
      </c>
      <c r="B146" s="337" t="s">
        <v>689</v>
      </c>
      <c r="C146" s="516" t="s">
        <v>259</v>
      </c>
      <c r="D146" s="516" t="s">
        <v>34</v>
      </c>
      <c r="E146" s="518" t="s">
        <v>44</v>
      </c>
      <c r="F146" s="548" t="s">
        <v>513</v>
      </c>
      <c r="G146" s="516"/>
      <c r="H146" s="516"/>
      <c r="I146" s="551"/>
    </row>
    <row r="147" spans="1:9" x14ac:dyDescent="0.25">
      <c r="A147" s="546">
        <v>12.311</v>
      </c>
      <c r="B147" s="337" t="s">
        <v>690</v>
      </c>
      <c r="C147" s="516" t="s">
        <v>259</v>
      </c>
      <c r="D147" s="516" t="s">
        <v>34</v>
      </c>
      <c r="E147" s="518" t="s">
        <v>44</v>
      </c>
      <c r="F147" s="548" t="s">
        <v>519</v>
      </c>
      <c r="G147" s="516"/>
      <c r="H147" s="516"/>
      <c r="I147" s="551"/>
    </row>
    <row r="148" spans="1:9" x14ac:dyDescent="0.25">
      <c r="A148" s="546">
        <v>12.311999999999999</v>
      </c>
      <c r="B148" s="337" t="s">
        <v>691</v>
      </c>
      <c r="C148" s="516" t="s">
        <v>259</v>
      </c>
      <c r="D148" s="516" t="s">
        <v>47</v>
      </c>
      <c r="E148" s="518" t="s">
        <v>44</v>
      </c>
      <c r="F148" s="548" t="s">
        <v>520</v>
      </c>
      <c r="G148" s="516"/>
      <c r="H148" s="516"/>
      <c r="I148" s="551" t="s">
        <v>366</v>
      </c>
    </row>
    <row r="149" spans="1:9" x14ac:dyDescent="0.25">
      <c r="A149" s="546">
        <v>12.318</v>
      </c>
      <c r="B149" s="337" t="s">
        <v>692</v>
      </c>
      <c r="C149" s="516" t="s">
        <v>259</v>
      </c>
      <c r="D149" s="516" t="s">
        <v>47</v>
      </c>
      <c r="E149" s="518" t="s">
        <v>44</v>
      </c>
      <c r="F149" s="548" t="s">
        <v>515</v>
      </c>
      <c r="G149" s="516" t="s">
        <v>560</v>
      </c>
      <c r="H149" s="516"/>
      <c r="I149" s="551" t="s">
        <v>428</v>
      </c>
    </row>
    <row r="150" spans="1:9" x14ac:dyDescent="0.25">
      <c r="A150" s="546">
        <v>12.319000000000001</v>
      </c>
      <c r="B150" s="337" t="s">
        <v>693</v>
      </c>
      <c r="C150" s="516" t="s">
        <v>259</v>
      </c>
      <c r="D150" s="516" t="s">
        <v>34</v>
      </c>
      <c r="E150" s="518" t="s">
        <v>44</v>
      </c>
      <c r="F150" s="548" t="s">
        <v>513</v>
      </c>
      <c r="G150" s="516" t="s">
        <v>560</v>
      </c>
      <c r="H150" s="516"/>
      <c r="I150" s="551"/>
    </row>
    <row r="151" spans="1:9" x14ac:dyDescent="0.25">
      <c r="A151" s="546">
        <v>12.32</v>
      </c>
      <c r="B151" s="337" t="s">
        <v>694</v>
      </c>
      <c r="C151" s="516" t="s">
        <v>259</v>
      </c>
      <c r="D151" s="516" t="s">
        <v>34</v>
      </c>
      <c r="E151" s="518" t="s">
        <v>44</v>
      </c>
      <c r="F151" s="548" t="s">
        <v>513</v>
      </c>
      <c r="G151" s="516"/>
      <c r="H151" s="516"/>
      <c r="I151" s="551"/>
    </row>
    <row r="152" spans="1:9" x14ac:dyDescent="0.25">
      <c r="A152" s="546">
        <v>12.321</v>
      </c>
      <c r="B152" s="337" t="s">
        <v>695</v>
      </c>
      <c r="C152" s="516" t="s">
        <v>259</v>
      </c>
      <c r="D152" s="516" t="s">
        <v>47</v>
      </c>
      <c r="E152" s="518" t="s">
        <v>44</v>
      </c>
      <c r="F152" s="548" t="s">
        <v>513</v>
      </c>
      <c r="G152" s="516"/>
      <c r="H152" s="516"/>
      <c r="I152" s="551" t="s">
        <v>422</v>
      </c>
    </row>
    <row r="153" spans="1:9" x14ac:dyDescent="0.25">
      <c r="A153" s="546">
        <v>12.321999999999999</v>
      </c>
      <c r="B153" s="337" t="s">
        <v>696</v>
      </c>
      <c r="C153" s="516" t="s">
        <v>280</v>
      </c>
      <c r="D153" s="516" t="s">
        <v>47</v>
      </c>
      <c r="E153" s="518" t="s">
        <v>44</v>
      </c>
      <c r="F153" s="548" t="s">
        <v>513</v>
      </c>
      <c r="G153" s="516"/>
      <c r="H153" s="516"/>
      <c r="I153" s="551" t="s">
        <v>422</v>
      </c>
    </row>
    <row r="154" spans="1:9" x14ac:dyDescent="0.25">
      <c r="A154" s="546">
        <v>12.327999999999999</v>
      </c>
      <c r="B154" s="337" t="s">
        <v>697</v>
      </c>
      <c r="C154" s="516" t="s">
        <v>259</v>
      </c>
      <c r="D154" s="516" t="s">
        <v>47</v>
      </c>
      <c r="E154" s="518" t="s">
        <v>44</v>
      </c>
      <c r="F154" s="548" t="s">
        <v>514</v>
      </c>
      <c r="G154" s="516"/>
      <c r="H154" s="516"/>
      <c r="I154" s="551" t="s">
        <v>422</v>
      </c>
    </row>
    <row r="155" spans="1:9" x14ac:dyDescent="0.25">
      <c r="A155" s="546">
        <v>12.329000000000001</v>
      </c>
      <c r="B155" s="337" t="s">
        <v>698</v>
      </c>
      <c r="C155" s="516" t="s">
        <v>280</v>
      </c>
      <c r="D155" s="516" t="s">
        <v>47</v>
      </c>
      <c r="E155" s="518" t="s">
        <v>44</v>
      </c>
      <c r="F155" s="548" t="s">
        <v>513</v>
      </c>
      <c r="G155" s="516"/>
      <c r="H155" s="516"/>
      <c r="I155" s="551" t="s">
        <v>366</v>
      </c>
    </row>
    <row r="156" spans="1:9" x14ac:dyDescent="0.25">
      <c r="A156" s="546">
        <v>12.332000000000001</v>
      </c>
      <c r="B156" s="337" t="s">
        <v>699</v>
      </c>
      <c r="C156" s="516" t="s">
        <v>280</v>
      </c>
      <c r="D156" s="516" t="s">
        <v>47</v>
      </c>
      <c r="E156" s="518" t="s">
        <v>44</v>
      </c>
      <c r="F156" s="548" t="s">
        <v>513</v>
      </c>
      <c r="G156" s="516"/>
      <c r="H156" s="516"/>
      <c r="I156" s="551" t="s">
        <v>422</v>
      </c>
    </row>
    <row r="157" spans="1:9" x14ac:dyDescent="0.25">
      <c r="A157" s="546">
        <v>12.333</v>
      </c>
      <c r="B157" s="337" t="s">
        <v>700</v>
      </c>
      <c r="C157" s="516" t="s">
        <v>280</v>
      </c>
      <c r="D157" s="516" t="s">
        <v>34</v>
      </c>
      <c r="E157" s="518" t="s">
        <v>44</v>
      </c>
      <c r="F157" s="548" t="s">
        <v>515</v>
      </c>
      <c r="G157" s="516"/>
      <c r="H157" s="516"/>
      <c r="I157" s="551"/>
    </row>
    <row r="158" spans="1:9" x14ac:dyDescent="0.25">
      <c r="A158" s="546">
        <v>12.334</v>
      </c>
      <c r="B158" s="337" t="s">
        <v>701</v>
      </c>
      <c r="C158" s="516" t="s">
        <v>259</v>
      </c>
      <c r="D158" s="516" t="s">
        <v>34</v>
      </c>
      <c r="E158" s="518" t="s">
        <v>44</v>
      </c>
      <c r="F158" s="548" t="s">
        <v>514</v>
      </c>
      <c r="G158" s="516" t="s">
        <v>560</v>
      </c>
      <c r="H158" s="516"/>
      <c r="I158" s="551"/>
    </row>
    <row r="159" spans="1:9" x14ac:dyDescent="0.25">
      <c r="A159" s="546">
        <v>12.336</v>
      </c>
      <c r="B159" s="337" t="s">
        <v>702</v>
      </c>
      <c r="C159" s="516" t="s">
        <v>280</v>
      </c>
      <c r="D159" s="516" t="s">
        <v>47</v>
      </c>
      <c r="E159" s="518" t="s">
        <v>44</v>
      </c>
      <c r="F159" s="548" t="s">
        <v>519</v>
      </c>
      <c r="G159" s="516"/>
      <c r="H159" s="516"/>
      <c r="I159" s="551" t="s">
        <v>422</v>
      </c>
    </row>
    <row r="160" spans="1:9" x14ac:dyDescent="0.25">
      <c r="A160" s="546">
        <v>12.339</v>
      </c>
      <c r="B160" s="337" t="s">
        <v>703</v>
      </c>
      <c r="C160" s="516" t="s">
        <v>259</v>
      </c>
      <c r="D160" s="516" t="s">
        <v>34</v>
      </c>
      <c r="E160" s="518" t="s">
        <v>44</v>
      </c>
      <c r="F160" s="548" t="s">
        <v>514</v>
      </c>
      <c r="G160" s="516"/>
      <c r="H160" s="516"/>
      <c r="I160" s="551" t="s">
        <v>704</v>
      </c>
    </row>
    <row r="161" spans="1:9" x14ac:dyDescent="0.25">
      <c r="A161" s="546">
        <v>12.342000000000001</v>
      </c>
      <c r="B161" s="337" t="s">
        <v>705</v>
      </c>
      <c r="C161" s="516" t="s">
        <v>259</v>
      </c>
      <c r="D161" s="516" t="s">
        <v>47</v>
      </c>
      <c r="E161" s="518" t="s">
        <v>44</v>
      </c>
      <c r="F161" s="548" t="s">
        <v>514</v>
      </c>
      <c r="G161" s="516"/>
      <c r="H161" s="516"/>
      <c r="I161" s="551" t="s">
        <v>414</v>
      </c>
    </row>
    <row r="162" spans="1:9" x14ac:dyDescent="0.25">
      <c r="A162" s="546">
        <v>12.343</v>
      </c>
      <c r="B162" s="337" t="s">
        <v>706</v>
      </c>
      <c r="C162" s="516" t="s">
        <v>259</v>
      </c>
      <c r="D162" s="516" t="s">
        <v>34</v>
      </c>
      <c r="E162" s="518" t="s">
        <v>44</v>
      </c>
      <c r="F162" s="548" t="s">
        <v>514</v>
      </c>
      <c r="G162" s="516"/>
      <c r="H162" s="516"/>
      <c r="I162" s="551"/>
    </row>
    <row r="163" spans="1:9" x14ac:dyDescent="0.25">
      <c r="A163" s="546">
        <v>12.343999999999999</v>
      </c>
      <c r="B163" s="337" t="s">
        <v>707</v>
      </c>
      <c r="C163" s="516" t="s">
        <v>259</v>
      </c>
      <c r="D163" s="516" t="s">
        <v>34</v>
      </c>
      <c r="E163" s="518" t="s">
        <v>44</v>
      </c>
      <c r="F163" s="548" t="s">
        <v>513</v>
      </c>
      <c r="G163" s="516"/>
      <c r="H163" s="516"/>
      <c r="I163" s="551"/>
    </row>
    <row r="164" spans="1:9" x14ac:dyDescent="0.25">
      <c r="A164" s="546">
        <v>12.349</v>
      </c>
      <c r="B164" s="337" t="s">
        <v>708</v>
      </c>
      <c r="C164" s="516" t="s">
        <v>280</v>
      </c>
      <c r="D164" s="516" t="s">
        <v>34</v>
      </c>
      <c r="E164" s="518" t="s">
        <v>44</v>
      </c>
      <c r="F164" s="548" t="s">
        <v>515</v>
      </c>
      <c r="G164" s="516"/>
      <c r="H164" s="516"/>
      <c r="I164" s="551"/>
    </row>
    <row r="165" spans="1:9" x14ac:dyDescent="0.25">
      <c r="A165" s="546">
        <v>12.356</v>
      </c>
      <c r="B165" s="337" t="s">
        <v>709</v>
      </c>
      <c r="C165" s="516" t="s">
        <v>259</v>
      </c>
      <c r="D165" s="516" t="s">
        <v>34</v>
      </c>
      <c r="E165" s="518" t="s">
        <v>44</v>
      </c>
      <c r="F165" s="548" t="s">
        <v>515</v>
      </c>
      <c r="G165" s="516"/>
      <c r="H165" s="516"/>
      <c r="I165" s="551"/>
    </row>
    <row r="166" spans="1:9" x14ac:dyDescent="0.25">
      <c r="A166" s="546">
        <v>12.356999999999999</v>
      </c>
      <c r="B166" s="337" t="s">
        <v>710</v>
      </c>
      <c r="C166" s="516" t="s">
        <v>259</v>
      </c>
      <c r="D166" s="516" t="s">
        <v>34</v>
      </c>
      <c r="E166" s="518" t="s">
        <v>44</v>
      </c>
      <c r="F166" s="548" t="s">
        <v>515</v>
      </c>
      <c r="G166" s="516"/>
      <c r="H166" s="516"/>
      <c r="I166" s="551"/>
    </row>
    <row r="167" spans="1:9" x14ac:dyDescent="0.25">
      <c r="A167" s="546">
        <v>12.358000000000001</v>
      </c>
      <c r="B167" s="337" t="s">
        <v>711</v>
      </c>
      <c r="C167" s="516" t="s">
        <v>280</v>
      </c>
      <c r="D167" s="516" t="s">
        <v>34</v>
      </c>
      <c r="E167" s="518" t="s">
        <v>44</v>
      </c>
      <c r="F167" s="548" t="s">
        <v>515</v>
      </c>
      <c r="G167" s="516"/>
      <c r="H167" s="516"/>
      <c r="I167" s="551"/>
    </row>
    <row r="168" spans="1:9" x14ac:dyDescent="0.25">
      <c r="A168" s="546">
        <v>12.36</v>
      </c>
      <c r="B168" s="337" t="s">
        <v>712</v>
      </c>
      <c r="C168" s="516" t="s">
        <v>280</v>
      </c>
      <c r="D168" s="516" t="s">
        <v>34</v>
      </c>
      <c r="E168" s="518" t="s">
        <v>44</v>
      </c>
      <c r="F168" s="548" t="s">
        <v>519</v>
      </c>
      <c r="G168" s="516"/>
      <c r="H168" s="516"/>
      <c r="I168" s="551"/>
    </row>
    <row r="169" spans="1:9" x14ac:dyDescent="0.25">
      <c r="A169" s="546">
        <v>12.361000000000001</v>
      </c>
      <c r="B169" s="337" t="s">
        <v>713</v>
      </c>
      <c r="C169" s="516" t="s">
        <v>280</v>
      </c>
      <c r="D169" s="516" t="s">
        <v>34</v>
      </c>
      <c r="E169" s="518" t="s">
        <v>44</v>
      </c>
      <c r="F169" s="548" t="s">
        <v>519</v>
      </c>
      <c r="G169" s="516"/>
      <c r="H169" s="516"/>
      <c r="I169" s="551"/>
    </row>
    <row r="170" spans="1:9" x14ac:dyDescent="0.25">
      <c r="A170" s="546">
        <v>12.366</v>
      </c>
      <c r="B170" s="337" t="s">
        <v>714</v>
      </c>
      <c r="C170" s="516" t="s">
        <v>280</v>
      </c>
      <c r="D170" s="516" t="s">
        <v>45</v>
      </c>
      <c r="E170" s="518" t="s">
        <v>44</v>
      </c>
      <c r="F170" s="548" t="s">
        <v>515</v>
      </c>
      <c r="G170" s="516"/>
      <c r="H170" s="516"/>
      <c r="I170" s="551" t="s">
        <v>441</v>
      </c>
    </row>
    <row r="171" spans="1:9" x14ac:dyDescent="0.25">
      <c r="A171" s="546">
        <v>12.37</v>
      </c>
      <c r="B171" s="337" t="s">
        <v>715</v>
      </c>
      <c r="C171" s="516" t="s">
        <v>280</v>
      </c>
      <c r="D171" s="516" t="s">
        <v>34</v>
      </c>
      <c r="E171" s="518" t="s">
        <v>44</v>
      </c>
      <c r="F171" s="548" t="s">
        <v>519</v>
      </c>
      <c r="G171" s="516"/>
      <c r="H171" s="516"/>
      <c r="I171" s="551"/>
    </row>
    <row r="172" spans="1:9" x14ac:dyDescent="0.25">
      <c r="A172" s="546">
        <v>12.372999999999999</v>
      </c>
      <c r="B172" s="337" t="s">
        <v>716</v>
      </c>
      <c r="C172" s="516" t="s">
        <v>259</v>
      </c>
      <c r="D172" s="516" t="s">
        <v>34</v>
      </c>
      <c r="E172" s="518" t="s">
        <v>44</v>
      </c>
      <c r="F172" s="548" t="s">
        <v>516</v>
      </c>
      <c r="G172" s="516"/>
      <c r="H172" s="516"/>
      <c r="I172" s="551"/>
    </row>
    <row r="173" spans="1:9" x14ac:dyDescent="0.25">
      <c r="A173" s="546">
        <v>12.374000000000001</v>
      </c>
      <c r="B173" s="337" t="s">
        <v>717</v>
      </c>
      <c r="C173" s="516" t="s">
        <v>259</v>
      </c>
      <c r="D173" s="516" t="s">
        <v>34</v>
      </c>
      <c r="E173" s="518" t="s">
        <v>44</v>
      </c>
      <c r="F173" s="548" t="s">
        <v>515</v>
      </c>
      <c r="G173" s="516"/>
      <c r="H173" s="516"/>
      <c r="I173" s="551" t="s">
        <v>718</v>
      </c>
    </row>
    <row r="174" spans="1:9" x14ac:dyDescent="0.25">
      <c r="A174" s="546">
        <v>12.382</v>
      </c>
      <c r="B174" s="337" t="s">
        <v>719</v>
      </c>
      <c r="C174" s="516" t="s">
        <v>280</v>
      </c>
      <c r="D174" s="516" t="s">
        <v>40</v>
      </c>
      <c r="E174" s="518" t="s">
        <v>33</v>
      </c>
      <c r="F174" s="548" t="s">
        <v>518</v>
      </c>
      <c r="G174" s="516"/>
      <c r="H174" s="516"/>
      <c r="I174" s="551" t="s">
        <v>382</v>
      </c>
    </row>
    <row r="175" spans="1:9" x14ac:dyDescent="0.25">
      <c r="A175" s="546">
        <v>12.387</v>
      </c>
      <c r="B175" s="337" t="s">
        <v>720</v>
      </c>
      <c r="C175" s="516" t="s">
        <v>259</v>
      </c>
      <c r="D175" s="516" t="s">
        <v>47</v>
      </c>
      <c r="E175" s="518" t="s">
        <v>44</v>
      </c>
      <c r="F175" s="548" t="s">
        <v>517</v>
      </c>
      <c r="G175" s="516"/>
      <c r="H175" s="516"/>
      <c r="I175" s="551" t="s">
        <v>444</v>
      </c>
    </row>
    <row r="176" spans="1:9" x14ac:dyDescent="0.25">
      <c r="A176" s="546">
        <v>12.388999999999999</v>
      </c>
      <c r="B176" s="337" t="s">
        <v>721</v>
      </c>
      <c r="C176" s="516" t="s">
        <v>259</v>
      </c>
      <c r="D176" s="516" t="s">
        <v>47</v>
      </c>
      <c r="E176" s="518" t="s">
        <v>44</v>
      </c>
      <c r="F176" s="548" t="s">
        <v>514</v>
      </c>
      <c r="G176" s="516"/>
      <c r="H176" s="516"/>
      <c r="I176" s="551" t="s">
        <v>422</v>
      </c>
    </row>
    <row r="177" spans="1:9" x14ac:dyDescent="0.25">
      <c r="A177" s="546">
        <v>12.391999999999999</v>
      </c>
      <c r="B177" s="337" t="s">
        <v>722</v>
      </c>
      <c r="C177" s="516" t="s">
        <v>280</v>
      </c>
      <c r="D177" s="516" t="s">
        <v>47</v>
      </c>
      <c r="E177" s="518" t="s">
        <v>44</v>
      </c>
      <c r="F177" s="548" t="s">
        <v>514</v>
      </c>
      <c r="G177" s="516"/>
      <c r="H177" s="516"/>
      <c r="I177" s="551" t="s">
        <v>422</v>
      </c>
    </row>
    <row r="178" spans="1:9" x14ac:dyDescent="0.25">
      <c r="A178" s="546">
        <v>12.393000000000001</v>
      </c>
      <c r="B178" s="337" t="s">
        <v>723</v>
      </c>
      <c r="C178" s="516" t="s">
        <v>259</v>
      </c>
      <c r="D178" s="516" t="s">
        <v>47</v>
      </c>
      <c r="E178" s="518" t="s">
        <v>44</v>
      </c>
      <c r="F178" s="548" t="s">
        <v>514</v>
      </c>
      <c r="G178" s="516"/>
      <c r="H178" s="516"/>
      <c r="I178" s="551" t="s">
        <v>422</v>
      </c>
    </row>
    <row r="179" spans="1:9" x14ac:dyDescent="0.25">
      <c r="A179" s="546">
        <v>12.396000000000001</v>
      </c>
      <c r="B179" s="337" t="s">
        <v>724</v>
      </c>
      <c r="C179" s="516" t="s">
        <v>259</v>
      </c>
      <c r="D179" s="516" t="s">
        <v>34</v>
      </c>
      <c r="E179" s="518" t="s">
        <v>44</v>
      </c>
      <c r="F179" s="548" t="s">
        <v>517</v>
      </c>
      <c r="G179" s="516"/>
      <c r="H179" s="516"/>
      <c r="I179" s="551"/>
    </row>
    <row r="180" spans="1:9" x14ac:dyDescent="0.25">
      <c r="A180" s="546">
        <v>12.397</v>
      </c>
      <c r="B180" s="337" t="s">
        <v>725</v>
      </c>
      <c r="C180" s="516" t="s">
        <v>280</v>
      </c>
      <c r="D180" s="516" t="s">
        <v>47</v>
      </c>
      <c r="E180" s="518" t="s">
        <v>44</v>
      </c>
      <c r="F180" s="548" t="s">
        <v>517</v>
      </c>
      <c r="G180" s="516"/>
      <c r="H180" s="516"/>
      <c r="I180" s="551" t="s">
        <v>446</v>
      </c>
    </row>
    <row r="181" spans="1:9" x14ac:dyDescent="0.25">
      <c r="A181" s="546">
        <v>12.398</v>
      </c>
      <c r="B181" s="337" t="s">
        <v>726</v>
      </c>
      <c r="C181" s="516" t="s">
        <v>280</v>
      </c>
      <c r="D181" s="516" t="s">
        <v>47</v>
      </c>
      <c r="E181" s="518" t="s">
        <v>44</v>
      </c>
      <c r="F181" s="548" t="s">
        <v>517</v>
      </c>
      <c r="G181" s="516"/>
      <c r="H181" s="516"/>
      <c r="I181" s="551" t="s">
        <v>446</v>
      </c>
    </row>
    <row r="182" spans="1:9" x14ac:dyDescent="0.25">
      <c r="A182" s="546">
        <v>12.398999999999999</v>
      </c>
      <c r="B182" s="337" t="s">
        <v>727</v>
      </c>
      <c r="C182" s="516" t="s">
        <v>259</v>
      </c>
      <c r="D182" s="516" t="s">
        <v>47</v>
      </c>
      <c r="E182" s="518" t="s">
        <v>44</v>
      </c>
      <c r="F182" s="548" t="s">
        <v>518</v>
      </c>
      <c r="G182" s="516"/>
      <c r="H182" s="516"/>
      <c r="I182" s="551" t="s">
        <v>447</v>
      </c>
    </row>
    <row r="183" spans="1:9" x14ac:dyDescent="0.25">
      <c r="A183" s="546">
        <v>12.4</v>
      </c>
      <c r="B183" s="337" t="s">
        <v>728</v>
      </c>
      <c r="C183" s="516" t="s">
        <v>259</v>
      </c>
      <c r="D183" s="516" t="s">
        <v>47</v>
      </c>
      <c r="E183" s="518" t="s">
        <v>44</v>
      </c>
      <c r="F183" s="548" t="s">
        <v>517</v>
      </c>
      <c r="G183" s="516"/>
      <c r="H183" s="516"/>
      <c r="I183" s="551" t="s">
        <v>448</v>
      </c>
    </row>
    <row r="184" spans="1:9" x14ac:dyDescent="0.25">
      <c r="A184" s="546">
        <v>12.401</v>
      </c>
      <c r="B184" s="337" t="s">
        <v>729</v>
      </c>
      <c r="C184" s="516" t="s">
        <v>280</v>
      </c>
      <c r="D184" s="516" t="s">
        <v>34</v>
      </c>
      <c r="E184" s="518" t="s">
        <v>44</v>
      </c>
      <c r="F184" s="548" t="s">
        <v>513</v>
      </c>
      <c r="G184" s="516"/>
      <c r="H184" s="516"/>
      <c r="I184" s="551"/>
    </row>
    <row r="185" spans="1:9" x14ac:dyDescent="0.25">
      <c r="A185" s="546">
        <v>12.401999999999999</v>
      </c>
      <c r="B185" s="337" t="s">
        <v>730</v>
      </c>
      <c r="C185" s="516" t="s">
        <v>259</v>
      </c>
      <c r="D185" s="516" t="s">
        <v>34</v>
      </c>
      <c r="E185" s="518" t="s">
        <v>44</v>
      </c>
      <c r="F185" s="548" t="s">
        <v>517</v>
      </c>
      <c r="G185" s="516"/>
      <c r="H185" s="516"/>
      <c r="I185" s="551" t="s">
        <v>731</v>
      </c>
    </row>
    <row r="186" spans="1:9" x14ac:dyDescent="0.25">
      <c r="A186" s="546">
        <v>12.403</v>
      </c>
      <c r="B186" s="337" t="s">
        <v>732</v>
      </c>
      <c r="C186" s="516" t="s">
        <v>259</v>
      </c>
      <c r="D186" s="516" t="s">
        <v>34</v>
      </c>
      <c r="E186" s="518" t="s">
        <v>44</v>
      </c>
      <c r="F186" s="548" t="s">
        <v>517</v>
      </c>
      <c r="G186" s="516"/>
      <c r="H186" s="516"/>
      <c r="I186" s="551" t="s">
        <v>733</v>
      </c>
    </row>
    <row r="187" spans="1:9" x14ac:dyDescent="0.25">
      <c r="A187" s="546">
        <v>12.406000000000001</v>
      </c>
      <c r="B187" s="337" t="s">
        <v>734</v>
      </c>
      <c r="C187" s="516" t="s">
        <v>259</v>
      </c>
      <c r="D187" s="516" t="s">
        <v>34</v>
      </c>
      <c r="E187" s="518" t="s">
        <v>44</v>
      </c>
      <c r="F187" s="548" t="s">
        <v>517</v>
      </c>
      <c r="G187" s="516"/>
      <c r="H187" s="516"/>
      <c r="I187" s="551" t="s">
        <v>735</v>
      </c>
    </row>
    <row r="188" spans="1:9" x14ac:dyDescent="0.25">
      <c r="A188" s="546">
        <v>12.41</v>
      </c>
      <c r="B188" s="337" t="s">
        <v>736</v>
      </c>
      <c r="C188" s="516" t="s">
        <v>259</v>
      </c>
      <c r="D188" s="516" t="s">
        <v>47</v>
      </c>
      <c r="E188" s="518" t="s">
        <v>44</v>
      </c>
      <c r="F188" s="548" t="s">
        <v>514</v>
      </c>
      <c r="G188" s="516"/>
      <c r="H188" s="516"/>
      <c r="I188" s="551" t="s">
        <v>453</v>
      </c>
    </row>
    <row r="189" spans="1:9" x14ac:dyDescent="0.25">
      <c r="A189" s="546">
        <v>12.411</v>
      </c>
      <c r="B189" s="337" t="s">
        <v>737</v>
      </c>
      <c r="C189" s="516" t="s">
        <v>280</v>
      </c>
      <c r="D189" s="516" t="s">
        <v>34</v>
      </c>
      <c r="E189" s="518" t="s">
        <v>44</v>
      </c>
      <c r="F189" s="548" t="s">
        <v>514</v>
      </c>
      <c r="G189" s="516"/>
      <c r="H189" s="516"/>
      <c r="I189" s="551"/>
    </row>
    <row r="190" spans="1:9" x14ac:dyDescent="0.25">
      <c r="A190" s="546">
        <v>12.412000000000001</v>
      </c>
      <c r="B190" s="337" t="s">
        <v>738</v>
      </c>
      <c r="C190" s="516" t="s">
        <v>259</v>
      </c>
      <c r="D190" s="516" t="s">
        <v>34</v>
      </c>
      <c r="E190" s="518" t="s">
        <v>44</v>
      </c>
      <c r="F190" s="548" t="s">
        <v>513</v>
      </c>
      <c r="G190" s="516"/>
      <c r="H190" s="516"/>
      <c r="I190" s="551"/>
    </row>
    <row r="191" spans="1:9" x14ac:dyDescent="0.25">
      <c r="A191" s="546">
        <v>12.413</v>
      </c>
      <c r="B191" s="337" t="s">
        <v>739</v>
      </c>
      <c r="C191" s="516" t="s">
        <v>259</v>
      </c>
      <c r="D191" s="516" t="s">
        <v>34</v>
      </c>
      <c r="E191" s="518" t="s">
        <v>44</v>
      </c>
      <c r="F191" s="548" t="s">
        <v>515</v>
      </c>
      <c r="G191" s="516"/>
      <c r="H191" s="516"/>
      <c r="I191" s="551" t="s">
        <v>740</v>
      </c>
    </row>
    <row r="192" spans="1:9" x14ac:dyDescent="0.25">
      <c r="A192" s="546">
        <v>12.414</v>
      </c>
      <c r="B192" s="337" t="s">
        <v>741</v>
      </c>
      <c r="C192" s="516" t="s">
        <v>259</v>
      </c>
      <c r="D192" s="516" t="s">
        <v>47</v>
      </c>
      <c r="E192" s="518" t="s">
        <v>44</v>
      </c>
      <c r="F192" s="548" t="s">
        <v>522</v>
      </c>
      <c r="G192" s="516"/>
      <c r="H192" s="516"/>
      <c r="I192" s="551" t="s">
        <v>457</v>
      </c>
    </row>
    <row r="193" spans="1:9" x14ac:dyDescent="0.25">
      <c r="A193" s="546">
        <v>12.417</v>
      </c>
      <c r="B193" s="337" t="s">
        <v>742</v>
      </c>
      <c r="C193" s="516" t="s">
        <v>259</v>
      </c>
      <c r="D193" s="516" t="s">
        <v>47</v>
      </c>
      <c r="E193" s="518" t="s">
        <v>44</v>
      </c>
      <c r="F193" s="548" t="s">
        <v>514</v>
      </c>
      <c r="G193" s="516"/>
      <c r="H193" s="516"/>
      <c r="I193" s="551" t="s">
        <v>458</v>
      </c>
    </row>
    <row r="194" spans="1:9" x14ac:dyDescent="0.25">
      <c r="A194" s="546">
        <v>12.417999999999999</v>
      </c>
      <c r="B194" s="337" t="s">
        <v>743</v>
      </c>
      <c r="C194" s="516" t="s">
        <v>259</v>
      </c>
      <c r="D194" s="516" t="s">
        <v>47</v>
      </c>
      <c r="E194" s="518" t="s">
        <v>44</v>
      </c>
      <c r="F194" s="548" t="s">
        <v>514</v>
      </c>
      <c r="G194" s="516"/>
      <c r="H194" s="516"/>
      <c r="I194" s="551" t="s">
        <v>458</v>
      </c>
    </row>
    <row r="195" spans="1:9" x14ac:dyDescent="0.25">
      <c r="A195" s="546">
        <v>12.42</v>
      </c>
      <c r="B195" s="337" t="s">
        <v>744</v>
      </c>
      <c r="C195" s="516" t="s">
        <v>280</v>
      </c>
      <c r="D195" s="516" t="s">
        <v>34</v>
      </c>
      <c r="E195" s="518" t="s">
        <v>44</v>
      </c>
      <c r="F195" s="548" t="s">
        <v>520</v>
      </c>
      <c r="G195" s="516"/>
      <c r="H195" s="516"/>
      <c r="I195" s="551"/>
    </row>
    <row r="196" spans="1:9" x14ac:dyDescent="0.25">
      <c r="A196" s="546">
        <v>12.420999999999999</v>
      </c>
      <c r="B196" s="337" t="s">
        <v>745</v>
      </c>
      <c r="C196" s="516" t="s">
        <v>259</v>
      </c>
      <c r="D196" s="516" t="s">
        <v>34</v>
      </c>
      <c r="E196" s="518" t="s">
        <v>44</v>
      </c>
      <c r="F196" s="548" t="s">
        <v>514</v>
      </c>
      <c r="G196" s="516"/>
      <c r="H196" s="516"/>
      <c r="I196" s="551" t="s">
        <v>746</v>
      </c>
    </row>
    <row r="197" spans="1:9" x14ac:dyDescent="0.25">
      <c r="A197" s="546">
        <v>12.422000000000001</v>
      </c>
      <c r="B197" s="337" t="s">
        <v>747</v>
      </c>
      <c r="C197" s="516" t="s">
        <v>259</v>
      </c>
      <c r="D197" s="516" t="s">
        <v>47</v>
      </c>
      <c r="E197" s="518" t="s">
        <v>44</v>
      </c>
      <c r="F197" s="548" t="s">
        <v>517</v>
      </c>
      <c r="G197" s="516"/>
      <c r="H197" s="516"/>
      <c r="I197" s="551" t="s">
        <v>462</v>
      </c>
    </row>
    <row r="198" spans="1:9" x14ac:dyDescent="0.25">
      <c r="A198" s="546">
        <v>12.425000000000001</v>
      </c>
      <c r="B198" s="337" t="s">
        <v>748</v>
      </c>
      <c r="C198" s="516" t="s">
        <v>280</v>
      </c>
      <c r="D198" s="516" t="s">
        <v>34</v>
      </c>
      <c r="E198" s="518" t="s">
        <v>44</v>
      </c>
      <c r="F198" s="548" t="s">
        <v>516</v>
      </c>
      <c r="G198" s="516"/>
      <c r="H198" s="516"/>
      <c r="I198" s="551"/>
    </row>
    <row r="199" spans="1:9" x14ac:dyDescent="0.25">
      <c r="A199" s="546">
        <v>12.429</v>
      </c>
      <c r="B199" s="337" t="s">
        <v>749</v>
      </c>
      <c r="C199" s="516" t="s">
        <v>259</v>
      </c>
      <c r="D199" s="516" t="s">
        <v>34</v>
      </c>
      <c r="E199" s="518" t="s">
        <v>44</v>
      </c>
      <c r="F199" s="548" t="s">
        <v>521</v>
      </c>
      <c r="G199" s="516"/>
      <c r="H199" s="516"/>
      <c r="I199" s="551"/>
    </row>
    <row r="200" spans="1:9" x14ac:dyDescent="0.25">
      <c r="A200" s="546">
        <v>12.43</v>
      </c>
      <c r="B200" s="337" t="s">
        <v>750</v>
      </c>
      <c r="C200" s="516" t="s">
        <v>259</v>
      </c>
      <c r="D200" s="516" t="s">
        <v>34</v>
      </c>
      <c r="E200" s="518" t="s">
        <v>44</v>
      </c>
      <c r="F200" s="548" t="s">
        <v>521</v>
      </c>
      <c r="G200" s="516"/>
      <c r="H200" s="516"/>
      <c r="I200" s="551"/>
    </row>
    <row r="201" spans="1:9" x14ac:dyDescent="0.25">
      <c r="A201" s="546">
        <v>12.438000000000001</v>
      </c>
      <c r="B201" s="337" t="s">
        <v>751</v>
      </c>
      <c r="C201" s="516" t="s">
        <v>280</v>
      </c>
      <c r="D201" s="516" t="s">
        <v>47</v>
      </c>
      <c r="E201" s="518" t="s">
        <v>44</v>
      </c>
      <c r="F201" s="548" t="s">
        <v>520</v>
      </c>
      <c r="G201" s="516"/>
      <c r="H201" s="516"/>
      <c r="I201" s="551" t="s">
        <v>469</v>
      </c>
    </row>
    <row r="202" spans="1:9" x14ac:dyDescent="0.25">
      <c r="A202" s="546">
        <v>12.439</v>
      </c>
      <c r="B202" s="337" t="s">
        <v>752</v>
      </c>
      <c r="C202" s="516" t="s">
        <v>280</v>
      </c>
      <c r="D202" s="516" t="s">
        <v>34</v>
      </c>
      <c r="E202" s="518" t="s">
        <v>44</v>
      </c>
      <c r="F202" s="548" t="s">
        <v>514</v>
      </c>
      <c r="G202" s="516"/>
      <c r="H202" s="516"/>
      <c r="I202" s="551"/>
    </row>
    <row r="203" spans="1:9" x14ac:dyDescent="0.25">
      <c r="A203" s="546">
        <v>12.44</v>
      </c>
      <c r="B203" s="337" t="s">
        <v>753</v>
      </c>
      <c r="C203" s="516" t="s">
        <v>280</v>
      </c>
      <c r="D203" s="516" t="s">
        <v>45</v>
      </c>
      <c r="E203" s="518" t="s">
        <v>44</v>
      </c>
      <c r="F203" s="548" t="s">
        <v>514</v>
      </c>
      <c r="G203" s="516"/>
      <c r="H203" s="516"/>
      <c r="I203" s="551" t="s">
        <v>406</v>
      </c>
    </row>
    <row r="204" spans="1:9" x14ac:dyDescent="0.25">
      <c r="A204" s="546">
        <v>12.441000000000001</v>
      </c>
      <c r="B204" s="337" t="s">
        <v>754</v>
      </c>
      <c r="C204" s="516" t="s">
        <v>280</v>
      </c>
      <c r="D204" s="516" t="s">
        <v>34</v>
      </c>
      <c r="E204" s="518" t="s">
        <v>44</v>
      </c>
      <c r="F204" s="548" t="s">
        <v>520</v>
      </c>
      <c r="G204" s="516"/>
      <c r="H204" s="516"/>
      <c r="I204" s="551"/>
    </row>
    <row r="205" spans="1:9" x14ac:dyDescent="0.25">
      <c r="A205" s="546">
        <v>12.442</v>
      </c>
      <c r="B205" s="337" t="s">
        <v>755</v>
      </c>
      <c r="C205" s="516" t="s">
        <v>280</v>
      </c>
      <c r="D205" s="516" t="s">
        <v>47</v>
      </c>
      <c r="E205" s="518" t="s">
        <v>44</v>
      </c>
      <c r="F205" s="548" t="s">
        <v>514</v>
      </c>
      <c r="G205" s="516"/>
      <c r="H205" s="516"/>
      <c r="I205" s="551" t="s">
        <v>473</v>
      </c>
    </row>
    <row r="206" spans="1:9" x14ac:dyDescent="0.25">
      <c r="A206" s="546">
        <v>12.444000000000001</v>
      </c>
      <c r="B206" s="337" t="s">
        <v>756</v>
      </c>
      <c r="C206" s="516" t="s">
        <v>280</v>
      </c>
      <c r="D206" s="516" t="s">
        <v>34</v>
      </c>
      <c r="E206" s="518" t="s">
        <v>44</v>
      </c>
      <c r="F206" s="548" t="s">
        <v>521</v>
      </c>
      <c r="G206" s="516"/>
      <c r="H206" s="516"/>
      <c r="I206" s="551"/>
    </row>
    <row r="207" spans="1:9" x14ac:dyDescent="0.25">
      <c r="A207" s="546">
        <v>12.445</v>
      </c>
      <c r="B207" s="337" t="s">
        <v>757</v>
      </c>
      <c r="C207" s="516" t="s">
        <v>280</v>
      </c>
      <c r="D207" s="516" t="s">
        <v>34</v>
      </c>
      <c r="E207" s="518" t="s">
        <v>44</v>
      </c>
      <c r="F207" s="548" t="s">
        <v>519</v>
      </c>
      <c r="G207" s="516"/>
      <c r="H207" s="516"/>
      <c r="I207" s="551"/>
    </row>
    <row r="208" spans="1:9" x14ac:dyDescent="0.25">
      <c r="A208" s="546">
        <v>12.446</v>
      </c>
      <c r="B208" s="337" t="s">
        <v>758</v>
      </c>
      <c r="C208" s="516" t="s">
        <v>280</v>
      </c>
      <c r="D208" s="516" t="s">
        <v>34</v>
      </c>
      <c r="E208" s="518" t="s">
        <v>44</v>
      </c>
      <c r="F208" s="548" t="s">
        <v>513</v>
      </c>
      <c r="G208" s="516"/>
      <c r="H208" s="516"/>
      <c r="I208" s="551"/>
    </row>
    <row r="209" spans="1:9" x14ac:dyDescent="0.25">
      <c r="A209" s="546">
        <v>12.446999999999999</v>
      </c>
      <c r="B209" s="337" t="s">
        <v>759</v>
      </c>
      <c r="C209" s="516" t="s">
        <v>280</v>
      </c>
      <c r="D209" s="516" t="s">
        <v>34</v>
      </c>
      <c r="E209" s="518" t="s">
        <v>44</v>
      </c>
      <c r="F209" s="548" t="s">
        <v>513</v>
      </c>
      <c r="G209" s="516"/>
      <c r="H209" s="516"/>
      <c r="I209" s="551"/>
    </row>
    <row r="210" spans="1:9" x14ac:dyDescent="0.25">
      <c r="A210" s="546">
        <v>12.448</v>
      </c>
      <c r="B210" s="337" t="s">
        <v>760</v>
      </c>
      <c r="C210" s="516" t="s">
        <v>280</v>
      </c>
      <c r="D210" s="516" t="s">
        <v>34</v>
      </c>
      <c r="E210" s="518" t="s">
        <v>44</v>
      </c>
      <c r="F210" s="548" t="s">
        <v>521</v>
      </c>
      <c r="G210" s="516"/>
      <c r="H210" s="516"/>
      <c r="I210" s="551"/>
    </row>
    <row r="211" spans="1:9" x14ac:dyDescent="0.25">
      <c r="A211" s="546">
        <v>12.449</v>
      </c>
      <c r="B211" s="337" t="s">
        <v>761</v>
      </c>
      <c r="C211" s="516" t="s">
        <v>259</v>
      </c>
      <c r="D211" s="516" t="s">
        <v>34</v>
      </c>
      <c r="E211" s="518" t="s">
        <v>44</v>
      </c>
      <c r="F211" s="548" t="s">
        <v>521</v>
      </c>
      <c r="G211" s="516"/>
      <c r="H211" s="516"/>
      <c r="I211" s="551"/>
    </row>
    <row r="212" spans="1:9" x14ac:dyDescent="0.25">
      <c r="A212" s="546">
        <v>12.45</v>
      </c>
      <c r="B212" s="337" t="s">
        <v>762</v>
      </c>
      <c r="C212" s="516" t="s">
        <v>280</v>
      </c>
      <c r="D212" s="516" t="s">
        <v>34</v>
      </c>
      <c r="E212" s="518" t="s">
        <v>44</v>
      </c>
      <c r="F212" s="548" t="s">
        <v>519</v>
      </c>
      <c r="G212" s="516"/>
      <c r="H212" s="516"/>
      <c r="I212" s="551"/>
    </row>
    <row r="213" spans="1:9" x14ac:dyDescent="0.25">
      <c r="A213" s="546">
        <v>12.451000000000001</v>
      </c>
      <c r="B213" s="337" t="s">
        <v>763</v>
      </c>
      <c r="C213" s="516" t="s">
        <v>259</v>
      </c>
      <c r="D213" s="516" t="s">
        <v>34</v>
      </c>
      <c r="E213" s="518" t="s">
        <v>44</v>
      </c>
      <c r="F213" s="548" t="s">
        <v>521</v>
      </c>
      <c r="G213" s="516"/>
      <c r="H213" s="516"/>
      <c r="I213" s="551"/>
    </row>
    <row r="214" spans="1:9" x14ac:dyDescent="0.25">
      <c r="A214" s="546">
        <v>12.452</v>
      </c>
      <c r="B214" s="337" t="s">
        <v>764</v>
      </c>
      <c r="C214" s="516" t="s">
        <v>280</v>
      </c>
      <c r="D214" s="516" t="s">
        <v>34</v>
      </c>
      <c r="E214" s="518" t="s">
        <v>44</v>
      </c>
      <c r="F214" s="548" t="s">
        <v>513</v>
      </c>
      <c r="G214" s="516"/>
      <c r="H214" s="516"/>
      <c r="I214" s="551"/>
    </row>
    <row r="215" spans="1:9" x14ac:dyDescent="0.25">
      <c r="A215" s="546">
        <v>12.452999999999999</v>
      </c>
      <c r="B215" s="337" t="s">
        <v>765</v>
      </c>
      <c r="C215" s="516" t="s">
        <v>280</v>
      </c>
      <c r="D215" s="516" t="s">
        <v>34</v>
      </c>
      <c r="E215" s="518" t="s">
        <v>44</v>
      </c>
      <c r="F215" s="548" t="s">
        <v>520</v>
      </c>
      <c r="G215" s="516"/>
      <c r="H215" s="516"/>
      <c r="I215" s="551"/>
    </row>
    <row r="216" spans="1:9" x14ac:dyDescent="0.25">
      <c r="A216" s="546">
        <v>12.454000000000001</v>
      </c>
      <c r="B216" s="337" t="s">
        <v>766</v>
      </c>
      <c r="C216" s="516" t="s">
        <v>280</v>
      </c>
      <c r="D216" s="516" t="s">
        <v>34</v>
      </c>
      <c r="E216" s="518" t="s">
        <v>44</v>
      </c>
      <c r="F216" s="548" t="s">
        <v>513</v>
      </c>
      <c r="G216" s="516"/>
      <c r="H216" s="516"/>
      <c r="I216" s="551"/>
    </row>
    <row r="217" spans="1:9" x14ac:dyDescent="0.25">
      <c r="A217" s="546">
        <v>12.455</v>
      </c>
      <c r="B217" s="337" t="s">
        <v>767</v>
      </c>
      <c r="C217" s="516" t="s">
        <v>280</v>
      </c>
      <c r="D217" s="516" t="s">
        <v>34</v>
      </c>
      <c r="E217" s="518" t="s">
        <v>44</v>
      </c>
      <c r="F217" s="548" t="s">
        <v>520</v>
      </c>
      <c r="G217" s="516"/>
      <c r="H217" s="516"/>
      <c r="I217" s="551"/>
    </row>
    <row r="218" spans="1:9" x14ac:dyDescent="0.25">
      <c r="A218" s="546">
        <v>12.457000000000001</v>
      </c>
      <c r="B218" s="337" t="s">
        <v>768</v>
      </c>
      <c r="C218" s="516" t="s">
        <v>280</v>
      </c>
      <c r="D218" s="516" t="s">
        <v>34</v>
      </c>
      <c r="E218" s="518" t="s">
        <v>44</v>
      </c>
      <c r="F218" s="548" t="s">
        <v>514</v>
      </c>
      <c r="G218" s="516"/>
      <c r="H218" s="516"/>
      <c r="I218" s="551"/>
    </row>
    <row r="219" spans="1:9" x14ac:dyDescent="0.25">
      <c r="A219" s="546">
        <v>12.458</v>
      </c>
      <c r="B219" s="337" t="s">
        <v>769</v>
      </c>
      <c r="C219" s="516" t="s">
        <v>280</v>
      </c>
      <c r="D219" s="516" t="s">
        <v>47</v>
      </c>
      <c r="E219" s="518" t="s">
        <v>44</v>
      </c>
      <c r="F219" s="548" t="s">
        <v>518</v>
      </c>
      <c r="G219" s="516"/>
      <c r="H219" s="516"/>
      <c r="I219" s="551" t="s">
        <v>366</v>
      </c>
    </row>
    <row r="220" spans="1:9" x14ac:dyDescent="0.25">
      <c r="A220" s="546">
        <v>12.459</v>
      </c>
      <c r="B220" s="337" t="s">
        <v>770</v>
      </c>
      <c r="C220" s="516" t="s">
        <v>280</v>
      </c>
      <c r="D220" s="516" t="s">
        <v>47</v>
      </c>
      <c r="E220" s="518" t="s">
        <v>44</v>
      </c>
      <c r="F220" s="548" t="s">
        <v>519</v>
      </c>
      <c r="G220" s="516"/>
      <c r="H220" s="516"/>
      <c r="I220" s="551" t="s">
        <v>422</v>
      </c>
    </row>
    <row r="221" spans="1:9" x14ac:dyDescent="0.25">
      <c r="A221" s="546">
        <v>12.46</v>
      </c>
      <c r="B221" s="337" t="s">
        <v>771</v>
      </c>
      <c r="C221" s="516" t="s">
        <v>280</v>
      </c>
      <c r="D221" s="516" t="s">
        <v>34</v>
      </c>
      <c r="E221" s="518" t="s">
        <v>44</v>
      </c>
      <c r="F221" s="548" t="s">
        <v>521</v>
      </c>
      <c r="G221" s="516"/>
      <c r="H221" s="516"/>
      <c r="I221" s="551"/>
    </row>
    <row r="222" spans="1:9" x14ac:dyDescent="0.25">
      <c r="A222" s="546">
        <v>12.461</v>
      </c>
      <c r="B222" s="337" t="s">
        <v>772</v>
      </c>
      <c r="C222" s="516" t="s">
        <v>280</v>
      </c>
      <c r="D222" s="516" t="s">
        <v>34</v>
      </c>
      <c r="E222" s="518" t="s">
        <v>44</v>
      </c>
      <c r="F222" s="548" t="s">
        <v>521</v>
      </c>
      <c r="G222" s="516"/>
      <c r="H222" s="516"/>
      <c r="I222" s="551"/>
    </row>
    <row r="223" spans="1:9" x14ac:dyDescent="0.25">
      <c r="A223" s="546">
        <v>12.462</v>
      </c>
      <c r="B223" s="337" t="s">
        <v>773</v>
      </c>
      <c r="C223" s="516" t="s">
        <v>284</v>
      </c>
      <c r="D223" s="516" t="s">
        <v>47</v>
      </c>
      <c r="E223" s="518" t="s">
        <v>44</v>
      </c>
      <c r="F223" s="548" t="s">
        <v>518</v>
      </c>
      <c r="G223" s="516"/>
      <c r="H223" s="516"/>
      <c r="I223" s="551" t="s">
        <v>366</v>
      </c>
    </row>
    <row r="224" spans="1:9" x14ac:dyDescent="0.25">
      <c r="A224" s="546">
        <v>12.462999999999999</v>
      </c>
      <c r="B224" s="337" t="s">
        <v>774</v>
      </c>
      <c r="C224" s="516" t="s">
        <v>280</v>
      </c>
      <c r="D224" s="516" t="s">
        <v>45</v>
      </c>
      <c r="E224" s="518" t="s">
        <v>44</v>
      </c>
      <c r="F224" s="548" t="s">
        <v>514</v>
      </c>
      <c r="G224" s="516"/>
      <c r="H224" s="516"/>
      <c r="I224" s="551" t="s">
        <v>489</v>
      </c>
    </row>
    <row r="225" spans="1:9" x14ac:dyDescent="0.25">
      <c r="A225" s="546">
        <v>12.464</v>
      </c>
      <c r="B225" s="337" t="s">
        <v>775</v>
      </c>
      <c r="C225" s="516" t="s">
        <v>280</v>
      </c>
      <c r="D225" s="516" t="s">
        <v>34</v>
      </c>
      <c r="E225" s="518" t="s">
        <v>44</v>
      </c>
      <c r="F225" s="548" t="s">
        <v>519</v>
      </c>
      <c r="G225" s="516"/>
      <c r="H225" s="516"/>
      <c r="I225" s="551"/>
    </row>
    <row r="226" spans="1:9" x14ac:dyDescent="0.25">
      <c r="A226" s="546">
        <v>12.465</v>
      </c>
      <c r="B226" s="337" t="s">
        <v>776</v>
      </c>
      <c r="C226" s="516" t="s">
        <v>280</v>
      </c>
      <c r="D226" s="516" t="s">
        <v>34</v>
      </c>
      <c r="E226" s="518" t="s">
        <v>44</v>
      </c>
      <c r="F226" s="548" t="s">
        <v>519</v>
      </c>
      <c r="G226" s="516"/>
      <c r="H226" s="516"/>
      <c r="I226" s="551"/>
    </row>
    <row r="227" spans="1:9" x14ac:dyDescent="0.25">
      <c r="A227" s="546">
        <v>12.465999999999999</v>
      </c>
      <c r="B227" s="337" t="s">
        <v>777</v>
      </c>
      <c r="C227" s="516" t="s">
        <v>280</v>
      </c>
      <c r="D227" s="516" t="s">
        <v>34</v>
      </c>
      <c r="E227" s="518" t="s">
        <v>44</v>
      </c>
      <c r="F227" s="548" t="s">
        <v>514</v>
      </c>
      <c r="G227" s="516"/>
      <c r="H227" s="516"/>
      <c r="I227" s="551" t="s">
        <v>778</v>
      </c>
    </row>
    <row r="228" spans="1:9" x14ac:dyDescent="0.25">
      <c r="A228" s="546">
        <v>12.467000000000001</v>
      </c>
      <c r="B228" s="337" t="s">
        <v>779</v>
      </c>
      <c r="C228" s="516" t="s">
        <v>259</v>
      </c>
      <c r="D228" s="516" t="s">
        <v>34</v>
      </c>
      <c r="E228" s="518" t="s">
        <v>44</v>
      </c>
      <c r="F228" s="548" t="s">
        <v>514</v>
      </c>
      <c r="G228" s="516"/>
      <c r="H228" s="516"/>
      <c r="I228" s="551"/>
    </row>
    <row r="229" spans="1:9" x14ac:dyDescent="0.25">
      <c r="A229" s="546">
        <v>12.468</v>
      </c>
      <c r="B229" s="337" t="s">
        <v>780</v>
      </c>
      <c r="C229" s="516" t="s">
        <v>280</v>
      </c>
      <c r="D229" s="516" t="s">
        <v>45</v>
      </c>
      <c r="E229" s="518" t="s">
        <v>44</v>
      </c>
      <c r="F229" s="548" t="s">
        <v>514</v>
      </c>
      <c r="G229" s="516"/>
      <c r="H229" s="516"/>
      <c r="I229" s="551" t="s">
        <v>492</v>
      </c>
    </row>
    <row r="230" spans="1:9" x14ac:dyDescent="0.25">
      <c r="A230" s="546">
        <v>12.468999999999999</v>
      </c>
      <c r="B230" s="337" t="s">
        <v>781</v>
      </c>
      <c r="C230" s="516" t="s">
        <v>280</v>
      </c>
      <c r="D230" s="516" t="s">
        <v>34</v>
      </c>
      <c r="E230" s="518" t="s">
        <v>44</v>
      </c>
      <c r="F230" s="548" t="s">
        <v>519</v>
      </c>
      <c r="G230" s="516"/>
      <c r="H230" s="516"/>
      <c r="I230" s="551"/>
    </row>
    <row r="231" spans="1:9" x14ac:dyDescent="0.25">
      <c r="A231" s="546">
        <v>12.47</v>
      </c>
      <c r="B231" s="337" t="s">
        <v>782</v>
      </c>
      <c r="C231" s="516" t="s">
        <v>259</v>
      </c>
      <c r="D231" s="516" t="s">
        <v>34</v>
      </c>
      <c r="E231" s="518" t="s">
        <v>44</v>
      </c>
      <c r="F231" s="548" t="s">
        <v>513</v>
      </c>
      <c r="G231" s="516"/>
      <c r="H231" s="516"/>
      <c r="I231" s="551"/>
    </row>
    <row r="232" spans="1:9" x14ac:dyDescent="0.25">
      <c r="A232" s="546">
        <v>12.471</v>
      </c>
      <c r="B232" s="337" t="s">
        <v>783</v>
      </c>
      <c r="C232" s="516" t="s">
        <v>280</v>
      </c>
      <c r="D232" s="516" t="s">
        <v>34</v>
      </c>
      <c r="E232" s="518" t="s">
        <v>44</v>
      </c>
      <c r="F232" s="548" t="s">
        <v>520</v>
      </c>
      <c r="G232" s="516"/>
      <c r="H232" s="516"/>
      <c r="I232" s="551"/>
    </row>
    <row r="233" spans="1:9" x14ac:dyDescent="0.25">
      <c r="A233" s="546">
        <v>12.473000000000001</v>
      </c>
      <c r="B233" s="337" t="s">
        <v>784</v>
      </c>
      <c r="C233" s="516" t="s">
        <v>259</v>
      </c>
      <c r="D233" s="516" t="s">
        <v>34</v>
      </c>
      <c r="E233" s="518" t="s">
        <v>44</v>
      </c>
      <c r="F233" s="548" t="s">
        <v>513</v>
      </c>
      <c r="G233" s="516"/>
      <c r="H233" s="516"/>
      <c r="I233" s="551"/>
    </row>
    <row r="234" spans="1:9" x14ac:dyDescent="0.25">
      <c r="A234" s="546">
        <v>12.474</v>
      </c>
      <c r="B234" s="337" t="s">
        <v>785</v>
      </c>
      <c r="C234" s="516" t="s">
        <v>280</v>
      </c>
      <c r="D234" s="516" t="s">
        <v>34</v>
      </c>
      <c r="E234" s="518" t="s">
        <v>44</v>
      </c>
      <c r="F234" s="548" t="s">
        <v>519</v>
      </c>
      <c r="G234" s="516"/>
      <c r="H234" s="516"/>
      <c r="I234" s="551"/>
    </row>
    <row r="235" spans="1:9" x14ac:dyDescent="0.25">
      <c r="A235" s="546">
        <v>12.475</v>
      </c>
      <c r="B235" s="337" t="s">
        <v>786</v>
      </c>
      <c r="C235" s="516" t="s">
        <v>259</v>
      </c>
      <c r="D235" s="516" t="s">
        <v>34</v>
      </c>
      <c r="E235" s="518" t="s">
        <v>44</v>
      </c>
      <c r="F235" s="548" t="s">
        <v>513</v>
      </c>
      <c r="G235" s="516"/>
      <c r="H235" s="516"/>
      <c r="I235" s="551"/>
    </row>
    <row r="236" spans="1:9" x14ac:dyDescent="0.25">
      <c r="A236" s="546">
        <v>12.476000000000001</v>
      </c>
      <c r="B236" s="337" t="s">
        <v>787</v>
      </c>
      <c r="C236" s="516" t="s">
        <v>284</v>
      </c>
      <c r="D236" s="516" t="s">
        <v>34</v>
      </c>
      <c r="E236" s="518" t="s">
        <v>44</v>
      </c>
      <c r="F236" s="548" t="s">
        <v>518</v>
      </c>
      <c r="G236" s="516"/>
      <c r="H236" s="516"/>
      <c r="I236" s="551"/>
    </row>
    <row r="237" spans="1:9" x14ac:dyDescent="0.25">
      <c r="A237" s="546">
        <v>12.477</v>
      </c>
      <c r="B237" s="337" t="s">
        <v>788</v>
      </c>
      <c r="C237" s="516" t="s">
        <v>284</v>
      </c>
      <c r="D237" s="516" t="s">
        <v>45</v>
      </c>
      <c r="E237" s="518" t="s">
        <v>44</v>
      </c>
      <c r="F237" s="548" t="s">
        <v>514</v>
      </c>
      <c r="G237" s="516"/>
      <c r="H237" s="516"/>
      <c r="I237" s="551" t="s">
        <v>406</v>
      </c>
    </row>
    <row r="238" spans="1:9" x14ac:dyDescent="0.25">
      <c r="A238" s="546">
        <v>12.478999999999999</v>
      </c>
      <c r="B238" s="337" t="s">
        <v>789</v>
      </c>
      <c r="C238" s="516" t="s">
        <v>280</v>
      </c>
      <c r="D238" s="516" t="s">
        <v>34</v>
      </c>
      <c r="E238" s="518" t="s">
        <v>44</v>
      </c>
      <c r="F238" s="548" t="s">
        <v>513</v>
      </c>
      <c r="G238" s="516"/>
      <c r="H238" s="516"/>
      <c r="I238" s="551"/>
    </row>
    <row r="239" spans="1:9" x14ac:dyDescent="0.25">
      <c r="A239" s="546">
        <v>12.48</v>
      </c>
      <c r="B239" s="337" t="s">
        <v>790</v>
      </c>
      <c r="C239" s="516" t="s">
        <v>284</v>
      </c>
      <c r="D239" s="516" t="s">
        <v>47</v>
      </c>
      <c r="E239" s="518" t="s">
        <v>44</v>
      </c>
      <c r="F239" s="548" t="s">
        <v>514</v>
      </c>
      <c r="G239" s="516"/>
      <c r="H239" s="516"/>
      <c r="I239" s="551" t="s">
        <v>791</v>
      </c>
    </row>
    <row r="240" spans="1:9" x14ac:dyDescent="0.25">
      <c r="A240" s="546">
        <v>12.483000000000001</v>
      </c>
      <c r="B240" s="337" t="s">
        <v>792</v>
      </c>
      <c r="C240" s="516" t="s">
        <v>284</v>
      </c>
      <c r="D240" s="516" t="s">
        <v>34</v>
      </c>
      <c r="E240" s="518" t="s">
        <v>44</v>
      </c>
      <c r="F240" s="548" t="s">
        <v>514</v>
      </c>
      <c r="G240" s="516"/>
      <c r="H240" s="516"/>
      <c r="I240" s="551"/>
    </row>
    <row r="241" spans="1:9" x14ac:dyDescent="0.25">
      <c r="A241" s="546">
        <v>12.484</v>
      </c>
      <c r="B241" s="337" t="s">
        <v>793</v>
      </c>
      <c r="C241" s="516" t="s">
        <v>259</v>
      </c>
      <c r="D241" s="516" t="s">
        <v>34</v>
      </c>
      <c r="E241" s="518" t="s">
        <v>44</v>
      </c>
      <c r="F241" s="548" t="s">
        <v>513</v>
      </c>
      <c r="G241" s="516"/>
      <c r="H241" s="516"/>
      <c r="I241" s="551"/>
    </row>
    <row r="242" spans="1:9" x14ac:dyDescent="0.25">
      <c r="A242" s="546">
        <v>12.484999999999999</v>
      </c>
      <c r="B242" s="337" t="s">
        <v>794</v>
      </c>
      <c r="C242" s="516" t="s">
        <v>284</v>
      </c>
      <c r="D242" s="516" t="s">
        <v>47</v>
      </c>
      <c r="E242" s="518" t="s">
        <v>44</v>
      </c>
      <c r="F242" s="548" t="s">
        <v>514</v>
      </c>
      <c r="G242" s="516"/>
      <c r="H242" s="516"/>
      <c r="I242" s="551" t="s">
        <v>414</v>
      </c>
    </row>
    <row r="243" spans="1:9" x14ac:dyDescent="0.25">
      <c r="A243" s="546">
        <v>12.486000000000001</v>
      </c>
      <c r="B243" s="337" t="s">
        <v>795</v>
      </c>
      <c r="C243" s="516" t="s">
        <v>259</v>
      </c>
      <c r="D243" s="516" t="s">
        <v>47</v>
      </c>
      <c r="E243" s="518" t="s">
        <v>44</v>
      </c>
      <c r="F243" s="548" t="s">
        <v>514</v>
      </c>
      <c r="G243" s="516"/>
      <c r="H243" s="516"/>
      <c r="I243" s="551" t="s">
        <v>414</v>
      </c>
    </row>
    <row r="244" spans="1:9" x14ac:dyDescent="0.25">
      <c r="A244" s="546">
        <v>12.487</v>
      </c>
      <c r="B244" s="337" t="s">
        <v>796</v>
      </c>
      <c r="C244" s="516" t="s">
        <v>284</v>
      </c>
      <c r="D244" s="516" t="s">
        <v>34</v>
      </c>
      <c r="E244" s="518" t="s">
        <v>44</v>
      </c>
      <c r="F244" s="548" t="s">
        <v>518</v>
      </c>
      <c r="G244" s="516"/>
      <c r="H244" s="516"/>
      <c r="I244" s="551"/>
    </row>
    <row r="245" spans="1:9" x14ac:dyDescent="0.25">
      <c r="A245" s="546">
        <v>12.488</v>
      </c>
      <c r="B245" s="337" t="s">
        <v>797</v>
      </c>
      <c r="C245" s="516" t="s">
        <v>284</v>
      </c>
      <c r="D245" s="516" t="s">
        <v>34</v>
      </c>
      <c r="E245" s="518" t="s">
        <v>44</v>
      </c>
      <c r="F245" s="548" t="s">
        <v>518</v>
      </c>
      <c r="G245" s="516"/>
      <c r="H245" s="516"/>
      <c r="I245" s="551"/>
    </row>
    <row r="246" spans="1:9" x14ac:dyDescent="0.25">
      <c r="A246" s="546">
        <v>12.489000000000001</v>
      </c>
      <c r="B246" s="337" t="s">
        <v>798</v>
      </c>
      <c r="C246" s="516" t="s">
        <v>284</v>
      </c>
      <c r="D246" s="516" t="s">
        <v>47</v>
      </c>
      <c r="E246" s="518" t="s">
        <v>44</v>
      </c>
      <c r="F246" s="548" t="s">
        <v>516</v>
      </c>
      <c r="G246" s="516"/>
      <c r="H246" s="516"/>
      <c r="I246" s="551" t="s">
        <v>446</v>
      </c>
    </row>
    <row r="247" spans="1:9" x14ac:dyDescent="0.25">
      <c r="A247" s="546">
        <v>12.49</v>
      </c>
      <c r="B247" s="337" t="s">
        <v>799</v>
      </c>
      <c r="C247" s="516" t="s">
        <v>280</v>
      </c>
      <c r="D247" s="516" t="s">
        <v>47</v>
      </c>
      <c r="E247" s="518" t="s">
        <v>44</v>
      </c>
      <c r="F247" s="548" t="s">
        <v>800</v>
      </c>
      <c r="G247" s="516"/>
      <c r="H247" s="516"/>
      <c r="I247" s="551" t="s">
        <v>801</v>
      </c>
    </row>
    <row r="248" spans="1:9" x14ac:dyDescent="0.25">
      <c r="A248" s="546">
        <v>12.493</v>
      </c>
      <c r="B248" s="337" t="s">
        <v>802</v>
      </c>
      <c r="C248" s="516" t="s">
        <v>284</v>
      </c>
      <c r="D248" s="516" t="s">
        <v>34</v>
      </c>
      <c r="E248" s="518" t="s">
        <v>44</v>
      </c>
      <c r="F248" s="548" t="s">
        <v>514</v>
      </c>
      <c r="G248" s="516"/>
      <c r="H248" s="516"/>
      <c r="I248" s="551" t="s">
        <v>803</v>
      </c>
    </row>
    <row r="249" spans="1:9" x14ac:dyDescent="0.25">
      <c r="A249" s="546">
        <v>12.494</v>
      </c>
      <c r="B249" s="337" t="s">
        <v>804</v>
      </c>
      <c r="C249" s="516" t="s">
        <v>284</v>
      </c>
      <c r="D249" s="516" t="s">
        <v>34</v>
      </c>
      <c r="E249" s="518" t="s">
        <v>44</v>
      </c>
      <c r="F249" s="548" t="s">
        <v>514</v>
      </c>
      <c r="G249" s="516"/>
      <c r="H249" s="516"/>
      <c r="I249" s="551"/>
    </row>
    <row r="250" spans="1:9" x14ac:dyDescent="0.25">
      <c r="A250" s="546">
        <v>12.494999999999999</v>
      </c>
      <c r="B250" s="337" t="s">
        <v>805</v>
      </c>
      <c r="C250" s="516" t="s">
        <v>280</v>
      </c>
      <c r="D250" s="516" t="s">
        <v>45</v>
      </c>
      <c r="E250" s="518" t="s">
        <v>44</v>
      </c>
      <c r="F250" s="548" t="s">
        <v>514</v>
      </c>
      <c r="G250" s="516"/>
      <c r="H250" s="516"/>
      <c r="I250" s="551" t="s">
        <v>508</v>
      </c>
    </row>
    <row r="251" spans="1:9" ht="18" customHeight="1" x14ac:dyDescent="0.25">
      <c r="A251" s="546">
        <v>12.497</v>
      </c>
      <c r="B251" s="337" t="s">
        <v>806</v>
      </c>
      <c r="C251" s="516" t="s">
        <v>259</v>
      </c>
      <c r="D251" s="516" t="s">
        <v>34</v>
      </c>
      <c r="E251" s="518" t="s">
        <v>44</v>
      </c>
      <c r="F251" s="548" t="s">
        <v>513</v>
      </c>
      <c r="G251" s="516"/>
      <c r="H251" s="516"/>
      <c r="I251" s="551"/>
    </row>
    <row r="252" spans="1:9" ht="21" customHeight="1" x14ac:dyDescent="0.25">
      <c r="A252" s="546">
        <v>12.497999999999999</v>
      </c>
      <c r="B252" s="337" t="s">
        <v>807</v>
      </c>
      <c r="C252" s="516" t="s">
        <v>259</v>
      </c>
      <c r="D252" s="516" t="s">
        <v>34</v>
      </c>
      <c r="E252" s="518" t="s">
        <v>44</v>
      </c>
      <c r="F252" s="548" t="s">
        <v>518</v>
      </c>
      <c r="G252" s="516"/>
      <c r="H252" s="516"/>
      <c r="I252" s="551"/>
    </row>
    <row r="253" spans="1:9" ht="21" customHeight="1" x14ac:dyDescent="0.25">
      <c r="A253" s="546">
        <v>12.499000000000001</v>
      </c>
      <c r="B253" s="337" t="s">
        <v>808</v>
      </c>
      <c r="C253" s="516" t="s">
        <v>280</v>
      </c>
      <c r="D253" s="516" t="s">
        <v>34</v>
      </c>
      <c r="E253" s="518" t="s">
        <v>44</v>
      </c>
      <c r="F253" s="548" t="s">
        <v>513</v>
      </c>
      <c r="G253" s="516"/>
      <c r="H253" s="516"/>
      <c r="I253" s="551"/>
    </row>
    <row r="254" spans="1:9" ht="49.5" customHeight="1" x14ac:dyDescent="0.25">
      <c r="A254" s="546">
        <v>12.5</v>
      </c>
      <c r="B254" s="337" t="s">
        <v>809</v>
      </c>
      <c r="C254" s="516" t="s">
        <v>280</v>
      </c>
      <c r="D254" s="516" t="s">
        <v>47</v>
      </c>
      <c r="E254" s="518" t="s">
        <v>44</v>
      </c>
      <c r="F254" s="548" t="s">
        <v>513</v>
      </c>
      <c r="G254" s="516"/>
      <c r="H254" s="516"/>
      <c r="I254" s="551" t="s">
        <v>499</v>
      </c>
    </row>
    <row r="255" spans="1:9" x14ac:dyDescent="0.25">
      <c r="A255" s="546"/>
      <c r="B255" s="337"/>
      <c r="C255" s="516"/>
      <c r="D255" s="516"/>
      <c r="E255" s="518"/>
      <c r="F255" s="548"/>
      <c r="G255" s="516"/>
      <c r="H255" s="516"/>
      <c r="I255" s="551"/>
    </row>
    <row r="256" spans="1:9" x14ac:dyDescent="0.25">
      <c r="A256" s="546"/>
      <c r="B256" s="337"/>
      <c r="C256" s="516"/>
      <c r="D256" s="516"/>
      <c r="E256" s="518"/>
      <c r="F256" s="548"/>
      <c r="G256" s="516"/>
      <c r="H256" s="516"/>
      <c r="I256" s="551"/>
    </row>
    <row r="257" spans="1:9" x14ac:dyDescent="0.25">
      <c r="A257" s="546"/>
      <c r="B257" s="337"/>
      <c r="C257" s="516"/>
      <c r="D257" s="516"/>
      <c r="E257" s="518"/>
      <c r="F257" s="548"/>
      <c r="G257" s="516"/>
      <c r="H257" s="516"/>
      <c r="I257" s="551"/>
    </row>
    <row r="258" spans="1:9" x14ac:dyDescent="0.25">
      <c r="A258" s="546"/>
      <c r="B258" s="337"/>
      <c r="C258" s="516"/>
      <c r="D258" s="516"/>
      <c r="E258" s="518"/>
      <c r="F258" s="548"/>
      <c r="G258" s="516"/>
      <c r="H258" s="516"/>
      <c r="I258" s="551"/>
    </row>
    <row r="259" spans="1:9" x14ac:dyDescent="0.25">
      <c r="A259" s="546"/>
      <c r="B259" s="337"/>
      <c r="C259" s="516"/>
      <c r="D259" s="516"/>
      <c r="E259" s="518"/>
      <c r="F259" s="548"/>
      <c r="G259" s="516"/>
      <c r="H259" s="516"/>
      <c r="I259" s="551"/>
    </row>
    <row r="260" spans="1:9" x14ac:dyDescent="0.25">
      <c r="A260" s="546"/>
      <c r="B260" s="337"/>
      <c r="C260" s="516"/>
      <c r="D260" s="516"/>
      <c r="E260" s="518"/>
      <c r="F260" s="548"/>
      <c r="G260" s="516"/>
      <c r="H260" s="516"/>
      <c r="I260" s="551"/>
    </row>
    <row r="261" spans="1:9" x14ac:dyDescent="0.25">
      <c r="A261" s="546"/>
      <c r="B261" s="337"/>
      <c r="C261" s="516"/>
      <c r="D261" s="516"/>
      <c r="E261" s="518"/>
      <c r="F261" s="548"/>
      <c r="G261" s="516"/>
      <c r="H261" s="516"/>
      <c r="I261" s="551"/>
    </row>
    <row r="262" spans="1:9" x14ac:dyDescent="0.25">
      <c r="A262" s="546"/>
      <c r="B262" s="337"/>
      <c r="C262" s="516"/>
      <c r="D262" s="516"/>
      <c r="E262" s="518"/>
      <c r="F262" s="548"/>
      <c r="G262" s="516"/>
      <c r="H262" s="516"/>
      <c r="I262" s="551"/>
    </row>
    <row r="263" spans="1:9" x14ac:dyDescent="0.25">
      <c r="A263" s="546"/>
      <c r="B263" s="337"/>
      <c r="C263" s="516"/>
      <c r="D263" s="516"/>
      <c r="E263" s="518"/>
      <c r="F263" s="548"/>
      <c r="G263" s="516"/>
      <c r="H263" s="516"/>
      <c r="I263" s="551"/>
    </row>
    <row r="264" spans="1:9" x14ac:dyDescent="0.25">
      <c r="A264" s="546"/>
      <c r="B264" s="337"/>
      <c r="C264" s="516"/>
      <c r="D264" s="516"/>
      <c r="E264" s="518"/>
      <c r="F264" s="548"/>
      <c r="G264" s="516"/>
      <c r="H264" s="516"/>
      <c r="I264" s="551"/>
    </row>
    <row r="265" spans="1:9" x14ac:dyDescent="0.25">
      <c r="A265" s="546"/>
      <c r="B265" s="337"/>
      <c r="C265" s="516"/>
      <c r="D265" s="516"/>
      <c r="E265" s="518"/>
      <c r="F265" s="548"/>
      <c r="G265" s="516"/>
      <c r="H265" s="516"/>
      <c r="I265" s="551"/>
    </row>
  </sheetData>
  <autoFilter ref="A2:I254" xr:uid="{00000000-0001-0000-0300-000000000000}"/>
  <mergeCells count="5">
    <mergeCell ref="K4:K6"/>
    <mergeCell ref="K7:K10"/>
    <mergeCell ref="K11:K13"/>
    <mergeCell ref="L14:M14"/>
    <mergeCell ref="A1:M1"/>
  </mergeCells>
  <phoneticPr fontId="30" type="noConversion"/>
  <pageMargins left="0.7" right="0.7" top="0.75" bottom="0.75" header="0.3" footer="0.3"/>
  <pageSetup orientation="portrait" r:id="rId1"/>
  <headerFooter>
    <oddHeader>&amp;L&amp;"Arial"&amp;10&amp;K0000FF[AMD Official Use Only]&amp;1#</oddHeader>
  </headerFooter>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45B06520-122E-474E-9887-7FC5D5F8E520}">
          <x14:formula1>
            <xm:f>'List Options'!$I$1:$I$4</xm:f>
          </x14:formula1>
          <xm:sqref>D3:D265</xm:sqref>
        </x14:dataValidation>
        <x14:dataValidation type="list" allowBlank="1" showInputMessage="1" showErrorMessage="1" xr:uid="{AA1AC074-A7B7-4C8D-9132-118B458773B2}">
          <x14:formula1>
            <xm:f>'List Options'!$G$1:$G$3</xm:f>
          </x14:formula1>
          <xm:sqref>E3:E265</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W279"/>
  <sheetViews>
    <sheetView workbookViewId="0">
      <pane xSplit="4" ySplit="6" topLeftCell="P36" activePane="bottomRight" state="frozen"/>
      <selection pane="topRight" activeCell="D1" sqref="D1"/>
      <selection pane="bottomLeft" activeCell="A3" sqref="A3"/>
      <selection pane="bottomRight" activeCell="A40" sqref="A40"/>
    </sheetView>
  </sheetViews>
  <sheetFormatPr defaultColWidth="8.42578125" defaultRowHeight="15" x14ac:dyDescent="0.25"/>
  <cols>
    <col min="1" max="1" width="16.5703125" style="182" bestFit="1" customWidth="1"/>
    <col min="2" max="2" width="28.42578125" style="191" bestFit="1" customWidth="1"/>
    <col min="3" max="3" width="9.5703125" style="191" bestFit="1" customWidth="1"/>
    <col min="4" max="4" width="34" style="182" bestFit="1" customWidth="1"/>
    <col min="5" max="5" width="14.42578125" style="191" bestFit="1" customWidth="1"/>
    <col min="6" max="7" width="11.42578125" style="191" bestFit="1" customWidth="1"/>
    <col min="8" max="8" width="14.42578125" style="191" bestFit="1" customWidth="1"/>
    <col min="9" max="9" width="8.42578125" style="193" bestFit="1" customWidth="1"/>
    <col min="10" max="10" width="20" style="193" bestFit="1" customWidth="1"/>
    <col min="11" max="11" width="13.42578125" style="197" customWidth="1"/>
    <col min="12" max="12" width="15.42578125" style="197" customWidth="1"/>
    <col min="13" max="13" width="12" style="198" bestFit="1" customWidth="1"/>
    <col min="14" max="14" width="10.5703125" style="198" bestFit="1" customWidth="1"/>
    <col min="15" max="15" width="13.42578125" style="197" bestFit="1" customWidth="1"/>
    <col min="16" max="16" width="12.5703125" style="80" bestFit="1" customWidth="1"/>
    <col min="17" max="17" width="10.5703125" style="80" bestFit="1" customWidth="1"/>
    <col min="18" max="19" width="13.42578125" style="201" bestFit="1" customWidth="1"/>
    <col min="20" max="20" width="13.5703125" style="202" bestFit="1" customWidth="1"/>
    <col min="21" max="21" width="9.5703125" style="182" customWidth="1"/>
    <col min="22" max="22" width="45.5703125" style="182" customWidth="1"/>
    <col min="23" max="16384" width="8.42578125" style="182"/>
  </cols>
  <sheetData>
    <row r="1" spans="1:23" s="177" customFormat="1" ht="19.5" thickBot="1" x14ac:dyDescent="0.3">
      <c r="A1" s="678" t="s">
        <v>810</v>
      </c>
      <c r="B1" s="711"/>
      <c r="C1" s="711"/>
      <c r="D1" s="711"/>
      <c r="E1" s="711"/>
      <c r="F1" s="711"/>
      <c r="G1" s="711"/>
      <c r="H1" s="711"/>
      <c r="I1" s="711"/>
      <c r="J1" s="711"/>
      <c r="K1" s="711"/>
      <c r="L1" s="711"/>
      <c r="M1" s="711"/>
      <c r="N1" s="711"/>
      <c r="O1" s="711"/>
      <c r="P1" s="711"/>
      <c r="Q1" s="711"/>
      <c r="R1" s="711"/>
      <c r="S1" s="711"/>
      <c r="T1" s="711"/>
      <c r="U1" s="712"/>
      <c r="V1" s="542"/>
    </row>
    <row r="2" spans="1:23" s="188" customFormat="1" ht="18.75" x14ac:dyDescent="0.25">
      <c r="A2" s="672" t="s">
        <v>302</v>
      </c>
      <c r="B2" s="673"/>
      <c r="C2" s="673"/>
      <c r="D2" s="673"/>
      <c r="E2" s="673"/>
      <c r="F2" s="674"/>
      <c r="G2" s="391">
        <f>COUNTIF(G7:G274,"Yes")</f>
        <v>192</v>
      </c>
      <c r="H2" s="391">
        <f>COUNTIF(H7:H274,"Yes")</f>
        <v>192</v>
      </c>
      <c r="I2" s="707">
        <f>'Diags Raw Data'!K220</f>
        <v>210</v>
      </c>
      <c r="J2" s="717">
        <f>'Diags Raw Data'!L220</f>
        <v>724</v>
      </c>
      <c r="K2" s="719">
        <f>'Diags Raw Data'!N220</f>
        <v>1</v>
      </c>
      <c r="L2" s="721">
        <f>'Diags Raw Data'!P220</f>
        <v>0.96642857142857153</v>
      </c>
      <c r="M2" s="723">
        <f>'Diags Raw Data'!R220</f>
        <v>528</v>
      </c>
      <c r="N2" s="688">
        <f>SUM('Diags Raw Data'!T220+'Diags Raw Data'!U220)</f>
        <v>433</v>
      </c>
      <c r="O2" s="713">
        <f>IF((M277=0),0,N277/M277)</f>
        <v>0.82007575757575757</v>
      </c>
      <c r="P2" s="715">
        <f>'Diags Raw Data'!Z220</f>
        <v>291</v>
      </c>
      <c r="Q2" s="705">
        <f>SUM('Diags Raw Data'!AA220+'Diags Raw Data'!AB220)</f>
        <v>290</v>
      </c>
      <c r="R2" s="701">
        <f>IF((J277=0),0,P277/J277)</f>
        <v>0.40193370165745856</v>
      </c>
      <c r="S2" s="701">
        <f>IF((P277=0),0,Q277/P277)</f>
        <v>0.99656357388316152</v>
      </c>
      <c r="T2" s="701">
        <f>R277*S277</f>
        <v>0.40055248618784534</v>
      </c>
      <c r="U2" s="703"/>
      <c r="V2" s="690" t="s">
        <v>811</v>
      </c>
      <c r="W2" s="187"/>
    </row>
    <row r="3" spans="1:23" ht="19.5" thickBot="1" x14ac:dyDescent="0.3">
      <c r="A3" s="675"/>
      <c r="B3" s="676"/>
      <c r="C3" s="676"/>
      <c r="D3" s="676"/>
      <c r="E3" s="676"/>
      <c r="F3" s="677"/>
      <c r="G3" s="392">
        <f>COUNTIF(G7:G274,"Yes")/COUNTA(A7:A274)</f>
        <v>0.76190476190476186</v>
      </c>
      <c r="H3" s="392">
        <f>(COUNTIF(H7:H274,"Yes")/G277)</f>
        <v>1</v>
      </c>
      <c r="I3" s="708"/>
      <c r="J3" s="718"/>
      <c r="K3" s="720"/>
      <c r="L3" s="722"/>
      <c r="M3" s="724"/>
      <c r="N3" s="689"/>
      <c r="O3" s="714"/>
      <c r="P3" s="716"/>
      <c r="Q3" s="706"/>
      <c r="R3" s="702"/>
      <c r="S3" s="702"/>
      <c r="T3" s="702"/>
      <c r="U3" s="704"/>
      <c r="V3" s="691"/>
      <c r="W3" s="181"/>
    </row>
    <row r="4" spans="1:23" ht="19.5" thickBot="1" x14ac:dyDescent="0.3">
      <c r="A4" s="692" t="s">
        <v>812</v>
      </c>
      <c r="B4" s="693"/>
      <c r="C4" s="693"/>
      <c r="D4" s="693"/>
      <c r="E4" s="693"/>
      <c r="F4" s="693"/>
      <c r="G4" s="693"/>
      <c r="H4" s="693"/>
      <c r="I4" s="693"/>
      <c r="J4" s="693"/>
      <c r="K4" s="693"/>
      <c r="L4" s="693"/>
      <c r="M4" s="693"/>
      <c r="N4" s="693"/>
      <c r="O4" s="693"/>
      <c r="P4" s="693"/>
      <c r="Q4" s="693"/>
      <c r="R4" s="693"/>
      <c r="S4" s="693"/>
      <c r="T4" s="693"/>
      <c r="U4" s="694"/>
      <c r="V4" s="543"/>
    </row>
    <row r="5" spans="1:23" s="177" customFormat="1" ht="31.5" customHeight="1" thickBot="1" x14ac:dyDescent="0.3">
      <c r="A5" s="663" t="s">
        <v>76</v>
      </c>
      <c r="B5" s="664"/>
      <c r="C5" s="664"/>
      <c r="D5" s="664"/>
      <c r="E5" s="664"/>
      <c r="F5" s="664"/>
      <c r="G5" s="664"/>
      <c r="H5" s="664"/>
      <c r="I5" s="664"/>
      <c r="J5" s="665"/>
      <c r="K5" s="661" t="s">
        <v>113</v>
      </c>
      <c r="L5" s="662"/>
      <c r="M5" s="666" t="s">
        <v>124</v>
      </c>
      <c r="N5" s="667"/>
      <c r="O5" s="668"/>
      <c r="P5" s="669" t="s">
        <v>144</v>
      </c>
      <c r="Q5" s="670"/>
      <c r="R5" s="670"/>
      <c r="S5" s="670"/>
      <c r="T5" s="670"/>
      <c r="U5" s="671"/>
      <c r="V5" s="176"/>
    </row>
    <row r="6" spans="1:23" s="179" customFormat="1" ht="15.75" thickBot="1" x14ac:dyDescent="0.3">
      <c r="A6" s="349" t="s">
        <v>77</v>
      </c>
      <c r="B6" s="374" t="s">
        <v>81</v>
      </c>
      <c r="C6" s="374" t="s">
        <v>96</v>
      </c>
      <c r="D6" s="374" t="s">
        <v>212</v>
      </c>
      <c r="E6" s="374" t="s">
        <v>88</v>
      </c>
      <c r="F6" s="374" t="s">
        <v>1</v>
      </c>
      <c r="G6" s="375" t="s">
        <v>215</v>
      </c>
      <c r="H6" s="375" t="s">
        <v>218</v>
      </c>
      <c r="I6" s="376" t="s">
        <v>105</v>
      </c>
      <c r="J6" s="376" t="s">
        <v>221</v>
      </c>
      <c r="K6" s="350" t="s">
        <v>114</v>
      </c>
      <c r="L6" s="351" t="s">
        <v>121</v>
      </c>
      <c r="M6" s="342" t="s">
        <v>227</v>
      </c>
      <c r="N6" s="343" t="s">
        <v>229</v>
      </c>
      <c r="O6" s="341" t="s">
        <v>187</v>
      </c>
      <c r="P6" s="352" t="s">
        <v>232</v>
      </c>
      <c r="Q6" s="344" t="s">
        <v>229</v>
      </c>
      <c r="R6" s="345" t="s">
        <v>184</v>
      </c>
      <c r="S6" s="345" t="s">
        <v>140</v>
      </c>
      <c r="T6" s="346" t="s">
        <v>187</v>
      </c>
      <c r="U6" s="347" t="s">
        <v>157</v>
      </c>
      <c r="V6" s="178"/>
    </row>
    <row r="7" spans="1:23" ht="409.6" thickBot="1" x14ac:dyDescent="0.3">
      <c r="A7" s="545">
        <v>12</v>
      </c>
      <c r="B7" s="427" t="str">
        <f>VLOOKUP(A7,'Feature Raw Data'!$A$3:$B$3922,2,FALSE)</f>
        <v>Navi4x configuration changes</v>
      </c>
      <c r="C7" s="428" t="str">
        <f>VLOOKUP(A7,'Feature Raw Data'!$A$3:$C$3922,3,FALSE)</f>
        <v>P1</v>
      </c>
      <c r="D7" s="429" t="str" cm="1">
        <f t="array" ref="D7">_xlfn.TEXTJOIN("",TRUE,IF(ISNUMBER(SEARCH($A7,'Diags Raw Data'!$A$6:$A$3830)),CONCATENATE('Diags Raw Data'!$H$6:$H$3830,", "),""))</f>
        <v xml:space="preserve">std1.6, ppi201.2, spi20.0,spi20.1, std4.34, PPI39,PPI100.65, ge1.0,ge1.1, PPI101.5, PPI100.141, std1.6, placeholder_n.1, sc42.2,sc42.3,sc26.9,sc26.10,sc26.11,sc26.12, gfx.sr_stat, placeholder_o.1, placeholder_p.1, ppi41.2,ppi41.22,ppi41.42,ppi41.52, txi91.0-1, txi90.0-5, 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ppi302.3,ppi302.5, placeholder_q.1, rt1.320, rt1.330, rt1.302, gfx.cmm_sa_policy_monolithic_gfx12.1-23, gfx.cmm_cp_access_order_monolithic.1-3,gfx.cmm_sa_gl2_access_order_monolithic.1-3,gfx.cmm_sa_gl2_same_address_monolithic.1-2, gfx.cmm_cp_access_order_monolithic.1-3,gfx.cmm_sa_gl2_access_order_monolithic.1-3,gfx.cmm_sa_gl2_same_address_monolithic.1-2, placeholder_d.1, placeholder_e.1, gfx.cmm_cache_last_use_policy_monolithic, glxi60.1-3, gci1301.0, gci1304.0, gfx.inst_perf/sched_mode_dep_mode1,gfx.inst_perf/sched_mode_dep_mode2, gfx.inst_perf/s_add_f32,gfx.inst_perf/s_sub_f32,gfx.inst_perf/s_min_num_f32,gfx.inst_perf/s_max_num_f32,gfx.inst_perf/s_minimum_f32,gfx.inst_perf/s_maximum_f32,gfx.inst_perf/s_mul_f32,gfx.inst_perf/s_fmaak_f32,gfx.inst_perf/s_fmamk_f32,gfx.inst_perf/s_fmac_f32,gfx.inst_perf/s_ceil_f32,gfx.inst_perf/s_floor_f32,gfx.inst_perf/s_trunc_f32,gfx.inst_perf/s_rndne_f32,gfx.inst_perf/s_add_f16,gfx.inst_perf/s_sub_f16,gfx.inst_perf/s_min_num_f16,gfx.inst_perf/s_max_num_f16,gfx.inst_perf/s_minimum_f16,gfx.inst_perf/s_maximum_f16,gfx.inst_perf/s_mul_f16,gfx.inst_perf/s_fmac_f16,gfx.inst_perf/s_ceil_f16,gfx.inst_perf/s_floor_f16,gfx.inst_perf/s_trunc_f16,gfx.inst_perf/s_rndne_f16,gfx.inst_perf/s_cmp_lt_f32,gfx.inst_perf/s_cmp_eq_f32,gfx.inst_perf/s_cmp_le_f32,gfx.inst_perf/s_cmp_gt_f32,gfx.inst_perf/s_cmp_lg_f32,gfx.inst_perf/s_cmp_ge_f32,gfx.inst_perf/s_cmp_o_f32,gfx.inst_perf/s_cmp_u_f32,gfx.inst_perf/s_cmp_nge_f32,gfx.inst_perf/s_cmp_nlg_f32,gfx.inst_perf/s_cmp_ngt_f32,gfx.inst_perf/s_cmp_nle_f32,gfx.inst_perf/s_cmp_neq_f32,gfx.inst_perf/s_cmp_nlt_f32,gfx.inst_perf/s_cmp_lt_f16,gfx.inst_perf/s_cmp_eq_f16,gfx.inst_perf/s_cmp_le_f16,gfx.inst_perf/s_cmp_gt_f16,gfx.inst_perf/s_cmp_lg_f16,gfx.inst_perf/s_cmp_ge_f16,gfx.inst_perf/s_cmp_o_f16,gfx.inst_perf/s_cmp_u_f16,gfx.inst_perf/s_cmp_nge_f16,gfx.inst_perf/s_cmp_nlg_f16,gfx.inst_perf/s_cmp_ngt_f16,gfx.inst_perf/s_cmp_nle_f16,gfx.inst_perf/s_cmp_neq_f16,gfx.inst_perf/s_cmp_nlt_f16,gfx.inst_perf/s_cvt_f32_i32,gfx.inst_perf/s_cvt_f32_u32,gfx.inst_perf/s_cvt_i32_f32,gfx.inst_perf/s_cvt_u32_f32,gfx.inst_perf/s_cvt_f16_f32,gfx.inst_perf/s_cvt_pk_rtz_f16_f32,gfx.inst_perf/s_cvt_f32_f16,gfx.inst_perf/s_cvt_hi_f32_f16, gfx.inst_perf/global_load_block,gfx.inst_perf/global_store_block,gfx.inst_perf/scratch_load_block,gfx.inst_perf/scratch_store_block, 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gfx.inst_perf/vglobal_signed_offset, gci1302.0,gci1302.1, gfx.inst_perf/v_add_f64,gfx.inst_perf/v_mul_f64,gfx.inst_perf/v_lshlrev_b64, glxi82.1, 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ge2.0,ge2.1,std1.6, gci1300.0,gci1300.1,gci1300.2,gci1300.3, spi124.0,spi124.1, spi125, placeholder_f.1, glxi85.1,glxi85.2, cpi400.0, cpi410.0, placeholder_r.1, spi1390,spi1391, gfx.inst_perf/v_dot4_i32_iu8,gfx.inst_perf/v_dot4_u32_u8,gfx.inst_perf/v_dot8_i32_iu4,gfx.inst_perf/v_dot8_u32_u4,gfx.inst_perf/v_wmma_i32_16x16x16_iu4,gfx.inst_perf/v_wmma_i32_16x16x32_iu4,gfx.inst_perf/v_wmma_i32_16x16x16_iu8, std1.1,gci30.4, std1.1,gci30.4, gci3.12, gfx.inst_perf/v_s_.1-10, shci2038.0-3,shci2038.104, shci2041, std1.1,std3.1,std4.1,rt1.300,rt1.320,gci1304,gci1305,gci1308,shci2033,shci2036,gssi212.10, sh1630,sh1631, PPI406.1-8,PPI406.11-18,PPI406.21-28,PPI406.31-38,PPI406.41-48, std5.9, PPI406.1-2, gci30.3, placeholder_g.1-8, gfx.cmm_cp_ch_access_size_monolithic_gfx12,gfx.cmm_sdma_access_size_monolithic, gfx.inst_perf/v_wmma.1-5,gfx.inst_perf/v_cvt.1-5,gfx.inst_perf/v_dot4_f32.1-5, gci1306.0-2,gssi212.11, gci1305.0,gci1305.3,gci1305.4,gci1305.5,gci1305.6, gfx.cmm_sax_utcl1_monolithic/utcl0_disable, spi197, spi2010,spi2011, spi2020,spi2021, gfx.inst_perf.1-64, gci_wave32.950-960,gci_wave64.950-960, gci669.1-12, gfx.red_triangle_draw_composite, navi48.gfx.ge.register_access, std1.6,gci30.3, PPI406.1-2, food_store,mountain_range,navi48.gfx.ge.register_access, rlci9.1,rlci10.1, wgs.6,wgs.8,wgs.1,wgs.100,wgs.12,gci30.3,wgs_interrrupt_tacl,gci22.11, gci820.0.1-20, gfx.inst_perf/flat_atomic_cond_sub_u32_global,gfx.inst_perf/flat_atomic_sub_clamp_u32_global,gfx.inst_perf/ds_cond_sub_rtn_u32,gfx.inst_perf/ds_sub_clamp_rtn_u32,gci1307.0-3, glxi60.7, glxi60.5, glxi60.6, navi48.gfx.ge.register_access, ge3.0,std4.34, spi2940,spi2941, placeholder_s.1, placeholder_h.1, gfx.ieee_min_max, glxi29.8, gfx.cmm_sax_utcl0_invalidation_monolithic/utcl0_enable, std1.6.1-2,gci30_3.1-2, placeholder_t.1-2, gci28.3, std1.6, glxi86.1-2, std1.6, rlc1.0, std1.1, rlc1.0, gfx.inst_perf/global_load_tr.1-2, shci2039.4,shci2039.5, gfx.inst_perf/v_dual_mov_b32, std1.6,std2.6,std3.6,std4.6, cs160.1-2, gci1311, placeholder_i.1, rt1.400-401, utci16.1, placeholder_j.1-4, shci2039.0-3, rt33.0, rt33.1-2, gci1307.4-7, placeholder_k.1-2, spi453, glxi61.1-2, gfx.linpack_gfx_compute, placeholder_l.1-8, placeholder_a.1-108, gci1310, cpi415.1-2, gci1309.0-3, gmhub.athub_raw_monolithic_test/CPWD, gfx.sr_stat, gfx.inst_perf.1-5,gci39.1-6, placeholder_b.1, txi83, std1.6, placeholder_c.1-2, N/A, N/A, N/A, N/A, N/A, N/A, N/A, N/A, N/A, N/A, N/A, N/A, N/A, N/A, N/A, N/A, N/A, N/A, N/A, N/A, N/A, N/A, N/A, N/A, N/A, N/A, N/A, N/A, N/A, PMM coverage through CGCG/PG features, N/A, N/A, N/A, N/A, N/A, N/A, N/A, N/A, N/A, N/A, N/A, N/A, N/A, N/A, N/A, N/A, N/A, N/A, N/A, N/A, N/A, , N/A, N/A, N/A, N/A, N/A, N/A, gfx.stress3d.gfxoff/food_store, N/A, N/A, N/A, N/A, N/A, N/A, N/A, N/A, N/A, </v>
      </c>
      <c r="E7" s="430" t="str">
        <f>VLOOKUP(A7,'Diags Raw Data'!$A$6:$D$3830,4,FALSE)</f>
        <v>GFX</v>
      </c>
      <c r="F7" s="430" t="str">
        <f>VLOOKUP(A7,'Feature Raw Data'!$A$3:$E$3922,5,FALSE)</f>
        <v>New</v>
      </c>
      <c r="G7" s="430" t="str">
        <f t="shared" ref="G7:G60" si="0">IF(D7="N/A, ","No","Yes")</f>
        <v>Yes</v>
      </c>
      <c r="H7" s="430" t="str">
        <f t="shared" ref="H7:H62" si="1">IF(D7="N/A, ","No","Yes")</f>
        <v>Yes</v>
      </c>
      <c r="I7" s="428">
        <f>SUMIF('Diags Raw Data'!$A$6:$A$3830,"*"&amp;$A7&amp;"*",'Diags Raw Data'!$K$6:$K$3830)</f>
        <v>0</v>
      </c>
      <c r="J7" s="431">
        <f>SUMIF('Diags Raw Data'!$A$6:$A$3830,"*"&amp;$A7&amp;"*",'Diags Raw Data'!$L$6:$L$3830)</f>
        <v>0</v>
      </c>
      <c r="K7" s="475" t="e" cm="1">
        <f t="array" ref="K7">IF(D7="",0, SUMPRODUCT(--(ISNUMBER(SEARCH($A7,'Diags Raw Data'!$A$6:$A$3830))),'Diags Raw Data'!$L$6:$L$3830,'Diags Raw Data'!$N$6:$N$3830)/J7)</f>
        <v>#DIV/0!</v>
      </c>
      <c r="L7" s="476" t="e" cm="1">
        <f t="array" ref="L7">IF(D7="",0, SUMPRODUCT(--(ISNUMBER(SEARCH($A7,'Diags Raw Data'!$A$6:$A$3830))),'Diags Raw Data'!$L$6:$L$3830,'Diags Raw Data'!$P$6:$P$3830)/J7)</f>
        <v>#DIV/0!</v>
      </c>
      <c r="M7" s="477" cm="1">
        <f t="array" ref="M7">SUMPRODUCT(--(ISNUMBER(SEARCH($A7,'Diags Raw Data'!$A$6:$A$3830))),--('Diags Raw Data'!$Q$6:$Q$3830&lt;&gt;"N/A"),'Diags Raw Data'!$R$6:$R$3830)</f>
        <v>528</v>
      </c>
      <c r="N7" s="478" cm="1">
        <f t="array" ref="N7">SUMPRODUCT(--(ISNUMBER(SEARCH($A7,'Diags Raw Data'!$A$6:$A$3830))),--('Diags Raw Data'!$Q$6:$Q$3830&lt;&gt;"N/A"),'Diags Raw Data'!$T$6:$T$3830)+SUMPRODUCT(--(ISNUMBER(SEARCH($A7,'Diags Raw Data'!$A$6:$A$3830))),--('Diags Raw Data'!$Q$6:$Q$3830&lt;&gt;"N/A"),'Diags Raw Data'!$U$6:$U$3830)</f>
        <v>433</v>
      </c>
      <c r="O7" s="479">
        <f>IF((M7=0),0,N7/M7)</f>
        <v>0.82007575757575757</v>
      </c>
      <c r="P7" s="480">
        <f>SUMIF('Diags Raw Data'!$A$6:$A$3830,"*"&amp;$A7&amp;"*",'Diags Raw Data'!$Z$6:$Z$3830)</f>
        <v>0</v>
      </c>
      <c r="Q7" s="481">
        <f>SUM(SUMIF('Diags Raw Data'!$A$6:$A$3830,"*"&amp;$A7&amp;"*",'Diags Raw Data'!$AA$6:$AA$3830),SUMIF('Diags Raw Data'!$A$6:$A$3830,"*"&amp;$A7&amp;"*",'Diags Raw Data'!$AB$6:$AB$3830))</f>
        <v>0</v>
      </c>
      <c r="R7" s="482">
        <f>IF((J7=0),0,P7/J7)</f>
        <v>0</v>
      </c>
      <c r="S7" s="482">
        <f>IF((P7=0),0,Q7/P7)</f>
        <v>0</v>
      </c>
      <c r="T7" s="483">
        <f>R7*S7</f>
        <v>0</v>
      </c>
      <c r="U7" s="432" t="str">
        <f>VLOOKUP(A7,'Diags Raw Data'!$A$6:$AH$3830,33,FALSE)</f>
        <v>WK5</v>
      </c>
      <c r="V7" s="181"/>
    </row>
    <row r="8" spans="1:23" ht="30.75" thickBot="1" x14ac:dyDescent="0.3">
      <c r="A8" s="546">
        <v>12.000999999999999</v>
      </c>
      <c r="B8" s="434" t="str">
        <f>VLOOKUP(A8,'Feature Raw Data'!$A$3:$B$3922,2,FALSE)</f>
        <v xml:space="preserve">Separate color blend opt bits out of CB_COLORn_INFO </v>
      </c>
      <c r="C8" s="435" t="str">
        <f>VLOOKUP(A8,'Feature Raw Data'!$A$3:$C$3922,3,FALSE)</f>
        <v>P1</v>
      </c>
      <c r="D8" s="436" t="str" cm="1">
        <f t="array" ref="D8">_xlfn.TEXTJOIN("",TRUE,IF(ISNUMBER(SEARCH($A8,'Diags Raw Data'!$A$6:$A$3830)),CONCATENATE('Diags Raw Data'!$H$6:$H$3830,", "),""))</f>
        <v xml:space="preserve">ppi201.2, spi20.0,spi20.1, </v>
      </c>
      <c r="E8" s="339" t="str">
        <f>VLOOKUP(A8,'Diags Raw Data'!$A$6:$D$3830,4,FALSE)</f>
        <v>PP</v>
      </c>
      <c r="F8" s="339" t="str">
        <f>VLOOKUP(A8,'Feature Raw Data'!$A$3:$E$3922,5,FALSE)</f>
        <v>New</v>
      </c>
      <c r="G8" s="339" t="str">
        <f t="shared" si="0"/>
        <v>Yes</v>
      </c>
      <c r="H8" s="339" t="str">
        <f t="shared" si="1"/>
        <v>Yes</v>
      </c>
      <c r="I8" s="435">
        <f>SUMIF('Diags Raw Data'!$A$6:$A$3830,"*"&amp;$A8&amp;"*",'Diags Raw Data'!$K$6:$K$3830)</f>
        <v>0</v>
      </c>
      <c r="J8" s="437">
        <f>SUMIF('Diags Raw Data'!$A$6:$A$3830,"*"&amp;$A8&amp;"*",'Diags Raw Data'!$L$6:$L$3830)</f>
        <v>0</v>
      </c>
      <c r="K8" s="484" t="e" cm="1">
        <f t="array" ref="K8">IF(D8="",0, SUMPRODUCT(--(ISNUMBER(SEARCH($A8,'Diags Raw Data'!$A$6:$A$3830))),'Diags Raw Data'!$L$6:$L$3830,'Diags Raw Data'!$N$6:$N$3830)/J8)</f>
        <v>#DIV/0!</v>
      </c>
      <c r="L8" s="485" t="e" cm="1">
        <f t="array" ref="L8">IF(D8="",0, SUMPRODUCT(--(ISNUMBER(SEARCH($A8,'Diags Raw Data'!$A$6:$A$3830))),'Diags Raw Data'!$L$6:$L$3830,'Diags Raw Data'!$P$6:$P$3830)/J8)</f>
        <v>#DIV/0!</v>
      </c>
      <c r="M8" s="486" cm="1">
        <f t="array" ref="M8">SUMPRODUCT(--(ISNUMBER(SEARCH($A8,'Diags Raw Data'!$A$6:$A$3830))),--('Diags Raw Data'!$Q$6:$Q$3830&lt;&gt;"N/A"),'Diags Raw Data'!$R$6:$R$3830)</f>
        <v>3</v>
      </c>
      <c r="N8" s="487" cm="1">
        <f t="array" ref="N8">SUMPRODUCT(--(ISNUMBER(SEARCH($A8,'Diags Raw Data'!$A$6:$A$3830))),--('Diags Raw Data'!$Q$6:$Q$3830&lt;&gt;"N/A"),'Diags Raw Data'!$T$6:$T$3830)+SUMPRODUCT(--(ISNUMBER(SEARCH($A8,'Diags Raw Data'!$A$6:$A$3830))),--('Diags Raw Data'!$Q$6:$Q$3830&lt;&gt;"N/A"),'Diags Raw Data'!$U$6:$U$3830)</f>
        <v>2</v>
      </c>
      <c r="O8" s="488">
        <f t="shared" ref="O8:O71" si="2">IF((M8=0),0,N8/M8)</f>
        <v>0.66666666666666663</v>
      </c>
      <c r="P8" s="489">
        <f>SUMIF('Diags Raw Data'!$A$6:$A$3830,"*"&amp;$A8&amp;"*",'Diags Raw Data'!$Z$6:$Z$3830)</f>
        <v>0</v>
      </c>
      <c r="Q8" s="490">
        <f>SUM(SUMIF('Diags Raw Data'!$A$6:$A$3830,"*"&amp;$A8&amp;"*",'Diags Raw Data'!$AA$6:$AA$3830),SUMIF('Diags Raw Data'!$A$6:$A$3830,"*"&amp;$A8&amp;"*",'Diags Raw Data'!$AB$6:$AB$3830))</f>
        <v>0</v>
      </c>
      <c r="R8" s="491">
        <f t="shared" ref="R8:R70" si="3">IF((J8=0),0,P8/J8)</f>
        <v>0</v>
      </c>
      <c r="S8" s="491">
        <f t="shared" ref="S8:S70" si="4">IF((P8=0),0,Q8/P8)</f>
        <v>0</v>
      </c>
      <c r="T8" s="492">
        <f t="shared" ref="T8:T70" si="5">R8*S8</f>
        <v>0</v>
      </c>
      <c r="U8" s="432" t="str">
        <f>VLOOKUP(A8,'Diags Raw Data'!$A$6:$AH$3830,33,FALSE)</f>
        <v>WK4</v>
      </c>
      <c r="V8" s="181"/>
    </row>
    <row r="9" spans="1:23" ht="60.75" thickBot="1" x14ac:dyDescent="0.3">
      <c r="A9" s="546">
        <v>12.001999999999999</v>
      </c>
      <c r="B9" s="434" t="str">
        <f>VLOOKUP(A9,'Feature Raw Data'!$A$3:$B$3922,2,FALSE)</f>
        <v xml:space="preserve">Change SPI_VS_OUT_CONFIG and SPI_PS_IN_CONTROL from context to persistent state regs </v>
      </c>
      <c r="C9" s="435" t="str">
        <f>VLOOKUP(A9,'Feature Raw Data'!$A$3:$C$3922,3,FALSE)</f>
        <v>P1</v>
      </c>
      <c r="D9" s="436" t="str" cm="1">
        <f t="array" ref="D9">_xlfn.TEXTJOIN("",TRUE,IF(ISNUMBER(SEARCH($A9,'Diags Raw Data'!$A$6:$A$3830)),CONCATENATE('Diags Raw Data'!$H$6:$H$3830,", "),""))</f>
        <v xml:space="preserve">std4.34, </v>
      </c>
      <c r="E9" s="339" t="e">
        <f>VLOOKUP(A9,'Diags Raw Data'!$A$6:$D$3830,4,FALSE)</f>
        <v>#N/A</v>
      </c>
      <c r="F9" s="339" t="str">
        <f>VLOOKUP(A9,'Feature Raw Data'!$A$3:$E$3922,5,FALSE)</f>
        <v>New</v>
      </c>
      <c r="G9" s="339" t="str">
        <f t="shared" si="0"/>
        <v>Yes</v>
      </c>
      <c r="H9" s="339" t="str">
        <f t="shared" si="1"/>
        <v>Yes</v>
      </c>
      <c r="I9" s="435">
        <f>SUMIF('Diags Raw Data'!$A$6:$A$3830,"*"&amp;$A9&amp;"*",'Diags Raw Data'!$K$6:$K$3830)</f>
        <v>0</v>
      </c>
      <c r="J9" s="437">
        <f>SUMIF('Diags Raw Data'!$A$6:$A$3830,"*"&amp;$A9&amp;"*",'Diags Raw Data'!$L$6:$L$3830)</f>
        <v>0</v>
      </c>
      <c r="K9" s="484" t="e" cm="1">
        <f t="array" ref="K9">IF(D9="",0, SUMPRODUCT(--(ISNUMBER(SEARCH($A9,'Diags Raw Data'!$A$6:$A$3830))),'Diags Raw Data'!$L$6:$L$3830,'Diags Raw Data'!$N$6:$N$3830)/J9)</f>
        <v>#DIV/0!</v>
      </c>
      <c r="L9" s="485" t="e" cm="1">
        <f t="array" ref="L9">IF(D9="",0, SUMPRODUCT(--(ISNUMBER(SEARCH($A9,'Diags Raw Data'!$A$6:$A$3830))),'Diags Raw Data'!$L$6:$L$3830,'Diags Raw Data'!$P$6:$P$3830)/J9)</f>
        <v>#DIV/0!</v>
      </c>
      <c r="M9" s="486" cm="1">
        <f t="array" ref="M9">SUMPRODUCT(--(ISNUMBER(SEARCH($A9,'Diags Raw Data'!$A$6:$A$3830))),--('Diags Raw Data'!$Q$6:$Q$3830&lt;&gt;"N/A"),'Diags Raw Data'!$R$6:$R$3830)</f>
        <v>1</v>
      </c>
      <c r="N9" s="487" cm="1">
        <f t="array" ref="N9">SUMPRODUCT(--(ISNUMBER(SEARCH($A9,'Diags Raw Data'!$A$6:$A$3830))),--('Diags Raw Data'!$Q$6:$Q$3830&lt;&gt;"N/A"),'Diags Raw Data'!$T$6:$T$3830)+SUMPRODUCT(--(ISNUMBER(SEARCH($A9,'Diags Raw Data'!$A$6:$A$3830))),--('Diags Raw Data'!$Q$6:$Q$3830&lt;&gt;"N/A"),'Diags Raw Data'!$U$6:$U$3830)</f>
        <v>0</v>
      </c>
      <c r="O9" s="488">
        <f t="shared" si="2"/>
        <v>0</v>
      </c>
      <c r="P9" s="489">
        <f>SUMIF('Diags Raw Data'!$A$6:$A$3830,"*"&amp;$A9&amp;"*",'Diags Raw Data'!$Z$6:$Z$3830)</f>
        <v>0</v>
      </c>
      <c r="Q9" s="490">
        <f>SUM(SUMIF('Diags Raw Data'!$A$6:$A$3830,"*"&amp;$A9&amp;"*",'Diags Raw Data'!$AA$6:$AA$3830),SUMIF('Diags Raw Data'!$A$6:$A$3830,"*"&amp;$A9&amp;"*",'Diags Raw Data'!$AB$6:$AB$3830))</f>
        <v>0</v>
      </c>
      <c r="R9" s="491">
        <f t="shared" si="3"/>
        <v>0</v>
      </c>
      <c r="S9" s="491">
        <f t="shared" si="4"/>
        <v>0</v>
      </c>
      <c r="T9" s="492">
        <f t="shared" si="5"/>
        <v>0</v>
      </c>
      <c r="U9" s="432" t="e">
        <f>VLOOKUP(A9,'Diags Raw Data'!$A$6:$AH$3830,33,FALSE)</f>
        <v>#N/A</v>
      </c>
      <c r="V9" s="181"/>
    </row>
    <row r="10" spans="1:23" ht="30.75" thickBot="1" x14ac:dyDescent="0.3">
      <c r="A10" s="546">
        <v>12.002999999999998</v>
      </c>
      <c r="B10" s="434" t="str">
        <f>VLOOKUP(A10,'Feature Raw Data'!$A$3:$B$3922,2,FALSE)</f>
        <v xml:space="preserve">Separate PS_ITER_SAMPLE out of PA_SC_MODE_CNTL_1 </v>
      </c>
      <c r="C10" s="435" t="str">
        <f>VLOOKUP(A10,'Feature Raw Data'!$A$3:$C$3922,3,FALSE)</f>
        <v>P1</v>
      </c>
      <c r="D10" s="436" t="str" cm="1">
        <f t="array" ref="D10">_xlfn.TEXTJOIN("",TRUE,IF(ISNUMBER(SEARCH($A10,'Diags Raw Data'!$A$6:$A$3830)),CONCATENATE('Diags Raw Data'!$H$6:$H$3830,", "),""))</f>
        <v xml:space="preserve">PPI39,PPI100.65, </v>
      </c>
      <c r="E10" s="339" t="e">
        <f>VLOOKUP(A10,'Diags Raw Data'!$A$6:$D$3830,4,FALSE)</f>
        <v>#N/A</v>
      </c>
      <c r="F10" s="339" t="str">
        <f>VLOOKUP(A10,'Feature Raw Data'!$A$3:$E$3922,5,FALSE)</f>
        <v>New</v>
      </c>
      <c r="G10" s="339" t="str">
        <f t="shared" si="0"/>
        <v>Yes</v>
      </c>
      <c r="H10" s="339" t="str">
        <f t="shared" si="1"/>
        <v>Yes</v>
      </c>
      <c r="I10" s="435">
        <f>SUMIF('Diags Raw Data'!$A$6:$A$3830,"*"&amp;$A10&amp;"*",'Diags Raw Data'!$K$6:$K$3830)</f>
        <v>0</v>
      </c>
      <c r="J10" s="437">
        <f>SUMIF('Diags Raw Data'!$A$6:$A$3830,"*"&amp;$A10&amp;"*",'Diags Raw Data'!$L$6:$L$3830)</f>
        <v>0</v>
      </c>
      <c r="K10" s="484" t="e" cm="1">
        <f t="array" ref="K10">IF(D10="",0, SUMPRODUCT(--(ISNUMBER(SEARCH($A10,'Diags Raw Data'!$A$6:$A$3830))),'Diags Raw Data'!$L$6:$L$3830,'Diags Raw Data'!$N$6:$N$3830)/J10)</f>
        <v>#DIV/0!</v>
      </c>
      <c r="L10" s="485" t="e" cm="1">
        <f t="array" ref="L10">IF(D10="",0, SUMPRODUCT(--(ISNUMBER(SEARCH($A10,'Diags Raw Data'!$A$6:$A$3830))),'Diags Raw Data'!$L$6:$L$3830,'Diags Raw Data'!$P$6:$P$3830)/J10)</f>
        <v>#DIV/0!</v>
      </c>
      <c r="M10" s="486" cm="1">
        <f t="array" ref="M10">SUMPRODUCT(--(ISNUMBER(SEARCH($A10,'Diags Raw Data'!$A$6:$A$3830))),--('Diags Raw Data'!$Q$6:$Q$3830&lt;&gt;"N/A"),'Diags Raw Data'!$R$6:$R$3830)</f>
        <v>1</v>
      </c>
      <c r="N10" s="487" cm="1">
        <f t="array" ref="N10">SUMPRODUCT(--(ISNUMBER(SEARCH($A10,'Diags Raw Data'!$A$6:$A$3830))),--('Diags Raw Data'!$Q$6:$Q$3830&lt;&gt;"N/A"),'Diags Raw Data'!$T$6:$T$3830)+SUMPRODUCT(--(ISNUMBER(SEARCH($A10,'Diags Raw Data'!$A$6:$A$3830))),--('Diags Raw Data'!$Q$6:$Q$3830&lt;&gt;"N/A"),'Diags Raw Data'!$U$6:$U$3830)</f>
        <v>0</v>
      </c>
      <c r="O10" s="488">
        <f t="shared" si="2"/>
        <v>0</v>
      </c>
      <c r="P10" s="489">
        <f>SUMIF('Diags Raw Data'!$A$6:$A$3830,"*"&amp;$A10&amp;"*",'Diags Raw Data'!$Z$6:$Z$3830)</f>
        <v>0</v>
      </c>
      <c r="Q10" s="490">
        <f>SUM(SUMIF('Diags Raw Data'!$A$6:$A$3830,"*"&amp;$A10&amp;"*",'Diags Raw Data'!$AA$6:$AA$3830),SUMIF('Diags Raw Data'!$A$6:$A$3830,"*"&amp;$A10&amp;"*",'Diags Raw Data'!$AB$6:$AB$3830))</f>
        <v>0</v>
      </c>
      <c r="R10" s="491">
        <f t="shared" si="3"/>
        <v>0</v>
      </c>
      <c r="S10" s="491">
        <f t="shared" si="4"/>
        <v>0</v>
      </c>
      <c r="T10" s="492">
        <f t="shared" si="5"/>
        <v>0</v>
      </c>
      <c r="U10" s="432" t="e">
        <f>VLOOKUP(A10,'Diags Raw Data'!$A$6:$AH$3830,33,FALSE)</f>
        <v>#N/A</v>
      </c>
      <c r="V10" s="181"/>
    </row>
    <row r="11" spans="1:23" ht="30.75" thickBot="1" x14ac:dyDescent="0.3">
      <c r="A11" s="546">
        <v>12.003999999999998</v>
      </c>
      <c r="B11" s="434" t="str">
        <f>VLOOKUP(A11,'Feature Raw Data'!$A$3:$B$3922,2,FALSE)</f>
        <v xml:space="preserve">Separate SAMPLE_RATE out of DB_COUNT_CONTROL </v>
      </c>
      <c r="C11" s="435" t="str">
        <f>VLOOKUP(A11,'Feature Raw Data'!$A$3:$C$3922,3,FALSE)</f>
        <v>P1</v>
      </c>
      <c r="D11" s="436" t="str" cm="1">
        <f t="array" ref="D11">_xlfn.TEXTJOIN("",TRUE,IF(ISNUMBER(SEARCH($A11,'Diags Raw Data'!$A$6:$A$3830)),CONCATENATE('Diags Raw Data'!$H$6:$H$3830,", "),""))</f>
        <v/>
      </c>
      <c r="E11" s="339" t="e">
        <f>VLOOKUP(A11,'Diags Raw Data'!$A$6:$D$3830,4,FALSE)</f>
        <v>#N/A</v>
      </c>
      <c r="F11" s="339" t="str">
        <f>VLOOKUP(A11,'Feature Raw Data'!$A$3:$E$3922,5,FALSE)</f>
        <v>New</v>
      </c>
      <c r="G11" s="339" t="str">
        <f t="shared" si="0"/>
        <v>Yes</v>
      </c>
      <c r="H11" s="339" t="str">
        <f t="shared" si="1"/>
        <v>Yes</v>
      </c>
      <c r="I11" s="435">
        <f>SUMIF('Diags Raw Data'!$A$6:$A$3830,"*"&amp;$A11&amp;"*",'Diags Raw Data'!$K$6:$K$3830)</f>
        <v>0</v>
      </c>
      <c r="J11" s="437">
        <f>SUMIF('Diags Raw Data'!$A$6:$A$3830,"*"&amp;$A11&amp;"*",'Diags Raw Data'!$L$6:$L$3830)</f>
        <v>0</v>
      </c>
      <c r="K11" s="484" cm="1">
        <f t="array" ref="K11">IF(D11="",0, SUMPRODUCT(--(ISNUMBER(SEARCH($A11,'Diags Raw Data'!$A$6:$A$3830))),'Diags Raw Data'!$L$6:$L$3830,'Diags Raw Data'!$N$6:$N$3830)/J11)</f>
        <v>0</v>
      </c>
      <c r="L11" s="485" cm="1">
        <f t="array" ref="L11">IF(D11="",0, SUMPRODUCT(--(ISNUMBER(SEARCH($A11,'Diags Raw Data'!$A$6:$A$3830))),'Diags Raw Data'!$L$6:$L$3830,'Diags Raw Data'!$P$6:$P$3830)/J11)</f>
        <v>0</v>
      </c>
      <c r="M11" s="486" cm="1">
        <f t="array" ref="M11">SUMPRODUCT(--(ISNUMBER(SEARCH($A11,'Diags Raw Data'!$A$6:$A$3830))),--('Diags Raw Data'!$Q$6:$Q$3830&lt;&gt;"N/A"),'Diags Raw Data'!$R$6:$R$3830)</f>
        <v>0</v>
      </c>
      <c r="N11" s="487" cm="1">
        <f t="array" ref="N11">SUMPRODUCT(--(ISNUMBER(SEARCH($A11,'Diags Raw Data'!$A$6:$A$3830))),--('Diags Raw Data'!$Q$6:$Q$3830&lt;&gt;"N/A"),'Diags Raw Data'!$T$6:$T$3830)+SUMPRODUCT(--(ISNUMBER(SEARCH($A11,'Diags Raw Data'!$A$6:$A$3830))),--('Diags Raw Data'!$Q$6:$Q$3830&lt;&gt;"N/A"),'Diags Raw Data'!$U$6:$U$3830)</f>
        <v>0</v>
      </c>
      <c r="O11" s="488">
        <f t="shared" si="2"/>
        <v>0</v>
      </c>
      <c r="P11" s="489">
        <f>SUMIF('Diags Raw Data'!$A$6:$A$3830,"*"&amp;$A11&amp;"*",'Diags Raw Data'!$Z$6:$Z$3830)</f>
        <v>0</v>
      </c>
      <c r="Q11" s="490">
        <f>SUM(SUMIF('Diags Raw Data'!$A$6:$A$3830,"*"&amp;$A11&amp;"*",'Diags Raw Data'!$AA$6:$AA$3830),SUMIF('Diags Raw Data'!$A$6:$A$3830,"*"&amp;$A11&amp;"*",'Diags Raw Data'!$AB$6:$AB$3830))</f>
        <v>0</v>
      </c>
      <c r="R11" s="491">
        <f t="shared" si="3"/>
        <v>0</v>
      </c>
      <c r="S11" s="491">
        <f t="shared" si="4"/>
        <v>0</v>
      </c>
      <c r="T11" s="492">
        <f t="shared" si="5"/>
        <v>0</v>
      </c>
      <c r="U11" s="432" t="e">
        <f>VLOOKUP(A11,'Diags Raw Data'!$A$6:$AH$3830,33,FALSE)</f>
        <v>#N/A</v>
      </c>
      <c r="V11" s="181"/>
    </row>
    <row r="12" spans="1:23" ht="30.75" thickBot="1" x14ac:dyDescent="0.3">
      <c r="A12" s="546">
        <v>12.005999999999997</v>
      </c>
      <c r="B12" s="434" t="str">
        <f>VLOOKUP(A12,'Feature Raw Data'!$A$3:$B$3922,2,FALSE)</f>
        <v xml:space="preserve">GE_CNTL and VGT_LS_HS_CONFIG changes </v>
      </c>
      <c r="C12" s="435" t="str">
        <f>VLOOKUP(A12,'Feature Raw Data'!$A$3:$C$3922,3,FALSE)</f>
        <v>P1</v>
      </c>
      <c r="D12" s="436" t="str" cm="1">
        <f t="array" ref="D12">_xlfn.TEXTJOIN("",TRUE,IF(ISNUMBER(SEARCH($A12,'Diags Raw Data'!$A$6:$A$3830)),CONCATENATE('Diags Raw Data'!$H$6:$H$3830,", "),""))</f>
        <v xml:space="preserve">PPI101.5, </v>
      </c>
      <c r="E12" s="339" t="e">
        <f>VLOOKUP(A12,'Diags Raw Data'!$A$6:$D$3830,4,FALSE)</f>
        <v>#N/A</v>
      </c>
      <c r="F12" s="339" t="str">
        <f>VLOOKUP(A12,'Feature Raw Data'!$A$3:$E$3922,5,FALSE)</f>
        <v>New</v>
      </c>
      <c r="G12" s="339" t="str">
        <f t="shared" si="0"/>
        <v>Yes</v>
      </c>
      <c r="H12" s="339" t="str">
        <f t="shared" si="1"/>
        <v>Yes</v>
      </c>
      <c r="I12" s="435">
        <f>SUMIF('Diags Raw Data'!$A$6:$A$3830,"*"&amp;$A12&amp;"*",'Diags Raw Data'!$K$6:$K$3830)</f>
        <v>0</v>
      </c>
      <c r="J12" s="437">
        <f>SUMIF('Diags Raw Data'!$A$6:$A$3830,"*"&amp;$A12&amp;"*",'Diags Raw Data'!$L$6:$L$3830)</f>
        <v>0</v>
      </c>
      <c r="K12" s="484" t="e" cm="1">
        <f t="array" ref="K12">IF(D12="",0, SUMPRODUCT(--(ISNUMBER(SEARCH($A12,'Diags Raw Data'!$A$6:$A$3830))),'Diags Raw Data'!$L$6:$L$3830,'Diags Raw Data'!$N$6:$N$3830)/J12)</f>
        <v>#DIV/0!</v>
      </c>
      <c r="L12" s="485" t="e" cm="1">
        <f t="array" ref="L12">IF(D12="",0, SUMPRODUCT(--(ISNUMBER(SEARCH($A12,'Diags Raw Data'!$A$6:$A$3830))),'Diags Raw Data'!$L$6:$L$3830,'Diags Raw Data'!$P$6:$P$3830)/J12)</f>
        <v>#DIV/0!</v>
      </c>
      <c r="M12" s="486" cm="1">
        <f t="array" ref="M12">SUMPRODUCT(--(ISNUMBER(SEARCH($A12,'Diags Raw Data'!$A$6:$A$3830))),--('Diags Raw Data'!$Q$6:$Q$3830&lt;&gt;"N/A"),'Diags Raw Data'!$R$6:$R$3830)</f>
        <v>1</v>
      </c>
      <c r="N12" s="487" cm="1">
        <f t="array" ref="N12">SUMPRODUCT(--(ISNUMBER(SEARCH($A12,'Diags Raw Data'!$A$6:$A$3830))),--('Diags Raw Data'!$Q$6:$Q$3830&lt;&gt;"N/A"),'Diags Raw Data'!$T$6:$T$3830)+SUMPRODUCT(--(ISNUMBER(SEARCH($A12,'Diags Raw Data'!$A$6:$A$3830))),--('Diags Raw Data'!$Q$6:$Q$3830&lt;&gt;"N/A"),'Diags Raw Data'!$U$6:$U$3830)</f>
        <v>0</v>
      </c>
      <c r="O12" s="488">
        <f t="shared" si="2"/>
        <v>0</v>
      </c>
      <c r="P12" s="489">
        <f>SUMIF('Diags Raw Data'!$A$6:$A$3830,"*"&amp;$A12&amp;"*",'Diags Raw Data'!$Z$6:$Z$3830)</f>
        <v>0</v>
      </c>
      <c r="Q12" s="490">
        <f>SUM(SUMIF('Diags Raw Data'!$A$6:$A$3830,"*"&amp;$A12&amp;"*",'Diags Raw Data'!$AA$6:$AA$3830),SUMIF('Diags Raw Data'!$A$6:$A$3830,"*"&amp;$A12&amp;"*",'Diags Raw Data'!$AB$6:$AB$3830))</f>
        <v>0</v>
      </c>
      <c r="R12" s="491">
        <f t="shared" si="3"/>
        <v>0</v>
      </c>
      <c r="S12" s="491">
        <f t="shared" si="4"/>
        <v>0</v>
      </c>
      <c r="T12" s="492">
        <f t="shared" si="5"/>
        <v>0</v>
      </c>
      <c r="U12" s="432" t="e">
        <f>VLOOKUP(A12,'Diags Raw Data'!$A$6:$AH$3830,33,FALSE)</f>
        <v>#N/A</v>
      </c>
      <c r="V12" s="181"/>
    </row>
    <row r="13" spans="1:23" ht="15.75" thickBot="1" x14ac:dyDescent="0.3">
      <c r="A13" s="546">
        <v>12.006999999999996</v>
      </c>
      <c r="B13" s="434" t="str">
        <f>VLOOKUP(A13,'Feature Raw Data'!$A$3:$B$3922,2,FALSE)</f>
        <v xml:space="preserve">PA_SC_AA_CONFIG changes </v>
      </c>
      <c r="C13" s="435" t="str">
        <f>VLOOKUP(A13,'Feature Raw Data'!$A$3:$C$3922,3,FALSE)</f>
        <v>P1</v>
      </c>
      <c r="D13" s="436" t="str" cm="1">
        <f t="array" ref="D13">_xlfn.TEXTJOIN("",TRUE,IF(ISNUMBER(SEARCH($A13,'Diags Raw Data'!$A$6:$A$3830)),CONCATENATE('Diags Raw Data'!$H$6:$H$3830,", "),""))</f>
        <v xml:space="preserve">PPI100.141, </v>
      </c>
      <c r="E13" s="339" t="e">
        <f>VLOOKUP(A13,'Diags Raw Data'!$A$6:$D$3830,4,FALSE)</f>
        <v>#N/A</v>
      </c>
      <c r="F13" s="339" t="str">
        <f>VLOOKUP(A13,'Feature Raw Data'!$A$3:$E$3922,5,FALSE)</f>
        <v>Delta</v>
      </c>
      <c r="G13" s="339" t="str">
        <f t="shared" si="0"/>
        <v>Yes</v>
      </c>
      <c r="H13" s="339" t="str">
        <f t="shared" si="1"/>
        <v>Yes</v>
      </c>
      <c r="I13" s="435">
        <f>SUMIF('Diags Raw Data'!$A$6:$A$3830,"*"&amp;$A13&amp;"*",'Diags Raw Data'!$K$6:$K$3830)</f>
        <v>0</v>
      </c>
      <c r="J13" s="437">
        <f>SUMIF('Diags Raw Data'!$A$6:$A$3830,"*"&amp;$A13&amp;"*",'Diags Raw Data'!$L$6:$L$3830)</f>
        <v>0</v>
      </c>
      <c r="K13" s="484" t="e" cm="1">
        <f t="array" ref="K13">IF(D13="",0, SUMPRODUCT(--(ISNUMBER(SEARCH($A13,'Diags Raw Data'!$A$6:$A$3830))),'Diags Raw Data'!$L$6:$L$3830,'Diags Raw Data'!$N$6:$N$3830)/J13)</f>
        <v>#DIV/0!</v>
      </c>
      <c r="L13" s="485" t="e" cm="1">
        <f t="array" ref="L13">IF(D13="",0, SUMPRODUCT(--(ISNUMBER(SEARCH($A13,'Diags Raw Data'!$A$6:$A$3830))),'Diags Raw Data'!$L$6:$L$3830,'Diags Raw Data'!$P$6:$P$3830)/J13)</f>
        <v>#DIV/0!</v>
      </c>
      <c r="M13" s="486" cm="1">
        <f t="array" ref="M13">SUMPRODUCT(--(ISNUMBER(SEARCH($A13,'Diags Raw Data'!$A$6:$A$3830))),--('Diags Raw Data'!$Q$6:$Q$3830&lt;&gt;"N/A"),'Diags Raw Data'!$R$6:$R$3830)</f>
        <v>1</v>
      </c>
      <c r="N13" s="487" cm="1">
        <f t="array" ref="N13">SUMPRODUCT(--(ISNUMBER(SEARCH($A13,'Diags Raw Data'!$A$6:$A$3830))),--('Diags Raw Data'!$Q$6:$Q$3830&lt;&gt;"N/A"),'Diags Raw Data'!$T$6:$T$3830)+SUMPRODUCT(--(ISNUMBER(SEARCH($A13,'Diags Raw Data'!$A$6:$A$3830))),--('Diags Raw Data'!$Q$6:$Q$3830&lt;&gt;"N/A"),'Diags Raw Data'!$U$6:$U$3830)</f>
        <v>0</v>
      </c>
      <c r="O13" s="488">
        <f>IF((M13=0),0,N13/M13)</f>
        <v>0</v>
      </c>
      <c r="P13" s="489">
        <f>SUMIF('Diags Raw Data'!$A$6:$A$3830,"*"&amp;$A13&amp;"*",'Diags Raw Data'!$Z$6:$Z$3830)</f>
        <v>0</v>
      </c>
      <c r="Q13" s="490">
        <f>SUM(SUMIF('Diags Raw Data'!$A$6:$A$3830,"*"&amp;$A13&amp;"*",'Diags Raw Data'!$AA$6:$AA$3830),SUMIF('Diags Raw Data'!$A$6:$A$3830,"*"&amp;$A13&amp;"*",'Diags Raw Data'!$AB$6:$AB$3830))</f>
        <v>0</v>
      </c>
      <c r="R13" s="491">
        <f t="shared" si="3"/>
        <v>0</v>
      </c>
      <c r="S13" s="491">
        <f t="shared" si="4"/>
        <v>0</v>
      </c>
      <c r="T13" s="492">
        <f t="shared" si="5"/>
        <v>0</v>
      </c>
      <c r="U13" s="432" t="e">
        <f>VLOOKUP(A13,'Diags Raw Data'!$A$6:$AH$3830,33,FALSE)</f>
        <v>#N/A</v>
      </c>
      <c r="V13" s="181"/>
    </row>
    <row r="14" spans="1:23" ht="30.75" thickBot="1" x14ac:dyDescent="0.3">
      <c r="A14" s="546">
        <v>12.007999999999996</v>
      </c>
      <c r="B14" s="434" t="str">
        <f>VLOOKUP(A14,'Feature Raw Data'!$A$3:$B$3922,2,FALSE)</f>
        <v xml:space="preserve">PA_SC_CONSERVATIVE_RASTERIZATION_CNTL changes </v>
      </c>
      <c r="C14" s="435" t="str">
        <f>VLOOKUP(A14,'Feature Raw Data'!$A$3:$C$3922,3,FALSE)</f>
        <v>P1</v>
      </c>
      <c r="D14" s="436" t="str" cm="1">
        <f t="array" ref="D14">_xlfn.TEXTJOIN("",TRUE,IF(ISNUMBER(SEARCH($A14,'Diags Raw Data'!$A$6:$A$3830)),CONCATENATE('Diags Raw Data'!$H$6:$H$3830,", "),""))</f>
        <v xml:space="preserve">std1.6, </v>
      </c>
      <c r="E14" s="339" t="e">
        <f>VLOOKUP(A14,'Diags Raw Data'!$A$6:$D$3830,4,FALSE)</f>
        <v>#N/A</v>
      </c>
      <c r="F14" s="339" t="str">
        <f>VLOOKUP(A14,'Feature Raw Data'!$A$3:$E$3922,5,FALSE)</f>
        <v>Delta</v>
      </c>
      <c r="G14" s="339" t="str">
        <f t="shared" si="0"/>
        <v>Yes</v>
      </c>
      <c r="H14" s="339" t="str">
        <f t="shared" si="1"/>
        <v>Yes</v>
      </c>
      <c r="I14" s="435">
        <f>SUMIF('Diags Raw Data'!$A$6:$A$3830,"*"&amp;$A14&amp;"*",'Diags Raw Data'!$K$6:$K$3830)</f>
        <v>0</v>
      </c>
      <c r="J14" s="437">
        <f>SUMIF('Diags Raw Data'!$A$6:$A$3830,"*"&amp;$A14&amp;"*",'Diags Raw Data'!$L$6:$L$3830)</f>
        <v>0</v>
      </c>
      <c r="K14" s="484" t="e" cm="1">
        <f t="array" ref="K14">IF(D14="",0, SUMPRODUCT(--(ISNUMBER(SEARCH($A14,'Diags Raw Data'!$A$6:$A$3830))),'Diags Raw Data'!$L$6:$L$3830,'Diags Raw Data'!$N$6:$N$3830)/J14)</f>
        <v>#DIV/0!</v>
      </c>
      <c r="L14" s="485" t="e" cm="1">
        <f t="array" ref="L14">IF(D14="",0, SUMPRODUCT(--(ISNUMBER(SEARCH($A14,'Diags Raw Data'!$A$6:$A$3830))),'Diags Raw Data'!$L$6:$L$3830,'Diags Raw Data'!$P$6:$P$3830)/J14)</f>
        <v>#DIV/0!</v>
      </c>
      <c r="M14" s="486" cm="1">
        <f t="array" ref="M14">SUMPRODUCT(--(ISNUMBER(SEARCH($A14,'Diags Raw Data'!$A$6:$A$3830))),--('Diags Raw Data'!$Q$6:$Q$3830&lt;&gt;"N/A"),'Diags Raw Data'!$R$6:$R$3830)</f>
        <v>1</v>
      </c>
      <c r="N14" s="487" cm="1">
        <f t="array" ref="N14">SUMPRODUCT(--(ISNUMBER(SEARCH($A14,'Diags Raw Data'!$A$6:$A$3830))),--('Diags Raw Data'!$Q$6:$Q$3830&lt;&gt;"N/A"),'Diags Raw Data'!$T$6:$T$3830)+SUMPRODUCT(--(ISNUMBER(SEARCH($A14,'Diags Raw Data'!$A$6:$A$3830))),--('Diags Raw Data'!$Q$6:$Q$3830&lt;&gt;"N/A"),'Diags Raw Data'!$U$6:$U$3830)</f>
        <v>0</v>
      </c>
      <c r="O14" s="488">
        <f t="shared" si="2"/>
        <v>0</v>
      </c>
      <c r="P14" s="489">
        <f>SUMIF('Diags Raw Data'!$A$6:$A$3830,"*"&amp;$A14&amp;"*",'Diags Raw Data'!$Z$6:$Z$3830)</f>
        <v>0</v>
      </c>
      <c r="Q14" s="490">
        <f>SUM(SUMIF('Diags Raw Data'!$A$6:$A$3830,"*"&amp;$A14&amp;"*",'Diags Raw Data'!$AA$6:$AA$3830),SUMIF('Diags Raw Data'!$A$6:$A$3830,"*"&amp;$A14&amp;"*",'Diags Raw Data'!$AB$6:$AB$3830))</f>
        <v>0</v>
      </c>
      <c r="R14" s="491">
        <f t="shared" si="3"/>
        <v>0</v>
      </c>
      <c r="S14" s="491">
        <f t="shared" si="4"/>
        <v>0</v>
      </c>
      <c r="T14" s="492">
        <f t="shared" si="5"/>
        <v>0</v>
      </c>
      <c r="U14" s="432" t="e">
        <f>VLOOKUP(A14,'Diags Raw Data'!$A$6:$AH$3830,33,FALSE)</f>
        <v>#N/A</v>
      </c>
      <c r="V14" s="181"/>
    </row>
    <row r="15" spans="1:23" ht="45.75" thickBot="1" x14ac:dyDescent="0.3">
      <c r="A15" s="546">
        <v>12.008999999999995</v>
      </c>
      <c r="B15" s="434" t="str">
        <f>VLOOKUP(A15,'Feature Raw Data'!$A$3:$B$3922,2,FALSE)</f>
        <v xml:space="preserve">Eliminate PA_SU_SC_MODE_CNTL.KEEP_TOGETHER_ENABLE </v>
      </c>
      <c r="C15" s="435" t="str">
        <f>VLOOKUP(A15,'Feature Raw Data'!$A$3:$C$3922,3,FALSE)</f>
        <v>P1</v>
      </c>
      <c r="D15" s="436" t="str" cm="1">
        <f t="array" ref="D15">_xlfn.TEXTJOIN("",TRUE,IF(ISNUMBER(SEARCH($A15,'Diags Raw Data'!$A$6:$A$3830)),CONCATENATE('Diags Raw Data'!$H$6:$H$3830,", "),""))</f>
        <v xml:space="preserve">placeholder_n.1, </v>
      </c>
      <c r="E15" s="339" t="e">
        <f>VLOOKUP(A15,'Diags Raw Data'!$A$6:$D$3830,4,FALSE)</f>
        <v>#N/A</v>
      </c>
      <c r="F15" s="339" t="str">
        <f>VLOOKUP(A15,'Feature Raw Data'!$A$3:$E$3922,5,FALSE)</f>
        <v>New</v>
      </c>
      <c r="G15" s="339" t="str">
        <f t="shared" si="0"/>
        <v>Yes</v>
      </c>
      <c r="H15" s="339" t="str">
        <f t="shared" si="1"/>
        <v>Yes</v>
      </c>
      <c r="I15" s="435">
        <f>SUMIF('Diags Raw Data'!$A$6:$A$3830,"*"&amp;$A15&amp;"*",'Diags Raw Data'!$K$6:$K$3830)</f>
        <v>0</v>
      </c>
      <c r="J15" s="437">
        <f>SUMIF('Diags Raw Data'!$A$6:$A$3830,"*"&amp;$A15&amp;"*",'Diags Raw Data'!$L$6:$L$3830)</f>
        <v>0</v>
      </c>
      <c r="K15" s="484" t="e" cm="1">
        <f t="array" ref="K15">IF(D15="",0, SUMPRODUCT(--(ISNUMBER(SEARCH($A15,'Diags Raw Data'!$A$6:$A$3830))),'Diags Raw Data'!$L$6:$L$3830,'Diags Raw Data'!$N$6:$N$3830)/J15)</f>
        <v>#DIV/0!</v>
      </c>
      <c r="L15" s="485" t="e" cm="1">
        <f t="array" ref="L15">IF(D15="",0, SUMPRODUCT(--(ISNUMBER(SEARCH($A15,'Diags Raw Data'!$A$6:$A$3830))),'Diags Raw Data'!$L$6:$L$3830,'Diags Raw Data'!$P$6:$P$3830)/J15)</f>
        <v>#DIV/0!</v>
      </c>
      <c r="M15" s="486" cm="1">
        <f t="array" ref="M15">SUMPRODUCT(--(ISNUMBER(SEARCH($A15,'Diags Raw Data'!$A$6:$A$3830))),--('Diags Raw Data'!$Q$6:$Q$3830&lt;&gt;"N/A"),'Diags Raw Data'!$R$6:$R$3830)</f>
        <v>1</v>
      </c>
      <c r="N15" s="487" cm="1">
        <f t="array" ref="N15">SUMPRODUCT(--(ISNUMBER(SEARCH($A15,'Diags Raw Data'!$A$6:$A$3830))),--('Diags Raw Data'!$Q$6:$Q$3830&lt;&gt;"N/A"),'Diags Raw Data'!$T$6:$T$3830)+SUMPRODUCT(--(ISNUMBER(SEARCH($A15,'Diags Raw Data'!$A$6:$A$3830))),--('Diags Raw Data'!$Q$6:$Q$3830&lt;&gt;"N/A"),'Diags Raw Data'!$U$6:$U$3830)</f>
        <v>0</v>
      </c>
      <c r="O15" s="488">
        <f t="shared" si="2"/>
        <v>0</v>
      </c>
      <c r="P15" s="489">
        <f>SUMIF('Diags Raw Data'!$A$6:$A$3830,"*"&amp;$A15&amp;"*",'Diags Raw Data'!$Z$6:$Z$3830)</f>
        <v>0</v>
      </c>
      <c r="Q15" s="490">
        <f>SUM(SUMIF('Diags Raw Data'!$A$6:$A$3830,"*"&amp;$A15&amp;"*",'Diags Raw Data'!$AA$6:$AA$3830),SUMIF('Diags Raw Data'!$A$6:$A$3830,"*"&amp;$A15&amp;"*",'Diags Raw Data'!$AB$6:$AB$3830))</f>
        <v>0</v>
      </c>
      <c r="R15" s="491">
        <f t="shared" si="3"/>
        <v>0</v>
      </c>
      <c r="S15" s="491">
        <f t="shared" si="4"/>
        <v>0</v>
      </c>
      <c r="T15" s="492">
        <f t="shared" si="5"/>
        <v>0</v>
      </c>
      <c r="U15" s="432" t="e">
        <f>VLOOKUP(A15,'Diags Raw Data'!$A$6:$AH$3830,33,FALSE)</f>
        <v>#N/A</v>
      </c>
      <c r="V15" s="181"/>
    </row>
    <row r="16" spans="1:23" ht="135.75" thickBot="1" x14ac:dyDescent="0.3">
      <c r="A16" s="546">
        <v>12.009999999999994</v>
      </c>
      <c r="B16" s="434" t="str">
        <f>VLOOKUP(A16,'Feature Raw Data'!$A$3:$B$3922,2,FALSE)</f>
        <v xml:space="preserve">Separate AUTO_RESET_CNTL from PA_SC_LINE_STIPPLE </v>
      </c>
      <c r="C16" s="435" t="str">
        <f>VLOOKUP(A16,'Feature Raw Data'!$A$3:$C$3922,3,FALSE)</f>
        <v>P1</v>
      </c>
      <c r="D16" s="436" t="str" cm="1">
        <f t="array" ref="D16">_xlfn.TEXTJOIN("",TRUE,IF(ISNUMBER(SEARCH($A16,'Diags Raw Data'!$A$6:$A$3830)),CONCATENATE('Diags Raw Data'!$H$6:$H$3830,", "),""))</f>
        <v xml:space="preserve">sc42.2,sc42.3,sc26.9,sc26.10,sc26.11,sc26.12, gfx.sr_stat, placeholder_o.1, placeholder_p.1, ppi41.2,ppi41.22,ppi41.42,ppi41.52, txi91.0-1, txi90.0-5, </v>
      </c>
      <c r="E16" s="339" t="e">
        <f>VLOOKUP(A16,'Diags Raw Data'!$A$6:$D$3830,4,FALSE)</f>
        <v>#N/A</v>
      </c>
      <c r="F16" s="339" t="str">
        <f>VLOOKUP(A16,'Feature Raw Data'!$A$3:$E$3922,5,FALSE)</f>
        <v>New</v>
      </c>
      <c r="G16" s="339" t="str">
        <f t="shared" si="0"/>
        <v>Yes</v>
      </c>
      <c r="H16" s="339" t="str">
        <f t="shared" si="1"/>
        <v>Yes</v>
      </c>
      <c r="I16" s="435">
        <f>SUMIF('Diags Raw Data'!$A$6:$A$3830,"*"&amp;$A16&amp;"*",'Diags Raw Data'!$K$6:$K$3830)</f>
        <v>0</v>
      </c>
      <c r="J16" s="437">
        <f>SUMIF('Diags Raw Data'!$A$6:$A$3830,"*"&amp;$A16&amp;"*",'Diags Raw Data'!$L$6:$L$3830)</f>
        <v>0</v>
      </c>
      <c r="K16" s="484" t="e" cm="1">
        <f t="array" ref="K16">IF(D16="",0, SUMPRODUCT(--(ISNUMBER(SEARCH($A16,'Diags Raw Data'!$A$6:$A$3830))),'Diags Raw Data'!$L$6:$L$3830,'Diags Raw Data'!$N$6:$N$3830)/J16)</f>
        <v>#DIV/0!</v>
      </c>
      <c r="L16" s="485" t="e" cm="1">
        <f t="array" ref="L16">IF(D16="",0, SUMPRODUCT(--(ISNUMBER(SEARCH($A16,'Diags Raw Data'!$A$6:$A$3830))),'Diags Raw Data'!$L$6:$L$3830,'Diags Raw Data'!$P$6:$P$3830)/J16)</f>
        <v>#DIV/0!</v>
      </c>
      <c r="M16" s="486" cm="1">
        <f t="array" ref="M16">SUMPRODUCT(--(ISNUMBER(SEARCH($A16,'Diags Raw Data'!$A$6:$A$3830))),--('Diags Raw Data'!$Q$6:$Q$3830&lt;&gt;"N/A"),'Diags Raw Data'!$R$6:$R$3830)</f>
        <v>18</v>
      </c>
      <c r="N16" s="487" cm="1">
        <f t="array" ref="N16">SUMPRODUCT(--(ISNUMBER(SEARCH($A16,'Diags Raw Data'!$A$6:$A$3830))),--('Diags Raw Data'!$Q$6:$Q$3830&lt;&gt;"N/A"),'Diags Raw Data'!$T$6:$T$3830)+SUMPRODUCT(--(ISNUMBER(SEARCH($A16,'Diags Raw Data'!$A$6:$A$3830))),--('Diags Raw Data'!$Q$6:$Q$3830&lt;&gt;"N/A"),'Diags Raw Data'!$U$6:$U$3830)</f>
        <v>10</v>
      </c>
      <c r="O16" s="488">
        <f t="shared" si="2"/>
        <v>0.55555555555555558</v>
      </c>
      <c r="P16" s="489">
        <f>SUMIF('Diags Raw Data'!$A$6:$A$3830,"*"&amp;$A16&amp;"*",'Diags Raw Data'!$Z$6:$Z$3830)</f>
        <v>0</v>
      </c>
      <c r="Q16" s="490">
        <f>SUM(SUMIF('Diags Raw Data'!$A$6:$A$3830,"*"&amp;$A16&amp;"*",'Diags Raw Data'!$AA$6:$AA$3830),SUMIF('Diags Raw Data'!$A$6:$A$3830,"*"&amp;$A16&amp;"*",'Diags Raw Data'!$AB$6:$AB$3830))</f>
        <v>0</v>
      </c>
      <c r="R16" s="491">
        <f t="shared" si="3"/>
        <v>0</v>
      </c>
      <c r="S16" s="491">
        <f t="shared" si="4"/>
        <v>0</v>
      </c>
      <c r="T16" s="492">
        <f t="shared" si="5"/>
        <v>0</v>
      </c>
      <c r="U16" s="432" t="e">
        <f>VLOOKUP(A16,'Diags Raw Data'!$A$6:$AH$3830,33,FALSE)</f>
        <v>#N/A</v>
      </c>
      <c r="V16" s="181"/>
    </row>
    <row r="17" spans="1:22" s="184" customFormat="1" ht="90.75" thickBot="1" x14ac:dyDescent="0.3">
      <c r="A17" s="546">
        <v>12.010999999999994</v>
      </c>
      <c r="B17" s="434" t="str">
        <f>VLOOKUP(A17,'Feature Raw Data'!$A$3:$B$3922,2,FALSE)</f>
        <v xml:space="preserve">Implicit viewport scissoring </v>
      </c>
      <c r="C17" s="435" t="str">
        <f>VLOOKUP(A17,'Feature Raw Data'!$A$3:$C$3922,3,FALSE)</f>
        <v>P1</v>
      </c>
      <c r="D17" s="436" t="str" cm="1">
        <f t="array" ref="D17">_xlfn.TEXTJOIN("",TRUE,IF(ISNUMBER(SEARCH($A17,'Diags Raw Data'!$A$6:$A$3830)),CONCATENATE('Diags Raw Data'!$H$6:$H$3830,", "),""))</f>
        <v xml:space="preserve">sc42.2,sc42.3,sc26.9,sc26.10,sc26.11,sc26.12, </v>
      </c>
      <c r="E17" s="339" t="e">
        <f>VLOOKUP(A17,'Diags Raw Data'!$A$6:$D$3830,4,FALSE)</f>
        <v>#N/A</v>
      </c>
      <c r="F17" s="339" t="str">
        <f>VLOOKUP(A17,'Feature Raw Data'!$A$3:$E$3922,5,FALSE)</f>
        <v>New</v>
      </c>
      <c r="G17" s="339" t="str">
        <f t="shared" si="0"/>
        <v>Yes</v>
      </c>
      <c r="H17" s="339" t="str">
        <f t="shared" si="1"/>
        <v>Yes</v>
      </c>
      <c r="I17" s="435">
        <f>SUMIF('Diags Raw Data'!$A$6:$A$3830,"*"&amp;$A17&amp;"*",'Diags Raw Data'!$K$6:$K$3830)</f>
        <v>0</v>
      </c>
      <c r="J17" s="437">
        <f>SUMIF('Diags Raw Data'!$A$6:$A$3830,"*"&amp;$A17&amp;"*",'Diags Raw Data'!$L$6:$L$3830)</f>
        <v>0</v>
      </c>
      <c r="K17" s="484" t="e" cm="1">
        <f t="array" ref="K17">IF(D17="",0, SUMPRODUCT(--(ISNUMBER(SEARCH($A17,'Diags Raw Data'!$A$6:$A$3830))),'Diags Raw Data'!$L$6:$L$3830,'Diags Raw Data'!$N$6:$N$3830)/J17)</f>
        <v>#DIV/0!</v>
      </c>
      <c r="L17" s="485" t="e" cm="1">
        <f t="array" ref="L17">IF(D17="",0, SUMPRODUCT(--(ISNUMBER(SEARCH($A17,'Diags Raw Data'!$A$6:$A$3830))),'Diags Raw Data'!$L$6:$L$3830,'Diags Raw Data'!$P$6:$P$3830)/J17)</f>
        <v>#DIV/0!</v>
      </c>
      <c r="M17" s="486" cm="1">
        <f t="array" ref="M17">SUMPRODUCT(--(ISNUMBER(SEARCH($A17,'Diags Raw Data'!$A$6:$A$3830))),--('Diags Raw Data'!$Q$6:$Q$3830&lt;&gt;"N/A"),'Diags Raw Data'!$R$6:$R$3830)</f>
        <v>6</v>
      </c>
      <c r="N17" s="487" cm="1">
        <f t="array" ref="N17">SUMPRODUCT(--(ISNUMBER(SEARCH($A17,'Diags Raw Data'!$A$6:$A$3830))),--('Diags Raw Data'!$Q$6:$Q$3830&lt;&gt;"N/A"),'Diags Raw Data'!$T$6:$T$3830)+SUMPRODUCT(--(ISNUMBER(SEARCH($A17,'Diags Raw Data'!$A$6:$A$3830))),--('Diags Raw Data'!$Q$6:$Q$3830&lt;&gt;"N/A"),'Diags Raw Data'!$U$6:$U$3830)</f>
        <v>2</v>
      </c>
      <c r="O17" s="488">
        <f t="shared" si="2"/>
        <v>0.33333333333333331</v>
      </c>
      <c r="P17" s="489">
        <f>SUMIF('Diags Raw Data'!$A$6:$A$3830,"*"&amp;$A17&amp;"*",'Diags Raw Data'!$Z$6:$Z$3830)</f>
        <v>0</v>
      </c>
      <c r="Q17" s="490">
        <f>SUM(SUMIF('Diags Raw Data'!$A$6:$A$3830,"*"&amp;$A17&amp;"*",'Diags Raw Data'!$AA$6:$AA$3830),SUMIF('Diags Raw Data'!$A$6:$A$3830,"*"&amp;$A17&amp;"*",'Diags Raw Data'!$AB$6:$AB$3830))</f>
        <v>0</v>
      </c>
      <c r="R17" s="491">
        <f t="shared" si="3"/>
        <v>0</v>
      </c>
      <c r="S17" s="491">
        <f t="shared" si="4"/>
        <v>0</v>
      </c>
      <c r="T17" s="492">
        <f t="shared" si="5"/>
        <v>0</v>
      </c>
      <c r="U17" s="432" t="e">
        <f>VLOOKUP(A17,'Diags Raw Data'!$A$6:$AH$3830,33,FALSE)</f>
        <v>#N/A</v>
      </c>
      <c r="V17" s="183"/>
    </row>
    <row r="18" spans="1:22" ht="30.75" thickBot="1" x14ac:dyDescent="0.3">
      <c r="A18" s="546">
        <v>12.011999999999993</v>
      </c>
      <c r="B18" s="434" t="str">
        <f>VLOOKUP(A18,'Feature Raw Data'!$A$3:$B$3922,2,FALSE)</f>
        <v xml:space="preserve">Simplify workaround for DEGGIGXX0-4644 </v>
      </c>
      <c r="C18" s="435" t="str">
        <f>VLOOKUP(A18,'Feature Raw Data'!$A$3:$C$3922,3,FALSE)</f>
        <v>P1</v>
      </c>
      <c r="D18" s="436" t="str" cm="1">
        <f t="array" ref="D18">_xlfn.TEXTJOIN("",TRUE,IF(ISNUMBER(SEARCH($A18,'Diags Raw Data'!$A$6:$A$3830)),CONCATENATE('Diags Raw Data'!$H$6:$H$3830,", "),""))</f>
        <v xml:space="preserve">gfx.sr_stat, </v>
      </c>
      <c r="E18" s="339" t="e">
        <f>VLOOKUP(A18,'Diags Raw Data'!$A$6:$D$3830,4,FALSE)</f>
        <v>#N/A</v>
      </c>
      <c r="F18" s="339" t="str">
        <f>VLOOKUP(A18,'Feature Raw Data'!$A$3:$E$3922,5,FALSE)</f>
        <v>Delta</v>
      </c>
      <c r="G18" s="339" t="str">
        <f t="shared" si="0"/>
        <v>Yes</v>
      </c>
      <c r="H18" s="339" t="str">
        <f t="shared" si="1"/>
        <v>Yes</v>
      </c>
      <c r="I18" s="435">
        <f>SUMIF('Diags Raw Data'!$A$6:$A$3830,"*"&amp;$A18&amp;"*",'Diags Raw Data'!$K$6:$K$3830)</f>
        <v>0</v>
      </c>
      <c r="J18" s="437">
        <f>SUMIF('Diags Raw Data'!$A$6:$A$3830,"*"&amp;$A18&amp;"*",'Diags Raw Data'!$L$6:$L$3830)</f>
        <v>0</v>
      </c>
      <c r="K18" s="484" t="e" cm="1">
        <f t="array" ref="K18">IF(D18="",0, SUMPRODUCT(--(ISNUMBER(SEARCH($A18,'Diags Raw Data'!$A$6:$A$3830))),'Diags Raw Data'!$L$6:$L$3830,'Diags Raw Data'!$N$6:$N$3830)/J18)</f>
        <v>#DIV/0!</v>
      </c>
      <c r="L18" s="485" t="e" cm="1">
        <f t="array" ref="L18">IF(D18="",0, SUMPRODUCT(--(ISNUMBER(SEARCH($A18,'Diags Raw Data'!$A$6:$A$3830))),'Diags Raw Data'!$L$6:$L$3830,'Diags Raw Data'!$P$6:$P$3830)/J18)</f>
        <v>#DIV/0!</v>
      </c>
      <c r="M18" s="486" cm="1">
        <f t="array" ref="M18">SUMPRODUCT(--(ISNUMBER(SEARCH($A18,'Diags Raw Data'!$A$6:$A$3830))),--('Diags Raw Data'!$Q$6:$Q$3830&lt;&gt;"N/A"),'Diags Raw Data'!$R$6:$R$3830)</f>
        <v>1</v>
      </c>
      <c r="N18" s="487" cm="1">
        <f t="array" ref="N18">SUMPRODUCT(--(ISNUMBER(SEARCH($A18,'Diags Raw Data'!$A$6:$A$3830))),--('Diags Raw Data'!$Q$6:$Q$3830&lt;&gt;"N/A"),'Diags Raw Data'!$T$6:$T$3830)+SUMPRODUCT(--(ISNUMBER(SEARCH($A18,'Diags Raw Data'!$A$6:$A$3830))),--('Diags Raw Data'!$Q$6:$Q$3830&lt;&gt;"N/A"),'Diags Raw Data'!$U$6:$U$3830)</f>
        <v>1</v>
      </c>
      <c r="O18" s="488">
        <f t="shared" si="2"/>
        <v>1</v>
      </c>
      <c r="P18" s="489">
        <f>SUMIF('Diags Raw Data'!$A$6:$A$3830,"*"&amp;$A18&amp;"*",'Diags Raw Data'!$Z$6:$Z$3830)</f>
        <v>0</v>
      </c>
      <c r="Q18" s="490">
        <f>SUM(SUMIF('Diags Raw Data'!$A$6:$A$3830,"*"&amp;$A18&amp;"*",'Diags Raw Data'!$AA$6:$AA$3830),SUMIF('Diags Raw Data'!$A$6:$A$3830,"*"&amp;$A18&amp;"*",'Diags Raw Data'!$AB$6:$AB$3830))</f>
        <v>0</v>
      </c>
      <c r="R18" s="491">
        <f t="shared" si="3"/>
        <v>0</v>
      </c>
      <c r="S18" s="491">
        <f t="shared" si="4"/>
        <v>0</v>
      </c>
      <c r="T18" s="492">
        <f t="shared" si="5"/>
        <v>0</v>
      </c>
      <c r="U18" s="432" t="e">
        <f>VLOOKUP(A18,'Diags Raw Data'!$A$6:$AH$3830,33,FALSE)</f>
        <v>#N/A</v>
      </c>
      <c r="V18" s="181"/>
    </row>
    <row r="19" spans="1:22" ht="30.75" thickBot="1" x14ac:dyDescent="0.3">
      <c r="A19" s="546">
        <v>12.012999999999993</v>
      </c>
      <c r="B19" s="434" t="str">
        <f>VLOOKUP(A19,'Feature Raw Data'!$A$3:$B$3922,2,FALSE)</f>
        <v>Separate event enable bits out of SPI_CONFIG_CNTL</v>
      </c>
      <c r="C19" s="435" t="str">
        <f>VLOOKUP(A19,'Feature Raw Data'!$A$3:$C$3922,3,FALSE)</f>
        <v>P2</v>
      </c>
      <c r="D19" s="436" t="str" cm="1">
        <f t="array" ref="D19">_xlfn.TEXTJOIN("",TRUE,IF(ISNUMBER(SEARCH($A19,'Diags Raw Data'!$A$6:$A$3830)),CONCATENATE('Diags Raw Data'!$H$6:$H$3830,", "),""))</f>
        <v xml:space="preserve">placeholder_o.1, </v>
      </c>
      <c r="E19" s="339" t="e">
        <f>VLOOKUP(A19,'Diags Raw Data'!$A$6:$D$3830,4,FALSE)</f>
        <v>#N/A</v>
      </c>
      <c r="F19" s="339" t="str">
        <f>VLOOKUP(A19,'Feature Raw Data'!$A$3:$E$3922,5,FALSE)</f>
        <v>New</v>
      </c>
      <c r="G19" s="339" t="str">
        <f t="shared" si="0"/>
        <v>Yes</v>
      </c>
      <c r="H19" s="339" t="str">
        <f t="shared" si="1"/>
        <v>Yes</v>
      </c>
      <c r="I19" s="435">
        <f>SUMIF('Diags Raw Data'!$A$6:$A$3830,"*"&amp;$A19&amp;"*",'Diags Raw Data'!$K$6:$K$3830)</f>
        <v>0</v>
      </c>
      <c r="J19" s="437">
        <f>SUMIF('Diags Raw Data'!$A$6:$A$3830,"*"&amp;$A19&amp;"*",'Diags Raw Data'!$L$6:$L$3830)</f>
        <v>0</v>
      </c>
      <c r="K19" s="484" t="e" cm="1">
        <f t="array" ref="K19">IF(D19="",0, SUMPRODUCT(--(ISNUMBER(SEARCH($A19,'Diags Raw Data'!$A$6:$A$3830))),'Diags Raw Data'!$L$6:$L$3830,'Diags Raw Data'!$N$6:$N$3830)/J19)</f>
        <v>#DIV/0!</v>
      </c>
      <c r="L19" s="485" t="e" cm="1">
        <f t="array" ref="L19">IF(D19="",0, SUMPRODUCT(--(ISNUMBER(SEARCH($A19,'Diags Raw Data'!$A$6:$A$3830))),'Diags Raw Data'!$L$6:$L$3830,'Diags Raw Data'!$P$6:$P$3830)/J19)</f>
        <v>#DIV/0!</v>
      </c>
      <c r="M19" s="486" cm="1">
        <f t="array" ref="M19">SUMPRODUCT(--(ISNUMBER(SEARCH($A19,'Diags Raw Data'!$A$6:$A$3830))),--('Diags Raw Data'!$Q$6:$Q$3830&lt;&gt;"N/A"),'Diags Raw Data'!$R$6:$R$3830)</f>
        <v>1</v>
      </c>
      <c r="N19" s="487" cm="1">
        <f t="array" ref="N19">SUMPRODUCT(--(ISNUMBER(SEARCH($A19,'Diags Raw Data'!$A$6:$A$3830))),--('Diags Raw Data'!$Q$6:$Q$3830&lt;&gt;"N/A"),'Diags Raw Data'!$T$6:$T$3830)+SUMPRODUCT(--(ISNUMBER(SEARCH($A19,'Diags Raw Data'!$A$6:$A$3830))),--('Diags Raw Data'!$Q$6:$Q$3830&lt;&gt;"N/A"),'Diags Raw Data'!$U$6:$U$3830)</f>
        <v>0</v>
      </c>
      <c r="O19" s="488">
        <f t="shared" si="2"/>
        <v>0</v>
      </c>
      <c r="P19" s="489">
        <f>SUMIF('Diags Raw Data'!$A$6:$A$3830,"*"&amp;$A19&amp;"*",'Diags Raw Data'!$Z$6:$Z$3830)</f>
        <v>0</v>
      </c>
      <c r="Q19" s="490">
        <f>SUM(SUMIF('Diags Raw Data'!$A$6:$A$3830,"*"&amp;$A19&amp;"*",'Diags Raw Data'!$AA$6:$AA$3830),SUMIF('Diags Raw Data'!$A$6:$A$3830,"*"&amp;$A19&amp;"*",'Diags Raw Data'!$AB$6:$AB$3830))</f>
        <v>0</v>
      </c>
      <c r="R19" s="491">
        <f t="shared" si="3"/>
        <v>0</v>
      </c>
      <c r="S19" s="491">
        <f t="shared" si="4"/>
        <v>0</v>
      </c>
      <c r="T19" s="492">
        <f t="shared" si="5"/>
        <v>0</v>
      </c>
      <c r="U19" s="432" t="e">
        <f>VLOOKUP(A19,'Diags Raw Data'!$A$6:$AH$3830,33,FALSE)</f>
        <v>#N/A</v>
      </c>
      <c r="V19" s="181"/>
    </row>
    <row r="20" spans="1:22" ht="15.75" thickBot="1" x14ac:dyDescent="0.3">
      <c r="A20" s="546">
        <v>12.013999999999992</v>
      </c>
      <c r="B20" s="434" t="str">
        <f>VLOOKUP(A20,'Feature Raw Data'!$A$3:$B$3922,2,FALSE)</f>
        <v xml:space="preserve">Split DB_RENDER_OVERRIDE </v>
      </c>
      <c r="C20" s="435" t="str">
        <f>VLOOKUP(A20,'Feature Raw Data'!$A$3:$C$3922,3,FALSE)</f>
        <v>P1</v>
      </c>
      <c r="D20" s="436" t="str" cm="1">
        <f t="array" ref="D20">_xlfn.TEXTJOIN("",TRUE,IF(ISNUMBER(SEARCH($A20,'Diags Raw Data'!$A$6:$A$3830)),CONCATENATE('Diags Raw Data'!$H$6:$H$3830,", "),""))</f>
        <v xml:space="preserve">placeholder_p.1, </v>
      </c>
      <c r="E20" s="339" t="e">
        <f>VLOOKUP(A20,'Diags Raw Data'!$A$6:$D$3830,4,FALSE)</f>
        <v>#N/A</v>
      </c>
      <c r="F20" s="339" t="str">
        <f>VLOOKUP(A20,'Feature Raw Data'!$A$3:$E$3922,5,FALSE)</f>
        <v>New</v>
      </c>
      <c r="G20" s="339" t="str">
        <f t="shared" si="0"/>
        <v>Yes</v>
      </c>
      <c r="H20" s="339" t="str">
        <f t="shared" si="1"/>
        <v>Yes</v>
      </c>
      <c r="I20" s="435">
        <f>SUMIF('Diags Raw Data'!$A$6:$A$3830,"*"&amp;$A20&amp;"*",'Diags Raw Data'!$K$6:$K$3830)</f>
        <v>0</v>
      </c>
      <c r="J20" s="437">
        <f>SUMIF('Diags Raw Data'!$A$6:$A$3830,"*"&amp;$A20&amp;"*",'Diags Raw Data'!$L$6:$L$3830)</f>
        <v>0</v>
      </c>
      <c r="K20" s="484" t="e" cm="1">
        <f t="array" ref="K20">IF(D20="",0, SUMPRODUCT(--(ISNUMBER(SEARCH($A20,'Diags Raw Data'!$A$6:$A$3830))),'Diags Raw Data'!$L$6:$L$3830,'Diags Raw Data'!$N$6:$N$3830)/J20)</f>
        <v>#DIV/0!</v>
      </c>
      <c r="L20" s="485" t="e" cm="1">
        <f t="array" ref="L20">IF(D20="",0, SUMPRODUCT(--(ISNUMBER(SEARCH($A20,'Diags Raw Data'!$A$6:$A$3830))),'Diags Raw Data'!$L$6:$L$3830,'Diags Raw Data'!$P$6:$P$3830)/J20)</f>
        <v>#DIV/0!</v>
      </c>
      <c r="M20" s="486" cm="1">
        <f t="array" ref="M20">SUMPRODUCT(--(ISNUMBER(SEARCH($A20,'Diags Raw Data'!$A$6:$A$3830))),--('Diags Raw Data'!$Q$6:$Q$3830&lt;&gt;"N/A"),'Diags Raw Data'!$R$6:$R$3830)</f>
        <v>1</v>
      </c>
      <c r="N20" s="487" cm="1">
        <f t="array" ref="N20">SUMPRODUCT(--(ISNUMBER(SEARCH($A20,'Diags Raw Data'!$A$6:$A$3830))),--('Diags Raw Data'!$Q$6:$Q$3830&lt;&gt;"N/A"),'Diags Raw Data'!$T$6:$T$3830)+SUMPRODUCT(--(ISNUMBER(SEARCH($A20,'Diags Raw Data'!$A$6:$A$3830))),--('Diags Raw Data'!$Q$6:$Q$3830&lt;&gt;"N/A"),'Diags Raw Data'!$U$6:$U$3830)</f>
        <v>0</v>
      </c>
      <c r="O20" s="488">
        <f t="shared" si="2"/>
        <v>0</v>
      </c>
      <c r="P20" s="489">
        <f>SUMIF('Diags Raw Data'!$A$6:$A$3830,"*"&amp;$A20&amp;"*",'Diags Raw Data'!$Z$6:$Z$3830)</f>
        <v>0</v>
      </c>
      <c r="Q20" s="490">
        <f>SUM(SUMIF('Diags Raw Data'!$A$6:$A$3830,"*"&amp;$A20&amp;"*",'Diags Raw Data'!$AA$6:$AA$3830),SUMIF('Diags Raw Data'!$A$6:$A$3830,"*"&amp;$A20&amp;"*",'Diags Raw Data'!$AB$6:$AB$3830))</f>
        <v>0</v>
      </c>
      <c r="R20" s="491">
        <f t="shared" si="3"/>
        <v>0</v>
      </c>
      <c r="S20" s="491">
        <f t="shared" si="4"/>
        <v>0</v>
      </c>
      <c r="T20" s="492">
        <f t="shared" si="5"/>
        <v>0</v>
      </c>
      <c r="U20" s="432" t="e">
        <f>VLOOKUP(A20,'Diags Raw Data'!$A$6:$AH$3830,33,FALSE)</f>
        <v>#N/A</v>
      </c>
      <c r="V20" s="181"/>
    </row>
    <row r="21" spans="1:22" ht="15.75" thickBot="1" x14ac:dyDescent="0.3">
      <c r="A21" s="546">
        <v>12.014999999999992</v>
      </c>
      <c r="B21" s="434" t="str">
        <f>VLOOKUP(A21,'Feature Raw Data'!$A$3:$B$3922,2,FALSE)</f>
        <v xml:space="preserve">DB_STENCILREFMASK refactor </v>
      </c>
      <c r="C21" s="435" t="str">
        <f>VLOOKUP(A21,'Feature Raw Data'!$A$3:$C$3922,3,FALSE)</f>
        <v>P1</v>
      </c>
      <c r="D21" s="436" t="str" cm="1">
        <f t="array" ref="D21">_xlfn.TEXTJOIN("",TRUE,IF(ISNUMBER(SEARCH($A21,'Diags Raw Data'!$A$6:$A$3830)),CONCATENATE('Diags Raw Data'!$H$6:$H$3830,", "),""))</f>
        <v xml:space="preserve">ppi41.2,ppi41.22,ppi41.42,ppi41.52, </v>
      </c>
      <c r="E21" s="339" t="e">
        <f>VLOOKUP(A21,'Diags Raw Data'!$A$6:$D$3830,4,FALSE)</f>
        <v>#N/A</v>
      </c>
      <c r="F21" s="339" t="str">
        <f>VLOOKUP(A21,'Feature Raw Data'!$A$3:$E$3922,5,FALSE)</f>
        <v>Delta</v>
      </c>
      <c r="G21" s="339" t="str">
        <f t="shared" si="0"/>
        <v>Yes</v>
      </c>
      <c r="H21" s="339" t="str">
        <f t="shared" si="1"/>
        <v>Yes</v>
      </c>
      <c r="I21" s="435">
        <f>SUMIF('Diags Raw Data'!$A$6:$A$3830,"*"&amp;$A21&amp;"*",'Diags Raw Data'!$K$6:$K$3830)</f>
        <v>0</v>
      </c>
      <c r="J21" s="437">
        <f>SUMIF('Diags Raw Data'!$A$6:$A$3830,"*"&amp;$A21&amp;"*",'Diags Raw Data'!$L$6:$L$3830)</f>
        <v>0</v>
      </c>
      <c r="K21" s="484" t="e" cm="1">
        <f t="array" ref="K21">IF(D21="",0, SUMPRODUCT(--(ISNUMBER(SEARCH($A21,'Diags Raw Data'!$A$6:$A$3830))),'Diags Raw Data'!$L$6:$L$3830,'Diags Raw Data'!$N$6:$N$3830)/J21)</f>
        <v>#DIV/0!</v>
      </c>
      <c r="L21" s="485" t="e" cm="1">
        <f t="array" ref="L21">IF(D21="",0, SUMPRODUCT(--(ISNUMBER(SEARCH($A21,'Diags Raw Data'!$A$6:$A$3830))),'Diags Raw Data'!$L$6:$L$3830,'Diags Raw Data'!$P$6:$P$3830)/J21)</f>
        <v>#DIV/0!</v>
      </c>
      <c r="M21" s="486" cm="1">
        <f t="array" ref="M21">SUMPRODUCT(--(ISNUMBER(SEARCH($A21,'Diags Raw Data'!$A$6:$A$3830))),--('Diags Raw Data'!$Q$6:$Q$3830&lt;&gt;"N/A"),'Diags Raw Data'!$R$6:$R$3830)</f>
        <v>1</v>
      </c>
      <c r="N21" s="487" cm="1">
        <f t="array" ref="N21">SUMPRODUCT(--(ISNUMBER(SEARCH($A21,'Diags Raw Data'!$A$6:$A$3830))),--('Diags Raw Data'!$Q$6:$Q$3830&lt;&gt;"N/A"),'Diags Raw Data'!$T$6:$T$3830)+SUMPRODUCT(--(ISNUMBER(SEARCH($A21,'Diags Raw Data'!$A$6:$A$3830))),--('Diags Raw Data'!$Q$6:$Q$3830&lt;&gt;"N/A"),'Diags Raw Data'!$U$6:$U$3830)</f>
        <v>0</v>
      </c>
      <c r="O21" s="488">
        <f t="shared" si="2"/>
        <v>0</v>
      </c>
      <c r="P21" s="489">
        <f>SUMIF('Diags Raw Data'!$A$6:$A$3830,"*"&amp;$A21&amp;"*",'Diags Raw Data'!$Z$6:$Z$3830)</f>
        <v>0</v>
      </c>
      <c r="Q21" s="490">
        <f>SUM(SUMIF('Diags Raw Data'!$A$6:$A$3830,"*"&amp;$A21&amp;"*",'Diags Raw Data'!$AA$6:$AA$3830),SUMIF('Diags Raw Data'!$A$6:$A$3830,"*"&amp;$A21&amp;"*",'Diags Raw Data'!$AB$6:$AB$3830))</f>
        <v>0</v>
      </c>
      <c r="R21" s="491">
        <f t="shared" si="3"/>
        <v>0</v>
      </c>
      <c r="S21" s="491">
        <f t="shared" si="4"/>
        <v>0</v>
      </c>
      <c r="T21" s="492">
        <f t="shared" si="5"/>
        <v>0</v>
      </c>
      <c r="U21" s="432" t="e">
        <f>VLOOKUP(A21,'Diags Raw Data'!$A$6:$AH$3830,33,FALSE)</f>
        <v>#N/A</v>
      </c>
      <c r="V21" s="181"/>
    </row>
    <row r="22" spans="1:22" ht="30.75" thickBot="1" x14ac:dyDescent="0.3">
      <c r="A22" s="546">
        <v>12.015999999999991</v>
      </c>
      <c r="B22" s="434" t="str">
        <f>VLOOKUP(A22,'Feature Raw Data'!$A$3:$B$3922,2,FALSE)</f>
        <v xml:space="preserve">Per target control for CB BIG_PAGE/L2_BYPASS </v>
      </c>
      <c r="C22" s="435" t="str">
        <f>VLOOKUP(A22,'Feature Raw Data'!$A$3:$C$3922,3,FALSE)</f>
        <v>P1</v>
      </c>
      <c r="D22" s="436" t="str" cm="1">
        <f t="array" ref="D22">_xlfn.TEXTJOIN("",TRUE,IF(ISNUMBER(SEARCH($A22,'Diags Raw Data'!$A$6:$A$3830)),CONCATENATE('Diags Raw Data'!$H$6:$H$3830,", "),""))</f>
        <v/>
      </c>
      <c r="E22" s="339" t="e">
        <f>VLOOKUP(A22,'Diags Raw Data'!$A$6:$D$3830,4,FALSE)</f>
        <v>#N/A</v>
      </c>
      <c r="F22" s="339" t="str">
        <f>VLOOKUP(A22,'Feature Raw Data'!$A$3:$E$3922,5,FALSE)</f>
        <v>New</v>
      </c>
      <c r="G22" s="339" t="str">
        <f t="shared" si="0"/>
        <v>Yes</v>
      </c>
      <c r="H22" s="339" t="str">
        <f t="shared" si="1"/>
        <v>Yes</v>
      </c>
      <c r="I22" s="435">
        <f>SUMIF('Diags Raw Data'!$A$6:$A$3830,"*"&amp;$A22&amp;"*",'Diags Raw Data'!$K$6:$K$3830)</f>
        <v>0</v>
      </c>
      <c r="J22" s="437">
        <f>SUMIF('Diags Raw Data'!$A$6:$A$3830,"*"&amp;$A22&amp;"*",'Diags Raw Data'!$L$6:$L$3830)</f>
        <v>0</v>
      </c>
      <c r="K22" s="484" cm="1">
        <f t="array" ref="K22">IF(D22="",0, SUMPRODUCT(--(ISNUMBER(SEARCH($A22,'Diags Raw Data'!$A$6:$A$3830))),'Diags Raw Data'!$L$6:$L$3830,'Diags Raw Data'!$N$6:$N$3830)/J22)</f>
        <v>0</v>
      </c>
      <c r="L22" s="485" cm="1">
        <f t="array" ref="L22">IF(D22="",0, SUMPRODUCT(--(ISNUMBER(SEARCH($A22,'Diags Raw Data'!$A$6:$A$3830))),'Diags Raw Data'!$L$6:$L$3830,'Diags Raw Data'!$P$6:$P$3830)/J22)</f>
        <v>0</v>
      </c>
      <c r="M22" s="486" cm="1">
        <f t="array" ref="M22">SUMPRODUCT(--(ISNUMBER(SEARCH($A22,'Diags Raw Data'!$A$6:$A$3830))),--('Diags Raw Data'!$Q$6:$Q$3830&lt;&gt;"N/A"),'Diags Raw Data'!$R$6:$R$3830)</f>
        <v>0</v>
      </c>
      <c r="N22" s="487" cm="1">
        <f t="array" ref="N22">SUMPRODUCT(--(ISNUMBER(SEARCH($A22,'Diags Raw Data'!$A$6:$A$3830))),--('Diags Raw Data'!$Q$6:$Q$3830&lt;&gt;"N/A"),'Diags Raw Data'!$T$6:$T$3830)+SUMPRODUCT(--(ISNUMBER(SEARCH($A22,'Diags Raw Data'!$A$6:$A$3830))),--('Diags Raw Data'!$Q$6:$Q$3830&lt;&gt;"N/A"),'Diags Raw Data'!$U$6:$U$3830)</f>
        <v>0</v>
      </c>
      <c r="O22" s="488">
        <f t="shared" si="2"/>
        <v>0</v>
      </c>
      <c r="P22" s="489">
        <f>SUMIF('Diags Raw Data'!$A$6:$A$3830,"*"&amp;$A22&amp;"*",'Diags Raw Data'!$Z$6:$Z$3830)</f>
        <v>0</v>
      </c>
      <c r="Q22" s="490">
        <f>SUM(SUMIF('Diags Raw Data'!$A$6:$A$3830,"*"&amp;$A22&amp;"*",'Diags Raw Data'!$AA$6:$AA$3830),SUMIF('Diags Raw Data'!$A$6:$A$3830,"*"&amp;$A22&amp;"*",'Diags Raw Data'!$AB$6:$AB$3830))</f>
        <v>0</v>
      </c>
      <c r="R22" s="491">
        <f t="shared" si="3"/>
        <v>0</v>
      </c>
      <c r="S22" s="491">
        <f t="shared" si="4"/>
        <v>0</v>
      </c>
      <c r="T22" s="492">
        <f t="shared" si="5"/>
        <v>0</v>
      </c>
      <c r="U22" s="432" t="e">
        <f>VLOOKUP(A22,'Diags Raw Data'!$A$6:$AH$3830,33,FALSE)</f>
        <v>#N/A</v>
      </c>
      <c r="V22" s="181"/>
    </row>
    <row r="23" spans="1:22" ht="30.75" thickBot="1" x14ac:dyDescent="0.3">
      <c r="A23" s="546">
        <v>12.016999999999991</v>
      </c>
      <c r="B23" s="434" t="str">
        <f>VLOOKUP(A23,'Feature Raw Data'!$A$3:$B$3922,2,FALSE)</f>
        <v xml:space="preserve">MSAA shader write support for D/S images </v>
      </c>
      <c r="C23" s="435" t="str">
        <f>VLOOKUP(A23,'Feature Raw Data'!$A$3:$C$3922,3,FALSE)</f>
        <v>P1</v>
      </c>
      <c r="D23" s="436" t="str" cm="1">
        <f t="array" ref="D23">_xlfn.TEXTJOIN("",TRUE,IF(ISNUMBER(SEARCH($A23,'Diags Raw Data'!$A$6:$A$3830)),CONCATENATE('Diags Raw Data'!$H$6:$H$3830,", "),""))</f>
        <v/>
      </c>
      <c r="E23" s="339" t="e">
        <f>VLOOKUP(A23,'Diags Raw Data'!$A$6:$D$3830,4,FALSE)</f>
        <v>#N/A</v>
      </c>
      <c r="F23" s="339" t="str">
        <f>VLOOKUP(A23,'Feature Raw Data'!$A$3:$E$3922,5,FALSE)</f>
        <v>New</v>
      </c>
      <c r="G23" s="339" t="str">
        <f t="shared" si="0"/>
        <v>Yes</v>
      </c>
      <c r="H23" s="339" t="str">
        <f t="shared" si="1"/>
        <v>Yes</v>
      </c>
      <c r="I23" s="435">
        <f>SUMIF('Diags Raw Data'!$A$6:$A$3830,"*"&amp;$A23&amp;"*",'Diags Raw Data'!$K$6:$K$3830)</f>
        <v>0</v>
      </c>
      <c r="J23" s="437">
        <f>SUMIF('Diags Raw Data'!$A$6:$A$3830,"*"&amp;$A23&amp;"*",'Diags Raw Data'!$L$6:$L$3830)</f>
        <v>0</v>
      </c>
      <c r="K23" s="484" cm="1">
        <f t="array" ref="K23">IF(D23="",0, SUMPRODUCT(--(ISNUMBER(SEARCH($A23,'Diags Raw Data'!$A$6:$A$3830))),'Diags Raw Data'!$L$6:$L$3830,'Diags Raw Data'!$N$6:$N$3830)/J23)</f>
        <v>0</v>
      </c>
      <c r="L23" s="485" cm="1">
        <f t="array" ref="L23">IF(D23="",0, SUMPRODUCT(--(ISNUMBER(SEARCH($A23,'Diags Raw Data'!$A$6:$A$3830))),'Diags Raw Data'!$L$6:$L$3830,'Diags Raw Data'!$P$6:$P$3830)/J23)</f>
        <v>0</v>
      </c>
      <c r="M23" s="486" cm="1">
        <f t="array" ref="M23">SUMPRODUCT(--(ISNUMBER(SEARCH($A23,'Diags Raw Data'!$A$6:$A$3830))),--('Diags Raw Data'!$Q$6:$Q$3830&lt;&gt;"N/A"),'Diags Raw Data'!$R$6:$R$3830)</f>
        <v>0</v>
      </c>
      <c r="N23" s="487" cm="1">
        <f t="array" ref="N23">SUMPRODUCT(--(ISNUMBER(SEARCH($A23,'Diags Raw Data'!$A$6:$A$3830))),--('Diags Raw Data'!$Q$6:$Q$3830&lt;&gt;"N/A"),'Diags Raw Data'!$T$6:$T$3830)+SUMPRODUCT(--(ISNUMBER(SEARCH($A23,'Diags Raw Data'!$A$6:$A$3830))),--('Diags Raw Data'!$Q$6:$Q$3830&lt;&gt;"N/A"),'Diags Raw Data'!$U$6:$U$3830)</f>
        <v>0</v>
      </c>
      <c r="O23" s="488">
        <f t="shared" si="2"/>
        <v>0</v>
      </c>
      <c r="P23" s="489">
        <f>SUMIF('Diags Raw Data'!$A$6:$A$3830,"*"&amp;$A23&amp;"*",'Diags Raw Data'!$Z$6:$Z$3830)</f>
        <v>0</v>
      </c>
      <c r="Q23" s="490">
        <f>SUM(SUMIF('Diags Raw Data'!$A$6:$A$3830,"*"&amp;$A23&amp;"*",'Diags Raw Data'!$AA$6:$AA$3830),SUMIF('Diags Raw Data'!$A$6:$A$3830,"*"&amp;$A23&amp;"*",'Diags Raw Data'!$AB$6:$AB$3830))</f>
        <v>0</v>
      </c>
      <c r="R23" s="491">
        <f t="shared" si="3"/>
        <v>0</v>
      </c>
      <c r="S23" s="491">
        <f t="shared" si="4"/>
        <v>0</v>
      </c>
      <c r="T23" s="492">
        <f t="shared" si="5"/>
        <v>0</v>
      </c>
      <c r="U23" s="432" t="e">
        <f>VLOOKUP(A23,'Diags Raw Data'!$A$6:$AH$3830,33,FALSE)</f>
        <v>#N/A</v>
      </c>
      <c r="V23" s="181"/>
    </row>
    <row r="24" spans="1:22" ht="15.75" thickBot="1" x14ac:dyDescent="0.3">
      <c r="A24" s="546">
        <v>12.018999999999989</v>
      </c>
      <c r="B24" s="434" t="str">
        <f>VLOOKUP(A24,'Feature Raw Data'!$A$3:$B$3922,2,FALSE)</f>
        <v xml:space="preserve">Broadcast stores </v>
      </c>
      <c r="C24" s="435" t="str">
        <f>VLOOKUP(A24,'Feature Raw Data'!$A$3:$C$3922,3,FALSE)</f>
        <v>P1</v>
      </c>
      <c r="D24" s="436" t="str" cm="1">
        <f t="array" ref="D24">_xlfn.TEXTJOIN("",TRUE,IF(ISNUMBER(SEARCH($A24,'Diags Raw Data'!$A$6:$A$3830)),CONCATENATE('Diags Raw Data'!$H$6:$H$3830,", "),""))</f>
        <v xml:space="preserve">txi90.0-5, </v>
      </c>
      <c r="E24" s="339" t="e">
        <f>VLOOKUP(A24,'Diags Raw Data'!$A$6:$D$3830,4,FALSE)</f>
        <v>#N/A</v>
      </c>
      <c r="F24" s="339" t="str">
        <f>VLOOKUP(A24,'Feature Raw Data'!$A$3:$E$3922,5,FALSE)</f>
        <v>New</v>
      </c>
      <c r="G24" s="339" t="str">
        <f t="shared" si="0"/>
        <v>Yes</v>
      </c>
      <c r="H24" s="339" t="str">
        <f t="shared" si="1"/>
        <v>Yes</v>
      </c>
      <c r="I24" s="435">
        <f>SUMIF('Diags Raw Data'!$A$6:$A$3830,"*"&amp;$A24&amp;"*",'Diags Raw Data'!$K$6:$K$3830)</f>
        <v>0</v>
      </c>
      <c r="J24" s="437">
        <f>SUMIF('Diags Raw Data'!$A$6:$A$3830,"*"&amp;$A24&amp;"*",'Diags Raw Data'!$L$6:$L$3830)</f>
        <v>0</v>
      </c>
      <c r="K24" s="484" t="e" cm="1">
        <f t="array" ref="K24">IF(D24="",0, SUMPRODUCT(--(ISNUMBER(SEARCH($A24,'Diags Raw Data'!$A$6:$A$3830))),'Diags Raw Data'!$L$6:$L$3830,'Diags Raw Data'!$N$6:$N$3830)/J24)</f>
        <v>#DIV/0!</v>
      </c>
      <c r="L24" s="485" t="e" cm="1">
        <f t="array" ref="L24">IF(D24="",0, SUMPRODUCT(--(ISNUMBER(SEARCH($A24,'Diags Raw Data'!$A$6:$A$3830))),'Diags Raw Data'!$L$6:$L$3830,'Diags Raw Data'!$P$6:$P$3830)/J24)</f>
        <v>#DIV/0!</v>
      </c>
      <c r="M24" s="486" cm="1">
        <f t="array" ref="M24">SUMPRODUCT(--(ISNUMBER(SEARCH($A24,'Diags Raw Data'!$A$6:$A$3830))),--('Diags Raw Data'!$Q$6:$Q$3830&lt;&gt;"N/A"),'Diags Raw Data'!$R$6:$R$3830)</f>
        <v>6</v>
      </c>
      <c r="N24" s="487" cm="1">
        <f t="array" ref="N24">SUMPRODUCT(--(ISNUMBER(SEARCH($A24,'Diags Raw Data'!$A$6:$A$3830))),--('Diags Raw Data'!$Q$6:$Q$3830&lt;&gt;"N/A"),'Diags Raw Data'!$T$6:$T$3830)+SUMPRODUCT(--(ISNUMBER(SEARCH($A24,'Diags Raw Data'!$A$6:$A$3830))),--('Diags Raw Data'!$Q$6:$Q$3830&lt;&gt;"N/A"),'Diags Raw Data'!$U$6:$U$3830)</f>
        <v>6</v>
      </c>
      <c r="O24" s="488">
        <f t="shared" si="2"/>
        <v>1</v>
      </c>
      <c r="P24" s="489">
        <f>SUMIF('Diags Raw Data'!$A$6:$A$3830,"*"&amp;$A24&amp;"*",'Diags Raw Data'!$Z$6:$Z$3830)</f>
        <v>0</v>
      </c>
      <c r="Q24" s="490">
        <f>SUM(SUMIF('Diags Raw Data'!$A$6:$A$3830,"*"&amp;$A24&amp;"*",'Diags Raw Data'!$AA$6:$AA$3830),SUMIF('Diags Raw Data'!$A$6:$A$3830,"*"&amp;$A24&amp;"*",'Diags Raw Data'!$AB$6:$AB$3830))</f>
        <v>0</v>
      </c>
      <c r="R24" s="491">
        <f t="shared" si="3"/>
        <v>0</v>
      </c>
      <c r="S24" s="491">
        <f t="shared" si="4"/>
        <v>0</v>
      </c>
      <c r="T24" s="492">
        <f t="shared" si="5"/>
        <v>0</v>
      </c>
      <c r="U24" s="432" t="e">
        <f>VLOOKUP(A24,'Diags Raw Data'!$A$6:$AH$3830,33,FALSE)</f>
        <v>#N/A</v>
      </c>
      <c r="V24" s="181"/>
    </row>
    <row r="25" spans="1:22" ht="30.75" thickBot="1" x14ac:dyDescent="0.3">
      <c r="A25" s="546">
        <v>12.019999999999989</v>
      </c>
      <c r="B25" s="434" t="str">
        <f>VLOOKUP(A25,'Feature Raw Data'!$A$3:$B$3922,2,FALSE)</f>
        <v xml:space="preserve">out of order per-wave vmem returns </v>
      </c>
      <c r="C25" s="435" t="str">
        <f>VLOOKUP(A25,'Feature Raw Data'!$A$3:$C$3922,3,FALSE)</f>
        <v>P1</v>
      </c>
      <c r="D25" s="436" t="str" cm="1">
        <f t="array" ref="D25">_xlfn.TEXTJOIN("",TRUE,IF(ISNUMBER(SEARCH($A25,'Diags Raw Data'!$A$6:$A$3830)),CONCATENATE('Diags Raw Data'!$H$6:$H$3830,", "),""))</f>
        <v xml:space="preserve">gfx.inst_perf/atomic_denorm,gfx.inst_perf/buffer_atomic_cond_sub_u32,gfx.inst_perf/buffer_atomic_pk_add_bf16,gfx.inst_perf/buffer_atomic_pk_add_f16,gfx.inst_perf/buffer_atomic_sub_clamp_u32,gfx.inst_perf/ds_cond_sub_u32,gfx.inst_perf/ds_pk_add_bf16,gfx.inst_perf/ds_pk_add_f16,gfx.inst_perf/ds_sub_clamp_u32,gfx.inst_perf/global_atomic_cond_sub_u32,gfx.inst_perf/global_atomic_pk_add_bf16,gfx.inst_perf/global_atomic_pk_add_f16,gfx.inst_perf/global_atomic_sub_clamp_u32,gfx.image_op/image_atomic_add_flt,gfx.image_op/image_atomic_min_flt,gfx.image_op/image_atomic_max_flt,gfx.image_op/image_atomic_pk_add_f16,gfx.image_op/image_atomic_pk_add_bf16, </v>
      </c>
      <c r="E25" s="339" t="e">
        <f>VLOOKUP(A25,'Diags Raw Data'!$A$6:$D$3830,4,FALSE)</f>
        <v>#N/A</v>
      </c>
      <c r="F25" s="339" t="str">
        <f>VLOOKUP(A25,'Feature Raw Data'!$A$3:$E$3922,5,FALSE)</f>
        <v>New</v>
      </c>
      <c r="G25" s="339" t="str">
        <f t="shared" si="0"/>
        <v>Yes</v>
      </c>
      <c r="H25" s="339" t="str">
        <f t="shared" si="1"/>
        <v>Yes</v>
      </c>
      <c r="I25" s="435">
        <f>SUMIF('Diags Raw Data'!$A$6:$A$3830,"*"&amp;$A25&amp;"*",'Diags Raw Data'!$K$6:$K$3830)</f>
        <v>0</v>
      </c>
      <c r="J25" s="437">
        <f>SUMIF('Diags Raw Data'!$A$6:$A$3830,"*"&amp;$A25&amp;"*",'Diags Raw Data'!$L$6:$L$3830)</f>
        <v>0</v>
      </c>
      <c r="K25" s="484" t="e" cm="1">
        <f t="array" ref="K25">IF(D25="",0, SUMPRODUCT(--(ISNUMBER(SEARCH($A25,'Diags Raw Data'!$A$6:$A$3830))),'Diags Raw Data'!$L$6:$L$3830,'Diags Raw Data'!$N$6:$N$3830)/J25)</f>
        <v>#DIV/0!</v>
      </c>
      <c r="L25" s="485" t="e" cm="1">
        <f t="array" ref="L25">IF(D25="",0, SUMPRODUCT(--(ISNUMBER(SEARCH($A25,'Diags Raw Data'!$A$6:$A$3830))),'Diags Raw Data'!$L$6:$L$3830,'Diags Raw Data'!$P$6:$P$3830)/J25)</f>
        <v>#DIV/0!</v>
      </c>
      <c r="M25" s="486" cm="1">
        <f t="array" ref="M25">SUMPRODUCT(--(ISNUMBER(SEARCH($A25,'Diags Raw Data'!$A$6:$A$3830))),--('Diags Raw Data'!$Q$6:$Q$3830&lt;&gt;"N/A"),'Diags Raw Data'!$R$6:$R$3830)</f>
        <v>18</v>
      </c>
      <c r="N25" s="487" cm="1">
        <f t="array" ref="N25">SUMPRODUCT(--(ISNUMBER(SEARCH($A25,'Diags Raw Data'!$A$6:$A$3830))),--('Diags Raw Data'!$Q$6:$Q$3830&lt;&gt;"N/A"),'Diags Raw Data'!$T$6:$T$3830)+SUMPRODUCT(--(ISNUMBER(SEARCH($A25,'Diags Raw Data'!$A$6:$A$3830))),--('Diags Raw Data'!$Q$6:$Q$3830&lt;&gt;"N/A"),'Diags Raw Data'!$U$6:$U$3830)</f>
        <v>18</v>
      </c>
      <c r="O25" s="488">
        <f t="shared" si="2"/>
        <v>1</v>
      </c>
      <c r="P25" s="489">
        <f>SUMIF('Diags Raw Data'!$A$6:$A$3830,"*"&amp;$A25&amp;"*",'Diags Raw Data'!$Z$6:$Z$3830)</f>
        <v>0</v>
      </c>
      <c r="Q25" s="490">
        <f>SUM(SUMIF('Diags Raw Data'!$A$6:$A$3830,"*"&amp;$A25&amp;"*",'Diags Raw Data'!$AA$6:$AA$3830),SUMIF('Diags Raw Data'!$A$6:$A$3830,"*"&amp;$A25&amp;"*",'Diags Raw Data'!$AB$6:$AB$3830))</f>
        <v>0</v>
      </c>
      <c r="R25" s="491">
        <f t="shared" si="3"/>
        <v>0</v>
      </c>
      <c r="S25" s="491">
        <f t="shared" si="4"/>
        <v>0</v>
      </c>
      <c r="T25" s="492">
        <f t="shared" si="5"/>
        <v>0</v>
      </c>
      <c r="U25" s="432" t="e">
        <f>VLOOKUP(A25,'Diags Raw Data'!$A$6:$AH$3830,33,FALSE)</f>
        <v>#N/A</v>
      </c>
      <c r="V25" s="181"/>
    </row>
    <row r="26" spans="1:22" ht="45.75" thickBot="1" x14ac:dyDescent="0.3">
      <c r="A26" s="546">
        <v>12.026999999999985</v>
      </c>
      <c r="B26" s="434" t="str">
        <f>VLOOKUP(A26,'Feature Raw Data'!$A$3:$B$3922,2,FALSE)</f>
        <v>Configuration agnostic memory scope and policy control (dup of 12.041)</v>
      </c>
      <c r="C26" s="435" t="str">
        <f>VLOOKUP(A26,'Feature Raw Data'!$A$3:$C$3922,3,FALSE)</f>
        <v>P1</v>
      </c>
      <c r="D26" s="436" t="str" cm="1">
        <f t="array" ref="D26">_xlfn.TEXTJOIN("",TRUE,IF(ISNUMBER(SEARCH($A26,'Diags Raw Data'!$A$6:$A$3830)),CONCATENATE('Diags Raw Data'!$H$6:$H$3830,", "),""))</f>
        <v/>
      </c>
      <c r="E26" s="339" t="e">
        <f>VLOOKUP(A26,'Diags Raw Data'!$A$6:$D$3830,4,FALSE)</f>
        <v>#N/A</v>
      </c>
      <c r="F26" s="339" t="str">
        <f>VLOOKUP(A26,'Feature Raw Data'!$A$3:$E$3922,5,FALSE)</f>
        <v>New</v>
      </c>
      <c r="G26" s="339" t="str">
        <f t="shared" si="0"/>
        <v>Yes</v>
      </c>
      <c r="H26" s="339" t="str">
        <f t="shared" si="1"/>
        <v>Yes</v>
      </c>
      <c r="I26" s="435">
        <f>SUMIF('Diags Raw Data'!$A$6:$A$3830,"*"&amp;$A26&amp;"*",'Diags Raw Data'!$K$6:$K$3830)</f>
        <v>0</v>
      </c>
      <c r="J26" s="437">
        <f>SUMIF('Diags Raw Data'!$A$6:$A$3830,"*"&amp;$A26&amp;"*",'Diags Raw Data'!$L$6:$L$3830)</f>
        <v>0</v>
      </c>
      <c r="K26" s="484" cm="1">
        <f t="array" ref="K26">IF(D26="",0, SUMPRODUCT(--(ISNUMBER(SEARCH($A26,'Diags Raw Data'!$A$6:$A$3830))),'Diags Raw Data'!$L$6:$L$3830,'Diags Raw Data'!$N$6:$N$3830)/J26)</f>
        <v>0</v>
      </c>
      <c r="L26" s="485" cm="1">
        <f t="array" ref="L26">IF(D26="",0, SUMPRODUCT(--(ISNUMBER(SEARCH($A26,'Diags Raw Data'!$A$6:$A$3830))),'Diags Raw Data'!$L$6:$L$3830,'Diags Raw Data'!$P$6:$P$3830)/J26)</f>
        <v>0</v>
      </c>
      <c r="M26" s="486" cm="1">
        <f t="array" ref="M26">SUMPRODUCT(--(ISNUMBER(SEARCH($A26,'Diags Raw Data'!$A$6:$A$3830))),--('Diags Raw Data'!$Q$6:$Q$3830&lt;&gt;"N/A"),'Diags Raw Data'!$R$6:$R$3830)</f>
        <v>0</v>
      </c>
      <c r="N26" s="487" cm="1">
        <f t="array" ref="N26">SUMPRODUCT(--(ISNUMBER(SEARCH($A26,'Diags Raw Data'!$A$6:$A$3830))),--('Diags Raw Data'!$Q$6:$Q$3830&lt;&gt;"N/A"),'Diags Raw Data'!$T$6:$T$3830)+SUMPRODUCT(--(ISNUMBER(SEARCH($A26,'Diags Raw Data'!$A$6:$A$3830))),--('Diags Raw Data'!$Q$6:$Q$3830&lt;&gt;"N/A"),'Diags Raw Data'!$U$6:$U$3830)</f>
        <v>0</v>
      </c>
      <c r="O26" s="488">
        <f t="shared" si="2"/>
        <v>0</v>
      </c>
      <c r="P26" s="489">
        <f>SUMIF('Diags Raw Data'!$A$6:$A$3830,"*"&amp;$A26&amp;"*",'Diags Raw Data'!$Z$6:$Z$3830)</f>
        <v>0</v>
      </c>
      <c r="Q26" s="490">
        <f>SUM(SUMIF('Diags Raw Data'!$A$6:$A$3830,"*"&amp;$A26&amp;"*",'Diags Raw Data'!$AA$6:$AA$3830),SUMIF('Diags Raw Data'!$A$6:$A$3830,"*"&amp;$A26&amp;"*",'Diags Raw Data'!$AB$6:$AB$3830))</f>
        <v>0</v>
      </c>
      <c r="R26" s="491">
        <f t="shared" si="3"/>
        <v>0</v>
      </c>
      <c r="S26" s="491">
        <f t="shared" si="4"/>
        <v>0</v>
      </c>
      <c r="T26" s="492">
        <f t="shared" si="5"/>
        <v>0</v>
      </c>
      <c r="U26" s="432" t="e">
        <f>VLOOKUP(A26,'Diags Raw Data'!$A$6:$AH$3830,33,FALSE)</f>
        <v>#N/A</v>
      </c>
      <c r="V26" s="181"/>
    </row>
    <row r="27" spans="1:22" ht="75.75" thickBot="1" x14ac:dyDescent="0.3">
      <c r="A27" s="546">
        <v>12.029999999999983</v>
      </c>
      <c r="B27" s="434" t="str">
        <f>VLOOKUP(A27,'Feature Raw Data'!$A$3:$B$3922,2,FALSE)</f>
        <v>Add support for image atomics fp32 add (makes fp32 add orthogonal).  Make fp behaviour among lds/cmm/df identical</v>
      </c>
      <c r="C27" s="435" t="str">
        <f>VLOOKUP(A27,'Feature Raw Data'!$A$3:$C$3922,3,FALSE)</f>
        <v>P1</v>
      </c>
      <c r="D27" s="436" t="str" cm="1">
        <f t="array" ref="D27">_xlfn.TEXTJOIN("",TRUE,IF(ISNUMBER(SEARCH($A27,'Diags Raw Data'!$A$6:$A$3830)),CONCATENATE('Diags Raw Data'!$H$6:$H$3830,", "),""))</f>
        <v xml:space="preserve">ppi302.3,ppi302.5, placeholder_q.1, rt1.320, rt1.330, rt1.302, </v>
      </c>
      <c r="E27" s="339" t="e">
        <f>VLOOKUP(A27,'Diags Raw Data'!$A$6:$D$3830,4,FALSE)</f>
        <v>#N/A</v>
      </c>
      <c r="F27" s="339" t="str">
        <f>VLOOKUP(A27,'Feature Raw Data'!$A$3:$E$3922,5,FALSE)</f>
        <v>New</v>
      </c>
      <c r="G27" s="339" t="str">
        <f t="shared" si="0"/>
        <v>Yes</v>
      </c>
      <c r="H27" s="339" t="str">
        <f t="shared" si="1"/>
        <v>Yes</v>
      </c>
      <c r="I27" s="435">
        <f>SUMIF('Diags Raw Data'!$A$6:$A$3830,"*"&amp;$A27&amp;"*",'Diags Raw Data'!$K$6:$K$3830)</f>
        <v>0</v>
      </c>
      <c r="J27" s="437">
        <f>SUMIF('Diags Raw Data'!$A$6:$A$3830,"*"&amp;$A27&amp;"*",'Diags Raw Data'!$L$6:$L$3830)</f>
        <v>0</v>
      </c>
      <c r="K27" s="484" t="e" cm="1">
        <f t="array" ref="K27">IF(D27="",0, SUMPRODUCT(--(ISNUMBER(SEARCH($A27,'Diags Raw Data'!$A$6:$A$3830))),'Diags Raw Data'!$L$6:$L$3830,'Diags Raw Data'!$N$6:$N$3830)/J27)</f>
        <v>#DIV/0!</v>
      </c>
      <c r="L27" s="485" t="e" cm="1">
        <f t="array" ref="L27">IF(D27="",0, SUMPRODUCT(--(ISNUMBER(SEARCH($A27,'Diags Raw Data'!$A$6:$A$3830))),'Diags Raw Data'!$L$6:$L$3830,'Diags Raw Data'!$P$6:$P$3830)/J27)</f>
        <v>#DIV/0!</v>
      </c>
      <c r="M27" s="486" cm="1">
        <f t="array" ref="M27">SUMPRODUCT(--(ISNUMBER(SEARCH($A27,'Diags Raw Data'!$A$6:$A$3830))),--('Diags Raw Data'!$Q$6:$Q$3830&lt;&gt;"N/A"),'Diags Raw Data'!$R$6:$R$3830)</f>
        <v>6</v>
      </c>
      <c r="N27" s="487" cm="1">
        <f t="array" ref="N27">SUMPRODUCT(--(ISNUMBER(SEARCH($A27,'Diags Raw Data'!$A$6:$A$3830))),--('Diags Raw Data'!$Q$6:$Q$3830&lt;&gt;"N/A"),'Diags Raw Data'!$T$6:$T$3830)+SUMPRODUCT(--(ISNUMBER(SEARCH($A27,'Diags Raw Data'!$A$6:$A$3830))),--('Diags Raw Data'!$Q$6:$Q$3830&lt;&gt;"N/A"),'Diags Raw Data'!$U$6:$U$3830)</f>
        <v>5</v>
      </c>
      <c r="O27" s="488">
        <f t="shared" si="2"/>
        <v>0.83333333333333337</v>
      </c>
      <c r="P27" s="489">
        <f>SUMIF('Diags Raw Data'!$A$6:$A$3830,"*"&amp;$A27&amp;"*",'Diags Raw Data'!$Z$6:$Z$3830)</f>
        <v>0</v>
      </c>
      <c r="Q27" s="490">
        <f>SUM(SUMIF('Diags Raw Data'!$A$6:$A$3830,"*"&amp;$A27&amp;"*",'Diags Raw Data'!$AA$6:$AA$3830),SUMIF('Diags Raw Data'!$A$6:$A$3830,"*"&amp;$A27&amp;"*",'Diags Raw Data'!$AB$6:$AB$3830))</f>
        <v>0</v>
      </c>
      <c r="R27" s="491">
        <f t="shared" si="3"/>
        <v>0</v>
      </c>
      <c r="S27" s="491">
        <f t="shared" si="4"/>
        <v>0</v>
      </c>
      <c r="T27" s="492">
        <f t="shared" si="5"/>
        <v>0</v>
      </c>
      <c r="U27" s="432" t="e">
        <f>VLOOKUP(A27,'Diags Raw Data'!$A$6:$AH$3830,33,FALSE)</f>
        <v>#N/A</v>
      </c>
      <c r="V27" s="181"/>
    </row>
    <row r="28" spans="1:22" ht="75.75" thickBot="1" x14ac:dyDescent="0.3">
      <c r="A28" s="546">
        <v>12.030999999999983</v>
      </c>
      <c r="B28" s="434" t="str">
        <f>VLOOKUP(A28,'Feature Raw Data'!$A$3:$B$3922,2,FALSE)</f>
        <v xml:space="preserve">Support greater than 16k x 16k x 8k textures  (64k x 64k x 16k, inc. 16 mip levels to support 64k).  Reduce/simplify swizzle modes. </v>
      </c>
      <c r="C28" s="435" t="str">
        <f>VLOOKUP(A28,'Feature Raw Data'!$A$3:$C$3922,3,FALSE)</f>
        <v>P1</v>
      </c>
      <c r="D28" s="436" t="str" cm="1">
        <f t="array" ref="D28">_xlfn.TEXTJOIN("",TRUE,IF(ISNUMBER(SEARCH($A28,'Diags Raw Data'!$A$6:$A$3830)),CONCATENATE('Diags Raw Data'!$H$6:$H$3830,", "),""))</f>
        <v/>
      </c>
      <c r="E28" s="339" t="e">
        <f>VLOOKUP(A28,'Diags Raw Data'!$A$6:$D$3830,4,FALSE)</f>
        <v>#N/A</v>
      </c>
      <c r="F28" s="339" t="str">
        <f>VLOOKUP(A28,'Feature Raw Data'!$A$3:$E$3922,5,FALSE)</f>
        <v>New</v>
      </c>
      <c r="G28" s="339" t="str">
        <f t="shared" si="0"/>
        <v>Yes</v>
      </c>
      <c r="H28" s="339" t="str">
        <f t="shared" si="1"/>
        <v>Yes</v>
      </c>
      <c r="I28" s="435">
        <f>SUMIF('Diags Raw Data'!$A$6:$A$3830,"*"&amp;$A28&amp;"*",'Diags Raw Data'!$K$6:$K$3830)</f>
        <v>0</v>
      </c>
      <c r="J28" s="437">
        <f>SUMIF('Diags Raw Data'!$A$6:$A$3830,"*"&amp;$A28&amp;"*",'Diags Raw Data'!$L$6:$L$3830)</f>
        <v>0</v>
      </c>
      <c r="K28" s="484" cm="1">
        <f t="array" ref="K28">IF(D28="",0, SUMPRODUCT(--(ISNUMBER(SEARCH($A28,'Diags Raw Data'!$A$6:$A$3830))),'Diags Raw Data'!$L$6:$L$3830,'Diags Raw Data'!$N$6:$N$3830)/J28)</f>
        <v>0</v>
      </c>
      <c r="L28" s="485" cm="1">
        <f t="array" ref="L28">IF(D28="",0, SUMPRODUCT(--(ISNUMBER(SEARCH($A28,'Diags Raw Data'!$A$6:$A$3830))),'Diags Raw Data'!$L$6:$L$3830,'Diags Raw Data'!$P$6:$P$3830)/J28)</f>
        <v>0</v>
      </c>
      <c r="M28" s="486" cm="1">
        <f t="array" ref="M28">SUMPRODUCT(--(ISNUMBER(SEARCH($A28,'Diags Raw Data'!$A$6:$A$3830))),--('Diags Raw Data'!$Q$6:$Q$3830&lt;&gt;"N/A"),'Diags Raw Data'!$R$6:$R$3830)</f>
        <v>0</v>
      </c>
      <c r="N28" s="487" cm="1">
        <f t="array" ref="N28">SUMPRODUCT(--(ISNUMBER(SEARCH($A28,'Diags Raw Data'!$A$6:$A$3830))),--('Diags Raw Data'!$Q$6:$Q$3830&lt;&gt;"N/A"),'Diags Raw Data'!$T$6:$T$3830)+SUMPRODUCT(--(ISNUMBER(SEARCH($A28,'Diags Raw Data'!$A$6:$A$3830))),--('Diags Raw Data'!$Q$6:$Q$3830&lt;&gt;"N/A"),'Diags Raw Data'!$U$6:$U$3830)</f>
        <v>0</v>
      </c>
      <c r="O28" s="488">
        <f t="shared" si="2"/>
        <v>0</v>
      </c>
      <c r="P28" s="489">
        <f>SUMIF('Diags Raw Data'!$A$6:$A$3830,"*"&amp;$A28&amp;"*",'Diags Raw Data'!$Z$6:$Z$3830)</f>
        <v>0</v>
      </c>
      <c r="Q28" s="490">
        <f>SUM(SUMIF('Diags Raw Data'!$A$6:$A$3830,"*"&amp;$A28&amp;"*",'Diags Raw Data'!$AA$6:$AA$3830),SUMIF('Diags Raw Data'!$A$6:$A$3830,"*"&amp;$A28&amp;"*",'Diags Raw Data'!$AB$6:$AB$3830))</f>
        <v>0</v>
      </c>
      <c r="R28" s="491">
        <f t="shared" si="3"/>
        <v>0</v>
      </c>
      <c r="S28" s="491">
        <f t="shared" si="4"/>
        <v>0</v>
      </c>
      <c r="T28" s="492">
        <f t="shared" si="5"/>
        <v>0</v>
      </c>
      <c r="U28" s="432" t="e">
        <f>VLOOKUP(A28,'Diags Raw Data'!$A$6:$AH$3830,33,FALSE)</f>
        <v>#N/A</v>
      </c>
      <c r="V28" s="181"/>
    </row>
    <row r="29" spans="1:22" ht="30.75" thickBot="1" x14ac:dyDescent="0.3">
      <c r="A29" s="546">
        <v>12.032999999999982</v>
      </c>
      <c r="B29" s="434" t="str">
        <f>VLOOKUP(A29,'Feature Raw Data'!$A$3:$B$3922,2,FALSE)</f>
        <v xml:space="preserve">Unclamped image load/store support </v>
      </c>
      <c r="C29" s="435" t="str">
        <f>VLOOKUP(A29,'Feature Raw Data'!$A$3:$C$3922,3,FALSE)</f>
        <v>P2</v>
      </c>
      <c r="D29" s="436" t="str" cm="1">
        <f t="array" ref="D29">_xlfn.TEXTJOIN("",TRUE,IF(ISNUMBER(SEARCH($A29,'Diags Raw Data'!$A$6:$A$3830)),CONCATENATE('Diags Raw Data'!$H$6:$H$3830,", "),""))</f>
        <v/>
      </c>
      <c r="E29" s="339" t="e">
        <f>VLOOKUP(A29,'Diags Raw Data'!$A$6:$D$3830,4,FALSE)</f>
        <v>#N/A</v>
      </c>
      <c r="F29" s="339" t="str">
        <f>VLOOKUP(A29,'Feature Raw Data'!$A$3:$E$3922,5,FALSE)</f>
        <v>New</v>
      </c>
      <c r="G29" s="339" t="str">
        <f t="shared" si="0"/>
        <v>Yes</v>
      </c>
      <c r="H29" s="339" t="str">
        <f t="shared" si="1"/>
        <v>Yes</v>
      </c>
      <c r="I29" s="435">
        <f>SUMIF('Diags Raw Data'!$A$6:$A$3830,"*"&amp;$A29&amp;"*",'Diags Raw Data'!$K$6:$K$3830)</f>
        <v>0</v>
      </c>
      <c r="J29" s="437">
        <f>SUMIF('Diags Raw Data'!$A$6:$A$3830,"*"&amp;$A29&amp;"*",'Diags Raw Data'!$L$6:$L$3830)</f>
        <v>0</v>
      </c>
      <c r="K29" s="484" cm="1">
        <f t="array" ref="K29">IF(D29="",0, SUMPRODUCT(--(ISNUMBER(SEARCH($A29,'Diags Raw Data'!$A$6:$A$3830))),'Diags Raw Data'!$L$6:$L$3830,'Diags Raw Data'!$N$6:$N$3830)/J29)</f>
        <v>0</v>
      </c>
      <c r="L29" s="485" cm="1">
        <f t="array" ref="L29">IF(D29="",0, SUMPRODUCT(--(ISNUMBER(SEARCH($A29,'Diags Raw Data'!$A$6:$A$3830))),'Diags Raw Data'!$L$6:$L$3830,'Diags Raw Data'!$P$6:$P$3830)/J29)</f>
        <v>0</v>
      </c>
      <c r="M29" s="486" cm="1">
        <f t="array" ref="M29">SUMPRODUCT(--(ISNUMBER(SEARCH($A29,'Diags Raw Data'!$A$6:$A$3830))),--('Diags Raw Data'!$Q$6:$Q$3830&lt;&gt;"N/A"),'Diags Raw Data'!$R$6:$R$3830)</f>
        <v>0</v>
      </c>
      <c r="N29" s="487" cm="1">
        <f t="array" ref="N29">SUMPRODUCT(--(ISNUMBER(SEARCH($A29,'Diags Raw Data'!$A$6:$A$3830))),--('Diags Raw Data'!$Q$6:$Q$3830&lt;&gt;"N/A"),'Diags Raw Data'!$T$6:$T$3830)+SUMPRODUCT(--(ISNUMBER(SEARCH($A29,'Diags Raw Data'!$A$6:$A$3830))),--('Diags Raw Data'!$Q$6:$Q$3830&lt;&gt;"N/A"),'Diags Raw Data'!$U$6:$U$3830)</f>
        <v>0</v>
      </c>
      <c r="O29" s="488">
        <f t="shared" si="2"/>
        <v>0</v>
      </c>
      <c r="P29" s="489">
        <f>SUMIF('Diags Raw Data'!$A$6:$A$3830,"*"&amp;$A29&amp;"*",'Diags Raw Data'!$Z$6:$Z$3830)</f>
        <v>0</v>
      </c>
      <c r="Q29" s="490">
        <f>SUM(SUMIF('Diags Raw Data'!$A$6:$A$3830,"*"&amp;$A29&amp;"*",'Diags Raw Data'!$AA$6:$AA$3830),SUMIF('Diags Raw Data'!$A$6:$A$3830,"*"&amp;$A29&amp;"*",'Diags Raw Data'!$AB$6:$AB$3830))</f>
        <v>0</v>
      </c>
      <c r="R29" s="491">
        <f t="shared" si="3"/>
        <v>0</v>
      </c>
      <c r="S29" s="491">
        <f t="shared" si="4"/>
        <v>0</v>
      </c>
      <c r="T29" s="492">
        <f t="shared" si="5"/>
        <v>0</v>
      </c>
      <c r="U29" s="432" t="e">
        <f>VLOOKUP(A29,'Diags Raw Data'!$A$6:$AH$3830,33,FALSE)</f>
        <v>#N/A</v>
      </c>
      <c r="V29" s="181"/>
    </row>
    <row r="30" spans="1:22" ht="30.75" thickBot="1" x14ac:dyDescent="0.3">
      <c r="A30" s="546">
        <v>12.033999999999981</v>
      </c>
      <c r="B30" s="434" t="str">
        <f>VLOOKUP(A30,'Feature Raw Data'!$A$3:$B$3922,2,FALSE)</f>
        <v xml:space="preserve">Move PRT++ atomic ops out of TCP tags </v>
      </c>
      <c r="C30" s="435" t="str">
        <f>VLOOKUP(A30,'Feature Raw Data'!$A$3:$C$3922,3,FALSE)</f>
        <v>P2</v>
      </c>
      <c r="D30" s="436" t="str" cm="1">
        <f t="array" ref="D30">_xlfn.TEXTJOIN("",TRUE,IF(ISNUMBER(SEARCH($A30,'Diags Raw Data'!$A$6:$A$3830)),CONCATENATE('Diags Raw Data'!$H$6:$H$3830,", "),""))</f>
        <v/>
      </c>
      <c r="E30" s="339" t="e">
        <f>VLOOKUP(A30,'Diags Raw Data'!$A$6:$D$3830,4,FALSE)</f>
        <v>#N/A</v>
      </c>
      <c r="F30" s="339" t="str">
        <f>VLOOKUP(A30,'Feature Raw Data'!$A$3:$E$3922,5,FALSE)</f>
        <v>New</v>
      </c>
      <c r="G30" s="339" t="str">
        <f t="shared" si="0"/>
        <v>Yes</v>
      </c>
      <c r="H30" s="339" t="str">
        <f t="shared" si="1"/>
        <v>Yes</v>
      </c>
      <c r="I30" s="435">
        <f>SUMIF('Diags Raw Data'!$A$6:$A$3830,"*"&amp;$A30&amp;"*",'Diags Raw Data'!$K$6:$K$3830)</f>
        <v>0</v>
      </c>
      <c r="J30" s="437">
        <f>SUMIF('Diags Raw Data'!$A$6:$A$3830,"*"&amp;$A30&amp;"*",'Diags Raw Data'!$L$6:$L$3830)</f>
        <v>0</v>
      </c>
      <c r="K30" s="484" cm="1">
        <f t="array" ref="K30">IF(D30="",0, SUMPRODUCT(--(ISNUMBER(SEARCH($A30,'Diags Raw Data'!$A$6:$A$3830))),'Diags Raw Data'!$L$6:$L$3830,'Diags Raw Data'!$N$6:$N$3830)/J30)</f>
        <v>0</v>
      </c>
      <c r="L30" s="485" cm="1">
        <f t="array" ref="L30">IF(D30="",0, SUMPRODUCT(--(ISNUMBER(SEARCH($A30,'Diags Raw Data'!$A$6:$A$3830))),'Diags Raw Data'!$L$6:$L$3830,'Diags Raw Data'!$P$6:$P$3830)/J30)</f>
        <v>0</v>
      </c>
      <c r="M30" s="486" cm="1">
        <f t="array" ref="M30">SUMPRODUCT(--(ISNUMBER(SEARCH($A30,'Diags Raw Data'!$A$6:$A$3830))),--('Diags Raw Data'!$Q$6:$Q$3830&lt;&gt;"N/A"),'Diags Raw Data'!$R$6:$R$3830)</f>
        <v>0</v>
      </c>
      <c r="N30" s="487" cm="1">
        <f t="array" ref="N30">SUMPRODUCT(--(ISNUMBER(SEARCH($A30,'Diags Raw Data'!$A$6:$A$3830))),--('Diags Raw Data'!$Q$6:$Q$3830&lt;&gt;"N/A"),'Diags Raw Data'!$T$6:$T$3830)+SUMPRODUCT(--(ISNUMBER(SEARCH($A30,'Diags Raw Data'!$A$6:$A$3830))),--('Diags Raw Data'!$Q$6:$Q$3830&lt;&gt;"N/A"),'Diags Raw Data'!$U$6:$U$3830)</f>
        <v>0</v>
      </c>
      <c r="O30" s="488">
        <f>IF((M30=0),0,N30/M30)</f>
        <v>0</v>
      </c>
      <c r="P30" s="489">
        <f>SUMIF('Diags Raw Data'!$A$6:$A$3830,"*"&amp;$A30&amp;"*",'Diags Raw Data'!$Z$6:$Z$3830)</f>
        <v>0</v>
      </c>
      <c r="Q30" s="490">
        <f>SUM(SUMIF('Diags Raw Data'!$A$6:$A$3830,"*"&amp;$A30&amp;"*",'Diags Raw Data'!$AA$6:$AA$3830),SUMIF('Diags Raw Data'!$A$6:$A$3830,"*"&amp;$A30&amp;"*",'Diags Raw Data'!$AB$6:$AB$3830))</f>
        <v>0</v>
      </c>
      <c r="R30" s="491">
        <f>IF((J30=0),0,P30/J30)</f>
        <v>0</v>
      </c>
      <c r="S30" s="491">
        <f>IF((P30=0),0,Q30/P30)</f>
        <v>0</v>
      </c>
      <c r="T30" s="492">
        <f>R30*S30</f>
        <v>0</v>
      </c>
      <c r="U30" s="432" t="e">
        <f>VLOOKUP(A30,'Diags Raw Data'!$A$6:$AH$3830,33,FALSE)</f>
        <v>#N/A</v>
      </c>
      <c r="V30" s="181"/>
    </row>
    <row r="31" spans="1:22" ht="30.75" thickBot="1" x14ac:dyDescent="0.3">
      <c r="A31" s="546">
        <v>12.03599999999998</v>
      </c>
      <c r="B31" s="434" t="str">
        <f>VLOOKUP(A31,'Feature Raw Data'!$A$3:$B$3922,2,FALSE)</f>
        <v xml:space="preserve">Double Ray Tracing Intersect Engine </v>
      </c>
      <c r="C31" s="435" t="str">
        <f>VLOOKUP(A31,'Feature Raw Data'!$A$3:$C$3922,3,FALSE)</f>
        <v>P1</v>
      </c>
      <c r="D31" s="436" t="str" cm="1">
        <f t="array" ref="D31">_xlfn.TEXTJOIN("",TRUE,IF(ISNUMBER(SEARCH($A31,'Diags Raw Data'!$A$6:$A$3830)),CONCATENATE('Diags Raw Data'!$H$6:$H$3830,", "),""))</f>
        <v/>
      </c>
      <c r="E31" s="339" t="e">
        <f>VLOOKUP(A31,'Diags Raw Data'!$A$6:$D$3830,4,FALSE)</f>
        <v>#N/A</v>
      </c>
      <c r="F31" s="339" t="str">
        <f>VLOOKUP(A31,'Feature Raw Data'!$A$3:$E$3922,5,FALSE)</f>
        <v>New</v>
      </c>
      <c r="G31" s="339" t="str">
        <f t="shared" si="0"/>
        <v>Yes</v>
      </c>
      <c r="H31" s="339" t="str">
        <f t="shared" si="1"/>
        <v>Yes</v>
      </c>
      <c r="I31" s="435">
        <f>SUMIF('Diags Raw Data'!$A$6:$A$3830,"*"&amp;$A31&amp;"*",'Diags Raw Data'!$K$6:$K$3830)</f>
        <v>0</v>
      </c>
      <c r="J31" s="437">
        <f>SUMIF('Diags Raw Data'!$A$6:$A$3830,"*"&amp;$A31&amp;"*",'Diags Raw Data'!$L$6:$L$3830)</f>
        <v>0</v>
      </c>
      <c r="K31" s="484" cm="1">
        <f t="array" ref="K31">IF(D31="",0, SUMPRODUCT(--(ISNUMBER(SEARCH($A31,'Diags Raw Data'!$A$6:$A$3830))),'Diags Raw Data'!$L$6:$L$3830,'Diags Raw Data'!$N$6:$N$3830)/J31)</f>
        <v>0</v>
      </c>
      <c r="L31" s="485" cm="1">
        <f t="array" ref="L31">IF(D31="",0, SUMPRODUCT(--(ISNUMBER(SEARCH($A31,'Diags Raw Data'!$A$6:$A$3830))),'Diags Raw Data'!$L$6:$L$3830,'Diags Raw Data'!$P$6:$P$3830)/J31)</f>
        <v>0</v>
      </c>
      <c r="M31" s="486" cm="1">
        <f t="array" ref="M31">SUMPRODUCT(--(ISNUMBER(SEARCH($A31,'Diags Raw Data'!$A$6:$A$3830))),--('Diags Raw Data'!$Q$6:$Q$3830&lt;&gt;"N/A"),'Diags Raw Data'!$R$6:$R$3830)</f>
        <v>0</v>
      </c>
      <c r="N31" s="487" cm="1">
        <f t="array" ref="N31">SUMPRODUCT(--(ISNUMBER(SEARCH($A31,'Diags Raw Data'!$A$6:$A$3830))),--('Diags Raw Data'!$Q$6:$Q$3830&lt;&gt;"N/A"),'Diags Raw Data'!$T$6:$T$3830)+SUMPRODUCT(--(ISNUMBER(SEARCH($A31,'Diags Raw Data'!$A$6:$A$3830))),--('Diags Raw Data'!$Q$6:$Q$3830&lt;&gt;"N/A"),'Diags Raw Data'!$U$6:$U$3830)</f>
        <v>0</v>
      </c>
      <c r="O31" s="488">
        <f t="shared" si="2"/>
        <v>0</v>
      </c>
      <c r="P31" s="489">
        <f>SUMIF('Diags Raw Data'!$A$6:$A$3830,"*"&amp;$A31&amp;"*",'Diags Raw Data'!$Z$6:$Z$3830)</f>
        <v>0</v>
      </c>
      <c r="Q31" s="490">
        <f>SUM(SUMIF('Diags Raw Data'!$A$6:$A$3830,"*"&amp;$A31&amp;"*",'Diags Raw Data'!$AA$6:$AA$3830),SUMIF('Diags Raw Data'!$A$6:$A$3830,"*"&amp;$A31&amp;"*",'Diags Raw Data'!$AB$6:$AB$3830))</f>
        <v>0</v>
      </c>
      <c r="R31" s="491">
        <f t="shared" si="3"/>
        <v>0</v>
      </c>
      <c r="S31" s="491">
        <f t="shared" si="4"/>
        <v>0</v>
      </c>
      <c r="T31" s="492">
        <f t="shared" si="5"/>
        <v>0</v>
      </c>
      <c r="U31" s="432" t="e">
        <f>VLOOKUP(A31,'Diags Raw Data'!$A$6:$AH$3830,33,FALSE)</f>
        <v>#N/A</v>
      </c>
      <c r="V31" s="181"/>
    </row>
    <row r="32" spans="1:22" ht="15.75" thickBot="1" x14ac:dyDescent="0.3">
      <c r="A32" s="546">
        <v>12.037000000000001</v>
      </c>
      <c r="B32" s="434" t="str">
        <f>VLOOKUP(A32,'Feature Raw Data'!$A$3:$B$3922,2,FALSE)</f>
        <v xml:space="preserve">RT instance node transform </v>
      </c>
      <c r="C32" s="435" t="str">
        <f>VLOOKUP(A32,'Feature Raw Data'!$A$3:$C$3922,3,FALSE)</f>
        <v>P1</v>
      </c>
      <c r="D32" s="436" t="str" cm="1">
        <f t="array" ref="D32">_xlfn.TEXTJOIN("",TRUE,IF(ISNUMBER(SEARCH($A32,'Diags Raw Data'!$A$6:$A$3830)),CONCATENATE('Diags Raw Data'!$H$6:$H$3830,", "),""))</f>
        <v xml:space="preserve">rt1.330, </v>
      </c>
      <c r="E32" s="339" t="str">
        <f>VLOOKUP(A32,'Diags Raw Data'!$A$6:$D$3830,4,FALSE)</f>
        <v>TEX</v>
      </c>
      <c r="F32" s="339" t="str">
        <f>VLOOKUP(A32,'Feature Raw Data'!$A$3:$E$3922,5,FALSE)</f>
        <v>New</v>
      </c>
      <c r="G32" s="339" t="str">
        <f t="shared" si="0"/>
        <v>Yes</v>
      </c>
      <c r="H32" s="339" t="str">
        <f t="shared" si="1"/>
        <v>Yes</v>
      </c>
      <c r="I32" s="435">
        <f>SUMIF('Diags Raw Data'!$A$6:$A$3830,"*"&amp;$A32&amp;"*",'Diags Raw Data'!$K$6:$K$3830)</f>
        <v>0</v>
      </c>
      <c r="J32" s="437">
        <f>SUMIF('Diags Raw Data'!$A$6:$A$3830,"*"&amp;$A32&amp;"*",'Diags Raw Data'!$L$6:$L$3830)</f>
        <v>0</v>
      </c>
      <c r="K32" s="484" t="e" cm="1">
        <f t="array" ref="K32">IF(D32="",0, SUMPRODUCT(--(ISNUMBER(SEARCH($A32,'Diags Raw Data'!$A$6:$A$3830))),'Diags Raw Data'!$L$6:$L$3830,'Diags Raw Data'!$N$6:$N$3830)/J32)</f>
        <v>#DIV/0!</v>
      </c>
      <c r="L32" s="485" t="e" cm="1">
        <f t="array" ref="L32">IF(D32="",0, SUMPRODUCT(--(ISNUMBER(SEARCH($A32,'Diags Raw Data'!$A$6:$A$3830))),'Diags Raw Data'!$L$6:$L$3830,'Diags Raw Data'!$P$6:$P$3830)/J32)</f>
        <v>#DIV/0!</v>
      </c>
      <c r="M32" s="486" cm="1">
        <f t="array" ref="M32">SUMPRODUCT(--(ISNUMBER(SEARCH($A32,'Diags Raw Data'!$A$6:$A$3830))),--('Diags Raw Data'!$Q$6:$Q$3830&lt;&gt;"N/A"),'Diags Raw Data'!$R$6:$R$3830)</f>
        <v>1</v>
      </c>
      <c r="N32" s="487" cm="1">
        <f t="array" ref="N32">SUMPRODUCT(--(ISNUMBER(SEARCH($A32,'Diags Raw Data'!$A$6:$A$3830))),--('Diags Raw Data'!$Q$6:$Q$3830&lt;&gt;"N/A"),'Diags Raw Data'!$T$6:$T$3830)+SUMPRODUCT(--(ISNUMBER(SEARCH($A32,'Diags Raw Data'!$A$6:$A$3830))),--('Diags Raw Data'!$Q$6:$Q$3830&lt;&gt;"N/A"),'Diags Raw Data'!$U$6:$U$3830)</f>
        <v>1</v>
      </c>
      <c r="O32" s="488">
        <f t="shared" si="2"/>
        <v>1</v>
      </c>
      <c r="P32" s="489">
        <f>SUMIF('Diags Raw Data'!$A$6:$A$3830,"*"&amp;$A32&amp;"*",'Diags Raw Data'!$Z$6:$Z$3830)</f>
        <v>0</v>
      </c>
      <c r="Q32" s="490">
        <f>SUM(SUMIF('Diags Raw Data'!$A$6:$A$3830,"*"&amp;$A32&amp;"*",'Diags Raw Data'!$AA$6:$AA$3830),SUMIF('Diags Raw Data'!$A$6:$A$3830,"*"&amp;$A32&amp;"*",'Diags Raw Data'!$AB$6:$AB$3830))</f>
        <v>0</v>
      </c>
      <c r="R32" s="491">
        <f t="shared" si="3"/>
        <v>0</v>
      </c>
      <c r="S32" s="491">
        <f t="shared" si="4"/>
        <v>0</v>
      </c>
      <c r="T32" s="492">
        <f t="shared" si="5"/>
        <v>0</v>
      </c>
      <c r="U32" s="432" t="str">
        <f>VLOOKUP(A32,'Diags Raw Data'!$A$6:$AH$3830,33,FALSE)</f>
        <v>WK3</v>
      </c>
      <c r="V32" s="181"/>
    </row>
    <row r="33" spans="1:22" ht="240.75" thickBot="1" x14ac:dyDescent="0.3">
      <c r="A33" s="546">
        <v>12.039999999999978</v>
      </c>
      <c r="B33" s="434" t="str">
        <f>VLOOKUP(A33,'Feature Raw Data'!$A$3:$B$3922,2,FALSE)</f>
        <v xml:space="preserve">64B RT node </v>
      </c>
      <c r="C33" s="435" t="str">
        <f>VLOOKUP(A33,'Feature Raw Data'!$A$3:$C$3922,3,FALSE)</f>
        <v>P1</v>
      </c>
      <c r="D33" s="436" t="str" cm="1">
        <f t="array" ref="D33">_xlfn.TEXTJOIN("",TRUE,IF(ISNUMBER(SEARCH($A33,'Diags Raw Data'!$A$6:$A$3830)),CONCATENATE('Diags Raw Data'!$H$6:$H$3830,", "),""))</f>
        <v xml:space="preserve">gfx.cmm_sa_policy_monolithic_gfx12.1-23, gfx.cmm_cp_access_order_monolithic.1-3,gfx.cmm_sa_gl2_access_order_monolithic.1-3,gfx.cmm_sa_gl2_same_address_monolithic.1-2, gfx.cmm_cp_access_order_monolithic.1-3,gfx.cmm_sa_gl2_access_order_monolithic.1-3,gfx.cmm_sa_gl2_same_address_monolithic.1-2, placeholder_d.1, placeholder_e.1, </v>
      </c>
      <c r="E33" s="339" t="e">
        <f>VLOOKUP(A33,'Diags Raw Data'!$A$6:$D$3830,4,FALSE)</f>
        <v>#N/A</v>
      </c>
      <c r="F33" s="339" t="str">
        <f>VLOOKUP(A33,'Feature Raw Data'!$A$3:$E$3922,5,FALSE)</f>
        <v>New</v>
      </c>
      <c r="G33" s="339" t="str">
        <f t="shared" si="0"/>
        <v>Yes</v>
      </c>
      <c r="H33" s="339" t="str">
        <f t="shared" si="1"/>
        <v>Yes</v>
      </c>
      <c r="I33" s="435">
        <f>SUMIF('Diags Raw Data'!$A$6:$A$3830,"*"&amp;$A33&amp;"*",'Diags Raw Data'!$K$6:$K$3830)</f>
        <v>0</v>
      </c>
      <c r="J33" s="437">
        <f>SUMIF('Diags Raw Data'!$A$6:$A$3830,"*"&amp;$A33&amp;"*",'Diags Raw Data'!$L$6:$L$3830)</f>
        <v>0</v>
      </c>
      <c r="K33" s="484" t="e" cm="1">
        <f t="array" ref="K33">IF(D33="",0, SUMPRODUCT(--(ISNUMBER(SEARCH($A33,'Diags Raw Data'!$A$6:$A$3830))),'Diags Raw Data'!$L$6:$L$3830,'Diags Raw Data'!$N$6:$N$3830)/J33)</f>
        <v>#DIV/0!</v>
      </c>
      <c r="L33" s="485" t="e" cm="1">
        <f t="array" ref="L33">IF(D33="",0, SUMPRODUCT(--(ISNUMBER(SEARCH($A33,'Diags Raw Data'!$A$6:$A$3830))),'Diags Raw Data'!$L$6:$L$3830,'Diags Raw Data'!$P$6:$P$3830)/J33)</f>
        <v>#DIV/0!</v>
      </c>
      <c r="M33" s="486" cm="1">
        <f t="array" ref="M33">SUMPRODUCT(--(ISNUMBER(SEARCH($A33,'Diags Raw Data'!$A$6:$A$3830))),--('Diags Raw Data'!$Q$6:$Q$3830&lt;&gt;"N/A"),'Diags Raw Data'!$R$6:$R$3830)</f>
        <v>22</v>
      </c>
      <c r="N33" s="487" cm="1">
        <f t="array" ref="N33">SUMPRODUCT(--(ISNUMBER(SEARCH($A33,'Diags Raw Data'!$A$6:$A$3830))),--('Diags Raw Data'!$Q$6:$Q$3830&lt;&gt;"N/A"),'Diags Raw Data'!$T$6:$T$3830)+SUMPRODUCT(--(ISNUMBER(SEARCH($A33,'Diags Raw Data'!$A$6:$A$3830))),--('Diags Raw Data'!$Q$6:$Q$3830&lt;&gt;"N/A"),'Diags Raw Data'!$U$6:$U$3830)</f>
        <v>20</v>
      </c>
      <c r="O33" s="488">
        <f t="shared" si="2"/>
        <v>0.90909090909090906</v>
      </c>
      <c r="P33" s="489">
        <f>SUMIF('Diags Raw Data'!$A$6:$A$3830,"*"&amp;$A33&amp;"*",'Diags Raw Data'!$Z$6:$Z$3830)</f>
        <v>0</v>
      </c>
      <c r="Q33" s="490">
        <f>SUM(SUMIF('Diags Raw Data'!$A$6:$A$3830,"*"&amp;$A33&amp;"*",'Diags Raw Data'!$AA$6:$AA$3830),SUMIF('Diags Raw Data'!$A$6:$A$3830,"*"&amp;$A33&amp;"*",'Diags Raw Data'!$AB$6:$AB$3830))</f>
        <v>0</v>
      </c>
      <c r="R33" s="491">
        <f t="shared" si="3"/>
        <v>0</v>
      </c>
      <c r="S33" s="491">
        <f t="shared" si="4"/>
        <v>0</v>
      </c>
      <c r="T33" s="492">
        <f t="shared" si="5"/>
        <v>0</v>
      </c>
      <c r="U33" s="432" t="e">
        <f>VLOOKUP(A33,'Diags Raw Data'!$A$6:$AH$3830,33,FALSE)</f>
        <v>#N/A</v>
      </c>
      <c r="V33" s="181"/>
    </row>
    <row r="34" spans="1:22" ht="30.75" thickBot="1" x14ac:dyDescent="0.3">
      <c r="A34" s="546">
        <v>12.041</v>
      </c>
      <c r="B34" s="434" t="str">
        <f>VLOOKUP(A34,'Feature Raw Data'!$A$3:$B$3922,2,FALSE)</f>
        <v>New GL2 policies (same/child of 12.027)</v>
      </c>
      <c r="C34" s="435" t="str">
        <f>VLOOKUP(A34,'Feature Raw Data'!$A$3:$C$3922,3,FALSE)</f>
        <v>P1</v>
      </c>
      <c r="D34" s="436" t="str" cm="1">
        <f t="array" ref="D34">_xlfn.TEXTJOIN("",TRUE,IF(ISNUMBER(SEARCH($A34,'Diags Raw Data'!$A$6:$A$3830)),CONCATENATE('Diags Raw Data'!$H$6:$H$3830,", "),""))</f>
        <v xml:space="preserve">gfx.cmm_sa_policy_monolithic_gfx12.1-23, gfx.cmm_cp_access_order_monolithic.1-3,gfx.cmm_sa_gl2_access_order_monolithic.1-3,gfx.cmm_sa_gl2_same_address_monolithic.1-2, </v>
      </c>
      <c r="E34" s="339" t="str">
        <f>VLOOKUP(A34,'Diags Raw Data'!$A$6:$D$3830,4,FALSE)</f>
        <v>CMM</v>
      </c>
      <c r="F34" s="339" t="str">
        <f>VLOOKUP(A34,'Feature Raw Data'!$A$3:$E$3922,5,FALSE)</f>
        <v>New</v>
      </c>
      <c r="G34" s="339" t="str">
        <f t="shared" si="0"/>
        <v>Yes</v>
      </c>
      <c r="H34" s="339" t="str">
        <f t="shared" si="1"/>
        <v>Yes</v>
      </c>
      <c r="I34" s="435">
        <f>SUMIF('Diags Raw Data'!$A$6:$A$3830,"*"&amp;$A34&amp;"*",'Diags Raw Data'!$K$6:$K$3830)</f>
        <v>0</v>
      </c>
      <c r="J34" s="437">
        <f>SUMIF('Diags Raw Data'!$A$6:$A$3830,"*"&amp;$A34&amp;"*",'Diags Raw Data'!$L$6:$L$3830)</f>
        <v>0</v>
      </c>
      <c r="K34" s="484" t="e" cm="1">
        <f t="array" ref="K34">IF(D34="",0, SUMPRODUCT(--(ISNUMBER(SEARCH($A34,'Diags Raw Data'!$A$6:$A$3830))),'Diags Raw Data'!$L$6:$L$3830,'Diags Raw Data'!$N$6:$N$3830)/J34)</f>
        <v>#DIV/0!</v>
      </c>
      <c r="L34" s="485" t="e" cm="1">
        <f t="array" ref="L34">IF(D34="",0, SUMPRODUCT(--(ISNUMBER(SEARCH($A34,'Diags Raw Data'!$A$6:$A$3830))),'Diags Raw Data'!$L$6:$L$3830,'Diags Raw Data'!$P$6:$P$3830)/J34)</f>
        <v>#DIV/0!</v>
      </c>
      <c r="M34" s="486" cm="1">
        <f t="array" ref="M34">SUMPRODUCT(--(ISNUMBER(SEARCH($A34,'Diags Raw Data'!$A$6:$A$3830))),--('Diags Raw Data'!$Q$6:$Q$3830&lt;&gt;"N/A"),'Diags Raw Data'!$R$6:$R$3830)</f>
        <v>19</v>
      </c>
      <c r="N34" s="487" cm="1">
        <f t="array" ref="N34">SUMPRODUCT(--(ISNUMBER(SEARCH($A34,'Diags Raw Data'!$A$6:$A$3830))),--('Diags Raw Data'!$Q$6:$Q$3830&lt;&gt;"N/A"),'Diags Raw Data'!$T$6:$T$3830)+SUMPRODUCT(--(ISNUMBER(SEARCH($A34,'Diags Raw Data'!$A$6:$A$3830))),--('Diags Raw Data'!$Q$6:$Q$3830&lt;&gt;"N/A"),'Diags Raw Data'!$U$6:$U$3830)</f>
        <v>18</v>
      </c>
      <c r="O34" s="488">
        <f t="shared" si="2"/>
        <v>0.94736842105263153</v>
      </c>
      <c r="P34" s="489">
        <f>SUMIF('Diags Raw Data'!$A$6:$A$3830,"*"&amp;$A34&amp;"*",'Diags Raw Data'!$Z$6:$Z$3830)</f>
        <v>0</v>
      </c>
      <c r="Q34" s="490">
        <f>SUM(SUMIF('Diags Raw Data'!$A$6:$A$3830,"*"&amp;$A34&amp;"*",'Diags Raw Data'!$AA$6:$AA$3830),SUMIF('Diags Raw Data'!$A$6:$A$3830,"*"&amp;$A34&amp;"*",'Diags Raw Data'!$AB$6:$AB$3830))</f>
        <v>0</v>
      </c>
      <c r="R34" s="491">
        <f t="shared" si="3"/>
        <v>0</v>
      </c>
      <c r="S34" s="491">
        <f t="shared" si="4"/>
        <v>0</v>
      </c>
      <c r="T34" s="492">
        <f t="shared" si="5"/>
        <v>0</v>
      </c>
      <c r="U34" s="432" t="str">
        <f>VLOOKUP(A34,'Diags Raw Data'!$A$6:$AH$3830,33,FALSE)</f>
        <v>WK4</v>
      </c>
      <c r="V34" s="181"/>
    </row>
    <row r="35" spans="1:22" ht="90.75" thickBot="1" x14ac:dyDescent="0.3">
      <c r="A35" s="546">
        <v>12.041999999999977</v>
      </c>
      <c r="B35" s="434" t="str">
        <f>VLOOKUP(A35,'Feature Raw Data'!$A$3:$B$3922,2,FALSE)</f>
        <v xml:space="preserve">Unify GLC-&gt;EA request interface </v>
      </c>
      <c r="C35" s="435" t="str">
        <f>VLOOKUP(A35,'Feature Raw Data'!$A$3:$C$3922,3,FALSE)</f>
        <v>P1</v>
      </c>
      <c r="D35" s="436" t="str" cm="1">
        <f t="array" ref="D35">_xlfn.TEXTJOIN("",TRUE,IF(ISNUMBER(SEARCH($A35,'Diags Raw Data'!$A$6:$A$3830)),CONCATENATE('Diags Raw Data'!$H$6:$H$3830,", "),""))</f>
        <v/>
      </c>
      <c r="E35" s="339" t="e">
        <f>VLOOKUP(A35,'Diags Raw Data'!$A$6:$D$3830,4,FALSE)</f>
        <v>#N/A</v>
      </c>
      <c r="F35" s="339" t="str">
        <f>VLOOKUP(A35,'Feature Raw Data'!$A$3:$E$3922,5,FALSE)</f>
        <v>New</v>
      </c>
      <c r="G35" s="339" t="str">
        <f t="shared" si="0"/>
        <v>Yes</v>
      </c>
      <c r="H35" s="339" t="str">
        <f t="shared" si="1"/>
        <v>Yes</v>
      </c>
      <c r="I35" s="435">
        <f>SUMIF('Diags Raw Data'!$A$6:$A$3830,"*"&amp;$A35&amp;"*",'Diags Raw Data'!$K$6:$K$3830)</f>
        <v>0</v>
      </c>
      <c r="J35" s="437">
        <f>SUMIF('Diags Raw Data'!$A$6:$A$3830,"*"&amp;$A35&amp;"*",'Diags Raw Data'!$L$6:$L$3830)</f>
        <v>0</v>
      </c>
      <c r="K35" s="484" cm="1">
        <f t="array" ref="K35">IF(D35="",0, SUMPRODUCT(--(ISNUMBER(SEARCH($A35,'Diags Raw Data'!$A$6:$A$3830))),'Diags Raw Data'!$L$6:$L$3830,'Diags Raw Data'!$N$6:$N$3830)/J35)</f>
        <v>0</v>
      </c>
      <c r="L35" s="485" cm="1">
        <f t="array" ref="L35">IF(D35="",0, SUMPRODUCT(--(ISNUMBER(SEARCH($A35,'Diags Raw Data'!$A$6:$A$3830))),'Diags Raw Data'!$L$6:$L$3830,'Diags Raw Data'!$P$6:$P$3830)/J35)</f>
        <v>0</v>
      </c>
      <c r="M35" s="486" cm="1">
        <f t="array" ref="M35">SUMPRODUCT(--(ISNUMBER(SEARCH($A35,'Diags Raw Data'!$A$6:$A$3830))),--('Diags Raw Data'!$Q$6:$Q$3830&lt;&gt;"N/A"),'Diags Raw Data'!$R$6:$R$3830)</f>
        <v>0</v>
      </c>
      <c r="N35" s="487" cm="1">
        <f t="array" ref="N35">SUMPRODUCT(--(ISNUMBER(SEARCH($A35,'Diags Raw Data'!$A$6:$A$3830))),--('Diags Raw Data'!$Q$6:$Q$3830&lt;&gt;"N/A"),'Diags Raw Data'!$T$6:$T$3830)+SUMPRODUCT(--(ISNUMBER(SEARCH($A35,'Diags Raw Data'!$A$6:$A$3830))),--('Diags Raw Data'!$Q$6:$Q$3830&lt;&gt;"N/A"),'Diags Raw Data'!$U$6:$U$3830)</f>
        <v>0</v>
      </c>
      <c r="O35" s="488">
        <f t="shared" si="2"/>
        <v>0</v>
      </c>
      <c r="P35" s="489">
        <f>SUMIF('Diags Raw Data'!$A$6:$A$3830,"*"&amp;$A35&amp;"*",'Diags Raw Data'!$Z$6:$Z$3830)</f>
        <v>0</v>
      </c>
      <c r="Q35" s="490">
        <f>SUM(SUMIF('Diags Raw Data'!$A$6:$A$3830,"*"&amp;$A35&amp;"*",'Diags Raw Data'!$AA$6:$AA$3830),SUMIF('Diags Raw Data'!$A$6:$A$3830,"*"&amp;$A35&amp;"*",'Diags Raw Data'!$AB$6:$AB$3830))</f>
        <v>0</v>
      </c>
      <c r="R35" s="491">
        <f t="shared" si="3"/>
        <v>0</v>
      </c>
      <c r="S35" s="491">
        <f t="shared" si="4"/>
        <v>0</v>
      </c>
      <c r="T35" s="492">
        <f t="shared" si="5"/>
        <v>0</v>
      </c>
      <c r="U35" s="432" t="e">
        <f>VLOOKUP(A35,'Diags Raw Data'!$A$6:$AH$3830,33,FALSE)</f>
        <v>#N/A</v>
      </c>
      <c r="V35" s="181"/>
    </row>
    <row r="36" spans="1:22" ht="90.75" thickBot="1" x14ac:dyDescent="0.3">
      <c r="A36" s="546">
        <v>12.043999999999976</v>
      </c>
      <c r="B36" s="434" t="str">
        <f>VLOOKUP(A36,'Feature Raw Data'!$A$3:$B$3922,2,FALSE)</f>
        <v>GLC guarantee of same address order for any op or scope (dep. On 12.042)</v>
      </c>
      <c r="C36" s="435" t="str">
        <f>VLOOKUP(A36,'Feature Raw Data'!$A$3:$C$3922,3,FALSE)</f>
        <v>P1</v>
      </c>
      <c r="D36" s="436" t="str" cm="1">
        <f t="array" ref="D36">_xlfn.TEXTJOIN("",TRUE,IF(ISNUMBER(SEARCH($A36,'Diags Raw Data'!$A$6:$A$3830)),CONCATENATE('Diags Raw Data'!$H$6:$H$3830,", "),""))</f>
        <v/>
      </c>
      <c r="E36" s="339" t="e">
        <f>VLOOKUP(A36,'Diags Raw Data'!$A$6:$D$3830,4,FALSE)</f>
        <v>#N/A</v>
      </c>
      <c r="F36" s="339" t="str">
        <f>VLOOKUP(A36,'Feature Raw Data'!$A$3:$E$3922,5,FALSE)</f>
        <v>New</v>
      </c>
      <c r="G36" s="339" t="str">
        <f t="shared" si="0"/>
        <v>Yes</v>
      </c>
      <c r="H36" s="339" t="str">
        <f t="shared" si="1"/>
        <v>Yes</v>
      </c>
      <c r="I36" s="435">
        <f>SUMIF('Diags Raw Data'!$A$6:$A$3830,"*"&amp;$A36&amp;"*",'Diags Raw Data'!$K$6:$K$3830)</f>
        <v>0</v>
      </c>
      <c r="J36" s="437">
        <f>SUMIF('Diags Raw Data'!$A$6:$A$3830,"*"&amp;$A36&amp;"*",'Diags Raw Data'!$L$6:$L$3830)</f>
        <v>0</v>
      </c>
      <c r="K36" s="484" cm="1">
        <f t="array" ref="K36">IF(D36="",0, SUMPRODUCT(--(ISNUMBER(SEARCH($A36,'Diags Raw Data'!$A$6:$A$3830))),'Diags Raw Data'!$L$6:$L$3830,'Diags Raw Data'!$N$6:$N$3830)/J36)</f>
        <v>0</v>
      </c>
      <c r="L36" s="485" cm="1">
        <f t="array" ref="L36">IF(D36="",0, SUMPRODUCT(--(ISNUMBER(SEARCH($A36,'Diags Raw Data'!$A$6:$A$3830))),'Diags Raw Data'!$L$6:$L$3830,'Diags Raw Data'!$P$6:$P$3830)/J36)</f>
        <v>0</v>
      </c>
      <c r="M36" s="486" cm="1">
        <f t="array" ref="M36">SUMPRODUCT(--(ISNUMBER(SEARCH($A36,'Diags Raw Data'!$A$6:$A$3830))),--('Diags Raw Data'!$Q$6:$Q$3830&lt;&gt;"N/A"),'Diags Raw Data'!$R$6:$R$3830)</f>
        <v>0</v>
      </c>
      <c r="N36" s="487" cm="1">
        <f t="array" ref="N36">SUMPRODUCT(--(ISNUMBER(SEARCH($A36,'Diags Raw Data'!$A$6:$A$3830))),--('Diags Raw Data'!$Q$6:$Q$3830&lt;&gt;"N/A"),'Diags Raw Data'!$T$6:$T$3830)+SUMPRODUCT(--(ISNUMBER(SEARCH($A36,'Diags Raw Data'!$A$6:$A$3830))),--('Diags Raw Data'!$Q$6:$Q$3830&lt;&gt;"N/A"),'Diags Raw Data'!$U$6:$U$3830)</f>
        <v>0</v>
      </c>
      <c r="O36" s="488">
        <f t="shared" si="2"/>
        <v>0</v>
      </c>
      <c r="P36" s="489">
        <f>SUMIF('Diags Raw Data'!$A$6:$A$3830,"*"&amp;$A36&amp;"*",'Diags Raw Data'!$Z$6:$Z$3830)</f>
        <v>0</v>
      </c>
      <c r="Q36" s="490">
        <f>SUM(SUMIF('Diags Raw Data'!$A$6:$A$3830,"*"&amp;$A36&amp;"*",'Diags Raw Data'!$AA$6:$AA$3830),SUMIF('Diags Raw Data'!$A$6:$A$3830,"*"&amp;$A36&amp;"*",'Diags Raw Data'!$AB$6:$AB$3830))</f>
        <v>0</v>
      </c>
      <c r="R36" s="491">
        <f t="shared" si="3"/>
        <v>0</v>
      </c>
      <c r="S36" s="491">
        <f t="shared" si="4"/>
        <v>0</v>
      </c>
      <c r="T36" s="492">
        <f t="shared" si="5"/>
        <v>0</v>
      </c>
      <c r="U36" s="432" t="e">
        <f>VLOOKUP(A36,'Diags Raw Data'!$A$6:$AH$3830,33,FALSE)</f>
        <v>#N/A</v>
      </c>
      <c r="V36" s="181"/>
    </row>
    <row r="37" spans="1:22" ht="45.75" thickBot="1" x14ac:dyDescent="0.3">
      <c r="A37" s="546">
        <v>12.045999999999975</v>
      </c>
      <c r="B37" s="434" t="str">
        <f>VLOOKUP(A37,'Feature Raw Data'!$A$3:$B$3922,2,FALSE)</f>
        <v>GLC Cascading Read-Mod-Write Atomic Ops (includes retaining gfx11 atomic ops)</v>
      </c>
      <c r="C37" s="435" t="str">
        <f>VLOOKUP(A37,'Feature Raw Data'!$A$3:$C$3922,3,FALSE)</f>
        <v>P1</v>
      </c>
      <c r="D37" s="436" t="str" cm="1">
        <f t="array" ref="D37">_xlfn.TEXTJOIN("",TRUE,IF(ISNUMBER(SEARCH($A37,'Diags Raw Data'!$A$6:$A$3830)),CONCATENATE('Diags Raw Data'!$H$6:$H$3830,", "),""))</f>
        <v/>
      </c>
      <c r="E37" s="339" t="e">
        <f>VLOOKUP(A37,'Diags Raw Data'!$A$6:$D$3830,4,FALSE)</f>
        <v>#N/A</v>
      </c>
      <c r="F37" s="339" t="str">
        <f>VLOOKUP(A37,'Feature Raw Data'!$A$3:$E$3922,5,FALSE)</f>
        <v>New</v>
      </c>
      <c r="G37" s="339" t="str">
        <f t="shared" si="0"/>
        <v>Yes</v>
      </c>
      <c r="H37" s="339" t="str">
        <f t="shared" si="1"/>
        <v>Yes</v>
      </c>
      <c r="I37" s="435">
        <f>SUMIF('Diags Raw Data'!$A$6:$A$3830,"*"&amp;$A37&amp;"*",'Diags Raw Data'!$K$6:$K$3830)</f>
        <v>0</v>
      </c>
      <c r="J37" s="437">
        <f>SUMIF('Diags Raw Data'!$A$6:$A$3830,"*"&amp;$A37&amp;"*",'Diags Raw Data'!$L$6:$L$3830)</f>
        <v>0</v>
      </c>
      <c r="K37" s="484" cm="1">
        <f t="array" ref="K37">IF(D37="",0, SUMPRODUCT(--(ISNUMBER(SEARCH($A37,'Diags Raw Data'!$A$6:$A$3830))),'Diags Raw Data'!$L$6:$L$3830,'Diags Raw Data'!$N$6:$N$3830)/J37)</f>
        <v>0</v>
      </c>
      <c r="L37" s="485" cm="1">
        <f t="array" ref="L37">IF(D37="",0, SUMPRODUCT(--(ISNUMBER(SEARCH($A37,'Diags Raw Data'!$A$6:$A$3830))),'Diags Raw Data'!$L$6:$L$3830,'Diags Raw Data'!$P$6:$P$3830)/J37)</f>
        <v>0</v>
      </c>
      <c r="M37" s="486" cm="1">
        <f t="array" ref="M37">SUMPRODUCT(--(ISNUMBER(SEARCH($A37,'Diags Raw Data'!$A$6:$A$3830))),--('Diags Raw Data'!$Q$6:$Q$3830&lt;&gt;"N/A"),'Diags Raw Data'!$R$6:$R$3830)</f>
        <v>0</v>
      </c>
      <c r="N37" s="487" cm="1">
        <f t="array" ref="N37">SUMPRODUCT(--(ISNUMBER(SEARCH($A37,'Diags Raw Data'!$A$6:$A$3830))),--('Diags Raw Data'!$Q$6:$Q$3830&lt;&gt;"N/A"),'Diags Raw Data'!$T$6:$T$3830)+SUMPRODUCT(--(ISNUMBER(SEARCH($A37,'Diags Raw Data'!$A$6:$A$3830))),--('Diags Raw Data'!$Q$6:$Q$3830&lt;&gt;"N/A"),'Diags Raw Data'!$U$6:$U$3830)</f>
        <v>0</v>
      </c>
      <c r="O37" s="488">
        <f t="shared" si="2"/>
        <v>0</v>
      </c>
      <c r="P37" s="489">
        <f>SUMIF('Diags Raw Data'!$A$6:$A$3830,"*"&amp;$A37&amp;"*",'Diags Raw Data'!$Z$6:$Z$3830)</f>
        <v>0</v>
      </c>
      <c r="Q37" s="490">
        <f>SUM(SUMIF('Diags Raw Data'!$A$6:$A$3830,"*"&amp;$A37&amp;"*",'Diags Raw Data'!$AA$6:$AA$3830),SUMIF('Diags Raw Data'!$A$6:$A$3830,"*"&amp;$A37&amp;"*",'Diags Raw Data'!$AB$6:$AB$3830))</f>
        <v>0</v>
      </c>
      <c r="R37" s="491">
        <f t="shared" si="3"/>
        <v>0</v>
      </c>
      <c r="S37" s="491">
        <f t="shared" si="4"/>
        <v>0</v>
      </c>
      <c r="T37" s="492">
        <f t="shared" si="5"/>
        <v>0</v>
      </c>
      <c r="U37" s="432" t="e">
        <f>VLOOKUP(A37,'Diags Raw Data'!$A$6:$AH$3830,33,FALSE)</f>
        <v>#N/A</v>
      </c>
      <c r="V37" s="181"/>
    </row>
    <row r="38" spans="1:22" s="186" customFormat="1" ht="15.75" thickBot="1" x14ac:dyDescent="0.3">
      <c r="A38" s="546">
        <v>12.047999999999973</v>
      </c>
      <c r="B38" s="434" t="str">
        <f>VLOOKUP(A38,'Feature Raw Data'!$A$3:$B$3922,2,FALSE)</f>
        <v xml:space="preserve">GLC Full CL sized write support </v>
      </c>
      <c r="C38" s="435" t="str">
        <f>VLOOKUP(A38,'Feature Raw Data'!$A$3:$C$3922,3,FALSE)</f>
        <v>P2</v>
      </c>
      <c r="D38" s="436" t="str" cm="1">
        <f t="array" ref="D38">_xlfn.TEXTJOIN("",TRUE,IF(ISNUMBER(SEARCH($A38,'Diags Raw Data'!$A$6:$A$3830)),CONCATENATE('Diags Raw Data'!$H$6:$H$3830,", "),""))</f>
        <v xml:space="preserve">placeholder_e.1, </v>
      </c>
      <c r="E38" s="339" t="e">
        <f>VLOOKUP(A38,'Diags Raw Data'!$A$6:$D$3830,4,FALSE)</f>
        <v>#N/A</v>
      </c>
      <c r="F38" s="339" t="str">
        <f>VLOOKUP(A38,'Feature Raw Data'!$A$3:$E$3922,5,FALSE)</f>
        <v>New</v>
      </c>
      <c r="G38" s="339" t="str">
        <f t="shared" si="0"/>
        <v>Yes</v>
      </c>
      <c r="H38" s="339" t="str">
        <f t="shared" si="1"/>
        <v>Yes</v>
      </c>
      <c r="I38" s="435">
        <f>SUMIF('Diags Raw Data'!$A$6:$A$3830,"*"&amp;$A38&amp;"*",'Diags Raw Data'!$K$6:$K$3830)</f>
        <v>0</v>
      </c>
      <c r="J38" s="437">
        <f>SUMIF('Diags Raw Data'!$A$6:$A$3830,"*"&amp;$A38&amp;"*",'Diags Raw Data'!$L$6:$L$3830)</f>
        <v>0</v>
      </c>
      <c r="K38" s="484" t="e" cm="1">
        <f t="array" ref="K38">IF(D38="",0, SUMPRODUCT(--(ISNUMBER(SEARCH($A38,'Diags Raw Data'!$A$6:$A$3830))),'Diags Raw Data'!$L$6:$L$3830,'Diags Raw Data'!$N$6:$N$3830)/J38)</f>
        <v>#DIV/0!</v>
      </c>
      <c r="L38" s="485" t="e" cm="1">
        <f t="array" ref="L38">IF(D38="",0, SUMPRODUCT(--(ISNUMBER(SEARCH($A38,'Diags Raw Data'!$A$6:$A$3830))),'Diags Raw Data'!$L$6:$L$3830,'Diags Raw Data'!$P$6:$P$3830)/J38)</f>
        <v>#DIV/0!</v>
      </c>
      <c r="M38" s="486" cm="1">
        <f t="array" ref="M38">SUMPRODUCT(--(ISNUMBER(SEARCH($A38,'Diags Raw Data'!$A$6:$A$3830))),--('Diags Raw Data'!$Q$6:$Q$3830&lt;&gt;"N/A"),'Diags Raw Data'!$R$6:$R$3830)</f>
        <v>1</v>
      </c>
      <c r="N38" s="487" cm="1">
        <f t="array" ref="N38">SUMPRODUCT(--(ISNUMBER(SEARCH($A38,'Diags Raw Data'!$A$6:$A$3830))),--('Diags Raw Data'!$Q$6:$Q$3830&lt;&gt;"N/A"),'Diags Raw Data'!$T$6:$T$3830)+SUMPRODUCT(--(ISNUMBER(SEARCH($A38,'Diags Raw Data'!$A$6:$A$3830))),--('Diags Raw Data'!$Q$6:$Q$3830&lt;&gt;"N/A"),'Diags Raw Data'!$U$6:$U$3830)</f>
        <v>1</v>
      </c>
      <c r="O38" s="488">
        <f t="shared" si="2"/>
        <v>1</v>
      </c>
      <c r="P38" s="489">
        <f>SUMIF('Diags Raw Data'!$A$6:$A$3830,"*"&amp;$A38&amp;"*",'Diags Raw Data'!$Z$6:$Z$3830)</f>
        <v>0</v>
      </c>
      <c r="Q38" s="490">
        <f>SUM(SUMIF('Diags Raw Data'!$A$6:$A$3830,"*"&amp;$A38&amp;"*",'Diags Raw Data'!$AA$6:$AA$3830),SUMIF('Diags Raw Data'!$A$6:$A$3830,"*"&amp;$A38&amp;"*",'Diags Raw Data'!$AB$6:$AB$3830))</f>
        <v>0</v>
      </c>
      <c r="R38" s="491">
        <f t="shared" si="3"/>
        <v>0</v>
      </c>
      <c r="S38" s="491">
        <f t="shared" si="4"/>
        <v>0</v>
      </c>
      <c r="T38" s="492">
        <f t="shared" si="5"/>
        <v>0</v>
      </c>
      <c r="U38" s="432" t="e">
        <f>VLOOKUP(A38,'Diags Raw Data'!$A$6:$AH$3830,33,FALSE)</f>
        <v>#N/A</v>
      </c>
      <c r="V38" s="185"/>
    </row>
    <row r="39" spans="1:22" ht="30.75" thickBot="1" x14ac:dyDescent="0.3">
      <c r="A39" s="546">
        <v>12.048999999999973</v>
      </c>
      <c r="B39" s="434" t="str">
        <f>VLOOKUP(A39,'Feature Raw Data'!$A$3:$B$3922,2,FALSE)</f>
        <v xml:space="preserve">GLC Up to 256B Write Support to EA </v>
      </c>
      <c r="C39" s="435" t="str">
        <f>VLOOKUP(A39,'Feature Raw Data'!$A$3:$C$3922,3,FALSE)</f>
        <v>P1</v>
      </c>
      <c r="D39" s="436" t="str" cm="1">
        <f t="array" ref="D39">_xlfn.TEXTJOIN("",TRUE,IF(ISNUMBER(SEARCH($A39,'Diags Raw Data'!$A$6:$A$3830)),CONCATENATE('Diags Raw Data'!$H$6:$H$3830,", "),""))</f>
        <v/>
      </c>
      <c r="E39" s="339" t="e">
        <f>VLOOKUP(A39,'Diags Raw Data'!$A$6:$D$3830,4,FALSE)</f>
        <v>#N/A</v>
      </c>
      <c r="F39" s="339" t="str">
        <f>VLOOKUP(A39,'Feature Raw Data'!$A$3:$E$3922,5,FALSE)</f>
        <v>New</v>
      </c>
      <c r="G39" s="339" t="str">
        <f t="shared" si="0"/>
        <v>Yes</v>
      </c>
      <c r="H39" s="339" t="str">
        <f t="shared" si="1"/>
        <v>Yes</v>
      </c>
      <c r="I39" s="435">
        <f>SUMIF('Diags Raw Data'!$A$6:$A$3830,"*"&amp;$A39&amp;"*",'Diags Raw Data'!$K$6:$K$3830)</f>
        <v>0</v>
      </c>
      <c r="J39" s="437">
        <f>SUMIF('Diags Raw Data'!$A$6:$A$3830,"*"&amp;$A39&amp;"*",'Diags Raw Data'!$L$6:$L$3830)</f>
        <v>0</v>
      </c>
      <c r="K39" s="484" cm="1">
        <f t="array" ref="K39">IF(D39="",0, SUMPRODUCT(--(ISNUMBER(SEARCH($A39,'Diags Raw Data'!$A$6:$A$3830))),'Diags Raw Data'!$L$6:$L$3830,'Diags Raw Data'!$N$6:$N$3830)/J39)</f>
        <v>0</v>
      </c>
      <c r="L39" s="485" cm="1">
        <f t="array" ref="L39">IF(D39="",0, SUMPRODUCT(--(ISNUMBER(SEARCH($A39,'Diags Raw Data'!$A$6:$A$3830))),'Diags Raw Data'!$L$6:$L$3830,'Diags Raw Data'!$P$6:$P$3830)/J39)</f>
        <v>0</v>
      </c>
      <c r="M39" s="486" cm="1">
        <f t="array" ref="M39">SUMPRODUCT(--(ISNUMBER(SEARCH($A39,'Diags Raw Data'!$A$6:$A$3830))),--('Diags Raw Data'!$Q$6:$Q$3830&lt;&gt;"N/A"),'Diags Raw Data'!$R$6:$R$3830)</f>
        <v>0</v>
      </c>
      <c r="N39" s="487" cm="1">
        <f t="array" ref="N39">SUMPRODUCT(--(ISNUMBER(SEARCH($A39,'Diags Raw Data'!$A$6:$A$3830))),--('Diags Raw Data'!$Q$6:$Q$3830&lt;&gt;"N/A"),'Diags Raw Data'!$T$6:$T$3830)+SUMPRODUCT(--(ISNUMBER(SEARCH($A39,'Diags Raw Data'!$A$6:$A$3830))),--('Diags Raw Data'!$Q$6:$Q$3830&lt;&gt;"N/A"),'Diags Raw Data'!$U$6:$U$3830)</f>
        <v>0</v>
      </c>
      <c r="O39" s="488">
        <f t="shared" si="2"/>
        <v>0</v>
      </c>
      <c r="P39" s="489">
        <f>SUMIF('Diags Raw Data'!$A$6:$A$3830,"*"&amp;$A39&amp;"*",'Diags Raw Data'!$Z$6:$Z$3830)</f>
        <v>0</v>
      </c>
      <c r="Q39" s="490">
        <f>SUM(SUMIF('Diags Raw Data'!$A$6:$A$3830,"*"&amp;$A39&amp;"*",'Diags Raw Data'!$AA$6:$AA$3830),SUMIF('Diags Raw Data'!$A$6:$A$3830,"*"&amp;$A39&amp;"*",'Diags Raw Data'!$AB$6:$AB$3830))</f>
        <v>0</v>
      </c>
      <c r="R39" s="491">
        <f t="shared" si="3"/>
        <v>0</v>
      </c>
      <c r="S39" s="491">
        <f t="shared" si="4"/>
        <v>0</v>
      </c>
      <c r="T39" s="492">
        <f t="shared" si="5"/>
        <v>0</v>
      </c>
      <c r="U39" s="432" t="e">
        <f>VLOOKUP(A39,'Diags Raw Data'!$A$6:$AH$3830,33,FALSE)</f>
        <v>#N/A</v>
      </c>
      <c r="V39" s="181"/>
    </row>
    <row r="40" spans="1:22" ht="30.75" thickBot="1" x14ac:dyDescent="0.3">
      <c r="A40" s="546">
        <v>12.051</v>
      </c>
      <c r="B40" s="434" t="str">
        <f>VLOOKUP(A40,'Feature Raw Data'!$A$3:$B$3922,2,FALSE)</f>
        <v>cache last_use policy (child of 12.041/12.027)</v>
      </c>
      <c r="C40" s="435" t="str">
        <f>VLOOKUP(A40,'Feature Raw Data'!$A$3:$C$3922,3,FALSE)</f>
        <v>P2</v>
      </c>
      <c r="D40" s="436" t="str" cm="1">
        <f t="array" ref="D40">_xlfn.TEXTJOIN("",TRUE,IF(ISNUMBER(SEARCH($A40,'Diags Raw Data'!$A$6:$A$3830)),CONCATENATE('Diags Raw Data'!$H$6:$H$3830,", "),""))</f>
        <v xml:space="preserve">gfx.cmm_cache_last_use_policy_monolithic, </v>
      </c>
      <c r="E40" s="339" t="str">
        <f>VLOOKUP(A40,'Diags Raw Data'!$A$6:$D$3830,4,FALSE)</f>
        <v>CMM</v>
      </c>
      <c r="F40" s="339" t="str">
        <f>VLOOKUP(A40,'Feature Raw Data'!$A$3:$E$3922,5,FALSE)</f>
        <v>New</v>
      </c>
      <c r="G40" s="339" t="str">
        <f t="shared" si="0"/>
        <v>Yes</v>
      </c>
      <c r="H40" s="339" t="str">
        <f t="shared" si="1"/>
        <v>Yes</v>
      </c>
      <c r="I40" s="435">
        <f>SUMIF('Diags Raw Data'!$A$6:$A$3830,"*"&amp;$A40&amp;"*",'Diags Raw Data'!$K$6:$K$3830)</f>
        <v>0</v>
      </c>
      <c r="J40" s="437">
        <f>SUMIF('Diags Raw Data'!$A$6:$A$3830,"*"&amp;$A40&amp;"*",'Diags Raw Data'!$L$6:$L$3830)</f>
        <v>0</v>
      </c>
      <c r="K40" s="484" t="e" cm="1">
        <f t="array" ref="K40">IF(D40="",0, SUMPRODUCT(--(ISNUMBER(SEARCH($A40,'Diags Raw Data'!$A$6:$A$3830))),'Diags Raw Data'!$L$6:$L$3830,'Diags Raw Data'!$N$6:$N$3830)/J40)</f>
        <v>#DIV/0!</v>
      </c>
      <c r="L40" s="485" t="e" cm="1">
        <f t="array" ref="L40">IF(D40="",0, SUMPRODUCT(--(ISNUMBER(SEARCH($A40,'Diags Raw Data'!$A$6:$A$3830))),'Diags Raw Data'!$L$6:$L$3830,'Diags Raw Data'!$P$6:$P$3830)/J40)</f>
        <v>#DIV/0!</v>
      </c>
      <c r="M40" s="486" cm="1">
        <f t="array" ref="M40">SUMPRODUCT(--(ISNUMBER(SEARCH($A40,'Diags Raw Data'!$A$6:$A$3830))),--('Diags Raw Data'!$Q$6:$Q$3830&lt;&gt;"N/A"),'Diags Raw Data'!$R$6:$R$3830)</f>
        <v>0</v>
      </c>
      <c r="N40" s="487" cm="1">
        <f t="array" ref="N40">SUMPRODUCT(--(ISNUMBER(SEARCH($A40,'Diags Raw Data'!$A$6:$A$3830))),--('Diags Raw Data'!$Q$6:$Q$3830&lt;&gt;"N/A"),'Diags Raw Data'!$T$6:$T$3830)+SUMPRODUCT(--(ISNUMBER(SEARCH($A40,'Diags Raw Data'!$A$6:$A$3830))),--('Diags Raw Data'!$Q$6:$Q$3830&lt;&gt;"N/A"),'Diags Raw Data'!$U$6:$U$3830)</f>
        <v>0</v>
      </c>
      <c r="O40" s="488">
        <f t="shared" si="2"/>
        <v>0</v>
      </c>
      <c r="P40" s="489">
        <f>SUMIF('Diags Raw Data'!$A$6:$A$3830,"*"&amp;$A40&amp;"*",'Diags Raw Data'!$Z$6:$Z$3830)</f>
        <v>0</v>
      </c>
      <c r="Q40" s="490">
        <f>SUM(SUMIF('Diags Raw Data'!$A$6:$A$3830,"*"&amp;$A40&amp;"*",'Diags Raw Data'!$AA$6:$AA$3830),SUMIF('Diags Raw Data'!$A$6:$A$3830,"*"&amp;$A40&amp;"*",'Diags Raw Data'!$AB$6:$AB$3830))</f>
        <v>0</v>
      </c>
      <c r="R40" s="491">
        <f t="shared" si="3"/>
        <v>0</v>
      </c>
      <c r="S40" s="491">
        <f t="shared" si="4"/>
        <v>0</v>
      </c>
      <c r="T40" s="492">
        <f t="shared" si="5"/>
        <v>0</v>
      </c>
      <c r="U40" s="432" t="str">
        <f>VLOOKUP(A40,'Diags Raw Data'!$A$6:$AH$3830,33,FALSE)</f>
        <v>WK8</v>
      </c>
      <c r="V40" s="181"/>
    </row>
    <row r="41" spans="1:22" ht="60.75" thickBot="1" x14ac:dyDescent="0.3">
      <c r="A41" s="546">
        <v>12.052999999999971</v>
      </c>
      <c r="B41" s="434" t="str">
        <f>VLOOKUP(A41,'Feature Raw Data'!$A$3:$B$3922,2,FALSE)</f>
        <v>Distributed compression architecture in CMM and client impacts (w/ physical meta-data)</v>
      </c>
      <c r="C41" s="435" t="str">
        <f>VLOOKUP(A41,'Feature Raw Data'!$A$3:$C$3922,3,FALSE)</f>
        <v>P1</v>
      </c>
      <c r="D41" s="436" t="str" cm="1">
        <f t="array" ref="D41">_xlfn.TEXTJOIN("",TRUE,IF(ISNUMBER(SEARCH($A41,'Diags Raw Data'!$A$6:$A$3830)),CONCATENATE('Diags Raw Data'!$H$6:$H$3830,", "),""))</f>
        <v/>
      </c>
      <c r="E41" s="339" t="e">
        <f>VLOOKUP(A41,'Diags Raw Data'!$A$6:$D$3830,4,FALSE)</f>
        <v>#N/A</v>
      </c>
      <c r="F41" s="339" t="str">
        <f>VLOOKUP(A41,'Feature Raw Data'!$A$3:$E$3922,5,FALSE)</f>
        <v>New</v>
      </c>
      <c r="G41" s="339" t="str">
        <f t="shared" si="0"/>
        <v>Yes</v>
      </c>
      <c r="H41" s="339" t="str">
        <f t="shared" si="1"/>
        <v>Yes</v>
      </c>
      <c r="I41" s="435">
        <f>SUMIF('Diags Raw Data'!$A$6:$A$3830,"*"&amp;$A41&amp;"*",'Diags Raw Data'!$K$6:$K$3830)</f>
        <v>0</v>
      </c>
      <c r="J41" s="437">
        <f>SUMIF('Diags Raw Data'!$A$6:$A$3830,"*"&amp;$A41&amp;"*",'Diags Raw Data'!$L$6:$L$3830)</f>
        <v>0</v>
      </c>
      <c r="K41" s="484" cm="1">
        <f t="array" ref="K41">IF(D41="",0, SUMPRODUCT(--(ISNUMBER(SEARCH($A41,'Diags Raw Data'!$A$6:$A$3830))),'Diags Raw Data'!$L$6:$L$3830,'Diags Raw Data'!$N$6:$N$3830)/J41)</f>
        <v>0</v>
      </c>
      <c r="L41" s="485" cm="1">
        <f t="array" ref="L41">IF(D41="",0, SUMPRODUCT(--(ISNUMBER(SEARCH($A41,'Diags Raw Data'!$A$6:$A$3830))),'Diags Raw Data'!$L$6:$L$3830,'Diags Raw Data'!$P$6:$P$3830)/J41)</f>
        <v>0</v>
      </c>
      <c r="M41" s="486" cm="1">
        <f t="array" ref="M41">SUMPRODUCT(--(ISNUMBER(SEARCH($A41,'Diags Raw Data'!$A$6:$A$3830))),--('Diags Raw Data'!$Q$6:$Q$3830&lt;&gt;"N/A"),'Diags Raw Data'!$R$6:$R$3830)</f>
        <v>0</v>
      </c>
      <c r="N41" s="487" cm="1">
        <f t="array" ref="N41">SUMPRODUCT(--(ISNUMBER(SEARCH($A41,'Diags Raw Data'!$A$6:$A$3830))),--('Diags Raw Data'!$Q$6:$Q$3830&lt;&gt;"N/A"),'Diags Raw Data'!$T$6:$T$3830)+SUMPRODUCT(--(ISNUMBER(SEARCH($A41,'Diags Raw Data'!$A$6:$A$3830))),--('Diags Raw Data'!$Q$6:$Q$3830&lt;&gt;"N/A"),'Diags Raw Data'!$U$6:$U$3830)</f>
        <v>0</v>
      </c>
      <c r="O41" s="488">
        <f t="shared" si="2"/>
        <v>0</v>
      </c>
      <c r="P41" s="489">
        <f>SUMIF('Diags Raw Data'!$A$6:$A$3830,"*"&amp;$A41&amp;"*",'Diags Raw Data'!$Z$6:$Z$3830)</f>
        <v>0</v>
      </c>
      <c r="Q41" s="490">
        <f>SUM(SUMIF('Diags Raw Data'!$A$6:$A$3830,"*"&amp;$A41&amp;"*",'Diags Raw Data'!$AA$6:$AA$3830),SUMIF('Diags Raw Data'!$A$6:$A$3830,"*"&amp;$A41&amp;"*",'Diags Raw Data'!$AB$6:$AB$3830))</f>
        <v>0</v>
      </c>
      <c r="R41" s="491">
        <f t="shared" si="3"/>
        <v>0</v>
      </c>
      <c r="S41" s="491">
        <f t="shared" si="4"/>
        <v>0</v>
      </c>
      <c r="T41" s="492">
        <f t="shared" si="5"/>
        <v>0</v>
      </c>
      <c r="U41" s="432" t="e">
        <f>VLOOKUP(A41,'Diags Raw Data'!$A$6:$AH$3830,33,FALSE)</f>
        <v>#N/A</v>
      </c>
      <c r="V41" s="181"/>
    </row>
    <row r="42" spans="1:22" ht="30.75" thickBot="1" x14ac:dyDescent="0.3">
      <c r="A42" s="546">
        <v>12.054</v>
      </c>
      <c r="B42" s="434" t="str">
        <f>VLOOKUP(A42,'Feature Raw Data'!$A$3:$B$3922,2,FALSE)</f>
        <v xml:space="preserve">SQG Ring Bus conversion for multi-chip </v>
      </c>
      <c r="C42" s="435" t="str">
        <f>VLOOKUP(A42,'Feature Raw Data'!$A$3:$C$3922,3,FALSE)</f>
        <v>P1</v>
      </c>
      <c r="D42" s="436" t="str" cm="1">
        <f t="array" ref="D42">_xlfn.TEXTJOIN("",TRUE,IF(ISNUMBER(SEARCH($A42,'Diags Raw Data'!$A$6:$A$3830)),CONCATENATE('Diags Raw Data'!$H$6:$H$3830,", "),""))</f>
        <v xml:space="preserve">gci1301.0, </v>
      </c>
      <c r="E42" s="339" t="e">
        <f>VLOOKUP(A42,'Diags Raw Data'!$A$6:$D$3830,4,FALSE)</f>
        <v>#N/A</v>
      </c>
      <c r="F42" s="339" t="str">
        <f>VLOOKUP(A42,'Feature Raw Data'!$A$3:$E$3922,5,FALSE)</f>
        <v>New</v>
      </c>
      <c r="G42" s="339" t="str">
        <f t="shared" si="0"/>
        <v>Yes</v>
      </c>
      <c r="H42" s="339" t="str">
        <f t="shared" si="1"/>
        <v>Yes</v>
      </c>
      <c r="I42" s="435">
        <f>SUMIF('Diags Raw Data'!$A$6:$A$3830,"*"&amp;$A42&amp;"*",'Diags Raw Data'!$K$6:$K$3830)</f>
        <v>0</v>
      </c>
      <c r="J42" s="437">
        <f>SUMIF('Diags Raw Data'!$A$6:$A$3830,"*"&amp;$A42&amp;"*",'Diags Raw Data'!$L$6:$L$3830)</f>
        <v>0</v>
      </c>
      <c r="K42" s="484" t="e" cm="1">
        <f t="array" ref="K42">IF(D42="",0, SUMPRODUCT(--(ISNUMBER(SEARCH($A42,'Diags Raw Data'!$A$6:$A$3830))),'Diags Raw Data'!$L$6:$L$3830,'Diags Raw Data'!$N$6:$N$3830)/J42)</f>
        <v>#DIV/0!</v>
      </c>
      <c r="L42" s="485" t="e" cm="1">
        <f t="array" ref="L42">IF(D42="",0, SUMPRODUCT(--(ISNUMBER(SEARCH($A42,'Diags Raw Data'!$A$6:$A$3830))),'Diags Raw Data'!$L$6:$L$3830,'Diags Raw Data'!$P$6:$P$3830)/J42)</f>
        <v>#DIV/0!</v>
      </c>
      <c r="M42" s="486" cm="1">
        <f t="array" ref="M42">SUMPRODUCT(--(ISNUMBER(SEARCH($A42,'Diags Raw Data'!$A$6:$A$3830))),--('Diags Raw Data'!$Q$6:$Q$3830&lt;&gt;"N/A"),'Diags Raw Data'!$R$6:$R$3830)</f>
        <v>1</v>
      </c>
      <c r="N42" s="487" cm="1">
        <f t="array" ref="N42">SUMPRODUCT(--(ISNUMBER(SEARCH($A42,'Diags Raw Data'!$A$6:$A$3830))),--('Diags Raw Data'!$Q$6:$Q$3830&lt;&gt;"N/A"),'Diags Raw Data'!$T$6:$T$3830)+SUMPRODUCT(--(ISNUMBER(SEARCH($A42,'Diags Raw Data'!$A$6:$A$3830))),--('Diags Raw Data'!$Q$6:$Q$3830&lt;&gt;"N/A"),'Diags Raw Data'!$U$6:$U$3830)</f>
        <v>1</v>
      </c>
      <c r="O42" s="488">
        <f t="shared" si="2"/>
        <v>1</v>
      </c>
      <c r="P42" s="489">
        <f>SUMIF('Diags Raw Data'!$A$6:$A$3830,"*"&amp;$A42&amp;"*",'Diags Raw Data'!$Z$6:$Z$3830)</f>
        <v>0</v>
      </c>
      <c r="Q42" s="490">
        <f>SUM(SUMIF('Diags Raw Data'!$A$6:$A$3830,"*"&amp;$A42&amp;"*",'Diags Raw Data'!$AA$6:$AA$3830),SUMIF('Diags Raw Data'!$A$6:$A$3830,"*"&amp;$A42&amp;"*",'Diags Raw Data'!$AB$6:$AB$3830))</f>
        <v>0</v>
      </c>
      <c r="R42" s="491">
        <f t="shared" si="3"/>
        <v>0</v>
      </c>
      <c r="S42" s="491">
        <f t="shared" si="4"/>
        <v>0</v>
      </c>
      <c r="T42" s="492">
        <f t="shared" si="5"/>
        <v>0</v>
      </c>
      <c r="U42" s="432" t="e">
        <f>VLOOKUP(A42,'Diags Raw Data'!$A$6:$AH$3830,33,FALSE)</f>
        <v>#N/A</v>
      </c>
      <c r="V42" s="181"/>
    </row>
    <row r="43" spans="1:22" ht="15.75" thickBot="1" x14ac:dyDescent="0.3">
      <c r="A43" s="546">
        <v>12.05499999999997</v>
      </c>
      <c r="B43" s="434" t="str">
        <f>VLOOKUP(A43,'Feature Raw Data'!$A$3:$B$3922,2,FALSE)</f>
        <v>Split workgroup barrier</v>
      </c>
      <c r="C43" s="435" t="str">
        <f>VLOOKUP(A43,'Feature Raw Data'!$A$3:$C$3922,3,FALSE)</f>
        <v>P1</v>
      </c>
      <c r="D43" s="436" t="str" cm="1">
        <f t="array" ref="D43">_xlfn.TEXTJOIN("",TRUE,IF(ISNUMBER(SEARCH($A43,'Diags Raw Data'!$A$6:$A$3830)),CONCATENATE('Diags Raw Data'!$H$6:$H$3830,", "),""))</f>
        <v xml:space="preserve">gci1304.0, </v>
      </c>
      <c r="E43" s="339" t="e">
        <f>VLOOKUP(A43,'Diags Raw Data'!$A$6:$D$3830,4,FALSE)</f>
        <v>#N/A</v>
      </c>
      <c r="F43" s="339" t="str">
        <f>VLOOKUP(A43,'Feature Raw Data'!$A$3:$E$3922,5,FALSE)</f>
        <v>New</v>
      </c>
      <c r="G43" s="339" t="str">
        <f t="shared" si="0"/>
        <v>Yes</v>
      </c>
      <c r="H43" s="339" t="str">
        <f t="shared" si="1"/>
        <v>Yes</v>
      </c>
      <c r="I43" s="435">
        <f>SUMIF('Diags Raw Data'!$A$6:$A$3830,"*"&amp;$A43&amp;"*",'Diags Raw Data'!$K$6:$K$3830)</f>
        <v>0</v>
      </c>
      <c r="J43" s="437">
        <f>SUMIF('Diags Raw Data'!$A$6:$A$3830,"*"&amp;$A43&amp;"*",'Diags Raw Data'!$L$6:$L$3830)</f>
        <v>0</v>
      </c>
      <c r="K43" s="484" t="e" cm="1">
        <f t="array" ref="K43">IF(D43="",0, SUMPRODUCT(--(ISNUMBER(SEARCH($A43,'Diags Raw Data'!$A$6:$A$3830))),'Diags Raw Data'!$L$6:$L$3830,'Diags Raw Data'!$N$6:$N$3830)/J43)</f>
        <v>#DIV/0!</v>
      </c>
      <c r="L43" s="485" t="e" cm="1">
        <f t="array" ref="L43">IF(D43="",0, SUMPRODUCT(--(ISNUMBER(SEARCH($A43,'Diags Raw Data'!$A$6:$A$3830))),'Diags Raw Data'!$L$6:$L$3830,'Diags Raw Data'!$P$6:$P$3830)/J43)</f>
        <v>#DIV/0!</v>
      </c>
      <c r="M43" s="486" cm="1">
        <f t="array" ref="M43">SUMPRODUCT(--(ISNUMBER(SEARCH($A43,'Diags Raw Data'!$A$6:$A$3830))),--('Diags Raw Data'!$Q$6:$Q$3830&lt;&gt;"N/A"),'Diags Raw Data'!$R$6:$R$3830)</f>
        <v>1</v>
      </c>
      <c r="N43" s="487" cm="1">
        <f t="array" ref="N43">SUMPRODUCT(--(ISNUMBER(SEARCH($A43,'Diags Raw Data'!$A$6:$A$3830))),--('Diags Raw Data'!$Q$6:$Q$3830&lt;&gt;"N/A"),'Diags Raw Data'!$T$6:$T$3830)+SUMPRODUCT(--(ISNUMBER(SEARCH($A43,'Diags Raw Data'!$A$6:$A$3830))),--('Diags Raw Data'!$Q$6:$Q$3830&lt;&gt;"N/A"),'Diags Raw Data'!$U$6:$U$3830)</f>
        <v>1</v>
      </c>
      <c r="O43" s="488">
        <f t="shared" si="2"/>
        <v>1</v>
      </c>
      <c r="P43" s="489">
        <f>SUMIF('Diags Raw Data'!$A$6:$A$3830,"*"&amp;$A43&amp;"*",'Diags Raw Data'!$Z$6:$Z$3830)</f>
        <v>0</v>
      </c>
      <c r="Q43" s="490">
        <f>SUM(SUMIF('Diags Raw Data'!$A$6:$A$3830,"*"&amp;$A43&amp;"*",'Diags Raw Data'!$AA$6:$AA$3830),SUMIF('Diags Raw Data'!$A$6:$A$3830,"*"&amp;$A43&amp;"*",'Diags Raw Data'!$AB$6:$AB$3830))</f>
        <v>0</v>
      </c>
      <c r="R43" s="491">
        <f t="shared" si="3"/>
        <v>0</v>
      </c>
      <c r="S43" s="491">
        <f t="shared" si="4"/>
        <v>0</v>
      </c>
      <c r="T43" s="492">
        <f t="shared" si="5"/>
        <v>0</v>
      </c>
      <c r="U43" s="432" t="e">
        <f>VLOOKUP(A43,'Diags Raw Data'!$A$6:$AH$3830,33,FALSE)</f>
        <v>#N/A</v>
      </c>
      <c r="V43" s="181"/>
    </row>
    <row r="44" spans="1:22" ht="30.75" thickBot="1" x14ac:dyDescent="0.3">
      <c r="A44" s="546">
        <v>12.055999999999969</v>
      </c>
      <c r="B44" s="434" t="str">
        <f>VLOOKUP(A44,'Feature Raw Data'!$A$3:$B$3922,2,FALSE)</f>
        <v>Shader Instruction Data Prefetch (viola item)</v>
      </c>
      <c r="C44" s="435" t="str">
        <f>VLOOKUP(A44,'Feature Raw Data'!$A$3:$C$3922,3,FALSE)</f>
        <v>P1</v>
      </c>
      <c r="D44" s="436" t="str" cm="1">
        <f t="array" ref="D44">_xlfn.TEXTJOIN("",TRUE,IF(ISNUMBER(SEARCH($A44,'Diags Raw Data'!$A$6:$A$3830)),CONCATENATE('Diags Raw Data'!$H$6:$H$3830,", "),""))</f>
        <v/>
      </c>
      <c r="E44" s="339" t="e">
        <f>VLOOKUP(A44,'Diags Raw Data'!$A$6:$D$3830,4,FALSE)</f>
        <v>#N/A</v>
      </c>
      <c r="F44" s="339" t="str">
        <f>VLOOKUP(A44,'Feature Raw Data'!$A$3:$E$3922,5,FALSE)</f>
        <v>New</v>
      </c>
      <c r="G44" s="339" t="str">
        <f t="shared" si="0"/>
        <v>Yes</v>
      </c>
      <c r="H44" s="339" t="str">
        <f t="shared" si="1"/>
        <v>Yes</v>
      </c>
      <c r="I44" s="435">
        <f>SUMIF('Diags Raw Data'!$A$6:$A$3830,"*"&amp;$A44&amp;"*",'Diags Raw Data'!$K$6:$K$3830)</f>
        <v>0</v>
      </c>
      <c r="J44" s="437">
        <f>SUMIF('Diags Raw Data'!$A$6:$A$3830,"*"&amp;$A44&amp;"*",'Diags Raw Data'!$L$6:$L$3830)</f>
        <v>0</v>
      </c>
      <c r="K44" s="484" cm="1">
        <f t="array" ref="K44">IF(D44="",0, SUMPRODUCT(--(ISNUMBER(SEARCH($A44,'Diags Raw Data'!$A$6:$A$3830))),'Diags Raw Data'!$L$6:$L$3830,'Diags Raw Data'!$N$6:$N$3830)/J44)</f>
        <v>0</v>
      </c>
      <c r="L44" s="485" cm="1">
        <f t="array" ref="L44">IF(D44="",0, SUMPRODUCT(--(ISNUMBER(SEARCH($A44,'Diags Raw Data'!$A$6:$A$3830))),'Diags Raw Data'!$L$6:$L$3830,'Diags Raw Data'!$P$6:$P$3830)/J44)</f>
        <v>0</v>
      </c>
      <c r="M44" s="486" cm="1">
        <f t="array" ref="M44">SUMPRODUCT(--(ISNUMBER(SEARCH($A44,'Diags Raw Data'!$A$6:$A$3830))),--('Diags Raw Data'!$Q$6:$Q$3830&lt;&gt;"N/A"),'Diags Raw Data'!$R$6:$R$3830)</f>
        <v>0</v>
      </c>
      <c r="N44" s="487" cm="1">
        <f t="array" ref="N44">SUMPRODUCT(--(ISNUMBER(SEARCH($A44,'Diags Raw Data'!$A$6:$A$3830))),--('Diags Raw Data'!$Q$6:$Q$3830&lt;&gt;"N/A"),'Diags Raw Data'!$T$6:$T$3830)+SUMPRODUCT(--(ISNUMBER(SEARCH($A44,'Diags Raw Data'!$A$6:$A$3830))),--('Diags Raw Data'!$Q$6:$Q$3830&lt;&gt;"N/A"),'Diags Raw Data'!$U$6:$U$3830)</f>
        <v>0</v>
      </c>
      <c r="O44" s="488">
        <f t="shared" si="2"/>
        <v>0</v>
      </c>
      <c r="P44" s="489">
        <f>SUMIF('Diags Raw Data'!$A$6:$A$3830,"*"&amp;$A44&amp;"*",'Diags Raw Data'!$Z$6:$Z$3830)</f>
        <v>0</v>
      </c>
      <c r="Q44" s="490">
        <f>SUM(SUMIF('Diags Raw Data'!$A$6:$A$3830,"*"&amp;$A44&amp;"*",'Diags Raw Data'!$AA$6:$AA$3830),SUMIF('Diags Raw Data'!$A$6:$A$3830,"*"&amp;$A44&amp;"*",'Diags Raw Data'!$AB$6:$AB$3830))</f>
        <v>0</v>
      </c>
      <c r="R44" s="491">
        <f t="shared" si="3"/>
        <v>0</v>
      </c>
      <c r="S44" s="491">
        <f t="shared" si="4"/>
        <v>0</v>
      </c>
      <c r="T44" s="492">
        <f t="shared" si="5"/>
        <v>0</v>
      </c>
      <c r="U44" s="432" t="e">
        <f>VLOOKUP(A44,'Diags Raw Data'!$A$6:$AH$3830,33,FALSE)</f>
        <v>#N/A</v>
      </c>
      <c r="V44" s="181"/>
    </row>
    <row r="45" spans="1:22" ht="60.75" thickBot="1" x14ac:dyDescent="0.3">
      <c r="A45" s="546">
        <v>12.057</v>
      </c>
      <c r="B45" s="434" t="str">
        <f>VLOOKUP(A45,'Feature Raw Data'!$A$3:$B$3922,2,FALSE)</f>
        <v>Shader software data dependency control</v>
      </c>
      <c r="C45" s="435" t="str">
        <f>VLOOKUP(A45,'Feature Raw Data'!$A$3:$C$3922,3,FALSE)</f>
        <v>P2</v>
      </c>
      <c r="D45" s="436" t="str" cm="1">
        <f t="array" ref="D45">_xlfn.TEXTJOIN("",TRUE,IF(ISNUMBER(SEARCH($A45,'Diags Raw Data'!$A$6:$A$3830)),CONCATENATE('Diags Raw Data'!$H$6:$H$3830,", "),""))</f>
        <v xml:space="preserve">gfx.inst_perf/sched_mode_dep_mode1,gfx.inst_perf/sched_mode_dep_mode2, </v>
      </c>
      <c r="E45" s="339" t="str">
        <f>VLOOKUP(A45,'Diags Raw Data'!$A$6:$D$3830,4,FALSE)</f>
        <v>SH</v>
      </c>
      <c r="F45" s="339" t="str">
        <f>VLOOKUP(A45,'Feature Raw Data'!$A$3:$E$3922,5,FALSE)</f>
        <v>New</v>
      </c>
      <c r="G45" s="339" t="str">
        <f t="shared" si="0"/>
        <v>Yes</v>
      </c>
      <c r="H45" s="339" t="str">
        <f t="shared" si="1"/>
        <v>Yes</v>
      </c>
      <c r="I45" s="435">
        <f>SUMIF('Diags Raw Data'!$A$6:$A$3830,"*"&amp;$A45&amp;"*",'Diags Raw Data'!$K$6:$K$3830)</f>
        <v>0</v>
      </c>
      <c r="J45" s="437">
        <f>SUMIF('Diags Raw Data'!$A$6:$A$3830,"*"&amp;$A45&amp;"*",'Diags Raw Data'!$L$6:$L$3830)</f>
        <v>0</v>
      </c>
      <c r="K45" s="484" t="e" cm="1">
        <f t="array" ref="K45">IF(D45="",0, SUMPRODUCT(--(ISNUMBER(SEARCH($A45,'Diags Raw Data'!$A$6:$A$3830))),'Diags Raw Data'!$L$6:$L$3830,'Diags Raw Data'!$N$6:$N$3830)/J45)</f>
        <v>#DIV/0!</v>
      </c>
      <c r="L45" s="485" t="e" cm="1">
        <f t="array" ref="L45">IF(D45="",0, SUMPRODUCT(--(ISNUMBER(SEARCH($A45,'Diags Raw Data'!$A$6:$A$3830))),'Diags Raw Data'!$L$6:$L$3830,'Diags Raw Data'!$P$6:$P$3830)/J45)</f>
        <v>#DIV/0!</v>
      </c>
      <c r="M45" s="486" cm="1">
        <f t="array" ref="M45">SUMPRODUCT(--(ISNUMBER(SEARCH($A45,'Diags Raw Data'!$A$6:$A$3830))),--('Diags Raw Data'!$Q$6:$Q$3830&lt;&gt;"N/A"),'Diags Raw Data'!$R$6:$R$3830)</f>
        <v>2</v>
      </c>
      <c r="N45" s="487" cm="1">
        <f t="array" ref="N45">SUMPRODUCT(--(ISNUMBER(SEARCH($A45,'Diags Raw Data'!$A$6:$A$3830))),--('Diags Raw Data'!$Q$6:$Q$3830&lt;&gt;"N/A"),'Diags Raw Data'!$T$6:$T$3830)+SUMPRODUCT(--(ISNUMBER(SEARCH($A45,'Diags Raw Data'!$A$6:$A$3830))),--('Diags Raw Data'!$Q$6:$Q$3830&lt;&gt;"N/A"),'Diags Raw Data'!$U$6:$U$3830)</f>
        <v>2</v>
      </c>
      <c r="O45" s="488">
        <f t="shared" si="2"/>
        <v>1</v>
      </c>
      <c r="P45" s="489">
        <f>SUMIF('Diags Raw Data'!$A$6:$A$3830,"*"&amp;$A45&amp;"*",'Diags Raw Data'!$Z$6:$Z$3830)</f>
        <v>0</v>
      </c>
      <c r="Q45" s="490">
        <f>SUM(SUMIF('Diags Raw Data'!$A$6:$A$3830,"*"&amp;$A45&amp;"*",'Diags Raw Data'!$AA$6:$AA$3830),SUMIF('Diags Raw Data'!$A$6:$A$3830,"*"&amp;$A45&amp;"*",'Diags Raw Data'!$AB$6:$AB$3830))</f>
        <v>0</v>
      </c>
      <c r="R45" s="491">
        <f t="shared" si="3"/>
        <v>0</v>
      </c>
      <c r="S45" s="491">
        <f t="shared" si="4"/>
        <v>0</v>
      </c>
      <c r="T45" s="492">
        <f t="shared" si="5"/>
        <v>0</v>
      </c>
      <c r="U45" s="432" t="str">
        <f>VLOOKUP(A45,'Diags Raw Data'!$A$6:$AH$3830,33,FALSE)</f>
        <v>WK8</v>
      </c>
      <c r="V45" s="181"/>
    </row>
    <row r="46" spans="1:22" ht="409.6" thickBot="1" x14ac:dyDescent="0.3">
      <c r="A46" s="546">
        <v>12.058999999999967</v>
      </c>
      <c r="B46" s="434" t="str">
        <f>VLOOKUP(A46,'Feature Raw Data'!$A$3:$B$3922,2,FALSE)</f>
        <v>Shader SALU Float support (in M1/M2/gfx11.5)</v>
      </c>
      <c r="C46" s="435" t="str">
        <f>VLOOKUP(A46,'Feature Raw Data'!$A$3:$C$3922,3,FALSE)</f>
        <v>P1</v>
      </c>
      <c r="D46" s="436" t="str" cm="1">
        <f t="array" ref="D46">_xlfn.TEXTJOIN("",TRUE,IF(ISNUMBER(SEARCH($A46,'Diags Raw Data'!$A$6:$A$3830)),CONCATENATE('Diags Raw Data'!$H$6:$H$3830,", "),""))</f>
        <v xml:space="preserve">gfx.inst_perf/global_load_block,gfx.inst_perf/global_store_block,gfx.inst_perf/scratch_load_block,gfx.inst_perf/scratch_store_block, </v>
      </c>
      <c r="E46" s="339" t="e">
        <f>VLOOKUP(A46,'Diags Raw Data'!$A$6:$D$3830,4,FALSE)</f>
        <v>#N/A</v>
      </c>
      <c r="F46" s="339" t="str">
        <f>VLOOKUP(A46,'Feature Raw Data'!$A$3:$E$3922,5,FALSE)</f>
        <v>New</v>
      </c>
      <c r="G46" s="339" t="str">
        <f t="shared" si="0"/>
        <v>Yes</v>
      </c>
      <c r="H46" s="339" t="str">
        <f t="shared" si="1"/>
        <v>Yes</v>
      </c>
      <c r="I46" s="435">
        <f>SUMIF('Diags Raw Data'!$A$6:$A$3830,"*"&amp;$A46&amp;"*",'Diags Raw Data'!$K$6:$K$3830)</f>
        <v>0</v>
      </c>
      <c r="J46" s="437">
        <f>SUMIF('Diags Raw Data'!$A$6:$A$3830,"*"&amp;$A46&amp;"*",'Diags Raw Data'!$L$6:$L$3830)</f>
        <v>0</v>
      </c>
      <c r="K46" s="484" t="e" cm="1">
        <f t="array" ref="K46">IF(D46="",0, SUMPRODUCT(--(ISNUMBER(SEARCH($A46,'Diags Raw Data'!$A$6:$A$3830))),'Diags Raw Data'!$L$6:$L$3830,'Diags Raw Data'!$N$6:$N$3830)/J46)</f>
        <v>#DIV/0!</v>
      </c>
      <c r="L46" s="485" t="e" cm="1">
        <f t="array" ref="L46">IF(D46="",0, SUMPRODUCT(--(ISNUMBER(SEARCH($A46,'Diags Raw Data'!$A$6:$A$3830))),'Diags Raw Data'!$L$6:$L$3830,'Diags Raw Data'!$P$6:$P$3830)/J46)</f>
        <v>#DIV/0!</v>
      </c>
      <c r="M46" s="486" cm="1">
        <f t="array" ref="M46">SUMPRODUCT(--(ISNUMBER(SEARCH($A46,'Diags Raw Data'!$A$6:$A$3830))),--('Diags Raw Data'!$Q$6:$Q$3830&lt;&gt;"N/A"),'Diags Raw Data'!$R$6:$R$3830)</f>
        <v>4</v>
      </c>
      <c r="N46" s="487" cm="1">
        <f t="array" ref="N46">SUMPRODUCT(--(ISNUMBER(SEARCH($A46,'Diags Raw Data'!$A$6:$A$3830))),--('Diags Raw Data'!$Q$6:$Q$3830&lt;&gt;"N/A"),'Diags Raw Data'!$T$6:$T$3830)+SUMPRODUCT(--(ISNUMBER(SEARCH($A46,'Diags Raw Data'!$A$6:$A$3830))),--('Diags Raw Data'!$Q$6:$Q$3830&lt;&gt;"N/A"),'Diags Raw Data'!$U$6:$U$3830)</f>
        <v>4</v>
      </c>
      <c r="O46" s="488">
        <f t="shared" si="2"/>
        <v>1</v>
      </c>
      <c r="P46" s="489">
        <f>SUMIF('Diags Raw Data'!$A$6:$A$3830,"*"&amp;$A46&amp;"*",'Diags Raw Data'!$Z$6:$Z$3830)</f>
        <v>0</v>
      </c>
      <c r="Q46" s="490">
        <f>SUM(SUMIF('Diags Raw Data'!$A$6:$A$3830,"*"&amp;$A46&amp;"*",'Diags Raw Data'!$AA$6:$AA$3830),SUMIF('Diags Raw Data'!$A$6:$A$3830,"*"&amp;$A46&amp;"*",'Diags Raw Data'!$AB$6:$AB$3830))</f>
        <v>0</v>
      </c>
      <c r="R46" s="491">
        <f t="shared" si="3"/>
        <v>0</v>
      </c>
      <c r="S46" s="491">
        <f t="shared" si="4"/>
        <v>0</v>
      </c>
      <c r="T46" s="492">
        <f t="shared" si="5"/>
        <v>0</v>
      </c>
      <c r="U46" s="432" t="e">
        <f>VLOOKUP(A46,'Diags Raw Data'!$A$6:$AH$3830,33,FALSE)</f>
        <v>#N/A</v>
      </c>
      <c r="V46" s="181"/>
    </row>
    <row r="47" spans="1:22" ht="195.75" thickBot="1" x14ac:dyDescent="0.3">
      <c r="A47" s="546">
        <v>12.059999999999967</v>
      </c>
      <c r="B47" s="434" t="str">
        <f>VLOOKUP(A47,'Feature Raw Data'!$A$3:$B$3922,2,FALSE)</f>
        <v>VGPR DMA for Function Calls (uniform mask only)</v>
      </c>
      <c r="C47" s="435" t="str">
        <f>VLOOKUP(A47,'Feature Raw Data'!$A$3:$C$3922,3,FALSE)</f>
        <v>P1</v>
      </c>
      <c r="D47" s="436" t="str" cm="1">
        <f t="array" ref="D47">_xlfn.TEXTJOIN("",TRUE,IF(ISNUMBER(SEARCH($A47,'Diags Raw Data'!$A$6:$A$3830)),CONCATENATE('Diags Raw Data'!$H$6:$H$3830,", "),""))</f>
        <v xml:space="preserve">gci1305.0,gci1305.1, gci1305.2, gfx.inst_perf/ds_permute_b32_w64,gfx.inst_perf/ds_bpermute_b32_w64, gfx.inst_perf/v_permlanex16_var_b32,gfx.inst_perf/v_permlane16_var_b32, gfx.inst_perf/s_sleep_var,gfx.inst_perf/s_sleep,gfx.inst_perf/s_add_nc_u64,gfx.inst_perf/s_sub_nc_u64,gfx.inst_perf/s_mul_u64,gfx.inst_perf/s_mul_i32, gci1303.0, gci1303.0,gci1303.1,gci1303.2, </v>
      </c>
      <c r="E47" s="339" t="e">
        <f>VLOOKUP(A47,'Diags Raw Data'!$A$6:$D$3830,4,FALSE)</f>
        <v>#N/A</v>
      </c>
      <c r="F47" s="339" t="str">
        <f>VLOOKUP(A47,'Feature Raw Data'!$A$3:$E$3922,5,FALSE)</f>
        <v>New</v>
      </c>
      <c r="G47" s="339" t="str">
        <f t="shared" si="0"/>
        <v>Yes</v>
      </c>
      <c r="H47" s="339" t="str">
        <f t="shared" si="1"/>
        <v>Yes</v>
      </c>
      <c r="I47" s="435">
        <f>SUMIF('Diags Raw Data'!$A$6:$A$3830,"*"&amp;$A47&amp;"*",'Diags Raw Data'!$K$6:$K$3830)</f>
        <v>0</v>
      </c>
      <c r="J47" s="437">
        <f>SUMIF('Diags Raw Data'!$A$6:$A$3830,"*"&amp;$A47&amp;"*",'Diags Raw Data'!$L$6:$L$3830)</f>
        <v>0</v>
      </c>
      <c r="K47" s="484" t="e" cm="1">
        <f t="array" ref="K47">IF(D47="",0, SUMPRODUCT(--(ISNUMBER(SEARCH($A47,'Diags Raw Data'!$A$6:$A$3830))),'Diags Raw Data'!$L$6:$L$3830,'Diags Raw Data'!$N$6:$N$3830)/J47)</f>
        <v>#DIV/0!</v>
      </c>
      <c r="L47" s="485" t="e" cm="1">
        <f t="array" ref="L47">IF(D47="",0, SUMPRODUCT(--(ISNUMBER(SEARCH($A47,'Diags Raw Data'!$A$6:$A$3830))),'Diags Raw Data'!$L$6:$L$3830,'Diags Raw Data'!$P$6:$P$3830)/J47)</f>
        <v>#DIV/0!</v>
      </c>
      <c r="M47" s="486" cm="1">
        <f t="array" ref="M47">SUMPRODUCT(--(ISNUMBER(SEARCH($A47,'Diags Raw Data'!$A$6:$A$3830))),--('Diags Raw Data'!$Q$6:$Q$3830&lt;&gt;"N/A"),'Diags Raw Data'!$R$6:$R$3830)</f>
        <v>17</v>
      </c>
      <c r="N47" s="487" cm="1">
        <f t="array" ref="N47">SUMPRODUCT(--(ISNUMBER(SEARCH($A47,'Diags Raw Data'!$A$6:$A$3830))),--('Diags Raw Data'!$Q$6:$Q$3830&lt;&gt;"N/A"),'Diags Raw Data'!$T$6:$T$3830)+SUMPRODUCT(--(ISNUMBER(SEARCH($A47,'Diags Raw Data'!$A$6:$A$3830))),--('Diags Raw Data'!$Q$6:$Q$3830&lt;&gt;"N/A"),'Diags Raw Data'!$U$6:$U$3830)</f>
        <v>17</v>
      </c>
      <c r="O47" s="488">
        <f t="shared" si="2"/>
        <v>1</v>
      </c>
      <c r="P47" s="489">
        <f>SUMIF('Diags Raw Data'!$A$6:$A$3830,"*"&amp;$A47&amp;"*",'Diags Raw Data'!$Z$6:$Z$3830)</f>
        <v>0</v>
      </c>
      <c r="Q47" s="490">
        <f>SUM(SUMIF('Diags Raw Data'!$A$6:$A$3830,"*"&amp;$A47&amp;"*",'Diags Raw Data'!$AA$6:$AA$3830),SUMIF('Diags Raw Data'!$A$6:$A$3830,"*"&amp;$A47&amp;"*",'Diags Raw Data'!$AB$6:$AB$3830))</f>
        <v>0</v>
      </c>
      <c r="R47" s="491">
        <f t="shared" si="3"/>
        <v>0</v>
      </c>
      <c r="S47" s="491">
        <f t="shared" si="4"/>
        <v>0</v>
      </c>
      <c r="T47" s="492">
        <f t="shared" si="5"/>
        <v>0</v>
      </c>
      <c r="U47" s="432" t="e">
        <f>VLOOKUP(A47,'Diags Raw Data'!$A$6:$AH$3830,33,FALSE)</f>
        <v>#N/A</v>
      </c>
      <c r="V47" s="181"/>
    </row>
    <row r="48" spans="1:22" ht="15.75" thickBot="1" x14ac:dyDescent="0.3">
      <c r="A48" s="546">
        <v>12.061999999999966</v>
      </c>
      <c r="B48" s="434" t="str">
        <f>VLOOKUP(A48,'Feature Raw Data'!$A$3:$B$3922,2,FALSE)</f>
        <v xml:space="preserve">Shader Debugger Enablement </v>
      </c>
      <c r="C48" s="435" t="str">
        <f>VLOOKUP(A48,'Feature Raw Data'!$A$3:$C$3922,3,FALSE)</f>
        <v>P1</v>
      </c>
      <c r="D48" s="436" t="str" cm="1">
        <f t="array" ref="D48">_xlfn.TEXTJOIN("",TRUE,IF(ISNUMBER(SEARCH($A48,'Diags Raw Data'!$A$6:$A$3830)),CONCATENATE('Diags Raw Data'!$H$6:$H$3830,", "),""))</f>
        <v xml:space="preserve">gci1305.2, </v>
      </c>
      <c r="E48" s="339" t="e">
        <f>VLOOKUP(A48,'Diags Raw Data'!$A$6:$D$3830,4,FALSE)</f>
        <v>#N/A</v>
      </c>
      <c r="F48" s="339" t="str">
        <f>VLOOKUP(A48,'Feature Raw Data'!$A$3:$E$3922,5,FALSE)</f>
        <v>New</v>
      </c>
      <c r="G48" s="339" t="str">
        <f t="shared" si="0"/>
        <v>Yes</v>
      </c>
      <c r="H48" s="339" t="str">
        <f t="shared" si="1"/>
        <v>Yes</v>
      </c>
      <c r="I48" s="435">
        <f>SUMIF('Diags Raw Data'!$A$6:$A$3830,"*"&amp;$A48&amp;"*",'Diags Raw Data'!$K$6:$K$3830)</f>
        <v>0</v>
      </c>
      <c r="J48" s="437">
        <f>SUMIF('Diags Raw Data'!$A$6:$A$3830,"*"&amp;$A48&amp;"*",'Diags Raw Data'!$L$6:$L$3830)</f>
        <v>0</v>
      </c>
      <c r="K48" s="484" t="e" cm="1">
        <f t="array" ref="K48">IF(D48="",0, SUMPRODUCT(--(ISNUMBER(SEARCH($A48,'Diags Raw Data'!$A$6:$A$3830))),'Diags Raw Data'!$L$6:$L$3830,'Diags Raw Data'!$N$6:$N$3830)/J48)</f>
        <v>#DIV/0!</v>
      </c>
      <c r="L48" s="485" t="e" cm="1">
        <f t="array" ref="L48">IF(D48="",0, SUMPRODUCT(--(ISNUMBER(SEARCH($A48,'Diags Raw Data'!$A$6:$A$3830))),'Diags Raw Data'!$L$6:$L$3830,'Diags Raw Data'!$P$6:$P$3830)/J48)</f>
        <v>#DIV/0!</v>
      </c>
      <c r="M48" s="486" cm="1">
        <f t="array" ref="M48">SUMPRODUCT(--(ISNUMBER(SEARCH($A48,'Diags Raw Data'!$A$6:$A$3830))),--('Diags Raw Data'!$Q$6:$Q$3830&lt;&gt;"N/A"),'Diags Raw Data'!$R$6:$R$3830)</f>
        <v>1</v>
      </c>
      <c r="N48" s="487" cm="1">
        <f t="array" ref="N48">SUMPRODUCT(--(ISNUMBER(SEARCH($A48,'Diags Raw Data'!$A$6:$A$3830))),--('Diags Raw Data'!$Q$6:$Q$3830&lt;&gt;"N/A"),'Diags Raw Data'!$T$6:$T$3830)+SUMPRODUCT(--(ISNUMBER(SEARCH($A48,'Diags Raw Data'!$A$6:$A$3830))),--('Diags Raw Data'!$Q$6:$Q$3830&lt;&gt;"N/A"),'Diags Raw Data'!$U$6:$U$3830)</f>
        <v>1</v>
      </c>
      <c r="O48" s="488">
        <f t="shared" si="2"/>
        <v>1</v>
      </c>
      <c r="P48" s="489">
        <f>SUMIF('Diags Raw Data'!$A$6:$A$3830,"*"&amp;$A48&amp;"*",'Diags Raw Data'!$Z$6:$Z$3830)</f>
        <v>0</v>
      </c>
      <c r="Q48" s="490">
        <f>SUM(SUMIF('Diags Raw Data'!$A$6:$A$3830,"*"&amp;$A48&amp;"*",'Diags Raw Data'!$AA$6:$AA$3830),SUMIF('Diags Raw Data'!$A$6:$A$3830,"*"&amp;$A48&amp;"*",'Diags Raw Data'!$AB$6:$AB$3830))</f>
        <v>0</v>
      </c>
      <c r="R48" s="491">
        <f t="shared" si="3"/>
        <v>0</v>
      </c>
      <c r="S48" s="491">
        <f t="shared" si="4"/>
        <v>0</v>
      </c>
      <c r="T48" s="492">
        <f t="shared" si="5"/>
        <v>0</v>
      </c>
      <c r="U48" s="432" t="e">
        <f>VLOOKUP(A48,'Diags Raw Data'!$A$6:$AH$3830,33,FALSE)</f>
        <v>#N/A</v>
      </c>
      <c r="V48" s="181"/>
    </row>
    <row r="49" spans="1:22" ht="45.75" thickBot="1" x14ac:dyDescent="0.3">
      <c r="A49" s="546">
        <v>12.062999999999965</v>
      </c>
      <c r="B49" s="434" t="str">
        <f>VLOOKUP(A49,'Feature Raw Data'!$A$3:$B$3922,2,FALSE)</f>
        <v xml:space="preserve">Shader Illegal Instruction Detection </v>
      </c>
      <c r="C49" s="435" t="str">
        <f>VLOOKUP(A49,'Feature Raw Data'!$A$3:$C$3922,3,FALSE)</f>
        <v>P2</v>
      </c>
      <c r="D49" s="436" t="str" cm="1">
        <f t="array" ref="D49">_xlfn.TEXTJOIN("",TRUE,IF(ISNUMBER(SEARCH($A49,'Diags Raw Data'!$A$6:$A$3830)),CONCATENATE('Diags Raw Data'!$H$6:$H$3830,", "),""))</f>
        <v xml:space="preserve">gfx.inst_perf/ds_permute_b32_w64,gfx.inst_perf/ds_bpermute_b32_w64, </v>
      </c>
      <c r="E49" s="339" t="e">
        <f>VLOOKUP(A49,'Diags Raw Data'!$A$6:$D$3830,4,FALSE)</f>
        <v>#N/A</v>
      </c>
      <c r="F49" s="339" t="str">
        <f>VLOOKUP(A49,'Feature Raw Data'!$A$3:$E$3922,5,FALSE)</f>
        <v>Delta</v>
      </c>
      <c r="G49" s="339" t="str">
        <f t="shared" si="0"/>
        <v>Yes</v>
      </c>
      <c r="H49" s="339" t="str">
        <f t="shared" si="1"/>
        <v>Yes</v>
      </c>
      <c r="I49" s="435">
        <f>SUMIF('Diags Raw Data'!$A$6:$A$3830,"*"&amp;$A49&amp;"*",'Diags Raw Data'!$K$6:$K$3830)</f>
        <v>0</v>
      </c>
      <c r="J49" s="437">
        <f>SUMIF('Diags Raw Data'!$A$6:$A$3830,"*"&amp;$A49&amp;"*",'Diags Raw Data'!$L$6:$L$3830)</f>
        <v>0</v>
      </c>
      <c r="K49" s="484" t="e" cm="1">
        <f t="array" ref="K49">IF(D49="",0, SUMPRODUCT(--(ISNUMBER(SEARCH($A49,'Diags Raw Data'!$A$6:$A$3830))),'Diags Raw Data'!$L$6:$L$3830,'Diags Raw Data'!$N$6:$N$3830)/J49)</f>
        <v>#DIV/0!</v>
      </c>
      <c r="L49" s="485" t="e" cm="1">
        <f t="array" ref="L49">IF(D49="",0, SUMPRODUCT(--(ISNUMBER(SEARCH($A49,'Diags Raw Data'!$A$6:$A$3830))),'Diags Raw Data'!$L$6:$L$3830,'Diags Raw Data'!$P$6:$P$3830)/J49)</f>
        <v>#DIV/0!</v>
      </c>
      <c r="M49" s="486" cm="1">
        <f t="array" ref="M49">SUMPRODUCT(--(ISNUMBER(SEARCH($A49,'Diags Raw Data'!$A$6:$A$3830))),--('Diags Raw Data'!$Q$6:$Q$3830&lt;&gt;"N/A"),'Diags Raw Data'!$R$6:$R$3830)</f>
        <v>2</v>
      </c>
      <c r="N49" s="487" cm="1">
        <f t="array" ref="N49">SUMPRODUCT(--(ISNUMBER(SEARCH($A49,'Diags Raw Data'!$A$6:$A$3830))),--('Diags Raw Data'!$Q$6:$Q$3830&lt;&gt;"N/A"),'Diags Raw Data'!$T$6:$T$3830)+SUMPRODUCT(--(ISNUMBER(SEARCH($A49,'Diags Raw Data'!$A$6:$A$3830))),--('Diags Raw Data'!$Q$6:$Q$3830&lt;&gt;"N/A"),'Diags Raw Data'!$U$6:$U$3830)</f>
        <v>2</v>
      </c>
      <c r="O49" s="488">
        <f t="shared" si="2"/>
        <v>1</v>
      </c>
      <c r="P49" s="489">
        <f>SUMIF('Diags Raw Data'!$A$6:$A$3830,"*"&amp;$A49&amp;"*",'Diags Raw Data'!$Z$6:$Z$3830)</f>
        <v>0</v>
      </c>
      <c r="Q49" s="490">
        <f>SUM(SUMIF('Diags Raw Data'!$A$6:$A$3830,"*"&amp;$A49&amp;"*",'Diags Raw Data'!$AA$6:$AA$3830),SUMIF('Diags Raw Data'!$A$6:$A$3830,"*"&amp;$A49&amp;"*",'Diags Raw Data'!$AB$6:$AB$3830))</f>
        <v>0</v>
      </c>
      <c r="R49" s="491">
        <f t="shared" si="3"/>
        <v>0</v>
      </c>
      <c r="S49" s="491">
        <f t="shared" si="4"/>
        <v>0</v>
      </c>
      <c r="T49" s="492">
        <f t="shared" si="5"/>
        <v>0</v>
      </c>
      <c r="U49" s="432" t="e">
        <f>VLOOKUP(A49,'Diags Raw Data'!$A$6:$AH$3830,33,FALSE)</f>
        <v>#N/A</v>
      </c>
      <c r="V49" s="181"/>
    </row>
    <row r="50" spans="1:22" ht="45.75" thickBot="1" x14ac:dyDescent="0.3">
      <c r="A50" s="546">
        <v>12.063999999999965</v>
      </c>
      <c r="B50" s="434" t="str">
        <f>VLOOKUP(A50,'Feature Raw Data'!$A$3:$B$3922,2,FALSE)</f>
        <v xml:space="preserve">Support PERMUTE/BPERMUTE for wave64 </v>
      </c>
      <c r="C50" s="435" t="str">
        <f>VLOOKUP(A50,'Feature Raw Data'!$A$3:$C$3922,3,FALSE)</f>
        <v>P2</v>
      </c>
      <c r="D50" s="436" t="str" cm="1">
        <f t="array" ref="D50">_xlfn.TEXTJOIN("",TRUE,IF(ISNUMBER(SEARCH($A50,'Diags Raw Data'!$A$6:$A$3830)),CONCATENATE('Diags Raw Data'!$H$6:$H$3830,", "),""))</f>
        <v xml:space="preserve">gfx.inst_perf/v_permlanex16_var_b32,gfx.inst_perf/v_permlane16_var_b32, </v>
      </c>
      <c r="E50" s="339" t="e">
        <f>VLOOKUP(A50,'Diags Raw Data'!$A$6:$D$3830,4,FALSE)</f>
        <v>#N/A</v>
      </c>
      <c r="F50" s="339" t="str">
        <f>VLOOKUP(A50,'Feature Raw Data'!$A$3:$E$3922,5,FALSE)</f>
        <v>Delta</v>
      </c>
      <c r="G50" s="339" t="str">
        <f t="shared" si="0"/>
        <v>Yes</v>
      </c>
      <c r="H50" s="339" t="str">
        <f t="shared" si="1"/>
        <v>Yes</v>
      </c>
      <c r="I50" s="435">
        <f>SUMIF('Diags Raw Data'!$A$6:$A$3830,"*"&amp;$A50&amp;"*",'Diags Raw Data'!$K$6:$K$3830)</f>
        <v>0</v>
      </c>
      <c r="J50" s="437">
        <f>SUMIF('Diags Raw Data'!$A$6:$A$3830,"*"&amp;$A50&amp;"*",'Diags Raw Data'!$L$6:$L$3830)</f>
        <v>0</v>
      </c>
      <c r="K50" s="484" t="e" cm="1">
        <f t="array" ref="K50">IF(D50="",0, SUMPRODUCT(--(ISNUMBER(SEARCH($A50,'Diags Raw Data'!$A$6:$A$3830))),'Diags Raw Data'!$L$6:$L$3830,'Diags Raw Data'!$N$6:$N$3830)/J50)</f>
        <v>#DIV/0!</v>
      </c>
      <c r="L50" s="485" t="e" cm="1">
        <f t="array" ref="L50">IF(D50="",0, SUMPRODUCT(--(ISNUMBER(SEARCH($A50,'Diags Raw Data'!$A$6:$A$3830))),'Diags Raw Data'!$L$6:$L$3830,'Diags Raw Data'!$P$6:$P$3830)/J50)</f>
        <v>#DIV/0!</v>
      </c>
      <c r="M50" s="486" cm="1">
        <f t="array" ref="M50">SUMPRODUCT(--(ISNUMBER(SEARCH($A50,'Diags Raw Data'!$A$6:$A$3830))),--('Diags Raw Data'!$Q$6:$Q$3830&lt;&gt;"N/A"),'Diags Raw Data'!$R$6:$R$3830)</f>
        <v>2</v>
      </c>
      <c r="N50" s="487" cm="1">
        <f t="array" ref="N50">SUMPRODUCT(--(ISNUMBER(SEARCH($A50,'Diags Raw Data'!$A$6:$A$3830))),--('Diags Raw Data'!$Q$6:$Q$3830&lt;&gt;"N/A"),'Diags Raw Data'!$T$6:$T$3830)+SUMPRODUCT(--(ISNUMBER(SEARCH($A50,'Diags Raw Data'!$A$6:$A$3830))),--('Diags Raw Data'!$Q$6:$Q$3830&lt;&gt;"N/A"),'Diags Raw Data'!$U$6:$U$3830)</f>
        <v>2</v>
      </c>
      <c r="O50" s="488">
        <f t="shared" si="2"/>
        <v>1</v>
      </c>
      <c r="P50" s="489">
        <f>SUMIF('Diags Raw Data'!$A$6:$A$3830,"*"&amp;$A50&amp;"*",'Diags Raw Data'!$Z$6:$Z$3830)</f>
        <v>0</v>
      </c>
      <c r="Q50" s="490">
        <f>SUM(SUMIF('Diags Raw Data'!$A$6:$A$3830,"*"&amp;$A50&amp;"*",'Diags Raw Data'!$AA$6:$AA$3830),SUMIF('Diags Raw Data'!$A$6:$A$3830,"*"&amp;$A50&amp;"*",'Diags Raw Data'!$AB$6:$AB$3830))</f>
        <v>0</v>
      </c>
      <c r="R50" s="491">
        <f t="shared" si="3"/>
        <v>0</v>
      </c>
      <c r="S50" s="491">
        <f t="shared" si="4"/>
        <v>0</v>
      </c>
      <c r="T50" s="492">
        <f t="shared" si="5"/>
        <v>0</v>
      </c>
      <c r="U50" s="432" t="e">
        <f>VLOOKUP(A50,'Diags Raw Data'!$A$6:$AH$3830,33,FALSE)</f>
        <v>#N/A</v>
      </c>
      <c r="V50" s="181"/>
    </row>
    <row r="51" spans="1:22" ht="75.75" thickBot="1" x14ac:dyDescent="0.3">
      <c r="A51" s="546">
        <v>12.064999999999964</v>
      </c>
      <c r="B51" s="434" t="str">
        <f>VLOOKUP(A51,'Feature Raw Data'!$A$3:$B$3922,2,FALSE)</f>
        <v xml:space="preserve">Shader VALU Improvements </v>
      </c>
      <c r="C51" s="435" t="str">
        <f>VLOOKUP(A51,'Feature Raw Data'!$A$3:$C$3922,3,FALSE)</f>
        <v>P1</v>
      </c>
      <c r="D51" s="436" t="str" cm="1">
        <f t="array" ref="D51">_xlfn.TEXTJOIN("",TRUE,IF(ISNUMBER(SEARCH($A51,'Diags Raw Data'!$A$6:$A$3830)),CONCATENATE('Diags Raw Data'!$H$6:$H$3830,", "),""))</f>
        <v xml:space="preserve">gfx.inst_perf/s_sleep_var,gfx.inst_perf/s_sleep,gfx.inst_perf/s_add_nc_u64,gfx.inst_perf/s_sub_nc_u64,gfx.inst_perf/s_mul_u64,gfx.inst_perf/s_mul_i32, </v>
      </c>
      <c r="E51" s="339" t="e">
        <f>VLOOKUP(A51,'Diags Raw Data'!$A$6:$D$3830,4,FALSE)</f>
        <v>#N/A</v>
      </c>
      <c r="F51" s="339" t="str">
        <f>VLOOKUP(A51,'Feature Raw Data'!$A$3:$E$3922,5,FALSE)</f>
        <v>Delta</v>
      </c>
      <c r="G51" s="339" t="str">
        <f t="shared" si="0"/>
        <v>Yes</v>
      </c>
      <c r="H51" s="339" t="str">
        <f t="shared" si="1"/>
        <v>Yes</v>
      </c>
      <c r="I51" s="435">
        <f>SUMIF('Diags Raw Data'!$A$6:$A$3830,"*"&amp;$A51&amp;"*",'Diags Raw Data'!$K$6:$K$3830)</f>
        <v>0</v>
      </c>
      <c r="J51" s="437">
        <f>SUMIF('Diags Raw Data'!$A$6:$A$3830,"*"&amp;$A51&amp;"*",'Diags Raw Data'!$L$6:$L$3830)</f>
        <v>0</v>
      </c>
      <c r="K51" s="484" t="e" cm="1">
        <f t="array" ref="K51">IF(D51="",0, SUMPRODUCT(--(ISNUMBER(SEARCH($A51,'Diags Raw Data'!$A$6:$A$3830))),'Diags Raw Data'!$L$6:$L$3830,'Diags Raw Data'!$N$6:$N$3830)/J51)</f>
        <v>#DIV/0!</v>
      </c>
      <c r="L51" s="485" t="e" cm="1">
        <f t="array" ref="L51">IF(D51="",0, SUMPRODUCT(--(ISNUMBER(SEARCH($A51,'Diags Raw Data'!$A$6:$A$3830))),'Diags Raw Data'!$L$6:$L$3830,'Diags Raw Data'!$P$6:$P$3830)/J51)</f>
        <v>#DIV/0!</v>
      </c>
      <c r="M51" s="486" cm="1">
        <f t="array" ref="M51">SUMPRODUCT(--(ISNUMBER(SEARCH($A51,'Diags Raw Data'!$A$6:$A$3830))),--('Diags Raw Data'!$Q$6:$Q$3830&lt;&gt;"N/A"),'Diags Raw Data'!$R$6:$R$3830)</f>
        <v>6</v>
      </c>
      <c r="N51" s="487" cm="1">
        <f t="array" ref="N51">SUMPRODUCT(--(ISNUMBER(SEARCH($A51,'Diags Raw Data'!$A$6:$A$3830))),--('Diags Raw Data'!$Q$6:$Q$3830&lt;&gt;"N/A"),'Diags Raw Data'!$T$6:$T$3830)+SUMPRODUCT(--(ISNUMBER(SEARCH($A51,'Diags Raw Data'!$A$6:$A$3830))),--('Diags Raw Data'!$Q$6:$Q$3830&lt;&gt;"N/A"),'Diags Raw Data'!$U$6:$U$3830)</f>
        <v>6</v>
      </c>
      <c r="O51" s="488">
        <f t="shared" si="2"/>
        <v>1</v>
      </c>
      <c r="P51" s="489">
        <f>SUMIF('Diags Raw Data'!$A$6:$A$3830,"*"&amp;$A51&amp;"*",'Diags Raw Data'!$Z$6:$Z$3830)</f>
        <v>0</v>
      </c>
      <c r="Q51" s="490">
        <f>SUM(SUMIF('Diags Raw Data'!$A$6:$A$3830,"*"&amp;$A51&amp;"*",'Diags Raw Data'!$AA$6:$AA$3830),SUMIF('Diags Raw Data'!$A$6:$A$3830,"*"&amp;$A51&amp;"*",'Diags Raw Data'!$AB$6:$AB$3830))</f>
        <v>0</v>
      </c>
      <c r="R51" s="491">
        <f t="shared" si="3"/>
        <v>0</v>
      </c>
      <c r="S51" s="491">
        <f t="shared" si="4"/>
        <v>0</v>
      </c>
      <c r="T51" s="492">
        <f t="shared" si="5"/>
        <v>0</v>
      </c>
      <c r="U51" s="432" t="e">
        <f>VLOOKUP(A51,'Diags Raw Data'!$A$6:$AH$3830,33,FALSE)</f>
        <v>#N/A</v>
      </c>
      <c r="V51" s="181"/>
    </row>
    <row r="52" spans="1:22" ht="15.75" thickBot="1" x14ac:dyDescent="0.3">
      <c r="A52" s="546">
        <v>12.065999999999963</v>
      </c>
      <c r="B52" s="434" t="str">
        <f>VLOOKUP(A52,'Feature Raw Data'!$A$3:$B$3922,2,FALSE)</f>
        <v xml:space="preserve">Shader Scalar Improvements </v>
      </c>
      <c r="C52" s="435" t="str">
        <f>VLOOKUP(A52,'Feature Raw Data'!$A$3:$C$3922,3,FALSE)</f>
        <v>P2</v>
      </c>
      <c r="D52" s="436" t="str" cm="1">
        <f t="array" ref="D52">_xlfn.TEXTJOIN("",TRUE,IF(ISNUMBER(SEARCH($A52,'Diags Raw Data'!$A$6:$A$3830)),CONCATENATE('Diags Raw Data'!$H$6:$H$3830,", "),""))</f>
        <v xml:space="preserve">gci1303.0, </v>
      </c>
      <c r="E52" s="339" t="e">
        <f>VLOOKUP(A52,'Diags Raw Data'!$A$6:$D$3830,4,FALSE)</f>
        <v>#N/A</v>
      </c>
      <c r="F52" s="339" t="str">
        <f>VLOOKUP(A52,'Feature Raw Data'!$A$3:$E$3922,5,FALSE)</f>
        <v>Delta</v>
      </c>
      <c r="G52" s="339" t="str">
        <f t="shared" si="0"/>
        <v>Yes</v>
      </c>
      <c r="H52" s="339" t="str">
        <f t="shared" si="1"/>
        <v>Yes</v>
      </c>
      <c r="I52" s="435">
        <f>SUMIF('Diags Raw Data'!$A$6:$A$3830,"*"&amp;$A52&amp;"*",'Diags Raw Data'!$K$6:$K$3830)</f>
        <v>0</v>
      </c>
      <c r="J52" s="437">
        <f>SUMIF('Diags Raw Data'!$A$6:$A$3830,"*"&amp;$A52&amp;"*",'Diags Raw Data'!$L$6:$L$3830)</f>
        <v>0</v>
      </c>
      <c r="K52" s="484" t="e" cm="1">
        <f t="array" ref="K52">IF(D52="",0, SUMPRODUCT(--(ISNUMBER(SEARCH($A52,'Diags Raw Data'!$A$6:$A$3830))),'Diags Raw Data'!$L$6:$L$3830,'Diags Raw Data'!$N$6:$N$3830)/J52)</f>
        <v>#DIV/0!</v>
      </c>
      <c r="L52" s="485" t="e" cm="1">
        <f t="array" ref="L52">IF(D52="",0, SUMPRODUCT(--(ISNUMBER(SEARCH($A52,'Diags Raw Data'!$A$6:$A$3830))),'Diags Raw Data'!$L$6:$L$3830,'Diags Raw Data'!$P$6:$P$3830)/J52)</f>
        <v>#DIV/0!</v>
      </c>
      <c r="M52" s="486" cm="1">
        <f t="array" ref="M52">SUMPRODUCT(--(ISNUMBER(SEARCH($A52,'Diags Raw Data'!$A$6:$A$3830))),--('Diags Raw Data'!$Q$6:$Q$3830&lt;&gt;"N/A"),'Diags Raw Data'!$R$6:$R$3830)</f>
        <v>1</v>
      </c>
      <c r="N52" s="487" cm="1">
        <f t="array" ref="N52">SUMPRODUCT(--(ISNUMBER(SEARCH($A52,'Diags Raw Data'!$A$6:$A$3830))),--('Diags Raw Data'!$Q$6:$Q$3830&lt;&gt;"N/A"),'Diags Raw Data'!$T$6:$T$3830)+SUMPRODUCT(--(ISNUMBER(SEARCH($A52,'Diags Raw Data'!$A$6:$A$3830))),--('Diags Raw Data'!$Q$6:$Q$3830&lt;&gt;"N/A"),'Diags Raw Data'!$U$6:$U$3830)</f>
        <v>1</v>
      </c>
      <c r="O52" s="488">
        <f t="shared" si="2"/>
        <v>1</v>
      </c>
      <c r="P52" s="489">
        <f>SUMIF('Diags Raw Data'!$A$6:$A$3830,"*"&amp;$A52&amp;"*",'Diags Raw Data'!$Z$6:$Z$3830)</f>
        <v>0</v>
      </c>
      <c r="Q52" s="490">
        <f>SUM(SUMIF('Diags Raw Data'!$A$6:$A$3830,"*"&amp;$A52&amp;"*",'Diags Raw Data'!$AA$6:$AA$3830),SUMIF('Diags Raw Data'!$A$6:$A$3830,"*"&amp;$A52&amp;"*",'Diags Raw Data'!$AB$6:$AB$3830))</f>
        <v>0</v>
      </c>
      <c r="R52" s="491">
        <f t="shared" si="3"/>
        <v>0</v>
      </c>
      <c r="S52" s="491">
        <f t="shared" si="4"/>
        <v>0</v>
      </c>
      <c r="T52" s="492">
        <f t="shared" si="5"/>
        <v>0</v>
      </c>
      <c r="U52" s="432" t="e">
        <f>VLOOKUP(A52,'Diags Raw Data'!$A$6:$AH$3830,33,FALSE)</f>
        <v>#N/A</v>
      </c>
      <c r="V52" s="181"/>
    </row>
    <row r="53" spans="1:22" ht="15.75" thickBot="1" x14ac:dyDescent="0.3">
      <c r="A53" s="546">
        <v>12.066999999999963</v>
      </c>
      <c r="B53" s="434" t="str">
        <f>VLOOKUP(A53,'Feature Raw Data'!$A$3:$B$3922,2,FALSE)</f>
        <v xml:space="preserve">Fix SQG GRBM design </v>
      </c>
      <c r="C53" s="435" t="str">
        <f>VLOOKUP(A53,'Feature Raw Data'!$A$3:$C$3922,3,FALSE)</f>
        <v>P1</v>
      </c>
      <c r="D53" s="436" t="str" cm="1">
        <f t="array" ref="D53">_xlfn.TEXTJOIN("",TRUE,IF(ISNUMBER(SEARCH($A53,'Diags Raw Data'!$A$6:$A$3830)),CONCATENATE('Diags Raw Data'!$H$6:$H$3830,", "),""))</f>
        <v/>
      </c>
      <c r="E53" s="339" t="e">
        <f>VLOOKUP(A53,'Diags Raw Data'!$A$6:$D$3830,4,FALSE)</f>
        <v>#N/A</v>
      </c>
      <c r="F53" s="339" t="str">
        <f>VLOOKUP(A53,'Feature Raw Data'!$A$3:$E$3922,5,FALSE)</f>
        <v>Delta</v>
      </c>
      <c r="G53" s="339" t="str">
        <f t="shared" si="0"/>
        <v>Yes</v>
      </c>
      <c r="H53" s="339" t="str">
        <f t="shared" si="1"/>
        <v>Yes</v>
      </c>
      <c r="I53" s="435">
        <f>SUMIF('Diags Raw Data'!$A$6:$A$3830,"*"&amp;$A53&amp;"*",'Diags Raw Data'!$K$6:$K$3830)</f>
        <v>0</v>
      </c>
      <c r="J53" s="437">
        <f>SUMIF('Diags Raw Data'!$A$6:$A$3830,"*"&amp;$A53&amp;"*",'Diags Raw Data'!$L$6:$L$3830)</f>
        <v>0</v>
      </c>
      <c r="K53" s="484" cm="1">
        <f t="array" ref="K53">IF(D53="",0, SUMPRODUCT(--(ISNUMBER(SEARCH($A53,'Diags Raw Data'!$A$6:$A$3830))),'Diags Raw Data'!$L$6:$L$3830,'Diags Raw Data'!$N$6:$N$3830)/J53)</f>
        <v>0</v>
      </c>
      <c r="L53" s="485" cm="1">
        <f t="array" ref="L53">IF(D53="",0, SUMPRODUCT(--(ISNUMBER(SEARCH($A53,'Diags Raw Data'!$A$6:$A$3830))),'Diags Raw Data'!$L$6:$L$3830,'Diags Raw Data'!$P$6:$P$3830)/J53)</f>
        <v>0</v>
      </c>
      <c r="M53" s="486" cm="1">
        <f t="array" ref="M53">SUMPRODUCT(--(ISNUMBER(SEARCH($A53,'Diags Raw Data'!$A$6:$A$3830))),--('Diags Raw Data'!$Q$6:$Q$3830&lt;&gt;"N/A"),'Diags Raw Data'!$R$6:$R$3830)</f>
        <v>0</v>
      </c>
      <c r="N53" s="487" cm="1">
        <f t="array" ref="N53">SUMPRODUCT(--(ISNUMBER(SEARCH($A53,'Diags Raw Data'!$A$6:$A$3830))),--('Diags Raw Data'!$Q$6:$Q$3830&lt;&gt;"N/A"),'Diags Raw Data'!$T$6:$T$3830)+SUMPRODUCT(--(ISNUMBER(SEARCH($A53,'Diags Raw Data'!$A$6:$A$3830))),--('Diags Raw Data'!$Q$6:$Q$3830&lt;&gt;"N/A"),'Diags Raw Data'!$U$6:$U$3830)</f>
        <v>0</v>
      </c>
      <c r="O53" s="488">
        <f t="shared" si="2"/>
        <v>0</v>
      </c>
      <c r="P53" s="489">
        <f>SUMIF('Diags Raw Data'!$A$6:$A$3830,"*"&amp;$A53&amp;"*",'Diags Raw Data'!$Z$6:$Z$3830)</f>
        <v>0</v>
      </c>
      <c r="Q53" s="490">
        <f>SUM(SUMIF('Diags Raw Data'!$A$6:$A$3830,"*"&amp;$A53&amp;"*",'Diags Raw Data'!$AA$6:$AA$3830),SUMIF('Diags Raw Data'!$A$6:$A$3830,"*"&amp;$A53&amp;"*",'Diags Raw Data'!$AB$6:$AB$3830))</f>
        <v>0</v>
      </c>
      <c r="R53" s="491">
        <f t="shared" si="3"/>
        <v>0</v>
      </c>
      <c r="S53" s="491">
        <f t="shared" si="4"/>
        <v>0</v>
      </c>
      <c r="T53" s="492">
        <f t="shared" si="5"/>
        <v>0</v>
      </c>
      <c r="U53" s="432" t="e">
        <f>VLOOKUP(A53,'Diags Raw Data'!$A$6:$AH$3830,33,FALSE)</f>
        <v>#N/A</v>
      </c>
      <c r="V53" s="181"/>
    </row>
    <row r="54" spans="1:22" ht="30.75" thickBot="1" x14ac:dyDescent="0.3">
      <c r="A54" s="546">
        <v>12.067999999999962</v>
      </c>
      <c r="B54" s="434" t="str">
        <f>VLOOKUP(A54,'Feature Raw Data'!$A$3:$B$3922,2,FALSE)</f>
        <v>SQC Latency reduction (inherit approach from mi300)</v>
      </c>
      <c r="C54" s="435" t="str">
        <f>VLOOKUP(A54,'Feature Raw Data'!$A$3:$C$3922,3,FALSE)</f>
        <v>P1</v>
      </c>
      <c r="D54" s="436" t="str" cm="1">
        <f t="array" ref="D54">_xlfn.TEXTJOIN("",TRUE,IF(ISNUMBER(SEARCH($A54,'Diags Raw Data'!$A$6:$A$3830)),CONCATENATE('Diags Raw Data'!$H$6:$H$3830,", "),""))</f>
        <v xml:space="preserve">gci1303.0,gci1303.1,gci1303.2, </v>
      </c>
      <c r="E54" s="339" t="e">
        <f>VLOOKUP(A54,'Diags Raw Data'!$A$6:$D$3830,4,FALSE)</f>
        <v>#N/A</v>
      </c>
      <c r="F54" s="339" t="str">
        <f>VLOOKUP(A54,'Feature Raw Data'!$A$3:$E$3922,5,FALSE)</f>
        <v>Legacy</v>
      </c>
      <c r="G54" s="339" t="str">
        <f t="shared" si="0"/>
        <v>Yes</v>
      </c>
      <c r="H54" s="339" t="str">
        <f t="shared" si="1"/>
        <v>Yes</v>
      </c>
      <c r="I54" s="435">
        <f>SUMIF('Diags Raw Data'!$A$6:$A$3830,"*"&amp;$A54&amp;"*",'Diags Raw Data'!$K$6:$K$3830)</f>
        <v>0</v>
      </c>
      <c r="J54" s="437">
        <f>SUMIF('Diags Raw Data'!$A$6:$A$3830,"*"&amp;$A54&amp;"*",'Diags Raw Data'!$L$6:$L$3830)</f>
        <v>0</v>
      </c>
      <c r="K54" s="484" t="e" cm="1">
        <f t="array" ref="K54">IF(D54="",0, SUMPRODUCT(--(ISNUMBER(SEARCH($A54,'Diags Raw Data'!$A$6:$A$3830))),'Diags Raw Data'!$L$6:$L$3830,'Diags Raw Data'!$N$6:$N$3830)/J54)</f>
        <v>#DIV/0!</v>
      </c>
      <c r="L54" s="485" t="e" cm="1">
        <f t="array" ref="L54">IF(D54="",0, SUMPRODUCT(--(ISNUMBER(SEARCH($A54,'Diags Raw Data'!$A$6:$A$3830))),'Diags Raw Data'!$L$6:$L$3830,'Diags Raw Data'!$P$6:$P$3830)/J54)</f>
        <v>#DIV/0!</v>
      </c>
      <c r="M54" s="486" cm="1">
        <f t="array" ref="M54">SUMPRODUCT(--(ISNUMBER(SEARCH($A54,'Diags Raw Data'!$A$6:$A$3830))),--('Diags Raw Data'!$Q$6:$Q$3830&lt;&gt;"N/A"),'Diags Raw Data'!$R$6:$R$3830)</f>
        <v>3</v>
      </c>
      <c r="N54" s="487" cm="1">
        <f t="array" ref="N54">SUMPRODUCT(--(ISNUMBER(SEARCH($A54,'Diags Raw Data'!$A$6:$A$3830))),--('Diags Raw Data'!$Q$6:$Q$3830&lt;&gt;"N/A"),'Diags Raw Data'!$T$6:$T$3830)+SUMPRODUCT(--(ISNUMBER(SEARCH($A54,'Diags Raw Data'!$A$6:$A$3830))),--('Diags Raw Data'!$Q$6:$Q$3830&lt;&gt;"N/A"),'Diags Raw Data'!$U$6:$U$3830)</f>
        <v>3</v>
      </c>
      <c r="O54" s="488">
        <f t="shared" si="2"/>
        <v>1</v>
      </c>
      <c r="P54" s="489">
        <f>SUMIF('Diags Raw Data'!$A$6:$A$3830,"*"&amp;$A54&amp;"*",'Diags Raw Data'!$Z$6:$Z$3830)</f>
        <v>0</v>
      </c>
      <c r="Q54" s="490">
        <f>SUM(SUMIF('Diags Raw Data'!$A$6:$A$3830,"*"&amp;$A54&amp;"*",'Diags Raw Data'!$AA$6:$AA$3830),SUMIF('Diags Raw Data'!$A$6:$A$3830,"*"&amp;$A54&amp;"*",'Diags Raw Data'!$AB$6:$AB$3830))</f>
        <v>0</v>
      </c>
      <c r="R54" s="491">
        <f t="shared" si="3"/>
        <v>0</v>
      </c>
      <c r="S54" s="491">
        <f t="shared" si="4"/>
        <v>0</v>
      </c>
      <c r="T54" s="492">
        <f t="shared" si="5"/>
        <v>0</v>
      </c>
      <c r="U54" s="432" t="e">
        <f>VLOOKUP(A54,'Diags Raw Data'!$A$6:$AH$3830,33,FALSE)</f>
        <v>#N/A</v>
      </c>
      <c r="V54" s="181"/>
    </row>
    <row r="55" spans="1:22" ht="15.75" thickBot="1" x14ac:dyDescent="0.3">
      <c r="A55" s="546">
        <v>12.068999999999962</v>
      </c>
      <c r="B55" s="434" t="str">
        <f>VLOOKUP(A55,'Feature Raw Data'!$A$3:$B$3922,2,FALSE)</f>
        <v xml:space="preserve">WGP-takeover mode </v>
      </c>
      <c r="C55" s="435" t="str">
        <f>VLOOKUP(A55,'Feature Raw Data'!$A$3:$C$3922,3,FALSE)</f>
        <v>P1</v>
      </c>
      <c r="D55" s="436" t="str" cm="1">
        <f t="array" ref="D55">_xlfn.TEXTJOIN("",TRUE,IF(ISNUMBER(SEARCH($A55,'Diags Raw Data'!$A$6:$A$3830)),CONCATENATE('Diags Raw Data'!$H$6:$H$3830,", "),""))</f>
        <v/>
      </c>
      <c r="E55" s="339" t="e">
        <f>VLOOKUP(A55,'Diags Raw Data'!$A$6:$D$3830,4,FALSE)</f>
        <v>#N/A</v>
      </c>
      <c r="F55" s="339" t="str">
        <f>VLOOKUP(A55,'Feature Raw Data'!$A$3:$E$3922,5,FALSE)</f>
        <v>New</v>
      </c>
      <c r="G55" s="339" t="str">
        <f t="shared" si="0"/>
        <v>Yes</v>
      </c>
      <c r="H55" s="339" t="str">
        <f t="shared" si="1"/>
        <v>Yes</v>
      </c>
      <c r="I55" s="435">
        <f>SUMIF('Diags Raw Data'!$A$6:$A$3830,"*"&amp;$A55&amp;"*",'Diags Raw Data'!$K$6:$K$3830)</f>
        <v>0</v>
      </c>
      <c r="J55" s="437">
        <f>SUMIF('Diags Raw Data'!$A$6:$A$3830,"*"&amp;$A55&amp;"*",'Diags Raw Data'!$L$6:$L$3830)</f>
        <v>0</v>
      </c>
      <c r="K55" s="484" cm="1">
        <f t="array" ref="K55">IF(D55="",0, SUMPRODUCT(--(ISNUMBER(SEARCH($A55,'Diags Raw Data'!$A$6:$A$3830))),'Diags Raw Data'!$L$6:$L$3830,'Diags Raw Data'!$N$6:$N$3830)/J55)</f>
        <v>0</v>
      </c>
      <c r="L55" s="485" cm="1">
        <f t="array" ref="L55">IF(D55="",0, SUMPRODUCT(--(ISNUMBER(SEARCH($A55,'Diags Raw Data'!$A$6:$A$3830))),'Diags Raw Data'!$L$6:$L$3830,'Diags Raw Data'!$P$6:$P$3830)/J55)</f>
        <v>0</v>
      </c>
      <c r="M55" s="486" cm="1">
        <f t="array" ref="M55">SUMPRODUCT(--(ISNUMBER(SEARCH($A55,'Diags Raw Data'!$A$6:$A$3830))),--('Diags Raw Data'!$Q$6:$Q$3830&lt;&gt;"N/A"),'Diags Raw Data'!$R$6:$R$3830)</f>
        <v>0</v>
      </c>
      <c r="N55" s="487" cm="1">
        <f t="array" ref="N55">SUMPRODUCT(--(ISNUMBER(SEARCH($A55,'Diags Raw Data'!$A$6:$A$3830))),--('Diags Raw Data'!$Q$6:$Q$3830&lt;&gt;"N/A"),'Diags Raw Data'!$T$6:$T$3830)+SUMPRODUCT(--(ISNUMBER(SEARCH($A55,'Diags Raw Data'!$A$6:$A$3830))),--('Diags Raw Data'!$Q$6:$Q$3830&lt;&gt;"N/A"),'Diags Raw Data'!$U$6:$U$3830)</f>
        <v>0</v>
      </c>
      <c r="O55" s="488">
        <f t="shared" si="2"/>
        <v>0</v>
      </c>
      <c r="P55" s="489">
        <f>SUMIF('Diags Raw Data'!$A$6:$A$3830,"*"&amp;$A55&amp;"*",'Diags Raw Data'!$Z$6:$Z$3830)</f>
        <v>0</v>
      </c>
      <c r="Q55" s="490">
        <f>SUM(SUMIF('Diags Raw Data'!$A$6:$A$3830,"*"&amp;$A55&amp;"*",'Diags Raw Data'!$AA$6:$AA$3830),SUMIF('Diags Raw Data'!$A$6:$A$3830,"*"&amp;$A55&amp;"*",'Diags Raw Data'!$AB$6:$AB$3830))</f>
        <v>0</v>
      </c>
      <c r="R55" s="491">
        <f t="shared" si="3"/>
        <v>0</v>
      </c>
      <c r="S55" s="491">
        <f t="shared" si="4"/>
        <v>0</v>
      </c>
      <c r="T55" s="492">
        <f t="shared" si="5"/>
        <v>0</v>
      </c>
      <c r="U55" s="432" t="e">
        <f>VLOOKUP(A55,'Diags Raw Data'!$A$6:$AH$3830,33,FALSE)</f>
        <v>#N/A</v>
      </c>
      <c r="V55" s="181"/>
    </row>
    <row r="56" spans="1:22" ht="45.75" thickBot="1" x14ac:dyDescent="0.3">
      <c r="A56" s="546">
        <v>12.070999999999961</v>
      </c>
      <c r="B56" s="434" t="str">
        <f>VLOOKUP(A56,'Feature Raw Data'!$A$3:$B$3922,2,FALSE)</f>
        <v>Shader Instruction Store convert to Cache (likely in M2/gfx11.5)</v>
      </c>
      <c r="C56" s="435" t="str">
        <f>VLOOKUP(A56,'Feature Raw Data'!$A$3:$C$3922,3,FALSE)</f>
        <v>P2</v>
      </c>
      <c r="D56" s="436" t="str" cm="1">
        <f t="array" ref="D56">_xlfn.TEXTJOIN("",TRUE,IF(ISNUMBER(SEARCH($A56,'Diags Raw Data'!$A$6:$A$3830)),CONCATENATE('Diags Raw Data'!$H$6:$H$3830,", "),""))</f>
        <v/>
      </c>
      <c r="E56" s="339" t="e">
        <f>VLOOKUP(A56,'Diags Raw Data'!$A$6:$D$3830,4,FALSE)</f>
        <v>#N/A</v>
      </c>
      <c r="F56" s="339" t="str">
        <f>VLOOKUP(A56,'Feature Raw Data'!$A$3:$E$3922,5,FALSE)</f>
        <v>New</v>
      </c>
      <c r="G56" s="339" t="str">
        <f t="shared" si="0"/>
        <v>Yes</v>
      </c>
      <c r="H56" s="339" t="str">
        <f t="shared" si="1"/>
        <v>Yes</v>
      </c>
      <c r="I56" s="435">
        <f>SUMIF('Diags Raw Data'!$A$6:$A$3830,"*"&amp;$A56&amp;"*",'Diags Raw Data'!$K$6:$K$3830)</f>
        <v>0</v>
      </c>
      <c r="J56" s="437">
        <f>SUMIF('Diags Raw Data'!$A$6:$A$3830,"*"&amp;$A56&amp;"*",'Diags Raw Data'!$L$6:$L$3830)</f>
        <v>0</v>
      </c>
      <c r="K56" s="484" cm="1">
        <f t="array" ref="K56">IF(D56="",0, SUMPRODUCT(--(ISNUMBER(SEARCH($A56,'Diags Raw Data'!$A$6:$A$3830))),'Diags Raw Data'!$L$6:$L$3830,'Diags Raw Data'!$N$6:$N$3830)/J56)</f>
        <v>0</v>
      </c>
      <c r="L56" s="485" cm="1">
        <f t="array" ref="L56">IF(D56="",0, SUMPRODUCT(--(ISNUMBER(SEARCH($A56,'Diags Raw Data'!$A$6:$A$3830))),'Diags Raw Data'!$L$6:$L$3830,'Diags Raw Data'!$P$6:$P$3830)/J56)</f>
        <v>0</v>
      </c>
      <c r="M56" s="486" cm="1">
        <f t="array" ref="M56">SUMPRODUCT(--(ISNUMBER(SEARCH($A56,'Diags Raw Data'!$A$6:$A$3830))),--('Diags Raw Data'!$Q$6:$Q$3830&lt;&gt;"N/A"),'Diags Raw Data'!$R$6:$R$3830)</f>
        <v>0</v>
      </c>
      <c r="N56" s="487" cm="1">
        <f t="array" ref="N56">SUMPRODUCT(--(ISNUMBER(SEARCH($A56,'Diags Raw Data'!$A$6:$A$3830))),--('Diags Raw Data'!$Q$6:$Q$3830&lt;&gt;"N/A"),'Diags Raw Data'!$T$6:$T$3830)+SUMPRODUCT(--(ISNUMBER(SEARCH($A56,'Diags Raw Data'!$A$6:$A$3830))),--('Diags Raw Data'!$Q$6:$Q$3830&lt;&gt;"N/A"),'Diags Raw Data'!$U$6:$U$3830)</f>
        <v>0</v>
      </c>
      <c r="O56" s="488">
        <f t="shared" si="2"/>
        <v>0</v>
      </c>
      <c r="P56" s="489">
        <f>SUMIF('Diags Raw Data'!$A$6:$A$3830,"*"&amp;$A56&amp;"*",'Diags Raw Data'!$Z$6:$Z$3830)</f>
        <v>0</v>
      </c>
      <c r="Q56" s="490">
        <f>SUM(SUMIF('Diags Raw Data'!$A$6:$A$3830,"*"&amp;$A56&amp;"*",'Diags Raw Data'!$AA$6:$AA$3830),SUMIF('Diags Raw Data'!$A$6:$A$3830,"*"&amp;$A56&amp;"*",'Diags Raw Data'!$AB$6:$AB$3830))</f>
        <v>0</v>
      </c>
      <c r="R56" s="491">
        <f t="shared" si="3"/>
        <v>0</v>
      </c>
      <c r="S56" s="491">
        <f t="shared" si="4"/>
        <v>0</v>
      </c>
      <c r="T56" s="492">
        <f t="shared" si="5"/>
        <v>0</v>
      </c>
      <c r="U56" s="432" t="e">
        <f>VLOOKUP(A56,'Diags Raw Data'!$A$6:$AH$3830,33,FALSE)</f>
        <v>#N/A</v>
      </c>
      <c r="V56" s="181"/>
    </row>
    <row r="57" spans="1:22" ht="15.75" thickBot="1" x14ac:dyDescent="0.3">
      <c r="A57" s="546">
        <v>12.07299999999996</v>
      </c>
      <c r="B57" s="434" t="str">
        <f>VLOOKUP(A57,'Feature Raw Data'!$A$3:$B$3922,2,FALSE)</f>
        <v xml:space="preserve">Shader signed memory offsets </v>
      </c>
      <c r="C57" s="435" t="str">
        <f>VLOOKUP(A57,'Feature Raw Data'!$A$3:$C$3922,3,FALSE)</f>
        <v>P2</v>
      </c>
      <c r="D57" s="436" t="str" cm="1">
        <f t="array" ref="D57">_xlfn.TEXTJOIN("",TRUE,IF(ISNUMBER(SEARCH($A57,'Diags Raw Data'!$A$6:$A$3830)),CONCATENATE('Diags Raw Data'!$H$6:$H$3830,", "),""))</f>
        <v/>
      </c>
      <c r="E57" s="339" t="e">
        <f>VLOOKUP(A57,'Diags Raw Data'!$A$6:$D$3830,4,FALSE)</f>
        <v>#N/A</v>
      </c>
      <c r="F57" s="339" t="str">
        <f>VLOOKUP(A57,'Feature Raw Data'!$A$3:$E$3922,5,FALSE)</f>
        <v>New</v>
      </c>
      <c r="G57" s="339" t="str">
        <f t="shared" si="0"/>
        <v>Yes</v>
      </c>
      <c r="H57" s="339" t="str">
        <f t="shared" si="1"/>
        <v>Yes</v>
      </c>
      <c r="I57" s="435">
        <f>SUMIF('Diags Raw Data'!$A$6:$A$3830,"*"&amp;$A57&amp;"*",'Diags Raw Data'!$K$6:$K$3830)</f>
        <v>0</v>
      </c>
      <c r="J57" s="437">
        <f>SUMIF('Diags Raw Data'!$A$6:$A$3830,"*"&amp;$A57&amp;"*",'Diags Raw Data'!$L$6:$L$3830)</f>
        <v>0</v>
      </c>
      <c r="K57" s="484" cm="1">
        <f t="array" ref="K57">IF(D57="",0, SUMPRODUCT(--(ISNUMBER(SEARCH($A57,'Diags Raw Data'!$A$6:$A$3830))),'Diags Raw Data'!$L$6:$L$3830,'Diags Raw Data'!$N$6:$N$3830)/J57)</f>
        <v>0</v>
      </c>
      <c r="L57" s="485" cm="1">
        <f t="array" ref="L57">IF(D57="",0, SUMPRODUCT(--(ISNUMBER(SEARCH($A57,'Diags Raw Data'!$A$6:$A$3830))),'Diags Raw Data'!$L$6:$L$3830,'Diags Raw Data'!$P$6:$P$3830)/J57)</f>
        <v>0</v>
      </c>
      <c r="M57" s="486" cm="1">
        <f t="array" ref="M57">SUMPRODUCT(--(ISNUMBER(SEARCH($A57,'Diags Raw Data'!$A$6:$A$3830))),--('Diags Raw Data'!$Q$6:$Q$3830&lt;&gt;"N/A"),'Diags Raw Data'!$R$6:$R$3830)</f>
        <v>0</v>
      </c>
      <c r="N57" s="487" cm="1">
        <f t="array" ref="N57">SUMPRODUCT(--(ISNUMBER(SEARCH($A57,'Diags Raw Data'!$A$6:$A$3830))),--('Diags Raw Data'!$Q$6:$Q$3830&lt;&gt;"N/A"),'Diags Raw Data'!$T$6:$T$3830)+SUMPRODUCT(--(ISNUMBER(SEARCH($A57,'Diags Raw Data'!$A$6:$A$3830))),--('Diags Raw Data'!$Q$6:$Q$3830&lt;&gt;"N/A"),'Diags Raw Data'!$U$6:$U$3830)</f>
        <v>0</v>
      </c>
      <c r="O57" s="488">
        <f t="shared" si="2"/>
        <v>0</v>
      </c>
      <c r="P57" s="489">
        <f>SUMIF('Diags Raw Data'!$A$6:$A$3830,"*"&amp;$A57&amp;"*",'Diags Raw Data'!$Z$6:$Z$3830)</f>
        <v>0</v>
      </c>
      <c r="Q57" s="490">
        <f>SUM(SUMIF('Diags Raw Data'!$A$6:$A$3830,"*"&amp;$A57&amp;"*",'Diags Raw Data'!$AA$6:$AA$3830),SUMIF('Diags Raw Data'!$A$6:$A$3830,"*"&amp;$A57&amp;"*",'Diags Raw Data'!$AB$6:$AB$3830))</f>
        <v>0</v>
      </c>
      <c r="R57" s="491">
        <f t="shared" si="3"/>
        <v>0</v>
      </c>
      <c r="S57" s="491">
        <f t="shared" si="4"/>
        <v>0</v>
      </c>
      <c r="T57" s="492">
        <f t="shared" si="5"/>
        <v>0</v>
      </c>
      <c r="U57" s="432" t="e">
        <f>VLOOKUP(A57,'Diags Raw Data'!$A$6:$AH$3830,33,FALSE)</f>
        <v>#N/A</v>
      </c>
      <c r="V57" s="181"/>
    </row>
    <row r="58" spans="1:22" ht="15.75" thickBot="1" x14ac:dyDescent="0.3">
      <c r="A58" s="546">
        <v>12.077999999999957</v>
      </c>
      <c r="B58" s="434" t="str">
        <f>VLOOKUP(A58,'Feature Raw Data'!$A$3:$B$3922,2,FALSE)</f>
        <v xml:space="preserve">Move SQG outside of SPI </v>
      </c>
      <c r="C58" s="435" t="str">
        <f>VLOOKUP(A58,'Feature Raw Data'!$A$3:$C$3922,3,FALSE)</f>
        <v>P1</v>
      </c>
      <c r="D58" s="436" t="str" cm="1">
        <f t="array" ref="D58">_xlfn.TEXTJOIN("",TRUE,IF(ISNUMBER(SEARCH($A58,'Diags Raw Data'!$A$6:$A$3830)),CONCATENATE('Diags Raw Data'!$H$6:$H$3830,", "),""))</f>
        <v xml:space="preserve">gci1302.0,gci1302.1, </v>
      </c>
      <c r="E58" s="339" t="e">
        <f>VLOOKUP(A58,'Diags Raw Data'!$A$6:$D$3830,4,FALSE)</f>
        <v>#N/A</v>
      </c>
      <c r="F58" s="339" t="str">
        <f>VLOOKUP(A58,'Feature Raw Data'!$A$3:$E$3922,5,FALSE)</f>
        <v>New</v>
      </c>
      <c r="G58" s="339" t="str">
        <f t="shared" si="0"/>
        <v>Yes</v>
      </c>
      <c r="H58" s="339" t="str">
        <f t="shared" si="1"/>
        <v>Yes</v>
      </c>
      <c r="I58" s="435">
        <f>SUMIF('Diags Raw Data'!$A$6:$A$3830,"*"&amp;$A58&amp;"*",'Diags Raw Data'!$K$6:$K$3830)</f>
        <v>0</v>
      </c>
      <c r="J58" s="437">
        <f>SUMIF('Diags Raw Data'!$A$6:$A$3830,"*"&amp;$A58&amp;"*",'Diags Raw Data'!$L$6:$L$3830)</f>
        <v>0</v>
      </c>
      <c r="K58" s="484" t="e" cm="1">
        <f t="array" ref="K58">IF(D58="",0, SUMPRODUCT(--(ISNUMBER(SEARCH($A58,'Diags Raw Data'!$A$6:$A$3830))),'Diags Raw Data'!$L$6:$L$3830,'Diags Raw Data'!$N$6:$N$3830)/J58)</f>
        <v>#DIV/0!</v>
      </c>
      <c r="L58" s="485" t="e" cm="1">
        <f t="array" ref="L58">IF(D58="",0, SUMPRODUCT(--(ISNUMBER(SEARCH($A58,'Diags Raw Data'!$A$6:$A$3830))),'Diags Raw Data'!$L$6:$L$3830,'Diags Raw Data'!$P$6:$P$3830)/J58)</f>
        <v>#DIV/0!</v>
      </c>
      <c r="M58" s="486" cm="1">
        <f t="array" ref="M58">SUMPRODUCT(--(ISNUMBER(SEARCH($A58,'Diags Raw Data'!$A$6:$A$3830))),--('Diags Raw Data'!$Q$6:$Q$3830&lt;&gt;"N/A"),'Diags Raw Data'!$R$6:$R$3830)</f>
        <v>2</v>
      </c>
      <c r="N58" s="487" cm="1">
        <f t="array" ref="N58">SUMPRODUCT(--(ISNUMBER(SEARCH($A58,'Diags Raw Data'!$A$6:$A$3830))),--('Diags Raw Data'!$Q$6:$Q$3830&lt;&gt;"N/A"),'Diags Raw Data'!$T$6:$T$3830)+SUMPRODUCT(--(ISNUMBER(SEARCH($A58,'Diags Raw Data'!$A$6:$A$3830))),--('Diags Raw Data'!$Q$6:$Q$3830&lt;&gt;"N/A"),'Diags Raw Data'!$U$6:$U$3830)</f>
        <v>2</v>
      </c>
      <c r="O58" s="488">
        <f t="shared" si="2"/>
        <v>1</v>
      </c>
      <c r="P58" s="489">
        <f>SUMIF('Diags Raw Data'!$A$6:$A$3830,"*"&amp;$A58&amp;"*",'Diags Raw Data'!$Z$6:$Z$3830)</f>
        <v>0</v>
      </c>
      <c r="Q58" s="490">
        <f>SUM(SUMIF('Diags Raw Data'!$A$6:$A$3830,"*"&amp;$A58&amp;"*",'Diags Raw Data'!$AA$6:$AA$3830),SUMIF('Diags Raw Data'!$A$6:$A$3830,"*"&amp;$A58&amp;"*",'Diags Raw Data'!$AB$6:$AB$3830))</f>
        <v>0</v>
      </c>
      <c r="R58" s="491">
        <f t="shared" si="3"/>
        <v>0</v>
      </c>
      <c r="S58" s="491">
        <f t="shared" si="4"/>
        <v>0</v>
      </c>
      <c r="T58" s="492">
        <f t="shared" si="5"/>
        <v>0</v>
      </c>
      <c r="U58" s="432" t="e">
        <f>VLOOKUP(A58,'Diags Raw Data'!$A$6:$AH$3830,33,FALSE)</f>
        <v>#N/A</v>
      </c>
      <c r="V58" s="181"/>
    </row>
    <row r="59" spans="1:22" ht="15.75" thickBot="1" x14ac:dyDescent="0.3">
      <c r="A59" s="546">
        <v>12.078999999999956</v>
      </c>
      <c r="B59" s="434" t="str">
        <f>VLOOKUP(A59,'Feature Raw Data'!$A$3:$B$3922,2,FALSE)</f>
        <v xml:space="preserve">Dynamic VGPR allocation </v>
      </c>
      <c r="C59" s="435" t="str">
        <f>VLOOKUP(A59,'Feature Raw Data'!$A$3:$C$3922,3,FALSE)</f>
        <v>P1</v>
      </c>
      <c r="D59" s="436" t="str" cm="1">
        <f t="array" ref="D59">_xlfn.TEXTJOIN("",TRUE,IF(ISNUMBER(SEARCH($A59,'Diags Raw Data'!$A$6:$A$3830)),CONCATENATE('Diags Raw Data'!$H$6:$H$3830,", "),""))</f>
        <v/>
      </c>
      <c r="E59" s="339" t="e">
        <f>VLOOKUP(A59,'Diags Raw Data'!$A$6:$D$3830,4,FALSE)</f>
        <v>#N/A</v>
      </c>
      <c r="F59" s="339" t="str">
        <f>VLOOKUP(A59,'Feature Raw Data'!$A$3:$E$3922,5,FALSE)</f>
        <v>New</v>
      </c>
      <c r="G59" s="339" t="str">
        <f t="shared" si="0"/>
        <v>Yes</v>
      </c>
      <c r="H59" s="339" t="str">
        <f t="shared" si="1"/>
        <v>Yes</v>
      </c>
      <c r="I59" s="435">
        <f>SUMIF('Diags Raw Data'!$A$6:$A$3830,"*"&amp;$A59&amp;"*",'Diags Raw Data'!$K$6:$K$3830)</f>
        <v>0</v>
      </c>
      <c r="J59" s="437">
        <f>SUMIF('Diags Raw Data'!$A$6:$A$3830,"*"&amp;$A59&amp;"*",'Diags Raw Data'!$L$6:$L$3830)</f>
        <v>0</v>
      </c>
      <c r="K59" s="484" cm="1">
        <f t="array" ref="K59">IF(D59="",0, SUMPRODUCT(--(ISNUMBER(SEARCH($A59,'Diags Raw Data'!$A$6:$A$3830))),'Diags Raw Data'!$L$6:$L$3830,'Diags Raw Data'!$N$6:$N$3830)/J59)</f>
        <v>0</v>
      </c>
      <c r="L59" s="485" cm="1">
        <f t="array" ref="L59">IF(D59="",0, SUMPRODUCT(--(ISNUMBER(SEARCH($A59,'Diags Raw Data'!$A$6:$A$3830))),'Diags Raw Data'!$L$6:$L$3830,'Diags Raw Data'!$P$6:$P$3830)/J59)</f>
        <v>0</v>
      </c>
      <c r="M59" s="486" cm="1">
        <f t="array" ref="M59">SUMPRODUCT(--(ISNUMBER(SEARCH($A59,'Diags Raw Data'!$A$6:$A$3830))),--('Diags Raw Data'!$Q$6:$Q$3830&lt;&gt;"N/A"),'Diags Raw Data'!$R$6:$R$3830)</f>
        <v>0</v>
      </c>
      <c r="N59" s="487" cm="1">
        <f t="array" ref="N59">SUMPRODUCT(--(ISNUMBER(SEARCH($A59,'Diags Raw Data'!$A$6:$A$3830))),--('Diags Raw Data'!$Q$6:$Q$3830&lt;&gt;"N/A"),'Diags Raw Data'!$T$6:$T$3830)+SUMPRODUCT(--(ISNUMBER(SEARCH($A59,'Diags Raw Data'!$A$6:$A$3830))),--('Diags Raw Data'!$Q$6:$Q$3830&lt;&gt;"N/A"),'Diags Raw Data'!$U$6:$U$3830)</f>
        <v>0</v>
      </c>
      <c r="O59" s="488">
        <f t="shared" si="2"/>
        <v>0</v>
      </c>
      <c r="P59" s="489">
        <f>SUMIF('Diags Raw Data'!$A$6:$A$3830,"*"&amp;$A59&amp;"*",'Diags Raw Data'!$Z$6:$Z$3830)</f>
        <v>0</v>
      </c>
      <c r="Q59" s="490">
        <f>SUM(SUMIF('Diags Raw Data'!$A$6:$A$3830,"*"&amp;$A59&amp;"*",'Diags Raw Data'!$AA$6:$AA$3830),SUMIF('Diags Raw Data'!$A$6:$A$3830,"*"&amp;$A59&amp;"*",'Diags Raw Data'!$AB$6:$AB$3830))</f>
        <v>0</v>
      </c>
      <c r="R59" s="491">
        <f t="shared" si="3"/>
        <v>0</v>
      </c>
      <c r="S59" s="491">
        <f t="shared" si="4"/>
        <v>0</v>
      </c>
      <c r="T59" s="492">
        <f t="shared" si="5"/>
        <v>0</v>
      </c>
      <c r="U59" s="432" t="e">
        <f>VLOOKUP(A59,'Diags Raw Data'!$A$6:$AH$3830,33,FALSE)</f>
        <v>#N/A</v>
      </c>
      <c r="V59" s="181"/>
    </row>
    <row r="60" spans="1:22" ht="30.75" thickBot="1" x14ac:dyDescent="0.3">
      <c r="A60" s="546">
        <v>12.083999999999953</v>
      </c>
      <c r="B60" s="434" t="str">
        <f>VLOOKUP(A60,'Feature Raw Data'!$A$3:$B$3922,2,FALSE)</f>
        <v xml:space="preserve">Prep for Navi + MIx00 shader merge </v>
      </c>
      <c r="C60" s="435" t="str">
        <f>VLOOKUP(A60,'Feature Raw Data'!$A$3:$C$3922,3,FALSE)</f>
        <v>P2</v>
      </c>
      <c r="D60" s="436" t="str" cm="1">
        <f t="array" ref="D60">_xlfn.TEXTJOIN("",TRUE,IF(ISNUMBER(SEARCH($A60,'Diags Raw Data'!$A$6:$A$3830)),CONCATENATE('Diags Raw Data'!$H$6:$H$3830,", "),""))</f>
        <v/>
      </c>
      <c r="E60" s="339" t="e">
        <f>VLOOKUP(A60,'Diags Raw Data'!$A$6:$D$3830,4,FALSE)</f>
        <v>#N/A</v>
      </c>
      <c r="F60" s="339" t="str">
        <f>VLOOKUP(A60,'Feature Raw Data'!$A$3:$E$3922,5,FALSE)</f>
        <v>New</v>
      </c>
      <c r="G60" s="339" t="str">
        <f t="shared" si="0"/>
        <v>Yes</v>
      </c>
      <c r="H60" s="339" t="str">
        <f t="shared" si="1"/>
        <v>Yes</v>
      </c>
      <c r="I60" s="435">
        <f>SUMIF('Diags Raw Data'!$A$6:$A$3830,"*"&amp;$A60&amp;"*",'Diags Raw Data'!$K$6:$K$3830)</f>
        <v>0</v>
      </c>
      <c r="J60" s="437">
        <f>SUMIF('Diags Raw Data'!$A$6:$A$3830,"*"&amp;$A60&amp;"*",'Diags Raw Data'!$L$6:$L$3830)</f>
        <v>0</v>
      </c>
      <c r="K60" s="484" cm="1">
        <f t="array" ref="K60">IF(D60="",0, SUMPRODUCT(--(ISNUMBER(SEARCH($A60,'Diags Raw Data'!$A$6:$A$3830))),'Diags Raw Data'!$L$6:$L$3830,'Diags Raw Data'!$N$6:$N$3830)/J60)</f>
        <v>0</v>
      </c>
      <c r="L60" s="485" cm="1">
        <f t="array" ref="L60">IF(D60="",0, SUMPRODUCT(--(ISNUMBER(SEARCH($A60,'Diags Raw Data'!$A$6:$A$3830))),'Diags Raw Data'!$L$6:$L$3830,'Diags Raw Data'!$P$6:$P$3830)/J60)</f>
        <v>0</v>
      </c>
      <c r="M60" s="486" cm="1">
        <f t="array" ref="M60">SUMPRODUCT(--(ISNUMBER(SEARCH($A60,'Diags Raw Data'!$A$6:$A$3830))),--('Diags Raw Data'!$Q$6:$Q$3830&lt;&gt;"N/A"),'Diags Raw Data'!$R$6:$R$3830)</f>
        <v>0</v>
      </c>
      <c r="N60" s="487" cm="1">
        <f t="array" ref="N60">SUMPRODUCT(--(ISNUMBER(SEARCH($A60,'Diags Raw Data'!$A$6:$A$3830))),--('Diags Raw Data'!$Q$6:$Q$3830&lt;&gt;"N/A"),'Diags Raw Data'!$T$6:$T$3830)+SUMPRODUCT(--(ISNUMBER(SEARCH($A60,'Diags Raw Data'!$A$6:$A$3830))),--('Diags Raw Data'!$Q$6:$Q$3830&lt;&gt;"N/A"),'Diags Raw Data'!$U$6:$U$3830)</f>
        <v>0</v>
      </c>
      <c r="O60" s="488">
        <f t="shared" si="2"/>
        <v>0</v>
      </c>
      <c r="P60" s="489">
        <f>SUMIF('Diags Raw Data'!$A$6:$A$3830,"*"&amp;$A60&amp;"*",'Diags Raw Data'!$Z$6:$Z$3830)</f>
        <v>0</v>
      </c>
      <c r="Q60" s="490">
        <f>SUM(SUMIF('Diags Raw Data'!$A$6:$A$3830,"*"&amp;$A60&amp;"*",'Diags Raw Data'!$AA$6:$AA$3830),SUMIF('Diags Raw Data'!$A$6:$A$3830,"*"&amp;$A60&amp;"*",'Diags Raw Data'!$AB$6:$AB$3830))</f>
        <v>0</v>
      </c>
      <c r="R60" s="491">
        <f t="shared" si="3"/>
        <v>0</v>
      </c>
      <c r="S60" s="491">
        <f t="shared" si="4"/>
        <v>0</v>
      </c>
      <c r="T60" s="492">
        <f t="shared" si="5"/>
        <v>0</v>
      </c>
      <c r="U60" s="432" t="e">
        <f>VLOOKUP(A60,'Diags Raw Data'!$A$6:$AH$3830,33,FALSE)</f>
        <v>#N/A</v>
      </c>
      <c r="V60" s="181"/>
    </row>
    <row r="61" spans="1:22" ht="15.75" thickBot="1" x14ac:dyDescent="0.3">
      <c r="A61" s="546">
        <v>12.092000000000001</v>
      </c>
      <c r="B61" s="434" t="str">
        <f>VLOOKUP(A61,'Feature Raw Data'!$A$3:$B$3922,2,FALSE)</f>
        <v>Documentation - UTCL* MAS</v>
      </c>
      <c r="C61" s="435" t="str">
        <f>VLOOKUP(A61,'Feature Raw Data'!$A$3:$C$3922,3,FALSE)</f>
        <v>P2</v>
      </c>
      <c r="D61" s="436" t="str" cm="1">
        <f t="array" ref="D61">_xlfn.TEXTJOIN("",TRUE,IF(ISNUMBER(SEARCH($A61,'Diags Raw Data'!$A$6:$A$3830)),CONCATENATE('Diags Raw Data'!$H$6:$H$3830,", "),""))</f>
        <v/>
      </c>
      <c r="E61" s="339" t="e">
        <f>VLOOKUP(A61,'Diags Raw Data'!$A$6:$D$3830,4,FALSE)</f>
        <v>#N/A</v>
      </c>
      <c r="F61" s="339" t="str">
        <f>VLOOKUP(A61,'Feature Raw Data'!$A$3:$E$3922,5,FALSE)</f>
        <v>New</v>
      </c>
      <c r="G61" s="339" t="str">
        <f>IF(D61="N/A, ","No","Yes")</f>
        <v>Yes</v>
      </c>
      <c r="H61" s="339" t="str">
        <f t="shared" si="1"/>
        <v>Yes</v>
      </c>
      <c r="I61" s="435">
        <f>SUMIF('Diags Raw Data'!$A$6:$A$3830,"*"&amp;$A61&amp;"*",'Diags Raw Data'!$K$6:$K$3830)</f>
        <v>0</v>
      </c>
      <c r="J61" s="437">
        <f>SUMIF('Diags Raw Data'!$A$6:$A$3830,"*"&amp;$A61&amp;"*",'Diags Raw Data'!$L$6:$L$3830)</f>
        <v>0</v>
      </c>
      <c r="K61" s="484" cm="1">
        <f t="array" ref="K61">IF(D61="",0, SUMPRODUCT(--(ISNUMBER(SEARCH($A61,'Diags Raw Data'!$A$6:$A$3830))),'Diags Raw Data'!$L$6:$L$3830,'Diags Raw Data'!$N$6:$N$3830)/J61)</f>
        <v>0</v>
      </c>
      <c r="L61" s="485" cm="1">
        <f t="array" ref="L61">IF(D61="",0, SUMPRODUCT(--(ISNUMBER(SEARCH($A61,'Diags Raw Data'!$A$6:$A$3830))),'Diags Raw Data'!$L$6:$L$3830,'Diags Raw Data'!$P$6:$P$3830)/J61)</f>
        <v>0</v>
      </c>
      <c r="M61" s="486" cm="1">
        <f t="array" ref="M61">SUMPRODUCT(--(ISNUMBER(SEARCH($A61,'Diags Raw Data'!$A$6:$A$3830))),--('Diags Raw Data'!$Q$6:$Q$3830&lt;&gt;"N/A"),'Diags Raw Data'!$R$6:$R$3830)</f>
        <v>0</v>
      </c>
      <c r="N61" s="487" cm="1">
        <f t="array" ref="N61">SUMPRODUCT(--(ISNUMBER(SEARCH($A61,'Diags Raw Data'!$A$6:$A$3830))),--('Diags Raw Data'!$Q$6:$Q$3830&lt;&gt;"N/A"),'Diags Raw Data'!$T$6:$T$3830)+SUMPRODUCT(--(ISNUMBER(SEARCH($A61,'Diags Raw Data'!$A$6:$A$3830))),--('Diags Raw Data'!$Q$6:$Q$3830&lt;&gt;"N/A"),'Diags Raw Data'!$U$6:$U$3830)</f>
        <v>0</v>
      </c>
      <c r="O61" s="488">
        <f t="shared" si="2"/>
        <v>0</v>
      </c>
      <c r="P61" s="489">
        <f>SUMIF('Diags Raw Data'!$A$6:$A$3830,"*"&amp;$A61&amp;"*",'Diags Raw Data'!$Z$6:$Z$3830)</f>
        <v>0</v>
      </c>
      <c r="Q61" s="490">
        <f>SUM(SUMIF('Diags Raw Data'!$A$6:$A$3830,"*"&amp;$A61&amp;"*",'Diags Raw Data'!$AA$6:$AA$3830),SUMIF('Diags Raw Data'!$A$6:$A$3830,"*"&amp;$A61&amp;"*",'Diags Raw Data'!$AB$6:$AB$3830))</f>
        <v>0</v>
      </c>
      <c r="R61" s="491">
        <f t="shared" si="3"/>
        <v>0</v>
      </c>
      <c r="S61" s="491">
        <f t="shared" si="4"/>
        <v>0</v>
      </c>
      <c r="T61" s="492">
        <f t="shared" si="5"/>
        <v>0</v>
      </c>
      <c r="U61" s="432" t="e">
        <f>VLOOKUP(A61,'Diags Raw Data'!$A$6:$AH$3830,33,FALSE)</f>
        <v>#N/A</v>
      </c>
      <c r="V61" s="552" t="s">
        <v>365</v>
      </c>
    </row>
    <row r="62" spans="1:22" ht="30.75" thickBot="1" x14ac:dyDescent="0.3">
      <c r="A62" s="546">
        <v>12.096</v>
      </c>
      <c r="B62" s="434" t="str">
        <f>VLOOKUP(A62,'Feature Raw Data'!$A$3:$B$3922,2,FALSE)</f>
        <v xml:space="preserve">UTCL1: check page_size using the stored frag_size </v>
      </c>
      <c r="C62" s="435" t="str">
        <f>VLOOKUP(A62,'Feature Raw Data'!$A$3:$C$3922,3,FALSE)</f>
        <v>P2</v>
      </c>
      <c r="D62" s="436" t="str" cm="1">
        <f t="array" ref="D62">_xlfn.TEXTJOIN("",TRUE,IF(ISNUMBER(SEARCH($A62,'Diags Raw Data'!$A$6:$A$3830)),CONCATENATE('Diags Raw Data'!$H$6:$H$3830,", "),""))</f>
        <v/>
      </c>
      <c r="E62" s="339" t="e">
        <f>VLOOKUP(A62,'Diags Raw Data'!$A$6:$D$3830,4,FALSE)</f>
        <v>#N/A</v>
      </c>
      <c r="F62" s="339" t="str">
        <f>VLOOKUP(A62,'Feature Raw Data'!$A$3:$E$3922,5,FALSE)</f>
        <v>New</v>
      </c>
      <c r="G62" s="339" t="str">
        <f t="shared" ref="G62:G125" si="6">IF(D62="N/A, ","No","Yes")</f>
        <v>Yes</v>
      </c>
      <c r="H62" s="339" t="str">
        <f t="shared" si="1"/>
        <v>Yes</v>
      </c>
      <c r="I62" s="435">
        <f>SUMIF('Diags Raw Data'!$A$6:$A$3830,"*"&amp;$A62&amp;"*",'Diags Raw Data'!$K$6:$K$3830)</f>
        <v>0</v>
      </c>
      <c r="J62" s="437">
        <f>SUMIF('Diags Raw Data'!$A$6:$A$3830,"*"&amp;$A62&amp;"*",'Diags Raw Data'!$L$6:$L$3830)</f>
        <v>0</v>
      </c>
      <c r="K62" s="484" cm="1">
        <f t="array" ref="K62">IF(D62="",0, SUMPRODUCT(--(ISNUMBER(SEARCH($A62,'Diags Raw Data'!$A$6:$A$3830))),'Diags Raw Data'!$L$6:$L$3830,'Diags Raw Data'!$N$6:$N$3830)/J62)</f>
        <v>0</v>
      </c>
      <c r="L62" s="485" cm="1">
        <f t="array" ref="L62">IF(D62="",0, SUMPRODUCT(--(ISNUMBER(SEARCH($A62,'Diags Raw Data'!$A$6:$A$3830))),'Diags Raw Data'!$L$6:$L$3830,'Diags Raw Data'!$P$6:$P$3830)/J62)</f>
        <v>0</v>
      </c>
      <c r="M62" s="486" cm="1">
        <f t="array" ref="M62">SUMPRODUCT(--(ISNUMBER(SEARCH($A62,'Diags Raw Data'!$A$6:$A$3830))),--('Diags Raw Data'!$Q$6:$Q$3830&lt;&gt;"N/A"),'Diags Raw Data'!$R$6:$R$3830)</f>
        <v>0</v>
      </c>
      <c r="N62" s="487" cm="1">
        <f t="array" ref="N62">SUMPRODUCT(--(ISNUMBER(SEARCH($A62,'Diags Raw Data'!$A$6:$A$3830))),--('Diags Raw Data'!$Q$6:$Q$3830&lt;&gt;"N/A"),'Diags Raw Data'!$T$6:$T$3830)+SUMPRODUCT(--(ISNUMBER(SEARCH($A62,'Diags Raw Data'!$A$6:$A$3830))),--('Diags Raw Data'!$Q$6:$Q$3830&lt;&gt;"N/A"),'Diags Raw Data'!$U$6:$U$3830)</f>
        <v>0</v>
      </c>
      <c r="O62" s="488">
        <f t="shared" si="2"/>
        <v>0</v>
      </c>
      <c r="P62" s="489">
        <f>SUMIF('Diags Raw Data'!$A$6:$A$3830,"*"&amp;$A62&amp;"*",'Diags Raw Data'!$Z$6:$Z$3830)</f>
        <v>0</v>
      </c>
      <c r="Q62" s="490">
        <f>SUM(SUMIF('Diags Raw Data'!$A$6:$A$3830,"*"&amp;$A62&amp;"*",'Diags Raw Data'!$AA$6:$AA$3830),SUMIF('Diags Raw Data'!$A$6:$A$3830,"*"&amp;$A62&amp;"*",'Diags Raw Data'!$AB$6:$AB$3830))</f>
        <v>0</v>
      </c>
      <c r="R62" s="491">
        <f t="shared" si="3"/>
        <v>0</v>
      </c>
      <c r="S62" s="491">
        <f t="shared" si="4"/>
        <v>0</v>
      </c>
      <c r="T62" s="492">
        <f t="shared" si="5"/>
        <v>0</v>
      </c>
      <c r="U62" s="432" t="e">
        <f>VLOOKUP(A62,'Diags Raw Data'!$A$6:$AH$3830,33,FALSE)</f>
        <v>#N/A</v>
      </c>
      <c r="V62" s="181"/>
    </row>
    <row r="63" spans="1:22" ht="30.75" thickBot="1" x14ac:dyDescent="0.3">
      <c r="A63" s="546">
        <v>12.098000000000001</v>
      </c>
      <c r="B63" s="434" t="str">
        <f>VLOOKUP(A63,'Feature Raw Data'!$A$3:$B$3922,2,FALSE)</f>
        <v xml:space="preserve">Remove unused client shootdown interface </v>
      </c>
      <c r="C63" s="435" t="str">
        <f>VLOOKUP(A63,'Feature Raw Data'!$A$3:$C$3922,3,FALSE)</f>
        <v>P2</v>
      </c>
      <c r="D63" s="436" t="str" cm="1">
        <f t="array" ref="D63">_xlfn.TEXTJOIN("",TRUE,IF(ISNUMBER(SEARCH($A63,'Diags Raw Data'!$A$6:$A$3830)),CONCATENATE('Diags Raw Data'!$H$6:$H$3830,", "),""))</f>
        <v/>
      </c>
      <c r="E63" s="339" t="e">
        <f>VLOOKUP(A63,'Diags Raw Data'!$A$6:$D$3830,4,FALSE)</f>
        <v>#N/A</v>
      </c>
      <c r="F63" s="339" t="str">
        <f>VLOOKUP(A63,'Feature Raw Data'!$A$3:$E$3922,5,FALSE)</f>
        <v>New</v>
      </c>
      <c r="G63" s="339" t="str">
        <f t="shared" si="6"/>
        <v>Yes</v>
      </c>
      <c r="H63" s="339" t="str">
        <f>IF(D63="N/A, ","No","Yes")</f>
        <v>Yes</v>
      </c>
      <c r="I63" s="435">
        <f>SUMIF('Diags Raw Data'!$A$6:$A$3830,"*"&amp;$A63&amp;"*",'Diags Raw Data'!$K$6:$K$3830)</f>
        <v>0</v>
      </c>
      <c r="J63" s="437">
        <f>SUMIF('Diags Raw Data'!$A$6:$A$3830,"*"&amp;$A63&amp;"*",'Diags Raw Data'!$L$6:$L$3830)</f>
        <v>0</v>
      </c>
      <c r="K63" s="484" cm="1">
        <f t="array" ref="K63">IF(D63="",0, SUMPRODUCT(--(ISNUMBER(SEARCH($A63,'Diags Raw Data'!$A$6:$A$3830))),'Diags Raw Data'!$L$6:$L$3830,'Diags Raw Data'!$N$6:$N$3830)/J63)</f>
        <v>0</v>
      </c>
      <c r="L63" s="485" cm="1">
        <f t="array" ref="L63">IF(D63="",0, SUMPRODUCT(--(ISNUMBER(SEARCH($A63,'Diags Raw Data'!$A$6:$A$3830))),'Diags Raw Data'!$L$6:$L$3830,'Diags Raw Data'!$P$6:$P$3830)/J63)</f>
        <v>0</v>
      </c>
      <c r="M63" s="486" cm="1">
        <f t="array" ref="M63">SUMPRODUCT(--(ISNUMBER(SEARCH($A63,'Diags Raw Data'!$A$6:$A$3830))),--('Diags Raw Data'!$Q$6:$Q$3830&lt;&gt;"N/A"),'Diags Raw Data'!$R$6:$R$3830)</f>
        <v>0</v>
      </c>
      <c r="N63" s="487" cm="1">
        <f t="array" ref="N63">SUMPRODUCT(--(ISNUMBER(SEARCH($A63,'Diags Raw Data'!$A$6:$A$3830))),--('Diags Raw Data'!$Q$6:$Q$3830&lt;&gt;"N/A"),'Diags Raw Data'!$T$6:$T$3830)+SUMPRODUCT(--(ISNUMBER(SEARCH($A63,'Diags Raw Data'!$A$6:$A$3830))),--('Diags Raw Data'!$Q$6:$Q$3830&lt;&gt;"N/A"),'Diags Raw Data'!$U$6:$U$3830)</f>
        <v>0</v>
      </c>
      <c r="O63" s="488">
        <f t="shared" si="2"/>
        <v>0</v>
      </c>
      <c r="P63" s="489">
        <f>SUMIF('Diags Raw Data'!$A$6:$A$3830,"*"&amp;$A63&amp;"*",'Diags Raw Data'!$Z$6:$Z$3830)</f>
        <v>0</v>
      </c>
      <c r="Q63" s="490">
        <f>SUM(SUMIF('Diags Raw Data'!$A$6:$A$3830,"*"&amp;$A63&amp;"*",'Diags Raw Data'!$AA$6:$AA$3830),SUMIF('Diags Raw Data'!$A$6:$A$3830,"*"&amp;$A63&amp;"*",'Diags Raw Data'!$AB$6:$AB$3830))</f>
        <v>0</v>
      </c>
      <c r="R63" s="491">
        <f t="shared" si="3"/>
        <v>0</v>
      </c>
      <c r="S63" s="491">
        <f t="shared" si="4"/>
        <v>0</v>
      </c>
      <c r="T63" s="492">
        <f t="shared" si="5"/>
        <v>0</v>
      </c>
      <c r="U63" s="432" t="e">
        <f>VLOOKUP(A63,'Diags Raw Data'!$A$6:$AH$3830,33,FALSE)</f>
        <v>#N/A</v>
      </c>
      <c r="V63" s="552" t="s">
        <v>366</v>
      </c>
    </row>
    <row r="64" spans="1:22" ht="15.75" thickBot="1" x14ac:dyDescent="0.3">
      <c r="A64" s="546">
        <v>12.103999999999999</v>
      </c>
      <c r="B64" s="434" t="str">
        <f>VLOOKUP(A64,'Feature Raw Data'!$A$3:$B$3922,2,FALSE)</f>
        <v xml:space="preserve">GPUVM PTE bits </v>
      </c>
      <c r="C64" s="435" t="str">
        <f>VLOOKUP(A64,'Feature Raw Data'!$A$3:$C$3922,3,FALSE)</f>
        <v>P1</v>
      </c>
      <c r="D64" s="436" t="str" cm="1">
        <f t="array" ref="D64">_xlfn.TEXTJOIN("",TRUE,IF(ISNUMBER(SEARCH($A64,'Diags Raw Data'!$A$6:$A$3830)),CONCATENATE('Diags Raw Data'!$H$6:$H$3830,", "),""))</f>
        <v/>
      </c>
      <c r="E64" s="339" t="e">
        <f>VLOOKUP(A64,'Diags Raw Data'!$A$6:$D$3830,4,FALSE)</f>
        <v>#N/A</v>
      </c>
      <c r="F64" s="339" t="str">
        <f>VLOOKUP(A64,'Feature Raw Data'!$A$3:$E$3922,5,FALSE)</f>
        <v>New</v>
      </c>
      <c r="G64" s="339" t="str">
        <f t="shared" si="6"/>
        <v>Yes</v>
      </c>
      <c r="H64" s="339" t="str">
        <f t="shared" ref="H64:H127" si="7">IF(D64="N/A, ","No","Yes")</f>
        <v>Yes</v>
      </c>
      <c r="I64" s="435">
        <f>SUMIF('Diags Raw Data'!$A$6:$A$3830,"*"&amp;$A64&amp;"*",'Diags Raw Data'!$K$6:$K$3830)</f>
        <v>0</v>
      </c>
      <c r="J64" s="437">
        <f>SUMIF('Diags Raw Data'!$A$6:$A$3830,"*"&amp;$A64&amp;"*",'Diags Raw Data'!$L$6:$L$3830)</f>
        <v>0</v>
      </c>
      <c r="K64" s="484" cm="1">
        <f t="array" ref="K64">IF(D64="",0, SUMPRODUCT(--(ISNUMBER(SEARCH($A64,'Diags Raw Data'!$A$6:$A$3830))),'Diags Raw Data'!$L$6:$L$3830,'Diags Raw Data'!$N$6:$N$3830)/J64)</f>
        <v>0</v>
      </c>
      <c r="L64" s="485" cm="1">
        <f t="array" ref="L64">IF(D64="",0, SUMPRODUCT(--(ISNUMBER(SEARCH($A64,'Diags Raw Data'!$A$6:$A$3830))),'Diags Raw Data'!$L$6:$L$3830,'Diags Raw Data'!$P$6:$P$3830)/J64)</f>
        <v>0</v>
      </c>
      <c r="M64" s="486" cm="1">
        <f t="array" ref="M64">SUMPRODUCT(--(ISNUMBER(SEARCH($A64,'Diags Raw Data'!$A$6:$A$3830))),--('Diags Raw Data'!$Q$6:$Q$3830&lt;&gt;"N/A"),'Diags Raw Data'!$R$6:$R$3830)</f>
        <v>0</v>
      </c>
      <c r="N64" s="487" cm="1">
        <f t="array" ref="N64">SUMPRODUCT(--(ISNUMBER(SEARCH($A64,'Diags Raw Data'!$A$6:$A$3830))),--('Diags Raw Data'!$Q$6:$Q$3830&lt;&gt;"N/A"),'Diags Raw Data'!$T$6:$T$3830)+SUMPRODUCT(--(ISNUMBER(SEARCH($A64,'Diags Raw Data'!$A$6:$A$3830))),--('Diags Raw Data'!$Q$6:$Q$3830&lt;&gt;"N/A"),'Diags Raw Data'!$U$6:$U$3830)</f>
        <v>0</v>
      </c>
      <c r="O64" s="488">
        <f t="shared" si="2"/>
        <v>0</v>
      </c>
      <c r="P64" s="489">
        <f>SUMIF('Diags Raw Data'!$A$6:$A$3830,"*"&amp;$A64&amp;"*",'Diags Raw Data'!$Z$6:$Z$3830)</f>
        <v>0</v>
      </c>
      <c r="Q64" s="490">
        <f>SUM(SUMIF('Diags Raw Data'!$A$6:$A$3830,"*"&amp;$A64&amp;"*",'Diags Raw Data'!$AA$6:$AA$3830),SUMIF('Diags Raw Data'!$A$6:$A$3830,"*"&amp;$A64&amp;"*",'Diags Raw Data'!$AB$6:$AB$3830))</f>
        <v>0</v>
      </c>
      <c r="R64" s="491">
        <f t="shared" si="3"/>
        <v>0</v>
      </c>
      <c r="S64" s="491">
        <f t="shared" si="4"/>
        <v>0</v>
      </c>
      <c r="T64" s="492">
        <f t="shared" si="5"/>
        <v>0</v>
      </c>
      <c r="U64" s="432" t="e">
        <f>VLOOKUP(A64,'Diags Raw Data'!$A$6:$AH$3830,33,FALSE)</f>
        <v>#N/A</v>
      </c>
      <c r="V64" s="181"/>
    </row>
    <row r="65" spans="1:22" ht="45.75" thickBot="1" x14ac:dyDescent="0.3">
      <c r="A65" s="546">
        <v>12.111000000000001</v>
      </c>
      <c r="B65" s="434" t="str">
        <f>VLOOKUP(A65,'Feature Raw Data'!$A$3:$B$3922,2,FALSE)</f>
        <v xml:space="preserve">Deprecate metadata probe and client shootdown in UTCL0 </v>
      </c>
      <c r="C65" s="435" t="str">
        <f>VLOOKUP(A65,'Feature Raw Data'!$A$3:$C$3922,3,FALSE)</f>
        <v>P2</v>
      </c>
      <c r="D65" s="436" t="str" cm="1">
        <f t="array" ref="D65">_xlfn.TEXTJOIN("",TRUE,IF(ISNUMBER(SEARCH($A65,'Diags Raw Data'!$A$6:$A$3830)),CONCATENATE('Diags Raw Data'!$H$6:$H$3830,", "),""))</f>
        <v/>
      </c>
      <c r="E65" s="339" t="e">
        <f>VLOOKUP(A65,'Diags Raw Data'!$A$6:$D$3830,4,FALSE)</f>
        <v>#N/A</v>
      </c>
      <c r="F65" s="339" t="str">
        <f>VLOOKUP(A65,'Feature Raw Data'!$A$3:$E$3922,5,FALSE)</f>
        <v>New</v>
      </c>
      <c r="G65" s="339" t="str">
        <f t="shared" si="6"/>
        <v>Yes</v>
      </c>
      <c r="H65" s="339" t="str">
        <f t="shared" si="7"/>
        <v>Yes</v>
      </c>
      <c r="I65" s="435">
        <f>SUMIF('Diags Raw Data'!$A$6:$A$3830,"*"&amp;$A65&amp;"*",'Diags Raw Data'!$K$6:$K$3830)</f>
        <v>0</v>
      </c>
      <c r="J65" s="437">
        <f>SUMIF('Diags Raw Data'!$A$6:$A$3830,"*"&amp;$A65&amp;"*",'Diags Raw Data'!$L$6:$L$3830)</f>
        <v>0</v>
      </c>
      <c r="K65" s="484" cm="1">
        <f t="array" ref="K65">IF(D65="",0, SUMPRODUCT(--(ISNUMBER(SEARCH($A65,'Diags Raw Data'!$A$6:$A$3830))),'Diags Raw Data'!$L$6:$L$3830,'Diags Raw Data'!$N$6:$N$3830)/J65)</f>
        <v>0</v>
      </c>
      <c r="L65" s="485" cm="1">
        <f t="array" ref="L65">IF(D65="",0, SUMPRODUCT(--(ISNUMBER(SEARCH($A65,'Diags Raw Data'!$A$6:$A$3830))),'Diags Raw Data'!$L$6:$L$3830,'Diags Raw Data'!$P$6:$P$3830)/J65)</f>
        <v>0</v>
      </c>
      <c r="M65" s="486" cm="1">
        <f t="array" ref="M65">SUMPRODUCT(--(ISNUMBER(SEARCH($A65,'Diags Raw Data'!$A$6:$A$3830))),--('Diags Raw Data'!$Q$6:$Q$3830&lt;&gt;"N/A"),'Diags Raw Data'!$R$6:$R$3830)</f>
        <v>0</v>
      </c>
      <c r="N65" s="487" cm="1">
        <f t="array" ref="N65">SUMPRODUCT(--(ISNUMBER(SEARCH($A65,'Diags Raw Data'!$A$6:$A$3830))),--('Diags Raw Data'!$Q$6:$Q$3830&lt;&gt;"N/A"),'Diags Raw Data'!$T$6:$T$3830)+SUMPRODUCT(--(ISNUMBER(SEARCH($A65,'Diags Raw Data'!$A$6:$A$3830))),--('Diags Raw Data'!$Q$6:$Q$3830&lt;&gt;"N/A"),'Diags Raw Data'!$U$6:$U$3830)</f>
        <v>0</v>
      </c>
      <c r="O65" s="488">
        <f t="shared" si="2"/>
        <v>0</v>
      </c>
      <c r="P65" s="489">
        <f>SUMIF('Diags Raw Data'!$A$6:$A$3830,"*"&amp;$A65&amp;"*",'Diags Raw Data'!$Z$6:$Z$3830)</f>
        <v>0</v>
      </c>
      <c r="Q65" s="490">
        <f>SUM(SUMIF('Diags Raw Data'!$A$6:$A$3830,"*"&amp;$A65&amp;"*",'Diags Raw Data'!$AA$6:$AA$3830),SUMIF('Diags Raw Data'!$A$6:$A$3830,"*"&amp;$A65&amp;"*",'Diags Raw Data'!$AB$6:$AB$3830))</f>
        <v>0</v>
      </c>
      <c r="R65" s="491">
        <f t="shared" si="3"/>
        <v>0</v>
      </c>
      <c r="S65" s="491">
        <f t="shared" si="4"/>
        <v>0</v>
      </c>
      <c r="T65" s="492">
        <f t="shared" si="5"/>
        <v>0</v>
      </c>
      <c r="U65" s="432" t="e">
        <f>VLOOKUP(A65,'Diags Raw Data'!$A$6:$AH$3830,33,FALSE)</f>
        <v>#N/A</v>
      </c>
      <c r="V65" s="552" t="s">
        <v>366</v>
      </c>
    </row>
    <row r="66" spans="1:22" ht="30.75" thickBot="1" x14ac:dyDescent="0.3">
      <c r="A66" s="546">
        <v>12.112</v>
      </c>
      <c r="B66" s="434" t="str">
        <f>VLOOKUP(A66,'Feature Raw Data'!$A$3:$B$3922,2,FALSE)</f>
        <v xml:space="preserve">GCR single cycle UTC request interface </v>
      </c>
      <c r="C66" s="435" t="str">
        <f>VLOOKUP(A66,'Feature Raw Data'!$A$3:$C$3922,3,FALSE)</f>
        <v>P2</v>
      </c>
      <c r="D66" s="436" t="str" cm="1">
        <f t="array" ref="D66">_xlfn.TEXTJOIN("",TRUE,IF(ISNUMBER(SEARCH($A66,'Diags Raw Data'!$A$6:$A$3830)),CONCATENATE('Diags Raw Data'!$H$6:$H$3830,", "),""))</f>
        <v xml:space="preserve">glxi82.1, </v>
      </c>
      <c r="E66" s="339" t="str">
        <f>VLOOKUP(A66,'Diags Raw Data'!$A$6:$D$3830,4,FALSE)</f>
        <v>CMM</v>
      </c>
      <c r="F66" s="339" t="str">
        <f>VLOOKUP(A66,'Feature Raw Data'!$A$3:$E$3922,5,FALSE)</f>
        <v>New</v>
      </c>
      <c r="G66" s="339" t="str">
        <f t="shared" si="6"/>
        <v>Yes</v>
      </c>
      <c r="H66" s="339" t="str">
        <f t="shared" si="7"/>
        <v>Yes</v>
      </c>
      <c r="I66" s="435">
        <f>SUMIF('Diags Raw Data'!$A$6:$A$3830,"*"&amp;$A66&amp;"*",'Diags Raw Data'!$K$6:$K$3830)</f>
        <v>0</v>
      </c>
      <c r="J66" s="437">
        <f>SUMIF('Diags Raw Data'!$A$6:$A$3830,"*"&amp;$A66&amp;"*",'Diags Raw Data'!$L$6:$L$3830)</f>
        <v>0</v>
      </c>
      <c r="K66" s="484" t="e" cm="1">
        <f t="array" ref="K66">IF(D66="",0, SUMPRODUCT(--(ISNUMBER(SEARCH($A66,'Diags Raw Data'!$A$6:$A$3830))),'Diags Raw Data'!$L$6:$L$3830,'Diags Raw Data'!$N$6:$N$3830)/J66)</f>
        <v>#DIV/0!</v>
      </c>
      <c r="L66" s="485" t="e" cm="1">
        <f t="array" ref="L66">IF(D66="",0, SUMPRODUCT(--(ISNUMBER(SEARCH($A66,'Diags Raw Data'!$A$6:$A$3830))),'Diags Raw Data'!$L$6:$L$3830,'Diags Raw Data'!$P$6:$P$3830)/J66)</f>
        <v>#DIV/0!</v>
      </c>
      <c r="M66" s="486" cm="1">
        <f t="array" ref="M66">SUMPRODUCT(--(ISNUMBER(SEARCH($A66,'Diags Raw Data'!$A$6:$A$3830))),--('Diags Raw Data'!$Q$6:$Q$3830&lt;&gt;"N/A"),'Diags Raw Data'!$R$6:$R$3830)</f>
        <v>1</v>
      </c>
      <c r="N66" s="487" cm="1">
        <f t="array" ref="N66">SUMPRODUCT(--(ISNUMBER(SEARCH($A66,'Diags Raw Data'!$A$6:$A$3830))),--('Diags Raw Data'!$Q$6:$Q$3830&lt;&gt;"N/A"),'Diags Raw Data'!$T$6:$T$3830)+SUMPRODUCT(--(ISNUMBER(SEARCH($A66,'Diags Raw Data'!$A$6:$A$3830))),--('Diags Raw Data'!$Q$6:$Q$3830&lt;&gt;"N/A"),'Diags Raw Data'!$U$6:$U$3830)</f>
        <v>0</v>
      </c>
      <c r="O66" s="488">
        <f t="shared" si="2"/>
        <v>0</v>
      </c>
      <c r="P66" s="489">
        <f>SUMIF('Diags Raw Data'!$A$6:$A$3830,"*"&amp;$A66&amp;"*",'Diags Raw Data'!$Z$6:$Z$3830)</f>
        <v>0</v>
      </c>
      <c r="Q66" s="490">
        <f>SUM(SUMIF('Diags Raw Data'!$A$6:$A$3830,"*"&amp;$A66&amp;"*",'Diags Raw Data'!$AA$6:$AA$3830),SUMIF('Diags Raw Data'!$A$6:$A$3830,"*"&amp;$A66&amp;"*",'Diags Raw Data'!$AB$6:$AB$3830))</f>
        <v>0</v>
      </c>
      <c r="R66" s="491">
        <f t="shared" si="3"/>
        <v>0</v>
      </c>
      <c r="S66" s="491">
        <f t="shared" si="4"/>
        <v>0</v>
      </c>
      <c r="T66" s="492">
        <f t="shared" si="5"/>
        <v>0</v>
      </c>
      <c r="U66" s="432" t="str">
        <f>VLOOKUP(A66,'Diags Raw Data'!$A$6:$AH$3830,33,FALSE)</f>
        <v>WK8</v>
      </c>
      <c r="V66" s="181"/>
    </row>
    <row r="67" spans="1:22" ht="30.75" thickBot="1" x14ac:dyDescent="0.3">
      <c r="A67" s="546">
        <v>12.113</v>
      </c>
      <c r="B67" s="434" t="str">
        <f>VLOOKUP(A67,'Feature Raw Data'!$A$3:$B$3922,2,FALSE)</f>
        <v xml:space="preserve">RLC dont disable CGCG while thread trace is active </v>
      </c>
      <c r="C67" s="435" t="str">
        <f>VLOOKUP(A67,'Feature Raw Data'!$A$3:$C$3922,3,FALSE)</f>
        <v>P2</v>
      </c>
      <c r="D67" s="436" t="str" cm="1">
        <f t="array" ref="D67">_xlfn.TEXTJOIN("",TRUE,IF(ISNUMBER(SEARCH($A67,'Diags Raw Data'!$A$6:$A$3830)),CONCATENATE('Diags Raw Data'!$H$6:$H$3830,", "),""))</f>
        <v/>
      </c>
      <c r="E67" s="339" t="e">
        <f>VLOOKUP(A67,'Diags Raw Data'!$A$6:$D$3830,4,FALSE)</f>
        <v>#N/A</v>
      </c>
      <c r="F67" s="339" t="str">
        <f>VLOOKUP(A67,'Feature Raw Data'!$A$3:$E$3922,5,FALSE)</f>
        <v>New</v>
      </c>
      <c r="G67" s="339" t="str">
        <f t="shared" si="6"/>
        <v>Yes</v>
      </c>
      <c r="H67" s="339" t="str">
        <f t="shared" si="7"/>
        <v>Yes</v>
      </c>
      <c r="I67" s="435">
        <f>SUMIF('Diags Raw Data'!$A$6:$A$3830,"*"&amp;$A67&amp;"*",'Diags Raw Data'!$K$6:$K$3830)</f>
        <v>0</v>
      </c>
      <c r="J67" s="437">
        <f>SUMIF('Diags Raw Data'!$A$6:$A$3830,"*"&amp;$A67&amp;"*",'Diags Raw Data'!$L$6:$L$3830)</f>
        <v>0</v>
      </c>
      <c r="K67" s="484" cm="1">
        <f t="array" ref="K67">IF(D67="",0, SUMPRODUCT(--(ISNUMBER(SEARCH($A67,'Diags Raw Data'!$A$6:$A$3830))),'Diags Raw Data'!$L$6:$L$3830,'Diags Raw Data'!$N$6:$N$3830)/J67)</f>
        <v>0</v>
      </c>
      <c r="L67" s="485" cm="1">
        <f t="array" ref="L67">IF(D67="",0, SUMPRODUCT(--(ISNUMBER(SEARCH($A67,'Diags Raw Data'!$A$6:$A$3830))),'Diags Raw Data'!$L$6:$L$3830,'Diags Raw Data'!$P$6:$P$3830)/J67)</f>
        <v>0</v>
      </c>
      <c r="M67" s="486" cm="1">
        <f t="array" ref="M67">SUMPRODUCT(--(ISNUMBER(SEARCH($A67,'Diags Raw Data'!$A$6:$A$3830))),--('Diags Raw Data'!$Q$6:$Q$3830&lt;&gt;"N/A"),'Diags Raw Data'!$R$6:$R$3830)</f>
        <v>0</v>
      </c>
      <c r="N67" s="487" cm="1">
        <f t="array" ref="N67">SUMPRODUCT(--(ISNUMBER(SEARCH($A67,'Diags Raw Data'!$A$6:$A$3830))),--('Diags Raw Data'!$Q$6:$Q$3830&lt;&gt;"N/A"),'Diags Raw Data'!$T$6:$T$3830)+SUMPRODUCT(--(ISNUMBER(SEARCH($A67,'Diags Raw Data'!$A$6:$A$3830))),--('Diags Raw Data'!$Q$6:$Q$3830&lt;&gt;"N/A"),'Diags Raw Data'!$U$6:$U$3830)</f>
        <v>0</v>
      </c>
      <c r="O67" s="488">
        <f t="shared" si="2"/>
        <v>0</v>
      </c>
      <c r="P67" s="489">
        <f>SUMIF('Diags Raw Data'!$A$6:$A$3830,"*"&amp;$A67&amp;"*",'Diags Raw Data'!$Z$6:$Z$3830)</f>
        <v>0</v>
      </c>
      <c r="Q67" s="490">
        <f>SUM(SUMIF('Diags Raw Data'!$A$6:$A$3830,"*"&amp;$A67&amp;"*",'Diags Raw Data'!$AA$6:$AA$3830),SUMIF('Diags Raw Data'!$A$6:$A$3830,"*"&amp;$A67&amp;"*",'Diags Raw Data'!$AB$6:$AB$3830))</f>
        <v>0</v>
      </c>
      <c r="R67" s="491">
        <f t="shared" si="3"/>
        <v>0</v>
      </c>
      <c r="S67" s="491">
        <f t="shared" si="4"/>
        <v>0</v>
      </c>
      <c r="T67" s="492">
        <f t="shared" si="5"/>
        <v>0</v>
      </c>
      <c r="U67" s="432" t="e">
        <f>VLOOKUP(A67,'Diags Raw Data'!$A$6:$AH$3830,33,FALSE)</f>
        <v>#N/A</v>
      </c>
      <c r="V67" s="181"/>
    </row>
    <row r="68" spans="1:22" ht="30.75" thickBot="1" x14ac:dyDescent="0.3">
      <c r="A68" s="546">
        <v>12.114000000000001</v>
      </c>
      <c r="B68" s="434" t="str">
        <f>VLOOKUP(A68,'Feature Raw Data'!$A$3:$B$3922,2,FALSE)</f>
        <v xml:space="preserve">CP ucode use dispatch index for TTMP init </v>
      </c>
      <c r="C68" s="435" t="str">
        <f>VLOOKUP(A68,'Feature Raw Data'!$A$3:$C$3922,3,FALSE)</f>
        <v>P2</v>
      </c>
      <c r="D68" s="436" t="str" cm="1">
        <f t="array" ref="D68">_xlfn.TEXTJOIN("",TRUE,IF(ISNUMBER(SEARCH($A68,'Diags Raw Data'!$A$6:$A$3830)),CONCATENATE('Diags Raw Data'!$H$6:$H$3830,", "),""))</f>
        <v/>
      </c>
      <c r="E68" s="339" t="e">
        <f>VLOOKUP(A68,'Diags Raw Data'!$A$6:$D$3830,4,FALSE)</f>
        <v>#N/A</v>
      </c>
      <c r="F68" s="339" t="str">
        <f>VLOOKUP(A68,'Feature Raw Data'!$A$3:$E$3922,5,FALSE)</f>
        <v>New</v>
      </c>
      <c r="G68" s="339" t="str">
        <f t="shared" si="6"/>
        <v>Yes</v>
      </c>
      <c r="H68" s="339" t="str">
        <f t="shared" si="7"/>
        <v>Yes</v>
      </c>
      <c r="I68" s="435">
        <f>SUMIF('Diags Raw Data'!$A$6:$A$3830,"*"&amp;$A68&amp;"*",'Diags Raw Data'!$K$6:$K$3830)</f>
        <v>0</v>
      </c>
      <c r="J68" s="437">
        <f>SUMIF('Diags Raw Data'!$A$6:$A$3830,"*"&amp;$A68&amp;"*",'Diags Raw Data'!$L$6:$L$3830)</f>
        <v>0</v>
      </c>
      <c r="K68" s="484" cm="1">
        <f t="array" ref="K68">IF(D68="",0, SUMPRODUCT(--(ISNUMBER(SEARCH($A68,'Diags Raw Data'!$A$6:$A$3830))),'Diags Raw Data'!$L$6:$L$3830,'Diags Raw Data'!$N$6:$N$3830)/J68)</f>
        <v>0</v>
      </c>
      <c r="L68" s="485" cm="1">
        <f t="array" ref="L68">IF(D68="",0, SUMPRODUCT(--(ISNUMBER(SEARCH($A68,'Diags Raw Data'!$A$6:$A$3830))),'Diags Raw Data'!$L$6:$L$3830,'Diags Raw Data'!$P$6:$P$3830)/J68)</f>
        <v>0</v>
      </c>
      <c r="M68" s="486" cm="1">
        <f t="array" ref="M68">SUMPRODUCT(--(ISNUMBER(SEARCH($A68,'Diags Raw Data'!$A$6:$A$3830))),--('Diags Raw Data'!$Q$6:$Q$3830&lt;&gt;"N/A"),'Diags Raw Data'!$R$6:$R$3830)</f>
        <v>0</v>
      </c>
      <c r="N68" s="487" cm="1">
        <f t="array" ref="N68">SUMPRODUCT(--(ISNUMBER(SEARCH($A68,'Diags Raw Data'!$A$6:$A$3830))),--('Diags Raw Data'!$Q$6:$Q$3830&lt;&gt;"N/A"),'Diags Raw Data'!$T$6:$T$3830)+SUMPRODUCT(--(ISNUMBER(SEARCH($A68,'Diags Raw Data'!$A$6:$A$3830))),--('Diags Raw Data'!$Q$6:$Q$3830&lt;&gt;"N/A"),'Diags Raw Data'!$U$6:$U$3830)</f>
        <v>0</v>
      </c>
      <c r="O68" s="488">
        <f t="shared" si="2"/>
        <v>0</v>
      </c>
      <c r="P68" s="489">
        <f>SUMIF('Diags Raw Data'!$A$6:$A$3830,"*"&amp;$A68&amp;"*",'Diags Raw Data'!$Z$6:$Z$3830)</f>
        <v>0</v>
      </c>
      <c r="Q68" s="490">
        <f>SUM(SUMIF('Diags Raw Data'!$A$6:$A$3830,"*"&amp;$A68&amp;"*",'Diags Raw Data'!$AA$6:$AA$3830),SUMIF('Diags Raw Data'!$A$6:$A$3830,"*"&amp;$A68&amp;"*",'Diags Raw Data'!$AB$6:$AB$3830))</f>
        <v>0</v>
      </c>
      <c r="R68" s="491">
        <f t="shared" si="3"/>
        <v>0</v>
      </c>
      <c r="S68" s="491">
        <f t="shared" si="4"/>
        <v>0</v>
      </c>
      <c r="T68" s="492">
        <f t="shared" si="5"/>
        <v>0</v>
      </c>
      <c r="U68" s="432" t="e">
        <f>VLOOKUP(A68,'Diags Raw Data'!$A$6:$AH$3830,33,FALSE)</f>
        <v>#N/A</v>
      </c>
      <c r="V68" s="181"/>
    </row>
    <row r="69" spans="1:22" ht="180.75" thickBot="1" x14ac:dyDescent="0.3">
      <c r="A69" s="546">
        <v>12.115</v>
      </c>
      <c r="B69" s="434" t="str">
        <f>VLOOKUP(A69,'Feature Raw Data'!$A$3:$B$3922,2,FALSE)</f>
        <v>Single Pass Wave64 Trans Issue (in M2)</v>
      </c>
      <c r="C69" s="435" t="str">
        <f>VLOOKUP(A69,'Feature Raw Data'!$A$3:$C$3922,3,FALSE)</f>
        <v>P1</v>
      </c>
      <c r="D69" s="436" t="str" cm="1">
        <f t="array" ref="D69">_xlfn.TEXTJOIN("",TRUE,IF(ISNUMBER(SEARCH($A69,'Diags Raw Data'!$A$6:$A$3830)),CONCATENATE('Diags Raw Data'!$H$6:$H$3830,", "),""))</f>
        <v xml:space="preserve">gfx.inst_perf/v_exp_f32_w64,gfx.inst_perf/v_log_f32_w64,gfx.inst_perf/v_rcp_f32_w64,gfx.inst_perf/v_rsq_f32_w64,gfx.inst_perf/v_sqrt_f32_w64,gfx.inst_perf/v_sin_f32_w64,gfx.inst_perf/v_cos_f32_w64,gfx.inst_perf/v_exp_f16_w64,gfx.inst_perf/v_log_f16_w64,gfx.inst_perf/v_rcp_f16_w64,gfx.inst_perf/v_rsq_f16_w64,gfx.inst_perf/v_sqrt_f16_w64,gfx.inst_perf/v_sin_f16_w64,gfx.inst_perf/v_cos_f16_w64, </v>
      </c>
      <c r="E69" s="339" t="str">
        <f>VLOOKUP(A69,'Diags Raw Data'!$A$6:$D$3830,4,FALSE)</f>
        <v>SH</v>
      </c>
      <c r="F69" s="339" t="str">
        <f>VLOOKUP(A69,'Feature Raw Data'!$A$3:$E$3922,5,FALSE)</f>
        <v>New</v>
      </c>
      <c r="G69" s="339" t="str">
        <f t="shared" si="6"/>
        <v>Yes</v>
      </c>
      <c r="H69" s="339" t="str">
        <f t="shared" si="7"/>
        <v>Yes</v>
      </c>
      <c r="I69" s="435">
        <f>SUMIF('Diags Raw Data'!$A$6:$A$3830,"*"&amp;$A69&amp;"*",'Diags Raw Data'!$K$6:$K$3830)</f>
        <v>0</v>
      </c>
      <c r="J69" s="437">
        <f>SUMIF('Diags Raw Data'!$A$6:$A$3830,"*"&amp;$A69&amp;"*",'Diags Raw Data'!$L$6:$L$3830)</f>
        <v>0</v>
      </c>
      <c r="K69" s="484" t="e" cm="1">
        <f t="array" ref="K69">IF(D69="",0, SUMPRODUCT(--(ISNUMBER(SEARCH($A69,'Diags Raw Data'!$A$6:$A$3830))),'Diags Raw Data'!$L$6:$L$3830,'Diags Raw Data'!$N$6:$N$3830)/J69)</f>
        <v>#DIV/0!</v>
      </c>
      <c r="L69" s="485" t="e" cm="1">
        <f t="array" ref="L69">IF(D69="",0, SUMPRODUCT(--(ISNUMBER(SEARCH($A69,'Diags Raw Data'!$A$6:$A$3830))),'Diags Raw Data'!$L$6:$L$3830,'Diags Raw Data'!$P$6:$P$3830)/J69)</f>
        <v>#DIV/0!</v>
      </c>
      <c r="M69" s="486" cm="1">
        <f t="array" ref="M69">SUMPRODUCT(--(ISNUMBER(SEARCH($A69,'Diags Raw Data'!$A$6:$A$3830))),--('Diags Raw Data'!$Q$6:$Q$3830&lt;&gt;"N/A"),'Diags Raw Data'!$R$6:$R$3830)</f>
        <v>14</v>
      </c>
      <c r="N69" s="487" cm="1">
        <f t="array" ref="N69">SUMPRODUCT(--(ISNUMBER(SEARCH($A69,'Diags Raw Data'!$A$6:$A$3830))),--('Diags Raw Data'!$Q$6:$Q$3830&lt;&gt;"N/A"),'Diags Raw Data'!$T$6:$T$3830)+SUMPRODUCT(--(ISNUMBER(SEARCH($A69,'Diags Raw Data'!$A$6:$A$3830))),--('Diags Raw Data'!$Q$6:$Q$3830&lt;&gt;"N/A"),'Diags Raw Data'!$U$6:$U$3830)</f>
        <v>14</v>
      </c>
      <c r="O69" s="488">
        <f t="shared" si="2"/>
        <v>1</v>
      </c>
      <c r="P69" s="489">
        <f>SUMIF('Diags Raw Data'!$A$6:$A$3830,"*"&amp;$A69&amp;"*",'Diags Raw Data'!$Z$6:$Z$3830)</f>
        <v>0</v>
      </c>
      <c r="Q69" s="490">
        <f>SUM(SUMIF('Diags Raw Data'!$A$6:$A$3830,"*"&amp;$A69&amp;"*",'Diags Raw Data'!$AA$6:$AA$3830),SUMIF('Diags Raw Data'!$A$6:$A$3830,"*"&amp;$A69&amp;"*",'Diags Raw Data'!$AB$6:$AB$3830))</f>
        <v>0</v>
      </c>
      <c r="R69" s="491">
        <f t="shared" si="3"/>
        <v>0</v>
      </c>
      <c r="S69" s="491">
        <f t="shared" si="4"/>
        <v>0</v>
      </c>
      <c r="T69" s="492">
        <f t="shared" si="5"/>
        <v>0</v>
      </c>
      <c r="U69" s="432" t="str">
        <f>VLOOKUP(A69,'Diags Raw Data'!$A$6:$AH$3830,33,FALSE)</f>
        <v>WK5</v>
      </c>
      <c r="V69" s="181"/>
    </row>
    <row r="70" spans="1:22" ht="15.75" thickBot="1" x14ac:dyDescent="0.3">
      <c r="A70" s="546">
        <v>12.118</v>
      </c>
      <c r="B70" s="434" t="str">
        <f>VLOOKUP(A70,'Feature Raw Data'!$A$3:$B$3922,2,FALSE)</f>
        <v xml:space="preserve">PH Memory Queues </v>
      </c>
      <c r="C70" s="435" t="str">
        <f>VLOOKUP(A70,'Feature Raw Data'!$A$3:$C$3922,3,FALSE)</f>
        <v>P1</v>
      </c>
      <c r="D70" s="436" t="str" cm="1">
        <f t="array" ref="D70">_xlfn.TEXTJOIN("",TRUE,IF(ISNUMBER(SEARCH($A70,'Diags Raw Data'!$A$6:$A$3830)),CONCATENATE('Diags Raw Data'!$H$6:$H$3830,", "),""))</f>
        <v xml:space="preserve">ge2.0,ge2.1,std1.6, </v>
      </c>
      <c r="E70" s="339" t="str">
        <f>VLOOKUP(A70,'Diags Raw Data'!$A$6:$D$3830,4,FALSE)</f>
        <v>GEO</v>
      </c>
      <c r="F70" s="339" t="str">
        <f>VLOOKUP(A70,'Feature Raw Data'!$A$3:$E$3922,5,FALSE)</f>
        <v>New</v>
      </c>
      <c r="G70" s="339" t="str">
        <f t="shared" si="6"/>
        <v>Yes</v>
      </c>
      <c r="H70" s="339" t="str">
        <f t="shared" si="7"/>
        <v>Yes</v>
      </c>
      <c r="I70" s="435">
        <f>SUMIF('Diags Raw Data'!$A$6:$A$3830,"*"&amp;$A70&amp;"*",'Diags Raw Data'!$K$6:$K$3830)</f>
        <v>0</v>
      </c>
      <c r="J70" s="437">
        <f>SUMIF('Diags Raw Data'!$A$6:$A$3830,"*"&amp;$A70&amp;"*",'Diags Raw Data'!$L$6:$L$3830)</f>
        <v>0</v>
      </c>
      <c r="K70" s="484" t="e" cm="1">
        <f t="array" ref="K70">IF(D70="",0, SUMPRODUCT(--(ISNUMBER(SEARCH($A70,'Diags Raw Data'!$A$6:$A$3830))),'Diags Raw Data'!$L$6:$L$3830,'Diags Raw Data'!$N$6:$N$3830)/J70)</f>
        <v>#DIV/0!</v>
      </c>
      <c r="L70" s="485" t="e" cm="1">
        <f t="array" ref="L70">IF(D70="",0, SUMPRODUCT(--(ISNUMBER(SEARCH($A70,'Diags Raw Data'!$A$6:$A$3830))),'Diags Raw Data'!$L$6:$L$3830,'Diags Raw Data'!$P$6:$P$3830)/J70)</f>
        <v>#DIV/0!</v>
      </c>
      <c r="M70" s="486" cm="1">
        <f t="array" ref="M70">SUMPRODUCT(--(ISNUMBER(SEARCH($A70,'Diags Raw Data'!$A$6:$A$3830))),--('Diags Raw Data'!$Q$6:$Q$3830&lt;&gt;"N/A"),'Diags Raw Data'!$R$6:$R$3830)</f>
        <v>3</v>
      </c>
      <c r="N70" s="487" cm="1">
        <f t="array" ref="N70">SUMPRODUCT(--(ISNUMBER(SEARCH($A70,'Diags Raw Data'!$A$6:$A$3830))),--('Diags Raw Data'!$Q$6:$Q$3830&lt;&gt;"N/A"),'Diags Raw Data'!$T$6:$T$3830)+SUMPRODUCT(--(ISNUMBER(SEARCH($A70,'Diags Raw Data'!$A$6:$A$3830))),--('Diags Raw Data'!$Q$6:$Q$3830&lt;&gt;"N/A"),'Diags Raw Data'!$U$6:$U$3830)</f>
        <v>3</v>
      </c>
      <c r="O70" s="488">
        <f t="shared" si="2"/>
        <v>1</v>
      </c>
      <c r="P70" s="489">
        <f>SUMIF('Diags Raw Data'!$A$6:$A$3830,"*"&amp;$A70&amp;"*",'Diags Raw Data'!$Z$6:$Z$3830)</f>
        <v>0</v>
      </c>
      <c r="Q70" s="490">
        <f>SUM(SUMIF('Diags Raw Data'!$A$6:$A$3830,"*"&amp;$A70&amp;"*",'Diags Raw Data'!$AA$6:$AA$3830),SUMIF('Diags Raw Data'!$A$6:$A$3830,"*"&amp;$A70&amp;"*",'Diags Raw Data'!$AB$6:$AB$3830))</f>
        <v>0</v>
      </c>
      <c r="R70" s="491">
        <f t="shared" si="3"/>
        <v>0</v>
      </c>
      <c r="S70" s="491">
        <f t="shared" si="4"/>
        <v>0</v>
      </c>
      <c r="T70" s="492">
        <f t="shared" si="5"/>
        <v>0</v>
      </c>
      <c r="U70" s="432" t="str">
        <f>VLOOKUP(A70,'Diags Raw Data'!$A$6:$AH$3830,33,FALSE)</f>
        <v>WK5</v>
      </c>
      <c r="V70" s="181"/>
    </row>
    <row r="71" spans="1:22" ht="15.75" thickBot="1" x14ac:dyDescent="0.3">
      <c r="A71" s="546">
        <v>12.119</v>
      </c>
      <c r="B71" s="434" t="str">
        <f>VLOOKUP(A71,'Feature Raw Data'!$A$3:$B$3922,2,FALSE)</f>
        <v xml:space="preserve">Harvesting enabled by default </v>
      </c>
      <c r="C71" s="435" t="str">
        <f>VLOOKUP(A71,'Feature Raw Data'!$A$3:$C$3922,3,FALSE)</f>
        <v>P1</v>
      </c>
      <c r="D71" s="436" t="str" cm="1">
        <f t="array" ref="D71">_xlfn.TEXTJOIN("",TRUE,IF(ISNUMBER(SEARCH($A71,'Diags Raw Data'!$A$6:$A$3830)),CONCATENATE('Diags Raw Data'!$H$6:$H$3830,", "),""))</f>
        <v/>
      </c>
      <c r="E71" s="339" t="e">
        <f>VLOOKUP(A71,'Diags Raw Data'!$A$6:$D$3830,4,FALSE)</f>
        <v>#N/A</v>
      </c>
      <c r="F71" s="339" t="str">
        <f>VLOOKUP(A71,'Feature Raw Data'!$A$3:$E$3922,5,FALSE)</f>
        <v>New</v>
      </c>
      <c r="G71" s="339" t="str">
        <f t="shared" si="6"/>
        <v>Yes</v>
      </c>
      <c r="H71" s="339" t="str">
        <f t="shared" si="7"/>
        <v>Yes</v>
      </c>
      <c r="I71" s="435">
        <f>SUMIF('Diags Raw Data'!$A$6:$A$3830,"*"&amp;$A71&amp;"*",'Diags Raw Data'!$K$6:$K$3830)</f>
        <v>0</v>
      </c>
      <c r="J71" s="437">
        <f>SUMIF('Diags Raw Data'!$A$6:$A$3830,"*"&amp;$A71&amp;"*",'Diags Raw Data'!$L$6:$L$3830)</f>
        <v>0</v>
      </c>
      <c r="K71" s="484" cm="1">
        <f t="array" ref="K71">IF(D71="",0, SUMPRODUCT(--(ISNUMBER(SEARCH($A71,'Diags Raw Data'!$A$6:$A$3830))),'Diags Raw Data'!$L$6:$L$3830,'Diags Raw Data'!$N$6:$N$3830)/J71)</f>
        <v>0</v>
      </c>
      <c r="L71" s="485" cm="1">
        <f t="array" ref="L71">IF(D71="",0, SUMPRODUCT(--(ISNUMBER(SEARCH($A71,'Diags Raw Data'!$A$6:$A$3830))),'Diags Raw Data'!$L$6:$L$3830,'Diags Raw Data'!$P$6:$P$3830)/J71)</f>
        <v>0</v>
      </c>
      <c r="M71" s="486" cm="1">
        <f t="array" ref="M71">SUMPRODUCT(--(ISNUMBER(SEARCH($A71,'Diags Raw Data'!$A$6:$A$3830))),--('Diags Raw Data'!$Q$6:$Q$3830&lt;&gt;"N/A"),'Diags Raw Data'!$R$6:$R$3830)</f>
        <v>0</v>
      </c>
      <c r="N71" s="487" cm="1">
        <f t="array" ref="N71">SUMPRODUCT(--(ISNUMBER(SEARCH($A71,'Diags Raw Data'!$A$6:$A$3830))),--('Diags Raw Data'!$Q$6:$Q$3830&lt;&gt;"N/A"),'Diags Raw Data'!$T$6:$T$3830)+SUMPRODUCT(--(ISNUMBER(SEARCH($A71,'Diags Raw Data'!$A$6:$A$3830))),--('Diags Raw Data'!$Q$6:$Q$3830&lt;&gt;"N/A"),'Diags Raw Data'!$U$6:$U$3830)</f>
        <v>0</v>
      </c>
      <c r="O71" s="488">
        <f t="shared" si="2"/>
        <v>0</v>
      </c>
      <c r="P71" s="489">
        <f>SUMIF('Diags Raw Data'!$A$6:$A$3830,"*"&amp;$A71&amp;"*",'Diags Raw Data'!$Z$6:$Z$3830)</f>
        <v>0</v>
      </c>
      <c r="Q71" s="490">
        <f>SUM(SUMIF('Diags Raw Data'!$A$6:$A$3830,"*"&amp;$A71&amp;"*",'Diags Raw Data'!$AA$6:$AA$3830),SUMIF('Diags Raw Data'!$A$6:$A$3830,"*"&amp;$A71&amp;"*",'Diags Raw Data'!$AB$6:$AB$3830))</f>
        <v>0</v>
      </c>
      <c r="R71" s="491">
        <f t="shared" ref="R71:R100" si="8">IF((J71=0),0,P71/J71)</f>
        <v>0</v>
      </c>
      <c r="S71" s="491">
        <f t="shared" ref="S71:S103" si="9">IF((P71=0),0,Q71/P71)</f>
        <v>0</v>
      </c>
      <c r="T71" s="492">
        <f t="shared" ref="T71:T102" si="10">R71*S71</f>
        <v>0</v>
      </c>
      <c r="U71" s="432" t="e">
        <f>VLOOKUP(A71,'Diags Raw Data'!$A$6:$AH$3830,33,FALSE)</f>
        <v>#N/A</v>
      </c>
      <c r="V71" s="181"/>
    </row>
    <row r="72" spans="1:22" ht="45.75" thickBot="1" x14ac:dyDescent="0.3">
      <c r="A72" s="546">
        <v>12.12</v>
      </c>
      <c r="B72" s="434" t="str">
        <f>VLOOKUP(A72,'Feature Raw Data'!$A$3:$B$3922,2,FALSE)</f>
        <v>WGP&amp;RB GRBM Index Remapping (possible gfx11.5)</v>
      </c>
      <c r="C72" s="435" t="str">
        <f>VLOOKUP(A72,'Feature Raw Data'!$A$3:$C$3922,3,FALSE)</f>
        <v>P1</v>
      </c>
      <c r="D72" s="436" t="str" cm="1">
        <f t="array" ref="D72">_xlfn.TEXTJOIN("",TRUE,IF(ISNUMBER(SEARCH($A72,'Diags Raw Data'!$A$6:$A$3830)),CONCATENATE('Diags Raw Data'!$H$6:$H$3830,", "),""))</f>
        <v xml:space="preserve">gci1300.0,gci1300.1,gci1300.2,gci1300.3, spi124.0,spi124.1, spi125, placeholder_f.1, </v>
      </c>
      <c r="E72" s="339" t="str">
        <f>VLOOKUP(A72,'Diags Raw Data'!$A$6:$D$3830,4,FALSE)</f>
        <v>CTL</v>
      </c>
      <c r="F72" s="339" t="str">
        <f>VLOOKUP(A72,'Feature Raw Data'!$A$3:$E$3922,5,FALSE)</f>
        <v>New</v>
      </c>
      <c r="G72" s="339" t="str">
        <f t="shared" si="6"/>
        <v>Yes</v>
      </c>
      <c r="H72" s="339" t="str">
        <f t="shared" si="7"/>
        <v>Yes</v>
      </c>
      <c r="I72" s="435">
        <f>SUMIF('Diags Raw Data'!$A$6:$A$3830,"*"&amp;$A72&amp;"*",'Diags Raw Data'!$K$6:$K$3830)</f>
        <v>0</v>
      </c>
      <c r="J72" s="437">
        <f>SUMIF('Diags Raw Data'!$A$6:$A$3830,"*"&amp;$A72&amp;"*",'Diags Raw Data'!$L$6:$L$3830)</f>
        <v>0</v>
      </c>
      <c r="K72" s="484" t="e" cm="1">
        <f t="array" ref="K72">IF(D72="",0, SUMPRODUCT(--(ISNUMBER(SEARCH($A72,'Diags Raw Data'!$A$6:$A$3830))),'Diags Raw Data'!$L$6:$L$3830,'Diags Raw Data'!$N$6:$N$3830)/J72)</f>
        <v>#DIV/0!</v>
      </c>
      <c r="L72" s="485" t="e" cm="1">
        <f t="array" ref="L72">IF(D72="",0, SUMPRODUCT(--(ISNUMBER(SEARCH($A72,'Diags Raw Data'!$A$6:$A$3830))),'Diags Raw Data'!$L$6:$L$3830,'Diags Raw Data'!$P$6:$P$3830)/J72)</f>
        <v>#DIV/0!</v>
      </c>
      <c r="M72" s="486" cm="1">
        <f t="array" ref="M72">SUMPRODUCT(--(ISNUMBER(SEARCH($A72,'Diags Raw Data'!$A$6:$A$3830))),--('Diags Raw Data'!$Q$6:$Q$3830&lt;&gt;"N/A"),'Diags Raw Data'!$R$6:$R$3830)</f>
        <v>8</v>
      </c>
      <c r="N72" s="487" cm="1">
        <f t="array" ref="N72">SUMPRODUCT(--(ISNUMBER(SEARCH($A72,'Diags Raw Data'!$A$6:$A$3830))),--('Diags Raw Data'!$Q$6:$Q$3830&lt;&gt;"N/A"),'Diags Raw Data'!$T$6:$T$3830)+SUMPRODUCT(--(ISNUMBER(SEARCH($A72,'Diags Raw Data'!$A$6:$A$3830))),--('Diags Raw Data'!$Q$6:$Q$3830&lt;&gt;"N/A"),'Diags Raw Data'!$U$6:$U$3830)</f>
        <v>7</v>
      </c>
      <c r="O72" s="488">
        <f t="shared" ref="O72:O103" si="11">IF((M72=0),0,N72/M72)</f>
        <v>0.875</v>
      </c>
      <c r="P72" s="489">
        <f>SUMIF('Diags Raw Data'!$A$6:$A$3830,"*"&amp;$A72&amp;"*",'Diags Raw Data'!$Z$6:$Z$3830)</f>
        <v>0</v>
      </c>
      <c r="Q72" s="490">
        <f>SUM(SUMIF('Diags Raw Data'!$A$6:$A$3830,"*"&amp;$A72&amp;"*",'Diags Raw Data'!$AA$6:$AA$3830),SUMIF('Diags Raw Data'!$A$6:$A$3830,"*"&amp;$A72&amp;"*",'Diags Raw Data'!$AB$6:$AB$3830))</f>
        <v>0</v>
      </c>
      <c r="R72" s="491">
        <f t="shared" si="8"/>
        <v>0</v>
      </c>
      <c r="S72" s="491">
        <f t="shared" si="9"/>
        <v>0</v>
      </c>
      <c r="T72" s="492">
        <f t="shared" si="10"/>
        <v>0</v>
      </c>
      <c r="U72" s="432" t="str">
        <f>VLOOKUP(A72,'Diags Raw Data'!$A$6:$AH$3830,33,FALSE)</f>
        <v>WK5</v>
      </c>
      <c r="V72" s="181"/>
    </row>
    <row r="73" spans="1:22" ht="15.75" thickBot="1" x14ac:dyDescent="0.3">
      <c r="A73" s="546">
        <v>12.124000000000001</v>
      </c>
      <c r="B73" s="434" t="str">
        <f>VLOOKUP(A73,'Feature Raw Data'!$A$3:$B$3922,2,FALSE)</f>
        <v xml:space="preserve">CSC Group Launch guarantee </v>
      </c>
      <c r="C73" s="435" t="str">
        <f>VLOOKUP(A73,'Feature Raw Data'!$A$3:$C$3922,3,FALSE)</f>
        <v>P2</v>
      </c>
      <c r="D73" s="436" t="str" cm="1">
        <f t="array" ref="D73">_xlfn.TEXTJOIN("",TRUE,IF(ISNUMBER(SEARCH($A73,'Diags Raw Data'!$A$6:$A$3830)),CONCATENATE('Diags Raw Data'!$H$6:$H$3830,", "),""))</f>
        <v xml:space="preserve">spi124.0,spi124.1, </v>
      </c>
      <c r="E73" s="339" t="str">
        <f>VLOOKUP(A73,'Diags Raw Data'!$A$6:$D$3830,4,FALSE)</f>
        <v>SIO</v>
      </c>
      <c r="F73" s="339" t="str">
        <f>VLOOKUP(A73,'Feature Raw Data'!$A$3:$E$3922,5,FALSE)</f>
        <v>New</v>
      </c>
      <c r="G73" s="339" t="str">
        <f t="shared" si="6"/>
        <v>Yes</v>
      </c>
      <c r="H73" s="339" t="str">
        <f t="shared" si="7"/>
        <v>Yes</v>
      </c>
      <c r="I73" s="435">
        <f>SUMIF('Diags Raw Data'!$A$6:$A$3830,"*"&amp;$A73&amp;"*",'Diags Raw Data'!$K$6:$K$3830)</f>
        <v>0</v>
      </c>
      <c r="J73" s="437">
        <f>SUMIF('Diags Raw Data'!$A$6:$A$3830,"*"&amp;$A73&amp;"*",'Diags Raw Data'!$L$6:$L$3830)</f>
        <v>0</v>
      </c>
      <c r="K73" s="484" t="e" cm="1">
        <f t="array" ref="K73">IF(D73="",0, SUMPRODUCT(--(ISNUMBER(SEARCH($A73,'Diags Raw Data'!$A$6:$A$3830))),'Diags Raw Data'!$L$6:$L$3830,'Diags Raw Data'!$N$6:$N$3830)/J73)</f>
        <v>#DIV/0!</v>
      </c>
      <c r="L73" s="485" t="e" cm="1">
        <f t="array" ref="L73">IF(D73="",0, SUMPRODUCT(--(ISNUMBER(SEARCH($A73,'Diags Raw Data'!$A$6:$A$3830))),'Diags Raw Data'!$L$6:$L$3830,'Diags Raw Data'!$P$6:$P$3830)/J73)</f>
        <v>#DIV/0!</v>
      </c>
      <c r="M73" s="486" cm="1">
        <f t="array" ref="M73">SUMPRODUCT(--(ISNUMBER(SEARCH($A73,'Diags Raw Data'!$A$6:$A$3830))),--('Diags Raw Data'!$Q$6:$Q$3830&lt;&gt;"N/A"),'Diags Raw Data'!$R$6:$R$3830)</f>
        <v>2</v>
      </c>
      <c r="N73" s="487" cm="1">
        <f t="array" ref="N73">SUMPRODUCT(--(ISNUMBER(SEARCH($A73,'Diags Raw Data'!$A$6:$A$3830))),--('Diags Raw Data'!$Q$6:$Q$3830&lt;&gt;"N/A"),'Diags Raw Data'!$T$6:$T$3830)+SUMPRODUCT(--(ISNUMBER(SEARCH($A73,'Diags Raw Data'!$A$6:$A$3830))),--('Diags Raw Data'!$Q$6:$Q$3830&lt;&gt;"N/A"),'Diags Raw Data'!$U$6:$U$3830)</f>
        <v>2</v>
      </c>
      <c r="O73" s="488">
        <f t="shared" si="11"/>
        <v>1</v>
      </c>
      <c r="P73" s="489">
        <f>SUMIF('Diags Raw Data'!$A$6:$A$3830,"*"&amp;$A73&amp;"*",'Diags Raw Data'!$Z$6:$Z$3830)</f>
        <v>0</v>
      </c>
      <c r="Q73" s="490">
        <f>SUM(SUMIF('Diags Raw Data'!$A$6:$A$3830,"*"&amp;$A73&amp;"*",'Diags Raw Data'!$AA$6:$AA$3830),SUMIF('Diags Raw Data'!$A$6:$A$3830,"*"&amp;$A73&amp;"*",'Diags Raw Data'!$AB$6:$AB$3830))</f>
        <v>0</v>
      </c>
      <c r="R73" s="491">
        <f t="shared" si="8"/>
        <v>0</v>
      </c>
      <c r="S73" s="491">
        <f t="shared" si="9"/>
        <v>0</v>
      </c>
      <c r="T73" s="492">
        <f t="shared" si="10"/>
        <v>0</v>
      </c>
      <c r="U73" s="432" t="str">
        <f>VLOOKUP(A73,'Diags Raw Data'!$A$6:$AH$3830,33,FALSE)</f>
        <v>WK7</v>
      </c>
      <c r="V73" s="181"/>
    </row>
    <row r="74" spans="1:22" ht="30.75" thickBot="1" x14ac:dyDescent="0.3">
      <c r="A74" s="546">
        <v>12.125</v>
      </c>
      <c r="B74" s="434" t="str">
        <f>VLOOKUP(A74,'Feature Raw Data'!$A$3:$B$3922,2,FALSE)</f>
        <v xml:space="preserve">GFX Pipe Group Launch Guarantee </v>
      </c>
      <c r="C74" s="435" t="str">
        <f>VLOOKUP(A74,'Feature Raw Data'!$A$3:$C$3922,3,FALSE)</f>
        <v>P2</v>
      </c>
      <c r="D74" s="436" t="str" cm="1">
        <f t="array" ref="D74">_xlfn.TEXTJOIN("",TRUE,IF(ISNUMBER(SEARCH($A74,'Diags Raw Data'!$A$6:$A$3830)),CONCATENATE('Diags Raw Data'!$H$6:$H$3830,", "),""))</f>
        <v xml:space="preserve">spi125, </v>
      </c>
      <c r="E74" s="339" t="str">
        <f>VLOOKUP(A74,'Diags Raw Data'!$A$6:$D$3830,4,FALSE)</f>
        <v>SIO</v>
      </c>
      <c r="F74" s="339" t="str">
        <f>VLOOKUP(A74,'Feature Raw Data'!$A$3:$E$3922,5,FALSE)</f>
        <v>New</v>
      </c>
      <c r="G74" s="339" t="str">
        <f t="shared" si="6"/>
        <v>Yes</v>
      </c>
      <c r="H74" s="339" t="str">
        <f t="shared" si="7"/>
        <v>Yes</v>
      </c>
      <c r="I74" s="435">
        <f>SUMIF('Diags Raw Data'!$A$6:$A$3830,"*"&amp;$A74&amp;"*",'Diags Raw Data'!$K$6:$K$3830)</f>
        <v>0</v>
      </c>
      <c r="J74" s="437">
        <f>SUMIF('Diags Raw Data'!$A$6:$A$3830,"*"&amp;$A74&amp;"*",'Diags Raw Data'!$L$6:$L$3830)</f>
        <v>0</v>
      </c>
      <c r="K74" s="484" t="e" cm="1">
        <f t="array" ref="K74">IF(D74="",0, SUMPRODUCT(--(ISNUMBER(SEARCH($A74,'Diags Raw Data'!$A$6:$A$3830))),'Diags Raw Data'!$L$6:$L$3830,'Diags Raw Data'!$N$6:$N$3830)/J74)</f>
        <v>#DIV/0!</v>
      </c>
      <c r="L74" s="485" t="e" cm="1">
        <f t="array" ref="L74">IF(D74="",0, SUMPRODUCT(--(ISNUMBER(SEARCH($A74,'Diags Raw Data'!$A$6:$A$3830))),'Diags Raw Data'!$L$6:$L$3830,'Diags Raw Data'!$P$6:$P$3830)/J74)</f>
        <v>#DIV/0!</v>
      </c>
      <c r="M74" s="486" cm="1">
        <f t="array" ref="M74">SUMPRODUCT(--(ISNUMBER(SEARCH($A74,'Diags Raw Data'!$A$6:$A$3830))),--('Diags Raw Data'!$Q$6:$Q$3830&lt;&gt;"N/A"),'Diags Raw Data'!$R$6:$R$3830)</f>
        <v>1</v>
      </c>
      <c r="N74" s="487" cm="1">
        <f t="array" ref="N74">SUMPRODUCT(--(ISNUMBER(SEARCH($A74,'Diags Raw Data'!$A$6:$A$3830))),--('Diags Raw Data'!$Q$6:$Q$3830&lt;&gt;"N/A"),'Diags Raw Data'!$T$6:$T$3830)+SUMPRODUCT(--(ISNUMBER(SEARCH($A74,'Diags Raw Data'!$A$6:$A$3830))),--('Diags Raw Data'!$Q$6:$Q$3830&lt;&gt;"N/A"),'Diags Raw Data'!$U$6:$U$3830)</f>
        <v>1</v>
      </c>
      <c r="O74" s="488">
        <f t="shared" si="11"/>
        <v>1</v>
      </c>
      <c r="P74" s="489">
        <f>SUMIF('Diags Raw Data'!$A$6:$A$3830,"*"&amp;$A74&amp;"*",'Diags Raw Data'!$Z$6:$Z$3830)</f>
        <v>0</v>
      </c>
      <c r="Q74" s="490">
        <f>SUM(SUMIF('Diags Raw Data'!$A$6:$A$3830,"*"&amp;$A74&amp;"*",'Diags Raw Data'!$AA$6:$AA$3830),SUMIF('Diags Raw Data'!$A$6:$A$3830,"*"&amp;$A74&amp;"*",'Diags Raw Data'!$AB$6:$AB$3830))</f>
        <v>0</v>
      </c>
      <c r="R74" s="491">
        <f t="shared" si="8"/>
        <v>0</v>
      </c>
      <c r="S74" s="491">
        <f t="shared" si="9"/>
        <v>0</v>
      </c>
      <c r="T74" s="492">
        <f t="shared" si="10"/>
        <v>0</v>
      </c>
      <c r="U74" s="432" t="str">
        <f>VLOOKUP(A74,'Diags Raw Data'!$A$6:$AH$3830,33,FALSE)</f>
        <v>WK6</v>
      </c>
      <c r="V74" s="181"/>
    </row>
    <row r="75" spans="1:22" ht="30.75" thickBot="1" x14ac:dyDescent="0.3">
      <c r="A75" s="546">
        <v>12.128</v>
      </c>
      <c r="B75" s="434" t="str">
        <f>VLOOKUP(A75,'Feature Raw Data'!$A$3:$B$3922,2,FALSE)</f>
        <v xml:space="preserve">Packet Hardening for Microsoft Telemetry </v>
      </c>
      <c r="C75" s="435" t="str">
        <f>VLOOKUP(A75,'Feature Raw Data'!$A$3:$C$3922,3,FALSE)</f>
        <v>P1</v>
      </c>
      <c r="D75" s="436" t="str" cm="1">
        <f t="array" ref="D75">_xlfn.TEXTJOIN("",TRUE,IF(ISNUMBER(SEARCH($A75,'Diags Raw Data'!$A$6:$A$3830)),CONCATENATE('Diags Raw Data'!$H$6:$H$3830,", "),""))</f>
        <v xml:space="preserve">placeholder_f.1, </v>
      </c>
      <c r="E75" s="339" t="str">
        <f>VLOOKUP(A75,'Diags Raw Data'!$A$6:$D$3830,4,FALSE)</f>
        <v>CTL</v>
      </c>
      <c r="F75" s="339" t="str">
        <f>VLOOKUP(A75,'Feature Raw Data'!$A$3:$E$3922,5,FALSE)</f>
        <v>New</v>
      </c>
      <c r="G75" s="339" t="str">
        <f t="shared" si="6"/>
        <v>Yes</v>
      </c>
      <c r="H75" s="339" t="str">
        <f t="shared" si="7"/>
        <v>Yes</v>
      </c>
      <c r="I75" s="435">
        <f>SUMIF('Diags Raw Data'!$A$6:$A$3830,"*"&amp;$A75&amp;"*",'Diags Raw Data'!$K$6:$K$3830)</f>
        <v>0</v>
      </c>
      <c r="J75" s="437">
        <f>SUMIF('Diags Raw Data'!$A$6:$A$3830,"*"&amp;$A75&amp;"*",'Diags Raw Data'!$L$6:$L$3830)</f>
        <v>0</v>
      </c>
      <c r="K75" s="484" t="e" cm="1">
        <f t="array" ref="K75">IF(D75="",0, SUMPRODUCT(--(ISNUMBER(SEARCH($A75,'Diags Raw Data'!$A$6:$A$3830))),'Diags Raw Data'!$L$6:$L$3830,'Diags Raw Data'!$N$6:$N$3830)/J75)</f>
        <v>#DIV/0!</v>
      </c>
      <c r="L75" s="485" t="e" cm="1">
        <f t="array" ref="L75">IF(D75="",0, SUMPRODUCT(--(ISNUMBER(SEARCH($A75,'Diags Raw Data'!$A$6:$A$3830))),'Diags Raw Data'!$L$6:$L$3830,'Diags Raw Data'!$P$6:$P$3830)/J75)</f>
        <v>#DIV/0!</v>
      </c>
      <c r="M75" s="486" cm="1">
        <f t="array" ref="M75">SUMPRODUCT(--(ISNUMBER(SEARCH($A75,'Diags Raw Data'!$A$6:$A$3830))),--('Diags Raw Data'!$Q$6:$Q$3830&lt;&gt;"N/A"),'Diags Raw Data'!$R$6:$R$3830)</f>
        <v>1</v>
      </c>
      <c r="N75" s="487" cm="1">
        <f t="array" ref="N75">SUMPRODUCT(--(ISNUMBER(SEARCH($A75,'Diags Raw Data'!$A$6:$A$3830))),--('Diags Raw Data'!$Q$6:$Q$3830&lt;&gt;"N/A"),'Diags Raw Data'!$T$6:$T$3830)+SUMPRODUCT(--(ISNUMBER(SEARCH($A75,'Diags Raw Data'!$A$6:$A$3830))),--('Diags Raw Data'!$Q$6:$Q$3830&lt;&gt;"N/A"),'Diags Raw Data'!$U$6:$U$3830)</f>
        <v>0</v>
      </c>
      <c r="O75" s="488">
        <f t="shared" si="11"/>
        <v>0</v>
      </c>
      <c r="P75" s="489">
        <f>SUMIF('Diags Raw Data'!$A$6:$A$3830,"*"&amp;$A75&amp;"*",'Diags Raw Data'!$Z$6:$Z$3830)</f>
        <v>0</v>
      </c>
      <c r="Q75" s="490">
        <f>SUM(SUMIF('Diags Raw Data'!$A$6:$A$3830,"*"&amp;$A75&amp;"*",'Diags Raw Data'!$AA$6:$AA$3830),SUMIF('Diags Raw Data'!$A$6:$A$3830,"*"&amp;$A75&amp;"*",'Diags Raw Data'!$AB$6:$AB$3830))</f>
        <v>0</v>
      </c>
      <c r="R75" s="491">
        <f t="shared" si="8"/>
        <v>0</v>
      </c>
      <c r="S75" s="491">
        <f t="shared" si="9"/>
        <v>0</v>
      </c>
      <c r="T75" s="492">
        <f t="shared" si="10"/>
        <v>0</v>
      </c>
      <c r="U75" s="432" t="str">
        <f>VLOOKUP(A75,'Diags Raw Data'!$A$6:$AH$3830,33,FALSE)</f>
        <v>WK5</v>
      </c>
      <c r="V75" s="181"/>
    </row>
    <row r="76" spans="1:22" ht="30.75" thickBot="1" x14ac:dyDescent="0.3">
      <c r="A76" s="546">
        <v>12.13</v>
      </c>
      <c r="B76" s="434" t="str">
        <f>VLOOKUP(A76,'Feature Raw Data'!$A$3:$B$3922,2,FALSE)</f>
        <v xml:space="preserve">add TCP out of order response support </v>
      </c>
      <c r="C76" s="435" t="str">
        <f>VLOOKUP(A76,'Feature Raw Data'!$A$3:$C$3922,3,FALSE)</f>
        <v>P1</v>
      </c>
      <c r="D76" s="436" t="str" cm="1">
        <f t="array" ref="D76">_xlfn.TEXTJOIN("",TRUE,IF(ISNUMBER(SEARCH($A76,'Diags Raw Data'!$A$6:$A$3830)),CONCATENATE('Diags Raw Data'!$H$6:$H$3830,", "),""))</f>
        <v xml:space="preserve">glxi85.1,glxi85.2, cpi400.0, cpi410.0, placeholder_r.1, spi1390,spi1391, </v>
      </c>
      <c r="E76" s="339" t="str">
        <f>VLOOKUP(A76,'Diags Raw Data'!$A$6:$D$3830,4,FALSE)</f>
        <v>CMM</v>
      </c>
      <c r="F76" s="339" t="str">
        <f>VLOOKUP(A76,'Feature Raw Data'!$A$3:$E$3922,5,FALSE)</f>
        <v>New</v>
      </c>
      <c r="G76" s="339" t="str">
        <f t="shared" si="6"/>
        <v>Yes</v>
      </c>
      <c r="H76" s="339" t="str">
        <f t="shared" si="7"/>
        <v>Yes</v>
      </c>
      <c r="I76" s="435">
        <f>SUMIF('Diags Raw Data'!$A$6:$A$3830,"*"&amp;$A76&amp;"*",'Diags Raw Data'!$K$6:$K$3830)</f>
        <v>0</v>
      </c>
      <c r="J76" s="437">
        <f>SUMIF('Diags Raw Data'!$A$6:$A$3830,"*"&amp;$A76&amp;"*",'Diags Raw Data'!$L$6:$L$3830)</f>
        <v>0</v>
      </c>
      <c r="K76" s="484" t="e" cm="1">
        <f t="array" ref="K76">IF(D76="",0, SUMPRODUCT(--(ISNUMBER(SEARCH($A76,'Diags Raw Data'!$A$6:$A$3830))),'Diags Raw Data'!$L$6:$L$3830,'Diags Raw Data'!$N$6:$N$3830)/J76)</f>
        <v>#DIV/0!</v>
      </c>
      <c r="L76" s="485" t="e" cm="1">
        <f t="array" ref="L76">IF(D76="",0, SUMPRODUCT(--(ISNUMBER(SEARCH($A76,'Diags Raw Data'!$A$6:$A$3830))),'Diags Raw Data'!$L$6:$L$3830,'Diags Raw Data'!$P$6:$P$3830)/J76)</f>
        <v>#DIV/0!</v>
      </c>
      <c r="M76" s="486" cm="1">
        <f t="array" ref="M76">SUMPRODUCT(--(ISNUMBER(SEARCH($A76,'Diags Raw Data'!$A$6:$A$3830))),--('Diags Raw Data'!$Q$6:$Q$3830&lt;&gt;"N/A"),'Diags Raw Data'!$R$6:$R$3830)</f>
        <v>7</v>
      </c>
      <c r="N76" s="487" cm="1">
        <f t="array" ref="N76">SUMPRODUCT(--(ISNUMBER(SEARCH($A76,'Diags Raw Data'!$A$6:$A$3830))),--('Diags Raw Data'!$Q$6:$Q$3830&lt;&gt;"N/A"),'Diags Raw Data'!$T$6:$T$3830)+SUMPRODUCT(--(ISNUMBER(SEARCH($A76,'Diags Raw Data'!$A$6:$A$3830))),--('Diags Raw Data'!$Q$6:$Q$3830&lt;&gt;"N/A"),'Diags Raw Data'!$U$6:$U$3830)</f>
        <v>2</v>
      </c>
      <c r="O76" s="488">
        <f t="shared" si="11"/>
        <v>0.2857142857142857</v>
      </c>
      <c r="P76" s="489">
        <f>SUMIF('Diags Raw Data'!$A$6:$A$3830,"*"&amp;$A76&amp;"*",'Diags Raw Data'!$Z$6:$Z$3830)</f>
        <v>0</v>
      </c>
      <c r="Q76" s="490">
        <f>SUM(SUMIF('Diags Raw Data'!$A$6:$A$3830,"*"&amp;$A76&amp;"*",'Diags Raw Data'!$AA$6:$AA$3830),SUMIF('Diags Raw Data'!$A$6:$A$3830,"*"&amp;$A76&amp;"*",'Diags Raw Data'!$AB$6:$AB$3830))</f>
        <v>0</v>
      </c>
      <c r="R76" s="491">
        <f t="shared" si="8"/>
        <v>0</v>
      </c>
      <c r="S76" s="491">
        <f t="shared" si="9"/>
        <v>0</v>
      </c>
      <c r="T76" s="492">
        <f t="shared" si="10"/>
        <v>0</v>
      </c>
      <c r="U76" s="432" t="str">
        <f>VLOOKUP(A76,'Diags Raw Data'!$A$6:$AH$3830,33,FALSE)</f>
        <v>WK4</v>
      </c>
      <c r="V76" s="181"/>
    </row>
    <row r="77" spans="1:22" ht="30.75" thickBot="1" x14ac:dyDescent="0.3">
      <c r="A77" s="546">
        <v>12.132</v>
      </c>
      <c r="B77" s="434" t="str">
        <f>VLOOKUP(A77,'Feature Raw Data'!$A$3:$B$3922,2,FALSE)</f>
        <v xml:space="preserve">CP/RLC/SDMA 40-bit Register Addressing to GRBM&lt;&gt;RSMU </v>
      </c>
      <c r="C77" s="435" t="str">
        <f>VLOOKUP(A77,'Feature Raw Data'!$A$3:$C$3922,3,FALSE)</f>
        <v>P1</v>
      </c>
      <c r="D77" s="436" t="str" cm="1">
        <f t="array" ref="D77">_xlfn.TEXTJOIN("",TRUE,IF(ISNUMBER(SEARCH($A77,'Diags Raw Data'!$A$6:$A$3830)),CONCATENATE('Diags Raw Data'!$H$6:$H$3830,", "),""))</f>
        <v xml:space="preserve">cpi400.0, </v>
      </c>
      <c r="E77" s="339" t="str">
        <f>VLOOKUP(A77,'Diags Raw Data'!$A$6:$D$3830,4,FALSE)</f>
        <v>CTL</v>
      </c>
      <c r="F77" s="339" t="str">
        <f>VLOOKUP(A77,'Feature Raw Data'!$A$3:$E$3922,5,FALSE)</f>
        <v>New</v>
      </c>
      <c r="G77" s="339" t="str">
        <f t="shared" si="6"/>
        <v>Yes</v>
      </c>
      <c r="H77" s="339" t="str">
        <f t="shared" si="7"/>
        <v>Yes</v>
      </c>
      <c r="I77" s="435">
        <f>SUMIF('Diags Raw Data'!$A$6:$A$3830,"*"&amp;$A77&amp;"*",'Diags Raw Data'!$K$6:$K$3830)</f>
        <v>0</v>
      </c>
      <c r="J77" s="437">
        <f>SUMIF('Diags Raw Data'!$A$6:$A$3830,"*"&amp;$A77&amp;"*",'Diags Raw Data'!$L$6:$L$3830)</f>
        <v>0</v>
      </c>
      <c r="K77" s="484" t="e" cm="1">
        <f t="array" ref="K77">IF(D77="",0, SUMPRODUCT(--(ISNUMBER(SEARCH($A77,'Diags Raw Data'!$A$6:$A$3830))),'Diags Raw Data'!$L$6:$L$3830,'Diags Raw Data'!$N$6:$N$3830)/J77)</f>
        <v>#DIV/0!</v>
      </c>
      <c r="L77" s="485" t="e" cm="1">
        <f t="array" ref="L77">IF(D77="",0, SUMPRODUCT(--(ISNUMBER(SEARCH($A77,'Diags Raw Data'!$A$6:$A$3830))),'Diags Raw Data'!$L$6:$L$3830,'Diags Raw Data'!$P$6:$P$3830)/J77)</f>
        <v>#DIV/0!</v>
      </c>
      <c r="M77" s="486" cm="1">
        <f t="array" ref="M77">SUMPRODUCT(--(ISNUMBER(SEARCH($A77,'Diags Raw Data'!$A$6:$A$3830))),--('Diags Raw Data'!$Q$6:$Q$3830&lt;&gt;"N/A"),'Diags Raw Data'!$R$6:$R$3830)</f>
        <v>2</v>
      </c>
      <c r="N77" s="487" cm="1">
        <f t="array" ref="N77">SUMPRODUCT(--(ISNUMBER(SEARCH($A77,'Diags Raw Data'!$A$6:$A$3830))),--('Diags Raw Data'!$Q$6:$Q$3830&lt;&gt;"N/A"),'Diags Raw Data'!$T$6:$T$3830)+SUMPRODUCT(--(ISNUMBER(SEARCH($A77,'Diags Raw Data'!$A$6:$A$3830))),--('Diags Raw Data'!$Q$6:$Q$3830&lt;&gt;"N/A"),'Diags Raw Data'!$U$6:$U$3830)</f>
        <v>0</v>
      </c>
      <c r="O77" s="488">
        <f t="shared" si="11"/>
        <v>0</v>
      </c>
      <c r="P77" s="489">
        <f>SUMIF('Diags Raw Data'!$A$6:$A$3830,"*"&amp;$A77&amp;"*",'Diags Raw Data'!$Z$6:$Z$3830)</f>
        <v>0</v>
      </c>
      <c r="Q77" s="490">
        <f>SUM(SUMIF('Diags Raw Data'!$A$6:$A$3830,"*"&amp;$A77&amp;"*",'Diags Raw Data'!$AA$6:$AA$3830),SUMIF('Diags Raw Data'!$A$6:$A$3830,"*"&amp;$A77&amp;"*",'Diags Raw Data'!$AB$6:$AB$3830))</f>
        <v>0</v>
      </c>
      <c r="R77" s="491">
        <f t="shared" si="8"/>
        <v>0</v>
      </c>
      <c r="S77" s="491">
        <f t="shared" si="9"/>
        <v>0</v>
      </c>
      <c r="T77" s="492">
        <f t="shared" si="10"/>
        <v>0</v>
      </c>
      <c r="U77" s="432" t="str">
        <f>VLOOKUP(A77,'Diags Raw Data'!$A$6:$AH$3830,33,FALSE)</f>
        <v>WK2</v>
      </c>
      <c r="V77" s="181"/>
    </row>
    <row r="78" spans="1:22" ht="45.75" thickBot="1" x14ac:dyDescent="0.3">
      <c r="A78" s="546">
        <v>12.132999999999999</v>
      </c>
      <c r="B78" s="434" t="str">
        <f>VLOOKUP(A78,'Feature Raw Data'!$A$3:$B$3922,2,FALSE)</f>
        <v xml:space="preserve">Removal of Clear State Context 0 and reclamation for rendering </v>
      </c>
      <c r="C78" s="435" t="str">
        <f>VLOOKUP(A78,'Feature Raw Data'!$A$3:$C$3922,3,FALSE)</f>
        <v>P1</v>
      </c>
      <c r="D78" s="436" t="str" cm="1">
        <f t="array" ref="D78">_xlfn.TEXTJOIN("",TRUE,IF(ISNUMBER(SEARCH($A78,'Diags Raw Data'!$A$6:$A$3830)),CONCATENATE('Diags Raw Data'!$H$6:$H$3830,", "),""))</f>
        <v xml:space="preserve">cpi410.0, </v>
      </c>
      <c r="E78" s="339" t="str">
        <f>VLOOKUP(A78,'Diags Raw Data'!$A$6:$D$3830,4,FALSE)</f>
        <v>CTL</v>
      </c>
      <c r="F78" s="339" t="str">
        <f>VLOOKUP(A78,'Feature Raw Data'!$A$3:$E$3922,5,FALSE)</f>
        <v>New</v>
      </c>
      <c r="G78" s="339" t="str">
        <f t="shared" si="6"/>
        <v>Yes</v>
      </c>
      <c r="H78" s="339" t="str">
        <f t="shared" si="7"/>
        <v>Yes</v>
      </c>
      <c r="I78" s="435">
        <f>SUMIF('Diags Raw Data'!$A$6:$A$3830,"*"&amp;$A78&amp;"*",'Diags Raw Data'!$K$6:$K$3830)</f>
        <v>0</v>
      </c>
      <c r="J78" s="437">
        <f>SUMIF('Diags Raw Data'!$A$6:$A$3830,"*"&amp;$A78&amp;"*",'Diags Raw Data'!$L$6:$L$3830)</f>
        <v>0</v>
      </c>
      <c r="K78" s="484" t="e" cm="1">
        <f t="array" ref="K78">IF(D78="",0, SUMPRODUCT(--(ISNUMBER(SEARCH($A78,'Diags Raw Data'!$A$6:$A$3830))),'Diags Raw Data'!$L$6:$L$3830,'Diags Raw Data'!$N$6:$N$3830)/J78)</f>
        <v>#DIV/0!</v>
      </c>
      <c r="L78" s="485" t="e" cm="1">
        <f t="array" ref="L78">IF(D78="",0, SUMPRODUCT(--(ISNUMBER(SEARCH($A78,'Diags Raw Data'!$A$6:$A$3830))),'Diags Raw Data'!$L$6:$L$3830,'Diags Raw Data'!$P$6:$P$3830)/J78)</f>
        <v>#DIV/0!</v>
      </c>
      <c r="M78" s="486" cm="1">
        <f t="array" ref="M78">SUMPRODUCT(--(ISNUMBER(SEARCH($A78,'Diags Raw Data'!$A$6:$A$3830))),--('Diags Raw Data'!$Q$6:$Q$3830&lt;&gt;"N/A"),'Diags Raw Data'!$R$6:$R$3830)</f>
        <v>1</v>
      </c>
      <c r="N78" s="487" cm="1">
        <f t="array" ref="N78">SUMPRODUCT(--(ISNUMBER(SEARCH($A78,'Diags Raw Data'!$A$6:$A$3830))),--('Diags Raw Data'!$Q$6:$Q$3830&lt;&gt;"N/A"),'Diags Raw Data'!$T$6:$T$3830)+SUMPRODUCT(--(ISNUMBER(SEARCH($A78,'Diags Raw Data'!$A$6:$A$3830))),--('Diags Raw Data'!$Q$6:$Q$3830&lt;&gt;"N/A"),'Diags Raw Data'!$U$6:$U$3830)</f>
        <v>0</v>
      </c>
      <c r="O78" s="488">
        <f t="shared" si="11"/>
        <v>0</v>
      </c>
      <c r="P78" s="489">
        <f>SUMIF('Diags Raw Data'!$A$6:$A$3830,"*"&amp;$A78&amp;"*",'Diags Raw Data'!$Z$6:$Z$3830)</f>
        <v>0</v>
      </c>
      <c r="Q78" s="490">
        <f>SUM(SUMIF('Diags Raw Data'!$A$6:$A$3830,"*"&amp;$A78&amp;"*",'Diags Raw Data'!$AA$6:$AA$3830),SUMIF('Diags Raw Data'!$A$6:$A$3830,"*"&amp;$A78&amp;"*",'Diags Raw Data'!$AB$6:$AB$3830))</f>
        <v>0</v>
      </c>
      <c r="R78" s="491">
        <f t="shared" si="8"/>
        <v>0</v>
      </c>
      <c r="S78" s="491">
        <f t="shared" si="9"/>
        <v>0</v>
      </c>
      <c r="T78" s="492">
        <f t="shared" si="10"/>
        <v>0</v>
      </c>
      <c r="U78" s="432" t="str">
        <f>VLOOKUP(A78,'Diags Raw Data'!$A$6:$AH$3830,33,FALSE)</f>
        <v>WK5</v>
      </c>
      <c r="V78" s="181"/>
    </row>
    <row r="79" spans="1:22" ht="15.75" thickBot="1" x14ac:dyDescent="0.3">
      <c r="A79" s="546">
        <v>12.134</v>
      </c>
      <c r="B79" s="434" t="str">
        <f>VLOOKUP(A79,'Feature Raw Data'!$A$3:$B$3922,2,FALSE)</f>
        <v xml:space="preserve">MES Handling Doorbell Misses </v>
      </c>
      <c r="C79" s="435" t="str">
        <f>VLOOKUP(A79,'Feature Raw Data'!$A$3:$C$3922,3,FALSE)</f>
        <v>P1</v>
      </c>
      <c r="D79" s="436" t="str" cm="1">
        <f t="array" ref="D79">_xlfn.TEXTJOIN("",TRUE,IF(ISNUMBER(SEARCH($A79,'Diags Raw Data'!$A$6:$A$3830)),CONCATENATE('Diags Raw Data'!$H$6:$H$3830,", "),""))</f>
        <v xml:space="preserve">placeholder_r.1, </v>
      </c>
      <c r="E79" s="339" t="str">
        <f>VLOOKUP(A79,'Diags Raw Data'!$A$6:$D$3830,4,FALSE)</f>
        <v>CTL</v>
      </c>
      <c r="F79" s="339" t="str">
        <f>VLOOKUP(A79,'Feature Raw Data'!$A$3:$E$3922,5,FALSE)</f>
        <v>New</v>
      </c>
      <c r="G79" s="339" t="str">
        <f t="shared" si="6"/>
        <v>Yes</v>
      </c>
      <c r="H79" s="339" t="str">
        <f t="shared" si="7"/>
        <v>Yes</v>
      </c>
      <c r="I79" s="435">
        <f>SUMIF('Diags Raw Data'!$A$6:$A$3830,"*"&amp;$A79&amp;"*",'Diags Raw Data'!$K$6:$K$3830)</f>
        <v>0</v>
      </c>
      <c r="J79" s="437">
        <f>SUMIF('Diags Raw Data'!$A$6:$A$3830,"*"&amp;$A79&amp;"*",'Diags Raw Data'!$L$6:$L$3830)</f>
        <v>0</v>
      </c>
      <c r="K79" s="484" t="e" cm="1">
        <f t="array" ref="K79">IF(D79="",0, SUMPRODUCT(--(ISNUMBER(SEARCH($A79,'Diags Raw Data'!$A$6:$A$3830))),'Diags Raw Data'!$L$6:$L$3830,'Diags Raw Data'!$N$6:$N$3830)/J79)</f>
        <v>#DIV/0!</v>
      </c>
      <c r="L79" s="485" t="e" cm="1">
        <f t="array" ref="L79">IF(D79="",0, SUMPRODUCT(--(ISNUMBER(SEARCH($A79,'Diags Raw Data'!$A$6:$A$3830))),'Diags Raw Data'!$L$6:$L$3830,'Diags Raw Data'!$P$6:$P$3830)/J79)</f>
        <v>#DIV/0!</v>
      </c>
      <c r="M79" s="486" cm="1">
        <f t="array" ref="M79">SUMPRODUCT(--(ISNUMBER(SEARCH($A79,'Diags Raw Data'!$A$6:$A$3830))),--('Diags Raw Data'!$Q$6:$Q$3830&lt;&gt;"N/A"),'Diags Raw Data'!$R$6:$R$3830)</f>
        <v>1</v>
      </c>
      <c r="N79" s="487" cm="1">
        <f t="array" ref="N79">SUMPRODUCT(--(ISNUMBER(SEARCH($A79,'Diags Raw Data'!$A$6:$A$3830))),--('Diags Raw Data'!$Q$6:$Q$3830&lt;&gt;"N/A"),'Diags Raw Data'!$T$6:$T$3830)+SUMPRODUCT(--(ISNUMBER(SEARCH($A79,'Diags Raw Data'!$A$6:$A$3830))),--('Diags Raw Data'!$Q$6:$Q$3830&lt;&gt;"N/A"),'Diags Raw Data'!$U$6:$U$3830)</f>
        <v>0</v>
      </c>
      <c r="O79" s="488">
        <f t="shared" si="11"/>
        <v>0</v>
      </c>
      <c r="P79" s="489">
        <f>SUMIF('Diags Raw Data'!$A$6:$A$3830,"*"&amp;$A79&amp;"*",'Diags Raw Data'!$Z$6:$Z$3830)</f>
        <v>0</v>
      </c>
      <c r="Q79" s="490">
        <f>SUM(SUMIF('Diags Raw Data'!$A$6:$A$3830,"*"&amp;$A79&amp;"*",'Diags Raw Data'!$AA$6:$AA$3830),SUMIF('Diags Raw Data'!$A$6:$A$3830,"*"&amp;$A79&amp;"*",'Diags Raw Data'!$AB$6:$AB$3830))</f>
        <v>0</v>
      </c>
      <c r="R79" s="491">
        <f t="shared" si="8"/>
        <v>0</v>
      </c>
      <c r="S79" s="491">
        <f t="shared" si="9"/>
        <v>0</v>
      </c>
      <c r="T79" s="492">
        <f t="shared" si="10"/>
        <v>0</v>
      </c>
      <c r="U79" s="432" t="str">
        <f>VLOOKUP(A79,'Diags Raw Data'!$A$6:$AH$3830,33,FALSE)</f>
        <v>WK5</v>
      </c>
      <c r="V79" s="181"/>
    </row>
    <row r="80" spans="1:22" ht="30.75" thickBot="1" x14ac:dyDescent="0.3">
      <c r="A80" s="546">
        <v>12.138999999999999</v>
      </c>
      <c r="B80" s="434" t="str">
        <f>VLOOKUP(A80,'Feature Raw Data'!$A$3:$B$3922,2,FALSE)</f>
        <v xml:space="preserve">Simplify software debugger register change process </v>
      </c>
      <c r="C80" s="435" t="str">
        <f>VLOOKUP(A80,'Feature Raw Data'!$A$3:$C$3922,3,FALSE)</f>
        <v>P1</v>
      </c>
      <c r="D80" s="436" t="str" cm="1">
        <f t="array" ref="D80">_xlfn.TEXTJOIN("",TRUE,IF(ISNUMBER(SEARCH($A80,'Diags Raw Data'!$A$6:$A$3830)),CONCATENATE('Diags Raw Data'!$H$6:$H$3830,", "),""))</f>
        <v xml:space="preserve">spi1390,spi1391, </v>
      </c>
      <c r="E80" s="339" t="str">
        <f>VLOOKUP(A80,'Diags Raw Data'!$A$6:$D$3830,4,FALSE)</f>
        <v>SIO</v>
      </c>
      <c r="F80" s="339" t="str">
        <f>VLOOKUP(A80,'Feature Raw Data'!$A$3:$E$3922,5,FALSE)</f>
        <v>New</v>
      </c>
      <c r="G80" s="339" t="str">
        <f t="shared" si="6"/>
        <v>Yes</v>
      </c>
      <c r="H80" s="339" t="str">
        <f t="shared" si="7"/>
        <v>Yes</v>
      </c>
      <c r="I80" s="435">
        <f>SUMIF('Diags Raw Data'!$A$6:$A$3830,"*"&amp;$A80&amp;"*",'Diags Raw Data'!$K$6:$K$3830)</f>
        <v>0</v>
      </c>
      <c r="J80" s="437">
        <f>SUMIF('Diags Raw Data'!$A$6:$A$3830,"*"&amp;$A80&amp;"*",'Diags Raw Data'!$L$6:$L$3830)</f>
        <v>0</v>
      </c>
      <c r="K80" s="484" t="e" cm="1">
        <f t="array" ref="K80">IF(D80="",0, SUMPRODUCT(--(ISNUMBER(SEARCH($A80,'Diags Raw Data'!$A$6:$A$3830))),'Diags Raw Data'!$L$6:$L$3830,'Diags Raw Data'!$N$6:$N$3830)/J80)</f>
        <v>#DIV/0!</v>
      </c>
      <c r="L80" s="485" t="e" cm="1">
        <f t="array" ref="L80">IF(D80="",0, SUMPRODUCT(--(ISNUMBER(SEARCH($A80,'Diags Raw Data'!$A$6:$A$3830))),'Diags Raw Data'!$L$6:$L$3830,'Diags Raw Data'!$P$6:$P$3830)/J80)</f>
        <v>#DIV/0!</v>
      </c>
      <c r="M80" s="486" cm="1">
        <f t="array" ref="M80">SUMPRODUCT(--(ISNUMBER(SEARCH($A80,'Diags Raw Data'!$A$6:$A$3830))),--('Diags Raw Data'!$Q$6:$Q$3830&lt;&gt;"N/A"),'Diags Raw Data'!$R$6:$R$3830)</f>
        <v>2</v>
      </c>
      <c r="N80" s="487" cm="1">
        <f t="array" ref="N80">SUMPRODUCT(--(ISNUMBER(SEARCH($A80,'Diags Raw Data'!$A$6:$A$3830))),--('Diags Raw Data'!$Q$6:$Q$3830&lt;&gt;"N/A"),'Diags Raw Data'!$T$6:$T$3830)+SUMPRODUCT(--(ISNUMBER(SEARCH($A80,'Diags Raw Data'!$A$6:$A$3830))),--('Diags Raw Data'!$Q$6:$Q$3830&lt;&gt;"N/A"),'Diags Raw Data'!$U$6:$U$3830)</f>
        <v>2</v>
      </c>
      <c r="O80" s="488">
        <f t="shared" si="11"/>
        <v>1</v>
      </c>
      <c r="P80" s="489">
        <f>SUMIF('Diags Raw Data'!$A$6:$A$3830,"*"&amp;$A80&amp;"*",'Diags Raw Data'!$Z$6:$Z$3830)</f>
        <v>0</v>
      </c>
      <c r="Q80" s="490">
        <f>SUM(SUMIF('Diags Raw Data'!$A$6:$A$3830,"*"&amp;$A80&amp;"*",'Diags Raw Data'!$AA$6:$AA$3830),SUMIF('Diags Raw Data'!$A$6:$A$3830,"*"&amp;$A80&amp;"*",'Diags Raw Data'!$AB$6:$AB$3830))</f>
        <v>0</v>
      </c>
      <c r="R80" s="491">
        <f t="shared" si="8"/>
        <v>0</v>
      </c>
      <c r="S80" s="491">
        <f t="shared" si="9"/>
        <v>0</v>
      </c>
      <c r="T80" s="492">
        <f t="shared" si="10"/>
        <v>0</v>
      </c>
      <c r="U80" s="432" t="str">
        <f>VLOOKUP(A80,'Diags Raw Data'!$A$6:$AH$3830,33,FALSE)</f>
        <v>WK4</v>
      </c>
      <c r="V80" s="181"/>
    </row>
    <row r="81" spans="1:22" ht="105.75" thickBot="1" x14ac:dyDescent="0.3">
      <c r="A81" s="546">
        <v>12.141999999999999</v>
      </c>
      <c r="B81" s="434" t="str">
        <f>VLOOKUP(A81,'Feature Raw Data'!$A$3:$B$3922,2,FALSE)</f>
        <v xml:space="preserve">Double shader DOT Int4 and Int8 rates </v>
      </c>
      <c r="C81" s="435" t="str">
        <f>VLOOKUP(A81,'Feature Raw Data'!$A$3:$C$3922,3,FALSE)</f>
        <v>P1</v>
      </c>
      <c r="D81" s="436" t="str" cm="1">
        <f t="array" ref="D81">_xlfn.TEXTJOIN("",TRUE,IF(ISNUMBER(SEARCH($A81,'Diags Raw Data'!$A$6:$A$3830)),CONCATENATE('Diags Raw Data'!$H$6:$H$3830,", "),""))</f>
        <v xml:space="preserve">gfx.inst_perf/v_dot4_i32_iu8,gfx.inst_perf/v_dot4_u32_u8,gfx.inst_perf/v_dot8_i32_iu4,gfx.inst_perf/v_dot8_u32_u4,gfx.inst_perf/v_wmma_i32_16x16x16_iu4,gfx.inst_perf/v_wmma_i32_16x16x32_iu4,gfx.inst_perf/v_wmma_i32_16x16x16_iu8, </v>
      </c>
      <c r="E81" s="339" t="str">
        <f>VLOOKUP(A81,'Diags Raw Data'!$A$6:$D$3830,4,FALSE)</f>
        <v>SH</v>
      </c>
      <c r="F81" s="339" t="str">
        <f>VLOOKUP(A81,'Feature Raw Data'!$A$3:$E$3922,5,FALSE)</f>
        <v>Delta</v>
      </c>
      <c r="G81" s="339" t="str">
        <f t="shared" si="6"/>
        <v>Yes</v>
      </c>
      <c r="H81" s="339" t="str">
        <f t="shared" si="7"/>
        <v>Yes</v>
      </c>
      <c r="I81" s="435">
        <f>SUMIF('Diags Raw Data'!$A$6:$A$3830,"*"&amp;$A81&amp;"*",'Diags Raw Data'!$K$6:$K$3830)</f>
        <v>0</v>
      </c>
      <c r="J81" s="437">
        <f>SUMIF('Diags Raw Data'!$A$6:$A$3830,"*"&amp;$A81&amp;"*",'Diags Raw Data'!$L$6:$L$3830)</f>
        <v>0</v>
      </c>
      <c r="K81" s="484" t="e" cm="1">
        <f t="array" ref="K81">IF(D81="",0, SUMPRODUCT(--(ISNUMBER(SEARCH($A81,'Diags Raw Data'!$A$6:$A$3830))),'Diags Raw Data'!$L$6:$L$3830,'Diags Raw Data'!$N$6:$N$3830)/J81)</f>
        <v>#DIV/0!</v>
      </c>
      <c r="L81" s="485" t="e" cm="1">
        <f t="array" ref="L81">IF(D81="",0, SUMPRODUCT(--(ISNUMBER(SEARCH($A81,'Diags Raw Data'!$A$6:$A$3830))),'Diags Raw Data'!$L$6:$L$3830,'Diags Raw Data'!$P$6:$P$3830)/J81)</f>
        <v>#DIV/0!</v>
      </c>
      <c r="M81" s="486" cm="1">
        <f t="array" ref="M81">SUMPRODUCT(--(ISNUMBER(SEARCH($A81,'Diags Raw Data'!$A$6:$A$3830))),--('Diags Raw Data'!$Q$6:$Q$3830&lt;&gt;"N/A"),'Diags Raw Data'!$R$6:$R$3830)</f>
        <v>7</v>
      </c>
      <c r="N81" s="487" cm="1">
        <f t="array" ref="N81">SUMPRODUCT(--(ISNUMBER(SEARCH($A81,'Diags Raw Data'!$A$6:$A$3830))),--('Diags Raw Data'!$Q$6:$Q$3830&lt;&gt;"N/A"),'Diags Raw Data'!$T$6:$T$3830)+SUMPRODUCT(--(ISNUMBER(SEARCH($A81,'Diags Raw Data'!$A$6:$A$3830))),--('Diags Raw Data'!$Q$6:$Q$3830&lt;&gt;"N/A"),'Diags Raw Data'!$U$6:$U$3830)</f>
        <v>7</v>
      </c>
      <c r="O81" s="488">
        <f t="shared" si="11"/>
        <v>1</v>
      </c>
      <c r="P81" s="489">
        <f>SUMIF('Diags Raw Data'!$A$6:$A$3830,"*"&amp;$A81&amp;"*",'Diags Raw Data'!$Z$6:$Z$3830)</f>
        <v>0</v>
      </c>
      <c r="Q81" s="490">
        <f>SUM(SUMIF('Diags Raw Data'!$A$6:$A$3830,"*"&amp;$A81&amp;"*",'Diags Raw Data'!$AA$6:$AA$3830),SUMIF('Diags Raw Data'!$A$6:$A$3830,"*"&amp;$A81&amp;"*",'Diags Raw Data'!$AB$6:$AB$3830))</f>
        <v>0</v>
      </c>
      <c r="R81" s="491">
        <f t="shared" si="8"/>
        <v>0</v>
      </c>
      <c r="S81" s="491">
        <f t="shared" si="9"/>
        <v>0</v>
      </c>
      <c r="T81" s="492">
        <f t="shared" si="10"/>
        <v>0</v>
      </c>
      <c r="U81" s="432" t="str">
        <f>VLOOKUP(A81,'Diags Raw Data'!$A$6:$AH$3830,33,FALSE)</f>
        <v>WK1</v>
      </c>
      <c r="V81" s="181"/>
    </row>
    <row r="82" spans="1:22" ht="30.75" thickBot="1" x14ac:dyDescent="0.3">
      <c r="A82" s="546">
        <v>12.143000000000001</v>
      </c>
      <c r="B82" s="434" t="str">
        <f>VLOOKUP(A82,'Feature Raw Data'!$A$3:$B$3922,2,FALSE)</f>
        <v xml:space="preserve">Remove SA Affinity for Pixel Shaders </v>
      </c>
      <c r="C82" s="435" t="str">
        <f>VLOOKUP(A82,'Feature Raw Data'!$A$3:$C$3922,3,FALSE)</f>
        <v>P1</v>
      </c>
      <c r="D82" s="436" t="str" cm="1">
        <f t="array" ref="D82">_xlfn.TEXTJOIN("",TRUE,IF(ISNUMBER(SEARCH($A82,'Diags Raw Data'!$A$6:$A$3830)),CONCATENATE('Diags Raw Data'!$H$6:$H$3830,", "),""))</f>
        <v/>
      </c>
      <c r="E82" s="339" t="e">
        <f>VLOOKUP(A82,'Diags Raw Data'!$A$6:$D$3830,4,FALSE)</f>
        <v>#N/A</v>
      </c>
      <c r="F82" s="339" t="str">
        <f>VLOOKUP(A82,'Feature Raw Data'!$A$3:$E$3922,5,FALSE)</f>
        <v>New</v>
      </c>
      <c r="G82" s="339" t="str">
        <f t="shared" si="6"/>
        <v>Yes</v>
      </c>
      <c r="H82" s="339" t="str">
        <f t="shared" si="7"/>
        <v>Yes</v>
      </c>
      <c r="I82" s="435">
        <f>SUMIF('Diags Raw Data'!$A$6:$A$3830,"*"&amp;$A82&amp;"*",'Diags Raw Data'!$K$6:$K$3830)</f>
        <v>0</v>
      </c>
      <c r="J82" s="437">
        <f>SUMIF('Diags Raw Data'!$A$6:$A$3830,"*"&amp;$A82&amp;"*",'Diags Raw Data'!$L$6:$L$3830)</f>
        <v>0</v>
      </c>
      <c r="K82" s="484" cm="1">
        <f t="array" ref="K82">IF(D82="",0, SUMPRODUCT(--(ISNUMBER(SEARCH($A82,'Diags Raw Data'!$A$6:$A$3830))),'Diags Raw Data'!$L$6:$L$3830,'Diags Raw Data'!$N$6:$N$3830)/J82)</f>
        <v>0</v>
      </c>
      <c r="L82" s="485" cm="1">
        <f t="array" ref="L82">IF(D82="",0, SUMPRODUCT(--(ISNUMBER(SEARCH($A82,'Diags Raw Data'!$A$6:$A$3830))),'Diags Raw Data'!$L$6:$L$3830,'Diags Raw Data'!$P$6:$P$3830)/J82)</f>
        <v>0</v>
      </c>
      <c r="M82" s="486" cm="1">
        <f t="array" ref="M82">SUMPRODUCT(--(ISNUMBER(SEARCH($A82,'Diags Raw Data'!$A$6:$A$3830))),--('Diags Raw Data'!$Q$6:$Q$3830&lt;&gt;"N/A"),'Diags Raw Data'!$R$6:$R$3830)</f>
        <v>0</v>
      </c>
      <c r="N82" s="487" cm="1">
        <f t="array" ref="N82">SUMPRODUCT(--(ISNUMBER(SEARCH($A82,'Diags Raw Data'!$A$6:$A$3830))),--('Diags Raw Data'!$Q$6:$Q$3830&lt;&gt;"N/A"),'Diags Raw Data'!$T$6:$T$3830)+SUMPRODUCT(--(ISNUMBER(SEARCH($A82,'Diags Raw Data'!$A$6:$A$3830))),--('Diags Raw Data'!$Q$6:$Q$3830&lt;&gt;"N/A"),'Diags Raw Data'!$U$6:$U$3830)</f>
        <v>0</v>
      </c>
      <c r="O82" s="488">
        <f t="shared" si="11"/>
        <v>0</v>
      </c>
      <c r="P82" s="489">
        <f>SUMIF('Diags Raw Data'!$A$6:$A$3830,"*"&amp;$A82&amp;"*",'Diags Raw Data'!$Z$6:$Z$3830)</f>
        <v>0</v>
      </c>
      <c r="Q82" s="490">
        <f>SUM(SUMIF('Diags Raw Data'!$A$6:$A$3830,"*"&amp;$A82&amp;"*",'Diags Raw Data'!$AA$6:$AA$3830),SUMIF('Diags Raw Data'!$A$6:$A$3830,"*"&amp;$A82&amp;"*",'Diags Raw Data'!$AB$6:$AB$3830))</f>
        <v>0</v>
      </c>
      <c r="R82" s="491">
        <f t="shared" si="8"/>
        <v>0</v>
      </c>
      <c r="S82" s="491">
        <f t="shared" si="9"/>
        <v>0</v>
      </c>
      <c r="T82" s="492">
        <f t="shared" si="10"/>
        <v>0</v>
      </c>
      <c r="U82" s="432" t="e">
        <f>VLOOKUP(A82,'Diags Raw Data'!$A$6:$AH$3830,33,FALSE)</f>
        <v>#N/A</v>
      </c>
      <c r="V82" s="552" t="s">
        <v>382</v>
      </c>
    </row>
    <row r="83" spans="1:22" ht="15.75" thickBot="1" x14ac:dyDescent="0.3">
      <c r="A83" s="546">
        <v>12.146000000000001</v>
      </c>
      <c r="B83" s="434" t="str">
        <f>VLOOKUP(A83,'Feature Raw Data'!$A$3:$B$3922,2,FALSE)</f>
        <v xml:space="preserve">RS64 L0 Instr Cache </v>
      </c>
      <c r="C83" s="435" t="str">
        <f>VLOOKUP(A83,'Feature Raw Data'!$A$3:$C$3922,3,FALSE)</f>
        <v>P1</v>
      </c>
      <c r="D83" s="436" t="str" cm="1">
        <f t="array" ref="D83">_xlfn.TEXTJOIN("",TRUE,IF(ISNUMBER(SEARCH($A83,'Diags Raw Data'!$A$6:$A$3830)),CONCATENATE('Diags Raw Data'!$H$6:$H$3830,", "),""))</f>
        <v xml:space="preserve">std1.1,gci30.4, </v>
      </c>
      <c r="E83" s="339" t="str">
        <f>VLOOKUP(A83,'Diags Raw Data'!$A$6:$D$3830,4,FALSE)</f>
        <v>CTL</v>
      </c>
      <c r="F83" s="339" t="str">
        <f>VLOOKUP(A83,'Feature Raw Data'!$A$3:$E$3922,5,FALSE)</f>
        <v>New</v>
      </c>
      <c r="G83" s="339" t="str">
        <f t="shared" si="6"/>
        <v>Yes</v>
      </c>
      <c r="H83" s="339" t="str">
        <f t="shared" si="7"/>
        <v>Yes</v>
      </c>
      <c r="I83" s="435">
        <f>SUMIF('Diags Raw Data'!$A$6:$A$3830,"*"&amp;$A83&amp;"*",'Diags Raw Data'!$K$6:$K$3830)</f>
        <v>0</v>
      </c>
      <c r="J83" s="437">
        <f>SUMIF('Diags Raw Data'!$A$6:$A$3830,"*"&amp;$A83&amp;"*",'Diags Raw Data'!$L$6:$L$3830)</f>
        <v>0</v>
      </c>
      <c r="K83" s="484" t="e" cm="1">
        <f t="array" ref="K83">IF(D83="",0, SUMPRODUCT(--(ISNUMBER(SEARCH($A83,'Diags Raw Data'!$A$6:$A$3830))),'Diags Raw Data'!$L$6:$L$3830,'Diags Raw Data'!$N$6:$N$3830)/J83)</f>
        <v>#DIV/0!</v>
      </c>
      <c r="L83" s="485" t="e" cm="1">
        <f t="array" ref="L83">IF(D83="",0, SUMPRODUCT(--(ISNUMBER(SEARCH($A83,'Diags Raw Data'!$A$6:$A$3830))),'Diags Raw Data'!$L$6:$L$3830,'Diags Raw Data'!$P$6:$P$3830)/J83)</f>
        <v>#DIV/0!</v>
      </c>
      <c r="M83" s="486" cm="1">
        <f t="array" ref="M83">SUMPRODUCT(--(ISNUMBER(SEARCH($A83,'Diags Raw Data'!$A$6:$A$3830))),--('Diags Raw Data'!$Q$6:$Q$3830&lt;&gt;"N/A"),'Diags Raw Data'!$R$6:$R$3830)</f>
        <v>2</v>
      </c>
      <c r="N83" s="487" cm="1">
        <f t="array" ref="N83">SUMPRODUCT(--(ISNUMBER(SEARCH($A83,'Diags Raw Data'!$A$6:$A$3830))),--('Diags Raw Data'!$Q$6:$Q$3830&lt;&gt;"N/A"),'Diags Raw Data'!$T$6:$T$3830)+SUMPRODUCT(--(ISNUMBER(SEARCH($A83,'Diags Raw Data'!$A$6:$A$3830))),--('Diags Raw Data'!$Q$6:$Q$3830&lt;&gt;"N/A"),'Diags Raw Data'!$U$6:$U$3830)</f>
        <v>1</v>
      </c>
      <c r="O83" s="488">
        <f t="shared" si="11"/>
        <v>0.5</v>
      </c>
      <c r="P83" s="489">
        <f>SUMIF('Diags Raw Data'!$A$6:$A$3830,"*"&amp;$A83&amp;"*",'Diags Raw Data'!$Z$6:$Z$3830)</f>
        <v>0</v>
      </c>
      <c r="Q83" s="490">
        <f>SUM(SUMIF('Diags Raw Data'!$A$6:$A$3830,"*"&amp;$A83&amp;"*",'Diags Raw Data'!$AA$6:$AA$3830),SUMIF('Diags Raw Data'!$A$6:$A$3830,"*"&amp;$A83&amp;"*",'Diags Raw Data'!$AB$6:$AB$3830))</f>
        <v>0</v>
      </c>
      <c r="R83" s="491">
        <f t="shared" si="8"/>
        <v>0</v>
      </c>
      <c r="S83" s="491">
        <f t="shared" si="9"/>
        <v>0</v>
      </c>
      <c r="T83" s="492">
        <f t="shared" si="10"/>
        <v>0</v>
      </c>
      <c r="U83" s="432" t="str">
        <f>VLOOKUP(A83,'Diags Raw Data'!$A$6:$AH$3830,33,FALSE)</f>
        <v>WK5</v>
      </c>
      <c r="V83" s="181"/>
    </row>
    <row r="84" spans="1:22" ht="15.75" thickBot="1" x14ac:dyDescent="0.3">
      <c r="A84" s="546">
        <v>12.148</v>
      </c>
      <c r="B84" s="434" t="str">
        <f>VLOOKUP(A84,'Feature Raw Data'!$A$3:$B$3922,2,FALSE)</f>
        <v xml:space="preserve">RS64 L0 Data Cache </v>
      </c>
      <c r="C84" s="435" t="str">
        <f>VLOOKUP(A84,'Feature Raw Data'!$A$3:$C$3922,3,FALSE)</f>
        <v>P1</v>
      </c>
      <c r="D84" s="436" t="str" cm="1">
        <f t="array" ref="D84">_xlfn.TEXTJOIN("",TRUE,IF(ISNUMBER(SEARCH($A84,'Diags Raw Data'!$A$6:$A$3830)),CONCATENATE('Diags Raw Data'!$H$6:$H$3830,", "),""))</f>
        <v xml:space="preserve">std1.1,gci30.4, </v>
      </c>
      <c r="E84" s="339" t="str">
        <f>VLOOKUP(A84,'Diags Raw Data'!$A$6:$D$3830,4,FALSE)</f>
        <v>CTL</v>
      </c>
      <c r="F84" s="339" t="str">
        <f>VLOOKUP(A84,'Feature Raw Data'!$A$3:$E$3922,5,FALSE)</f>
        <v>New</v>
      </c>
      <c r="G84" s="339" t="str">
        <f t="shared" si="6"/>
        <v>Yes</v>
      </c>
      <c r="H84" s="339" t="str">
        <f t="shared" si="7"/>
        <v>Yes</v>
      </c>
      <c r="I84" s="435">
        <f>SUMIF('Diags Raw Data'!$A$6:$A$3830,"*"&amp;$A84&amp;"*",'Diags Raw Data'!$K$6:$K$3830)</f>
        <v>0</v>
      </c>
      <c r="J84" s="437">
        <f>SUMIF('Diags Raw Data'!$A$6:$A$3830,"*"&amp;$A84&amp;"*",'Diags Raw Data'!$L$6:$L$3830)</f>
        <v>0</v>
      </c>
      <c r="K84" s="484" t="e" cm="1">
        <f t="array" ref="K84">IF(D84="",0, SUMPRODUCT(--(ISNUMBER(SEARCH($A84,'Diags Raw Data'!$A$6:$A$3830))),'Diags Raw Data'!$L$6:$L$3830,'Diags Raw Data'!$N$6:$N$3830)/J84)</f>
        <v>#DIV/0!</v>
      </c>
      <c r="L84" s="485" t="e" cm="1">
        <f t="array" ref="L84">IF(D84="",0, SUMPRODUCT(--(ISNUMBER(SEARCH($A84,'Diags Raw Data'!$A$6:$A$3830))),'Diags Raw Data'!$L$6:$L$3830,'Diags Raw Data'!$P$6:$P$3830)/J84)</f>
        <v>#DIV/0!</v>
      </c>
      <c r="M84" s="486" cm="1">
        <f t="array" ref="M84">SUMPRODUCT(--(ISNUMBER(SEARCH($A84,'Diags Raw Data'!$A$6:$A$3830))),--('Diags Raw Data'!$Q$6:$Q$3830&lt;&gt;"N/A"),'Diags Raw Data'!$R$6:$R$3830)</f>
        <v>2</v>
      </c>
      <c r="N84" s="487" cm="1">
        <f t="array" ref="N84">SUMPRODUCT(--(ISNUMBER(SEARCH($A84,'Diags Raw Data'!$A$6:$A$3830))),--('Diags Raw Data'!$Q$6:$Q$3830&lt;&gt;"N/A"),'Diags Raw Data'!$T$6:$T$3830)+SUMPRODUCT(--(ISNUMBER(SEARCH($A84,'Diags Raw Data'!$A$6:$A$3830))),--('Diags Raw Data'!$Q$6:$Q$3830&lt;&gt;"N/A"),'Diags Raw Data'!$U$6:$U$3830)</f>
        <v>1</v>
      </c>
      <c r="O84" s="488">
        <f t="shared" si="11"/>
        <v>0.5</v>
      </c>
      <c r="P84" s="489">
        <f>SUMIF('Diags Raw Data'!$A$6:$A$3830,"*"&amp;$A84&amp;"*",'Diags Raw Data'!$Z$6:$Z$3830)</f>
        <v>0</v>
      </c>
      <c r="Q84" s="490">
        <f>SUM(SUMIF('Diags Raw Data'!$A$6:$A$3830,"*"&amp;$A84&amp;"*",'Diags Raw Data'!$AA$6:$AA$3830),SUMIF('Diags Raw Data'!$A$6:$A$3830,"*"&amp;$A84&amp;"*",'Diags Raw Data'!$AB$6:$AB$3830))</f>
        <v>0</v>
      </c>
      <c r="R84" s="491">
        <f t="shared" si="8"/>
        <v>0</v>
      </c>
      <c r="S84" s="491">
        <f t="shared" si="9"/>
        <v>0</v>
      </c>
      <c r="T84" s="492">
        <f t="shared" si="10"/>
        <v>0</v>
      </c>
      <c r="U84" s="432" t="str">
        <f>VLOOKUP(A84,'Diags Raw Data'!$A$6:$AH$3830,33,FALSE)</f>
        <v>WK5</v>
      </c>
      <c r="V84" s="181"/>
    </row>
    <row r="85" spans="1:22" ht="30.75" thickBot="1" x14ac:dyDescent="0.3">
      <c r="A85" s="546">
        <v>12.15</v>
      </c>
      <c r="B85" s="434" t="str">
        <f>VLOOKUP(A85,'Feature Raw Data'!$A$3:$B$3922,2,FALSE)</f>
        <v xml:space="preserve">RS64 Bit Manip Instructions </v>
      </c>
      <c r="C85" s="435" t="str">
        <f>VLOOKUP(A85,'Feature Raw Data'!$A$3:$C$3922,3,FALSE)</f>
        <v>P1</v>
      </c>
      <c r="D85" s="436" t="str" cm="1">
        <f t="array" ref="D85">_xlfn.TEXTJOIN("",TRUE,IF(ISNUMBER(SEARCH($A85,'Diags Raw Data'!$A$6:$A$3830)),CONCATENATE('Diags Raw Data'!$H$6:$H$3830,", "),""))</f>
        <v xml:space="preserve">gci3.12, gfx.inst_perf/v_s_.1-10, shci2038.0-3,shci2038.104, </v>
      </c>
      <c r="E85" s="339" t="str">
        <f>VLOOKUP(A85,'Diags Raw Data'!$A$6:$D$3830,4,FALSE)</f>
        <v>CTL</v>
      </c>
      <c r="F85" s="339" t="str">
        <f>VLOOKUP(A85,'Feature Raw Data'!$A$3:$E$3922,5,FALSE)</f>
        <v>New</v>
      </c>
      <c r="G85" s="339" t="str">
        <f t="shared" si="6"/>
        <v>Yes</v>
      </c>
      <c r="H85" s="339" t="str">
        <f t="shared" si="7"/>
        <v>Yes</v>
      </c>
      <c r="I85" s="435">
        <f>SUMIF('Diags Raw Data'!$A$6:$A$3830,"*"&amp;$A85&amp;"*",'Diags Raw Data'!$K$6:$K$3830)</f>
        <v>0</v>
      </c>
      <c r="J85" s="437">
        <f>SUMIF('Diags Raw Data'!$A$6:$A$3830,"*"&amp;$A85&amp;"*",'Diags Raw Data'!$L$6:$L$3830)</f>
        <v>0</v>
      </c>
      <c r="K85" s="484" t="e" cm="1">
        <f t="array" ref="K85">IF(D85="",0, SUMPRODUCT(--(ISNUMBER(SEARCH($A85,'Diags Raw Data'!$A$6:$A$3830))),'Diags Raw Data'!$L$6:$L$3830,'Diags Raw Data'!$N$6:$N$3830)/J85)</f>
        <v>#DIV/0!</v>
      </c>
      <c r="L85" s="485" t="e" cm="1">
        <f t="array" ref="L85">IF(D85="",0, SUMPRODUCT(--(ISNUMBER(SEARCH($A85,'Diags Raw Data'!$A$6:$A$3830))),'Diags Raw Data'!$L$6:$L$3830,'Diags Raw Data'!$P$6:$P$3830)/J85)</f>
        <v>#DIV/0!</v>
      </c>
      <c r="M85" s="486" cm="1">
        <f t="array" ref="M85">SUMPRODUCT(--(ISNUMBER(SEARCH($A85,'Diags Raw Data'!$A$6:$A$3830))),--('Diags Raw Data'!$Q$6:$Q$3830&lt;&gt;"N/A"),'Diags Raw Data'!$R$6:$R$3830)</f>
        <v>16</v>
      </c>
      <c r="N85" s="487" cm="1">
        <f t="array" ref="N85">SUMPRODUCT(--(ISNUMBER(SEARCH($A85,'Diags Raw Data'!$A$6:$A$3830))),--('Diags Raw Data'!$Q$6:$Q$3830&lt;&gt;"N/A"),'Diags Raw Data'!$T$6:$T$3830)+SUMPRODUCT(--(ISNUMBER(SEARCH($A85,'Diags Raw Data'!$A$6:$A$3830))),--('Diags Raw Data'!$Q$6:$Q$3830&lt;&gt;"N/A"),'Diags Raw Data'!$U$6:$U$3830)</f>
        <v>16</v>
      </c>
      <c r="O85" s="488">
        <f t="shared" si="11"/>
        <v>1</v>
      </c>
      <c r="P85" s="489">
        <f>SUMIF('Diags Raw Data'!$A$6:$A$3830,"*"&amp;$A85&amp;"*",'Diags Raw Data'!$Z$6:$Z$3830)</f>
        <v>0</v>
      </c>
      <c r="Q85" s="490">
        <f>SUM(SUMIF('Diags Raw Data'!$A$6:$A$3830,"*"&amp;$A85&amp;"*",'Diags Raw Data'!$AA$6:$AA$3830),SUMIF('Diags Raw Data'!$A$6:$A$3830,"*"&amp;$A85&amp;"*",'Diags Raw Data'!$AB$6:$AB$3830))</f>
        <v>0</v>
      </c>
      <c r="R85" s="491">
        <f t="shared" si="8"/>
        <v>0</v>
      </c>
      <c r="S85" s="491">
        <f t="shared" si="9"/>
        <v>0</v>
      </c>
      <c r="T85" s="492">
        <f t="shared" si="10"/>
        <v>0</v>
      </c>
      <c r="U85" s="432" t="str">
        <f>VLOOKUP(A85,'Diags Raw Data'!$A$6:$AH$3830,33,FALSE)</f>
        <v>WK5</v>
      </c>
      <c r="V85" s="181"/>
    </row>
    <row r="86" spans="1:22" ht="15.75" thickBot="1" x14ac:dyDescent="0.3">
      <c r="A86" s="546">
        <v>12.151999999999999</v>
      </c>
      <c r="B86" s="434" t="str">
        <f>VLOOKUP(A86,'Feature Raw Data'!$A$3:$B$3922,2,FALSE)</f>
        <v>RS64 Dynamic TMR Loading</v>
      </c>
      <c r="C86" s="435" t="str">
        <f>VLOOKUP(A86,'Feature Raw Data'!$A$3:$C$3922,3,FALSE)</f>
        <v>P1</v>
      </c>
      <c r="D86" s="436" t="str" cm="1">
        <f t="array" ref="D86">_xlfn.TEXTJOIN("",TRUE,IF(ISNUMBER(SEARCH($A86,'Diags Raw Data'!$A$6:$A$3830)),CONCATENATE('Diags Raw Data'!$H$6:$H$3830,", "),""))</f>
        <v/>
      </c>
      <c r="E86" s="339" t="e">
        <f>VLOOKUP(A86,'Diags Raw Data'!$A$6:$D$3830,4,FALSE)</f>
        <v>#N/A</v>
      </c>
      <c r="F86" s="339" t="str">
        <f>VLOOKUP(A86,'Feature Raw Data'!$A$3:$E$3922,5,FALSE)</f>
        <v>New</v>
      </c>
      <c r="G86" s="339" t="str">
        <f t="shared" si="6"/>
        <v>Yes</v>
      </c>
      <c r="H86" s="339" t="str">
        <f t="shared" si="7"/>
        <v>Yes</v>
      </c>
      <c r="I86" s="435">
        <f>SUMIF('Diags Raw Data'!$A$6:$A$3830,"*"&amp;$A86&amp;"*",'Diags Raw Data'!$K$6:$K$3830)</f>
        <v>0</v>
      </c>
      <c r="J86" s="437">
        <f>SUMIF('Diags Raw Data'!$A$6:$A$3830,"*"&amp;$A86&amp;"*",'Diags Raw Data'!$L$6:$L$3830)</f>
        <v>0</v>
      </c>
      <c r="K86" s="484" cm="1">
        <f t="array" ref="K86">IF(D86="",0, SUMPRODUCT(--(ISNUMBER(SEARCH($A86,'Diags Raw Data'!$A$6:$A$3830))),'Diags Raw Data'!$L$6:$L$3830,'Diags Raw Data'!$N$6:$N$3830)/J86)</f>
        <v>0</v>
      </c>
      <c r="L86" s="485" cm="1">
        <f t="array" ref="L86">IF(D86="",0, SUMPRODUCT(--(ISNUMBER(SEARCH($A86,'Diags Raw Data'!$A$6:$A$3830))),'Diags Raw Data'!$L$6:$L$3830,'Diags Raw Data'!$P$6:$P$3830)/J86)</f>
        <v>0</v>
      </c>
      <c r="M86" s="486" cm="1">
        <f t="array" ref="M86">SUMPRODUCT(--(ISNUMBER(SEARCH($A86,'Diags Raw Data'!$A$6:$A$3830))),--('Diags Raw Data'!$Q$6:$Q$3830&lt;&gt;"N/A"),'Diags Raw Data'!$R$6:$R$3830)</f>
        <v>0</v>
      </c>
      <c r="N86" s="487" cm="1">
        <f t="array" ref="N86">SUMPRODUCT(--(ISNUMBER(SEARCH($A86,'Diags Raw Data'!$A$6:$A$3830))),--('Diags Raw Data'!$Q$6:$Q$3830&lt;&gt;"N/A"),'Diags Raw Data'!$T$6:$T$3830)+SUMPRODUCT(--(ISNUMBER(SEARCH($A86,'Diags Raw Data'!$A$6:$A$3830))),--('Diags Raw Data'!$Q$6:$Q$3830&lt;&gt;"N/A"),'Diags Raw Data'!$U$6:$U$3830)</f>
        <v>0</v>
      </c>
      <c r="O86" s="488">
        <f t="shared" si="11"/>
        <v>0</v>
      </c>
      <c r="P86" s="489">
        <f>SUMIF('Diags Raw Data'!$A$6:$A$3830,"*"&amp;$A86&amp;"*",'Diags Raw Data'!$Z$6:$Z$3830)</f>
        <v>0</v>
      </c>
      <c r="Q86" s="490">
        <f>SUM(SUMIF('Diags Raw Data'!$A$6:$A$3830,"*"&amp;$A86&amp;"*",'Diags Raw Data'!$AA$6:$AA$3830),SUMIF('Diags Raw Data'!$A$6:$A$3830,"*"&amp;$A86&amp;"*",'Diags Raw Data'!$AB$6:$AB$3830))</f>
        <v>0</v>
      </c>
      <c r="R86" s="491">
        <f t="shared" si="8"/>
        <v>0</v>
      </c>
      <c r="S86" s="491">
        <f t="shared" si="9"/>
        <v>0</v>
      </c>
      <c r="T86" s="492">
        <f t="shared" si="10"/>
        <v>0</v>
      </c>
      <c r="U86" s="432" t="e">
        <f>VLOOKUP(A86,'Diags Raw Data'!$A$6:$AH$3830,33,FALSE)</f>
        <v>#N/A</v>
      </c>
      <c r="V86" s="181"/>
    </row>
    <row r="87" spans="1:22" ht="30.75" thickBot="1" x14ac:dyDescent="0.3">
      <c r="A87" s="546">
        <v>12.157</v>
      </c>
      <c r="B87" s="434" t="str">
        <f>VLOOKUP(A87,'Feature Raw Data'!$A$3:$B$3922,2,FALSE)</f>
        <v>Shader pseudo-scalar trans ops (M2 item)</v>
      </c>
      <c r="C87" s="435" t="str">
        <f>VLOOKUP(A87,'Feature Raw Data'!$A$3:$C$3922,3,FALSE)</f>
        <v>P2</v>
      </c>
      <c r="D87" s="436" t="str" cm="1">
        <f t="array" ref="D87">_xlfn.TEXTJOIN("",TRUE,IF(ISNUMBER(SEARCH($A87,'Diags Raw Data'!$A$6:$A$3830)),CONCATENATE('Diags Raw Data'!$H$6:$H$3830,", "),""))</f>
        <v xml:space="preserve">gfx.inst_perf/v_s_.1-10, </v>
      </c>
      <c r="E87" s="339" t="str">
        <f>VLOOKUP(A87,'Diags Raw Data'!$A$6:$D$3830,4,FALSE)</f>
        <v>SH</v>
      </c>
      <c r="F87" s="339" t="str">
        <f>VLOOKUP(A87,'Feature Raw Data'!$A$3:$E$3922,5,FALSE)</f>
        <v>New</v>
      </c>
      <c r="G87" s="339" t="str">
        <f t="shared" si="6"/>
        <v>Yes</v>
      </c>
      <c r="H87" s="339" t="str">
        <f t="shared" si="7"/>
        <v>Yes</v>
      </c>
      <c r="I87" s="435">
        <f>SUMIF('Diags Raw Data'!$A$6:$A$3830,"*"&amp;$A87&amp;"*",'Diags Raw Data'!$K$6:$K$3830)</f>
        <v>0</v>
      </c>
      <c r="J87" s="437">
        <f>SUMIF('Diags Raw Data'!$A$6:$A$3830,"*"&amp;$A87&amp;"*",'Diags Raw Data'!$L$6:$L$3830)</f>
        <v>0</v>
      </c>
      <c r="K87" s="484" t="e" cm="1">
        <f t="array" ref="K87">IF(D87="",0, SUMPRODUCT(--(ISNUMBER(SEARCH($A87,'Diags Raw Data'!$A$6:$A$3830))),'Diags Raw Data'!$L$6:$L$3830,'Diags Raw Data'!$N$6:$N$3830)/J87)</f>
        <v>#DIV/0!</v>
      </c>
      <c r="L87" s="485" t="e" cm="1">
        <f t="array" ref="L87">IF(D87="",0, SUMPRODUCT(--(ISNUMBER(SEARCH($A87,'Diags Raw Data'!$A$6:$A$3830))),'Diags Raw Data'!$L$6:$L$3830,'Diags Raw Data'!$P$6:$P$3830)/J87)</f>
        <v>#DIV/0!</v>
      </c>
      <c r="M87" s="486" cm="1">
        <f t="array" ref="M87">SUMPRODUCT(--(ISNUMBER(SEARCH($A87,'Diags Raw Data'!$A$6:$A$3830))),--('Diags Raw Data'!$Q$6:$Q$3830&lt;&gt;"N/A"),'Diags Raw Data'!$R$6:$R$3830)</f>
        <v>10</v>
      </c>
      <c r="N87" s="487" cm="1">
        <f t="array" ref="N87">SUMPRODUCT(--(ISNUMBER(SEARCH($A87,'Diags Raw Data'!$A$6:$A$3830))),--('Diags Raw Data'!$Q$6:$Q$3830&lt;&gt;"N/A"),'Diags Raw Data'!$T$6:$T$3830)+SUMPRODUCT(--(ISNUMBER(SEARCH($A87,'Diags Raw Data'!$A$6:$A$3830))),--('Diags Raw Data'!$Q$6:$Q$3830&lt;&gt;"N/A"),'Diags Raw Data'!$U$6:$U$3830)</f>
        <v>10</v>
      </c>
      <c r="O87" s="488">
        <f t="shared" si="11"/>
        <v>1</v>
      </c>
      <c r="P87" s="489">
        <f>SUMIF('Diags Raw Data'!$A$6:$A$3830,"*"&amp;$A87&amp;"*",'Diags Raw Data'!$Z$6:$Z$3830)</f>
        <v>0</v>
      </c>
      <c r="Q87" s="490">
        <f>SUM(SUMIF('Diags Raw Data'!$A$6:$A$3830,"*"&amp;$A87&amp;"*",'Diags Raw Data'!$AA$6:$AA$3830),SUMIF('Diags Raw Data'!$A$6:$A$3830,"*"&amp;$A87&amp;"*",'Diags Raw Data'!$AB$6:$AB$3830))</f>
        <v>0</v>
      </c>
      <c r="R87" s="491">
        <f t="shared" si="8"/>
        <v>0</v>
      </c>
      <c r="S87" s="491">
        <f t="shared" si="9"/>
        <v>0</v>
      </c>
      <c r="T87" s="492">
        <f t="shared" si="10"/>
        <v>0</v>
      </c>
      <c r="U87" s="432" t="str">
        <f>VLOOKUP(A87,'Diags Raw Data'!$A$6:$AH$3830,33,FALSE)</f>
        <v>WK8</v>
      </c>
      <c r="V87" s="181"/>
    </row>
    <row r="88" spans="1:22" ht="45.75" thickBot="1" x14ac:dyDescent="0.3">
      <c r="A88" s="546">
        <v>12.159000000000001</v>
      </c>
      <c r="B88" s="434" t="str">
        <f>VLOOKUP(A88,'Feature Raw Data'!$A$3:$B$3922,2,FALSE)</f>
        <v>Shader reduce VGPR writes (M2 item, evaluate for gaming)</v>
      </c>
      <c r="C88" s="435" t="str">
        <f>VLOOKUP(A88,'Feature Raw Data'!$A$3:$C$3922,3,FALSE)</f>
        <v>P1</v>
      </c>
      <c r="D88" s="436" t="str" cm="1">
        <f t="array" ref="D88">_xlfn.TEXTJOIN("",TRUE,IF(ISNUMBER(SEARCH($A88,'Diags Raw Data'!$A$6:$A$3830)),CONCATENATE('Diags Raw Data'!$H$6:$H$3830,", "),""))</f>
        <v xml:space="preserve">shci2038.0-3,shci2038.104, </v>
      </c>
      <c r="E88" s="339" t="str">
        <f>VLOOKUP(A88,'Diags Raw Data'!$A$6:$D$3830,4,FALSE)</f>
        <v>SH</v>
      </c>
      <c r="F88" s="339" t="str">
        <f>VLOOKUP(A88,'Feature Raw Data'!$A$3:$E$3922,5,FALSE)</f>
        <v>New</v>
      </c>
      <c r="G88" s="339" t="str">
        <f t="shared" si="6"/>
        <v>Yes</v>
      </c>
      <c r="H88" s="339" t="str">
        <f t="shared" si="7"/>
        <v>Yes</v>
      </c>
      <c r="I88" s="435">
        <f>SUMIF('Diags Raw Data'!$A$6:$A$3830,"*"&amp;$A88&amp;"*",'Diags Raw Data'!$K$6:$K$3830)</f>
        <v>0</v>
      </c>
      <c r="J88" s="437">
        <f>SUMIF('Diags Raw Data'!$A$6:$A$3830,"*"&amp;$A88&amp;"*",'Diags Raw Data'!$L$6:$L$3830)</f>
        <v>0</v>
      </c>
      <c r="K88" s="484" t="e" cm="1">
        <f t="array" ref="K88">IF(D88="",0, SUMPRODUCT(--(ISNUMBER(SEARCH($A88,'Diags Raw Data'!$A$6:$A$3830))),'Diags Raw Data'!$L$6:$L$3830,'Diags Raw Data'!$N$6:$N$3830)/J88)</f>
        <v>#DIV/0!</v>
      </c>
      <c r="L88" s="485" t="e" cm="1">
        <f t="array" ref="L88">IF(D88="",0, SUMPRODUCT(--(ISNUMBER(SEARCH($A88,'Diags Raw Data'!$A$6:$A$3830))),'Diags Raw Data'!$L$6:$L$3830,'Diags Raw Data'!$P$6:$P$3830)/J88)</f>
        <v>#DIV/0!</v>
      </c>
      <c r="M88" s="486" cm="1">
        <f t="array" ref="M88">SUMPRODUCT(--(ISNUMBER(SEARCH($A88,'Diags Raw Data'!$A$6:$A$3830))),--('Diags Raw Data'!$Q$6:$Q$3830&lt;&gt;"N/A"),'Diags Raw Data'!$R$6:$R$3830)</f>
        <v>5</v>
      </c>
      <c r="N88" s="487" cm="1">
        <f t="array" ref="N88">SUMPRODUCT(--(ISNUMBER(SEARCH($A88,'Diags Raw Data'!$A$6:$A$3830))),--('Diags Raw Data'!$Q$6:$Q$3830&lt;&gt;"N/A"),'Diags Raw Data'!$T$6:$T$3830)+SUMPRODUCT(--(ISNUMBER(SEARCH($A88,'Diags Raw Data'!$A$6:$A$3830))),--('Diags Raw Data'!$Q$6:$Q$3830&lt;&gt;"N/A"),'Diags Raw Data'!$U$6:$U$3830)</f>
        <v>5</v>
      </c>
      <c r="O88" s="488">
        <f t="shared" si="11"/>
        <v>1</v>
      </c>
      <c r="P88" s="489">
        <f>SUMIF('Diags Raw Data'!$A$6:$A$3830,"*"&amp;$A88&amp;"*",'Diags Raw Data'!$Z$6:$Z$3830)</f>
        <v>0</v>
      </c>
      <c r="Q88" s="490">
        <f>SUM(SUMIF('Diags Raw Data'!$A$6:$A$3830,"*"&amp;$A88&amp;"*",'Diags Raw Data'!$AA$6:$AA$3830),SUMIF('Diags Raw Data'!$A$6:$A$3830,"*"&amp;$A88&amp;"*",'Diags Raw Data'!$AB$6:$AB$3830))</f>
        <v>0</v>
      </c>
      <c r="R88" s="491">
        <f t="shared" si="8"/>
        <v>0</v>
      </c>
      <c r="S88" s="491">
        <f t="shared" si="9"/>
        <v>0</v>
      </c>
      <c r="T88" s="492">
        <f t="shared" si="10"/>
        <v>0</v>
      </c>
      <c r="U88" s="432" t="str">
        <f>VLOOKUP(A88,'Diags Raw Data'!$A$6:$AH$3830,33,FALSE)</f>
        <v>WK1</v>
      </c>
      <c r="V88" s="181"/>
    </row>
    <row r="89" spans="1:22" ht="105.75" thickBot="1" x14ac:dyDescent="0.3">
      <c r="A89" s="546">
        <v>12.16</v>
      </c>
      <c r="B89" s="434" t="str">
        <f>VLOOKUP(A89,'Feature Raw Data'!$A$3:$B$3922,2,FALSE)</f>
        <v>Shader double wave64 VINTERP rate (por gfx11.5, evaluate gaming)</v>
      </c>
      <c r="C89" s="435" t="str">
        <f>VLOOKUP(A89,'Feature Raw Data'!$A$3:$C$3922,3,FALSE)</f>
        <v>P2</v>
      </c>
      <c r="D89" s="436" t="str" cm="1">
        <f t="array" ref="D89">_xlfn.TEXTJOIN("",TRUE,IF(ISNUMBER(SEARCH($A89,'Diags Raw Data'!$A$6:$A$3830)),CONCATENATE('Diags Raw Data'!$H$6:$H$3830,", "),""))</f>
        <v xml:space="preserve">shci2041, std1.1,std3.1,std4.1,rt1.300,rt1.320,gci1304,gci1305,gci1308,shci2033,shci2036,gssi212.10, sh1630,sh1631, PPI406.1-8,PPI406.11-18,PPI406.21-28,PPI406.31-38,PPI406.41-48, std5.9, PPI406.1-2, </v>
      </c>
      <c r="E89" s="339" t="str">
        <f>VLOOKUP(A89,'Diags Raw Data'!$A$6:$D$3830,4,FALSE)</f>
        <v>SH</v>
      </c>
      <c r="F89" s="339" t="str">
        <f>VLOOKUP(A89,'Feature Raw Data'!$A$3:$E$3922,5,FALSE)</f>
        <v>New</v>
      </c>
      <c r="G89" s="339" t="str">
        <f t="shared" si="6"/>
        <v>Yes</v>
      </c>
      <c r="H89" s="339" t="str">
        <f t="shared" si="7"/>
        <v>Yes</v>
      </c>
      <c r="I89" s="435">
        <f>SUMIF('Diags Raw Data'!$A$6:$A$3830,"*"&amp;$A89&amp;"*",'Diags Raw Data'!$K$6:$K$3830)</f>
        <v>0</v>
      </c>
      <c r="J89" s="437">
        <f>SUMIF('Diags Raw Data'!$A$6:$A$3830,"*"&amp;$A89&amp;"*",'Diags Raw Data'!$L$6:$L$3830)</f>
        <v>0</v>
      </c>
      <c r="K89" s="484" t="e" cm="1">
        <f t="array" ref="K89">IF(D89="",0, SUMPRODUCT(--(ISNUMBER(SEARCH($A89,'Diags Raw Data'!$A$6:$A$3830))),'Diags Raw Data'!$L$6:$L$3830,'Diags Raw Data'!$N$6:$N$3830)/J89)</f>
        <v>#DIV/0!</v>
      </c>
      <c r="L89" s="485" t="e" cm="1">
        <f t="array" ref="L89">IF(D89="",0, SUMPRODUCT(--(ISNUMBER(SEARCH($A89,'Diags Raw Data'!$A$6:$A$3830))),'Diags Raw Data'!$L$6:$L$3830,'Diags Raw Data'!$P$6:$P$3830)/J89)</f>
        <v>#DIV/0!</v>
      </c>
      <c r="M89" s="486" cm="1">
        <f t="array" ref="M89">SUMPRODUCT(--(ISNUMBER(SEARCH($A89,'Diags Raw Data'!$A$6:$A$3830))),--('Diags Raw Data'!$Q$6:$Q$3830&lt;&gt;"N/A"),'Diags Raw Data'!$R$6:$R$3830)</f>
        <v>23</v>
      </c>
      <c r="N89" s="487" cm="1">
        <f t="array" ref="N89">SUMPRODUCT(--(ISNUMBER(SEARCH($A89,'Diags Raw Data'!$A$6:$A$3830))),--('Diags Raw Data'!$Q$6:$Q$3830&lt;&gt;"N/A"),'Diags Raw Data'!$T$6:$T$3830)+SUMPRODUCT(--(ISNUMBER(SEARCH($A89,'Diags Raw Data'!$A$6:$A$3830))),--('Diags Raw Data'!$Q$6:$Q$3830&lt;&gt;"N/A"),'Diags Raw Data'!$U$6:$U$3830)</f>
        <v>18</v>
      </c>
      <c r="O89" s="488">
        <f t="shared" si="11"/>
        <v>0.78260869565217395</v>
      </c>
      <c r="P89" s="489">
        <f>SUMIF('Diags Raw Data'!$A$6:$A$3830,"*"&amp;$A89&amp;"*",'Diags Raw Data'!$Z$6:$Z$3830)</f>
        <v>0</v>
      </c>
      <c r="Q89" s="490">
        <f>SUM(SUMIF('Diags Raw Data'!$A$6:$A$3830,"*"&amp;$A89&amp;"*",'Diags Raw Data'!$AA$6:$AA$3830),SUMIF('Diags Raw Data'!$A$6:$A$3830,"*"&amp;$A89&amp;"*",'Diags Raw Data'!$AB$6:$AB$3830))</f>
        <v>0</v>
      </c>
      <c r="R89" s="491">
        <f t="shared" si="8"/>
        <v>0</v>
      </c>
      <c r="S89" s="491">
        <f t="shared" si="9"/>
        <v>0</v>
      </c>
      <c r="T89" s="492">
        <f t="shared" si="10"/>
        <v>0</v>
      </c>
      <c r="U89" s="432" t="str">
        <f>VLOOKUP(A89,'Diags Raw Data'!$A$6:$AH$3830,33,FALSE)</f>
        <v>WK6</v>
      </c>
      <c r="V89" s="181"/>
    </row>
    <row r="90" spans="1:22" ht="45.75" thickBot="1" x14ac:dyDescent="0.3">
      <c r="A90" s="546">
        <v>12.162000000000001</v>
      </c>
      <c r="B90" s="434" t="str">
        <f>VLOOKUP(A90,'Feature Raw Data'!$A$3:$B$3922,2,FALSE)</f>
        <v xml:space="preserve">Shader Performance Profiler Enablement </v>
      </c>
      <c r="C90" s="435" t="str">
        <f>VLOOKUP(A90,'Feature Raw Data'!$A$3:$C$3922,3,FALSE)</f>
        <v>P1</v>
      </c>
      <c r="D90" s="436" t="str" cm="1">
        <f t="array" ref="D90">_xlfn.TEXTJOIN("",TRUE,IF(ISNUMBER(SEARCH($A90,'Diags Raw Data'!$A$6:$A$3830)),CONCATENATE('Diags Raw Data'!$H$6:$H$3830,", "),""))</f>
        <v xml:space="preserve">std1.1,std3.1,std4.1,rt1.300,rt1.320,gci1304,gci1305,gci1308,shci2033,shci2036,gssi212.10, </v>
      </c>
      <c r="E90" s="339" t="str">
        <f>VLOOKUP(A90,'Diags Raw Data'!$A$6:$D$3830,4,FALSE)</f>
        <v>SH</v>
      </c>
      <c r="F90" s="339" t="str">
        <f>VLOOKUP(A90,'Feature Raw Data'!$A$3:$E$3922,5,FALSE)</f>
        <v>Delta</v>
      </c>
      <c r="G90" s="339" t="str">
        <f t="shared" si="6"/>
        <v>Yes</v>
      </c>
      <c r="H90" s="339" t="str">
        <f t="shared" si="7"/>
        <v>Yes</v>
      </c>
      <c r="I90" s="435">
        <f>SUMIF('Diags Raw Data'!$A$6:$A$3830,"*"&amp;$A90&amp;"*",'Diags Raw Data'!$K$6:$K$3830)</f>
        <v>0</v>
      </c>
      <c r="J90" s="437">
        <f>SUMIF('Diags Raw Data'!$A$6:$A$3830,"*"&amp;$A90&amp;"*",'Diags Raw Data'!$L$6:$L$3830)</f>
        <v>0</v>
      </c>
      <c r="K90" s="484" t="e" cm="1">
        <f t="array" ref="K90">IF(D90="",0, SUMPRODUCT(--(ISNUMBER(SEARCH($A90,'Diags Raw Data'!$A$6:$A$3830))),'Diags Raw Data'!$L$6:$L$3830,'Diags Raw Data'!$N$6:$N$3830)/J90)</f>
        <v>#DIV/0!</v>
      </c>
      <c r="L90" s="485" t="e" cm="1">
        <f t="array" ref="L90">IF(D90="",0, SUMPRODUCT(--(ISNUMBER(SEARCH($A90,'Diags Raw Data'!$A$6:$A$3830))),'Diags Raw Data'!$L$6:$L$3830,'Diags Raw Data'!$P$6:$P$3830)/J90)</f>
        <v>#DIV/0!</v>
      </c>
      <c r="M90" s="486" cm="1">
        <f t="array" ref="M90">SUMPRODUCT(--(ISNUMBER(SEARCH($A90,'Diags Raw Data'!$A$6:$A$3830))),--('Diags Raw Data'!$Q$6:$Q$3830&lt;&gt;"N/A"),'Diags Raw Data'!$R$6:$R$3830)</f>
        <v>14</v>
      </c>
      <c r="N90" s="487" cm="1">
        <f t="array" ref="N90">SUMPRODUCT(--(ISNUMBER(SEARCH($A90,'Diags Raw Data'!$A$6:$A$3830))),--('Diags Raw Data'!$Q$6:$Q$3830&lt;&gt;"N/A"),'Diags Raw Data'!$T$6:$T$3830)+SUMPRODUCT(--(ISNUMBER(SEARCH($A90,'Diags Raw Data'!$A$6:$A$3830))),--('Diags Raw Data'!$Q$6:$Q$3830&lt;&gt;"N/A"),'Diags Raw Data'!$U$6:$U$3830)</f>
        <v>11</v>
      </c>
      <c r="O90" s="488">
        <f>IF((M90=0),0,N90/M90)</f>
        <v>0.7857142857142857</v>
      </c>
      <c r="P90" s="489">
        <f>SUMIF('Diags Raw Data'!$A$6:$A$3830,"*"&amp;$A90&amp;"*",'Diags Raw Data'!$Z$6:$Z$3830)</f>
        <v>0</v>
      </c>
      <c r="Q90" s="490">
        <f>SUM(SUMIF('Diags Raw Data'!$A$6:$A$3830,"*"&amp;$A90&amp;"*",'Diags Raw Data'!$AA$6:$AA$3830),SUMIF('Diags Raw Data'!$A$6:$A$3830,"*"&amp;$A90&amp;"*",'Diags Raw Data'!$AB$6:$AB$3830))</f>
        <v>0</v>
      </c>
      <c r="R90" s="491">
        <f>IF((J90=0),0,P90/J90)</f>
        <v>0</v>
      </c>
      <c r="S90" s="491">
        <f>IF((P90=0),0,Q90/P90)</f>
        <v>0</v>
      </c>
      <c r="T90" s="492">
        <f>R90*S90</f>
        <v>0</v>
      </c>
      <c r="U90" s="432" t="str">
        <f>VLOOKUP(A90,'Diags Raw Data'!$A$6:$AH$3830,33,FALSE)</f>
        <v>WK5</v>
      </c>
      <c r="V90" s="181"/>
    </row>
    <row r="91" spans="1:22" ht="15.75" thickBot="1" x14ac:dyDescent="0.3">
      <c r="A91" s="546">
        <v>12.163</v>
      </c>
      <c r="B91" s="434" t="str">
        <f>VLOOKUP(A91,'Feature Raw Data'!$A$3:$B$3922,2,FALSE)</f>
        <v xml:space="preserve">Architected SGPR Values </v>
      </c>
      <c r="C91" s="435" t="str">
        <f>VLOOKUP(A91,'Feature Raw Data'!$A$3:$C$3922,3,FALSE)</f>
        <v>P2</v>
      </c>
      <c r="D91" s="436" t="str" cm="1">
        <f t="array" ref="D91">_xlfn.TEXTJOIN("",TRUE,IF(ISNUMBER(SEARCH($A91,'Diags Raw Data'!$A$6:$A$3830)),CONCATENATE('Diags Raw Data'!$H$6:$H$3830,", "),""))</f>
        <v xml:space="preserve">sh1630,sh1631, </v>
      </c>
      <c r="E91" s="339" t="str">
        <f>VLOOKUP(A91,'Diags Raw Data'!$A$6:$D$3830,4,FALSE)</f>
        <v>SIO</v>
      </c>
      <c r="F91" s="339" t="str">
        <f>VLOOKUP(A91,'Feature Raw Data'!$A$3:$E$3922,5,FALSE)</f>
        <v>New</v>
      </c>
      <c r="G91" s="339" t="str">
        <f t="shared" si="6"/>
        <v>Yes</v>
      </c>
      <c r="H91" s="339" t="str">
        <f t="shared" si="7"/>
        <v>Yes</v>
      </c>
      <c r="I91" s="435">
        <f>SUMIF('Diags Raw Data'!$A$6:$A$3830,"*"&amp;$A91&amp;"*",'Diags Raw Data'!$K$6:$K$3830)</f>
        <v>0</v>
      </c>
      <c r="J91" s="437">
        <f>SUMIF('Diags Raw Data'!$A$6:$A$3830,"*"&amp;$A91&amp;"*",'Diags Raw Data'!$L$6:$L$3830)</f>
        <v>0</v>
      </c>
      <c r="K91" s="484" t="e" cm="1">
        <f t="array" ref="K91">IF(D91="",0, SUMPRODUCT(--(ISNUMBER(SEARCH($A91,'Diags Raw Data'!$A$6:$A$3830))),'Diags Raw Data'!$L$6:$L$3830,'Diags Raw Data'!$N$6:$N$3830)/J91)</f>
        <v>#DIV/0!</v>
      </c>
      <c r="L91" s="485" t="e" cm="1">
        <f t="array" ref="L91">IF(D91="",0, SUMPRODUCT(--(ISNUMBER(SEARCH($A91,'Diags Raw Data'!$A$6:$A$3830))),'Diags Raw Data'!$L$6:$L$3830,'Diags Raw Data'!$P$6:$P$3830)/J91)</f>
        <v>#DIV/0!</v>
      </c>
      <c r="M91" s="486" cm="1">
        <f t="array" ref="M91">SUMPRODUCT(--(ISNUMBER(SEARCH($A91,'Diags Raw Data'!$A$6:$A$3830))),--('Diags Raw Data'!$Q$6:$Q$3830&lt;&gt;"N/A"),'Diags Raw Data'!$R$6:$R$3830)</f>
        <v>2</v>
      </c>
      <c r="N91" s="487" cm="1">
        <f t="array" ref="N91">SUMPRODUCT(--(ISNUMBER(SEARCH($A91,'Diags Raw Data'!$A$6:$A$3830))),--('Diags Raw Data'!$Q$6:$Q$3830&lt;&gt;"N/A"),'Diags Raw Data'!$T$6:$T$3830)+SUMPRODUCT(--(ISNUMBER(SEARCH($A91,'Diags Raw Data'!$A$6:$A$3830))),--('Diags Raw Data'!$Q$6:$Q$3830&lt;&gt;"N/A"),'Diags Raw Data'!$U$6:$U$3830)</f>
        <v>1</v>
      </c>
      <c r="O91" s="488">
        <f>IF((M91=0),0,N91/M91)</f>
        <v>0.5</v>
      </c>
      <c r="P91" s="489">
        <f>SUMIF('Diags Raw Data'!$A$6:$A$3830,"*"&amp;$A91&amp;"*",'Diags Raw Data'!$Z$6:$Z$3830)</f>
        <v>0</v>
      </c>
      <c r="Q91" s="490">
        <f>SUM(SUMIF('Diags Raw Data'!$A$6:$A$3830,"*"&amp;$A91&amp;"*",'Diags Raw Data'!$AA$6:$AA$3830),SUMIF('Diags Raw Data'!$A$6:$A$3830,"*"&amp;$A91&amp;"*",'Diags Raw Data'!$AB$6:$AB$3830))</f>
        <v>0</v>
      </c>
      <c r="R91" s="491">
        <f>IF((J91=0),0,P91/J91)</f>
        <v>0</v>
      </c>
      <c r="S91" s="491">
        <f>IF((P91=0),0,Q91/P91)</f>
        <v>0</v>
      </c>
      <c r="T91" s="492">
        <f>R91*S91</f>
        <v>0</v>
      </c>
      <c r="U91" s="432" t="str">
        <f>VLOOKUP(A91,'Diags Raw Data'!$A$6:$AH$3830,33,FALSE)</f>
        <v>WK6</v>
      </c>
      <c r="V91" s="181"/>
    </row>
    <row r="92" spans="1:22" ht="30.75" thickBot="1" x14ac:dyDescent="0.3">
      <c r="A92" s="546">
        <v>12.164</v>
      </c>
      <c r="B92" s="434" t="str">
        <f>VLOOKUP(A92,'Feature Raw Data'!$A$3:$B$3922,2,FALSE)</f>
        <v xml:space="preserve">Hybrid Depth Compression </v>
      </c>
      <c r="C92" s="435" t="str">
        <f>VLOOKUP(A92,'Feature Raw Data'!$A$3:$C$3922,3,FALSE)</f>
        <v>P1</v>
      </c>
      <c r="D92" s="436" t="str" cm="1">
        <f t="array" ref="D92">_xlfn.TEXTJOIN("",TRUE,IF(ISNUMBER(SEARCH($A92,'Diags Raw Data'!$A$6:$A$3830)),CONCATENATE('Diags Raw Data'!$H$6:$H$3830,", "),""))</f>
        <v xml:space="preserve">PPI406.1-8,PPI406.11-18,PPI406.21-28,PPI406.31-38,PPI406.41-48, </v>
      </c>
      <c r="E92" s="339" t="str">
        <f>VLOOKUP(A92,'Diags Raw Data'!$A$6:$D$3830,4,FALSE)</f>
        <v>PP</v>
      </c>
      <c r="F92" s="339" t="str">
        <f>VLOOKUP(A92,'Feature Raw Data'!$A$3:$E$3922,5,FALSE)</f>
        <v>New</v>
      </c>
      <c r="G92" s="339" t="str">
        <f t="shared" si="6"/>
        <v>Yes</v>
      </c>
      <c r="H92" s="339" t="str">
        <f t="shared" si="7"/>
        <v>Yes</v>
      </c>
      <c r="I92" s="435">
        <f>SUMIF('Diags Raw Data'!$A$6:$A$3830,"*"&amp;$A92&amp;"*",'Diags Raw Data'!$K$6:$K$3830)</f>
        <v>0</v>
      </c>
      <c r="J92" s="437">
        <f>SUMIF('Diags Raw Data'!$A$6:$A$3830,"*"&amp;$A92&amp;"*",'Diags Raw Data'!$L$6:$L$3830)</f>
        <v>0</v>
      </c>
      <c r="K92" s="484" t="e" cm="1">
        <f t="array" ref="K92">IF(D92="",0, SUMPRODUCT(--(ISNUMBER(SEARCH($A92,'Diags Raw Data'!$A$6:$A$3830))),'Diags Raw Data'!$L$6:$L$3830,'Diags Raw Data'!$N$6:$N$3830)/J92)</f>
        <v>#DIV/0!</v>
      </c>
      <c r="L92" s="485" t="e" cm="1">
        <f t="array" ref="L92">IF(D92="",0, SUMPRODUCT(--(ISNUMBER(SEARCH($A92,'Diags Raw Data'!$A$6:$A$3830))),'Diags Raw Data'!$L$6:$L$3830,'Diags Raw Data'!$P$6:$P$3830)/J92)</f>
        <v>#DIV/0!</v>
      </c>
      <c r="M92" s="486" cm="1">
        <f t="array" ref="M92">SUMPRODUCT(--(ISNUMBER(SEARCH($A92,'Diags Raw Data'!$A$6:$A$3830))),--('Diags Raw Data'!$Q$6:$Q$3830&lt;&gt;"N/A"),'Diags Raw Data'!$R$6:$R$3830)</f>
        <v>4</v>
      </c>
      <c r="N92" s="487" cm="1">
        <f t="array" ref="N92">SUMPRODUCT(--(ISNUMBER(SEARCH($A92,'Diags Raw Data'!$A$6:$A$3830))),--('Diags Raw Data'!$Q$6:$Q$3830&lt;&gt;"N/A"),'Diags Raw Data'!$T$6:$T$3830)+SUMPRODUCT(--(ISNUMBER(SEARCH($A92,'Diags Raw Data'!$A$6:$A$3830))),--('Diags Raw Data'!$Q$6:$Q$3830&lt;&gt;"N/A"),'Diags Raw Data'!$U$6:$U$3830)</f>
        <v>4</v>
      </c>
      <c r="O92" s="488">
        <f t="shared" si="11"/>
        <v>1</v>
      </c>
      <c r="P92" s="489">
        <f>SUMIF('Diags Raw Data'!$A$6:$A$3830,"*"&amp;$A92&amp;"*",'Diags Raw Data'!$Z$6:$Z$3830)</f>
        <v>0</v>
      </c>
      <c r="Q92" s="490">
        <f>SUM(SUMIF('Diags Raw Data'!$A$6:$A$3830,"*"&amp;$A92&amp;"*",'Diags Raw Data'!$AA$6:$AA$3830),SUMIF('Diags Raw Data'!$A$6:$A$3830,"*"&amp;$A92&amp;"*",'Diags Raw Data'!$AB$6:$AB$3830))</f>
        <v>0</v>
      </c>
      <c r="R92" s="491">
        <f t="shared" si="8"/>
        <v>0</v>
      </c>
      <c r="S92" s="491">
        <f t="shared" si="9"/>
        <v>0</v>
      </c>
      <c r="T92" s="492">
        <f t="shared" si="10"/>
        <v>0</v>
      </c>
      <c r="U92" s="432" t="str">
        <f>VLOOKUP(A92,'Diags Raw Data'!$A$6:$AH$3830,33,FALSE)</f>
        <v>WK2</v>
      </c>
      <c r="V92" s="181"/>
    </row>
    <row r="93" spans="1:22" ht="15.75" thickBot="1" x14ac:dyDescent="0.3">
      <c r="A93" s="546">
        <v>12.164999999999999</v>
      </c>
      <c r="B93" s="434" t="str">
        <f>VLOOKUP(A93,'Feature Raw Data'!$A$3:$B$3922,2,FALSE)</f>
        <v xml:space="preserve">HiZ/S in SC </v>
      </c>
      <c r="C93" s="435" t="str">
        <f>VLOOKUP(A93,'Feature Raw Data'!$A$3:$C$3922,3,FALSE)</f>
        <v>P1</v>
      </c>
      <c r="D93" s="436" t="str" cm="1">
        <f t="array" ref="D93">_xlfn.TEXTJOIN("",TRUE,IF(ISNUMBER(SEARCH($A93,'Diags Raw Data'!$A$6:$A$3830)),CONCATENATE('Diags Raw Data'!$H$6:$H$3830,", "),""))</f>
        <v xml:space="preserve">std5.9, </v>
      </c>
      <c r="E93" s="339" t="str">
        <f>VLOOKUP(A93,'Diags Raw Data'!$A$6:$D$3830,4,FALSE)</f>
        <v>PP</v>
      </c>
      <c r="F93" s="339" t="str">
        <f>VLOOKUP(A93,'Feature Raw Data'!$A$3:$E$3922,5,FALSE)</f>
        <v>New</v>
      </c>
      <c r="G93" s="339" t="str">
        <f t="shared" si="6"/>
        <v>Yes</v>
      </c>
      <c r="H93" s="339" t="str">
        <f t="shared" si="7"/>
        <v>Yes</v>
      </c>
      <c r="I93" s="435">
        <f>SUMIF('Diags Raw Data'!$A$6:$A$3830,"*"&amp;$A93&amp;"*",'Diags Raw Data'!$K$6:$K$3830)</f>
        <v>0</v>
      </c>
      <c r="J93" s="437">
        <f>SUMIF('Diags Raw Data'!$A$6:$A$3830,"*"&amp;$A93&amp;"*",'Diags Raw Data'!$L$6:$L$3830)</f>
        <v>0</v>
      </c>
      <c r="K93" s="484" t="e" cm="1">
        <f t="array" ref="K93">IF(D93="",0, SUMPRODUCT(--(ISNUMBER(SEARCH($A93,'Diags Raw Data'!$A$6:$A$3830))),'Diags Raw Data'!$L$6:$L$3830,'Diags Raw Data'!$N$6:$N$3830)/J93)</f>
        <v>#DIV/0!</v>
      </c>
      <c r="L93" s="485" t="e" cm="1">
        <f t="array" ref="L93">IF(D93="",0, SUMPRODUCT(--(ISNUMBER(SEARCH($A93,'Diags Raw Data'!$A$6:$A$3830))),'Diags Raw Data'!$L$6:$L$3830,'Diags Raw Data'!$P$6:$P$3830)/J93)</f>
        <v>#DIV/0!</v>
      </c>
      <c r="M93" s="486" cm="1">
        <f t="array" ref="M93">SUMPRODUCT(--(ISNUMBER(SEARCH($A93,'Diags Raw Data'!$A$6:$A$3830))),--('Diags Raw Data'!$Q$6:$Q$3830&lt;&gt;"N/A"),'Diags Raw Data'!$R$6:$R$3830)</f>
        <v>1</v>
      </c>
      <c r="N93" s="487" cm="1">
        <f t="array" ref="N93">SUMPRODUCT(--(ISNUMBER(SEARCH($A93,'Diags Raw Data'!$A$6:$A$3830))),--('Diags Raw Data'!$Q$6:$Q$3830&lt;&gt;"N/A"),'Diags Raw Data'!$T$6:$T$3830)+SUMPRODUCT(--(ISNUMBER(SEARCH($A93,'Diags Raw Data'!$A$6:$A$3830))),--('Diags Raw Data'!$Q$6:$Q$3830&lt;&gt;"N/A"),'Diags Raw Data'!$U$6:$U$3830)</f>
        <v>1</v>
      </c>
      <c r="O93" s="488">
        <f t="shared" si="11"/>
        <v>1</v>
      </c>
      <c r="P93" s="489">
        <f>SUMIF('Diags Raw Data'!$A$6:$A$3830,"*"&amp;$A93&amp;"*",'Diags Raw Data'!$Z$6:$Z$3830)</f>
        <v>0</v>
      </c>
      <c r="Q93" s="490">
        <f>SUM(SUMIF('Diags Raw Data'!$A$6:$A$3830,"*"&amp;$A93&amp;"*",'Diags Raw Data'!$AA$6:$AA$3830),SUMIF('Diags Raw Data'!$A$6:$A$3830,"*"&amp;$A93&amp;"*",'Diags Raw Data'!$AB$6:$AB$3830))</f>
        <v>0</v>
      </c>
      <c r="R93" s="491">
        <f t="shared" si="8"/>
        <v>0</v>
      </c>
      <c r="S93" s="491">
        <f>IF((P93=0),0,Q93/P93)</f>
        <v>0</v>
      </c>
      <c r="T93" s="492">
        <f>R93*S93</f>
        <v>0</v>
      </c>
      <c r="U93" s="432" t="str">
        <f>VLOOKUP(A93,'Diags Raw Data'!$A$6:$AH$3830,33,FALSE)</f>
        <v>WK2</v>
      </c>
      <c r="V93" s="181"/>
    </row>
    <row r="94" spans="1:22" ht="30.75" thickBot="1" x14ac:dyDescent="0.3">
      <c r="A94" s="546">
        <v>12.167</v>
      </c>
      <c r="B94" s="434" t="str">
        <f>VLOOKUP(A94,'Feature Raw Data'!$A$3:$B$3922,2,FALSE)</f>
        <v xml:space="preserve">CB codec removal/simplifications </v>
      </c>
      <c r="C94" s="435" t="str">
        <f>VLOOKUP(A94,'Feature Raw Data'!$A$3:$C$3922,3,FALSE)</f>
        <v>P1</v>
      </c>
      <c r="D94" s="436" t="str" cm="1">
        <f t="array" ref="D94">_xlfn.TEXTJOIN("",TRUE,IF(ISNUMBER(SEARCH($A94,'Diags Raw Data'!$A$6:$A$3830)),CONCATENATE('Diags Raw Data'!$H$6:$H$3830,", "),""))</f>
        <v xml:space="preserve">PPI406.1-2, </v>
      </c>
      <c r="E94" s="339" t="str">
        <f>VLOOKUP(A94,'Diags Raw Data'!$A$6:$D$3830,4,FALSE)</f>
        <v>PP</v>
      </c>
      <c r="F94" s="339" t="str">
        <f>VLOOKUP(A94,'Feature Raw Data'!$A$3:$E$3922,5,FALSE)</f>
        <v>New</v>
      </c>
      <c r="G94" s="339" t="str">
        <f t="shared" si="6"/>
        <v>Yes</v>
      </c>
      <c r="H94" s="339" t="str">
        <f t="shared" si="7"/>
        <v>Yes</v>
      </c>
      <c r="I94" s="435">
        <f>SUMIF('Diags Raw Data'!$A$6:$A$3830,"*"&amp;$A94&amp;"*",'Diags Raw Data'!$K$6:$K$3830)</f>
        <v>0</v>
      </c>
      <c r="J94" s="437">
        <f>SUMIF('Diags Raw Data'!$A$6:$A$3830,"*"&amp;$A94&amp;"*",'Diags Raw Data'!$L$6:$L$3830)</f>
        <v>0</v>
      </c>
      <c r="K94" s="484" t="e" cm="1">
        <f t="array" ref="K94">IF(D94="",0, SUMPRODUCT(--(ISNUMBER(SEARCH($A94,'Diags Raw Data'!$A$6:$A$3830))),'Diags Raw Data'!$L$6:$L$3830,'Diags Raw Data'!$N$6:$N$3830)/J94)</f>
        <v>#DIV/0!</v>
      </c>
      <c r="L94" s="485" t="e" cm="1">
        <f t="array" ref="L94">IF(D94="",0, SUMPRODUCT(--(ISNUMBER(SEARCH($A94,'Diags Raw Data'!$A$6:$A$3830))),'Diags Raw Data'!$L$6:$L$3830,'Diags Raw Data'!$P$6:$P$3830)/J94)</f>
        <v>#DIV/0!</v>
      </c>
      <c r="M94" s="486" cm="1">
        <f t="array" ref="M94">SUMPRODUCT(--(ISNUMBER(SEARCH($A94,'Diags Raw Data'!$A$6:$A$3830))),--('Diags Raw Data'!$Q$6:$Q$3830&lt;&gt;"N/A"),'Diags Raw Data'!$R$6:$R$3830)</f>
        <v>1</v>
      </c>
      <c r="N94" s="487" cm="1">
        <f t="array" ref="N94">SUMPRODUCT(--(ISNUMBER(SEARCH($A94,'Diags Raw Data'!$A$6:$A$3830))),--('Diags Raw Data'!$Q$6:$Q$3830&lt;&gt;"N/A"),'Diags Raw Data'!$T$6:$T$3830)+SUMPRODUCT(--(ISNUMBER(SEARCH($A94,'Diags Raw Data'!$A$6:$A$3830))),--('Diags Raw Data'!$Q$6:$Q$3830&lt;&gt;"N/A"),'Diags Raw Data'!$U$6:$U$3830)</f>
        <v>0</v>
      </c>
      <c r="O94" s="488">
        <f>IF((M94=0),0,N94/M94)</f>
        <v>0</v>
      </c>
      <c r="P94" s="489">
        <f>SUMIF('Diags Raw Data'!$A$6:$A$3830,"*"&amp;$A94&amp;"*",'Diags Raw Data'!$Z$6:$Z$3830)</f>
        <v>0</v>
      </c>
      <c r="Q94" s="490">
        <f>SUM(SUMIF('Diags Raw Data'!$A$6:$A$3830,"*"&amp;$A94&amp;"*",'Diags Raw Data'!$AA$6:$AA$3830),SUMIF('Diags Raw Data'!$A$6:$A$3830,"*"&amp;$A94&amp;"*",'Diags Raw Data'!$AB$6:$AB$3830))</f>
        <v>0</v>
      </c>
      <c r="R94" s="491">
        <f>IF((J94=0),0,P94/J94)</f>
        <v>0</v>
      </c>
      <c r="S94" s="491">
        <f t="shared" si="9"/>
        <v>0</v>
      </c>
      <c r="T94" s="492">
        <f t="shared" si="10"/>
        <v>0</v>
      </c>
      <c r="U94" s="432" t="str">
        <f>VLOOKUP(A94,'Diags Raw Data'!$A$6:$AH$3830,33,FALSE)</f>
        <v>WK5</v>
      </c>
      <c r="V94" s="181"/>
    </row>
    <row r="95" spans="1:22" ht="15.75" thickBot="1" x14ac:dyDescent="0.3">
      <c r="A95" s="546">
        <v>12.167999999999999</v>
      </c>
      <c r="B95" s="434" t="str">
        <f>VLOOKUP(A95,'Feature Raw Data'!$A$3:$B$3922,2,FALSE)</f>
        <v xml:space="preserve">VRS fragment compression </v>
      </c>
      <c r="C95" s="435" t="str">
        <f>VLOOKUP(A95,'Feature Raw Data'!$A$3:$C$3922,3,FALSE)</f>
        <v>P1</v>
      </c>
      <c r="D95" s="436" t="str" cm="1">
        <f t="array" ref="D95">_xlfn.TEXTJOIN("",TRUE,IF(ISNUMBER(SEARCH($A95,'Diags Raw Data'!$A$6:$A$3830)),CONCATENATE('Diags Raw Data'!$H$6:$H$3830,", "),""))</f>
        <v/>
      </c>
      <c r="E95" s="339" t="e">
        <f>VLOOKUP(A95,'Diags Raw Data'!$A$6:$D$3830,4,FALSE)</f>
        <v>#N/A</v>
      </c>
      <c r="F95" s="339" t="str">
        <f>VLOOKUP(A95,'Feature Raw Data'!$A$3:$E$3922,5,FALSE)</f>
        <v>New</v>
      </c>
      <c r="G95" s="339" t="str">
        <f t="shared" si="6"/>
        <v>Yes</v>
      </c>
      <c r="H95" s="339" t="str">
        <f t="shared" si="7"/>
        <v>Yes</v>
      </c>
      <c r="I95" s="435">
        <f>SUMIF('Diags Raw Data'!$A$6:$A$3830,"*"&amp;$A95&amp;"*",'Diags Raw Data'!$K$6:$K$3830)</f>
        <v>0</v>
      </c>
      <c r="J95" s="437">
        <f>SUMIF('Diags Raw Data'!$A$6:$A$3830,"*"&amp;$A95&amp;"*",'Diags Raw Data'!$L$6:$L$3830)</f>
        <v>0</v>
      </c>
      <c r="K95" s="484" cm="1">
        <f t="array" ref="K95">IF(D95="",0, SUMPRODUCT(--(ISNUMBER(SEARCH($A95,'Diags Raw Data'!$A$6:$A$3830))),'Diags Raw Data'!$L$6:$L$3830,'Diags Raw Data'!$N$6:$N$3830)/J95)</f>
        <v>0</v>
      </c>
      <c r="L95" s="485" cm="1">
        <f t="array" ref="L95">IF(D95="",0, SUMPRODUCT(--(ISNUMBER(SEARCH($A95,'Diags Raw Data'!$A$6:$A$3830))),'Diags Raw Data'!$L$6:$L$3830,'Diags Raw Data'!$P$6:$P$3830)/J95)</f>
        <v>0</v>
      </c>
      <c r="M95" s="486" cm="1">
        <f t="array" ref="M95">SUMPRODUCT(--(ISNUMBER(SEARCH($A95,'Diags Raw Data'!$A$6:$A$3830))),--('Diags Raw Data'!$Q$6:$Q$3830&lt;&gt;"N/A"),'Diags Raw Data'!$R$6:$R$3830)</f>
        <v>0</v>
      </c>
      <c r="N95" s="487" cm="1">
        <f t="array" ref="N95">SUMPRODUCT(--(ISNUMBER(SEARCH($A95,'Diags Raw Data'!$A$6:$A$3830))),--('Diags Raw Data'!$Q$6:$Q$3830&lt;&gt;"N/A"),'Diags Raw Data'!$T$6:$T$3830)+SUMPRODUCT(--(ISNUMBER(SEARCH($A95,'Diags Raw Data'!$A$6:$A$3830))),--('Diags Raw Data'!$Q$6:$Q$3830&lt;&gt;"N/A"),'Diags Raw Data'!$U$6:$U$3830)</f>
        <v>0</v>
      </c>
      <c r="O95" s="488">
        <f>IF((M95=0),0,N95/M95)</f>
        <v>0</v>
      </c>
      <c r="P95" s="489">
        <f>SUMIF('Diags Raw Data'!$A$6:$A$3830,"*"&amp;$A95&amp;"*",'Diags Raw Data'!$Z$6:$Z$3830)</f>
        <v>0</v>
      </c>
      <c r="Q95" s="490">
        <f>SUM(SUMIF('Diags Raw Data'!$A$6:$A$3830,"*"&amp;$A95&amp;"*",'Diags Raw Data'!$AA$6:$AA$3830),SUMIF('Diags Raw Data'!$A$6:$A$3830,"*"&amp;$A95&amp;"*",'Diags Raw Data'!$AB$6:$AB$3830))</f>
        <v>0</v>
      </c>
      <c r="R95" s="491">
        <f t="shared" si="8"/>
        <v>0</v>
      </c>
      <c r="S95" s="491">
        <f t="shared" si="9"/>
        <v>0</v>
      </c>
      <c r="T95" s="492">
        <f t="shared" si="10"/>
        <v>0</v>
      </c>
      <c r="U95" s="432" t="e">
        <f>VLOOKUP(A95,'Diags Raw Data'!$A$6:$AH$3830,33,FALSE)</f>
        <v>#N/A</v>
      </c>
      <c r="V95" s="181"/>
    </row>
    <row r="96" spans="1:22" ht="15.75" thickBot="1" x14ac:dyDescent="0.3">
      <c r="A96" s="546">
        <v>12.173999999999999</v>
      </c>
      <c r="B96" s="434" t="str">
        <f>VLOOKUP(A96,'Feature Raw Data'!$A$3:$B$3922,2,FALSE)</f>
        <v>RS64 64bit Stream Input</v>
      </c>
      <c r="C96" s="435" t="str">
        <f>VLOOKUP(A96,'Feature Raw Data'!$A$3:$C$3922,3,FALSE)</f>
        <v>P1</v>
      </c>
      <c r="D96" s="436" t="str" cm="1">
        <f t="array" ref="D96">_xlfn.TEXTJOIN("",TRUE,IF(ISNUMBER(SEARCH($A96,'Diags Raw Data'!$A$6:$A$3830)),CONCATENATE('Diags Raw Data'!$H$6:$H$3830,", "),""))</f>
        <v/>
      </c>
      <c r="E96" s="339" t="e">
        <f>VLOOKUP(A96,'Diags Raw Data'!$A$6:$D$3830,4,FALSE)</f>
        <v>#N/A</v>
      </c>
      <c r="F96" s="339" t="str">
        <f>VLOOKUP(A96,'Feature Raw Data'!$A$3:$E$3922,5,FALSE)</f>
        <v>New</v>
      </c>
      <c r="G96" s="339" t="str">
        <f t="shared" si="6"/>
        <v>Yes</v>
      </c>
      <c r="H96" s="339" t="str">
        <f t="shared" si="7"/>
        <v>Yes</v>
      </c>
      <c r="I96" s="435">
        <f>SUMIF('Diags Raw Data'!$A$6:$A$3830,"*"&amp;$A96&amp;"*",'Diags Raw Data'!$K$6:$K$3830)</f>
        <v>0</v>
      </c>
      <c r="J96" s="437">
        <f>SUMIF('Diags Raw Data'!$A$6:$A$3830,"*"&amp;$A96&amp;"*",'Diags Raw Data'!$L$6:$L$3830)</f>
        <v>0</v>
      </c>
      <c r="K96" s="484" cm="1">
        <f t="array" ref="K96">IF(D96="",0, SUMPRODUCT(--(ISNUMBER(SEARCH($A96,'Diags Raw Data'!$A$6:$A$3830))),'Diags Raw Data'!$L$6:$L$3830,'Diags Raw Data'!$N$6:$N$3830)/J96)</f>
        <v>0</v>
      </c>
      <c r="L96" s="485" cm="1">
        <f t="array" ref="L96">IF(D96="",0, SUMPRODUCT(--(ISNUMBER(SEARCH($A96,'Diags Raw Data'!$A$6:$A$3830))),'Diags Raw Data'!$L$6:$L$3830,'Diags Raw Data'!$P$6:$P$3830)/J96)</f>
        <v>0</v>
      </c>
      <c r="M96" s="486" cm="1">
        <f t="array" ref="M96">SUMPRODUCT(--(ISNUMBER(SEARCH($A96,'Diags Raw Data'!$A$6:$A$3830))),--('Diags Raw Data'!$Q$6:$Q$3830&lt;&gt;"N/A"),'Diags Raw Data'!$R$6:$R$3830)</f>
        <v>0</v>
      </c>
      <c r="N96" s="487" cm="1">
        <f t="array" ref="N96">SUMPRODUCT(--(ISNUMBER(SEARCH($A96,'Diags Raw Data'!$A$6:$A$3830))),--('Diags Raw Data'!$Q$6:$Q$3830&lt;&gt;"N/A"),'Diags Raw Data'!$T$6:$T$3830)+SUMPRODUCT(--(ISNUMBER(SEARCH($A96,'Diags Raw Data'!$A$6:$A$3830))),--('Diags Raw Data'!$Q$6:$Q$3830&lt;&gt;"N/A"),'Diags Raw Data'!$U$6:$U$3830)</f>
        <v>0</v>
      </c>
      <c r="O96" s="488">
        <f>IF((M96=0),0,N96/M96)</f>
        <v>0</v>
      </c>
      <c r="P96" s="489">
        <f>SUMIF('Diags Raw Data'!$A$6:$A$3830,"*"&amp;$A96&amp;"*",'Diags Raw Data'!$Z$6:$Z$3830)</f>
        <v>0</v>
      </c>
      <c r="Q96" s="490">
        <f>SUM(SUMIF('Diags Raw Data'!$A$6:$A$3830,"*"&amp;$A96&amp;"*",'Diags Raw Data'!$AA$6:$AA$3830),SUMIF('Diags Raw Data'!$A$6:$A$3830,"*"&amp;$A96&amp;"*",'Diags Raw Data'!$AB$6:$AB$3830))</f>
        <v>0</v>
      </c>
      <c r="R96" s="491">
        <f t="shared" si="8"/>
        <v>0</v>
      </c>
      <c r="S96" s="491">
        <f t="shared" si="9"/>
        <v>0</v>
      </c>
      <c r="T96" s="492">
        <f t="shared" si="10"/>
        <v>0</v>
      </c>
      <c r="U96" s="432" t="e">
        <f>VLOOKUP(A96,'Diags Raw Data'!$A$6:$AH$3830,33,FALSE)</f>
        <v>#N/A</v>
      </c>
      <c r="V96" s="181"/>
    </row>
    <row r="97" spans="1:22" ht="15.75" thickBot="1" x14ac:dyDescent="0.3">
      <c r="A97" s="546">
        <v>12.175000000000001</v>
      </c>
      <c r="B97" s="434" t="str">
        <f>VLOOKUP(A97,'Feature Raw Data'!$A$3:$B$3922,2,FALSE)</f>
        <v>RS64 Atomic ISA Ext</v>
      </c>
      <c r="C97" s="435" t="str">
        <f>VLOOKUP(A97,'Feature Raw Data'!$A$3:$C$3922,3,FALSE)</f>
        <v>P1</v>
      </c>
      <c r="D97" s="436" t="str" cm="1">
        <f t="array" ref="D97">_xlfn.TEXTJOIN("",TRUE,IF(ISNUMBER(SEARCH($A97,'Diags Raw Data'!$A$6:$A$3830)),CONCATENATE('Diags Raw Data'!$H$6:$H$3830,", "),""))</f>
        <v xml:space="preserve">gci30.3, </v>
      </c>
      <c r="E97" s="339" t="str">
        <f>VLOOKUP(A97,'Diags Raw Data'!$A$6:$D$3830,4,FALSE)</f>
        <v>CTL</v>
      </c>
      <c r="F97" s="339" t="str">
        <f>VLOOKUP(A97,'Feature Raw Data'!$A$3:$E$3922,5,FALSE)</f>
        <v>New</v>
      </c>
      <c r="G97" s="339" t="str">
        <f t="shared" si="6"/>
        <v>Yes</v>
      </c>
      <c r="H97" s="339" t="str">
        <f t="shared" si="7"/>
        <v>Yes</v>
      </c>
      <c r="I97" s="435">
        <f>SUMIF('Diags Raw Data'!$A$6:$A$3830,"*"&amp;$A97&amp;"*",'Diags Raw Data'!$K$6:$K$3830)</f>
        <v>0</v>
      </c>
      <c r="J97" s="437">
        <f>SUMIF('Diags Raw Data'!$A$6:$A$3830,"*"&amp;$A97&amp;"*",'Diags Raw Data'!$L$6:$L$3830)</f>
        <v>0</v>
      </c>
      <c r="K97" s="484" t="e" cm="1">
        <f t="array" ref="K97">IF(D97="",0, SUMPRODUCT(--(ISNUMBER(SEARCH($A97,'Diags Raw Data'!$A$6:$A$3830))),'Diags Raw Data'!$L$6:$L$3830,'Diags Raw Data'!$N$6:$N$3830)/J97)</f>
        <v>#DIV/0!</v>
      </c>
      <c r="L97" s="485" t="e" cm="1">
        <f t="array" ref="L97">IF(D97="",0, SUMPRODUCT(--(ISNUMBER(SEARCH($A97,'Diags Raw Data'!$A$6:$A$3830))),'Diags Raw Data'!$L$6:$L$3830,'Diags Raw Data'!$P$6:$P$3830)/J97)</f>
        <v>#DIV/0!</v>
      </c>
      <c r="M97" s="486" cm="1">
        <f t="array" ref="M97">SUMPRODUCT(--(ISNUMBER(SEARCH($A97,'Diags Raw Data'!$A$6:$A$3830))),--('Diags Raw Data'!$Q$6:$Q$3830&lt;&gt;"N/A"),'Diags Raw Data'!$R$6:$R$3830)</f>
        <v>1</v>
      </c>
      <c r="N97" s="487" cm="1">
        <f t="array" ref="N97">SUMPRODUCT(--(ISNUMBER(SEARCH($A97,'Diags Raw Data'!$A$6:$A$3830))),--('Diags Raw Data'!$Q$6:$Q$3830&lt;&gt;"N/A"),'Diags Raw Data'!$T$6:$T$3830)+SUMPRODUCT(--(ISNUMBER(SEARCH($A97,'Diags Raw Data'!$A$6:$A$3830))),--('Diags Raw Data'!$Q$6:$Q$3830&lt;&gt;"N/A"),'Diags Raw Data'!$U$6:$U$3830)</f>
        <v>0</v>
      </c>
      <c r="O97" s="488">
        <f>IF((M97=0),0,N97/M97)</f>
        <v>0</v>
      </c>
      <c r="P97" s="489">
        <f>SUMIF('Diags Raw Data'!$A$6:$A$3830,"*"&amp;$A97&amp;"*",'Diags Raw Data'!$Z$6:$Z$3830)</f>
        <v>0</v>
      </c>
      <c r="Q97" s="490">
        <f>SUM(SUMIF('Diags Raw Data'!$A$6:$A$3830,"*"&amp;$A97&amp;"*",'Diags Raw Data'!$AA$6:$AA$3830),SUMIF('Diags Raw Data'!$A$6:$A$3830,"*"&amp;$A97&amp;"*",'Diags Raw Data'!$AB$6:$AB$3830))</f>
        <v>0</v>
      </c>
      <c r="R97" s="491">
        <f>IF((J97=0),0,P97/J97)</f>
        <v>0</v>
      </c>
      <c r="S97" s="491">
        <f>IF((P97=0),0,Q97/P97)</f>
        <v>0</v>
      </c>
      <c r="T97" s="492">
        <f>R97*S97</f>
        <v>0</v>
      </c>
      <c r="U97" s="432" t="str">
        <f>VLOOKUP(A97,'Diags Raw Data'!$A$6:$AH$3830,33,FALSE)</f>
        <v>WK5</v>
      </c>
      <c r="V97" s="181"/>
    </row>
    <row r="98" spans="1:22" ht="30.75" thickBot="1" x14ac:dyDescent="0.3">
      <c r="A98" s="546">
        <v>12.183999999999999</v>
      </c>
      <c r="B98" s="434" t="str">
        <f>VLOOKUP(A98,'Feature Raw Data'!$A$3:$B$3922,2,FALSE)</f>
        <v>GLx bus widths and configuration</v>
      </c>
      <c r="C98" s="435" t="str">
        <f>VLOOKUP(A98,'Feature Raw Data'!$A$3:$C$3922,3,FALSE)</f>
        <v>P1</v>
      </c>
      <c r="D98" s="436" t="str" cm="1">
        <f t="array" ref="D98">_xlfn.TEXTJOIN("",TRUE,IF(ISNUMBER(SEARCH($A98,'Diags Raw Data'!$A$6:$A$3830)),CONCATENATE('Diags Raw Data'!$H$6:$H$3830,", "),""))</f>
        <v xml:space="preserve">placeholder_g.1-8, </v>
      </c>
      <c r="E98" s="339" t="str">
        <f>VLOOKUP(A98,'Diags Raw Data'!$A$6:$D$3830,4,FALSE)</f>
        <v>CMM</v>
      </c>
      <c r="F98" s="339" t="str">
        <f>VLOOKUP(A98,'Feature Raw Data'!$A$3:$E$3922,5,FALSE)</f>
        <v>New</v>
      </c>
      <c r="G98" s="339" t="str">
        <f t="shared" si="6"/>
        <v>Yes</v>
      </c>
      <c r="H98" s="339" t="str">
        <f t="shared" si="7"/>
        <v>Yes</v>
      </c>
      <c r="I98" s="435">
        <f>SUMIF('Diags Raw Data'!$A$6:$A$3830,"*"&amp;$A98&amp;"*",'Diags Raw Data'!$K$6:$K$3830)</f>
        <v>0</v>
      </c>
      <c r="J98" s="437">
        <f>SUMIF('Diags Raw Data'!$A$6:$A$3830,"*"&amp;$A98&amp;"*",'Diags Raw Data'!$L$6:$L$3830)</f>
        <v>0</v>
      </c>
      <c r="K98" s="484" t="e" cm="1">
        <f t="array" ref="K98">IF(D98="",0, SUMPRODUCT(--(ISNUMBER(SEARCH($A98,'Diags Raw Data'!$A$6:$A$3830))),'Diags Raw Data'!$L$6:$L$3830,'Diags Raw Data'!$N$6:$N$3830)/J98)</f>
        <v>#DIV/0!</v>
      </c>
      <c r="L98" s="485" t="e" cm="1">
        <f t="array" ref="L98">IF(D98="",0, SUMPRODUCT(--(ISNUMBER(SEARCH($A98,'Diags Raw Data'!$A$6:$A$3830))),'Diags Raw Data'!$L$6:$L$3830,'Diags Raw Data'!$P$6:$P$3830)/J98)</f>
        <v>#DIV/0!</v>
      </c>
      <c r="M98" s="486" cm="1">
        <f t="array" ref="M98">SUMPRODUCT(--(ISNUMBER(SEARCH($A98,'Diags Raw Data'!$A$6:$A$3830))),--('Diags Raw Data'!$Q$6:$Q$3830&lt;&gt;"N/A"),'Diags Raw Data'!$R$6:$R$3830)</f>
        <v>8</v>
      </c>
      <c r="N98" s="487" cm="1">
        <f t="array" ref="N98">SUMPRODUCT(--(ISNUMBER(SEARCH($A98,'Diags Raw Data'!$A$6:$A$3830))),--('Diags Raw Data'!$Q$6:$Q$3830&lt;&gt;"N/A"),'Diags Raw Data'!$T$6:$T$3830)+SUMPRODUCT(--(ISNUMBER(SEARCH($A98,'Diags Raw Data'!$A$6:$A$3830))),--('Diags Raw Data'!$Q$6:$Q$3830&lt;&gt;"N/A"),'Diags Raw Data'!$U$6:$U$3830)</f>
        <v>8</v>
      </c>
      <c r="O98" s="488">
        <f t="shared" si="11"/>
        <v>1</v>
      </c>
      <c r="P98" s="489">
        <f>SUMIF('Diags Raw Data'!$A$6:$A$3830,"*"&amp;$A98&amp;"*",'Diags Raw Data'!$Z$6:$Z$3830)</f>
        <v>0</v>
      </c>
      <c r="Q98" s="490">
        <f>SUM(SUMIF('Diags Raw Data'!$A$6:$A$3830,"*"&amp;$A98&amp;"*",'Diags Raw Data'!$AA$6:$AA$3830),SUMIF('Diags Raw Data'!$A$6:$A$3830,"*"&amp;$A98&amp;"*",'Diags Raw Data'!$AB$6:$AB$3830))</f>
        <v>0</v>
      </c>
      <c r="R98" s="491">
        <f t="shared" si="8"/>
        <v>0</v>
      </c>
      <c r="S98" s="491">
        <f t="shared" si="9"/>
        <v>0</v>
      </c>
      <c r="T98" s="492">
        <f t="shared" si="10"/>
        <v>0</v>
      </c>
      <c r="U98" s="432" t="str">
        <f>VLOOKUP(A98,'Diags Raw Data'!$A$6:$AH$3830,33,FALSE)</f>
        <v>WK2</v>
      </c>
      <c r="V98" s="181"/>
    </row>
    <row r="99" spans="1:22" ht="45.75" thickBot="1" x14ac:dyDescent="0.3">
      <c r="A99" s="546">
        <v>12.185</v>
      </c>
      <c r="B99" s="434" t="str">
        <f>VLOOKUP(A99,'Feature Raw Data'!$A$3:$B$3922,2,FALSE)</f>
        <v>CH 256B read/write support</v>
      </c>
      <c r="C99" s="435" t="str">
        <f>VLOOKUP(A99,'Feature Raw Data'!$A$3:$C$3922,3,FALSE)</f>
        <v>P1</v>
      </c>
      <c r="D99" s="436" t="str" cm="1">
        <f t="array" ref="D99">_xlfn.TEXTJOIN("",TRUE,IF(ISNUMBER(SEARCH($A99,'Diags Raw Data'!$A$6:$A$3830)),CONCATENATE('Diags Raw Data'!$H$6:$H$3830,", "),""))</f>
        <v xml:space="preserve">gfx.cmm_cp_ch_access_size_monolithic_gfx12,gfx.cmm_sdma_access_size_monolithic, </v>
      </c>
      <c r="E99" s="339" t="str">
        <f>VLOOKUP(A99,'Diags Raw Data'!$A$6:$D$3830,4,FALSE)</f>
        <v>CMM</v>
      </c>
      <c r="F99" s="339" t="str">
        <f>VLOOKUP(A99,'Feature Raw Data'!$A$3:$E$3922,5,FALSE)</f>
        <v>New</v>
      </c>
      <c r="G99" s="339" t="str">
        <f t="shared" si="6"/>
        <v>Yes</v>
      </c>
      <c r="H99" s="339" t="str">
        <f t="shared" si="7"/>
        <v>Yes</v>
      </c>
      <c r="I99" s="435">
        <f>SUMIF('Diags Raw Data'!$A$6:$A$3830,"*"&amp;$A99&amp;"*",'Diags Raw Data'!$K$6:$K$3830)</f>
        <v>0</v>
      </c>
      <c r="J99" s="437">
        <f>SUMIF('Diags Raw Data'!$A$6:$A$3830,"*"&amp;$A99&amp;"*",'Diags Raw Data'!$L$6:$L$3830)</f>
        <v>0</v>
      </c>
      <c r="K99" s="484" t="e" cm="1">
        <f t="array" ref="K99">IF(D99="",0, SUMPRODUCT(--(ISNUMBER(SEARCH($A99,'Diags Raw Data'!$A$6:$A$3830))),'Diags Raw Data'!$L$6:$L$3830,'Diags Raw Data'!$N$6:$N$3830)/J99)</f>
        <v>#DIV/0!</v>
      </c>
      <c r="L99" s="485" t="e" cm="1">
        <f t="array" ref="L99">IF(D99="",0, SUMPRODUCT(--(ISNUMBER(SEARCH($A99,'Diags Raw Data'!$A$6:$A$3830))),'Diags Raw Data'!$L$6:$L$3830,'Diags Raw Data'!$P$6:$P$3830)/J99)</f>
        <v>#DIV/0!</v>
      </c>
      <c r="M99" s="486" cm="1">
        <f t="array" ref="M99">SUMPRODUCT(--(ISNUMBER(SEARCH($A99,'Diags Raw Data'!$A$6:$A$3830))),--('Diags Raw Data'!$Q$6:$Q$3830&lt;&gt;"N/A"),'Diags Raw Data'!$R$6:$R$3830)</f>
        <v>2</v>
      </c>
      <c r="N99" s="487" cm="1">
        <f t="array" ref="N99">SUMPRODUCT(--(ISNUMBER(SEARCH($A99,'Diags Raw Data'!$A$6:$A$3830))),--('Diags Raw Data'!$Q$6:$Q$3830&lt;&gt;"N/A"),'Diags Raw Data'!$T$6:$T$3830)+SUMPRODUCT(--(ISNUMBER(SEARCH($A99,'Diags Raw Data'!$A$6:$A$3830))),--('Diags Raw Data'!$Q$6:$Q$3830&lt;&gt;"N/A"),'Diags Raw Data'!$U$6:$U$3830)</f>
        <v>2</v>
      </c>
      <c r="O99" s="488">
        <f t="shared" si="11"/>
        <v>1</v>
      </c>
      <c r="P99" s="489">
        <f>SUMIF('Diags Raw Data'!$A$6:$A$3830,"*"&amp;$A99&amp;"*",'Diags Raw Data'!$Z$6:$Z$3830)</f>
        <v>0</v>
      </c>
      <c r="Q99" s="490">
        <f>SUM(SUMIF('Diags Raw Data'!$A$6:$A$3830,"*"&amp;$A99&amp;"*",'Diags Raw Data'!$AA$6:$AA$3830),SUMIF('Diags Raw Data'!$A$6:$A$3830,"*"&amp;$A99&amp;"*",'Diags Raw Data'!$AB$6:$AB$3830))</f>
        <v>0</v>
      </c>
      <c r="R99" s="491">
        <f t="shared" si="8"/>
        <v>0</v>
      </c>
      <c r="S99" s="491">
        <f t="shared" si="9"/>
        <v>0</v>
      </c>
      <c r="T99" s="492">
        <f t="shared" si="10"/>
        <v>0</v>
      </c>
      <c r="U99" s="432" t="str">
        <f>VLOOKUP(A99,'Diags Raw Data'!$A$6:$AH$3830,33,FALSE)</f>
        <v>WK3</v>
      </c>
      <c r="V99" s="181"/>
    </row>
    <row r="100" spans="1:22" ht="45.75" thickBot="1" x14ac:dyDescent="0.3">
      <c r="A100" s="546">
        <v>12.186</v>
      </c>
      <c r="B100" s="434" t="str">
        <f>VLOOKUP(A100,'Feature Raw Data'!$A$3:$B$3922,2,FALSE)</f>
        <v>Add SP support for float8 (fp8/bf8) dot products (ieee and/or non-ieee)</v>
      </c>
      <c r="C100" s="435" t="str">
        <f>VLOOKUP(A100,'Feature Raw Data'!$A$3:$C$3922,3,FALSE)</f>
        <v>P1</v>
      </c>
      <c r="D100" s="436" t="str" cm="1">
        <f t="array" ref="D100">_xlfn.TEXTJOIN("",TRUE,IF(ISNUMBER(SEARCH($A100,'Diags Raw Data'!$A$6:$A$3830)),CONCATENATE('Diags Raw Data'!$H$6:$H$3830,", "),""))</f>
        <v xml:space="preserve">gfx.inst_perf/v_wmma.1-5,gfx.inst_perf/v_cvt.1-5,gfx.inst_perf/v_dot4_f32.1-5, </v>
      </c>
      <c r="E100" s="339" t="str">
        <f>VLOOKUP(A100,'Diags Raw Data'!$A$6:$D$3830,4,FALSE)</f>
        <v>SH</v>
      </c>
      <c r="F100" s="339" t="str">
        <f>VLOOKUP(A100,'Feature Raw Data'!$A$3:$E$3922,5,FALSE)</f>
        <v>New</v>
      </c>
      <c r="G100" s="339" t="str">
        <f t="shared" si="6"/>
        <v>Yes</v>
      </c>
      <c r="H100" s="339" t="str">
        <f t="shared" si="7"/>
        <v>Yes</v>
      </c>
      <c r="I100" s="435">
        <f>SUMIF('Diags Raw Data'!$A$6:$A$3830,"*"&amp;$A100&amp;"*",'Diags Raw Data'!$K$6:$K$3830)</f>
        <v>0</v>
      </c>
      <c r="J100" s="437">
        <f>SUMIF('Diags Raw Data'!$A$6:$A$3830,"*"&amp;$A100&amp;"*",'Diags Raw Data'!$L$6:$L$3830)</f>
        <v>0</v>
      </c>
      <c r="K100" s="484" t="e" cm="1">
        <f t="array" ref="K100">IF(D100="",0, SUMPRODUCT(--(ISNUMBER(SEARCH($A100,'Diags Raw Data'!$A$6:$A$3830))),'Diags Raw Data'!$L$6:$L$3830,'Diags Raw Data'!$N$6:$N$3830)/J100)</f>
        <v>#DIV/0!</v>
      </c>
      <c r="L100" s="485" t="e" cm="1">
        <f t="array" ref="L100">IF(D100="",0, SUMPRODUCT(--(ISNUMBER(SEARCH($A100,'Diags Raw Data'!$A$6:$A$3830))),'Diags Raw Data'!$L$6:$L$3830,'Diags Raw Data'!$P$6:$P$3830)/J100)</f>
        <v>#DIV/0!</v>
      </c>
      <c r="M100" s="486" cm="1">
        <f t="array" ref="M100">SUMPRODUCT(--(ISNUMBER(SEARCH($A100,'Diags Raw Data'!$A$6:$A$3830))),--('Diags Raw Data'!$Q$6:$Q$3830&lt;&gt;"N/A"),'Diags Raw Data'!$R$6:$R$3830)</f>
        <v>15</v>
      </c>
      <c r="N100" s="487" cm="1">
        <f t="array" ref="N100">SUMPRODUCT(--(ISNUMBER(SEARCH($A100,'Diags Raw Data'!$A$6:$A$3830))),--('Diags Raw Data'!$Q$6:$Q$3830&lt;&gt;"N/A"),'Diags Raw Data'!$T$6:$T$3830)+SUMPRODUCT(--(ISNUMBER(SEARCH($A100,'Diags Raw Data'!$A$6:$A$3830))),--('Diags Raw Data'!$Q$6:$Q$3830&lt;&gt;"N/A"),'Diags Raw Data'!$U$6:$U$3830)</f>
        <v>15</v>
      </c>
      <c r="O100" s="488">
        <f t="shared" si="11"/>
        <v>1</v>
      </c>
      <c r="P100" s="489">
        <f>SUMIF('Diags Raw Data'!$A$6:$A$3830,"*"&amp;$A100&amp;"*",'Diags Raw Data'!$Z$6:$Z$3830)</f>
        <v>0</v>
      </c>
      <c r="Q100" s="490">
        <f>SUM(SUMIF('Diags Raw Data'!$A$6:$A$3830,"*"&amp;$A100&amp;"*",'Diags Raw Data'!$AA$6:$AA$3830),SUMIF('Diags Raw Data'!$A$6:$A$3830,"*"&amp;$A100&amp;"*",'Diags Raw Data'!$AB$6:$AB$3830))</f>
        <v>0</v>
      </c>
      <c r="R100" s="491">
        <f t="shared" si="8"/>
        <v>0</v>
      </c>
      <c r="S100" s="491">
        <f t="shared" si="9"/>
        <v>0</v>
      </c>
      <c r="T100" s="492">
        <f t="shared" si="10"/>
        <v>0</v>
      </c>
      <c r="U100" s="432" t="str">
        <f>VLOOKUP(A100,'Diags Raw Data'!$A$6:$AH$3830,33,FALSE)</f>
        <v>WK3</v>
      </c>
      <c r="V100" s="181"/>
    </row>
    <row r="101" spans="1:22" ht="30.75" thickBot="1" x14ac:dyDescent="0.3">
      <c r="A101" s="546">
        <v>12.188000000000001</v>
      </c>
      <c r="B101" s="434" t="str">
        <f>VLOOKUP(A101,'Feature Raw Data'!$A$3:$B$3922,2,FALSE)</f>
        <v>Make shader round-robin arb in workgroup usable by driver</v>
      </c>
      <c r="C101" s="435" t="str">
        <f>VLOOKUP(A101,'Feature Raw Data'!$A$3:$C$3922,3,FALSE)</f>
        <v>P1</v>
      </c>
      <c r="D101" s="436" t="str" cm="1">
        <f t="array" ref="D101">_xlfn.TEXTJOIN("",TRUE,IF(ISNUMBER(SEARCH($A101,'Diags Raw Data'!$A$6:$A$3830)),CONCATENATE('Diags Raw Data'!$H$6:$H$3830,", "),""))</f>
        <v xml:space="preserve">gci1306.0-2,gssi212.11, </v>
      </c>
      <c r="E101" s="339" t="str">
        <f>VLOOKUP(A101,'Diags Raw Data'!$A$6:$D$3830,4,FALSE)</f>
        <v>SH</v>
      </c>
      <c r="F101" s="339" t="str">
        <f>VLOOKUP(A101,'Feature Raw Data'!$A$3:$E$3922,5,FALSE)</f>
        <v>New</v>
      </c>
      <c r="G101" s="339" t="str">
        <f t="shared" si="6"/>
        <v>Yes</v>
      </c>
      <c r="H101" s="339" t="str">
        <f t="shared" si="7"/>
        <v>Yes</v>
      </c>
      <c r="I101" s="435">
        <f>SUMIF('Diags Raw Data'!$A$6:$A$3830,"*"&amp;$A101&amp;"*",'Diags Raw Data'!$K$6:$K$3830)</f>
        <v>0</v>
      </c>
      <c r="J101" s="437">
        <f>SUMIF('Diags Raw Data'!$A$6:$A$3830,"*"&amp;$A101&amp;"*",'Diags Raw Data'!$L$6:$L$3830)</f>
        <v>0</v>
      </c>
      <c r="K101" s="484" t="e" cm="1">
        <f t="array" ref="K101">IF(D101="",0, SUMPRODUCT(--(ISNUMBER(SEARCH($A101,'Diags Raw Data'!$A$6:$A$3830))),'Diags Raw Data'!$L$6:$L$3830,'Diags Raw Data'!$N$6:$N$3830)/J101)</f>
        <v>#DIV/0!</v>
      </c>
      <c r="L101" s="485" t="e" cm="1">
        <f t="array" ref="L101">IF(D101="",0, SUMPRODUCT(--(ISNUMBER(SEARCH($A101,'Diags Raw Data'!$A$6:$A$3830))),'Diags Raw Data'!$L$6:$L$3830,'Diags Raw Data'!$P$6:$P$3830)/J101)</f>
        <v>#DIV/0!</v>
      </c>
      <c r="M101" s="486" cm="1">
        <f t="array" ref="M101">SUMPRODUCT(--(ISNUMBER(SEARCH($A101,'Diags Raw Data'!$A$6:$A$3830))),--('Diags Raw Data'!$Q$6:$Q$3830&lt;&gt;"N/A"),'Diags Raw Data'!$R$6:$R$3830)</f>
        <v>3</v>
      </c>
      <c r="N101" s="487" cm="1">
        <f t="array" ref="N101">SUMPRODUCT(--(ISNUMBER(SEARCH($A101,'Diags Raw Data'!$A$6:$A$3830))),--('Diags Raw Data'!$Q$6:$Q$3830&lt;&gt;"N/A"),'Diags Raw Data'!$T$6:$T$3830)+SUMPRODUCT(--(ISNUMBER(SEARCH($A101,'Diags Raw Data'!$A$6:$A$3830))),--('Diags Raw Data'!$Q$6:$Q$3830&lt;&gt;"N/A"),'Diags Raw Data'!$U$6:$U$3830)</f>
        <v>3</v>
      </c>
      <c r="O101" s="488">
        <f>IF((M101=0),0,N101/M101)</f>
        <v>1</v>
      </c>
      <c r="P101" s="489">
        <f>SUMIF('Diags Raw Data'!$A$6:$A$3830,"*"&amp;$A101&amp;"*",'Diags Raw Data'!$Z$6:$Z$3830)</f>
        <v>0</v>
      </c>
      <c r="Q101" s="490">
        <f>SUM(SUMIF('Diags Raw Data'!$A$6:$A$3830,"*"&amp;$A101&amp;"*",'Diags Raw Data'!$AA$6:$AA$3830),SUMIF('Diags Raw Data'!$A$6:$A$3830,"*"&amp;$A101&amp;"*",'Diags Raw Data'!$AB$6:$AB$3830))</f>
        <v>0</v>
      </c>
      <c r="R101" s="491">
        <f>IF((J101=0),0,P101/J101)</f>
        <v>0</v>
      </c>
      <c r="S101" s="491">
        <f t="shared" si="9"/>
        <v>0</v>
      </c>
      <c r="T101" s="492">
        <f t="shared" si="10"/>
        <v>0</v>
      </c>
      <c r="U101" s="432" t="str">
        <f>VLOOKUP(A101,'Diags Raw Data'!$A$6:$AH$3830,33,FALSE)</f>
        <v>WK4</v>
      </c>
      <c r="V101" s="181"/>
    </row>
    <row r="102" spans="1:22" ht="45.75" thickBot="1" x14ac:dyDescent="0.3">
      <c r="A102" s="546">
        <v>12.191000000000001</v>
      </c>
      <c r="B102" s="434" t="str">
        <f>VLOOKUP(A102,'Feature Raw Data'!$A$3:$B$3922,2,FALSE)</f>
        <v>Capture shader memviol source to speed up bringup debug</v>
      </c>
      <c r="C102" s="435" t="str">
        <f>VLOOKUP(A102,'Feature Raw Data'!$A$3:$C$3922,3,FALSE)</f>
        <v>P1</v>
      </c>
      <c r="D102" s="436" t="str" cm="1">
        <f t="array" ref="D102">_xlfn.TEXTJOIN("",TRUE,IF(ISNUMBER(SEARCH($A102,'Diags Raw Data'!$A$6:$A$3830)),CONCATENATE('Diags Raw Data'!$H$6:$H$3830,", "),""))</f>
        <v xml:space="preserve">gci1305.0,gci1305.3,gci1305.4,gci1305.5,gci1305.6, </v>
      </c>
      <c r="E102" s="339" t="str">
        <f>VLOOKUP(A102,'Diags Raw Data'!$A$6:$D$3830,4,FALSE)</f>
        <v>SH</v>
      </c>
      <c r="F102" s="339" t="str">
        <f>VLOOKUP(A102,'Feature Raw Data'!$A$3:$E$3922,5,FALSE)</f>
        <v>New</v>
      </c>
      <c r="G102" s="339" t="str">
        <f t="shared" si="6"/>
        <v>Yes</v>
      </c>
      <c r="H102" s="339" t="str">
        <f t="shared" si="7"/>
        <v>Yes</v>
      </c>
      <c r="I102" s="435">
        <f>SUMIF('Diags Raw Data'!$A$6:$A$3830,"*"&amp;$A102&amp;"*",'Diags Raw Data'!$K$6:$K$3830)</f>
        <v>0</v>
      </c>
      <c r="J102" s="437">
        <f>SUMIF('Diags Raw Data'!$A$6:$A$3830,"*"&amp;$A102&amp;"*",'Diags Raw Data'!$L$6:$L$3830)</f>
        <v>0</v>
      </c>
      <c r="K102" s="484" t="e" cm="1">
        <f t="array" ref="K102">IF(D102="",0, SUMPRODUCT(--(ISNUMBER(SEARCH($A102,'Diags Raw Data'!$A$6:$A$3830))),'Diags Raw Data'!$L$6:$L$3830,'Diags Raw Data'!$N$6:$N$3830)/J102)</f>
        <v>#DIV/0!</v>
      </c>
      <c r="L102" s="485" t="e" cm="1">
        <f t="array" ref="L102">IF(D102="",0, SUMPRODUCT(--(ISNUMBER(SEARCH($A102,'Diags Raw Data'!$A$6:$A$3830))),'Diags Raw Data'!$L$6:$L$3830,'Diags Raw Data'!$P$6:$P$3830)/J102)</f>
        <v>#DIV/0!</v>
      </c>
      <c r="M102" s="486" cm="1">
        <f t="array" ref="M102">SUMPRODUCT(--(ISNUMBER(SEARCH($A102,'Diags Raw Data'!$A$6:$A$3830))),--('Diags Raw Data'!$Q$6:$Q$3830&lt;&gt;"N/A"),'Diags Raw Data'!$R$6:$R$3830)</f>
        <v>5</v>
      </c>
      <c r="N102" s="487" cm="1">
        <f t="array" ref="N102">SUMPRODUCT(--(ISNUMBER(SEARCH($A102,'Diags Raw Data'!$A$6:$A$3830))),--('Diags Raw Data'!$Q$6:$Q$3830&lt;&gt;"N/A"),'Diags Raw Data'!$T$6:$T$3830)+SUMPRODUCT(--(ISNUMBER(SEARCH($A102,'Diags Raw Data'!$A$6:$A$3830))),--('Diags Raw Data'!$Q$6:$Q$3830&lt;&gt;"N/A"),'Diags Raw Data'!$U$6:$U$3830)</f>
        <v>5</v>
      </c>
      <c r="O102" s="488">
        <f t="shared" si="11"/>
        <v>1</v>
      </c>
      <c r="P102" s="489">
        <f>SUMIF('Diags Raw Data'!$A$6:$A$3830,"*"&amp;$A102&amp;"*",'Diags Raw Data'!$Z$6:$Z$3830)</f>
        <v>0</v>
      </c>
      <c r="Q102" s="490">
        <f>SUM(SUMIF('Diags Raw Data'!$A$6:$A$3830,"*"&amp;$A102&amp;"*",'Diags Raw Data'!$AA$6:$AA$3830),SUMIF('Diags Raw Data'!$A$6:$A$3830,"*"&amp;$A102&amp;"*",'Diags Raw Data'!$AB$6:$AB$3830))</f>
        <v>0</v>
      </c>
      <c r="R102" s="491">
        <f>IF((J102=0),0,P102/J102)</f>
        <v>0</v>
      </c>
      <c r="S102" s="491">
        <f t="shared" si="9"/>
        <v>0</v>
      </c>
      <c r="T102" s="492">
        <f t="shared" si="10"/>
        <v>0</v>
      </c>
      <c r="U102" s="432" t="str">
        <f>VLOOKUP(A102,'Diags Raw Data'!$A$6:$AH$3830,33,FALSE)</f>
        <v>WK5</v>
      </c>
      <c r="V102" s="181"/>
    </row>
    <row r="103" spans="1:22" ht="30.75" thickBot="1" x14ac:dyDescent="0.3">
      <c r="A103" s="546">
        <v>12.192</v>
      </c>
      <c r="B103" s="434" t="str">
        <f>VLOOKUP(A103,'Feature Raw Data'!$A$3:$B$3922,2,FALSE)</f>
        <v>UTCL2 UTCL1 Dummy INV interface removal</v>
      </c>
      <c r="C103" s="435" t="str">
        <f>VLOOKUP(A103,'Feature Raw Data'!$A$3:$C$3922,3,FALSE)</f>
        <v>P2</v>
      </c>
      <c r="D103" s="436" t="str" cm="1">
        <f t="array" ref="D103">_xlfn.TEXTJOIN("",TRUE,IF(ISNUMBER(SEARCH($A103,'Diags Raw Data'!$A$6:$A$3830)),CONCATENATE('Diags Raw Data'!$H$6:$H$3830,", "),""))</f>
        <v/>
      </c>
      <c r="E103" s="339" t="e">
        <f>VLOOKUP(A103,'Diags Raw Data'!$A$6:$D$3830,4,FALSE)</f>
        <v>#N/A</v>
      </c>
      <c r="F103" s="339" t="str">
        <f>VLOOKUP(A103,'Feature Raw Data'!$A$3:$E$3922,5,FALSE)</f>
        <v>New</v>
      </c>
      <c r="G103" s="339" t="str">
        <f t="shared" si="6"/>
        <v>Yes</v>
      </c>
      <c r="H103" s="339" t="str">
        <f t="shared" si="7"/>
        <v>Yes</v>
      </c>
      <c r="I103" s="435">
        <f>SUMIF('Diags Raw Data'!$A$6:$A$3830,"*"&amp;$A103&amp;"*",'Diags Raw Data'!$K$6:$K$3830)</f>
        <v>0</v>
      </c>
      <c r="J103" s="437">
        <f>SUMIF('Diags Raw Data'!$A$6:$A$3830,"*"&amp;$A103&amp;"*",'Diags Raw Data'!$L$6:$L$3830)</f>
        <v>0</v>
      </c>
      <c r="K103" s="484" cm="1">
        <f t="array" ref="K103">IF(D103="",0, SUMPRODUCT(--(ISNUMBER(SEARCH($A103,'Diags Raw Data'!$A$6:$A$3830))),'Diags Raw Data'!$L$6:$L$3830,'Diags Raw Data'!$N$6:$N$3830)/J103)</f>
        <v>0</v>
      </c>
      <c r="L103" s="485" cm="1">
        <f t="array" ref="L103">IF(D103="",0, SUMPRODUCT(--(ISNUMBER(SEARCH($A103,'Diags Raw Data'!$A$6:$A$3830))),'Diags Raw Data'!$L$6:$L$3830,'Diags Raw Data'!$P$6:$P$3830)/J103)</f>
        <v>0</v>
      </c>
      <c r="M103" s="486" cm="1">
        <f t="array" ref="M103">SUMPRODUCT(--(ISNUMBER(SEARCH($A103,'Diags Raw Data'!$A$6:$A$3830))),--('Diags Raw Data'!$Q$6:$Q$3830&lt;&gt;"N/A"),'Diags Raw Data'!$R$6:$R$3830)</f>
        <v>0</v>
      </c>
      <c r="N103" s="487" cm="1">
        <f t="array" ref="N103">SUMPRODUCT(--(ISNUMBER(SEARCH($A103,'Diags Raw Data'!$A$6:$A$3830))),--('Diags Raw Data'!$Q$6:$Q$3830&lt;&gt;"N/A"),'Diags Raw Data'!$T$6:$T$3830)+SUMPRODUCT(--(ISNUMBER(SEARCH($A103,'Diags Raw Data'!$A$6:$A$3830))),--('Diags Raw Data'!$Q$6:$Q$3830&lt;&gt;"N/A"),'Diags Raw Data'!$U$6:$U$3830)</f>
        <v>0</v>
      </c>
      <c r="O103" s="488">
        <f t="shared" si="11"/>
        <v>0</v>
      </c>
      <c r="P103" s="489">
        <f>SUMIF('Diags Raw Data'!$A$6:$A$3830,"*"&amp;$A103&amp;"*",'Diags Raw Data'!$Z$6:$Z$3830)</f>
        <v>0</v>
      </c>
      <c r="Q103" s="490">
        <f>SUM(SUMIF('Diags Raw Data'!$A$6:$A$3830,"*"&amp;$A103&amp;"*",'Diags Raw Data'!$AA$6:$AA$3830),SUMIF('Diags Raw Data'!$A$6:$A$3830,"*"&amp;$A103&amp;"*",'Diags Raw Data'!$AB$6:$AB$3830))</f>
        <v>0</v>
      </c>
      <c r="R103" s="491">
        <f>IF((J103=0),0,P103/J103)</f>
        <v>0</v>
      </c>
      <c r="S103" s="491">
        <f t="shared" si="9"/>
        <v>0</v>
      </c>
      <c r="T103" s="492">
        <f>R103*S103</f>
        <v>0</v>
      </c>
      <c r="U103" s="432" t="e">
        <f>VLOOKUP(A103,'Diags Raw Data'!$A$6:$AH$3830,33,FALSE)</f>
        <v>#N/A</v>
      </c>
      <c r="V103" s="552" t="s">
        <v>366</v>
      </c>
    </row>
    <row r="104" spans="1:22" ht="30.75" thickBot="1" x14ac:dyDescent="0.3">
      <c r="A104" s="546">
        <v>12.193</v>
      </c>
      <c r="B104" s="434" t="str">
        <f>VLOOKUP(A104,'Feature Raw Data'!$A$3:$B$3922,2,FALSE)</f>
        <v>Additional SAx client to UTCL1 (from 12.</v>
      </c>
      <c r="C104" s="435" t="str">
        <f>VLOOKUP(A104,'Feature Raw Data'!$A$3:$C$3922,3,FALSE)</f>
        <v>P1</v>
      </c>
      <c r="D104" s="436" t="str" cm="1">
        <f t="array" ref="D104">_xlfn.TEXTJOIN("",TRUE,IF(ISNUMBER(SEARCH($A104,'Diags Raw Data'!$A$6:$A$3830)),CONCATENATE('Diags Raw Data'!$H$6:$H$3830,", "),""))</f>
        <v xml:space="preserve">gfx.cmm_sax_utcl1_monolithic/utcl0_disable, </v>
      </c>
      <c r="E104" s="339" t="str">
        <f>VLOOKUP(A104,'Diags Raw Data'!$A$6:$D$3830,4,FALSE)</f>
        <v>CMM</v>
      </c>
      <c r="F104" s="339" t="str">
        <f>VLOOKUP(A104,'Feature Raw Data'!$A$3:$E$3922,5,FALSE)</f>
        <v>New</v>
      </c>
      <c r="G104" s="339" t="str">
        <f t="shared" si="6"/>
        <v>Yes</v>
      </c>
      <c r="H104" s="339" t="str">
        <f t="shared" si="7"/>
        <v>Yes</v>
      </c>
      <c r="I104" s="435">
        <f>SUMIF('Diags Raw Data'!$A$6:$A$3830,"*"&amp;$A104&amp;"*",'Diags Raw Data'!$K$6:$K$3830)</f>
        <v>0</v>
      </c>
      <c r="J104" s="437">
        <f>SUMIF('Diags Raw Data'!$A$6:$A$3830,"*"&amp;$A104&amp;"*",'Diags Raw Data'!$L$6:$L$3830)</f>
        <v>0</v>
      </c>
      <c r="K104" s="484" t="e" cm="1">
        <f t="array" ref="K104">IF(D104="",0, SUMPRODUCT(--(ISNUMBER(SEARCH($A104,'Diags Raw Data'!$A$6:$A$3830))),'Diags Raw Data'!$L$6:$L$3830,'Diags Raw Data'!$N$6:$N$3830)/J104)</f>
        <v>#DIV/0!</v>
      </c>
      <c r="L104" s="485" t="e" cm="1">
        <f t="array" ref="L104">IF(D104="",0, SUMPRODUCT(--(ISNUMBER(SEARCH($A104,'Diags Raw Data'!$A$6:$A$3830))),'Diags Raw Data'!$L$6:$L$3830,'Diags Raw Data'!$P$6:$P$3830)/J104)</f>
        <v>#DIV/0!</v>
      </c>
      <c r="M104" s="486" cm="1">
        <f t="array" ref="M104">SUMPRODUCT(--(ISNUMBER(SEARCH($A104,'Diags Raw Data'!$A$6:$A$3830))),--('Diags Raw Data'!$Q$6:$Q$3830&lt;&gt;"N/A"),'Diags Raw Data'!$R$6:$R$3830)</f>
        <v>1</v>
      </c>
      <c r="N104" s="487" cm="1">
        <f t="array" ref="N104">SUMPRODUCT(--(ISNUMBER(SEARCH($A104,'Diags Raw Data'!$A$6:$A$3830))),--('Diags Raw Data'!$Q$6:$Q$3830&lt;&gt;"N/A"),'Diags Raw Data'!$T$6:$T$3830)+SUMPRODUCT(--(ISNUMBER(SEARCH($A104,'Diags Raw Data'!$A$6:$A$3830))),--('Diags Raw Data'!$Q$6:$Q$3830&lt;&gt;"N/A"),'Diags Raw Data'!$U$6:$U$3830)</f>
        <v>1</v>
      </c>
      <c r="O104" s="488">
        <f>IF((M104=0),0,N104/M104)</f>
        <v>1</v>
      </c>
      <c r="P104" s="489">
        <f>SUMIF('Diags Raw Data'!$A$6:$A$3830,"*"&amp;$A104&amp;"*",'Diags Raw Data'!$Z$6:$Z$3830)</f>
        <v>0</v>
      </c>
      <c r="Q104" s="490">
        <f>SUM(SUMIF('Diags Raw Data'!$A$6:$A$3830,"*"&amp;$A104&amp;"*",'Diags Raw Data'!$AA$6:$AA$3830),SUMIF('Diags Raw Data'!$A$6:$A$3830,"*"&amp;$A104&amp;"*",'Diags Raw Data'!$AB$6:$AB$3830))</f>
        <v>0</v>
      </c>
      <c r="R104" s="491">
        <f>IF((J104=0),0,P104/J104)</f>
        <v>0</v>
      </c>
      <c r="S104" s="491">
        <f>IF((P104=0),0,Q104/P104)</f>
        <v>0</v>
      </c>
      <c r="T104" s="492">
        <f>R104*S104</f>
        <v>0</v>
      </c>
      <c r="U104" s="432" t="str">
        <f>VLOOKUP(A104,'Diags Raw Data'!$A$6:$AH$3830,33,FALSE)</f>
        <v>WK5</v>
      </c>
      <c r="V104" s="181"/>
    </row>
    <row r="105" spans="1:22" ht="30.75" thickBot="1" x14ac:dyDescent="0.3">
      <c r="A105" s="546">
        <v>12.196999999999999</v>
      </c>
      <c r="B105" s="434" t="str">
        <f>VLOOKUP(A105,'Feature Raw Data'!$A$3:$B$3922,2,FALSE)</f>
        <v>Ping-Pong walking for dispatches</v>
      </c>
      <c r="C105" s="435" t="str">
        <f>VLOOKUP(A105,'Feature Raw Data'!$A$3:$C$3922,3,FALSE)</f>
        <v>P2</v>
      </c>
      <c r="D105" s="436" t="str" cm="1">
        <f t="array" ref="D105">_xlfn.TEXTJOIN("",TRUE,IF(ISNUMBER(SEARCH($A105,'Diags Raw Data'!$A$6:$A$3830)),CONCATENATE('Diags Raw Data'!$H$6:$H$3830,", "),""))</f>
        <v xml:space="preserve">spi197, </v>
      </c>
      <c r="E105" s="339" t="str">
        <f>VLOOKUP(A105,'Diags Raw Data'!$A$6:$D$3830,4,FALSE)</f>
        <v>SIO</v>
      </c>
      <c r="F105" s="339" t="str">
        <f>VLOOKUP(A105,'Feature Raw Data'!$A$3:$E$3922,5,FALSE)</f>
        <v>New</v>
      </c>
      <c r="G105" s="339" t="str">
        <f t="shared" si="6"/>
        <v>Yes</v>
      </c>
      <c r="H105" s="339" t="str">
        <f t="shared" si="7"/>
        <v>Yes</v>
      </c>
      <c r="I105" s="435">
        <f>SUMIF('Diags Raw Data'!$A$6:$A$3830,"*"&amp;$A105&amp;"*",'Diags Raw Data'!$K$6:$K$3830)</f>
        <v>0</v>
      </c>
      <c r="J105" s="437">
        <f>SUMIF('Diags Raw Data'!$A$6:$A$3830,"*"&amp;$A105&amp;"*",'Diags Raw Data'!$L$6:$L$3830)</f>
        <v>0</v>
      </c>
      <c r="K105" s="484" t="e" cm="1">
        <f t="array" ref="K105">IF(D105="",0, SUMPRODUCT(--(ISNUMBER(SEARCH($A105,'Diags Raw Data'!$A$6:$A$3830))),'Diags Raw Data'!$L$6:$L$3830,'Diags Raw Data'!$N$6:$N$3830)/J105)</f>
        <v>#DIV/0!</v>
      </c>
      <c r="L105" s="485" t="e" cm="1">
        <f t="array" ref="L105">IF(D105="",0, SUMPRODUCT(--(ISNUMBER(SEARCH($A105,'Diags Raw Data'!$A$6:$A$3830))),'Diags Raw Data'!$L$6:$L$3830,'Diags Raw Data'!$P$6:$P$3830)/J105)</f>
        <v>#DIV/0!</v>
      </c>
      <c r="M105" s="486" cm="1">
        <f t="array" ref="M105">SUMPRODUCT(--(ISNUMBER(SEARCH($A105,'Diags Raw Data'!$A$6:$A$3830))),--('Diags Raw Data'!$Q$6:$Q$3830&lt;&gt;"N/A"),'Diags Raw Data'!$R$6:$R$3830)</f>
        <v>1</v>
      </c>
      <c r="N105" s="487" cm="1">
        <f t="array" ref="N105">SUMPRODUCT(--(ISNUMBER(SEARCH($A105,'Diags Raw Data'!$A$6:$A$3830))),--('Diags Raw Data'!$Q$6:$Q$3830&lt;&gt;"N/A"),'Diags Raw Data'!$T$6:$T$3830)+SUMPRODUCT(--(ISNUMBER(SEARCH($A105,'Diags Raw Data'!$A$6:$A$3830))),--('Diags Raw Data'!$Q$6:$Q$3830&lt;&gt;"N/A"),'Diags Raw Data'!$U$6:$U$3830)</f>
        <v>1</v>
      </c>
      <c r="O105" s="488">
        <f t="shared" ref="O105:O110" si="12">IF((M105=0),0,N105/M105)</f>
        <v>1</v>
      </c>
      <c r="P105" s="489">
        <f>SUMIF('Diags Raw Data'!$A$6:$A$3830,"*"&amp;$A105&amp;"*",'Diags Raw Data'!$Z$6:$Z$3830)</f>
        <v>0</v>
      </c>
      <c r="Q105" s="490">
        <f>SUM(SUMIF('Diags Raw Data'!$A$6:$A$3830,"*"&amp;$A105&amp;"*",'Diags Raw Data'!$AA$6:$AA$3830),SUMIF('Diags Raw Data'!$A$6:$A$3830,"*"&amp;$A105&amp;"*",'Diags Raw Data'!$AB$6:$AB$3830))</f>
        <v>0</v>
      </c>
      <c r="R105" s="491">
        <f t="shared" ref="R105:R127" si="13">IF((J105=0),0,P105/J105)</f>
        <v>0</v>
      </c>
      <c r="S105" s="491">
        <f t="shared" ref="S105:S127" si="14">IF((P105=0),0,Q105/P105)</f>
        <v>0</v>
      </c>
      <c r="T105" s="492">
        <f>R105*S105</f>
        <v>0</v>
      </c>
      <c r="U105" s="432" t="str">
        <f>VLOOKUP(A105,'Diags Raw Data'!$A$6:$AH$3830,33,FALSE)</f>
        <v>WK8</v>
      </c>
      <c r="V105" s="181"/>
    </row>
    <row r="106" spans="1:22" ht="105.75" thickBot="1" x14ac:dyDescent="0.3">
      <c r="A106" s="546">
        <v>12.201000000000001</v>
      </c>
      <c r="B106" s="434" t="str">
        <f>VLOOKUP(A106,'Feature Raw Data'!$A$3:$B$3922,2,FALSE)</f>
        <v>Compute Grid Programmable Walk Order (cs_grid_walk_order).   If not doing morton'ish (ex. 2x2) then improving launch rate for existing typewriter (ex 4x1) is P1)</v>
      </c>
      <c r="C106" s="435" t="str">
        <f>VLOOKUP(A106,'Feature Raw Data'!$A$3:$C$3922,3,FALSE)</f>
        <v>P1</v>
      </c>
      <c r="D106" s="436" t="str" cm="1">
        <f t="array" ref="D106">_xlfn.TEXTJOIN("",TRUE,IF(ISNUMBER(SEARCH($A106,'Diags Raw Data'!$A$6:$A$3830)),CONCATENATE('Diags Raw Data'!$H$6:$H$3830,", "),""))</f>
        <v xml:space="preserve">spi2010,spi2011, </v>
      </c>
      <c r="E106" s="339" t="str">
        <f>VLOOKUP(A106,'Diags Raw Data'!$A$6:$D$3830,4,FALSE)</f>
        <v>SIO</v>
      </c>
      <c r="F106" s="339" t="str">
        <f>VLOOKUP(A106,'Feature Raw Data'!$A$3:$E$3922,5,FALSE)</f>
        <v>New</v>
      </c>
      <c r="G106" s="339" t="str">
        <f t="shared" si="6"/>
        <v>Yes</v>
      </c>
      <c r="H106" s="339" t="str">
        <f t="shared" si="7"/>
        <v>Yes</v>
      </c>
      <c r="I106" s="435">
        <f>SUMIF('Diags Raw Data'!$A$6:$A$3830,"*"&amp;$A106&amp;"*",'Diags Raw Data'!$K$6:$K$3830)</f>
        <v>0</v>
      </c>
      <c r="J106" s="437">
        <f>SUMIF('Diags Raw Data'!$A$6:$A$3830,"*"&amp;$A106&amp;"*",'Diags Raw Data'!$L$6:$L$3830)</f>
        <v>0</v>
      </c>
      <c r="K106" s="484" t="e" cm="1">
        <f t="array" ref="K106">IF(D106="",0, SUMPRODUCT(--(ISNUMBER(SEARCH($A106,'Diags Raw Data'!$A$6:$A$3830))),'Diags Raw Data'!$L$6:$L$3830,'Diags Raw Data'!$N$6:$N$3830)/J106)</f>
        <v>#DIV/0!</v>
      </c>
      <c r="L106" s="485" t="e" cm="1">
        <f t="array" ref="L106">IF(D106="",0, SUMPRODUCT(--(ISNUMBER(SEARCH($A106,'Diags Raw Data'!$A$6:$A$3830))),'Diags Raw Data'!$L$6:$L$3830,'Diags Raw Data'!$P$6:$P$3830)/J106)</f>
        <v>#DIV/0!</v>
      </c>
      <c r="M106" s="486" cm="1">
        <f t="array" ref="M106">SUMPRODUCT(--(ISNUMBER(SEARCH($A106,'Diags Raw Data'!$A$6:$A$3830))),--('Diags Raw Data'!$Q$6:$Q$3830&lt;&gt;"N/A"),'Diags Raw Data'!$R$6:$R$3830)</f>
        <v>2</v>
      </c>
      <c r="N106" s="487" cm="1">
        <f t="array" ref="N106">SUMPRODUCT(--(ISNUMBER(SEARCH($A106,'Diags Raw Data'!$A$6:$A$3830))),--('Diags Raw Data'!$Q$6:$Q$3830&lt;&gt;"N/A"),'Diags Raw Data'!$T$6:$T$3830)+SUMPRODUCT(--(ISNUMBER(SEARCH($A106,'Diags Raw Data'!$A$6:$A$3830))),--('Diags Raw Data'!$Q$6:$Q$3830&lt;&gt;"N/A"),'Diags Raw Data'!$U$6:$U$3830)</f>
        <v>2</v>
      </c>
      <c r="O106" s="488">
        <f t="shared" si="12"/>
        <v>1</v>
      </c>
      <c r="P106" s="489">
        <f>SUMIF('Diags Raw Data'!$A$6:$A$3830,"*"&amp;$A106&amp;"*",'Diags Raw Data'!$Z$6:$Z$3830)</f>
        <v>0</v>
      </c>
      <c r="Q106" s="490">
        <f>SUM(SUMIF('Diags Raw Data'!$A$6:$A$3830,"*"&amp;$A106&amp;"*",'Diags Raw Data'!$AA$6:$AA$3830),SUMIF('Diags Raw Data'!$A$6:$A$3830,"*"&amp;$A106&amp;"*",'Diags Raw Data'!$AB$6:$AB$3830))</f>
        <v>0</v>
      </c>
      <c r="R106" s="491">
        <f t="shared" si="13"/>
        <v>0</v>
      </c>
      <c r="S106" s="491">
        <f t="shared" si="14"/>
        <v>0</v>
      </c>
      <c r="T106" s="492">
        <f t="shared" ref="T106:T127" si="15">R106*S106</f>
        <v>0</v>
      </c>
      <c r="U106" s="432" t="str">
        <f>VLOOKUP(A106,'Diags Raw Data'!$A$6:$AH$3830,33,FALSE)</f>
        <v>WK5</v>
      </c>
      <c r="V106" s="181"/>
    </row>
    <row r="107" spans="1:22" ht="30.75" thickBot="1" x14ac:dyDescent="0.3">
      <c r="A107" s="546">
        <v>12.202</v>
      </c>
      <c r="B107" s="434" t="str">
        <f>VLOOKUP(A107,'Feature Raw Data'!$A$3:$B$3922,2,FALSE)</f>
        <v>Compute Thread Walk Order (cs_thread_walk_order)</v>
      </c>
      <c r="C107" s="435" t="str">
        <f>VLOOKUP(A107,'Feature Raw Data'!$A$3:$C$3922,3,FALSE)</f>
        <v>P1</v>
      </c>
      <c r="D107" s="436" t="str" cm="1">
        <f t="array" ref="D107">_xlfn.TEXTJOIN("",TRUE,IF(ISNUMBER(SEARCH($A107,'Diags Raw Data'!$A$6:$A$3830)),CONCATENATE('Diags Raw Data'!$H$6:$H$3830,", "),""))</f>
        <v xml:space="preserve">spi2020,spi2021, </v>
      </c>
      <c r="E107" s="339" t="str">
        <f>VLOOKUP(A107,'Diags Raw Data'!$A$6:$D$3830,4,FALSE)</f>
        <v>SIO</v>
      </c>
      <c r="F107" s="339" t="str">
        <f>VLOOKUP(A107,'Feature Raw Data'!$A$3:$E$3922,5,FALSE)</f>
        <v>New</v>
      </c>
      <c r="G107" s="339" t="str">
        <f t="shared" si="6"/>
        <v>Yes</v>
      </c>
      <c r="H107" s="339" t="str">
        <f t="shared" si="7"/>
        <v>Yes</v>
      </c>
      <c r="I107" s="435">
        <f>SUMIF('Diags Raw Data'!$A$6:$A$3830,"*"&amp;$A107&amp;"*",'Diags Raw Data'!$K$6:$K$3830)</f>
        <v>0</v>
      </c>
      <c r="J107" s="437">
        <f>SUMIF('Diags Raw Data'!$A$6:$A$3830,"*"&amp;$A107&amp;"*",'Diags Raw Data'!$L$6:$L$3830)</f>
        <v>0</v>
      </c>
      <c r="K107" s="484" t="e" cm="1">
        <f t="array" ref="K107">IF(D107="",0, SUMPRODUCT(--(ISNUMBER(SEARCH($A107,'Diags Raw Data'!$A$6:$A$3830))),'Diags Raw Data'!$L$6:$L$3830,'Diags Raw Data'!$N$6:$N$3830)/J107)</f>
        <v>#DIV/0!</v>
      </c>
      <c r="L107" s="485" t="e" cm="1">
        <f t="array" ref="L107">IF(D107="",0, SUMPRODUCT(--(ISNUMBER(SEARCH($A107,'Diags Raw Data'!$A$6:$A$3830))),'Diags Raw Data'!$L$6:$L$3830,'Diags Raw Data'!$P$6:$P$3830)/J107)</f>
        <v>#DIV/0!</v>
      </c>
      <c r="M107" s="486" cm="1">
        <f t="array" ref="M107">SUMPRODUCT(--(ISNUMBER(SEARCH($A107,'Diags Raw Data'!$A$6:$A$3830))),--('Diags Raw Data'!$Q$6:$Q$3830&lt;&gt;"N/A"),'Diags Raw Data'!$R$6:$R$3830)</f>
        <v>2</v>
      </c>
      <c r="N107" s="487" cm="1">
        <f t="array" ref="N107">SUMPRODUCT(--(ISNUMBER(SEARCH($A107,'Diags Raw Data'!$A$6:$A$3830))),--('Diags Raw Data'!$Q$6:$Q$3830&lt;&gt;"N/A"),'Diags Raw Data'!$T$6:$T$3830)+SUMPRODUCT(--(ISNUMBER(SEARCH($A107,'Diags Raw Data'!$A$6:$A$3830))),--('Diags Raw Data'!$Q$6:$Q$3830&lt;&gt;"N/A"),'Diags Raw Data'!$U$6:$U$3830)</f>
        <v>2</v>
      </c>
      <c r="O107" s="488">
        <f t="shared" si="12"/>
        <v>1</v>
      </c>
      <c r="P107" s="489">
        <f>SUMIF('Diags Raw Data'!$A$6:$A$3830,"*"&amp;$A107&amp;"*",'Diags Raw Data'!$Z$6:$Z$3830)</f>
        <v>0</v>
      </c>
      <c r="Q107" s="490">
        <f>SUM(SUMIF('Diags Raw Data'!$A$6:$A$3830,"*"&amp;$A107&amp;"*",'Diags Raw Data'!$AA$6:$AA$3830),SUMIF('Diags Raw Data'!$A$6:$A$3830,"*"&amp;$A107&amp;"*",'Diags Raw Data'!$AB$6:$AB$3830))</f>
        <v>0</v>
      </c>
      <c r="R107" s="491">
        <f t="shared" si="13"/>
        <v>0</v>
      </c>
      <c r="S107" s="491">
        <f t="shared" si="14"/>
        <v>0</v>
      </c>
      <c r="T107" s="492">
        <f t="shared" si="15"/>
        <v>0</v>
      </c>
      <c r="U107" s="432" t="str">
        <f>VLOOKUP(A107,'Diags Raw Data'!$A$6:$AH$3830,33,FALSE)</f>
        <v>WK4</v>
      </c>
      <c r="V107" s="181"/>
    </row>
    <row r="108" spans="1:22" ht="15.75" thickBot="1" x14ac:dyDescent="0.3">
      <c r="A108" s="546">
        <v>12.206</v>
      </c>
      <c r="B108" s="434" t="str">
        <f>VLOOKUP(A108,'Feature Raw Data'!$A$3:$B$3922,2,FALSE)</f>
        <v>DC-&gt;SPI wire reduction</v>
      </c>
      <c r="C108" s="435" t="str">
        <f>VLOOKUP(A108,'Feature Raw Data'!$A$3:$C$3922,3,FALSE)</f>
        <v>P1</v>
      </c>
      <c r="D108" s="436" t="str" cm="1">
        <f t="array" ref="D108">_xlfn.TEXTJOIN("",TRUE,IF(ISNUMBER(SEARCH($A108,'Diags Raw Data'!$A$6:$A$3830)),CONCATENATE('Diags Raw Data'!$H$6:$H$3830,", "),""))</f>
        <v/>
      </c>
      <c r="E108" s="339" t="e">
        <f>VLOOKUP(A108,'Diags Raw Data'!$A$6:$D$3830,4,FALSE)</f>
        <v>#N/A</v>
      </c>
      <c r="F108" s="339" t="str">
        <f>VLOOKUP(A108,'Feature Raw Data'!$A$3:$E$3922,5,FALSE)</f>
        <v>New</v>
      </c>
      <c r="G108" s="339" t="str">
        <f t="shared" si="6"/>
        <v>Yes</v>
      </c>
      <c r="H108" s="339" t="str">
        <f t="shared" si="7"/>
        <v>Yes</v>
      </c>
      <c r="I108" s="435">
        <f>SUMIF('Diags Raw Data'!$A$6:$A$3830,"*"&amp;$A108&amp;"*",'Diags Raw Data'!$K$6:$K$3830)</f>
        <v>0</v>
      </c>
      <c r="J108" s="437">
        <f>SUMIF('Diags Raw Data'!$A$6:$A$3830,"*"&amp;$A108&amp;"*",'Diags Raw Data'!$L$6:$L$3830)</f>
        <v>0</v>
      </c>
      <c r="K108" s="484" cm="1">
        <f t="array" ref="K108">IF(D108="",0, SUMPRODUCT(--(ISNUMBER(SEARCH($A108,'Diags Raw Data'!$A$6:$A$3830))),'Diags Raw Data'!$L$6:$L$3830,'Diags Raw Data'!$N$6:$N$3830)/J108)</f>
        <v>0</v>
      </c>
      <c r="L108" s="485" cm="1">
        <f t="array" ref="L108">IF(D108="",0, SUMPRODUCT(--(ISNUMBER(SEARCH($A108,'Diags Raw Data'!$A$6:$A$3830))),'Diags Raw Data'!$L$6:$L$3830,'Diags Raw Data'!$P$6:$P$3830)/J108)</f>
        <v>0</v>
      </c>
      <c r="M108" s="486" cm="1">
        <f t="array" ref="M108">SUMPRODUCT(--(ISNUMBER(SEARCH($A108,'Diags Raw Data'!$A$6:$A$3830))),--('Diags Raw Data'!$Q$6:$Q$3830&lt;&gt;"N/A"),'Diags Raw Data'!$R$6:$R$3830)</f>
        <v>0</v>
      </c>
      <c r="N108" s="487" cm="1">
        <f t="array" ref="N108">SUMPRODUCT(--(ISNUMBER(SEARCH($A108,'Diags Raw Data'!$A$6:$A$3830))),--('Diags Raw Data'!$Q$6:$Q$3830&lt;&gt;"N/A"),'Diags Raw Data'!$T$6:$T$3830)+SUMPRODUCT(--(ISNUMBER(SEARCH($A108,'Diags Raw Data'!$A$6:$A$3830))),--('Diags Raw Data'!$Q$6:$Q$3830&lt;&gt;"N/A"),'Diags Raw Data'!$U$6:$U$3830)</f>
        <v>0</v>
      </c>
      <c r="O108" s="488">
        <f t="shared" si="12"/>
        <v>0</v>
      </c>
      <c r="P108" s="489">
        <f>SUMIF('Diags Raw Data'!$A$6:$A$3830,"*"&amp;$A108&amp;"*",'Diags Raw Data'!$Z$6:$Z$3830)</f>
        <v>0</v>
      </c>
      <c r="Q108" s="490">
        <f>SUM(SUMIF('Diags Raw Data'!$A$6:$A$3830,"*"&amp;$A108&amp;"*",'Diags Raw Data'!$AA$6:$AA$3830),SUMIF('Diags Raw Data'!$A$6:$A$3830,"*"&amp;$A108&amp;"*",'Diags Raw Data'!$AB$6:$AB$3830))</f>
        <v>0</v>
      </c>
      <c r="R108" s="491">
        <f t="shared" si="13"/>
        <v>0</v>
      </c>
      <c r="S108" s="491">
        <f t="shared" si="14"/>
        <v>0</v>
      </c>
      <c r="T108" s="492">
        <f t="shared" si="15"/>
        <v>0</v>
      </c>
      <c r="U108" s="432" t="e">
        <f>VLOOKUP(A108,'Diags Raw Data'!$A$6:$AH$3830,33,FALSE)</f>
        <v>#N/A</v>
      </c>
      <c r="V108" s="181"/>
    </row>
    <row r="109" spans="1:22" ht="45.75" thickBot="1" x14ac:dyDescent="0.3">
      <c r="A109" s="546">
        <v>12.208</v>
      </c>
      <c r="B109" s="434" t="str">
        <f>VLOOKUP(A109,'Feature Raw Data'!$A$3:$B$3922,2,FALSE)</f>
        <v>wave64 FMAF32 power reduction (M2 item) -&gt; large area</v>
      </c>
      <c r="C109" s="435" t="str">
        <f>VLOOKUP(A109,'Feature Raw Data'!$A$3:$C$3922,3,FALSE)</f>
        <v>P2</v>
      </c>
      <c r="D109" s="436" t="str" cm="1">
        <f t="array" ref="D109">_xlfn.TEXTJOIN("",TRUE,IF(ISNUMBER(SEARCH($A109,'Diags Raw Data'!$A$6:$A$3830)),CONCATENATE('Diags Raw Data'!$H$6:$H$3830,", "),""))</f>
        <v xml:space="preserve">gfx.inst_perf.1-64, </v>
      </c>
      <c r="E109" s="339" t="str">
        <f>VLOOKUP(A109,'Diags Raw Data'!$A$6:$D$3830,4,FALSE)</f>
        <v>SH</v>
      </c>
      <c r="F109" s="339" t="str">
        <f>VLOOKUP(A109,'Feature Raw Data'!$A$3:$E$3922,5,FALSE)</f>
        <v>New</v>
      </c>
      <c r="G109" s="339" t="str">
        <f t="shared" si="6"/>
        <v>Yes</v>
      </c>
      <c r="H109" s="339" t="str">
        <f t="shared" si="7"/>
        <v>Yes</v>
      </c>
      <c r="I109" s="435">
        <f>SUMIF('Diags Raw Data'!$A$6:$A$3830,"*"&amp;$A109&amp;"*",'Diags Raw Data'!$K$6:$K$3830)</f>
        <v>0</v>
      </c>
      <c r="J109" s="437">
        <f>SUMIF('Diags Raw Data'!$A$6:$A$3830,"*"&amp;$A109&amp;"*",'Diags Raw Data'!$L$6:$L$3830)</f>
        <v>0</v>
      </c>
      <c r="K109" s="484" t="e" cm="1">
        <f t="array" ref="K109">IF(D109="",0, SUMPRODUCT(--(ISNUMBER(SEARCH($A109,'Diags Raw Data'!$A$6:$A$3830))),'Diags Raw Data'!$L$6:$L$3830,'Diags Raw Data'!$N$6:$N$3830)/J109)</f>
        <v>#DIV/0!</v>
      </c>
      <c r="L109" s="485" t="e" cm="1">
        <f t="array" ref="L109">IF(D109="",0, SUMPRODUCT(--(ISNUMBER(SEARCH($A109,'Diags Raw Data'!$A$6:$A$3830))),'Diags Raw Data'!$L$6:$L$3830,'Diags Raw Data'!$P$6:$P$3830)/J109)</f>
        <v>#DIV/0!</v>
      </c>
      <c r="M109" s="486" cm="1">
        <f t="array" ref="M109">SUMPRODUCT(--(ISNUMBER(SEARCH($A109,'Diags Raw Data'!$A$6:$A$3830))),--('Diags Raw Data'!$Q$6:$Q$3830&lt;&gt;"N/A"),'Diags Raw Data'!$R$6:$R$3830)</f>
        <v>64</v>
      </c>
      <c r="N109" s="487" cm="1">
        <f t="array" ref="N109">SUMPRODUCT(--(ISNUMBER(SEARCH($A109,'Diags Raw Data'!$A$6:$A$3830))),--('Diags Raw Data'!$Q$6:$Q$3830&lt;&gt;"N/A"),'Diags Raw Data'!$T$6:$T$3830)+SUMPRODUCT(--(ISNUMBER(SEARCH($A109,'Diags Raw Data'!$A$6:$A$3830))),--('Diags Raw Data'!$Q$6:$Q$3830&lt;&gt;"N/A"),'Diags Raw Data'!$U$6:$U$3830)</f>
        <v>64</v>
      </c>
      <c r="O109" s="488">
        <f t="shared" si="12"/>
        <v>1</v>
      </c>
      <c r="P109" s="489">
        <f>SUMIF('Diags Raw Data'!$A$6:$A$3830,"*"&amp;$A109&amp;"*",'Diags Raw Data'!$Z$6:$Z$3830)</f>
        <v>0</v>
      </c>
      <c r="Q109" s="490">
        <f>SUM(SUMIF('Diags Raw Data'!$A$6:$A$3830,"*"&amp;$A109&amp;"*",'Diags Raw Data'!$AA$6:$AA$3830),SUMIF('Diags Raw Data'!$A$6:$A$3830,"*"&amp;$A109&amp;"*",'Diags Raw Data'!$AB$6:$AB$3830))</f>
        <v>0</v>
      </c>
      <c r="R109" s="491">
        <f t="shared" si="13"/>
        <v>0</v>
      </c>
      <c r="S109" s="491">
        <f t="shared" si="14"/>
        <v>0</v>
      </c>
      <c r="T109" s="492">
        <f t="shared" si="15"/>
        <v>0</v>
      </c>
      <c r="U109" s="432" t="str">
        <f>VLOOKUP(A109,'Diags Raw Data'!$A$6:$AH$3830,33,FALSE)</f>
        <v>WK8</v>
      </c>
      <c r="V109" s="181"/>
    </row>
    <row r="110" spans="1:22" ht="30.75" thickBot="1" x14ac:dyDescent="0.3">
      <c r="A110" s="546">
        <v>12.209</v>
      </c>
      <c r="B110" s="434" t="str">
        <f>VLOOKUP(A110,'Feature Raw Data'!$A$3:$B$3922,2,FALSE)</f>
        <v>Add Structured Sparsity Support</v>
      </c>
      <c r="C110" s="435" t="str">
        <f>VLOOKUP(A110,'Feature Raw Data'!$A$3:$C$3922,3,FALSE)</f>
        <v>P1</v>
      </c>
      <c r="D110" s="436" t="str" cm="1">
        <f t="array" ref="D110">_xlfn.TEXTJOIN("",TRUE,IF(ISNUMBER(SEARCH($A110,'Diags Raw Data'!$A$6:$A$3830)),CONCATENATE('Diags Raw Data'!$H$6:$H$3830,", "),""))</f>
        <v xml:space="preserve">gci_wave32.950-960,gci_wave64.950-960, </v>
      </c>
      <c r="E110" s="339" t="str">
        <f>VLOOKUP(A110,'Diags Raw Data'!$A$6:$D$3830,4,FALSE)</f>
        <v>SH</v>
      </c>
      <c r="F110" s="339" t="str">
        <f>VLOOKUP(A110,'Feature Raw Data'!$A$3:$E$3922,5,FALSE)</f>
        <v>New</v>
      </c>
      <c r="G110" s="339" t="str">
        <f t="shared" si="6"/>
        <v>Yes</v>
      </c>
      <c r="H110" s="339" t="str">
        <f t="shared" si="7"/>
        <v>Yes</v>
      </c>
      <c r="I110" s="435">
        <f>SUMIF('Diags Raw Data'!$A$6:$A$3830,"*"&amp;$A110&amp;"*",'Diags Raw Data'!$K$6:$K$3830)</f>
        <v>0</v>
      </c>
      <c r="J110" s="437">
        <f>SUMIF('Diags Raw Data'!$A$6:$A$3830,"*"&amp;$A110&amp;"*",'Diags Raw Data'!$L$6:$L$3830)</f>
        <v>0</v>
      </c>
      <c r="K110" s="484" t="e" cm="1">
        <f t="array" ref="K110">IF(D110="",0, SUMPRODUCT(--(ISNUMBER(SEARCH($A110,'Diags Raw Data'!$A$6:$A$3830))),'Diags Raw Data'!$L$6:$L$3830,'Diags Raw Data'!$N$6:$N$3830)/J110)</f>
        <v>#DIV/0!</v>
      </c>
      <c r="L110" s="485" t="e" cm="1">
        <f t="array" ref="L110">IF(D110="",0, SUMPRODUCT(--(ISNUMBER(SEARCH($A110,'Diags Raw Data'!$A$6:$A$3830))),'Diags Raw Data'!$L$6:$L$3830,'Diags Raw Data'!$P$6:$P$3830)/J110)</f>
        <v>#DIV/0!</v>
      </c>
      <c r="M110" s="486" cm="1">
        <f t="array" ref="M110">SUMPRODUCT(--(ISNUMBER(SEARCH($A110,'Diags Raw Data'!$A$6:$A$3830))),--('Diags Raw Data'!$Q$6:$Q$3830&lt;&gt;"N/A"),'Diags Raw Data'!$R$6:$R$3830)</f>
        <v>22</v>
      </c>
      <c r="N110" s="487" cm="1">
        <f t="array" ref="N110">SUMPRODUCT(--(ISNUMBER(SEARCH($A110,'Diags Raw Data'!$A$6:$A$3830))),--('Diags Raw Data'!$Q$6:$Q$3830&lt;&gt;"N/A"),'Diags Raw Data'!$T$6:$T$3830)+SUMPRODUCT(--(ISNUMBER(SEARCH($A110,'Diags Raw Data'!$A$6:$A$3830))),--('Diags Raw Data'!$Q$6:$Q$3830&lt;&gt;"N/A"),'Diags Raw Data'!$U$6:$U$3830)</f>
        <v>2</v>
      </c>
      <c r="O110" s="488">
        <f t="shared" si="12"/>
        <v>9.0909090909090912E-2</v>
      </c>
      <c r="P110" s="489">
        <f>SUMIF('Diags Raw Data'!$A$6:$A$3830,"*"&amp;$A110&amp;"*",'Diags Raw Data'!$Z$6:$Z$3830)</f>
        <v>0</v>
      </c>
      <c r="Q110" s="490">
        <f>SUM(SUMIF('Diags Raw Data'!$A$6:$A$3830,"*"&amp;$A110&amp;"*",'Diags Raw Data'!$AA$6:$AA$3830),SUMIF('Diags Raw Data'!$A$6:$A$3830,"*"&amp;$A110&amp;"*",'Diags Raw Data'!$AB$6:$AB$3830))</f>
        <v>0</v>
      </c>
      <c r="R110" s="491">
        <f t="shared" si="13"/>
        <v>0</v>
      </c>
      <c r="S110" s="491">
        <f t="shared" si="14"/>
        <v>0</v>
      </c>
      <c r="T110" s="492">
        <f t="shared" si="15"/>
        <v>0</v>
      </c>
      <c r="U110" s="432" t="str">
        <f>VLOOKUP(A110,'Diags Raw Data'!$A$6:$AH$3830,33,FALSE)</f>
        <v>WK3</v>
      </c>
      <c r="V110" s="181"/>
    </row>
    <row r="111" spans="1:22" ht="45.75" thickBot="1" x14ac:dyDescent="0.3">
      <c r="A111" s="546">
        <v>12.21</v>
      </c>
      <c r="B111" s="434" t="str">
        <f>VLOOKUP(A111,'Feature Raw Data'!$A$3:$B$3922,2,FALSE)</f>
        <v>Fully connect capability to use high and normal MALL reuse hint (child of 12.027/12.041)</v>
      </c>
      <c r="C111" s="435" t="str">
        <f>VLOOKUP(A111,'Feature Raw Data'!$A$3:$C$3922,3,FALSE)</f>
        <v>P1</v>
      </c>
      <c r="D111" s="436" t="str" cm="1">
        <f t="array" ref="D111">_xlfn.TEXTJOIN("",TRUE,IF(ISNUMBER(SEARCH($A111,'Diags Raw Data'!$A$6:$A$3830)),CONCATENATE('Diags Raw Data'!$H$6:$H$3830,", "),""))</f>
        <v xml:space="preserve">gci669.1-12, gfx.red_triangle_draw_composite, </v>
      </c>
      <c r="E111" s="339" t="str">
        <f>VLOOKUP(A111,'Diags Raw Data'!$A$6:$D$3830,4,FALSE)</f>
        <v>CMM</v>
      </c>
      <c r="F111" s="339" t="str">
        <f>VLOOKUP(A111,'Feature Raw Data'!$A$3:$E$3922,5,FALSE)</f>
        <v>New</v>
      </c>
      <c r="G111" s="339" t="str">
        <f t="shared" si="6"/>
        <v>Yes</v>
      </c>
      <c r="H111" s="339" t="str">
        <f t="shared" si="7"/>
        <v>Yes</v>
      </c>
      <c r="I111" s="435">
        <f>SUMIF('Diags Raw Data'!$A$6:$A$3830,"*"&amp;$A111&amp;"*",'Diags Raw Data'!$K$6:$K$3830)</f>
        <v>0</v>
      </c>
      <c r="J111" s="437">
        <f>SUMIF('Diags Raw Data'!$A$6:$A$3830,"*"&amp;$A111&amp;"*",'Diags Raw Data'!$L$6:$L$3830)</f>
        <v>0</v>
      </c>
      <c r="K111" s="484" t="e" cm="1">
        <f t="array" ref="K111">IF(D111="",0, SUMPRODUCT(--(ISNUMBER(SEARCH($A111,'Diags Raw Data'!$A$6:$A$3830))),'Diags Raw Data'!$L$6:$L$3830,'Diags Raw Data'!$N$6:$N$3830)/J111)</f>
        <v>#DIV/0!</v>
      </c>
      <c r="L111" s="485" t="e" cm="1">
        <f t="array" ref="L111">IF(D111="",0, SUMPRODUCT(--(ISNUMBER(SEARCH($A111,'Diags Raw Data'!$A$6:$A$3830))),'Diags Raw Data'!$L$6:$L$3830,'Diags Raw Data'!$P$6:$P$3830)/J111)</f>
        <v>#DIV/0!</v>
      </c>
      <c r="M111" s="486" cm="1">
        <f t="array" ref="M111">SUMPRODUCT(--(ISNUMBER(SEARCH($A111,'Diags Raw Data'!$A$6:$A$3830))),--('Diags Raw Data'!$Q$6:$Q$3830&lt;&gt;"N/A"),'Diags Raw Data'!$R$6:$R$3830)</f>
        <v>2</v>
      </c>
      <c r="N111" s="487" cm="1">
        <f t="array" ref="N111">SUMPRODUCT(--(ISNUMBER(SEARCH($A111,'Diags Raw Data'!$A$6:$A$3830))),--('Diags Raw Data'!$Q$6:$Q$3830&lt;&gt;"N/A"),'Diags Raw Data'!$T$6:$T$3830)+SUMPRODUCT(--(ISNUMBER(SEARCH($A111,'Diags Raw Data'!$A$6:$A$3830))),--('Diags Raw Data'!$Q$6:$Q$3830&lt;&gt;"N/A"),'Diags Raw Data'!$U$6:$U$3830)</f>
        <v>0</v>
      </c>
      <c r="O111" s="488">
        <f>IF((M111=0),0,N111/M111)</f>
        <v>0</v>
      </c>
      <c r="P111" s="489">
        <f>SUMIF('Diags Raw Data'!$A$6:$A$3830,"*"&amp;$A111&amp;"*",'Diags Raw Data'!$Z$6:$Z$3830)</f>
        <v>0</v>
      </c>
      <c r="Q111" s="490">
        <f>SUM(SUMIF('Diags Raw Data'!$A$6:$A$3830,"*"&amp;$A111&amp;"*",'Diags Raw Data'!$AA$6:$AA$3830),SUMIF('Diags Raw Data'!$A$6:$A$3830,"*"&amp;$A111&amp;"*",'Diags Raw Data'!$AB$6:$AB$3830))</f>
        <v>0</v>
      </c>
      <c r="R111" s="491">
        <f t="shared" si="13"/>
        <v>0</v>
      </c>
      <c r="S111" s="491">
        <f t="shared" si="14"/>
        <v>0</v>
      </c>
      <c r="T111" s="492">
        <f t="shared" si="15"/>
        <v>0</v>
      </c>
      <c r="U111" s="432" t="str">
        <f>VLOOKUP(A111,'Diags Raw Data'!$A$6:$AH$3830,33,FALSE)</f>
        <v>WK4</v>
      </c>
      <c r="V111" s="181"/>
    </row>
    <row r="112" spans="1:22" ht="30.75" thickBot="1" x14ac:dyDescent="0.3">
      <c r="A112" s="546">
        <v>12.211</v>
      </c>
      <c r="B112" s="434" t="str">
        <f>VLOOKUP(A112,'Feature Raw Data'!$A$3:$B$3922,2,FALSE)</f>
        <v>UTCL1_identity_mode  (SED Crest)</v>
      </c>
      <c r="C112" s="435" t="str">
        <f>VLOOKUP(A112,'Feature Raw Data'!$A$3:$C$3922,3,FALSE)</f>
        <v>P1</v>
      </c>
      <c r="D112" s="436" t="str" cm="1">
        <f t="array" ref="D112">_xlfn.TEXTJOIN("",TRUE,IF(ISNUMBER(SEARCH($A112,'Diags Raw Data'!$A$6:$A$3830)),CONCATENATE('Diags Raw Data'!$H$6:$H$3830,", "),""))</f>
        <v/>
      </c>
      <c r="E112" s="339" t="e">
        <f>VLOOKUP(A112,'Diags Raw Data'!$A$6:$D$3830,4,FALSE)</f>
        <v>#N/A</v>
      </c>
      <c r="F112" s="339" t="str">
        <f>VLOOKUP(A112,'Feature Raw Data'!$A$3:$E$3922,5,FALSE)</f>
        <v>New</v>
      </c>
      <c r="G112" s="339" t="str">
        <f t="shared" si="6"/>
        <v>Yes</v>
      </c>
      <c r="H112" s="339" t="str">
        <f t="shared" si="7"/>
        <v>Yes</v>
      </c>
      <c r="I112" s="435">
        <f>SUMIF('Diags Raw Data'!$A$6:$A$3830,"*"&amp;$A112&amp;"*",'Diags Raw Data'!$K$6:$K$3830)</f>
        <v>0</v>
      </c>
      <c r="J112" s="437">
        <f>SUMIF('Diags Raw Data'!$A$6:$A$3830,"*"&amp;$A112&amp;"*",'Diags Raw Data'!$L$6:$L$3830)</f>
        <v>0</v>
      </c>
      <c r="K112" s="484" cm="1">
        <f t="array" ref="K112">IF(D112="",0, SUMPRODUCT(--(ISNUMBER(SEARCH($A112,'Diags Raw Data'!$A$6:$A$3830))),'Diags Raw Data'!$L$6:$L$3830,'Diags Raw Data'!$N$6:$N$3830)/J112)</f>
        <v>0</v>
      </c>
      <c r="L112" s="485" cm="1">
        <f t="array" ref="L112">IF(D112="",0, SUMPRODUCT(--(ISNUMBER(SEARCH($A112,'Diags Raw Data'!$A$6:$A$3830))),'Diags Raw Data'!$L$6:$L$3830,'Diags Raw Data'!$P$6:$P$3830)/J112)</f>
        <v>0</v>
      </c>
      <c r="M112" s="486" cm="1">
        <f t="array" ref="M112">SUMPRODUCT(--(ISNUMBER(SEARCH($A112,'Diags Raw Data'!$A$6:$A$3830))),--('Diags Raw Data'!$Q$6:$Q$3830&lt;&gt;"N/A"),'Diags Raw Data'!$R$6:$R$3830)</f>
        <v>0</v>
      </c>
      <c r="N112" s="487" cm="1">
        <f t="array" ref="N112">SUMPRODUCT(--(ISNUMBER(SEARCH($A112,'Diags Raw Data'!$A$6:$A$3830))),--('Diags Raw Data'!$Q$6:$Q$3830&lt;&gt;"N/A"),'Diags Raw Data'!$T$6:$T$3830)+SUMPRODUCT(--(ISNUMBER(SEARCH($A112,'Diags Raw Data'!$A$6:$A$3830))),--('Diags Raw Data'!$Q$6:$Q$3830&lt;&gt;"N/A"),'Diags Raw Data'!$U$6:$U$3830)</f>
        <v>0</v>
      </c>
      <c r="O112" s="488">
        <f t="shared" ref="O112:O127" si="16">IF((M112=0),0,N112/M112)</f>
        <v>0</v>
      </c>
      <c r="P112" s="489">
        <f>SUMIF('Diags Raw Data'!$A$6:$A$3830,"*"&amp;$A112&amp;"*",'Diags Raw Data'!$Z$6:$Z$3830)</f>
        <v>0</v>
      </c>
      <c r="Q112" s="490">
        <f>SUM(SUMIF('Diags Raw Data'!$A$6:$A$3830,"*"&amp;$A112&amp;"*",'Diags Raw Data'!$AA$6:$AA$3830),SUMIF('Diags Raw Data'!$A$6:$A$3830,"*"&amp;$A112&amp;"*",'Diags Raw Data'!$AB$6:$AB$3830))</f>
        <v>0</v>
      </c>
      <c r="R112" s="491">
        <f t="shared" si="13"/>
        <v>0</v>
      </c>
      <c r="S112" s="491">
        <f t="shared" si="14"/>
        <v>0</v>
      </c>
      <c r="T112" s="492">
        <f t="shared" si="15"/>
        <v>0</v>
      </c>
      <c r="U112" s="432" t="e">
        <f>VLOOKUP(A112,'Diags Raw Data'!$A$6:$AH$3830,33,FALSE)</f>
        <v>#N/A</v>
      </c>
      <c r="V112" s="181"/>
    </row>
    <row r="113" spans="1:22" ht="15.75" thickBot="1" x14ac:dyDescent="0.3">
      <c r="A113" s="546">
        <v>12.212999999999999</v>
      </c>
      <c r="B113" s="434" t="str">
        <f>VLOOKUP(A113,'Feature Raw Data'!$A$3:$B$3922,2,FALSE)</f>
        <v>deprecate HPG</v>
      </c>
      <c r="C113" s="435" t="str">
        <f>VLOOKUP(A113,'Feature Raw Data'!$A$3:$C$3922,3,FALSE)</f>
        <v>P1</v>
      </c>
      <c r="D113" s="436" t="str" cm="1">
        <f t="array" ref="D113">_xlfn.TEXTJOIN("",TRUE,IF(ISNUMBER(SEARCH($A113,'Diags Raw Data'!$A$6:$A$3830)),CONCATENATE('Diags Raw Data'!$H$6:$H$3830,", "),""))</f>
        <v/>
      </c>
      <c r="E113" s="339" t="e">
        <f>VLOOKUP(A113,'Diags Raw Data'!$A$6:$D$3830,4,FALSE)</f>
        <v>#N/A</v>
      </c>
      <c r="F113" s="339" t="str">
        <f>VLOOKUP(A113,'Feature Raw Data'!$A$3:$E$3922,5,FALSE)</f>
        <v>New</v>
      </c>
      <c r="G113" s="339" t="str">
        <f t="shared" si="6"/>
        <v>Yes</v>
      </c>
      <c r="H113" s="339" t="str">
        <f t="shared" si="7"/>
        <v>Yes</v>
      </c>
      <c r="I113" s="435">
        <f>SUMIF('Diags Raw Data'!$A$6:$A$3830,"*"&amp;$A113&amp;"*",'Diags Raw Data'!$K$6:$K$3830)</f>
        <v>0</v>
      </c>
      <c r="J113" s="437">
        <f>SUMIF('Diags Raw Data'!$A$6:$A$3830,"*"&amp;$A113&amp;"*",'Diags Raw Data'!$L$6:$L$3830)</f>
        <v>0</v>
      </c>
      <c r="K113" s="484" cm="1">
        <f t="array" ref="K113">IF(D113="",0, SUMPRODUCT(--(ISNUMBER(SEARCH($A113,'Diags Raw Data'!$A$6:$A$3830))),'Diags Raw Data'!$L$6:$L$3830,'Diags Raw Data'!$N$6:$N$3830)/J113)</f>
        <v>0</v>
      </c>
      <c r="L113" s="485" cm="1">
        <f t="array" ref="L113">IF(D113="",0, SUMPRODUCT(--(ISNUMBER(SEARCH($A113,'Diags Raw Data'!$A$6:$A$3830))),'Diags Raw Data'!$L$6:$L$3830,'Diags Raw Data'!$P$6:$P$3830)/J113)</f>
        <v>0</v>
      </c>
      <c r="M113" s="486" cm="1">
        <f t="array" ref="M113">SUMPRODUCT(--(ISNUMBER(SEARCH($A113,'Diags Raw Data'!$A$6:$A$3830))),--('Diags Raw Data'!$Q$6:$Q$3830&lt;&gt;"N/A"),'Diags Raw Data'!$R$6:$R$3830)</f>
        <v>0</v>
      </c>
      <c r="N113" s="487" cm="1">
        <f t="array" ref="N113">SUMPRODUCT(--(ISNUMBER(SEARCH($A113,'Diags Raw Data'!$A$6:$A$3830))),--('Diags Raw Data'!$Q$6:$Q$3830&lt;&gt;"N/A"),'Diags Raw Data'!$T$6:$T$3830)+SUMPRODUCT(--(ISNUMBER(SEARCH($A113,'Diags Raw Data'!$A$6:$A$3830))),--('Diags Raw Data'!$Q$6:$Q$3830&lt;&gt;"N/A"),'Diags Raw Data'!$U$6:$U$3830)</f>
        <v>0</v>
      </c>
      <c r="O113" s="488">
        <f t="shared" si="16"/>
        <v>0</v>
      </c>
      <c r="P113" s="489">
        <f>SUMIF('Diags Raw Data'!$A$6:$A$3830,"*"&amp;$A113&amp;"*",'Diags Raw Data'!$Z$6:$Z$3830)</f>
        <v>0</v>
      </c>
      <c r="Q113" s="490">
        <f>SUM(SUMIF('Diags Raw Data'!$A$6:$A$3830,"*"&amp;$A113&amp;"*",'Diags Raw Data'!$AA$6:$AA$3830),SUMIF('Diags Raw Data'!$A$6:$A$3830,"*"&amp;$A113&amp;"*",'Diags Raw Data'!$AB$6:$AB$3830))</f>
        <v>0</v>
      </c>
      <c r="R113" s="491">
        <f t="shared" si="13"/>
        <v>0</v>
      </c>
      <c r="S113" s="491">
        <f t="shared" si="14"/>
        <v>0</v>
      </c>
      <c r="T113" s="492">
        <f t="shared" si="15"/>
        <v>0</v>
      </c>
      <c r="U113" s="432" t="e">
        <f>VLOOKUP(A113,'Diags Raw Data'!$A$6:$AH$3830,33,FALSE)</f>
        <v>#N/A</v>
      </c>
      <c r="V113" s="552" t="s">
        <v>405</v>
      </c>
    </row>
    <row r="114" spans="1:22" ht="30.75" thickBot="1" x14ac:dyDescent="0.3">
      <c r="A114" s="546">
        <v>12.214</v>
      </c>
      <c r="B114" s="434" t="str">
        <f>VLOOKUP(A114,'Feature Raw Data'!$A$3:$B$3922,2,FALSE)</f>
        <v>reduce GE_DIST to GE_SE wire count</v>
      </c>
      <c r="C114" s="435" t="str">
        <f>VLOOKUP(A114,'Feature Raw Data'!$A$3:$C$3922,3,FALSE)</f>
        <v>P1</v>
      </c>
      <c r="D114" s="436" t="str" cm="1">
        <f t="array" ref="D114">_xlfn.TEXTJOIN("",TRUE,IF(ISNUMBER(SEARCH($A114,'Diags Raw Data'!$A$6:$A$3830)),CONCATENATE('Diags Raw Data'!$H$6:$H$3830,", "),""))</f>
        <v/>
      </c>
      <c r="E114" s="339" t="e">
        <f>VLOOKUP(A114,'Diags Raw Data'!$A$6:$D$3830,4,FALSE)</f>
        <v>#N/A</v>
      </c>
      <c r="F114" s="339" t="str">
        <f>VLOOKUP(A114,'Feature Raw Data'!$A$3:$E$3922,5,FALSE)</f>
        <v>New</v>
      </c>
      <c r="G114" s="339" t="str">
        <f t="shared" si="6"/>
        <v>Yes</v>
      </c>
      <c r="H114" s="339" t="str">
        <f t="shared" si="7"/>
        <v>Yes</v>
      </c>
      <c r="I114" s="435">
        <f>SUMIF('Diags Raw Data'!$A$6:$A$3830,"*"&amp;$A114&amp;"*",'Diags Raw Data'!$K$6:$K$3830)</f>
        <v>0</v>
      </c>
      <c r="J114" s="437">
        <f>SUMIF('Diags Raw Data'!$A$6:$A$3830,"*"&amp;$A114&amp;"*",'Diags Raw Data'!$L$6:$L$3830)</f>
        <v>0</v>
      </c>
      <c r="K114" s="484" cm="1">
        <f t="array" ref="K114">IF(D114="",0, SUMPRODUCT(--(ISNUMBER(SEARCH($A114,'Diags Raw Data'!$A$6:$A$3830))),'Diags Raw Data'!$L$6:$L$3830,'Diags Raw Data'!$N$6:$N$3830)/J114)</f>
        <v>0</v>
      </c>
      <c r="L114" s="485" cm="1">
        <f t="array" ref="L114">IF(D114="",0, SUMPRODUCT(--(ISNUMBER(SEARCH($A114,'Diags Raw Data'!$A$6:$A$3830))),'Diags Raw Data'!$L$6:$L$3830,'Diags Raw Data'!$P$6:$P$3830)/J114)</f>
        <v>0</v>
      </c>
      <c r="M114" s="486" cm="1">
        <f t="array" ref="M114">SUMPRODUCT(--(ISNUMBER(SEARCH($A114,'Diags Raw Data'!$A$6:$A$3830))),--('Diags Raw Data'!$Q$6:$Q$3830&lt;&gt;"N/A"),'Diags Raw Data'!$R$6:$R$3830)</f>
        <v>0</v>
      </c>
      <c r="N114" s="487" cm="1">
        <f t="array" ref="N114">SUMPRODUCT(--(ISNUMBER(SEARCH($A114,'Diags Raw Data'!$A$6:$A$3830))),--('Diags Raw Data'!$Q$6:$Q$3830&lt;&gt;"N/A"),'Diags Raw Data'!$T$6:$T$3830)+SUMPRODUCT(--(ISNUMBER(SEARCH($A114,'Diags Raw Data'!$A$6:$A$3830))),--('Diags Raw Data'!$Q$6:$Q$3830&lt;&gt;"N/A"),'Diags Raw Data'!$U$6:$U$3830)</f>
        <v>0</v>
      </c>
      <c r="O114" s="488">
        <f t="shared" si="16"/>
        <v>0</v>
      </c>
      <c r="P114" s="489">
        <f>SUMIF('Diags Raw Data'!$A$6:$A$3830,"*"&amp;$A114&amp;"*",'Diags Raw Data'!$Z$6:$Z$3830)</f>
        <v>0</v>
      </c>
      <c r="Q114" s="490">
        <f>SUM(SUMIF('Diags Raw Data'!$A$6:$A$3830,"*"&amp;$A114&amp;"*",'Diags Raw Data'!$AA$6:$AA$3830),SUMIF('Diags Raw Data'!$A$6:$A$3830,"*"&amp;$A114&amp;"*",'Diags Raw Data'!$AB$6:$AB$3830))</f>
        <v>0</v>
      </c>
      <c r="R114" s="491">
        <f t="shared" si="13"/>
        <v>0</v>
      </c>
      <c r="S114" s="491">
        <f t="shared" si="14"/>
        <v>0</v>
      </c>
      <c r="T114" s="492">
        <f t="shared" si="15"/>
        <v>0</v>
      </c>
      <c r="U114" s="432" t="e">
        <f>VLOOKUP(A114,'Diags Raw Data'!$A$6:$AH$3830,33,FALSE)</f>
        <v>#N/A</v>
      </c>
      <c r="V114" s="181"/>
    </row>
    <row r="115" spans="1:22" s="184" customFormat="1" ht="30.75" thickBot="1" x14ac:dyDescent="0.3">
      <c r="A115" s="546">
        <v>12.215999999999999</v>
      </c>
      <c r="B115" s="434" t="str">
        <f>VLOOKUP(A115,'Feature Raw Data'!$A$3:$B$3922,2,FALSE)</f>
        <v>All debug bus buffers to 4K size</v>
      </c>
      <c r="C115" s="435" t="str">
        <f>VLOOKUP(A115,'Feature Raw Data'!$A$3:$C$3922,3,FALSE)</f>
        <v>P1</v>
      </c>
      <c r="D115" s="436" t="str" cm="1">
        <f t="array" ref="D115">_xlfn.TEXTJOIN("",TRUE,IF(ISNUMBER(SEARCH($A115,'Diags Raw Data'!$A$6:$A$3830)),CONCATENATE('Diags Raw Data'!$H$6:$H$3830,", "),""))</f>
        <v/>
      </c>
      <c r="E115" s="339" t="e">
        <f>VLOOKUP(A115,'Diags Raw Data'!$A$6:$D$3830,4,FALSE)</f>
        <v>#N/A</v>
      </c>
      <c r="F115" s="339" t="str">
        <f>VLOOKUP(A115,'Feature Raw Data'!$A$3:$E$3922,5,FALSE)</f>
        <v>New</v>
      </c>
      <c r="G115" s="339" t="str">
        <f t="shared" si="6"/>
        <v>Yes</v>
      </c>
      <c r="H115" s="339" t="str">
        <f t="shared" si="7"/>
        <v>Yes</v>
      </c>
      <c r="I115" s="435">
        <f>SUMIF('Diags Raw Data'!$A$6:$A$3830,"*"&amp;$A115&amp;"*",'Diags Raw Data'!$K$6:$K$3830)</f>
        <v>0</v>
      </c>
      <c r="J115" s="437">
        <f>SUMIF('Diags Raw Data'!$A$6:$A$3830,"*"&amp;$A115&amp;"*",'Diags Raw Data'!$L$6:$L$3830)</f>
        <v>0</v>
      </c>
      <c r="K115" s="484" cm="1">
        <f t="array" ref="K115">IF(D115="",0, SUMPRODUCT(--(ISNUMBER(SEARCH($A115,'Diags Raw Data'!$A$6:$A$3830))),'Diags Raw Data'!$L$6:$L$3830,'Diags Raw Data'!$N$6:$N$3830)/J115)</f>
        <v>0</v>
      </c>
      <c r="L115" s="485" cm="1">
        <f t="array" ref="L115">IF(D115="",0, SUMPRODUCT(--(ISNUMBER(SEARCH($A115,'Diags Raw Data'!$A$6:$A$3830))),'Diags Raw Data'!$L$6:$L$3830,'Diags Raw Data'!$P$6:$P$3830)/J115)</f>
        <v>0</v>
      </c>
      <c r="M115" s="486" cm="1">
        <f t="array" ref="M115">SUMPRODUCT(--(ISNUMBER(SEARCH($A115,'Diags Raw Data'!$A$6:$A$3830))),--('Diags Raw Data'!$Q$6:$Q$3830&lt;&gt;"N/A"),'Diags Raw Data'!$R$6:$R$3830)</f>
        <v>0</v>
      </c>
      <c r="N115" s="487" cm="1">
        <f t="array" ref="N115">SUMPRODUCT(--(ISNUMBER(SEARCH($A115,'Diags Raw Data'!$A$6:$A$3830))),--('Diags Raw Data'!$Q$6:$Q$3830&lt;&gt;"N/A"),'Diags Raw Data'!$T$6:$T$3830)+SUMPRODUCT(--(ISNUMBER(SEARCH($A115,'Diags Raw Data'!$A$6:$A$3830))),--('Diags Raw Data'!$Q$6:$Q$3830&lt;&gt;"N/A"),'Diags Raw Data'!$U$6:$U$3830)</f>
        <v>0</v>
      </c>
      <c r="O115" s="488">
        <f t="shared" si="16"/>
        <v>0</v>
      </c>
      <c r="P115" s="489">
        <f>SUMIF('Diags Raw Data'!$A$6:$A$3830,"*"&amp;$A115&amp;"*",'Diags Raw Data'!$Z$6:$Z$3830)</f>
        <v>0</v>
      </c>
      <c r="Q115" s="490">
        <f>SUM(SUMIF('Diags Raw Data'!$A$6:$A$3830,"*"&amp;$A115&amp;"*",'Diags Raw Data'!$AA$6:$AA$3830),SUMIF('Diags Raw Data'!$A$6:$A$3830,"*"&amp;$A115&amp;"*",'Diags Raw Data'!$AB$6:$AB$3830))</f>
        <v>0</v>
      </c>
      <c r="R115" s="491">
        <f t="shared" si="13"/>
        <v>0</v>
      </c>
      <c r="S115" s="491">
        <f t="shared" si="14"/>
        <v>0</v>
      </c>
      <c r="T115" s="492">
        <f t="shared" si="15"/>
        <v>0</v>
      </c>
      <c r="U115" s="432" t="e">
        <f>VLOOKUP(A115,'Diags Raw Data'!$A$6:$AH$3830,33,FALSE)</f>
        <v>#N/A</v>
      </c>
      <c r="V115" s="183"/>
    </row>
    <row r="116" spans="1:22" ht="30.75" thickBot="1" x14ac:dyDescent="0.3">
      <c r="A116" s="546">
        <v>12.218999999999999</v>
      </c>
      <c r="B116" s="434" t="str">
        <f>VLOOKUP(A116,'Feature Raw Data'!$A$3:$B$3922,2,FALSE)</f>
        <v>ge_se in sed.  Sub item under basic configuration</v>
      </c>
      <c r="C116" s="435" t="str">
        <f>VLOOKUP(A116,'Feature Raw Data'!$A$3:$C$3922,3,FALSE)</f>
        <v>P1</v>
      </c>
      <c r="D116" s="436" t="str" cm="1">
        <f t="array" ref="D116">_xlfn.TEXTJOIN("",TRUE,IF(ISNUMBER(SEARCH($A116,'Diags Raw Data'!$A$6:$A$3830)),CONCATENATE('Diags Raw Data'!$H$6:$H$3830,", "),""))</f>
        <v xml:space="preserve">gfx.red_triangle_draw_composite, </v>
      </c>
      <c r="E116" s="339" t="str">
        <f>VLOOKUP(A116,'Diags Raw Data'!$A$6:$D$3830,4,FALSE)</f>
        <v>GEO</v>
      </c>
      <c r="F116" s="339" t="str">
        <f>VLOOKUP(A116,'Feature Raw Data'!$A$3:$E$3922,5,FALSE)</f>
        <v>New</v>
      </c>
      <c r="G116" s="339" t="str">
        <f t="shared" si="6"/>
        <v>Yes</v>
      </c>
      <c r="H116" s="339" t="str">
        <f t="shared" si="7"/>
        <v>Yes</v>
      </c>
      <c r="I116" s="435">
        <f>SUMIF('Diags Raw Data'!$A$6:$A$3830,"*"&amp;$A116&amp;"*",'Diags Raw Data'!$K$6:$K$3830)</f>
        <v>0</v>
      </c>
      <c r="J116" s="437">
        <f>SUMIF('Diags Raw Data'!$A$6:$A$3830,"*"&amp;$A116&amp;"*",'Diags Raw Data'!$L$6:$L$3830)</f>
        <v>0</v>
      </c>
      <c r="K116" s="484" t="e" cm="1">
        <f t="array" ref="K116">IF(D116="",0, SUMPRODUCT(--(ISNUMBER(SEARCH($A116,'Diags Raw Data'!$A$6:$A$3830))),'Diags Raw Data'!$L$6:$L$3830,'Diags Raw Data'!$N$6:$N$3830)/J116)</f>
        <v>#DIV/0!</v>
      </c>
      <c r="L116" s="485" t="e" cm="1">
        <f t="array" ref="L116">IF(D116="",0, SUMPRODUCT(--(ISNUMBER(SEARCH($A116,'Diags Raw Data'!$A$6:$A$3830))),'Diags Raw Data'!$L$6:$L$3830,'Diags Raw Data'!$P$6:$P$3830)/J116)</f>
        <v>#DIV/0!</v>
      </c>
      <c r="M116" s="486" cm="1">
        <f t="array" ref="M116">SUMPRODUCT(--(ISNUMBER(SEARCH($A116,'Diags Raw Data'!$A$6:$A$3830))),--('Diags Raw Data'!$Q$6:$Q$3830&lt;&gt;"N/A"),'Diags Raw Data'!$R$6:$R$3830)</f>
        <v>1</v>
      </c>
      <c r="N116" s="487" cm="1">
        <f t="array" ref="N116">SUMPRODUCT(--(ISNUMBER(SEARCH($A116,'Diags Raw Data'!$A$6:$A$3830))),--('Diags Raw Data'!$Q$6:$Q$3830&lt;&gt;"N/A"),'Diags Raw Data'!$T$6:$T$3830)+SUMPRODUCT(--(ISNUMBER(SEARCH($A116,'Diags Raw Data'!$A$6:$A$3830))),--('Diags Raw Data'!$Q$6:$Q$3830&lt;&gt;"N/A"),'Diags Raw Data'!$U$6:$U$3830)</f>
        <v>0</v>
      </c>
      <c r="O116" s="488">
        <f t="shared" si="16"/>
        <v>0</v>
      </c>
      <c r="P116" s="489">
        <f>SUMIF('Diags Raw Data'!$A$6:$A$3830,"*"&amp;$A116&amp;"*",'Diags Raw Data'!$Z$6:$Z$3830)</f>
        <v>0</v>
      </c>
      <c r="Q116" s="490">
        <f>SUM(SUMIF('Diags Raw Data'!$A$6:$A$3830,"*"&amp;$A116&amp;"*",'Diags Raw Data'!$AA$6:$AA$3830),SUMIF('Diags Raw Data'!$A$6:$A$3830,"*"&amp;$A116&amp;"*",'Diags Raw Data'!$AB$6:$AB$3830))</f>
        <v>0</v>
      </c>
      <c r="R116" s="491">
        <f t="shared" si="13"/>
        <v>0</v>
      </c>
      <c r="S116" s="491">
        <f t="shared" si="14"/>
        <v>0</v>
      </c>
      <c r="T116" s="492">
        <f t="shared" si="15"/>
        <v>0</v>
      </c>
      <c r="U116" s="432" t="str">
        <f>VLOOKUP(A116,'Diags Raw Data'!$A$6:$AH$3830,33,FALSE)</f>
        <v>WK4</v>
      </c>
      <c r="V116" s="181"/>
    </row>
    <row r="117" spans="1:22" ht="30.75" thickBot="1" x14ac:dyDescent="0.3">
      <c r="A117" s="546">
        <v>12.22</v>
      </c>
      <c r="B117" s="434" t="str">
        <f>VLOOKUP(A117,'Feature Raw Data'!$A$3:$B$3922,2,FALSE)</f>
        <v>register cleanup</v>
      </c>
      <c r="C117" s="435" t="str">
        <f>VLOOKUP(A117,'Feature Raw Data'!$A$3:$C$3922,3,FALSE)</f>
        <v>P1</v>
      </c>
      <c r="D117" s="436" t="str" cm="1">
        <f t="array" ref="D117">_xlfn.TEXTJOIN("",TRUE,IF(ISNUMBER(SEARCH($A117,'Diags Raw Data'!$A$6:$A$3830)),CONCATENATE('Diags Raw Data'!$H$6:$H$3830,", "),""))</f>
        <v xml:space="preserve">navi48.gfx.ge.register_access, std1.6,gci30.3, PPI406.1-2, </v>
      </c>
      <c r="E117" s="339" t="str">
        <f>VLOOKUP(A117,'Diags Raw Data'!$A$6:$D$3830,4,FALSE)</f>
        <v>GEO</v>
      </c>
      <c r="F117" s="339" t="str">
        <f>VLOOKUP(A117,'Feature Raw Data'!$A$3:$E$3922,5,FALSE)</f>
        <v>New</v>
      </c>
      <c r="G117" s="339" t="str">
        <f t="shared" si="6"/>
        <v>Yes</v>
      </c>
      <c r="H117" s="339" t="str">
        <f t="shared" si="7"/>
        <v>Yes</v>
      </c>
      <c r="I117" s="435">
        <f>SUMIF('Diags Raw Data'!$A$6:$A$3830,"*"&amp;$A117&amp;"*",'Diags Raw Data'!$K$6:$K$3830)</f>
        <v>0</v>
      </c>
      <c r="J117" s="437">
        <f>SUMIF('Diags Raw Data'!$A$6:$A$3830,"*"&amp;$A117&amp;"*",'Diags Raw Data'!$L$6:$L$3830)</f>
        <v>0</v>
      </c>
      <c r="K117" s="484" t="e" cm="1">
        <f t="array" ref="K117">IF(D117="",0, SUMPRODUCT(--(ISNUMBER(SEARCH($A117,'Diags Raw Data'!$A$6:$A$3830))),'Diags Raw Data'!$L$6:$L$3830,'Diags Raw Data'!$N$6:$N$3830)/J117)</f>
        <v>#DIV/0!</v>
      </c>
      <c r="L117" s="485" t="e" cm="1">
        <f t="array" ref="L117">IF(D117="",0, SUMPRODUCT(--(ISNUMBER(SEARCH($A117,'Diags Raw Data'!$A$6:$A$3830))),'Diags Raw Data'!$L$6:$L$3830,'Diags Raw Data'!$P$6:$P$3830)/J117)</f>
        <v>#DIV/0!</v>
      </c>
      <c r="M117" s="486" cm="1">
        <f t="array" ref="M117">SUMPRODUCT(--(ISNUMBER(SEARCH($A117,'Diags Raw Data'!$A$6:$A$3830))),--('Diags Raw Data'!$Q$6:$Q$3830&lt;&gt;"N/A"),'Diags Raw Data'!$R$6:$R$3830)</f>
        <v>3</v>
      </c>
      <c r="N117" s="487" cm="1">
        <f t="array" ref="N117">SUMPRODUCT(--(ISNUMBER(SEARCH($A117,'Diags Raw Data'!$A$6:$A$3830))),--('Diags Raw Data'!$Q$6:$Q$3830&lt;&gt;"N/A"),'Diags Raw Data'!$T$6:$T$3830)+SUMPRODUCT(--(ISNUMBER(SEARCH($A117,'Diags Raw Data'!$A$6:$A$3830))),--('Diags Raw Data'!$Q$6:$Q$3830&lt;&gt;"N/A"),'Diags Raw Data'!$U$6:$U$3830)</f>
        <v>2</v>
      </c>
      <c r="O117" s="488">
        <f t="shared" si="16"/>
        <v>0.66666666666666663</v>
      </c>
      <c r="P117" s="489">
        <f>SUMIF('Diags Raw Data'!$A$6:$A$3830,"*"&amp;$A117&amp;"*",'Diags Raw Data'!$Z$6:$Z$3830)</f>
        <v>0</v>
      </c>
      <c r="Q117" s="490">
        <f>SUM(SUMIF('Diags Raw Data'!$A$6:$A$3830,"*"&amp;$A117&amp;"*",'Diags Raw Data'!$AA$6:$AA$3830),SUMIF('Diags Raw Data'!$A$6:$A$3830,"*"&amp;$A117&amp;"*",'Diags Raw Data'!$AB$6:$AB$3830))</f>
        <v>0</v>
      </c>
      <c r="R117" s="491">
        <f t="shared" si="13"/>
        <v>0</v>
      </c>
      <c r="S117" s="491">
        <f t="shared" si="14"/>
        <v>0</v>
      </c>
      <c r="T117" s="492">
        <f t="shared" si="15"/>
        <v>0</v>
      </c>
      <c r="U117" s="432" t="str">
        <f>VLOOKUP(A117,'Diags Raw Data'!$A$6:$AH$3830,33,FALSE)</f>
        <v>WK4</v>
      </c>
      <c r="V117" s="181"/>
    </row>
    <row r="118" spans="1:22" ht="45.75" thickBot="1" x14ac:dyDescent="0.3">
      <c r="A118" s="546">
        <v>12.221</v>
      </c>
      <c r="B118" s="434" t="str">
        <f>VLOOKUP(A118,'Feature Raw Data'!$A$3:$B$3922,2,FALSE)</f>
        <v>Add support to the SDMA to dequeue similar to the way the CP does</v>
      </c>
      <c r="C118" s="435" t="str">
        <f>VLOOKUP(A118,'Feature Raw Data'!$A$3:$C$3922,3,FALSE)</f>
        <v>P1</v>
      </c>
      <c r="D118" s="436" t="str" cm="1">
        <f t="array" ref="D118">_xlfn.TEXTJOIN("",TRUE,IF(ISNUMBER(SEARCH($A118,'Diags Raw Data'!$A$6:$A$3830)),CONCATENATE('Diags Raw Data'!$H$6:$H$3830,", "),""))</f>
        <v/>
      </c>
      <c r="E118" s="339" t="e">
        <f>VLOOKUP(A118,'Diags Raw Data'!$A$6:$D$3830,4,FALSE)</f>
        <v>#N/A</v>
      </c>
      <c r="F118" s="339" t="str">
        <f>VLOOKUP(A118,'Feature Raw Data'!$A$3:$E$3922,5,FALSE)</f>
        <v>New</v>
      </c>
      <c r="G118" s="339" t="str">
        <f t="shared" si="6"/>
        <v>Yes</v>
      </c>
      <c r="H118" s="339" t="str">
        <f t="shared" si="7"/>
        <v>Yes</v>
      </c>
      <c r="I118" s="435">
        <f>SUMIF('Diags Raw Data'!$A$6:$A$3830,"*"&amp;$A118&amp;"*",'Diags Raw Data'!$K$6:$K$3830)</f>
        <v>0</v>
      </c>
      <c r="J118" s="437">
        <f>SUMIF('Diags Raw Data'!$A$6:$A$3830,"*"&amp;$A118&amp;"*",'Diags Raw Data'!$L$6:$L$3830)</f>
        <v>0</v>
      </c>
      <c r="K118" s="484" cm="1">
        <f t="array" ref="K118">IF(D118="",0, SUMPRODUCT(--(ISNUMBER(SEARCH($A118,'Diags Raw Data'!$A$6:$A$3830))),'Diags Raw Data'!$L$6:$L$3830,'Diags Raw Data'!$N$6:$N$3830)/J118)</f>
        <v>0</v>
      </c>
      <c r="L118" s="485" cm="1">
        <f t="array" ref="L118">IF(D118="",0, SUMPRODUCT(--(ISNUMBER(SEARCH($A118,'Diags Raw Data'!$A$6:$A$3830))),'Diags Raw Data'!$L$6:$L$3830,'Diags Raw Data'!$P$6:$P$3830)/J118)</f>
        <v>0</v>
      </c>
      <c r="M118" s="486" cm="1">
        <f t="array" ref="M118">SUMPRODUCT(--(ISNUMBER(SEARCH($A118,'Diags Raw Data'!$A$6:$A$3830))),--('Diags Raw Data'!$Q$6:$Q$3830&lt;&gt;"N/A"),'Diags Raw Data'!$R$6:$R$3830)</f>
        <v>0</v>
      </c>
      <c r="N118" s="487" cm="1">
        <f t="array" ref="N118">SUMPRODUCT(--(ISNUMBER(SEARCH($A118,'Diags Raw Data'!$A$6:$A$3830))),--('Diags Raw Data'!$Q$6:$Q$3830&lt;&gt;"N/A"),'Diags Raw Data'!$T$6:$T$3830)+SUMPRODUCT(--(ISNUMBER(SEARCH($A118,'Diags Raw Data'!$A$6:$A$3830))),--('Diags Raw Data'!$Q$6:$Q$3830&lt;&gt;"N/A"),'Diags Raw Data'!$U$6:$U$3830)</f>
        <v>0</v>
      </c>
      <c r="O118" s="488">
        <f t="shared" si="16"/>
        <v>0</v>
      </c>
      <c r="P118" s="489">
        <f>SUMIF('Diags Raw Data'!$A$6:$A$3830,"*"&amp;$A118&amp;"*",'Diags Raw Data'!$Z$6:$Z$3830)</f>
        <v>0</v>
      </c>
      <c r="Q118" s="490">
        <f>SUM(SUMIF('Diags Raw Data'!$A$6:$A$3830,"*"&amp;$A118&amp;"*",'Diags Raw Data'!$AA$6:$AA$3830),SUMIF('Diags Raw Data'!$A$6:$A$3830,"*"&amp;$A118&amp;"*",'Diags Raw Data'!$AB$6:$AB$3830))</f>
        <v>0</v>
      </c>
      <c r="R118" s="491">
        <f t="shared" si="13"/>
        <v>0</v>
      </c>
      <c r="S118" s="491">
        <f t="shared" si="14"/>
        <v>0</v>
      </c>
      <c r="T118" s="492">
        <f t="shared" si="15"/>
        <v>0</v>
      </c>
      <c r="U118" s="432" t="e">
        <f>VLOOKUP(A118,'Diags Raw Data'!$A$6:$AH$3830,33,FALSE)</f>
        <v>#N/A</v>
      </c>
      <c r="V118" s="181"/>
    </row>
    <row r="119" spans="1:22" ht="45.75" thickBot="1" x14ac:dyDescent="0.3">
      <c r="A119" s="546">
        <v>12.223000000000001</v>
      </c>
      <c r="B119" s="434" t="str">
        <f>VLOOKUP(A119,'Feature Raw Data'!$A$3:$B$3922,2,FALSE)</f>
        <v>Update PA/SC support for 1 to 9SE and updated pix distribution algorithm</v>
      </c>
      <c r="C119" s="435" t="str">
        <f>VLOOKUP(A119,'Feature Raw Data'!$A$3:$C$3922,3,FALSE)</f>
        <v>P1</v>
      </c>
      <c r="D119" s="436" t="str" cm="1">
        <f t="array" ref="D119">_xlfn.TEXTJOIN("",TRUE,IF(ISNUMBER(SEARCH($A119,'Diags Raw Data'!$A$6:$A$3830)),CONCATENATE('Diags Raw Data'!$H$6:$H$3830,", "),""))</f>
        <v xml:space="preserve">std1.6,gci30.3, </v>
      </c>
      <c r="E119" s="339" t="str">
        <f>VLOOKUP(A119,'Diags Raw Data'!$A$6:$D$3830,4,FALSE)</f>
        <v>PP</v>
      </c>
      <c r="F119" s="339" t="str">
        <f>VLOOKUP(A119,'Feature Raw Data'!$A$3:$E$3922,5,FALSE)</f>
        <v>New</v>
      </c>
      <c r="G119" s="339" t="str">
        <f t="shared" si="6"/>
        <v>Yes</v>
      </c>
      <c r="H119" s="339" t="str">
        <f t="shared" si="7"/>
        <v>Yes</v>
      </c>
      <c r="I119" s="435">
        <f>SUMIF('Diags Raw Data'!$A$6:$A$3830,"*"&amp;$A119&amp;"*",'Diags Raw Data'!$K$6:$K$3830)</f>
        <v>0</v>
      </c>
      <c r="J119" s="437">
        <f>SUMIF('Diags Raw Data'!$A$6:$A$3830,"*"&amp;$A119&amp;"*",'Diags Raw Data'!$L$6:$L$3830)</f>
        <v>0</v>
      </c>
      <c r="K119" s="484" t="e" cm="1">
        <f t="array" ref="K119">IF(D119="",0, SUMPRODUCT(--(ISNUMBER(SEARCH($A119,'Diags Raw Data'!$A$6:$A$3830))),'Diags Raw Data'!$L$6:$L$3830,'Diags Raw Data'!$N$6:$N$3830)/J119)</f>
        <v>#DIV/0!</v>
      </c>
      <c r="L119" s="485" t="e" cm="1">
        <f t="array" ref="L119">IF(D119="",0, SUMPRODUCT(--(ISNUMBER(SEARCH($A119,'Diags Raw Data'!$A$6:$A$3830))),'Diags Raw Data'!$L$6:$L$3830,'Diags Raw Data'!$P$6:$P$3830)/J119)</f>
        <v>#DIV/0!</v>
      </c>
      <c r="M119" s="486" cm="1">
        <f t="array" ref="M119">SUMPRODUCT(--(ISNUMBER(SEARCH($A119,'Diags Raw Data'!$A$6:$A$3830))),--('Diags Raw Data'!$Q$6:$Q$3830&lt;&gt;"N/A"),'Diags Raw Data'!$R$6:$R$3830)</f>
        <v>1</v>
      </c>
      <c r="N119" s="487" cm="1">
        <f t="array" ref="N119">SUMPRODUCT(--(ISNUMBER(SEARCH($A119,'Diags Raw Data'!$A$6:$A$3830))),--('Diags Raw Data'!$Q$6:$Q$3830&lt;&gt;"N/A"),'Diags Raw Data'!$T$6:$T$3830)+SUMPRODUCT(--(ISNUMBER(SEARCH($A119,'Diags Raw Data'!$A$6:$A$3830))),--('Diags Raw Data'!$Q$6:$Q$3830&lt;&gt;"N/A"),'Diags Raw Data'!$U$6:$U$3830)</f>
        <v>1</v>
      </c>
      <c r="O119" s="488">
        <f t="shared" si="16"/>
        <v>1</v>
      </c>
      <c r="P119" s="489">
        <f>SUMIF('Diags Raw Data'!$A$6:$A$3830,"*"&amp;$A119&amp;"*",'Diags Raw Data'!$Z$6:$Z$3830)</f>
        <v>0</v>
      </c>
      <c r="Q119" s="490">
        <f>SUM(SUMIF('Diags Raw Data'!$A$6:$A$3830,"*"&amp;$A119&amp;"*",'Diags Raw Data'!$AA$6:$AA$3830),SUMIF('Diags Raw Data'!$A$6:$A$3830,"*"&amp;$A119&amp;"*",'Diags Raw Data'!$AB$6:$AB$3830))</f>
        <v>0</v>
      </c>
      <c r="R119" s="491">
        <f t="shared" si="13"/>
        <v>0</v>
      </c>
      <c r="S119" s="491">
        <f t="shared" si="14"/>
        <v>0</v>
      </c>
      <c r="T119" s="492">
        <f t="shared" si="15"/>
        <v>0</v>
      </c>
      <c r="U119" s="432" t="str">
        <f>VLOOKUP(A119,'Diags Raw Data'!$A$6:$AH$3830,33,FALSE)</f>
        <v>WK5</v>
      </c>
      <c r="V119" s="181"/>
    </row>
    <row r="120" spans="1:22" ht="30.75" thickBot="1" x14ac:dyDescent="0.3">
      <c r="A120" s="546">
        <v>12.224</v>
      </c>
      <c r="B120" s="434" t="str">
        <f>VLOOKUP(A120,'Feature Raw Data'!$A$3:$B$3922,2,FALSE)</f>
        <v>Drop the FSR support from SC PBB implementation</v>
      </c>
      <c r="C120" s="435" t="str">
        <f>VLOOKUP(A120,'Feature Raw Data'!$A$3:$C$3922,3,FALSE)</f>
        <v>P1</v>
      </c>
      <c r="D120" s="436" t="str" cm="1">
        <f t="array" ref="D120">_xlfn.TEXTJOIN("",TRUE,IF(ISNUMBER(SEARCH($A120,'Diags Raw Data'!$A$6:$A$3830)),CONCATENATE('Diags Raw Data'!$H$6:$H$3830,", "),""))</f>
        <v/>
      </c>
      <c r="E120" s="339" t="e">
        <f>VLOOKUP(A120,'Diags Raw Data'!$A$6:$D$3830,4,FALSE)</f>
        <v>#N/A</v>
      </c>
      <c r="F120" s="339" t="str">
        <f>VLOOKUP(A120,'Feature Raw Data'!$A$3:$E$3922,5,FALSE)</f>
        <v>New</v>
      </c>
      <c r="G120" s="339" t="str">
        <f t="shared" si="6"/>
        <v>Yes</v>
      </c>
      <c r="H120" s="339" t="str">
        <f t="shared" si="7"/>
        <v>Yes</v>
      </c>
      <c r="I120" s="435">
        <f>SUMIF('Diags Raw Data'!$A$6:$A$3830,"*"&amp;$A120&amp;"*",'Diags Raw Data'!$K$6:$K$3830)</f>
        <v>0</v>
      </c>
      <c r="J120" s="437">
        <f>SUMIF('Diags Raw Data'!$A$6:$A$3830,"*"&amp;$A120&amp;"*",'Diags Raw Data'!$L$6:$L$3830)</f>
        <v>0</v>
      </c>
      <c r="K120" s="484" cm="1">
        <f t="array" ref="K120">IF(D120="",0, SUMPRODUCT(--(ISNUMBER(SEARCH($A120,'Diags Raw Data'!$A$6:$A$3830))),'Diags Raw Data'!$L$6:$L$3830,'Diags Raw Data'!$N$6:$N$3830)/J120)</f>
        <v>0</v>
      </c>
      <c r="L120" s="485" cm="1">
        <f t="array" ref="L120">IF(D120="",0, SUMPRODUCT(--(ISNUMBER(SEARCH($A120,'Diags Raw Data'!$A$6:$A$3830))),'Diags Raw Data'!$L$6:$L$3830,'Diags Raw Data'!$P$6:$P$3830)/J120)</f>
        <v>0</v>
      </c>
      <c r="M120" s="486" cm="1">
        <f t="array" ref="M120">SUMPRODUCT(--(ISNUMBER(SEARCH($A120,'Diags Raw Data'!$A$6:$A$3830))),--('Diags Raw Data'!$Q$6:$Q$3830&lt;&gt;"N/A"),'Diags Raw Data'!$R$6:$R$3830)</f>
        <v>0</v>
      </c>
      <c r="N120" s="487" cm="1">
        <f t="array" ref="N120">SUMPRODUCT(--(ISNUMBER(SEARCH($A120,'Diags Raw Data'!$A$6:$A$3830))),--('Diags Raw Data'!$Q$6:$Q$3830&lt;&gt;"N/A"),'Diags Raw Data'!$T$6:$T$3830)+SUMPRODUCT(--(ISNUMBER(SEARCH($A120,'Diags Raw Data'!$A$6:$A$3830))),--('Diags Raw Data'!$Q$6:$Q$3830&lt;&gt;"N/A"),'Diags Raw Data'!$U$6:$U$3830)</f>
        <v>0</v>
      </c>
      <c r="O120" s="488">
        <f t="shared" si="16"/>
        <v>0</v>
      </c>
      <c r="P120" s="489">
        <f>SUMIF('Diags Raw Data'!$A$6:$A$3830,"*"&amp;$A120&amp;"*",'Diags Raw Data'!$Z$6:$Z$3830)</f>
        <v>0</v>
      </c>
      <c r="Q120" s="490">
        <f>SUM(SUMIF('Diags Raw Data'!$A$6:$A$3830,"*"&amp;$A120&amp;"*",'Diags Raw Data'!$AA$6:$AA$3830),SUMIF('Diags Raw Data'!$A$6:$A$3830,"*"&amp;$A120&amp;"*",'Diags Raw Data'!$AB$6:$AB$3830))</f>
        <v>0</v>
      </c>
      <c r="R120" s="491">
        <f t="shared" si="13"/>
        <v>0</v>
      </c>
      <c r="S120" s="491">
        <f t="shared" si="14"/>
        <v>0</v>
      </c>
      <c r="T120" s="492">
        <f t="shared" si="15"/>
        <v>0</v>
      </c>
      <c r="U120" s="432" t="e">
        <f>VLOOKUP(A120,'Diags Raw Data'!$A$6:$AH$3830,33,FALSE)</f>
        <v>#N/A</v>
      </c>
      <c r="V120" s="181"/>
    </row>
    <row r="121" spans="1:22" ht="45.75" thickBot="1" x14ac:dyDescent="0.3">
      <c r="A121" s="546">
        <v>12.225</v>
      </c>
      <c r="B121" s="434" t="str">
        <f>VLOOKUP(A121,'Feature Raw Data'!$A$3:$B$3922,2,FALSE)</f>
        <v>DB design simplificaitons while updating for hybrid depth compression</v>
      </c>
      <c r="C121" s="435" t="str">
        <f>VLOOKUP(A121,'Feature Raw Data'!$A$3:$C$3922,3,FALSE)</f>
        <v>P1</v>
      </c>
      <c r="D121" s="436" t="str" cm="1">
        <f t="array" ref="D121">_xlfn.TEXTJOIN("",TRUE,IF(ISNUMBER(SEARCH($A121,'Diags Raw Data'!$A$6:$A$3830)),CONCATENATE('Diags Raw Data'!$H$6:$H$3830,", "),""))</f>
        <v xml:space="preserve">PPI406.1-2, </v>
      </c>
      <c r="E121" s="339" t="str">
        <f>VLOOKUP(A121,'Diags Raw Data'!$A$6:$D$3830,4,FALSE)</f>
        <v>PP</v>
      </c>
      <c r="F121" s="339" t="str">
        <f>VLOOKUP(A121,'Feature Raw Data'!$A$3:$E$3922,5,FALSE)</f>
        <v>New</v>
      </c>
      <c r="G121" s="339" t="str">
        <f t="shared" si="6"/>
        <v>Yes</v>
      </c>
      <c r="H121" s="339" t="str">
        <f t="shared" si="7"/>
        <v>Yes</v>
      </c>
      <c r="I121" s="435">
        <f>SUMIF('Diags Raw Data'!$A$6:$A$3830,"*"&amp;$A121&amp;"*",'Diags Raw Data'!$K$6:$K$3830)</f>
        <v>0</v>
      </c>
      <c r="J121" s="437">
        <f>SUMIF('Diags Raw Data'!$A$6:$A$3830,"*"&amp;$A121&amp;"*",'Diags Raw Data'!$L$6:$L$3830)</f>
        <v>0</v>
      </c>
      <c r="K121" s="484" t="e" cm="1">
        <f t="array" ref="K121">IF(D121="",0, SUMPRODUCT(--(ISNUMBER(SEARCH($A121,'Diags Raw Data'!$A$6:$A$3830))),'Diags Raw Data'!$L$6:$L$3830,'Diags Raw Data'!$N$6:$N$3830)/J121)</f>
        <v>#DIV/0!</v>
      </c>
      <c r="L121" s="485" t="e" cm="1">
        <f t="array" ref="L121">IF(D121="",0, SUMPRODUCT(--(ISNUMBER(SEARCH($A121,'Diags Raw Data'!$A$6:$A$3830))),'Diags Raw Data'!$L$6:$L$3830,'Diags Raw Data'!$P$6:$P$3830)/J121)</f>
        <v>#DIV/0!</v>
      </c>
      <c r="M121" s="486" cm="1">
        <f t="array" ref="M121">SUMPRODUCT(--(ISNUMBER(SEARCH($A121,'Diags Raw Data'!$A$6:$A$3830))),--('Diags Raw Data'!$Q$6:$Q$3830&lt;&gt;"N/A"),'Diags Raw Data'!$R$6:$R$3830)</f>
        <v>1</v>
      </c>
      <c r="N121" s="487" cm="1">
        <f t="array" ref="N121">SUMPRODUCT(--(ISNUMBER(SEARCH($A121,'Diags Raw Data'!$A$6:$A$3830))),--('Diags Raw Data'!$Q$6:$Q$3830&lt;&gt;"N/A"),'Diags Raw Data'!$T$6:$T$3830)+SUMPRODUCT(--(ISNUMBER(SEARCH($A121,'Diags Raw Data'!$A$6:$A$3830))),--('Diags Raw Data'!$Q$6:$Q$3830&lt;&gt;"N/A"),'Diags Raw Data'!$U$6:$U$3830)</f>
        <v>0</v>
      </c>
      <c r="O121" s="488">
        <f t="shared" si="16"/>
        <v>0</v>
      </c>
      <c r="P121" s="489">
        <f>SUMIF('Diags Raw Data'!$A$6:$A$3830,"*"&amp;$A121&amp;"*",'Diags Raw Data'!$Z$6:$Z$3830)</f>
        <v>0</v>
      </c>
      <c r="Q121" s="490">
        <f>SUM(SUMIF('Diags Raw Data'!$A$6:$A$3830,"*"&amp;$A121&amp;"*",'Diags Raw Data'!$AA$6:$AA$3830),SUMIF('Diags Raw Data'!$A$6:$A$3830,"*"&amp;$A121&amp;"*",'Diags Raw Data'!$AB$6:$AB$3830))</f>
        <v>0</v>
      </c>
      <c r="R121" s="491">
        <f t="shared" si="13"/>
        <v>0</v>
      </c>
      <c r="S121" s="491">
        <f t="shared" si="14"/>
        <v>0</v>
      </c>
      <c r="T121" s="492">
        <f t="shared" si="15"/>
        <v>0</v>
      </c>
      <c r="U121" s="432" t="str">
        <f>VLOOKUP(A121,'Diags Raw Data'!$A$6:$AH$3830,33,FALSE)</f>
        <v>WK5</v>
      </c>
      <c r="V121" s="181"/>
    </row>
    <row r="122" spans="1:22" ht="30.75" thickBot="1" x14ac:dyDescent="0.3">
      <c r="A122" s="546">
        <v>12.233000000000001</v>
      </c>
      <c r="B122" s="434" t="str">
        <f>VLOOKUP(A122,'Feature Raw Data'!$A$3:$B$3922,2,FALSE)</f>
        <v>add DRAM logging support for RLC</v>
      </c>
      <c r="C122" s="435" t="str">
        <f>VLOOKUP(A122,'Feature Raw Data'!$A$3:$C$3922,3,FALSE)</f>
        <v>P2</v>
      </c>
      <c r="D122" s="436" t="str" cm="1">
        <f t="array" ref="D122">_xlfn.TEXTJOIN("",TRUE,IF(ISNUMBER(SEARCH($A122,'Diags Raw Data'!$A$6:$A$3830)),CONCATENATE('Diags Raw Data'!$H$6:$H$3830,", "),""))</f>
        <v/>
      </c>
      <c r="E122" s="339" t="e">
        <f>VLOOKUP(A122,'Diags Raw Data'!$A$6:$D$3830,4,FALSE)</f>
        <v>#N/A</v>
      </c>
      <c r="F122" s="339" t="str">
        <f>VLOOKUP(A122,'Feature Raw Data'!$A$3:$E$3922,5,FALSE)</f>
        <v>New</v>
      </c>
      <c r="G122" s="339" t="str">
        <f t="shared" si="6"/>
        <v>Yes</v>
      </c>
      <c r="H122" s="339" t="str">
        <f t="shared" si="7"/>
        <v>Yes</v>
      </c>
      <c r="I122" s="435">
        <f>SUMIF('Diags Raw Data'!$A$6:$A$3830,"*"&amp;$A122&amp;"*",'Diags Raw Data'!$K$6:$K$3830)</f>
        <v>0</v>
      </c>
      <c r="J122" s="437">
        <f>SUMIF('Diags Raw Data'!$A$6:$A$3830,"*"&amp;$A122&amp;"*",'Diags Raw Data'!$L$6:$L$3830)</f>
        <v>0</v>
      </c>
      <c r="K122" s="484" cm="1">
        <f t="array" ref="K122">IF(D122="",0, SUMPRODUCT(--(ISNUMBER(SEARCH($A122,'Diags Raw Data'!$A$6:$A$3830))),'Diags Raw Data'!$L$6:$L$3830,'Diags Raw Data'!$N$6:$N$3830)/J122)</f>
        <v>0</v>
      </c>
      <c r="L122" s="485" cm="1">
        <f t="array" ref="L122">IF(D122="",0, SUMPRODUCT(--(ISNUMBER(SEARCH($A122,'Diags Raw Data'!$A$6:$A$3830))),'Diags Raw Data'!$L$6:$L$3830,'Diags Raw Data'!$P$6:$P$3830)/J122)</f>
        <v>0</v>
      </c>
      <c r="M122" s="486" cm="1">
        <f t="array" ref="M122">SUMPRODUCT(--(ISNUMBER(SEARCH($A122,'Diags Raw Data'!$A$6:$A$3830))),--('Diags Raw Data'!$Q$6:$Q$3830&lt;&gt;"N/A"),'Diags Raw Data'!$R$6:$R$3830)</f>
        <v>0</v>
      </c>
      <c r="N122" s="487" cm="1">
        <f t="array" ref="N122">SUMPRODUCT(--(ISNUMBER(SEARCH($A122,'Diags Raw Data'!$A$6:$A$3830))),--('Diags Raw Data'!$Q$6:$Q$3830&lt;&gt;"N/A"),'Diags Raw Data'!$T$6:$T$3830)+SUMPRODUCT(--(ISNUMBER(SEARCH($A122,'Diags Raw Data'!$A$6:$A$3830))),--('Diags Raw Data'!$Q$6:$Q$3830&lt;&gt;"N/A"),'Diags Raw Data'!$U$6:$U$3830)</f>
        <v>0</v>
      </c>
      <c r="O122" s="488">
        <f t="shared" si="16"/>
        <v>0</v>
      </c>
      <c r="P122" s="489">
        <f>SUMIF('Diags Raw Data'!$A$6:$A$3830,"*"&amp;$A122&amp;"*",'Diags Raw Data'!$Z$6:$Z$3830)</f>
        <v>0</v>
      </c>
      <c r="Q122" s="490">
        <f>SUM(SUMIF('Diags Raw Data'!$A$6:$A$3830,"*"&amp;$A122&amp;"*",'Diags Raw Data'!$AA$6:$AA$3830),SUMIF('Diags Raw Data'!$A$6:$A$3830,"*"&amp;$A122&amp;"*",'Diags Raw Data'!$AB$6:$AB$3830))</f>
        <v>0</v>
      </c>
      <c r="R122" s="491">
        <f t="shared" si="13"/>
        <v>0</v>
      </c>
      <c r="S122" s="491">
        <f t="shared" si="14"/>
        <v>0</v>
      </c>
      <c r="T122" s="492">
        <f t="shared" si="15"/>
        <v>0</v>
      </c>
      <c r="U122" s="432" t="e">
        <f>VLOOKUP(A122,'Diags Raw Data'!$A$6:$AH$3830,33,FALSE)</f>
        <v>#N/A</v>
      </c>
      <c r="V122" s="181"/>
    </row>
    <row r="123" spans="1:22" ht="30.75" thickBot="1" x14ac:dyDescent="0.3">
      <c r="A123" s="546">
        <v>12.234999999999999</v>
      </c>
      <c r="B123" s="434" t="str">
        <f>VLOOKUP(A123,'Feature Raw Data'!$A$3:$B$3922,2,FALSE)</f>
        <v>Add RLC SRM as an RLC_CH client</v>
      </c>
      <c r="C123" s="435" t="str">
        <f>VLOOKUP(A123,'Feature Raw Data'!$A$3:$C$3922,3,FALSE)</f>
        <v>P2</v>
      </c>
      <c r="D123" s="436" t="str" cm="1">
        <f t="array" ref="D123">_xlfn.TEXTJOIN("",TRUE,IF(ISNUMBER(SEARCH($A123,'Diags Raw Data'!$A$6:$A$3830)),CONCATENATE('Diags Raw Data'!$H$6:$H$3830,", "),""))</f>
        <v/>
      </c>
      <c r="E123" s="339" t="e">
        <f>VLOOKUP(A123,'Diags Raw Data'!$A$6:$D$3830,4,FALSE)</f>
        <v>#N/A</v>
      </c>
      <c r="F123" s="339" t="str">
        <f>VLOOKUP(A123,'Feature Raw Data'!$A$3:$E$3922,5,FALSE)</f>
        <v>New</v>
      </c>
      <c r="G123" s="339" t="str">
        <f t="shared" si="6"/>
        <v>Yes</v>
      </c>
      <c r="H123" s="339" t="str">
        <f t="shared" si="7"/>
        <v>Yes</v>
      </c>
      <c r="I123" s="435">
        <f>SUMIF('Diags Raw Data'!$A$6:$A$3830,"*"&amp;$A123&amp;"*",'Diags Raw Data'!$K$6:$K$3830)</f>
        <v>0</v>
      </c>
      <c r="J123" s="437">
        <f>SUMIF('Diags Raw Data'!$A$6:$A$3830,"*"&amp;$A123&amp;"*",'Diags Raw Data'!$L$6:$L$3830)</f>
        <v>0</v>
      </c>
      <c r="K123" s="484" cm="1">
        <f t="array" ref="K123">IF(D123="",0, SUMPRODUCT(--(ISNUMBER(SEARCH($A123,'Diags Raw Data'!$A$6:$A$3830))),'Diags Raw Data'!$L$6:$L$3830,'Diags Raw Data'!$N$6:$N$3830)/J123)</f>
        <v>0</v>
      </c>
      <c r="L123" s="485" cm="1">
        <f t="array" ref="L123">IF(D123="",0, SUMPRODUCT(--(ISNUMBER(SEARCH($A123,'Diags Raw Data'!$A$6:$A$3830))),'Diags Raw Data'!$L$6:$L$3830,'Diags Raw Data'!$P$6:$P$3830)/J123)</f>
        <v>0</v>
      </c>
      <c r="M123" s="486" cm="1">
        <f t="array" ref="M123">SUMPRODUCT(--(ISNUMBER(SEARCH($A123,'Diags Raw Data'!$A$6:$A$3830))),--('Diags Raw Data'!$Q$6:$Q$3830&lt;&gt;"N/A"),'Diags Raw Data'!$R$6:$R$3830)</f>
        <v>0</v>
      </c>
      <c r="N123" s="487" cm="1">
        <f t="array" ref="N123">SUMPRODUCT(--(ISNUMBER(SEARCH($A123,'Diags Raw Data'!$A$6:$A$3830))),--('Diags Raw Data'!$Q$6:$Q$3830&lt;&gt;"N/A"),'Diags Raw Data'!$T$6:$T$3830)+SUMPRODUCT(--(ISNUMBER(SEARCH($A123,'Diags Raw Data'!$A$6:$A$3830))),--('Diags Raw Data'!$Q$6:$Q$3830&lt;&gt;"N/A"),'Diags Raw Data'!$U$6:$U$3830)</f>
        <v>0</v>
      </c>
      <c r="O123" s="488">
        <f t="shared" si="16"/>
        <v>0</v>
      </c>
      <c r="P123" s="489">
        <f>SUMIF('Diags Raw Data'!$A$6:$A$3830,"*"&amp;$A123&amp;"*",'Diags Raw Data'!$Z$6:$Z$3830)</f>
        <v>0</v>
      </c>
      <c r="Q123" s="490">
        <f>SUM(SUMIF('Diags Raw Data'!$A$6:$A$3830,"*"&amp;$A123&amp;"*",'Diags Raw Data'!$AA$6:$AA$3830),SUMIF('Diags Raw Data'!$A$6:$A$3830,"*"&amp;$A123&amp;"*",'Diags Raw Data'!$AB$6:$AB$3830))</f>
        <v>0</v>
      </c>
      <c r="R123" s="491">
        <f t="shared" si="13"/>
        <v>0</v>
      </c>
      <c r="S123" s="491">
        <f t="shared" si="14"/>
        <v>0</v>
      </c>
      <c r="T123" s="492">
        <f t="shared" si="15"/>
        <v>0</v>
      </c>
      <c r="U123" s="432" t="e">
        <f>VLOOKUP(A123,'Diags Raw Data'!$A$6:$AH$3830,33,FALSE)</f>
        <v>#N/A</v>
      </c>
      <c r="V123" s="181"/>
    </row>
    <row r="124" spans="1:22" ht="30.75" thickBot="1" x14ac:dyDescent="0.3">
      <c r="A124" s="546">
        <v>12.236000000000001</v>
      </c>
      <c r="B124" s="434" t="str">
        <f>VLOOKUP(A124,'Feature Raw Data'!$A$3:$B$3922,2,FALSE)</f>
        <v>change RLC LX7 config used for power management</v>
      </c>
      <c r="C124" s="435" t="str">
        <f>VLOOKUP(A124,'Feature Raw Data'!$A$3:$C$3922,3,FALSE)</f>
        <v>P1</v>
      </c>
      <c r="D124" s="436" t="str" cm="1">
        <f t="array" ref="D124">_xlfn.TEXTJOIN("",TRUE,IF(ISNUMBER(SEARCH($A124,'Diags Raw Data'!$A$6:$A$3830)),CONCATENATE('Diags Raw Data'!$H$6:$H$3830,", "),""))</f>
        <v/>
      </c>
      <c r="E124" s="339" t="e">
        <f>VLOOKUP(A124,'Diags Raw Data'!$A$6:$D$3830,4,FALSE)</f>
        <v>#N/A</v>
      </c>
      <c r="F124" s="339" t="str">
        <f>VLOOKUP(A124,'Feature Raw Data'!$A$3:$E$3922,5,FALSE)</f>
        <v>New</v>
      </c>
      <c r="G124" s="339" t="str">
        <f t="shared" si="6"/>
        <v>Yes</v>
      </c>
      <c r="H124" s="339" t="str">
        <f t="shared" si="7"/>
        <v>Yes</v>
      </c>
      <c r="I124" s="435">
        <f>SUMIF('Diags Raw Data'!$A$6:$A$3830,"*"&amp;$A124&amp;"*",'Diags Raw Data'!$K$6:$K$3830)</f>
        <v>0</v>
      </c>
      <c r="J124" s="437">
        <f>SUMIF('Diags Raw Data'!$A$6:$A$3830,"*"&amp;$A124&amp;"*",'Diags Raw Data'!$L$6:$L$3830)</f>
        <v>0</v>
      </c>
      <c r="K124" s="484" cm="1">
        <f t="array" ref="K124">IF(D124="",0, SUMPRODUCT(--(ISNUMBER(SEARCH($A124,'Diags Raw Data'!$A$6:$A$3830))),'Diags Raw Data'!$L$6:$L$3830,'Diags Raw Data'!$N$6:$N$3830)/J124)</f>
        <v>0</v>
      </c>
      <c r="L124" s="485" cm="1">
        <f t="array" ref="L124">IF(D124="",0, SUMPRODUCT(--(ISNUMBER(SEARCH($A124,'Diags Raw Data'!$A$6:$A$3830))),'Diags Raw Data'!$L$6:$L$3830,'Diags Raw Data'!$P$6:$P$3830)/J124)</f>
        <v>0</v>
      </c>
      <c r="M124" s="486" cm="1">
        <f t="array" ref="M124">SUMPRODUCT(--(ISNUMBER(SEARCH($A124,'Diags Raw Data'!$A$6:$A$3830))),--('Diags Raw Data'!$Q$6:$Q$3830&lt;&gt;"N/A"),'Diags Raw Data'!$R$6:$R$3830)</f>
        <v>0</v>
      </c>
      <c r="N124" s="487" cm="1">
        <f t="array" ref="N124">SUMPRODUCT(--(ISNUMBER(SEARCH($A124,'Diags Raw Data'!$A$6:$A$3830))),--('Diags Raw Data'!$Q$6:$Q$3830&lt;&gt;"N/A"),'Diags Raw Data'!$T$6:$T$3830)+SUMPRODUCT(--(ISNUMBER(SEARCH($A124,'Diags Raw Data'!$A$6:$A$3830))),--('Diags Raw Data'!$Q$6:$Q$3830&lt;&gt;"N/A"),'Diags Raw Data'!$U$6:$U$3830)</f>
        <v>0</v>
      </c>
      <c r="O124" s="488">
        <f t="shared" si="16"/>
        <v>0</v>
      </c>
      <c r="P124" s="489">
        <f>SUMIF('Diags Raw Data'!$A$6:$A$3830,"*"&amp;$A124&amp;"*",'Diags Raw Data'!$Z$6:$Z$3830)</f>
        <v>0</v>
      </c>
      <c r="Q124" s="490">
        <f>SUM(SUMIF('Diags Raw Data'!$A$6:$A$3830,"*"&amp;$A124&amp;"*",'Diags Raw Data'!$AA$6:$AA$3830),SUMIF('Diags Raw Data'!$A$6:$A$3830,"*"&amp;$A124&amp;"*",'Diags Raw Data'!$AB$6:$AB$3830))</f>
        <v>0</v>
      </c>
      <c r="R124" s="491">
        <f t="shared" si="13"/>
        <v>0</v>
      </c>
      <c r="S124" s="491">
        <f t="shared" si="14"/>
        <v>0</v>
      </c>
      <c r="T124" s="492">
        <f t="shared" si="15"/>
        <v>0</v>
      </c>
      <c r="U124" s="432" t="e">
        <f>VLOOKUP(A124,'Diags Raw Data'!$A$6:$AH$3830,33,FALSE)</f>
        <v>#N/A</v>
      </c>
      <c r="V124" s="181"/>
    </row>
    <row r="125" spans="1:22" ht="30.75" thickBot="1" x14ac:dyDescent="0.3">
      <c r="A125" s="546">
        <v>12.239000000000001</v>
      </c>
      <c r="B125" s="434" t="str">
        <f>VLOOKUP(A125,'Feature Raw Data'!$A$3:$B$3922,2,FALSE)</f>
        <v>increase adaptive stretch response of GDFLL</v>
      </c>
      <c r="C125" s="435" t="str">
        <f>VLOOKUP(A125,'Feature Raw Data'!$A$3:$C$3922,3,FALSE)</f>
        <v>P2</v>
      </c>
      <c r="D125" s="436" t="str" cm="1">
        <f t="array" ref="D125">_xlfn.TEXTJOIN("",TRUE,IF(ISNUMBER(SEARCH($A125,'Diags Raw Data'!$A$6:$A$3830)),CONCATENATE('Diags Raw Data'!$H$6:$H$3830,", "),""))</f>
        <v/>
      </c>
      <c r="E125" s="339" t="e">
        <f>VLOOKUP(A125,'Diags Raw Data'!$A$6:$D$3830,4,FALSE)</f>
        <v>#N/A</v>
      </c>
      <c r="F125" s="339" t="str">
        <f>VLOOKUP(A125,'Feature Raw Data'!$A$3:$E$3922,5,FALSE)</f>
        <v>New</v>
      </c>
      <c r="G125" s="339" t="str">
        <f t="shared" si="6"/>
        <v>Yes</v>
      </c>
      <c r="H125" s="339" t="str">
        <f t="shared" si="7"/>
        <v>Yes</v>
      </c>
      <c r="I125" s="435">
        <f>SUMIF('Diags Raw Data'!$A$6:$A$3830,"*"&amp;$A125&amp;"*",'Diags Raw Data'!$K$6:$K$3830)</f>
        <v>0</v>
      </c>
      <c r="J125" s="437">
        <f>SUMIF('Diags Raw Data'!$A$6:$A$3830,"*"&amp;$A125&amp;"*",'Diags Raw Data'!$L$6:$L$3830)</f>
        <v>0</v>
      </c>
      <c r="K125" s="484" cm="1">
        <f t="array" ref="K125">IF(D125="",0, SUMPRODUCT(--(ISNUMBER(SEARCH($A125,'Diags Raw Data'!$A$6:$A$3830))),'Diags Raw Data'!$L$6:$L$3830,'Diags Raw Data'!$N$6:$N$3830)/J125)</f>
        <v>0</v>
      </c>
      <c r="L125" s="485" cm="1">
        <f t="array" ref="L125">IF(D125="",0, SUMPRODUCT(--(ISNUMBER(SEARCH($A125,'Diags Raw Data'!$A$6:$A$3830))),'Diags Raw Data'!$L$6:$L$3830,'Diags Raw Data'!$P$6:$P$3830)/J125)</f>
        <v>0</v>
      </c>
      <c r="M125" s="486" cm="1">
        <f t="array" ref="M125">SUMPRODUCT(--(ISNUMBER(SEARCH($A125,'Diags Raw Data'!$A$6:$A$3830))),--('Diags Raw Data'!$Q$6:$Q$3830&lt;&gt;"N/A"),'Diags Raw Data'!$R$6:$R$3830)</f>
        <v>0</v>
      </c>
      <c r="N125" s="487" cm="1">
        <f t="array" ref="N125">SUMPRODUCT(--(ISNUMBER(SEARCH($A125,'Diags Raw Data'!$A$6:$A$3830))),--('Diags Raw Data'!$Q$6:$Q$3830&lt;&gt;"N/A"),'Diags Raw Data'!$T$6:$T$3830)+SUMPRODUCT(--(ISNUMBER(SEARCH($A125,'Diags Raw Data'!$A$6:$A$3830))),--('Diags Raw Data'!$Q$6:$Q$3830&lt;&gt;"N/A"),'Diags Raw Data'!$U$6:$U$3830)</f>
        <v>0</v>
      </c>
      <c r="O125" s="488">
        <f t="shared" si="16"/>
        <v>0</v>
      </c>
      <c r="P125" s="489">
        <f>SUMIF('Diags Raw Data'!$A$6:$A$3830,"*"&amp;$A125&amp;"*",'Diags Raw Data'!$Z$6:$Z$3830)</f>
        <v>0</v>
      </c>
      <c r="Q125" s="490">
        <f>SUM(SUMIF('Diags Raw Data'!$A$6:$A$3830,"*"&amp;$A125&amp;"*",'Diags Raw Data'!$AA$6:$AA$3830),SUMIF('Diags Raw Data'!$A$6:$A$3830,"*"&amp;$A125&amp;"*",'Diags Raw Data'!$AB$6:$AB$3830))</f>
        <v>0</v>
      </c>
      <c r="R125" s="491">
        <f t="shared" si="13"/>
        <v>0</v>
      </c>
      <c r="S125" s="491">
        <f t="shared" si="14"/>
        <v>0</v>
      </c>
      <c r="T125" s="492">
        <f t="shared" si="15"/>
        <v>0</v>
      </c>
      <c r="U125" s="432" t="e">
        <f>VLOOKUP(A125,'Diags Raw Data'!$A$6:$AH$3830,33,FALSE)</f>
        <v>#N/A</v>
      </c>
      <c r="V125" s="181"/>
    </row>
    <row r="126" spans="1:22" ht="30.75" thickBot="1" x14ac:dyDescent="0.3">
      <c r="A126" s="546">
        <v>12.247</v>
      </c>
      <c r="B126" s="434" t="str">
        <f>VLOOKUP(A126,'Feature Raw Data'!$A$3:$B$3922,2,FALSE)</f>
        <v>Register remap to match M1</v>
      </c>
      <c r="C126" s="435" t="str">
        <f>VLOOKUP(A126,'Feature Raw Data'!$A$3:$C$3922,3,FALSE)</f>
        <v>P1</v>
      </c>
      <c r="D126" s="436" t="str" cm="1">
        <f t="array" ref="D126">_xlfn.TEXTJOIN("",TRUE,IF(ISNUMBER(SEARCH($A126,'Diags Raw Data'!$A$6:$A$3830)),CONCATENATE('Diags Raw Data'!$H$6:$H$3830,", "),""))</f>
        <v xml:space="preserve">food_store,mountain_range,navi48.gfx.ge.register_access, </v>
      </c>
      <c r="E126" s="339" t="str">
        <f>VLOOKUP(A126,'Diags Raw Data'!$A$6:$D$3830,4,FALSE)</f>
        <v>GEO</v>
      </c>
      <c r="F126" s="339" t="str">
        <f>VLOOKUP(A126,'Feature Raw Data'!$A$3:$E$3922,5,FALSE)</f>
        <v>New</v>
      </c>
      <c r="G126" s="339" t="str">
        <f t="shared" ref="G126:G189" si="17">IF(D126="N/A, ","No","Yes")</f>
        <v>Yes</v>
      </c>
      <c r="H126" s="339" t="str">
        <f t="shared" si="7"/>
        <v>Yes</v>
      </c>
      <c r="I126" s="435">
        <f>SUMIF('Diags Raw Data'!$A$6:$A$3830,"*"&amp;$A126&amp;"*",'Diags Raw Data'!$K$6:$K$3830)</f>
        <v>0</v>
      </c>
      <c r="J126" s="437">
        <f>SUMIF('Diags Raw Data'!$A$6:$A$3830,"*"&amp;$A126&amp;"*",'Diags Raw Data'!$L$6:$L$3830)</f>
        <v>0</v>
      </c>
      <c r="K126" s="484" t="e" cm="1">
        <f t="array" ref="K126">IF(D126="",0, SUMPRODUCT(--(ISNUMBER(SEARCH($A126,'Diags Raw Data'!$A$6:$A$3830))),'Diags Raw Data'!$L$6:$L$3830,'Diags Raw Data'!$N$6:$N$3830)/J126)</f>
        <v>#DIV/0!</v>
      </c>
      <c r="L126" s="485" t="e" cm="1">
        <f t="array" ref="L126">IF(D126="",0, SUMPRODUCT(--(ISNUMBER(SEARCH($A126,'Diags Raw Data'!$A$6:$A$3830))),'Diags Raw Data'!$L$6:$L$3830,'Diags Raw Data'!$P$6:$P$3830)/J126)</f>
        <v>#DIV/0!</v>
      </c>
      <c r="M126" s="486" cm="1">
        <f t="array" ref="M126">SUMPRODUCT(--(ISNUMBER(SEARCH($A126,'Diags Raw Data'!$A$6:$A$3830))),--('Diags Raw Data'!$Q$6:$Q$3830&lt;&gt;"N/A"),'Diags Raw Data'!$R$6:$R$3830)</f>
        <v>1</v>
      </c>
      <c r="N126" s="487" cm="1">
        <f t="array" ref="N126">SUMPRODUCT(--(ISNUMBER(SEARCH($A126,'Diags Raw Data'!$A$6:$A$3830))),--('Diags Raw Data'!$Q$6:$Q$3830&lt;&gt;"N/A"),'Diags Raw Data'!$T$6:$T$3830)+SUMPRODUCT(--(ISNUMBER(SEARCH($A126,'Diags Raw Data'!$A$6:$A$3830))),--('Diags Raw Data'!$Q$6:$Q$3830&lt;&gt;"N/A"),'Diags Raw Data'!$U$6:$U$3830)</f>
        <v>1</v>
      </c>
      <c r="O126" s="488">
        <f t="shared" si="16"/>
        <v>1</v>
      </c>
      <c r="P126" s="489">
        <f>SUMIF('Diags Raw Data'!$A$6:$A$3830,"*"&amp;$A126&amp;"*",'Diags Raw Data'!$Z$6:$Z$3830)</f>
        <v>0</v>
      </c>
      <c r="Q126" s="490">
        <f>SUM(SUMIF('Diags Raw Data'!$A$6:$A$3830,"*"&amp;$A126&amp;"*",'Diags Raw Data'!$AA$6:$AA$3830),SUMIF('Diags Raw Data'!$A$6:$A$3830,"*"&amp;$A126&amp;"*",'Diags Raw Data'!$AB$6:$AB$3830))</f>
        <v>0</v>
      </c>
      <c r="R126" s="491">
        <f t="shared" si="13"/>
        <v>0</v>
      </c>
      <c r="S126" s="491">
        <f t="shared" si="14"/>
        <v>0</v>
      </c>
      <c r="T126" s="492">
        <f t="shared" si="15"/>
        <v>0</v>
      </c>
      <c r="U126" s="432" t="str">
        <f>VLOOKUP(A126,'Diags Raw Data'!$A$6:$AH$3830,33,FALSE)</f>
        <v>WK4</v>
      </c>
      <c r="V126" s="181"/>
    </row>
    <row r="127" spans="1:22" ht="45.75" thickBot="1" x14ac:dyDescent="0.3">
      <c r="A127" s="546">
        <v>12.253</v>
      </c>
      <c r="B127" s="434" t="str">
        <f>VLOOKUP(A127,'Feature Raw Data'!$A$3:$B$3922,2,FALSE)</f>
        <v>GFX12 IMU - Remove CPAXI and send doorbells directly to CP/RLC/SDMA</v>
      </c>
      <c r="C127" s="435" t="str">
        <f>VLOOKUP(A127,'Feature Raw Data'!$A$3:$C$3922,3,FALSE)</f>
        <v>P1</v>
      </c>
      <c r="D127" s="436" t="str" cm="1">
        <f t="array" ref="D127">_xlfn.TEXTJOIN("",TRUE,IF(ISNUMBER(SEARCH($A127,'Diags Raw Data'!$A$6:$A$3830)),CONCATENATE('Diags Raw Data'!$H$6:$H$3830,", "),""))</f>
        <v/>
      </c>
      <c r="E127" s="339" t="e">
        <f>VLOOKUP(A127,'Diags Raw Data'!$A$6:$D$3830,4,FALSE)</f>
        <v>#N/A</v>
      </c>
      <c r="F127" s="339" t="str">
        <f>VLOOKUP(A127,'Feature Raw Data'!$A$3:$E$3922,5,FALSE)</f>
        <v>New</v>
      </c>
      <c r="G127" s="339" t="str">
        <f t="shared" si="17"/>
        <v>Yes</v>
      </c>
      <c r="H127" s="339" t="str">
        <f t="shared" si="7"/>
        <v>Yes</v>
      </c>
      <c r="I127" s="435">
        <f>SUMIF('Diags Raw Data'!$A$6:$A$3830,"*"&amp;$A127&amp;"*",'Diags Raw Data'!$K$6:$K$3830)</f>
        <v>0</v>
      </c>
      <c r="J127" s="437">
        <f>SUMIF('Diags Raw Data'!$A$6:$A$3830,"*"&amp;$A127&amp;"*",'Diags Raw Data'!$L$6:$L$3830)</f>
        <v>0</v>
      </c>
      <c r="K127" s="484" cm="1">
        <f t="array" ref="K127">IF(D127="",0, SUMPRODUCT(--(ISNUMBER(SEARCH($A127,'Diags Raw Data'!$A$6:$A$3830))),'Diags Raw Data'!$L$6:$L$3830,'Diags Raw Data'!$N$6:$N$3830)/J127)</f>
        <v>0</v>
      </c>
      <c r="L127" s="485" cm="1">
        <f t="array" ref="L127">IF(D127="",0, SUMPRODUCT(--(ISNUMBER(SEARCH($A127,'Diags Raw Data'!$A$6:$A$3830))),'Diags Raw Data'!$L$6:$L$3830,'Diags Raw Data'!$P$6:$P$3830)/J127)</f>
        <v>0</v>
      </c>
      <c r="M127" s="486" cm="1">
        <f t="array" ref="M127">SUMPRODUCT(--(ISNUMBER(SEARCH($A127,'Diags Raw Data'!$A$6:$A$3830))),--('Diags Raw Data'!$Q$6:$Q$3830&lt;&gt;"N/A"),'Diags Raw Data'!$R$6:$R$3830)</f>
        <v>0</v>
      </c>
      <c r="N127" s="487" cm="1">
        <f t="array" ref="N127">SUMPRODUCT(--(ISNUMBER(SEARCH($A127,'Diags Raw Data'!$A$6:$A$3830))),--('Diags Raw Data'!$Q$6:$Q$3830&lt;&gt;"N/A"),'Diags Raw Data'!$T$6:$T$3830)+SUMPRODUCT(--(ISNUMBER(SEARCH($A127,'Diags Raw Data'!$A$6:$A$3830))),--('Diags Raw Data'!$Q$6:$Q$3830&lt;&gt;"N/A"),'Diags Raw Data'!$U$6:$U$3830)</f>
        <v>0</v>
      </c>
      <c r="O127" s="488">
        <f t="shared" si="16"/>
        <v>0</v>
      </c>
      <c r="P127" s="489">
        <f>SUMIF('Diags Raw Data'!$A$6:$A$3830,"*"&amp;$A127&amp;"*",'Diags Raw Data'!$Z$6:$Z$3830)</f>
        <v>0</v>
      </c>
      <c r="Q127" s="490">
        <f>SUM(SUMIF('Diags Raw Data'!$A$6:$A$3830,"*"&amp;$A127&amp;"*",'Diags Raw Data'!$AA$6:$AA$3830),SUMIF('Diags Raw Data'!$A$6:$A$3830,"*"&amp;$A127&amp;"*",'Diags Raw Data'!$AB$6:$AB$3830))</f>
        <v>0</v>
      </c>
      <c r="R127" s="491">
        <f t="shared" si="13"/>
        <v>0</v>
      </c>
      <c r="S127" s="491">
        <f t="shared" si="14"/>
        <v>0</v>
      </c>
      <c r="T127" s="492">
        <f t="shared" si="15"/>
        <v>0</v>
      </c>
      <c r="U127" s="432" t="e">
        <f>VLOOKUP(A127,'Diags Raw Data'!$A$6:$AH$3830,33,FALSE)</f>
        <v>#N/A</v>
      </c>
      <c r="V127" s="181"/>
    </row>
    <row r="128" spans="1:22" ht="30.75" thickBot="1" x14ac:dyDescent="0.3">
      <c r="A128" s="546">
        <v>12.255000000000001</v>
      </c>
      <c r="B128" s="434" t="str">
        <f>VLOOKUP(A128,'Feature Raw Data'!$A$3:$B$3922,2,FALSE)</f>
        <v>GFX12 IMU - Modify doorbell interface from Syshub to IMU</v>
      </c>
      <c r="C128" s="435" t="str">
        <f>VLOOKUP(A128,'Feature Raw Data'!$A$3:$C$3922,3,FALSE)</f>
        <v>P1</v>
      </c>
      <c r="D128" s="436" t="str" cm="1">
        <f t="array" ref="D128">_xlfn.TEXTJOIN("",TRUE,IF(ISNUMBER(SEARCH($A128,'Diags Raw Data'!$A$6:$A$3830)),CONCATENATE('Diags Raw Data'!$H$6:$H$3830,", "),""))</f>
        <v/>
      </c>
      <c r="E128" s="339" t="e">
        <f>VLOOKUP(A128,'Diags Raw Data'!$A$6:$D$3830,4,FALSE)</f>
        <v>#N/A</v>
      </c>
      <c r="F128" s="339" t="str">
        <f>VLOOKUP(A128,'Feature Raw Data'!$A$3:$E$3922,5,FALSE)</f>
        <v>New</v>
      </c>
      <c r="G128" s="339" t="str">
        <f t="shared" si="17"/>
        <v>Yes</v>
      </c>
      <c r="H128" s="339" t="str">
        <f t="shared" ref="H128:H191" si="18">IF(D128="N/A, ","No","Yes")</f>
        <v>Yes</v>
      </c>
      <c r="I128" s="435">
        <f>SUMIF('Diags Raw Data'!$A$6:$A$3830,"*"&amp;$A128&amp;"*",'Diags Raw Data'!$K$6:$K$3830)</f>
        <v>0</v>
      </c>
      <c r="J128" s="437">
        <f>SUMIF('Diags Raw Data'!$A$6:$A$3830,"*"&amp;$A128&amp;"*",'Diags Raw Data'!$L$6:$L$3830)</f>
        <v>0</v>
      </c>
      <c r="K128" s="484" cm="1">
        <f t="array" ref="K128">IF(D128="",0, SUMPRODUCT(--(ISNUMBER(SEARCH($A128,'Diags Raw Data'!$A$6:$A$3830))),'Diags Raw Data'!$L$6:$L$3830,'Diags Raw Data'!$N$6:$N$3830)/J128)</f>
        <v>0</v>
      </c>
      <c r="L128" s="485" cm="1">
        <f t="array" ref="L128">IF(D128="",0, SUMPRODUCT(--(ISNUMBER(SEARCH($A128,'Diags Raw Data'!$A$6:$A$3830))),'Diags Raw Data'!$L$6:$L$3830,'Diags Raw Data'!$P$6:$P$3830)/J128)</f>
        <v>0</v>
      </c>
      <c r="M128" s="486" cm="1">
        <f t="array" ref="M128">SUMPRODUCT(--(ISNUMBER(SEARCH($A128,'Diags Raw Data'!$A$6:$A$3830))),--('Diags Raw Data'!$Q$6:$Q$3830&lt;&gt;"N/A"),'Diags Raw Data'!$R$6:$R$3830)</f>
        <v>0</v>
      </c>
      <c r="N128" s="487" cm="1">
        <f t="array" ref="N128">SUMPRODUCT(--(ISNUMBER(SEARCH($A128,'Diags Raw Data'!$A$6:$A$3830))),--('Diags Raw Data'!$Q$6:$Q$3830&lt;&gt;"N/A"),'Diags Raw Data'!$T$6:$T$3830)+SUMPRODUCT(--(ISNUMBER(SEARCH($A128,'Diags Raw Data'!$A$6:$A$3830))),--('Diags Raw Data'!$Q$6:$Q$3830&lt;&gt;"N/A"),'Diags Raw Data'!$U$6:$U$3830)</f>
        <v>0</v>
      </c>
      <c r="O128" s="488">
        <f>IF((M128=0),0,N128/M128)</f>
        <v>0</v>
      </c>
      <c r="P128" s="489">
        <f>SUMIF('Diags Raw Data'!$A$6:$A$3830,"*"&amp;$A128&amp;"*",'Diags Raw Data'!$Z$6:$Z$3830)</f>
        <v>0</v>
      </c>
      <c r="Q128" s="490">
        <f>SUM(SUMIF('Diags Raw Data'!$A$6:$A$3830,"*"&amp;$A128&amp;"*",'Diags Raw Data'!$AA$6:$AA$3830),SUMIF('Diags Raw Data'!$A$6:$A$3830,"*"&amp;$A128&amp;"*",'Diags Raw Data'!$AB$6:$AB$3830))</f>
        <v>0</v>
      </c>
      <c r="R128" s="491">
        <f>IF((J128=0),0,P128/J128)</f>
        <v>0</v>
      </c>
      <c r="S128" s="491">
        <f>IF((P128=0),0,Q128/P128)</f>
        <v>0</v>
      </c>
      <c r="T128" s="492">
        <f>R128*S128</f>
        <v>0</v>
      </c>
      <c r="U128" s="432" t="e">
        <f>VLOOKUP(A128,'Diags Raw Data'!$A$6:$AH$3830,33,FALSE)</f>
        <v>#N/A</v>
      </c>
      <c r="V128" s="181"/>
    </row>
    <row r="129" spans="1:22" ht="30.75" thickBot="1" x14ac:dyDescent="0.3">
      <c r="A129" s="546">
        <v>12.263</v>
      </c>
      <c r="B129" s="434" t="str">
        <f>VLOOKUP(A129,'Feature Raw Data'!$A$3:$B$3922,2,FALSE)</f>
        <v>GFX12 IMU - Add Resets and idle sidebands</v>
      </c>
      <c r="C129" s="435" t="str">
        <f>VLOOKUP(A129,'Feature Raw Data'!$A$3:$C$3922,3,FALSE)</f>
        <v>P1</v>
      </c>
      <c r="D129" s="436" t="str" cm="1">
        <f t="array" ref="D129">_xlfn.TEXTJOIN("",TRUE,IF(ISNUMBER(SEARCH($A129,'Diags Raw Data'!$A$6:$A$3830)),CONCATENATE('Diags Raw Data'!$H$6:$H$3830,", "),""))</f>
        <v/>
      </c>
      <c r="E129" s="339" t="e">
        <f>VLOOKUP(A129,'Diags Raw Data'!$A$6:$D$3830,4,FALSE)</f>
        <v>#N/A</v>
      </c>
      <c r="F129" s="339" t="str">
        <f>VLOOKUP(A129,'Feature Raw Data'!$A$3:$E$3922,5,FALSE)</f>
        <v>New</v>
      </c>
      <c r="G129" s="339" t="str">
        <f t="shared" si="17"/>
        <v>Yes</v>
      </c>
      <c r="H129" s="339" t="str">
        <f t="shared" si="18"/>
        <v>Yes</v>
      </c>
      <c r="I129" s="435">
        <f>SUMIF('Diags Raw Data'!$A$6:$A$3830,"*"&amp;$A129&amp;"*",'Diags Raw Data'!$K$6:$K$3830)</f>
        <v>0</v>
      </c>
      <c r="J129" s="437">
        <f>SUMIF('Diags Raw Data'!$A$6:$A$3830,"*"&amp;$A129&amp;"*",'Diags Raw Data'!$L$6:$L$3830)</f>
        <v>0</v>
      </c>
      <c r="K129" s="484" cm="1">
        <f t="array" ref="K129">IF(D129="",0, SUMPRODUCT(--(ISNUMBER(SEARCH($A129,'Diags Raw Data'!$A$6:$A$3830))),'Diags Raw Data'!$L$6:$L$3830,'Diags Raw Data'!$N$6:$N$3830)/J129)</f>
        <v>0</v>
      </c>
      <c r="L129" s="485" cm="1">
        <f t="array" ref="L129">IF(D129="",0, SUMPRODUCT(--(ISNUMBER(SEARCH($A129,'Diags Raw Data'!$A$6:$A$3830))),'Diags Raw Data'!$L$6:$L$3830,'Diags Raw Data'!$P$6:$P$3830)/J129)</f>
        <v>0</v>
      </c>
      <c r="M129" s="486" cm="1">
        <f t="array" ref="M129">SUMPRODUCT(--(ISNUMBER(SEARCH($A129,'Diags Raw Data'!$A$6:$A$3830))),--('Diags Raw Data'!$Q$6:$Q$3830&lt;&gt;"N/A"),'Diags Raw Data'!$R$6:$R$3830)</f>
        <v>0</v>
      </c>
      <c r="N129" s="487" cm="1">
        <f t="array" ref="N129">SUMPRODUCT(--(ISNUMBER(SEARCH($A129,'Diags Raw Data'!$A$6:$A$3830))),--('Diags Raw Data'!$Q$6:$Q$3830&lt;&gt;"N/A"),'Diags Raw Data'!$T$6:$T$3830)+SUMPRODUCT(--(ISNUMBER(SEARCH($A129,'Diags Raw Data'!$A$6:$A$3830))),--('Diags Raw Data'!$Q$6:$Q$3830&lt;&gt;"N/A"),'Diags Raw Data'!$U$6:$U$3830)</f>
        <v>0</v>
      </c>
      <c r="O129" s="488">
        <f t="shared" ref="O129:O187" si="19">IF((M129=0),0,N129/M129)</f>
        <v>0</v>
      </c>
      <c r="P129" s="489">
        <f>SUMIF('Diags Raw Data'!$A$6:$A$3830,"*"&amp;$A129&amp;"*",'Diags Raw Data'!$Z$6:$Z$3830)</f>
        <v>0</v>
      </c>
      <c r="Q129" s="490">
        <f>SUM(SUMIF('Diags Raw Data'!$A$6:$A$3830,"*"&amp;$A129&amp;"*",'Diags Raw Data'!$AA$6:$AA$3830),SUMIF('Diags Raw Data'!$A$6:$A$3830,"*"&amp;$A129&amp;"*",'Diags Raw Data'!$AB$6:$AB$3830))</f>
        <v>0</v>
      </c>
      <c r="R129" s="491">
        <f t="shared" ref="R129:R187" si="20">IF((J129=0),0,P129/J129)</f>
        <v>0</v>
      </c>
      <c r="S129" s="491">
        <f t="shared" ref="S129:S187" si="21">IF((P129=0),0,Q129/P129)</f>
        <v>0</v>
      </c>
      <c r="T129" s="492">
        <f t="shared" ref="T129:T187" si="22">R129*S129</f>
        <v>0</v>
      </c>
      <c r="U129" s="432" t="e">
        <f>VLOOKUP(A129,'Diags Raw Data'!$A$6:$AH$3830,33,FALSE)</f>
        <v>#N/A</v>
      </c>
      <c r="V129" s="181"/>
    </row>
    <row r="130" spans="1:22" ht="30.75" thickBot="1" x14ac:dyDescent="0.3">
      <c r="A130" s="546">
        <v>12.266</v>
      </c>
      <c r="B130" s="434" t="str">
        <f>VLOOKUP(A130,'Feature Raw Data'!$A$3:$B$3922,2,FALSE)</f>
        <v>GFX12 Firewall update for 40 bit address</v>
      </c>
      <c r="C130" s="435" t="str">
        <f>VLOOKUP(A130,'Feature Raw Data'!$A$3:$C$3922,3,FALSE)</f>
        <v>P1</v>
      </c>
      <c r="D130" s="436" t="str" cm="1">
        <f t="array" ref="D130">_xlfn.TEXTJOIN("",TRUE,IF(ISNUMBER(SEARCH($A130,'Diags Raw Data'!$A$6:$A$3830)),CONCATENATE('Diags Raw Data'!$H$6:$H$3830,", "),""))</f>
        <v xml:space="preserve">rlci9.1,rlci10.1, </v>
      </c>
      <c r="E130" s="339" t="str">
        <f>VLOOKUP(A130,'Diags Raw Data'!$A$6:$D$3830,4,FALSE)</f>
        <v>CTL</v>
      </c>
      <c r="F130" s="339" t="str">
        <f>VLOOKUP(A130,'Feature Raw Data'!$A$3:$E$3922,5,FALSE)</f>
        <v>New</v>
      </c>
      <c r="G130" s="339" t="str">
        <f t="shared" si="17"/>
        <v>Yes</v>
      </c>
      <c r="H130" s="339" t="str">
        <f t="shared" si="18"/>
        <v>Yes</v>
      </c>
      <c r="I130" s="435">
        <f>SUMIF('Diags Raw Data'!$A$6:$A$3830,"*"&amp;$A130&amp;"*",'Diags Raw Data'!$K$6:$K$3830)</f>
        <v>0</v>
      </c>
      <c r="J130" s="437">
        <f>SUMIF('Diags Raw Data'!$A$6:$A$3830,"*"&amp;$A130&amp;"*",'Diags Raw Data'!$L$6:$L$3830)</f>
        <v>0</v>
      </c>
      <c r="K130" s="484" t="e" cm="1">
        <f t="array" ref="K130">IF(D130="",0, SUMPRODUCT(--(ISNUMBER(SEARCH($A130,'Diags Raw Data'!$A$6:$A$3830))),'Diags Raw Data'!$L$6:$L$3830,'Diags Raw Data'!$N$6:$N$3830)/J130)</f>
        <v>#DIV/0!</v>
      </c>
      <c r="L130" s="485" t="e" cm="1">
        <f t="array" ref="L130">IF(D130="",0, SUMPRODUCT(--(ISNUMBER(SEARCH($A130,'Diags Raw Data'!$A$6:$A$3830))),'Diags Raw Data'!$L$6:$L$3830,'Diags Raw Data'!$P$6:$P$3830)/J130)</f>
        <v>#DIV/0!</v>
      </c>
      <c r="M130" s="486" cm="1">
        <f t="array" ref="M130">SUMPRODUCT(--(ISNUMBER(SEARCH($A130,'Diags Raw Data'!$A$6:$A$3830))),--('Diags Raw Data'!$Q$6:$Q$3830&lt;&gt;"N/A"),'Diags Raw Data'!$R$6:$R$3830)</f>
        <v>1</v>
      </c>
      <c r="N130" s="487" cm="1">
        <f t="array" ref="N130">SUMPRODUCT(--(ISNUMBER(SEARCH($A130,'Diags Raw Data'!$A$6:$A$3830))),--('Diags Raw Data'!$Q$6:$Q$3830&lt;&gt;"N/A"),'Diags Raw Data'!$T$6:$T$3830)+SUMPRODUCT(--(ISNUMBER(SEARCH($A130,'Diags Raw Data'!$A$6:$A$3830))),--('Diags Raw Data'!$Q$6:$Q$3830&lt;&gt;"N/A"),'Diags Raw Data'!$U$6:$U$3830)</f>
        <v>0</v>
      </c>
      <c r="O130" s="488">
        <f t="shared" si="19"/>
        <v>0</v>
      </c>
      <c r="P130" s="489">
        <f>SUMIF('Diags Raw Data'!$A$6:$A$3830,"*"&amp;$A130&amp;"*",'Diags Raw Data'!$Z$6:$Z$3830)</f>
        <v>0</v>
      </c>
      <c r="Q130" s="490">
        <f>SUM(SUMIF('Diags Raw Data'!$A$6:$A$3830,"*"&amp;$A130&amp;"*",'Diags Raw Data'!$AA$6:$AA$3830),SUMIF('Diags Raw Data'!$A$6:$A$3830,"*"&amp;$A130&amp;"*",'Diags Raw Data'!$AB$6:$AB$3830))</f>
        <v>0</v>
      </c>
      <c r="R130" s="491">
        <f t="shared" si="20"/>
        <v>0</v>
      </c>
      <c r="S130" s="491">
        <f t="shared" si="21"/>
        <v>0</v>
      </c>
      <c r="T130" s="492">
        <f t="shared" si="22"/>
        <v>0</v>
      </c>
      <c r="U130" s="432" t="str">
        <f>VLOOKUP(A130,'Diags Raw Data'!$A$6:$AH$3830,33,FALSE)</f>
        <v>WK4</v>
      </c>
      <c r="V130" s="181"/>
    </row>
    <row r="131" spans="1:22" ht="135.75" thickBot="1" x14ac:dyDescent="0.3">
      <c r="A131" s="546">
        <v>12.27</v>
      </c>
      <c r="B131" s="434" t="str">
        <f>VLOOKUP(A131,'Feature Raw Data'!$A$3:$B$3922,2,FALSE)</f>
        <v>Work Graph Scheduler</v>
      </c>
      <c r="C131" s="435" t="str">
        <f>VLOOKUP(A131,'Feature Raw Data'!$A$3:$C$3922,3,FALSE)</f>
        <v>P1</v>
      </c>
      <c r="D131" s="436" t="str" cm="1">
        <f t="array" ref="D131">_xlfn.TEXTJOIN("",TRUE,IF(ISNUMBER(SEARCH($A131,'Diags Raw Data'!$A$6:$A$3830)),CONCATENATE('Diags Raw Data'!$H$6:$H$3830,", "),""))</f>
        <v xml:space="preserve">wgs.6,wgs.8,wgs.1,wgs.100,wgs.12,gci30.3,wgs_interrrupt_tacl,gci22.11, gci820.0.1-20, gfx.inst_perf/flat_atomic_cond_sub_u32_global,gfx.inst_perf/flat_atomic_sub_clamp_u32_global,gfx.inst_perf/ds_cond_sub_rtn_u32,gfx.inst_perf/ds_sub_clamp_rtn_u32,gci1307.0-3, glxi60.7, </v>
      </c>
      <c r="E131" s="339" t="str">
        <f>VLOOKUP(A131,'Diags Raw Data'!$A$6:$D$3830,4,FALSE)</f>
        <v>CTL</v>
      </c>
      <c r="F131" s="339" t="str">
        <f>VLOOKUP(A131,'Feature Raw Data'!$A$3:$E$3922,5,FALSE)</f>
        <v>New</v>
      </c>
      <c r="G131" s="339" t="str">
        <f t="shared" si="17"/>
        <v>Yes</v>
      </c>
      <c r="H131" s="339" t="str">
        <f t="shared" si="18"/>
        <v>Yes</v>
      </c>
      <c r="I131" s="435">
        <f>SUMIF('Diags Raw Data'!$A$6:$A$3830,"*"&amp;$A131&amp;"*",'Diags Raw Data'!$K$6:$K$3830)</f>
        <v>0</v>
      </c>
      <c r="J131" s="437">
        <f>SUMIF('Diags Raw Data'!$A$6:$A$3830,"*"&amp;$A131&amp;"*",'Diags Raw Data'!$L$6:$L$3830)</f>
        <v>0</v>
      </c>
      <c r="K131" s="484" t="e" cm="1">
        <f t="array" ref="K131">IF(D131="",0, SUMPRODUCT(--(ISNUMBER(SEARCH($A131,'Diags Raw Data'!$A$6:$A$3830))),'Diags Raw Data'!$L$6:$L$3830,'Diags Raw Data'!$N$6:$N$3830)/J131)</f>
        <v>#DIV/0!</v>
      </c>
      <c r="L131" s="485" t="e" cm="1">
        <f t="array" ref="L131">IF(D131="",0, SUMPRODUCT(--(ISNUMBER(SEARCH($A131,'Diags Raw Data'!$A$6:$A$3830))),'Diags Raw Data'!$L$6:$L$3830,'Diags Raw Data'!$P$6:$P$3830)/J131)</f>
        <v>#DIV/0!</v>
      </c>
      <c r="M131" s="486" cm="1">
        <f t="array" ref="M131">SUMPRODUCT(--(ISNUMBER(SEARCH($A131,'Diags Raw Data'!$A$6:$A$3830))),--('Diags Raw Data'!$Q$6:$Q$3830&lt;&gt;"N/A"),'Diags Raw Data'!$R$6:$R$3830)</f>
        <v>29</v>
      </c>
      <c r="N131" s="487" cm="1">
        <f t="array" ref="N131">SUMPRODUCT(--(ISNUMBER(SEARCH($A131,'Diags Raw Data'!$A$6:$A$3830))),--('Diags Raw Data'!$Q$6:$Q$3830&lt;&gt;"N/A"),'Diags Raw Data'!$T$6:$T$3830)+SUMPRODUCT(--(ISNUMBER(SEARCH($A131,'Diags Raw Data'!$A$6:$A$3830))),--('Diags Raw Data'!$Q$6:$Q$3830&lt;&gt;"N/A"),'Diags Raw Data'!$U$6:$U$3830)</f>
        <v>15</v>
      </c>
      <c r="O131" s="488">
        <f t="shared" si="19"/>
        <v>0.51724137931034486</v>
      </c>
      <c r="P131" s="489">
        <f>SUMIF('Diags Raw Data'!$A$6:$A$3830,"*"&amp;$A131&amp;"*",'Diags Raw Data'!$Z$6:$Z$3830)</f>
        <v>0</v>
      </c>
      <c r="Q131" s="490">
        <f>SUM(SUMIF('Diags Raw Data'!$A$6:$A$3830,"*"&amp;$A131&amp;"*",'Diags Raw Data'!$AA$6:$AA$3830),SUMIF('Diags Raw Data'!$A$6:$A$3830,"*"&amp;$A131&amp;"*",'Diags Raw Data'!$AB$6:$AB$3830))</f>
        <v>0</v>
      </c>
      <c r="R131" s="491">
        <f t="shared" si="20"/>
        <v>0</v>
      </c>
      <c r="S131" s="491">
        <f t="shared" si="21"/>
        <v>0</v>
      </c>
      <c r="T131" s="492">
        <f t="shared" si="22"/>
        <v>0</v>
      </c>
      <c r="U131" s="432" t="str">
        <f>VLOOKUP(A131,'Diags Raw Data'!$A$6:$AH$3830,33,FALSE)</f>
        <v>WK5</v>
      </c>
      <c r="V131" s="181"/>
    </row>
    <row r="132" spans="1:22" ht="30.75" thickBot="1" x14ac:dyDescent="0.3">
      <c r="A132" s="546">
        <v>12.276</v>
      </c>
      <c r="B132" s="434" t="str">
        <f>VLOOKUP(A132,'Feature Raw Data'!$A$3:$B$3922,2,FALSE)</f>
        <v xml:space="preserve">Remove the data duplication for MLOPS </v>
      </c>
      <c r="C132" s="435" t="str">
        <f>VLOOKUP(A132,'Feature Raw Data'!$A$3:$C$3922,3,FALSE)</f>
        <v>P1</v>
      </c>
      <c r="D132" s="436" t="str" cm="1">
        <f t="array" ref="D132">_xlfn.TEXTJOIN("",TRUE,IF(ISNUMBER(SEARCH($A132,'Diags Raw Data'!$A$6:$A$3830)),CONCATENATE('Diags Raw Data'!$H$6:$H$3830,", "),""))</f>
        <v xml:space="preserve">gci820.0.1-20, </v>
      </c>
      <c r="E132" s="339" t="str">
        <f>VLOOKUP(A132,'Diags Raw Data'!$A$6:$D$3830,4,FALSE)</f>
        <v>SH</v>
      </c>
      <c r="F132" s="339" t="str">
        <f>VLOOKUP(A132,'Feature Raw Data'!$A$3:$E$3922,5,FALSE)</f>
        <v>New</v>
      </c>
      <c r="G132" s="339" t="str">
        <f t="shared" si="17"/>
        <v>Yes</v>
      </c>
      <c r="H132" s="339" t="str">
        <f t="shared" si="18"/>
        <v>Yes</v>
      </c>
      <c r="I132" s="435">
        <f>SUMIF('Diags Raw Data'!$A$6:$A$3830,"*"&amp;$A132&amp;"*",'Diags Raw Data'!$K$6:$K$3830)</f>
        <v>0</v>
      </c>
      <c r="J132" s="437">
        <f>SUMIF('Diags Raw Data'!$A$6:$A$3830,"*"&amp;$A132&amp;"*",'Diags Raw Data'!$L$6:$L$3830)</f>
        <v>0</v>
      </c>
      <c r="K132" s="484" t="e" cm="1">
        <f t="array" ref="K132">IF(D132="",0, SUMPRODUCT(--(ISNUMBER(SEARCH($A132,'Diags Raw Data'!$A$6:$A$3830))),'Diags Raw Data'!$L$6:$L$3830,'Diags Raw Data'!$N$6:$N$3830)/J132)</f>
        <v>#DIV/0!</v>
      </c>
      <c r="L132" s="485" t="e" cm="1">
        <f t="array" ref="L132">IF(D132="",0, SUMPRODUCT(--(ISNUMBER(SEARCH($A132,'Diags Raw Data'!$A$6:$A$3830))),'Diags Raw Data'!$L$6:$L$3830,'Diags Raw Data'!$P$6:$P$3830)/J132)</f>
        <v>#DIV/0!</v>
      </c>
      <c r="M132" s="486" cm="1">
        <f t="array" ref="M132">SUMPRODUCT(--(ISNUMBER(SEARCH($A132,'Diags Raw Data'!$A$6:$A$3830))),--('Diags Raw Data'!$Q$6:$Q$3830&lt;&gt;"N/A"),'Diags Raw Data'!$R$6:$R$3830)</f>
        <v>14</v>
      </c>
      <c r="N132" s="487" cm="1">
        <f t="array" ref="N132">SUMPRODUCT(--(ISNUMBER(SEARCH($A132,'Diags Raw Data'!$A$6:$A$3830))),--('Diags Raw Data'!$Q$6:$Q$3830&lt;&gt;"N/A"),'Diags Raw Data'!$T$6:$T$3830)+SUMPRODUCT(--(ISNUMBER(SEARCH($A132,'Diags Raw Data'!$A$6:$A$3830))),--('Diags Raw Data'!$Q$6:$Q$3830&lt;&gt;"N/A"),'Diags Raw Data'!$U$6:$U$3830)</f>
        <v>0</v>
      </c>
      <c r="O132" s="488">
        <f t="shared" si="19"/>
        <v>0</v>
      </c>
      <c r="P132" s="489">
        <f>SUMIF('Diags Raw Data'!$A$6:$A$3830,"*"&amp;$A132&amp;"*",'Diags Raw Data'!$Z$6:$Z$3830)</f>
        <v>0</v>
      </c>
      <c r="Q132" s="490">
        <f>SUM(SUMIF('Diags Raw Data'!$A$6:$A$3830,"*"&amp;$A132&amp;"*",'Diags Raw Data'!$AA$6:$AA$3830),SUMIF('Diags Raw Data'!$A$6:$A$3830,"*"&amp;$A132&amp;"*",'Diags Raw Data'!$AB$6:$AB$3830))</f>
        <v>0</v>
      </c>
      <c r="R132" s="491">
        <f t="shared" si="20"/>
        <v>0</v>
      </c>
      <c r="S132" s="491">
        <f t="shared" si="21"/>
        <v>0</v>
      </c>
      <c r="T132" s="492">
        <f t="shared" si="22"/>
        <v>0</v>
      </c>
      <c r="U132" s="432" t="str">
        <f>VLOOKUP(A132,'Diags Raw Data'!$A$6:$AH$3830,33,FALSE)</f>
        <v>WK5</v>
      </c>
      <c r="V132" s="181"/>
    </row>
    <row r="133" spans="1:22" ht="90.75" thickBot="1" x14ac:dyDescent="0.3">
      <c r="A133" s="546">
        <v>12.276999999999999</v>
      </c>
      <c r="B133" s="434" t="str">
        <f>VLOOKUP(A133,'Feature Raw Data'!$A$3:$B$3922,2,FALSE)</f>
        <v>Add Conditional-subtract memory atomic for locks</v>
      </c>
      <c r="C133" s="435" t="str">
        <f>VLOOKUP(A133,'Feature Raw Data'!$A$3:$C$3922,3,FALSE)</f>
        <v>P2</v>
      </c>
      <c r="D133" s="436" t="str" cm="1">
        <f t="array" ref="D133">_xlfn.TEXTJOIN("",TRUE,IF(ISNUMBER(SEARCH($A133,'Diags Raw Data'!$A$6:$A$3830)),CONCATENATE('Diags Raw Data'!$H$6:$H$3830,", "),""))</f>
        <v xml:space="preserve">gfx.inst_perf/flat_atomic_cond_sub_u32_global,gfx.inst_perf/flat_atomic_sub_clamp_u32_global,gfx.inst_perf/ds_cond_sub_rtn_u32,gfx.inst_perf/ds_sub_clamp_rtn_u32,gci1307.0-3, </v>
      </c>
      <c r="E133" s="339" t="str">
        <f>VLOOKUP(A133,'Diags Raw Data'!$A$6:$D$3830,4,FALSE)</f>
        <v>SH</v>
      </c>
      <c r="F133" s="339" t="str">
        <f>VLOOKUP(A133,'Feature Raw Data'!$A$3:$E$3922,5,FALSE)</f>
        <v>New</v>
      </c>
      <c r="G133" s="339" t="str">
        <f t="shared" si="17"/>
        <v>Yes</v>
      </c>
      <c r="H133" s="339" t="str">
        <f t="shared" si="18"/>
        <v>Yes</v>
      </c>
      <c r="I133" s="435">
        <f>SUMIF('Diags Raw Data'!$A$6:$A$3830,"*"&amp;$A133&amp;"*",'Diags Raw Data'!$K$6:$K$3830)</f>
        <v>0</v>
      </c>
      <c r="J133" s="437">
        <f>SUMIF('Diags Raw Data'!$A$6:$A$3830,"*"&amp;$A133&amp;"*",'Diags Raw Data'!$L$6:$L$3830)</f>
        <v>0</v>
      </c>
      <c r="K133" s="484" t="e" cm="1">
        <f t="array" ref="K133">IF(D133="",0, SUMPRODUCT(--(ISNUMBER(SEARCH($A133,'Diags Raw Data'!$A$6:$A$3830))),'Diags Raw Data'!$L$6:$L$3830,'Diags Raw Data'!$N$6:$N$3830)/J133)</f>
        <v>#DIV/0!</v>
      </c>
      <c r="L133" s="485" t="e" cm="1">
        <f t="array" ref="L133">IF(D133="",0, SUMPRODUCT(--(ISNUMBER(SEARCH($A133,'Diags Raw Data'!$A$6:$A$3830))),'Diags Raw Data'!$L$6:$L$3830,'Diags Raw Data'!$P$6:$P$3830)/J133)</f>
        <v>#DIV/0!</v>
      </c>
      <c r="M133" s="486" cm="1">
        <f t="array" ref="M133">SUMPRODUCT(--(ISNUMBER(SEARCH($A133,'Diags Raw Data'!$A$6:$A$3830))),--('Diags Raw Data'!$Q$6:$Q$3830&lt;&gt;"N/A"),'Diags Raw Data'!$R$6:$R$3830)</f>
        <v>8</v>
      </c>
      <c r="N133" s="487" cm="1">
        <f t="array" ref="N133">SUMPRODUCT(--(ISNUMBER(SEARCH($A133,'Diags Raw Data'!$A$6:$A$3830))),--('Diags Raw Data'!$Q$6:$Q$3830&lt;&gt;"N/A"),'Diags Raw Data'!$T$6:$T$3830)+SUMPRODUCT(--(ISNUMBER(SEARCH($A133,'Diags Raw Data'!$A$6:$A$3830))),--('Diags Raw Data'!$Q$6:$Q$3830&lt;&gt;"N/A"),'Diags Raw Data'!$U$6:$U$3830)</f>
        <v>8</v>
      </c>
      <c r="O133" s="488">
        <f t="shared" si="19"/>
        <v>1</v>
      </c>
      <c r="P133" s="489">
        <f>SUMIF('Diags Raw Data'!$A$6:$A$3830,"*"&amp;$A133&amp;"*",'Diags Raw Data'!$Z$6:$Z$3830)</f>
        <v>0</v>
      </c>
      <c r="Q133" s="490">
        <f>SUM(SUMIF('Diags Raw Data'!$A$6:$A$3830,"*"&amp;$A133&amp;"*",'Diags Raw Data'!$AA$6:$AA$3830),SUMIF('Diags Raw Data'!$A$6:$A$3830,"*"&amp;$A133&amp;"*",'Diags Raw Data'!$AB$6:$AB$3830))</f>
        <v>0</v>
      </c>
      <c r="R133" s="491">
        <f t="shared" si="20"/>
        <v>0</v>
      </c>
      <c r="S133" s="491">
        <f t="shared" si="21"/>
        <v>0</v>
      </c>
      <c r="T133" s="492">
        <f t="shared" si="22"/>
        <v>0</v>
      </c>
      <c r="U133" s="432" t="str">
        <f>VLOOKUP(A133,'Diags Raw Data'!$A$6:$AH$3830,33,FALSE)</f>
        <v>WK8</v>
      </c>
      <c r="V133" s="181"/>
    </row>
    <row r="134" spans="1:22" ht="30.75" thickBot="1" x14ac:dyDescent="0.3">
      <c r="A134" s="546">
        <v>12.278</v>
      </c>
      <c r="B134" s="434" t="str">
        <f>VLOOKUP(A134,'Feature Raw Data'!$A$3:$B$3922,2,FALSE)</f>
        <v>DCC sector size to increase to 128B</v>
      </c>
      <c r="C134" s="435" t="str">
        <f>VLOOKUP(A134,'Feature Raw Data'!$A$3:$C$3922,3,FALSE)</f>
        <v>P1</v>
      </c>
      <c r="D134" s="436" t="str" cm="1">
        <f t="array" ref="D134">_xlfn.TEXTJOIN("",TRUE,IF(ISNUMBER(SEARCH($A134,'Diags Raw Data'!$A$6:$A$3830)),CONCATENATE('Diags Raw Data'!$H$6:$H$3830,", "),""))</f>
        <v xml:space="preserve">glxi60.7, </v>
      </c>
      <c r="E134" s="339" t="str">
        <f>VLOOKUP(A134,'Diags Raw Data'!$A$6:$D$3830,4,FALSE)</f>
        <v>CMM</v>
      </c>
      <c r="F134" s="339" t="str">
        <f>VLOOKUP(A134,'Feature Raw Data'!$A$3:$E$3922,5,FALSE)</f>
        <v>New</v>
      </c>
      <c r="G134" s="339" t="str">
        <f t="shared" si="17"/>
        <v>Yes</v>
      </c>
      <c r="H134" s="339" t="str">
        <f t="shared" si="18"/>
        <v>Yes</v>
      </c>
      <c r="I134" s="435">
        <f>SUMIF('Diags Raw Data'!$A$6:$A$3830,"*"&amp;$A134&amp;"*",'Diags Raw Data'!$K$6:$K$3830)</f>
        <v>0</v>
      </c>
      <c r="J134" s="437">
        <f>SUMIF('Diags Raw Data'!$A$6:$A$3830,"*"&amp;$A134&amp;"*",'Diags Raw Data'!$L$6:$L$3830)</f>
        <v>0</v>
      </c>
      <c r="K134" s="484" t="e" cm="1">
        <f t="array" ref="K134">IF(D134="",0, SUMPRODUCT(--(ISNUMBER(SEARCH($A134,'Diags Raw Data'!$A$6:$A$3830))),'Diags Raw Data'!$L$6:$L$3830,'Diags Raw Data'!$N$6:$N$3830)/J134)</f>
        <v>#DIV/0!</v>
      </c>
      <c r="L134" s="485" t="e" cm="1">
        <f t="array" ref="L134">IF(D134="",0, SUMPRODUCT(--(ISNUMBER(SEARCH($A134,'Diags Raw Data'!$A$6:$A$3830))),'Diags Raw Data'!$L$6:$L$3830,'Diags Raw Data'!$P$6:$P$3830)/J134)</f>
        <v>#DIV/0!</v>
      </c>
      <c r="M134" s="486" cm="1">
        <f t="array" ref="M134">SUMPRODUCT(--(ISNUMBER(SEARCH($A134,'Diags Raw Data'!$A$6:$A$3830))),--('Diags Raw Data'!$Q$6:$Q$3830&lt;&gt;"N/A"),'Diags Raw Data'!$R$6:$R$3830)</f>
        <v>1</v>
      </c>
      <c r="N134" s="487" cm="1">
        <f t="array" ref="N134">SUMPRODUCT(--(ISNUMBER(SEARCH($A134,'Diags Raw Data'!$A$6:$A$3830))),--('Diags Raw Data'!$Q$6:$Q$3830&lt;&gt;"N/A"),'Diags Raw Data'!$T$6:$T$3830)+SUMPRODUCT(--(ISNUMBER(SEARCH($A134,'Diags Raw Data'!$A$6:$A$3830))),--('Diags Raw Data'!$Q$6:$Q$3830&lt;&gt;"N/A"),'Diags Raw Data'!$U$6:$U$3830)</f>
        <v>1</v>
      </c>
      <c r="O134" s="488">
        <f t="shared" si="19"/>
        <v>1</v>
      </c>
      <c r="P134" s="489">
        <f>SUMIF('Diags Raw Data'!$A$6:$A$3830,"*"&amp;$A134&amp;"*",'Diags Raw Data'!$Z$6:$Z$3830)</f>
        <v>0</v>
      </c>
      <c r="Q134" s="490">
        <f>SUM(SUMIF('Diags Raw Data'!$A$6:$A$3830,"*"&amp;$A134&amp;"*",'Diags Raw Data'!$AA$6:$AA$3830),SUMIF('Diags Raw Data'!$A$6:$A$3830,"*"&amp;$A134&amp;"*",'Diags Raw Data'!$AB$6:$AB$3830))</f>
        <v>0</v>
      </c>
      <c r="R134" s="491">
        <f t="shared" si="20"/>
        <v>0</v>
      </c>
      <c r="S134" s="491">
        <f t="shared" si="21"/>
        <v>0</v>
      </c>
      <c r="T134" s="492">
        <f t="shared" si="22"/>
        <v>0</v>
      </c>
      <c r="U134" s="432" t="str">
        <f>VLOOKUP(A134,'Diags Raw Data'!$A$6:$AH$3830,33,FALSE)</f>
        <v>WK5</v>
      </c>
      <c r="V134" s="181"/>
    </row>
    <row r="135" spans="1:22" ht="30.75" thickBot="1" x14ac:dyDescent="0.3">
      <c r="A135" s="546">
        <v>12.28</v>
      </c>
      <c r="B135" s="434" t="str">
        <f>VLOOKUP(A135,'Feature Raw Data'!$A$3:$B$3922,2,FALSE)</f>
        <v>DCC auto-CT detection</v>
      </c>
      <c r="C135" s="435" t="str">
        <f>VLOOKUP(A135,'Feature Raw Data'!$A$3:$C$3922,3,FALSE)</f>
        <v>P1</v>
      </c>
      <c r="D135" s="436" t="str" cm="1">
        <f t="array" ref="D135">_xlfn.TEXTJOIN("",TRUE,IF(ISNUMBER(SEARCH($A135,'Diags Raw Data'!$A$6:$A$3830)),CONCATENATE('Diags Raw Data'!$H$6:$H$3830,", "),""))</f>
        <v xml:space="preserve">glxi60.5, glxi60.6, navi48.gfx.ge.register_access, </v>
      </c>
      <c r="E135" s="339" t="str">
        <f>VLOOKUP(A135,'Diags Raw Data'!$A$6:$D$3830,4,FALSE)</f>
        <v>CMM</v>
      </c>
      <c r="F135" s="339" t="str">
        <f>VLOOKUP(A135,'Feature Raw Data'!$A$3:$E$3922,5,FALSE)</f>
        <v>New</v>
      </c>
      <c r="G135" s="339" t="str">
        <f t="shared" si="17"/>
        <v>Yes</v>
      </c>
      <c r="H135" s="339" t="str">
        <f t="shared" si="18"/>
        <v>Yes</v>
      </c>
      <c r="I135" s="435">
        <f>SUMIF('Diags Raw Data'!$A$6:$A$3830,"*"&amp;$A135&amp;"*",'Diags Raw Data'!$K$6:$K$3830)</f>
        <v>0</v>
      </c>
      <c r="J135" s="437">
        <f>SUMIF('Diags Raw Data'!$A$6:$A$3830,"*"&amp;$A135&amp;"*",'Diags Raw Data'!$L$6:$L$3830)</f>
        <v>0</v>
      </c>
      <c r="K135" s="484" t="e" cm="1">
        <f t="array" ref="K135">IF(D135="",0, SUMPRODUCT(--(ISNUMBER(SEARCH($A135,'Diags Raw Data'!$A$6:$A$3830))),'Diags Raw Data'!$L$6:$L$3830,'Diags Raw Data'!$N$6:$N$3830)/J135)</f>
        <v>#DIV/0!</v>
      </c>
      <c r="L135" s="485" t="e" cm="1">
        <f t="array" ref="L135">IF(D135="",0, SUMPRODUCT(--(ISNUMBER(SEARCH($A135,'Diags Raw Data'!$A$6:$A$3830))),'Diags Raw Data'!$L$6:$L$3830,'Diags Raw Data'!$P$6:$P$3830)/J135)</f>
        <v>#DIV/0!</v>
      </c>
      <c r="M135" s="486" cm="1">
        <f t="array" ref="M135">SUMPRODUCT(--(ISNUMBER(SEARCH($A135,'Diags Raw Data'!$A$6:$A$3830))),--('Diags Raw Data'!$Q$6:$Q$3830&lt;&gt;"N/A"),'Diags Raw Data'!$R$6:$R$3830)</f>
        <v>4</v>
      </c>
      <c r="N135" s="487" cm="1">
        <f t="array" ref="N135">SUMPRODUCT(--(ISNUMBER(SEARCH($A135,'Diags Raw Data'!$A$6:$A$3830))),--('Diags Raw Data'!$Q$6:$Q$3830&lt;&gt;"N/A"),'Diags Raw Data'!$T$6:$T$3830)+SUMPRODUCT(--(ISNUMBER(SEARCH($A135,'Diags Raw Data'!$A$6:$A$3830))),--('Diags Raw Data'!$Q$6:$Q$3830&lt;&gt;"N/A"),'Diags Raw Data'!$U$6:$U$3830)</f>
        <v>4</v>
      </c>
      <c r="O135" s="488">
        <f t="shared" si="19"/>
        <v>1</v>
      </c>
      <c r="P135" s="489">
        <f>SUMIF('Diags Raw Data'!$A$6:$A$3830,"*"&amp;$A135&amp;"*",'Diags Raw Data'!$Z$6:$Z$3830)</f>
        <v>0</v>
      </c>
      <c r="Q135" s="490">
        <f>SUM(SUMIF('Diags Raw Data'!$A$6:$A$3830,"*"&amp;$A135&amp;"*",'Diags Raw Data'!$AA$6:$AA$3830),SUMIF('Diags Raw Data'!$A$6:$A$3830,"*"&amp;$A135&amp;"*",'Diags Raw Data'!$AB$6:$AB$3830))</f>
        <v>0</v>
      </c>
      <c r="R135" s="491">
        <f t="shared" si="20"/>
        <v>0</v>
      </c>
      <c r="S135" s="491">
        <f t="shared" si="21"/>
        <v>0</v>
      </c>
      <c r="T135" s="492">
        <f t="shared" si="22"/>
        <v>0</v>
      </c>
      <c r="U135" s="432" t="str">
        <f>VLOOKUP(A135,'Diags Raw Data'!$A$6:$AH$3830,33,FALSE)</f>
        <v>WK5</v>
      </c>
      <c r="V135" s="181"/>
    </row>
    <row r="136" spans="1:22" s="186" customFormat="1" ht="30.75" thickBot="1" x14ac:dyDescent="0.3">
      <c r="A136" s="546">
        <v>12.281000000000001</v>
      </c>
      <c r="B136" s="434" t="str">
        <f>VLOOKUP(A136,'Feature Raw Data'!$A$3:$B$3922,2,FALSE)</f>
        <v>Sector-separated DCC compressed data layout</v>
      </c>
      <c r="C136" s="435" t="str">
        <f>VLOOKUP(A136,'Feature Raw Data'!$A$3:$C$3922,3,FALSE)</f>
        <v>P1</v>
      </c>
      <c r="D136" s="436" t="str" cm="1">
        <f t="array" ref="D136">_xlfn.TEXTJOIN("",TRUE,IF(ISNUMBER(SEARCH($A136,'Diags Raw Data'!$A$6:$A$3830)),CONCATENATE('Diags Raw Data'!$H$6:$H$3830,", "),""))</f>
        <v xml:space="preserve">glxi60.6, </v>
      </c>
      <c r="E136" s="339" t="str">
        <f>VLOOKUP(A136,'Diags Raw Data'!$A$6:$D$3830,4,FALSE)</f>
        <v>CMM</v>
      </c>
      <c r="F136" s="339" t="str">
        <f>VLOOKUP(A136,'Feature Raw Data'!$A$3:$E$3922,5,FALSE)</f>
        <v>New</v>
      </c>
      <c r="G136" s="339" t="str">
        <f t="shared" si="17"/>
        <v>Yes</v>
      </c>
      <c r="H136" s="339" t="str">
        <f t="shared" si="18"/>
        <v>Yes</v>
      </c>
      <c r="I136" s="435">
        <f>SUMIF('Diags Raw Data'!$A$6:$A$3830,"*"&amp;$A136&amp;"*",'Diags Raw Data'!$K$6:$K$3830)</f>
        <v>0</v>
      </c>
      <c r="J136" s="437">
        <f>SUMIF('Diags Raw Data'!$A$6:$A$3830,"*"&amp;$A136&amp;"*",'Diags Raw Data'!$L$6:$L$3830)</f>
        <v>0</v>
      </c>
      <c r="K136" s="484" t="e" cm="1">
        <f t="array" ref="K136">IF(D136="",0, SUMPRODUCT(--(ISNUMBER(SEARCH($A136,'Diags Raw Data'!$A$6:$A$3830))),'Diags Raw Data'!$L$6:$L$3830,'Diags Raw Data'!$N$6:$N$3830)/J136)</f>
        <v>#DIV/0!</v>
      </c>
      <c r="L136" s="485" t="e" cm="1">
        <f t="array" ref="L136">IF(D136="",0, SUMPRODUCT(--(ISNUMBER(SEARCH($A136,'Diags Raw Data'!$A$6:$A$3830))),'Diags Raw Data'!$L$6:$L$3830,'Diags Raw Data'!$P$6:$P$3830)/J136)</f>
        <v>#DIV/0!</v>
      </c>
      <c r="M136" s="486" cm="1">
        <f t="array" ref="M136">SUMPRODUCT(--(ISNUMBER(SEARCH($A136,'Diags Raw Data'!$A$6:$A$3830))),--('Diags Raw Data'!$Q$6:$Q$3830&lt;&gt;"N/A"),'Diags Raw Data'!$R$6:$R$3830)</f>
        <v>1</v>
      </c>
      <c r="N136" s="487" cm="1">
        <f t="array" ref="N136">SUMPRODUCT(--(ISNUMBER(SEARCH($A136,'Diags Raw Data'!$A$6:$A$3830))),--('Diags Raw Data'!$Q$6:$Q$3830&lt;&gt;"N/A"),'Diags Raw Data'!$T$6:$T$3830)+SUMPRODUCT(--(ISNUMBER(SEARCH($A136,'Diags Raw Data'!$A$6:$A$3830))),--('Diags Raw Data'!$Q$6:$Q$3830&lt;&gt;"N/A"),'Diags Raw Data'!$U$6:$U$3830)</f>
        <v>1</v>
      </c>
      <c r="O136" s="488">
        <f t="shared" si="19"/>
        <v>1</v>
      </c>
      <c r="P136" s="489">
        <f>SUMIF('Diags Raw Data'!$A$6:$A$3830,"*"&amp;$A136&amp;"*",'Diags Raw Data'!$Z$6:$Z$3830)</f>
        <v>0</v>
      </c>
      <c r="Q136" s="490">
        <f>SUM(SUMIF('Diags Raw Data'!$A$6:$A$3830,"*"&amp;$A136&amp;"*",'Diags Raw Data'!$AA$6:$AA$3830),SUMIF('Diags Raw Data'!$A$6:$A$3830,"*"&amp;$A136&amp;"*",'Diags Raw Data'!$AB$6:$AB$3830))</f>
        <v>0</v>
      </c>
      <c r="R136" s="491">
        <f t="shared" si="20"/>
        <v>0</v>
      </c>
      <c r="S136" s="491">
        <f t="shared" si="21"/>
        <v>0</v>
      </c>
      <c r="T136" s="492">
        <f t="shared" si="22"/>
        <v>0</v>
      </c>
      <c r="U136" s="432" t="str">
        <f>VLOOKUP(A136,'Diags Raw Data'!$A$6:$AH$3830,33,FALSE)</f>
        <v>WK5</v>
      </c>
      <c r="V136" s="185"/>
    </row>
    <row r="137" spans="1:22" ht="15.75" thickBot="1" x14ac:dyDescent="0.3">
      <c r="A137" s="546">
        <v>12.282</v>
      </c>
      <c r="B137" s="434" t="str">
        <f>VLOOKUP(A137,'Feature Raw Data'!$A$3:$B$3922,2,FALSE)</f>
        <v>rename GE BIA containers</v>
      </c>
      <c r="C137" s="435" t="str">
        <f>VLOOKUP(A137,'Feature Raw Data'!$A$3:$C$3922,3,FALSE)</f>
        <v>P1</v>
      </c>
      <c r="D137" s="436" t="str" cm="1">
        <f t="array" ref="D137">_xlfn.TEXTJOIN("",TRUE,IF(ISNUMBER(SEARCH($A137,'Diags Raw Data'!$A$6:$A$3830)),CONCATENATE('Diags Raw Data'!$H$6:$H$3830,", "),""))</f>
        <v xml:space="preserve">navi48.gfx.ge.register_access, </v>
      </c>
      <c r="E137" s="339" t="str">
        <f>VLOOKUP(A137,'Diags Raw Data'!$A$6:$D$3830,4,FALSE)</f>
        <v>GEO</v>
      </c>
      <c r="F137" s="339" t="str">
        <f>VLOOKUP(A137,'Feature Raw Data'!$A$3:$E$3922,5,FALSE)</f>
        <v>New</v>
      </c>
      <c r="G137" s="339" t="str">
        <f t="shared" si="17"/>
        <v>Yes</v>
      </c>
      <c r="H137" s="339" t="str">
        <f t="shared" si="18"/>
        <v>Yes</v>
      </c>
      <c r="I137" s="435">
        <f>SUMIF('Diags Raw Data'!$A$6:$A$3830,"*"&amp;$A137&amp;"*",'Diags Raw Data'!$K$6:$K$3830)</f>
        <v>0</v>
      </c>
      <c r="J137" s="437">
        <f>SUMIF('Diags Raw Data'!$A$6:$A$3830,"*"&amp;$A137&amp;"*",'Diags Raw Data'!$L$6:$L$3830)</f>
        <v>0</v>
      </c>
      <c r="K137" s="484" t="e" cm="1">
        <f t="array" ref="K137">IF(D137="",0, SUMPRODUCT(--(ISNUMBER(SEARCH($A137,'Diags Raw Data'!$A$6:$A$3830))),'Diags Raw Data'!$L$6:$L$3830,'Diags Raw Data'!$N$6:$N$3830)/J137)</f>
        <v>#DIV/0!</v>
      </c>
      <c r="L137" s="485" t="e" cm="1">
        <f t="array" ref="L137">IF(D137="",0, SUMPRODUCT(--(ISNUMBER(SEARCH($A137,'Diags Raw Data'!$A$6:$A$3830))),'Diags Raw Data'!$L$6:$L$3830,'Diags Raw Data'!$P$6:$P$3830)/J137)</f>
        <v>#DIV/0!</v>
      </c>
      <c r="M137" s="486" cm="1">
        <f t="array" ref="M137">SUMPRODUCT(--(ISNUMBER(SEARCH($A137,'Diags Raw Data'!$A$6:$A$3830))),--('Diags Raw Data'!$Q$6:$Q$3830&lt;&gt;"N/A"),'Diags Raw Data'!$R$6:$R$3830)</f>
        <v>1</v>
      </c>
      <c r="N137" s="487" cm="1">
        <f t="array" ref="N137">SUMPRODUCT(--(ISNUMBER(SEARCH($A137,'Diags Raw Data'!$A$6:$A$3830))),--('Diags Raw Data'!$Q$6:$Q$3830&lt;&gt;"N/A"),'Diags Raw Data'!$T$6:$T$3830)+SUMPRODUCT(--(ISNUMBER(SEARCH($A137,'Diags Raw Data'!$A$6:$A$3830))),--('Diags Raw Data'!$Q$6:$Q$3830&lt;&gt;"N/A"),'Diags Raw Data'!$U$6:$U$3830)</f>
        <v>1</v>
      </c>
      <c r="O137" s="488">
        <f t="shared" si="19"/>
        <v>1</v>
      </c>
      <c r="P137" s="489">
        <f>SUMIF('Diags Raw Data'!$A$6:$A$3830,"*"&amp;$A137&amp;"*",'Diags Raw Data'!$Z$6:$Z$3830)</f>
        <v>0</v>
      </c>
      <c r="Q137" s="490">
        <f>SUM(SUMIF('Diags Raw Data'!$A$6:$A$3830,"*"&amp;$A137&amp;"*",'Diags Raw Data'!$AA$6:$AA$3830),SUMIF('Diags Raw Data'!$A$6:$A$3830,"*"&amp;$A137&amp;"*",'Diags Raw Data'!$AB$6:$AB$3830))</f>
        <v>0</v>
      </c>
      <c r="R137" s="491">
        <f t="shared" si="20"/>
        <v>0</v>
      </c>
      <c r="S137" s="491">
        <f t="shared" si="21"/>
        <v>0</v>
      </c>
      <c r="T137" s="492">
        <f t="shared" si="22"/>
        <v>0</v>
      </c>
      <c r="U137" s="432" t="str">
        <f>VLOOKUP(A137,'Diags Raw Data'!$A$6:$AH$3830,33,FALSE)</f>
        <v>WK3</v>
      </c>
      <c r="V137" s="181"/>
    </row>
    <row r="138" spans="1:22" ht="45.75" thickBot="1" x14ac:dyDescent="0.3">
      <c r="A138" s="546">
        <v>12.284000000000001</v>
      </c>
      <c r="B138" s="434" t="str">
        <f>VLOOKUP(A138,'Feature Raw Data'!$A$3:$B$3922,2,FALSE)</f>
        <v>Data return for clamped PRT is "0" only (no longer needs to be programable)</v>
      </c>
      <c r="C138" s="435" t="str">
        <f>VLOOKUP(A138,'Feature Raw Data'!$A$3:$C$3922,3,FALSE)</f>
        <v>P2</v>
      </c>
      <c r="D138" s="436" t="str" cm="1">
        <f t="array" ref="D138">_xlfn.TEXTJOIN("",TRUE,IF(ISNUMBER(SEARCH($A138,'Diags Raw Data'!$A$6:$A$3830)),CONCATENATE('Diags Raw Data'!$H$6:$H$3830,", "),""))</f>
        <v/>
      </c>
      <c r="E138" s="339" t="e">
        <f>VLOOKUP(A138,'Diags Raw Data'!$A$6:$D$3830,4,FALSE)</f>
        <v>#N/A</v>
      </c>
      <c r="F138" s="339" t="str">
        <f>VLOOKUP(A138,'Feature Raw Data'!$A$3:$E$3922,5,FALSE)</f>
        <v>New</v>
      </c>
      <c r="G138" s="339" t="str">
        <f t="shared" si="17"/>
        <v>Yes</v>
      </c>
      <c r="H138" s="339" t="str">
        <f t="shared" si="18"/>
        <v>Yes</v>
      </c>
      <c r="I138" s="435">
        <f>SUMIF('Diags Raw Data'!$A$6:$A$3830,"*"&amp;$A138&amp;"*",'Diags Raw Data'!$K$6:$K$3830)</f>
        <v>0</v>
      </c>
      <c r="J138" s="437">
        <f>SUMIF('Diags Raw Data'!$A$6:$A$3830,"*"&amp;$A138&amp;"*",'Diags Raw Data'!$L$6:$L$3830)</f>
        <v>0</v>
      </c>
      <c r="K138" s="484" cm="1">
        <f t="array" ref="K138">IF(D138="",0, SUMPRODUCT(--(ISNUMBER(SEARCH($A138,'Diags Raw Data'!$A$6:$A$3830))),'Diags Raw Data'!$L$6:$L$3830,'Diags Raw Data'!$N$6:$N$3830)/J138)</f>
        <v>0</v>
      </c>
      <c r="L138" s="485" cm="1">
        <f t="array" ref="L138">IF(D138="",0, SUMPRODUCT(--(ISNUMBER(SEARCH($A138,'Diags Raw Data'!$A$6:$A$3830))),'Diags Raw Data'!$L$6:$L$3830,'Diags Raw Data'!$P$6:$P$3830)/J138)</f>
        <v>0</v>
      </c>
      <c r="M138" s="486" cm="1">
        <f t="array" ref="M138">SUMPRODUCT(--(ISNUMBER(SEARCH($A138,'Diags Raw Data'!$A$6:$A$3830))),--('Diags Raw Data'!$Q$6:$Q$3830&lt;&gt;"N/A"),'Diags Raw Data'!$R$6:$R$3830)</f>
        <v>0</v>
      </c>
      <c r="N138" s="487" cm="1">
        <f t="array" ref="N138">SUMPRODUCT(--(ISNUMBER(SEARCH($A138,'Diags Raw Data'!$A$6:$A$3830))),--('Diags Raw Data'!$Q$6:$Q$3830&lt;&gt;"N/A"),'Diags Raw Data'!$T$6:$T$3830)+SUMPRODUCT(--(ISNUMBER(SEARCH($A138,'Diags Raw Data'!$A$6:$A$3830))),--('Diags Raw Data'!$Q$6:$Q$3830&lt;&gt;"N/A"),'Diags Raw Data'!$U$6:$U$3830)</f>
        <v>0</v>
      </c>
      <c r="O138" s="488">
        <f t="shared" si="19"/>
        <v>0</v>
      </c>
      <c r="P138" s="489">
        <f>SUMIF('Diags Raw Data'!$A$6:$A$3830,"*"&amp;$A138&amp;"*",'Diags Raw Data'!$Z$6:$Z$3830)</f>
        <v>0</v>
      </c>
      <c r="Q138" s="490">
        <f>SUM(SUMIF('Diags Raw Data'!$A$6:$A$3830,"*"&amp;$A138&amp;"*",'Diags Raw Data'!$AA$6:$AA$3830),SUMIF('Diags Raw Data'!$A$6:$A$3830,"*"&amp;$A138&amp;"*",'Diags Raw Data'!$AB$6:$AB$3830))</f>
        <v>0</v>
      </c>
      <c r="R138" s="491">
        <f t="shared" si="20"/>
        <v>0</v>
      </c>
      <c r="S138" s="491">
        <f t="shared" si="21"/>
        <v>0</v>
      </c>
      <c r="T138" s="492">
        <f t="shared" si="22"/>
        <v>0</v>
      </c>
      <c r="U138" s="432" t="e">
        <f>VLOOKUP(A138,'Diags Raw Data'!$A$6:$AH$3830,33,FALSE)</f>
        <v>#N/A</v>
      </c>
      <c r="V138" s="552" t="s">
        <v>422</v>
      </c>
    </row>
    <row r="139" spans="1:22" ht="30.75" thickBot="1" x14ac:dyDescent="0.3">
      <c r="A139" s="546">
        <v>12.285</v>
      </c>
      <c r="B139" s="434" t="str">
        <f>VLOOKUP(A139,'Feature Raw Data'!$A$3:$B$3922,2,FALSE)</f>
        <v>Remove BIG_PAGE control for UTC probing</v>
      </c>
      <c r="C139" s="435" t="str">
        <f>VLOOKUP(A139,'Feature Raw Data'!$A$3:$C$3922,3,FALSE)</f>
        <v>P2</v>
      </c>
      <c r="D139" s="436" t="str" cm="1">
        <f t="array" ref="D139">_xlfn.TEXTJOIN("",TRUE,IF(ISNUMBER(SEARCH($A139,'Diags Raw Data'!$A$6:$A$3830)),CONCATENATE('Diags Raw Data'!$H$6:$H$3830,", "),""))</f>
        <v/>
      </c>
      <c r="E139" s="339" t="e">
        <f>VLOOKUP(A139,'Diags Raw Data'!$A$6:$D$3830,4,FALSE)</f>
        <v>#N/A</v>
      </c>
      <c r="F139" s="339" t="str">
        <f>VLOOKUP(A139,'Feature Raw Data'!$A$3:$E$3922,5,FALSE)</f>
        <v>New</v>
      </c>
      <c r="G139" s="339" t="str">
        <f t="shared" si="17"/>
        <v>Yes</v>
      </c>
      <c r="H139" s="339" t="str">
        <f t="shared" si="18"/>
        <v>Yes</v>
      </c>
      <c r="I139" s="435">
        <f>SUMIF('Diags Raw Data'!$A$6:$A$3830,"*"&amp;$A139&amp;"*",'Diags Raw Data'!$K$6:$K$3830)</f>
        <v>0</v>
      </c>
      <c r="J139" s="437">
        <f>SUMIF('Diags Raw Data'!$A$6:$A$3830,"*"&amp;$A139&amp;"*",'Diags Raw Data'!$L$6:$L$3830)</f>
        <v>0</v>
      </c>
      <c r="K139" s="484" cm="1">
        <f t="array" ref="K139">IF(D139="",0, SUMPRODUCT(--(ISNUMBER(SEARCH($A139,'Diags Raw Data'!$A$6:$A$3830))),'Diags Raw Data'!$L$6:$L$3830,'Diags Raw Data'!$N$6:$N$3830)/J139)</f>
        <v>0</v>
      </c>
      <c r="L139" s="485" cm="1">
        <f t="array" ref="L139">IF(D139="",0, SUMPRODUCT(--(ISNUMBER(SEARCH($A139,'Diags Raw Data'!$A$6:$A$3830))),'Diags Raw Data'!$L$6:$L$3830,'Diags Raw Data'!$P$6:$P$3830)/J139)</f>
        <v>0</v>
      </c>
      <c r="M139" s="486" cm="1">
        <f t="array" ref="M139">SUMPRODUCT(--(ISNUMBER(SEARCH($A139,'Diags Raw Data'!$A$6:$A$3830))),--('Diags Raw Data'!$Q$6:$Q$3830&lt;&gt;"N/A"),'Diags Raw Data'!$R$6:$R$3830)</f>
        <v>0</v>
      </c>
      <c r="N139" s="487" cm="1">
        <f t="array" ref="N139">SUMPRODUCT(--(ISNUMBER(SEARCH($A139,'Diags Raw Data'!$A$6:$A$3830))),--('Diags Raw Data'!$Q$6:$Q$3830&lt;&gt;"N/A"),'Diags Raw Data'!$T$6:$T$3830)+SUMPRODUCT(--(ISNUMBER(SEARCH($A139,'Diags Raw Data'!$A$6:$A$3830))),--('Diags Raw Data'!$Q$6:$Q$3830&lt;&gt;"N/A"),'Diags Raw Data'!$U$6:$U$3830)</f>
        <v>0</v>
      </c>
      <c r="O139" s="488">
        <f t="shared" si="19"/>
        <v>0</v>
      </c>
      <c r="P139" s="489">
        <f>SUMIF('Diags Raw Data'!$A$6:$A$3830,"*"&amp;$A139&amp;"*",'Diags Raw Data'!$Z$6:$Z$3830)</f>
        <v>0</v>
      </c>
      <c r="Q139" s="490">
        <f>SUM(SUMIF('Diags Raw Data'!$A$6:$A$3830,"*"&amp;$A139&amp;"*",'Diags Raw Data'!$AA$6:$AA$3830),SUMIF('Diags Raw Data'!$A$6:$A$3830,"*"&amp;$A139&amp;"*",'Diags Raw Data'!$AB$6:$AB$3830))</f>
        <v>0</v>
      </c>
      <c r="R139" s="491">
        <f t="shared" si="20"/>
        <v>0</v>
      </c>
      <c r="S139" s="491">
        <f t="shared" si="21"/>
        <v>0</v>
      </c>
      <c r="T139" s="492">
        <f t="shared" si="22"/>
        <v>0</v>
      </c>
      <c r="U139" s="432" t="e">
        <f>VLOOKUP(A139,'Diags Raw Data'!$A$6:$AH$3830,33,FALSE)</f>
        <v>#N/A</v>
      </c>
      <c r="V139" s="552" t="s">
        <v>366</v>
      </c>
    </row>
    <row r="140" spans="1:22" ht="45.75" thickBot="1" x14ac:dyDescent="0.3">
      <c r="A140" s="546">
        <v>12.286</v>
      </c>
      <c r="B140" s="434" t="str">
        <f>VLOOKUP(A140,'Feature Raw Data'!$A$3:$B$3922,2,FALSE)</f>
        <v>Remove passthru_en/esgs_ring_itemsize/old gs fastlaunch</v>
      </c>
      <c r="C140" s="435" t="str">
        <f>VLOOKUP(A140,'Feature Raw Data'!$A$3:$C$3922,3,FALSE)</f>
        <v>P1</v>
      </c>
      <c r="D140" s="436" t="str" cm="1">
        <f t="array" ref="D140">_xlfn.TEXTJOIN("",TRUE,IF(ISNUMBER(SEARCH($A140,'Diags Raw Data'!$A$6:$A$3830)),CONCATENATE('Diags Raw Data'!$H$6:$H$3830,", "),""))</f>
        <v/>
      </c>
      <c r="E140" s="339" t="e">
        <f>VLOOKUP(A140,'Diags Raw Data'!$A$6:$D$3830,4,FALSE)</f>
        <v>#N/A</v>
      </c>
      <c r="F140" s="339" t="str">
        <f>VLOOKUP(A140,'Feature Raw Data'!$A$3:$E$3922,5,FALSE)</f>
        <v>New</v>
      </c>
      <c r="G140" s="339" t="str">
        <f t="shared" si="17"/>
        <v>Yes</v>
      </c>
      <c r="H140" s="339" t="str">
        <f t="shared" si="18"/>
        <v>Yes</v>
      </c>
      <c r="I140" s="435">
        <f>SUMIF('Diags Raw Data'!$A$6:$A$3830,"*"&amp;$A140&amp;"*",'Diags Raw Data'!$K$6:$K$3830)</f>
        <v>0</v>
      </c>
      <c r="J140" s="437">
        <f>SUMIF('Diags Raw Data'!$A$6:$A$3830,"*"&amp;$A140&amp;"*",'Diags Raw Data'!$L$6:$L$3830)</f>
        <v>0</v>
      </c>
      <c r="K140" s="484" cm="1">
        <f t="array" ref="K140">IF(D140="",0, SUMPRODUCT(--(ISNUMBER(SEARCH($A140,'Diags Raw Data'!$A$6:$A$3830))),'Diags Raw Data'!$L$6:$L$3830,'Diags Raw Data'!$N$6:$N$3830)/J140)</f>
        <v>0</v>
      </c>
      <c r="L140" s="485" cm="1">
        <f t="array" ref="L140">IF(D140="",0, SUMPRODUCT(--(ISNUMBER(SEARCH($A140,'Diags Raw Data'!$A$6:$A$3830))),'Diags Raw Data'!$L$6:$L$3830,'Diags Raw Data'!$P$6:$P$3830)/J140)</f>
        <v>0</v>
      </c>
      <c r="M140" s="486" cm="1">
        <f t="array" ref="M140">SUMPRODUCT(--(ISNUMBER(SEARCH($A140,'Diags Raw Data'!$A$6:$A$3830))),--('Diags Raw Data'!$Q$6:$Q$3830&lt;&gt;"N/A"),'Diags Raw Data'!$R$6:$R$3830)</f>
        <v>0</v>
      </c>
      <c r="N140" s="487" cm="1">
        <f t="array" ref="N140">SUMPRODUCT(--(ISNUMBER(SEARCH($A140,'Diags Raw Data'!$A$6:$A$3830))),--('Diags Raw Data'!$Q$6:$Q$3830&lt;&gt;"N/A"),'Diags Raw Data'!$T$6:$T$3830)+SUMPRODUCT(--(ISNUMBER(SEARCH($A140,'Diags Raw Data'!$A$6:$A$3830))),--('Diags Raw Data'!$Q$6:$Q$3830&lt;&gt;"N/A"),'Diags Raw Data'!$U$6:$U$3830)</f>
        <v>0</v>
      </c>
      <c r="O140" s="488">
        <f t="shared" si="19"/>
        <v>0</v>
      </c>
      <c r="P140" s="489">
        <f>SUMIF('Diags Raw Data'!$A$6:$A$3830,"*"&amp;$A140&amp;"*",'Diags Raw Data'!$Z$6:$Z$3830)</f>
        <v>0</v>
      </c>
      <c r="Q140" s="490">
        <f>SUM(SUMIF('Diags Raw Data'!$A$6:$A$3830,"*"&amp;$A140&amp;"*",'Diags Raw Data'!$AA$6:$AA$3830),SUMIF('Diags Raw Data'!$A$6:$A$3830,"*"&amp;$A140&amp;"*",'Diags Raw Data'!$AB$6:$AB$3830))</f>
        <v>0</v>
      </c>
      <c r="R140" s="491">
        <f t="shared" si="20"/>
        <v>0</v>
      </c>
      <c r="S140" s="491">
        <f t="shared" si="21"/>
        <v>0</v>
      </c>
      <c r="T140" s="492">
        <f t="shared" si="22"/>
        <v>0</v>
      </c>
      <c r="U140" s="432" t="e">
        <f>VLOOKUP(A140,'Diags Raw Data'!$A$6:$AH$3830,33,FALSE)</f>
        <v>#N/A</v>
      </c>
      <c r="V140" s="552" t="s">
        <v>366</v>
      </c>
    </row>
    <row r="141" spans="1:22" ht="15.75" thickBot="1" x14ac:dyDescent="0.3">
      <c r="A141" s="546">
        <v>12.287000000000001</v>
      </c>
      <c r="B141" s="434" t="str">
        <f>VLOOKUP(A141,'Feature Raw Data'!$A$3:$B$3922,2,FALSE)</f>
        <v>VRS removal in DCC</v>
      </c>
      <c r="C141" s="435" t="str">
        <f>VLOOKUP(A141,'Feature Raw Data'!$A$3:$C$3922,3,FALSE)</f>
        <v>P1</v>
      </c>
      <c r="D141" s="436" t="str" cm="1">
        <f t="array" ref="D141">_xlfn.TEXTJOIN("",TRUE,IF(ISNUMBER(SEARCH($A141,'Diags Raw Data'!$A$6:$A$3830)),CONCATENATE('Diags Raw Data'!$H$6:$H$3830,", "),""))</f>
        <v/>
      </c>
      <c r="E141" s="339" t="e">
        <f>VLOOKUP(A141,'Diags Raw Data'!$A$6:$D$3830,4,FALSE)</f>
        <v>#N/A</v>
      </c>
      <c r="F141" s="339" t="str">
        <f>VLOOKUP(A141,'Feature Raw Data'!$A$3:$E$3922,5,FALSE)</f>
        <v>New</v>
      </c>
      <c r="G141" s="339" t="str">
        <f t="shared" si="17"/>
        <v>Yes</v>
      </c>
      <c r="H141" s="339" t="str">
        <f t="shared" si="18"/>
        <v>Yes</v>
      </c>
      <c r="I141" s="435">
        <f>SUMIF('Diags Raw Data'!$A$6:$A$3830,"*"&amp;$A141&amp;"*",'Diags Raw Data'!$K$6:$K$3830)</f>
        <v>0</v>
      </c>
      <c r="J141" s="437">
        <f>SUMIF('Diags Raw Data'!$A$6:$A$3830,"*"&amp;$A141&amp;"*",'Diags Raw Data'!$L$6:$L$3830)</f>
        <v>0</v>
      </c>
      <c r="K141" s="484" cm="1">
        <f t="array" ref="K141">IF(D141="",0, SUMPRODUCT(--(ISNUMBER(SEARCH($A141,'Diags Raw Data'!$A$6:$A$3830))),'Diags Raw Data'!$L$6:$L$3830,'Diags Raw Data'!$N$6:$N$3830)/J141)</f>
        <v>0</v>
      </c>
      <c r="L141" s="485" cm="1">
        <f t="array" ref="L141">IF(D141="",0, SUMPRODUCT(--(ISNUMBER(SEARCH($A141,'Diags Raw Data'!$A$6:$A$3830))),'Diags Raw Data'!$L$6:$L$3830,'Diags Raw Data'!$P$6:$P$3830)/J141)</f>
        <v>0</v>
      </c>
      <c r="M141" s="486" cm="1">
        <f t="array" ref="M141">SUMPRODUCT(--(ISNUMBER(SEARCH($A141,'Diags Raw Data'!$A$6:$A$3830))),--('Diags Raw Data'!$Q$6:$Q$3830&lt;&gt;"N/A"),'Diags Raw Data'!$R$6:$R$3830)</f>
        <v>0</v>
      </c>
      <c r="N141" s="487" cm="1">
        <f t="array" ref="N141">SUMPRODUCT(--(ISNUMBER(SEARCH($A141,'Diags Raw Data'!$A$6:$A$3830))),--('Diags Raw Data'!$Q$6:$Q$3830&lt;&gt;"N/A"),'Diags Raw Data'!$T$6:$T$3830)+SUMPRODUCT(--(ISNUMBER(SEARCH($A141,'Diags Raw Data'!$A$6:$A$3830))),--('Diags Raw Data'!$Q$6:$Q$3830&lt;&gt;"N/A"),'Diags Raw Data'!$U$6:$U$3830)</f>
        <v>0</v>
      </c>
      <c r="O141" s="488">
        <f t="shared" si="19"/>
        <v>0</v>
      </c>
      <c r="P141" s="489">
        <f>SUMIF('Diags Raw Data'!$A$6:$A$3830,"*"&amp;$A141&amp;"*",'Diags Raw Data'!$Z$6:$Z$3830)</f>
        <v>0</v>
      </c>
      <c r="Q141" s="490">
        <f>SUM(SUMIF('Diags Raw Data'!$A$6:$A$3830,"*"&amp;$A141&amp;"*",'Diags Raw Data'!$AA$6:$AA$3830),SUMIF('Diags Raw Data'!$A$6:$A$3830,"*"&amp;$A141&amp;"*",'Diags Raw Data'!$AB$6:$AB$3830))</f>
        <v>0</v>
      </c>
      <c r="R141" s="491">
        <f t="shared" si="20"/>
        <v>0</v>
      </c>
      <c r="S141" s="491">
        <f t="shared" si="21"/>
        <v>0</v>
      </c>
      <c r="T141" s="492">
        <f t="shared" si="22"/>
        <v>0</v>
      </c>
      <c r="U141" s="432" t="e">
        <f>VLOOKUP(A141,'Diags Raw Data'!$A$6:$AH$3830,33,FALSE)</f>
        <v>#N/A</v>
      </c>
      <c r="V141" s="552" t="s">
        <v>366</v>
      </c>
    </row>
    <row r="142" spans="1:22" ht="45.75" thickBot="1" x14ac:dyDescent="0.3">
      <c r="A142" s="546">
        <v>12.291</v>
      </c>
      <c r="B142" s="434" t="str">
        <f>VLOOKUP(A142,'Feature Raw Data'!$A$3:$B$3922,2,FALSE)</f>
        <v>Remove F32 from CPG and CPC; No BC support in PM4 parsers</v>
      </c>
      <c r="C142" s="435" t="str">
        <f>VLOOKUP(A142,'Feature Raw Data'!$A$3:$C$3922,3,FALSE)</f>
        <v>P2</v>
      </c>
      <c r="D142" s="436" t="str" cm="1">
        <f t="array" ref="D142">_xlfn.TEXTJOIN("",TRUE,IF(ISNUMBER(SEARCH($A142,'Diags Raw Data'!$A$6:$A$3830)),CONCATENATE('Diags Raw Data'!$H$6:$H$3830,", "),""))</f>
        <v/>
      </c>
      <c r="E142" s="339" t="e">
        <f>VLOOKUP(A142,'Diags Raw Data'!$A$6:$D$3830,4,FALSE)</f>
        <v>#N/A</v>
      </c>
      <c r="F142" s="339" t="str">
        <f>VLOOKUP(A142,'Feature Raw Data'!$A$3:$E$3922,5,FALSE)</f>
        <v>New</v>
      </c>
      <c r="G142" s="339" t="str">
        <f t="shared" si="17"/>
        <v>Yes</v>
      </c>
      <c r="H142" s="339" t="str">
        <f t="shared" si="18"/>
        <v>Yes</v>
      </c>
      <c r="I142" s="435">
        <f>SUMIF('Diags Raw Data'!$A$6:$A$3830,"*"&amp;$A142&amp;"*",'Diags Raw Data'!$K$6:$K$3830)</f>
        <v>0</v>
      </c>
      <c r="J142" s="437">
        <f>SUMIF('Diags Raw Data'!$A$6:$A$3830,"*"&amp;$A142&amp;"*",'Diags Raw Data'!$L$6:$L$3830)</f>
        <v>0</v>
      </c>
      <c r="K142" s="484" cm="1">
        <f t="array" ref="K142">IF(D142="",0, SUMPRODUCT(--(ISNUMBER(SEARCH($A142,'Diags Raw Data'!$A$6:$A$3830))),'Diags Raw Data'!$L$6:$L$3830,'Diags Raw Data'!$N$6:$N$3830)/J142)</f>
        <v>0</v>
      </c>
      <c r="L142" s="485" cm="1">
        <f t="array" ref="L142">IF(D142="",0, SUMPRODUCT(--(ISNUMBER(SEARCH($A142,'Diags Raw Data'!$A$6:$A$3830))),'Diags Raw Data'!$L$6:$L$3830,'Diags Raw Data'!$P$6:$P$3830)/J142)</f>
        <v>0</v>
      </c>
      <c r="M142" s="486" cm="1">
        <f t="array" ref="M142">SUMPRODUCT(--(ISNUMBER(SEARCH($A142,'Diags Raw Data'!$A$6:$A$3830))),--('Diags Raw Data'!$Q$6:$Q$3830&lt;&gt;"N/A"),'Diags Raw Data'!$R$6:$R$3830)</f>
        <v>0</v>
      </c>
      <c r="N142" s="487" cm="1">
        <f t="array" ref="N142">SUMPRODUCT(--(ISNUMBER(SEARCH($A142,'Diags Raw Data'!$A$6:$A$3830))),--('Diags Raw Data'!$Q$6:$Q$3830&lt;&gt;"N/A"),'Diags Raw Data'!$T$6:$T$3830)+SUMPRODUCT(--(ISNUMBER(SEARCH($A142,'Diags Raw Data'!$A$6:$A$3830))),--('Diags Raw Data'!$Q$6:$Q$3830&lt;&gt;"N/A"),'Diags Raw Data'!$U$6:$U$3830)</f>
        <v>0</v>
      </c>
      <c r="O142" s="488">
        <f t="shared" si="19"/>
        <v>0</v>
      </c>
      <c r="P142" s="489">
        <f>SUMIF('Diags Raw Data'!$A$6:$A$3830,"*"&amp;$A142&amp;"*",'Diags Raw Data'!$Z$6:$Z$3830)</f>
        <v>0</v>
      </c>
      <c r="Q142" s="490">
        <f>SUM(SUMIF('Diags Raw Data'!$A$6:$A$3830,"*"&amp;$A142&amp;"*",'Diags Raw Data'!$AA$6:$AA$3830),SUMIF('Diags Raw Data'!$A$6:$A$3830,"*"&amp;$A142&amp;"*",'Diags Raw Data'!$AB$6:$AB$3830))</f>
        <v>0</v>
      </c>
      <c r="R142" s="491">
        <f t="shared" si="20"/>
        <v>0</v>
      </c>
      <c r="S142" s="491">
        <f t="shared" si="21"/>
        <v>0</v>
      </c>
      <c r="T142" s="492">
        <f t="shared" si="22"/>
        <v>0</v>
      </c>
      <c r="U142" s="432" t="e">
        <f>VLOOKUP(A142,'Diags Raw Data'!$A$6:$AH$3830,33,FALSE)</f>
        <v>#N/A</v>
      </c>
      <c r="V142" s="552" t="s">
        <v>366</v>
      </c>
    </row>
    <row r="143" spans="1:22" ht="30.75" thickBot="1" x14ac:dyDescent="0.3">
      <c r="A143" s="546">
        <v>12.292</v>
      </c>
      <c r="B143" s="434" t="str">
        <f>VLOOKUP(A143,'Feature Raw Data'!$A$3:$B$3922,2,FALSE)</f>
        <v>move offchip lds manager to GE</v>
      </c>
      <c r="C143" s="435" t="str">
        <f>VLOOKUP(A143,'Feature Raw Data'!$A$3:$C$3922,3,FALSE)</f>
        <v>P1</v>
      </c>
      <c r="D143" s="436" t="str" cm="1">
        <f t="array" ref="D143">_xlfn.TEXTJOIN("",TRUE,IF(ISNUMBER(SEARCH($A143,'Diags Raw Data'!$A$6:$A$3830)),CONCATENATE('Diags Raw Data'!$H$6:$H$3830,", "),""))</f>
        <v xml:space="preserve">ge3.0,std4.34, </v>
      </c>
      <c r="E143" s="339" t="str">
        <f>VLOOKUP(A143,'Diags Raw Data'!$A$6:$D$3830,4,FALSE)</f>
        <v>GEO</v>
      </c>
      <c r="F143" s="339" t="str">
        <f>VLOOKUP(A143,'Feature Raw Data'!$A$3:$E$3922,5,FALSE)</f>
        <v>New</v>
      </c>
      <c r="G143" s="339" t="str">
        <f t="shared" si="17"/>
        <v>Yes</v>
      </c>
      <c r="H143" s="339" t="str">
        <f t="shared" si="18"/>
        <v>Yes</v>
      </c>
      <c r="I143" s="435">
        <f>SUMIF('Diags Raw Data'!$A$6:$A$3830,"*"&amp;$A143&amp;"*",'Diags Raw Data'!$K$6:$K$3830)</f>
        <v>0</v>
      </c>
      <c r="J143" s="437">
        <f>SUMIF('Diags Raw Data'!$A$6:$A$3830,"*"&amp;$A143&amp;"*",'Diags Raw Data'!$L$6:$L$3830)</f>
        <v>0</v>
      </c>
      <c r="K143" s="484" t="e" cm="1">
        <f t="array" ref="K143">IF(D143="",0, SUMPRODUCT(--(ISNUMBER(SEARCH($A143,'Diags Raw Data'!$A$6:$A$3830))),'Diags Raw Data'!$L$6:$L$3830,'Diags Raw Data'!$N$6:$N$3830)/J143)</f>
        <v>#DIV/0!</v>
      </c>
      <c r="L143" s="485" t="e" cm="1">
        <f t="array" ref="L143">IF(D143="",0, SUMPRODUCT(--(ISNUMBER(SEARCH($A143,'Diags Raw Data'!$A$6:$A$3830))),'Diags Raw Data'!$L$6:$L$3830,'Diags Raw Data'!$P$6:$P$3830)/J143)</f>
        <v>#DIV/0!</v>
      </c>
      <c r="M143" s="486" cm="1">
        <f t="array" ref="M143">SUMPRODUCT(--(ISNUMBER(SEARCH($A143,'Diags Raw Data'!$A$6:$A$3830))),--('Diags Raw Data'!$Q$6:$Q$3830&lt;&gt;"N/A"),'Diags Raw Data'!$R$6:$R$3830)</f>
        <v>2</v>
      </c>
      <c r="N143" s="487" cm="1">
        <f t="array" ref="N143">SUMPRODUCT(--(ISNUMBER(SEARCH($A143,'Diags Raw Data'!$A$6:$A$3830))),--('Diags Raw Data'!$Q$6:$Q$3830&lt;&gt;"N/A"),'Diags Raw Data'!$T$6:$T$3830)+SUMPRODUCT(--(ISNUMBER(SEARCH($A143,'Diags Raw Data'!$A$6:$A$3830))),--('Diags Raw Data'!$Q$6:$Q$3830&lt;&gt;"N/A"),'Diags Raw Data'!$U$6:$U$3830)</f>
        <v>1</v>
      </c>
      <c r="O143" s="488">
        <f t="shared" si="19"/>
        <v>0.5</v>
      </c>
      <c r="P143" s="489">
        <f>SUMIF('Diags Raw Data'!$A$6:$A$3830,"*"&amp;$A143&amp;"*",'Diags Raw Data'!$Z$6:$Z$3830)</f>
        <v>0</v>
      </c>
      <c r="Q143" s="490">
        <f>SUM(SUMIF('Diags Raw Data'!$A$6:$A$3830,"*"&amp;$A143&amp;"*",'Diags Raw Data'!$AA$6:$AA$3830),SUMIF('Diags Raw Data'!$A$6:$A$3830,"*"&amp;$A143&amp;"*",'Diags Raw Data'!$AB$6:$AB$3830))</f>
        <v>0</v>
      </c>
      <c r="R143" s="491">
        <f t="shared" si="20"/>
        <v>0</v>
      </c>
      <c r="S143" s="491">
        <f t="shared" si="21"/>
        <v>0</v>
      </c>
      <c r="T143" s="492">
        <f t="shared" si="22"/>
        <v>0</v>
      </c>
      <c r="U143" s="432" t="str">
        <f>VLOOKUP(A143,'Diags Raw Data'!$A$6:$AH$3830,33,FALSE)</f>
        <v>WK5</v>
      </c>
      <c r="V143" s="181"/>
    </row>
    <row r="144" spans="1:22" ht="30.75" thickBot="1" x14ac:dyDescent="0.3">
      <c r="A144" s="546">
        <v>12.294</v>
      </c>
      <c r="B144" s="434" t="str">
        <f>VLOOKUP(A144,'Feature Raw Data'!$A$3:$B$3922,2,FALSE)</f>
        <v>Improve SPI work limiting controls (spi_work_limit_ctrl)</v>
      </c>
      <c r="C144" s="435" t="str">
        <f>VLOOKUP(A144,'Feature Raw Data'!$A$3:$C$3922,3,FALSE)</f>
        <v>P1</v>
      </c>
      <c r="D144" s="436" t="str" cm="1">
        <f t="array" ref="D144">_xlfn.TEXTJOIN("",TRUE,IF(ISNUMBER(SEARCH($A144,'Diags Raw Data'!$A$6:$A$3830)),CONCATENATE('Diags Raw Data'!$H$6:$H$3830,", "),""))</f>
        <v xml:space="preserve">spi2940,spi2941, </v>
      </c>
      <c r="E144" s="339" t="str">
        <f>VLOOKUP(A144,'Diags Raw Data'!$A$6:$D$3830,4,FALSE)</f>
        <v>SIO</v>
      </c>
      <c r="F144" s="339" t="str">
        <f>VLOOKUP(A144,'Feature Raw Data'!$A$3:$E$3922,5,FALSE)</f>
        <v>New</v>
      </c>
      <c r="G144" s="339" t="str">
        <f t="shared" si="17"/>
        <v>Yes</v>
      </c>
      <c r="H144" s="339" t="str">
        <f t="shared" si="18"/>
        <v>Yes</v>
      </c>
      <c r="I144" s="435">
        <f>SUMIF('Diags Raw Data'!$A$6:$A$3830,"*"&amp;$A144&amp;"*",'Diags Raw Data'!$K$6:$K$3830)</f>
        <v>0</v>
      </c>
      <c r="J144" s="437">
        <f>SUMIF('Diags Raw Data'!$A$6:$A$3830,"*"&amp;$A144&amp;"*",'Diags Raw Data'!$L$6:$L$3830)</f>
        <v>0</v>
      </c>
      <c r="K144" s="484" t="e" cm="1">
        <f t="array" ref="K144">IF(D144="",0, SUMPRODUCT(--(ISNUMBER(SEARCH($A144,'Diags Raw Data'!$A$6:$A$3830))),'Diags Raw Data'!$L$6:$L$3830,'Diags Raw Data'!$N$6:$N$3830)/J144)</f>
        <v>#DIV/0!</v>
      </c>
      <c r="L144" s="485" t="e" cm="1">
        <f t="array" ref="L144">IF(D144="",0, SUMPRODUCT(--(ISNUMBER(SEARCH($A144,'Diags Raw Data'!$A$6:$A$3830))),'Diags Raw Data'!$L$6:$L$3830,'Diags Raw Data'!$P$6:$P$3830)/J144)</f>
        <v>#DIV/0!</v>
      </c>
      <c r="M144" s="486" cm="1">
        <f t="array" ref="M144">SUMPRODUCT(--(ISNUMBER(SEARCH($A144,'Diags Raw Data'!$A$6:$A$3830))),--('Diags Raw Data'!$Q$6:$Q$3830&lt;&gt;"N/A"),'Diags Raw Data'!$R$6:$R$3830)</f>
        <v>2</v>
      </c>
      <c r="N144" s="487" cm="1">
        <f t="array" ref="N144">SUMPRODUCT(--(ISNUMBER(SEARCH($A144,'Diags Raw Data'!$A$6:$A$3830))),--('Diags Raw Data'!$Q$6:$Q$3830&lt;&gt;"N/A"),'Diags Raw Data'!$T$6:$T$3830)+SUMPRODUCT(--(ISNUMBER(SEARCH($A144,'Diags Raw Data'!$A$6:$A$3830))),--('Diags Raw Data'!$Q$6:$Q$3830&lt;&gt;"N/A"),'Diags Raw Data'!$U$6:$U$3830)</f>
        <v>2</v>
      </c>
      <c r="O144" s="488">
        <f t="shared" si="19"/>
        <v>1</v>
      </c>
      <c r="P144" s="489">
        <f>SUMIF('Diags Raw Data'!$A$6:$A$3830,"*"&amp;$A144&amp;"*",'Diags Raw Data'!$Z$6:$Z$3830)</f>
        <v>0</v>
      </c>
      <c r="Q144" s="490">
        <f>SUM(SUMIF('Diags Raw Data'!$A$6:$A$3830,"*"&amp;$A144&amp;"*",'Diags Raw Data'!$AA$6:$AA$3830),SUMIF('Diags Raw Data'!$A$6:$A$3830,"*"&amp;$A144&amp;"*",'Diags Raw Data'!$AB$6:$AB$3830))</f>
        <v>0</v>
      </c>
      <c r="R144" s="491">
        <f t="shared" si="20"/>
        <v>0</v>
      </c>
      <c r="S144" s="491">
        <f t="shared" si="21"/>
        <v>0</v>
      </c>
      <c r="T144" s="492">
        <f t="shared" si="22"/>
        <v>0</v>
      </c>
      <c r="U144" s="432" t="str">
        <f>VLOOKUP(A144,'Diags Raw Data'!$A$6:$AH$3830,33,FALSE)</f>
        <v>WK4</v>
      </c>
      <c r="V144" s="181"/>
    </row>
    <row r="145" spans="1:22" ht="60.75" thickBot="1" x14ac:dyDescent="0.3">
      <c r="A145" s="546">
        <v>12.298999999999999</v>
      </c>
      <c r="B145" s="434" t="str">
        <f>VLOOKUP(A145,'Feature Raw Data'!$A$3:$B$3922,2,FALSE)</f>
        <v>[Navi4x] Move RTAVFS/DLDO/DFLL initialization to after CP is running workloads</v>
      </c>
      <c r="C145" s="435" t="str">
        <f>VLOOKUP(A145,'Feature Raw Data'!$A$3:$C$3922,3,FALSE)</f>
        <v>P2</v>
      </c>
      <c r="D145" s="436" t="str" cm="1">
        <f t="array" ref="D145">_xlfn.TEXTJOIN("",TRUE,IF(ISNUMBER(SEARCH($A145,'Diags Raw Data'!$A$6:$A$3830)),CONCATENATE('Diags Raw Data'!$H$6:$H$3830,", "),""))</f>
        <v/>
      </c>
      <c r="E145" s="339" t="e">
        <f>VLOOKUP(A145,'Diags Raw Data'!$A$6:$D$3830,4,FALSE)</f>
        <v>#N/A</v>
      </c>
      <c r="F145" s="339" t="str">
        <f>VLOOKUP(A145,'Feature Raw Data'!$A$3:$E$3922,5,FALSE)</f>
        <v>New</v>
      </c>
      <c r="G145" s="339" t="str">
        <f t="shared" si="17"/>
        <v>Yes</v>
      </c>
      <c r="H145" s="339" t="str">
        <f t="shared" si="18"/>
        <v>Yes</v>
      </c>
      <c r="I145" s="435">
        <f>SUMIF('Diags Raw Data'!$A$6:$A$3830,"*"&amp;$A145&amp;"*",'Diags Raw Data'!$K$6:$K$3830)</f>
        <v>0</v>
      </c>
      <c r="J145" s="437">
        <f>SUMIF('Diags Raw Data'!$A$6:$A$3830,"*"&amp;$A145&amp;"*",'Diags Raw Data'!$L$6:$L$3830)</f>
        <v>0</v>
      </c>
      <c r="K145" s="484" cm="1">
        <f t="array" ref="K145">IF(D145="",0, SUMPRODUCT(--(ISNUMBER(SEARCH($A145,'Diags Raw Data'!$A$6:$A$3830))),'Diags Raw Data'!$L$6:$L$3830,'Diags Raw Data'!$N$6:$N$3830)/J145)</f>
        <v>0</v>
      </c>
      <c r="L145" s="485" cm="1">
        <f t="array" ref="L145">IF(D145="",0, SUMPRODUCT(--(ISNUMBER(SEARCH($A145,'Diags Raw Data'!$A$6:$A$3830))),'Diags Raw Data'!$L$6:$L$3830,'Diags Raw Data'!$P$6:$P$3830)/J145)</f>
        <v>0</v>
      </c>
      <c r="M145" s="486" cm="1">
        <f t="array" ref="M145">SUMPRODUCT(--(ISNUMBER(SEARCH($A145,'Diags Raw Data'!$A$6:$A$3830))),--('Diags Raw Data'!$Q$6:$Q$3830&lt;&gt;"N/A"),'Diags Raw Data'!$R$6:$R$3830)</f>
        <v>0</v>
      </c>
      <c r="N145" s="487" cm="1">
        <f t="array" ref="N145">SUMPRODUCT(--(ISNUMBER(SEARCH($A145,'Diags Raw Data'!$A$6:$A$3830))),--('Diags Raw Data'!$Q$6:$Q$3830&lt;&gt;"N/A"),'Diags Raw Data'!$T$6:$T$3830)+SUMPRODUCT(--(ISNUMBER(SEARCH($A145,'Diags Raw Data'!$A$6:$A$3830))),--('Diags Raw Data'!$Q$6:$Q$3830&lt;&gt;"N/A"),'Diags Raw Data'!$U$6:$U$3830)</f>
        <v>0</v>
      </c>
      <c r="O145" s="488">
        <f t="shared" si="19"/>
        <v>0</v>
      </c>
      <c r="P145" s="489">
        <f>SUMIF('Diags Raw Data'!$A$6:$A$3830,"*"&amp;$A145&amp;"*",'Diags Raw Data'!$Z$6:$Z$3830)</f>
        <v>0</v>
      </c>
      <c r="Q145" s="490">
        <f>SUM(SUMIF('Diags Raw Data'!$A$6:$A$3830,"*"&amp;$A145&amp;"*",'Diags Raw Data'!$AA$6:$AA$3830),SUMIF('Diags Raw Data'!$A$6:$A$3830,"*"&amp;$A145&amp;"*",'Diags Raw Data'!$AB$6:$AB$3830))</f>
        <v>0</v>
      </c>
      <c r="R145" s="491">
        <f t="shared" si="20"/>
        <v>0</v>
      </c>
      <c r="S145" s="491">
        <f t="shared" si="21"/>
        <v>0</v>
      </c>
      <c r="T145" s="492">
        <f t="shared" si="22"/>
        <v>0</v>
      </c>
      <c r="U145" s="432" t="e">
        <f>VLOOKUP(A145,'Diags Raw Data'!$A$6:$AH$3830,33,FALSE)</f>
        <v>#N/A</v>
      </c>
      <c r="V145" s="181"/>
    </row>
    <row r="146" spans="1:22" ht="210.75" thickBot="1" x14ac:dyDescent="0.3">
      <c r="A146" s="546">
        <v>12.3</v>
      </c>
      <c r="B146" s="434" t="str">
        <f>VLOOKUP(A146,'Feature Raw Data'!$A$3:$B$3922,2,FALSE)</f>
        <v>[Navi4x] SDMA ucode caching</v>
      </c>
      <c r="C146" s="435" t="str">
        <f>VLOOKUP(A146,'Feature Raw Data'!$A$3:$C$3922,3,FALSE)</f>
        <v>P2</v>
      </c>
      <c r="D146" s="436" t="str" cm="1">
        <f t="array" ref="D146">_xlfn.TEXTJOIN("",TRUE,IF(ISNUMBER(SEARCH($A146,'Diags Raw Data'!$A$6:$A$3830)),CONCATENATE('Diags Raw Data'!$H$6:$H$3830,", "),""))</f>
        <v xml:space="preserve">placeholder_s.1, placeholder_h.1, gfx.ieee_min_max, glxi29.8, gfx.cmm_sax_utcl0_invalidation_monolithic/utcl0_enable, std1.6.1-2,gci30_3.1-2, placeholder_t.1-2, gci28.3, std1.6, glxi86.1-2, std1.6, rlc1.0, std1.1, rlc1.0, gfx.inst_perf/global_load_tr.1-2, shci2039.4,shci2039.5, gfx.inst_perf/v_dual_mov_b32, std1.6,std2.6,std3.6,std4.6, N/A, N/A, N/A, N/A, N/A, N/A, N/A, N/A, N/A, N/A, N/A, N/A, N/A, N/A, N/A, N/A, N/A, N/A, N/A, N/A, N/A, N/A, </v>
      </c>
      <c r="E146" s="339" t="e">
        <f>VLOOKUP(A146,'Diags Raw Data'!$A$6:$D$3830,4,FALSE)</f>
        <v>#N/A</v>
      </c>
      <c r="F146" s="339" t="str">
        <f>VLOOKUP(A146,'Feature Raw Data'!$A$3:$E$3922,5,FALSE)</f>
        <v>New</v>
      </c>
      <c r="G146" s="339" t="str">
        <f t="shared" si="17"/>
        <v>Yes</v>
      </c>
      <c r="H146" s="339" t="str">
        <f t="shared" si="18"/>
        <v>Yes</v>
      </c>
      <c r="I146" s="435">
        <f>SUMIF('Diags Raw Data'!$A$6:$A$3830,"*"&amp;$A146&amp;"*",'Diags Raw Data'!$K$6:$K$3830)</f>
        <v>0</v>
      </c>
      <c r="J146" s="437">
        <f>SUMIF('Diags Raw Data'!$A$6:$A$3830,"*"&amp;$A146&amp;"*",'Diags Raw Data'!$L$6:$L$3830)</f>
        <v>0</v>
      </c>
      <c r="K146" s="484" t="e" cm="1">
        <f t="array" ref="K146">IF(D146="",0, SUMPRODUCT(--(ISNUMBER(SEARCH($A146,'Diags Raw Data'!$A$6:$A$3830))),'Diags Raw Data'!$L$6:$L$3830,'Diags Raw Data'!$N$6:$N$3830)/J146)</f>
        <v>#DIV/0!</v>
      </c>
      <c r="L146" s="485" t="e" cm="1">
        <f t="array" ref="L146">IF(D146="",0, SUMPRODUCT(--(ISNUMBER(SEARCH($A146,'Diags Raw Data'!$A$6:$A$3830))),'Diags Raw Data'!$L$6:$L$3830,'Diags Raw Data'!$P$6:$P$3830)/J146)</f>
        <v>#DIV/0!</v>
      </c>
      <c r="M146" s="486" cm="1">
        <f t="array" ref="M146">SUMPRODUCT(--(ISNUMBER(SEARCH($A146,'Diags Raw Data'!$A$6:$A$3830))),--('Diags Raw Data'!$Q$6:$Q$3830&lt;&gt;"N/A"),'Diags Raw Data'!$R$6:$R$3830)</f>
        <v>26</v>
      </c>
      <c r="N146" s="487" cm="1">
        <f t="array" ref="N146">SUMPRODUCT(--(ISNUMBER(SEARCH($A146,'Diags Raw Data'!$A$6:$A$3830))),--('Diags Raw Data'!$Q$6:$Q$3830&lt;&gt;"N/A"),'Diags Raw Data'!$T$6:$T$3830)+SUMPRODUCT(--(ISNUMBER(SEARCH($A146,'Diags Raw Data'!$A$6:$A$3830))),--('Diags Raw Data'!$Q$6:$Q$3830&lt;&gt;"N/A"),'Diags Raw Data'!$U$6:$U$3830)</f>
        <v>17</v>
      </c>
      <c r="O146" s="488">
        <f t="shared" si="19"/>
        <v>0.65384615384615385</v>
      </c>
      <c r="P146" s="489">
        <f>SUMIF('Diags Raw Data'!$A$6:$A$3830,"*"&amp;$A146&amp;"*",'Diags Raw Data'!$Z$6:$Z$3830)</f>
        <v>0</v>
      </c>
      <c r="Q146" s="490">
        <f>SUM(SUMIF('Diags Raw Data'!$A$6:$A$3830,"*"&amp;$A146&amp;"*",'Diags Raw Data'!$AA$6:$AA$3830),SUMIF('Diags Raw Data'!$A$6:$A$3830,"*"&amp;$A146&amp;"*",'Diags Raw Data'!$AB$6:$AB$3830))</f>
        <v>0</v>
      </c>
      <c r="R146" s="491">
        <f t="shared" si="20"/>
        <v>0</v>
      </c>
      <c r="S146" s="491">
        <f t="shared" si="21"/>
        <v>0</v>
      </c>
      <c r="T146" s="492">
        <f t="shared" si="22"/>
        <v>0</v>
      </c>
      <c r="U146" s="432" t="e">
        <f>VLOOKUP(A146,'Diags Raw Data'!$A$6:$AH$3830,33,FALSE)</f>
        <v>#N/A</v>
      </c>
      <c r="V146" s="181"/>
    </row>
    <row r="147" spans="1:22" ht="45.75" thickBot="1" x14ac:dyDescent="0.3">
      <c r="A147" s="546">
        <v>12.301</v>
      </c>
      <c r="B147" s="434" t="str">
        <f>VLOOKUP(A147,'Feature Raw Data'!$A$3:$B$3922,2,FALSE)</f>
        <v>[Navi4x] CP ucode firmware execution speed-up via cache priming</v>
      </c>
      <c r="C147" s="435" t="str">
        <f>VLOOKUP(A147,'Feature Raw Data'!$A$3:$C$3922,3,FALSE)</f>
        <v>P2</v>
      </c>
      <c r="D147" s="436" t="str" cm="1">
        <f t="array" ref="D147">_xlfn.TEXTJOIN("",TRUE,IF(ISNUMBER(SEARCH($A147,'Diags Raw Data'!$A$6:$A$3830)),CONCATENATE('Diags Raw Data'!$H$6:$H$3830,", "),""))</f>
        <v xml:space="preserve">placeholder_s.1, </v>
      </c>
      <c r="E147" s="339" t="str">
        <f>VLOOKUP(A147,'Diags Raw Data'!$A$6:$D$3830,4,FALSE)</f>
        <v>CTL</v>
      </c>
      <c r="F147" s="339" t="str">
        <f>VLOOKUP(A147,'Feature Raw Data'!$A$3:$E$3922,5,FALSE)</f>
        <v>New</v>
      </c>
      <c r="G147" s="339" t="str">
        <f t="shared" si="17"/>
        <v>Yes</v>
      </c>
      <c r="H147" s="339" t="str">
        <f t="shared" si="18"/>
        <v>Yes</v>
      </c>
      <c r="I147" s="435">
        <f>SUMIF('Diags Raw Data'!$A$6:$A$3830,"*"&amp;$A147&amp;"*",'Diags Raw Data'!$K$6:$K$3830)</f>
        <v>0</v>
      </c>
      <c r="J147" s="437">
        <f>SUMIF('Diags Raw Data'!$A$6:$A$3830,"*"&amp;$A147&amp;"*",'Diags Raw Data'!$L$6:$L$3830)</f>
        <v>0</v>
      </c>
      <c r="K147" s="484" t="e" cm="1">
        <f t="array" ref="K147">IF(D147="",0, SUMPRODUCT(--(ISNUMBER(SEARCH($A147,'Diags Raw Data'!$A$6:$A$3830))),'Diags Raw Data'!$L$6:$L$3830,'Diags Raw Data'!$N$6:$N$3830)/J147)</f>
        <v>#DIV/0!</v>
      </c>
      <c r="L147" s="485" t="e" cm="1">
        <f t="array" ref="L147">IF(D147="",0, SUMPRODUCT(--(ISNUMBER(SEARCH($A147,'Diags Raw Data'!$A$6:$A$3830))),'Diags Raw Data'!$L$6:$L$3830,'Diags Raw Data'!$P$6:$P$3830)/J147)</f>
        <v>#DIV/0!</v>
      </c>
      <c r="M147" s="486" cm="1">
        <f t="array" ref="M147">SUMPRODUCT(--(ISNUMBER(SEARCH($A147,'Diags Raw Data'!$A$6:$A$3830))),--('Diags Raw Data'!$Q$6:$Q$3830&lt;&gt;"N/A"),'Diags Raw Data'!$R$6:$R$3830)</f>
        <v>1</v>
      </c>
      <c r="N147" s="487" cm="1">
        <f t="array" ref="N147">SUMPRODUCT(--(ISNUMBER(SEARCH($A147,'Diags Raw Data'!$A$6:$A$3830))),--('Diags Raw Data'!$Q$6:$Q$3830&lt;&gt;"N/A"),'Diags Raw Data'!$T$6:$T$3830)+SUMPRODUCT(--(ISNUMBER(SEARCH($A147,'Diags Raw Data'!$A$6:$A$3830))),--('Diags Raw Data'!$Q$6:$Q$3830&lt;&gt;"N/A"),'Diags Raw Data'!$U$6:$U$3830)</f>
        <v>0</v>
      </c>
      <c r="O147" s="488">
        <f t="shared" si="19"/>
        <v>0</v>
      </c>
      <c r="P147" s="489">
        <f>SUMIF('Diags Raw Data'!$A$6:$A$3830,"*"&amp;$A147&amp;"*",'Diags Raw Data'!$Z$6:$Z$3830)</f>
        <v>0</v>
      </c>
      <c r="Q147" s="490">
        <f>SUM(SUMIF('Diags Raw Data'!$A$6:$A$3830,"*"&amp;$A147&amp;"*",'Diags Raw Data'!$AA$6:$AA$3830),SUMIF('Diags Raw Data'!$A$6:$A$3830,"*"&amp;$A147&amp;"*",'Diags Raw Data'!$AB$6:$AB$3830))</f>
        <v>0</v>
      </c>
      <c r="R147" s="491">
        <f t="shared" si="20"/>
        <v>0</v>
      </c>
      <c r="S147" s="491">
        <f t="shared" si="21"/>
        <v>0</v>
      </c>
      <c r="T147" s="492">
        <f t="shared" si="22"/>
        <v>0</v>
      </c>
      <c r="U147" s="432" t="str">
        <f>VLOOKUP(A147,'Diags Raw Data'!$A$6:$AH$3830,33,FALSE)</f>
        <v>WK7</v>
      </c>
      <c r="V147" s="181"/>
    </row>
    <row r="148" spans="1:22" ht="60.75" thickBot="1" x14ac:dyDescent="0.3">
      <c r="A148" s="546">
        <v>12.302</v>
      </c>
      <c r="B148" s="434" t="str">
        <f>VLOOKUP(A148,'Feature Raw Data'!$A$3:$B$3922,2,FALSE)</f>
        <v>[Navi4x] Remove SDMA load/run commands or disallow DRAM access allowed for load/run commands</v>
      </c>
      <c r="C148" s="435" t="str">
        <f>VLOOKUP(A148,'Feature Raw Data'!$A$3:$C$3922,3,FALSE)</f>
        <v>P2</v>
      </c>
      <c r="D148" s="436" t="str" cm="1">
        <f t="array" ref="D148">_xlfn.TEXTJOIN("",TRUE,IF(ISNUMBER(SEARCH($A148,'Diags Raw Data'!$A$6:$A$3830)),CONCATENATE('Diags Raw Data'!$H$6:$H$3830,", "),""))</f>
        <v xml:space="preserve">N/A, </v>
      </c>
      <c r="E148" s="339" t="str">
        <f>VLOOKUP(A148,'Diags Raw Data'!$A$6:$D$3830,4,FALSE)</f>
        <v>CTL</v>
      </c>
      <c r="F148" s="339" t="str">
        <f>VLOOKUP(A148,'Feature Raw Data'!$A$3:$E$3922,5,FALSE)</f>
        <v>New</v>
      </c>
      <c r="G148" s="339" t="str">
        <f t="shared" si="17"/>
        <v>No</v>
      </c>
      <c r="H148" s="339" t="str">
        <f t="shared" si="18"/>
        <v>No</v>
      </c>
      <c r="I148" s="435">
        <f>SUMIF('Diags Raw Data'!$A$6:$A$3830,"*"&amp;$A148&amp;"*",'Diags Raw Data'!$K$6:$K$3830)</f>
        <v>0</v>
      </c>
      <c r="J148" s="437">
        <f>SUMIF('Diags Raw Data'!$A$6:$A$3830,"*"&amp;$A148&amp;"*",'Diags Raw Data'!$L$6:$L$3830)</f>
        <v>0</v>
      </c>
      <c r="K148" s="484" t="e" cm="1">
        <f t="array" ref="K148">IF(D148="",0, SUMPRODUCT(--(ISNUMBER(SEARCH($A148,'Diags Raw Data'!$A$6:$A$3830))),'Diags Raw Data'!$L$6:$L$3830,'Diags Raw Data'!$N$6:$N$3830)/J148)</f>
        <v>#DIV/0!</v>
      </c>
      <c r="L148" s="485" t="e" cm="1">
        <f t="array" ref="L148">IF(D148="",0, SUMPRODUCT(--(ISNUMBER(SEARCH($A148,'Diags Raw Data'!$A$6:$A$3830))),'Diags Raw Data'!$L$6:$L$3830,'Diags Raw Data'!$P$6:$P$3830)/J148)</f>
        <v>#DIV/0!</v>
      </c>
      <c r="M148" s="486" cm="1">
        <f t="array" ref="M148">SUMPRODUCT(--(ISNUMBER(SEARCH($A148,'Diags Raw Data'!$A$6:$A$3830))),--('Diags Raw Data'!$Q$6:$Q$3830&lt;&gt;"N/A"),'Diags Raw Data'!$R$6:$R$3830)</f>
        <v>0</v>
      </c>
      <c r="N148" s="487" cm="1">
        <f t="array" ref="N148">SUMPRODUCT(--(ISNUMBER(SEARCH($A148,'Diags Raw Data'!$A$6:$A$3830))),--('Diags Raw Data'!$Q$6:$Q$3830&lt;&gt;"N/A"),'Diags Raw Data'!$T$6:$T$3830)+SUMPRODUCT(--(ISNUMBER(SEARCH($A148,'Diags Raw Data'!$A$6:$A$3830))),--('Diags Raw Data'!$Q$6:$Q$3830&lt;&gt;"N/A"),'Diags Raw Data'!$U$6:$U$3830)</f>
        <v>0</v>
      </c>
      <c r="O148" s="488">
        <f t="shared" si="19"/>
        <v>0</v>
      </c>
      <c r="P148" s="489">
        <f>SUMIF('Diags Raw Data'!$A$6:$A$3830,"*"&amp;$A148&amp;"*",'Diags Raw Data'!$Z$6:$Z$3830)</f>
        <v>0</v>
      </c>
      <c r="Q148" s="490">
        <f>SUM(SUMIF('Diags Raw Data'!$A$6:$A$3830,"*"&amp;$A148&amp;"*",'Diags Raw Data'!$AA$6:$AA$3830),SUMIF('Diags Raw Data'!$A$6:$A$3830,"*"&amp;$A148&amp;"*",'Diags Raw Data'!$AB$6:$AB$3830))</f>
        <v>0</v>
      </c>
      <c r="R148" s="491">
        <f t="shared" si="20"/>
        <v>0</v>
      </c>
      <c r="S148" s="491">
        <f t="shared" si="21"/>
        <v>0</v>
      </c>
      <c r="T148" s="492">
        <f t="shared" si="22"/>
        <v>0</v>
      </c>
      <c r="U148" s="432" t="str">
        <f>VLOOKUP(A148,'Diags Raw Data'!$A$6:$AH$3830,33,FALSE)</f>
        <v>N/A</v>
      </c>
      <c r="V148" s="552" t="s">
        <v>366</v>
      </c>
    </row>
    <row r="149" spans="1:22" ht="15.75" thickBot="1" x14ac:dyDescent="0.3">
      <c r="A149" s="546">
        <v>12.308</v>
      </c>
      <c r="B149" s="434" t="str">
        <f>VLOOKUP(A149,'Feature Raw Data'!$A$3:$B$3922,2,FALSE)</f>
        <v>RS64 Debug Enablement</v>
      </c>
      <c r="C149" s="435" t="str">
        <f>VLOOKUP(A149,'Feature Raw Data'!$A$3:$C$3922,3,FALSE)</f>
        <v>P1</v>
      </c>
      <c r="D149" s="436" t="str" cm="1">
        <f t="array" ref="D149">_xlfn.TEXTJOIN("",TRUE,IF(ISNUMBER(SEARCH($A149,'Diags Raw Data'!$A$6:$A$3830)),CONCATENATE('Diags Raw Data'!$H$6:$H$3830,", "),""))</f>
        <v xml:space="preserve">N/A, </v>
      </c>
      <c r="E149" s="339" t="str">
        <f>VLOOKUP(A149,'Diags Raw Data'!$A$6:$D$3830,4,FALSE)</f>
        <v>CTL</v>
      </c>
      <c r="F149" s="339" t="str">
        <f>VLOOKUP(A149,'Feature Raw Data'!$A$3:$E$3922,5,FALSE)</f>
        <v>New</v>
      </c>
      <c r="G149" s="339" t="str">
        <f t="shared" si="17"/>
        <v>No</v>
      </c>
      <c r="H149" s="339" t="str">
        <f t="shared" si="18"/>
        <v>No</v>
      </c>
      <c r="I149" s="435">
        <f>SUMIF('Diags Raw Data'!$A$6:$A$3830,"*"&amp;$A149&amp;"*",'Diags Raw Data'!$K$6:$K$3830)</f>
        <v>0</v>
      </c>
      <c r="J149" s="437">
        <f>SUMIF('Diags Raw Data'!$A$6:$A$3830,"*"&amp;$A149&amp;"*",'Diags Raw Data'!$L$6:$L$3830)</f>
        <v>0</v>
      </c>
      <c r="K149" s="484" t="e" cm="1">
        <f t="array" ref="K149">IF(D149="",0, SUMPRODUCT(--(ISNUMBER(SEARCH($A149,'Diags Raw Data'!$A$6:$A$3830))),'Diags Raw Data'!$L$6:$L$3830,'Diags Raw Data'!$N$6:$N$3830)/J149)</f>
        <v>#DIV/0!</v>
      </c>
      <c r="L149" s="485" t="e" cm="1">
        <f t="array" ref="L149">IF(D149="",0, SUMPRODUCT(--(ISNUMBER(SEARCH($A149,'Diags Raw Data'!$A$6:$A$3830))),'Diags Raw Data'!$L$6:$L$3830,'Diags Raw Data'!$P$6:$P$3830)/J149)</f>
        <v>#DIV/0!</v>
      </c>
      <c r="M149" s="486" cm="1">
        <f t="array" ref="M149">SUMPRODUCT(--(ISNUMBER(SEARCH($A149,'Diags Raw Data'!$A$6:$A$3830))),--('Diags Raw Data'!$Q$6:$Q$3830&lt;&gt;"N/A"),'Diags Raw Data'!$R$6:$R$3830)</f>
        <v>0</v>
      </c>
      <c r="N149" s="487" cm="1">
        <f t="array" ref="N149">SUMPRODUCT(--(ISNUMBER(SEARCH($A149,'Diags Raw Data'!$A$6:$A$3830))),--('Diags Raw Data'!$Q$6:$Q$3830&lt;&gt;"N/A"),'Diags Raw Data'!$T$6:$T$3830)+SUMPRODUCT(--(ISNUMBER(SEARCH($A149,'Diags Raw Data'!$A$6:$A$3830))),--('Diags Raw Data'!$Q$6:$Q$3830&lt;&gt;"N/A"),'Diags Raw Data'!$U$6:$U$3830)</f>
        <v>0</v>
      </c>
      <c r="O149" s="488">
        <f t="shared" si="19"/>
        <v>0</v>
      </c>
      <c r="P149" s="489">
        <f>SUMIF('Diags Raw Data'!$A$6:$A$3830,"*"&amp;$A149&amp;"*",'Diags Raw Data'!$Z$6:$Z$3830)</f>
        <v>0</v>
      </c>
      <c r="Q149" s="490">
        <f>SUM(SUMIF('Diags Raw Data'!$A$6:$A$3830,"*"&amp;$A149&amp;"*",'Diags Raw Data'!$AA$6:$AA$3830),SUMIF('Diags Raw Data'!$A$6:$A$3830,"*"&amp;$A149&amp;"*",'Diags Raw Data'!$AB$6:$AB$3830))</f>
        <v>0</v>
      </c>
      <c r="R149" s="491">
        <f t="shared" si="20"/>
        <v>0</v>
      </c>
      <c r="S149" s="491">
        <f t="shared" si="21"/>
        <v>0</v>
      </c>
      <c r="T149" s="492">
        <f t="shared" si="22"/>
        <v>0</v>
      </c>
      <c r="U149" s="432" t="str">
        <f>VLOOKUP(A149,'Diags Raw Data'!$A$6:$AH$3830,33,FALSE)</f>
        <v>N/A</v>
      </c>
      <c r="V149" s="181"/>
    </row>
    <row r="150" spans="1:22" ht="45.75" thickBot="1" x14ac:dyDescent="0.3">
      <c r="A150" s="546">
        <v>12.31</v>
      </c>
      <c r="B150" s="434" t="str">
        <f>VLOOKUP(A150,'Feature Raw Data'!$A$3:$B$3922,2,FALSE)</f>
        <v>SED client to 256B reads</v>
      </c>
      <c r="C150" s="435" t="str">
        <f>VLOOKUP(A150,'Feature Raw Data'!$A$3:$C$3922,3,FALSE)</f>
        <v>P1</v>
      </c>
      <c r="D150" s="436" t="str" cm="1">
        <f t="array" ref="D150">_xlfn.TEXTJOIN("",TRUE,IF(ISNUMBER(SEARCH($A150,'Diags Raw Data'!$A$6:$A$3830)),CONCATENATE('Diags Raw Data'!$H$6:$H$3830,", "),""))</f>
        <v xml:space="preserve">placeholder_h.1, gfx.ieee_min_max, glxi29.8, N/A, N/A, </v>
      </c>
      <c r="E150" s="339" t="str">
        <f>VLOOKUP(A150,'Diags Raw Data'!$A$6:$D$3830,4,FALSE)</f>
        <v>CMM</v>
      </c>
      <c r="F150" s="339" t="str">
        <f>VLOOKUP(A150,'Feature Raw Data'!$A$3:$E$3922,5,FALSE)</f>
        <v>New</v>
      </c>
      <c r="G150" s="339" t="str">
        <f t="shared" si="17"/>
        <v>Yes</v>
      </c>
      <c r="H150" s="339" t="str">
        <f t="shared" si="18"/>
        <v>Yes</v>
      </c>
      <c r="I150" s="435">
        <f>SUMIF('Diags Raw Data'!$A$6:$A$3830,"*"&amp;$A150&amp;"*",'Diags Raw Data'!$K$6:$K$3830)</f>
        <v>0</v>
      </c>
      <c r="J150" s="437">
        <f>SUMIF('Diags Raw Data'!$A$6:$A$3830,"*"&amp;$A150&amp;"*",'Diags Raw Data'!$L$6:$L$3830)</f>
        <v>0</v>
      </c>
      <c r="K150" s="484" t="e" cm="1">
        <f t="array" ref="K150">IF(D150="",0, SUMPRODUCT(--(ISNUMBER(SEARCH($A150,'Diags Raw Data'!$A$6:$A$3830))),'Diags Raw Data'!$L$6:$L$3830,'Diags Raw Data'!$N$6:$N$3830)/J150)</f>
        <v>#DIV/0!</v>
      </c>
      <c r="L150" s="485" t="e" cm="1">
        <f t="array" ref="L150">IF(D150="",0, SUMPRODUCT(--(ISNUMBER(SEARCH($A150,'Diags Raw Data'!$A$6:$A$3830))),'Diags Raw Data'!$L$6:$L$3830,'Diags Raw Data'!$P$6:$P$3830)/J150)</f>
        <v>#DIV/0!</v>
      </c>
      <c r="M150" s="486" cm="1">
        <f t="array" ref="M150">SUMPRODUCT(--(ISNUMBER(SEARCH($A150,'Diags Raw Data'!$A$6:$A$3830))),--('Diags Raw Data'!$Q$6:$Q$3830&lt;&gt;"N/A"),'Diags Raw Data'!$R$6:$R$3830)</f>
        <v>3</v>
      </c>
      <c r="N150" s="487" cm="1">
        <f t="array" ref="N150">SUMPRODUCT(--(ISNUMBER(SEARCH($A150,'Diags Raw Data'!$A$6:$A$3830))),--('Diags Raw Data'!$Q$6:$Q$3830&lt;&gt;"N/A"),'Diags Raw Data'!$T$6:$T$3830)+SUMPRODUCT(--(ISNUMBER(SEARCH($A150,'Diags Raw Data'!$A$6:$A$3830))),--('Diags Raw Data'!$Q$6:$Q$3830&lt;&gt;"N/A"),'Diags Raw Data'!$U$6:$U$3830)</f>
        <v>2</v>
      </c>
      <c r="O150" s="488">
        <f t="shared" si="19"/>
        <v>0.66666666666666663</v>
      </c>
      <c r="P150" s="489">
        <f>SUMIF('Diags Raw Data'!$A$6:$A$3830,"*"&amp;$A150&amp;"*",'Diags Raw Data'!$Z$6:$Z$3830)</f>
        <v>0</v>
      </c>
      <c r="Q150" s="490">
        <f>SUM(SUMIF('Diags Raw Data'!$A$6:$A$3830,"*"&amp;$A150&amp;"*",'Diags Raw Data'!$AA$6:$AA$3830),SUMIF('Diags Raw Data'!$A$6:$A$3830,"*"&amp;$A150&amp;"*",'Diags Raw Data'!$AB$6:$AB$3830))</f>
        <v>0</v>
      </c>
      <c r="R150" s="491">
        <f t="shared" si="20"/>
        <v>0</v>
      </c>
      <c r="S150" s="491">
        <f t="shared" si="21"/>
        <v>0</v>
      </c>
      <c r="T150" s="492">
        <f t="shared" si="22"/>
        <v>0</v>
      </c>
      <c r="U150" s="432" t="str">
        <f>VLOOKUP(A150,'Diags Raw Data'!$A$6:$AH$3830,33,FALSE)</f>
        <v>WK2</v>
      </c>
      <c r="V150" s="181"/>
    </row>
    <row r="151" spans="1:22" ht="30.75" thickBot="1" x14ac:dyDescent="0.3">
      <c r="A151" s="546">
        <v>12.311</v>
      </c>
      <c r="B151" s="434" t="str">
        <f>VLOOKUP(A151,'Feature Raw Data'!$A$3:$B$3922,2,FALSE)</f>
        <v>Shader VALU min/max IEEE compliant</v>
      </c>
      <c r="C151" s="435" t="str">
        <f>VLOOKUP(A151,'Feature Raw Data'!$A$3:$C$3922,3,FALSE)</f>
        <v>P1</v>
      </c>
      <c r="D151" s="436" t="str" cm="1">
        <f t="array" ref="D151">_xlfn.TEXTJOIN("",TRUE,IF(ISNUMBER(SEARCH($A151,'Diags Raw Data'!$A$6:$A$3830)),CONCATENATE('Diags Raw Data'!$H$6:$H$3830,", "),""))</f>
        <v xml:space="preserve">gfx.ieee_min_max, </v>
      </c>
      <c r="E151" s="339" t="str">
        <f>VLOOKUP(A151,'Diags Raw Data'!$A$6:$D$3830,4,FALSE)</f>
        <v>SH</v>
      </c>
      <c r="F151" s="339" t="str">
        <f>VLOOKUP(A151,'Feature Raw Data'!$A$3:$E$3922,5,FALSE)</f>
        <v>New</v>
      </c>
      <c r="G151" s="339" t="str">
        <f t="shared" si="17"/>
        <v>Yes</v>
      </c>
      <c r="H151" s="339" t="str">
        <f t="shared" si="18"/>
        <v>Yes</v>
      </c>
      <c r="I151" s="435">
        <f>SUMIF('Diags Raw Data'!$A$6:$A$3830,"*"&amp;$A151&amp;"*",'Diags Raw Data'!$K$6:$K$3830)</f>
        <v>0</v>
      </c>
      <c r="J151" s="437">
        <f>SUMIF('Diags Raw Data'!$A$6:$A$3830,"*"&amp;$A151&amp;"*",'Diags Raw Data'!$L$6:$L$3830)</f>
        <v>0</v>
      </c>
      <c r="K151" s="484" t="e" cm="1">
        <f t="array" ref="K151">IF(D151="",0, SUMPRODUCT(--(ISNUMBER(SEARCH($A151,'Diags Raw Data'!$A$6:$A$3830))),'Diags Raw Data'!$L$6:$L$3830,'Diags Raw Data'!$N$6:$N$3830)/J151)</f>
        <v>#DIV/0!</v>
      </c>
      <c r="L151" s="485" t="e" cm="1">
        <f t="array" ref="L151">IF(D151="",0, SUMPRODUCT(--(ISNUMBER(SEARCH($A151,'Diags Raw Data'!$A$6:$A$3830))),'Diags Raw Data'!$L$6:$L$3830,'Diags Raw Data'!$P$6:$P$3830)/J151)</f>
        <v>#DIV/0!</v>
      </c>
      <c r="M151" s="486" cm="1">
        <f t="array" ref="M151">SUMPRODUCT(--(ISNUMBER(SEARCH($A151,'Diags Raw Data'!$A$6:$A$3830))),--('Diags Raw Data'!$Q$6:$Q$3830&lt;&gt;"N/A"),'Diags Raw Data'!$R$6:$R$3830)</f>
        <v>1</v>
      </c>
      <c r="N151" s="487" cm="1">
        <f t="array" ref="N151">SUMPRODUCT(--(ISNUMBER(SEARCH($A151,'Diags Raw Data'!$A$6:$A$3830))),--('Diags Raw Data'!$Q$6:$Q$3830&lt;&gt;"N/A"),'Diags Raw Data'!$T$6:$T$3830)+SUMPRODUCT(--(ISNUMBER(SEARCH($A151,'Diags Raw Data'!$A$6:$A$3830))),--('Diags Raw Data'!$Q$6:$Q$3830&lt;&gt;"N/A"),'Diags Raw Data'!$U$6:$U$3830)</f>
        <v>1</v>
      </c>
      <c r="O151" s="488">
        <f t="shared" si="19"/>
        <v>1</v>
      </c>
      <c r="P151" s="489">
        <f>SUMIF('Diags Raw Data'!$A$6:$A$3830,"*"&amp;$A151&amp;"*",'Diags Raw Data'!$Z$6:$Z$3830)</f>
        <v>0</v>
      </c>
      <c r="Q151" s="490">
        <f>SUM(SUMIF('Diags Raw Data'!$A$6:$A$3830,"*"&amp;$A151&amp;"*",'Diags Raw Data'!$AA$6:$AA$3830),SUMIF('Diags Raw Data'!$A$6:$A$3830,"*"&amp;$A151&amp;"*",'Diags Raw Data'!$AB$6:$AB$3830))</f>
        <v>0</v>
      </c>
      <c r="R151" s="491">
        <f t="shared" si="20"/>
        <v>0</v>
      </c>
      <c r="S151" s="491">
        <f t="shared" si="21"/>
        <v>0</v>
      </c>
      <c r="T151" s="492">
        <f t="shared" si="22"/>
        <v>0</v>
      </c>
      <c r="U151" s="432" t="str">
        <f>VLOOKUP(A151,'Diags Raw Data'!$A$6:$AH$3830,33,FALSE)</f>
        <v>WK1</v>
      </c>
      <c r="V151" s="181"/>
    </row>
    <row r="152" spans="1:22" ht="45.75" thickBot="1" x14ac:dyDescent="0.3">
      <c r="A152" s="546">
        <v>12.311999999999999</v>
      </c>
      <c r="B152" s="434" t="str">
        <f>VLOOKUP(A152,'Feature Raw Data'!$A$3:$B$3922,2,FALSE)</f>
        <v>Convert PAL implementation of streamout to sw solution enables GDS removal</v>
      </c>
      <c r="C152" s="435" t="str">
        <f>VLOOKUP(A152,'Feature Raw Data'!$A$3:$C$3922,3,FALSE)</f>
        <v>P1</v>
      </c>
      <c r="D152" s="436" t="str" cm="1">
        <f t="array" ref="D152">_xlfn.TEXTJOIN("",TRUE,IF(ISNUMBER(SEARCH($A152,'Diags Raw Data'!$A$6:$A$3830)),CONCATENATE('Diags Raw Data'!$H$6:$H$3830,", "),""))</f>
        <v xml:space="preserve">N/A, </v>
      </c>
      <c r="E152" s="339" t="str">
        <f>VLOOKUP(A152,'Diags Raw Data'!$A$6:$D$3830,4,FALSE)</f>
        <v>SIO</v>
      </c>
      <c r="F152" s="339" t="str">
        <f>VLOOKUP(A152,'Feature Raw Data'!$A$3:$E$3922,5,FALSE)</f>
        <v>New</v>
      </c>
      <c r="G152" s="339" t="str">
        <f t="shared" si="17"/>
        <v>No</v>
      </c>
      <c r="H152" s="339" t="str">
        <f t="shared" si="18"/>
        <v>No</v>
      </c>
      <c r="I152" s="435">
        <f>SUMIF('Diags Raw Data'!$A$6:$A$3830,"*"&amp;$A152&amp;"*",'Diags Raw Data'!$K$6:$K$3830)</f>
        <v>0</v>
      </c>
      <c r="J152" s="437">
        <f>SUMIF('Diags Raw Data'!$A$6:$A$3830,"*"&amp;$A152&amp;"*",'Diags Raw Data'!$L$6:$L$3830)</f>
        <v>0</v>
      </c>
      <c r="K152" s="484" t="e" cm="1">
        <f t="array" ref="K152">IF(D152="",0, SUMPRODUCT(--(ISNUMBER(SEARCH($A152,'Diags Raw Data'!$A$6:$A$3830))),'Diags Raw Data'!$L$6:$L$3830,'Diags Raw Data'!$N$6:$N$3830)/J152)</f>
        <v>#DIV/0!</v>
      </c>
      <c r="L152" s="485" t="e" cm="1">
        <f t="array" ref="L152">IF(D152="",0, SUMPRODUCT(--(ISNUMBER(SEARCH($A152,'Diags Raw Data'!$A$6:$A$3830))),'Diags Raw Data'!$L$6:$L$3830,'Diags Raw Data'!$P$6:$P$3830)/J152)</f>
        <v>#DIV/0!</v>
      </c>
      <c r="M152" s="486" cm="1">
        <f t="array" ref="M152">SUMPRODUCT(--(ISNUMBER(SEARCH($A152,'Diags Raw Data'!$A$6:$A$3830))),--('Diags Raw Data'!$Q$6:$Q$3830&lt;&gt;"N/A"),'Diags Raw Data'!$R$6:$R$3830)</f>
        <v>0</v>
      </c>
      <c r="N152" s="487" cm="1">
        <f t="array" ref="N152">SUMPRODUCT(--(ISNUMBER(SEARCH($A152,'Diags Raw Data'!$A$6:$A$3830))),--('Diags Raw Data'!$Q$6:$Q$3830&lt;&gt;"N/A"),'Diags Raw Data'!$T$6:$T$3830)+SUMPRODUCT(--(ISNUMBER(SEARCH($A152,'Diags Raw Data'!$A$6:$A$3830))),--('Diags Raw Data'!$Q$6:$Q$3830&lt;&gt;"N/A"),'Diags Raw Data'!$U$6:$U$3830)</f>
        <v>0</v>
      </c>
      <c r="O152" s="488">
        <f t="shared" si="19"/>
        <v>0</v>
      </c>
      <c r="P152" s="489">
        <f>SUMIF('Diags Raw Data'!$A$6:$A$3830,"*"&amp;$A152&amp;"*",'Diags Raw Data'!$Z$6:$Z$3830)</f>
        <v>0</v>
      </c>
      <c r="Q152" s="490">
        <f>SUM(SUMIF('Diags Raw Data'!$A$6:$A$3830,"*"&amp;$A152&amp;"*",'Diags Raw Data'!$AA$6:$AA$3830),SUMIF('Diags Raw Data'!$A$6:$A$3830,"*"&amp;$A152&amp;"*",'Diags Raw Data'!$AB$6:$AB$3830))</f>
        <v>0</v>
      </c>
      <c r="R152" s="491">
        <f t="shared" si="20"/>
        <v>0</v>
      </c>
      <c r="S152" s="491">
        <f t="shared" si="21"/>
        <v>0</v>
      </c>
      <c r="T152" s="492">
        <f t="shared" si="22"/>
        <v>0</v>
      </c>
      <c r="U152" s="432" t="str">
        <f>VLOOKUP(A152,'Diags Raw Data'!$A$6:$AH$3830,33,FALSE)</f>
        <v>N/A</v>
      </c>
      <c r="V152" s="552" t="s">
        <v>366</v>
      </c>
    </row>
    <row r="153" spans="1:22" ht="75.75" thickBot="1" x14ac:dyDescent="0.3">
      <c r="A153" s="546">
        <v>12.318</v>
      </c>
      <c r="B153" s="434" t="str">
        <f>VLOOKUP(A153,'Feature Raw Data'!$A$3:$B$3922,2,FALSE)</f>
        <v>SED&lt;&gt;AID and AID&lt;&gt;AID interfaces must support arbitrary clk deviation, so protocols like valid-only need to be converted.</v>
      </c>
      <c r="C153" s="435" t="str">
        <f>VLOOKUP(A153,'Feature Raw Data'!$A$3:$C$3922,3,FALSE)</f>
        <v>P1</v>
      </c>
      <c r="D153" s="436" t="str" cm="1">
        <f t="array" ref="D153">_xlfn.TEXTJOIN("",TRUE,IF(ISNUMBER(SEARCH($A153,'Diags Raw Data'!$A$6:$A$3830)),CONCATENATE('Diags Raw Data'!$H$6:$H$3830,", "),""))</f>
        <v xml:space="preserve">N/A, </v>
      </c>
      <c r="E153" s="339" t="str">
        <f>VLOOKUP(A153,'Diags Raw Data'!$A$6:$D$3830,4,FALSE)</f>
        <v>GC</v>
      </c>
      <c r="F153" s="339" t="str">
        <f>VLOOKUP(A153,'Feature Raw Data'!$A$3:$E$3922,5,FALSE)</f>
        <v>New</v>
      </c>
      <c r="G153" s="339" t="str">
        <f t="shared" si="17"/>
        <v>No</v>
      </c>
      <c r="H153" s="339" t="str">
        <f t="shared" si="18"/>
        <v>No</v>
      </c>
      <c r="I153" s="435">
        <f>SUMIF('Diags Raw Data'!$A$6:$A$3830,"*"&amp;$A153&amp;"*",'Diags Raw Data'!$K$6:$K$3830)</f>
        <v>0</v>
      </c>
      <c r="J153" s="437">
        <f>SUMIF('Diags Raw Data'!$A$6:$A$3830,"*"&amp;$A153&amp;"*",'Diags Raw Data'!$L$6:$L$3830)</f>
        <v>0</v>
      </c>
      <c r="K153" s="484" t="e" cm="1">
        <f t="array" ref="K153">IF(D153="",0, SUMPRODUCT(--(ISNUMBER(SEARCH($A153,'Diags Raw Data'!$A$6:$A$3830))),'Diags Raw Data'!$L$6:$L$3830,'Diags Raw Data'!$N$6:$N$3830)/J153)</f>
        <v>#DIV/0!</v>
      </c>
      <c r="L153" s="485" t="e" cm="1">
        <f t="array" ref="L153">IF(D153="",0, SUMPRODUCT(--(ISNUMBER(SEARCH($A153,'Diags Raw Data'!$A$6:$A$3830))),'Diags Raw Data'!$L$6:$L$3830,'Diags Raw Data'!$P$6:$P$3830)/J153)</f>
        <v>#DIV/0!</v>
      </c>
      <c r="M153" s="486" cm="1">
        <f t="array" ref="M153">SUMPRODUCT(--(ISNUMBER(SEARCH($A153,'Diags Raw Data'!$A$6:$A$3830))),--('Diags Raw Data'!$Q$6:$Q$3830&lt;&gt;"N/A"),'Diags Raw Data'!$R$6:$R$3830)</f>
        <v>0</v>
      </c>
      <c r="N153" s="487" cm="1">
        <f t="array" ref="N153">SUMPRODUCT(--(ISNUMBER(SEARCH($A153,'Diags Raw Data'!$A$6:$A$3830))),--('Diags Raw Data'!$Q$6:$Q$3830&lt;&gt;"N/A"),'Diags Raw Data'!$T$6:$T$3830)+SUMPRODUCT(--(ISNUMBER(SEARCH($A153,'Diags Raw Data'!$A$6:$A$3830))),--('Diags Raw Data'!$Q$6:$Q$3830&lt;&gt;"N/A"),'Diags Raw Data'!$U$6:$U$3830)</f>
        <v>0</v>
      </c>
      <c r="O153" s="488">
        <f t="shared" si="19"/>
        <v>0</v>
      </c>
      <c r="P153" s="489">
        <f>SUMIF('Diags Raw Data'!$A$6:$A$3830,"*"&amp;$A153&amp;"*",'Diags Raw Data'!$Z$6:$Z$3830)</f>
        <v>0</v>
      </c>
      <c r="Q153" s="490">
        <f>SUM(SUMIF('Diags Raw Data'!$A$6:$A$3830,"*"&amp;$A153&amp;"*",'Diags Raw Data'!$AA$6:$AA$3830),SUMIF('Diags Raw Data'!$A$6:$A$3830,"*"&amp;$A153&amp;"*",'Diags Raw Data'!$AB$6:$AB$3830))</f>
        <v>0</v>
      </c>
      <c r="R153" s="491">
        <f t="shared" si="20"/>
        <v>0</v>
      </c>
      <c r="S153" s="491">
        <f t="shared" si="21"/>
        <v>0</v>
      </c>
      <c r="T153" s="492">
        <f t="shared" si="22"/>
        <v>0</v>
      </c>
      <c r="U153" s="432" t="str">
        <f>VLOOKUP(A153,'Diags Raw Data'!$A$6:$AH$3830,33,FALSE)</f>
        <v>N/A</v>
      </c>
      <c r="V153" s="181"/>
    </row>
    <row r="154" spans="1:22" ht="30.75" thickBot="1" x14ac:dyDescent="0.3">
      <c r="A154" s="546">
        <v>12.319000000000001</v>
      </c>
      <c r="B154" s="434" t="str">
        <f>VLOOKUP(A154,'Feature Raw Data'!$A$3:$B$3922,2,FALSE)</f>
        <v>GCRD-&gt;GCR response interface to credit/debit</v>
      </c>
      <c r="C154" s="435" t="str">
        <f>VLOOKUP(A154,'Feature Raw Data'!$A$3:$C$3922,3,FALSE)</f>
        <v>P1</v>
      </c>
      <c r="D154" s="436" t="str" cm="1">
        <f t="array" ref="D154">_xlfn.TEXTJOIN("",TRUE,IF(ISNUMBER(SEARCH($A154,'Diags Raw Data'!$A$6:$A$3830)),CONCATENATE('Diags Raw Data'!$H$6:$H$3830,", "),""))</f>
        <v xml:space="preserve">glxi29.8, </v>
      </c>
      <c r="E154" s="339" t="str">
        <f>VLOOKUP(A154,'Diags Raw Data'!$A$6:$D$3830,4,FALSE)</f>
        <v>CMM</v>
      </c>
      <c r="F154" s="339" t="str">
        <f>VLOOKUP(A154,'Feature Raw Data'!$A$3:$E$3922,5,FALSE)</f>
        <v>New</v>
      </c>
      <c r="G154" s="339" t="str">
        <f t="shared" si="17"/>
        <v>Yes</v>
      </c>
      <c r="H154" s="339" t="str">
        <f t="shared" si="18"/>
        <v>Yes</v>
      </c>
      <c r="I154" s="435">
        <f>SUMIF('Diags Raw Data'!$A$6:$A$3830,"*"&amp;$A154&amp;"*",'Diags Raw Data'!$K$6:$K$3830)</f>
        <v>0</v>
      </c>
      <c r="J154" s="437">
        <f>SUMIF('Diags Raw Data'!$A$6:$A$3830,"*"&amp;$A154&amp;"*",'Diags Raw Data'!$L$6:$L$3830)</f>
        <v>0</v>
      </c>
      <c r="K154" s="484" t="e" cm="1">
        <f t="array" ref="K154">IF(D154="",0, SUMPRODUCT(--(ISNUMBER(SEARCH($A154,'Diags Raw Data'!$A$6:$A$3830))),'Diags Raw Data'!$L$6:$L$3830,'Diags Raw Data'!$N$6:$N$3830)/J154)</f>
        <v>#DIV/0!</v>
      </c>
      <c r="L154" s="485" t="e" cm="1">
        <f t="array" ref="L154">IF(D154="",0, SUMPRODUCT(--(ISNUMBER(SEARCH($A154,'Diags Raw Data'!$A$6:$A$3830))),'Diags Raw Data'!$L$6:$L$3830,'Diags Raw Data'!$P$6:$P$3830)/J154)</f>
        <v>#DIV/0!</v>
      </c>
      <c r="M154" s="486" cm="1">
        <f t="array" ref="M154">SUMPRODUCT(--(ISNUMBER(SEARCH($A154,'Diags Raw Data'!$A$6:$A$3830))),--('Diags Raw Data'!$Q$6:$Q$3830&lt;&gt;"N/A"),'Diags Raw Data'!$R$6:$R$3830)</f>
        <v>1</v>
      </c>
      <c r="N154" s="487" cm="1">
        <f t="array" ref="N154">SUMPRODUCT(--(ISNUMBER(SEARCH($A154,'Diags Raw Data'!$A$6:$A$3830))),--('Diags Raw Data'!$Q$6:$Q$3830&lt;&gt;"N/A"),'Diags Raw Data'!$T$6:$T$3830)+SUMPRODUCT(--(ISNUMBER(SEARCH($A154,'Diags Raw Data'!$A$6:$A$3830))),--('Diags Raw Data'!$Q$6:$Q$3830&lt;&gt;"N/A"),'Diags Raw Data'!$U$6:$U$3830)</f>
        <v>0</v>
      </c>
      <c r="O154" s="488">
        <f t="shared" si="19"/>
        <v>0</v>
      </c>
      <c r="P154" s="489">
        <f>SUMIF('Diags Raw Data'!$A$6:$A$3830,"*"&amp;$A154&amp;"*",'Diags Raw Data'!$Z$6:$Z$3830)</f>
        <v>0</v>
      </c>
      <c r="Q154" s="490">
        <f>SUM(SUMIF('Diags Raw Data'!$A$6:$A$3830,"*"&amp;$A154&amp;"*",'Diags Raw Data'!$AA$6:$AA$3830),SUMIF('Diags Raw Data'!$A$6:$A$3830,"*"&amp;$A154&amp;"*",'Diags Raw Data'!$AB$6:$AB$3830))</f>
        <v>0</v>
      </c>
      <c r="R154" s="491">
        <f t="shared" si="20"/>
        <v>0</v>
      </c>
      <c r="S154" s="491">
        <f t="shared" si="21"/>
        <v>0</v>
      </c>
      <c r="T154" s="492">
        <f t="shared" si="22"/>
        <v>0</v>
      </c>
      <c r="U154" s="432" t="str">
        <f>VLOOKUP(A154,'Diags Raw Data'!$A$6:$AH$3830,33,FALSE)</f>
        <v>WK5</v>
      </c>
      <c r="V154" s="181"/>
    </row>
    <row r="155" spans="1:22" ht="45.75" thickBot="1" x14ac:dyDescent="0.3">
      <c r="A155" s="546">
        <v>12.32</v>
      </c>
      <c r="B155" s="434" t="str">
        <f>VLOOKUP(A155,'Feature Raw Data'!$A$3:$B$3922,2,FALSE)</f>
        <v>GCRD_SE SAX client</v>
      </c>
      <c r="C155" s="435" t="str">
        <f>VLOOKUP(A155,'Feature Raw Data'!$A$3:$C$3922,3,FALSE)</f>
        <v>P1</v>
      </c>
      <c r="D155" s="436" t="str" cm="1">
        <f t="array" ref="D155">_xlfn.TEXTJOIN("",TRUE,IF(ISNUMBER(SEARCH($A155,'Diags Raw Data'!$A$6:$A$3830)),CONCATENATE('Diags Raw Data'!$H$6:$H$3830,", "),""))</f>
        <v xml:space="preserve">gfx.cmm_sax_utcl0_invalidation_monolithic/utcl0_enable, N/A, N/A, N/A, N/A, </v>
      </c>
      <c r="E155" s="339" t="str">
        <f>VLOOKUP(A155,'Diags Raw Data'!$A$6:$D$3830,4,FALSE)</f>
        <v>CMM</v>
      </c>
      <c r="F155" s="339" t="str">
        <f>VLOOKUP(A155,'Feature Raw Data'!$A$3:$E$3922,5,FALSE)</f>
        <v>New</v>
      </c>
      <c r="G155" s="339" t="str">
        <f t="shared" si="17"/>
        <v>Yes</v>
      </c>
      <c r="H155" s="339" t="str">
        <f t="shared" si="18"/>
        <v>Yes</v>
      </c>
      <c r="I155" s="435">
        <f>SUMIF('Diags Raw Data'!$A$6:$A$3830,"*"&amp;$A155&amp;"*",'Diags Raw Data'!$K$6:$K$3830)</f>
        <v>0</v>
      </c>
      <c r="J155" s="437">
        <f>SUMIF('Diags Raw Data'!$A$6:$A$3830,"*"&amp;$A155&amp;"*",'Diags Raw Data'!$L$6:$L$3830)</f>
        <v>0</v>
      </c>
      <c r="K155" s="484" t="e" cm="1">
        <f t="array" ref="K155">IF(D155="",0, SUMPRODUCT(--(ISNUMBER(SEARCH($A155,'Diags Raw Data'!$A$6:$A$3830))),'Diags Raw Data'!$L$6:$L$3830,'Diags Raw Data'!$N$6:$N$3830)/J155)</f>
        <v>#DIV/0!</v>
      </c>
      <c r="L155" s="485" t="e" cm="1">
        <f t="array" ref="L155">IF(D155="",0, SUMPRODUCT(--(ISNUMBER(SEARCH($A155,'Diags Raw Data'!$A$6:$A$3830))),'Diags Raw Data'!$L$6:$L$3830,'Diags Raw Data'!$P$6:$P$3830)/J155)</f>
        <v>#DIV/0!</v>
      </c>
      <c r="M155" s="486" cm="1">
        <f t="array" ref="M155">SUMPRODUCT(--(ISNUMBER(SEARCH($A155,'Diags Raw Data'!$A$6:$A$3830))),--('Diags Raw Data'!$Q$6:$Q$3830&lt;&gt;"N/A"),'Diags Raw Data'!$R$6:$R$3830)</f>
        <v>1</v>
      </c>
      <c r="N155" s="487" cm="1">
        <f t="array" ref="N155">SUMPRODUCT(--(ISNUMBER(SEARCH($A155,'Diags Raw Data'!$A$6:$A$3830))),--('Diags Raw Data'!$Q$6:$Q$3830&lt;&gt;"N/A"),'Diags Raw Data'!$T$6:$T$3830)+SUMPRODUCT(--(ISNUMBER(SEARCH($A155,'Diags Raw Data'!$A$6:$A$3830))),--('Diags Raw Data'!$Q$6:$Q$3830&lt;&gt;"N/A"),'Diags Raw Data'!$U$6:$U$3830)</f>
        <v>0</v>
      </c>
      <c r="O155" s="488">
        <f t="shared" si="19"/>
        <v>0</v>
      </c>
      <c r="P155" s="489">
        <f>SUMIF('Diags Raw Data'!$A$6:$A$3830,"*"&amp;$A155&amp;"*",'Diags Raw Data'!$Z$6:$Z$3830)</f>
        <v>0</v>
      </c>
      <c r="Q155" s="490">
        <f>SUM(SUMIF('Diags Raw Data'!$A$6:$A$3830,"*"&amp;$A155&amp;"*",'Diags Raw Data'!$AA$6:$AA$3830),SUMIF('Diags Raw Data'!$A$6:$A$3830,"*"&amp;$A155&amp;"*",'Diags Raw Data'!$AB$6:$AB$3830))</f>
        <v>0</v>
      </c>
      <c r="R155" s="491">
        <f t="shared" si="20"/>
        <v>0</v>
      </c>
      <c r="S155" s="491">
        <f t="shared" si="21"/>
        <v>0</v>
      </c>
      <c r="T155" s="492">
        <f t="shared" si="22"/>
        <v>0</v>
      </c>
      <c r="U155" s="432" t="str">
        <f>VLOOKUP(A155,'Diags Raw Data'!$A$6:$AH$3830,33,FALSE)</f>
        <v>WK6</v>
      </c>
      <c r="V155" s="181"/>
    </row>
    <row r="156" spans="1:22" ht="30.75" thickBot="1" x14ac:dyDescent="0.3">
      <c r="A156" s="546">
        <v>12.321</v>
      </c>
      <c r="B156" s="434" t="str">
        <f>VLOOKUP(A156,'Feature Raw Data'!$A$3:$B$3922,2,FALSE)</f>
        <v>Limit wires SED&lt;-&gt;AID for PMM Ips</v>
      </c>
      <c r="C156" s="435" t="str">
        <f>VLOOKUP(A156,'Feature Raw Data'!$A$3:$C$3922,3,FALSE)</f>
        <v>P1</v>
      </c>
      <c r="D156" s="436" t="str" cm="1">
        <f t="array" ref="D156">_xlfn.TEXTJOIN("",TRUE,IF(ISNUMBER(SEARCH($A156,'Diags Raw Data'!$A$6:$A$3830)),CONCATENATE('Diags Raw Data'!$H$6:$H$3830,", "),""))</f>
        <v xml:space="preserve">N/A, </v>
      </c>
      <c r="E156" s="339" t="str">
        <f>VLOOKUP(A156,'Diags Raw Data'!$A$6:$D$3830,4,FALSE)</f>
        <v>CMM</v>
      </c>
      <c r="F156" s="339" t="str">
        <f>VLOOKUP(A156,'Feature Raw Data'!$A$3:$E$3922,5,FALSE)</f>
        <v>New</v>
      </c>
      <c r="G156" s="339" t="str">
        <f t="shared" si="17"/>
        <v>No</v>
      </c>
      <c r="H156" s="339" t="str">
        <f t="shared" si="18"/>
        <v>No</v>
      </c>
      <c r="I156" s="435">
        <f>SUMIF('Diags Raw Data'!$A$6:$A$3830,"*"&amp;$A156&amp;"*",'Diags Raw Data'!$K$6:$K$3830)</f>
        <v>0</v>
      </c>
      <c r="J156" s="437">
        <f>SUMIF('Diags Raw Data'!$A$6:$A$3830,"*"&amp;$A156&amp;"*",'Diags Raw Data'!$L$6:$L$3830)</f>
        <v>0</v>
      </c>
      <c r="K156" s="484" t="e" cm="1">
        <f t="array" ref="K156">IF(D156="",0, SUMPRODUCT(--(ISNUMBER(SEARCH($A156,'Diags Raw Data'!$A$6:$A$3830))),'Diags Raw Data'!$L$6:$L$3830,'Diags Raw Data'!$N$6:$N$3830)/J156)</f>
        <v>#DIV/0!</v>
      </c>
      <c r="L156" s="485" t="e" cm="1">
        <f t="array" ref="L156">IF(D156="",0, SUMPRODUCT(--(ISNUMBER(SEARCH($A156,'Diags Raw Data'!$A$6:$A$3830))),'Diags Raw Data'!$L$6:$L$3830,'Diags Raw Data'!$P$6:$P$3830)/J156)</f>
        <v>#DIV/0!</v>
      </c>
      <c r="M156" s="486" cm="1">
        <f t="array" ref="M156">SUMPRODUCT(--(ISNUMBER(SEARCH($A156,'Diags Raw Data'!$A$6:$A$3830))),--('Diags Raw Data'!$Q$6:$Q$3830&lt;&gt;"N/A"),'Diags Raw Data'!$R$6:$R$3830)</f>
        <v>0</v>
      </c>
      <c r="N156" s="487" cm="1">
        <f t="array" ref="N156">SUMPRODUCT(--(ISNUMBER(SEARCH($A156,'Diags Raw Data'!$A$6:$A$3830))),--('Diags Raw Data'!$Q$6:$Q$3830&lt;&gt;"N/A"),'Diags Raw Data'!$T$6:$T$3830)+SUMPRODUCT(--(ISNUMBER(SEARCH($A156,'Diags Raw Data'!$A$6:$A$3830))),--('Diags Raw Data'!$Q$6:$Q$3830&lt;&gt;"N/A"),'Diags Raw Data'!$U$6:$U$3830)</f>
        <v>0</v>
      </c>
      <c r="O156" s="488">
        <f t="shared" si="19"/>
        <v>0</v>
      </c>
      <c r="P156" s="489">
        <f>SUMIF('Diags Raw Data'!$A$6:$A$3830,"*"&amp;$A156&amp;"*",'Diags Raw Data'!$Z$6:$Z$3830)</f>
        <v>0</v>
      </c>
      <c r="Q156" s="490">
        <f>SUM(SUMIF('Diags Raw Data'!$A$6:$A$3830,"*"&amp;$A156&amp;"*",'Diags Raw Data'!$AA$6:$AA$3830),SUMIF('Diags Raw Data'!$A$6:$A$3830,"*"&amp;$A156&amp;"*",'Diags Raw Data'!$AB$6:$AB$3830))</f>
        <v>0</v>
      </c>
      <c r="R156" s="491">
        <f t="shared" si="20"/>
        <v>0</v>
      </c>
      <c r="S156" s="491">
        <f t="shared" si="21"/>
        <v>0</v>
      </c>
      <c r="T156" s="492">
        <f t="shared" si="22"/>
        <v>0</v>
      </c>
      <c r="U156" s="432" t="str">
        <f>VLOOKUP(A156,'Diags Raw Data'!$A$6:$AH$3830,33,FALSE)</f>
        <v>N/A</v>
      </c>
      <c r="V156" s="552" t="s">
        <v>422</v>
      </c>
    </row>
    <row r="157" spans="1:22" ht="30.75" thickBot="1" x14ac:dyDescent="0.3">
      <c r="A157" s="546">
        <v>12.321999999999999</v>
      </c>
      <c r="B157" s="434" t="str">
        <f>VLOOKUP(A157,'Feature Raw Data'!$A$3:$B$3922,2,FALSE)</f>
        <v>GFX12 UTLC2 - Add idle sidebands</v>
      </c>
      <c r="C157" s="435" t="str">
        <f>VLOOKUP(A157,'Feature Raw Data'!$A$3:$C$3922,3,FALSE)</f>
        <v>P2</v>
      </c>
      <c r="D157" s="436" t="str" cm="1">
        <f t="array" ref="D157">_xlfn.TEXTJOIN("",TRUE,IF(ISNUMBER(SEARCH($A157,'Diags Raw Data'!$A$6:$A$3830)),CONCATENATE('Diags Raw Data'!$H$6:$H$3830,", "),""))</f>
        <v xml:space="preserve">N/A, </v>
      </c>
      <c r="E157" s="339" t="str">
        <f>VLOOKUP(A157,'Diags Raw Data'!$A$6:$D$3830,4,FALSE)</f>
        <v>CMM</v>
      </c>
      <c r="F157" s="339" t="str">
        <f>VLOOKUP(A157,'Feature Raw Data'!$A$3:$E$3922,5,FALSE)</f>
        <v>New</v>
      </c>
      <c r="G157" s="339" t="str">
        <f t="shared" si="17"/>
        <v>No</v>
      </c>
      <c r="H157" s="339" t="str">
        <f t="shared" si="18"/>
        <v>No</v>
      </c>
      <c r="I157" s="435">
        <f>SUMIF('Diags Raw Data'!$A$6:$A$3830,"*"&amp;$A157&amp;"*",'Diags Raw Data'!$K$6:$K$3830)</f>
        <v>0</v>
      </c>
      <c r="J157" s="437">
        <f>SUMIF('Diags Raw Data'!$A$6:$A$3830,"*"&amp;$A157&amp;"*",'Diags Raw Data'!$L$6:$L$3830)</f>
        <v>0</v>
      </c>
      <c r="K157" s="484" t="e" cm="1">
        <f t="array" ref="K157">IF(D157="",0, SUMPRODUCT(--(ISNUMBER(SEARCH($A157,'Diags Raw Data'!$A$6:$A$3830))),'Diags Raw Data'!$L$6:$L$3830,'Diags Raw Data'!$N$6:$N$3830)/J157)</f>
        <v>#DIV/0!</v>
      </c>
      <c r="L157" s="485" t="e" cm="1">
        <f t="array" ref="L157">IF(D157="",0, SUMPRODUCT(--(ISNUMBER(SEARCH($A157,'Diags Raw Data'!$A$6:$A$3830))),'Diags Raw Data'!$L$6:$L$3830,'Diags Raw Data'!$P$6:$P$3830)/J157)</f>
        <v>#DIV/0!</v>
      </c>
      <c r="M157" s="486" cm="1">
        <f t="array" ref="M157">SUMPRODUCT(--(ISNUMBER(SEARCH($A157,'Diags Raw Data'!$A$6:$A$3830))),--('Diags Raw Data'!$Q$6:$Q$3830&lt;&gt;"N/A"),'Diags Raw Data'!$R$6:$R$3830)</f>
        <v>0</v>
      </c>
      <c r="N157" s="487" cm="1">
        <f t="array" ref="N157">SUMPRODUCT(--(ISNUMBER(SEARCH($A157,'Diags Raw Data'!$A$6:$A$3830))),--('Diags Raw Data'!$Q$6:$Q$3830&lt;&gt;"N/A"),'Diags Raw Data'!$T$6:$T$3830)+SUMPRODUCT(--(ISNUMBER(SEARCH($A157,'Diags Raw Data'!$A$6:$A$3830))),--('Diags Raw Data'!$Q$6:$Q$3830&lt;&gt;"N/A"),'Diags Raw Data'!$U$6:$U$3830)</f>
        <v>0</v>
      </c>
      <c r="O157" s="488">
        <f t="shared" si="19"/>
        <v>0</v>
      </c>
      <c r="P157" s="489">
        <f>SUMIF('Diags Raw Data'!$A$6:$A$3830,"*"&amp;$A157&amp;"*",'Diags Raw Data'!$Z$6:$Z$3830)</f>
        <v>0</v>
      </c>
      <c r="Q157" s="490">
        <f>SUM(SUMIF('Diags Raw Data'!$A$6:$A$3830,"*"&amp;$A157&amp;"*",'Diags Raw Data'!$AA$6:$AA$3830),SUMIF('Diags Raw Data'!$A$6:$A$3830,"*"&amp;$A157&amp;"*",'Diags Raw Data'!$AB$6:$AB$3830))</f>
        <v>0</v>
      </c>
      <c r="R157" s="491">
        <f t="shared" si="20"/>
        <v>0</v>
      </c>
      <c r="S157" s="491">
        <f t="shared" si="21"/>
        <v>0</v>
      </c>
      <c r="T157" s="492">
        <f t="shared" si="22"/>
        <v>0</v>
      </c>
      <c r="U157" s="432" t="str">
        <f>VLOOKUP(A157,'Diags Raw Data'!$A$6:$AH$3830,33,FALSE)</f>
        <v>N/A</v>
      </c>
      <c r="V157" s="181"/>
    </row>
    <row r="158" spans="1:22" ht="30.75" thickBot="1" x14ac:dyDescent="0.3">
      <c r="A158" s="546">
        <v>12.327999999999999</v>
      </c>
      <c r="B158" s="434" t="str">
        <f>VLOOKUP(A158,'Feature Raw Data'!$A$3:$B$3922,2,FALSE)</f>
        <v>GFX12 SDMA - Add sidebands to control Idle request</v>
      </c>
      <c r="C158" s="435" t="str">
        <f>VLOOKUP(A158,'Feature Raw Data'!$A$3:$C$3922,3,FALSE)</f>
        <v>P1</v>
      </c>
      <c r="D158" s="436" t="str" cm="1">
        <f t="array" ref="D158">_xlfn.TEXTJOIN("",TRUE,IF(ISNUMBER(SEARCH($A158,'Diags Raw Data'!$A$6:$A$3830)),CONCATENATE('Diags Raw Data'!$H$6:$H$3830,", "),""))</f>
        <v xml:space="preserve">N/A, </v>
      </c>
      <c r="E158" s="339" t="str">
        <f>VLOOKUP(A158,'Diags Raw Data'!$A$6:$D$3830,4,FALSE)</f>
        <v>CTL</v>
      </c>
      <c r="F158" s="339" t="str">
        <f>VLOOKUP(A158,'Feature Raw Data'!$A$3:$E$3922,5,FALSE)</f>
        <v>New</v>
      </c>
      <c r="G158" s="339" t="str">
        <f t="shared" si="17"/>
        <v>No</v>
      </c>
      <c r="H158" s="339" t="str">
        <f t="shared" si="18"/>
        <v>No</v>
      </c>
      <c r="I158" s="435">
        <f>SUMIF('Diags Raw Data'!$A$6:$A$3830,"*"&amp;$A158&amp;"*",'Diags Raw Data'!$K$6:$K$3830)</f>
        <v>0</v>
      </c>
      <c r="J158" s="437">
        <f>SUMIF('Diags Raw Data'!$A$6:$A$3830,"*"&amp;$A158&amp;"*",'Diags Raw Data'!$L$6:$L$3830)</f>
        <v>0</v>
      </c>
      <c r="K158" s="484" t="e" cm="1">
        <f t="array" ref="K158">IF(D158="",0, SUMPRODUCT(--(ISNUMBER(SEARCH($A158,'Diags Raw Data'!$A$6:$A$3830))),'Diags Raw Data'!$L$6:$L$3830,'Diags Raw Data'!$N$6:$N$3830)/J158)</f>
        <v>#DIV/0!</v>
      </c>
      <c r="L158" s="485" t="e" cm="1">
        <f t="array" ref="L158">IF(D158="",0, SUMPRODUCT(--(ISNUMBER(SEARCH($A158,'Diags Raw Data'!$A$6:$A$3830))),'Diags Raw Data'!$L$6:$L$3830,'Diags Raw Data'!$P$6:$P$3830)/J158)</f>
        <v>#DIV/0!</v>
      </c>
      <c r="M158" s="486" cm="1">
        <f t="array" ref="M158">SUMPRODUCT(--(ISNUMBER(SEARCH($A158,'Diags Raw Data'!$A$6:$A$3830))),--('Diags Raw Data'!$Q$6:$Q$3830&lt;&gt;"N/A"),'Diags Raw Data'!$R$6:$R$3830)</f>
        <v>0</v>
      </c>
      <c r="N158" s="487" cm="1">
        <f t="array" ref="N158">SUMPRODUCT(--(ISNUMBER(SEARCH($A158,'Diags Raw Data'!$A$6:$A$3830))),--('Diags Raw Data'!$Q$6:$Q$3830&lt;&gt;"N/A"),'Diags Raw Data'!$T$6:$T$3830)+SUMPRODUCT(--(ISNUMBER(SEARCH($A158,'Diags Raw Data'!$A$6:$A$3830))),--('Diags Raw Data'!$Q$6:$Q$3830&lt;&gt;"N/A"),'Diags Raw Data'!$U$6:$U$3830)</f>
        <v>0</v>
      </c>
      <c r="O158" s="488">
        <f t="shared" si="19"/>
        <v>0</v>
      </c>
      <c r="P158" s="489">
        <f>SUMIF('Diags Raw Data'!$A$6:$A$3830,"*"&amp;$A158&amp;"*",'Diags Raw Data'!$Z$6:$Z$3830)</f>
        <v>0</v>
      </c>
      <c r="Q158" s="490">
        <f>SUM(SUMIF('Diags Raw Data'!$A$6:$A$3830,"*"&amp;$A158&amp;"*",'Diags Raw Data'!$AA$6:$AA$3830),SUMIF('Diags Raw Data'!$A$6:$A$3830,"*"&amp;$A158&amp;"*",'Diags Raw Data'!$AB$6:$AB$3830))</f>
        <v>0</v>
      </c>
      <c r="R158" s="491">
        <f t="shared" si="20"/>
        <v>0</v>
      </c>
      <c r="S158" s="491">
        <f t="shared" si="21"/>
        <v>0</v>
      </c>
      <c r="T158" s="492">
        <f t="shared" si="22"/>
        <v>0</v>
      </c>
      <c r="U158" s="432" t="str">
        <f>VLOOKUP(A158,'Diags Raw Data'!$A$6:$AH$3830,33,FALSE)</f>
        <v>N/A</v>
      </c>
      <c r="V158" s="181"/>
    </row>
    <row r="159" spans="1:22" ht="30.75" thickBot="1" x14ac:dyDescent="0.3">
      <c r="A159" s="546">
        <v>12.329000000000001</v>
      </c>
      <c r="B159" s="434" t="str">
        <f>VLOOKUP(A159,'Feature Raw Data'!$A$3:$B$3922,2,FALSE)</f>
        <v>remove GCR dummy UTCL2 invalidation interface</v>
      </c>
      <c r="C159" s="435" t="str">
        <f>VLOOKUP(A159,'Feature Raw Data'!$A$3:$C$3922,3,FALSE)</f>
        <v>P2</v>
      </c>
      <c r="D159" s="436" t="str" cm="1">
        <f t="array" ref="D159">_xlfn.TEXTJOIN("",TRUE,IF(ISNUMBER(SEARCH($A159,'Diags Raw Data'!$A$6:$A$3830)),CONCATENATE('Diags Raw Data'!$H$6:$H$3830,", "),""))</f>
        <v xml:space="preserve">N/A, </v>
      </c>
      <c r="E159" s="339" t="str">
        <f>VLOOKUP(A159,'Diags Raw Data'!$A$6:$D$3830,4,FALSE)</f>
        <v>CMM</v>
      </c>
      <c r="F159" s="339" t="str">
        <f>VLOOKUP(A159,'Feature Raw Data'!$A$3:$E$3922,5,FALSE)</f>
        <v>New</v>
      </c>
      <c r="G159" s="339" t="str">
        <f t="shared" si="17"/>
        <v>No</v>
      </c>
      <c r="H159" s="339" t="str">
        <f t="shared" si="18"/>
        <v>No</v>
      </c>
      <c r="I159" s="435">
        <f>SUMIF('Diags Raw Data'!$A$6:$A$3830,"*"&amp;$A159&amp;"*",'Diags Raw Data'!$K$6:$K$3830)</f>
        <v>0</v>
      </c>
      <c r="J159" s="437">
        <f>SUMIF('Diags Raw Data'!$A$6:$A$3830,"*"&amp;$A159&amp;"*",'Diags Raw Data'!$L$6:$L$3830)</f>
        <v>0</v>
      </c>
      <c r="K159" s="484" t="e" cm="1">
        <f t="array" ref="K159">IF(D159="",0, SUMPRODUCT(--(ISNUMBER(SEARCH($A159,'Diags Raw Data'!$A$6:$A$3830))),'Diags Raw Data'!$L$6:$L$3830,'Diags Raw Data'!$N$6:$N$3830)/J159)</f>
        <v>#DIV/0!</v>
      </c>
      <c r="L159" s="485" t="e" cm="1">
        <f t="array" ref="L159">IF(D159="",0, SUMPRODUCT(--(ISNUMBER(SEARCH($A159,'Diags Raw Data'!$A$6:$A$3830))),'Diags Raw Data'!$L$6:$L$3830,'Diags Raw Data'!$P$6:$P$3830)/J159)</f>
        <v>#DIV/0!</v>
      </c>
      <c r="M159" s="486" cm="1">
        <f t="array" ref="M159">SUMPRODUCT(--(ISNUMBER(SEARCH($A159,'Diags Raw Data'!$A$6:$A$3830))),--('Diags Raw Data'!$Q$6:$Q$3830&lt;&gt;"N/A"),'Diags Raw Data'!$R$6:$R$3830)</f>
        <v>0</v>
      </c>
      <c r="N159" s="487" cm="1">
        <f t="array" ref="N159">SUMPRODUCT(--(ISNUMBER(SEARCH($A159,'Diags Raw Data'!$A$6:$A$3830))),--('Diags Raw Data'!$Q$6:$Q$3830&lt;&gt;"N/A"),'Diags Raw Data'!$T$6:$T$3830)+SUMPRODUCT(--(ISNUMBER(SEARCH($A159,'Diags Raw Data'!$A$6:$A$3830))),--('Diags Raw Data'!$Q$6:$Q$3830&lt;&gt;"N/A"),'Diags Raw Data'!$U$6:$U$3830)</f>
        <v>0</v>
      </c>
      <c r="O159" s="488">
        <f t="shared" si="19"/>
        <v>0</v>
      </c>
      <c r="P159" s="489">
        <f>SUMIF('Diags Raw Data'!$A$6:$A$3830,"*"&amp;$A159&amp;"*",'Diags Raw Data'!$Z$6:$Z$3830)</f>
        <v>0</v>
      </c>
      <c r="Q159" s="490">
        <f>SUM(SUMIF('Diags Raw Data'!$A$6:$A$3830,"*"&amp;$A159&amp;"*",'Diags Raw Data'!$AA$6:$AA$3830),SUMIF('Diags Raw Data'!$A$6:$A$3830,"*"&amp;$A159&amp;"*",'Diags Raw Data'!$AB$6:$AB$3830))</f>
        <v>0</v>
      </c>
      <c r="R159" s="491">
        <f t="shared" si="20"/>
        <v>0</v>
      </c>
      <c r="S159" s="491">
        <f t="shared" si="21"/>
        <v>0</v>
      </c>
      <c r="T159" s="492">
        <f t="shared" si="22"/>
        <v>0</v>
      </c>
      <c r="U159" s="432" t="str">
        <f>VLOOKUP(A159,'Diags Raw Data'!$A$6:$AH$3830,33,FALSE)</f>
        <v>N/A</v>
      </c>
      <c r="V159" s="552" t="s">
        <v>366</v>
      </c>
    </row>
    <row r="160" spans="1:22" ht="15.75" thickBot="1" x14ac:dyDescent="0.3">
      <c r="A160" s="546">
        <v>12.332000000000001</v>
      </c>
      <c r="B160" s="434" t="str">
        <f>VLOOKUP(A160,'Feature Raw Data'!$A$3:$B$3922,2,FALSE)</f>
        <v>GFX12 EA - Add idle sidebands</v>
      </c>
      <c r="C160" s="435" t="str">
        <f>VLOOKUP(A160,'Feature Raw Data'!$A$3:$C$3922,3,FALSE)</f>
        <v>P2</v>
      </c>
      <c r="D160" s="436" t="str" cm="1">
        <f t="array" ref="D160">_xlfn.TEXTJOIN("",TRUE,IF(ISNUMBER(SEARCH($A160,'Diags Raw Data'!$A$6:$A$3830)),CONCATENATE('Diags Raw Data'!$H$6:$H$3830,", "),""))</f>
        <v xml:space="preserve">N/A, </v>
      </c>
      <c r="E160" s="339" t="str">
        <f>VLOOKUP(A160,'Diags Raw Data'!$A$6:$D$3830,4,FALSE)</f>
        <v>CMM</v>
      </c>
      <c r="F160" s="339" t="str">
        <f>VLOOKUP(A160,'Feature Raw Data'!$A$3:$E$3922,5,FALSE)</f>
        <v>New</v>
      </c>
      <c r="G160" s="339" t="str">
        <f t="shared" si="17"/>
        <v>No</v>
      </c>
      <c r="H160" s="339" t="str">
        <f t="shared" si="18"/>
        <v>No</v>
      </c>
      <c r="I160" s="435">
        <f>SUMIF('Diags Raw Data'!$A$6:$A$3830,"*"&amp;$A160&amp;"*",'Diags Raw Data'!$K$6:$K$3830)</f>
        <v>0</v>
      </c>
      <c r="J160" s="437">
        <f>SUMIF('Diags Raw Data'!$A$6:$A$3830,"*"&amp;$A160&amp;"*",'Diags Raw Data'!$L$6:$L$3830)</f>
        <v>0</v>
      </c>
      <c r="K160" s="484" t="e" cm="1">
        <f t="array" ref="K160">IF(D160="",0, SUMPRODUCT(--(ISNUMBER(SEARCH($A160,'Diags Raw Data'!$A$6:$A$3830))),'Diags Raw Data'!$L$6:$L$3830,'Diags Raw Data'!$N$6:$N$3830)/J160)</f>
        <v>#DIV/0!</v>
      </c>
      <c r="L160" s="485" t="e" cm="1">
        <f t="array" ref="L160">IF(D160="",0, SUMPRODUCT(--(ISNUMBER(SEARCH($A160,'Diags Raw Data'!$A$6:$A$3830))),'Diags Raw Data'!$L$6:$L$3830,'Diags Raw Data'!$P$6:$P$3830)/J160)</f>
        <v>#DIV/0!</v>
      </c>
      <c r="M160" s="486" cm="1">
        <f t="array" ref="M160">SUMPRODUCT(--(ISNUMBER(SEARCH($A160,'Diags Raw Data'!$A$6:$A$3830))),--('Diags Raw Data'!$Q$6:$Q$3830&lt;&gt;"N/A"),'Diags Raw Data'!$R$6:$R$3830)</f>
        <v>0</v>
      </c>
      <c r="N160" s="487" cm="1">
        <f t="array" ref="N160">SUMPRODUCT(--(ISNUMBER(SEARCH($A160,'Diags Raw Data'!$A$6:$A$3830))),--('Diags Raw Data'!$Q$6:$Q$3830&lt;&gt;"N/A"),'Diags Raw Data'!$T$6:$T$3830)+SUMPRODUCT(--(ISNUMBER(SEARCH($A160,'Diags Raw Data'!$A$6:$A$3830))),--('Diags Raw Data'!$Q$6:$Q$3830&lt;&gt;"N/A"),'Diags Raw Data'!$U$6:$U$3830)</f>
        <v>0</v>
      </c>
      <c r="O160" s="488">
        <f t="shared" si="19"/>
        <v>0</v>
      </c>
      <c r="P160" s="489">
        <f>SUMIF('Diags Raw Data'!$A$6:$A$3830,"*"&amp;$A160&amp;"*",'Diags Raw Data'!$Z$6:$Z$3830)</f>
        <v>0</v>
      </c>
      <c r="Q160" s="490">
        <f>SUM(SUMIF('Diags Raw Data'!$A$6:$A$3830,"*"&amp;$A160&amp;"*",'Diags Raw Data'!$AA$6:$AA$3830),SUMIF('Diags Raw Data'!$A$6:$A$3830,"*"&amp;$A160&amp;"*",'Diags Raw Data'!$AB$6:$AB$3830))</f>
        <v>0</v>
      </c>
      <c r="R160" s="491">
        <f t="shared" si="20"/>
        <v>0</v>
      </c>
      <c r="S160" s="491">
        <f t="shared" si="21"/>
        <v>0</v>
      </c>
      <c r="T160" s="492">
        <f t="shared" si="22"/>
        <v>0</v>
      </c>
      <c r="U160" s="432" t="str">
        <f>VLOOKUP(A160,'Diags Raw Data'!$A$6:$AH$3830,33,FALSE)</f>
        <v>N/A</v>
      </c>
      <c r="V160" s="181"/>
    </row>
    <row r="161" spans="1:22" ht="30.75" thickBot="1" x14ac:dyDescent="0.3">
      <c r="A161" s="546">
        <v>12.333</v>
      </c>
      <c r="B161" s="434" t="str">
        <f>VLOOKUP(A161,'Feature Raw Data'!$A$3:$B$3922,2,FALSE)</f>
        <v>Swap PRIM_CONFIG register to SA_UNIT_DISABLE register</v>
      </c>
      <c r="C161" s="435" t="str">
        <f>VLOOKUP(A161,'Feature Raw Data'!$A$3:$C$3922,3,FALSE)</f>
        <v>P2</v>
      </c>
      <c r="D161" s="436" t="str" cm="1">
        <f t="array" ref="D161">_xlfn.TEXTJOIN("",TRUE,IF(ISNUMBER(SEARCH($A161,'Diags Raw Data'!$A$6:$A$3830)),CONCATENATE('Diags Raw Data'!$H$6:$H$3830,", "),""))</f>
        <v xml:space="preserve">std1.6.1-2,gci30_3.1-2, </v>
      </c>
      <c r="E161" s="339" t="str">
        <f>VLOOKUP(A161,'Diags Raw Data'!$A$6:$D$3830,4,FALSE)</f>
        <v>GC</v>
      </c>
      <c r="F161" s="339" t="str">
        <f>VLOOKUP(A161,'Feature Raw Data'!$A$3:$E$3922,5,FALSE)</f>
        <v>New</v>
      </c>
      <c r="G161" s="339" t="str">
        <f t="shared" si="17"/>
        <v>Yes</v>
      </c>
      <c r="H161" s="339" t="str">
        <f t="shared" si="18"/>
        <v>Yes</v>
      </c>
      <c r="I161" s="435">
        <f>SUMIF('Diags Raw Data'!$A$6:$A$3830,"*"&amp;$A161&amp;"*",'Diags Raw Data'!$K$6:$K$3830)</f>
        <v>0</v>
      </c>
      <c r="J161" s="437">
        <f>SUMIF('Diags Raw Data'!$A$6:$A$3830,"*"&amp;$A161&amp;"*",'Diags Raw Data'!$L$6:$L$3830)</f>
        <v>0</v>
      </c>
      <c r="K161" s="484" t="e" cm="1">
        <f t="array" ref="K161">IF(D161="",0, SUMPRODUCT(--(ISNUMBER(SEARCH($A161,'Diags Raw Data'!$A$6:$A$3830))),'Diags Raw Data'!$L$6:$L$3830,'Diags Raw Data'!$N$6:$N$3830)/J161)</f>
        <v>#DIV/0!</v>
      </c>
      <c r="L161" s="485" t="e" cm="1">
        <f t="array" ref="L161">IF(D161="",0, SUMPRODUCT(--(ISNUMBER(SEARCH($A161,'Diags Raw Data'!$A$6:$A$3830))),'Diags Raw Data'!$L$6:$L$3830,'Diags Raw Data'!$P$6:$P$3830)/J161)</f>
        <v>#DIV/0!</v>
      </c>
      <c r="M161" s="486" cm="1">
        <f t="array" ref="M161">SUMPRODUCT(--(ISNUMBER(SEARCH($A161,'Diags Raw Data'!$A$6:$A$3830))),--('Diags Raw Data'!$Q$6:$Q$3830&lt;&gt;"N/A"),'Diags Raw Data'!$R$6:$R$3830)</f>
        <v>4</v>
      </c>
      <c r="N161" s="487" cm="1">
        <f t="array" ref="N161">SUMPRODUCT(--(ISNUMBER(SEARCH($A161,'Diags Raw Data'!$A$6:$A$3830))),--('Diags Raw Data'!$Q$6:$Q$3830&lt;&gt;"N/A"),'Diags Raw Data'!$T$6:$T$3830)+SUMPRODUCT(--(ISNUMBER(SEARCH($A161,'Diags Raw Data'!$A$6:$A$3830))),--('Diags Raw Data'!$Q$6:$Q$3830&lt;&gt;"N/A"),'Diags Raw Data'!$U$6:$U$3830)</f>
        <v>4</v>
      </c>
      <c r="O161" s="488">
        <f t="shared" si="19"/>
        <v>1</v>
      </c>
      <c r="P161" s="489">
        <f>SUMIF('Diags Raw Data'!$A$6:$A$3830,"*"&amp;$A161&amp;"*",'Diags Raw Data'!$Z$6:$Z$3830)</f>
        <v>0</v>
      </c>
      <c r="Q161" s="490">
        <f>SUM(SUMIF('Diags Raw Data'!$A$6:$A$3830,"*"&amp;$A161&amp;"*",'Diags Raw Data'!$AA$6:$AA$3830),SUMIF('Diags Raw Data'!$A$6:$A$3830,"*"&amp;$A161&amp;"*",'Diags Raw Data'!$AB$6:$AB$3830))</f>
        <v>0</v>
      </c>
      <c r="R161" s="491">
        <f t="shared" si="20"/>
        <v>0</v>
      </c>
      <c r="S161" s="491">
        <f t="shared" si="21"/>
        <v>0</v>
      </c>
      <c r="T161" s="492">
        <f t="shared" si="22"/>
        <v>0</v>
      </c>
      <c r="U161" s="432" t="str">
        <f>VLOOKUP(A161,'Diags Raw Data'!$A$6:$AH$3830,33,FALSE)</f>
        <v>WK6</v>
      </c>
      <c r="V161" s="181"/>
    </row>
    <row r="162" spans="1:22" ht="15.75" thickBot="1" x14ac:dyDescent="0.3">
      <c r="A162" s="546">
        <v>12.334</v>
      </c>
      <c r="B162" s="434" t="str">
        <f>VLOOKUP(A162,'Feature Raw Data'!$A$3:$B$3922,2,FALSE)</f>
        <v>GTS support in GFX12</v>
      </c>
      <c r="C162" s="435" t="str">
        <f>VLOOKUP(A162,'Feature Raw Data'!$A$3:$C$3922,3,FALSE)</f>
        <v>P1</v>
      </c>
      <c r="D162" s="436" t="str" cm="1">
        <f t="array" ref="D162">_xlfn.TEXTJOIN("",TRUE,IF(ISNUMBER(SEARCH($A162,'Diags Raw Data'!$A$6:$A$3830)),CONCATENATE('Diags Raw Data'!$H$6:$H$3830,", "),""))</f>
        <v xml:space="preserve">placeholder_t.1-2, </v>
      </c>
      <c r="E162" s="339" t="str">
        <f>VLOOKUP(A162,'Diags Raw Data'!$A$6:$D$3830,4,FALSE)</f>
        <v>CTL</v>
      </c>
      <c r="F162" s="339" t="str">
        <f>VLOOKUP(A162,'Feature Raw Data'!$A$3:$E$3922,5,FALSE)</f>
        <v>New</v>
      </c>
      <c r="G162" s="339" t="str">
        <f t="shared" si="17"/>
        <v>Yes</v>
      </c>
      <c r="H162" s="339" t="str">
        <f t="shared" si="18"/>
        <v>Yes</v>
      </c>
      <c r="I162" s="435">
        <f>SUMIF('Diags Raw Data'!$A$6:$A$3830,"*"&amp;$A162&amp;"*",'Diags Raw Data'!$K$6:$K$3830)</f>
        <v>0</v>
      </c>
      <c r="J162" s="437">
        <f>SUMIF('Diags Raw Data'!$A$6:$A$3830,"*"&amp;$A162&amp;"*",'Diags Raw Data'!$L$6:$L$3830)</f>
        <v>0</v>
      </c>
      <c r="K162" s="484" t="e" cm="1">
        <f t="array" ref="K162">IF(D162="",0, SUMPRODUCT(--(ISNUMBER(SEARCH($A162,'Diags Raw Data'!$A$6:$A$3830))),'Diags Raw Data'!$L$6:$L$3830,'Diags Raw Data'!$N$6:$N$3830)/J162)</f>
        <v>#DIV/0!</v>
      </c>
      <c r="L162" s="485" t="e" cm="1">
        <f t="array" ref="L162">IF(D162="",0, SUMPRODUCT(--(ISNUMBER(SEARCH($A162,'Diags Raw Data'!$A$6:$A$3830))),'Diags Raw Data'!$L$6:$L$3830,'Diags Raw Data'!$P$6:$P$3830)/J162)</f>
        <v>#DIV/0!</v>
      </c>
      <c r="M162" s="486" cm="1">
        <f t="array" ref="M162">SUMPRODUCT(--(ISNUMBER(SEARCH($A162,'Diags Raw Data'!$A$6:$A$3830))),--('Diags Raw Data'!$Q$6:$Q$3830&lt;&gt;"N/A"),'Diags Raw Data'!$R$6:$R$3830)</f>
        <v>2</v>
      </c>
      <c r="N162" s="487" cm="1">
        <f t="array" ref="N162">SUMPRODUCT(--(ISNUMBER(SEARCH($A162,'Diags Raw Data'!$A$6:$A$3830))),--('Diags Raw Data'!$Q$6:$Q$3830&lt;&gt;"N/A"),'Diags Raw Data'!$T$6:$T$3830)+SUMPRODUCT(--(ISNUMBER(SEARCH($A162,'Diags Raw Data'!$A$6:$A$3830))),--('Diags Raw Data'!$Q$6:$Q$3830&lt;&gt;"N/A"),'Diags Raw Data'!$U$6:$U$3830)</f>
        <v>0</v>
      </c>
      <c r="O162" s="488">
        <f t="shared" si="19"/>
        <v>0</v>
      </c>
      <c r="P162" s="489">
        <f>SUMIF('Diags Raw Data'!$A$6:$A$3830,"*"&amp;$A162&amp;"*",'Diags Raw Data'!$Z$6:$Z$3830)</f>
        <v>0</v>
      </c>
      <c r="Q162" s="490">
        <f>SUM(SUMIF('Diags Raw Data'!$A$6:$A$3830,"*"&amp;$A162&amp;"*",'Diags Raw Data'!$AA$6:$AA$3830),SUMIF('Diags Raw Data'!$A$6:$A$3830,"*"&amp;$A162&amp;"*",'Diags Raw Data'!$AB$6:$AB$3830))</f>
        <v>0</v>
      </c>
      <c r="R162" s="491">
        <f t="shared" si="20"/>
        <v>0</v>
      </c>
      <c r="S162" s="491">
        <f t="shared" si="21"/>
        <v>0</v>
      </c>
      <c r="T162" s="492">
        <f t="shared" si="22"/>
        <v>0</v>
      </c>
      <c r="U162" s="432" t="str">
        <f>VLOOKUP(A162,'Diags Raw Data'!$A$6:$AH$3830,33,FALSE)</f>
        <v>WK4</v>
      </c>
      <c r="V162" s="181"/>
    </row>
    <row r="163" spans="1:22" ht="30.75" thickBot="1" x14ac:dyDescent="0.3">
      <c r="A163" s="546">
        <v>12.336</v>
      </c>
      <c r="B163" s="434" t="str">
        <f>VLOOKUP(A163,'Feature Raw Data'!$A$3:$B$3922,2,FALSE)</f>
        <v>Remove harvesting connectivity/RTL mux in SP</v>
      </c>
      <c r="C163" s="435" t="str">
        <f>VLOOKUP(A163,'Feature Raw Data'!$A$3:$C$3922,3,FALSE)</f>
        <v>P2</v>
      </c>
      <c r="D163" s="436" t="str" cm="1">
        <f t="array" ref="D163">_xlfn.TEXTJOIN("",TRUE,IF(ISNUMBER(SEARCH($A163,'Diags Raw Data'!$A$6:$A$3830)),CONCATENATE('Diags Raw Data'!$H$6:$H$3830,", "),""))</f>
        <v xml:space="preserve">N/A, </v>
      </c>
      <c r="E163" s="339" t="str">
        <f>VLOOKUP(A163,'Diags Raw Data'!$A$6:$D$3830,4,FALSE)</f>
        <v>SH</v>
      </c>
      <c r="F163" s="339" t="str">
        <f>VLOOKUP(A163,'Feature Raw Data'!$A$3:$E$3922,5,FALSE)</f>
        <v>New</v>
      </c>
      <c r="G163" s="339" t="str">
        <f t="shared" si="17"/>
        <v>No</v>
      </c>
      <c r="H163" s="339" t="str">
        <f t="shared" si="18"/>
        <v>No</v>
      </c>
      <c r="I163" s="435">
        <f>SUMIF('Diags Raw Data'!$A$6:$A$3830,"*"&amp;$A163&amp;"*",'Diags Raw Data'!$K$6:$K$3830)</f>
        <v>0</v>
      </c>
      <c r="J163" s="437">
        <f>SUMIF('Diags Raw Data'!$A$6:$A$3830,"*"&amp;$A163&amp;"*",'Diags Raw Data'!$L$6:$L$3830)</f>
        <v>0</v>
      </c>
      <c r="K163" s="484" t="e" cm="1">
        <f t="array" ref="K163">IF(D163="",0, SUMPRODUCT(--(ISNUMBER(SEARCH($A163,'Diags Raw Data'!$A$6:$A$3830))),'Diags Raw Data'!$L$6:$L$3830,'Diags Raw Data'!$N$6:$N$3830)/J163)</f>
        <v>#DIV/0!</v>
      </c>
      <c r="L163" s="485" t="e" cm="1">
        <f t="array" ref="L163">IF(D163="",0, SUMPRODUCT(--(ISNUMBER(SEARCH($A163,'Diags Raw Data'!$A$6:$A$3830))),'Diags Raw Data'!$L$6:$L$3830,'Diags Raw Data'!$P$6:$P$3830)/J163)</f>
        <v>#DIV/0!</v>
      </c>
      <c r="M163" s="486" cm="1">
        <f t="array" ref="M163">SUMPRODUCT(--(ISNUMBER(SEARCH($A163,'Diags Raw Data'!$A$6:$A$3830))),--('Diags Raw Data'!$Q$6:$Q$3830&lt;&gt;"N/A"),'Diags Raw Data'!$R$6:$R$3830)</f>
        <v>0</v>
      </c>
      <c r="N163" s="487" cm="1">
        <f t="array" ref="N163">SUMPRODUCT(--(ISNUMBER(SEARCH($A163,'Diags Raw Data'!$A$6:$A$3830))),--('Diags Raw Data'!$Q$6:$Q$3830&lt;&gt;"N/A"),'Diags Raw Data'!$T$6:$T$3830)+SUMPRODUCT(--(ISNUMBER(SEARCH($A163,'Diags Raw Data'!$A$6:$A$3830))),--('Diags Raw Data'!$Q$6:$Q$3830&lt;&gt;"N/A"),'Diags Raw Data'!$U$6:$U$3830)</f>
        <v>0</v>
      </c>
      <c r="O163" s="488">
        <f t="shared" si="19"/>
        <v>0</v>
      </c>
      <c r="P163" s="489">
        <f>SUMIF('Diags Raw Data'!$A$6:$A$3830,"*"&amp;$A163&amp;"*",'Diags Raw Data'!$Z$6:$Z$3830)</f>
        <v>0</v>
      </c>
      <c r="Q163" s="490">
        <f>SUM(SUMIF('Diags Raw Data'!$A$6:$A$3830,"*"&amp;$A163&amp;"*",'Diags Raw Data'!$AA$6:$AA$3830),SUMIF('Diags Raw Data'!$A$6:$A$3830,"*"&amp;$A163&amp;"*",'Diags Raw Data'!$AB$6:$AB$3830))</f>
        <v>0</v>
      </c>
      <c r="R163" s="491">
        <f t="shared" si="20"/>
        <v>0</v>
      </c>
      <c r="S163" s="491">
        <f t="shared" si="21"/>
        <v>0</v>
      </c>
      <c r="T163" s="492">
        <f t="shared" si="22"/>
        <v>0</v>
      </c>
      <c r="U163" s="432" t="str">
        <f>VLOOKUP(A163,'Diags Raw Data'!$A$6:$AH$3830,33,FALSE)</f>
        <v>N/A</v>
      </c>
      <c r="V163" s="552" t="s">
        <v>422</v>
      </c>
    </row>
    <row r="164" spans="1:22" ht="30.75" thickBot="1" x14ac:dyDescent="0.3">
      <c r="A164" s="546">
        <v>12.339</v>
      </c>
      <c r="B164" s="434" t="str">
        <f>VLOOKUP(A164,'Feature Raw Data'!$A$3:$B$3922,2,FALSE)</f>
        <v>GFX12 IH Gasket update for chiplet design</v>
      </c>
      <c r="C164" s="435" t="str">
        <f>VLOOKUP(A164,'Feature Raw Data'!$A$3:$C$3922,3,FALSE)</f>
        <v>P1</v>
      </c>
      <c r="D164" s="436" t="str" cm="1">
        <f t="array" ref="D164">_xlfn.TEXTJOIN("",TRUE,IF(ISNUMBER(SEARCH($A164,'Diags Raw Data'!$A$6:$A$3830)),CONCATENATE('Diags Raw Data'!$H$6:$H$3830,", "),""))</f>
        <v xml:space="preserve">gci28.3, </v>
      </c>
      <c r="E164" s="339" t="str">
        <f>VLOOKUP(A164,'Diags Raw Data'!$A$6:$D$3830,4,FALSE)</f>
        <v>CTL</v>
      </c>
      <c r="F164" s="339" t="str">
        <f>VLOOKUP(A164,'Feature Raw Data'!$A$3:$E$3922,5,FALSE)</f>
        <v>New</v>
      </c>
      <c r="G164" s="339" t="str">
        <f t="shared" si="17"/>
        <v>Yes</v>
      </c>
      <c r="H164" s="339" t="str">
        <f t="shared" si="18"/>
        <v>Yes</v>
      </c>
      <c r="I164" s="435">
        <f>SUMIF('Diags Raw Data'!$A$6:$A$3830,"*"&amp;$A164&amp;"*",'Diags Raw Data'!$K$6:$K$3830)</f>
        <v>0</v>
      </c>
      <c r="J164" s="437">
        <f>SUMIF('Diags Raw Data'!$A$6:$A$3830,"*"&amp;$A164&amp;"*",'Diags Raw Data'!$L$6:$L$3830)</f>
        <v>0</v>
      </c>
      <c r="K164" s="484" t="e" cm="1">
        <f t="array" ref="K164">IF(D164="",0, SUMPRODUCT(--(ISNUMBER(SEARCH($A164,'Diags Raw Data'!$A$6:$A$3830))),'Diags Raw Data'!$L$6:$L$3830,'Diags Raw Data'!$N$6:$N$3830)/J164)</f>
        <v>#DIV/0!</v>
      </c>
      <c r="L164" s="485" t="e" cm="1">
        <f t="array" ref="L164">IF(D164="",0, SUMPRODUCT(--(ISNUMBER(SEARCH($A164,'Diags Raw Data'!$A$6:$A$3830))),'Diags Raw Data'!$L$6:$L$3830,'Diags Raw Data'!$P$6:$P$3830)/J164)</f>
        <v>#DIV/0!</v>
      </c>
      <c r="M164" s="486" cm="1">
        <f t="array" ref="M164">SUMPRODUCT(--(ISNUMBER(SEARCH($A164,'Diags Raw Data'!$A$6:$A$3830))),--('Diags Raw Data'!$Q$6:$Q$3830&lt;&gt;"N/A"),'Diags Raw Data'!$R$6:$R$3830)</f>
        <v>1</v>
      </c>
      <c r="N164" s="487" cm="1">
        <f t="array" ref="N164">SUMPRODUCT(--(ISNUMBER(SEARCH($A164,'Diags Raw Data'!$A$6:$A$3830))),--('Diags Raw Data'!$Q$6:$Q$3830&lt;&gt;"N/A"),'Diags Raw Data'!$T$6:$T$3830)+SUMPRODUCT(--(ISNUMBER(SEARCH($A164,'Diags Raw Data'!$A$6:$A$3830))),--('Diags Raw Data'!$Q$6:$Q$3830&lt;&gt;"N/A"),'Diags Raw Data'!$U$6:$U$3830)</f>
        <v>1</v>
      </c>
      <c r="O164" s="488">
        <f t="shared" si="19"/>
        <v>1</v>
      </c>
      <c r="P164" s="489">
        <f>SUMIF('Diags Raw Data'!$A$6:$A$3830,"*"&amp;$A164&amp;"*",'Diags Raw Data'!$Z$6:$Z$3830)</f>
        <v>0</v>
      </c>
      <c r="Q164" s="490">
        <f>SUM(SUMIF('Diags Raw Data'!$A$6:$A$3830,"*"&amp;$A164&amp;"*",'Diags Raw Data'!$AA$6:$AA$3830),SUMIF('Diags Raw Data'!$A$6:$A$3830,"*"&amp;$A164&amp;"*",'Diags Raw Data'!$AB$6:$AB$3830))</f>
        <v>0</v>
      </c>
      <c r="R164" s="491">
        <f t="shared" si="20"/>
        <v>0</v>
      </c>
      <c r="S164" s="491">
        <f t="shared" si="21"/>
        <v>0</v>
      </c>
      <c r="T164" s="492">
        <f t="shared" si="22"/>
        <v>0</v>
      </c>
      <c r="U164" s="432" t="str">
        <f>VLOOKUP(A164,'Diags Raw Data'!$A$6:$AH$3830,33,FALSE)</f>
        <v>WK5</v>
      </c>
      <c r="V164" s="181"/>
    </row>
    <row r="165" spans="1:22" ht="45.75" thickBot="1" x14ac:dyDescent="0.3">
      <c r="A165" s="546">
        <v>12.342000000000001</v>
      </c>
      <c r="B165" s="434" t="str">
        <f>VLOOKUP(A165,'Feature Raw Data'!$A$3:$B$3922,2,FALSE)</f>
        <v>GFX12 IMU - Add FIFO for blocked RSMU writes and keep read outstanding</v>
      </c>
      <c r="C165" s="435" t="str">
        <f>VLOOKUP(A165,'Feature Raw Data'!$A$3:$C$3922,3,FALSE)</f>
        <v>P1</v>
      </c>
      <c r="D165" s="436" t="str" cm="1">
        <f t="array" ref="D165">_xlfn.TEXTJOIN("",TRUE,IF(ISNUMBER(SEARCH($A165,'Diags Raw Data'!$A$6:$A$3830)),CONCATENATE('Diags Raw Data'!$H$6:$H$3830,", "),""))</f>
        <v xml:space="preserve">N/A, </v>
      </c>
      <c r="E165" s="339" t="str">
        <f>VLOOKUP(A165,'Diags Raw Data'!$A$6:$D$3830,4,FALSE)</f>
        <v>CTL</v>
      </c>
      <c r="F165" s="339" t="str">
        <f>VLOOKUP(A165,'Feature Raw Data'!$A$3:$E$3922,5,FALSE)</f>
        <v>New</v>
      </c>
      <c r="G165" s="339" t="str">
        <f t="shared" si="17"/>
        <v>No</v>
      </c>
      <c r="H165" s="339" t="str">
        <f t="shared" si="18"/>
        <v>No</v>
      </c>
      <c r="I165" s="435">
        <f>SUMIF('Diags Raw Data'!$A$6:$A$3830,"*"&amp;$A165&amp;"*",'Diags Raw Data'!$K$6:$K$3830)</f>
        <v>0</v>
      </c>
      <c r="J165" s="437">
        <f>SUMIF('Diags Raw Data'!$A$6:$A$3830,"*"&amp;$A165&amp;"*",'Diags Raw Data'!$L$6:$L$3830)</f>
        <v>0</v>
      </c>
      <c r="K165" s="484" t="e" cm="1">
        <f t="array" ref="K165">IF(D165="",0, SUMPRODUCT(--(ISNUMBER(SEARCH($A165,'Diags Raw Data'!$A$6:$A$3830))),'Diags Raw Data'!$L$6:$L$3830,'Diags Raw Data'!$N$6:$N$3830)/J165)</f>
        <v>#DIV/0!</v>
      </c>
      <c r="L165" s="485" t="e" cm="1">
        <f t="array" ref="L165">IF(D165="",0, SUMPRODUCT(--(ISNUMBER(SEARCH($A165,'Diags Raw Data'!$A$6:$A$3830))),'Diags Raw Data'!$L$6:$L$3830,'Diags Raw Data'!$P$6:$P$3830)/J165)</f>
        <v>#DIV/0!</v>
      </c>
      <c r="M165" s="486" cm="1">
        <f t="array" ref="M165">SUMPRODUCT(--(ISNUMBER(SEARCH($A165,'Diags Raw Data'!$A$6:$A$3830))),--('Diags Raw Data'!$Q$6:$Q$3830&lt;&gt;"N/A"),'Diags Raw Data'!$R$6:$R$3830)</f>
        <v>0</v>
      </c>
      <c r="N165" s="487" cm="1">
        <f t="array" ref="N165">SUMPRODUCT(--(ISNUMBER(SEARCH($A165,'Diags Raw Data'!$A$6:$A$3830))),--('Diags Raw Data'!$Q$6:$Q$3830&lt;&gt;"N/A"),'Diags Raw Data'!$T$6:$T$3830)+SUMPRODUCT(--(ISNUMBER(SEARCH($A165,'Diags Raw Data'!$A$6:$A$3830))),--('Diags Raw Data'!$Q$6:$Q$3830&lt;&gt;"N/A"),'Diags Raw Data'!$U$6:$U$3830)</f>
        <v>0</v>
      </c>
      <c r="O165" s="488">
        <f t="shared" si="19"/>
        <v>0</v>
      </c>
      <c r="P165" s="489">
        <f>SUMIF('Diags Raw Data'!$A$6:$A$3830,"*"&amp;$A165&amp;"*",'Diags Raw Data'!$Z$6:$Z$3830)</f>
        <v>0</v>
      </c>
      <c r="Q165" s="490">
        <f>SUM(SUMIF('Diags Raw Data'!$A$6:$A$3830,"*"&amp;$A165&amp;"*",'Diags Raw Data'!$AA$6:$AA$3830),SUMIF('Diags Raw Data'!$A$6:$A$3830,"*"&amp;$A165&amp;"*",'Diags Raw Data'!$AB$6:$AB$3830))</f>
        <v>0</v>
      </c>
      <c r="R165" s="491">
        <f t="shared" si="20"/>
        <v>0</v>
      </c>
      <c r="S165" s="491">
        <f t="shared" si="21"/>
        <v>0</v>
      </c>
      <c r="T165" s="492">
        <f t="shared" si="22"/>
        <v>0</v>
      </c>
      <c r="U165" s="432" t="str">
        <f>VLOOKUP(A165,'Diags Raw Data'!$A$6:$AH$3830,33,FALSE)</f>
        <v>N/A</v>
      </c>
      <c r="V165" s="181"/>
    </row>
    <row r="166" spans="1:22" ht="30.75" thickBot="1" x14ac:dyDescent="0.3">
      <c r="A166" s="546">
        <v>12.343</v>
      </c>
      <c r="B166" s="434" t="str">
        <f>VLOOKUP(A166,'Feature Raw Data'!$A$3:$B$3922,2,FALSE)</f>
        <v>SPM sample sync across AID and GFX to DF</v>
      </c>
      <c r="C166" s="435" t="str">
        <f>VLOOKUP(A166,'Feature Raw Data'!$A$3:$C$3922,3,FALSE)</f>
        <v>P1</v>
      </c>
      <c r="D166" s="436" t="str" cm="1">
        <f t="array" ref="D166">_xlfn.TEXTJOIN("",TRUE,IF(ISNUMBER(SEARCH($A166,'Diags Raw Data'!$A$6:$A$3830)),CONCATENATE('Diags Raw Data'!$H$6:$H$3830,", "),""))</f>
        <v xml:space="preserve">std1.6, </v>
      </c>
      <c r="E166" s="339" t="str">
        <f>VLOOKUP(A166,'Diags Raw Data'!$A$6:$D$3830,4,FALSE)</f>
        <v>CTL</v>
      </c>
      <c r="F166" s="339" t="str">
        <f>VLOOKUP(A166,'Feature Raw Data'!$A$3:$E$3922,5,FALSE)</f>
        <v>New</v>
      </c>
      <c r="G166" s="339" t="str">
        <f t="shared" si="17"/>
        <v>Yes</v>
      </c>
      <c r="H166" s="339" t="str">
        <f t="shared" si="18"/>
        <v>Yes</v>
      </c>
      <c r="I166" s="435">
        <f>SUMIF('Diags Raw Data'!$A$6:$A$3830,"*"&amp;$A166&amp;"*",'Diags Raw Data'!$K$6:$K$3830)</f>
        <v>0</v>
      </c>
      <c r="J166" s="437">
        <f>SUMIF('Diags Raw Data'!$A$6:$A$3830,"*"&amp;$A166&amp;"*",'Diags Raw Data'!$L$6:$L$3830)</f>
        <v>0</v>
      </c>
      <c r="K166" s="484" t="e" cm="1">
        <f t="array" ref="K166">IF(D166="",0, SUMPRODUCT(--(ISNUMBER(SEARCH($A166,'Diags Raw Data'!$A$6:$A$3830))),'Diags Raw Data'!$L$6:$L$3830,'Diags Raw Data'!$N$6:$N$3830)/J166)</f>
        <v>#DIV/0!</v>
      </c>
      <c r="L166" s="485" t="e" cm="1">
        <f t="array" ref="L166">IF(D166="",0, SUMPRODUCT(--(ISNUMBER(SEARCH($A166,'Diags Raw Data'!$A$6:$A$3830))),'Diags Raw Data'!$L$6:$L$3830,'Diags Raw Data'!$P$6:$P$3830)/J166)</f>
        <v>#DIV/0!</v>
      </c>
      <c r="M166" s="486" cm="1">
        <f t="array" ref="M166">SUMPRODUCT(--(ISNUMBER(SEARCH($A166,'Diags Raw Data'!$A$6:$A$3830))),--('Diags Raw Data'!$Q$6:$Q$3830&lt;&gt;"N/A"),'Diags Raw Data'!$R$6:$R$3830)</f>
        <v>1</v>
      </c>
      <c r="N166" s="487" cm="1">
        <f t="array" ref="N166">SUMPRODUCT(--(ISNUMBER(SEARCH($A166,'Diags Raw Data'!$A$6:$A$3830))),--('Diags Raw Data'!$Q$6:$Q$3830&lt;&gt;"N/A"),'Diags Raw Data'!$T$6:$T$3830)+SUMPRODUCT(--(ISNUMBER(SEARCH($A166,'Diags Raw Data'!$A$6:$A$3830))),--('Diags Raw Data'!$Q$6:$Q$3830&lt;&gt;"N/A"),'Diags Raw Data'!$U$6:$U$3830)</f>
        <v>0</v>
      </c>
      <c r="O166" s="488">
        <f t="shared" si="19"/>
        <v>0</v>
      </c>
      <c r="P166" s="489">
        <f>SUMIF('Diags Raw Data'!$A$6:$A$3830,"*"&amp;$A166&amp;"*",'Diags Raw Data'!$Z$6:$Z$3830)</f>
        <v>0</v>
      </c>
      <c r="Q166" s="490">
        <f>SUM(SUMIF('Diags Raw Data'!$A$6:$A$3830,"*"&amp;$A166&amp;"*",'Diags Raw Data'!$AA$6:$AA$3830),SUMIF('Diags Raw Data'!$A$6:$A$3830,"*"&amp;$A166&amp;"*",'Diags Raw Data'!$AB$6:$AB$3830))</f>
        <v>0</v>
      </c>
      <c r="R166" s="491">
        <f t="shared" si="20"/>
        <v>0</v>
      </c>
      <c r="S166" s="491">
        <f t="shared" si="21"/>
        <v>0</v>
      </c>
      <c r="T166" s="492">
        <f t="shared" si="22"/>
        <v>0</v>
      </c>
      <c r="U166" s="432" t="str">
        <f>VLOOKUP(A166,'Diags Raw Data'!$A$6:$AH$3830,33,FALSE)</f>
        <v>WK5</v>
      </c>
      <c r="V166" s="181"/>
    </row>
    <row r="167" spans="1:22" ht="15.75" thickBot="1" x14ac:dyDescent="0.3">
      <c r="A167" s="546">
        <v>12.343999999999999</v>
      </c>
      <c r="B167" s="434" t="str">
        <f>VLOOKUP(A167,'Feature Raw Data'!$A$3:$B$3922,2,FALSE)</f>
        <v>Faulting illegal ops to PCIE</v>
      </c>
      <c r="C167" s="435" t="str">
        <f>VLOOKUP(A167,'Feature Raw Data'!$A$3:$C$3922,3,FALSE)</f>
        <v>P1</v>
      </c>
      <c r="D167" s="436" t="str" cm="1">
        <f t="array" ref="D167">_xlfn.TEXTJOIN("",TRUE,IF(ISNUMBER(SEARCH($A167,'Diags Raw Data'!$A$6:$A$3830)),CONCATENATE('Diags Raw Data'!$H$6:$H$3830,", "),""))</f>
        <v xml:space="preserve">glxi86.1-2, </v>
      </c>
      <c r="E167" s="339" t="str">
        <f>VLOOKUP(A167,'Diags Raw Data'!$A$6:$D$3830,4,FALSE)</f>
        <v>CMM</v>
      </c>
      <c r="F167" s="339" t="str">
        <f>VLOOKUP(A167,'Feature Raw Data'!$A$3:$E$3922,5,FALSE)</f>
        <v>New</v>
      </c>
      <c r="G167" s="339" t="str">
        <f t="shared" si="17"/>
        <v>Yes</v>
      </c>
      <c r="H167" s="339" t="str">
        <f t="shared" si="18"/>
        <v>Yes</v>
      </c>
      <c r="I167" s="435">
        <f>SUMIF('Diags Raw Data'!$A$6:$A$3830,"*"&amp;$A167&amp;"*",'Diags Raw Data'!$K$6:$K$3830)</f>
        <v>0</v>
      </c>
      <c r="J167" s="437">
        <f>SUMIF('Diags Raw Data'!$A$6:$A$3830,"*"&amp;$A167&amp;"*",'Diags Raw Data'!$L$6:$L$3830)</f>
        <v>0</v>
      </c>
      <c r="K167" s="484" t="e" cm="1">
        <f t="array" ref="K167">IF(D167="",0, SUMPRODUCT(--(ISNUMBER(SEARCH($A167,'Diags Raw Data'!$A$6:$A$3830))),'Diags Raw Data'!$L$6:$L$3830,'Diags Raw Data'!$N$6:$N$3830)/J167)</f>
        <v>#DIV/0!</v>
      </c>
      <c r="L167" s="485" t="e" cm="1">
        <f t="array" ref="L167">IF(D167="",0, SUMPRODUCT(--(ISNUMBER(SEARCH($A167,'Diags Raw Data'!$A$6:$A$3830))),'Diags Raw Data'!$L$6:$L$3830,'Diags Raw Data'!$P$6:$P$3830)/J167)</f>
        <v>#DIV/0!</v>
      </c>
      <c r="M167" s="486" cm="1">
        <f t="array" ref="M167">SUMPRODUCT(--(ISNUMBER(SEARCH($A167,'Diags Raw Data'!$A$6:$A$3830))),--('Diags Raw Data'!$Q$6:$Q$3830&lt;&gt;"N/A"),'Diags Raw Data'!$R$6:$R$3830)</f>
        <v>1</v>
      </c>
      <c r="N167" s="487" cm="1">
        <f t="array" ref="N167">SUMPRODUCT(--(ISNUMBER(SEARCH($A167,'Diags Raw Data'!$A$6:$A$3830))),--('Diags Raw Data'!$Q$6:$Q$3830&lt;&gt;"N/A"),'Diags Raw Data'!$T$6:$T$3830)+SUMPRODUCT(--(ISNUMBER(SEARCH($A167,'Diags Raw Data'!$A$6:$A$3830))),--('Diags Raw Data'!$Q$6:$Q$3830&lt;&gt;"N/A"),'Diags Raw Data'!$U$6:$U$3830)</f>
        <v>0</v>
      </c>
      <c r="O167" s="488">
        <f t="shared" si="19"/>
        <v>0</v>
      </c>
      <c r="P167" s="489">
        <f>SUMIF('Diags Raw Data'!$A$6:$A$3830,"*"&amp;$A167&amp;"*",'Diags Raw Data'!$Z$6:$Z$3830)</f>
        <v>0</v>
      </c>
      <c r="Q167" s="490">
        <f>SUM(SUMIF('Diags Raw Data'!$A$6:$A$3830,"*"&amp;$A167&amp;"*",'Diags Raw Data'!$AA$6:$AA$3830),SUMIF('Diags Raw Data'!$A$6:$A$3830,"*"&amp;$A167&amp;"*",'Diags Raw Data'!$AB$6:$AB$3830))</f>
        <v>0</v>
      </c>
      <c r="R167" s="491">
        <f t="shared" si="20"/>
        <v>0</v>
      </c>
      <c r="S167" s="491">
        <f t="shared" si="21"/>
        <v>0</v>
      </c>
      <c r="T167" s="492">
        <f t="shared" si="22"/>
        <v>0</v>
      </c>
      <c r="U167" s="432" t="str">
        <f>VLOOKUP(A167,'Diags Raw Data'!$A$6:$AH$3830,33,FALSE)</f>
        <v>WK6</v>
      </c>
      <c r="V167" s="181"/>
    </row>
    <row r="168" spans="1:22" ht="45.75" thickBot="1" x14ac:dyDescent="0.3">
      <c r="A168" s="546">
        <v>12.349</v>
      </c>
      <c r="B168" s="434" t="str">
        <f>VLOOKUP(A168,'Feature Raw Data'!$A$3:$B$3922,2,FALSE)</f>
        <v>Perfmon: GFX - Convert all counter modules to SPM-only mode</v>
      </c>
      <c r="C168" s="435" t="str">
        <f>VLOOKUP(A168,'Feature Raw Data'!$A$3:$C$3922,3,FALSE)</f>
        <v>P2</v>
      </c>
      <c r="D168" s="436" t="str" cm="1">
        <f t="array" ref="D168">_xlfn.TEXTJOIN("",TRUE,IF(ISNUMBER(SEARCH($A168,'Diags Raw Data'!$A$6:$A$3830)),CONCATENATE('Diags Raw Data'!$H$6:$H$3830,", "),""))</f>
        <v xml:space="preserve">std1.6, </v>
      </c>
      <c r="E168" s="339" t="str">
        <f>VLOOKUP(A168,'Diags Raw Data'!$A$6:$D$3830,4,FALSE)</f>
        <v>GC</v>
      </c>
      <c r="F168" s="339" t="str">
        <f>VLOOKUP(A168,'Feature Raw Data'!$A$3:$E$3922,5,FALSE)</f>
        <v>New</v>
      </c>
      <c r="G168" s="339" t="str">
        <f t="shared" si="17"/>
        <v>Yes</v>
      </c>
      <c r="H168" s="339" t="str">
        <f t="shared" si="18"/>
        <v>Yes</v>
      </c>
      <c r="I168" s="435">
        <f>SUMIF('Diags Raw Data'!$A$6:$A$3830,"*"&amp;$A168&amp;"*",'Diags Raw Data'!$K$6:$K$3830)</f>
        <v>0</v>
      </c>
      <c r="J168" s="437">
        <f>SUMIF('Diags Raw Data'!$A$6:$A$3830,"*"&amp;$A168&amp;"*",'Diags Raw Data'!$L$6:$L$3830)</f>
        <v>0</v>
      </c>
      <c r="K168" s="484" t="e" cm="1">
        <f t="array" ref="K168">IF(D168="",0, SUMPRODUCT(--(ISNUMBER(SEARCH($A168,'Diags Raw Data'!$A$6:$A$3830))),'Diags Raw Data'!$L$6:$L$3830,'Diags Raw Data'!$N$6:$N$3830)/J168)</f>
        <v>#DIV/0!</v>
      </c>
      <c r="L168" s="485" t="e" cm="1">
        <f t="array" ref="L168">IF(D168="",0, SUMPRODUCT(--(ISNUMBER(SEARCH($A168,'Diags Raw Data'!$A$6:$A$3830))),'Diags Raw Data'!$L$6:$L$3830,'Diags Raw Data'!$P$6:$P$3830)/J168)</f>
        <v>#DIV/0!</v>
      </c>
      <c r="M168" s="486" cm="1">
        <f t="array" ref="M168">SUMPRODUCT(--(ISNUMBER(SEARCH($A168,'Diags Raw Data'!$A$6:$A$3830))),--('Diags Raw Data'!$Q$6:$Q$3830&lt;&gt;"N/A"),'Diags Raw Data'!$R$6:$R$3830)</f>
        <v>1</v>
      </c>
      <c r="N168" s="487" cm="1">
        <f t="array" ref="N168">SUMPRODUCT(--(ISNUMBER(SEARCH($A168,'Diags Raw Data'!$A$6:$A$3830))),--('Diags Raw Data'!$Q$6:$Q$3830&lt;&gt;"N/A"),'Diags Raw Data'!$T$6:$T$3830)+SUMPRODUCT(--(ISNUMBER(SEARCH($A168,'Diags Raw Data'!$A$6:$A$3830))),--('Diags Raw Data'!$Q$6:$Q$3830&lt;&gt;"N/A"),'Diags Raw Data'!$U$6:$U$3830)</f>
        <v>0</v>
      </c>
      <c r="O168" s="488">
        <f t="shared" si="19"/>
        <v>0</v>
      </c>
      <c r="P168" s="489">
        <f>SUMIF('Diags Raw Data'!$A$6:$A$3830,"*"&amp;$A168&amp;"*",'Diags Raw Data'!$Z$6:$Z$3830)</f>
        <v>0</v>
      </c>
      <c r="Q168" s="490">
        <f>SUM(SUMIF('Diags Raw Data'!$A$6:$A$3830,"*"&amp;$A168&amp;"*",'Diags Raw Data'!$AA$6:$AA$3830),SUMIF('Diags Raw Data'!$A$6:$A$3830,"*"&amp;$A168&amp;"*",'Diags Raw Data'!$AB$6:$AB$3830))</f>
        <v>0</v>
      </c>
      <c r="R168" s="491">
        <f t="shared" si="20"/>
        <v>0</v>
      </c>
      <c r="S168" s="491">
        <f t="shared" si="21"/>
        <v>0</v>
      </c>
      <c r="T168" s="492">
        <f t="shared" si="22"/>
        <v>0</v>
      </c>
      <c r="U168" s="432" t="str">
        <f>VLOOKUP(A168,'Diags Raw Data'!$A$6:$AH$3830,33,FALSE)</f>
        <v>WK8</v>
      </c>
      <c r="V168" s="181"/>
    </row>
    <row r="169" spans="1:22" ht="45.75" thickBot="1" x14ac:dyDescent="0.3">
      <c r="A169" s="546">
        <v>12.356</v>
      </c>
      <c r="B169" s="434" t="str">
        <f>VLOOKUP(A169,'Feature Raw Data'!$A$3:$B$3922,2,FALSE)</f>
        <v>Perfmon: GFX - GFX SPM sampling window to be driven by REFCLK</v>
      </c>
      <c r="C169" s="435" t="str">
        <f>VLOOKUP(A169,'Feature Raw Data'!$A$3:$C$3922,3,FALSE)</f>
        <v>P1</v>
      </c>
      <c r="D169" s="436" t="str" cm="1">
        <f t="array" ref="D169">_xlfn.TEXTJOIN("",TRUE,IF(ISNUMBER(SEARCH($A169,'Diags Raw Data'!$A$6:$A$3830)),CONCATENATE('Diags Raw Data'!$H$6:$H$3830,", "),""))</f>
        <v xml:space="preserve">rlc1.0, </v>
      </c>
      <c r="E169" s="339" t="str">
        <f>VLOOKUP(A169,'Diags Raw Data'!$A$6:$D$3830,4,FALSE)</f>
        <v>GC</v>
      </c>
      <c r="F169" s="339" t="str">
        <f>VLOOKUP(A169,'Feature Raw Data'!$A$3:$E$3922,5,FALSE)</f>
        <v>New</v>
      </c>
      <c r="G169" s="339" t="str">
        <f t="shared" si="17"/>
        <v>Yes</v>
      </c>
      <c r="H169" s="339" t="str">
        <f t="shared" si="18"/>
        <v>Yes</v>
      </c>
      <c r="I169" s="435">
        <f>SUMIF('Diags Raw Data'!$A$6:$A$3830,"*"&amp;$A169&amp;"*",'Diags Raw Data'!$K$6:$K$3830)</f>
        <v>0</v>
      </c>
      <c r="J169" s="437">
        <f>SUMIF('Diags Raw Data'!$A$6:$A$3830,"*"&amp;$A169&amp;"*",'Diags Raw Data'!$L$6:$L$3830)</f>
        <v>0</v>
      </c>
      <c r="K169" s="484" t="e" cm="1">
        <f t="array" ref="K169">IF(D169="",0, SUMPRODUCT(--(ISNUMBER(SEARCH($A169,'Diags Raw Data'!$A$6:$A$3830))),'Diags Raw Data'!$L$6:$L$3830,'Diags Raw Data'!$N$6:$N$3830)/J169)</f>
        <v>#DIV/0!</v>
      </c>
      <c r="L169" s="485" t="e" cm="1">
        <f t="array" ref="L169">IF(D169="",0, SUMPRODUCT(--(ISNUMBER(SEARCH($A169,'Diags Raw Data'!$A$6:$A$3830))),'Diags Raw Data'!$L$6:$L$3830,'Diags Raw Data'!$P$6:$P$3830)/J169)</f>
        <v>#DIV/0!</v>
      </c>
      <c r="M169" s="486" cm="1">
        <f t="array" ref="M169">SUMPRODUCT(--(ISNUMBER(SEARCH($A169,'Diags Raw Data'!$A$6:$A$3830))),--('Diags Raw Data'!$Q$6:$Q$3830&lt;&gt;"N/A"),'Diags Raw Data'!$R$6:$R$3830)</f>
        <v>1</v>
      </c>
      <c r="N169" s="487" cm="1">
        <f t="array" ref="N169">SUMPRODUCT(--(ISNUMBER(SEARCH($A169,'Diags Raw Data'!$A$6:$A$3830))),--('Diags Raw Data'!$Q$6:$Q$3830&lt;&gt;"N/A"),'Diags Raw Data'!$T$6:$T$3830)+SUMPRODUCT(--(ISNUMBER(SEARCH($A169,'Diags Raw Data'!$A$6:$A$3830))),--('Diags Raw Data'!$Q$6:$Q$3830&lt;&gt;"N/A"),'Diags Raw Data'!$U$6:$U$3830)</f>
        <v>1</v>
      </c>
      <c r="O169" s="488">
        <f t="shared" si="19"/>
        <v>1</v>
      </c>
      <c r="P169" s="489">
        <f>SUMIF('Diags Raw Data'!$A$6:$A$3830,"*"&amp;$A169&amp;"*",'Diags Raw Data'!$Z$6:$Z$3830)</f>
        <v>0</v>
      </c>
      <c r="Q169" s="490">
        <f>SUM(SUMIF('Diags Raw Data'!$A$6:$A$3830,"*"&amp;$A169&amp;"*",'Diags Raw Data'!$AA$6:$AA$3830),SUMIF('Diags Raw Data'!$A$6:$A$3830,"*"&amp;$A169&amp;"*",'Diags Raw Data'!$AB$6:$AB$3830))</f>
        <v>0</v>
      </c>
      <c r="R169" s="491">
        <f t="shared" si="20"/>
        <v>0</v>
      </c>
      <c r="S169" s="491">
        <f t="shared" si="21"/>
        <v>0</v>
      </c>
      <c r="T169" s="492">
        <f t="shared" si="22"/>
        <v>0</v>
      </c>
      <c r="U169" s="432" t="str">
        <f>VLOOKUP(A169,'Diags Raw Data'!$A$6:$AH$3830,33,FALSE)</f>
        <v>WK5</v>
      </c>
      <c r="V169" s="181"/>
    </row>
    <row r="170" spans="1:22" ht="45.75" thickBot="1" x14ac:dyDescent="0.3">
      <c r="A170" s="546">
        <v>12.356999999999999</v>
      </c>
      <c r="B170" s="434" t="str">
        <f>VLOOKUP(A170,'Feature Raw Data'!$A$3:$B$3922,2,FALSE)</f>
        <v>Perfmon: GFX - SQ counters to support shader type filters per individual counter</v>
      </c>
      <c r="C170" s="435" t="str">
        <f>VLOOKUP(A170,'Feature Raw Data'!$A$3:$C$3922,3,FALSE)</f>
        <v>P1</v>
      </c>
      <c r="D170" s="436" t="str" cm="1">
        <f t="array" ref="D170">_xlfn.TEXTJOIN("",TRUE,IF(ISNUMBER(SEARCH($A170,'Diags Raw Data'!$A$6:$A$3830)),CONCATENATE('Diags Raw Data'!$H$6:$H$3830,", "),""))</f>
        <v xml:space="preserve">std1.1, </v>
      </c>
      <c r="E170" s="339" t="str">
        <f>VLOOKUP(A170,'Diags Raw Data'!$A$6:$D$3830,4,FALSE)</f>
        <v>GC</v>
      </c>
      <c r="F170" s="339" t="str">
        <f>VLOOKUP(A170,'Feature Raw Data'!$A$3:$E$3922,5,FALSE)</f>
        <v>New</v>
      </c>
      <c r="G170" s="339" t="str">
        <f t="shared" si="17"/>
        <v>Yes</v>
      </c>
      <c r="H170" s="339" t="str">
        <f t="shared" si="18"/>
        <v>Yes</v>
      </c>
      <c r="I170" s="435">
        <f>SUMIF('Diags Raw Data'!$A$6:$A$3830,"*"&amp;$A170&amp;"*",'Diags Raw Data'!$K$6:$K$3830)</f>
        <v>0</v>
      </c>
      <c r="J170" s="437">
        <f>SUMIF('Diags Raw Data'!$A$6:$A$3830,"*"&amp;$A170&amp;"*",'Diags Raw Data'!$L$6:$L$3830)</f>
        <v>0</v>
      </c>
      <c r="K170" s="484" t="e" cm="1">
        <f t="array" ref="K170">IF(D170="",0, SUMPRODUCT(--(ISNUMBER(SEARCH($A170,'Diags Raw Data'!$A$6:$A$3830))),'Diags Raw Data'!$L$6:$L$3830,'Diags Raw Data'!$N$6:$N$3830)/J170)</f>
        <v>#DIV/0!</v>
      </c>
      <c r="L170" s="485" t="e" cm="1">
        <f t="array" ref="L170">IF(D170="",0, SUMPRODUCT(--(ISNUMBER(SEARCH($A170,'Diags Raw Data'!$A$6:$A$3830))),'Diags Raw Data'!$L$6:$L$3830,'Diags Raw Data'!$P$6:$P$3830)/J170)</f>
        <v>#DIV/0!</v>
      </c>
      <c r="M170" s="486" cm="1">
        <f t="array" ref="M170">SUMPRODUCT(--(ISNUMBER(SEARCH($A170,'Diags Raw Data'!$A$6:$A$3830))),--('Diags Raw Data'!$Q$6:$Q$3830&lt;&gt;"N/A"),'Diags Raw Data'!$R$6:$R$3830)</f>
        <v>1</v>
      </c>
      <c r="N170" s="487" cm="1">
        <f t="array" ref="N170">SUMPRODUCT(--(ISNUMBER(SEARCH($A170,'Diags Raw Data'!$A$6:$A$3830))),--('Diags Raw Data'!$Q$6:$Q$3830&lt;&gt;"N/A"),'Diags Raw Data'!$T$6:$T$3830)+SUMPRODUCT(--(ISNUMBER(SEARCH($A170,'Diags Raw Data'!$A$6:$A$3830))),--('Diags Raw Data'!$Q$6:$Q$3830&lt;&gt;"N/A"),'Diags Raw Data'!$U$6:$U$3830)</f>
        <v>1</v>
      </c>
      <c r="O170" s="488">
        <f t="shared" si="19"/>
        <v>1</v>
      </c>
      <c r="P170" s="489">
        <f>SUMIF('Diags Raw Data'!$A$6:$A$3830,"*"&amp;$A170&amp;"*",'Diags Raw Data'!$Z$6:$Z$3830)</f>
        <v>0</v>
      </c>
      <c r="Q170" s="490">
        <f>SUM(SUMIF('Diags Raw Data'!$A$6:$A$3830,"*"&amp;$A170&amp;"*",'Diags Raw Data'!$AA$6:$AA$3830),SUMIF('Diags Raw Data'!$A$6:$A$3830,"*"&amp;$A170&amp;"*",'Diags Raw Data'!$AB$6:$AB$3830))</f>
        <v>0</v>
      </c>
      <c r="R170" s="491">
        <f t="shared" si="20"/>
        <v>0</v>
      </c>
      <c r="S170" s="491">
        <f t="shared" si="21"/>
        <v>0</v>
      </c>
      <c r="T170" s="492">
        <f t="shared" si="22"/>
        <v>0</v>
      </c>
      <c r="U170" s="432" t="str">
        <f>VLOOKUP(A170,'Diags Raw Data'!$A$6:$AH$3830,33,FALSE)</f>
        <v>WK5</v>
      </c>
      <c r="V170" s="181"/>
    </row>
    <row r="171" spans="1:22" ht="45.75" thickBot="1" x14ac:dyDescent="0.3">
      <c r="A171" s="546">
        <v>12.358000000000001</v>
      </c>
      <c r="B171" s="434" t="str">
        <f>VLOOKUP(A171,'Feature Raw Data'!$A$3:$B$3922,2,FALSE)</f>
        <v>Perfmon: GFX - Custom data injection from CP into SPM with delta counters</v>
      </c>
      <c r="C171" s="435" t="str">
        <f>VLOOKUP(A171,'Feature Raw Data'!$A$3:$C$3922,3,FALSE)</f>
        <v>P2</v>
      </c>
      <c r="D171" s="436" t="str" cm="1">
        <f t="array" ref="D171">_xlfn.TEXTJOIN("",TRUE,IF(ISNUMBER(SEARCH($A171,'Diags Raw Data'!$A$6:$A$3830)),CONCATENATE('Diags Raw Data'!$H$6:$H$3830,", "),""))</f>
        <v xml:space="preserve">rlc1.0, </v>
      </c>
      <c r="E171" s="339" t="str">
        <f>VLOOKUP(A171,'Diags Raw Data'!$A$6:$D$3830,4,FALSE)</f>
        <v>GC</v>
      </c>
      <c r="F171" s="339" t="str">
        <f>VLOOKUP(A171,'Feature Raw Data'!$A$3:$E$3922,5,FALSE)</f>
        <v>New</v>
      </c>
      <c r="G171" s="339" t="str">
        <f t="shared" si="17"/>
        <v>Yes</v>
      </c>
      <c r="H171" s="339" t="str">
        <f t="shared" si="18"/>
        <v>Yes</v>
      </c>
      <c r="I171" s="435">
        <f>SUMIF('Diags Raw Data'!$A$6:$A$3830,"*"&amp;$A171&amp;"*",'Diags Raw Data'!$K$6:$K$3830)</f>
        <v>0</v>
      </c>
      <c r="J171" s="437">
        <f>SUMIF('Diags Raw Data'!$A$6:$A$3830,"*"&amp;$A171&amp;"*",'Diags Raw Data'!$L$6:$L$3830)</f>
        <v>0</v>
      </c>
      <c r="K171" s="484" t="e" cm="1">
        <f t="array" ref="K171">IF(D171="",0, SUMPRODUCT(--(ISNUMBER(SEARCH($A171,'Diags Raw Data'!$A$6:$A$3830))),'Diags Raw Data'!$L$6:$L$3830,'Diags Raw Data'!$N$6:$N$3830)/J171)</f>
        <v>#DIV/0!</v>
      </c>
      <c r="L171" s="485" t="e" cm="1">
        <f t="array" ref="L171">IF(D171="",0, SUMPRODUCT(--(ISNUMBER(SEARCH($A171,'Diags Raw Data'!$A$6:$A$3830))),'Diags Raw Data'!$L$6:$L$3830,'Diags Raw Data'!$P$6:$P$3830)/J171)</f>
        <v>#DIV/0!</v>
      </c>
      <c r="M171" s="486" cm="1">
        <f t="array" ref="M171">SUMPRODUCT(--(ISNUMBER(SEARCH($A171,'Diags Raw Data'!$A$6:$A$3830))),--('Diags Raw Data'!$Q$6:$Q$3830&lt;&gt;"N/A"),'Diags Raw Data'!$R$6:$R$3830)</f>
        <v>1</v>
      </c>
      <c r="N171" s="487" cm="1">
        <f t="array" ref="N171">SUMPRODUCT(--(ISNUMBER(SEARCH($A171,'Diags Raw Data'!$A$6:$A$3830))),--('Diags Raw Data'!$Q$6:$Q$3830&lt;&gt;"N/A"),'Diags Raw Data'!$T$6:$T$3830)+SUMPRODUCT(--(ISNUMBER(SEARCH($A171,'Diags Raw Data'!$A$6:$A$3830))),--('Diags Raw Data'!$Q$6:$Q$3830&lt;&gt;"N/A"),'Diags Raw Data'!$U$6:$U$3830)</f>
        <v>1</v>
      </c>
      <c r="O171" s="488">
        <f t="shared" si="19"/>
        <v>1</v>
      </c>
      <c r="P171" s="489">
        <f>SUMIF('Diags Raw Data'!$A$6:$A$3830,"*"&amp;$A171&amp;"*",'Diags Raw Data'!$Z$6:$Z$3830)</f>
        <v>0</v>
      </c>
      <c r="Q171" s="490">
        <f>SUM(SUMIF('Diags Raw Data'!$A$6:$A$3830,"*"&amp;$A171&amp;"*",'Diags Raw Data'!$AA$6:$AA$3830),SUMIF('Diags Raw Data'!$A$6:$A$3830,"*"&amp;$A171&amp;"*",'Diags Raw Data'!$AB$6:$AB$3830))</f>
        <v>0</v>
      </c>
      <c r="R171" s="491">
        <f t="shared" si="20"/>
        <v>0</v>
      </c>
      <c r="S171" s="491">
        <f t="shared" si="21"/>
        <v>0</v>
      </c>
      <c r="T171" s="492">
        <f t="shared" si="22"/>
        <v>0</v>
      </c>
      <c r="U171" s="432" t="str">
        <f>VLOOKUP(A171,'Diags Raw Data'!$A$6:$AH$3830,33,FALSE)</f>
        <v>WK8</v>
      </c>
      <c r="V171" s="181"/>
    </row>
    <row r="172" spans="1:22" ht="30.75" thickBot="1" x14ac:dyDescent="0.3">
      <c r="A172" s="546">
        <v>12.36</v>
      </c>
      <c r="B172" s="434" t="str">
        <f>VLOOKUP(A172,'Feature Raw Data'!$A$3:$B$3922,2,FALSE)</f>
        <v>WMMA wave level matrix load Instruction</v>
      </c>
      <c r="C172" s="435" t="str">
        <f>VLOOKUP(A172,'Feature Raw Data'!$A$3:$C$3922,3,FALSE)</f>
        <v>P2</v>
      </c>
      <c r="D172" s="436" t="str" cm="1">
        <f t="array" ref="D172">_xlfn.TEXTJOIN("",TRUE,IF(ISNUMBER(SEARCH($A172,'Diags Raw Data'!$A$6:$A$3830)),CONCATENATE('Diags Raw Data'!$H$6:$H$3830,", "),""))</f>
        <v xml:space="preserve">gfx.inst_perf/global_load_tr.1-2, shci2039.4,shci2039.5, N/A, </v>
      </c>
      <c r="E172" s="339" t="str">
        <f>VLOOKUP(A172,'Diags Raw Data'!$A$6:$D$3830,4,FALSE)</f>
        <v>SH</v>
      </c>
      <c r="F172" s="339" t="str">
        <f>VLOOKUP(A172,'Feature Raw Data'!$A$3:$E$3922,5,FALSE)</f>
        <v>New</v>
      </c>
      <c r="G172" s="339" t="str">
        <f t="shared" si="17"/>
        <v>Yes</v>
      </c>
      <c r="H172" s="339" t="str">
        <f t="shared" si="18"/>
        <v>Yes</v>
      </c>
      <c r="I172" s="435">
        <f>SUMIF('Diags Raw Data'!$A$6:$A$3830,"*"&amp;$A172&amp;"*",'Diags Raw Data'!$K$6:$K$3830)</f>
        <v>0</v>
      </c>
      <c r="J172" s="437">
        <f>SUMIF('Diags Raw Data'!$A$6:$A$3830,"*"&amp;$A172&amp;"*",'Diags Raw Data'!$L$6:$L$3830)</f>
        <v>0</v>
      </c>
      <c r="K172" s="484" t="e" cm="1">
        <f t="array" ref="K172">IF(D172="",0, SUMPRODUCT(--(ISNUMBER(SEARCH($A172,'Diags Raw Data'!$A$6:$A$3830))),'Diags Raw Data'!$L$6:$L$3830,'Diags Raw Data'!$N$6:$N$3830)/J172)</f>
        <v>#DIV/0!</v>
      </c>
      <c r="L172" s="485" t="e" cm="1">
        <f t="array" ref="L172">IF(D172="",0, SUMPRODUCT(--(ISNUMBER(SEARCH($A172,'Diags Raw Data'!$A$6:$A$3830))),'Diags Raw Data'!$L$6:$L$3830,'Diags Raw Data'!$P$6:$P$3830)/J172)</f>
        <v>#DIV/0!</v>
      </c>
      <c r="M172" s="486" cm="1">
        <f t="array" ref="M172">SUMPRODUCT(--(ISNUMBER(SEARCH($A172,'Diags Raw Data'!$A$6:$A$3830))),--('Diags Raw Data'!$Q$6:$Q$3830&lt;&gt;"N/A"),'Diags Raw Data'!$R$6:$R$3830)</f>
        <v>3</v>
      </c>
      <c r="N172" s="487" cm="1">
        <f t="array" ref="N172">SUMPRODUCT(--(ISNUMBER(SEARCH($A172,'Diags Raw Data'!$A$6:$A$3830))),--('Diags Raw Data'!$Q$6:$Q$3830&lt;&gt;"N/A"),'Diags Raw Data'!$T$6:$T$3830)+SUMPRODUCT(--(ISNUMBER(SEARCH($A172,'Diags Raw Data'!$A$6:$A$3830))),--('Diags Raw Data'!$Q$6:$Q$3830&lt;&gt;"N/A"),'Diags Raw Data'!$U$6:$U$3830)</f>
        <v>3</v>
      </c>
      <c r="O172" s="488">
        <f t="shared" si="19"/>
        <v>1</v>
      </c>
      <c r="P172" s="489">
        <f>SUMIF('Diags Raw Data'!$A$6:$A$3830,"*"&amp;$A172&amp;"*",'Diags Raw Data'!$Z$6:$Z$3830)</f>
        <v>0</v>
      </c>
      <c r="Q172" s="490">
        <f>SUM(SUMIF('Diags Raw Data'!$A$6:$A$3830,"*"&amp;$A172&amp;"*",'Diags Raw Data'!$AA$6:$AA$3830),SUMIF('Diags Raw Data'!$A$6:$A$3830,"*"&amp;$A172&amp;"*",'Diags Raw Data'!$AB$6:$AB$3830))</f>
        <v>0</v>
      </c>
      <c r="R172" s="491">
        <f t="shared" si="20"/>
        <v>0</v>
      </c>
      <c r="S172" s="491">
        <f t="shared" si="21"/>
        <v>0</v>
      </c>
      <c r="T172" s="492">
        <f t="shared" si="22"/>
        <v>0</v>
      </c>
      <c r="U172" s="432" t="str">
        <f>VLOOKUP(A172,'Diags Raw Data'!$A$6:$AH$3830,33,FALSE)</f>
        <v>WK6</v>
      </c>
      <c r="V172" s="181"/>
    </row>
    <row r="173" spans="1:22" ht="30.75" thickBot="1" x14ac:dyDescent="0.3">
      <c r="A173" s="546">
        <v>12.361000000000001</v>
      </c>
      <c r="B173" s="434" t="str">
        <f>VLOOKUP(A173,'Feature Raw Data'!$A$3:$B$3922,2,FALSE)</f>
        <v>Perfmon: GFX - VMID Specific Profiling/Debugging</v>
      </c>
      <c r="C173" s="435" t="str">
        <f>VLOOKUP(A173,'Feature Raw Data'!$A$3:$C$3922,3,FALSE)</f>
        <v>P2</v>
      </c>
      <c r="D173" s="436" t="str" cm="1">
        <f t="array" ref="D173">_xlfn.TEXTJOIN("",TRUE,IF(ISNUMBER(SEARCH($A173,'Diags Raw Data'!$A$6:$A$3830)),CONCATENATE('Diags Raw Data'!$H$6:$H$3830,", "),""))</f>
        <v xml:space="preserve">shci2039.4,shci2039.5, </v>
      </c>
      <c r="E173" s="339" t="str">
        <f>VLOOKUP(A173,'Diags Raw Data'!$A$6:$D$3830,4,FALSE)</f>
        <v>SH</v>
      </c>
      <c r="F173" s="339" t="str">
        <f>VLOOKUP(A173,'Feature Raw Data'!$A$3:$E$3922,5,FALSE)</f>
        <v>New</v>
      </c>
      <c r="G173" s="339" t="str">
        <f t="shared" si="17"/>
        <v>Yes</v>
      </c>
      <c r="H173" s="339" t="str">
        <f t="shared" si="18"/>
        <v>Yes</v>
      </c>
      <c r="I173" s="435">
        <f>SUMIF('Diags Raw Data'!$A$6:$A$3830,"*"&amp;$A173&amp;"*",'Diags Raw Data'!$K$6:$K$3830)</f>
        <v>0</v>
      </c>
      <c r="J173" s="437">
        <f>SUMIF('Diags Raw Data'!$A$6:$A$3830,"*"&amp;$A173&amp;"*",'Diags Raw Data'!$L$6:$L$3830)</f>
        <v>0</v>
      </c>
      <c r="K173" s="484" t="e" cm="1">
        <f t="array" ref="K173">IF(D173="",0, SUMPRODUCT(--(ISNUMBER(SEARCH($A173,'Diags Raw Data'!$A$6:$A$3830))),'Diags Raw Data'!$L$6:$L$3830,'Diags Raw Data'!$N$6:$N$3830)/J173)</f>
        <v>#DIV/0!</v>
      </c>
      <c r="L173" s="485" t="e" cm="1">
        <f t="array" ref="L173">IF(D173="",0, SUMPRODUCT(--(ISNUMBER(SEARCH($A173,'Diags Raw Data'!$A$6:$A$3830))),'Diags Raw Data'!$L$6:$L$3830,'Diags Raw Data'!$P$6:$P$3830)/J173)</f>
        <v>#DIV/0!</v>
      </c>
      <c r="M173" s="486" cm="1">
        <f t="array" ref="M173">SUMPRODUCT(--(ISNUMBER(SEARCH($A173,'Diags Raw Data'!$A$6:$A$3830))),--('Diags Raw Data'!$Q$6:$Q$3830&lt;&gt;"N/A"),'Diags Raw Data'!$R$6:$R$3830)</f>
        <v>1</v>
      </c>
      <c r="N173" s="487" cm="1">
        <f t="array" ref="N173">SUMPRODUCT(--(ISNUMBER(SEARCH($A173,'Diags Raw Data'!$A$6:$A$3830))),--('Diags Raw Data'!$Q$6:$Q$3830&lt;&gt;"N/A"),'Diags Raw Data'!$T$6:$T$3830)+SUMPRODUCT(--(ISNUMBER(SEARCH($A173,'Diags Raw Data'!$A$6:$A$3830))),--('Diags Raw Data'!$Q$6:$Q$3830&lt;&gt;"N/A"),'Diags Raw Data'!$U$6:$U$3830)</f>
        <v>1</v>
      </c>
      <c r="O173" s="488">
        <f t="shared" si="19"/>
        <v>1</v>
      </c>
      <c r="P173" s="489">
        <f>SUMIF('Diags Raw Data'!$A$6:$A$3830,"*"&amp;$A173&amp;"*",'Diags Raw Data'!$Z$6:$Z$3830)</f>
        <v>0</v>
      </c>
      <c r="Q173" s="490">
        <f>SUM(SUMIF('Diags Raw Data'!$A$6:$A$3830,"*"&amp;$A173&amp;"*",'Diags Raw Data'!$AA$6:$AA$3830),SUMIF('Diags Raw Data'!$A$6:$A$3830,"*"&amp;$A173&amp;"*",'Diags Raw Data'!$AB$6:$AB$3830))</f>
        <v>0</v>
      </c>
      <c r="R173" s="491">
        <f t="shared" si="20"/>
        <v>0</v>
      </c>
      <c r="S173" s="491">
        <f t="shared" si="21"/>
        <v>0</v>
      </c>
      <c r="T173" s="492">
        <f t="shared" si="22"/>
        <v>0</v>
      </c>
      <c r="U173" s="432" t="str">
        <f>VLOOKUP(A173,'Diags Raw Data'!$A$6:$AH$3830,33,FALSE)</f>
        <v>WK8</v>
      </c>
      <c r="V173" s="181"/>
    </row>
    <row r="174" spans="1:22" ht="45.75" thickBot="1" x14ac:dyDescent="0.3">
      <c r="A174" s="546">
        <v>12.366</v>
      </c>
      <c r="B174" s="434" t="str">
        <f>VLOOKUP(A174,'Feature Raw Data'!$A$3:$B$3922,2,FALSE)</f>
        <v>NV4x: Perfmon: Review and refinement of available perf counter events for GC and DF</v>
      </c>
      <c r="C174" s="435" t="str">
        <f>VLOOKUP(A174,'Feature Raw Data'!$A$3:$C$3922,3,FALSE)</f>
        <v>P2</v>
      </c>
      <c r="D174" s="436" t="str" cm="1">
        <f t="array" ref="D174">_xlfn.TEXTJOIN("",TRUE,IF(ISNUMBER(SEARCH($A174,'Diags Raw Data'!$A$6:$A$3830)),CONCATENATE('Diags Raw Data'!$H$6:$H$3830,", "),""))</f>
        <v xml:space="preserve">N/A, </v>
      </c>
      <c r="E174" s="339" t="str">
        <f>VLOOKUP(A174,'Diags Raw Data'!$A$6:$D$3830,4,FALSE)</f>
        <v>GC</v>
      </c>
      <c r="F174" s="339" t="str">
        <f>VLOOKUP(A174,'Feature Raw Data'!$A$3:$E$3922,5,FALSE)</f>
        <v>New</v>
      </c>
      <c r="G174" s="339" t="str">
        <f t="shared" si="17"/>
        <v>No</v>
      </c>
      <c r="H174" s="339" t="str">
        <f t="shared" si="18"/>
        <v>No</v>
      </c>
      <c r="I174" s="435">
        <f>SUMIF('Diags Raw Data'!$A$6:$A$3830,"*"&amp;$A174&amp;"*",'Diags Raw Data'!$K$6:$K$3830)</f>
        <v>0</v>
      </c>
      <c r="J174" s="437">
        <f>SUMIF('Diags Raw Data'!$A$6:$A$3830,"*"&amp;$A174&amp;"*",'Diags Raw Data'!$L$6:$L$3830)</f>
        <v>0</v>
      </c>
      <c r="K174" s="484" t="e" cm="1">
        <f t="array" ref="K174">IF(D174="",0, SUMPRODUCT(--(ISNUMBER(SEARCH($A174,'Diags Raw Data'!$A$6:$A$3830))),'Diags Raw Data'!$L$6:$L$3830,'Diags Raw Data'!$N$6:$N$3830)/J174)</f>
        <v>#DIV/0!</v>
      </c>
      <c r="L174" s="485" t="e" cm="1">
        <f t="array" ref="L174">IF(D174="",0, SUMPRODUCT(--(ISNUMBER(SEARCH($A174,'Diags Raw Data'!$A$6:$A$3830))),'Diags Raw Data'!$L$6:$L$3830,'Diags Raw Data'!$P$6:$P$3830)/J174)</f>
        <v>#DIV/0!</v>
      </c>
      <c r="M174" s="486" cm="1">
        <f t="array" ref="M174">SUMPRODUCT(--(ISNUMBER(SEARCH($A174,'Diags Raw Data'!$A$6:$A$3830))),--('Diags Raw Data'!$Q$6:$Q$3830&lt;&gt;"N/A"),'Diags Raw Data'!$R$6:$R$3830)</f>
        <v>0</v>
      </c>
      <c r="N174" s="487" cm="1">
        <f t="array" ref="N174">SUMPRODUCT(--(ISNUMBER(SEARCH($A174,'Diags Raw Data'!$A$6:$A$3830))),--('Diags Raw Data'!$Q$6:$Q$3830&lt;&gt;"N/A"),'Diags Raw Data'!$T$6:$T$3830)+SUMPRODUCT(--(ISNUMBER(SEARCH($A174,'Diags Raw Data'!$A$6:$A$3830))),--('Diags Raw Data'!$Q$6:$Q$3830&lt;&gt;"N/A"),'Diags Raw Data'!$U$6:$U$3830)</f>
        <v>0</v>
      </c>
      <c r="O174" s="488">
        <f t="shared" si="19"/>
        <v>0</v>
      </c>
      <c r="P174" s="489">
        <f>SUMIF('Diags Raw Data'!$A$6:$A$3830,"*"&amp;$A174&amp;"*",'Diags Raw Data'!$Z$6:$Z$3830)</f>
        <v>0</v>
      </c>
      <c r="Q174" s="490">
        <f>SUM(SUMIF('Diags Raw Data'!$A$6:$A$3830,"*"&amp;$A174&amp;"*",'Diags Raw Data'!$AA$6:$AA$3830),SUMIF('Diags Raw Data'!$A$6:$A$3830,"*"&amp;$A174&amp;"*",'Diags Raw Data'!$AB$6:$AB$3830))</f>
        <v>0</v>
      </c>
      <c r="R174" s="491">
        <f t="shared" si="20"/>
        <v>0</v>
      </c>
      <c r="S174" s="491">
        <f t="shared" si="21"/>
        <v>0</v>
      </c>
      <c r="T174" s="492">
        <f t="shared" si="22"/>
        <v>0</v>
      </c>
      <c r="U174" s="432" t="str">
        <f>VLOOKUP(A174,'Diags Raw Data'!$A$6:$AH$3830,33,FALSE)</f>
        <v>N/A</v>
      </c>
      <c r="V174" s="181"/>
    </row>
    <row r="175" spans="1:22" ht="30.75" thickBot="1" x14ac:dyDescent="0.3">
      <c r="A175" s="546">
        <v>12.37</v>
      </c>
      <c r="B175" s="434" t="str">
        <f>VLOOKUP(A175,'Feature Raw Data'!$A$3:$B$3922,2,FALSE)</f>
        <v xml:space="preserve">Fix VOPD dual V_MOV </v>
      </c>
      <c r="C175" s="435" t="str">
        <f>VLOOKUP(A175,'Feature Raw Data'!$A$3:$C$3922,3,FALSE)</f>
        <v>P2</v>
      </c>
      <c r="D175" s="436" t="str" cm="1">
        <f t="array" ref="D175">_xlfn.TEXTJOIN("",TRUE,IF(ISNUMBER(SEARCH($A175,'Diags Raw Data'!$A$6:$A$3830)),CONCATENATE('Diags Raw Data'!$H$6:$H$3830,", "),""))</f>
        <v xml:space="preserve">gfx.inst_perf/v_dual_mov_b32, std1.6,std2.6,std3.6,std4.6, N/A, </v>
      </c>
      <c r="E175" s="339" t="str">
        <f>VLOOKUP(A175,'Diags Raw Data'!$A$6:$D$3830,4,FALSE)</f>
        <v>SH</v>
      </c>
      <c r="F175" s="339" t="str">
        <f>VLOOKUP(A175,'Feature Raw Data'!$A$3:$E$3922,5,FALSE)</f>
        <v>New</v>
      </c>
      <c r="G175" s="339" t="str">
        <f t="shared" si="17"/>
        <v>Yes</v>
      </c>
      <c r="H175" s="339" t="str">
        <f t="shared" si="18"/>
        <v>Yes</v>
      </c>
      <c r="I175" s="435">
        <f>SUMIF('Diags Raw Data'!$A$6:$A$3830,"*"&amp;$A175&amp;"*",'Diags Raw Data'!$K$6:$K$3830)</f>
        <v>0</v>
      </c>
      <c r="J175" s="437">
        <f>SUMIF('Diags Raw Data'!$A$6:$A$3830,"*"&amp;$A175&amp;"*",'Diags Raw Data'!$L$6:$L$3830)</f>
        <v>0</v>
      </c>
      <c r="K175" s="484" t="e" cm="1">
        <f t="array" ref="K175">IF(D175="",0, SUMPRODUCT(--(ISNUMBER(SEARCH($A175,'Diags Raw Data'!$A$6:$A$3830))),'Diags Raw Data'!$L$6:$L$3830,'Diags Raw Data'!$N$6:$N$3830)/J175)</f>
        <v>#DIV/0!</v>
      </c>
      <c r="L175" s="485" t="e" cm="1">
        <f t="array" ref="L175">IF(D175="",0, SUMPRODUCT(--(ISNUMBER(SEARCH($A175,'Diags Raw Data'!$A$6:$A$3830))),'Diags Raw Data'!$L$6:$L$3830,'Diags Raw Data'!$P$6:$P$3830)/J175)</f>
        <v>#DIV/0!</v>
      </c>
      <c r="M175" s="486" cm="1">
        <f t="array" ref="M175">SUMPRODUCT(--(ISNUMBER(SEARCH($A175,'Diags Raw Data'!$A$6:$A$3830))),--('Diags Raw Data'!$Q$6:$Q$3830&lt;&gt;"N/A"),'Diags Raw Data'!$R$6:$R$3830)</f>
        <v>5</v>
      </c>
      <c r="N175" s="487" cm="1">
        <f t="array" ref="N175">SUMPRODUCT(--(ISNUMBER(SEARCH($A175,'Diags Raw Data'!$A$6:$A$3830))),--('Diags Raw Data'!$Q$6:$Q$3830&lt;&gt;"N/A"),'Diags Raw Data'!$T$6:$T$3830)+SUMPRODUCT(--(ISNUMBER(SEARCH($A175,'Diags Raw Data'!$A$6:$A$3830))),--('Diags Raw Data'!$Q$6:$Q$3830&lt;&gt;"N/A"),'Diags Raw Data'!$U$6:$U$3830)</f>
        <v>4</v>
      </c>
      <c r="O175" s="488">
        <f t="shared" si="19"/>
        <v>0.8</v>
      </c>
      <c r="P175" s="489">
        <f>SUMIF('Diags Raw Data'!$A$6:$A$3830,"*"&amp;$A175&amp;"*",'Diags Raw Data'!$Z$6:$Z$3830)</f>
        <v>0</v>
      </c>
      <c r="Q175" s="490">
        <f>SUM(SUMIF('Diags Raw Data'!$A$6:$A$3830,"*"&amp;$A175&amp;"*",'Diags Raw Data'!$AA$6:$AA$3830),SUMIF('Diags Raw Data'!$A$6:$A$3830,"*"&amp;$A175&amp;"*",'Diags Raw Data'!$AB$6:$AB$3830))</f>
        <v>0</v>
      </c>
      <c r="R175" s="491">
        <f t="shared" si="20"/>
        <v>0</v>
      </c>
      <c r="S175" s="491">
        <f t="shared" si="21"/>
        <v>0</v>
      </c>
      <c r="T175" s="492">
        <f t="shared" si="22"/>
        <v>0</v>
      </c>
      <c r="U175" s="432" t="str">
        <f>VLOOKUP(A175,'Diags Raw Data'!$A$6:$AH$3830,33,FALSE)</f>
        <v>WK6</v>
      </c>
      <c r="V175" s="181"/>
    </row>
    <row r="176" spans="1:22" ht="45.75" thickBot="1" x14ac:dyDescent="0.3">
      <c r="A176" s="546">
        <v>12.372999999999999</v>
      </c>
      <c r="B176" s="434" t="str">
        <f>VLOOKUP(A176,'Feature Raw Data'!$A$3:$B$3922,2,FALSE)</f>
        <v>Modification of GS throttle (due to 12.118 ph_memory_queues)</v>
      </c>
      <c r="C176" s="435" t="str">
        <f>VLOOKUP(A176,'Feature Raw Data'!$A$3:$C$3922,3,FALSE)</f>
        <v>P1</v>
      </c>
      <c r="D176" s="436" t="str" cm="1">
        <f t="array" ref="D176">_xlfn.TEXTJOIN("",TRUE,IF(ISNUMBER(SEARCH($A176,'Diags Raw Data'!$A$6:$A$3830)),CONCATENATE('Diags Raw Data'!$H$6:$H$3830,", "),""))</f>
        <v xml:space="preserve">std1.6,std2.6,std3.6,std4.6, </v>
      </c>
      <c r="E176" s="339" t="str">
        <f>VLOOKUP(A176,'Diags Raw Data'!$A$6:$D$3830,4,FALSE)</f>
        <v>GEO</v>
      </c>
      <c r="F176" s="339" t="str">
        <f>VLOOKUP(A176,'Feature Raw Data'!$A$3:$E$3922,5,FALSE)</f>
        <v>New</v>
      </c>
      <c r="G176" s="339" t="str">
        <f t="shared" si="17"/>
        <v>Yes</v>
      </c>
      <c r="H176" s="339" t="str">
        <f t="shared" si="18"/>
        <v>Yes</v>
      </c>
      <c r="I176" s="435">
        <f>SUMIF('Diags Raw Data'!$A$6:$A$3830,"*"&amp;$A176&amp;"*",'Diags Raw Data'!$K$6:$K$3830)</f>
        <v>0</v>
      </c>
      <c r="J176" s="437">
        <f>SUMIF('Diags Raw Data'!$A$6:$A$3830,"*"&amp;$A176&amp;"*",'Diags Raw Data'!$L$6:$L$3830)</f>
        <v>0</v>
      </c>
      <c r="K176" s="484" t="e" cm="1">
        <f t="array" ref="K176">IF(D176="",0, SUMPRODUCT(--(ISNUMBER(SEARCH($A176,'Diags Raw Data'!$A$6:$A$3830))),'Diags Raw Data'!$L$6:$L$3830,'Diags Raw Data'!$N$6:$N$3830)/J176)</f>
        <v>#DIV/0!</v>
      </c>
      <c r="L176" s="485" t="e" cm="1">
        <f t="array" ref="L176">IF(D176="",0, SUMPRODUCT(--(ISNUMBER(SEARCH($A176,'Diags Raw Data'!$A$6:$A$3830))),'Diags Raw Data'!$L$6:$L$3830,'Diags Raw Data'!$P$6:$P$3830)/J176)</f>
        <v>#DIV/0!</v>
      </c>
      <c r="M176" s="486" cm="1">
        <f t="array" ref="M176">SUMPRODUCT(--(ISNUMBER(SEARCH($A176,'Diags Raw Data'!$A$6:$A$3830))),--('Diags Raw Data'!$Q$6:$Q$3830&lt;&gt;"N/A"),'Diags Raw Data'!$R$6:$R$3830)</f>
        <v>4</v>
      </c>
      <c r="N176" s="487" cm="1">
        <f t="array" ref="N176">SUMPRODUCT(--(ISNUMBER(SEARCH($A176,'Diags Raw Data'!$A$6:$A$3830))),--('Diags Raw Data'!$Q$6:$Q$3830&lt;&gt;"N/A"),'Diags Raw Data'!$T$6:$T$3830)+SUMPRODUCT(--(ISNUMBER(SEARCH($A176,'Diags Raw Data'!$A$6:$A$3830))),--('Diags Raw Data'!$Q$6:$Q$3830&lt;&gt;"N/A"),'Diags Raw Data'!$U$6:$U$3830)</f>
        <v>3</v>
      </c>
      <c r="O176" s="488">
        <f t="shared" si="19"/>
        <v>0.75</v>
      </c>
      <c r="P176" s="489">
        <f>SUMIF('Diags Raw Data'!$A$6:$A$3830,"*"&amp;$A176&amp;"*",'Diags Raw Data'!$Z$6:$Z$3830)</f>
        <v>0</v>
      </c>
      <c r="Q176" s="490">
        <f>SUM(SUMIF('Diags Raw Data'!$A$6:$A$3830,"*"&amp;$A176&amp;"*",'Diags Raw Data'!$AA$6:$AA$3830),SUMIF('Diags Raw Data'!$A$6:$A$3830,"*"&amp;$A176&amp;"*",'Diags Raw Data'!$AB$6:$AB$3830))</f>
        <v>0</v>
      </c>
      <c r="R176" s="491">
        <f t="shared" si="20"/>
        <v>0</v>
      </c>
      <c r="S176" s="491">
        <f t="shared" si="21"/>
        <v>0</v>
      </c>
      <c r="T176" s="492">
        <f t="shared" si="22"/>
        <v>0</v>
      </c>
      <c r="U176" s="432" t="str">
        <f>VLOOKUP(A176,'Diags Raw Data'!$A$6:$AH$3830,33,FALSE)</f>
        <v>WK4</v>
      </c>
      <c r="V176" s="181"/>
    </row>
    <row r="177" spans="1:22" ht="30.75" thickBot="1" x14ac:dyDescent="0.3">
      <c r="A177" s="546">
        <v>12.374000000000001</v>
      </c>
      <c r="B177" s="434" t="str">
        <f>VLOOKUP(A177,'Feature Raw Data'!$A$3:$B$3922,2,FALSE)</f>
        <v>MEM_PWR_CTRL Bus increase to support FGCG</v>
      </c>
      <c r="C177" s="435" t="str">
        <f>VLOOKUP(A177,'Feature Raw Data'!$A$3:$C$3922,3,FALSE)</f>
        <v>P1</v>
      </c>
      <c r="D177" s="436" t="str" cm="1">
        <f t="array" ref="D177">_xlfn.TEXTJOIN("",TRUE,IF(ISNUMBER(SEARCH($A177,'Diags Raw Data'!$A$6:$A$3830)),CONCATENATE('Diags Raw Data'!$H$6:$H$3830,", "),""))</f>
        <v xml:space="preserve">N/A, </v>
      </c>
      <c r="E177" s="339" t="str">
        <f>VLOOKUP(A177,'Diags Raw Data'!$A$6:$D$3830,4,FALSE)</f>
        <v>GC</v>
      </c>
      <c r="F177" s="339" t="str">
        <f>VLOOKUP(A177,'Feature Raw Data'!$A$3:$E$3922,5,FALSE)</f>
        <v>New</v>
      </c>
      <c r="G177" s="339" t="str">
        <f t="shared" si="17"/>
        <v>No</v>
      </c>
      <c r="H177" s="339" t="str">
        <f t="shared" si="18"/>
        <v>No</v>
      </c>
      <c r="I177" s="435">
        <f>SUMIF('Diags Raw Data'!$A$6:$A$3830,"*"&amp;$A177&amp;"*",'Diags Raw Data'!$K$6:$K$3830)</f>
        <v>0</v>
      </c>
      <c r="J177" s="437">
        <f>SUMIF('Diags Raw Data'!$A$6:$A$3830,"*"&amp;$A177&amp;"*",'Diags Raw Data'!$L$6:$L$3830)</f>
        <v>0</v>
      </c>
      <c r="K177" s="484" t="e" cm="1">
        <f t="array" ref="K177">IF(D177="",0, SUMPRODUCT(--(ISNUMBER(SEARCH($A177,'Diags Raw Data'!$A$6:$A$3830))),'Diags Raw Data'!$L$6:$L$3830,'Diags Raw Data'!$N$6:$N$3830)/J177)</f>
        <v>#DIV/0!</v>
      </c>
      <c r="L177" s="485" t="e" cm="1">
        <f t="array" ref="L177">IF(D177="",0, SUMPRODUCT(--(ISNUMBER(SEARCH($A177,'Diags Raw Data'!$A$6:$A$3830))),'Diags Raw Data'!$L$6:$L$3830,'Diags Raw Data'!$P$6:$P$3830)/J177)</f>
        <v>#DIV/0!</v>
      </c>
      <c r="M177" s="486" cm="1">
        <f t="array" ref="M177">SUMPRODUCT(--(ISNUMBER(SEARCH($A177,'Diags Raw Data'!$A$6:$A$3830))),--('Diags Raw Data'!$Q$6:$Q$3830&lt;&gt;"N/A"),'Diags Raw Data'!$R$6:$R$3830)</f>
        <v>0</v>
      </c>
      <c r="N177" s="487" cm="1">
        <f t="array" ref="N177">SUMPRODUCT(--(ISNUMBER(SEARCH($A177,'Diags Raw Data'!$A$6:$A$3830))),--('Diags Raw Data'!$Q$6:$Q$3830&lt;&gt;"N/A"),'Diags Raw Data'!$T$6:$T$3830)+SUMPRODUCT(--(ISNUMBER(SEARCH($A177,'Diags Raw Data'!$A$6:$A$3830))),--('Diags Raw Data'!$Q$6:$Q$3830&lt;&gt;"N/A"),'Diags Raw Data'!$U$6:$U$3830)</f>
        <v>0</v>
      </c>
      <c r="O177" s="488">
        <f t="shared" si="19"/>
        <v>0</v>
      </c>
      <c r="P177" s="489">
        <f>SUMIF('Diags Raw Data'!$A$6:$A$3830,"*"&amp;$A177&amp;"*",'Diags Raw Data'!$Z$6:$Z$3830)</f>
        <v>0</v>
      </c>
      <c r="Q177" s="490">
        <f>SUM(SUMIF('Diags Raw Data'!$A$6:$A$3830,"*"&amp;$A177&amp;"*",'Diags Raw Data'!$AA$6:$AA$3830),SUMIF('Diags Raw Data'!$A$6:$A$3830,"*"&amp;$A177&amp;"*",'Diags Raw Data'!$AB$6:$AB$3830))</f>
        <v>0</v>
      </c>
      <c r="R177" s="491">
        <f t="shared" si="20"/>
        <v>0</v>
      </c>
      <c r="S177" s="491">
        <f t="shared" si="21"/>
        <v>0</v>
      </c>
      <c r="T177" s="492">
        <f t="shared" si="22"/>
        <v>0</v>
      </c>
      <c r="U177" s="432" t="str">
        <f>VLOOKUP(A177,'Diags Raw Data'!$A$6:$AH$3830,33,FALSE)</f>
        <v>N/A</v>
      </c>
      <c r="V177" s="181"/>
    </row>
    <row r="178" spans="1:22" ht="30.75" thickBot="1" x14ac:dyDescent="0.3">
      <c r="A178" s="546">
        <v>12.382</v>
      </c>
      <c r="B178" s="434" t="str">
        <f>VLOOKUP(A178,'Feature Raw Data'!$A$3:$B$3922,2,FALSE)</f>
        <v>[Strix] pbb_tile_order_rev -- from BRP:11.5.017</v>
      </c>
      <c r="C178" s="435" t="str">
        <f>VLOOKUP(A178,'Feature Raw Data'!$A$3:$C$3922,3,FALSE)</f>
        <v>P2</v>
      </c>
      <c r="D178" s="436" t="str" cm="1">
        <f t="array" ref="D178">_xlfn.TEXTJOIN("",TRUE,IF(ISNUMBER(SEARCH($A178,'Diags Raw Data'!$A$6:$A$3830)),CONCATENATE('Diags Raw Data'!$H$6:$H$3830,", "),""))</f>
        <v xml:space="preserve">N/A, </v>
      </c>
      <c r="E178" s="339" t="str">
        <f>VLOOKUP(A178,'Diags Raw Data'!$A$6:$D$3830,4,FALSE)</f>
        <v>PP</v>
      </c>
      <c r="F178" s="339" t="str">
        <f>VLOOKUP(A178,'Feature Raw Data'!$A$3:$E$3922,5,FALSE)</f>
        <v>Legacy</v>
      </c>
      <c r="G178" s="339" t="str">
        <f t="shared" si="17"/>
        <v>No</v>
      </c>
      <c r="H178" s="339" t="str">
        <f t="shared" si="18"/>
        <v>No</v>
      </c>
      <c r="I178" s="435">
        <f>SUMIF('Diags Raw Data'!$A$6:$A$3830,"*"&amp;$A178&amp;"*",'Diags Raw Data'!$K$6:$K$3830)</f>
        <v>0</v>
      </c>
      <c r="J178" s="437">
        <f>SUMIF('Diags Raw Data'!$A$6:$A$3830,"*"&amp;$A178&amp;"*",'Diags Raw Data'!$L$6:$L$3830)</f>
        <v>0</v>
      </c>
      <c r="K178" s="484" t="e" cm="1">
        <f t="array" ref="K178">IF(D178="",0, SUMPRODUCT(--(ISNUMBER(SEARCH($A178,'Diags Raw Data'!$A$6:$A$3830))),'Diags Raw Data'!$L$6:$L$3830,'Diags Raw Data'!$N$6:$N$3830)/J178)</f>
        <v>#DIV/0!</v>
      </c>
      <c r="L178" s="485" t="e" cm="1">
        <f t="array" ref="L178">IF(D178="",0, SUMPRODUCT(--(ISNUMBER(SEARCH($A178,'Diags Raw Data'!$A$6:$A$3830))),'Diags Raw Data'!$L$6:$L$3830,'Diags Raw Data'!$P$6:$P$3830)/J178)</f>
        <v>#DIV/0!</v>
      </c>
      <c r="M178" s="486" cm="1">
        <f t="array" ref="M178">SUMPRODUCT(--(ISNUMBER(SEARCH($A178,'Diags Raw Data'!$A$6:$A$3830))),--('Diags Raw Data'!$Q$6:$Q$3830&lt;&gt;"N/A"),'Diags Raw Data'!$R$6:$R$3830)</f>
        <v>0</v>
      </c>
      <c r="N178" s="487" cm="1">
        <f t="array" ref="N178">SUMPRODUCT(--(ISNUMBER(SEARCH($A178,'Diags Raw Data'!$A$6:$A$3830))),--('Diags Raw Data'!$Q$6:$Q$3830&lt;&gt;"N/A"),'Diags Raw Data'!$T$6:$T$3830)+SUMPRODUCT(--(ISNUMBER(SEARCH($A178,'Diags Raw Data'!$A$6:$A$3830))),--('Diags Raw Data'!$Q$6:$Q$3830&lt;&gt;"N/A"),'Diags Raw Data'!$U$6:$U$3830)</f>
        <v>0</v>
      </c>
      <c r="O178" s="488">
        <f t="shared" si="19"/>
        <v>0</v>
      </c>
      <c r="P178" s="489">
        <f>SUMIF('Diags Raw Data'!$A$6:$A$3830,"*"&amp;$A178&amp;"*",'Diags Raw Data'!$Z$6:$Z$3830)</f>
        <v>0</v>
      </c>
      <c r="Q178" s="490">
        <f>SUM(SUMIF('Diags Raw Data'!$A$6:$A$3830,"*"&amp;$A178&amp;"*",'Diags Raw Data'!$AA$6:$AA$3830),SUMIF('Diags Raw Data'!$A$6:$A$3830,"*"&amp;$A178&amp;"*",'Diags Raw Data'!$AB$6:$AB$3830))</f>
        <v>0</v>
      </c>
      <c r="R178" s="491">
        <f t="shared" si="20"/>
        <v>0</v>
      </c>
      <c r="S178" s="491">
        <f t="shared" si="21"/>
        <v>0</v>
      </c>
      <c r="T178" s="492">
        <f t="shared" si="22"/>
        <v>0</v>
      </c>
      <c r="U178" s="432" t="str">
        <f>VLOOKUP(A178,'Diags Raw Data'!$A$6:$AH$3830,33,FALSE)</f>
        <v>N/A</v>
      </c>
      <c r="V178" s="552" t="s">
        <v>382</v>
      </c>
    </row>
    <row r="179" spans="1:22" ht="15.75" thickBot="1" x14ac:dyDescent="0.3">
      <c r="A179" s="546">
        <v>12.387</v>
      </c>
      <c r="B179" s="434" t="str">
        <f>VLOOKUP(A179,'Feature Raw Data'!$A$3:$B$3922,2,FALSE)</f>
        <v>Block Initiatives</v>
      </c>
      <c r="C179" s="435" t="str">
        <f>VLOOKUP(A179,'Feature Raw Data'!$A$3:$C$3922,3,FALSE)</f>
        <v>P1</v>
      </c>
      <c r="D179" s="436" t="str" cm="1">
        <f t="array" ref="D179">_xlfn.TEXTJOIN("",TRUE,IF(ISNUMBER(SEARCH($A179,'Diags Raw Data'!$A$6:$A$3830)),CONCATENATE('Diags Raw Data'!$H$6:$H$3830,", "),""))</f>
        <v xml:space="preserve">N/A, </v>
      </c>
      <c r="E179" s="339" t="str">
        <f>VLOOKUP(A179,'Diags Raw Data'!$A$6:$D$3830,4,FALSE)</f>
        <v>GFX</v>
      </c>
      <c r="F179" s="339" t="str">
        <f>VLOOKUP(A179,'Feature Raw Data'!$A$3:$E$3922,5,FALSE)</f>
        <v>New</v>
      </c>
      <c r="G179" s="339" t="str">
        <f t="shared" si="17"/>
        <v>No</v>
      </c>
      <c r="H179" s="339" t="str">
        <f t="shared" si="18"/>
        <v>No</v>
      </c>
      <c r="I179" s="435">
        <f>SUMIF('Diags Raw Data'!$A$6:$A$3830,"*"&amp;$A179&amp;"*",'Diags Raw Data'!$K$6:$K$3830)</f>
        <v>0</v>
      </c>
      <c r="J179" s="437">
        <f>SUMIF('Diags Raw Data'!$A$6:$A$3830,"*"&amp;$A179&amp;"*",'Diags Raw Data'!$L$6:$L$3830)</f>
        <v>0</v>
      </c>
      <c r="K179" s="484" t="e" cm="1">
        <f t="array" ref="K179">IF(D179="",0, SUMPRODUCT(--(ISNUMBER(SEARCH($A179,'Diags Raw Data'!$A$6:$A$3830))),'Diags Raw Data'!$L$6:$L$3830,'Diags Raw Data'!$N$6:$N$3830)/J179)</f>
        <v>#DIV/0!</v>
      </c>
      <c r="L179" s="485" t="e" cm="1">
        <f t="array" ref="L179">IF(D179="",0, SUMPRODUCT(--(ISNUMBER(SEARCH($A179,'Diags Raw Data'!$A$6:$A$3830))),'Diags Raw Data'!$L$6:$L$3830,'Diags Raw Data'!$P$6:$P$3830)/J179)</f>
        <v>#DIV/0!</v>
      </c>
      <c r="M179" s="486" cm="1">
        <f t="array" ref="M179">SUMPRODUCT(--(ISNUMBER(SEARCH($A179,'Diags Raw Data'!$A$6:$A$3830))),--('Diags Raw Data'!$Q$6:$Q$3830&lt;&gt;"N/A"),'Diags Raw Data'!$R$6:$R$3830)</f>
        <v>0</v>
      </c>
      <c r="N179" s="487" cm="1">
        <f t="array" ref="N179">SUMPRODUCT(--(ISNUMBER(SEARCH($A179,'Diags Raw Data'!$A$6:$A$3830))),--('Diags Raw Data'!$Q$6:$Q$3830&lt;&gt;"N/A"),'Diags Raw Data'!$T$6:$T$3830)+SUMPRODUCT(--(ISNUMBER(SEARCH($A179,'Diags Raw Data'!$A$6:$A$3830))),--('Diags Raw Data'!$Q$6:$Q$3830&lt;&gt;"N/A"),'Diags Raw Data'!$U$6:$U$3830)</f>
        <v>0</v>
      </c>
      <c r="O179" s="488">
        <f t="shared" si="19"/>
        <v>0</v>
      </c>
      <c r="P179" s="489">
        <f>SUMIF('Diags Raw Data'!$A$6:$A$3830,"*"&amp;$A179&amp;"*",'Diags Raw Data'!$Z$6:$Z$3830)</f>
        <v>0</v>
      </c>
      <c r="Q179" s="490">
        <f>SUM(SUMIF('Diags Raw Data'!$A$6:$A$3830,"*"&amp;$A179&amp;"*",'Diags Raw Data'!$AA$6:$AA$3830),SUMIF('Diags Raw Data'!$A$6:$A$3830,"*"&amp;$A179&amp;"*",'Diags Raw Data'!$AB$6:$AB$3830))</f>
        <v>0</v>
      </c>
      <c r="R179" s="491">
        <f t="shared" si="20"/>
        <v>0</v>
      </c>
      <c r="S179" s="491">
        <f t="shared" si="21"/>
        <v>0</v>
      </c>
      <c r="T179" s="492">
        <f t="shared" si="22"/>
        <v>0</v>
      </c>
      <c r="U179" s="432" t="str">
        <f>VLOOKUP(A179,'Diags Raw Data'!$A$6:$AH$3830,33,FALSE)</f>
        <v>N/A</v>
      </c>
      <c r="V179" s="552" t="s">
        <v>444</v>
      </c>
    </row>
    <row r="180" spans="1:22" ht="30.75" thickBot="1" x14ac:dyDescent="0.3">
      <c r="A180" s="546">
        <v>12.388999999999999</v>
      </c>
      <c r="B180" s="434" t="str">
        <f>VLOOKUP(A180,'Feature Raw Data'!$A$3:$B$3922,2,FALSE)</f>
        <v>GFX EDC Controller using XVmin/Mafdd</v>
      </c>
      <c r="C180" s="435" t="str">
        <f>VLOOKUP(A180,'Feature Raw Data'!$A$3:$C$3922,3,FALSE)</f>
        <v>P1</v>
      </c>
      <c r="D180" s="436" t="str" cm="1">
        <f t="array" ref="D180">_xlfn.TEXTJOIN("",TRUE,IF(ISNUMBER(SEARCH($A180,'Diags Raw Data'!$A$6:$A$3830)),CONCATENATE('Diags Raw Data'!$H$6:$H$3830,", "),""))</f>
        <v xml:space="preserve">N/A, </v>
      </c>
      <c r="E180" s="339" t="str">
        <f>VLOOKUP(A180,'Diags Raw Data'!$A$6:$D$3830,4,FALSE)</f>
        <v>CTL</v>
      </c>
      <c r="F180" s="339" t="str">
        <f>VLOOKUP(A180,'Feature Raw Data'!$A$3:$E$3922,5,FALSE)</f>
        <v>New</v>
      </c>
      <c r="G180" s="339" t="str">
        <f t="shared" si="17"/>
        <v>No</v>
      </c>
      <c r="H180" s="339" t="str">
        <f t="shared" si="18"/>
        <v>No</v>
      </c>
      <c r="I180" s="435">
        <f>SUMIF('Diags Raw Data'!$A$6:$A$3830,"*"&amp;$A180&amp;"*",'Diags Raw Data'!$K$6:$K$3830)</f>
        <v>0</v>
      </c>
      <c r="J180" s="437">
        <f>SUMIF('Diags Raw Data'!$A$6:$A$3830,"*"&amp;$A180&amp;"*",'Diags Raw Data'!$L$6:$L$3830)</f>
        <v>0</v>
      </c>
      <c r="K180" s="484" t="e" cm="1">
        <f t="array" ref="K180">IF(D180="",0, SUMPRODUCT(--(ISNUMBER(SEARCH($A180,'Diags Raw Data'!$A$6:$A$3830))),'Diags Raw Data'!$L$6:$L$3830,'Diags Raw Data'!$N$6:$N$3830)/J180)</f>
        <v>#DIV/0!</v>
      </c>
      <c r="L180" s="485" t="e" cm="1">
        <f t="array" ref="L180">IF(D180="",0, SUMPRODUCT(--(ISNUMBER(SEARCH($A180,'Diags Raw Data'!$A$6:$A$3830))),'Diags Raw Data'!$L$6:$L$3830,'Diags Raw Data'!$P$6:$P$3830)/J180)</f>
        <v>#DIV/0!</v>
      </c>
      <c r="M180" s="486" cm="1">
        <f t="array" ref="M180">SUMPRODUCT(--(ISNUMBER(SEARCH($A180,'Diags Raw Data'!$A$6:$A$3830))),--('Diags Raw Data'!$Q$6:$Q$3830&lt;&gt;"N/A"),'Diags Raw Data'!$R$6:$R$3830)</f>
        <v>0</v>
      </c>
      <c r="N180" s="487" cm="1">
        <f t="array" ref="N180">SUMPRODUCT(--(ISNUMBER(SEARCH($A180,'Diags Raw Data'!$A$6:$A$3830))),--('Diags Raw Data'!$Q$6:$Q$3830&lt;&gt;"N/A"),'Diags Raw Data'!$T$6:$T$3830)+SUMPRODUCT(--(ISNUMBER(SEARCH($A180,'Diags Raw Data'!$A$6:$A$3830))),--('Diags Raw Data'!$Q$6:$Q$3830&lt;&gt;"N/A"),'Diags Raw Data'!$U$6:$U$3830)</f>
        <v>0</v>
      </c>
      <c r="O180" s="488">
        <f t="shared" si="19"/>
        <v>0</v>
      </c>
      <c r="P180" s="489">
        <f>SUMIF('Diags Raw Data'!$A$6:$A$3830,"*"&amp;$A180&amp;"*",'Diags Raw Data'!$Z$6:$Z$3830)</f>
        <v>0</v>
      </c>
      <c r="Q180" s="490">
        <f>SUM(SUMIF('Diags Raw Data'!$A$6:$A$3830,"*"&amp;$A180&amp;"*",'Diags Raw Data'!$AA$6:$AA$3830),SUMIF('Diags Raw Data'!$A$6:$A$3830,"*"&amp;$A180&amp;"*",'Diags Raw Data'!$AB$6:$AB$3830))</f>
        <v>0</v>
      </c>
      <c r="R180" s="491">
        <f t="shared" si="20"/>
        <v>0</v>
      </c>
      <c r="S180" s="491">
        <f t="shared" si="21"/>
        <v>0</v>
      </c>
      <c r="T180" s="492">
        <f t="shared" si="22"/>
        <v>0</v>
      </c>
      <c r="U180" s="432" t="str">
        <f>VLOOKUP(A180,'Diags Raw Data'!$A$6:$AH$3830,33,FALSE)</f>
        <v>N/A</v>
      </c>
      <c r="V180" s="552" t="s">
        <v>422</v>
      </c>
    </row>
    <row r="181" spans="1:22" ht="30.75" thickBot="1" x14ac:dyDescent="0.3">
      <c r="A181" s="546">
        <v>12.391999999999999</v>
      </c>
      <c r="B181" s="434" t="str">
        <f>VLOOKUP(A181,'Feature Raw Data'!$A$3:$B$3922,2,FALSE)</f>
        <v>NV4x: GFX Cac Events selection enhancement</v>
      </c>
      <c r="C181" s="435" t="str">
        <f>VLOOKUP(A181,'Feature Raw Data'!$A$3:$C$3922,3,FALSE)</f>
        <v>P2</v>
      </c>
      <c r="D181" s="436" t="str" cm="1">
        <f t="array" ref="D181">_xlfn.TEXTJOIN("",TRUE,IF(ISNUMBER(SEARCH($A181,'Diags Raw Data'!$A$6:$A$3830)),CONCATENATE('Diags Raw Data'!$H$6:$H$3830,", "),""))</f>
        <v xml:space="preserve">N/A, </v>
      </c>
      <c r="E181" s="339" t="str">
        <f>VLOOKUP(A181,'Diags Raw Data'!$A$6:$D$3830,4,FALSE)</f>
        <v>CTL</v>
      </c>
      <c r="F181" s="339" t="str">
        <f>VLOOKUP(A181,'Feature Raw Data'!$A$3:$E$3922,5,FALSE)</f>
        <v>New</v>
      </c>
      <c r="G181" s="339" t="str">
        <f t="shared" si="17"/>
        <v>No</v>
      </c>
      <c r="H181" s="339" t="str">
        <f t="shared" si="18"/>
        <v>No</v>
      </c>
      <c r="I181" s="435">
        <f>SUMIF('Diags Raw Data'!$A$6:$A$3830,"*"&amp;$A181&amp;"*",'Diags Raw Data'!$K$6:$K$3830)</f>
        <v>0</v>
      </c>
      <c r="J181" s="437">
        <f>SUMIF('Diags Raw Data'!$A$6:$A$3830,"*"&amp;$A181&amp;"*",'Diags Raw Data'!$L$6:$L$3830)</f>
        <v>0</v>
      </c>
      <c r="K181" s="484" t="e" cm="1">
        <f t="array" ref="K181">IF(D181="",0, SUMPRODUCT(--(ISNUMBER(SEARCH($A181,'Diags Raw Data'!$A$6:$A$3830))),'Diags Raw Data'!$L$6:$L$3830,'Diags Raw Data'!$N$6:$N$3830)/J181)</f>
        <v>#DIV/0!</v>
      </c>
      <c r="L181" s="485" t="e" cm="1">
        <f t="array" ref="L181">IF(D181="",0, SUMPRODUCT(--(ISNUMBER(SEARCH($A181,'Diags Raw Data'!$A$6:$A$3830))),'Diags Raw Data'!$L$6:$L$3830,'Diags Raw Data'!$P$6:$P$3830)/J181)</f>
        <v>#DIV/0!</v>
      </c>
      <c r="M181" s="486" cm="1">
        <f t="array" ref="M181">SUMPRODUCT(--(ISNUMBER(SEARCH($A181,'Diags Raw Data'!$A$6:$A$3830))),--('Diags Raw Data'!$Q$6:$Q$3830&lt;&gt;"N/A"),'Diags Raw Data'!$R$6:$R$3830)</f>
        <v>0</v>
      </c>
      <c r="N181" s="487" cm="1">
        <f t="array" ref="N181">SUMPRODUCT(--(ISNUMBER(SEARCH($A181,'Diags Raw Data'!$A$6:$A$3830))),--('Diags Raw Data'!$Q$6:$Q$3830&lt;&gt;"N/A"),'Diags Raw Data'!$T$6:$T$3830)+SUMPRODUCT(--(ISNUMBER(SEARCH($A181,'Diags Raw Data'!$A$6:$A$3830))),--('Diags Raw Data'!$Q$6:$Q$3830&lt;&gt;"N/A"),'Diags Raw Data'!$U$6:$U$3830)</f>
        <v>0</v>
      </c>
      <c r="O181" s="488">
        <f t="shared" si="19"/>
        <v>0</v>
      </c>
      <c r="P181" s="489">
        <f>SUMIF('Diags Raw Data'!$A$6:$A$3830,"*"&amp;$A181&amp;"*",'Diags Raw Data'!$Z$6:$Z$3830)</f>
        <v>0</v>
      </c>
      <c r="Q181" s="490">
        <f>SUM(SUMIF('Diags Raw Data'!$A$6:$A$3830,"*"&amp;$A181&amp;"*",'Diags Raw Data'!$AA$6:$AA$3830),SUMIF('Diags Raw Data'!$A$6:$A$3830,"*"&amp;$A181&amp;"*",'Diags Raw Data'!$AB$6:$AB$3830))</f>
        <v>0</v>
      </c>
      <c r="R181" s="491">
        <f t="shared" si="20"/>
        <v>0</v>
      </c>
      <c r="S181" s="491">
        <f t="shared" si="21"/>
        <v>0</v>
      </c>
      <c r="T181" s="492">
        <f t="shared" si="22"/>
        <v>0</v>
      </c>
      <c r="U181" s="432" t="str">
        <f>VLOOKUP(A181,'Diags Raw Data'!$A$6:$AH$3830,33,FALSE)</f>
        <v>N/A</v>
      </c>
      <c r="V181" s="552" t="s">
        <v>422</v>
      </c>
    </row>
    <row r="182" spans="1:22" ht="15.75" thickBot="1" x14ac:dyDescent="0.3">
      <c r="A182" s="546">
        <v>12.393000000000001</v>
      </c>
      <c r="B182" s="434" t="str">
        <f>VLOOKUP(A182,'Feature Raw Data'!$A$3:$B$3922,2,FALSE)</f>
        <v>GFX PCC latency optimization</v>
      </c>
      <c r="C182" s="435" t="str">
        <f>VLOOKUP(A182,'Feature Raw Data'!$A$3:$C$3922,3,FALSE)</f>
        <v>P1</v>
      </c>
      <c r="D182" s="436" t="str" cm="1">
        <f t="array" ref="D182">_xlfn.TEXTJOIN("",TRUE,IF(ISNUMBER(SEARCH($A182,'Diags Raw Data'!$A$6:$A$3830)),CONCATENATE('Diags Raw Data'!$H$6:$H$3830,", "),""))</f>
        <v xml:space="preserve">N/A, </v>
      </c>
      <c r="E182" s="339" t="str">
        <f>VLOOKUP(A182,'Diags Raw Data'!$A$6:$D$3830,4,FALSE)</f>
        <v>CTL</v>
      </c>
      <c r="F182" s="339" t="str">
        <f>VLOOKUP(A182,'Feature Raw Data'!$A$3:$E$3922,5,FALSE)</f>
        <v>New</v>
      </c>
      <c r="G182" s="339" t="str">
        <f t="shared" si="17"/>
        <v>No</v>
      </c>
      <c r="H182" s="339" t="str">
        <f t="shared" si="18"/>
        <v>No</v>
      </c>
      <c r="I182" s="435">
        <f>SUMIF('Diags Raw Data'!$A$6:$A$3830,"*"&amp;$A182&amp;"*",'Diags Raw Data'!$K$6:$K$3830)</f>
        <v>0</v>
      </c>
      <c r="J182" s="437">
        <f>SUMIF('Diags Raw Data'!$A$6:$A$3830,"*"&amp;$A182&amp;"*",'Diags Raw Data'!$L$6:$L$3830)</f>
        <v>0</v>
      </c>
      <c r="K182" s="484" t="e" cm="1">
        <f t="array" ref="K182">IF(D182="",0, SUMPRODUCT(--(ISNUMBER(SEARCH($A182,'Diags Raw Data'!$A$6:$A$3830))),'Diags Raw Data'!$L$6:$L$3830,'Diags Raw Data'!$N$6:$N$3830)/J182)</f>
        <v>#DIV/0!</v>
      </c>
      <c r="L182" s="485" t="e" cm="1">
        <f t="array" ref="L182">IF(D182="",0, SUMPRODUCT(--(ISNUMBER(SEARCH($A182,'Diags Raw Data'!$A$6:$A$3830))),'Diags Raw Data'!$L$6:$L$3830,'Diags Raw Data'!$P$6:$P$3830)/J182)</f>
        <v>#DIV/0!</v>
      </c>
      <c r="M182" s="486" cm="1">
        <f t="array" ref="M182">SUMPRODUCT(--(ISNUMBER(SEARCH($A182,'Diags Raw Data'!$A$6:$A$3830))),--('Diags Raw Data'!$Q$6:$Q$3830&lt;&gt;"N/A"),'Diags Raw Data'!$R$6:$R$3830)</f>
        <v>0</v>
      </c>
      <c r="N182" s="487" cm="1">
        <f t="array" ref="N182">SUMPRODUCT(--(ISNUMBER(SEARCH($A182,'Diags Raw Data'!$A$6:$A$3830))),--('Diags Raw Data'!$Q$6:$Q$3830&lt;&gt;"N/A"),'Diags Raw Data'!$T$6:$T$3830)+SUMPRODUCT(--(ISNUMBER(SEARCH($A182,'Diags Raw Data'!$A$6:$A$3830))),--('Diags Raw Data'!$Q$6:$Q$3830&lt;&gt;"N/A"),'Diags Raw Data'!$U$6:$U$3830)</f>
        <v>0</v>
      </c>
      <c r="O182" s="488">
        <f t="shared" si="19"/>
        <v>0</v>
      </c>
      <c r="P182" s="489">
        <f>SUMIF('Diags Raw Data'!$A$6:$A$3830,"*"&amp;$A182&amp;"*",'Diags Raw Data'!$Z$6:$Z$3830)</f>
        <v>0</v>
      </c>
      <c r="Q182" s="490">
        <f>SUM(SUMIF('Diags Raw Data'!$A$6:$A$3830,"*"&amp;$A182&amp;"*",'Diags Raw Data'!$AA$6:$AA$3830),SUMIF('Diags Raw Data'!$A$6:$A$3830,"*"&amp;$A182&amp;"*",'Diags Raw Data'!$AB$6:$AB$3830))</f>
        <v>0</v>
      </c>
      <c r="R182" s="491">
        <f t="shared" si="20"/>
        <v>0</v>
      </c>
      <c r="S182" s="491">
        <f t="shared" si="21"/>
        <v>0</v>
      </c>
      <c r="T182" s="492">
        <f t="shared" si="22"/>
        <v>0</v>
      </c>
      <c r="U182" s="432" t="str">
        <f>VLOOKUP(A182,'Diags Raw Data'!$A$6:$AH$3830,33,FALSE)</f>
        <v>N/A</v>
      </c>
      <c r="V182" s="552" t="s">
        <v>422</v>
      </c>
    </row>
    <row r="183" spans="1:22" ht="30.75" thickBot="1" x14ac:dyDescent="0.3">
      <c r="A183" s="546">
        <v>12.396000000000001</v>
      </c>
      <c r="B183" s="434" t="str">
        <f>VLOOKUP(A183,'Feature Raw Data'!$A$3:$B$3922,2,FALSE)</f>
        <v>Airtight FIFO Design Robustness</v>
      </c>
      <c r="C183" s="435" t="str">
        <f>VLOOKUP(A183,'Feature Raw Data'!$A$3:$C$3922,3,FALSE)</f>
        <v>P1</v>
      </c>
      <c r="D183" s="436" t="str" cm="1">
        <f t="array" ref="D183">_xlfn.TEXTJOIN("",TRUE,IF(ISNUMBER(SEARCH($A183,'Diags Raw Data'!$A$6:$A$3830)),CONCATENATE('Diags Raw Data'!$H$6:$H$3830,", "),""))</f>
        <v xml:space="preserve">N/A, </v>
      </c>
      <c r="E183" s="339" t="str">
        <f>VLOOKUP(A183,'Diags Raw Data'!$A$6:$D$3830,4,FALSE)</f>
        <v>GFX</v>
      </c>
      <c r="F183" s="339" t="str">
        <f>VLOOKUP(A183,'Feature Raw Data'!$A$3:$E$3922,5,FALSE)</f>
        <v>New</v>
      </c>
      <c r="G183" s="339" t="str">
        <f t="shared" si="17"/>
        <v>No</v>
      </c>
      <c r="H183" s="339" t="str">
        <f t="shared" si="18"/>
        <v>No</v>
      </c>
      <c r="I183" s="435">
        <f>SUMIF('Diags Raw Data'!$A$6:$A$3830,"*"&amp;$A183&amp;"*",'Diags Raw Data'!$K$6:$K$3830)</f>
        <v>0</v>
      </c>
      <c r="J183" s="437">
        <f>SUMIF('Diags Raw Data'!$A$6:$A$3830,"*"&amp;$A183&amp;"*",'Diags Raw Data'!$L$6:$L$3830)</f>
        <v>0</v>
      </c>
      <c r="K183" s="484" t="e" cm="1">
        <f t="array" ref="K183">IF(D183="",0, SUMPRODUCT(--(ISNUMBER(SEARCH($A183,'Diags Raw Data'!$A$6:$A$3830))),'Diags Raw Data'!$L$6:$L$3830,'Diags Raw Data'!$N$6:$N$3830)/J183)</f>
        <v>#DIV/0!</v>
      </c>
      <c r="L183" s="485" t="e" cm="1">
        <f t="array" ref="L183">IF(D183="",0, SUMPRODUCT(--(ISNUMBER(SEARCH($A183,'Diags Raw Data'!$A$6:$A$3830))),'Diags Raw Data'!$L$6:$L$3830,'Diags Raw Data'!$P$6:$P$3830)/J183)</f>
        <v>#DIV/0!</v>
      </c>
      <c r="M183" s="486" cm="1">
        <f t="array" ref="M183">SUMPRODUCT(--(ISNUMBER(SEARCH($A183,'Diags Raw Data'!$A$6:$A$3830))),--('Diags Raw Data'!$Q$6:$Q$3830&lt;&gt;"N/A"),'Diags Raw Data'!$R$6:$R$3830)</f>
        <v>0</v>
      </c>
      <c r="N183" s="487" cm="1">
        <f t="array" ref="N183">SUMPRODUCT(--(ISNUMBER(SEARCH($A183,'Diags Raw Data'!$A$6:$A$3830))),--('Diags Raw Data'!$Q$6:$Q$3830&lt;&gt;"N/A"),'Diags Raw Data'!$T$6:$T$3830)+SUMPRODUCT(--(ISNUMBER(SEARCH($A183,'Diags Raw Data'!$A$6:$A$3830))),--('Diags Raw Data'!$Q$6:$Q$3830&lt;&gt;"N/A"),'Diags Raw Data'!$U$6:$U$3830)</f>
        <v>0</v>
      </c>
      <c r="O183" s="488">
        <f t="shared" si="19"/>
        <v>0</v>
      </c>
      <c r="P183" s="489">
        <f>SUMIF('Diags Raw Data'!$A$6:$A$3830,"*"&amp;$A183&amp;"*",'Diags Raw Data'!$Z$6:$Z$3830)</f>
        <v>0</v>
      </c>
      <c r="Q183" s="490">
        <f>SUM(SUMIF('Diags Raw Data'!$A$6:$A$3830,"*"&amp;$A183&amp;"*",'Diags Raw Data'!$AA$6:$AA$3830),SUMIF('Diags Raw Data'!$A$6:$A$3830,"*"&amp;$A183&amp;"*",'Diags Raw Data'!$AB$6:$AB$3830))</f>
        <v>0</v>
      </c>
      <c r="R183" s="491">
        <f t="shared" si="20"/>
        <v>0</v>
      </c>
      <c r="S183" s="491">
        <f t="shared" si="21"/>
        <v>0</v>
      </c>
      <c r="T183" s="492">
        <f t="shared" si="22"/>
        <v>0</v>
      </c>
      <c r="U183" s="432" t="str">
        <f>VLOOKUP(A183,'Diags Raw Data'!$A$6:$AH$3830,33,FALSE)</f>
        <v>N/A</v>
      </c>
      <c r="V183" s="181"/>
    </row>
    <row r="184" spans="1:22" ht="30.75" thickBot="1" x14ac:dyDescent="0.3">
      <c r="A184" s="546">
        <v>12.397</v>
      </c>
      <c r="B184" s="434" t="str">
        <f>VLOOKUP(A184,'Feature Raw Data'!$A$3:$B$3922,2,FALSE)</f>
        <v>Benchmark Stimulus Replay at Block</v>
      </c>
      <c r="C184" s="435" t="str">
        <f>VLOOKUP(A184,'Feature Raw Data'!$A$3:$C$3922,3,FALSE)</f>
        <v>P2</v>
      </c>
      <c r="D184" s="436" t="str" cm="1">
        <f t="array" ref="D184">_xlfn.TEXTJOIN("",TRUE,IF(ISNUMBER(SEARCH($A184,'Diags Raw Data'!$A$6:$A$3830)),CONCATENATE('Diags Raw Data'!$H$6:$H$3830,", "),""))</f>
        <v xml:space="preserve">N/A, </v>
      </c>
      <c r="E184" s="339" t="str">
        <f>VLOOKUP(A184,'Diags Raw Data'!$A$6:$D$3830,4,FALSE)</f>
        <v>GFX</v>
      </c>
      <c r="F184" s="339" t="str">
        <f>VLOOKUP(A184,'Feature Raw Data'!$A$3:$E$3922,5,FALSE)</f>
        <v>New</v>
      </c>
      <c r="G184" s="339" t="str">
        <f t="shared" si="17"/>
        <v>No</v>
      </c>
      <c r="H184" s="339" t="str">
        <f t="shared" si="18"/>
        <v>No</v>
      </c>
      <c r="I184" s="435">
        <f>SUMIF('Diags Raw Data'!$A$6:$A$3830,"*"&amp;$A184&amp;"*",'Diags Raw Data'!$K$6:$K$3830)</f>
        <v>0</v>
      </c>
      <c r="J184" s="437">
        <f>SUMIF('Diags Raw Data'!$A$6:$A$3830,"*"&amp;$A184&amp;"*",'Diags Raw Data'!$L$6:$L$3830)</f>
        <v>0</v>
      </c>
      <c r="K184" s="484" t="e" cm="1">
        <f t="array" ref="K184">IF(D184="",0, SUMPRODUCT(--(ISNUMBER(SEARCH($A184,'Diags Raw Data'!$A$6:$A$3830))),'Diags Raw Data'!$L$6:$L$3830,'Diags Raw Data'!$N$6:$N$3830)/J184)</f>
        <v>#DIV/0!</v>
      </c>
      <c r="L184" s="485" t="e" cm="1">
        <f t="array" ref="L184">IF(D184="",0, SUMPRODUCT(--(ISNUMBER(SEARCH($A184,'Diags Raw Data'!$A$6:$A$3830))),'Diags Raw Data'!$L$6:$L$3830,'Diags Raw Data'!$P$6:$P$3830)/J184)</f>
        <v>#DIV/0!</v>
      </c>
      <c r="M184" s="486" cm="1">
        <f t="array" ref="M184">SUMPRODUCT(--(ISNUMBER(SEARCH($A184,'Diags Raw Data'!$A$6:$A$3830))),--('Diags Raw Data'!$Q$6:$Q$3830&lt;&gt;"N/A"),'Diags Raw Data'!$R$6:$R$3830)</f>
        <v>0</v>
      </c>
      <c r="N184" s="487" cm="1">
        <f t="array" ref="N184">SUMPRODUCT(--(ISNUMBER(SEARCH($A184,'Diags Raw Data'!$A$6:$A$3830))),--('Diags Raw Data'!$Q$6:$Q$3830&lt;&gt;"N/A"),'Diags Raw Data'!$T$6:$T$3830)+SUMPRODUCT(--(ISNUMBER(SEARCH($A184,'Diags Raw Data'!$A$6:$A$3830))),--('Diags Raw Data'!$Q$6:$Q$3830&lt;&gt;"N/A"),'Diags Raw Data'!$U$6:$U$3830)</f>
        <v>0</v>
      </c>
      <c r="O184" s="488">
        <f t="shared" si="19"/>
        <v>0</v>
      </c>
      <c r="P184" s="489">
        <f>SUMIF('Diags Raw Data'!$A$6:$A$3830,"*"&amp;$A184&amp;"*",'Diags Raw Data'!$Z$6:$Z$3830)</f>
        <v>0</v>
      </c>
      <c r="Q184" s="490">
        <f>SUM(SUMIF('Diags Raw Data'!$A$6:$A$3830,"*"&amp;$A184&amp;"*",'Diags Raw Data'!$AA$6:$AA$3830),SUMIF('Diags Raw Data'!$A$6:$A$3830,"*"&amp;$A184&amp;"*",'Diags Raw Data'!$AB$6:$AB$3830))</f>
        <v>0</v>
      </c>
      <c r="R184" s="491">
        <f t="shared" si="20"/>
        <v>0</v>
      </c>
      <c r="S184" s="491">
        <f t="shared" si="21"/>
        <v>0</v>
      </c>
      <c r="T184" s="492">
        <f t="shared" si="22"/>
        <v>0</v>
      </c>
      <c r="U184" s="432" t="str">
        <f>VLOOKUP(A184,'Diags Raw Data'!$A$6:$AH$3830,33,FALSE)</f>
        <v>N/A</v>
      </c>
      <c r="V184" s="181"/>
    </row>
    <row r="185" spans="1:22" ht="15.75" thickBot="1" x14ac:dyDescent="0.3">
      <c r="A185" s="546">
        <v>12.398</v>
      </c>
      <c r="B185" s="434" t="str">
        <f>VLOOKUP(A185,'Feature Raw Data'!$A$3:$B$3922,2,FALSE)</f>
        <v xml:space="preserve">Adoption of RDL2RTL </v>
      </c>
      <c r="C185" s="435" t="str">
        <f>VLOOKUP(A185,'Feature Raw Data'!$A$3:$C$3922,3,FALSE)</f>
        <v>P2</v>
      </c>
      <c r="D185" s="436" t="str" cm="1">
        <f t="array" ref="D185">_xlfn.TEXTJOIN("",TRUE,IF(ISNUMBER(SEARCH($A185,'Diags Raw Data'!$A$6:$A$3830)),CONCATENATE('Diags Raw Data'!$H$6:$H$3830,", "),""))</f>
        <v xml:space="preserve">N/A, </v>
      </c>
      <c r="E185" s="339" t="str">
        <f>VLOOKUP(A185,'Diags Raw Data'!$A$6:$D$3830,4,FALSE)</f>
        <v>GFX</v>
      </c>
      <c r="F185" s="339" t="str">
        <f>VLOOKUP(A185,'Feature Raw Data'!$A$3:$E$3922,5,FALSE)</f>
        <v>New</v>
      </c>
      <c r="G185" s="339" t="str">
        <f t="shared" si="17"/>
        <v>No</v>
      </c>
      <c r="H185" s="339" t="str">
        <f t="shared" si="18"/>
        <v>No</v>
      </c>
      <c r="I185" s="435">
        <f>SUMIF('Diags Raw Data'!$A$6:$A$3830,"*"&amp;$A185&amp;"*",'Diags Raw Data'!$K$6:$K$3830)</f>
        <v>0</v>
      </c>
      <c r="J185" s="437">
        <f>SUMIF('Diags Raw Data'!$A$6:$A$3830,"*"&amp;$A185&amp;"*",'Diags Raw Data'!$L$6:$L$3830)</f>
        <v>0</v>
      </c>
      <c r="K185" s="484" t="e" cm="1">
        <f t="array" ref="K185">IF(D185="",0, SUMPRODUCT(--(ISNUMBER(SEARCH($A185,'Diags Raw Data'!$A$6:$A$3830))),'Diags Raw Data'!$L$6:$L$3830,'Diags Raw Data'!$N$6:$N$3830)/J185)</f>
        <v>#DIV/0!</v>
      </c>
      <c r="L185" s="485" t="e" cm="1">
        <f t="array" ref="L185">IF(D185="",0, SUMPRODUCT(--(ISNUMBER(SEARCH($A185,'Diags Raw Data'!$A$6:$A$3830))),'Diags Raw Data'!$L$6:$L$3830,'Diags Raw Data'!$P$6:$P$3830)/J185)</f>
        <v>#DIV/0!</v>
      </c>
      <c r="M185" s="486" cm="1">
        <f t="array" ref="M185">SUMPRODUCT(--(ISNUMBER(SEARCH($A185,'Diags Raw Data'!$A$6:$A$3830))),--('Diags Raw Data'!$Q$6:$Q$3830&lt;&gt;"N/A"),'Diags Raw Data'!$R$6:$R$3830)</f>
        <v>0</v>
      </c>
      <c r="N185" s="487" cm="1">
        <f t="array" ref="N185">SUMPRODUCT(--(ISNUMBER(SEARCH($A185,'Diags Raw Data'!$A$6:$A$3830))),--('Diags Raw Data'!$Q$6:$Q$3830&lt;&gt;"N/A"),'Diags Raw Data'!$T$6:$T$3830)+SUMPRODUCT(--(ISNUMBER(SEARCH($A185,'Diags Raw Data'!$A$6:$A$3830))),--('Diags Raw Data'!$Q$6:$Q$3830&lt;&gt;"N/A"),'Diags Raw Data'!$U$6:$U$3830)</f>
        <v>0</v>
      </c>
      <c r="O185" s="488">
        <f t="shared" si="19"/>
        <v>0</v>
      </c>
      <c r="P185" s="489">
        <f>SUMIF('Diags Raw Data'!$A$6:$A$3830,"*"&amp;$A185&amp;"*",'Diags Raw Data'!$Z$6:$Z$3830)</f>
        <v>0</v>
      </c>
      <c r="Q185" s="490">
        <f>SUM(SUMIF('Diags Raw Data'!$A$6:$A$3830,"*"&amp;$A185&amp;"*",'Diags Raw Data'!$AA$6:$AA$3830),SUMIF('Diags Raw Data'!$A$6:$A$3830,"*"&amp;$A185&amp;"*",'Diags Raw Data'!$AB$6:$AB$3830))</f>
        <v>0</v>
      </c>
      <c r="R185" s="491">
        <f t="shared" si="20"/>
        <v>0</v>
      </c>
      <c r="S185" s="491">
        <f t="shared" si="21"/>
        <v>0</v>
      </c>
      <c r="T185" s="492">
        <f t="shared" si="22"/>
        <v>0</v>
      </c>
      <c r="U185" s="432" t="str">
        <f>VLOOKUP(A185,'Diags Raw Data'!$A$6:$AH$3830,33,FALSE)</f>
        <v>N/A</v>
      </c>
      <c r="V185" s="181"/>
    </row>
    <row r="186" spans="1:22" ht="30.75" thickBot="1" x14ac:dyDescent="0.3">
      <c r="A186" s="546">
        <v>12.398999999999999</v>
      </c>
      <c r="B186" s="434" t="str">
        <f>VLOOKUP(A186,'Feature Raw Data'!$A$3:$B$3922,2,FALSE)</f>
        <v>Remove Coverage into Render Targets</v>
      </c>
      <c r="C186" s="435" t="str">
        <f>VLOOKUP(A186,'Feature Raw Data'!$A$3:$C$3922,3,FALSE)</f>
        <v>P1</v>
      </c>
      <c r="D186" s="436" t="str" cm="1">
        <f t="array" ref="D186">_xlfn.TEXTJOIN("",TRUE,IF(ISNUMBER(SEARCH($A186,'Diags Raw Data'!$A$6:$A$3830)),CONCATENATE('Diags Raw Data'!$H$6:$H$3830,", "),""))</f>
        <v xml:space="preserve">N/A, </v>
      </c>
      <c r="E186" s="339" t="str">
        <f>VLOOKUP(A186,'Diags Raw Data'!$A$6:$D$3830,4,FALSE)</f>
        <v>PP</v>
      </c>
      <c r="F186" s="339" t="str">
        <f>VLOOKUP(A186,'Feature Raw Data'!$A$3:$E$3922,5,FALSE)</f>
        <v>New</v>
      </c>
      <c r="G186" s="339" t="str">
        <f t="shared" si="17"/>
        <v>No</v>
      </c>
      <c r="H186" s="339" t="str">
        <f t="shared" si="18"/>
        <v>No</v>
      </c>
      <c r="I186" s="435">
        <f>SUMIF('Diags Raw Data'!$A$6:$A$3830,"*"&amp;$A186&amp;"*",'Diags Raw Data'!$K$6:$K$3830)</f>
        <v>0</v>
      </c>
      <c r="J186" s="437">
        <f>SUMIF('Diags Raw Data'!$A$6:$A$3830,"*"&amp;$A186&amp;"*",'Diags Raw Data'!$L$6:$L$3830)</f>
        <v>0</v>
      </c>
      <c r="K186" s="484" t="e" cm="1">
        <f t="array" ref="K186">IF(D186="",0, SUMPRODUCT(--(ISNUMBER(SEARCH($A186,'Diags Raw Data'!$A$6:$A$3830))),'Diags Raw Data'!$L$6:$L$3830,'Diags Raw Data'!$N$6:$N$3830)/J186)</f>
        <v>#DIV/0!</v>
      </c>
      <c r="L186" s="485" t="e" cm="1">
        <f t="array" ref="L186">IF(D186="",0, SUMPRODUCT(--(ISNUMBER(SEARCH($A186,'Diags Raw Data'!$A$6:$A$3830))),'Diags Raw Data'!$L$6:$L$3830,'Diags Raw Data'!$P$6:$P$3830)/J186)</f>
        <v>#DIV/0!</v>
      </c>
      <c r="M186" s="486" cm="1">
        <f t="array" ref="M186">SUMPRODUCT(--(ISNUMBER(SEARCH($A186,'Diags Raw Data'!$A$6:$A$3830))),--('Diags Raw Data'!$Q$6:$Q$3830&lt;&gt;"N/A"),'Diags Raw Data'!$R$6:$R$3830)</f>
        <v>0</v>
      </c>
      <c r="N186" s="487" cm="1">
        <f t="array" ref="N186">SUMPRODUCT(--(ISNUMBER(SEARCH($A186,'Diags Raw Data'!$A$6:$A$3830))),--('Diags Raw Data'!$Q$6:$Q$3830&lt;&gt;"N/A"),'Diags Raw Data'!$T$6:$T$3830)+SUMPRODUCT(--(ISNUMBER(SEARCH($A186,'Diags Raw Data'!$A$6:$A$3830))),--('Diags Raw Data'!$Q$6:$Q$3830&lt;&gt;"N/A"),'Diags Raw Data'!$U$6:$U$3830)</f>
        <v>0</v>
      </c>
      <c r="O186" s="488">
        <f t="shared" si="19"/>
        <v>0</v>
      </c>
      <c r="P186" s="489">
        <f>SUMIF('Diags Raw Data'!$A$6:$A$3830,"*"&amp;$A186&amp;"*",'Diags Raw Data'!$Z$6:$Z$3830)</f>
        <v>0</v>
      </c>
      <c r="Q186" s="490">
        <f>SUM(SUMIF('Diags Raw Data'!$A$6:$A$3830,"*"&amp;$A186&amp;"*",'Diags Raw Data'!$AA$6:$AA$3830),SUMIF('Diags Raw Data'!$A$6:$A$3830,"*"&amp;$A186&amp;"*",'Diags Raw Data'!$AB$6:$AB$3830))</f>
        <v>0</v>
      </c>
      <c r="R186" s="491">
        <f t="shared" si="20"/>
        <v>0</v>
      </c>
      <c r="S186" s="491">
        <f t="shared" si="21"/>
        <v>0</v>
      </c>
      <c r="T186" s="492">
        <f t="shared" si="22"/>
        <v>0</v>
      </c>
      <c r="U186" s="432" t="str">
        <f>VLOOKUP(A186,'Diags Raw Data'!$A$6:$AH$3830,33,FALSE)</f>
        <v>N/A</v>
      </c>
      <c r="V186" s="181"/>
    </row>
    <row r="187" spans="1:22" ht="315.75" thickBot="1" x14ac:dyDescent="0.3">
      <c r="A187" s="546">
        <v>12.4</v>
      </c>
      <c r="B187" s="434" t="str">
        <f>VLOOKUP(A187,'Feature Raw Data'!$A$3:$B$3922,2,FALSE)</f>
        <v>SRAM Bit/byte write enable</v>
      </c>
      <c r="C187" s="435" t="str">
        <f>VLOOKUP(A187,'Feature Raw Data'!$A$3:$C$3922,3,FALSE)</f>
        <v>P1</v>
      </c>
      <c r="D187" s="436" t="str" cm="1">
        <f t="array" ref="D187">_xlfn.TEXTJOIN("",TRUE,IF(ISNUMBER(SEARCH($A187,'Diags Raw Data'!$A$6:$A$3830)),CONCATENATE('Diags Raw Data'!$H$6:$H$3830,", "),""))</f>
        <v xml:space="preserve">cs160.1-2, gci1311, placeholder_i.1, rt1.400-401, utci16.1, placeholder_j.1-4, shci2039.0-3, rt33.0, rt33.1-2, gci1307.4-7, placeholder_k.1-2, spi453, glxi61.1-2, gfx.linpack_gfx_compute, placeholder_l.1-8, placeholder_a.1-108, gci1310, cpi415.1-2, gci1309.0-3, gmhub.athub_raw_monolithic_test/CPWD, gfx.sr_stat, gfx.inst_perf.1-5,gci39.1-6, placeholder_b.1, txi83, std1.6, placeholder_c.1-2, N/A, N/A, N/A, N/A, N/A, N/A, N/A, PMM coverage through CGCG/PG features, N/A, N/A, N/A, N/A, N/A, N/A, N/A, N/A, N/A, N/A, N/A, N/A, N/A, N/A, N/A, N/A, N/A, N/A, N/A, N/A, N/A, , N/A, N/A, N/A, N/A, N/A, N/A, gfx.stress3d.gfxoff/food_store, N/A, N/A, N/A, N/A, N/A, N/A, N/A, N/A, </v>
      </c>
      <c r="E187" s="339" t="str">
        <f>VLOOKUP(A187,'Diags Raw Data'!$A$6:$D$3830,4,FALSE)</f>
        <v>GFX</v>
      </c>
      <c r="F187" s="339" t="str">
        <f>VLOOKUP(A187,'Feature Raw Data'!$A$3:$E$3922,5,FALSE)</f>
        <v>New</v>
      </c>
      <c r="G187" s="339" t="str">
        <f t="shared" si="17"/>
        <v>Yes</v>
      </c>
      <c r="H187" s="339" t="str">
        <f t="shared" si="18"/>
        <v>Yes</v>
      </c>
      <c r="I187" s="435">
        <f>SUMIF('Diags Raw Data'!$A$6:$A$3830,"*"&amp;$A187&amp;"*",'Diags Raw Data'!$K$6:$K$3830)</f>
        <v>0</v>
      </c>
      <c r="J187" s="437">
        <f>SUMIF('Diags Raw Data'!$A$6:$A$3830,"*"&amp;$A187&amp;"*",'Diags Raw Data'!$L$6:$L$3830)</f>
        <v>0</v>
      </c>
      <c r="K187" s="484" t="e" cm="1">
        <f t="array" ref="K187">IF(D187="",0, SUMPRODUCT(--(ISNUMBER(SEARCH($A187,'Diags Raw Data'!$A$6:$A$3830))),'Diags Raw Data'!$L$6:$L$3830,'Diags Raw Data'!$N$6:$N$3830)/J187)</f>
        <v>#DIV/0!</v>
      </c>
      <c r="L187" s="485" t="e" cm="1">
        <f t="array" ref="L187">IF(D187="",0, SUMPRODUCT(--(ISNUMBER(SEARCH($A187,'Diags Raw Data'!$A$6:$A$3830))),'Diags Raw Data'!$L$6:$L$3830,'Diags Raw Data'!$P$6:$P$3830)/J187)</f>
        <v>#DIV/0!</v>
      </c>
      <c r="M187" s="486" cm="1">
        <f t="array" ref="M187">SUMPRODUCT(--(ISNUMBER(SEARCH($A187,'Diags Raw Data'!$A$6:$A$3830))),--('Diags Raw Data'!$Q$6:$Q$3830&lt;&gt;"N/A"),'Diags Raw Data'!$R$6:$R$3830)</f>
        <v>79</v>
      </c>
      <c r="N187" s="487" cm="1">
        <f t="array" ref="N187">SUMPRODUCT(--(ISNUMBER(SEARCH($A187,'Diags Raw Data'!$A$6:$A$3830))),--('Diags Raw Data'!$Q$6:$Q$3830&lt;&gt;"N/A"),'Diags Raw Data'!$T$6:$T$3830)+SUMPRODUCT(--(ISNUMBER(SEARCH($A187,'Diags Raw Data'!$A$6:$A$3830))),--('Diags Raw Data'!$Q$6:$Q$3830&lt;&gt;"N/A"),'Diags Raw Data'!$U$6:$U$3830)</f>
        <v>65</v>
      </c>
      <c r="O187" s="488">
        <f t="shared" si="19"/>
        <v>0.82278481012658233</v>
      </c>
      <c r="P187" s="489">
        <f>SUMIF('Diags Raw Data'!$A$6:$A$3830,"*"&amp;$A187&amp;"*",'Diags Raw Data'!$Z$6:$Z$3830)</f>
        <v>0</v>
      </c>
      <c r="Q187" s="490">
        <f>SUM(SUMIF('Diags Raw Data'!$A$6:$A$3830,"*"&amp;$A187&amp;"*",'Diags Raw Data'!$AA$6:$AA$3830),SUMIF('Diags Raw Data'!$A$6:$A$3830,"*"&amp;$A187&amp;"*",'Diags Raw Data'!$AB$6:$AB$3830))</f>
        <v>0</v>
      </c>
      <c r="R187" s="491">
        <f t="shared" si="20"/>
        <v>0</v>
      </c>
      <c r="S187" s="491">
        <f t="shared" si="21"/>
        <v>0</v>
      </c>
      <c r="T187" s="492">
        <f t="shared" si="22"/>
        <v>0</v>
      </c>
      <c r="U187" s="432" t="str">
        <f>VLOOKUP(A187,'Diags Raw Data'!$A$6:$AH$3830,33,FALSE)</f>
        <v>N/A</v>
      </c>
      <c r="V187" s="181"/>
    </row>
    <row r="188" spans="1:22" ht="30.75" thickBot="1" x14ac:dyDescent="0.3">
      <c r="A188" s="546">
        <v>12.401</v>
      </c>
      <c r="B188" s="434" t="str">
        <f>VLOOKUP(A188,'Feature Raw Data'!$A$3:$B$3922,2,FALSE)</f>
        <v>Improving MBFF ratio (Octa/Hexa Flops)</v>
      </c>
      <c r="C188" s="435" t="str">
        <f>VLOOKUP(A188,'Feature Raw Data'!$A$3:$C$3922,3,FALSE)</f>
        <v>P2</v>
      </c>
      <c r="D188" s="436" t="str" cm="1">
        <f t="array" ref="D188">_xlfn.TEXTJOIN("",TRUE,IF(ISNUMBER(SEARCH($A188,'Diags Raw Data'!$A$6:$A$3830)),CONCATENATE('Diags Raw Data'!$H$6:$H$3830,", "),""))</f>
        <v xml:space="preserve">N/A, </v>
      </c>
      <c r="E188" s="339" t="str">
        <f>VLOOKUP(A188,'Diags Raw Data'!$A$6:$D$3830,4,FALSE)</f>
        <v>CMM</v>
      </c>
      <c r="F188" s="339" t="str">
        <f>VLOOKUP(A188,'Feature Raw Data'!$A$3:$E$3922,5,FALSE)</f>
        <v>New</v>
      </c>
      <c r="G188" s="339" t="str">
        <f t="shared" si="17"/>
        <v>No</v>
      </c>
      <c r="H188" s="339" t="str">
        <f t="shared" si="18"/>
        <v>No</v>
      </c>
      <c r="I188" s="435">
        <f>SUMIF('Diags Raw Data'!$A$6:$A$3830,"*"&amp;$A188&amp;"*",'Diags Raw Data'!$K$6:$K$3830)</f>
        <v>0</v>
      </c>
      <c r="J188" s="437">
        <f>SUMIF('Diags Raw Data'!$A$6:$A$3830,"*"&amp;$A188&amp;"*",'Diags Raw Data'!$L$6:$L$3830)</f>
        <v>0</v>
      </c>
      <c r="K188" s="484" t="e" cm="1">
        <f t="array" ref="K188">IF(D188="",0, SUMPRODUCT(--(ISNUMBER(SEARCH($A188,'Diags Raw Data'!$A$6:$A$3830))),'Diags Raw Data'!$L$6:$L$3830,'Diags Raw Data'!$N$6:$N$3830)/J188)</f>
        <v>#DIV/0!</v>
      </c>
      <c r="L188" s="485" t="e" cm="1">
        <f t="array" ref="L188">IF(D188="",0, SUMPRODUCT(--(ISNUMBER(SEARCH($A188,'Diags Raw Data'!$A$6:$A$3830))),'Diags Raw Data'!$L$6:$L$3830,'Diags Raw Data'!$P$6:$P$3830)/J188)</f>
        <v>#DIV/0!</v>
      </c>
      <c r="M188" s="486" cm="1">
        <f t="array" ref="M188">SUMPRODUCT(--(ISNUMBER(SEARCH($A188,'Diags Raw Data'!$A$6:$A$3830))),--('Diags Raw Data'!$Q$6:$Q$3830&lt;&gt;"N/A"),'Diags Raw Data'!$R$6:$R$3830)</f>
        <v>0</v>
      </c>
      <c r="N188" s="487" cm="1">
        <f t="array" ref="N188">SUMPRODUCT(--(ISNUMBER(SEARCH($A188,'Diags Raw Data'!$A$6:$A$3830))),--('Diags Raw Data'!$Q$6:$Q$3830&lt;&gt;"N/A"),'Diags Raw Data'!$T$6:$T$3830)+SUMPRODUCT(--(ISNUMBER(SEARCH($A188,'Diags Raw Data'!$A$6:$A$3830))),--('Diags Raw Data'!$Q$6:$Q$3830&lt;&gt;"N/A"),'Diags Raw Data'!$U$6:$U$3830)</f>
        <v>0</v>
      </c>
      <c r="O188" s="488">
        <f>IF((M188=0),0,N188/M188)</f>
        <v>0</v>
      </c>
      <c r="P188" s="489">
        <f>SUMIF('Diags Raw Data'!$A$6:$A$3830,"*"&amp;$A188&amp;"*",'Diags Raw Data'!$Z$6:$Z$3830)</f>
        <v>0</v>
      </c>
      <c r="Q188" s="490">
        <f>SUM(SUMIF('Diags Raw Data'!$A$6:$A$3830,"*"&amp;$A188&amp;"*",'Diags Raw Data'!$AA$6:$AA$3830),SUMIF('Diags Raw Data'!$A$6:$A$3830,"*"&amp;$A188&amp;"*",'Diags Raw Data'!$AB$6:$AB$3830))</f>
        <v>0</v>
      </c>
      <c r="R188" s="491">
        <f>IF((J188=0),0,P188/J188)</f>
        <v>0</v>
      </c>
      <c r="S188" s="491">
        <f>IF((P188=0),0,Q188/P188)</f>
        <v>0</v>
      </c>
      <c r="T188" s="492">
        <f>R188*S188</f>
        <v>0</v>
      </c>
      <c r="U188" s="432" t="str">
        <f>VLOOKUP(A188,'Diags Raw Data'!$A$6:$AH$3830,33,FALSE)</f>
        <v>N/A</v>
      </c>
      <c r="V188" s="181"/>
    </row>
    <row r="189" spans="1:22" ht="30.75" thickBot="1" x14ac:dyDescent="0.3">
      <c r="A189" s="546">
        <v>12.401999999999999</v>
      </c>
      <c r="B189" s="434" t="str">
        <f>VLOOKUP(A189,'Feature Raw Data'!$A$3:$B$3922,2,FALSE)</f>
        <v>Repeater Clock Gating (Clock Gating Efficiency focus)</v>
      </c>
      <c r="C189" s="435" t="str">
        <f>VLOOKUP(A189,'Feature Raw Data'!$A$3:$C$3922,3,FALSE)</f>
        <v>P1</v>
      </c>
      <c r="D189" s="436" t="str" cm="1">
        <f t="array" ref="D189">_xlfn.TEXTJOIN("",TRUE,IF(ISNUMBER(SEARCH($A189,'Diags Raw Data'!$A$6:$A$3830)),CONCATENATE('Diags Raw Data'!$H$6:$H$3830,", "),""))</f>
        <v xml:space="preserve">N/A, </v>
      </c>
      <c r="E189" s="339" t="str">
        <f>VLOOKUP(A189,'Diags Raw Data'!$A$6:$D$3830,4,FALSE)</f>
        <v>GFX</v>
      </c>
      <c r="F189" s="339" t="str">
        <f>VLOOKUP(A189,'Feature Raw Data'!$A$3:$E$3922,5,FALSE)</f>
        <v>New</v>
      </c>
      <c r="G189" s="339" t="str">
        <f t="shared" si="17"/>
        <v>No</v>
      </c>
      <c r="H189" s="339" t="str">
        <f t="shared" si="18"/>
        <v>No</v>
      </c>
      <c r="I189" s="435">
        <f>SUMIF('Diags Raw Data'!$A$6:$A$3830,"*"&amp;$A189&amp;"*",'Diags Raw Data'!$K$6:$K$3830)</f>
        <v>0</v>
      </c>
      <c r="J189" s="437">
        <f>SUMIF('Diags Raw Data'!$A$6:$A$3830,"*"&amp;$A189&amp;"*",'Diags Raw Data'!$L$6:$L$3830)</f>
        <v>0</v>
      </c>
      <c r="K189" s="484" t="e" cm="1">
        <f t="array" ref="K189">IF(D189="",0, SUMPRODUCT(--(ISNUMBER(SEARCH($A189,'Diags Raw Data'!$A$6:$A$3830))),'Diags Raw Data'!$L$6:$L$3830,'Diags Raw Data'!$N$6:$N$3830)/J189)</f>
        <v>#DIV/0!</v>
      </c>
      <c r="L189" s="485" t="e" cm="1">
        <f t="array" ref="L189">IF(D189="",0, SUMPRODUCT(--(ISNUMBER(SEARCH($A189,'Diags Raw Data'!$A$6:$A$3830))),'Diags Raw Data'!$L$6:$L$3830,'Diags Raw Data'!$P$6:$P$3830)/J189)</f>
        <v>#DIV/0!</v>
      </c>
      <c r="M189" s="486" cm="1">
        <f t="array" ref="M189">SUMPRODUCT(--(ISNUMBER(SEARCH($A189,'Diags Raw Data'!$A$6:$A$3830))),--('Diags Raw Data'!$Q$6:$Q$3830&lt;&gt;"N/A"),'Diags Raw Data'!$R$6:$R$3830)</f>
        <v>0</v>
      </c>
      <c r="N189" s="487" cm="1">
        <f t="array" ref="N189">SUMPRODUCT(--(ISNUMBER(SEARCH($A189,'Diags Raw Data'!$A$6:$A$3830))),--('Diags Raw Data'!$Q$6:$Q$3830&lt;&gt;"N/A"),'Diags Raw Data'!$T$6:$T$3830)+SUMPRODUCT(--(ISNUMBER(SEARCH($A189,'Diags Raw Data'!$A$6:$A$3830))),--('Diags Raw Data'!$Q$6:$Q$3830&lt;&gt;"N/A"),'Diags Raw Data'!$U$6:$U$3830)</f>
        <v>0</v>
      </c>
      <c r="O189" s="488">
        <f>IF((M189=0),0,N189/M189)</f>
        <v>0</v>
      </c>
      <c r="P189" s="489">
        <f>SUMIF('Diags Raw Data'!$A$6:$A$3830,"*"&amp;$A189&amp;"*",'Diags Raw Data'!$Z$6:$Z$3830)</f>
        <v>0</v>
      </c>
      <c r="Q189" s="490">
        <f>SUM(SUMIF('Diags Raw Data'!$A$6:$A$3830,"*"&amp;$A189&amp;"*",'Diags Raw Data'!$AA$6:$AA$3830),SUMIF('Diags Raw Data'!$A$6:$A$3830,"*"&amp;$A189&amp;"*",'Diags Raw Data'!$AB$6:$AB$3830))</f>
        <v>0</v>
      </c>
      <c r="R189" s="491">
        <f>IF((J189=0),0,P189/J189)</f>
        <v>0</v>
      </c>
      <c r="S189" s="491">
        <f>IF((P189=0),0,Q189/P189)</f>
        <v>0</v>
      </c>
      <c r="T189" s="492">
        <f>R189*S189</f>
        <v>0</v>
      </c>
      <c r="U189" s="432" t="str">
        <f>VLOOKUP(A189,'Diags Raw Data'!$A$6:$AH$3830,33,FALSE)</f>
        <v>N/A</v>
      </c>
      <c r="V189" s="181"/>
    </row>
    <row r="190" spans="1:22" ht="150.75" thickBot="1" x14ac:dyDescent="0.3">
      <c r="A190" s="546">
        <v>12.403</v>
      </c>
      <c r="B190" s="434" t="str">
        <f>VLOOKUP(A190,'Feature Raw Data'!$A$3:$B$3922,2,FALSE)</f>
        <v>MGCG partitioning (Goal is to reduce gating residency of MGCG domains. Power saved is function of reduction in MGCG domain clock residency, and physical partitioning of domain (size of domain, clones, ICG placement, pre MGCG power).  </v>
      </c>
      <c r="C190" s="435" t="str">
        <f>VLOOKUP(A190,'Feature Raw Data'!$A$3:$C$3922,3,FALSE)</f>
        <v>P1</v>
      </c>
      <c r="D190" s="436" t="str" cm="1">
        <f t="array" ref="D190">_xlfn.TEXTJOIN("",TRUE,IF(ISNUMBER(SEARCH($A190,'Diags Raw Data'!$A$6:$A$3830)),CONCATENATE('Diags Raw Data'!$H$6:$H$3830,", "),""))</f>
        <v xml:space="preserve">N/A, </v>
      </c>
      <c r="E190" s="339" t="str">
        <f>VLOOKUP(A190,'Diags Raw Data'!$A$6:$D$3830,4,FALSE)</f>
        <v>GFX</v>
      </c>
      <c r="F190" s="339" t="str">
        <f>VLOOKUP(A190,'Feature Raw Data'!$A$3:$E$3922,5,FALSE)</f>
        <v>New</v>
      </c>
      <c r="G190" s="339" t="str">
        <f t="shared" ref="G190:G237" si="23">IF(D190="N/A, ","No","Yes")</f>
        <v>No</v>
      </c>
      <c r="H190" s="339" t="str">
        <f t="shared" si="18"/>
        <v>No</v>
      </c>
      <c r="I190" s="435">
        <f>SUMIF('Diags Raw Data'!$A$6:$A$3830,"*"&amp;$A190&amp;"*",'Diags Raw Data'!$K$6:$K$3830)</f>
        <v>0</v>
      </c>
      <c r="J190" s="437">
        <f>SUMIF('Diags Raw Data'!$A$6:$A$3830,"*"&amp;$A190&amp;"*",'Diags Raw Data'!$L$6:$L$3830)</f>
        <v>0</v>
      </c>
      <c r="K190" s="484" t="e" cm="1">
        <f t="array" ref="K190">IF(D190="",0, SUMPRODUCT(--(ISNUMBER(SEARCH($A190,'Diags Raw Data'!$A$6:$A$3830))),'Diags Raw Data'!$L$6:$L$3830,'Diags Raw Data'!$N$6:$N$3830)/J190)</f>
        <v>#DIV/0!</v>
      </c>
      <c r="L190" s="485" t="e" cm="1">
        <f t="array" ref="L190">IF(D190="",0, SUMPRODUCT(--(ISNUMBER(SEARCH($A190,'Diags Raw Data'!$A$6:$A$3830))),'Diags Raw Data'!$L$6:$L$3830,'Diags Raw Data'!$P$6:$P$3830)/J190)</f>
        <v>#DIV/0!</v>
      </c>
      <c r="M190" s="486" cm="1">
        <f t="array" ref="M190">SUMPRODUCT(--(ISNUMBER(SEARCH($A190,'Diags Raw Data'!$A$6:$A$3830))),--('Diags Raw Data'!$Q$6:$Q$3830&lt;&gt;"N/A"),'Diags Raw Data'!$R$6:$R$3830)</f>
        <v>0</v>
      </c>
      <c r="N190" s="487" cm="1">
        <f t="array" ref="N190">SUMPRODUCT(--(ISNUMBER(SEARCH($A190,'Diags Raw Data'!$A$6:$A$3830))),--('Diags Raw Data'!$Q$6:$Q$3830&lt;&gt;"N/A"),'Diags Raw Data'!$T$6:$T$3830)+SUMPRODUCT(--(ISNUMBER(SEARCH($A190,'Diags Raw Data'!$A$6:$A$3830))),--('Diags Raw Data'!$Q$6:$Q$3830&lt;&gt;"N/A"),'Diags Raw Data'!$U$6:$U$3830)</f>
        <v>0</v>
      </c>
      <c r="O190" s="488">
        <f t="shared" ref="O190:O191" si="24">IF((M190=0),0,N190/M190)</f>
        <v>0</v>
      </c>
      <c r="P190" s="489">
        <f>SUMIF('Diags Raw Data'!$A$6:$A$3830,"*"&amp;$A190&amp;"*",'Diags Raw Data'!$Z$6:$Z$3830)</f>
        <v>0</v>
      </c>
      <c r="Q190" s="490">
        <f>SUM(SUMIF('Diags Raw Data'!$A$6:$A$3830,"*"&amp;$A190&amp;"*",'Diags Raw Data'!$AA$6:$AA$3830),SUMIF('Diags Raw Data'!$A$6:$A$3830,"*"&amp;$A190&amp;"*",'Diags Raw Data'!$AB$6:$AB$3830))</f>
        <v>0</v>
      </c>
      <c r="R190" s="491">
        <f t="shared" ref="R190:R191" si="25">IF((J190=0),0,P190/J190)</f>
        <v>0</v>
      </c>
      <c r="S190" s="491">
        <f t="shared" ref="S190" si="26">IF((P190=0),0,Q190/P190)</f>
        <v>0</v>
      </c>
      <c r="T190" s="492">
        <f t="shared" ref="T190" si="27">R190*S190</f>
        <v>0</v>
      </c>
      <c r="U190" s="432" t="str">
        <f>VLOOKUP(A190,'Diags Raw Data'!$A$6:$AH$3830,33,FALSE)</f>
        <v>N/A</v>
      </c>
      <c r="V190" s="181"/>
    </row>
    <row r="191" spans="1:22" ht="105.75" thickBot="1" x14ac:dyDescent="0.3">
      <c r="A191" s="546">
        <v>12.406000000000001</v>
      </c>
      <c r="B191" s="434" t="str">
        <f>VLOOKUP(A191,'Feature Raw Data'!$A$3:$B$3922,2,FALSE)</f>
        <v>With GPO enabled, perfmon clock and flops connected to it are currently not gated. Proposal is to improve clock gating of “event” flops and counters used in performance monitor logic</v>
      </c>
      <c r="C191" s="435" t="str">
        <f>VLOOKUP(A191,'Feature Raw Data'!$A$3:$C$3922,3,FALSE)</f>
        <v>P1</v>
      </c>
      <c r="D191" s="436" t="str" cm="1">
        <f t="array" ref="D191">_xlfn.TEXTJOIN("",TRUE,IF(ISNUMBER(SEARCH($A191,'Diags Raw Data'!$A$6:$A$3830)),CONCATENATE('Diags Raw Data'!$H$6:$H$3830,", "),""))</f>
        <v xml:space="preserve">N/A, </v>
      </c>
      <c r="E191" s="339" t="str">
        <f>VLOOKUP(A191,'Diags Raw Data'!$A$6:$D$3830,4,FALSE)</f>
        <v>GFX</v>
      </c>
      <c r="F191" s="339" t="str">
        <f>VLOOKUP(A191,'Feature Raw Data'!$A$3:$E$3922,5,FALSE)</f>
        <v>New</v>
      </c>
      <c r="G191" s="339" t="str">
        <f t="shared" si="23"/>
        <v>No</v>
      </c>
      <c r="H191" s="339" t="str">
        <f t="shared" si="18"/>
        <v>No</v>
      </c>
      <c r="I191" s="435">
        <f>SUMIF('Diags Raw Data'!$A$6:$A$3830,"*"&amp;$A191&amp;"*",'Diags Raw Data'!$K$6:$K$3830)</f>
        <v>0</v>
      </c>
      <c r="J191" s="437">
        <f>SUMIF('Diags Raw Data'!$A$6:$A$3830,"*"&amp;$A191&amp;"*",'Diags Raw Data'!$L$6:$L$3830)</f>
        <v>0</v>
      </c>
      <c r="K191" s="484" t="e" cm="1">
        <f t="array" ref="K191">IF(D191="",0, SUMPRODUCT(--(ISNUMBER(SEARCH($A191,'Diags Raw Data'!$A$6:$A$3830))),'Diags Raw Data'!$L$6:$L$3830,'Diags Raw Data'!$N$6:$N$3830)/J191)</f>
        <v>#DIV/0!</v>
      </c>
      <c r="L191" s="485" t="e" cm="1">
        <f t="array" ref="L191">IF(D191="",0, SUMPRODUCT(--(ISNUMBER(SEARCH($A191,'Diags Raw Data'!$A$6:$A$3830))),'Diags Raw Data'!$L$6:$L$3830,'Diags Raw Data'!$P$6:$P$3830)/J191)</f>
        <v>#DIV/0!</v>
      </c>
      <c r="M191" s="486" cm="1">
        <f t="array" ref="M191">SUMPRODUCT(--(ISNUMBER(SEARCH($A191,'Diags Raw Data'!$A$6:$A$3830))),--('Diags Raw Data'!$Q$6:$Q$3830&lt;&gt;"N/A"),'Diags Raw Data'!$R$6:$R$3830)</f>
        <v>0</v>
      </c>
      <c r="N191" s="487" cm="1">
        <f t="array" ref="N191">SUMPRODUCT(--(ISNUMBER(SEARCH($A191,'Diags Raw Data'!$A$6:$A$3830))),--('Diags Raw Data'!$Q$6:$Q$3830&lt;&gt;"N/A"),'Diags Raw Data'!$T$6:$T$3830)+SUMPRODUCT(--(ISNUMBER(SEARCH($A191,'Diags Raw Data'!$A$6:$A$3830))),--('Diags Raw Data'!$Q$6:$Q$3830&lt;&gt;"N/A"),'Diags Raw Data'!$U$6:$U$3830)</f>
        <v>0</v>
      </c>
      <c r="O191" s="488">
        <f t="shared" si="24"/>
        <v>0</v>
      </c>
      <c r="P191" s="489">
        <f>SUMIF('Diags Raw Data'!$A$6:$A$3830,"*"&amp;$A191&amp;"*",'Diags Raw Data'!$Z$6:$Z$3830)</f>
        <v>0</v>
      </c>
      <c r="Q191" s="490">
        <f>SUM(SUMIF('Diags Raw Data'!$A$6:$A$3830,"*"&amp;$A191&amp;"*",'Diags Raw Data'!$AA$6:$AA$3830),SUMIF('Diags Raw Data'!$A$6:$A$3830,"*"&amp;$A191&amp;"*",'Diags Raw Data'!$AB$6:$AB$3830))</f>
        <v>0</v>
      </c>
      <c r="R191" s="491">
        <f t="shared" si="25"/>
        <v>0</v>
      </c>
      <c r="S191" s="491">
        <f>IF((P191=0),0,Q191/P191)</f>
        <v>0</v>
      </c>
      <c r="T191" s="492">
        <f>R191*S191</f>
        <v>0</v>
      </c>
      <c r="U191" s="432" t="str">
        <f>VLOOKUP(A191,'Diags Raw Data'!$A$6:$AH$3830,33,FALSE)</f>
        <v>N/A</v>
      </c>
      <c r="V191" s="181"/>
    </row>
    <row r="192" spans="1:22" ht="45.75" thickBot="1" x14ac:dyDescent="0.3">
      <c r="A192" s="546">
        <v>12.41</v>
      </c>
      <c r="B192" s="434" t="str">
        <f>VLOOKUP(A192,'Feature Raw Data'!$A$3:$B$3922,2,FALSE)</f>
        <v>User Data Scatter Engine (RS64)</v>
      </c>
      <c r="C192" s="435" t="str">
        <f>VLOOKUP(A192,'Feature Raw Data'!$A$3:$C$3922,3,FALSE)</f>
        <v>P1</v>
      </c>
      <c r="D192" s="436" t="str" cm="1">
        <f t="array" ref="D192">_xlfn.TEXTJOIN("",TRUE,IF(ISNUMBER(SEARCH($A192,'Diags Raw Data'!$A$6:$A$3830)),CONCATENATE('Diags Raw Data'!$H$6:$H$3830,", "),""))</f>
        <v xml:space="preserve">cs160.1-2, N/A, N/A, PMM coverage through CGCG/PG features, N/A, N/A, N/A, </v>
      </c>
      <c r="E192" s="339" t="str">
        <f>VLOOKUP(A192,'Diags Raw Data'!$A$6:$D$3830,4,FALSE)</f>
        <v>CTL</v>
      </c>
      <c r="F192" s="339" t="str">
        <f>VLOOKUP(A192,'Feature Raw Data'!$A$3:$E$3922,5,FALSE)</f>
        <v>New</v>
      </c>
      <c r="G192" s="339" t="str">
        <f t="shared" si="23"/>
        <v>Yes</v>
      </c>
      <c r="H192" s="339" t="str">
        <f t="shared" ref="H192:H237" si="28">IF(D192="N/A, ","No","Yes")</f>
        <v>Yes</v>
      </c>
      <c r="I192" s="435">
        <f>SUMIF('Diags Raw Data'!$A$6:$A$3830,"*"&amp;$A192&amp;"*",'Diags Raw Data'!$K$6:$K$3830)</f>
        <v>0</v>
      </c>
      <c r="J192" s="437">
        <f>SUMIF('Diags Raw Data'!$A$6:$A$3830,"*"&amp;$A192&amp;"*",'Diags Raw Data'!$L$6:$L$3830)</f>
        <v>0</v>
      </c>
      <c r="K192" s="484" t="e" cm="1">
        <f t="array" ref="K192">IF(D192="",0, SUMPRODUCT(--(ISNUMBER(SEARCH($A192,'Diags Raw Data'!$A$6:$A$3830))),'Diags Raw Data'!$L$6:$L$3830,'Diags Raw Data'!$N$6:$N$3830)/J192)</f>
        <v>#DIV/0!</v>
      </c>
      <c r="L192" s="485" t="e" cm="1">
        <f t="array" ref="L192">IF(D192="",0, SUMPRODUCT(--(ISNUMBER(SEARCH($A192,'Diags Raw Data'!$A$6:$A$3830))),'Diags Raw Data'!$L$6:$L$3830,'Diags Raw Data'!$P$6:$P$3830)/J192)</f>
        <v>#DIV/0!</v>
      </c>
      <c r="M192" s="486" cm="1">
        <f t="array" ref="M192">SUMPRODUCT(--(ISNUMBER(SEARCH($A192,'Diags Raw Data'!$A$6:$A$3830))),--('Diags Raw Data'!$Q$6:$Q$3830&lt;&gt;"N/A"),'Diags Raw Data'!$R$6:$R$3830)</f>
        <v>3</v>
      </c>
      <c r="N192" s="487" cm="1">
        <f t="array" ref="N192">SUMPRODUCT(--(ISNUMBER(SEARCH($A192,'Diags Raw Data'!$A$6:$A$3830))),--('Diags Raw Data'!$Q$6:$Q$3830&lt;&gt;"N/A"),'Diags Raw Data'!$T$6:$T$3830)+SUMPRODUCT(--(ISNUMBER(SEARCH($A192,'Diags Raw Data'!$A$6:$A$3830))),--('Diags Raw Data'!$Q$6:$Q$3830&lt;&gt;"N/A"),'Diags Raw Data'!$U$6:$U$3830)</f>
        <v>2</v>
      </c>
      <c r="O192" s="488">
        <f>IF((M192=0),0,N192/M192)</f>
        <v>0.66666666666666663</v>
      </c>
      <c r="P192" s="489">
        <f>SUMIF('Diags Raw Data'!$A$6:$A$3830,"*"&amp;$A192&amp;"*",'Diags Raw Data'!$Z$6:$Z$3830)</f>
        <v>0</v>
      </c>
      <c r="Q192" s="490">
        <f>SUM(SUMIF('Diags Raw Data'!$A$6:$A$3830,"*"&amp;$A192&amp;"*",'Diags Raw Data'!$AA$6:$AA$3830),SUMIF('Diags Raw Data'!$A$6:$A$3830,"*"&amp;$A192&amp;"*",'Diags Raw Data'!$AB$6:$AB$3830))</f>
        <v>0</v>
      </c>
      <c r="R192" s="491">
        <f>IF((J192=0),0,P192/J192)</f>
        <v>0</v>
      </c>
      <c r="S192" s="491">
        <f t="shared" ref="S192:S194" si="29">IF((P192=0),0,Q192/P192)</f>
        <v>0</v>
      </c>
      <c r="T192" s="492">
        <f t="shared" ref="T192:T194" si="30">R192*S192</f>
        <v>0</v>
      </c>
      <c r="U192" s="432" t="str">
        <f>VLOOKUP(A192,'Diags Raw Data'!$A$6:$AH$3830,33,FALSE)</f>
        <v>N/A</v>
      </c>
      <c r="V192" s="181"/>
    </row>
    <row r="193" spans="1:22" ht="15.75" thickBot="1" x14ac:dyDescent="0.3">
      <c r="A193" s="546">
        <v>12.411</v>
      </c>
      <c r="B193" s="434" t="str">
        <f>VLOOKUP(A193,'Feature Raw Data'!$A$3:$B$3922,2,FALSE)</f>
        <v>Replace SDMA F32 with RS64</v>
      </c>
      <c r="C193" s="435" t="str">
        <f>VLOOKUP(A193,'Feature Raw Data'!$A$3:$C$3922,3,FALSE)</f>
        <v>P2</v>
      </c>
      <c r="D193" s="436" t="str" cm="1">
        <f t="array" ref="D193">_xlfn.TEXTJOIN("",TRUE,IF(ISNUMBER(SEARCH($A193,'Diags Raw Data'!$A$6:$A$3830)),CONCATENATE('Diags Raw Data'!$H$6:$H$3830,", "),""))</f>
        <v xml:space="preserve">N/A, </v>
      </c>
      <c r="E193" s="339" t="str">
        <f>VLOOKUP(A193,'Diags Raw Data'!$A$6:$D$3830,4,FALSE)</f>
        <v>CTL</v>
      </c>
      <c r="F193" s="339" t="str">
        <f>VLOOKUP(A193,'Feature Raw Data'!$A$3:$E$3922,5,FALSE)</f>
        <v>New</v>
      </c>
      <c r="G193" s="339" t="str">
        <f t="shared" si="23"/>
        <v>No</v>
      </c>
      <c r="H193" s="339" t="str">
        <f t="shared" si="28"/>
        <v>No</v>
      </c>
      <c r="I193" s="435">
        <f>SUMIF('Diags Raw Data'!$A$6:$A$3830,"*"&amp;$A193&amp;"*",'Diags Raw Data'!$K$6:$K$3830)</f>
        <v>0</v>
      </c>
      <c r="J193" s="437">
        <f>SUMIF('Diags Raw Data'!$A$6:$A$3830,"*"&amp;$A193&amp;"*",'Diags Raw Data'!$L$6:$L$3830)</f>
        <v>0</v>
      </c>
      <c r="K193" s="484" t="e" cm="1">
        <f t="array" ref="K193">IF(D193="",0, SUMPRODUCT(--(ISNUMBER(SEARCH($A193,'Diags Raw Data'!$A$6:$A$3830))),'Diags Raw Data'!$L$6:$L$3830,'Diags Raw Data'!$N$6:$N$3830)/J193)</f>
        <v>#DIV/0!</v>
      </c>
      <c r="L193" s="485" t="e" cm="1">
        <f t="array" ref="L193">IF(D193="",0, SUMPRODUCT(--(ISNUMBER(SEARCH($A193,'Diags Raw Data'!$A$6:$A$3830))),'Diags Raw Data'!$L$6:$L$3830,'Diags Raw Data'!$P$6:$P$3830)/J193)</f>
        <v>#DIV/0!</v>
      </c>
      <c r="M193" s="486" cm="1">
        <f t="array" ref="M193">SUMPRODUCT(--(ISNUMBER(SEARCH($A193,'Diags Raw Data'!$A$6:$A$3830))),--('Diags Raw Data'!$Q$6:$Q$3830&lt;&gt;"N/A"),'Diags Raw Data'!$R$6:$R$3830)</f>
        <v>0</v>
      </c>
      <c r="N193" s="487" cm="1">
        <f t="array" ref="N193">SUMPRODUCT(--(ISNUMBER(SEARCH($A193,'Diags Raw Data'!$A$6:$A$3830))),--('Diags Raw Data'!$Q$6:$Q$3830&lt;&gt;"N/A"),'Diags Raw Data'!$T$6:$T$3830)+SUMPRODUCT(--(ISNUMBER(SEARCH($A193,'Diags Raw Data'!$A$6:$A$3830))),--('Diags Raw Data'!$Q$6:$Q$3830&lt;&gt;"N/A"),'Diags Raw Data'!$U$6:$U$3830)</f>
        <v>0</v>
      </c>
      <c r="O193" s="488">
        <f>IF((M193=0),0,N193/M193)</f>
        <v>0</v>
      </c>
      <c r="P193" s="489">
        <f>SUMIF('Diags Raw Data'!$A$6:$A$3830,"*"&amp;$A193&amp;"*",'Diags Raw Data'!$Z$6:$Z$3830)</f>
        <v>0</v>
      </c>
      <c r="Q193" s="490">
        <f>SUM(SUMIF('Diags Raw Data'!$A$6:$A$3830,"*"&amp;$A193&amp;"*",'Diags Raw Data'!$AA$6:$AA$3830),SUMIF('Diags Raw Data'!$A$6:$A$3830,"*"&amp;$A193&amp;"*",'Diags Raw Data'!$AB$6:$AB$3830))</f>
        <v>0</v>
      </c>
      <c r="R193" s="491">
        <f t="shared" ref="R193:R194" si="31">IF((J193=0),0,P193/J193)</f>
        <v>0</v>
      </c>
      <c r="S193" s="491">
        <f t="shared" si="29"/>
        <v>0</v>
      </c>
      <c r="T193" s="492">
        <f t="shared" si="30"/>
        <v>0</v>
      </c>
      <c r="U193" s="432" t="str">
        <f>VLOOKUP(A193,'Diags Raw Data'!$A$6:$AH$3830,33,FALSE)</f>
        <v>N/A</v>
      </c>
      <c r="V193" s="181"/>
    </row>
    <row r="194" spans="1:22" ht="30.75" thickBot="1" x14ac:dyDescent="0.3">
      <c r="A194" s="546">
        <v>12.412000000000001</v>
      </c>
      <c r="B194" s="434" t="str">
        <f>VLOOKUP(A194,'Feature Raw Data'!$A$3:$B$3922,2,FALSE)</f>
        <v>Enable GPA in UTCL0 of SAx GL1C</v>
      </c>
      <c r="C194" s="435" t="str">
        <f>VLOOKUP(A194,'Feature Raw Data'!$A$3:$C$3922,3,FALSE)</f>
        <v>P1</v>
      </c>
      <c r="D194" s="436" t="str" cm="1">
        <f t="array" ref="D194">_xlfn.TEXTJOIN("",TRUE,IF(ISNUMBER(SEARCH($A194,'Diags Raw Data'!$A$6:$A$3830)),CONCATENATE('Diags Raw Data'!$H$6:$H$3830,", "),""))</f>
        <v xml:space="preserve">cs160.1-2, </v>
      </c>
      <c r="E194" s="339" t="str">
        <f>VLOOKUP(A194,'Diags Raw Data'!$A$6:$D$3830,4,FALSE)</f>
        <v>CMM</v>
      </c>
      <c r="F194" s="339" t="str">
        <f>VLOOKUP(A194,'Feature Raw Data'!$A$3:$E$3922,5,FALSE)</f>
        <v>New</v>
      </c>
      <c r="G194" s="339" t="str">
        <f t="shared" si="23"/>
        <v>Yes</v>
      </c>
      <c r="H194" s="339" t="str">
        <f t="shared" si="28"/>
        <v>Yes</v>
      </c>
      <c r="I194" s="435">
        <f>SUMIF('Diags Raw Data'!$A$6:$A$3830,"*"&amp;$A194&amp;"*",'Diags Raw Data'!$K$6:$K$3830)</f>
        <v>0</v>
      </c>
      <c r="J194" s="437">
        <f>SUMIF('Diags Raw Data'!$A$6:$A$3830,"*"&amp;$A194&amp;"*",'Diags Raw Data'!$L$6:$L$3830)</f>
        <v>0</v>
      </c>
      <c r="K194" s="484" t="e" cm="1">
        <f t="array" ref="K194">IF(D194="",0, SUMPRODUCT(--(ISNUMBER(SEARCH($A194,'Diags Raw Data'!$A$6:$A$3830))),'Diags Raw Data'!$L$6:$L$3830,'Diags Raw Data'!$N$6:$N$3830)/J194)</f>
        <v>#DIV/0!</v>
      </c>
      <c r="L194" s="485" t="e" cm="1">
        <f t="array" ref="L194">IF(D194="",0, SUMPRODUCT(--(ISNUMBER(SEARCH($A194,'Diags Raw Data'!$A$6:$A$3830))),'Diags Raw Data'!$L$6:$L$3830,'Diags Raw Data'!$P$6:$P$3830)/J194)</f>
        <v>#DIV/0!</v>
      </c>
      <c r="M194" s="486" cm="1">
        <f t="array" ref="M194">SUMPRODUCT(--(ISNUMBER(SEARCH($A194,'Diags Raw Data'!$A$6:$A$3830))),--('Diags Raw Data'!$Q$6:$Q$3830&lt;&gt;"N/A"),'Diags Raw Data'!$R$6:$R$3830)</f>
        <v>2</v>
      </c>
      <c r="N194" s="487" cm="1">
        <f t="array" ref="N194">SUMPRODUCT(--(ISNUMBER(SEARCH($A194,'Diags Raw Data'!$A$6:$A$3830))),--('Diags Raw Data'!$Q$6:$Q$3830&lt;&gt;"N/A"),'Diags Raw Data'!$T$6:$T$3830)+SUMPRODUCT(--(ISNUMBER(SEARCH($A194,'Diags Raw Data'!$A$6:$A$3830))),--('Diags Raw Data'!$Q$6:$Q$3830&lt;&gt;"N/A"),'Diags Raw Data'!$U$6:$U$3830)</f>
        <v>2</v>
      </c>
      <c r="O194" s="488">
        <f>IF((M194=0),0,N194/M194)</f>
        <v>1</v>
      </c>
      <c r="P194" s="489">
        <f>SUMIF('Diags Raw Data'!$A$6:$A$3830,"*"&amp;$A194&amp;"*",'Diags Raw Data'!$Z$6:$Z$3830)</f>
        <v>0</v>
      </c>
      <c r="Q194" s="490">
        <f>SUM(SUMIF('Diags Raw Data'!$A$6:$A$3830,"*"&amp;$A194&amp;"*",'Diags Raw Data'!$AA$6:$AA$3830),SUMIF('Diags Raw Data'!$A$6:$A$3830,"*"&amp;$A194&amp;"*",'Diags Raw Data'!$AB$6:$AB$3830))</f>
        <v>0</v>
      </c>
      <c r="R194" s="491">
        <f t="shared" si="31"/>
        <v>0</v>
      </c>
      <c r="S194" s="491">
        <f t="shared" si="29"/>
        <v>0</v>
      </c>
      <c r="T194" s="492">
        <f t="shared" si="30"/>
        <v>0</v>
      </c>
      <c r="U194" s="432" t="str">
        <f>VLOOKUP(A194,'Diags Raw Data'!$A$6:$AH$3830,33,FALSE)</f>
        <v>WK5</v>
      </c>
      <c r="V194" s="181"/>
    </row>
    <row r="195" spans="1:22" ht="30.75" thickBot="1" x14ac:dyDescent="0.3">
      <c r="A195" s="546">
        <v>12.413</v>
      </c>
      <c r="B195" s="434" t="str">
        <f>VLOOKUP(A195,'Feature Raw Data'!$A$3:$B$3922,2,FALSE)</f>
        <v>Switch GFX to Memgen-based SRAM FGCG</v>
      </c>
      <c r="C195" s="435" t="str">
        <f>VLOOKUP(A195,'Feature Raw Data'!$A$3:$C$3922,3,FALSE)</f>
        <v>P1</v>
      </c>
      <c r="D195" s="436" t="str" cm="1">
        <f t="array" ref="D195">_xlfn.TEXTJOIN("",TRUE,IF(ISNUMBER(SEARCH($A195,'Diags Raw Data'!$A$6:$A$3830)),CONCATENATE('Diags Raw Data'!$H$6:$H$3830,", "),""))</f>
        <v xml:space="preserve">PMM coverage through CGCG/PG features, </v>
      </c>
      <c r="E195" s="339" t="str">
        <f>VLOOKUP(A195,'Diags Raw Data'!$A$6:$D$3830,4,FALSE)</f>
        <v>GC</v>
      </c>
      <c r="F195" s="339" t="str">
        <f>VLOOKUP(A195,'Feature Raw Data'!$A$3:$E$3922,5,FALSE)</f>
        <v>New</v>
      </c>
      <c r="G195" s="339" t="str">
        <f t="shared" si="23"/>
        <v>Yes</v>
      </c>
      <c r="H195" s="339" t="str">
        <f t="shared" si="28"/>
        <v>Yes</v>
      </c>
      <c r="I195" s="435">
        <f>SUMIF('Diags Raw Data'!$A$6:$A$3830,"*"&amp;$A195&amp;"*",'Diags Raw Data'!$K$6:$K$3830)</f>
        <v>0</v>
      </c>
      <c r="J195" s="437">
        <f>SUMIF('Diags Raw Data'!$A$6:$A$3830,"*"&amp;$A195&amp;"*",'Diags Raw Data'!$L$6:$L$3830)</f>
        <v>0</v>
      </c>
      <c r="K195" s="484" t="e" cm="1">
        <f t="array" ref="K195">IF(D195="",0, SUMPRODUCT(--(ISNUMBER(SEARCH($A195,'Diags Raw Data'!$A$6:$A$3830))),'Diags Raw Data'!$L$6:$L$3830,'Diags Raw Data'!$N$6:$N$3830)/J195)</f>
        <v>#DIV/0!</v>
      </c>
      <c r="L195" s="485" t="e" cm="1">
        <f t="array" ref="L195">IF(D195="",0, SUMPRODUCT(--(ISNUMBER(SEARCH($A195,'Diags Raw Data'!$A$6:$A$3830))),'Diags Raw Data'!$L$6:$L$3830,'Diags Raw Data'!$P$6:$P$3830)/J195)</f>
        <v>#DIV/0!</v>
      </c>
      <c r="M195" s="486" cm="1">
        <f t="array" ref="M195">SUMPRODUCT(--(ISNUMBER(SEARCH($A195,'Diags Raw Data'!$A$6:$A$3830))),--('Diags Raw Data'!$Q$6:$Q$3830&lt;&gt;"N/A"),'Diags Raw Data'!$R$6:$R$3830)</f>
        <v>1</v>
      </c>
      <c r="N195" s="487" cm="1">
        <f t="array" ref="N195">SUMPRODUCT(--(ISNUMBER(SEARCH($A195,'Diags Raw Data'!$A$6:$A$3830))),--('Diags Raw Data'!$Q$6:$Q$3830&lt;&gt;"N/A"),'Diags Raw Data'!$T$6:$T$3830)+SUMPRODUCT(--(ISNUMBER(SEARCH($A195,'Diags Raw Data'!$A$6:$A$3830))),--('Diags Raw Data'!$Q$6:$Q$3830&lt;&gt;"N/A"),'Diags Raw Data'!$U$6:$U$3830)</f>
        <v>0</v>
      </c>
      <c r="O195" s="488">
        <f>IF((M195=0),0,N195/M195)</f>
        <v>0</v>
      </c>
      <c r="P195" s="489">
        <f>SUMIF('Diags Raw Data'!$A$6:$A$3830,"*"&amp;$A195&amp;"*",'Diags Raw Data'!$Z$6:$Z$3830)</f>
        <v>0</v>
      </c>
      <c r="Q195" s="490">
        <f>SUM(SUMIF('Diags Raw Data'!$A$6:$A$3830,"*"&amp;$A195&amp;"*",'Diags Raw Data'!$AA$6:$AA$3830),SUMIF('Diags Raw Data'!$A$6:$A$3830,"*"&amp;$A195&amp;"*",'Diags Raw Data'!$AB$6:$AB$3830))</f>
        <v>0</v>
      </c>
      <c r="R195" s="491">
        <f>IF((J195=0),0,P195/J195)</f>
        <v>0</v>
      </c>
      <c r="S195" s="491">
        <f>IF((P195=0),0,Q195/P195)</f>
        <v>0</v>
      </c>
      <c r="T195" s="492">
        <f>R195*S195</f>
        <v>0</v>
      </c>
      <c r="U195" s="432" t="str">
        <f>VLOOKUP(A195,'Diags Raw Data'!$A$6:$AH$3830,33,FALSE)</f>
        <v>WK5</v>
      </c>
      <c r="V195" s="181"/>
    </row>
    <row r="196" spans="1:22" ht="30.75" thickBot="1" x14ac:dyDescent="0.3">
      <c r="A196" s="546">
        <v>12.414</v>
      </c>
      <c r="B196" s="434" t="str">
        <f>VLOOKUP(A196,'Feature Raw Data'!$A$3:$B$3922,2,FALSE)</f>
        <v>Add an L1 TLB into the SDMA front-end</v>
      </c>
      <c r="C196" s="435" t="str">
        <f>VLOOKUP(A196,'Feature Raw Data'!$A$3:$C$3922,3,FALSE)</f>
        <v>P1</v>
      </c>
      <c r="D196" s="436" t="str" cm="1">
        <f t="array" ref="D196">_xlfn.TEXTJOIN("",TRUE,IF(ISNUMBER(SEARCH($A196,'Diags Raw Data'!$A$6:$A$3830)),CONCATENATE('Diags Raw Data'!$H$6:$H$3830,", "),""))</f>
        <v xml:space="preserve">N/A, </v>
      </c>
      <c r="E196" s="339" t="str">
        <f>VLOOKUP(A196,'Diags Raw Data'!$A$6:$D$3830,4,FALSE)</f>
        <v>UTCL2</v>
      </c>
      <c r="F196" s="339" t="str">
        <f>VLOOKUP(A196,'Feature Raw Data'!$A$3:$E$3922,5,FALSE)</f>
        <v>New</v>
      </c>
      <c r="G196" s="339" t="str">
        <f t="shared" si="23"/>
        <v>No</v>
      </c>
      <c r="H196" s="339" t="str">
        <f t="shared" si="28"/>
        <v>No</v>
      </c>
      <c r="I196" s="435">
        <f>SUMIF('Diags Raw Data'!$A$6:$A$3830,"*"&amp;$A196&amp;"*",'Diags Raw Data'!$K$6:$K$3830)</f>
        <v>0</v>
      </c>
      <c r="J196" s="437">
        <f>SUMIF('Diags Raw Data'!$A$6:$A$3830,"*"&amp;$A196&amp;"*",'Diags Raw Data'!$L$6:$L$3830)</f>
        <v>0</v>
      </c>
      <c r="K196" s="484" t="e" cm="1">
        <f t="array" ref="K196">IF(D196="",0, SUMPRODUCT(--(ISNUMBER(SEARCH($A196,'Diags Raw Data'!$A$6:$A$3830))),'Diags Raw Data'!$L$6:$L$3830,'Diags Raw Data'!$N$6:$N$3830)/J196)</f>
        <v>#DIV/0!</v>
      </c>
      <c r="L196" s="485" t="e" cm="1">
        <f t="array" ref="L196">IF(D196="",0, SUMPRODUCT(--(ISNUMBER(SEARCH($A196,'Diags Raw Data'!$A$6:$A$3830))),'Diags Raw Data'!$L$6:$L$3830,'Diags Raw Data'!$P$6:$P$3830)/J196)</f>
        <v>#DIV/0!</v>
      </c>
      <c r="M196" s="486" cm="1">
        <f t="array" ref="M196">SUMPRODUCT(--(ISNUMBER(SEARCH($A196,'Diags Raw Data'!$A$6:$A$3830))),--('Diags Raw Data'!$Q$6:$Q$3830&lt;&gt;"N/A"),'Diags Raw Data'!$R$6:$R$3830)</f>
        <v>0</v>
      </c>
      <c r="N196" s="487" cm="1">
        <f t="array" ref="N196">SUMPRODUCT(--(ISNUMBER(SEARCH($A196,'Diags Raw Data'!$A$6:$A$3830))),--('Diags Raw Data'!$Q$6:$Q$3830&lt;&gt;"N/A"),'Diags Raw Data'!$T$6:$T$3830)+SUMPRODUCT(--(ISNUMBER(SEARCH($A196,'Diags Raw Data'!$A$6:$A$3830))),--('Diags Raw Data'!$Q$6:$Q$3830&lt;&gt;"N/A"),'Diags Raw Data'!$U$6:$U$3830)</f>
        <v>0</v>
      </c>
      <c r="O196" s="488">
        <f t="shared" ref="O196:O198" si="32">IF((M196=0),0,N196/M196)</f>
        <v>0</v>
      </c>
      <c r="P196" s="489">
        <f>SUMIF('Diags Raw Data'!$A$6:$A$3830,"*"&amp;$A196&amp;"*",'Diags Raw Data'!$Z$6:$Z$3830)</f>
        <v>0</v>
      </c>
      <c r="Q196" s="490">
        <f>SUM(SUMIF('Diags Raw Data'!$A$6:$A$3830,"*"&amp;$A196&amp;"*",'Diags Raw Data'!$AA$6:$AA$3830),SUMIF('Diags Raw Data'!$A$6:$A$3830,"*"&amp;$A196&amp;"*",'Diags Raw Data'!$AB$6:$AB$3830))</f>
        <v>0</v>
      </c>
      <c r="R196" s="491">
        <f t="shared" ref="R196:R198" si="33">IF((J196=0),0,P196/J196)</f>
        <v>0</v>
      </c>
      <c r="S196" s="491">
        <f t="shared" ref="S196:S201" si="34">IF((P196=0),0,Q196/P196)</f>
        <v>0</v>
      </c>
      <c r="T196" s="492">
        <f t="shared" ref="T196:T200" si="35">R196*S196</f>
        <v>0</v>
      </c>
      <c r="U196" s="432" t="str">
        <f>VLOOKUP(A196,'Diags Raw Data'!$A$6:$AH$3830,33,FALSE)</f>
        <v>N/A</v>
      </c>
      <c r="V196" s="181"/>
    </row>
    <row r="197" spans="1:22" ht="30.75" thickBot="1" x14ac:dyDescent="0.3">
      <c r="A197" s="546">
        <v>12.417</v>
      </c>
      <c r="B197" s="434" t="str">
        <f>VLOOKUP(A197,'Feature Raw Data'!$A$3:$B$3922,2,FALSE)</f>
        <v>GFX12 IMU - Add light sleep and deep sleep to SRAMs</v>
      </c>
      <c r="C197" s="435" t="str">
        <f>VLOOKUP(A197,'Feature Raw Data'!$A$3:$C$3922,3,FALSE)</f>
        <v>P1</v>
      </c>
      <c r="D197" s="436" t="str" cm="1">
        <f t="array" ref="D197">_xlfn.TEXTJOIN("",TRUE,IF(ISNUMBER(SEARCH($A197,'Diags Raw Data'!$A$6:$A$3830)),CONCATENATE('Diags Raw Data'!$H$6:$H$3830,", "),""))</f>
        <v xml:space="preserve">N/A, </v>
      </c>
      <c r="E197" s="339" t="str">
        <f>VLOOKUP(A197,'Diags Raw Data'!$A$6:$D$3830,4,FALSE)</f>
        <v>CTL</v>
      </c>
      <c r="F197" s="339" t="str">
        <f>VLOOKUP(A197,'Feature Raw Data'!$A$3:$E$3922,5,FALSE)</f>
        <v>New</v>
      </c>
      <c r="G197" s="339" t="str">
        <f t="shared" si="23"/>
        <v>No</v>
      </c>
      <c r="H197" s="339" t="str">
        <f t="shared" si="28"/>
        <v>No</v>
      </c>
      <c r="I197" s="435">
        <f>SUMIF('Diags Raw Data'!$A$6:$A$3830,"*"&amp;$A197&amp;"*",'Diags Raw Data'!$K$6:$K$3830)</f>
        <v>0</v>
      </c>
      <c r="J197" s="437">
        <f>SUMIF('Diags Raw Data'!$A$6:$A$3830,"*"&amp;$A197&amp;"*",'Diags Raw Data'!$L$6:$L$3830)</f>
        <v>0</v>
      </c>
      <c r="K197" s="484" t="e" cm="1">
        <f t="array" ref="K197">IF(D197="",0, SUMPRODUCT(--(ISNUMBER(SEARCH($A197,'Diags Raw Data'!$A$6:$A$3830))),'Diags Raw Data'!$L$6:$L$3830,'Diags Raw Data'!$N$6:$N$3830)/J197)</f>
        <v>#DIV/0!</v>
      </c>
      <c r="L197" s="485" t="e" cm="1">
        <f t="array" ref="L197">IF(D197="",0, SUMPRODUCT(--(ISNUMBER(SEARCH($A197,'Diags Raw Data'!$A$6:$A$3830))),'Diags Raw Data'!$L$6:$L$3830,'Diags Raw Data'!$P$6:$P$3830)/J197)</f>
        <v>#DIV/0!</v>
      </c>
      <c r="M197" s="486" cm="1">
        <f t="array" ref="M197">SUMPRODUCT(--(ISNUMBER(SEARCH($A197,'Diags Raw Data'!$A$6:$A$3830))),--('Diags Raw Data'!$Q$6:$Q$3830&lt;&gt;"N/A"),'Diags Raw Data'!$R$6:$R$3830)</f>
        <v>0</v>
      </c>
      <c r="N197" s="487" cm="1">
        <f t="array" ref="N197">SUMPRODUCT(--(ISNUMBER(SEARCH($A197,'Diags Raw Data'!$A$6:$A$3830))),--('Diags Raw Data'!$Q$6:$Q$3830&lt;&gt;"N/A"),'Diags Raw Data'!$T$6:$T$3830)+SUMPRODUCT(--(ISNUMBER(SEARCH($A197,'Diags Raw Data'!$A$6:$A$3830))),--('Diags Raw Data'!$Q$6:$Q$3830&lt;&gt;"N/A"),'Diags Raw Data'!$U$6:$U$3830)</f>
        <v>0</v>
      </c>
      <c r="O197" s="488">
        <f t="shared" si="32"/>
        <v>0</v>
      </c>
      <c r="P197" s="489">
        <f>SUMIF('Diags Raw Data'!$A$6:$A$3830,"*"&amp;$A197&amp;"*",'Diags Raw Data'!$Z$6:$Z$3830)</f>
        <v>0</v>
      </c>
      <c r="Q197" s="490">
        <f>SUM(SUMIF('Diags Raw Data'!$A$6:$A$3830,"*"&amp;$A197&amp;"*",'Diags Raw Data'!$AA$6:$AA$3830),SUMIF('Diags Raw Data'!$A$6:$A$3830,"*"&amp;$A197&amp;"*",'Diags Raw Data'!$AB$6:$AB$3830))</f>
        <v>0</v>
      </c>
      <c r="R197" s="491">
        <f t="shared" si="33"/>
        <v>0</v>
      </c>
      <c r="S197" s="491">
        <f t="shared" si="34"/>
        <v>0</v>
      </c>
      <c r="T197" s="492">
        <f t="shared" si="35"/>
        <v>0</v>
      </c>
      <c r="U197" s="432" t="str">
        <f>VLOOKUP(A197,'Diags Raw Data'!$A$6:$AH$3830,33,FALSE)</f>
        <v>N/A</v>
      </c>
      <c r="V197" s="181"/>
    </row>
    <row r="198" spans="1:22" ht="45.75" thickBot="1" x14ac:dyDescent="0.3">
      <c r="A198" s="546">
        <v>12.417999999999999</v>
      </c>
      <c r="B198" s="434" t="str">
        <f>VLOOKUP(A198,'Feature Raw Data'!$A$3:$B$3922,2,FALSE)</f>
        <v>GFX12 IMU - Add deep sleep support and sideband for IMUCLK</v>
      </c>
      <c r="C198" s="435" t="str">
        <f>VLOOKUP(A198,'Feature Raw Data'!$A$3:$C$3922,3,FALSE)</f>
        <v>P1</v>
      </c>
      <c r="D198" s="436" t="str" cm="1">
        <f t="array" ref="D198">_xlfn.TEXTJOIN("",TRUE,IF(ISNUMBER(SEARCH($A198,'Diags Raw Data'!$A$6:$A$3830)),CONCATENATE('Diags Raw Data'!$H$6:$H$3830,", "),""))</f>
        <v xml:space="preserve">N/A, </v>
      </c>
      <c r="E198" s="339" t="str">
        <f>VLOOKUP(A198,'Diags Raw Data'!$A$6:$D$3830,4,FALSE)</f>
        <v>CTL</v>
      </c>
      <c r="F198" s="339" t="str">
        <f>VLOOKUP(A198,'Feature Raw Data'!$A$3:$E$3922,5,FALSE)</f>
        <v>New</v>
      </c>
      <c r="G198" s="339" t="str">
        <f t="shared" si="23"/>
        <v>No</v>
      </c>
      <c r="H198" s="339" t="str">
        <f t="shared" si="28"/>
        <v>No</v>
      </c>
      <c r="I198" s="435">
        <f>SUMIF('Diags Raw Data'!$A$6:$A$3830,"*"&amp;$A198&amp;"*",'Diags Raw Data'!$K$6:$K$3830)</f>
        <v>0</v>
      </c>
      <c r="J198" s="437">
        <f>SUMIF('Diags Raw Data'!$A$6:$A$3830,"*"&amp;$A198&amp;"*",'Diags Raw Data'!$L$6:$L$3830)</f>
        <v>0</v>
      </c>
      <c r="K198" s="484" t="e" cm="1">
        <f t="array" ref="K198">IF(D198="",0, SUMPRODUCT(--(ISNUMBER(SEARCH($A198,'Diags Raw Data'!$A$6:$A$3830))),'Diags Raw Data'!$L$6:$L$3830,'Diags Raw Data'!$N$6:$N$3830)/J198)</f>
        <v>#DIV/0!</v>
      </c>
      <c r="L198" s="485" t="e" cm="1">
        <f t="array" ref="L198">IF(D198="",0, SUMPRODUCT(--(ISNUMBER(SEARCH($A198,'Diags Raw Data'!$A$6:$A$3830))),'Diags Raw Data'!$L$6:$L$3830,'Diags Raw Data'!$P$6:$P$3830)/J198)</f>
        <v>#DIV/0!</v>
      </c>
      <c r="M198" s="486" cm="1">
        <f t="array" ref="M198">SUMPRODUCT(--(ISNUMBER(SEARCH($A198,'Diags Raw Data'!$A$6:$A$3830))),--('Diags Raw Data'!$Q$6:$Q$3830&lt;&gt;"N/A"),'Diags Raw Data'!$R$6:$R$3830)</f>
        <v>0</v>
      </c>
      <c r="N198" s="487" cm="1">
        <f t="array" ref="N198">SUMPRODUCT(--(ISNUMBER(SEARCH($A198,'Diags Raw Data'!$A$6:$A$3830))),--('Diags Raw Data'!$Q$6:$Q$3830&lt;&gt;"N/A"),'Diags Raw Data'!$T$6:$T$3830)+SUMPRODUCT(--(ISNUMBER(SEARCH($A198,'Diags Raw Data'!$A$6:$A$3830))),--('Diags Raw Data'!$Q$6:$Q$3830&lt;&gt;"N/A"),'Diags Raw Data'!$U$6:$U$3830)</f>
        <v>0</v>
      </c>
      <c r="O198" s="488">
        <f t="shared" si="32"/>
        <v>0</v>
      </c>
      <c r="P198" s="489">
        <f>SUMIF('Diags Raw Data'!$A$6:$A$3830,"*"&amp;$A198&amp;"*",'Diags Raw Data'!$Z$6:$Z$3830)</f>
        <v>0</v>
      </c>
      <c r="Q198" s="490">
        <f>SUM(SUMIF('Diags Raw Data'!$A$6:$A$3830,"*"&amp;$A198&amp;"*",'Diags Raw Data'!$AA$6:$AA$3830),SUMIF('Diags Raw Data'!$A$6:$A$3830,"*"&amp;$A198&amp;"*",'Diags Raw Data'!$AB$6:$AB$3830))</f>
        <v>0</v>
      </c>
      <c r="R198" s="491">
        <f t="shared" si="33"/>
        <v>0</v>
      </c>
      <c r="S198" s="491">
        <f t="shared" si="34"/>
        <v>0</v>
      </c>
      <c r="T198" s="492">
        <f t="shared" si="35"/>
        <v>0</v>
      </c>
      <c r="U198" s="432" t="str">
        <f>VLOOKUP(A198,'Diags Raw Data'!$A$6:$AH$3830,33,FALSE)</f>
        <v>N/A</v>
      </c>
      <c r="V198" s="181"/>
    </row>
    <row r="199" spans="1:22" ht="30.75" thickBot="1" x14ac:dyDescent="0.3">
      <c r="A199" s="546">
        <v>12.42</v>
      </c>
      <c r="B199" s="434" t="str">
        <f>VLOOKUP(A199,'Feature Raw Data'!$A$3:$B$3922,2,FALSE)</f>
        <v xml:space="preserve">Increase max scratch allocation </v>
      </c>
      <c r="C199" s="435" t="str">
        <f>VLOOKUP(A199,'Feature Raw Data'!$A$3:$C$3922,3,FALSE)</f>
        <v>P2</v>
      </c>
      <c r="D199" s="436" t="str" cm="1">
        <f t="array" ref="D199">_xlfn.TEXTJOIN("",TRUE,IF(ISNUMBER(SEARCH($A199,'Diags Raw Data'!$A$6:$A$3830)),CONCATENATE('Diags Raw Data'!$H$6:$H$3830,", "),""))</f>
        <v xml:space="preserve">gci1311, placeholder_i.1, N/A, N/A, N/A, </v>
      </c>
      <c r="E199" s="339" t="str">
        <f>VLOOKUP(A199,'Diags Raw Data'!$A$6:$D$3830,4,FALSE)</f>
        <v>SIO</v>
      </c>
      <c r="F199" s="339" t="str">
        <f>VLOOKUP(A199,'Feature Raw Data'!$A$3:$E$3922,5,FALSE)</f>
        <v>New</v>
      </c>
      <c r="G199" s="339" t="str">
        <f t="shared" si="23"/>
        <v>Yes</v>
      </c>
      <c r="H199" s="339" t="str">
        <f t="shared" si="28"/>
        <v>Yes</v>
      </c>
      <c r="I199" s="435">
        <f>SUMIF('Diags Raw Data'!$A$6:$A$3830,"*"&amp;$A199&amp;"*",'Diags Raw Data'!$K$6:$K$3830)</f>
        <v>0</v>
      </c>
      <c r="J199" s="437">
        <f>SUMIF('Diags Raw Data'!$A$6:$A$3830,"*"&amp;$A199&amp;"*",'Diags Raw Data'!$L$6:$L$3830)</f>
        <v>0</v>
      </c>
      <c r="K199" s="484" t="e" cm="1">
        <f t="array" ref="K199">IF(D199="",0, SUMPRODUCT(--(ISNUMBER(SEARCH($A199,'Diags Raw Data'!$A$6:$A$3830))),'Diags Raw Data'!$L$6:$L$3830,'Diags Raw Data'!$N$6:$N$3830)/J199)</f>
        <v>#DIV/0!</v>
      </c>
      <c r="L199" s="485" t="e" cm="1">
        <f t="array" ref="L199">IF(D199="",0, SUMPRODUCT(--(ISNUMBER(SEARCH($A199,'Diags Raw Data'!$A$6:$A$3830))),'Diags Raw Data'!$L$6:$L$3830,'Diags Raw Data'!$P$6:$P$3830)/J199)</f>
        <v>#DIV/0!</v>
      </c>
      <c r="M199" s="486" cm="1">
        <f t="array" ref="M199">SUMPRODUCT(--(ISNUMBER(SEARCH($A199,'Diags Raw Data'!$A$6:$A$3830))),--('Diags Raw Data'!$Q$6:$Q$3830&lt;&gt;"N/A"),'Diags Raw Data'!$R$6:$R$3830)</f>
        <v>2</v>
      </c>
      <c r="N199" s="487" cm="1">
        <f t="array" ref="N199">SUMPRODUCT(--(ISNUMBER(SEARCH($A199,'Diags Raw Data'!$A$6:$A$3830))),--('Diags Raw Data'!$Q$6:$Q$3830&lt;&gt;"N/A"),'Diags Raw Data'!$T$6:$T$3830)+SUMPRODUCT(--(ISNUMBER(SEARCH($A199,'Diags Raw Data'!$A$6:$A$3830))),--('Diags Raw Data'!$Q$6:$Q$3830&lt;&gt;"N/A"),'Diags Raw Data'!$U$6:$U$3830)</f>
        <v>1</v>
      </c>
      <c r="O199" s="488">
        <f>IF((M199=0),0,N199/M199)</f>
        <v>0.5</v>
      </c>
      <c r="P199" s="489">
        <f>SUMIF('Diags Raw Data'!$A$6:$A$3830,"*"&amp;$A199&amp;"*",'Diags Raw Data'!$Z$6:$Z$3830)</f>
        <v>0</v>
      </c>
      <c r="Q199" s="490">
        <f>SUM(SUMIF('Diags Raw Data'!$A$6:$A$3830,"*"&amp;$A199&amp;"*",'Diags Raw Data'!$AA$6:$AA$3830),SUMIF('Diags Raw Data'!$A$6:$A$3830,"*"&amp;$A199&amp;"*",'Diags Raw Data'!$AB$6:$AB$3830))</f>
        <v>0</v>
      </c>
      <c r="R199" s="491">
        <f>IF((J199=0),0,P199/J199)</f>
        <v>0</v>
      </c>
      <c r="S199" s="491">
        <f t="shared" si="34"/>
        <v>0</v>
      </c>
      <c r="T199" s="492">
        <f t="shared" si="35"/>
        <v>0</v>
      </c>
      <c r="U199" s="432" t="str">
        <f>VLOOKUP(A199,'Diags Raw Data'!$A$6:$AH$3830,33,FALSE)</f>
        <v>WK7</v>
      </c>
      <c r="V199" s="181"/>
    </row>
    <row r="200" spans="1:22" ht="15.75" thickBot="1" x14ac:dyDescent="0.3">
      <c r="A200" s="546">
        <v>12.420999999999999</v>
      </c>
      <c r="B200" s="434" t="str">
        <f>VLOOKUP(A200,'Feature Raw Data'!$A$3:$B$3922,2,FALSE)</f>
        <v>TOC updates for RLC FW</v>
      </c>
      <c r="C200" s="435" t="str">
        <f>VLOOKUP(A200,'Feature Raw Data'!$A$3:$C$3922,3,FALSE)</f>
        <v>P1</v>
      </c>
      <c r="D200" s="436" t="str" cm="1">
        <f t="array" ref="D200">_xlfn.TEXTJOIN("",TRUE,IF(ISNUMBER(SEARCH($A200,'Diags Raw Data'!$A$6:$A$3830)),CONCATENATE('Diags Raw Data'!$H$6:$H$3830,", "),""))</f>
        <v xml:space="preserve">N/A, </v>
      </c>
      <c r="E200" s="339" t="str">
        <f>VLOOKUP(A200,'Diags Raw Data'!$A$6:$D$3830,4,FALSE)</f>
        <v>CTL</v>
      </c>
      <c r="F200" s="339" t="str">
        <f>VLOOKUP(A200,'Feature Raw Data'!$A$3:$E$3922,5,FALSE)</f>
        <v>New</v>
      </c>
      <c r="G200" s="339" t="str">
        <f t="shared" si="23"/>
        <v>No</v>
      </c>
      <c r="H200" s="339" t="str">
        <f t="shared" si="28"/>
        <v>No</v>
      </c>
      <c r="I200" s="435">
        <f>SUMIF('Diags Raw Data'!$A$6:$A$3830,"*"&amp;$A200&amp;"*",'Diags Raw Data'!$K$6:$K$3830)</f>
        <v>0</v>
      </c>
      <c r="J200" s="437">
        <f>SUMIF('Diags Raw Data'!$A$6:$A$3830,"*"&amp;$A200&amp;"*",'Diags Raw Data'!$L$6:$L$3830)</f>
        <v>0</v>
      </c>
      <c r="K200" s="484" t="e" cm="1">
        <f t="array" ref="K200">IF(D200="",0, SUMPRODUCT(--(ISNUMBER(SEARCH($A200,'Diags Raw Data'!$A$6:$A$3830))),'Diags Raw Data'!$L$6:$L$3830,'Diags Raw Data'!$N$6:$N$3830)/J200)</f>
        <v>#DIV/0!</v>
      </c>
      <c r="L200" s="485" t="e" cm="1">
        <f t="array" ref="L200">IF(D200="",0, SUMPRODUCT(--(ISNUMBER(SEARCH($A200,'Diags Raw Data'!$A$6:$A$3830))),'Diags Raw Data'!$L$6:$L$3830,'Diags Raw Data'!$P$6:$P$3830)/J200)</f>
        <v>#DIV/0!</v>
      </c>
      <c r="M200" s="486" cm="1">
        <f t="array" ref="M200">SUMPRODUCT(--(ISNUMBER(SEARCH($A200,'Diags Raw Data'!$A$6:$A$3830))),--('Diags Raw Data'!$Q$6:$Q$3830&lt;&gt;"N/A"),'Diags Raw Data'!$R$6:$R$3830)</f>
        <v>0</v>
      </c>
      <c r="N200" s="487" cm="1">
        <f t="array" ref="N200">SUMPRODUCT(--(ISNUMBER(SEARCH($A200,'Diags Raw Data'!$A$6:$A$3830))),--('Diags Raw Data'!$Q$6:$Q$3830&lt;&gt;"N/A"),'Diags Raw Data'!$T$6:$T$3830)+SUMPRODUCT(--(ISNUMBER(SEARCH($A200,'Diags Raw Data'!$A$6:$A$3830))),--('Diags Raw Data'!$Q$6:$Q$3830&lt;&gt;"N/A"),'Diags Raw Data'!$U$6:$U$3830)</f>
        <v>0</v>
      </c>
      <c r="O200" s="488">
        <f t="shared" ref="O200:O201" si="36">IF((M200=0),0,N200/M200)</f>
        <v>0</v>
      </c>
      <c r="P200" s="489">
        <f>SUMIF('Diags Raw Data'!$A$6:$A$3830,"*"&amp;$A200&amp;"*",'Diags Raw Data'!$Z$6:$Z$3830)</f>
        <v>0</v>
      </c>
      <c r="Q200" s="490">
        <f>SUM(SUMIF('Diags Raw Data'!$A$6:$A$3830,"*"&amp;$A200&amp;"*",'Diags Raw Data'!$AA$6:$AA$3830),SUMIF('Diags Raw Data'!$A$6:$A$3830,"*"&amp;$A200&amp;"*",'Diags Raw Data'!$AB$6:$AB$3830))</f>
        <v>0</v>
      </c>
      <c r="R200" s="491">
        <f>IF((J200=0),0,P200/J200)</f>
        <v>0</v>
      </c>
      <c r="S200" s="491">
        <f t="shared" si="34"/>
        <v>0</v>
      </c>
      <c r="T200" s="492">
        <f t="shared" si="35"/>
        <v>0</v>
      </c>
      <c r="U200" s="432" t="str">
        <f>VLOOKUP(A200,'Diags Raw Data'!$A$6:$AH$3830,33,FALSE)</f>
        <v>N/A</v>
      </c>
      <c r="V200" s="181"/>
    </row>
    <row r="201" spans="1:22" ht="30.75" thickBot="1" x14ac:dyDescent="0.3">
      <c r="A201" s="546">
        <v>12.422000000000001</v>
      </c>
      <c r="B201" s="434" t="str">
        <f>VLOOKUP(A201,'Feature Raw Data'!$A$3:$B$3922,2,FALSE)</f>
        <v>Navi4c (chiplet) GFXIP STA Targets</v>
      </c>
      <c r="C201" s="435" t="str">
        <f>VLOOKUP(A201,'Feature Raw Data'!$A$3:$C$3922,3,FALSE)</f>
        <v>P1</v>
      </c>
      <c r="D201" s="436" t="str" cm="1">
        <f t="array" ref="D201">_xlfn.TEXTJOIN("",TRUE,IF(ISNUMBER(SEARCH($A201,'Diags Raw Data'!$A$6:$A$3830)),CONCATENATE('Diags Raw Data'!$H$6:$H$3830,", "),""))</f>
        <v xml:space="preserve">N/A, </v>
      </c>
      <c r="E201" s="339" t="str">
        <f>VLOOKUP(A201,'Diags Raw Data'!$A$6:$D$3830,4,FALSE)</f>
        <v>GFX</v>
      </c>
      <c r="F201" s="339" t="str">
        <f>VLOOKUP(A201,'Feature Raw Data'!$A$3:$E$3922,5,FALSE)</f>
        <v>New</v>
      </c>
      <c r="G201" s="339" t="str">
        <f t="shared" si="23"/>
        <v>No</v>
      </c>
      <c r="H201" s="339" t="str">
        <f t="shared" si="28"/>
        <v>No</v>
      </c>
      <c r="I201" s="435">
        <f>SUMIF('Diags Raw Data'!$A$6:$A$3830,"*"&amp;$A201&amp;"*",'Diags Raw Data'!$K$6:$K$3830)</f>
        <v>0</v>
      </c>
      <c r="J201" s="437">
        <f>SUMIF('Diags Raw Data'!$A$6:$A$3830,"*"&amp;$A201&amp;"*",'Diags Raw Data'!$L$6:$L$3830)</f>
        <v>0</v>
      </c>
      <c r="K201" s="484" t="e" cm="1">
        <f t="array" ref="K201">IF(D201="",0, SUMPRODUCT(--(ISNUMBER(SEARCH($A201,'Diags Raw Data'!$A$6:$A$3830))),'Diags Raw Data'!$L$6:$L$3830,'Diags Raw Data'!$N$6:$N$3830)/J201)</f>
        <v>#DIV/0!</v>
      </c>
      <c r="L201" s="485" t="e" cm="1">
        <f t="array" ref="L201">IF(D201="",0, SUMPRODUCT(--(ISNUMBER(SEARCH($A201,'Diags Raw Data'!$A$6:$A$3830))),'Diags Raw Data'!$L$6:$L$3830,'Diags Raw Data'!$P$6:$P$3830)/J201)</f>
        <v>#DIV/0!</v>
      </c>
      <c r="M201" s="486" cm="1">
        <f t="array" ref="M201">SUMPRODUCT(--(ISNUMBER(SEARCH($A201,'Diags Raw Data'!$A$6:$A$3830))),--('Diags Raw Data'!$Q$6:$Q$3830&lt;&gt;"N/A"),'Diags Raw Data'!$R$6:$R$3830)</f>
        <v>0</v>
      </c>
      <c r="N201" s="487" cm="1">
        <f t="array" ref="N201">SUMPRODUCT(--(ISNUMBER(SEARCH($A201,'Diags Raw Data'!$A$6:$A$3830))),--('Diags Raw Data'!$Q$6:$Q$3830&lt;&gt;"N/A"),'Diags Raw Data'!$T$6:$T$3830)+SUMPRODUCT(--(ISNUMBER(SEARCH($A201,'Diags Raw Data'!$A$6:$A$3830))),--('Diags Raw Data'!$Q$6:$Q$3830&lt;&gt;"N/A"),'Diags Raw Data'!$U$6:$U$3830)</f>
        <v>0</v>
      </c>
      <c r="O201" s="488">
        <f t="shared" si="36"/>
        <v>0</v>
      </c>
      <c r="P201" s="489">
        <f>SUMIF('Diags Raw Data'!$A$6:$A$3830,"*"&amp;$A201&amp;"*",'Diags Raw Data'!$Z$6:$Z$3830)</f>
        <v>0</v>
      </c>
      <c r="Q201" s="490">
        <f>SUM(SUMIF('Diags Raw Data'!$A$6:$A$3830,"*"&amp;$A201&amp;"*",'Diags Raw Data'!$AA$6:$AA$3830),SUMIF('Diags Raw Data'!$A$6:$A$3830,"*"&amp;$A201&amp;"*",'Diags Raw Data'!$AB$6:$AB$3830))</f>
        <v>0</v>
      </c>
      <c r="R201" s="491">
        <f>IF((J201=0),0,P201/J201)</f>
        <v>0</v>
      </c>
      <c r="S201" s="491">
        <f t="shared" si="34"/>
        <v>0</v>
      </c>
      <c r="T201" s="492">
        <f>R201*S201</f>
        <v>0</v>
      </c>
      <c r="U201" s="432" t="str">
        <f>VLOOKUP(A201,'Diags Raw Data'!$A$6:$AH$3830,33,FALSE)</f>
        <v>N/A</v>
      </c>
      <c r="V201" s="181"/>
    </row>
    <row r="202" spans="1:22" ht="30.75" thickBot="1" x14ac:dyDescent="0.3">
      <c r="A202" s="546">
        <v>12.425000000000001</v>
      </c>
      <c r="B202" s="434" t="str">
        <f>VLOOKUP(A202,'Feature Raw Data'!$A$3:$B$3922,2,FALSE)</f>
        <v>GE WD_QOS.DRAW_STALL behavior</v>
      </c>
      <c r="C202" s="435" t="str">
        <f>VLOOKUP(A202,'Feature Raw Data'!$A$3:$C$3922,3,FALSE)</f>
        <v>P2</v>
      </c>
      <c r="D202" s="436" t="str" cm="1">
        <f t="array" ref="D202">_xlfn.TEXTJOIN("",TRUE,IF(ISNUMBER(SEARCH($A202,'Diags Raw Data'!$A$6:$A$3830)),CONCATENATE('Diags Raw Data'!$H$6:$H$3830,", "),""))</f>
        <v xml:space="preserve">N/A, </v>
      </c>
      <c r="E202" s="339" t="str">
        <f>VLOOKUP(A202,'Diags Raw Data'!$A$6:$D$3830,4,FALSE)</f>
        <v>GEO</v>
      </c>
      <c r="F202" s="339" t="str">
        <f>VLOOKUP(A202,'Feature Raw Data'!$A$3:$E$3922,5,FALSE)</f>
        <v>New</v>
      </c>
      <c r="G202" s="339" t="str">
        <f t="shared" si="23"/>
        <v>No</v>
      </c>
      <c r="H202" s="339" t="str">
        <f t="shared" si="28"/>
        <v>No</v>
      </c>
      <c r="I202" s="435">
        <f>SUMIF('Diags Raw Data'!$A$6:$A$3830,"*"&amp;$A202&amp;"*",'Diags Raw Data'!$K$6:$K$3830)</f>
        <v>0</v>
      </c>
      <c r="J202" s="437">
        <f>SUMIF('Diags Raw Data'!$A$6:$A$3830,"*"&amp;$A202&amp;"*",'Diags Raw Data'!$L$6:$L$3830)</f>
        <v>0</v>
      </c>
      <c r="K202" s="484" t="e" cm="1">
        <f t="array" ref="K202">IF(D202="",0, SUMPRODUCT(--(ISNUMBER(SEARCH($A202,'Diags Raw Data'!$A$6:$A$3830))),'Diags Raw Data'!$L$6:$L$3830,'Diags Raw Data'!$N$6:$N$3830)/J202)</f>
        <v>#DIV/0!</v>
      </c>
      <c r="L202" s="485" t="e" cm="1">
        <f t="array" ref="L202">IF(D202="",0, SUMPRODUCT(--(ISNUMBER(SEARCH($A202,'Diags Raw Data'!$A$6:$A$3830))),'Diags Raw Data'!$L$6:$L$3830,'Diags Raw Data'!$P$6:$P$3830)/J202)</f>
        <v>#DIV/0!</v>
      </c>
      <c r="M202" s="486" cm="1">
        <f t="array" ref="M202">SUMPRODUCT(--(ISNUMBER(SEARCH($A202,'Diags Raw Data'!$A$6:$A$3830))),--('Diags Raw Data'!$Q$6:$Q$3830&lt;&gt;"N/A"),'Diags Raw Data'!$R$6:$R$3830)</f>
        <v>0</v>
      </c>
      <c r="N202" s="487" cm="1">
        <f t="array" ref="N202">SUMPRODUCT(--(ISNUMBER(SEARCH($A202,'Diags Raw Data'!$A$6:$A$3830))),--('Diags Raw Data'!$Q$6:$Q$3830&lt;&gt;"N/A"),'Diags Raw Data'!$T$6:$T$3830)+SUMPRODUCT(--(ISNUMBER(SEARCH($A202,'Diags Raw Data'!$A$6:$A$3830))),--('Diags Raw Data'!$Q$6:$Q$3830&lt;&gt;"N/A"),'Diags Raw Data'!$U$6:$U$3830)</f>
        <v>0</v>
      </c>
      <c r="O202" s="488">
        <f>IF((M202=0),0,N202/M202)</f>
        <v>0</v>
      </c>
      <c r="P202" s="489">
        <f>SUMIF('Diags Raw Data'!$A$6:$A$3830,"*"&amp;$A202&amp;"*",'Diags Raw Data'!$Z$6:$Z$3830)</f>
        <v>0</v>
      </c>
      <c r="Q202" s="490">
        <f>SUM(SUMIF('Diags Raw Data'!$A$6:$A$3830,"*"&amp;$A202&amp;"*",'Diags Raw Data'!$AA$6:$AA$3830),SUMIF('Diags Raw Data'!$A$6:$A$3830,"*"&amp;$A202&amp;"*",'Diags Raw Data'!$AB$6:$AB$3830))</f>
        <v>0</v>
      </c>
      <c r="R202" s="491">
        <f>IF((J202=0),0,P202/J202)</f>
        <v>0</v>
      </c>
      <c r="S202" s="491">
        <f>IF((P202=0),0,Q202/P202)</f>
        <v>0</v>
      </c>
      <c r="T202" s="492">
        <f>R202*S202</f>
        <v>0</v>
      </c>
      <c r="U202" s="432" t="str">
        <f>VLOOKUP(A202,'Diags Raw Data'!$A$6:$AH$3830,33,FALSE)</f>
        <v>N/A</v>
      </c>
      <c r="V202" s="181"/>
    </row>
    <row r="203" spans="1:22" ht="15.75" thickBot="1" x14ac:dyDescent="0.3">
      <c r="A203" s="546">
        <v>12.429</v>
      </c>
      <c r="B203" s="434" t="str">
        <f>VLOOKUP(A203,'Feature Raw Data'!$A$3:$B$3922,2,FALSE)</f>
        <v>HP64 child reuse</v>
      </c>
      <c r="C203" s="435" t="str">
        <f>VLOOKUP(A203,'Feature Raw Data'!$A$3:$C$3922,3,FALSE)</f>
        <v>P1</v>
      </c>
      <c r="D203" s="436" t="str" cm="1">
        <f t="array" ref="D203">_xlfn.TEXTJOIN("",TRUE,IF(ISNUMBER(SEARCH($A203,'Diags Raw Data'!$A$6:$A$3830)),CONCATENATE('Diags Raw Data'!$H$6:$H$3830,", "),""))</f>
        <v xml:space="preserve">placeholder_i.1, </v>
      </c>
      <c r="E203" s="339" t="str">
        <f>VLOOKUP(A203,'Diags Raw Data'!$A$6:$D$3830,4,FALSE)</f>
        <v>TEX</v>
      </c>
      <c r="F203" s="339" t="str">
        <f>VLOOKUP(A203,'Feature Raw Data'!$A$3:$E$3922,5,FALSE)</f>
        <v>New</v>
      </c>
      <c r="G203" s="339" t="str">
        <f t="shared" si="23"/>
        <v>Yes</v>
      </c>
      <c r="H203" s="339" t="str">
        <f t="shared" si="28"/>
        <v>Yes</v>
      </c>
      <c r="I203" s="435">
        <f>SUMIF('Diags Raw Data'!$A$6:$A$3830,"*"&amp;$A203&amp;"*",'Diags Raw Data'!$K$6:$K$3830)</f>
        <v>0</v>
      </c>
      <c r="J203" s="437">
        <f>SUMIF('Diags Raw Data'!$A$6:$A$3830,"*"&amp;$A203&amp;"*",'Diags Raw Data'!$L$6:$L$3830)</f>
        <v>0</v>
      </c>
      <c r="K203" s="484" t="e" cm="1">
        <f t="array" ref="K203">IF(D203="",0, SUMPRODUCT(--(ISNUMBER(SEARCH($A203,'Diags Raw Data'!$A$6:$A$3830))),'Diags Raw Data'!$L$6:$L$3830,'Diags Raw Data'!$N$6:$N$3830)/J203)</f>
        <v>#DIV/0!</v>
      </c>
      <c r="L203" s="485" t="e" cm="1">
        <f t="array" ref="L203">IF(D203="",0, SUMPRODUCT(--(ISNUMBER(SEARCH($A203,'Diags Raw Data'!$A$6:$A$3830))),'Diags Raw Data'!$L$6:$L$3830,'Diags Raw Data'!$P$6:$P$3830)/J203)</f>
        <v>#DIV/0!</v>
      </c>
      <c r="M203" s="486" cm="1">
        <f t="array" ref="M203">SUMPRODUCT(--(ISNUMBER(SEARCH($A203,'Diags Raw Data'!$A$6:$A$3830))),--('Diags Raw Data'!$Q$6:$Q$3830&lt;&gt;"N/A"),'Diags Raw Data'!$R$6:$R$3830)</f>
        <v>1</v>
      </c>
      <c r="N203" s="487" cm="1">
        <f t="array" ref="N203">SUMPRODUCT(--(ISNUMBER(SEARCH($A203,'Diags Raw Data'!$A$6:$A$3830))),--('Diags Raw Data'!$Q$6:$Q$3830&lt;&gt;"N/A"),'Diags Raw Data'!$T$6:$T$3830)+SUMPRODUCT(--(ISNUMBER(SEARCH($A203,'Diags Raw Data'!$A$6:$A$3830))),--('Diags Raw Data'!$Q$6:$Q$3830&lt;&gt;"N/A"),'Diags Raw Data'!$U$6:$U$3830)</f>
        <v>1</v>
      </c>
      <c r="O203" s="488">
        <f t="shared" ref="O203:O237" si="37">IF((M203=0),0,N203/M203)</f>
        <v>1</v>
      </c>
      <c r="P203" s="489">
        <f>SUMIF('Diags Raw Data'!$A$6:$A$3830,"*"&amp;$A203&amp;"*",'Diags Raw Data'!$Z$6:$Z$3830)</f>
        <v>0</v>
      </c>
      <c r="Q203" s="490">
        <f>SUM(SUMIF('Diags Raw Data'!$A$6:$A$3830,"*"&amp;$A203&amp;"*",'Diags Raw Data'!$AA$6:$AA$3830),SUMIF('Diags Raw Data'!$A$6:$A$3830,"*"&amp;$A203&amp;"*",'Diags Raw Data'!$AB$6:$AB$3830))</f>
        <v>0</v>
      </c>
      <c r="R203" s="491">
        <f t="shared" ref="R203:R237" si="38">IF((J203=0),0,P203/J203)</f>
        <v>0</v>
      </c>
      <c r="S203" s="491">
        <f t="shared" ref="S203:S237" si="39">IF((P203=0),0,Q203/P203)</f>
        <v>0</v>
      </c>
      <c r="T203" s="492">
        <f t="shared" ref="T203:T237" si="40">R203*S203</f>
        <v>0</v>
      </c>
      <c r="U203" s="432" t="str">
        <f>VLOOKUP(A203,'Diags Raw Data'!$A$6:$AH$3830,33,FALSE)</f>
        <v>WK5</v>
      </c>
      <c r="V203" s="181"/>
    </row>
    <row r="204" spans="1:22" ht="30.75" thickBot="1" x14ac:dyDescent="0.3">
      <c r="A204" s="546">
        <v>12.43</v>
      </c>
      <c r="B204" s="434" t="str">
        <f>VLOOKUP(A204,'Feature Raw Data'!$A$3:$B$3922,2,FALSE)</f>
        <v>Ray Tracing Tri Pair optimization</v>
      </c>
      <c r="C204" s="435" t="str">
        <f>VLOOKUP(A204,'Feature Raw Data'!$A$3:$C$3922,3,FALSE)</f>
        <v>P1</v>
      </c>
      <c r="D204" s="436" t="str" cm="1">
        <f t="array" ref="D204">_xlfn.TEXTJOIN("",TRUE,IF(ISNUMBER(SEARCH($A204,'Diags Raw Data'!$A$6:$A$3830)),CONCATENATE('Diags Raw Data'!$H$6:$H$3830,", "),""))</f>
        <v xml:space="preserve">rt1.400-401, utci16.1, N/A, </v>
      </c>
      <c r="E204" s="339" t="str">
        <f>VLOOKUP(A204,'Diags Raw Data'!$A$6:$D$3830,4,FALSE)</f>
        <v>TEX</v>
      </c>
      <c r="F204" s="339" t="str">
        <f>VLOOKUP(A204,'Feature Raw Data'!$A$3:$E$3922,5,FALSE)</f>
        <v>New</v>
      </c>
      <c r="G204" s="339" t="str">
        <f t="shared" si="23"/>
        <v>Yes</v>
      </c>
      <c r="H204" s="339" t="str">
        <f t="shared" si="28"/>
        <v>Yes</v>
      </c>
      <c r="I204" s="435">
        <f>SUMIF('Diags Raw Data'!$A$6:$A$3830,"*"&amp;$A204&amp;"*",'Diags Raw Data'!$K$6:$K$3830)</f>
        <v>0</v>
      </c>
      <c r="J204" s="437">
        <f>SUMIF('Diags Raw Data'!$A$6:$A$3830,"*"&amp;$A204&amp;"*",'Diags Raw Data'!$L$6:$L$3830)</f>
        <v>0</v>
      </c>
      <c r="K204" s="484" t="e" cm="1">
        <f t="array" ref="K204">IF(D204="",0, SUMPRODUCT(--(ISNUMBER(SEARCH($A204,'Diags Raw Data'!$A$6:$A$3830))),'Diags Raw Data'!$L$6:$L$3830,'Diags Raw Data'!$N$6:$N$3830)/J204)</f>
        <v>#DIV/0!</v>
      </c>
      <c r="L204" s="485" t="e" cm="1">
        <f t="array" ref="L204">IF(D204="",0, SUMPRODUCT(--(ISNUMBER(SEARCH($A204,'Diags Raw Data'!$A$6:$A$3830))),'Diags Raw Data'!$L$6:$L$3830,'Diags Raw Data'!$P$6:$P$3830)/J204)</f>
        <v>#DIV/0!</v>
      </c>
      <c r="M204" s="486" cm="1">
        <f t="array" ref="M204">SUMPRODUCT(--(ISNUMBER(SEARCH($A204,'Diags Raw Data'!$A$6:$A$3830))),--('Diags Raw Data'!$Q$6:$Q$3830&lt;&gt;"N/A"),'Diags Raw Data'!$R$6:$R$3830)</f>
        <v>3</v>
      </c>
      <c r="N204" s="487" cm="1">
        <f t="array" ref="N204">SUMPRODUCT(--(ISNUMBER(SEARCH($A204,'Diags Raw Data'!$A$6:$A$3830))),--('Diags Raw Data'!$Q$6:$Q$3830&lt;&gt;"N/A"),'Diags Raw Data'!$T$6:$T$3830)+SUMPRODUCT(--(ISNUMBER(SEARCH($A204,'Diags Raw Data'!$A$6:$A$3830))),--('Diags Raw Data'!$Q$6:$Q$3830&lt;&gt;"N/A"),'Diags Raw Data'!$U$6:$U$3830)</f>
        <v>2</v>
      </c>
      <c r="O204" s="488">
        <f t="shared" si="37"/>
        <v>0.66666666666666663</v>
      </c>
      <c r="P204" s="489">
        <f>SUMIF('Diags Raw Data'!$A$6:$A$3830,"*"&amp;$A204&amp;"*",'Diags Raw Data'!$Z$6:$Z$3830)</f>
        <v>0</v>
      </c>
      <c r="Q204" s="490">
        <f>SUM(SUMIF('Diags Raw Data'!$A$6:$A$3830,"*"&amp;$A204&amp;"*",'Diags Raw Data'!$AA$6:$AA$3830),SUMIF('Diags Raw Data'!$A$6:$A$3830,"*"&amp;$A204&amp;"*",'Diags Raw Data'!$AB$6:$AB$3830))</f>
        <v>0</v>
      </c>
      <c r="R204" s="491">
        <f t="shared" si="38"/>
        <v>0</v>
      </c>
      <c r="S204" s="491">
        <f t="shared" si="39"/>
        <v>0</v>
      </c>
      <c r="T204" s="492">
        <f t="shared" si="40"/>
        <v>0</v>
      </c>
      <c r="U204" s="432" t="str">
        <f>VLOOKUP(A204,'Diags Raw Data'!$A$6:$AH$3830,33,FALSE)</f>
        <v>WK4</v>
      </c>
      <c r="V204" s="181"/>
    </row>
    <row r="205" spans="1:22" ht="15.75" thickBot="1" x14ac:dyDescent="0.3">
      <c r="A205" s="546">
        <v>12.438000000000001</v>
      </c>
      <c r="B205" s="434" t="str">
        <f>VLOOKUP(A205,'Feature Raw Data'!$A$3:$B$3922,2,FALSE)</f>
        <v>Remove Soft Lock feature</v>
      </c>
      <c r="C205" s="435" t="str">
        <f>VLOOKUP(A205,'Feature Raw Data'!$A$3:$C$3922,3,FALSE)</f>
        <v>P2</v>
      </c>
      <c r="D205" s="436" t="str" cm="1">
        <f t="array" ref="D205">_xlfn.TEXTJOIN("",TRUE,IF(ISNUMBER(SEARCH($A205,'Diags Raw Data'!$A$6:$A$3830)),CONCATENATE('Diags Raw Data'!$H$6:$H$3830,", "),""))</f>
        <v xml:space="preserve">N/A, </v>
      </c>
      <c r="E205" s="339" t="str">
        <f>VLOOKUP(A205,'Diags Raw Data'!$A$6:$D$3830,4,FALSE)</f>
        <v>SIO</v>
      </c>
      <c r="F205" s="339" t="str">
        <f>VLOOKUP(A205,'Feature Raw Data'!$A$3:$E$3922,5,FALSE)</f>
        <v>New</v>
      </c>
      <c r="G205" s="339" t="str">
        <f t="shared" si="23"/>
        <v>No</v>
      </c>
      <c r="H205" s="339" t="str">
        <f t="shared" si="28"/>
        <v>No</v>
      </c>
      <c r="I205" s="435">
        <f>SUMIF('Diags Raw Data'!$A$6:$A$3830,"*"&amp;$A205&amp;"*",'Diags Raw Data'!$K$6:$K$3830)</f>
        <v>0</v>
      </c>
      <c r="J205" s="437">
        <f>SUMIF('Diags Raw Data'!$A$6:$A$3830,"*"&amp;$A205&amp;"*",'Diags Raw Data'!$L$6:$L$3830)</f>
        <v>0</v>
      </c>
      <c r="K205" s="484" t="e" cm="1">
        <f t="array" ref="K205">IF(D205="",0, SUMPRODUCT(--(ISNUMBER(SEARCH($A205,'Diags Raw Data'!$A$6:$A$3830))),'Diags Raw Data'!$L$6:$L$3830,'Diags Raw Data'!$N$6:$N$3830)/J205)</f>
        <v>#DIV/0!</v>
      </c>
      <c r="L205" s="485" t="e" cm="1">
        <f t="array" ref="L205">IF(D205="",0, SUMPRODUCT(--(ISNUMBER(SEARCH($A205,'Diags Raw Data'!$A$6:$A$3830))),'Diags Raw Data'!$L$6:$L$3830,'Diags Raw Data'!$P$6:$P$3830)/J205)</f>
        <v>#DIV/0!</v>
      </c>
      <c r="M205" s="486" cm="1">
        <f t="array" ref="M205">SUMPRODUCT(--(ISNUMBER(SEARCH($A205,'Diags Raw Data'!$A$6:$A$3830))),--('Diags Raw Data'!$Q$6:$Q$3830&lt;&gt;"N/A"),'Diags Raw Data'!$R$6:$R$3830)</f>
        <v>0</v>
      </c>
      <c r="N205" s="487" cm="1">
        <f t="array" ref="N205">SUMPRODUCT(--(ISNUMBER(SEARCH($A205,'Diags Raw Data'!$A$6:$A$3830))),--('Diags Raw Data'!$Q$6:$Q$3830&lt;&gt;"N/A"),'Diags Raw Data'!$T$6:$T$3830)+SUMPRODUCT(--(ISNUMBER(SEARCH($A205,'Diags Raw Data'!$A$6:$A$3830))),--('Diags Raw Data'!$Q$6:$Q$3830&lt;&gt;"N/A"),'Diags Raw Data'!$U$6:$U$3830)</f>
        <v>0</v>
      </c>
      <c r="O205" s="488">
        <f t="shared" si="37"/>
        <v>0</v>
      </c>
      <c r="P205" s="489">
        <f>SUMIF('Diags Raw Data'!$A$6:$A$3830,"*"&amp;$A205&amp;"*",'Diags Raw Data'!$Z$6:$Z$3830)</f>
        <v>0</v>
      </c>
      <c r="Q205" s="490">
        <f>SUM(SUMIF('Diags Raw Data'!$A$6:$A$3830,"*"&amp;$A205&amp;"*",'Diags Raw Data'!$AA$6:$AA$3830),SUMIF('Diags Raw Data'!$A$6:$A$3830,"*"&amp;$A205&amp;"*",'Diags Raw Data'!$AB$6:$AB$3830))</f>
        <v>0</v>
      </c>
      <c r="R205" s="491">
        <f t="shared" si="38"/>
        <v>0</v>
      </c>
      <c r="S205" s="491">
        <f t="shared" si="39"/>
        <v>0</v>
      </c>
      <c r="T205" s="492">
        <f t="shared" si="40"/>
        <v>0</v>
      </c>
      <c r="U205" s="432" t="str">
        <f>VLOOKUP(A205,'Diags Raw Data'!$A$6:$AH$3830,33,FALSE)</f>
        <v>N/A</v>
      </c>
      <c r="V205" s="181"/>
    </row>
    <row r="206" spans="1:22" ht="30.75" thickBot="1" x14ac:dyDescent="0.3">
      <c r="A206" s="546">
        <v>12.439</v>
      </c>
      <c r="B206" s="434" t="str">
        <f>VLOOKUP(A206,'Feature Raw Data'!$A$3:$B$3922,2,FALSE)</f>
        <v>Improve register based invalidation</v>
      </c>
      <c r="C206" s="435" t="str">
        <f>VLOOKUP(A206,'Feature Raw Data'!$A$3:$C$3922,3,FALSE)</f>
        <v>P2</v>
      </c>
      <c r="D206" s="436" t="str" cm="1">
        <f t="array" ref="D206">_xlfn.TEXTJOIN("",TRUE,IF(ISNUMBER(SEARCH($A206,'Diags Raw Data'!$A$6:$A$3830)),CONCATENATE('Diags Raw Data'!$H$6:$H$3830,", "),""))</f>
        <v xml:space="preserve">utci16.1, </v>
      </c>
      <c r="E206" s="339" t="str">
        <f>VLOOKUP(A206,'Diags Raw Data'!$A$6:$D$3830,4,FALSE)</f>
        <v>CTL</v>
      </c>
      <c r="F206" s="339" t="str">
        <f>VLOOKUP(A206,'Feature Raw Data'!$A$3:$E$3922,5,FALSE)</f>
        <v>New</v>
      </c>
      <c r="G206" s="339" t="str">
        <f t="shared" si="23"/>
        <v>Yes</v>
      </c>
      <c r="H206" s="339" t="str">
        <f t="shared" si="28"/>
        <v>Yes</v>
      </c>
      <c r="I206" s="435">
        <f>SUMIF('Diags Raw Data'!$A$6:$A$3830,"*"&amp;$A206&amp;"*",'Diags Raw Data'!$K$6:$K$3830)</f>
        <v>0</v>
      </c>
      <c r="J206" s="437">
        <f>SUMIF('Diags Raw Data'!$A$6:$A$3830,"*"&amp;$A206&amp;"*",'Diags Raw Data'!$L$6:$L$3830)</f>
        <v>0</v>
      </c>
      <c r="K206" s="484" t="e" cm="1">
        <f t="array" ref="K206">IF(D206="",0, SUMPRODUCT(--(ISNUMBER(SEARCH($A206,'Diags Raw Data'!$A$6:$A$3830))),'Diags Raw Data'!$L$6:$L$3830,'Diags Raw Data'!$N$6:$N$3830)/J206)</f>
        <v>#DIV/0!</v>
      </c>
      <c r="L206" s="485" t="e" cm="1">
        <f t="array" ref="L206">IF(D206="",0, SUMPRODUCT(--(ISNUMBER(SEARCH($A206,'Diags Raw Data'!$A$6:$A$3830))),'Diags Raw Data'!$L$6:$L$3830,'Diags Raw Data'!$P$6:$P$3830)/J206)</f>
        <v>#DIV/0!</v>
      </c>
      <c r="M206" s="486" cm="1">
        <f t="array" ref="M206">SUMPRODUCT(--(ISNUMBER(SEARCH($A206,'Diags Raw Data'!$A$6:$A$3830))),--('Diags Raw Data'!$Q$6:$Q$3830&lt;&gt;"N/A"),'Diags Raw Data'!$R$6:$R$3830)</f>
        <v>1</v>
      </c>
      <c r="N206" s="487" cm="1">
        <f t="array" ref="N206">SUMPRODUCT(--(ISNUMBER(SEARCH($A206,'Diags Raw Data'!$A$6:$A$3830))),--('Diags Raw Data'!$Q$6:$Q$3830&lt;&gt;"N/A"),'Diags Raw Data'!$T$6:$T$3830)+SUMPRODUCT(--(ISNUMBER(SEARCH($A206,'Diags Raw Data'!$A$6:$A$3830))),--('Diags Raw Data'!$Q$6:$Q$3830&lt;&gt;"N/A"),'Diags Raw Data'!$U$6:$U$3830)</f>
        <v>0</v>
      </c>
      <c r="O206" s="488">
        <f t="shared" si="37"/>
        <v>0</v>
      </c>
      <c r="P206" s="489">
        <f>SUMIF('Diags Raw Data'!$A$6:$A$3830,"*"&amp;$A206&amp;"*",'Diags Raw Data'!$Z$6:$Z$3830)</f>
        <v>0</v>
      </c>
      <c r="Q206" s="490">
        <f>SUM(SUMIF('Diags Raw Data'!$A$6:$A$3830,"*"&amp;$A206&amp;"*",'Diags Raw Data'!$AA$6:$AA$3830),SUMIF('Diags Raw Data'!$A$6:$A$3830,"*"&amp;$A206&amp;"*",'Diags Raw Data'!$AB$6:$AB$3830))</f>
        <v>0</v>
      </c>
      <c r="R206" s="491">
        <f t="shared" si="38"/>
        <v>0</v>
      </c>
      <c r="S206" s="491">
        <f t="shared" si="39"/>
        <v>0</v>
      </c>
      <c r="T206" s="492">
        <f t="shared" si="40"/>
        <v>0</v>
      </c>
      <c r="U206" s="432" t="str">
        <f>VLOOKUP(A206,'Diags Raw Data'!$A$6:$AH$3830,33,FALSE)</f>
        <v>WK8</v>
      </c>
      <c r="V206" s="181"/>
    </row>
    <row r="207" spans="1:22" ht="45.75" thickBot="1" x14ac:dyDescent="0.3">
      <c r="A207" s="546">
        <v>12.44</v>
      </c>
      <c r="B207" s="434" t="str">
        <f>VLOOKUP(A207,'Feature Raw Data'!$A$3:$B$3922,2,FALSE)</f>
        <v>Make SE CAC Counters accessible over Debug Bus</v>
      </c>
      <c r="C207" s="435" t="str">
        <f>VLOOKUP(A207,'Feature Raw Data'!$A$3:$C$3922,3,FALSE)</f>
        <v>P2</v>
      </c>
      <c r="D207" s="436" t="str" cm="1">
        <f t="array" ref="D207">_xlfn.TEXTJOIN("",TRUE,IF(ISNUMBER(SEARCH($A207,'Diags Raw Data'!$A$6:$A$3830)),CONCATENATE('Diags Raw Data'!$H$6:$H$3830,", "),""))</f>
        <v xml:space="preserve">placeholder_j.1-4, shci2039.0-3, rt33.0, rt33.1-2, N/A, N/A, N/A, N/A, N/A, </v>
      </c>
      <c r="E207" s="339" t="str">
        <f>VLOOKUP(A207,'Diags Raw Data'!$A$6:$D$3830,4,FALSE)</f>
        <v>CTL</v>
      </c>
      <c r="F207" s="339" t="str">
        <f>VLOOKUP(A207,'Feature Raw Data'!$A$3:$E$3922,5,FALSE)</f>
        <v>New</v>
      </c>
      <c r="G207" s="339" t="str">
        <f>IF(D207="N/A, , , , , , , , , ","No","Yes")</f>
        <v>Yes</v>
      </c>
      <c r="H207" s="339" t="str">
        <f>IF(D207="N/A, , , , , , , , , ","No","Yes")</f>
        <v>Yes</v>
      </c>
      <c r="I207" s="435">
        <f>SUMIF('Diags Raw Data'!$A$6:$A$3830,"*"&amp;$A207&amp;"*",'Diags Raw Data'!$K$6:$K$3830)</f>
        <v>0</v>
      </c>
      <c r="J207" s="437">
        <f>SUMIF('Diags Raw Data'!$A$6:$A$3830,"*"&amp;$A207&amp;"*",'Diags Raw Data'!$L$6:$L$3830)</f>
        <v>0</v>
      </c>
      <c r="K207" s="484" t="e" cm="1">
        <f t="array" ref="K207">IF(D207="",0, SUMPRODUCT(--(ISNUMBER(SEARCH($A207,'Diags Raw Data'!$A$6:$A$3830))),'Diags Raw Data'!$L$6:$L$3830,'Diags Raw Data'!$N$6:$N$3830)/J207)</f>
        <v>#DIV/0!</v>
      </c>
      <c r="L207" s="485" t="e" cm="1">
        <f t="array" ref="L207">IF(D207="",0, SUMPRODUCT(--(ISNUMBER(SEARCH($A207,'Diags Raw Data'!$A$6:$A$3830))),'Diags Raw Data'!$L$6:$L$3830,'Diags Raw Data'!$P$6:$P$3830)/J207)</f>
        <v>#DIV/0!</v>
      </c>
      <c r="M207" s="486" cm="1">
        <f t="array" ref="M207">SUMPRODUCT(--(ISNUMBER(SEARCH($A207,'Diags Raw Data'!$A$6:$A$3830))),--('Diags Raw Data'!$Q$6:$Q$3830&lt;&gt;"N/A"),'Diags Raw Data'!$R$6:$R$3830)</f>
        <v>11</v>
      </c>
      <c r="N207" s="487" cm="1">
        <f t="array" ref="N207">SUMPRODUCT(--(ISNUMBER(SEARCH($A207,'Diags Raw Data'!$A$6:$A$3830))),--('Diags Raw Data'!$Q$6:$Q$3830&lt;&gt;"N/A"),'Diags Raw Data'!$T$6:$T$3830)+SUMPRODUCT(--(ISNUMBER(SEARCH($A207,'Diags Raw Data'!$A$6:$A$3830))),--('Diags Raw Data'!$Q$6:$Q$3830&lt;&gt;"N/A"),'Diags Raw Data'!$U$6:$U$3830)</f>
        <v>11</v>
      </c>
      <c r="O207" s="488">
        <f t="shared" si="37"/>
        <v>1</v>
      </c>
      <c r="P207" s="489">
        <f>SUMIF('Diags Raw Data'!$A$6:$A$3830,"*"&amp;$A207&amp;"*",'Diags Raw Data'!$Z$6:$Z$3830)</f>
        <v>0</v>
      </c>
      <c r="Q207" s="490">
        <f>SUM(SUMIF('Diags Raw Data'!$A$6:$A$3830,"*"&amp;$A207&amp;"*",'Diags Raw Data'!$AA$6:$AA$3830),SUMIF('Diags Raw Data'!$A$6:$A$3830,"*"&amp;$A207&amp;"*",'Diags Raw Data'!$AB$6:$AB$3830))</f>
        <v>0</v>
      </c>
      <c r="R207" s="491">
        <f t="shared" si="38"/>
        <v>0</v>
      </c>
      <c r="S207" s="491">
        <f t="shared" si="39"/>
        <v>0</v>
      </c>
      <c r="T207" s="492">
        <f t="shared" si="40"/>
        <v>0</v>
      </c>
      <c r="U207" s="432" t="str">
        <f>VLOOKUP(A207,'Diags Raw Data'!$A$6:$AH$3830,33,FALSE)</f>
        <v>N/A</v>
      </c>
      <c r="V207" s="552" t="s">
        <v>406</v>
      </c>
    </row>
    <row r="208" spans="1:22" ht="30.75" thickBot="1" x14ac:dyDescent="0.3">
      <c r="A208" s="546">
        <v>12.441000000000001</v>
      </c>
      <c r="B208" s="434" t="str">
        <f>VLOOKUP(A208,'Feature Raw Data'!$A$3:$B$3922,2,FALSE)</f>
        <v>reduce VGPRs for LS and ES stages</v>
      </c>
      <c r="C208" s="435" t="str">
        <f>VLOOKUP(A208,'Feature Raw Data'!$A$3:$C$3922,3,FALSE)</f>
        <v>P2</v>
      </c>
      <c r="D208" s="436" t="str" cm="1">
        <f t="array" ref="D208">_xlfn.TEXTJOIN("",TRUE,IF(ISNUMBER(SEARCH($A208,'Diags Raw Data'!$A$6:$A$3830)),CONCATENATE('Diags Raw Data'!$H$6:$H$3830,", "),""))</f>
        <v xml:space="preserve">N/A, </v>
      </c>
      <c r="E208" s="339" t="str">
        <f>VLOOKUP(A208,'Diags Raw Data'!$A$6:$D$3830,4,FALSE)</f>
        <v>SIO</v>
      </c>
      <c r="F208" s="339" t="str">
        <f>VLOOKUP(A208,'Feature Raw Data'!$A$3:$E$3922,5,FALSE)</f>
        <v>New</v>
      </c>
      <c r="G208" s="339" t="str">
        <f t="shared" si="23"/>
        <v>No</v>
      </c>
      <c r="H208" s="339" t="str">
        <f t="shared" si="28"/>
        <v>No</v>
      </c>
      <c r="I208" s="435">
        <f>SUMIF('Diags Raw Data'!$A$6:$A$3830,"*"&amp;$A208&amp;"*",'Diags Raw Data'!$K$6:$K$3830)</f>
        <v>0</v>
      </c>
      <c r="J208" s="437">
        <f>SUMIF('Diags Raw Data'!$A$6:$A$3830,"*"&amp;$A208&amp;"*",'Diags Raw Data'!$L$6:$L$3830)</f>
        <v>0</v>
      </c>
      <c r="K208" s="484" t="e" cm="1">
        <f t="array" ref="K208">IF(D208="",0, SUMPRODUCT(--(ISNUMBER(SEARCH($A208,'Diags Raw Data'!$A$6:$A$3830))),'Diags Raw Data'!$L$6:$L$3830,'Diags Raw Data'!$N$6:$N$3830)/J208)</f>
        <v>#DIV/0!</v>
      </c>
      <c r="L208" s="485" t="e" cm="1">
        <f t="array" ref="L208">IF(D208="",0, SUMPRODUCT(--(ISNUMBER(SEARCH($A208,'Diags Raw Data'!$A$6:$A$3830))),'Diags Raw Data'!$L$6:$L$3830,'Diags Raw Data'!$P$6:$P$3830)/J208)</f>
        <v>#DIV/0!</v>
      </c>
      <c r="M208" s="486" cm="1">
        <f t="array" ref="M208">SUMPRODUCT(--(ISNUMBER(SEARCH($A208,'Diags Raw Data'!$A$6:$A$3830))),--('Diags Raw Data'!$Q$6:$Q$3830&lt;&gt;"N/A"),'Diags Raw Data'!$R$6:$R$3830)</f>
        <v>0</v>
      </c>
      <c r="N208" s="487" cm="1">
        <f t="array" ref="N208">SUMPRODUCT(--(ISNUMBER(SEARCH($A208,'Diags Raw Data'!$A$6:$A$3830))),--('Diags Raw Data'!$Q$6:$Q$3830&lt;&gt;"N/A"),'Diags Raw Data'!$T$6:$T$3830)+SUMPRODUCT(--(ISNUMBER(SEARCH($A208,'Diags Raw Data'!$A$6:$A$3830))),--('Diags Raw Data'!$Q$6:$Q$3830&lt;&gt;"N/A"),'Diags Raw Data'!$U$6:$U$3830)</f>
        <v>0</v>
      </c>
      <c r="O208" s="488">
        <f t="shared" si="37"/>
        <v>0</v>
      </c>
      <c r="P208" s="489">
        <f>SUMIF('Diags Raw Data'!$A$6:$A$3830,"*"&amp;$A208&amp;"*",'Diags Raw Data'!$Z$6:$Z$3830)</f>
        <v>0</v>
      </c>
      <c r="Q208" s="490">
        <f>SUM(SUMIF('Diags Raw Data'!$A$6:$A$3830,"*"&amp;$A208&amp;"*",'Diags Raw Data'!$AA$6:$AA$3830),SUMIF('Diags Raw Data'!$A$6:$A$3830,"*"&amp;$A208&amp;"*",'Diags Raw Data'!$AB$6:$AB$3830))</f>
        <v>0</v>
      </c>
      <c r="R208" s="491">
        <f t="shared" si="38"/>
        <v>0</v>
      </c>
      <c r="S208" s="491">
        <f t="shared" si="39"/>
        <v>0</v>
      </c>
      <c r="T208" s="492">
        <f t="shared" si="40"/>
        <v>0</v>
      </c>
      <c r="U208" s="432" t="str">
        <f>VLOOKUP(A208,'Diags Raw Data'!$A$6:$AH$3830,33,FALSE)</f>
        <v>N/A</v>
      </c>
      <c r="V208" s="181"/>
    </row>
    <row r="209" spans="1:22" ht="30.75" thickBot="1" x14ac:dyDescent="0.3">
      <c r="A209" s="546">
        <v>12.442</v>
      </c>
      <c r="B209" s="434" t="str">
        <f>VLOOKUP(A209,'Feature Raw Data'!$A$3:$B$3922,2,FALSE)</f>
        <v>EA and GL2CC move from GRBM to GRBMH</v>
      </c>
      <c r="C209" s="435" t="str">
        <f>VLOOKUP(A209,'Feature Raw Data'!$A$3:$C$3922,3,FALSE)</f>
        <v>P2</v>
      </c>
      <c r="D209" s="436" t="str" cm="1">
        <f t="array" ref="D209">_xlfn.TEXTJOIN("",TRUE,IF(ISNUMBER(SEARCH($A209,'Diags Raw Data'!$A$6:$A$3830)),CONCATENATE('Diags Raw Data'!$H$6:$H$3830,", "),""))</f>
        <v xml:space="preserve">N/A, </v>
      </c>
      <c r="E209" s="339" t="str">
        <f>VLOOKUP(A209,'Diags Raw Data'!$A$6:$D$3830,4,FALSE)</f>
        <v>CTL</v>
      </c>
      <c r="F209" s="339" t="str">
        <f>VLOOKUP(A209,'Feature Raw Data'!$A$3:$E$3922,5,FALSE)</f>
        <v>New</v>
      </c>
      <c r="G209" s="339" t="str">
        <f t="shared" si="23"/>
        <v>No</v>
      </c>
      <c r="H209" s="339" t="str">
        <f t="shared" si="28"/>
        <v>No</v>
      </c>
      <c r="I209" s="435">
        <f>SUMIF('Diags Raw Data'!$A$6:$A$3830,"*"&amp;$A209&amp;"*",'Diags Raw Data'!$K$6:$K$3830)</f>
        <v>0</v>
      </c>
      <c r="J209" s="437">
        <f>SUMIF('Diags Raw Data'!$A$6:$A$3830,"*"&amp;$A209&amp;"*",'Diags Raw Data'!$L$6:$L$3830)</f>
        <v>0</v>
      </c>
      <c r="K209" s="484" t="e" cm="1">
        <f t="array" ref="K209">IF(D209="",0, SUMPRODUCT(--(ISNUMBER(SEARCH($A209,'Diags Raw Data'!$A$6:$A$3830))),'Diags Raw Data'!$L$6:$L$3830,'Diags Raw Data'!$N$6:$N$3830)/J209)</f>
        <v>#DIV/0!</v>
      </c>
      <c r="L209" s="485" t="e" cm="1">
        <f t="array" ref="L209">IF(D209="",0, SUMPRODUCT(--(ISNUMBER(SEARCH($A209,'Diags Raw Data'!$A$6:$A$3830))),'Diags Raw Data'!$L$6:$L$3830,'Diags Raw Data'!$P$6:$P$3830)/J209)</f>
        <v>#DIV/0!</v>
      </c>
      <c r="M209" s="486" cm="1">
        <f t="array" ref="M209">SUMPRODUCT(--(ISNUMBER(SEARCH($A209,'Diags Raw Data'!$A$6:$A$3830))),--('Diags Raw Data'!$Q$6:$Q$3830&lt;&gt;"N/A"),'Diags Raw Data'!$R$6:$R$3830)</f>
        <v>0</v>
      </c>
      <c r="N209" s="487" cm="1">
        <f t="array" ref="N209">SUMPRODUCT(--(ISNUMBER(SEARCH($A209,'Diags Raw Data'!$A$6:$A$3830))),--('Diags Raw Data'!$Q$6:$Q$3830&lt;&gt;"N/A"),'Diags Raw Data'!$T$6:$T$3830)+SUMPRODUCT(--(ISNUMBER(SEARCH($A209,'Diags Raw Data'!$A$6:$A$3830))),--('Diags Raw Data'!$Q$6:$Q$3830&lt;&gt;"N/A"),'Diags Raw Data'!$U$6:$U$3830)</f>
        <v>0</v>
      </c>
      <c r="O209" s="488">
        <f t="shared" si="37"/>
        <v>0</v>
      </c>
      <c r="P209" s="489">
        <f>SUMIF('Diags Raw Data'!$A$6:$A$3830,"*"&amp;$A209&amp;"*",'Diags Raw Data'!$Z$6:$Z$3830)</f>
        <v>0</v>
      </c>
      <c r="Q209" s="490">
        <f>SUM(SUMIF('Diags Raw Data'!$A$6:$A$3830,"*"&amp;$A209&amp;"*",'Diags Raw Data'!$AA$6:$AA$3830),SUMIF('Diags Raw Data'!$A$6:$A$3830,"*"&amp;$A209&amp;"*",'Diags Raw Data'!$AB$6:$AB$3830))</f>
        <v>0</v>
      </c>
      <c r="R209" s="491">
        <f t="shared" si="38"/>
        <v>0</v>
      </c>
      <c r="S209" s="491">
        <f t="shared" si="39"/>
        <v>0</v>
      </c>
      <c r="T209" s="492">
        <f t="shared" si="40"/>
        <v>0</v>
      </c>
      <c r="U209" s="432" t="str">
        <f>VLOOKUP(A209,'Diags Raw Data'!$A$6:$AH$3830,33,FALSE)</f>
        <v>N/A</v>
      </c>
      <c r="V209" s="181"/>
    </row>
    <row r="210" spans="1:22" ht="30.75" thickBot="1" x14ac:dyDescent="0.3">
      <c r="A210" s="546">
        <v>12.444000000000001</v>
      </c>
      <c r="B210" s="434" t="str">
        <f>VLOOKUP(A210,'Feature Raw Data'!$A$3:$B$3922,2,FALSE)</f>
        <v>Expand V# const_stride from 14 to 17 bit width</v>
      </c>
      <c r="C210" s="435" t="str">
        <f>VLOOKUP(A210,'Feature Raw Data'!$A$3:$C$3922,3,FALSE)</f>
        <v>P2</v>
      </c>
      <c r="D210" s="436" t="str" cm="1">
        <f t="array" ref="D210">_xlfn.TEXTJOIN("",TRUE,IF(ISNUMBER(SEARCH($A210,'Diags Raw Data'!$A$6:$A$3830)),CONCATENATE('Diags Raw Data'!$H$6:$H$3830,", "),""))</f>
        <v xml:space="preserve">placeholder_j.1-4, </v>
      </c>
      <c r="E210" s="339" t="str">
        <f>VLOOKUP(A210,'Diags Raw Data'!$A$6:$D$3830,4,FALSE)</f>
        <v>TEX</v>
      </c>
      <c r="F210" s="339" t="str">
        <f>VLOOKUP(A210,'Feature Raw Data'!$A$3:$E$3922,5,FALSE)</f>
        <v>New</v>
      </c>
      <c r="G210" s="339" t="str">
        <f t="shared" si="23"/>
        <v>Yes</v>
      </c>
      <c r="H210" s="339" t="str">
        <f t="shared" si="28"/>
        <v>Yes</v>
      </c>
      <c r="I210" s="435">
        <f>SUMIF('Diags Raw Data'!$A$6:$A$3830,"*"&amp;$A210&amp;"*",'Diags Raw Data'!$K$6:$K$3830)</f>
        <v>0</v>
      </c>
      <c r="J210" s="437">
        <f>SUMIF('Diags Raw Data'!$A$6:$A$3830,"*"&amp;$A210&amp;"*",'Diags Raw Data'!$L$6:$L$3830)</f>
        <v>0</v>
      </c>
      <c r="K210" s="484" t="e" cm="1">
        <f t="array" ref="K210">IF(D210="",0, SUMPRODUCT(--(ISNUMBER(SEARCH($A210,'Diags Raw Data'!$A$6:$A$3830))),'Diags Raw Data'!$L$6:$L$3830,'Diags Raw Data'!$N$6:$N$3830)/J210)</f>
        <v>#DIV/0!</v>
      </c>
      <c r="L210" s="485" t="e" cm="1">
        <f t="array" ref="L210">IF(D210="",0, SUMPRODUCT(--(ISNUMBER(SEARCH($A210,'Diags Raw Data'!$A$6:$A$3830))),'Diags Raw Data'!$L$6:$L$3830,'Diags Raw Data'!$P$6:$P$3830)/J210)</f>
        <v>#DIV/0!</v>
      </c>
      <c r="M210" s="486" cm="1">
        <f t="array" ref="M210">SUMPRODUCT(--(ISNUMBER(SEARCH($A210,'Diags Raw Data'!$A$6:$A$3830))),--('Diags Raw Data'!$Q$6:$Q$3830&lt;&gt;"N/A"),'Diags Raw Data'!$R$6:$R$3830)</f>
        <v>4</v>
      </c>
      <c r="N210" s="487" cm="1">
        <f t="array" ref="N210">SUMPRODUCT(--(ISNUMBER(SEARCH($A210,'Diags Raw Data'!$A$6:$A$3830))),--('Diags Raw Data'!$Q$6:$Q$3830&lt;&gt;"N/A"),'Diags Raw Data'!$T$6:$T$3830)+SUMPRODUCT(--(ISNUMBER(SEARCH($A210,'Diags Raw Data'!$A$6:$A$3830))),--('Diags Raw Data'!$Q$6:$Q$3830&lt;&gt;"N/A"),'Diags Raw Data'!$U$6:$U$3830)</f>
        <v>4</v>
      </c>
      <c r="O210" s="488">
        <f t="shared" si="37"/>
        <v>1</v>
      </c>
      <c r="P210" s="489">
        <f>SUMIF('Diags Raw Data'!$A$6:$A$3830,"*"&amp;$A210&amp;"*",'Diags Raw Data'!$Z$6:$Z$3830)</f>
        <v>0</v>
      </c>
      <c r="Q210" s="490">
        <f>SUM(SUMIF('Diags Raw Data'!$A$6:$A$3830,"*"&amp;$A210&amp;"*",'Diags Raw Data'!$AA$6:$AA$3830),SUMIF('Diags Raw Data'!$A$6:$A$3830,"*"&amp;$A210&amp;"*",'Diags Raw Data'!$AB$6:$AB$3830))</f>
        <v>0</v>
      </c>
      <c r="R210" s="491">
        <f t="shared" si="38"/>
        <v>0</v>
      </c>
      <c r="S210" s="491">
        <f t="shared" si="39"/>
        <v>0</v>
      </c>
      <c r="T210" s="492">
        <f t="shared" si="40"/>
        <v>0</v>
      </c>
      <c r="U210" s="432" t="str">
        <f>VLOOKUP(A210,'Diags Raw Data'!$A$6:$AH$3830,33,FALSE)</f>
        <v>WK8</v>
      </c>
      <c r="V210" s="181"/>
    </row>
    <row r="211" spans="1:22" ht="30.75" thickBot="1" x14ac:dyDescent="0.3">
      <c r="A211" s="546">
        <v>12.445</v>
      </c>
      <c r="B211" s="434" t="str">
        <f>VLOOKUP(A211,'Feature Raw Data'!$A$3:$B$3922,2,FALSE)</f>
        <v>Improve Thread Trace ExecPopCount bandwidth</v>
      </c>
      <c r="C211" s="435" t="str">
        <f>VLOOKUP(A211,'Feature Raw Data'!$A$3:$C$3922,3,FALSE)</f>
        <v>P2</v>
      </c>
      <c r="D211" s="436" t="str" cm="1">
        <f t="array" ref="D211">_xlfn.TEXTJOIN("",TRUE,IF(ISNUMBER(SEARCH($A211,'Diags Raw Data'!$A$6:$A$3830)),CONCATENATE('Diags Raw Data'!$H$6:$H$3830,", "),""))</f>
        <v xml:space="preserve">shci2039.0-3, </v>
      </c>
      <c r="E211" s="339" t="str">
        <f>VLOOKUP(A211,'Diags Raw Data'!$A$6:$D$3830,4,FALSE)</f>
        <v>SH</v>
      </c>
      <c r="F211" s="339" t="str">
        <f>VLOOKUP(A211,'Feature Raw Data'!$A$3:$E$3922,5,FALSE)</f>
        <v>New</v>
      </c>
      <c r="G211" s="339" t="str">
        <f t="shared" si="23"/>
        <v>Yes</v>
      </c>
      <c r="H211" s="339" t="str">
        <f t="shared" si="28"/>
        <v>Yes</v>
      </c>
      <c r="I211" s="435">
        <f>SUMIF('Diags Raw Data'!$A$6:$A$3830,"*"&amp;$A211&amp;"*",'Diags Raw Data'!$K$6:$K$3830)</f>
        <v>0</v>
      </c>
      <c r="J211" s="437">
        <f>SUMIF('Diags Raw Data'!$A$6:$A$3830,"*"&amp;$A211&amp;"*",'Diags Raw Data'!$L$6:$L$3830)</f>
        <v>0</v>
      </c>
      <c r="K211" s="484" t="e" cm="1">
        <f t="array" ref="K211">IF(D211="",0, SUMPRODUCT(--(ISNUMBER(SEARCH($A211,'Diags Raw Data'!$A$6:$A$3830))),'Diags Raw Data'!$L$6:$L$3830,'Diags Raw Data'!$N$6:$N$3830)/J211)</f>
        <v>#DIV/0!</v>
      </c>
      <c r="L211" s="485" t="e" cm="1">
        <f t="array" ref="L211">IF(D211="",0, SUMPRODUCT(--(ISNUMBER(SEARCH($A211,'Diags Raw Data'!$A$6:$A$3830))),'Diags Raw Data'!$L$6:$L$3830,'Diags Raw Data'!$P$6:$P$3830)/J211)</f>
        <v>#DIV/0!</v>
      </c>
      <c r="M211" s="486" cm="1">
        <f t="array" ref="M211">SUMPRODUCT(--(ISNUMBER(SEARCH($A211,'Diags Raw Data'!$A$6:$A$3830))),--('Diags Raw Data'!$Q$6:$Q$3830&lt;&gt;"N/A"),'Diags Raw Data'!$R$6:$R$3830)</f>
        <v>4</v>
      </c>
      <c r="N211" s="487" cm="1">
        <f t="array" ref="N211">SUMPRODUCT(--(ISNUMBER(SEARCH($A211,'Diags Raw Data'!$A$6:$A$3830))),--('Diags Raw Data'!$Q$6:$Q$3830&lt;&gt;"N/A"),'Diags Raw Data'!$T$6:$T$3830)+SUMPRODUCT(--(ISNUMBER(SEARCH($A211,'Diags Raw Data'!$A$6:$A$3830))),--('Diags Raw Data'!$Q$6:$Q$3830&lt;&gt;"N/A"),'Diags Raw Data'!$U$6:$U$3830)</f>
        <v>4</v>
      </c>
      <c r="O211" s="488">
        <f t="shared" si="37"/>
        <v>1</v>
      </c>
      <c r="P211" s="489">
        <f>SUMIF('Diags Raw Data'!$A$6:$A$3830,"*"&amp;$A211&amp;"*",'Diags Raw Data'!$Z$6:$Z$3830)</f>
        <v>0</v>
      </c>
      <c r="Q211" s="490">
        <f>SUM(SUMIF('Diags Raw Data'!$A$6:$A$3830,"*"&amp;$A211&amp;"*",'Diags Raw Data'!$AA$6:$AA$3830),SUMIF('Diags Raw Data'!$A$6:$A$3830,"*"&amp;$A211&amp;"*",'Diags Raw Data'!$AB$6:$AB$3830))</f>
        <v>0</v>
      </c>
      <c r="R211" s="491">
        <f t="shared" si="38"/>
        <v>0</v>
      </c>
      <c r="S211" s="491">
        <f t="shared" si="39"/>
        <v>0</v>
      </c>
      <c r="T211" s="492">
        <f t="shared" si="40"/>
        <v>0</v>
      </c>
      <c r="U211" s="432" t="str">
        <f>VLOOKUP(A211,'Diags Raw Data'!$A$6:$AH$3830,33,FALSE)</f>
        <v>WK8</v>
      </c>
      <c r="V211" s="181"/>
    </row>
    <row r="212" spans="1:22" ht="30.75" thickBot="1" x14ac:dyDescent="0.3">
      <c r="A212" s="546">
        <v>12.446</v>
      </c>
      <c r="B212" s="434" t="str">
        <f>VLOOKUP(A212,'Feature Raw Data'!$A$3:$B$3922,2,FALSE)</f>
        <v>Load_reserved/store_conditional support in SE$</v>
      </c>
      <c r="C212" s="435" t="str">
        <f>VLOOKUP(A212,'Feature Raw Data'!$A$3:$C$3922,3,FALSE)</f>
        <v>P2</v>
      </c>
      <c r="D212" s="436" t="str" cm="1">
        <f t="array" ref="D212">_xlfn.TEXTJOIN("",TRUE,IF(ISNUMBER(SEARCH($A212,'Diags Raw Data'!$A$6:$A$3830)),CONCATENATE('Diags Raw Data'!$H$6:$H$3830,", "),""))</f>
        <v xml:space="preserve">N/A, </v>
      </c>
      <c r="E212" s="339" t="str">
        <f>VLOOKUP(A212,'Diags Raw Data'!$A$6:$D$3830,4,FALSE)</f>
        <v>CMM</v>
      </c>
      <c r="F212" s="339" t="str">
        <f>VLOOKUP(A212,'Feature Raw Data'!$A$3:$E$3922,5,FALSE)</f>
        <v>New</v>
      </c>
      <c r="G212" s="339" t="str">
        <f t="shared" si="23"/>
        <v>No</v>
      </c>
      <c r="H212" s="339" t="str">
        <f t="shared" si="28"/>
        <v>No</v>
      </c>
      <c r="I212" s="435">
        <f>SUMIF('Diags Raw Data'!$A$6:$A$3830,"*"&amp;$A212&amp;"*",'Diags Raw Data'!$K$6:$K$3830)</f>
        <v>0</v>
      </c>
      <c r="J212" s="437">
        <f>SUMIF('Diags Raw Data'!$A$6:$A$3830,"*"&amp;$A212&amp;"*",'Diags Raw Data'!$L$6:$L$3830)</f>
        <v>0</v>
      </c>
      <c r="K212" s="484" t="e" cm="1">
        <f t="array" ref="K212">IF(D212="",0, SUMPRODUCT(--(ISNUMBER(SEARCH($A212,'Diags Raw Data'!$A$6:$A$3830))),'Diags Raw Data'!$L$6:$L$3830,'Diags Raw Data'!$N$6:$N$3830)/J212)</f>
        <v>#DIV/0!</v>
      </c>
      <c r="L212" s="485" t="e" cm="1">
        <f t="array" ref="L212">IF(D212="",0, SUMPRODUCT(--(ISNUMBER(SEARCH($A212,'Diags Raw Data'!$A$6:$A$3830))),'Diags Raw Data'!$L$6:$L$3830,'Diags Raw Data'!$P$6:$P$3830)/J212)</f>
        <v>#DIV/0!</v>
      </c>
      <c r="M212" s="486" cm="1">
        <f t="array" ref="M212">SUMPRODUCT(--(ISNUMBER(SEARCH($A212,'Diags Raw Data'!$A$6:$A$3830))),--('Diags Raw Data'!$Q$6:$Q$3830&lt;&gt;"N/A"),'Diags Raw Data'!$R$6:$R$3830)</f>
        <v>0</v>
      </c>
      <c r="N212" s="487" cm="1">
        <f t="array" ref="N212">SUMPRODUCT(--(ISNUMBER(SEARCH($A212,'Diags Raw Data'!$A$6:$A$3830))),--('Diags Raw Data'!$Q$6:$Q$3830&lt;&gt;"N/A"),'Diags Raw Data'!$T$6:$T$3830)+SUMPRODUCT(--(ISNUMBER(SEARCH($A212,'Diags Raw Data'!$A$6:$A$3830))),--('Diags Raw Data'!$Q$6:$Q$3830&lt;&gt;"N/A"),'Diags Raw Data'!$U$6:$U$3830)</f>
        <v>0</v>
      </c>
      <c r="O212" s="488">
        <f t="shared" si="37"/>
        <v>0</v>
      </c>
      <c r="P212" s="489">
        <f>SUMIF('Diags Raw Data'!$A$6:$A$3830,"*"&amp;$A212&amp;"*",'Diags Raw Data'!$Z$6:$Z$3830)</f>
        <v>0</v>
      </c>
      <c r="Q212" s="490">
        <f>SUM(SUMIF('Diags Raw Data'!$A$6:$A$3830,"*"&amp;$A212&amp;"*",'Diags Raw Data'!$AA$6:$AA$3830),SUMIF('Diags Raw Data'!$A$6:$A$3830,"*"&amp;$A212&amp;"*",'Diags Raw Data'!$AB$6:$AB$3830))</f>
        <v>0</v>
      </c>
      <c r="R212" s="491">
        <f t="shared" si="38"/>
        <v>0</v>
      </c>
      <c r="S212" s="491">
        <f t="shared" si="39"/>
        <v>0</v>
      </c>
      <c r="T212" s="492">
        <f t="shared" si="40"/>
        <v>0</v>
      </c>
      <c r="U212" s="432" t="str">
        <f>VLOOKUP(A212,'Diags Raw Data'!$A$6:$AH$3830,33,FALSE)</f>
        <v>N/A</v>
      </c>
      <c r="V212" s="181"/>
    </row>
    <row r="213" spans="1:22" ht="30.75" thickBot="1" x14ac:dyDescent="0.3">
      <c r="A213" s="546">
        <v>12.446999999999999</v>
      </c>
      <c r="B213" s="434" t="str">
        <f>VLOOKUP(A213,'Feature Raw Data'!$A$3:$B$3922,2,FALSE)</f>
        <v>Load_reserved/store_conditional support in DF</v>
      </c>
      <c r="C213" s="435" t="str">
        <f>VLOOKUP(A213,'Feature Raw Data'!$A$3:$C$3922,3,FALSE)</f>
        <v>P2</v>
      </c>
      <c r="D213" s="436" t="str" cm="1">
        <f t="array" ref="D213">_xlfn.TEXTJOIN("",TRUE,IF(ISNUMBER(SEARCH($A213,'Diags Raw Data'!$A$6:$A$3830)),CONCATENATE('Diags Raw Data'!$H$6:$H$3830,", "),""))</f>
        <v xml:space="preserve">N/A, </v>
      </c>
      <c r="E213" s="339" t="str">
        <f>VLOOKUP(A213,'Diags Raw Data'!$A$6:$D$3830,4,FALSE)</f>
        <v>CMM</v>
      </c>
      <c r="F213" s="339" t="str">
        <f>VLOOKUP(A213,'Feature Raw Data'!$A$3:$E$3922,5,FALSE)</f>
        <v>New</v>
      </c>
      <c r="G213" s="339" t="str">
        <f t="shared" si="23"/>
        <v>No</v>
      </c>
      <c r="H213" s="339" t="str">
        <f t="shared" si="28"/>
        <v>No</v>
      </c>
      <c r="I213" s="435">
        <f>SUMIF('Diags Raw Data'!$A$6:$A$3830,"*"&amp;$A213&amp;"*",'Diags Raw Data'!$K$6:$K$3830)</f>
        <v>0</v>
      </c>
      <c r="J213" s="437">
        <f>SUMIF('Diags Raw Data'!$A$6:$A$3830,"*"&amp;$A213&amp;"*",'Diags Raw Data'!$L$6:$L$3830)</f>
        <v>0</v>
      </c>
      <c r="K213" s="484" t="e" cm="1">
        <f t="array" ref="K213">IF(D213="",0, SUMPRODUCT(--(ISNUMBER(SEARCH($A213,'Diags Raw Data'!$A$6:$A$3830))),'Diags Raw Data'!$L$6:$L$3830,'Diags Raw Data'!$N$6:$N$3830)/J213)</f>
        <v>#DIV/0!</v>
      </c>
      <c r="L213" s="485" t="e" cm="1">
        <f t="array" ref="L213">IF(D213="",0, SUMPRODUCT(--(ISNUMBER(SEARCH($A213,'Diags Raw Data'!$A$6:$A$3830))),'Diags Raw Data'!$L$6:$L$3830,'Diags Raw Data'!$P$6:$P$3830)/J213)</f>
        <v>#DIV/0!</v>
      </c>
      <c r="M213" s="486" cm="1">
        <f t="array" ref="M213">SUMPRODUCT(--(ISNUMBER(SEARCH($A213,'Diags Raw Data'!$A$6:$A$3830))),--('Diags Raw Data'!$Q$6:$Q$3830&lt;&gt;"N/A"),'Diags Raw Data'!$R$6:$R$3830)</f>
        <v>0</v>
      </c>
      <c r="N213" s="487" cm="1">
        <f t="array" ref="N213">SUMPRODUCT(--(ISNUMBER(SEARCH($A213,'Diags Raw Data'!$A$6:$A$3830))),--('Diags Raw Data'!$Q$6:$Q$3830&lt;&gt;"N/A"),'Diags Raw Data'!$T$6:$T$3830)+SUMPRODUCT(--(ISNUMBER(SEARCH($A213,'Diags Raw Data'!$A$6:$A$3830))),--('Diags Raw Data'!$Q$6:$Q$3830&lt;&gt;"N/A"),'Diags Raw Data'!$U$6:$U$3830)</f>
        <v>0</v>
      </c>
      <c r="O213" s="488">
        <f t="shared" si="37"/>
        <v>0</v>
      </c>
      <c r="P213" s="489">
        <f>SUMIF('Diags Raw Data'!$A$6:$A$3830,"*"&amp;$A213&amp;"*",'Diags Raw Data'!$Z$6:$Z$3830)</f>
        <v>0</v>
      </c>
      <c r="Q213" s="490">
        <f>SUM(SUMIF('Diags Raw Data'!$A$6:$A$3830,"*"&amp;$A213&amp;"*",'Diags Raw Data'!$AA$6:$AA$3830),SUMIF('Diags Raw Data'!$A$6:$A$3830,"*"&amp;$A213&amp;"*",'Diags Raw Data'!$AB$6:$AB$3830))</f>
        <v>0</v>
      </c>
      <c r="R213" s="491">
        <f t="shared" si="38"/>
        <v>0</v>
      </c>
      <c r="S213" s="491">
        <f t="shared" si="39"/>
        <v>0</v>
      </c>
      <c r="T213" s="492">
        <f t="shared" si="40"/>
        <v>0</v>
      </c>
      <c r="U213" s="432" t="str">
        <f>VLOOKUP(A213,'Diags Raw Data'!$A$6:$AH$3830,33,FALSE)</f>
        <v>N/A</v>
      </c>
      <c r="V213" s="181"/>
    </row>
    <row r="214" spans="1:22" ht="45.75" thickBot="1" x14ac:dyDescent="0.3">
      <c r="A214" s="546">
        <v>12.448</v>
      </c>
      <c r="B214" s="434" t="str">
        <f>VLOOKUP(A214,'Feature Raw Data'!$A$3:$B$3922,2,FALSE)</f>
        <v>Change flags encoded in barycentrics to simplify detection of procedural nodes</v>
      </c>
      <c r="C214" s="435" t="str">
        <f>VLOOKUP(A214,'Feature Raw Data'!$A$3:$C$3922,3,FALSE)</f>
        <v>P2</v>
      </c>
      <c r="D214" s="436" t="str" cm="1">
        <f t="array" ref="D214">_xlfn.TEXTJOIN("",TRUE,IF(ISNUMBER(SEARCH($A214,'Diags Raw Data'!$A$6:$A$3830)),CONCATENATE('Diags Raw Data'!$H$6:$H$3830,", "),""))</f>
        <v xml:space="preserve">rt33.0, </v>
      </c>
      <c r="E214" s="339" t="str">
        <f>VLOOKUP(A214,'Diags Raw Data'!$A$6:$D$3830,4,FALSE)</f>
        <v>TEX</v>
      </c>
      <c r="F214" s="339" t="str">
        <f>VLOOKUP(A214,'Feature Raw Data'!$A$3:$E$3922,5,FALSE)</f>
        <v>New</v>
      </c>
      <c r="G214" s="339" t="str">
        <f t="shared" si="23"/>
        <v>Yes</v>
      </c>
      <c r="H214" s="339" t="str">
        <f t="shared" si="28"/>
        <v>Yes</v>
      </c>
      <c r="I214" s="435">
        <f>SUMIF('Diags Raw Data'!$A$6:$A$3830,"*"&amp;$A214&amp;"*",'Diags Raw Data'!$K$6:$K$3830)</f>
        <v>0</v>
      </c>
      <c r="J214" s="437">
        <f>SUMIF('Diags Raw Data'!$A$6:$A$3830,"*"&amp;$A214&amp;"*",'Diags Raw Data'!$L$6:$L$3830)</f>
        <v>0</v>
      </c>
      <c r="K214" s="484" t="e" cm="1">
        <f t="array" ref="K214">IF(D214="",0, SUMPRODUCT(--(ISNUMBER(SEARCH($A214,'Diags Raw Data'!$A$6:$A$3830))),'Diags Raw Data'!$L$6:$L$3830,'Diags Raw Data'!$N$6:$N$3830)/J214)</f>
        <v>#DIV/0!</v>
      </c>
      <c r="L214" s="485" t="e" cm="1">
        <f t="array" ref="L214">IF(D214="",0, SUMPRODUCT(--(ISNUMBER(SEARCH($A214,'Diags Raw Data'!$A$6:$A$3830))),'Diags Raw Data'!$L$6:$L$3830,'Diags Raw Data'!$P$6:$P$3830)/J214)</f>
        <v>#DIV/0!</v>
      </c>
      <c r="M214" s="486" cm="1">
        <f t="array" ref="M214">SUMPRODUCT(--(ISNUMBER(SEARCH($A214,'Diags Raw Data'!$A$6:$A$3830))),--('Diags Raw Data'!$Q$6:$Q$3830&lt;&gt;"N/A"),'Diags Raw Data'!$R$6:$R$3830)</f>
        <v>1</v>
      </c>
      <c r="N214" s="487" cm="1">
        <f t="array" ref="N214">SUMPRODUCT(--(ISNUMBER(SEARCH($A214,'Diags Raw Data'!$A$6:$A$3830))),--('Diags Raw Data'!$Q$6:$Q$3830&lt;&gt;"N/A"),'Diags Raw Data'!$T$6:$T$3830)+SUMPRODUCT(--(ISNUMBER(SEARCH($A214,'Diags Raw Data'!$A$6:$A$3830))),--('Diags Raw Data'!$Q$6:$Q$3830&lt;&gt;"N/A"),'Diags Raw Data'!$U$6:$U$3830)</f>
        <v>1</v>
      </c>
      <c r="O214" s="488">
        <f t="shared" si="37"/>
        <v>1</v>
      </c>
      <c r="P214" s="489">
        <f>SUMIF('Diags Raw Data'!$A$6:$A$3830,"*"&amp;$A214&amp;"*",'Diags Raw Data'!$Z$6:$Z$3830)</f>
        <v>0</v>
      </c>
      <c r="Q214" s="490">
        <f>SUM(SUMIF('Diags Raw Data'!$A$6:$A$3830,"*"&amp;$A214&amp;"*",'Diags Raw Data'!$AA$6:$AA$3830),SUMIF('Diags Raw Data'!$A$6:$A$3830,"*"&amp;$A214&amp;"*",'Diags Raw Data'!$AB$6:$AB$3830))</f>
        <v>0</v>
      </c>
      <c r="R214" s="491">
        <f t="shared" si="38"/>
        <v>0</v>
      </c>
      <c r="S214" s="491">
        <f t="shared" si="39"/>
        <v>0</v>
      </c>
      <c r="T214" s="492">
        <f t="shared" si="40"/>
        <v>0</v>
      </c>
      <c r="U214" s="432" t="str">
        <f>VLOOKUP(A214,'Diags Raw Data'!$A$6:$AH$3830,33,FALSE)</f>
        <v>WK8</v>
      </c>
      <c r="V214" s="181"/>
    </row>
    <row r="215" spans="1:22" ht="30.75" thickBot="1" x14ac:dyDescent="0.3">
      <c r="A215" s="546">
        <v>12.449</v>
      </c>
      <c r="B215" s="434" t="str">
        <f>VLOOKUP(A215,'Feature Raw Data'!$A$3:$B$3922,2,FALSE)</f>
        <v>Remove culling with skip_triangles in TA</v>
      </c>
      <c r="C215" s="435" t="str">
        <f>VLOOKUP(A215,'Feature Raw Data'!$A$3:$C$3922,3,FALSE)</f>
        <v>P1</v>
      </c>
      <c r="D215" s="436" t="str" cm="1">
        <f t="array" ref="D215">_xlfn.TEXTJOIN("",TRUE,IF(ISNUMBER(SEARCH($A215,'Diags Raw Data'!$A$6:$A$3830)),CONCATENATE('Diags Raw Data'!$H$6:$H$3830,", "),""))</f>
        <v xml:space="preserve">rt33.1-2, </v>
      </c>
      <c r="E215" s="339" t="str">
        <f>VLOOKUP(A215,'Diags Raw Data'!$A$6:$D$3830,4,FALSE)</f>
        <v>TEX</v>
      </c>
      <c r="F215" s="339" t="str">
        <f>VLOOKUP(A215,'Feature Raw Data'!$A$3:$E$3922,5,FALSE)</f>
        <v>New</v>
      </c>
      <c r="G215" s="339" t="str">
        <f t="shared" si="23"/>
        <v>Yes</v>
      </c>
      <c r="H215" s="339" t="str">
        <f t="shared" si="28"/>
        <v>Yes</v>
      </c>
      <c r="I215" s="435">
        <f>SUMIF('Diags Raw Data'!$A$6:$A$3830,"*"&amp;$A215&amp;"*",'Diags Raw Data'!$K$6:$K$3830)</f>
        <v>0</v>
      </c>
      <c r="J215" s="437">
        <f>SUMIF('Diags Raw Data'!$A$6:$A$3830,"*"&amp;$A215&amp;"*",'Diags Raw Data'!$L$6:$L$3830)</f>
        <v>0</v>
      </c>
      <c r="K215" s="484" t="e" cm="1">
        <f t="array" ref="K215">IF(D215="",0, SUMPRODUCT(--(ISNUMBER(SEARCH($A215,'Diags Raw Data'!$A$6:$A$3830))),'Diags Raw Data'!$L$6:$L$3830,'Diags Raw Data'!$N$6:$N$3830)/J215)</f>
        <v>#DIV/0!</v>
      </c>
      <c r="L215" s="485" t="e" cm="1">
        <f t="array" ref="L215">IF(D215="",0, SUMPRODUCT(--(ISNUMBER(SEARCH($A215,'Diags Raw Data'!$A$6:$A$3830))),'Diags Raw Data'!$L$6:$L$3830,'Diags Raw Data'!$P$6:$P$3830)/J215)</f>
        <v>#DIV/0!</v>
      </c>
      <c r="M215" s="486" cm="1">
        <f t="array" ref="M215">SUMPRODUCT(--(ISNUMBER(SEARCH($A215,'Diags Raw Data'!$A$6:$A$3830))),--('Diags Raw Data'!$Q$6:$Q$3830&lt;&gt;"N/A"),'Diags Raw Data'!$R$6:$R$3830)</f>
        <v>2</v>
      </c>
      <c r="N215" s="487" cm="1">
        <f t="array" ref="N215">SUMPRODUCT(--(ISNUMBER(SEARCH($A215,'Diags Raw Data'!$A$6:$A$3830))),--('Diags Raw Data'!$Q$6:$Q$3830&lt;&gt;"N/A"),'Diags Raw Data'!$T$6:$T$3830)+SUMPRODUCT(--(ISNUMBER(SEARCH($A215,'Diags Raw Data'!$A$6:$A$3830))),--('Diags Raw Data'!$Q$6:$Q$3830&lt;&gt;"N/A"),'Diags Raw Data'!$U$6:$U$3830)</f>
        <v>2</v>
      </c>
      <c r="O215" s="488">
        <f t="shared" si="37"/>
        <v>1</v>
      </c>
      <c r="P215" s="489">
        <f>SUMIF('Diags Raw Data'!$A$6:$A$3830,"*"&amp;$A215&amp;"*",'Diags Raw Data'!$Z$6:$Z$3830)</f>
        <v>0</v>
      </c>
      <c r="Q215" s="490">
        <f>SUM(SUMIF('Diags Raw Data'!$A$6:$A$3830,"*"&amp;$A215&amp;"*",'Diags Raw Data'!$AA$6:$AA$3830),SUMIF('Diags Raw Data'!$A$6:$A$3830,"*"&amp;$A215&amp;"*",'Diags Raw Data'!$AB$6:$AB$3830))</f>
        <v>0</v>
      </c>
      <c r="R215" s="491">
        <f t="shared" si="38"/>
        <v>0</v>
      </c>
      <c r="S215" s="491">
        <f t="shared" si="39"/>
        <v>0</v>
      </c>
      <c r="T215" s="492">
        <f t="shared" si="40"/>
        <v>0</v>
      </c>
      <c r="U215" s="432" t="str">
        <f>VLOOKUP(A215,'Diags Raw Data'!$A$6:$AH$3830,33,FALSE)</f>
        <v>WK6</v>
      </c>
      <c r="V215" s="181"/>
    </row>
    <row r="216" spans="1:22" ht="60.75" thickBot="1" x14ac:dyDescent="0.3">
      <c r="A216" s="546">
        <v>12.45</v>
      </c>
      <c r="B216" s="434" t="str">
        <f>VLOOKUP(A216,'Feature Raw Data'!$A$3:$B$3922,2,FALSE)</f>
        <v>Add AtomicAdd packed math for F16</v>
      </c>
      <c r="C216" s="435" t="str">
        <f>VLOOKUP(A216,'Feature Raw Data'!$A$3:$C$3922,3,FALSE)</f>
        <v>P2</v>
      </c>
      <c r="D216" s="436" t="str" cm="1">
        <f t="array" ref="D216">_xlfn.TEXTJOIN("",TRUE,IF(ISNUMBER(SEARCH($A216,'Diags Raw Data'!$A$6:$A$3830)),CONCATENATE('Diags Raw Data'!$H$6:$H$3830,", "),""))</f>
        <v xml:space="preserve">gci1307.4-7, placeholder_k.1-2, spi453, glxi61.1-2, gfx.linpack_gfx_compute, N/A, N/A, N/A, N/A, </v>
      </c>
      <c r="E216" s="339" t="str">
        <f>VLOOKUP(A216,'Diags Raw Data'!$A$6:$D$3830,4,FALSE)</f>
        <v>SH</v>
      </c>
      <c r="F216" s="339" t="str">
        <f>VLOOKUP(A216,'Feature Raw Data'!$A$3:$E$3922,5,FALSE)</f>
        <v>New</v>
      </c>
      <c r="G216" s="339" t="str">
        <f t="shared" si="23"/>
        <v>Yes</v>
      </c>
      <c r="H216" s="339" t="str">
        <f t="shared" si="28"/>
        <v>Yes</v>
      </c>
      <c r="I216" s="435">
        <f>SUMIF('Diags Raw Data'!$A$6:$A$3830,"*"&amp;$A216&amp;"*",'Diags Raw Data'!$K$6:$K$3830)</f>
        <v>0</v>
      </c>
      <c r="J216" s="437">
        <f>SUMIF('Diags Raw Data'!$A$6:$A$3830,"*"&amp;$A216&amp;"*",'Diags Raw Data'!$L$6:$L$3830)</f>
        <v>0</v>
      </c>
      <c r="K216" s="484" t="e" cm="1">
        <f t="array" ref="K216">IF(D216="",0, SUMPRODUCT(--(ISNUMBER(SEARCH($A216,'Diags Raw Data'!$A$6:$A$3830))),'Diags Raw Data'!$L$6:$L$3830,'Diags Raw Data'!$N$6:$N$3830)/J216)</f>
        <v>#DIV/0!</v>
      </c>
      <c r="L216" s="485" t="e" cm="1">
        <f t="array" ref="L216">IF(D216="",0, SUMPRODUCT(--(ISNUMBER(SEARCH($A216,'Diags Raw Data'!$A$6:$A$3830))),'Diags Raw Data'!$L$6:$L$3830,'Diags Raw Data'!$P$6:$P$3830)/J216)</f>
        <v>#DIV/0!</v>
      </c>
      <c r="M216" s="486" cm="1">
        <f t="array" ref="M216">SUMPRODUCT(--(ISNUMBER(SEARCH($A216,'Diags Raw Data'!$A$6:$A$3830))),--('Diags Raw Data'!$Q$6:$Q$3830&lt;&gt;"N/A"),'Diags Raw Data'!$R$6:$R$3830)</f>
        <v>10</v>
      </c>
      <c r="N216" s="487" cm="1">
        <f t="array" ref="N216">SUMPRODUCT(--(ISNUMBER(SEARCH($A216,'Diags Raw Data'!$A$6:$A$3830))),--('Diags Raw Data'!$Q$6:$Q$3830&lt;&gt;"N/A"),'Diags Raw Data'!$T$6:$T$3830)+SUMPRODUCT(--(ISNUMBER(SEARCH($A216,'Diags Raw Data'!$A$6:$A$3830))),--('Diags Raw Data'!$Q$6:$Q$3830&lt;&gt;"N/A"),'Diags Raw Data'!$U$6:$U$3830)</f>
        <v>9</v>
      </c>
      <c r="O216" s="488">
        <f t="shared" si="37"/>
        <v>0.9</v>
      </c>
      <c r="P216" s="489">
        <f>SUMIF('Diags Raw Data'!$A$6:$A$3830,"*"&amp;$A216&amp;"*",'Diags Raw Data'!$Z$6:$Z$3830)</f>
        <v>0</v>
      </c>
      <c r="Q216" s="490">
        <f>SUM(SUMIF('Diags Raw Data'!$A$6:$A$3830,"*"&amp;$A216&amp;"*",'Diags Raw Data'!$AA$6:$AA$3830),SUMIF('Diags Raw Data'!$A$6:$A$3830,"*"&amp;$A216&amp;"*",'Diags Raw Data'!$AB$6:$AB$3830))</f>
        <v>0</v>
      </c>
      <c r="R216" s="491">
        <f t="shared" si="38"/>
        <v>0</v>
      </c>
      <c r="S216" s="491">
        <f t="shared" si="39"/>
        <v>0</v>
      </c>
      <c r="T216" s="492">
        <f t="shared" si="40"/>
        <v>0</v>
      </c>
      <c r="U216" s="432" t="str">
        <f>VLOOKUP(A216,'Diags Raw Data'!$A$6:$AH$3830,33,FALSE)</f>
        <v>WK7</v>
      </c>
      <c r="V216" s="181"/>
    </row>
    <row r="217" spans="1:22" ht="30.75" thickBot="1" x14ac:dyDescent="0.3">
      <c r="A217" s="546">
        <v>12.451000000000001</v>
      </c>
      <c r="B217" s="434" t="str">
        <f>VLOOKUP(A217,'Feature Raw Data'!$A$3:$B$3922,2,FALSE)</f>
        <v>Extend compression control support in Texture</v>
      </c>
      <c r="C217" s="435" t="str">
        <f>VLOOKUP(A217,'Feature Raw Data'!$A$3:$C$3922,3,FALSE)</f>
        <v>P1</v>
      </c>
      <c r="D217" s="436" t="str" cm="1">
        <f t="array" ref="D217">_xlfn.TEXTJOIN("",TRUE,IF(ISNUMBER(SEARCH($A217,'Diags Raw Data'!$A$6:$A$3830)),CONCATENATE('Diags Raw Data'!$H$6:$H$3830,", "),""))</f>
        <v xml:space="preserve">placeholder_k.1-2, </v>
      </c>
      <c r="E217" s="339" t="str">
        <f>VLOOKUP(A217,'Diags Raw Data'!$A$6:$D$3830,4,FALSE)</f>
        <v>TEX</v>
      </c>
      <c r="F217" s="339" t="str">
        <f>VLOOKUP(A217,'Feature Raw Data'!$A$3:$E$3922,5,FALSE)</f>
        <v>New</v>
      </c>
      <c r="G217" s="339" t="str">
        <f t="shared" si="23"/>
        <v>Yes</v>
      </c>
      <c r="H217" s="339" t="str">
        <f t="shared" si="28"/>
        <v>Yes</v>
      </c>
      <c r="I217" s="435">
        <f>SUMIF('Diags Raw Data'!$A$6:$A$3830,"*"&amp;$A217&amp;"*",'Diags Raw Data'!$K$6:$K$3830)</f>
        <v>0</v>
      </c>
      <c r="J217" s="437">
        <f>SUMIF('Diags Raw Data'!$A$6:$A$3830,"*"&amp;$A217&amp;"*",'Diags Raw Data'!$L$6:$L$3830)</f>
        <v>0</v>
      </c>
      <c r="K217" s="484" t="e" cm="1">
        <f t="array" ref="K217">IF(D217="",0, SUMPRODUCT(--(ISNUMBER(SEARCH($A217,'Diags Raw Data'!$A$6:$A$3830))),'Diags Raw Data'!$L$6:$L$3830,'Diags Raw Data'!$N$6:$N$3830)/J217)</f>
        <v>#DIV/0!</v>
      </c>
      <c r="L217" s="485" t="e" cm="1">
        <f t="array" ref="L217">IF(D217="",0, SUMPRODUCT(--(ISNUMBER(SEARCH($A217,'Diags Raw Data'!$A$6:$A$3830))),'Diags Raw Data'!$L$6:$L$3830,'Diags Raw Data'!$P$6:$P$3830)/J217)</f>
        <v>#DIV/0!</v>
      </c>
      <c r="M217" s="486" cm="1">
        <f t="array" ref="M217">SUMPRODUCT(--(ISNUMBER(SEARCH($A217,'Diags Raw Data'!$A$6:$A$3830))),--('Diags Raw Data'!$Q$6:$Q$3830&lt;&gt;"N/A"),'Diags Raw Data'!$R$6:$R$3830)</f>
        <v>2</v>
      </c>
      <c r="N217" s="487" cm="1">
        <f t="array" ref="N217">SUMPRODUCT(--(ISNUMBER(SEARCH($A217,'Diags Raw Data'!$A$6:$A$3830))),--('Diags Raw Data'!$Q$6:$Q$3830&lt;&gt;"N/A"),'Diags Raw Data'!$T$6:$T$3830)+SUMPRODUCT(--(ISNUMBER(SEARCH($A217,'Diags Raw Data'!$A$6:$A$3830))),--('Diags Raw Data'!$Q$6:$Q$3830&lt;&gt;"N/A"),'Diags Raw Data'!$U$6:$U$3830)</f>
        <v>2</v>
      </c>
      <c r="O217" s="488">
        <f t="shared" si="37"/>
        <v>1</v>
      </c>
      <c r="P217" s="489">
        <f>SUMIF('Diags Raw Data'!$A$6:$A$3830,"*"&amp;$A217&amp;"*",'Diags Raw Data'!$Z$6:$Z$3830)</f>
        <v>0</v>
      </c>
      <c r="Q217" s="490">
        <f>SUM(SUMIF('Diags Raw Data'!$A$6:$A$3830,"*"&amp;$A217&amp;"*",'Diags Raw Data'!$AA$6:$AA$3830),SUMIF('Diags Raw Data'!$A$6:$A$3830,"*"&amp;$A217&amp;"*",'Diags Raw Data'!$AB$6:$AB$3830))</f>
        <v>0</v>
      </c>
      <c r="R217" s="491">
        <f t="shared" si="38"/>
        <v>0</v>
      </c>
      <c r="S217" s="491">
        <f t="shared" si="39"/>
        <v>0</v>
      </c>
      <c r="T217" s="492">
        <f t="shared" si="40"/>
        <v>0</v>
      </c>
      <c r="U217" s="432" t="str">
        <f>VLOOKUP(A217,'Diags Raw Data'!$A$6:$AH$3830,33,FALSE)</f>
        <v>WK6</v>
      </c>
      <c r="V217" s="181"/>
    </row>
    <row r="218" spans="1:22" ht="15.75" thickBot="1" x14ac:dyDescent="0.3">
      <c r="A218" s="546">
        <v>12.452</v>
      </c>
      <c r="B218" s="434" t="str">
        <f>VLOOKUP(A218,'Feature Raw Data'!$A$3:$B$3922,2,FALSE)</f>
        <v>Breaking SE reuse in Navi48</v>
      </c>
      <c r="C218" s="435" t="str">
        <f>VLOOKUP(A218,'Feature Raw Data'!$A$3:$C$3922,3,FALSE)</f>
        <v>P2</v>
      </c>
      <c r="D218" s="436" t="str" cm="1">
        <f t="array" ref="D218">_xlfn.TEXTJOIN("",TRUE,IF(ISNUMBER(SEARCH($A218,'Diags Raw Data'!$A$6:$A$3830)),CONCATENATE('Diags Raw Data'!$H$6:$H$3830,", "),""))</f>
        <v xml:space="preserve">N/A, </v>
      </c>
      <c r="E218" s="339" t="str">
        <f>VLOOKUP(A218,'Diags Raw Data'!$A$6:$D$3830,4,FALSE)</f>
        <v>CMM</v>
      </c>
      <c r="F218" s="339" t="str">
        <f>VLOOKUP(A218,'Feature Raw Data'!$A$3:$E$3922,5,FALSE)</f>
        <v>New</v>
      </c>
      <c r="G218" s="339" t="str">
        <f t="shared" si="23"/>
        <v>No</v>
      </c>
      <c r="H218" s="339" t="str">
        <f t="shared" si="28"/>
        <v>No</v>
      </c>
      <c r="I218" s="435">
        <f>SUMIF('Diags Raw Data'!$A$6:$A$3830,"*"&amp;$A218&amp;"*",'Diags Raw Data'!$K$6:$K$3830)</f>
        <v>0</v>
      </c>
      <c r="J218" s="437">
        <f>SUMIF('Diags Raw Data'!$A$6:$A$3830,"*"&amp;$A218&amp;"*",'Diags Raw Data'!$L$6:$L$3830)</f>
        <v>0</v>
      </c>
      <c r="K218" s="484" t="e" cm="1">
        <f t="array" ref="K218">IF(D218="",0, SUMPRODUCT(--(ISNUMBER(SEARCH($A218,'Diags Raw Data'!$A$6:$A$3830))),'Diags Raw Data'!$L$6:$L$3830,'Diags Raw Data'!$N$6:$N$3830)/J218)</f>
        <v>#DIV/0!</v>
      </c>
      <c r="L218" s="485" t="e" cm="1">
        <f t="array" ref="L218">IF(D218="",0, SUMPRODUCT(--(ISNUMBER(SEARCH($A218,'Diags Raw Data'!$A$6:$A$3830))),'Diags Raw Data'!$L$6:$L$3830,'Diags Raw Data'!$P$6:$P$3830)/J218)</f>
        <v>#DIV/0!</v>
      </c>
      <c r="M218" s="486" cm="1">
        <f t="array" ref="M218">SUMPRODUCT(--(ISNUMBER(SEARCH($A218,'Diags Raw Data'!$A$6:$A$3830))),--('Diags Raw Data'!$Q$6:$Q$3830&lt;&gt;"N/A"),'Diags Raw Data'!$R$6:$R$3830)</f>
        <v>0</v>
      </c>
      <c r="N218" s="487" cm="1">
        <f t="array" ref="N218">SUMPRODUCT(--(ISNUMBER(SEARCH($A218,'Diags Raw Data'!$A$6:$A$3830))),--('Diags Raw Data'!$Q$6:$Q$3830&lt;&gt;"N/A"),'Diags Raw Data'!$T$6:$T$3830)+SUMPRODUCT(--(ISNUMBER(SEARCH($A218,'Diags Raw Data'!$A$6:$A$3830))),--('Diags Raw Data'!$Q$6:$Q$3830&lt;&gt;"N/A"),'Diags Raw Data'!$U$6:$U$3830)</f>
        <v>0</v>
      </c>
      <c r="O218" s="488">
        <f t="shared" si="37"/>
        <v>0</v>
      </c>
      <c r="P218" s="489">
        <f>SUMIF('Diags Raw Data'!$A$6:$A$3830,"*"&amp;$A218&amp;"*",'Diags Raw Data'!$Z$6:$Z$3830)</f>
        <v>0</v>
      </c>
      <c r="Q218" s="490">
        <f>SUM(SUMIF('Diags Raw Data'!$A$6:$A$3830,"*"&amp;$A218&amp;"*",'Diags Raw Data'!$AA$6:$AA$3830),SUMIF('Diags Raw Data'!$A$6:$A$3830,"*"&amp;$A218&amp;"*",'Diags Raw Data'!$AB$6:$AB$3830))</f>
        <v>0</v>
      </c>
      <c r="R218" s="491">
        <f t="shared" si="38"/>
        <v>0</v>
      </c>
      <c r="S218" s="491">
        <f t="shared" si="39"/>
        <v>0</v>
      </c>
      <c r="T218" s="492">
        <f t="shared" si="40"/>
        <v>0</v>
      </c>
      <c r="U218" s="432" t="str">
        <f>VLOOKUP(A218,'Diags Raw Data'!$A$6:$AH$3830,33,FALSE)</f>
        <v>N/A</v>
      </c>
      <c r="V218" s="181"/>
    </row>
    <row r="219" spans="1:22" ht="45.75" thickBot="1" x14ac:dyDescent="0.3">
      <c r="A219" s="546">
        <v>12.452999999999999</v>
      </c>
      <c r="B219" s="434" t="str">
        <f>VLOOKUP(A219,'Feature Raw Data'!$A$3:$B$3922,2,FALSE)</f>
        <v>Add HS and GS Stages to event collection for PS_DONE and PS_PARTIAL_FLUSH</v>
      </c>
      <c r="C219" s="435" t="str">
        <f>VLOOKUP(A219,'Feature Raw Data'!$A$3:$C$3922,3,FALSE)</f>
        <v>P2</v>
      </c>
      <c r="D219" s="436" t="str" cm="1">
        <f t="array" ref="D219">_xlfn.TEXTJOIN("",TRUE,IF(ISNUMBER(SEARCH($A219,'Diags Raw Data'!$A$6:$A$3830)),CONCATENATE('Diags Raw Data'!$H$6:$H$3830,", "),""))</f>
        <v xml:space="preserve">spi453, </v>
      </c>
      <c r="E219" s="339" t="str">
        <f>VLOOKUP(A219,'Diags Raw Data'!$A$6:$D$3830,4,FALSE)</f>
        <v>SIO</v>
      </c>
      <c r="F219" s="339" t="str">
        <f>VLOOKUP(A219,'Feature Raw Data'!$A$3:$E$3922,5,FALSE)</f>
        <v>New</v>
      </c>
      <c r="G219" s="339" t="str">
        <f t="shared" si="23"/>
        <v>Yes</v>
      </c>
      <c r="H219" s="339" t="str">
        <f t="shared" si="28"/>
        <v>Yes</v>
      </c>
      <c r="I219" s="435">
        <f>SUMIF('Diags Raw Data'!$A$6:$A$3830,"*"&amp;$A219&amp;"*",'Diags Raw Data'!$K$6:$K$3830)</f>
        <v>0</v>
      </c>
      <c r="J219" s="437">
        <f>SUMIF('Diags Raw Data'!$A$6:$A$3830,"*"&amp;$A219&amp;"*",'Diags Raw Data'!$L$6:$L$3830)</f>
        <v>0</v>
      </c>
      <c r="K219" s="484" t="e" cm="1">
        <f t="array" ref="K219">IF(D219="",0, SUMPRODUCT(--(ISNUMBER(SEARCH($A219,'Diags Raw Data'!$A$6:$A$3830))),'Diags Raw Data'!$L$6:$L$3830,'Diags Raw Data'!$N$6:$N$3830)/J219)</f>
        <v>#DIV/0!</v>
      </c>
      <c r="L219" s="485" t="e" cm="1">
        <f t="array" ref="L219">IF(D219="",0, SUMPRODUCT(--(ISNUMBER(SEARCH($A219,'Diags Raw Data'!$A$6:$A$3830))),'Diags Raw Data'!$L$6:$L$3830,'Diags Raw Data'!$P$6:$P$3830)/J219)</f>
        <v>#DIV/0!</v>
      </c>
      <c r="M219" s="486" cm="1">
        <f t="array" ref="M219">SUMPRODUCT(--(ISNUMBER(SEARCH($A219,'Diags Raw Data'!$A$6:$A$3830))),--('Diags Raw Data'!$Q$6:$Q$3830&lt;&gt;"N/A"),'Diags Raw Data'!$R$6:$R$3830)</f>
        <v>1</v>
      </c>
      <c r="N219" s="487" cm="1">
        <f t="array" ref="N219">SUMPRODUCT(--(ISNUMBER(SEARCH($A219,'Diags Raw Data'!$A$6:$A$3830))),--('Diags Raw Data'!$Q$6:$Q$3830&lt;&gt;"N/A"),'Diags Raw Data'!$T$6:$T$3830)+SUMPRODUCT(--(ISNUMBER(SEARCH($A219,'Diags Raw Data'!$A$6:$A$3830))),--('Diags Raw Data'!$Q$6:$Q$3830&lt;&gt;"N/A"),'Diags Raw Data'!$U$6:$U$3830)</f>
        <v>1</v>
      </c>
      <c r="O219" s="488">
        <f t="shared" si="37"/>
        <v>1</v>
      </c>
      <c r="P219" s="489">
        <f>SUMIF('Diags Raw Data'!$A$6:$A$3830,"*"&amp;$A219&amp;"*",'Diags Raw Data'!$Z$6:$Z$3830)</f>
        <v>0</v>
      </c>
      <c r="Q219" s="490">
        <f>SUM(SUMIF('Diags Raw Data'!$A$6:$A$3830,"*"&amp;$A219&amp;"*",'Diags Raw Data'!$AA$6:$AA$3830),SUMIF('Diags Raw Data'!$A$6:$A$3830,"*"&amp;$A219&amp;"*",'Diags Raw Data'!$AB$6:$AB$3830))</f>
        <v>0</v>
      </c>
      <c r="R219" s="491">
        <f t="shared" si="38"/>
        <v>0</v>
      </c>
      <c r="S219" s="491">
        <f t="shared" si="39"/>
        <v>0</v>
      </c>
      <c r="T219" s="492">
        <f t="shared" si="40"/>
        <v>0</v>
      </c>
      <c r="U219" s="432" t="str">
        <f>VLOOKUP(A219,'Diags Raw Data'!$A$6:$AH$3830,33,FALSE)</f>
        <v>WK6</v>
      </c>
      <c r="V219" s="181"/>
    </row>
    <row r="220" spans="1:22" ht="75.75" thickBot="1" x14ac:dyDescent="0.3">
      <c r="A220" s="546">
        <v>12.454000000000001</v>
      </c>
      <c r="B220" s="434" t="str">
        <f>VLOOKUP(A220,'Feature Raw Data'!$A$3:$B$3922,2,FALSE)</f>
        <v>Proper Handling of the Force Decompression and Comp Key Read Command on compression-bypassed resources</v>
      </c>
      <c r="C220" s="435" t="str">
        <f>VLOOKUP(A220,'Feature Raw Data'!$A$3:$C$3922,3,FALSE)</f>
        <v>P2</v>
      </c>
      <c r="D220" s="436" t="str" cm="1">
        <f t="array" ref="D220">_xlfn.TEXTJOIN("",TRUE,IF(ISNUMBER(SEARCH($A220,'Diags Raw Data'!$A$6:$A$3830)),CONCATENATE('Diags Raw Data'!$H$6:$H$3830,", "),""))</f>
        <v xml:space="preserve">glxi61.1-2, </v>
      </c>
      <c r="E220" s="339" t="str">
        <f>VLOOKUP(A220,'Diags Raw Data'!$A$6:$D$3830,4,FALSE)</f>
        <v>CMM</v>
      </c>
      <c r="F220" s="339" t="str">
        <f>VLOOKUP(A220,'Feature Raw Data'!$A$3:$E$3922,5,FALSE)</f>
        <v>New</v>
      </c>
      <c r="G220" s="339" t="str">
        <f t="shared" si="23"/>
        <v>Yes</v>
      </c>
      <c r="H220" s="339" t="str">
        <f t="shared" si="28"/>
        <v>Yes</v>
      </c>
      <c r="I220" s="435">
        <f>SUMIF('Diags Raw Data'!$A$6:$A$3830,"*"&amp;$A220&amp;"*",'Diags Raw Data'!$K$6:$K$3830)</f>
        <v>0</v>
      </c>
      <c r="J220" s="437">
        <f>SUMIF('Diags Raw Data'!$A$6:$A$3830,"*"&amp;$A220&amp;"*",'Diags Raw Data'!$L$6:$L$3830)</f>
        <v>0</v>
      </c>
      <c r="K220" s="484" t="e" cm="1">
        <f t="array" ref="K220">IF(D220="",0, SUMPRODUCT(--(ISNUMBER(SEARCH($A220,'Diags Raw Data'!$A$6:$A$3830))),'Diags Raw Data'!$L$6:$L$3830,'Diags Raw Data'!$N$6:$N$3830)/J220)</f>
        <v>#DIV/0!</v>
      </c>
      <c r="L220" s="485" t="e" cm="1">
        <f t="array" ref="L220">IF(D220="",0, SUMPRODUCT(--(ISNUMBER(SEARCH($A220,'Diags Raw Data'!$A$6:$A$3830))),'Diags Raw Data'!$L$6:$L$3830,'Diags Raw Data'!$P$6:$P$3830)/J220)</f>
        <v>#DIV/0!</v>
      </c>
      <c r="M220" s="486" cm="1">
        <f t="array" ref="M220">SUMPRODUCT(--(ISNUMBER(SEARCH($A220,'Diags Raw Data'!$A$6:$A$3830))),--('Diags Raw Data'!$Q$6:$Q$3830&lt;&gt;"N/A"),'Diags Raw Data'!$R$6:$R$3830)</f>
        <v>2</v>
      </c>
      <c r="N220" s="487" cm="1">
        <f t="array" ref="N220">SUMPRODUCT(--(ISNUMBER(SEARCH($A220,'Diags Raw Data'!$A$6:$A$3830))),--('Diags Raw Data'!$Q$6:$Q$3830&lt;&gt;"N/A"),'Diags Raw Data'!$T$6:$T$3830)+SUMPRODUCT(--(ISNUMBER(SEARCH($A220,'Diags Raw Data'!$A$6:$A$3830))),--('Diags Raw Data'!$Q$6:$Q$3830&lt;&gt;"N/A"),'Diags Raw Data'!$U$6:$U$3830)</f>
        <v>2</v>
      </c>
      <c r="O220" s="488">
        <f t="shared" si="37"/>
        <v>1</v>
      </c>
      <c r="P220" s="489">
        <f>SUMIF('Diags Raw Data'!$A$6:$A$3830,"*"&amp;$A220&amp;"*",'Diags Raw Data'!$Z$6:$Z$3830)</f>
        <v>0</v>
      </c>
      <c r="Q220" s="490">
        <f>SUM(SUMIF('Diags Raw Data'!$A$6:$A$3830,"*"&amp;$A220&amp;"*",'Diags Raw Data'!$AA$6:$AA$3830),SUMIF('Diags Raw Data'!$A$6:$A$3830,"*"&amp;$A220&amp;"*",'Diags Raw Data'!$AB$6:$AB$3830))</f>
        <v>0</v>
      </c>
      <c r="R220" s="491">
        <f t="shared" si="38"/>
        <v>0</v>
      </c>
      <c r="S220" s="491">
        <f t="shared" si="39"/>
        <v>0</v>
      </c>
      <c r="T220" s="492">
        <f t="shared" si="40"/>
        <v>0</v>
      </c>
      <c r="U220" s="432" t="str">
        <f>VLOOKUP(A220,'Diags Raw Data'!$A$6:$AH$3830,33,FALSE)</f>
        <v>WK8</v>
      </c>
      <c r="V220" s="181"/>
    </row>
    <row r="221" spans="1:22" ht="30.75" thickBot="1" x14ac:dyDescent="0.3">
      <c r="A221" s="546">
        <v>12.455</v>
      </c>
      <c r="B221" s="434" t="str">
        <f>VLOOKUP(A221,'Feature Raw Data'!$A$3:$B$3922,2,FALSE)</f>
        <v>Decrease CS max grid size support to X,Y,Z = 32b,16b,16b</v>
      </c>
      <c r="C221" s="435" t="str">
        <f>VLOOKUP(A221,'Feature Raw Data'!$A$3:$C$3922,3,FALSE)</f>
        <v>P2</v>
      </c>
      <c r="D221" s="436" t="str" cm="1">
        <f t="array" ref="D221">_xlfn.TEXTJOIN("",TRUE,IF(ISNUMBER(SEARCH($A221,'Diags Raw Data'!$A$6:$A$3830)),CONCATENATE('Diags Raw Data'!$H$6:$H$3830,", "),""))</f>
        <v xml:space="preserve">gfx.linpack_gfx_compute, </v>
      </c>
      <c r="E221" s="339" t="str">
        <f>VLOOKUP(A221,'Diags Raw Data'!$A$6:$D$3830,4,FALSE)</f>
        <v>SIO</v>
      </c>
      <c r="F221" s="339" t="str">
        <f>VLOOKUP(A221,'Feature Raw Data'!$A$3:$E$3922,5,FALSE)</f>
        <v>New</v>
      </c>
      <c r="G221" s="339" t="str">
        <f t="shared" si="23"/>
        <v>Yes</v>
      </c>
      <c r="H221" s="339" t="str">
        <f t="shared" si="28"/>
        <v>Yes</v>
      </c>
      <c r="I221" s="435">
        <f>SUMIF('Diags Raw Data'!$A$6:$A$3830,"*"&amp;$A221&amp;"*",'Diags Raw Data'!$K$6:$K$3830)</f>
        <v>0</v>
      </c>
      <c r="J221" s="437">
        <f>SUMIF('Diags Raw Data'!$A$6:$A$3830,"*"&amp;$A221&amp;"*",'Diags Raw Data'!$L$6:$L$3830)</f>
        <v>0</v>
      </c>
      <c r="K221" s="484" t="e" cm="1">
        <f t="array" ref="K221">IF(D221="",0, SUMPRODUCT(--(ISNUMBER(SEARCH($A221,'Diags Raw Data'!$A$6:$A$3830))),'Diags Raw Data'!$L$6:$L$3830,'Diags Raw Data'!$N$6:$N$3830)/J221)</f>
        <v>#DIV/0!</v>
      </c>
      <c r="L221" s="485" t="e" cm="1">
        <f t="array" ref="L221">IF(D221="",0, SUMPRODUCT(--(ISNUMBER(SEARCH($A221,'Diags Raw Data'!$A$6:$A$3830))),'Diags Raw Data'!$L$6:$L$3830,'Diags Raw Data'!$P$6:$P$3830)/J221)</f>
        <v>#DIV/0!</v>
      </c>
      <c r="M221" s="486" cm="1">
        <f t="array" ref="M221">SUMPRODUCT(--(ISNUMBER(SEARCH($A221,'Diags Raw Data'!$A$6:$A$3830))),--('Diags Raw Data'!$Q$6:$Q$3830&lt;&gt;"N/A"),'Diags Raw Data'!$R$6:$R$3830)</f>
        <v>1</v>
      </c>
      <c r="N221" s="487" cm="1">
        <f t="array" ref="N221">SUMPRODUCT(--(ISNUMBER(SEARCH($A221,'Diags Raw Data'!$A$6:$A$3830))),--('Diags Raw Data'!$Q$6:$Q$3830&lt;&gt;"N/A"),'Diags Raw Data'!$T$6:$T$3830)+SUMPRODUCT(--(ISNUMBER(SEARCH($A221,'Diags Raw Data'!$A$6:$A$3830))),--('Diags Raw Data'!$Q$6:$Q$3830&lt;&gt;"N/A"),'Diags Raw Data'!$U$6:$U$3830)</f>
        <v>0</v>
      </c>
      <c r="O221" s="488">
        <f t="shared" si="37"/>
        <v>0</v>
      </c>
      <c r="P221" s="489">
        <f>SUMIF('Diags Raw Data'!$A$6:$A$3830,"*"&amp;$A221&amp;"*",'Diags Raw Data'!$Z$6:$Z$3830)</f>
        <v>0</v>
      </c>
      <c r="Q221" s="490">
        <f>SUM(SUMIF('Diags Raw Data'!$A$6:$A$3830,"*"&amp;$A221&amp;"*",'Diags Raw Data'!$AA$6:$AA$3830),SUMIF('Diags Raw Data'!$A$6:$A$3830,"*"&amp;$A221&amp;"*",'Diags Raw Data'!$AB$6:$AB$3830))</f>
        <v>0</v>
      </c>
      <c r="R221" s="491">
        <f t="shared" si="38"/>
        <v>0</v>
      </c>
      <c r="S221" s="491">
        <f t="shared" si="39"/>
        <v>0</v>
      </c>
      <c r="T221" s="492">
        <f t="shared" si="40"/>
        <v>0</v>
      </c>
      <c r="U221" s="432" t="str">
        <f>VLOOKUP(A221,'Diags Raw Data'!$A$6:$AH$3830,33,FALSE)</f>
        <v>WK6</v>
      </c>
      <c r="V221" s="181"/>
    </row>
    <row r="222" spans="1:22" ht="15.75" thickBot="1" x14ac:dyDescent="0.3">
      <c r="A222" s="546">
        <v>12.457000000000001</v>
      </c>
      <c r="B222" s="434" t="str">
        <f>VLOOKUP(A222,'Feature Raw Data'!$A$3:$B$3922,2,FALSE)</f>
        <v>Decrompress BLTs via SDMA</v>
      </c>
      <c r="C222" s="435" t="str">
        <f>VLOOKUP(A222,'Feature Raw Data'!$A$3:$C$3922,3,FALSE)</f>
        <v>P2</v>
      </c>
      <c r="D222" s="436" t="str" cm="1">
        <f t="array" ref="D222">_xlfn.TEXTJOIN("",TRUE,IF(ISNUMBER(SEARCH($A222,'Diags Raw Data'!$A$6:$A$3830)),CONCATENATE('Diags Raw Data'!$H$6:$H$3830,", "),""))</f>
        <v xml:space="preserve">N/A, </v>
      </c>
      <c r="E222" s="339" t="str">
        <f>VLOOKUP(A222,'Diags Raw Data'!$A$6:$D$3830,4,FALSE)</f>
        <v>CTL</v>
      </c>
      <c r="F222" s="339" t="str">
        <f>VLOOKUP(A222,'Feature Raw Data'!$A$3:$E$3922,5,FALSE)</f>
        <v>New</v>
      </c>
      <c r="G222" s="339" t="str">
        <f t="shared" si="23"/>
        <v>No</v>
      </c>
      <c r="H222" s="339" t="str">
        <f t="shared" si="28"/>
        <v>No</v>
      </c>
      <c r="I222" s="435">
        <f>SUMIF('Diags Raw Data'!$A$6:$A$3830,"*"&amp;$A222&amp;"*",'Diags Raw Data'!$K$6:$K$3830)</f>
        <v>0</v>
      </c>
      <c r="J222" s="437">
        <f>SUMIF('Diags Raw Data'!$A$6:$A$3830,"*"&amp;$A222&amp;"*",'Diags Raw Data'!$L$6:$L$3830)</f>
        <v>0</v>
      </c>
      <c r="K222" s="484" t="e" cm="1">
        <f t="array" ref="K222">IF(D222="",0, SUMPRODUCT(--(ISNUMBER(SEARCH($A222,'Diags Raw Data'!$A$6:$A$3830))),'Diags Raw Data'!$L$6:$L$3830,'Diags Raw Data'!$N$6:$N$3830)/J222)</f>
        <v>#DIV/0!</v>
      </c>
      <c r="L222" s="485" t="e" cm="1">
        <f t="array" ref="L222">IF(D222="",0, SUMPRODUCT(--(ISNUMBER(SEARCH($A222,'Diags Raw Data'!$A$6:$A$3830))),'Diags Raw Data'!$L$6:$L$3830,'Diags Raw Data'!$P$6:$P$3830)/J222)</f>
        <v>#DIV/0!</v>
      </c>
      <c r="M222" s="486" cm="1">
        <f t="array" ref="M222">SUMPRODUCT(--(ISNUMBER(SEARCH($A222,'Diags Raw Data'!$A$6:$A$3830))),--('Diags Raw Data'!$Q$6:$Q$3830&lt;&gt;"N/A"),'Diags Raw Data'!$R$6:$R$3830)</f>
        <v>0</v>
      </c>
      <c r="N222" s="487" cm="1">
        <f t="array" ref="N222">SUMPRODUCT(--(ISNUMBER(SEARCH($A222,'Diags Raw Data'!$A$6:$A$3830))),--('Diags Raw Data'!$Q$6:$Q$3830&lt;&gt;"N/A"),'Diags Raw Data'!$T$6:$T$3830)+SUMPRODUCT(--(ISNUMBER(SEARCH($A222,'Diags Raw Data'!$A$6:$A$3830))),--('Diags Raw Data'!$Q$6:$Q$3830&lt;&gt;"N/A"),'Diags Raw Data'!$U$6:$U$3830)</f>
        <v>0</v>
      </c>
      <c r="O222" s="488">
        <f t="shared" si="37"/>
        <v>0</v>
      </c>
      <c r="P222" s="489">
        <f>SUMIF('Diags Raw Data'!$A$6:$A$3830,"*"&amp;$A222&amp;"*",'Diags Raw Data'!$Z$6:$Z$3830)</f>
        <v>0</v>
      </c>
      <c r="Q222" s="490">
        <f>SUM(SUMIF('Diags Raw Data'!$A$6:$A$3830,"*"&amp;$A222&amp;"*",'Diags Raw Data'!$AA$6:$AA$3830),SUMIF('Diags Raw Data'!$A$6:$A$3830,"*"&amp;$A222&amp;"*",'Diags Raw Data'!$AB$6:$AB$3830))</f>
        <v>0</v>
      </c>
      <c r="R222" s="491">
        <f t="shared" si="38"/>
        <v>0</v>
      </c>
      <c r="S222" s="491">
        <f t="shared" si="39"/>
        <v>0</v>
      </c>
      <c r="T222" s="492">
        <f t="shared" si="40"/>
        <v>0</v>
      </c>
      <c r="U222" s="432" t="str">
        <f>VLOOKUP(A222,'Diags Raw Data'!$A$6:$AH$3830,33,FALSE)</f>
        <v>N/A</v>
      </c>
      <c r="V222" s="181"/>
    </row>
    <row r="223" spans="1:22" ht="30.75" thickBot="1" x14ac:dyDescent="0.3">
      <c r="A223" s="546">
        <v>12.458</v>
      </c>
      <c r="B223" s="434" t="str">
        <f>VLOOKUP(A223,'Feature Raw Data'!$A$3:$B$3922,2,FALSE)</f>
        <v>Descope VRS Compression feature</v>
      </c>
      <c r="C223" s="435" t="str">
        <f>VLOOKUP(A223,'Feature Raw Data'!$A$3:$C$3922,3,FALSE)</f>
        <v>P2</v>
      </c>
      <c r="D223" s="436" t="str" cm="1">
        <f t="array" ref="D223">_xlfn.TEXTJOIN("",TRUE,IF(ISNUMBER(SEARCH($A223,'Diags Raw Data'!$A$6:$A$3830)),CONCATENATE('Diags Raw Data'!$H$6:$H$3830,", "),""))</f>
        <v xml:space="preserve">N/A, </v>
      </c>
      <c r="E223" s="339" t="str">
        <f>VLOOKUP(A223,'Diags Raw Data'!$A$6:$D$3830,4,FALSE)</f>
        <v>PP</v>
      </c>
      <c r="F223" s="339" t="str">
        <f>VLOOKUP(A223,'Feature Raw Data'!$A$3:$E$3922,5,FALSE)</f>
        <v>New</v>
      </c>
      <c r="G223" s="339" t="str">
        <f t="shared" si="23"/>
        <v>No</v>
      </c>
      <c r="H223" s="339" t="str">
        <f t="shared" si="28"/>
        <v>No</v>
      </c>
      <c r="I223" s="435">
        <f>SUMIF('Diags Raw Data'!$A$6:$A$3830,"*"&amp;$A223&amp;"*",'Diags Raw Data'!$K$6:$K$3830)</f>
        <v>0</v>
      </c>
      <c r="J223" s="437">
        <f>SUMIF('Diags Raw Data'!$A$6:$A$3830,"*"&amp;$A223&amp;"*",'Diags Raw Data'!$L$6:$L$3830)</f>
        <v>0</v>
      </c>
      <c r="K223" s="484" t="e" cm="1">
        <f t="array" ref="K223">IF(D223="",0, SUMPRODUCT(--(ISNUMBER(SEARCH($A223,'Diags Raw Data'!$A$6:$A$3830))),'Diags Raw Data'!$L$6:$L$3830,'Diags Raw Data'!$N$6:$N$3830)/J223)</f>
        <v>#DIV/0!</v>
      </c>
      <c r="L223" s="485" t="e" cm="1">
        <f t="array" ref="L223">IF(D223="",0, SUMPRODUCT(--(ISNUMBER(SEARCH($A223,'Diags Raw Data'!$A$6:$A$3830))),'Diags Raw Data'!$L$6:$L$3830,'Diags Raw Data'!$P$6:$P$3830)/J223)</f>
        <v>#DIV/0!</v>
      </c>
      <c r="M223" s="486" cm="1">
        <f t="array" ref="M223">SUMPRODUCT(--(ISNUMBER(SEARCH($A223,'Diags Raw Data'!$A$6:$A$3830))),--('Diags Raw Data'!$Q$6:$Q$3830&lt;&gt;"N/A"),'Diags Raw Data'!$R$6:$R$3830)</f>
        <v>0</v>
      </c>
      <c r="N223" s="487" cm="1">
        <f t="array" ref="N223">SUMPRODUCT(--(ISNUMBER(SEARCH($A223,'Diags Raw Data'!$A$6:$A$3830))),--('Diags Raw Data'!$Q$6:$Q$3830&lt;&gt;"N/A"),'Diags Raw Data'!$T$6:$T$3830)+SUMPRODUCT(--(ISNUMBER(SEARCH($A223,'Diags Raw Data'!$A$6:$A$3830))),--('Diags Raw Data'!$Q$6:$Q$3830&lt;&gt;"N/A"),'Diags Raw Data'!$U$6:$U$3830)</f>
        <v>0</v>
      </c>
      <c r="O223" s="488">
        <f t="shared" si="37"/>
        <v>0</v>
      </c>
      <c r="P223" s="489">
        <f>SUMIF('Diags Raw Data'!$A$6:$A$3830,"*"&amp;$A223&amp;"*",'Diags Raw Data'!$Z$6:$Z$3830)</f>
        <v>0</v>
      </c>
      <c r="Q223" s="490">
        <f>SUM(SUMIF('Diags Raw Data'!$A$6:$A$3830,"*"&amp;$A223&amp;"*",'Diags Raw Data'!$AA$6:$AA$3830),SUMIF('Diags Raw Data'!$A$6:$A$3830,"*"&amp;$A223&amp;"*",'Diags Raw Data'!$AB$6:$AB$3830))</f>
        <v>0</v>
      </c>
      <c r="R223" s="491">
        <f t="shared" si="38"/>
        <v>0</v>
      </c>
      <c r="S223" s="491">
        <f t="shared" si="39"/>
        <v>0</v>
      </c>
      <c r="T223" s="492">
        <f t="shared" si="40"/>
        <v>0</v>
      </c>
      <c r="U223" s="432" t="str">
        <f>VLOOKUP(A223,'Diags Raw Data'!$A$6:$AH$3830,33,FALSE)</f>
        <v>N/A</v>
      </c>
      <c r="V223" s="552" t="s">
        <v>366</v>
      </c>
    </row>
    <row r="224" spans="1:22" ht="45.75" thickBot="1" x14ac:dyDescent="0.3">
      <c r="A224" s="546">
        <v>12.459</v>
      </c>
      <c r="B224" s="434" t="str">
        <f>VLOOKUP(A224,'Feature Raw Data'!$A$3:$B$3922,2,FALSE)</f>
        <v>Remove support for Shared VGPRs and Subvector Execution</v>
      </c>
      <c r="C224" s="435" t="str">
        <f>VLOOKUP(A224,'Feature Raw Data'!$A$3:$C$3922,3,FALSE)</f>
        <v>P2</v>
      </c>
      <c r="D224" s="436" t="str" cm="1">
        <f t="array" ref="D224">_xlfn.TEXTJOIN("",TRUE,IF(ISNUMBER(SEARCH($A224,'Diags Raw Data'!$A$6:$A$3830)),CONCATENATE('Diags Raw Data'!$H$6:$H$3830,", "),""))</f>
        <v xml:space="preserve">N/A, </v>
      </c>
      <c r="E224" s="339" t="str">
        <f>VLOOKUP(A224,'Diags Raw Data'!$A$6:$D$3830,4,FALSE)</f>
        <v>SH</v>
      </c>
      <c r="F224" s="339" t="str">
        <f>VLOOKUP(A224,'Feature Raw Data'!$A$3:$E$3922,5,FALSE)</f>
        <v>New</v>
      </c>
      <c r="G224" s="339" t="str">
        <f t="shared" si="23"/>
        <v>No</v>
      </c>
      <c r="H224" s="339" t="str">
        <f t="shared" si="28"/>
        <v>No</v>
      </c>
      <c r="I224" s="435">
        <f>SUMIF('Diags Raw Data'!$A$6:$A$3830,"*"&amp;$A224&amp;"*",'Diags Raw Data'!$K$6:$K$3830)</f>
        <v>0</v>
      </c>
      <c r="J224" s="437">
        <f>SUMIF('Diags Raw Data'!$A$6:$A$3830,"*"&amp;$A224&amp;"*",'Diags Raw Data'!$L$6:$L$3830)</f>
        <v>0</v>
      </c>
      <c r="K224" s="484" t="e" cm="1">
        <f t="array" ref="K224">IF(D224="",0, SUMPRODUCT(--(ISNUMBER(SEARCH($A224,'Diags Raw Data'!$A$6:$A$3830))),'Diags Raw Data'!$L$6:$L$3830,'Diags Raw Data'!$N$6:$N$3830)/J224)</f>
        <v>#DIV/0!</v>
      </c>
      <c r="L224" s="485" t="e" cm="1">
        <f t="array" ref="L224">IF(D224="",0, SUMPRODUCT(--(ISNUMBER(SEARCH($A224,'Diags Raw Data'!$A$6:$A$3830))),'Diags Raw Data'!$L$6:$L$3830,'Diags Raw Data'!$P$6:$P$3830)/J224)</f>
        <v>#DIV/0!</v>
      </c>
      <c r="M224" s="486" cm="1">
        <f t="array" ref="M224">SUMPRODUCT(--(ISNUMBER(SEARCH($A224,'Diags Raw Data'!$A$6:$A$3830))),--('Diags Raw Data'!$Q$6:$Q$3830&lt;&gt;"N/A"),'Diags Raw Data'!$R$6:$R$3830)</f>
        <v>0</v>
      </c>
      <c r="N224" s="487" cm="1">
        <f t="array" ref="N224">SUMPRODUCT(--(ISNUMBER(SEARCH($A224,'Diags Raw Data'!$A$6:$A$3830))),--('Diags Raw Data'!$Q$6:$Q$3830&lt;&gt;"N/A"),'Diags Raw Data'!$T$6:$T$3830)+SUMPRODUCT(--(ISNUMBER(SEARCH($A224,'Diags Raw Data'!$A$6:$A$3830))),--('Diags Raw Data'!$Q$6:$Q$3830&lt;&gt;"N/A"),'Diags Raw Data'!$U$6:$U$3830)</f>
        <v>0</v>
      </c>
      <c r="O224" s="488">
        <f t="shared" si="37"/>
        <v>0</v>
      </c>
      <c r="P224" s="489">
        <f>SUMIF('Diags Raw Data'!$A$6:$A$3830,"*"&amp;$A224&amp;"*",'Diags Raw Data'!$Z$6:$Z$3830)</f>
        <v>0</v>
      </c>
      <c r="Q224" s="490">
        <f>SUM(SUMIF('Diags Raw Data'!$A$6:$A$3830,"*"&amp;$A224&amp;"*",'Diags Raw Data'!$AA$6:$AA$3830),SUMIF('Diags Raw Data'!$A$6:$A$3830,"*"&amp;$A224&amp;"*",'Diags Raw Data'!$AB$6:$AB$3830))</f>
        <v>0</v>
      </c>
      <c r="R224" s="491">
        <f t="shared" si="38"/>
        <v>0</v>
      </c>
      <c r="S224" s="491">
        <f t="shared" si="39"/>
        <v>0</v>
      </c>
      <c r="T224" s="492">
        <f t="shared" si="40"/>
        <v>0</v>
      </c>
      <c r="U224" s="432" t="str">
        <f>VLOOKUP(A224,'Diags Raw Data'!$A$6:$AH$3830,33,FALSE)</f>
        <v>N/A</v>
      </c>
      <c r="V224" s="552" t="s">
        <v>422</v>
      </c>
    </row>
    <row r="225" spans="1:22" ht="45.75" thickBot="1" x14ac:dyDescent="0.3">
      <c r="A225" s="546">
        <v>12.46</v>
      </c>
      <c r="B225" s="434" t="str">
        <f>VLOOKUP(A225,'Feature Raw Data'!$A$3:$B$3922,2,FALSE)</f>
        <v xml:space="preserve">BVH Footprint Improvement
</v>
      </c>
      <c r="C225" s="435" t="str">
        <f>VLOOKUP(A225,'Feature Raw Data'!$A$3:$C$3922,3,FALSE)</f>
        <v>P2</v>
      </c>
      <c r="D225" s="436" t="str" cm="1">
        <f t="array" ref="D225">_xlfn.TEXTJOIN("",TRUE,IF(ISNUMBER(SEARCH($A225,'Diags Raw Data'!$A$6:$A$3830)),CONCATENATE('Diags Raw Data'!$H$6:$H$3830,", "),""))</f>
        <v xml:space="preserve">placeholder_l.1-8, placeholder_a.1-108, gci1310, cpi415.1-2, gci1309.0-3, N/A, N/A, N/A, N/A, N/A, </v>
      </c>
      <c r="E225" s="339" t="str">
        <f>VLOOKUP(A225,'Diags Raw Data'!$A$6:$D$3830,4,FALSE)</f>
        <v>TEX</v>
      </c>
      <c r="F225" s="339" t="str">
        <f>VLOOKUP(A225,'Feature Raw Data'!$A$3:$E$3922,5,FALSE)</f>
        <v>New</v>
      </c>
      <c r="G225" s="339" t="str">
        <f t="shared" si="23"/>
        <v>Yes</v>
      </c>
      <c r="H225" s="339" t="str">
        <f t="shared" si="28"/>
        <v>Yes</v>
      </c>
      <c r="I225" s="435">
        <f>SUMIF('Diags Raw Data'!$A$6:$A$3830,"*"&amp;$A225&amp;"*",'Diags Raw Data'!$K$6:$K$3830)</f>
        <v>0</v>
      </c>
      <c r="J225" s="437">
        <f>SUMIF('Diags Raw Data'!$A$6:$A$3830,"*"&amp;$A225&amp;"*",'Diags Raw Data'!$L$6:$L$3830)</f>
        <v>0</v>
      </c>
      <c r="K225" s="484" t="e" cm="1">
        <f t="array" ref="K225">IF(D225="",0, SUMPRODUCT(--(ISNUMBER(SEARCH($A225,'Diags Raw Data'!$A$6:$A$3830))),'Diags Raw Data'!$L$6:$L$3830,'Diags Raw Data'!$N$6:$N$3830)/J225)</f>
        <v>#DIV/0!</v>
      </c>
      <c r="L225" s="485" t="e" cm="1">
        <f t="array" ref="L225">IF(D225="",0, SUMPRODUCT(--(ISNUMBER(SEARCH($A225,'Diags Raw Data'!$A$6:$A$3830))),'Diags Raw Data'!$L$6:$L$3830,'Diags Raw Data'!$P$6:$P$3830)/J225)</f>
        <v>#DIV/0!</v>
      </c>
      <c r="M225" s="486" cm="1">
        <f t="array" ref="M225">SUMPRODUCT(--(ISNUMBER(SEARCH($A225,'Diags Raw Data'!$A$6:$A$3830))),--('Diags Raw Data'!$Q$6:$Q$3830&lt;&gt;"N/A"),'Diags Raw Data'!$R$6:$R$3830)</f>
        <v>32</v>
      </c>
      <c r="N225" s="487" cm="1">
        <f t="array" ref="N225">SUMPRODUCT(--(ISNUMBER(SEARCH($A225,'Diags Raw Data'!$A$6:$A$3830))),--('Diags Raw Data'!$Q$6:$Q$3830&lt;&gt;"N/A"),'Diags Raw Data'!$T$6:$T$3830)+SUMPRODUCT(--(ISNUMBER(SEARCH($A225,'Diags Raw Data'!$A$6:$A$3830))),--('Diags Raw Data'!$Q$6:$Q$3830&lt;&gt;"N/A"),'Diags Raw Data'!$U$6:$U$3830)</f>
        <v>29</v>
      </c>
      <c r="O225" s="488">
        <f t="shared" si="37"/>
        <v>0.90625</v>
      </c>
      <c r="P225" s="489">
        <f>SUMIF('Diags Raw Data'!$A$6:$A$3830,"*"&amp;$A225&amp;"*",'Diags Raw Data'!$Z$6:$Z$3830)</f>
        <v>0</v>
      </c>
      <c r="Q225" s="490">
        <f>SUM(SUMIF('Diags Raw Data'!$A$6:$A$3830,"*"&amp;$A225&amp;"*",'Diags Raw Data'!$AA$6:$AA$3830),SUMIF('Diags Raw Data'!$A$6:$A$3830,"*"&amp;$A225&amp;"*",'Diags Raw Data'!$AB$6:$AB$3830))</f>
        <v>0</v>
      </c>
      <c r="R225" s="491">
        <f t="shared" si="38"/>
        <v>0</v>
      </c>
      <c r="S225" s="491">
        <f t="shared" si="39"/>
        <v>0</v>
      </c>
      <c r="T225" s="492">
        <f t="shared" si="40"/>
        <v>0</v>
      </c>
      <c r="U225" s="432" t="str">
        <f>VLOOKUP(A225,'Diags Raw Data'!$A$6:$AH$3830,33,FALSE)</f>
        <v>WK7</v>
      </c>
      <c r="V225" s="181"/>
    </row>
    <row r="226" spans="1:22" ht="45.75" thickBot="1" x14ac:dyDescent="0.3">
      <c r="A226" s="546">
        <v>12.461</v>
      </c>
      <c r="B226" s="434" t="str">
        <f>VLOOKUP(A226,'Feature Raw Data'!$A$3:$B$3922,2,FALSE)</f>
        <v xml:space="preserve">RT support for OBB and Instance Node Intersection
</v>
      </c>
      <c r="C226" s="435" t="str">
        <f>VLOOKUP(A226,'Feature Raw Data'!$A$3:$C$3922,3,FALSE)</f>
        <v>P2</v>
      </c>
      <c r="D226" s="436" t="str" cm="1">
        <f t="array" ref="D226">_xlfn.TEXTJOIN("",TRUE,IF(ISNUMBER(SEARCH($A226,'Diags Raw Data'!$A$6:$A$3830)),CONCATENATE('Diags Raw Data'!$H$6:$H$3830,", "),""))</f>
        <v xml:space="preserve">placeholder_a.1-108, </v>
      </c>
      <c r="E226" s="339" t="str">
        <f>VLOOKUP(A226,'Diags Raw Data'!$A$6:$D$3830,4,FALSE)</f>
        <v>TEX</v>
      </c>
      <c r="F226" s="339" t="str">
        <f>VLOOKUP(A226,'Feature Raw Data'!$A$3:$E$3922,5,FALSE)</f>
        <v>New</v>
      </c>
      <c r="G226" s="339" t="str">
        <f t="shared" si="23"/>
        <v>Yes</v>
      </c>
      <c r="H226" s="339" t="str">
        <f t="shared" si="28"/>
        <v>Yes</v>
      </c>
      <c r="I226" s="435">
        <f>SUMIF('Diags Raw Data'!$A$6:$A$3830,"*"&amp;$A226&amp;"*",'Diags Raw Data'!$K$6:$K$3830)</f>
        <v>0</v>
      </c>
      <c r="J226" s="437">
        <f>SUMIF('Diags Raw Data'!$A$6:$A$3830,"*"&amp;$A226&amp;"*",'Diags Raw Data'!$L$6:$L$3830)</f>
        <v>0</v>
      </c>
      <c r="K226" s="484" t="e" cm="1">
        <f t="array" ref="K226">IF(D226="",0, SUMPRODUCT(--(ISNUMBER(SEARCH($A226,'Diags Raw Data'!$A$6:$A$3830))),'Diags Raw Data'!$L$6:$L$3830,'Diags Raw Data'!$N$6:$N$3830)/J226)</f>
        <v>#DIV/0!</v>
      </c>
      <c r="L226" s="485" t="e" cm="1">
        <f t="array" ref="L226">IF(D226="",0, SUMPRODUCT(--(ISNUMBER(SEARCH($A226,'Diags Raw Data'!$A$6:$A$3830))),'Diags Raw Data'!$L$6:$L$3830,'Diags Raw Data'!$P$6:$P$3830)/J226)</f>
        <v>#DIV/0!</v>
      </c>
      <c r="M226" s="486" cm="1">
        <f t="array" ref="M226">SUMPRODUCT(--(ISNUMBER(SEARCH($A226,'Diags Raw Data'!$A$6:$A$3830))),--('Diags Raw Data'!$Q$6:$Q$3830&lt;&gt;"N/A"),'Diags Raw Data'!$R$6:$R$3830)</f>
        <v>20</v>
      </c>
      <c r="N226" s="487" cm="1">
        <f t="array" ref="N226">SUMPRODUCT(--(ISNUMBER(SEARCH($A226,'Diags Raw Data'!$A$6:$A$3830))),--('Diags Raw Data'!$Q$6:$Q$3830&lt;&gt;"N/A"),'Diags Raw Data'!$T$6:$T$3830)+SUMPRODUCT(--(ISNUMBER(SEARCH($A226,'Diags Raw Data'!$A$6:$A$3830))),--('Diags Raw Data'!$Q$6:$Q$3830&lt;&gt;"N/A"),'Diags Raw Data'!$U$6:$U$3830)</f>
        <v>20</v>
      </c>
      <c r="O226" s="488">
        <f t="shared" si="37"/>
        <v>1</v>
      </c>
      <c r="P226" s="489">
        <f>SUMIF('Diags Raw Data'!$A$6:$A$3830,"*"&amp;$A226&amp;"*",'Diags Raw Data'!$Z$6:$Z$3830)</f>
        <v>0</v>
      </c>
      <c r="Q226" s="490">
        <f>SUM(SUMIF('Diags Raw Data'!$A$6:$A$3830,"*"&amp;$A226&amp;"*",'Diags Raw Data'!$AA$6:$AA$3830),SUMIF('Diags Raw Data'!$A$6:$A$3830,"*"&amp;$A226&amp;"*",'Diags Raw Data'!$AB$6:$AB$3830))</f>
        <v>0</v>
      </c>
      <c r="R226" s="491">
        <f t="shared" si="38"/>
        <v>0</v>
      </c>
      <c r="S226" s="491">
        <f t="shared" si="39"/>
        <v>0</v>
      </c>
      <c r="T226" s="492">
        <f t="shared" si="40"/>
        <v>0</v>
      </c>
      <c r="U226" s="432" t="str">
        <f>VLOOKUP(A226,'Diags Raw Data'!$A$6:$AH$3830,33,FALSE)</f>
        <v>WK8</v>
      </c>
      <c r="V226" s="181"/>
    </row>
    <row r="227" spans="1:22" ht="60.75" thickBot="1" x14ac:dyDescent="0.3">
      <c r="A227" s="546">
        <v>12.462</v>
      </c>
      <c r="B227" s="434" t="str">
        <f>VLOOKUP(A227,'Feature Raw Data'!$A$3:$B$3922,2,FALSE)</f>
        <v xml:space="preserve">Descope Verification of 16xaa for VRS Coarse Rates (1x2, 2x2, 2x1)
</v>
      </c>
      <c r="C227" s="435" t="str">
        <f>VLOOKUP(A227,'Feature Raw Data'!$A$3:$C$3922,3,FALSE)</f>
        <v>P3</v>
      </c>
      <c r="D227" s="436" t="str" cm="1">
        <f t="array" ref="D227">_xlfn.TEXTJOIN("",TRUE,IF(ISNUMBER(SEARCH($A227,'Diags Raw Data'!$A$6:$A$3830)),CONCATENATE('Diags Raw Data'!$H$6:$H$3830,", "),""))</f>
        <v xml:space="preserve">N/A, </v>
      </c>
      <c r="E227" s="339" t="str">
        <f>VLOOKUP(A227,'Diags Raw Data'!$A$6:$D$3830,4,FALSE)</f>
        <v>PP</v>
      </c>
      <c r="F227" s="339" t="str">
        <f>VLOOKUP(A227,'Feature Raw Data'!$A$3:$E$3922,5,FALSE)</f>
        <v>New</v>
      </c>
      <c r="G227" s="339" t="str">
        <f t="shared" si="23"/>
        <v>No</v>
      </c>
      <c r="H227" s="339" t="str">
        <f t="shared" si="28"/>
        <v>No</v>
      </c>
      <c r="I227" s="435">
        <f>SUMIF('Diags Raw Data'!$A$6:$A$3830,"*"&amp;$A227&amp;"*",'Diags Raw Data'!$K$6:$K$3830)</f>
        <v>0</v>
      </c>
      <c r="J227" s="437">
        <f>SUMIF('Diags Raw Data'!$A$6:$A$3830,"*"&amp;$A227&amp;"*",'Diags Raw Data'!$L$6:$L$3830)</f>
        <v>0</v>
      </c>
      <c r="K227" s="484" t="e" cm="1">
        <f t="array" ref="K227">IF(D227="",0, SUMPRODUCT(--(ISNUMBER(SEARCH($A227,'Diags Raw Data'!$A$6:$A$3830))),'Diags Raw Data'!$L$6:$L$3830,'Diags Raw Data'!$N$6:$N$3830)/J227)</f>
        <v>#DIV/0!</v>
      </c>
      <c r="L227" s="485" t="e" cm="1">
        <f t="array" ref="L227">IF(D227="",0, SUMPRODUCT(--(ISNUMBER(SEARCH($A227,'Diags Raw Data'!$A$6:$A$3830))),'Diags Raw Data'!$L$6:$L$3830,'Diags Raw Data'!$P$6:$P$3830)/J227)</f>
        <v>#DIV/0!</v>
      </c>
      <c r="M227" s="486" cm="1">
        <f t="array" ref="M227">SUMPRODUCT(--(ISNUMBER(SEARCH($A227,'Diags Raw Data'!$A$6:$A$3830))),--('Diags Raw Data'!$Q$6:$Q$3830&lt;&gt;"N/A"),'Diags Raw Data'!$R$6:$R$3830)</f>
        <v>0</v>
      </c>
      <c r="N227" s="487" cm="1">
        <f t="array" ref="N227">SUMPRODUCT(--(ISNUMBER(SEARCH($A227,'Diags Raw Data'!$A$6:$A$3830))),--('Diags Raw Data'!$Q$6:$Q$3830&lt;&gt;"N/A"),'Diags Raw Data'!$T$6:$T$3830)+SUMPRODUCT(--(ISNUMBER(SEARCH($A227,'Diags Raw Data'!$A$6:$A$3830))),--('Diags Raw Data'!$Q$6:$Q$3830&lt;&gt;"N/A"),'Diags Raw Data'!$U$6:$U$3830)</f>
        <v>0</v>
      </c>
      <c r="O227" s="488">
        <f t="shared" si="37"/>
        <v>0</v>
      </c>
      <c r="P227" s="489">
        <f>SUMIF('Diags Raw Data'!$A$6:$A$3830,"*"&amp;$A227&amp;"*",'Diags Raw Data'!$Z$6:$Z$3830)</f>
        <v>0</v>
      </c>
      <c r="Q227" s="490">
        <f>SUM(SUMIF('Diags Raw Data'!$A$6:$A$3830,"*"&amp;$A227&amp;"*",'Diags Raw Data'!$AA$6:$AA$3830),SUMIF('Diags Raw Data'!$A$6:$A$3830,"*"&amp;$A227&amp;"*",'Diags Raw Data'!$AB$6:$AB$3830))</f>
        <v>0</v>
      </c>
      <c r="R227" s="491">
        <f t="shared" si="38"/>
        <v>0</v>
      </c>
      <c r="S227" s="491">
        <f t="shared" si="39"/>
        <v>0</v>
      </c>
      <c r="T227" s="492">
        <f t="shared" si="40"/>
        <v>0</v>
      </c>
      <c r="U227" s="432" t="str">
        <f>VLOOKUP(A227,'Diags Raw Data'!$A$6:$AH$3830,33,FALSE)</f>
        <v>N/A</v>
      </c>
      <c r="V227" s="552" t="s">
        <v>366</v>
      </c>
    </row>
    <row r="228" spans="1:22" ht="30.75" thickBot="1" x14ac:dyDescent="0.3">
      <c r="A228" s="546">
        <v>12.462999999999999</v>
      </c>
      <c r="B228" s="434" t="str">
        <f>VLOOKUP(A228,'Feature Raw Data'!$A$3:$B$3922,2,FALSE)</f>
        <v>GFXCLK Deep Sleep trigger based on XVMIN</v>
      </c>
      <c r="C228" s="435" t="str">
        <f>VLOOKUP(A228,'Feature Raw Data'!$A$3:$C$3922,3,FALSE)</f>
        <v>P2</v>
      </c>
      <c r="D228" s="436" t="str" cm="1">
        <f t="array" ref="D228">_xlfn.TEXTJOIN("",TRUE,IF(ISNUMBER(SEARCH($A228,'Diags Raw Data'!$A$6:$A$3830)),CONCATENATE('Diags Raw Data'!$H$6:$H$3830,", "),""))</f>
        <v xml:space="preserve">N/A, </v>
      </c>
      <c r="E228" s="339" t="str">
        <f>VLOOKUP(A228,'Diags Raw Data'!$A$6:$D$3830,4,FALSE)</f>
        <v>CTL</v>
      </c>
      <c r="F228" s="339" t="str">
        <f>VLOOKUP(A228,'Feature Raw Data'!$A$3:$E$3922,5,FALSE)</f>
        <v>New</v>
      </c>
      <c r="G228" s="339" t="str">
        <f t="shared" si="23"/>
        <v>No</v>
      </c>
      <c r="H228" s="339" t="str">
        <f t="shared" si="28"/>
        <v>No</v>
      </c>
      <c r="I228" s="435">
        <f>SUMIF('Diags Raw Data'!$A$6:$A$3830,"*"&amp;$A228&amp;"*",'Diags Raw Data'!$K$6:$K$3830)</f>
        <v>0</v>
      </c>
      <c r="J228" s="437">
        <f>SUMIF('Diags Raw Data'!$A$6:$A$3830,"*"&amp;$A228&amp;"*",'Diags Raw Data'!$L$6:$L$3830)</f>
        <v>0</v>
      </c>
      <c r="K228" s="484" t="e" cm="1">
        <f t="array" ref="K228">IF(D228="",0, SUMPRODUCT(--(ISNUMBER(SEARCH($A228,'Diags Raw Data'!$A$6:$A$3830))),'Diags Raw Data'!$L$6:$L$3830,'Diags Raw Data'!$N$6:$N$3830)/J228)</f>
        <v>#DIV/0!</v>
      </c>
      <c r="L228" s="485" t="e" cm="1">
        <f t="array" ref="L228">IF(D228="",0, SUMPRODUCT(--(ISNUMBER(SEARCH($A228,'Diags Raw Data'!$A$6:$A$3830))),'Diags Raw Data'!$L$6:$L$3830,'Diags Raw Data'!$P$6:$P$3830)/J228)</f>
        <v>#DIV/0!</v>
      </c>
      <c r="M228" s="486" cm="1">
        <f t="array" ref="M228">SUMPRODUCT(--(ISNUMBER(SEARCH($A228,'Diags Raw Data'!$A$6:$A$3830))),--('Diags Raw Data'!$Q$6:$Q$3830&lt;&gt;"N/A"),'Diags Raw Data'!$R$6:$R$3830)</f>
        <v>0</v>
      </c>
      <c r="N228" s="487" cm="1">
        <f t="array" ref="N228">SUMPRODUCT(--(ISNUMBER(SEARCH($A228,'Diags Raw Data'!$A$6:$A$3830))),--('Diags Raw Data'!$Q$6:$Q$3830&lt;&gt;"N/A"),'Diags Raw Data'!$T$6:$T$3830)+SUMPRODUCT(--(ISNUMBER(SEARCH($A228,'Diags Raw Data'!$A$6:$A$3830))),--('Diags Raw Data'!$Q$6:$Q$3830&lt;&gt;"N/A"),'Diags Raw Data'!$U$6:$U$3830)</f>
        <v>0</v>
      </c>
      <c r="O228" s="488">
        <f t="shared" si="37"/>
        <v>0</v>
      </c>
      <c r="P228" s="489">
        <f>SUMIF('Diags Raw Data'!$A$6:$A$3830,"*"&amp;$A228&amp;"*",'Diags Raw Data'!$Z$6:$Z$3830)</f>
        <v>0</v>
      </c>
      <c r="Q228" s="490">
        <f>SUM(SUMIF('Diags Raw Data'!$A$6:$A$3830,"*"&amp;$A228&amp;"*",'Diags Raw Data'!$AA$6:$AA$3830),SUMIF('Diags Raw Data'!$A$6:$A$3830,"*"&amp;$A228&amp;"*",'Diags Raw Data'!$AB$6:$AB$3830))</f>
        <v>0</v>
      </c>
      <c r="R228" s="491">
        <f t="shared" si="38"/>
        <v>0</v>
      </c>
      <c r="S228" s="491">
        <f t="shared" si="39"/>
        <v>0</v>
      </c>
      <c r="T228" s="492">
        <f t="shared" si="40"/>
        <v>0</v>
      </c>
      <c r="U228" s="432" t="str">
        <f>VLOOKUP(A228,'Diags Raw Data'!$A$6:$AH$3830,33,FALSE)</f>
        <v>N/A</v>
      </c>
      <c r="V228" s="181"/>
    </row>
    <row r="229" spans="1:22" ht="30.75" thickBot="1" x14ac:dyDescent="0.3">
      <c r="A229" s="546">
        <v>12.464</v>
      </c>
      <c r="B229" s="434" t="str">
        <f>VLOOKUP(A229,'Feature Raw Data'!$A$3:$B$3922,2,FALSE)</f>
        <v>SP Throttling and the first DIDT droop</v>
      </c>
      <c r="C229" s="435" t="str">
        <f>VLOOKUP(A229,'Feature Raw Data'!$A$3:$C$3922,3,FALSE)</f>
        <v>P2</v>
      </c>
      <c r="D229" s="436" t="str" cm="1">
        <f t="array" ref="D229">_xlfn.TEXTJOIN("",TRUE,IF(ISNUMBER(SEARCH($A229,'Diags Raw Data'!$A$6:$A$3830)),CONCATENATE('Diags Raw Data'!$H$6:$H$3830,", "),""))</f>
        <v xml:space="preserve">N/A, </v>
      </c>
      <c r="E229" s="339" t="str">
        <f>VLOOKUP(A229,'Diags Raw Data'!$A$6:$D$3830,4,FALSE)</f>
        <v>SH</v>
      </c>
      <c r="F229" s="339" t="str">
        <f>VLOOKUP(A229,'Feature Raw Data'!$A$3:$E$3922,5,FALSE)</f>
        <v>New</v>
      </c>
      <c r="G229" s="339" t="str">
        <f t="shared" si="23"/>
        <v>No</v>
      </c>
      <c r="H229" s="339" t="str">
        <f t="shared" si="28"/>
        <v>No</v>
      </c>
      <c r="I229" s="435">
        <f>SUMIF('Diags Raw Data'!$A$6:$A$3830,"*"&amp;$A229&amp;"*",'Diags Raw Data'!$K$6:$K$3830)</f>
        <v>0</v>
      </c>
      <c r="J229" s="437">
        <f>SUMIF('Diags Raw Data'!$A$6:$A$3830,"*"&amp;$A229&amp;"*",'Diags Raw Data'!$L$6:$L$3830)</f>
        <v>0</v>
      </c>
      <c r="K229" s="484" t="e" cm="1">
        <f t="array" ref="K229">IF(D229="",0, SUMPRODUCT(--(ISNUMBER(SEARCH($A229,'Diags Raw Data'!$A$6:$A$3830))),'Diags Raw Data'!$L$6:$L$3830,'Diags Raw Data'!$N$6:$N$3830)/J229)</f>
        <v>#DIV/0!</v>
      </c>
      <c r="L229" s="485" t="e" cm="1">
        <f t="array" ref="L229">IF(D229="",0, SUMPRODUCT(--(ISNUMBER(SEARCH($A229,'Diags Raw Data'!$A$6:$A$3830))),'Diags Raw Data'!$L$6:$L$3830,'Diags Raw Data'!$P$6:$P$3830)/J229)</f>
        <v>#DIV/0!</v>
      </c>
      <c r="M229" s="486" cm="1">
        <f t="array" ref="M229">SUMPRODUCT(--(ISNUMBER(SEARCH($A229,'Diags Raw Data'!$A$6:$A$3830))),--('Diags Raw Data'!$Q$6:$Q$3830&lt;&gt;"N/A"),'Diags Raw Data'!$R$6:$R$3830)</f>
        <v>0</v>
      </c>
      <c r="N229" s="487" cm="1">
        <f t="array" ref="N229">SUMPRODUCT(--(ISNUMBER(SEARCH($A229,'Diags Raw Data'!$A$6:$A$3830))),--('Diags Raw Data'!$Q$6:$Q$3830&lt;&gt;"N/A"),'Diags Raw Data'!$T$6:$T$3830)+SUMPRODUCT(--(ISNUMBER(SEARCH($A229,'Diags Raw Data'!$A$6:$A$3830))),--('Diags Raw Data'!$Q$6:$Q$3830&lt;&gt;"N/A"),'Diags Raw Data'!$U$6:$U$3830)</f>
        <v>0</v>
      </c>
      <c r="O229" s="488">
        <f t="shared" si="37"/>
        <v>0</v>
      </c>
      <c r="P229" s="489">
        <f>SUMIF('Diags Raw Data'!$A$6:$A$3830,"*"&amp;$A229&amp;"*",'Diags Raw Data'!$Z$6:$Z$3830)</f>
        <v>0</v>
      </c>
      <c r="Q229" s="490">
        <f>SUM(SUMIF('Diags Raw Data'!$A$6:$A$3830,"*"&amp;$A229&amp;"*",'Diags Raw Data'!$AA$6:$AA$3830),SUMIF('Diags Raw Data'!$A$6:$A$3830,"*"&amp;$A229&amp;"*",'Diags Raw Data'!$AB$6:$AB$3830))</f>
        <v>0</v>
      </c>
      <c r="R229" s="491">
        <f t="shared" si="38"/>
        <v>0</v>
      </c>
      <c r="S229" s="491">
        <f t="shared" si="39"/>
        <v>0</v>
      </c>
      <c r="T229" s="492">
        <f t="shared" si="40"/>
        <v>0</v>
      </c>
      <c r="U229" s="432" t="str">
        <f>VLOOKUP(A229,'Diags Raw Data'!$A$6:$AH$3830,33,FALSE)</f>
        <v>N/A</v>
      </c>
      <c r="V229" s="181"/>
    </row>
    <row r="230" spans="1:22" ht="30.75" thickBot="1" x14ac:dyDescent="0.3">
      <c r="A230" s="546">
        <v>12.465</v>
      </c>
      <c r="B230" s="434" t="str">
        <f>VLOOKUP(A230,'Feature Raw Data'!$A$3:$B$3922,2,FALSE)</f>
        <v>SP src operand invalidated by td/lds return</v>
      </c>
      <c r="C230" s="435" t="str">
        <f>VLOOKUP(A230,'Feature Raw Data'!$A$3:$C$3922,3,FALSE)</f>
        <v>P2</v>
      </c>
      <c r="D230" s="436" t="str" cm="1">
        <f t="array" ref="D230">_xlfn.TEXTJOIN("",TRUE,IF(ISNUMBER(SEARCH($A230,'Diags Raw Data'!$A$6:$A$3830)),CONCATENATE('Diags Raw Data'!$H$6:$H$3830,", "),""))</f>
        <v xml:space="preserve">gci1310, </v>
      </c>
      <c r="E230" s="339" t="str">
        <f>VLOOKUP(A230,'Diags Raw Data'!$A$6:$D$3830,4,FALSE)</f>
        <v>SH</v>
      </c>
      <c r="F230" s="339" t="str">
        <f>VLOOKUP(A230,'Feature Raw Data'!$A$3:$E$3922,5,FALSE)</f>
        <v>New</v>
      </c>
      <c r="G230" s="339" t="str">
        <f t="shared" si="23"/>
        <v>Yes</v>
      </c>
      <c r="H230" s="339" t="str">
        <f t="shared" si="28"/>
        <v>Yes</v>
      </c>
      <c r="I230" s="435">
        <f>SUMIF('Diags Raw Data'!$A$6:$A$3830,"*"&amp;$A230&amp;"*",'Diags Raw Data'!$K$6:$K$3830)</f>
        <v>0</v>
      </c>
      <c r="J230" s="437">
        <f>SUMIF('Diags Raw Data'!$A$6:$A$3830,"*"&amp;$A230&amp;"*",'Diags Raw Data'!$L$6:$L$3830)</f>
        <v>0</v>
      </c>
      <c r="K230" s="484" t="e" cm="1">
        <f t="array" ref="K230">IF(D230="",0, SUMPRODUCT(--(ISNUMBER(SEARCH($A230,'Diags Raw Data'!$A$6:$A$3830))),'Diags Raw Data'!$L$6:$L$3830,'Diags Raw Data'!$N$6:$N$3830)/J230)</f>
        <v>#DIV/0!</v>
      </c>
      <c r="L230" s="485" t="e" cm="1">
        <f t="array" ref="L230">IF(D230="",0, SUMPRODUCT(--(ISNUMBER(SEARCH($A230,'Diags Raw Data'!$A$6:$A$3830))),'Diags Raw Data'!$L$6:$L$3830,'Diags Raw Data'!$P$6:$P$3830)/J230)</f>
        <v>#DIV/0!</v>
      </c>
      <c r="M230" s="486" cm="1">
        <f t="array" ref="M230">SUMPRODUCT(--(ISNUMBER(SEARCH($A230,'Diags Raw Data'!$A$6:$A$3830))),--('Diags Raw Data'!$Q$6:$Q$3830&lt;&gt;"N/A"),'Diags Raw Data'!$R$6:$R$3830)</f>
        <v>1</v>
      </c>
      <c r="N230" s="487" cm="1">
        <f t="array" ref="N230">SUMPRODUCT(--(ISNUMBER(SEARCH($A230,'Diags Raw Data'!$A$6:$A$3830))),--('Diags Raw Data'!$Q$6:$Q$3830&lt;&gt;"N/A"),'Diags Raw Data'!$T$6:$T$3830)+SUMPRODUCT(--(ISNUMBER(SEARCH($A230,'Diags Raw Data'!$A$6:$A$3830))),--('Diags Raw Data'!$Q$6:$Q$3830&lt;&gt;"N/A"),'Diags Raw Data'!$U$6:$U$3830)</f>
        <v>1</v>
      </c>
      <c r="O230" s="488">
        <f t="shared" si="37"/>
        <v>1</v>
      </c>
      <c r="P230" s="489">
        <f>SUMIF('Diags Raw Data'!$A$6:$A$3830,"*"&amp;$A230&amp;"*",'Diags Raw Data'!$Z$6:$Z$3830)</f>
        <v>0</v>
      </c>
      <c r="Q230" s="490">
        <f>SUM(SUMIF('Diags Raw Data'!$A$6:$A$3830,"*"&amp;$A230&amp;"*",'Diags Raw Data'!$AA$6:$AA$3830),SUMIF('Diags Raw Data'!$A$6:$A$3830,"*"&amp;$A230&amp;"*",'Diags Raw Data'!$AB$6:$AB$3830))</f>
        <v>0</v>
      </c>
      <c r="R230" s="491">
        <f t="shared" si="38"/>
        <v>0</v>
      </c>
      <c r="S230" s="491">
        <f t="shared" si="39"/>
        <v>0</v>
      </c>
      <c r="T230" s="492">
        <f t="shared" si="40"/>
        <v>0</v>
      </c>
      <c r="U230" s="432" t="str">
        <f>VLOOKUP(A230,'Diags Raw Data'!$A$6:$AH$3830,33,FALSE)</f>
        <v>WK6</v>
      </c>
      <c r="V230" s="181"/>
    </row>
    <row r="231" spans="1:22" ht="15.75" thickBot="1" x14ac:dyDescent="0.3">
      <c r="A231" s="546">
        <v>12.465999999999999</v>
      </c>
      <c r="B231" s="434" t="str">
        <f>VLOOKUP(A231,'Feature Raw Data'!$A$3:$B$3922,2,FALSE)</f>
        <v>Distributed DIDT controller</v>
      </c>
      <c r="C231" s="435" t="str">
        <f>VLOOKUP(A231,'Feature Raw Data'!$A$3:$C$3922,3,FALSE)</f>
        <v>P2</v>
      </c>
      <c r="D231" s="436" t="str" cm="1">
        <f t="array" ref="D231">_xlfn.TEXTJOIN("",TRUE,IF(ISNUMBER(SEARCH($A231,'Diags Raw Data'!$A$6:$A$3830)),CONCATENATE('Diags Raw Data'!$H$6:$H$3830,", "),""))</f>
        <v xml:space="preserve">N/A, </v>
      </c>
      <c r="E231" s="339" t="str">
        <f>VLOOKUP(A231,'Diags Raw Data'!$A$6:$D$3830,4,FALSE)</f>
        <v>CTL</v>
      </c>
      <c r="F231" s="339" t="str">
        <f>VLOOKUP(A231,'Feature Raw Data'!$A$3:$E$3922,5,FALSE)</f>
        <v>New</v>
      </c>
      <c r="G231" s="339" t="str">
        <f t="shared" si="23"/>
        <v>No</v>
      </c>
      <c r="H231" s="339" t="str">
        <f t="shared" si="28"/>
        <v>No</v>
      </c>
      <c r="I231" s="435">
        <f>SUMIF('Diags Raw Data'!$A$6:$A$3830,"*"&amp;$A231&amp;"*",'Diags Raw Data'!$K$6:$K$3830)</f>
        <v>0</v>
      </c>
      <c r="J231" s="437">
        <f>SUMIF('Diags Raw Data'!$A$6:$A$3830,"*"&amp;$A231&amp;"*",'Diags Raw Data'!$L$6:$L$3830)</f>
        <v>0</v>
      </c>
      <c r="K231" s="484" t="e" cm="1">
        <f t="array" ref="K231">IF(D231="",0, SUMPRODUCT(--(ISNUMBER(SEARCH($A231,'Diags Raw Data'!$A$6:$A$3830))),'Diags Raw Data'!$L$6:$L$3830,'Diags Raw Data'!$N$6:$N$3830)/J231)</f>
        <v>#DIV/0!</v>
      </c>
      <c r="L231" s="485" t="e" cm="1">
        <f t="array" ref="L231">IF(D231="",0, SUMPRODUCT(--(ISNUMBER(SEARCH($A231,'Diags Raw Data'!$A$6:$A$3830))),'Diags Raw Data'!$L$6:$L$3830,'Diags Raw Data'!$P$6:$P$3830)/J231)</f>
        <v>#DIV/0!</v>
      </c>
      <c r="M231" s="486" cm="1">
        <f t="array" ref="M231">SUMPRODUCT(--(ISNUMBER(SEARCH($A231,'Diags Raw Data'!$A$6:$A$3830))),--('Diags Raw Data'!$Q$6:$Q$3830&lt;&gt;"N/A"),'Diags Raw Data'!$R$6:$R$3830)</f>
        <v>1</v>
      </c>
      <c r="N231" s="487" cm="1">
        <f t="array" ref="N231">SUMPRODUCT(--(ISNUMBER(SEARCH($A231,'Diags Raw Data'!$A$6:$A$3830))),--('Diags Raw Data'!$Q$6:$Q$3830&lt;&gt;"N/A"),'Diags Raw Data'!$T$6:$T$3830)+SUMPRODUCT(--(ISNUMBER(SEARCH($A231,'Diags Raw Data'!$A$6:$A$3830))),--('Diags Raw Data'!$Q$6:$Q$3830&lt;&gt;"N/A"),'Diags Raw Data'!$U$6:$U$3830)</f>
        <v>0</v>
      </c>
      <c r="O231" s="488">
        <f t="shared" si="37"/>
        <v>0</v>
      </c>
      <c r="P231" s="489">
        <f>SUMIF('Diags Raw Data'!$A$6:$A$3830,"*"&amp;$A231&amp;"*",'Diags Raw Data'!$Z$6:$Z$3830)</f>
        <v>0</v>
      </c>
      <c r="Q231" s="490">
        <f>SUM(SUMIF('Diags Raw Data'!$A$6:$A$3830,"*"&amp;$A231&amp;"*",'Diags Raw Data'!$AA$6:$AA$3830),SUMIF('Diags Raw Data'!$A$6:$A$3830,"*"&amp;$A231&amp;"*",'Diags Raw Data'!$AB$6:$AB$3830))</f>
        <v>0</v>
      </c>
      <c r="R231" s="491">
        <f t="shared" si="38"/>
        <v>0</v>
      </c>
      <c r="S231" s="491">
        <f t="shared" si="39"/>
        <v>0</v>
      </c>
      <c r="T231" s="492">
        <f t="shared" si="40"/>
        <v>0</v>
      </c>
      <c r="U231" s="432" t="str">
        <f>VLOOKUP(A231,'Diags Raw Data'!$A$6:$AH$3830,33,FALSE)</f>
        <v>WK8</v>
      </c>
      <c r="V231" s="181"/>
    </row>
    <row r="232" spans="1:22" ht="15.75" thickBot="1" x14ac:dyDescent="0.3">
      <c r="A232" s="546">
        <v>12.467000000000001</v>
      </c>
      <c r="B232" s="434" t="str">
        <f>VLOOKUP(A232,'Feature Raw Data'!$A$3:$B$3922,2,FALSE)</f>
        <v>GRBM/H SYNC registers</v>
      </c>
      <c r="C232" s="435" t="str">
        <f>VLOOKUP(A232,'Feature Raw Data'!$A$3:$C$3922,3,FALSE)</f>
        <v>P1</v>
      </c>
      <c r="D232" s="436" t="str" cm="1">
        <f t="array" ref="D232">_xlfn.TEXTJOIN("",TRUE,IF(ISNUMBER(SEARCH($A232,'Diags Raw Data'!$A$6:$A$3830)),CONCATENATE('Diags Raw Data'!$H$6:$H$3830,", "),""))</f>
        <v xml:space="preserve">cpi415.1-2, </v>
      </c>
      <c r="E232" s="339" t="str">
        <f>VLOOKUP(A232,'Diags Raw Data'!$A$6:$D$3830,4,FALSE)</f>
        <v>CTL</v>
      </c>
      <c r="F232" s="339" t="str">
        <f>VLOOKUP(A232,'Feature Raw Data'!$A$3:$E$3922,5,FALSE)</f>
        <v>New</v>
      </c>
      <c r="G232" s="339" t="str">
        <f t="shared" si="23"/>
        <v>Yes</v>
      </c>
      <c r="H232" s="339" t="str">
        <f t="shared" si="28"/>
        <v>Yes</v>
      </c>
      <c r="I232" s="435">
        <f>SUMIF('Diags Raw Data'!$A$6:$A$3830,"*"&amp;$A232&amp;"*",'Diags Raw Data'!$K$6:$K$3830)</f>
        <v>0</v>
      </c>
      <c r="J232" s="437">
        <f>SUMIF('Diags Raw Data'!$A$6:$A$3830,"*"&amp;$A232&amp;"*",'Diags Raw Data'!$L$6:$L$3830)</f>
        <v>0</v>
      </c>
      <c r="K232" s="484" t="e" cm="1">
        <f t="array" ref="K232">IF(D232="",0, SUMPRODUCT(--(ISNUMBER(SEARCH($A232,'Diags Raw Data'!$A$6:$A$3830))),'Diags Raw Data'!$L$6:$L$3830,'Diags Raw Data'!$N$6:$N$3830)/J232)</f>
        <v>#DIV/0!</v>
      </c>
      <c r="L232" s="485" t="e" cm="1">
        <f t="array" ref="L232">IF(D232="",0, SUMPRODUCT(--(ISNUMBER(SEARCH($A232,'Diags Raw Data'!$A$6:$A$3830))),'Diags Raw Data'!$L$6:$L$3830,'Diags Raw Data'!$P$6:$P$3830)/J232)</f>
        <v>#DIV/0!</v>
      </c>
      <c r="M232" s="486" cm="1">
        <f t="array" ref="M232">SUMPRODUCT(--(ISNUMBER(SEARCH($A232,'Diags Raw Data'!$A$6:$A$3830))),--('Diags Raw Data'!$Q$6:$Q$3830&lt;&gt;"N/A"),'Diags Raw Data'!$R$6:$R$3830)</f>
        <v>2</v>
      </c>
      <c r="N232" s="487" cm="1">
        <f t="array" ref="N232">SUMPRODUCT(--(ISNUMBER(SEARCH($A232,'Diags Raw Data'!$A$6:$A$3830))),--('Diags Raw Data'!$Q$6:$Q$3830&lt;&gt;"N/A"),'Diags Raw Data'!$T$6:$T$3830)+SUMPRODUCT(--(ISNUMBER(SEARCH($A232,'Diags Raw Data'!$A$6:$A$3830))),--('Diags Raw Data'!$Q$6:$Q$3830&lt;&gt;"N/A"),'Diags Raw Data'!$U$6:$U$3830)</f>
        <v>0</v>
      </c>
      <c r="O232" s="488">
        <f t="shared" si="37"/>
        <v>0</v>
      </c>
      <c r="P232" s="489">
        <f>SUMIF('Diags Raw Data'!$A$6:$A$3830,"*"&amp;$A232&amp;"*",'Diags Raw Data'!$Z$6:$Z$3830)</f>
        <v>0</v>
      </c>
      <c r="Q232" s="490">
        <f>SUM(SUMIF('Diags Raw Data'!$A$6:$A$3830,"*"&amp;$A232&amp;"*",'Diags Raw Data'!$AA$6:$AA$3830),SUMIF('Diags Raw Data'!$A$6:$A$3830,"*"&amp;$A232&amp;"*",'Diags Raw Data'!$AB$6:$AB$3830))</f>
        <v>0</v>
      </c>
      <c r="R232" s="491">
        <f t="shared" si="38"/>
        <v>0</v>
      </c>
      <c r="S232" s="491">
        <f t="shared" si="39"/>
        <v>0</v>
      </c>
      <c r="T232" s="492">
        <f t="shared" si="40"/>
        <v>0</v>
      </c>
      <c r="U232" s="432" t="str">
        <f>VLOOKUP(A232,'Diags Raw Data'!$A$6:$AH$3830,33,FALSE)</f>
        <v>WK3</v>
      </c>
      <c r="V232" s="181"/>
    </row>
    <row r="233" spans="1:22" ht="45.75" thickBot="1" x14ac:dyDescent="0.3">
      <c r="A233" s="546">
        <v>12.468</v>
      </c>
      <c r="B233" s="434" t="str">
        <f>VLOOKUP(A233,'Feature Raw Data'!$A$3:$B$3922,2,FALSE)</f>
        <v>RS64: Adding performance features for both Navi4x and MI400</v>
      </c>
      <c r="C233" s="435" t="str">
        <f>VLOOKUP(A233,'Feature Raw Data'!$A$3:$C$3922,3,FALSE)</f>
        <v>P2</v>
      </c>
      <c r="D233" s="436" t="str" cm="1">
        <f t="array" ref="D233">_xlfn.TEXTJOIN("",TRUE,IF(ISNUMBER(SEARCH($A233,'Diags Raw Data'!$A$6:$A$3830)),CONCATENATE('Diags Raw Data'!$H$6:$H$3830,", "),""))</f>
        <v xml:space="preserve">N/A, </v>
      </c>
      <c r="E233" s="339" t="str">
        <f>VLOOKUP(A233,'Diags Raw Data'!$A$6:$D$3830,4,FALSE)</f>
        <v>CTL</v>
      </c>
      <c r="F233" s="339" t="str">
        <f>VLOOKUP(A233,'Feature Raw Data'!$A$3:$E$3922,5,FALSE)</f>
        <v>New</v>
      </c>
      <c r="G233" s="339" t="str">
        <f t="shared" si="23"/>
        <v>No</v>
      </c>
      <c r="H233" s="339" t="str">
        <f t="shared" si="28"/>
        <v>No</v>
      </c>
      <c r="I233" s="435">
        <f>SUMIF('Diags Raw Data'!$A$6:$A$3830,"*"&amp;$A233&amp;"*",'Diags Raw Data'!$K$6:$K$3830)</f>
        <v>0</v>
      </c>
      <c r="J233" s="437">
        <f>SUMIF('Diags Raw Data'!$A$6:$A$3830,"*"&amp;$A233&amp;"*",'Diags Raw Data'!$L$6:$L$3830)</f>
        <v>0</v>
      </c>
      <c r="K233" s="484" t="e" cm="1">
        <f t="array" ref="K233">IF(D233="",0, SUMPRODUCT(--(ISNUMBER(SEARCH($A233,'Diags Raw Data'!$A$6:$A$3830))),'Diags Raw Data'!$L$6:$L$3830,'Diags Raw Data'!$N$6:$N$3830)/J233)</f>
        <v>#DIV/0!</v>
      </c>
      <c r="L233" s="485" t="e" cm="1">
        <f t="array" ref="L233">IF(D233="",0, SUMPRODUCT(--(ISNUMBER(SEARCH($A233,'Diags Raw Data'!$A$6:$A$3830))),'Diags Raw Data'!$L$6:$L$3830,'Diags Raw Data'!$P$6:$P$3830)/J233)</f>
        <v>#DIV/0!</v>
      </c>
      <c r="M233" s="486" cm="1">
        <f t="array" ref="M233">SUMPRODUCT(--(ISNUMBER(SEARCH($A233,'Diags Raw Data'!$A$6:$A$3830))),--('Diags Raw Data'!$Q$6:$Q$3830&lt;&gt;"N/A"),'Diags Raw Data'!$R$6:$R$3830)</f>
        <v>0</v>
      </c>
      <c r="N233" s="487" cm="1">
        <f t="array" ref="N233">SUMPRODUCT(--(ISNUMBER(SEARCH($A233,'Diags Raw Data'!$A$6:$A$3830))),--('Diags Raw Data'!$Q$6:$Q$3830&lt;&gt;"N/A"),'Diags Raw Data'!$T$6:$T$3830)+SUMPRODUCT(--(ISNUMBER(SEARCH($A233,'Diags Raw Data'!$A$6:$A$3830))),--('Diags Raw Data'!$Q$6:$Q$3830&lt;&gt;"N/A"),'Diags Raw Data'!$U$6:$U$3830)</f>
        <v>0</v>
      </c>
      <c r="O233" s="488">
        <f t="shared" si="37"/>
        <v>0</v>
      </c>
      <c r="P233" s="489">
        <f>SUMIF('Diags Raw Data'!$A$6:$A$3830,"*"&amp;$A233&amp;"*",'Diags Raw Data'!$Z$6:$Z$3830)</f>
        <v>0</v>
      </c>
      <c r="Q233" s="490">
        <f>SUM(SUMIF('Diags Raw Data'!$A$6:$A$3830,"*"&amp;$A233&amp;"*",'Diags Raw Data'!$AA$6:$AA$3830),SUMIF('Diags Raw Data'!$A$6:$A$3830,"*"&amp;$A233&amp;"*",'Diags Raw Data'!$AB$6:$AB$3830))</f>
        <v>0</v>
      </c>
      <c r="R233" s="491">
        <f t="shared" si="38"/>
        <v>0</v>
      </c>
      <c r="S233" s="491">
        <f t="shared" si="39"/>
        <v>0</v>
      </c>
      <c r="T233" s="492">
        <f t="shared" si="40"/>
        <v>0</v>
      </c>
      <c r="U233" s="432" t="str">
        <f>VLOOKUP(A233,'Diags Raw Data'!$A$6:$AH$3830,33,FALSE)</f>
        <v>N/A</v>
      </c>
      <c r="V233" s="181"/>
    </row>
    <row r="234" spans="1:22" ht="30.75" thickBot="1" x14ac:dyDescent="0.3">
      <c r="A234" s="546">
        <v>12.468999999999999</v>
      </c>
      <c r="B234" s="434" t="str">
        <f>VLOOKUP(A234,'Feature Raw Data'!$A$3:$B$3922,2,FALSE)</f>
        <v>F8 1.4.3 IEEE mode behavior change (match with NV)</v>
      </c>
      <c r="C234" s="435" t="str">
        <f>VLOOKUP(A234,'Feature Raw Data'!$A$3:$C$3922,3,FALSE)</f>
        <v>P2</v>
      </c>
      <c r="D234" s="436" t="str" cm="1">
        <f t="array" ref="D234">_xlfn.TEXTJOIN("",TRUE,IF(ISNUMBER(SEARCH($A234,'Diags Raw Data'!$A$6:$A$3830)),CONCATENATE('Diags Raw Data'!$H$6:$H$3830,", "),""))</f>
        <v xml:space="preserve">gci1309.0-3, </v>
      </c>
      <c r="E234" s="339" t="str">
        <f>VLOOKUP(A234,'Diags Raw Data'!$A$6:$D$3830,4,FALSE)</f>
        <v>SH</v>
      </c>
      <c r="F234" s="339" t="str">
        <f>VLOOKUP(A234,'Feature Raw Data'!$A$3:$E$3922,5,FALSE)</f>
        <v>New</v>
      </c>
      <c r="G234" s="339" t="str">
        <f t="shared" si="23"/>
        <v>Yes</v>
      </c>
      <c r="H234" s="339" t="str">
        <f t="shared" si="28"/>
        <v>Yes</v>
      </c>
      <c r="I234" s="435">
        <f>SUMIF('Diags Raw Data'!$A$6:$A$3830,"*"&amp;$A234&amp;"*",'Diags Raw Data'!$K$6:$K$3830)</f>
        <v>0</v>
      </c>
      <c r="J234" s="437">
        <f>SUMIF('Diags Raw Data'!$A$6:$A$3830,"*"&amp;$A234&amp;"*",'Diags Raw Data'!$L$6:$L$3830)</f>
        <v>0</v>
      </c>
      <c r="K234" s="484" t="e" cm="1">
        <f t="array" ref="K234">IF(D234="",0, SUMPRODUCT(--(ISNUMBER(SEARCH($A234,'Diags Raw Data'!$A$6:$A$3830))),'Diags Raw Data'!$L$6:$L$3830,'Diags Raw Data'!$N$6:$N$3830)/J234)</f>
        <v>#DIV/0!</v>
      </c>
      <c r="L234" s="485" t="e" cm="1">
        <f t="array" ref="L234">IF(D234="",0, SUMPRODUCT(--(ISNUMBER(SEARCH($A234,'Diags Raw Data'!$A$6:$A$3830))),'Diags Raw Data'!$L$6:$L$3830,'Diags Raw Data'!$P$6:$P$3830)/J234)</f>
        <v>#DIV/0!</v>
      </c>
      <c r="M234" s="486" cm="1">
        <f t="array" ref="M234">SUMPRODUCT(--(ISNUMBER(SEARCH($A234,'Diags Raw Data'!$A$6:$A$3830))),--('Diags Raw Data'!$Q$6:$Q$3830&lt;&gt;"N/A"),'Diags Raw Data'!$R$6:$R$3830)</f>
        <v>4</v>
      </c>
      <c r="N234" s="487" cm="1">
        <f t="array" ref="N234">SUMPRODUCT(--(ISNUMBER(SEARCH($A234,'Diags Raw Data'!$A$6:$A$3830))),--('Diags Raw Data'!$Q$6:$Q$3830&lt;&gt;"N/A"),'Diags Raw Data'!$T$6:$T$3830)+SUMPRODUCT(--(ISNUMBER(SEARCH($A234,'Diags Raw Data'!$A$6:$A$3830))),--('Diags Raw Data'!$Q$6:$Q$3830&lt;&gt;"N/A"),'Diags Raw Data'!$U$6:$U$3830)</f>
        <v>4</v>
      </c>
      <c r="O234" s="488">
        <f t="shared" si="37"/>
        <v>1</v>
      </c>
      <c r="P234" s="489">
        <f>SUMIF('Diags Raw Data'!$A$6:$A$3830,"*"&amp;$A234&amp;"*",'Diags Raw Data'!$Z$6:$Z$3830)</f>
        <v>0</v>
      </c>
      <c r="Q234" s="490">
        <f>SUM(SUMIF('Diags Raw Data'!$A$6:$A$3830,"*"&amp;$A234&amp;"*",'Diags Raw Data'!$AA$6:$AA$3830),SUMIF('Diags Raw Data'!$A$6:$A$3830,"*"&amp;$A234&amp;"*",'Diags Raw Data'!$AB$6:$AB$3830))</f>
        <v>0</v>
      </c>
      <c r="R234" s="491">
        <f t="shared" si="38"/>
        <v>0</v>
      </c>
      <c r="S234" s="491">
        <f t="shared" si="39"/>
        <v>0</v>
      </c>
      <c r="T234" s="492">
        <f t="shared" si="40"/>
        <v>0</v>
      </c>
      <c r="U234" s="432" t="str">
        <f>VLOOKUP(A234,'Diags Raw Data'!$A$6:$AH$3830,33,FALSE)</f>
        <v>WK7</v>
      </c>
      <c r="V234" s="181"/>
    </row>
    <row r="235" spans="1:22" ht="60.75" thickBot="1" x14ac:dyDescent="0.3">
      <c r="A235" s="546">
        <v>12.47</v>
      </c>
      <c r="B235" s="434" t="str">
        <f>VLOOKUP(A235,'Feature Raw Data'!$A$3:$B$3922,2,FALSE)</f>
        <v>RS64: No support for OOO IO read and write memory transactions</v>
      </c>
      <c r="C235" s="435" t="str">
        <f>VLOOKUP(A235,'Feature Raw Data'!$A$3:$C$3922,3,FALSE)</f>
        <v>P1</v>
      </c>
      <c r="D235" s="436" t="str" cm="1">
        <f t="array" ref="D235">_xlfn.TEXTJOIN("",TRUE,IF(ISNUMBER(SEARCH($A235,'Diags Raw Data'!$A$6:$A$3830)),CONCATENATE('Diags Raw Data'!$H$6:$H$3830,", "),""))</f>
        <v xml:space="preserve">gmhub.athub_raw_monolithic_test/CPWD, gfx.sr_stat, gfx.inst_perf.1-5,gci39.1-6, placeholder_b.1, , N/A, N/A, N/A, </v>
      </c>
      <c r="E235" s="339" t="str">
        <f>VLOOKUP(A235,'Diags Raw Data'!$A$6:$D$3830,4,FALSE)</f>
        <v>CMM</v>
      </c>
      <c r="F235" s="339" t="str">
        <f>VLOOKUP(A235,'Feature Raw Data'!$A$3:$E$3922,5,FALSE)</f>
        <v>New</v>
      </c>
      <c r="G235" s="339" t="str">
        <f t="shared" si="23"/>
        <v>Yes</v>
      </c>
      <c r="H235" s="339" t="str">
        <f t="shared" si="28"/>
        <v>Yes</v>
      </c>
      <c r="I235" s="435">
        <f>SUMIF('Diags Raw Data'!$A$6:$A$3830,"*"&amp;$A235&amp;"*",'Diags Raw Data'!$K$6:$K$3830)</f>
        <v>0</v>
      </c>
      <c r="J235" s="437">
        <f>SUMIF('Diags Raw Data'!$A$6:$A$3830,"*"&amp;$A235&amp;"*",'Diags Raw Data'!$L$6:$L$3830)</f>
        <v>0</v>
      </c>
      <c r="K235" s="484" t="e" cm="1">
        <f t="array" ref="K235">IF(D235="",0, SUMPRODUCT(--(ISNUMBER(SEARCH($A235,'Diags Raw Data'!$A$6:$A$3830))),'Diags Raw Data'!$L$6:$L$3830,'Diags Raw Data'!$N$6:$N$3830)/J235)</f>
        <v>#DIV/0!</v>
      </c>
      <c r="L235" s="485" t="e" cm="1">
        <f t="array" ref="L235">IF(D235="",0, SUMPRODUCT(--(ISNUMBER(SEARCH($A235,'Diags Raw Data'!$A$6:$A$3830))),'Diags Raw Data'!$L$6:$L$3830,'Diags Raw Data'!$P$6:$P$3830)/J235)</f>
        <v>#DIV/0!</v>
      </c>
      <c r="M235" s="486" cm="1">
        <f t="array" ref="M235">SUMPRODUCT(--(ISNUMBER(SEARCH($A235,'Diags Raw Data'!$A$6:$A$3830))),--('Diags Raw Data'!$Q$6:$Q$3830&lt;&gt;"N/A"),'Diags Raw Data'!$R$6:$R$3830)</f>
        <v>15</v>
      </c>
      <c r="N235" s="487" cm="1">
        <f t="array" ref="N235">SUMPRODUCT(--(ISNUMBER(SEARCH($A235,'Diags Raw Data'!$A$6:$A$3830))),--('Diags Raw Data'!$Q$6:$Q$3830&lt;&gt;"N/A"),'Diags Raw Data'!$T$6:$T$3830)+SUMPRODUCT(--(ISNUMBER(SEARCH($A235,'Diags Raw Data'!$A$6:$A$3830))),--('Diags Raw Data'!$Q$6:$Q$3830&lt;&gt;"N/A"),'Diags Raw Data'!$U$6:$U$3830)</f>
        <v>11</v>
      </c>
      <c r="O235" s="488">
        <f t="shared" si="37"/>
        <v>0.73333333333333328</v>
      </c>
      <c r="P235" s="489">
        <f>SUMIF('Diags Raw Data'!$A$6:$A$3830,"*"&amp;$A235&amp;"*",'Diags Raw Data'!$Z$6:$Z$3830)</f>
        <v>0</v>
      </c>
      <c r="Q235" s="490">
        <f>SUM(SUMIF('Diags Raw Data'!$A$6:$A$3830,"*"&amp;$A235&amp;"*",'Diags Raw Data'!$AA$6:$AA$3830),SUMIF('Diags Raw Data'!$A$6:$A$3830,"*"&amp;$A235&amp;"*",'Diags Raw Data'!$AB$6:$AB$3830))</f>
        <v>0</v>
      </c>
      <c r="R235" s="491">
        <f t="shared" si="38"/>
        <v>0</v>
      </c>
      <c r="S235" s="491">
        <f t="shared" si="39"/>
        <v>0</v>
      </c>
      <c r="T235" s="492">
        <f t="shared" si="40"/>
        <v>0</v>
      </c>
      <c r="U235" s="432" t="str">
        <f>VLOOKUP(A235,'Diags Raw Data'!$A$6:$AH$3830,33,FALSE)</f>
        <v>WK5</v>
      </c>
      <c r="V235" s="181"/>
    </row>
    <row r="236" spans="1:22" ht="45.75" thickBot="1" x14ac:dyDescent="0.3">
      <c r="A236" s="546">
        <v>12.471</v>
      </c>
      <c r="B236" s="434" t="str">
        <f>VLOOKUP(A236,'Feature Raw Data'!$A$3:$B$3922,2,FALSE)</f>
        <v>Save and Restore of perfcounter and ttrace enable for GFXOFF/SRIOV</v>
      </c>
      <c r="C236" s="435" t="str">
        <f>VLOOKUP(A236,'Feature Raw Data'!$A$3:$C$3922,3,FALSE)</f>
        <v>P2</v>
      </c>
      <c r="D236" s="436" t="str" cm="1">
        <f t="array" ref="D236">_xlfn.TEXTJOIN("",TRUE,IF(ISNUMBER(SEARCH($A236,'Diags Raw Data'!$A$6:$A$3830)),CONCATENATE('Diags Raw Data'!$H$6:$H$3830,", "),""))</f>
        <v xml:space="preserve">gfx.sr_stat, </v>
      </c>
      <c r="E236" s="339" t="str">
        <f>VLOOKUP(A236,'Diags Raw Data'!$A$6:$D$3830,4,FALSE)</f>
        <v>SIO</v>
      </c>
      <c r="F236" s="339" t="str">
        <f>VLOOKUP(A236,'Feature Raw Data'!$A$3:$E$3922,5,FALSE)</f>
        <v>New</v>
      </c>
      <c r="G236" s="339" t="str">
        <f t="shared" si="23"/>
        <v>Yes</v>
      </c>
      <c r="H236" s="339" t="str">
        <f t="shared" si="28"/>
        <v>Yes</v>
      </c>
      <c r="I236" s="435">
        <f>SUMIF('Diags Raw Data'!$A$6:$A$3830,"*"&amp;$A236&amp;"*",'Diags Raw Data'!$K$6:$K$3830)</f>
        <v>0</v>
      </c>
      <c r="J236" s="437">
        <f>SUMIF('Diags Raw Data'!$A$6:$A$3830,"*"&amp;$A236&amp;"*",'Diags Raw Data'!$L$6:$L$3830)</f>
        <v>0</v>
      </c>
      <c r="K236" s="484" t="e" cm="1">
        <f t="array" ref="K236">IF(D236="",0, SUMPRODUCT(--(ISNUMBER(SEARCH($A236,'Diags Raw Data'!$A$6:$A$3830))),'Diags Raw Data'!$L$6:$L$3830,'Diags Raw Data'!$N$6:$N$3830)/J236)</f>
        <v>#DIV/0!</v>
      </c>
      <c r="L236" s="485" t="e" cm="1">
        <f t="array" ref="L236">IF(D236="",0, SUMPRODUCT(--(ISNUMBER(SEARCH($A236,'Diags Raw Data'!$A$6:$A$3830))),'Diags Raw Data'!$L$6:$L$3830,'Diags Raw Data'!$P$6:$P$3830)/J236)</f>
        <v>#DIV/0!</v>
      </c>
      <c r="M236" s="486" cm="1">
        <f t="array" ref="M236">SUMPRODUCT(--(ISNUMBER(SEARCH($A236,'Diags Raw Data'!$A$6:$A$3830))),--('Diags Raw Data'!$Q$6:$Q$3830&lt;&gt;"N/A"),'Diags Raw Data'!$R$6:$R$3830)</f>
        <v>1</v>
      </c>
      <c r="N236" s="487" cm="1">
        <f t="array" ref="N236">SUMPRODUCT(--(ISNUMBER(SEARCH($A236,'Diags Raw Data'!$A$6:$A$3830))),--('Diags Raw Data'!$Q$6:$Q$3830&lt;&gt;"N/A"),'Diags Raw Data'!$T$6:$T$3830)+SUMPRODUCT(--(ISNUMBER(SEARCH($A236,'Diags Raw Data'!$A$6:$A$3830))),--('Diags Raw Data'!$Q$6:$Q$3830&lt;&gt;"N/A"),'Diags Raw Data'!$U$6:$U$3830)</f>
        <v>0</v>
      </c>
      <c r="O236" s="488">
        <f t="shared" si="37"/>
        <v>0</v>
      </c>
      <c r="P236" s="489">
        <f>SUMIF('Diags Raw Data'!$A$6:$A$3830,"*"&amp;$A236&amp;"*",'Diags Raw Data'!$Z$6:$Z$3830)</f>
        <v>0</v>
      </c>
      <c r="Q236" s="490">
        <f>SUM(SUMIF('Diags Raw Data'!$A$6:$A$3830,"*"&amp;$A236&amp;"*",'Diags Raw Data'!$AA$6:$AA$3830),SUMIF('Diags Raw Data'!$A$6:$A$3830,"*"&amp;$A236&amp;"*",'Diags Raw Data'!$AB$6:$AB$3830))</f>
        <v>0</v>
      </c>
      <c r="R236" s="491">
        <f t="shared" si="38"/>
        <v>0</v>
      </c>
      <c r="S236" s="491">
        <f t="shared" si="39"/>
        <v>0</v>
      </c>
      <c r="T236" s="492">
        <f t="shared" si="40"/>
        <v>0</v>
      </c>
      <c r="U236" s="432" t="str">
        <f>VLOOKUP(A236,'Diags Raw Data'!$A$6:$AH$3830,33,FALSE)</f>
        <v>WK8</v>
      </c>
      <c r="V236" s="181"/>
    </row>
    <row r="237" spans="1:22" ht="30.75" thickBot="1" x14ac:dyDescent="0.3">
      <c r="A237" s="546">
        <v>12.473000000000001</v>
      </c>
      <c r="B237" s="434" t="str">
        <f>VLOOKUP(A237,'Feature Raw Data'!$A$3:$B$3922,2,FALSE)</f>
        <v>GL2 shared across all SEs for Navi44/48</v>
      </c>
      <c r="C237" s="435" t="str">
        <f>VLOOKUP(A237,'Feature Raw Data'!$A$3:$C$3922,3,FALSE)</f>
        <v>P1</v>
      </c>
      <c r="D237" s="436" t="str" cm="1">
        <f t="array" ref="D237">_xlfn.TEXTJOIN("",TRUE,IF(ISNUMBER(SEARCH($A237,'Diags Raw Data'!$A$6:$A$3830)),CONCATENATE('Diags Raw Data'!$H$6:$H$3830,", "),""))</f>
        <v xml:space="preserve">, </v>
      </c>
      <c r="E237" s="339" t="str">
        <f>VLOOKUP(A237,'Diags Raw Data'!$A$6:$D$3830,4,FALSE)</f>
        <v>CMM</v>
      </c>
      <c r="F237" s="339" t="str">
        <f>VLOOKUP(A237,'Feature Raw Data'!$A$3:$E$3922,5,FALSE)</f>
        <v>New</v>
      </c>
      <c r="G237" s="339" t="str">
        <f t="shared" si="23"/>
        <v>Yes</v>
      </c>
      <c r="H237" s="339" t="str">
        <f t="shared" si="28"/>
        <v>Yes</v>
      </c>
      <c r="I237" s="435">
        <f>SUMIF('Diags Raw Data'!$A$6:$A$3830,"*"&amp;$A237&amp;"*",'Diags Raw Data'!$K$6:$K$3830)</f>
        <v>0</v>
      </c>
      <c r="J237" s="437">
        <f>SUMIF('Diags Raw Data'!$A$6:$A$3830,"*"&amp;$A237&amp;"*",'Diags Raw Data'!$L$6:$L$3830)</f>
        <v>0</v>
      </c>
      <c r="K237" s="484" t="e" cm="1">
        <f t="array" ref="K237">IF(D237="",0, SUMPRODUCT(--(ISNUMBER(SEARCH($A237,'Diags Raw Data'!$A$6:$A$3830))),'Diags Raw Data'!$L$6:$L$3830,'Diags Raw Data'!$N$6:$N$3830)/J237)</f>
        <v>#DIV/0!</v>
      </c>
      <c r="L237" s="485" t="e" cm="1">
        <f t="array" ref="L237">IF(D237="",0, SUMPRODUCT(--(ISNUMBER(SEARCH($A237,'Diags Raw Data'!$A$6:$A$3830))),'Diags Raw Data'!$L$6:$L$3830,'Diags Raw Data'!$P$6:$P$3830)/J237)</f>
        <v>#DIV/0!</v>
      </c>
      <c r="M237" s="486" cm="1">
        <f t="array" ref="M237">SUMPRODUCT(--(ISNUMBER(SEARCH($A237,'Diags Raw Data'!$A$6:$A$3830))),--('Diags Raw Data'!$Q$6:$Q$3830&lt;&gt;"N/A"),'Diags Raw Data'!$R$6:$R$3830)</f>
        <v>1</v>
      </c>
      <c r="N237" s="487" cm="1">
        <f t="array" ref="N237">SUMPRODUCT(--(ISNUMBER(SEARCH($A237,'Diags Raw Data'!$A$6:$A$3830))),--('Diags Raw Data'!$Q$6:$Q$3830&lt;&gt;"N/A"),'Diags Raw Data'!$T$6:$T$3830)+SUMPRODUCT(--(ISNUMBER(SEARCH($A237,'Diags Raw Data'!$A$6:$A$3830))),--('Diags Raw Data'!$Q$6:$Q$3830&lt;&gt;"N/A"),'Diags Raw Data'!$U$6:$U$3830)</f>
        <v>0</v>
      </c>
      <c r="O237" s="488">
        <f t="shared" si="37"/>
        <v>0</v>
      </c>
      <c r="P237" s="489">
        <f>SUMIF('Diags Raw Data'!$A$6:$A$3830,"*"&amp;$A237&amp;"*",'Diags Raw Data'!$Z$6:$Z$3830)</f>
        <v>0</v>
      </c>
      <c r="Q237" s="490">
        <f>SUM(SUMIF('Diags Raw Data'!$A$6:$A$3830,"*"&amp;$A237&amp;"*",'Diags Raw Data'!$AA$6:$AA$3830),SUMIF('Diags Raw Data'!$A$6:$A$3830,"*"&amp;$A237&amp;"*",'Diags Raw Data'!$AB$6:$AB$3830))</f>
        <v>0</v>
      </c>
      <c r="R237" s="491">
        <f t="shared" si="38"/>
        <v>0</v>
      </c>
      <c r="S237" s="491">
        <f t="shared" si="39"/>
        <v>0</v>
      </c>
      <c r="T237" s="492">
        <f t="shared" si="40"/>
        <v>0</v>
      </c>
      <c r="U237" s="432" t="str">
        <f>VLOOKUP(A237,'Diags Raw Data'!$A$6:$AH$3830,33,FALSE)</f>
        <v>WK5</v>
      </c>
      <c r="V237" s="181"/>
    </row>
    <row r="238" spans="1:22" ht="15.75" thickBot="1" x14ac:dyDescent="0.3">
      <c r="A238" s="546">
        <v>12.474</v>
      </c>
      <c r="B238" s="434" t="str">
        <f>VLOOKUP(A238,'Feature Raw Data'!$A$3:$B$3922,2,FALSE)</f>
        <v>2x MLOPs performance</v>
      </c>
      <c r="C238" s="435" t="str">
        <f>VLOOKUP(A238,'Feature Raw Data'!$A$3:$C$3922,3,FALSE)</f>
        <v>P2</v>
      </c>
      <c r="D238" s="436" t="str" cm="1">
        <f t="array" ref="D238">_xlfn.TEXTJOIN("",TRUE,IF(ISNUMBER(SEARCH($A238,'Diags Raw Data'!$A$6:$A$3830)),CONCATENATE('Diags Raw Data'!$H$6:$H$3830,", "),""))</f>
        <v xml:space="preserve">gfx.inst_perf.1-5,gci39.1-6, </v>
      </c>
      <c r="E238" s="339" t="str">
        <f>VLOOKUP(A238,'Diags Raw Data'!$A$6:$D$3830,4,FALSE)</f>
        <v>SH</v>
      </c>
      <c r="F238" s="339" t="str">
        <f>VLOOKUP(A238,'Feature Raw Data'!$A$3:$E$3922,5,FALSE)</f>
        <v>New</v>
      </c>
      <c r="G238" s="339" t="str">
        <f t="shared" ref="G238:G258" si="41">IF(D238="N/A, ","No","Yes")</f>
        <v>Yes</v>
      </c>
      <c r="H238" s="339" t="str">
        <f t="shared" ref="H238:H258" si="42">IF(D238="N/A, ","No","Yes")</f>
        <v>Yes</v>
      </c>
      <c r="I238" s="435">
        <f>SUMIF('Diags Raw Data'!$A$6:$A$3830,"*"&amp;$A238&amp;"*",'Diags Raw Data'!$K$6:$K$3830)</f>
        <v>0</v>
      </c>
      <c r="J238" s="437">
        <f>SUMIF('Diags Raw Data'!$A$6:$A$3830,"*"&amp;$A238&amp;"*",'Diags Raw Data'!$L$6:$L$3830)</f>
        <v>0</v>
      </c>
      <c r="K238" s="484" t="e" cm="1">
        <f t="array" ref="K238">IF(D238="",0, SUMPRODUCT(--(ISNUMBER(SEARCH($A238,'Diags Raw Data'!$A$6:$A$3830))),'Diags Raw Data'!$L$6:$L$3830,'Diags Raw Data'!$N$6:$N$3830)/J238)</f>
        <v>#DIV/0!</v>
      </c>
      <c r="L238" s="485" t="e" cm="1">
        <f t="array" ref="L238">IF(D238="",0, SUMPRODUCT(--(ISNUMBER(SEARCH($A238,'Diags Raw Data'!$A$6:$A$3830))),'Diags Raw Data'!$L$6:$L$3830,'Diags Raw Data'!$P$6:$P$3830)/J238)</f>
        <v>#DIV/0!</v>
      </c>
      <c r="M238" s="486" cm="1">
        <f t="array" ref="M238">SUMPRODUCT(--(ISNUMBER(SEARCH($A238,'Diags Raw Data'!$A$6:$A$3830))),--('Diags Raw Data'!$Q$6:$Q$3830&lt;&gt;"N/A"),'Diags Raw Data'!$R$6:$R$3830)</f>
        <v>11</v>
      </c>
      <c r="N238" s="487" cm="1">
        <f t="array" ref="N238">SUMPRODUCT(--(ISNUMBER(SEARCH($A238,'Diags Raw Data'!$A$6:$A$3830))),--('Diags Raw Data'!$Q$6:$Q$3830&lt;&gt;"N/A"),'Diags Raw Data'!$T$6:$T$3830)+SUMPRODUCT(--(ISNUMBER(SEARCH($A238,'Diags Raw Data'!$A$6:$A$3830))),--('Diags Raw Data'!$Q$6:$Q$3830&lt;&gt;"N/A"),'Diags Raw Data'!$U$6:$U$3830)</f>
        <v>11</v>
      </c>
      <c r="O238" s="488">
        <f t="shared" ref="O238:O258" si="43">IF((M238=0),0,N238/M238)</f>
        <v>1</v>
      </c>
      <c r="P238" s="489">
        <f>SUMIF('Diags Raw Data'!$A$6:$A$3830,"*"&amp;$A238&amp;"*",'Diags Raw Data'!$Z$6:$Z$3830)</f>
        <v>0</v>
      </c>
      <c r="Q238" s="490">
        <f>SUM(SUMIF('Diags Raw Data'!$A$6:$A$3830,"*"&amp;$A238&amp;"*",'Diags Raw Data'!$AA$6:$AA$3830),SUMIF('Diags Raw Data'!$A$6:$A$3830,"*"&amp;$A238&amp;"*",'Diags Raw Data'!$AB$6:$AB$3830))</f>
        <v>0</v>
      </c>
      <c r="R238" s="491">
        <f t="shared" ref="R238:R258" si="44">IF((J238=0),0,P238/J238)</f>
        <v>0</v>
      </c>
      <c r="S238" s="491">
        <f t="shared" ref="S238:S258" si="45">IF((P238=0),0,Q238/P238)</f>
        <v>0</v>
      </c>
      <c r="T238" s="492">
        <f t="shared" ref="T238:T258" si="46">R238*S238</f>
        <v>0</v>
      </c>
      <c r="U238" s="432" t="str">
        <f>VLOOKUP(A238,'Diags Raw Data'!$A$6:$AH$3830,33,FALSE)</f>
        <v>WK6</v>
      </c>
      <c r="V238" s="181"/>
    </row>
    <row r="239" spans="1:22" ht="30.75" thickBot="1" x14ac:dyDescent="0.3">
      <c r="A239" s="546">
        <v>12.475</v>
      </c>
      <c r="B239" s="434" t="str">
        <f>VLOOKUP(A239,'Feature Raw Data'!$A$3:$B$3922,2,FALSE)</f>
        <v>IO traffic can potentially block DRAM traffic</v>
      </c>
      <c r="C239" s="435" t="str">
        <f>VLOOKUP(A239,'Feature Raw Data'!$A$3:$C$3922,3,FALSE)</f>
        <v>P1</v>
      </c>
      <c r="D239" s="436" t="str" cm="1">
        <f t="array" ref="D239">_xlfn.TEXTJOIN("",TRUE,IF(ISNUMBER(SEARCH($A239,'Diags Raw Data'!$A$6:$A$3830)),CONCATENATE('Diags Raw Data'!$H$6:$H$3830,", "),""))</f>
        <v xml:space="preserve">N/A, </v>
      </c>
      <c r="E239" s="339" t="str">
        <f>VLOOKUP(A239,'Diags Raw Data'!$A$6:$D$3830,4,FALSE)</f>
        <v>CMM</v>
      </c>
      <c r="F239" s="339" t="str">
        <f>VLOOKUP(A239,'Feature Raw Data'!$A$3:$E$3922,5,FALSE)</f>
        <v>New</v>
      </c>
      <c r="G239" s="339" t="str">
        <f t="shared" si="41"/>
        <v>No</v>
      </c>
      <c r="H239" s="339" t="str">
        <f t="shared" si="42"/>
        <v>No</v>
      </c>
      <c r="I239" s="435">
        <f>SUMIF('Diags Raw Data'!$A$6:$A$3830,"*"&amp;$A239&amp;"*",'Diags Raw Data'!$K$6:$K$3830)</f>
        <v>0</v>
      </c>
      <c r="J239" s="437">
        <f>SUMIF('Diags Raw Data'!$A$6:$A$3830,"*"&amp;$A239&amp;"*",'Diags Raw Data'!$L$6:$L$3830)</f>
        <v>0</v>
      </c>
      <c r="K239" s="484" t="e" cm="1">
        <f t="array" ref="K239">IF(D239="",0, SUMPRODUCT(--(ISNUMBER(SEARCH($A239,'Diags Raw Data'!$A$6:$A$3830))),'Diags Raw Data'!$L$6:$L$3830,'Diags Raw Data'!$N$6:$N$3830)/J239)</f>
        <v>#DIV/0!</v>
      </c>
      <c r="L239" s="485" t="e" cm="1">
        <f t="array" ref="L239">IF(D239="",0, SUMPRODUCT(--(ISNUMBER(SEARCH($A239,'Diags Raw Data'!$A$6:$A$3830))),'Diags Raw Data'!$L$6:$L$3830,'Diags Raw Data'!$P$6:$P$3830)/J239)</f>
        <v>#DIV/0!</v>
      </c>
      <c r="M239" s="486" cm="1">
        <f t="array" ref="M239">SUMPRODUCT(--(ISNUMBER(SEARCH($A239,'Diags Raw Data'!$A$6:$A$3830))),--('Diags Raw Data'!$Q$6:$Q$3830&lt;&gt;"N/A"),'Diags Raw Data'!$R$6:$R$3830)</f>
        <v>0</v>
      </c>
      <c r="N239" s="487" cm="1">
        <f t="array" ref="N239">SUMPRODUCT(--(ISNUMBER(SEARCH($A239,'Diags Raw Data'!$A$6:$A$3830))),--('Diags Raw Data'!$Q$6:$Q$3830&lt;&gt;"N/A"),'Diags Raw Data'!$T$6:$T$3830)+SUMPRODUCT(--(ISNUMBER(SEARCH($A239,'Diags Raw Data'!$A$6:$A$3830))),--('Diags Raw Data'!$Q$6:$Q$3830&lt;&gt;"N/A"),'Diags Raw Data'!$U$6:$U$3830)</f>
        <v>0</v>
      </c>
      <c r="O239" s="488">
        <f t="shared" si="43"/>
        <v>0</v>
      </c>
      <c r="P239" s="489">
        <f>SUMIF('Diags Raw Data'!$A$6:$A$3830,"*"&amp;$A239&amp;"*",'Diags Raw Data'!$Z$6:$Z$3830)</f>
        <v>0</v>
      </c>
      <c r="Q239" s="490">
        <f>SUM(SUMIF('Diags Raw Data'!$A$6:$A$3830,"*"&amp;$A239&amp;"*",'Diags Raw Data'!$AA$6:$AA$3830),SUMIF('Diags Raw Data'!$A$6:$A$3830,"*"&amp;$A239&amp;"*",'Diags Raw Data'!$AB$6:$AB$3830))</f>
        <v>0</v>
      </c>
      <c r="R239" s="491">
        <f t="shared" si="44"/>
        <v>0</v>
      </c>
      <c r="S239" s="491">
        <f t="shared" si="45"/>
        <v>0</v>
      </c>
      <c r="T239" s="492">
        <f t="shared" si="46"/>
        <v>0</v>
      </c>
      <c r="U239" s="432" t="str">
        <f>VLOOKUP(A239,'Diags Raw Data'!$A$6:$AH$3830,33,FALSE)</f>
        <v>N/A</v>
      </c>
      <c r="V239" s="181"/>
    </row>
    <row r="240" spans="1:22" ht="30.75" thickBot="1" x14ac:dyDescent="0.3">
      <c r="A240" s="546">
        <v>12.476000000000001</v>
      </c>
      <c r="B240" s="434" t="str">
        <f>VLOOKUP(A240,'Feature Raw Data'!$A$3:$B$3922,2,FALSE)</f>
        <v>Descope 8xaa for VRS coarse rates (1x2, 2x2, 2x1)</v>
      </c>
      <c r="C240" s="435" t="str">
        <f>VLOOKUP(A240,'Feature Raw Data'!$A$3:$C$3922,3,FALSE)</f>
        <v>P3</v>
      </c>
      <c r="D240" s="436" t="str" cm="1">
        <f t="array" ref="D240">_xlfn.TEXTJOIN("",TRUE,IF(ISNUMBER(SEARCH($A240,'Diags Raw Data'!$A$6:$A$3830)),CONCATENATE('Diags Raw Data'!$H$6:$H$3830,", "),""))</f>
        <v xml:space="preserve">N/A, </v>
      </c>
      <c r="E240" s="339" t="str">
        <f>VLOOKUP(A240,'Diags Raw Data'!$A$6:$D$3830,4,FALSE)</f>
        <v>PP</v>
      </c>
      <c r="F240" s="339" t="str">
        <f>VLOOKUP(A240,'Feature Raw Data'!$A$3:$E$3922,5,FALSE)</f>
        <v>New</v>
      </c>
      <c r="G240" s="339" t="str">
        <f t="shared" si="41"/>
        <v>No</v>
      </c>
      <c r="H240" s="339" t="str">
        <f t="shared" si="42"/>
        <v>No</v>
      </c>
      <c r="I240" s="435">
        <f>SUMIF('Diags Raw Data'!$A$6:$A$3830,"*"&amp;$A240&amp;"*",'Diags Raw Data'!$K$6:$K$3830)</f>
        <v>0</v>
      </c>
      <c r="J240" s="437">
        <f>SUMIF('Diags Raw Data'!$A$6:$A$3830,"*"&amp;$A240&amp;"*",'Diags Raw Data'!$L$6:$L$3830)</f>
        <v>0</v>
      </c>
      <c r="K240" s="484" t="e" cm="1">
        <f t="array" ref="K240">IF(D240="",0, SUMPRODUCT(--(ISNUMBER(SEARCH($A240,'Diags Raw Data'!$A$6:$A$3830))),'Diags Raw Data'!$L$6:$L$3830,'Diags Raw Data'!$N$6:$N$3830)/J240)</f>
        <v>#DIV/0!</v>
      </c>
      <c r="L240" s="485" t="e" cm="1">
        <f t="array" ref="L240">IF(D240="",0, SUMPRODUCT(--(ISNUMBER(SEARCH($A240,'Diags Raw Data'!$A$6:$A$3830))),'Diags Raw Data'!$L$6:$L$3830,'Diags Raw Data'!$P$6:$P$3830)/J240)</f>
        <v>#DIV/0!</v>
      </c>
      <c r="M240" s="486" cm="1">
        <f t="array" ref="M240">SUMPRODUCT(--(ISNUMBER(SEARCH($A240,'Diags Raw Data'!$A$6:$A$3830))),--('Diags Raw Data'!$Q$6:$Q$3830&lt;&gt;"N/A"),'Diags Raw Data'!$R$6:$R$3830)</f>
        <v>0</v>
      </c>
      <c r="N240" s="487" cm="1">
        <f t="array" ref="N240">SUMPRODUCT(--(ISNUMBER(SEARCH($A240,'Diags Raw Data'!$A$6:$A$3830))),--('Diags Raw Data'!$Q$6:$Q$3830&lt;&gt;"N/A"),'Diags Raw Data'!$T$6:$T$3830)+SUMPRODUCT(--(ISNUMBER(SEARCH($A240,'Diags Raw Data'!$A$6:$A$3830))),--('Diags Raw Data'!$Q$6:$Q$3830&lt;&gt;"N/A"),'Diags Raw Data'!$U$6:$U$3830)</f>
        <v>0</v>
      </c>
      <c r="O240" s="488">
        <f t="shared" si="43"/>
        <v>0</v>
      </c>
      <c r="P240" s="489">
        <f>SUMIF('Diags Raw Data'!$A$6:$A$3830,"*"&amp;$A240&amp;"*",'Diags Raw Data'!$Z$6:$Z$3830)</f>
        <v>0</v>
      </c>
      <c r="Q240" s="490">
        <f>SUM(SUMIF('Diags Raw Data'!$A$6:$A$3830,"*"&amp;$A240&amp;"*",'Diags Raw Data'!$AA$6:$AA$3830),SUMIF('Diags Raw Data'!$A$6:$A$3830,"*"&amp;$A240&amp;"*",'Diags Raw Data'!$AB$6:$AB$3830))</f>
        <v>0</v>
      </c>
      <c r="R240" s="491">
        <f t="shared" si="44"/>
        <v>0</v>
      </c>
      <c r="S240" s="491">
        <f t="shared" si="45"/>
        <v>0</v>
      </c>
      <c r="T240" s="492">
        <f t="shared" si="46"/>
        <v>0</v>
      </c>
      <c r="U240" s="432" t="str">
        <f>VLOOKUP(A240,'Diags Raw Data'!$A$6:$AH$3830,33,FALSE)</f>
        <v>N/A</v>
      </c>
      <c r="V240" s="181"/>
    </row>
    <row r="241" spans="1:22" ht="45.75" thickBot="1" x14ac:dyDescent="0.3">
      <c r="A241" s="546">
        <v>12.477</v>
      </c>
      <c r="B241" s="434" t="str">
        <f>VLOOKUP(A241,'Feature Raw Data'!$A$3:$B$3922,2,FALSE)</f>
        <v>Hook up AVFS debug bus to debug bus chains in 4 gc_2gl2c_1_tiles</v>
      </c>
      <c r="C241" s="435" t="str">
        <f>VLOOKUP(A241,'Feature Raw Data'!$A$3:$C$3922,3,FALSE)</f>
        <v>P3</v>
      </c>
      <c r="D241" s="436" t="str" cm="1">
        <f t="array" ref="D241">_xlfn.TEXTJOIN("",TRUE,IF(ISNUMBER(SEARCH($A241,'Diags Raw Data'!$A$6:$A$3830)),CONCATENATE('Diags Raw Data'!$H$6:$H$3830,", "),""))</f>
        <v xml:space="preserve">N/A, </v>
      </c>
      <c r="E241" s="339" t="str">
        <f>VLOOKUP(A241,'Diags Raw Data'!$A$6:$D$3830,4,FALSE)</f>
        <v>CTL</v>
      </c>
      <c r="F241" s="339" t="str">
        <f>VLOOKUP(A241,'Feature Raw Data'!$A$3:$E$3922,5,FALSE)</f>
        <v>New</v>
      </c>
      <c r="G241" s="339" t="str">
        <f t="shared" si="41"/>
        <v>No</v>
      </c>
      <c r="H241" s="339" t="str">
        <f t="shared" si="42"/>
        <v>No</v>
      </c>
      <c r="I241" s="435">
        <f>SUMIF('Diags Raw Data'!$A$6:$A$3830,"*"&amp;$A241&amp;"*",'Diags Raw Data'!$K$6:$K$3830)</f>
        <v>0</v>
      </c>
      <c r="J241" s="437">
        <f>SUMIF('Diags Raw Data'!$A$6:$A$3830,"*"&amp;$A241&amp;"*",'Diags Raw Data'!$L$6:$L$3830)</f>
        <v>0</v>
      </c>
      <c r="K241" s="484" t="e" cm="1">
        <f t="array" ref="K241">IF(D241="",0, SUMPRODUCT(--(ISNUMBER(SEARCH($A241,'Diags Raw Data'!$A$6:$A$3830))),'Diags Raw Data'!$L$6:$L$3830,'Diags Raw Data'!$N$6:$N$3830)/J241)</f>
        <v>#DIV/0!</v>
      </c>
      <c r="L241" s="485" t="e" cm="1">
        <f t="array" ref="L241">IF(D241="",0, SUMPRODUCT(--(ISNUMBER(SEARCH($A241,'Diags Raw Data'!$A$6:$A$3830))),'Diags Raw Data'!$L$6:$L$3830,'Diags Raw Data'!$P$6:$P$3830)/J241)</f>
        <v>#DIV/0!</v>
      </c>
      <c r="M241" s="486" cm="1">
        <f t="array" ref="M241">SUMPRODUCT(--(ISNUMBER(SEARCH($A241,'Diags Raw Data'!$A$6:$A$3830))),--('Diags Raw Data'!$Q$6:$Q$3830&lt;&gt;"N/A"),'Diags Raw Data'!$R$6:$R$3830)</f>
        <v>0</v>
      </c>
      <c r="N241" s="487" cm="1">
        <f t="array" ref="N241">SUMPRODUCT(--(ISNUMBER(SEARCH($A241,'Diags Raw Data'!$A$6:$A$3830))),--('Diags Raw Data'!$Q$6:$Q$3830&lt;&gt;"N/A"),'Diags Raw Data'!$T$6:$T$3830)+SUMPRODUCT(--(ISNUMBER(SEARCH($A241,'Diags Raw Data'!$A$6:$A$3830))),--('Diags Raw Data'!$Q$6:$Q$3830&lt;&gt;"N/A"),'Diags Raw Data'!$U$6:$U$3830)</f>
        <v>0</v>
      </c>
      <c r="O241" s="488">
        <f t="shared" si="43"/>
        <v>0</v>
      </c>
      <c r="P241" s="489">
        <f>SUMIF('Diags Raw Data'!$A$6:$A$3830,"*"&amp;$A241&amp;"*",'Diags Raw Data'!$Z$6:$Z$3830)</f>
        <v>0</v>
      </c>
      <c r="Q241" s="490">
        <f>SUM(SUMIF('Diags Raw Data'!$A$6:$A$3830,"*"&amp;$A241&amp;"*",'Diags Raw Data'!$AA$6:$AA$3830),SUMIF('Diags Raw Data'!$A$6:$A$3830,"*"&amp;$A241&amp;"*",'Diags Raw Data'!$AB$6:$AB$3830))</f>
        <v>0</v>
      </c>
      <c r="R241" s="491">
        <f t="shared" si="44"/>
        <v>0</v>
      </c>
      <c r="S241" s="491">
        <f t="shared" si="45"/>
        <v>0</v>
      </c>
      <c r="T241" s="492">
        <f t="shared" si="46"/>
        <v>0</v>
      </c>
      <c r="U241" s="432" t="str">
        <f>VLOOKUP(A241,'Diags Raw Data'!$A$6:$AH$3830,33,FALSE)</f>
        <v>N/A</v>
      </c>
      <c r="V241" s="181"/>
    </row>
    <row r="242" spans="1:22" ht="75.75" thickBot="1" x14ac:dyDescent="0.3">
      <c r="A242" s="546">
        <v>12.478999999999999</v>
      </c>
      <c r="B242" s="434" t="str">
        <f>VLOOKUP(A242,'Feature Raw Data'!$A$3:$B$3922,2,FALSE)</f>
        <v>Add Ordered-Add memory atomic for faster SW Streamout (global_atomic_ordered_add_b64)</v>
      </c>
      <c r="C242" s="435" t="str">
        <f>VLOOKUP(A242,'Feature Raw Data'!$A$3:$C$3922,3,FALSE)</f>
        <v>P2</v>
      </c>
      <c r="D242" s="436" t="str" cm="1">
        <f t="array" ref="D242">_xlfn.TEXTJOIN("",TRUE,IF(ISNUMBER(SEARCH($A242,'Diags Raw Data'!$A$6:$A$3830)),CONCATENATE('Diags Raw Data'!$H$6:$H$3830,", "),""))</f>
        <v xml:space="preserve">placeholder_b.1, </v>
      </c>
      <c r="E242" s="339" t="str">
        <f>VLOOKUP(A242,'Diags Raw Data'!$A$6:$D$3830,4,FALSE)</f>
        <v>CMM</v>
      </c>
      <c r="F242" s="339" t="str">
        <f>VLOOKUP(A242,'Feature Raw Data'!$A$3:$E$3922,5,FALSE)</f>
        <v>New</v>
      </c>
      <c r="G242" s="339" t="str">
        <f t="shared" si="41"/>
        <v>Yes</v>
      </c>
      <c r="H242" s="339" t="str">
        <f t="shared" si="42"/>
        <v>Yes</v>
      </c>
      <c r="I242" s="435">
        <f>SUMIF('Diags Raw Data'!$A$6:$A$3830,"*"&amp;$A242&amp;"*",'Diags Raw Data'!$K$6:$K$3830)</f>
        <v>0</v>
      </c>
      <c r="J242" s="437">
        <f>SUMIF('Diags Raw Data'!$A$6:$A$3830,"*"&amp;$A242&amp;"*",'Diags Raw Data'!$L$6:$L$3830)</f>
        <v>0</v>
      </c>
      <c r="K242" s="484" t="e" cm="1">
        <f t="array" ref="K242">IF(D242="",0, SUMPRODUCT(--(ISNUMBER(SEARCH($A242,'Diags Raw Data'!$A$6:$A$3830))),'Diags Raw Data'!$L$6:$L$3830,'Diags Raw Data'!$N$6:$N$3830)/J242)</f>
        <v>#DIV/0!</v>
      </c>
      <c r="L242" s="485" t="e" cm="1">
        <f t="array" ref="L242">IF(D242="",0, SUMPRODUCT(--(ISNUMBER(SEARCH($A242,'Diags Raw Data'!$A$6:$A$3830))),'Diags Raw Data'!$L$6:$L$3830,'Diags Raw Data'!$P$6:$P$3830)/J242)</f>
        <v>#DIV/0!</v>
      </c>
      <c r="M242" s="486" cm="1">
        <f t="array" ref="M242">SUMPRODUCT(--(ISNUMBER(SEARCH($A242,'Diags Raw Data'!$A$6:$A$3830))),--('Diags Raw Data'!$Q$6:$Q$3830&lt;&gt;"N/A"),'Diags Raw Data'!$R$6:$R$3830)</f>
        <v>1</v>
      </c>
      <c r="N242" s="487" cm="1">
        <f t="array" ref="N242">SUMPRODUCT(--(ISNUMBER(SEARCH($A242,'Diags Raw Data'!$A$6:$A$3830))),--('Diags Raw Data'!$Q$6:$Q$3830&lt;&gt;"N/A"),'Diags Raw Data'!$T$6:$T$3830)+SUMPRODUCT(--(ISNUMBER(SEARCH($A242,'Diags Raw Data'!$A$6:$A$3830))),--('Diags Raw Data'!$Q$6:$Q$3830&lt;&gt;"N/A"),'Diags Raw Data'!$U$6:$U$3830)</f>
        <v>0</v>
      </c>
      <c r="O242" s="488">
        <f t="shared" si="43"/>
        <v>0</v>
      </c>
      <c r="P242" s="489">
        <f>SUMIF('Diags Raw Data'!$A$6:$A$3830,"*"&amp;$A242&amp;"*",'Diags Raw Data'!$Z$6:$Z$3830)</f>
        <v>0</v>
      </c>
      <c r="Q242" s="490">
        <f>SUM(SUMIF('Diags Raw Data'!$A$6:$A$3830,"*"&amp;$A242&amp;"*",'Diags Raw Data'!$AA$6:$AA$3830),SUMIF('Diags Raw Data'!$A$6:$A$3830,"*"&amp;$A242&amp;"*",'Diags Raw Data'!$AB$6:$AB$3830))</f>
        <v>0</v>
      </c>
      <c r="R242" s="491">
        <f t="shared" si="44"/>
        <v>0</v>
      </c>
      <c r="S242" s="491">
        <f t="shared" si="45"/>
        <v>0</v>
      </c>
      <c r="T242" s="492">
        <f t="shared" si="46"/>
        <v>0</v>
      </c>
      <c r="U242" s="432" t="str">
        <f>VLOOKUP(A242,'Diags Raw Data'!$A$6:$AH$3830,33,FALSE)</f>
        <v>WK8</v>
      </c>
      <c r="V242" s="181"/>
    </row>
    <row r="243" spans="1:22" ht="45.75" thickBot="1" x14ac:dyDescent="0.3">
      <c r="A243" s="546">
        <v>12.48</v>
      </c>
      <c r="B243" s="434" t="str">
        <f>VLOOKUP(A243,'Feature Raw Data'!$A$3:$B$3922,2,FALSE)</f>
        <v>Move GFX PSMs to faster clock for faster DIDT controller response</v>
      </c>
      <c r="C243" s="435" t="str">
        <f>VLOOKUP(A243,'Feature Raw Data'!$A$3:$C$3922,3,FALSE)</f>
        <v>P3</v>
      </c>
      <c r="D243" s="436" t="str" cm="1">
        <f t="array" ref="D243">_xlfn.TEXTJOIN("",TRUE,IF(ISNUMBER(SEARCH($A243,'Diags Raw Data'!$A$6:$A$3830)),CONCATENATE('Diags Raw Data'!$H$6:$H$3830,", "),""))</f>
        <v xml:space="preserve">txi83, std1.6, N/A, N/A, N/A, gfx.stress3d.gfxoff/food_store, N/A, N/A, </v>
      </c>
      <c r="E243" s="339" t="str">
        <f>VLOOKUP(A243,'Diags Raw Data'!$A$6:$D$3830,4,FALSE)</f>
        <v>CTL</v>
      </c>
      <c r="F243" s="339" t="str">
        <f>VLOOKUP(A243,'Feature Raw Data'!$A$3:$E$3922,5,FALSE)</f>
        <v>New</v>
      </c>
      <c r="G243" s="339" t="str">
        <f t="shared" si="41"/>
        <v>Yes</v>
      </c>
      <c r="H243" s="339" t="str">
        <f t="shared" si="42"/>
        <v>Yes</v>
      </c>
      <c r="I243" s="435">
        <f>SUMIF('Diags Raw Data'!$A$6:$A$3830,"*"&amp;$A243&amp;"*",'Diags Raw Data'!$K$6:$K$3830)</f>
        <v>0</v>
      </c>
      <c r="J243" s="437">
        <f>SUMIF('Diags Raw Data'!$A$6:$A$3830,"*"&amp;$A243&amp;"*",'Diags Raw Data'!$L$6:$L$3830)</f>
        <v>0</v>
      </c>
      <c r="K243" s="484" t="e" cm="1">
        <f t="array" ref="K243">IF(D243="",0, SUMPRODUCT(--(ISNUMBER(SEARCH($A243,'Diags Raw Data'!$A$6:$A$3830))),'Diags Raw Data'!$L$6:$L$3830,'Diags Raw Data'!$N$6:$N$3830)/J243)</f>
        <v>#DIV/0!</v>
      </c>
      <c r="L243" s="485" t="e" cm="1">
        <f t="array" ref="L243">IF(D243="",0, SUMPRODUCT(--(ISNUMBER(SEARCH($A243,'Diags Raw Data'!$A$6:$A$3830))),'Diags Raw Data'!$L$6:$L$3830,'Diags Raw Data'!$P$6:$P$3830)/J243)</f>
        <v>#DIV/0!</v>
      </c>
      <c r="M243" s="486" cm="1">
        <f t="array" ref="M243">SUMPRODUCT(--(ISNUMBER(SEARCH($A243,'Diags Raw Data'!$A$6:$A$3830))),--('Diags Raw Data'!$Q$6:$Q$3830&lt;&gt;"N/A"),'Diags Raw Data'!$R$6:$R$3830)</f>
        <v>2</v>
      </c>
      <c r="N243" s="487" cm="1">
        <f t="array" ref="N243">SUMPRODUCT(--(ISNUMBER(SEARCH($A243,'Diags Raw Data'!$A$6:$A$3830))),--('Diags Raw Data'!$Q$6:$Q$3830&lt;&gt;"N/A"),'Diags Raw Data'!$T$6:$T$3830)+SUMPRODUCT(--(ISNUMBER(SEARCH($A243,'Diags Raw Data'!$A$6:$A$3830))),--('Diags Raw Data'!$Q$6:$Q$3830&lt;&gt;"N/A"),'Diags Raw Data'!$U$6:$U$3830)</f>
        <v>0</v>
      </c>
      <c r="O243" s="488">
        <f t="shared" si="43"/>
        <v>0</v>
      </c>
      <c r="P243" s="489">
        <f>SUMIF('Diags Raw Data'!$A$6:$A$3830,"*"&amp;$A243&amp;"*",'Diags Raw Data'!$Z$6:$Z$3830)</f>
        <v>0</v>
      </c>
      <c r="Q243" s="490">
        <f>SUM(SUMIF('Diags Raw Data'!$A$6:$A$3830,"*"&amp;$A243&amp;"*",'Diags Raw Data'!$AA$6:$AA$3830),SUMIF('Diags Raw Data'!$A$6:$A$3830,"*"&amp;$A243&amp;"*",'Diags Raw Data'!$AB$6:$AB$3830))</f>
        <v>0</v>
      </c>
      <c r="R243" s="491">
        <f t="shared" si="44"/>
        <v>0</v>
      </c>
      <c r="S243" s="491">
        <f t="shared" si="45"/>
        <v>0</v>
      </c>
      <c r="T243" s="492">
        <f t="shared" si="46"/>
        <v>0</v>
      </c>
      <c r="U243" s="432" t="str">
        <f>VLOOKUP(A243,'Diags Raw Data'!$A$6:$AH$3830,33,FALSE)</f>
        <v>N/A</v>
      </c>
      <c r="V243" s="181"/>
    </row>
    <row r="244" spans="1:22" ht="45.75" thickBot="1" x14ac:dyDescent="0.3">
      <c r="A244" s="546">
        <v>12.483000000000001</v>
      </c>
      <c r="B244" s="434" t="str">
        <f>VLOOKUP(A244,'Feature Raw Data'!$A$3:$B$3922,2,FALSE)</f>
        <v>Processor controllable performance counters for CP Bottleneck profiling</v>
      </c>
      <c r="C244" s="435" t="str">
        <f>VLOOKUP(A244,'Feature Raw Data'!$A$3:$C$3922,3,FALSE)</f>
        <v>P3</v>
      </c>
      <c r="D244" s="436" t="str" cm="1">
        <f t="array" ref="D244">_xlfn.TEXTJOIN("",TRUE,IF(ISNUMBER(SEARCH($A244,'Diags Raw Data'!$A$6:$A$3830)),CONCATENATE('Diags Raw Data'!$H$6:$H$3830,", "),""))</f>
        <v xml:space="preserve">N/A, </v>
      </c>
      <c r="E244" s="339" t="str">
        <f>VLOOKUP(A244,'Diags Raw Data'!$A$6:$D$3830,4,FALSE)</f>
        <v>CTL</v>
      </c>
      <c r="F244" s="339" t="str">
        <f>VLOOKUP(A244,'Feature Raw Data'!$A$3:$E$3922,5,FALSE)</f>
        <v>New</v>
      </c>
      <c r="G244" s="339" t="str">
        <f t="shared" si="41"/>
        <v>No</v>
      </c>
      <c r="H244" s="339" t="str">
        <f t="shared" si="42"/>
        <v>No</v>
      </c>
      <c r="I244" s="435">
        <f>SUMIF('Diags Raw Data'!$A$6:$A$3830,"*"&amp;$A244&amp;"*",'Diags Raw Data'!$K$6:$K$3830)</f>
        <v>0</v>
      </c>
      <c r="J244" s="437">
        <f>SUMIF('Diags Raw Data'!$A$6:$A$3830,"*"&amp;$A244&amp;"*",'Diags Raw Data'!$L$6:$L$3830)</f>
        <v>0</v>
      </c>
      <c r="K244" s="484" t="e" cm="1">
        <f t="array" ref="K244">IF(D244="",0, SUMPRODUCT(--(ISNUMBER(SEARCH($A244,'Diags Raw Data'!$A$6:$A$3830))),'Diags Raw Data'!$L$6:$L$3830,'Diags Raw Data'!$N$6:$N$3830)/J244)</f>
        <v>#DIV/0!</v>
      </c>
      <c r="L244" s="485" t="e" cm="1">
        <f t="array" ref="L244">IF(D244="",0, SUMPRODUCT(--(ISNUMBER(SEARCH($A244,'Diags Raw Data'!$A$6:$A$3830))),'Diags Raw Data'!$L$6:$L$3830,'Diags Raw Data'!$P$6:$P$3830)/J244)</f>
        <v>#DIV/0!</v>
      </c>
      <c r="M244" s="486" cm="1">
        <f t="array" ref="M244">SUMPRODUCT(--(ISNUMBER(SEARCH($A244,'Diags Raw Data'!$A$6:$A$3830))),--('Diags Raw Data'!$Q$6:$Q$3830&lt;&gt;"N/A"),'Diags Raw Data'!$R$6:$R$3830)</f>
        <v>0</v>
      </c>
      <c r="N244" s="487" cm="1">
        <f t="array" ref="N244">SUMPRODUCT(--(ISNUMBER(SEARCH($A244,'Diags Raw Data'!$A$6:$A$3830))),--('Diags Raw Data'!$Q$6:$Q$3830&lt;&gt;"N/A"),'Diags Raw Data'!$T$6:$T$3830)+SUMPRODUCT(--(ISNUMBER(SEARCH($A244,'Diags Raw Data'!$A$6:$A$3830))),--('Diags Raw Data'!$Q$6:$Q$3830&lt;&gt;"N/A"),'Diags Raw Data'!$U$6:$U$3830)</f>
        <v>0</v>
      </c>
      <c r="O244" s="488">
        <f t="shared" si="43"/>
        <v>0</v>
      </c>
      <c r="P244" s="489">
        <f>SUMIF('Diags Raw Data'!$A$6:$A$3830,"*"&amp;$A244&amp;"*",'Diags Raw Data'!$Z$6:$Z$3830)</f>
        <v>0</v>
      </c>
      <c r="Q244" s="490">
        <f>SUM(SUMIF('Diags Raw Data'!$A$6:$A$3830,"*"&amp;$A244&amp;"*",'Diags Raw Data'!$AA$6:$AA$3830),SUMIF('Diags Raw Data'!$A$6:$A$3830,"*"&amp;$A244&amp;"*",'Diags Raw Data'!$AB$6:$AB$3830))</f>
        <v>0</v>
      </c>
      <c r="R244" s="491">
        <f t="shared" si="44"/>
        <v>0</v>
      </c>
      <c r="S244" s="491">
        <f t="shared" si="45"/>
        <v>0</v>
      </c>
      <c r="T244" s="492">
        <f t="shared" si="46"/>
        <v>0</v>
      </c>
      <c r="U244" s="432" t="str">
        <f>VLOOKUP(A244,'Diags Raw Data'!$A$6:$AH$3830,33,FALSE)</f>
        <v>N/A</v>
      </c>
      <c r="V244" s="181"/>
    </row>
    <row r="245" spans="1:22" ht="60.75" thickBot="1" x14ac:dyDescent="0.3">
      <c r="A245" s="546">
        <v>12.484</v>
      </c>
      <c r="B245" s="434" t="str">
        <f>VLOOKUP(A245,'Feature Raw Data'!$A$3:$B$3922,2,FALSE)</f>
        <v>decoding of op ATOMIC_UMAX_8_NO_RTN from EA to SDP is not expected</v>
      </c>
      <c r="C245" s="435" t="str">
        <f>VLOOKUP(A245,'Feature Raw Data'!$A$3:$C$3922,3,FALSE)</f>
        <v>P1</v>
      </c>
      <c r="D245" s="436" t="str" cm="1">
        <f t="array" ref="D245">_xlfn.TEXTJOIN("",TRUE,IF(ISNUMBER(SEARCH($A245,'Diags Raw Data'!$A$6:$A$3830)),CONCATENATE('Diags Raw Data'!$H$6:$H$3830,", "),""))</f>
        <v xml:space="preserve">txi83, </v>
      </c>
      <c r="E245" s="339" t="str">
        <f>VLOOKUP(A245,'Diags Raw Data'!$A$6:$D$3830,4,FALSE)</f>
        <v>CMM</v>
      </c>
      <c r="F245" s="339" t="str">
        <f>VLOOKUP(A245,'Feature Raw Data'!$A$3:$E$3922,5,FALSE)</f>
        <v>New</v>
      </c>
      <c r="G245" s="339" t="str">
        <f t="shared" si="41"/>
        <v>Yes</v>
      </c>
      <c r="H245" s="339" t="str">
        <f t="shared" si="42"/>
        <v>Yes</v>
      </c>
      <c r="I245" s="435">
        <f>SUMIF('Diags Raw Data'!$A$6:$A$3830,"*"&amp;$A245&amp;"*",'Diags Raw Data'!$K$6:$K$3830)</f>
        <v>0</v>
      </c>
      <c r="J245" s="437">
        <f>SUMIF('Diags Raw Data'!$A$6:$A$3830,"*"&amp;$A245&amp;"*",'Diags Raw Data'!$L$6:$L$3830)</f>
        <v>0</v>
      </c>
      <c r="K245" s="484" t="e" cm="1">
        <f t="array" ref="K245">IF(D245="",0, SUMPRODUCT(--(ISNUMBER(SEARCH($A245,'Diags Raw Data'!$A$6:$A$3830))),'Diags Raw Data'!$L$6:$L$3830,'Diags Raw Data'!$N$6:$N$3830)/J245)</f>
        <v>#DIV/0!</v>
      </c>
      <c r="L245" s="485" t="e" cm="1">
        <f t="array" ref="L245">IF(D245="",0, SUMPRODUCT(--(ISNUMBER(SEARCH($A245,'Diags Raw Data'!$A$6:$A$3830))),'Diags Raw Data'!$L$6:$L$3830,'Diags Raw Data'!$P$6:$P$3830)/J245)</f>
        <v>#DIV/0!</v>
      </c>
      <c r="M245" s="486" cm="1">
        <f t="array" ref="M245">SUMPRODUCT(--(ISNUMBER(SEARCH($A245,'Diags Raw Data'!$A$6:$A$3830))),--('Diags Raw Data'!$Q$6:$Q$3830&lt;&gt;"N/A"),'Diags Raw Data'!$R$6:$R$3830)</f>
        <v>1</v>
      </c>
      <c r="N245" s="487" cm="1">
        <f t="array" ref="N245">SUMPRODUCT(--(ISNUMBER(SEARCH($A245,'Diags Raw Data'!$A$6:$A$3830))),--('Diags Raw Data'!$Q$6:$Q$3830&lt;&gt;"N/A"),'Diags Raw Data'!$T$6:$T$3830)+SUMPRODUCT(--(ISNUMBER(SEARCH($A245,'Diags Raw Data'!$A$6:$A$3830))),--('Diags Raw Data'!$Q$6:$Q$3830&lt;&gt;"N/A"),'Diags Raw Data'!$U$6:$U$3830)</f>
        <v>0</v>
      </c>
      <c r="O245" s="488">
        <f t="shared" si="43"/>
        <v>0</v>
      </c>
      <c r="P245" s="489">
        <f>SUMIF('Diags Raw Data'!$A$6:$A$3830,"*"&amp;$A245&amp;"*",'Diags Raw Data'!$Z$6:$Z$3830)</f>
        <v>0</v>
      </c>
      <c r="Q245" s="490">
        <f>SUM(SUMIF('Diags Raw Data'!$A$6:$A$3830,"*"&amp;$A245&amp;"*",'Diags Raw Data'!$AA$6:$AA$3830),SUMIF('Diags Raw Data'!$A$6:$A$3830,"*"&amp;$A245&amp;"*",'Diags Raw Data'!$AB$6:$AB$3830))</f>
        <v>0</v>
      </c>
      <c r="R245" s="491">
        <f t="shared" si="44"/>
        <v>0</v>
      </c>
      <c r="S245" s="491">
        <f t="shared" si="45"/>
        <v>0</v>
      </c>
      <c r="T245" s="492">
        <f t="shared" si="46"/>
        <v>0</v>
      </c>
      <c r="U245" s="432" t="str">
        <f>VLOOKUP(A245,'Diags Raw Data'!$A$6:$AH$3830,33,FALSE)</f>
        <v>WK7</v>
      </c>
      <c r="V245" s="181"/>
    </row>
    <row r="246" spans="1:22" ht="30.75" thickBot="1" x14ac:dyDescent="0.3">
      <c r="A246" s="546">
        <v>12.484999999999999</v>
      </c>
      <c r="B246" s="434" t="str">
        <f>VLOOKUP(A246,'Feature Raw Data'!$A$3:$B$3922,2,FALSE)</f>
        <v>Navi4 GFXIMU Interrupt Capability</v>
      </c>
      <c r="C246" s="435" t="str">
        <f>VLOOKUP(A246,'Feature Raw Data'!$A$3:$C$3922,3,FALSE)</f>
        <v>P3</v>
      </c>
      <c r="D246" s="436" t="str" cm="1">
        <f t="array" ref="D246">_xlfn.TEXTJOIN("",TRUE,IF(ISNUMBER(SEARCH($A246,'Diags Raw Data'!$A$6:$A$3830)),CONCATENATE('Diags Raw Data'!$H$6:$H$3830,", "),""))</f>
        <v xml:space="preserve">N/A, </v>
      </c>
      <c r="E246" s="339" t="str">
        <f>VLOOKUP(A246,'Diags Raw Data'!$A$6:$D$3830,4,FALSE)</f>
        <v>CTL</v>
      </c>
      <c r="F246" s="339" t="str">
        <f>VLOOKUP(A246,'Feature Raw Data'!$A$3:$E$3922,5,FALSE)</f>
        <v>New</v>
      </c>
      <c r="G246" s="339" t="str">
        <f t="shared" si="41"/>
        <v>No</v>
      </c>
      <c r="H246" s="339" t="str">
        <f t="shared" si="42"/>
        <v>No</v>
      </c>
      <c r="I246" s="435">
        <f>SUMIF('Diags Raw Data'!$A$6:$A$3830,"*"&amp;$A246&amp;"*",'Diags Raw Data'!$K$6:$K$3830)</f>
        <v>0</v>
      </c>
      <c r="J246" s="437">
        <f>SUMIF('Diags Raw Data'!$A$6:$A$3830,"*"&amp;$A246&amp;"*",'Diags Raw Data'!$L$6:$L$3830)</f>
        <v>0</v>
      </c>
      <c r="K246" s="484" t="e" cm="1">
        <f t="array" ref="K246">IF(D246="",0, SUMPRODUCT(--(ISNUMBER(SEARCH($A246,'Diags Raw Data'!$A$6:$A$3830))),'Diags Raw Data'!$L$6:$L$3830,'Diags Raw Data'!$N$6:$N$3830)/J246)</f>
        <v>#DIV/0!</v>
      </c>
      <c r="L246" s="485" t="e" cm="1">
        <f t="array" ref="L246">IF(D246="",0, SUMPRODUCT(--(ISNUMBER(SEARCH($A246,'Diags Raw Data'!$A$6:$A$3830))),'Diags Raw Data'!$L$6:$L$3830,'Diags Raw Data'!$P$6:$P$3830)/J246)</f>
        <v>#DIV/0!</v>
      </c>
      <c r="M246" s="486" cm="1">
        <f t="array" ref="M246">SUMPRODUCT(--(ISNUMBER(SEARCH($A246,'Diags Raw Data'!$A$6:$A$3830))),--('Diags Raw Data'!$Q$6:$Q$3830&lt;&gt;"N/A"),'Diags Raw Data'!$R$6:$R$3830)</f>
        <v>0</v>
      </c>
      <c r="N246" s="487" cm="1">
        <f t="array" ref="N246">SUMPRODUCT(--(ISNUMBER(SEARCH($A246,'Diags Raw Data'!$A$6:$A$3830))),--('Diags Raw Data'!$Q$6:$Q$3830&lt;&gt;"N/A"),'Diags Raw Data'!$T$6:$T$3830)+SUMPRODUCT(--(ISNUMBER(SEARCH($A246,'Diags Raw Data'!$A$6:$A$3830))),--('Diags Raw Data'!$Q$6:$Q$3830&lt;&gt;"N/A"),'Diags Raw Data'!$U$6:$U$3830)</f>
        <v>0</v>
      </c>
      <c r="O246" s="488">
        <f t="shared" si="43"/>
        <v>0</v>
      </c>
      <c r="P246" s="489">
        <f>SUMIF('Diags Raw Data'!$A$6:$A$3830,"*"&amp;$A246&amp;"*",'Diags Raw Data'!$Z$6:$Z$3830)</f>
        <v>0</v>
      </c>
      <c r="Q246" s="490">
        <f>SUM(SUMIF('Diags Raw Data'!$A$6:$A$3830,"*"&amp;$A246&amp;"*",'Diags Raw Data'!$AA$6:$AA$3830),SUMIF('Diags Raw Data'!$A$6:$A$3830,"*"&amp;$A246&amp;"*",'Diags Raw Data'!$AB$6:$AB$3830))</f>
        <v>0</v>
      </c>
      <c r="R246" s="491">
        <f t="shared" si="44"/>
        <v>0</v>
      </c>
      <c r="S246" s="491">
        <f t="shared" si="45"/>
        <v>0</v>
      </c>
      <c r="T246" s="492">
        <f t="shared" si="46"/>
        <v>0</v>
      </c>
      <c r="U246" s="432" t="str">
        <f>VLOOKUP(A246,'Diags Raw Data'!$A$6:$AH$3830,33,FALSE)</f>
        <v>N/A</v>
      </c>
      <c r="V246" s="181"/>
    </row>
    <row r="247" spans="1:22" ht="30.75" thickBot="1" x14ac:dyDescent="0.3">
      <c r="A247" s="546">
        <v>12.486000000000001</v>
      </c>
      <c r="B247" s="434" t="str">
        <f>VLOOKUP(A247,'Feature Raw Data'!$A$3:$B$3922,2,FALSE)</f>
        <v>Allow GFX doorbells through IMU doorbell fence</v>
      </c>
      <c r="C247" s="435" t="str">
        <f>VLOOKUP(A247,'Feature Raw Data'!$A$3:$C$3922,3,FALSE)</f>
        <v>P1</v>
      </c>
      <c r="D247" s="436" t="str" cm="1">
        <f t="array" ref="D247">_xlfn.TEXTJOIN("",TRUE,IF(ISNUMBER(SEARCH($A247,'Diags Raw Data'!$A$6:$A$3830)),CONCATENATE('Diags Raw Data'!$H$6:$H$3830,", "),""))</f>
        <v xml:space="preserve">gfx.stress3d.gfxoff/food_store, </v>
      </c>
      <c r="E247" s="339" t="str">
        <f>VLOOKUP(A247,'Diags Raw Data'!$A$6:$D$3830,4,FALSE)</f>
        <v>CTL</v>
      </c>
      <c r="F247" s="339" t="str">
        <f>VLOOKUP(A247,'Feature Raw Data'!$A$3:$E$3922,5,FALSE)</f>
        <v>New</v>
      </c>
      <c r="G247" s="339" t="str">
        <f t="shared" si="41"/>
        <v>Yes</v>
      </c>
      <c r="H247" s="339" t="str">
        <f t="shared" si="42"/>
        <v>Yes</v>
      </c>
      <c r="I247" s="435">
        <f>SUMIF('Diags Raw Data'!$A$6:$A$3830,"*"&amp;$A247&amp;"*",'Diags Raw Data'!$K$6:$K$3830)</f>
        <v>0</v>
      </c>
      <c r="J247" s="437">
        <f>SUMIF('Diags Raw Data'!$A$6:$A$3830,"*"&amp;$A247&amp;"*",'Diags Raw Data'!$L$6:$L$3830)</f>
        <v>0</v>
      </c>
      <c r="K247" s="484" t="e" cm="1">
        <f t="array" ref="K247">IF(D247="",0, SUMPRODUCT(--(ISNUMBER(SEARCH($A247,'Diags Raw Data'!$A$6:$A$3830))),'Diags Raw Data'!$L$6:$L$3830,'Diags Raw Data'!$N$6:$N$3830)/J247)</f>
        <v>#DIV/0!</v>
      </c>
      <c r="L247" s="485" t="e" cm="1">
        <f t="array" ref="L247">IF(D247="",0, SUMPRODUCT(--(ISNUMBER(SEARCH($A247,'Diags Raw Data'!$A$6:$A$3830))),'Diags Raw Data'!$L$6:$L$3830,'Diags Raw Data'!$P$6:$P$3830)/J247)</f>
        <v>#DIV/0!</v>
      </c>
      <c r="M247" s="486" cm="1">
        <f t="array" ref="M247">SUMPRODUCT(--(ISNUMBER(SEARCH($A247,'Diags Raw Data'!$A$6:$A$3830))),--('Diags Raw Data'!$Q$6:$Q$3830&lt;&gt;"N/A"),'Diags Raw Data'!$R$6:$R$3830)</f>
        <v>0</v>
      </c>
      <c r="N247" s="487" cm="1">
        <f t="array" ref="N247">SUMPRODUCT(--(ISNUMBER(SEARCH($A247,'Diags Raw Data'!$A$6:$A$3830))),--('Diags Raw Data'!$Q$6:$Q$3830&lt;&gt;"N/A"),'Diags Raw Data'!$T$6:$T$3830)+SUMPRODUCT(--(ISNUMBER(SEARCH($A247,'Diags Raw Data'!$A$6:$A$3830))),--('Diags Raw Data'!$Q$6:$Q$3830&lt;&gt;"N/A"),'Diags Raw Data'!$U$6:$U$3830)</f>
        <v>0</v>
      </c>
      <c r="O247" s="488">
        <f t="shared" si="43"/>
        <v>0</v>
      </c>
      <c r="P247" s="489">
        <f>SUMIF('Diags Raw Data'!$A$6:$A$3830,"*"&amp;$A247&amp;"*",'Diags Raw Data'!$Z$6:$Z$3830)</f>
        <v>0</v>
      </c>
      <c r="Q247" s="490">
        <f>SUM(SUMIF('Diags Raw Data'!$A$6:$A$3830,"*"&amp;$A247&amp;"*",'Diags Raw Data'!$AA$6:$AA$3830),SUMIF('Diags Raw Data'!$A$6:$A$3830,"*"&amp;$A247&amp;"*",'Diags Raw Data'!$AB$6:$AB$3830))</f>
        <v>0</v>
      </c>
      <c r="R247" s="491">
        <f t="shared" si="44"/>
        <v>0</v>
      </c>
      <c r="S247" s="491">
        <f t="shared" si="45"/>
        <v>0</v>
      </c>
      <c r="T247" s="492">
        <f t="shared" si="46"/>
        <v>0</v>
      </c>
      <c r="U247" s="432" t="str">
        <f>VLOOKUP(A247,'Diags Raw Data'!$A$6:$AH$3830,33,FALSE)</f>
        <v>N/A</v>
      </c>
      <c r="V247" s="181"/>
    </row>
    <row r="248" spans="1:22" ht="30.75" thickBot="1" x14ac:dyDescent="0.3">
      <c r="A248" s="546">
        <v>12.487</v>
      </c>
      <c r="B248" s="434" t="str">
        <f>VLOOKUP(A248,'Feature Raw Data'!$A$3:$B$3922,2,FALSE)</f>
        <v>Increase DB Z cache size for performance</v>
      </c>
      <c r="C248" s="435" t="str">
        <f>VLOOKUP(A248,'Feature Raw Data'!$A$3:$C$3922,3,FALSE)</f>
        <v>P3</v>
      </c>
      <c r="D248" s="436" t="str" cm="1">
        <f t="array" ref="D248">_xlfn.TEXTJOIN("",TRUE,IF(ISNUMBER(SEARCH($A248,'Diags Raw Data'!$A$6:$A$3830)),CONCATENATE('Diags Raw Data'!$H$6:$H$3830,", "),""))</f>
        <v xml:space="preserve">N/A, </v>
      </c>
      <c r="E248" s="339" t="str">
        <f>VLOOKUP(A248,'Diags Raw Data'!$A$6:$D$3830,4,FALSE)</f>
        <v>PP</v>
      </c>
      <c r="F248" s="339" t="str">
        <f>VLOOKUP(A248,'Feature Raw Data'!$A$3:$E$3922,5,FALSE)</f>
        <v>New</v>
      </c>
      <c r="G248" s="339" t="str">
        <f t="shared" si="41"/>
        <v>No</v>
      </c>
      <c r="H248" s="339" t="str">
        <f t="shared" si="42"/>
        <v>No</v>
      </c>
      <c r="I248" s="435">
        <f>SUMIF('Diags Raw Data'!$A$6:$A$3830,"*"&amp;$A248&amp;"*",'Diags Raw Data'!$K$6:$K$3830)</f>
        <v>0</v>
      </c>
      <c r="J248" s="437">
        <f>SUMIF('Diags Raw Data'!$A$6:$A$3830,"*"&amp;$A248&amp;"*",'Diags Raw Data'!$L$6:$L$3830)</f>
        <v>0</v>
      </c>
      <c r="K248" s="484" t="e" cm="1">
        <f t="array" ref="K248">IF(D248="",0, SUMPRODUCT(--(ISNUMBER(SEARCH($A248,'Diags Raw Data'!$A$6:$A$3830))),'Diags Raw Data'!$L$6:$L$3830,'Diags Raw Data'!$N$6:$N$3830)/J248)</f>
        <v>#DIV/0!</v>
      </c>
      <c r="L248" s="485" t="e" cm="1">
        <f t="array" ref="L248">IF(D248="",0, SUMPRODUCT(--(ISNUMBER(SEARCH($A248,'Diags Raw Data'!$A$6:$A$3830))),'Diags Raw Data'!$L$6:$L$3830,'Diags Raw Data'!$P$6:$P$3830)/J248)</f>
        <v>#DIV/0!</v>
      </c>
      <c r="M248" s="486" cm="1">
        <f t="array" ref="M248">SUMPRODUCT(--(ISNUMBER(SEARCH($A248,'Diags Raw Data'!$A$6:$A$3830))),--('Diags Raw Data'!$Q$6:$Q$3830&lt;&gt;"N/A"),'Diags Raw Data'!$R$6:$R$3830)</f>
        <v>0</v>
      </c>
      <c r="N248" s="487" cm="1">
        <f t="array" ref="N248">SUMPRODUCT(--(ISNUMBER(SEARCH($A248,'Diags Raw Data'!$A$6:$A$3830))),--('Diags Raw Data'!$Q$6:$Q$3830&lt;&gt;"N/A"),'Diags Raw Data'!$T$6:$T$3830)+SUMPRODUCT(--(ISNUMBER(SEARCH($A248,'Diags Raw Data'!$A$6:$A$3830))),--('Diags Raw Data'!$Q$6:$Q$3830&lt;&gt;"N/A"),'Diags Raw Data'!$U$6:$U$3830)</f>
        <v>0</v>
      </c>
      <c r="O248" s="488">
        <f t="shared" si="43"/>
        <v>0</v>
      </c>
      <c r="P248" s="489">
        <f>SUMIF('Diags Raw Data'!$A$6:$A$3830,"*"&amp;$A248&amp;"*",'Diags Raw Data'!$Z$6:$Z$3830)</f>
        <v>0</v>
      </c>
      <c r="Q248" s="490">
        <f>SUM(SUMIF('Diags Raw Data'!$A$6:$A$3830,"*"&amp;$A248&amp;"*",'Diags Raw Data'!$AA$6:$AA$3830),SUMIF('Diags Raw Data'!$A$6:$A$3830,"*"&amp;$A248&amp;"*",'Diags Raw Data'!$AB$6:$AB$3830))</f>
        <v>0</v>
      </c>
      <c r="R248" s="491">
        <f t="shared" si="44"/>
        <v>0</v>
      </c>
      <c r="S248" s="491">
        <f t="shared" si="45"/>
        <v>0</v>
      </c>
      <c r="T248" s="492">
        <f t="shared" si="46"/>
        <v>0</v>
      </c>
      <c r="U248" s="432" t="str">
        <f>VLOOKUP(A248,'Diags Raw Data'!$A$6:$AH$3830,33,FALSE)</f>
        <v>N/A</v>
      </c>
      <c r="V248" s="181"/>
    </row>
    <row r="249" spans="1:22" ht="60.75" thickBot="1" x14ac:dyDescent="0.3">
      <c r="A249" s="546">
        <v>12.488</v>
      </c>
      <c r="B249" s="434" t="str">
        <f>VLOOKUP(A249,'Feature Raw Data'!$A$3:$B$3922,2,FALSE)</f>
        <v>Reduce PBB maximum batch size from 1024 to 512 and constrain the minimum bin size in the PBB to 128 pixels</v>
      </c>
      <c r="C249" s="435" t="str">
        <f>VLOOKUP(A249,'Feature Raw Data'!$A$3:$C$3922,3,FALSE)</f>
        <v>P3</v>
      </c>
      <c r="D249" s="436" t="str" cm="1">
        <f t="array" ref="D249">_xlfn.TEXTJOIN("",TRUE,IF(ISNUMBER(SEARCH($A249,'Diags Raw Data'!$A$6:$A$3830)),CONCATENATE('Diags Raw Data'!$H$6:$H$3830,", "),""))</f>
        <v xml:space="preserve">std1.6, </v>
      </c>
      <c r="E249" s="339" t="str">
        <f>VLOOKUP(A249,'Diags Raw Data'!$A$6:$D$3830,4,FALSE)</f>
        <v>PP</v>
      </c>
      <c r="F249" s="339" t="str">
        <f>VLOOKUP(A249,'Feature Raw Data'!$A$3:$E$3922,5,FALSE)</f>
        <v>New</v>
      </c>
      <c r="G249" s="339" t="str">
        <f t="shared" si="41"/>
        <v>Yes</v>
      </c>
      <c r="H249" s="339" t="str">
        <f t="shared" si="42"/>
        <v>Yes</v>
      </c>
      <c r="I249" s="435">
        <f>SUMIF('Diags Raw Data'!$A$6:$A$3830,"*"&amp;$A249&amp;"*",'Diags Raw Data'!$K$6:$K$3830)</f>
        <v>0</v>
      </c>
      <c r="J249" s="437">
        <f>SUMIF('Diags Raw Data'!$A$6:$A$3830,"*"&amp;$A249&amp;"*",'Diags Raw Data'!$L$6:$L$3830)</f>
        <v>0</v>
      </c>
      <c r="K249" s="484" t="e" cm="1">
        <f t="array" ref="K249">IF(D249="",0, SUMPRODUCT(--(ISNUMBER(SEARCH($A249,'Diags Raw Data'!$A$6:$A$3830))),'Diags Raw Data'!$L$6:$L$3830,'Diags Raw Data'!$N$6:$N$3830)/J249)</f>
        <v>#DIV/0!</v>
      </c>
      <c r="L249" s="485" t="e" cm="1">
        <f t="array" ref="L249">IF(D249="",0, SUMPRODUCT(--(ISNUMBER(SEARCH($A249,'Diags Raw Data'!$A$6:$A$3830))),'Diags Raw Data'!$L$6:$L$3830,'Diags Raw Data'!$P$6:$P$3830)/J249)</f>
        <v>#DIV/0!</v>
      </c>
      <c r="M249" s="486" cm="1">
        <f t="array" ref="M249">SUMPRODUCT(--(ISNUMBER(SEARCH($A249,'Diags Raw Data'!$A$6:$A$3830))),--('Diags Raw Data'!$Q$6:$Q$3830&lt;&gt;"N/A"),'Diags Raw Data'!$R$6:$R$3830)</f>
        <v>1</v>
      </c>
      <c r="N249" s="487" cm="1">
        <f t="array" ref="N249">SUMPRODUCT(--(ISNUMBER(SEARCH($A249,'Diags Raw Data'!$A$6:$A$3830))),--('Diags Raw Data'!$Q$6:$Q$3830&lt;&gt;"N/A"),'Diags Raw Data'!$T$6:$T$3830)+SUMPRODUCT(--(ISNUMBER(SEARCH($A249,'Diags Raw Data'!$A$6:$A$3830))),--('Diags Raw Data'!$Q$6:$Q$3830&lt;&gt;"N/A"),'Diags Raw Data'!$U$6:$U$3830)</f>
        <v>0</v>
      </c>
      <c r="O249" s="488">
        <f t="shared" si="43"/>
        <v>0</v>
      </c>
      <c r="P249" s="489">
        <f>SUMIF('Diags Raw Data'!$A$6:$A$3830,"*"&amp;$A249&amp;"*",'Diags Raw Data'!$Z$6:$Z$3830)</f>
        <v>0</v>
      </c>
      <c r="Q249" s="490">
        <f>SUM(SUMIF('Diags Raw Data'!$A$6:$A$3830,"*"&amp;$A249&amp;"*",'Diags Raw Data'!$AA$6:$AA$3830),SUMIF('Diags Raw Data'!$A$6:$A$3830,"*"&amp;$A249&amp;"*",'Diags Raw Data'!$AB$6:$AB$3830))</f>
        <v>0</v>
      </c>
      <c r="R249" s="491">
        <f t="shared" si="44"/>
        <v>0</v>
      </c>
      <c r="S249" s="491">
        <f t="shared" si="45"/>
        <v>0</v>
      </c>
      <c r="T249" s="492">
        <f t="shared" si="46"/>
        <v>0</v>
      </c>
      <c r="U249" s="432" t="str">
        <f>VLOOKUP(A249,'Diags Raw Data'!$A$6:$AH$3830,33,FALSE)</f>
        <v>WK8</v>
      </c>
      <c r="V249" s="181"/>
    </row>
    <row r="250" spans="1:22" ht="30.75" thickBot="1" x14ac:dyDescent="0.3">
      <c r="A250" s="546">
        <v>12.489000000000001</v>
      </c>
      <c r="B250" s="434" t="str">
        <f>VLOOKUP(A250,'Feature Raw Data'!$A$3:$B$3922,2,FALSE)</f>
        <v>Deprioritize NOT_EOP=1 mode</v>
      </c>
      <c r="C250" s="435" t="str">
        <f>VLOOKUP(A250,'Feature Raw Data'!$A$3:$C$3922,3,FALSE)</f>
        <v>P3</v>
      </c>
      <c r="D250" s="436" t="str" cm="1">
        <f t="array" ref="D250">_xlfn.TEXTJOIN("",TRUE,IF(ISNUMBER(SEARCH($A250,'Diags Raw Data'!$A$6:$A$3830)),CONCATENATE('Diags Raw Data'!$H$6:$H$3830,", "),""))</f>
        <v xml:space="preserve">N/A, </v>
      </c>
      <c r="E250" s="339" t="str">
        <f>VLOOKUP(A250,'Diags Raw Data'!$A$6:$D$3830,4,FALSE)</f>
        <v>GEO</v>
      </c>
      <c r="F250" s="339" t="str">
        <f>VLOOKUP(A250,'Feature Raw Data'!$A$3:$E$3922,5,FALSE)</f>
        <v>New</v>
      </c>
      <c r="G250" s="339" t="str">
        <f t="shared" si="41"/>
        <v>No</v>
      </c>
      <c r="H250" s="339" t="str">
        <f t="shared" si="42"/>
        <v>No</v>
      </c>
      <c r="I250" s="435">
        <f>SUMIF('Diags Raw Data'!$A$6:$A$3830,"*"&amp;$A250&amp;"*",'Diags Raw Data'!$K$6:$K$3830)</f>
        <v>0</v>
      </c>
      <c r="J250" s="437">
        <f>SUMIF('Diags Raw Data'!$A$6:$A$3830,"*"&amp;$A250&amp;"*",'Diags Raw Data'!$L$6:$L$3830)</f>
        <v>0</v>
      </c>
      <c r="K250" s="484" t="e" cm="1">
        <f t="array" ref="K250">IF(D250="",0, SUMPRODUCT(--(ISNUMBER(SEARCH($A250,'Diags Raw Data'!$A$6:$A$3830))),'Diags Raw Data'!$L$6:$L$3830,'Diags Raw Data'!$N$6:$N$3830)/J250)</f>
        <v>#DIV/0!</v>
      </c>
      <c r="L250" s="485" t="e" cm="1">
        <f t="array" ref="L250">IF(D250="",0, SUMPRODUCT(--(ISNUMBER(SEARCH($A250,'Diags Raw Data'!$A$6:$A$3830))),'Diags Raw Data'!$L$6:$L$3830,'Diags Raw Data'!$P$6:$P$3830)/J250)</f>
        <v>#DIV/0!</v>
      </c>
      <c r="M250" s="486" cm="1">
        <f t="array" ref="M250">SUMPRODUCT(--(ISNUMBER(SEARCH($A250,'Diags Raw Data'!$A$6:$A$3830))),--('Diags Raw Data'!$Q$6:$Q$3830&lt;&gt;"N/A"),'Diags Raw Data'!$R$6:$R$3830)</f>
        <v>0</v>
      </c>
      <c r="N250" s="487" cm="1">
        <f t="array" ref="N250">SUMPRODUCT(--(ISNUMBER(SEARCH($A250,'Diags Raw Data'!$A$6:$A$3830))),--('Diags Raw Data'!$Q$6:$Q$3830&lt;&gt;"N/A"),'Diags Raw Data'!$T$6:$T$3830)+SUMPRODUCT(--(ISNUMBER(SEARCH($A250,'Diags Raw Data'!$A$6:$A$3830))),--('Diags Raw Data'!$Q$6:$Q$3830&lt;&gt;"N/A"),'Diags Raw Data'!$U$6:$U$3830)</f>
        <v>0</v>
      </c>
      <c r="O250" s="488">
        <f t="shared" si="43"/>
        <v>0</v>
      </c>
      <c r="P250" s="489">
        <f>SUMIF('Diags Raw Data'!$A$6:$A$3830,"*"&amp;$A250&amp;"*",'Diags Raw Data'!$Z$6:$Z$3830)</f>
        <v>0</v>
      </c>
      <c r="Q250" s="490">
        <f>SUM(SUMIF('Diags Raw Data'!$A$6:$A$3830,"*"&amp;$A250&amp;"*",'Diags Raw Data'!$AA$6:$AA$3830),SUMIF('Diags Raw Data'!$A$6:$A$3830,"*"&amp;$A250&amp;"*",'Diags Raw Data'!$AB$6:$AB$3830))</f>
        <v>0</v>
      </c>
      <c r="R250" s="491">
        <f t="shared" si="44"/>
        <v>0</v>
      </c>
      <c r="S250" s="491">
        <f t="shared" si="45"/>
        <v>0</v>
      </c>
      <c r="T250" s="492">
        <f t="shared" si="46"/>
        <v>0</v>
      </c>
      <c r="U250" s="432" t="str">
        <f>VLOOKUP(A250,'Diags Raw Data'!$A$6:$AH$3830,33,FALSE)</f>
        <v>N/A</v>
      </c>
      <c r="V250" s="181"/>
    </row>
    <row r="251" spans="1:22" ht="30.75" thickBot="1" x14ac:dyDescent="0.3">
      <c r="A251" s="546">
        <v>12.49</v>
      </c>
      <c r="B251" s="434" t="str">
        <f>VLOOKUP(A251,'Feature Raw Data'!$A$3:$B$3922,2,FALSE)</f>
        <v xml:space="preserve">GFXCLK has risk to achieve 3.46GHz due to AR change </v>
      </c>
      <c r="C251" s="435" t="str">
        <f>VLOOKUP(A251,'Feature Raw Data'!$A$3:$C$3922,3,FALSE)</f>
        <v>P2</v>
      </c>
      <c r="D251" s="436" t="str" cm="1">
        <f t="array" ref="D251">_xlfn.TEXTJOIN("",TRUE,IF(ISNUMBER(SEARCH($A251,'Diags Raw Data'!$A$6:$A$3830)),CONCATENATE('Diags Raw Data'!$H$6:$H$3830,", "),""))</f>
        <v xml:space="preserve">placeholder_c.1-2, N/A, N/A, N/A, N/A, N/A, N/A, </v>
      </c>
      <c r="E251" s="339" t="str">
        <f>VLOOKUP(A251,'Diags Raw Data'!$A$6:$D$3830,4,FALSE)</f>
        <v>PD</v>
      </c>
      <c r="F251" s="339" t="str">
        <f>VLOOKUP(A251,'Feature Raw Data'!$A$3:$E$3922,5,FALSE)</f>
        <v>New</v>
      </c>
      <c r="G251" s="339" t="str">
        <f t="shared" si="41"/>
        <v>Yes</v>
      </c>
      <c r="H251" s="339" t="str">
        <f t="shared" si="42"/>
        <v>Yes</v>
      </c>
      <c r="I251" s="435">
        <f>SUMIF('Diags Raw Data'!$A$6:$A$3830,"*"&amp;$A251&amp;"*",'Diags Raw Data'!$K$6:$K$3830)</f>
        <v>0</v>
      </c>
      <c r="J251" s="437">
        <f>SUMIF('Diags Raw Data'!$A$6:$A$3830,"*"&amp;$A251&amp;"*",'Diags Raw Data'!$L$6:$L$3830)</f>
        <v>0</v>
      </c>
      <c r="K251" s="484" t="e" cm="1">
        <f t="array" ref="K251">IF(D251="",0, SUMPRODUCT(--(ISNUMBER(SEARCH($A251,'Diags Raw Data'!$A$6:$A$3830))),'Diags Raw Data'!$L$6:$L$3830,'Diags Raw Data'!$N$6:$N$3830)/J251)</f>
        <v>#DIV/0!</v>
      </c>
      <c r="L251" s="485" t="e" cm="1">
        <f t="array" ref="L251">IF(D251="",0, SUMPRODUCT(--(ISNUMBER(SEARCH($A251,'Diags Raw Data'!$A$6:$A$3830))),'Diags Raw Data'!$L$6:$L$3830,'Diags Raw Data'!$P$6:$P$3830)/J251)</f>
        <v>#DIV/0!</v>
      </c>
      <c r="M251" s="486" cm="1">
        <f t="array" ref="M251">SUMPRODUCT(--(ISNUMBER(SEARCH($A251,'Diags Raw Data'!$A$6:$A$3830))),--('Diags Raw Data'!$Q$6:$Q$3830&lt;&gt;"N/A"),'Diags Raw Data'!$R$6:$R$3830)</f>
        <v>1</v>
      </c>
      <c r="N251" s="487" cm="1">
        <f t="array" ref="N251">SUMPRODUCT(--(ISNUMBER(SEARCH($A251,'Diags Raw Data'!$A$6:$A$3830))),--('Diags Raw Data'!$Q$6:$Q$3830&lt;&gt;"N/A"),'Diags Raw Data'!$T$6:$T$3830)+SUMPRODUCT(--(ISNUMBER(SEARCH($A251,'Diags Raw Data'!$A$6:$A$3830))),--('Diags Raw Data'!$Q$6:$Q$3830&lt;&gt;"N/A"),'Diags Raw Data'!$U$6:$U$3830)</f>
        <v>0</v>
      </c>
      <c r="O251" s="488">
        <f t="shared" si="43"/>
        <v>0</v>
      </c>
      <c r="P251" s="489">
        <f>SUMIF('Diags Raw Data'!$A$6:$A$3830,"*"&amp;$A251&amp;"*",'Diags Raw Data'!$Z$6:$Z$3830)</f>
        <v>0</v>
      </c>
      <c r="Q251" s="490">
        <f>SUM(SUMIF('Diags Raw Data'!$A$6:$A$3830,"*"&amp;$A251&amp;"*",'Diags Raw Data'!$AA$6:$AA$3830),SUMIF('Diags Raw Data'!$A$6:$A$3830,"*"&amp;$A251&amp;"*",'Diags Raw Data'!$AB$6:$AB$3830))</f>
        <v>0</v>
      </c>
      <c r="R251" s="491">
        <f t="shared" si="44"/>
        <v>0</v>
      </c>
      <c r="S251" s="491">
        <f t="shared" si="45"/>
        <v>0</v>
      </c>
      <c r="T251" s="492">
        <f t="shared" si="46"/>
        <v>0</v>
      </c>
      <c r="U251" s="432" t="str">
        <f>VLOOKUP(A251,'Diags Raw Data'!$A$6:$AH$3830,33,FALSE)</f>
        <v>N/A</v>
      </c>
      <c r="V251" s="181"/>
    </row>
    <row r="252" spans="1:22" ht="75.75" thickBot="1" x14ac:dyDescent="0.3">
      <c r="A252" s="546">
        <v>12.493</v>
      </c>
      <c r="B252" s="434" t="str">
        <f>VLOOKUP(A252,'Feature Raw Data'!$A$3:$B$3922,2,FALSE)</f>
        <v>Add new jump table for SET_SH_REG and SET_SH_REG_PAIRS when packet count=1 and state is clean</v>
      </c>
      <c r="C252" s="435" t="str">
        <f>VLOOKUP(A252,'Feature Raw Data'!$A$3:$C$3922,3,FALSE)</f>
        <v>P3</v>
      </c>
      <c r="D252" s="436" t="str" cm="1">
        <f t="array" ref="D252">_xlfn.TEXTJOIN("",TRUE,IF(ISNUMBER(SEARCH($A252,'Diags Raw Data'!$A$6:$A$3830)),CONCATENATE('Diags Raw Data'!$H$6:$H$3830,", "),""))</f>
        <v xml:space="preserve">N/A, </v>
      </c>
      <c r="E252" s="339" t="str">
        <f>VLOOKUP(A252,'Diags Raw Data'!$A$6:$D$3830,4,FALSE)</f>
        <v>CTL</v>
      </c>
      <c r="F252" s="339" t="str">
        <f>VLOOKUP(A252,'Feature Raw Data'!$A$3:$E$3922,5,FALSE)</f>
        <v>New</v>
      </c>
      <c r="G252" s="339" t="str">
        <f t="shared" si="41"/>
        <v>No</v>
      </c>
      <c r="H252" s="339" t="str">
        <f t="shared" si="42"/>
        <v>No</v>
      </c>
      <c r="I252" s="435">
        <f>SUMIF('Diags Raw Data'!$A$6:$A$3830,"*"&amp;$A252&amp;"*",'Diags Raw Data'!$K$6:$K$3830)</f>
        <v>0</v>
      </c>
      <c r="J252" s="437">
        <f>SUMIF('Diags Raw Data'!$A$6:$A$3830,"*"&amp;$A252&amp;"*",'Diags Raw Data'!$L$6:$L$3830)</f>
        <v>0</v>
      </c>
      <c r="K252" s="484" t="e" cm="1">
        <f t="array" ref="K252">IF(D252="",0, SUMPRODUCT(--(ISNUMBER(SEARCH($A252,'Diags Raw Data'!$A$6:$A$3830))),'Diags Raw Data'!$L$6:$L$3830,'Diags Raw Data'!$N$6:$N$3830)/J252)</f>
        <v>#DIV/0!</v>
      </c>
      <c r="L252" s="485" t="e" cm="1">
        <f t="array" ref="L252">IF(D252="",0, SUMPRODUCT(--(ISNUMBER(SEARCH($A252,'Diags Raw Data'!$A$6:$A$3830))),'Diags Raw Data'!$L$6:$L$3830,'Diags Raw Data'!$P$6:$P$3830)/J252)</f>
        <v>#DIV/0!</v>
      </c>
      <c r="M252" s="486" cm="1">
        <f t="array" ref="M252">SUMPRODUCT(--(ISNUMBER(SEARCH($A252,'Diags Raw Data'!$A$6:$A$3830))),--('Diags Raw Data'!$Q$6:$Q$3830&lt;&gt;"N/A"),'Diags Raw Data'!$R$6:$R$3830)</f>
        <v>0</v>
      </c>
      <c r="N252" s="487" cm="1">
        <f t="array" ref="N252">SUMPRODUCT(--(ISNUMBER(SEARCH($A252,'Diags Raw Data'!$A$6:$A$3830))),--('Diags Raw Data'!$Q$6:$Q$3830&lt;&gt;"N/A"),'Diags Raw Data'!$T$6:$T$3830)+SUMPRODUCT(--(ISNUMBER(SEARCH($A252,'Diags Raw Data'!$A$6:$A$3830))),--('Diags Raw Data'!$Q$6:$Q$3830&lt;&gt;"N/A"),'Diags Raw Data'!$U$6:$U$3830)</f>
        <v>0</v>
      </c>
      <c r="O252" s="488">
        <f t="shared" si="43"/>
        <v>0</v>
      </c>
      <c r="P252" s="489">
        <f>SUMIF('Diags Raw Data'!$A$6:$A$3830,"*"&amp;$A252&amp;"*",'Diags Raw Data'!$Z$6:$Z$3830)</f>
        <v>0</v>
      </c>
      <c r="Q252" s="490">
        <f>SUM(SUMIF('Diags Raw Data'!$A$6:$A$3830,"*"&amp;$A252&amp;"*",'Diags Raw Data'!$AA$6:$AA$3830),SUMIF('Diags Raw Data'!$A$6:$A$3830,"*"&amp;$A252&amp;"*",'Diags Raw Data'!$AB$6:$AB$3830))</f>
        <v>0</v>
      </c>
      <c r="R252" s="491">
        <f t="shared" si="44"/>
        <v>0</v>
      </c>
      <c r="S252" s="491">
        <f t="shared" si="45"/>
        <v>0</v>
      </c>
      <c r="T252" s="492">
        <f t="shared" si="46"/>
        <v>0</v>
      </c>
      <c r="U252" s="432" t="str">
        <f>VLOOKUP(A252,'Diags Raw Data'!$A$6:$AH$3830,33,FALSE)</f>
        <v>N/A</v>
      </c>
      <c r="V252" s="181"/>
    </row>
    <row r="253" spans="1:22" ht="45.75" thickBot="1" x14ac:dyDescent="0.3">
      <c r="A253" s="546">
        <v>12.494</v>
      </c>
      <c r="B253" s="434" t="str">
        <f>VLOOKUP(A253,'Feature Raw Data'!$A$3:$B$3922,2,FALSE)</f>
        <v>[Navi4m] GRBM Queue to optimize CP processor performance</v>
      </c>
      <c r="C253" s="435" t="str">
        <f>VLOOKUP(A253,'Feature Raw Data'!$A$3:$C$3922,3,FALSE)</f>
        <v>P3</v>
      </c>
      <c r="D253" s="436" t="str" cm="1">
        <f t="array" ref="D253">_xlfn.TEXTJOIN("",TRUE,IF(ISNUMBER(SEARCH($A253,'Diags Raw Data'!$A$6:$A$3830)),CONCATENATE('Diags Raw Data'!$H$6:$H$3830,", "),""))</f>
        <v xml:space="preserve">N/A, </v>
      </c>
      <c r="E253" s="339" t="str">
        <f>VLOOKUP(A253,'Diags Raw Data'!$A$6:$D$3830,4,FALSE)</f>
        <v>CTL</v>
      </c>
      <c r="F253" s="339" t="str">
        <f>VLOOKUP(A253,'Feature Raw Data'!$A$3:$E$3922,5,FALSE)</f>
        <v>New</v>
      </c>
      <c r="G253" s="339" t="str">
        <f t="shared" si="41"/>
        <v>No</v>
      </c>
      <c r="H253" s="339" t="str">
        <f t="shared" si="42"/>
        <v>No</v>
      </c>
      <c r="I253" s="435">
        <f>SUMIF('Diags Raw Data'!$A$6:$A$3830,"*"&amp;$A253&amp;"*",'Diags Raw Data'!$K$6:$K$3830)</f>
        <v>0</v>
      </c>
      <c r="J253" s="437">
        <f>SUMIF('Diags Raw Data'!$A$6:$A$3830,"*"&amp;$A253&amp;"*",'Diags Raw Data'!$L$6:$L$3830)</f>
        <v>0</v>
      </c>
      <c r="K253" s="484" t="e" cm="1">
        <f t="array" ref="K253">IF(D253="",0, SUMPRODUCT(--(ISNUMBER(SEARCH($A253,'Diags Raw Data'!$A$6:$A$3830))),'Diags Raw Data'!$L$6:$L$3830,'Diags Raw Data'!$N$6:$N$3830)/J253)</f>
        <v>#DIV/0!</v>
      </c>
      <c r="L253" s="485" t="e" cm="1">
        <f t="array" ref="L253">IF(D253="",0, SUMPRODUCT(--(ISNUMBER(SEARCH($A253,'Diags Raw Data'!$A$6:$A$3830))),'Diags Raw Data'!$L$6:$L$3830,'Diags Raw Data'!$P$6:$P$3830)/J253)</f>
        <v>#DIV/0!</v>
      </c>
      <c r="M253" s="486" cm="1">
        <f t="array" ref="M253">SUMPRODUCT(--(ISNUMBER(SEARCH($A253,'Diags Raw Data'!$A$6:$A$3830))),--('Diags Raw Data'!$Q$6:$Q$3830&lt;&gt;"N/A"),'Diags Raw Data'!$R$6:$R$3830)</f>
        <v>0</v>
      </c>
      <c r="N253" s="487" cm="1">
        <f t="array" ref="N253">SUMPRODUCT(--(ISNUMBER(SEARCH($A253,'Diags Raw Data'!$A$6:$A$3830))),--('Diags Raw Data'!$Q$6:$Q$3830&lt;&gt;"N/A"),'Diags Raw Data'!$T$6:$T$3830)+SUMPRODUCT(--(ISNUMBER(SEARCH($A253,'Diags Raw Data'!$A$6:$A$3830))),--('Diags Raw Data'!$Q$6:$Q$3830&lt;&gt;"N/A"),'Diags Raw Data'!$U$6:$U$3830)</f>
        <v>0</v>
      </c>
      <c r="O253" s="488">
        <f t="shared" si="43"/>
        <v>0</v>
      </c>
      <c r="P253" s="489">
        <f>SUMIF('Diags Raw Data'!$A$6:$A$3830,"*"&amp;$A253&amp;"*",'Diags Raw Data'!$Z$6:$Z$3830)</f>
        <v>0</v>
      </c>
      <c r="Q253" s="490">
        <f>SUM(SUMIF('Diags Raw Data'!$A$6:$A$3830,"*"&amp;$A253&amp;"*",'Diags Raw Data'!$AA$6:$AA$3830),SUMIF('Diags Raw Data'!$A$6:$A$3830,"*"&amp;$A253&amp;"*",'Diags Raw Data'!$AB$6:$AB$3830))</f>
        <v>0</v>
      </c>
      <c r="R253" s="491">
        <f t="shared" si="44"/>
        <v>0</v>
      </c>
      <c r="S253" s="491">
        <f t="shared" si="45"/>
        <v>0</v>
      </c>
      <c r="T253" s="492">
        <f t="shared" si="46"/>
        <v>0</v>
      </c>
      <c r="U253" s="432" t="str">
        <f>VLOOKUP(A253,'Diags Raw Data'!$A$6:$AH$3830,33,FALSE)</f>
        <v>N/A</v>
      </c>
      <c r="V253" s="181"/>
    </row>
    <row r="254" spans="1:22" ht="30.75" thickBot="1" x14ac:dyDescent="0.3">
      <c r="A254" s="546">
        <v>12.494999999999999</v>
      </c>
      <c r="B254" s="434" t="str">
        <f>VLOOKUP(A254,'Feature Raw Data'!$A$3:$B$3922,2,FALSE)</f>
        <v>[RS64] Add Load-IO Custom instruction w/16 CSRs</v>
      </c>
      <c r="C254" s="435" t="str">
        <f>VLOOKUP(A254,'Feature Raw Data'!$A$3:$C$3922,3,FALSE)</f>
        <v>P2</v>
      </c>
      <c r="D254" s="436" t="str" cm="1">
        <f t="array" ref="D254">_xlfn.TEXTJOIN("",TRUE,IF(ISNUMBER(SEARCH($A254,'Diags Raw Data'!$A$6:$A$3830)),CONCATENATE('Diags Raw Data'!$H$6:$H$3830,", "),""))</f>
        <v xml:space="preserve">N/A, </v>
      </c>
      <c r="E254" s="339" t="str">
        <f>VLOOKUP(A254,'Diags Raw Data'!$A$6:$D$3830,4,FALSE)</f>
        <v>CTL</v>
      </c>
      <c r="F254" s="339" t="str">
        <f>VLOOKUP(A254,'Feature Raw Data'!$A$3:$E$3922,5,FALSE)</f>
        <v>New</v>
      </c>
      <c r="G254" s="339" t="str">
        <f t="shared" si="41"/>
        <v>No</v>
      </c>
      <c r="H254" s="339" t="str">
        <f t="shared" si="42"/>
        <v>No</v>
      </c>
      <c r="I254" s="435">
        <f>SUMIF('Diags Raw Data'!$A$6:$A$3830,"*"&amp;$A254&amp;"*",'Diags Raw Data'!$K$6:$K$3830)</f>
        <v>0</v>
      </c>
      <c r="J254" s="437">
        <f>SUMIF('Diags Raw Data'!$A$6:$A$3830,"*"&amp;$A254&amp;"*",'Diags Raw Data'!$L$6:$L$3830)</f>
        <v>0</v>
      </c>
      <c r="K254" s="484" t="e" cm="1">
        <f t="array" ref="K254">IF(D254="",0, SUMPRODUCT(--(ISNUMBER(SEARCH($A254,'Diags Raw Data'!$A$6:$A$3830))),'Diags Raw Data'!$L$6:$L$3830,'Diags Raw Data'!$N$6:$N$3830)/J254)</f>
        <v>#DIV/0!</v>
      </c>
      <c r="L254" s="485" t="e" cm="1">
        <f t="array" ref="L254">IF(D254="",0, SUMPRODUCT(--(ISNUMBER(SEARCH($A254,'Diags Raw Data'!$A$6:$A$3830))),'Diags Raw Data'!$L$6:$L$3830,'Diags Raw Data'!$P$6:$P$3830)/J254)</f>
        <v>#DIV/0!</v>
      </c>
      <c r="M254" s="486" cm="1">
        <f t="array" ref="M254">SUMPRODUCT(--(ISNUMBER(SEARCH($A254,'Diags Raw Data'!$A$6:$A$3830))),--('Diags Raw Data'!$Q$6:$Q$3830&lt;&gt;"N/A"),'Diags Raw Data'!$R$6:$R$3830)</f>
        <v>0</v>
      </c>
      <c r="N254" s="487" cm="1">
        <f t="array" ref="N254">SUMPRODUCT(--(ISNUMBER(SEARCH($A254,'Diags Raw Data'!$A$6:$A$3830))),--('Diags Raw Data'!$Q$6:$Q$3830&lt;&gt;"N/A"),'Diags Raw Data'!$T$6:$T$3830)+SUMPRODUCT(--(ISNUMBER(SEARCH($A254,'Diags Raw Data'!$A$6:$A$3830))),--('Diags Raw Data'!$Q$6:$Q$3830&lt;&gt;"N/A"),'Diags Raw Data'!$U$6:$U$3830)</f>
        <v>0</v>
      </c>
      <c r="O254" s="488">
        <f t="shared" si="43"/>
        <v>0</v>
      </c>
      <c r="P254" s="489">
        <f>SUMIF('Diags Raw Data'!$A$6:$A$3830,"*"&amp;$A254&amp;"*",'Diags Raw Data'!$Z$6:$Z$3830)</f>
        <v>0</v>
      </c>
      <c r="Q254" s="490">
        <f>SUM(SUMIF('Diags Raw Data'!$A$6:$A$3830,"*"&amp;$A254&amp;"*",'Diags Raw Data'!$AA$6:$AA$3830),SUMIF('Diags Raw Data'!$A$6:$A$3830,"*"&amp;$A254&amp;"*",'Diags Raw Data'!$AB$6:$AB$3830))</f>
        <v>0</v>
      </c>
      <c r="R254" s="491">
        <f t="shared" si="44"/>
        <v>0</v>
      </c>
      <c r="S254" s="491">
        <f t="shared" si="45"/>
        <v>0</v>
      </c>
      <c r="T254" s="492">
        <f t="shared" si="46"/>
        <v>0</v>
      </c>
      <c r="U254" s="432" t="str">
        <f>VLOOKUP(A254,'Diags Raw Data'!$A$6:$AH$3830,33,FALSE)</f>
        <v>N/A</v>
      </c>
      <c r="V254" s="181"/>
    </row>
    <row r="255" spans="1:22" ht="60.75" thickBot="1" x14ac:dyDescent="0.3">
      <c r="A255" s="546">
        <v>12.497</v>
      </c>
      <c r="B255" s="434" t="str">
        <f>VLOOKUP(A255,'Feature Raw Data'!$A$3:$B$3922,2,FALSE)</f>
        <v>load_reserved store_conditional unitID aliasing requires a change in GFX client unitID values</v>
      </c>
      <c r="C255" s="435" t="str">
        <f>VLOOKUP(A255,'Feature Raw Data'!$A$3:$C$3922,3,FALSE)</f>
        <v>P1</v>
      </c>
      <c r="D255" s="436" t="str" cm="1">
        <f t="array" ref="D255">_xlfn.TEXTJOIN("",TRUE,IF(ISNUMBER(SEARCH($A255,'Diags Raw Data'!$A$6:$A$3830)),CONCATENATE('Diags Raw Data'!$H$6:$H$3830,", "),""))</f>
        <v xml:space="preserve">N/A, </v>
      </c>
      <c r="E255" s="339" t="str">
        <f>VLOOKUP(A255,'Diags Raw Data'!$A$6:$D$3830,4,FALSE)</f>
        <v>CMM</v>
      </c>
      <c r="F255" s="339" t="str">
        <f>VLOOKUP(A255,'Feature Raw Data'!$A$3:$E$3922,5,FALSE)</f>
        <v>New</v>
      </c>
      <c r="G255" s="339" t="str">
        <f t="shared" si="41"/>
        <v>No</v>
      </c>
      <c r="H255" s="339" t="str">
        <f t="shared" si="42"/>
        <v>No</v>
      </c>
      <c r="I255" s="435">
        <f>SUMIF('Diags Raw Data'!$A$6:$A$3830,"*"&amp;$A255&amp;"*",'Diags Raw Data'!$K$6:$K$3830)</f>
        <v>0</v>
      </c>
      <c r="J255" s="437">
        <f>SUMIF('Diags Raw Data'!$A$6:$A$3830,"*"&amp;$A255&amp;"*",'Diags Raw Data'!$L$6:$L$3830)</f>
        <v>0</v>
      </c>
      <c r="K255" s="484" t="e" cm="1">
        <f t="array" ref="K255">IF(D255="",0, SUMPRODUCT(--(ISNUMBER(SEARCH($A255,'Diags Raw Data'!$A$6:$A$3830))),'Diags Raw Data'!$L$6:$L$3830,'Diags Raw Data'!$N$6:$N$3830)/J255)</f>
        <v>#DIV/0!</v>
      </c>
      <c r="L255" s="485" t="e" cm="1">
        <f t="array" ref="L255">IF(D255="",0, SUMPRODUCT(--(ISNUMBER(SEARCH($A255,'Diags Raw Data'!$A$6:$A$3830))),'Diags Raw Data'!$L$6:$L$3830,'Diags Raw Data'!$P$6:$P$3830)/J255)</f>
        <v>#DIV/0!</v>
      </c>
      <c r="M255" s="486" cm="1">
        <f t="array" ref="M255">SUMPRODUCT(--(ISNUMBER(SEARCH($A255,'Diags Raw Data'!$A$6:$A$3830))),--('Diags Raw Data'!$Q$6:$Q$3830&lt;&gt;"N/A"),'Diags Raw Data'!$R$6:$R$3830)</f>
        <v>0</v>
      </c>
      <c r="N255" s="487" cm="1">
        <f t="array" ref="N255">SUMPRODUCT(--(ISNUMBER(SEARCH($A255,'Diags Raw Data'!$A$6:$A$3830))),--('Diags Raw Data'!$Q$6:$Q$3830&lt;&gt;"N/A"),'Diags Raw Data'!$T$6:$T$3830)+SUMPRODUCT(--(ISNUMBER(SEARCH($A255,'Diags Raw Data'!$A$6:$A$3830))),--('Diags Raw Data'!$Q$6:$Q$3830&lt;&gt;"N/A"),'Diags Raw Data'!$U$6:$U$3830)</f>
        <v>0</v>
      </c>
      <c r="O255" s="488">
        <f t="shared" si="43"/>
        <v>0</v>
      </c>
      <c r="P255" s="489">
        <f>SUMIF('Diags Raw Data'!$A$6:$A$3830,"*"&amp;$A255&amp;"*",'Diags Raw Data'!$Z$6:$Z$3830)</f>
        <v>0</v>
      </c>
      <c r="Q255" s="490">
        <f>SUM(SUMIF('Diags Raw Data'!$A$6:$A$3830,"*"&amp;$A255&amp;"*",'Diags Raw Data'!$AA$6:$AA$3830),SUMIF('Diags Raw Data'!$A$6:$A$3830,"*"&amp;$A255&amp;"*",'Diags Raw Data'!$AB$6:$AB$3830))</f>
        <v>0</v>
      </c>
      <c r="R255" s="491">
        <f t="shared" si="44"/>
        <v>0</v>
      </c>
      <c r="S255" s="491">
        <f t="shared" si="45"/>
        <v>0</v>
      </c>
      <c r="T255" s="492">
        <f t="shared" si="46"/>
        <v>0</v>
      </c>
      <c r="U255" s="432" t="str">
        <f>VLOOKUP(A255,'Diags Raw Data'!$A$6:$AH$3830,33,FALSE)</f>
        <v>N/A</v>
      </c>
      <c r="V255" s="181"/>
    </row>
    <row r="256" spans="1:22" ht="30.75" thickBot="1" x14ac:dyDescent="0.3">
      <c r="A256" s="546">
        <v>12.497999999999999</v>
      </c>
      <c r="B256" s="434" t="str">
        <f>VLOOKUP(A256,'Feature Raw Data'!$A$3:$B$3922,2,FALSE)</f>
        <v>Increase in DB FIFOs for Write-Only Performance</v>
      </c>
      <c r="C256" s="435" t="str">
        <f>VLOOKUP(A256,'Feature Raw Data'!$A$3:$C$3922,3,FALSE)</f>
        <v>P1</v>
      </c>
      <c r="D256" s="436" t="str" cm="1">
        <f t="array" ref="D256">_xlfn.TEXTJOIN("",TRUE,IF(ISNUMBER(SEARCH($A256,'Diags Raw Data'!$A$6:$A$3830)),CONCATENATE('Diags Raw Data'!$H$6:$H$3830,", "),""))</f>
        <v xml:space="preserve">N/A, </v>
      </c>
      <c r="E256" s="339" t="str">
        <f>VLOOKUP(A256,'Diags Raw Data'!$A$6:$D$3830,4,FALSE)</f>
        <v>PP</v>
      </c>
      <c r="F256" s="339" t="str">
        <f>VLOOKUP(A256,'Feature Raw Data'!$A$3:$E$3922,5,FALSE)</f>
        <v>New</v>
      </c>
      <c r="G256" s="339" t="str">
        <f t="shared" si="41"/>
        <v>No</v>
      </c>
      <c r="H256" s="339" t="str">
        <f t="shared" si="42"/>
        <v>No</v>
      </c>
      <c r="I256" s="435">
        <f>SUMIF('Diags Raw Data'!$A$6:$A$3830,"*"&amp;$A256&amp;"*",'Diags Raw Data'!$K$6:$K$3830)</f>
        <v>0</v>
      </c>
      <c r="J256" s="437">
        <f>SUMIF('Diags Raw Data'!$A$6:$A$3830,"*"&amp;$A256&amp;"*",'Diags Raw Data'!$L$6:$L$3830)</f>
        <v>0</v>
      </c>
      <c r="K256" s="484" t="e" cm="1">
        <f t="array" ref="K256">IF(D256="",0, SUMPRODUCT(--(ISNUMBER(SEARCH($A256,'Diags Raw Data'!$A$6:$A$3830))),'Diags Raw Data'!$L$6:$L$3830,'Diags Raw Data'!$N$6:$N$3830)/J256)</f>
        <v>#DIV/0!</v>
      </c>
      <c r="L256" s="485" t="e" cm="1">
        <f t="array" ref="L256">IF(D256="",0, SUMPRODUCT(--(ISNUMBER(SEARCH($A256,'Diags Raw Data'!$A$6:$A$3830))),'Diags Raw Data'!$L$6:$L$3830,'Diags Raw Data'!$P$6:$P$3830)/J256)</f>
        <v>#DIV/0!</v>
      </c>
      <c r="M256" s="486" cm="1">
        <f t="array" ref="M256">SUMPRODUCT(--(ISNUMBER(SEARCH($A256,'Diags Raw Data'!$A$6:$A$3830))),--('Diags Raw Data'!$Q$6:$Q$3830&lt;&gt;"N/A"),'Diags Raw Data'!$R$6:$R$3830)</f>
        <v>0</v>
      </c>
      <c r="N256" s="487" cm="1">
        <f t="array" ref="N256">SUMPRODUCT(--(ISNUMBER(SEARCH($A256,'Diags Raw Data'!$A$6:$A$3830))),--('Diags Raw Data'!$Q$6:$Q$3830&lt;&gt;"N/A"),'Diags Raw Data'!$T$6:$T$3830)+SUMPRODUCT(--(ISNUMBER(SEARCH($A256,'Diags Raw Data'!$A$6:$A$3830))),--('Diags Raw Data'!$Q$6:$Q$3830&lt;&gt;"N/A"),'Diags Raw Data'!$U$6:$U$3830)</f>
        <v>0</v>
      </c>
      <c r="O256" s="488">
        <f t="shared" si="43"/>
        <v>0</v>
      </c>
      <c r="P256" s="489">
        <f>SUMIF('Diags Raw Data'!$A$6:$A$3830,"*"&amp;$A256&amp;"*",'Diags Raw Data'!$Z$6:$Z$3830)</f>
        <v>0</v>
      </c>
      <c r="Q256" s="490">
        <f>SUM(SUMIF('Diags Raw Data'!$A$6:$A$3830,"*"&amp;$A256&amp;"*",'Diags Raw Data'!$AA$6:$AA$3830),SUMIF('Diags Raw Data'!$A$6:$A$3830,"*"&amp;$A256&amp;"*",'Diags Raw Data'!$AB$6:$AB$3830))</f>
        <v>0</v>
      </c>
      <c r="R256" s="491">
        <f t="shared" si="44"/>
        <v>0</v>
      </c>
      <c r="S256" s="491">
        <f t="shared" si="45"/>
        <v>0</v>
      </c>
      <c r="T256" s="492">
        <f t="shared" si="46"/>
        <v>0</v>
      </c>
      <c r="U256" s="432" t="str">
        <f>VLOOKUP(A256,'Diags Raw Data'!$A$6:$AH$3830,33,FALSE)</f>
        <v>N/A</v>
      </c>
      <c r="V256" s="181"/>
    </row>
    <row r="257" spans="1:22" ht="45.75" thickBot="1" x14ac:dyDescent="0.3">
      <c r="A257" s="546">
        <v>12.499000000000001</v>
      </c>
      <c r="B257" s="434" t="str">
        <f>VLOOKUP(A257,'Feature Raw Data'!$A$3:$B$3922,2,FALSE)</f>
        <v>CB/DB compress to clear/single before sending to GLx</v>
      </c>
      <c r="C257" s="435" t="str">
        <f>VLOOKUP(A257,'Feature Raw Data'!$A$3:$C$3922,3,FALSE)</f>
        <v>P2</v>
      </c>
      <c r="D257" s="436" t="str" cm="1">
        <f t="array" ref="D257">_xlfn.TEXTJOIN("",TRUE,IF(ISNUMBER(SEARCH($A257,'Diags Raw Data'!$A$6:$A$3830)),CONCATENATE('Diags Raw Data'!$H$6:$H$3830,", "),""))</f>
        <v xml:space="preserve">placeholder_c.1-2, </v>
      </c>
      <c r="E257" s="339" t="str">
        <f>VLOOKUP(A257,'Diags Raw Data'!$A$6:$D$3830,4,FALSE)</f>
        <v>CMM</v>
      </c>
      <c r="F257" s="339" t="str">
        <f>VLOOKUP(A257,'Feature Raw Data'!$A$3:$E$3922,5,FALSE)</f>
        <v>New</v>
      </c>
      <c r="G257" s="339" t="str">
        <f t="shared" si="41"/>
        <v>Yes</v>
      </c>
      <c r="H257" s="339" t="str">
        <f t="shared" si="42"/>
        <v>Yes</v>
      </c>
      <c r="I257" s="435">
        <f>SUMIF('Diags Raw Data'!$A$6:$A$3830,"*"&amp;$A257&amp;"*",'Diags Raw Data'!$K$6:$K$3830)</f>
        <v>0</v>
      </c>
      <c r="J257" s="437">
        <f>SUMIF('Diags Raw Data'!$A$6:$A$3830,"*"&amp;$A257&amp;"*",'Diags Raw Data'!$L$6:$L$3830)</f>
        <v>0</v>
      </c>
      <c r="K257" s="484" t="e" cm="1">
        <f t="array" ref="K257">IF(D257="",0, SUMPRODUCT(--(ISNUMBER(SEARCH($A257,'Diags Raw Data'!$A$6:$A$3830))),'Diags Raw Data'!$L$6:$L$3830,'Diags Raw Data'!$N$6:$N$3830)/J257)</f>
        <v>#DIV/0!</v>
      </c>
      <c r="L257" s="485" t="e" cm="1">
        <f t="array" ref="L257">IF(D257="",0, SUMPRODUCT(--(ISNUMBER(SEARCH($A257,'Diags Raw Data'!$A$6:$A$3830))),'Diags Raw Data'!$L$6:$L$3830,'Diags Raw Data'!$P$6:$P$3830)/J257)</f>
        <v>#DIV/0!</v>
      </c>
      <c r="M257" s="486" cm="1">
        <f t="array" ref="M257">SUMPRODUCT(--(ISNUMBER(SEARCH($A257,'Diags Raw Data'!$A$6:$A$3830))),--('Diags Raw Data'!$Q$6:$Q$3830&lt;&gt;"N/A"),'Diags Raw Data'!$R$6:$R$3830)</f>
        <v>1</v>
      </c>
      <c r="N257" s="487" cm="1">
        <f t="array" ref="N257">SUMPRODUCT(--(ISNUMBER(SEARCH($A257,'Diags Raw Data'!$A$6:$A$3830))),--('Diags Raw Data'!$Q$6:$Q$3830&lt;&gt;"N/A"),'Diags Raw Data'!$T$6:$T$3830)+SUMPRODUCT(--(ISNUMBER(SEARCH($A257,'Diags Raw Data'!$A$6:$A$3830))),--('Diags Raw Data'!$Q$6:$Q$3830&lt;&gt;"N/A"),'Diags Raw Data'!$U$6:$U$3830)</f>
        <v>0</v>
      </c>
      <c r="O257" s="488">
        <f t="shared" si="43"/>
        <v>0</v>
      </c>
      <c r="P257" s="489">
        <f>SUMIF('Diags Raw Data'!$A$6:$A$3830,"*"&amp;$A257&amp;"*",'Diags Raw Data'!$Z$6:$Z$3830)</f>
        <v>0</v>
      </c>
      <c r="Q257" s="490">
        <f>SUM(SUMIF('Diags Raw Data'!$A$6:$A$3830,"*"&amp;$A257&amp;"*",'Diags Raw Data'!$AA$6:$AA$3830),SUMIF('Diags Raw Data'!$A$6:$A$3830,"*"&amp;$A257&amp;"*",'Diags Raw Data'!$AB$6:$AB$3830))</f>
        <v>0</v>
      </c>
      <c r="R257" s="491">
        <f t="shared" si="44"/>
        <v>0</v>
      </c>
      <c r="S257" s="491">
        <f t="shared" si="45"/>
        <v>0</v>
      </c>
      <c r="T257" s="492">
        <f t="shared" si="46"/>
        <v>0</v>
      </c>
      <c r="U257" s="432" t="str">
        <f>VLOOKUP(A257,'Diags Raw Data'!$A$6:$AH$3830,33,FALSE)</f>
        <v>WK8</v>
      </c>
      <c r="V257" s="181"/>
    </row>
    <row r="258" spans="1:22" x14ac:dyDescent="0.25">
      <c r="A258" s="546">
        <v>12.5</v>
      </c>
      <c r="B258" s="434" t="str">
        <f>VLOOKUP(A258,'Feature Raw Data'!$A$3:$B$3922,2,FALSE)</f>
        <v>2ch_cant_saturate_pcie_rdBW</v>
      </c>
      <c r="C258" s="435" t="str">
        <f>VLOOKUP(A258,'Feature Raw Data'!$A$3:$C$3922,3,FALSE)</f>
        <v>P2</v>
      </c>
      <c r="D258" s="436" t="str" cm="1">
        <f t="array" ref="D258">_xlfn.TEXTJOIN("",TRUE,IF(ISNUMBER(SEARCH($A258,'Diags Raw Data'!$A$6:$A$3830)),CONCATENATE('Diags Raw Data'!$H$6:$H$3830,", "),""))</f>
        <v xml:space="preserve">N/A, </v>
      </c>
      <c r="E258" s="339" t="str">
        <f>VLOOKUP(A258,'Diags Raw Data'!$A$6:$D$3830,4,FALSE)</f>
        <v>CMM</v>
      </c>
      <c r="F258" s="339" t="str">
        <f>VLOOKUP(A258,'Feature Raw Data'!$A$3:$E$3922,5,FALSE)</f>
        <v>New</v>
      </c>
      <c r="G258" s="339" t="str">
        <f t="shared" si="41"/>
        <v>No</v>
      </c>
      <c r="H258" s="339" t="str">
        <f t="shared" si="42"/>
        <v>No</v>
      </c>
      <c r="I258" s="435">
        <f>SUMIF('Diags Raw Data'!$A$6:$A$3830,"*"&amp;$A258&amp;"*",'Diags Raw Data'!$K$6:$K$3830)</f>
        <v>0</v>
      </c>
      <c r="J258" s="437">
        <f>SUMIF('Diags Raw Data'!$A$6:$A$3830,"*"&amp;$A258&amp;"*",'Diags Raw Data'!$L$6:$L$3830)</f>
        <v>0</v>
      </c>
      <c r="K258" s="484" t="e" cm="1">
        <f t="array" ref="K258">IF(D258="",0, SUMPRODUCT(--(ISNUMBER(SEARCH($A258,'Diags Raw Data'!$A$6:$A$3830))),'Diags Raw Data'!$L$6:$L$3830,'Diags Raw Data'!$N$6:$N$3830)/J258)</f>
        <v>#DIV/0!</v>
      </c>
      <c r="L258" s="485" t="e" cm="1">
        <f t="array" ref="L258">IF(D258="",0, SUMPRODUCT(--(ISNUMBER(SEARCH($A258,'Diags Raw Data'!$A$6:$A$3830))),'Diags Raw Data'!$L$6:$L$3830,'Diags Raw Data'!$P$6:$P$3830)/J258)</f>
        <v>#DIV/0!</v>
      </c>
      <c r="M258" s="486" cm="1">
        <f t="array" ref="M258">SUMPRODUCT(--(ISNUMBER(SEARCH($A258,'Diags Raw Data'!$A$6:$A$3830))),--('Diags Raw Data'!$Q$6:$Q$3830&lt;&gt;"N/A"),'Diags Raw Data'!$R$6:$R$3830)</f>
        <v>0</v>
      </c>
      <c r="N258" s="487" cm="1">
        <f t="array" ref="N258">SUMPRODUCT(--(ISNUMBER(SEARCH($A258,'Diags Raw Data'!$A$6:$A$3830))),--('Diags Raw Data'!$Q$6:$Q$3830&lt;&gt;"N/A"),'Diags Raw Data'!$T$6:$T$3830)+SUMPRODUCT(--(ISNUMBER(SEARCH($A258,'Diags Raw Data'!$A$6:$A$3830))),--('Diags Raw Data'!$Q$6:$Q$3830&lt;&gt;"N/A"),'Diags Raw Data'!$U$6:$U$3830)</f>
        <v>0</v>
      </c>
      <c r="O258" s="488">
        <f t="shared" si="43"/>
        <v>0</v>
      </c>
      <c r="P258" s="489">
        <f>SUMIF('Diags Raw Data'!$A$6:$A$3830,"*"&amp;$A258&amp;"*",'Diags Raw Data'!$Z$6:$Z$3830)</f>
        <v>0</v>
      </c>
      <c r="Q258" s="490">
        <f>SUM(SUMIF('Diags Raw Data'!$A$6:$A$3830,"*"&amp;$A258&amp;"*",'Diags Raw Data'!$AA$6:$AA$3830),SUMIF('Diags Raw Data'!$A$6:$A$3830,"*"&amp;$A258&amp;"*",'Diags Raw Data'!$AB$6:$AB$3830))</f>
        <v>0</v>
      </c>
      <c r="R258" s="491">
        <f t="shared" si="44"/>
        <v>0</v>
      </c>
      <c r="S258" s="491">
        <f t="shared" si="45"/>
        <v>0</v>
      </c>
      <c r="T258" s="492">
        <f t="shared" si="46"/>
        <v>0</v>
      </c>
      <c r="U258" s="432" t="str">
        <f>VLOOKUP(A258,'Diags Raw Data'!$A$6:$AH$3830,33,FALSE)</f>
        <v>N/A</v>
      </c>
      <c r="V258" s="181"/>
    </row>
    <row r="259" spans="1:22" x14ac:dyDescent="0.25">
      <c r="A259" s="546"/>
      <c r="B259" s="434"/>
      <c r="C259" s="435"/>
      <c r="D259" s="436"/>
      <c r="E259" s="339"/>
      <c r="F259" s="339"/>
      <c r="G259" s="339"/>
      <c r="H259" s="339"/>
      <c r="I259" s="435"/>
      <c r="J259" s="437"/>
      <c r="K259" s="484"/>
      <c r="L259" s="485"/>
      <c r="M259" s="486"/>
      <c r="N259" s="487"/>
      <c r="O259" s="488"/>
      <c r="P259" s="489"/>
      <c r="Q259" s="490"/>
      <c r="R259" s="491"/>
      <c r="S259" s="491"/>
      <c r="T259" s="492"/>
      <c r="U259" s="438"/>
      <c r="V259" s="181"/>
    </row>
    <row r="260" spans="1:22" x14ac:dyDescent="0.25">
      <c r="A260" s="546"/>
      <c r="B260" s="434"/>
      <c r="C260" s="435"/>
      <c r="D260" s="436"/>
      <c r="E260" s="339"/>
      <c r="F260" s="339"/>
      <c r="G260" s="339"/>
      <c r="H260" s="339"/>
      <c r="I260" s="435"/>
      <c r="J260" s="437"/>
      <c r="K260" s="484"/>
      <c r="L260" s="485"/>
      <c r="M260" s="486"/>
      <c r="N260" s="487"/>
      <c r="O260" s="488"/>
      <c r="P260" s="489"/>
      <c r="Q260" s="490"/>
      <c r="R260" s="491"/>
      <c r="S260" s="491"/>
      <c r="T260" s="492"/>
      <c r="U260" s="438"/>
      <c r="V260" s="181"/>
    </row>
    <row r="261" spans="1:22" x14ac:dyDescent="0.25">
      <c r="A261" s="546"/>
      <c r="B261" s="434"/>
      <c r="C261" s="435"/>
      <c r="D261" s="436"/>
      <c r="E261" s="339"/>
      <c r="F261" s="339"/>
      <c r="G261" s="339"/>
      <c r="H261" s="339"/>
      <c r="I261" s="435"/>
      <c r="J261" s="437"/>
      <c r="K261" s="484"/>
      <c r="L261" s="485"/>
      <c r="M261" s="486"/>
      <c r="N261" s="487"/>
      <c r="O261" s="488"/>
      <c r="P261" s="489"/>
      <c r="Q261" s="490"/>
      <c r="R261" s="491"/>
      <c r="S261" s="491"/>
      <c r="T261" s="492"/>
      <c r="U261" s="438"/>
      <c r="V261" s="181"/>
    </row>
    <row r="262" spans="1:22" x14ac:dyDescent="0.25">
      <c r="A262" s="546"/>
      <c r="B262" s="434"/>
      <c r="C262" s="435"/>
      <c r="D262" s="436"/>
      <c r="E262" s="339"/>
      <c r="F262" s="339"/>
      <c r="G262" s="339"/>
      <c r="H262" s="339"/>
      <c r="I262" s="435"/>
      <c r="J262" s="437"/>
      <c r="K262" s="484"/>
      <c r="L262" s="485"/>
      <c r="M262" s="486"/>
      <c r="N262" s="487"/>
      <c r="O262" s="488"/>
      <c r="P262" s="489"/>
      <c r="Q262" s="490"/>
      <c r="R262" s="491"/>
      <c r="S262" s="491"/>
      <c r="T262" s="492"/>
      <c r="U262" s="438"/>
      <c r="V262" s="181"/>
    </row>
    <row r="263" spans="1:22" x14ac:dyDescent="0.25">
      <c r="A263" s="546"/>
      <c r="B263" s="434"/>
      <c r="C263" s="435"/>
      <c r="D263" s="436"/>
      <c r="E263" s="339"/>
      <c r="F263" s="339"/>
      <c r="G263" s="339"/>
      <c r="H263" s="339"/>
      <c r="I263" s="435"/>
      <c r="J263" s="437"/>
      <c r="K263" s="484"/>
      <c r="L263" s="485"/>
      <c r="M263" s="486"/>
      <c r="N263" s="487"/>
      <c r="O263" s="488"/>
      <c r="P263" s="489"/>
      <c r="Q263" s="490"/>
      <c r="R263" s="491"/>
      <c r="S263" s="491"/>
      <c r="T263" s="492"/>
      <c r="U263" s="438"/>
      <c r="V263" s="181"/>
    </row>
    <row r="264" spans="1:22" x14ac:dyDescent="0.25">
      <c r="A264" s="546"/>
      <c r="B264" s="434"/>
      <c r="C264" s="435"/>
      <c r="D264" s="436"/>
      <c r="E264" s="339"/>
      <c r="F264" s="339"/>
      <c r="G264" s="339"/>
      <c r="H264" s="339"/>
      <c r="I264" s="435"/>
      <c r="J264" s="437"/>
      <c r="K264" s="484"/>
      <c r="L264" s="485"/>
      <c r="M264" s="486"/>
      <c r="N264" s="487"/>
      <c r="O264" s="488"/>
      <c r="P264" s="489"/>
      <c r="Q264" s="490"/>
      <c r="R264" s="491"/>
      <c r="S264" s="491"/>
      <c r="T264" s="492"/>
      <c r="U264" s="438"/>
      <c r="V264" s="181"/>
    </row>
    <row r="265" spans="1:22" x14ac:dyDescent="0.25">
      <c r="A265" s="546"/>
      <c r="B265" s="434"/>
      <c r="C265" s="435"/>
      <c r="D265" s="436"/>
      <c r="E265" s="339"/>
      <c r="F265" s="339"/>
      <c r="G265" s="339"/>
      <c r="H265" s="339"/>
      <c r="I265" s="435"/>
      <c r="J265" s="437"/>
      <c r="K265" s="484"/>
      <c r="L265" s="485"/>
      <c r="M265" s="486"/>
      <c r="N265" s="487"/>
      <c r="O265" s="488"/>
      <c r="P265" s="489"/>
      <c r="Q265" s="490"/>
      <c r="R265" s="491"/>
      <c r="S265" s="491"/>
      <c r="T265" s="492"/>
      <c r="U265" s="438"/>
      <c r="V265" s="181"/>
    </row>
    <row r="266" spans="1:22" x14ac:dyDescent="0.25">
      <c r="A266" s="546"/>
      <c r="B266" s="434"/>
      <c r="C266" s="435"/>
      <c r="D266" s="436"/>
      <c r="E266" s="339"/>
      <c r="F266" s="339"/>
      <c r="G266" s="339"/>
      <c r="H266" s="339"/>
      <c r="I266" s="435"/>
      <c r="J266" s="437"/>
      <c r="K266" s="484"/>
      <c r="L266" s="485"/>
      <c r="M266" s="486"/>
      <c r="N266" s="487"/>
      <c r="O266" s="488"/>
      <c r="P266" s="489"/>
      <c r="Q266" s="490"/>
      <c r="R266" s="491"/>
      <c r="S266" s="491"/>
      <c r="T266" s="492"/>
      <c r="U266" s="438"/>
      <c r="V266" s="181"/>
    </row>
    <row r="267" spans="1:22" x14ac:dyDescent="0.25">
      <c r="A267" s="546"/>
      <c r="B267" s="434"/>
      <c r="C267" s="435"/>
      <c r="D267" s="436"/>
      <c r="E267" s="339"/>
      <c r="F267" s="339"/>
      <c r="G267" s="339"/>
      <c r="H267" s="339"/>
      <c r="I267" s="435"/>
      <c r="J267" s="437"/>
      <c r="K267" s="484"/>
      <c r="L267" s="485"/>
      <c r="M267" s="486"/>
      <c r="N267" s="487"/>
      <c r="O267" s="488"/>
      <c r="P267" s="489"/>
      <c r="Q267" s="490"/>
      <c r="R267" s="491"/>
      <c r="S267" s="491"/>
      <c r="T267" s="492"/>
      <c r="U267" s="438"/>
      <c r="V267" s="181"/>
    </row>
    <row r="268" spans="1:22" x14ac:dyDescent="0.25">
      <c r="A268" s="546"/>
      <c r="B268" s="434"/>
      <c r="C268" s="435"/>
      <c r="D268" s="436"/>
      <c r="E268" s="339"/>
      <c r="F268" s="339"/>
      <c r="G268" s="339"/>
      <c r="H268" s="339"/>
      <c r="I268" s="435"/>
      <c r="J268" s="437"/>
      <c r="K268" s="484"/>
      <c r="L268" s="485"/>
      <c r="M268" s="486"/>
      <c r="N268" s="487"/>
      <c r="O268" s="488"/>
      <c r="P268" s="489"/>
      <c r="Q268" s="490"/>
      <c r="R268" s="491"/>
      <c r="S268" s="491"/>
      <c r="T268" s="492"/>
      <c r="U268" s="438"/>
      <c r="V268" s="181"/>
    </row>
    <row r="269" spans="1:22" x14ac:dyDescent="0.25">
      <c r="A269" s="546"/>
      <c r="B269" s="434"/>
      <c r="C269" s="435"/>
      <c r="D269" s="436"/>
      <c r="E269" s="339"/>
      <c r="F269" s="339"/>
      <c r="G269" s="339"/>
      <c r="H269" s="339"/>
      <c r="I269" s="435"/>
      <c r="J269" s="437"/>
      <c r="K269" s="484"/>
      <c r="L269" s="485"/>
      <c r="M269" s="486"/>
      <c r="N269" s="487"/>
      <c r="O269" s="488"/>
      <c r="P269" s="489"/>
      <c r="Q269" s="490"/>
      <c r="R269" s="491"/>
      <c r="S269" s="491"/>
      <c r="T269" s="492"/>
      <c r="U269" s="438"/>
      <c r="V269" s="181"/>
    </row>
    <row r="270" spans="1:22" x14ac:dyDescent="0.25">
      <c r="A270" s="433"/>
      <c r="B270" s="434"/>
      <c r="C270" s="435"/>
      <c r="D270" s="436"/>
      <c r="E270" s="339"/>
      <c r="F270" s="339"/>
      <c r="G270" s="339"/>
      <c r="H270" s="339"/>
      <c r="I270" s="435"/>
      <c r="J270" s="437"/>
      <c r="K270" s="484"/>
      <c r="L270" s="485"/>
      <c r="M270" s="486"/>
      <c r="N270" s="487"/>
      <c r="O270" s="488"/>
      <c r="P270" s="489"/>
      <c r="Q270" s="490"/>
      <c r="R270" s="491"/>
      <c r="S270" s="491"/>
      <c r="T270" s="492"/>
      <c r="U270" s="438"/>
      <c r="V270" s="181"/>
    </row>
    <row r="271" spans="1:22" x14ac:dyDescent="0.25">
      <c r="A271" s="433"/>
      <c r="B271" s="434"/>
      <c r="C271" s="435"/>
      <c r="D271" s="436"/>
      <c r="E271" s="339"/>
      <c r="F271" s="339"/>
      <c r="G271" s="339"/>
      <c r="H271" s="339"/>
      <c r="I271" s="435"/>
      <c r="J271" s="437"/>
      <c r="K271" s="484"/>
      <c r="L271" s="485"/>
      <c r="M271" s="486"/>
      <c r="N271" s="487"/>
      <c r="O271" s="488"/>
      <c r="P271" s="489"/>
      <c r="Q271" s="490"/>
      <c r="R271" s="491"/>
      <c r="S271" s="491"/>
      <c r="T271" s="492"/>
      <c r="U271" s="438"/>
      <c r="V271" s="181"/>
    </row>
    <row r="272" spans="1:22" x14ac:dyDescent="0.25">
      <c r="A272" s="369"/>
      <c r="B272" s="403"/>
      <c r="C272" s="338"/>
      <c r="D272" s="82"/>
      <c r="E272" s="180"/>
      <c r="F272" s="180"/>
      <c r="G272" s="180"/>
      <c r="H272" s="180"/>
      <c r="I272" s="338"/>
      <c r="J272" s="194"/>
      <c r="K272" s="493"/>
      <c r="L272" s="494"/>
      <c r="M272" s="495"/>
      <c r="N272" s="496"/>
      <c r="O272" s="497"/>
      <c r="P272" s="498"/>
      <c r="Q272" s="499"/>
      <c r="R272" s="500"/>
      <c r="S272" s="500"/>
      <c r="T272" s="501"/>
      <c r="U272" s="370"/>
      <c r="V272" s="181"/>
    </row>
    <row r="273" spans="1:22" x14ac:dyDescent="0.25">
      <c r="A273" s="369"/>
      <c r="B273" s="403"/>
      <c r="C273" s="338"/>
      <c r="D273" s="82"/>
      <c r="E273" s="180"/>
      <c r="F273" s="180"/>
      <c r="G273" s="180"/>
      <c r="H273" s="180"/>
      <c r="I273" s="338"/>
      <c r="J273" s="194"/>
      <c r="K273" s="493"/>
      <c r="L273" s="494"/>
      <c r="M273" s="495"/>
      <c r="N273" s="496"/>
      <c r="O273" s="497"/>
      <c r="P273" s="498"/>
      <c r="Q273" s="499"/>
      <c r="R273" s="500"/>
      <c r="S273" s="500"/>
      <c r="T273" s="501"/>
      <c r="U273" s="370"/>
      <c r="V273" s="181"/>
    </row>
    <row r="274" spans="1:22" ht="15.75" thickBot="1" x14ac:dyDescent="0.3">
      <c r="A274" s="377"/>
      <c r="B274" s="404"/>
      <c r="C274" s="378"/>
      <c r="D274" s="379"/>
      <c r="E274" s="380"/>
      <c r="F274" s="380"/>
      <c r="G274" s="380"/>
      <c r="H274" s="380"/>
      <c r="I274" s="378"/>
      <c r="J274" s="381"/>
      <c r="K274" s="502"/>
      <c r="L274" s="503"/>
      <c r="M274" s="504"/>
      <c r="N274" s="505"/>
      <c r="O274" s="506"/>
      <c r="P274" s="507"/>
      <c r="Q274" s="508"/>
      <c r="R274" s="509"/>
      <c r="S274" s="509"/>
      <c r="T274" s="510"/>
      <c r="U274" s="382"/>
      <c r="V274" s="181"/>
    </row>
    <row r="275" spans="1:22" x14ac:dyDescent="0.25">
      <c r="A275" s="678" t="s">
        <v>813</v>
      </c>
      <c r="B275" s="679"/>
      <c r="C275" s="679"/>
      <c r="D275" s="679"/>
      <c r="E275" s="679"/>
      <c r="F275" s="679"/>
      <c r="G275" s="679"/>
      <c r="H275" s="679"/>
      <c r="I275" s="679"/>
      <c r="J275" s="679"/>
      <c r="K275" s="679"/>
      <c r="L275" s="679"/>
      <c r="M275" s="679"/>
      <c r="N275" s="679"/>
      <c r="O275" s="679"/>
      <c r="P275" s="679"/>
      <c r="Q275" s="679"/>
      <c r="R275" s="679"/>
      <c r="S275" s="679"/>
      <c r="T275" s="679"/>
      <c r="U275" s="680"/>
      <c r="V275" s="181"/>
    </row>
    <row r="276" spans="1:22" ht="15.75" thickBot="1" x14ac:dyDescent="0.3">
      <c r="A276" s="681"/>
      <c r="B276" s="682"/>
      <c r="C276" s="682"/>
      <c r="D276" s="682"/>
      <c r="E276" s="682"/>
      <c r="F276" s="682"/>
      <c r="G276" s="682"/>
      <c r="H276" s="682"/>
      <c r="I276" s="682"/>
      <c r="J276" s="682"/>
      <c r="K276" s="682"/>
      <c r="L276" s="682"/>
      <c r="M276" s="682"/>
      <c r="N276" s="682"/>
      <c r="O276" s="682"/>
      <c r="P276" s="682"/>
      <c r="Q276" s="682"/>
      <c r="R276" s="682"/>
      <c r="S276" s="682"/>
      <c r="T276" s="682"/>
      <c r="U276" s="683"/>
      <c r="V276" s="181"/>
    </row>
    <row r="277" spans="1:22" s="188" customFormat="1" ht="18.75" x14ac:dyDescent="0.25">
      <c r="A277" s="672" t="s">
        <v>302</v>
      </c>
      <c r="B277" s="673"/>
      <c r="C277" s="673"/>
      <c r="D277" s="673"/>
      <c r="E277" s="673"/>
      <c r="F277" s="674"/>
      <c r="G277" s="391">
        <f>COUNTIF(G7:G274,"Yes")</f>
        <v>192</v>
      </c>
      <c r="H277" s="391">
        <f>COUNTIF(H7:H274,"Yes")</f>
        <v>192</v>
      </c>
      <c r="I277" s="707">
        <f>'Diags Raw Data'!K220</f>
        <v>210</v>
      </c>
      <c r="J277" s="709">
        <f>'Diags Raw Data'!L220</f>
        <v>724</v>
      </c>
      <c r="K277" s="695">
        <f>'Diags Raw Data'!N220</f>
        <v>1</v>
      </c>
      <c r="L277" s="697">
        <f>'Diags Raw Data'!P220</f>
        <v>0.96642857142857153</v>
      </c>
      <c r="M277" s="699">
        <f>'Diags Raw Data'!R220</f>
        <v>528</v>
      </c>
      <c r="N277" s="688">
        <f>SUM('Diags Raw Data'!T220+'Diags Raw Data'!U220)</f>
        <v>433</v>
      </c>
      <c r="O277" s="684">
        <f>IF((M277=0),0,N277/M277)</f>
        <v>0.82007575757575757</v>
      </c>
      <c r="P277" s="686">
        <f>'Diags Raw Data'!Z220</f>
        <v>291</v>
      </c>
      <c r="Q277" s="705">
        <f>SUM('Diags Raw Data'!AA220+'Diags Raw Data'!AB220)</f>
        <v>290</v>
      </c>
      <c r="R277" s="701">
        <f>IF((J277=0),0,P277/J277)</f>
        <v>0.40193370165745856</v>
      </c>
      <c r="S277" s="701">
        <f>IF((P277=0),0,Q277/P277)</f>
        <v>0.99656357388316152</v>
      </c>
      <c r="T277" s="701">
        <f>R277*S277</f>
        <v>0.40055248618784534</v>
      </c>
      <c r="U277" s="703"/>
      <c r="V277" s="187"/>
    </row>
    <row r="278" spans="1:22" ht="19.5" thickBot="1" x14ac:dyDescent="0.3">
      <c r="A278" s="675"/>
      <c r="B278" s="676"/>
      <c r="C278" s="676"/>
      <c r="D278" s="676"/>
      <c r="E278" s="676"/>
      <c r="F278" s="677"/>
      <c r="G278" s="392">
        <f>COUNTIF(G7:G274,"Yes")/COUNTA(A7:A274)</f>
        <v>0.76190476190476186</v>
      </c>
      <c r="H278" s="392">
        <f>(COUNTIF(H7:H274,"Yes")/G277)</f>
        <v>1</v>
      </c>
      <c r="I278" s="708"/>
      <c r="J278" s="710"/>
      <c r="K278" s="696"/>
      <c r="L278" s="698"/>
      <c r="M278" s="700"/>
      <c r="N278" s="689"/>
      <c r="O278" s="685"/>
      <c r="P278" s="687"/>
      <c r="Q278" s="706"/>
      <c r="R278" s="702"/>
      <c r="S278" s="702"/>
      <c r="T278" s="702"/>
      <c r="U278" s="704"/>
      <c r="V278" s="181"/>
    </row>
    <row r="279" spans="1:22" x14ac:dyDescent="0.25">
      <c r="A279" s="189"/>
      <c r="B279" s="190"/>
      <c r="C279" s="190"/>
      <c r="D279" s="189"/>
      <c r="E279" s="190"/>
      <c r="F279" s="190"/>
      <c r="G279" s="373"/>
      <c r="H279" s="190"/>
      <c r="I279" s="383"/>
      <c r="J279" s="383"/>
      <c r="K279" s="195"/>
      <c r="L279" s="195"/>
      <c r="M279" s="196"/>
      <c r="N279" s="196"/>
      <c r="O279" s="195"/>
      <c r="P279" s="192"/>
      <c r="Q279" s="192"/>
      <c r="R279" s="199"/>
      <c r="S279" s="199"/>
      <c r="T279" s="200"/>
      <c r="U279" s="189"/>
    </row>
  </sheetData>
  <sheetProtection insertColumns="0" insertRows="0" deleteRows="0" sort="0"/>
  <autoFilter ref="A6:U278" xr:uid="{00000000-0009-0000-0000-000004000000}"/>
  <mergeCells count="36">
    <mergeCell ref="A1:U1"/>
    <mergeCell ref="I2:I3"/>
    <mergeCell ref="A2:F3"/>
    <mergeCell ref="O2:O3"/>
    <mergeCell ref="P2:P3"/>
    <mergeCell ref="Q2:Q3"/>
    <mergeCell ref="J2:J3"/>
    <mergeCell ref="K2:K3"/>
    <mergeCell ref="L2:L3"/>
    <mergeCell ref="M2:M3"/>
    <mergeCell ref="N2:N3"/>
    <mergeCell ref="V2:V3"/>
    <mergeCell ref="A4:U4"/>
    <mergeCell ref="K277:K278"/>
    <mergeCell ref="L277:L278"/>
    <mergeCell ref="M277:M278"/>
    <mergeCell ref="T2:T3"/>
    <mergeCell ref="U2:U3"/>
    <mergeCell ref="R2:R3"/>
    <mergeCell ref="S2:S3"/>
    <mergeCell ref="S277:S278"/>
    <mergeCell ref="T277:T278"/>
    <mergeCell ref="U277:U278"/>
    <mergeCell ref="Q277:Q278"/>
    <mergeCell ref="R277:R278"/>
    <mergeCell ref="I277:I278"/>
    <mergeCell ref="J277:J278"/>
    <mergeCell ref="K5:L5"/>
    <mergeCell ref="A5:J5"/>
    <mergeCell ref="M5:O5"/>
    <mergeCell ref="P5:U5"/>
    <mergeCell ref="A277:F278"/>
    <mergeCell ref="A275:U276"/>
    <mergeCell ref="O277:O278"/>
    <mergeCell ref="P277:P278"/>
    <mergeCell ref="N277:N278"/>
  </mergeCells>
  <phoneticPr fontId="30" type="noConversion"/>
  <pageMargins left="0.7" right="0.7" top="0.75" bottom="0.75" header="0.3" footer="0.3"/>
  <pageSetup orientation="portrait" r:id="rId1"/>
  <headerFooter>
    <oddHeader>&amp;L&amp;"Arial"&amp;10&amp;K0000FF[AMD Official Use Only]&amp;1#</oddHead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N22"/>
  <sheetViews>
    <sheetView workbookViewId="0">
      <selection activeCell="J9" sqref="J9"/>
    </sheetView>
  </sheetViews>
  <sheetFormatPr defaultColWidth="15" defaultRowHeight="15" x14ac:dyDescent="0.25"/>
  <cols>
    <col min="1" max="1" width="11.42578125" style="2" bestFit="1" customWidth="1"/>
    <col min="2" max="3" width="10.42578125" style="3" bestFit="1" customWidth="1"/>
    <col min="4" max="8" width="9.42578125" style="3" bestFit="1" customWidth="1"/>
    <col min="9" max="9" width="8.42578125" style="3" bestFit="1" customWidth="1"/>
    <col min="10" max="20" width="9.42578125" style="3" bestFit="1" customWidth="1"/>
    <col min="21" max="21" width="10.42578125" style="3" bestFit="1" customWidth="1"/>
    <col min="22" max="23" width="9.42578125" style="3" bestFit="1" customWidth="1"/>
    <col min="24" max="25" width="10.42578125" style="3" bestFit="1" customWidth="1"/>
    <col min="26" max="27" width="9.42578125" style="3" bestFit="1" customWidth="1"/>
    <col min="28" max="28" width="10.42578125" style="3" bestFit="1" customWidth="1"/>
    <col min="29" max="29" width="9.42578125" style="3" bestFit="1" customWidth="1"/>
    <col min="30" max="30" width="10.42578125" style="3" bestFit="1" customWidth="1"/>
    <col min="31" max="32" width="9.42578125" style="3" bestFit="1" customWidth="1"/>
    <col min="33" max="34" width="10.42578125" style="3" bestFit="1" customWidth="1"/>
    <col min="35" max="37" width="10.42578125" style="3" customWidth="1"/>
    <col min="38" max="38" width="10.42578125" style="22" customWidth="1"/>
    <col min="39" max="39" width="10.42578125" style="3" customWidth="1"/>
    <col min="40" max="40" width="1.42578125" style="3" customWidth="1"/>
    <col min="41" max="16384" width="15" style="3"/>
  </cols>
  <sheetData>
    <row r="1" spans="1:40" s="2" customFormat="1" ht="12.75" customHeight="1" x14ac:dyDescent="0.2">
      <c r="A1" s="34"/>
      <c r="B1" s="36" t="s">
        <v>814</v>
      </c>
      <c r="C1" s="36" t="s">
        <v>815</v>
      </c>
      <c r="D1" s="36" t="s">
        <v>816</v>
      </c>
      <c r="E1" s="36" t="s">
        <v>817</v>
      </c>
      <c r="F1" s="36" t="s">
        <v>818</v>
      </c>
      <c r="G1" s="37" t="s">
        <v>819</v>
      </c>
      <c r="H1" s="12"/>
      <c r="I1" s="12"/>
      <c r="J1" s="12"/>
      <c r="K1" s="12"/>
      <c r="L1" s="13"/>
      <c r="M1" s="1"/>
      <c r="N1" s="11"/>
      <c r="X1" s="11"/>
      <c r="AB1" s="725" t="s">
        <v>820</v>
      </c>
      <c r="AM1" s="725" t="s">
        <v>821</v>
      </c>
    </row>
    <row r="2" spans="1:40" s="14" customFormat="1" ht="12" x14ac:dyDescent="0.2">
      <c r="A2" s="35" t="s">
        <v>822</v>
      </c>
      <c r="B2" s="15">
        <v>42994</v>
      </c>
      <c r="C2" s="15">
        <v>43190</v>
      </c>
      <c r="D2" s="16" t="e">
        <f>#REF!</f>
        <v>#REF!</v>
      </c>
      <c r="E2" s="16" t="e">
        <f>#REF!</f>
        <v>#REF!</v>
      </c>
      <c r="F2" s="16">
        <f>(C2-B2)/7</f>
        <v>28</v>
      </c>
      <c r="G2" s="17" t="e">
        <f>E2/F2</f>
        <v>#REF!</v>
      </c>
      <c r="H2" s="18"/>
      <c r="I2" s="18"/>
      <c r="J2" s="18"/>
      <c r="K2" s="18"/>
      <c r="L2" s="19"/>
      <c r="M2" s="20"/>
      <c r="N2" s="21"/>
      <c r="X2" s="21"/>
      <c r="AB2" s="726"/>
      <c r="AM2" s="726"/>
    </row>
    <row r="3" spans="1:40" s="7" customFormat="1" ht="3.75" customHeight="1" thickBot="1" x14ac:dyDescent="0.25">
      <c r="A3" s="4"/>
      <c r="B3" s="5"/>
      <c r="C3" s="5"/>
      <c r="D3" s="5"/>
      <c r="E3" s="5"/>
      <c r="F3" s="5"/>
      <c r="G3" s="5"/>
      <c r="H3" s="5"/>
      <c r="I3" s="5"/>
      <c r="J3" s="5"/>
      <c r="K3" s="5"/>
      <c r="L3" s="5"/>
      <c r="M3" s="6"/>
      <c r="N3" s="6"/>
      <c r="O3" s="6"/>
      <c r="P3" s="6"/>
      <c r="Q3" s="6"/>
      <c r="R3" s="6"/>
      <c r="S3" s="6"/>
      <c r="T3" s="6"/>
      <c r="U3" s="6"/>
      <c r="V3" s="6"/>
      <c r="W3" s="6"/>
      <c r="X3" s="6"/>
      <c r="Y3" s="6"/>
      <c r="Z3" s="6"/>
      <c r="AA3" s="6"/>
      <c r="AB3" s="6"/>
      <c r="AC3" s="6"/>
      <c r="AD3" s="6"/>
      <c r="AE3" s="6"/>
      <c r="AF3" s="6"/>
      <c r="AG3" s="6"/>
      <c r="AH3" s="6"/>
      <c r="AI3" s="6"/>
      <c r="AJ3" s="6"/>
      <c r="AK3" s="6"/>
    </row>
    <row r="4" spans="1:40" ht="12" x14ac:dyDescent="0.2">
      <c r="A4" s="727" t="s">
        <v>823</v>
      </c>
      <c r="B4" s="30">
        <v>43001</v>
      </c>
      <c r="C4" s="30">
        <f>B4+7</f>
        <v>43008</v>
      </c>
      <c r="D4" s="30">
        <f>C4+7</f>
        <v>43015</v>
      </c>
      <c r="E4" s="30">
        <f t="shared" ref="E4" si="0">D4+7</f>
        <v>43022</v>
      </c>
      <c r="F4" s="30">
        <f t="shared" ref="F4" si="1">E4+7</f>
        <v>43029</v>
      </c>
      <c r="G4" s="30">
        <f t="shared" ref="G4" si="2">F4+7</f>
        <v>43036</v>
      </c>
      <c r="H4" s="30">
        <f t="shared" ref="H4" si="3">G4+7</f>
        <v>43043</v>
      </c>
      <c r="I4" s="30">
        <f t="shared" ref="I4" si="4">H4+7</f>
        <v>43050</v>
      </c>
      <c r="J4" s="30">
        <f t="shared" ref="J4" si="5">I4+7</f>
        <v>43057</v>
      </c>
      <c r="K4" s="30">
        <f t="shared" ref="K4" si="6">J4+7</f>
        <v>43064</v>
      </c>
      <c r="L4" s="30">
        <f t="shared" ref="L4" si="7">K4+7</f>
        <v>43071</v>
      </c>
      <c r="M4" s="30">
        <f t="shared" ref="M4" si="8">L4+7</f>
        <v>43078</v>
      </c>
      <c r="N4" s="31">
        <f t="shared" ref="N4" si="9">M4+7</f>
        <v>43085</v>
      </c>
      <c r="O4" s="30">
        <f t="shared" ref="O4" si="10">N4+7</f>
        <v>43092</v>
      </c>
      <c r="P4" s="30">
        <f t="shared" ref="P4" si="11">O4+7</f>
        <v>43099</v>
      </c>
      <c r="Q4" s="30">
        <f t="shared" ref="Q4" si="12">P4+7</f>
        <v>43106</v>
      </c>
      <c r="R4" s="30">
        <f t="shared" ref="R4" si="13">Q4+7</f>
        <v>43113</v>
      </c>
      <c r="S4" s="30">
        <f t="shared" ref="S4" si="14">R4+7</f>
        <v>43120</v>
      </c>
      <c r="T4" s="30">
        <f t="shared" ref="T4" si="15">S4+7</f>
        <v>43127</v>
      </c>
      <c r="U4" s="30">
        <f t="shared" ref="U4" si="16">T4+7</f>
        <v>43134</v>
      </c>
      <c r="V4" s="30">
        <f t="shared" ref="V4" si="17">U4+7</f>
        <v>43141</v>
      </c>
      <c r="W4" s="30">
        <f t="shared" ref="W4" si="18">V4+7</f>
        <v>43148</v>
      </c>
      <c r="X4" s="31">
        <f t="shared" ref="X4" si="19">W4+7</f>
        <v>43155</v>
      </c>
      <c r="Y4" s="30">
        <f t="shared" ref="Y4" si="20">X4+7</f>
        <v>43162</v>
      </c>
      <c r="Z4" s="30">
        <f t="shared" ref="Z4" si="21">Y4+7</f>
        <v>43169</v>
      </c>
      <c r="AA4" s="31">
        <f t="shared" ref="AA4" si="22">Z4+7</f>
        <v>43176</v>
      </c>
      <c r="AB4" s="30">
        <f t="shared" ref="AB4" si="23">AA4+7</f>
        <v>43183</v>
      </c>
      <c r="AC4" s="30">
        <f t="shared" ref="AC4" si="24">AB4+7</f>
        <v>43190</v>
      </c>
      <c r="AD4" s="31">
        <f t="shared" ref="AD4:AJ4" si="25">AC4+7</f>
        <v>43197</v>
      </c>
      <c r="AE4" s="31">
        <f t="shared" si="25"/>
        <v>43204</v>
      </c>
      <c r="AF4" s="31">
        <f t="shared" si="25"/>
        <v>43211</v>
      </c>
      <c r="AG4" s="31">
        <f t="shared" si="25"/>
        <v>43218</v>
      </c>
      <c r="AH4" s="31">
        <f t="shared" si="25"/>
        <v>43225</v>
      </c>
      <c r="AI4" s="31">
        <f t="shared" si="25"/>
        <v>43232</v>
      </c>
      <c r="AJ4" s="31">
        <f t="shared" si="25"/>
        <v>43239</v>
      </c>
      <c r="AK4" s="31">
        <f t="shared" ref="AK4:AM4" si="26">AJ4+7</f>
        <v>43246</v>
      </c>
      <c r="AL4" s="31">
        <f t="shared" si="26"/>
        <v>43253</v>
      </c>
      <c r="AM4" s="60">
        <f t="shared" si="26"/>
        <v>43260</v>
      </c>
      <c r="AN4" s="49"/>
    </row>
    <row r="5" spans="1:40" ht="12.75" thickBot="1" x14ac:dyDescent="0.25">
      <c r="A5" s="728"/>
      <c r="B5" s="47" t="s">
        <v>824</v>
      </c>
      <c r="C5" s="47" t="s">
        <v>825</v>
      </c>
      <c r="D5" s="47" t="s">
        <v>826</v>
      </c>
      <c r="E5" s="47" t="s">
        <v>827</v>
      </c>
      <c r="F5" s="47" t="s">
        <v>828</v>
      </c>
      <c r="G5" s="47" t="s">
        <v>829</v>
      </c>
      <c r="H5" s="47" t="s">
        <v>830</v>
      </c>
      <c r="I5" s="47" t="s">
        <v>831</v>
      </c>
      <c r="J5" s="47" t="s">
        <v>832</v>
      </c>
      <c r="K5" s="47" t="s">
        <v>833</v>
      </c>
      <c r="L5" s="47" t="s">
        <v>834</v>
      </c>
      <c r="M5" s="47" t="s">
        <v>835</v>
      </c>
      <c r="N5" s="47" t="s">
        <v>836</v>
      </c>
      <c r="O5" s="47" t="s">
        <v>837</v>
      </c>
      <c r="P5" s="47" t="s">
        <v>838</v>
      </c>
      <c r="Q5" s="47" t="s">
        <v>839</v>
      </c>
      <c r="R5" s="47" t="s">
        <v>840</v>
      </c>
      <c r="S5" s="47" t="s">
        <v>841</v>
      </c>
      <c r="T5" s="47" t="s">
        <v>842</v>
      </c>
      <c r="U5" s="47" t="s">
        <v>843</v>
      </c>
      <c r="V5" s="47" t="s">
        <v>844</v>
      </c>
      <c r="W5" s="47" t="s">
        <v>845</v>
      </c>
      <c r="X5" s="47" t="s">
        <v>846</v>
      </c>
      <c r="Y5" s="47" t="s">
        <v>847</v>
      </c>
      <c r="Z5" s="47" t="s">
        <v>848</v>
      </c>
      <c r="AA5" s="47" t="s">
        <v>849</v>
      </c>
      <c r="AB5" s="47" t="s">
        <v>850</v>
      </c>
      <c r="AC5" s="47" t="s">
        <v>851</v>
      </c>
      <c r="AD5" s="47" t="s">
        <v>852</v>
      </c>
      <c r="AE5" s="47" t="s">
        <v>853</v>
      </c>
      <c r="AF5" s="47" t="s">
        <v>854</v>
      </c>
      <c r="AG5" s="47" t="s">
        <v>855</v>
      </c>
      <c r="AH5" s="47" t="s">
        <v>856</v>
      </c>
      <c r="AI5" s="47" t="s">
        <v>857</v>
      </c>
      <c r="AJ5" s="47" t="s">
        <v>858</v>
      </c>
      <c r="AK5" s="47" t="s">
        <v>859</v>
      </c>
      <c r="AL5" s="66" t="s">
        <v>860</v>
      </c>
      <c r="AM5" s="65" t="s">
        <v>861</v>
      </c>
      <c r="AN5" s="50"/>
    </row>
    <row r="6" spans="1:40" ht="12" x14ac:dyDescent="0.2">
      <c r="A6" s="48" t="s">
        <v>862</v>
      </c>
      <c r="B6" s="38" t="e">
        <f>B7*$E$2</f>
        <v>#REF!</v>
      </c>
      <c r="C6" s="38" t="e">
        <f t="shared" ref="C6:AM6" si="27">C7*$E$2</f>
        <v>#REF!</v>
      </c>
      <c r="D6" s="38" t="e">
        <f t="shared" si="27"/>
        <v>#REF!</v>
      </c>
      <c r="E6" s="38" t="e">
        <f t="shared" si="27"/>
        <v>#REF!</v>
      </c>
      <c r="F6" s="38" t="e">
        <f t="shared" si="27"/>
        <v>#REF!</v>
      </c>
      <c r="G6" s="38" t="e">
        <f t="shared" si="27"/>
        <v>#REF!</v>
      </c>
      <c r="H6" s="38" t="e">
        <f t="shared" si="27"/>
        <v>#REF!</v>
      </c>
      <c r="I6" s="38" t="e">
        <f t="shared" si="27"/>
        <v>#REF!</v>
      </c>
      <c r="J6" s="38" t="e">
        <f t="shared" si="27"/>
        <v>#REF!</v>
      </c>
      <c r="K6" s="38" t="e">
        <f t="shared" si="27"/>
        <v>#REF!</v>
      </c>
      <c r="L6" s="38" t="e">
        <f t="shared" si="27"/>
        <v>#REF!</v>
      </c>
      <c r="M6" s="38" t="e">
        <f t="shared" si="27"/>
        <v>#REF!</v>
      </c>
      <c r="N6" s="38" t="e">
        <f t="shared" si="27"/>
        <v>#REF!</v>
      </c>
      <c r="O6" s="38" t="e">
        <f t="shared" si="27"/>
        <v>#REF!</v>
      </c>
      <c r="P6" s="38" t="e">
        <f t="shared" si="27"/>
        <v>#REF!</v>
      </c>
      <c r="Q6" s="38" t="e">
        <f t="shared" si="27"/>
        <v>#REF!</v>
      </c>
      <c r="R6" s="38" t="e">
        <f t="shared" si="27"/>
        <v>#REF!</v>
      </c>
      <c r="S6" s="38" t="e">
        <f t="shared" si="27"/>
        <v>#REF!</v>
      </c>
      <c r="T6" s="38" t="e">
        <f t="shared" si="27"/>
        <v>#REF!</v>
      </c>
      <c r="U6" s="38" t="e">
        <f t="shared" si="27"/>
        <v>#REF!</v>
      </c>
      <c r="V6" s="38" t="e">
        <f t="shared" si="27"/>
        <v>#REF!</v>
      </c>
      <c r="W6" s="38" t="e">
        <f t="shared" si="27"/>
        <v>#REF!</v>
      </c>
      <c r="X6" s="38" t="e">
        <f t="shared" si="27"/>
        <v>#REF!</v>
      </c>
      <c r="Y6" s="38" t="e">
        <f t="shared" si="27"/>
        <v>#REF!</v>
      </c>
      <c r="Z6" s="38" t="e">
        <f t="shared" si="27"/>
        <v>#REF!</v>
      </c>
      <c r="AA6" s="38" t="e">
        <f t="shared" si="27"/>
        <v>#REF!</v>
      </c>
      <c r="AB6" s="38" t="e">
        <f t="shared" si="27"/>
        <v>#REF!</v>
      </c>
      <c r="AC6" s="38" t="e">
        <f t="shared" si="27"/>
        <v>#REF!</v>
      </c>
      <c r="AD6" s="38" t="e">
        <f t="shared" si="27"/>
        <v>#REF!</v>
      </c>
      <c r="AE6" s="38" t="e">
        <f t="shared" si="27"/>
        <v>#REF!</v>
      </c>
      <c r="AF6" s="38" t="e">
        <f t="shared" si="27"/>
        <v>#REF!</v>
      </c>
      <c r="AG6" s="38" t="e">
        <f t="shared" si="27"/>
        <v>#REF!</v>
      </c>
      <c r="AH6" s="38" t="e">
        <f t="shared" si="27"/>
        <v>#REF!</v>
      </c>
      <c r="AI6" s="38" t="e">
        <f t="shared" si="27"/>
        <v>#REF!</v>
      </c>
      <c r="AJ6" s="38" t="e">
        <f t="shared" si="27"/>
        <v>#REF!</v>
      </c>
      <c r="AK6" s="38" t="e">
        <f t="shared" si="27"/>
        <v>#REF!</v>
      </c>
      <c r="AL6" s="38" t="e">
        <f t="shared" si="27"/>
        <v>#REF!</v>
      </c>
      <c r="AM6" s="61" t="e">
        <f t="shared" si="27"/>
        <v>#REF!</v>
      </c>
      <c r="AN6" s="51"/>
    </row>
    <row r="7" spans="1:40" s="24" customFormat="1" ht="12.75" thickBot="1" x14ac:dyDescent="0.25">
      <c r="A7" s="27" t="s">
        <v>863</v>
      </c>
      <c r="B7" s="28">
        <v>1.4999999999999999E-2</v>
      </c>
      <c r="C7" s="28">
        <f>B7+0.015</f>
        <v>0.03</v>
      </c>
      <c r="D7" s="28">
        <f t="shared" ref="D7:I7" si="28">C7+0.02</f>
        <v>0.05</v>
      </c>
      <c r="E7" s="28">
        <f t="shared" si="28"/>
        <v>7.0000000000000007E-2</v>
      </c>
      <c r="F7" s="28">
        <f t="shared" si="28"/>
        <v>9.0000000000000011E-2</v>
      </c>
      <c r="G7" s="28">
        <f t="shared" si="28"/>
        <v>0.11000000000000001</v>
      </c>
      <c r="H7" s="28">
        <f t="shared" si="28"/>
        <v>0.13</v>
      </c>
      <c r="I7" s="28">
        <f t="shared" si="28"/>
        <v>0.15</v>
      </c>
      <c r="J7" s="28">
        <f t="shared" ref="J7:O7" si="29">I7+0.03</f>
        <v>0.18</v>
      </c>
      <c r="K7" s="28">
        <f t="shared" si="29"/>
        <v>0.21</v>
      </c>
      <c r="L7" s="28">
        <f t="shared" si="29"/>
        <v>0.24</v>
      </c>
      <c r="M7" s="28">
        <f t="shared" si="29"/>
        <v>0.27</v>
      </c>
      <c r="N7" s="28">
        <f t="shared" si="29"/>
        <v>0.30000000000000004</v>
      </c>
      <c r="O7" s="28">
        <f t="shared" si="29"/>
        <v>0.33000000000000007</v>
      </c>
      <c r="P7" s="28">
        <f>O7+0.01</f>
        <v>0.34000000000000008</v>
      </c>
      <c r="Q7" s="28">
        <f>P7+0.01</f>
        <v>0.35000000000000009</v>
      </c>
      <c r="R7" s="28">
        <f>Q7+0.03</f>
        <v>0.38000000000000012</v>
      </c>
      <c r="S7" s="28">
        <f t="shared" ref="S7:AE7" si="30">R7+0.03</f>
        <v>0.41000000000000014</v>
      </c>
      <c r="T7" s="28">
        <f t="shared" si="30"/>
        <v>0.44000000000000017</v>
      </c>
      <c r="U7" s="28">
        <f t="shared" si="30"/>
        <v>0.4700000000000002</v>
      </c>
      <c r="V7" s="28">
        <f t="shared" si="30"/>
        <v>0.50000000000000022</v>
      </c>
      <c r="W7" s="28">
        <f t="shared" si="30"/>
        <v>0.53000000000000025</v>
      </c>
      <c r="X7" s="28">
        <f t="shared" si="30"/>
        <v>0.56000000000000028</v>
      </c>
      <c r="Y7" s="28">
        <f t="shared" si="30"/>
        <v>0.5900000000000003</v>
      </c>
      <c r="Z7" s="28">
        <f t="shared" si="30"/>
        <v>0.62000000000000033</v>
      </c>
      <c r="AA7" s="28">
        <f t="shared" si="30"/>
        <v>0.65000000000000036</v>
      </c>
      <c r="AB7" s="28">
        <f t="shared" si="30"/>
        <v>0.68000000000000038</v>
      </c>
      <c r="AC7" s="28">
        <f t="shared" si="30"/>
        <v>0.71000000000000041</v>
      </c>
      <c r="AD7" s="28">
        <f t="shared" si="30"/>
        <v>0.74000000000000044</v>
      </c>
      <c r="AE7" s="28">
        <f t="shared" si="30"/>
        <v>0.77000000000000046</v>
      </c>
      <c r="AF7" s="28">
        <f t="shared" ref="AF7" si="31">AE7+0.03</f>
        <v>0.80000000000000049</v>
      </c>
      <c r="AG7" s="28">
        <f t="shared" ref="AG7" si="32">AF7+0.03</f>
        <v>0.83000000000000052</v>
      </c>
      <c r="AH7" s="28">
        <f t="shared" ref="AH7" si="33">AG7+0.03</f>
        <v>0.86000000000000054</v>
      </c>
      <c r="AI7" s="28">
        <f t="shared" ref="AI7" si="34">AH7+0.03</f>
        <v>0.89000000000000057</v>
      </c>
      <c r="AJ7" s="28">
        <f t="shared" ref="AJ7" si="35">AI7+0.03</f>
        <v>0.9200000000000006</v>
      </c>
      <c r="AK7" s="28">
        <f t="shared" ref="AK7" si="36">AJ7+0.03</f>
        <v>0.95000000000000062</v>
      </c>
      <c r="AL7" s="28">
        <f t="shared" ref="AL7" si="37">AK7+0.03</f>
        <v>0.98000000000000065</v>
      </c>
      <c r="AM7" s="69">
        <f t="shared" ref="AM7" si="38">AL7+0.03</f>
        <v>1.0100000000000007</v>
      </c>
      <c r="AN7" s="52"/>
    </row>
    <row r="8" spans="1:40" s="7" customFormat="1" ht="3.75" customHeight="1" thickBot="1" x14ac:dyDescent="0.25">
      <c r="A8" s="70"/>
      <c r="B8" s="5"/>
      <c r="C8" s="5"/>
      <c r="D8" s="5"/>
      <c r="E8" s="5"/>
      <c r="F8" s="5"/>
      <c r="G8" s="5"/>
      <c r="H8" s="5"/>
      <c r="I8" s="5"/>
      <c r="J8" s="5"/>
      <c r="K8" s="5"/>
      <c r="L8" s="5"/>
      <c r="M8" s="5"/>
      <c r="N8" s="5"/>
      <c r="O8" s="5"/>
      <c r="P8" s="5"/>
      <c r="Q8" s="5"/>
      <c r="R8" s="5"/>
      <c r="S8" s="5"/>
      <c r="T8" s="5"/>
      <c r="U8" s="5"/>
      <c r="V8" s="5"/>
      <c r="W8" s="5"/>
      <c r="X8" s="5"/>
      <c r="Y8" s="5"/>
      <c r="Z8" s="5"/>
      <c r="AA8" s="5"/>
      <c r="AB8" s="5"/>
      <c r="AC8" s="5"/>
      <c r="AD8" s="5"/>
      <c r="AE8" s="5"/>
      <c r="AF8" s="5"/>
      <c r="AG8" s="5"/>
      <c r="AH8" s="5"/>
      <c r="AI8" s="5"/>
      <c r="AJ8" s="5"/>
      <c r="AK8" s="46"/>
      <c r="AM8" s="71"/>
      <c r="AN8" s="53"/>
    </row>
    <row r="9" spans="1:40" ht="12" x14ac:dyDescent="0.2">
      <c r="A9" s="727" t="s">
        <v>864</v>
      </c>
      <c r="B9" s="30">
        <v>43001</v>
      </c>
      <c r="C9" s="30">
        <f>B9+7</f>
        <v>43008</v>
      </c>
      <c r="D9" s="30">
        <f>C9+7</f>
        <v>43015</v>
      </c>
      <c r="E9" s="30">
        <f t="shared" ref="E9" si="39">D9+7</f>
        <v>43022</v>
      </c>
      <c r="F9" s="30">
        <f t="shared" ref="F9" si="40">E9+7</f>
        <v>43029</v>
      </c>
      <c r="G9" s="30">
        <f t="shared" ref="G9" si="41">F9+7</f>
        <v>43036</v>
      </c>
      <c r="H9" s="30">
        <f t="shared" ref="H9" si="42">G9+7</f>
        <v>43043</v>
      </c>
      <c r="I9" s="30">
        <f t="shared" ref="I9" si="43">H9+7</f>
        <v>43050</v>
      </c>
      <c r="J9" s="30">
        <f t="shared" ref="J9" si="44">I9+7</f>
        <v>43057</v>
      </c>
      <c r="K9" s="30">
        <f t="shared" ref="K9" si="45">J9+7</f>
        <v>43064</v>
      </c>
      <c r="L9" s="30">
        <f t="shared" ref="L9" si="46">K9+7</f>
        <v>43071</v>
      </c>
      <c r="M9" s="30">
        <f t="shared" ref="M9" si="47">L9+7</f>
        <v>43078</v>
      </c>
      <c r="N9" s="31">
        <f t="shared" ref="N9" si="48">M9+7</f>
        <v>43085</v>
      </c>
      <c r="O9" s="30">
        <f t="shared" ref="O9" si="49">N9+7</f>
        <v>43092</v>
      </c>
      <c r="P9" s="30">
        <f t="shared" ref="P9" si="50">O9+7</f>
        <v>43099</v>
      </c>
      <c r="Q9" s="30">
        <f t="shared" ref="Q9" si="51">P9+7</f>
        <v>43106</v>
      </c>
      <c r="R9" s="30">
        <f t="shared" ref="R9" si="52">Q9+7</f>
        <v>43113</v>
      </c>
      <c r="S9" s="30">
        <f t="shared" ref="S9" si="53">R9+7</f>
        <v>43120</v>
      </c>
      <c r="T9" s="30">
        <f t="shared" ref="T9" si="54">S9+7</f>
        <v>43127</v>
      </c>
      <c r="U9" s="30">
        <f t="shared" ref="U9" si="55">T9+7</f>
        <v>43134</v>
      </c>
      <c r="V9" s="30">
        <f t="shared" ref="V9" si="56">U9+7</f>
        <v>43141</v>
      </c>
      <c r="W9" s="30">
        <f t="shared" ref="W9" si="57">V9+7</f>
        <v>43148</v>
      </c>
      <c r="X9" s="31">
        <f t="shared" ref="X9" si="58">W9+7</f>
        <v>43155</v>
      </c>
      <c r="Y9" s="30">
        <f t="shared" ref="Y9" si="59">X9+7</f>
        <v>43162</v>
      </c>
      <c r="Z9" s="30">
        <f t="shared" ref="Z9" si="60">Y9+7</f>
        <v>43169</v>
      </c>
      <c r="AA9" s="31">
        <f t="shared" ref="AA9" si="61">Z9+7</f>
        <v>43176</v>
      </c>
      <c r="AB9" s="30">
        <f t="shared" ref="AB9" si="62">AA9+7</f>
        <v>43183</v>
      </c>
      <c r="AC9" s="30">
        <f t="shared" ref="AC9" si="63">AB9+7</f>
        <v>43190</v>
      </c>
      <c r="AD9" s="31">
        <f t="shared" ref="AD9" si="64">AC9+7</f>
        <v>43197</v>
      </c>
      <c r="AE9" s="31">
        <f t="shared" ref="AE9" si="65">AD9+7</f>
        <v>43204</v>
      </c>
      <c r="AF9" s="31">
        <f t="shared" ref="AF9" si="66">AE9+7</f>
        <v>43211</v>
      </c>
      <c r="AG9" s="31">
        <f t="shared" ref="AG9" si="67">AF9+7</f>
        <v>43218</v>
      </c>
      <c r="AH9" s="31">
        <f t="shared" ref="AH9" si="68">AG9+7</f>
        <v>43225</v>
      </c>
      <c r="AI9" s="31">
        <f t="shared" ref="AI9" si="69">AH9+7</f>
        <v>43232</v>
      </c>
      <c r="AJ9" s="31">
        <f t="shared" ref="AJ9" si="70">AI9+7</f>
        <v>43239</v>
      </c>
      <c r="AK9" s="62">
        <f t="shared" ref="AK9:AM9" si="71">AJ9+7</f>
        <v>43246</v>
      </c>
      <c r="AL9" s="31">
        <f t="shared" si="71"/>
        <v>43253</v>
      </c>
      <c r="AM9" s="60">
        <f t="shared" si="71"/>
        <v>43260</v>
      </c>
      <c r="AN9" s="67"/>
    </row>
    <row r="10" spans="1:40" ht="12.75" thickBot="1" x14ac:dyDescent="0.25">
      <c r="A10" s="729"/>
      <c r="B10" s="32" t="s">
        <v>824</v>
      </c>
      <c r="C10" s="32" t="s">
        <v>825</v>
      </c>
      <c r="D10" s="32" t="s">
        <v>826</v>
      </c>
      <c r="E10" s="32" t="s">
        <v>827</v>
      </c>
      <c r="F10" s="32" t="s">
        <v>828</v>
      </c>
      <c r="G10" s="32" t="s">
        <v>829</v>
      </c>
      <c r="H10" s="32" t="s">
        <v>830</v>
      </c>
      <c r="I10" s="32" t="s">
        <v>831</v>
      </c>
      <c r="J10" s="32" t="s">
        <v>832</v>
      </c>
      <c r="K10" s="32" t="s">
        <v>833</v>
      </c>
      <c r="L10" s="32" t="s">
        <v>834</v>
      </c>
      <c r="M10" s="32" t="s">
        <v>835</v>
      </c>
      <c r="N10" s="32" t="s">
        <v>836</v>
      </c>
      <c r="O10" s="32" t="s">
        <v>837</v>
      </c>
      <c r="P10" s="32" t="s">
        <v>838</v>
      </c>
      <c r="Q10" s="32" t="s">
        <v>839</v>
      </c>
      <c r="R10" s="32" t="s">
        <v>840</v>
      </c>
      <c r="S10" s="32" t="s">
        <v>841</v>
      </c>
      <c r="T10" s="32" t="s">
        <v>842</v>
      </c>
      <c r="U10" s="32" t="s">
        <v>843</v>
      </c>
      <c r="V10" s="32" t="s">
        <v>844</v>
      </c>
      <c r="W10" s="32" t="s">
        <v>845</v>
      </c>
      <c r="X10" s="32" t="s">
        <v>846</v>
      </c>
      <c r="Y10" s="32" t="s">
        <v>847</v>
      </c>
      <c r="Z10" s="32" t="s">
        <v>848</v>
      </c>
      <c r="AA10" s="32" t="s">
        <v>849</v>
      </c>
      <c r="AB10" s="32" t="s">
        <v>850</v>
      </c>
      <c r="AC10" s="32" t="s">
        <v>851</v>
      </c>
      <c r="AD10" s="32" t="s">
        <v>852</v>
      </c>
      <c r="AE10" s="32" t="s">
        <v>853</v>
      </c>
      <c r="AF10" s="32" t="s">
        <v>854</v>
      </c>
      <c r="AG10" s="32" t="s">
        <v>855</v>
      </c>
      <c r="AH10" s="32" t="s">
        <v>856</v>
      </c>
      <c r="AI10" s="32" t="s">
        <v>857</v>
      </c>
      <c r="AJ10" s="64" t="s">
        <v>858</v>
      </c>
      <c r="AK10" s="63" t="s">
        <v>859</v>
      </c>
      <c r="AL10" s="47" t="s">
        <v>860</v>
      </c>
      <c r="AM10" s="72" t="s">
        <v>861</v>
      </c>
      <c r="AN10" s="68"/>
    </row>
    <row r="11" spans="1:40" x14ac:dyDescent="0.25">
      <c r="A11" s="42" t="s">
        <v>862</v>
      </c>
      <c r="B11" s="29">
        <v>14</v>
      </c>
      <c r="C11" s="29">
        <v>30</v>
      </c>
      <c r="D11" s="29">
        <v>33</v>
      </c>
      <c r="E11" s="29">
        <v>42</v>
      </c>
      <c r="F11" s="29">
        <v>45</v>
      </c>
      <c r="G11" s="29">
        <v>60</v>
      </c>
      <c r="H11" s="29">
        <v>117</v>
      </c>
      <c r="I11" s="29">
        <v>145</v>
      </c>
      <c r="J11" s="29">
        <v>168</v>
      </c>
      <c r="K11" s="29">
        <v>188</v>
      </c>
      <c r="L11" s="29">
        <v>196</v>
      </c>
      <c r="M11" s="29">
        <v>211</v>
      </c>
      <c r="N11" s="29">
        <v>283</v>
      </c>
      <c r="O11" s="29">
        <v>479</v>
      </c>
      <c r="P11" s="29">
        <v>619</v>
      </c>
      <c r="Q11" s="29">
        <v>634</v>
      </c>
      <c r="R11" s="29">
        <v>654</v>
      </c>
      <c r="S11" s="29">
        <v>685</v>
      </c>
      <c r="T11" s="29">
        <v>697</v>
      </c>
      <c r="U11" s="29">
        <v>713</v>
      </c>
      <c r="V11" s="29">
        <v>744</v>
      </c>
      <c r="W11" s="29">
        <v>751</v>
      </c>
      <c r="X11" s="29">
        <v>782</v>
      </c>
      <c r="Y11" s="29">
        <v>861</v>
      </c>
      <c r="Z11" s="29">
        <v>903</v>
      </c>
      <c r="AA11" s="29">
        <v>927</v>
      </c>
      <c r="AB11" s="29">
        <v>934</v>
      </c>
      <c r="AC11" s="29">
        <v>948</v>
      </c>
      <c r="AD11" s="29">
        <v>967</v>
      </c>
      <c r="AE11" s="29">
        <v>967</v>
      </c>
      <c r="AF11" s="43">
        <v>967</v>
      </c>
      <c r="AG11" s="56">
        <v>970</v>
      </c>
      <c r="AH11" s="43">
        <v>974</v>
      </c>
      <c r="AI11" s="43">
        <v>1018</v>
      </c>
      <c r="AJ11" s="43">
        <v>1050</v>
      </c>
      <c r="AK11" s="43">
        <v>1071</v>
      </c>
      <c r="AL11" s="77">
        <v>1081</v>
      </c>
      <c r="AM11" s="73"/>
      <c r="AN11" s="53"/>
    </row>
    <row r="12" spans="1:40" s="23" customFormat="1" ht="12" x14ac:dyDescent="0.2">
      <c r="A12" s="44" t="s">
        <v>863</v>
      </c>
      <c r="B12" s="39" t="e">
        <f t="shared" ref="B12:W12" si="72">B11/$E2</f>
        <v>#REF!</v>
      </c>
      <c r="C12" s="39" t="e">
        <f t="shared" si="72"/>
        <v>#REF!</v>
      </c>
      <c r="D12" s="39" t="e">
        <f t="shared" si="72"/>
        <v>#REF!</v>
      </c>
      <c r="E12" s="39" t="e">
        <f t="shared" si="72"/>
        <v>#REF!</v>
      </c>
      <c r="F12" s="39" t="e">
        <f t="shared" si="72"/>
        <v>#REF!</v>
      </c>
      <c r="G12" s="39" t="e">
        <f t="shared" si="72"/>
        <v>#REF!</v>
      </c>
      <c r="H12" s="39" t="e">
        <f t="shared" si="72"/>
        <v>#REF!</v>
      </c>
      <c r="I12" s="39" t="e">
        <f t="shared" si="72"/>
        <v>#REF!</v>
      </c>
      <c r="J12" s="39" t="e">
        <f t="shared" si="72"/>
        <v>#REF!</v>
      </c>
      <c r="K12" s="39" t="e">
        <f t="shared" si="72"/>
        <v>#REF!</v>
      </c>
      <c r="L12" s="39" t="e">
        <f t="shared" si="72"/>
        <v>#REF!</v>
      </c>
      <c r="M12" s="39" t="e">
        <f t="shared" si="72"/>
        <v>#REF!</v>
      </c>
      <c r="N12" s="39" t="e">
        <f t="shared" si="72"/>
        <v>#REF!</v>
      </c>
      <c r="O12" s="39" t="e">
        <f t="shared" si="72"/>
        <v>#REF!</v>
      </c>
      <c r="P12" s="39" t="e">
        <f t="shared" si="72"/>
        <v>#REF!</v>
      </c>
      <c r="Q12" s="39" t="e">
        <f t="shared" si="72"/>
        <v>#REF!</v>
      </c>
      <c r="R12" s="39" t="e">
        <f t="shared" si="72"/>
        <v>#REF!</v>
      </c>
      <c r="S12" s="39" t="e">
        <f t="shared" si="72"/>
        <v>#REF!</v>
      </c>
      <c r="T12" s="39" t="e">
        <f t="shared" si="72"/>
        <v>#REF!</v>
      </c>
      <c r="U12" s="39" t="e">
        <f t="shared" si="72"/>
        <v>#REF!</v>
      </c>
      <c r="V12" s="39" t="e">
        <f t="shared" si="72"/>
        <v>#REF!</v>
      </c>
      <c r="W12" s="39" t="e">
        <f t="shared" si="72"/>
        <v>#REF!</v>
      </c>
      <c r="X12" s="39" t="e">
        <f t="shared" ref="X12:Y12" si="73">X11/$E2</f>
        <v>#REF!</v>
      </c>
      <c r="Y12" s="39" t="e">
        <f t="shared" si="73"/>
        <v>#REF!</v>
      </c>
      <c r="Z12" s="39" t="e">
        <f t="shared" ref="Z12:AA12" si="74">Z11/$E2</f>
        <v>#REF!</v>
      </c>
      <c r="AA12" s="39" t="e">
        <f t="shared" si="74"/>
        <v>#REF!</v>
      </c>
      <c r="AB12" s="39" t="e">
        <f t="shared" ref="AB12:AC12" si="75">AB11/$E2</f>
        <v>#REF!</v>
      </c>
      <c r="AC12" s="39" t="e">
        <f t="shared" si="75"/>
        <v>#REF!</v>
      </c>
      <c r="AD12" s="39" t="e">
        <f t="shared" ref="AD12" si="76">AD11/$E2</f>
        <v>#REF!</v>
      </c>
      <c r="AE12" s="39" t="e">
        <f t="shared" ref="AE12:AJ12" si="77">AE11/$E2</f>
        <v>#REF!</v>
      </c>
      <c r="AF12" s="39" t="e">
        <f t="shared" si="77"/>
        <v>#REF!</v>
      </c>
      <c r="AG12" s="39" t="e">
        <f t="shared" si="77"/>
        <v>#REF!</v>
      </c>
      <c r="AH12" s="39" t="e">
        <f t="shared" si="77"/>
        <v>#REF!</v>
      </c>
      <c r="AI12" s="39" t="e">
        <f t="shared" si="77"/>
        <v>#REF!</v>
      </c>
      <c r="AJ12" s="39" t="e">
        <f t="shared" si="77"/>
        <v>#REF!</v>
      </c>
      <c r="AK12" s="39" t="e">
        <f t="shared" ref="AK12:AL12" si="78">AK11/$E2</f>
        <v>#REF!</v>
      </c>
      <c r="AL12" s="39" t="e">
        <f t="shared" si="78"/>
        <v>#REF!</v>
      </c>
      <c r="AM12" s="74"/>
      <c r="AN12" s="54"/>
    </row>
    <row r="13" spans="1:40" s="26" customFormat="1" ht="12" x14ac:dyDescent="0.2">
      <c r="A13" s="45" t="s">
        <v>865</v>
      </c>
      <c r="B13" s="40"/>
      <c r="C13" s="40"/>
      <c r="D13" s="40"/>
      <c r="E13" s="40"/>
      <c r="F13" s="40">
        <v>37</v>
      </c>
      <c r="G13" s="40">
        <v>39</v>
      </c>
      <c r="H13" s="40">
        <v>107</v>
      </c>
      <c r="I13" s="40">
        <v>128</v>
      </c>
      <c r="J13" s="40">
        <v>153</v>
      </c>
      <c r="K13" s="40">
        <v>164</v>
      </c>
      <c r="L13" s="40">
        <v>167</v>
      </c>
      <c r="M13" s="40">
        <v>184</v>
      </c>
      <c r="N13" s="40">
        <v>236</v>
      </c>
      <c r="O13" s="40">
        <v>400</v>
      </c>
      <c r="P13" s="40">
        <v>579</v>
      </c>
      <c r="Q13" s="40">
        <v>588</v>
      </c>
      <c r="R13" s="40">
        <v>605</v>
      </c>
      <c r="S13" s="40">
        <v>639</v>
      </c>
      <c r="T13" s="40">
        <v>650</v>
      </c>
      <c r="U13" s="40">
        <v>666</v>
      </c>
      <c r="V13" s="40">
        <v>698</v>
      </c>
      <c r="W13" s="40">
        <v>702</v>
      </c>
      <c r="X13" s="40">
        <v>731</v>
      </c>
      <c r="Y13" s="40">
        <v>797</v>
      </c>
      <c r="Z13" s="40">
        <v>837</v>
      </c>
      <c r="AA13" s="40">
        <v>861</v>
      </c>
      <c r="AB13" s="40">
        <v>867</v>
      </c>
      <c r="AC13" s="40">
        <v>872</v>
      </c>
      <c r="AD13" s="40">
        <v>872</v>
      </c>
      <c r="AE13" s="40">
        <v>872</v>
      </c>
      <c r="AF13" s="41">
        <v>872</v>
      </c>
      <c r="AG13" s="57">
        <v>891</v>
      </c>
      <c r="AH13" s="41">
        <v>894</v>
      </c>
      <c r="AI13" s="41">
        <v>896</v>
      </c>
      <c r="AJ13" s="41">
        <v>906</v>
      </c>
      <c r="AK13" s="41">
        <v>914</v>
      </c>
      <c r="AL13" s="41">
        <v>919</v>
      </c>
      <c r="AM13" s="75"/>
      <c r="AN13" s="55"/>
    </row>
    <row r="14" spans="1:40" s="23" customFormat="1" ht="12.75" thickBot="1" x14ac:dyDescent="0.25">
      <c r="A14" s="33" t="s">
        <v>866</v>
      </c>
      <c r="B14" s="25"/>
      <c r="C14" s="25"/>
      <c r="D14" s="25"/>
      <c r="E14" s="25"/>
      <c r="F14" s="25" t="e">
        <f>F13/$E2</f>
        <v>#REF!</v>
      </c>
      <c r="G14" s="25" t="e">
        <f t="shared" ref="G14:W14" si="79">G13/$E2</f>
        <v>#REF!</v>
      </c>
      <c r="H14" s="25" t="e">
        <f t="shared" si="79"/>
        <v>#REF!</v>
      </c>
      <c r="I14" s="25" t="e">
        <f t="shared" si="79"/>
        <v>#REF!</v>
      </c>
      <c r="J14" s="25" t="e">
        <f t="shared" si="79"/>
        <v>#REF!</v>
      </c>
      <c r="K14" s="25" t="e">
        <f t="shared" si="79"/>
        <v>#REF!</v>
      </c>
      <c r="L14" s="25" t="e">
        <f t="shared" si="79"/>
        <v>#REF!</v>
      </c>
      <c r="M14" s="25" t="e">
        <f t="shared" si="79"/>
        <v>#REF!</v>
      </c>
      <c r="N14" s="25" t="e">
        <f t="shared" si="79"/>
        <v>#REF!</v>
      </c>
      <c r="O14" s="25" t="e">
        <f t="shared" si="79"/>
        <v>#REF!</v>
      </c>
      <c r="P14" s="25" t="e">
        <f t="shared" si="79"/>
        <v>#REF!</v>
      </c>
      <c r="Q14" s="25" t="e">
        <f t="shared" si="79"/>
        <v>#REF!</v>
      </c>
      <c r="R14" s="25" t="e">
        <f t="shared" si="79"/>
        <v>#REF!</v>
      </c>
      <c r="S14" s="25" t="e">
        <f t="shared" si="79"/>
        <v>#REF!</v>
      </c>
      <c r="T14" s="25" t="e">
        <f t="shared" si="79"/>
        <v>#REF!</v>
      </c>
      <c r="U14" s="25" t="e">
        <f t="shared" si="79"/>
        <v>#REF!</v>
      </c>
      <c r="V14" s="25" t="e">
        <f t="shared" si="79"/>
        <v>#REF!</v>
      </c>
      <c r="W14" s="25" t="e">
        <f t="shared" si="79"/>
        <v>#REF!</v>
      </c>
      <c r="X14" s="25" t="e">
        <f t="shared" ref="X14:Y14" si="80">X13/$E2</f>
        <v>#REF!</v>
      </c>
      <c r="Y14" s="25" t="e">
        <f t="shared" si="80"/>
        <v>#REF!</v>
      </c>
      <c r="Z14" s="25" t="e">
        <f t="shared" ref="Z14:AA14" si="81">Z13/$E2</f>
        <v>#REF!</v>
      </c>
      <c r="AA14" s="25" t="e">
        <f t="shared" si="81"/>
        <v>#REF!</v>
      </c>
      <c r="AB14" s="25" t="e">
        <f t="shared" ref="AB14:AC14" si="82">AB13/$E2</f>
        <v>#REF!</v>
      </c>
      <c r="AC14" s="25" t="e">
        <f t="shared" si="82"/>
        <v>#REF!</v>
      </c>
      <c r="AD14" s="25" t="e">
        <f t="shared" ref="AD14" si="83">AD13/$E2</f>
        <v>#REF!</v>
      </c>
      <c r="AE14" s="25" t="e">
        <f t="shared" ref="AE14:AJ14" si="84">AE13/$E2</f>
        <v>#REF!</v>
      </c>
      <c r="AF14" s="25" t="e">
        <f t="shared" si="84"/>
        <v>#REF!</v>
      </c>
      <c r="AG14" s="25" t="e">
        <f t="shared" si="84"/>
        <v>#REF!</v>
      </c>
      <c r="AH14" s="25" t="e">
        <f t="shared" si="84"/>
        <v>#REF!</v>
      </c>
      <c r="AI14" s="25" t="e">
        <f t="shared" si="84"/>
        <v>#REF!</v>
      </c>
      <c r="AJ14" s="25" t="e">
        <f t="shared" si="84"/>
        <v>#REF!</v>
      </c>
      <c r="AK14" s="25" t="e">
        <f t="shared" ref="AK14:AL14" si="85">AK13/$E2</f>
        <v>#REF!</v>
      </c>
      <c r="AL14" s="25" t="e">
        <f t="shared" si="85"/>
        <v>#REF!</v>
      </c>
      <c r="AM14" s="76"/>
      <c r="AN14" s="54"/>
    </row>
    <row r="15" spans="1:40" x14ac:dyDescent="0.25">
      <c r="A15" s="8"/>
      <c r="B15" s="9"/>
      <c r="C15" s="9"/>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58"/>
      <c r="AJ15" s="58"/>
      <c r="AK15" s="58"/>
      <c r="AL15" s="59"/>
      <c r="AM15" s="9"/>
    </row>
    <row r="22" spans="22:22" x14ac:dyDescent="0.25">
      <c r="V22" s="10"/>
    </row>
  </sheetData>
  <mergeCells count="4">
    <mergeCell ref="AB1:AB2"/>
    <mergeCell ref="AM1:AM2"/>
    <mergeCell ref="A4:A5"/>
    <mergeCell ref="A9:A10"/>
  </mergeCells>
  <pageMargins left="0.7" right="0.7" top="0.75" bottom="0.75" header="0.3" footer="0.3"/>
  <pageSetup orientation="portrait" r:id="rId1"/>
  <headerFooter>
    <oddHeader>&amp;L&amp;"Arial"&amp;10&amp;K0000FF[AMD Official Use Only]&amp;1#</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BB16"/>
  <sheetViews>
    <sheetView workbookViewId="0">
      <selection activeCell="AE4" sqref="AE4"/>
    </sheetView>
  </sheetViews>
  <sheetFormatPr defaultColWidth="15" defaultRowHeight="12.75" x14ac:dyDescent="0.2"/>
  <cols>
    <col min="1" max="1" width="10.42578125" style="136" bestFit="1" customWidth="1"/>
    <col min="2" max="27" width="5.5703125" style="134" bestFit="1" customWidth="1"/>
    <col min="28" max="28" width="5.42578125" style="134" bestFit="1" customWidth="1"/>
    <col min="29" max="54" width="6" style="134" bestFit="1" customWidth="1"/>
    <col min="55" max="16384" width="15" style="134"/>
  </cols>
  <sheetData>
    <row r="1" spans="1:54" ht="13.5" thickBot="1" x14ac:dyDescent="0.25">
      <c r="A1" s="156" t="s">
        <v>867</v>
      </c>
      <c r="B1" s="157" t="s">
        <v>868</v>
      </c>
      <c r="C1" s="158" t="s">
        <v>869</v>
      </c>
      <c r="D1" s="158" t="s">
        <v>870</v>
      </c>
      <c r="E1" s="158" t="s">
        <v>871</v>
      </c>
      <c r="F1" s="158" t="s">
        <v>872</v>
      </c>
      <c r="G1" s="158" t="s">
        <v>873</v>
      </c>
      <c r="H1" s="158" t="s">
        <v>874</v>
      </c>
      <c r="I1" s="158" t="s">
        <v>875</v>
      </c>
      <c r="J1" s="158" t="s">
        <v>876</v>
      </c>
      <c r="K1" s="158" t="s">
        <v>877</v>
      </c>
      <c r="L1" s="158" t="s">
        <v>878</v>
      </c>
      <c r="M1" s="158" t="s">
        <v>879</v>
      </c>
      <c r="N1" s="158" t="s">
        <v>880</v>
      </c>
      <c r="O1" s="158" t="s">
        <v>881</v>
      </c>
      <c r="P1" s="158" t="s">
        <v>882</v>
      </c>
      <c r="Q1" s="158" t="s">
        <v>883</v>
      </c>
      <c r="R1" s="158" t="s">
        <v>884</v>
      </c>
      <c r="S1" s="158" t="s">
        <v>885</v>
      </c>
      <c r="T1" s="158" t="s">
        <v>886</v>
      </c>
      <c r="U1" s="158" t="s">
        <v>887</v>
      </c>
      <c r="V1" s="158" t="s">
        <v>888</v>
      </c>
      <c r="W1" s="158" t="s">
        <v>889</v>
      </c>
      <c r="X1" s="158" t="s">
        <v>890</v>
      </c>
      <c r="Y1" s="158" t="s">
        <v>891</v>
      </c>
      <c r="Z1" s="158" t="s">
        <v>892</v>
      </c>
      <c r="AA1" s="158" t="s">
        <v>893</v>
      </c>
      <c r="AB1" s="158" t="s">
        <v>894</v>
      </c>
      <c r="AC1" s="158" t="s">
        <v>895</v>
      </c>
      <c r="AD1" s="158" t="s">
        <v>896</v>
      </c>
      <c r="AE1" s="158" t="s">
        <v>897</v>
      </c>
      <c r="AF1" s="158" t="s">
        <v>898</v>
      </c>
      <c r="AG1" s="158" t="s">
        <v>899</v>
      </c>
      <c r="AH1" s="158" t="s">
        <v>900</v>
      </c>
      <c r="AI1" s="158" t="s">
        <v>901</v>
      </c>
      <c r="AJ1" s="158" t="s">
        <v>902</v>
      </c>
      <c r="AK1" s="158" t="s">
        <v>903</v>
      </c>
      <c r="AL1" s="158" t="s">
        <v>904</v>
      </c>
      <c r="AM1" s="158" t="s">
        <v>905</v>
      </c>
      <c r="AN1" s="158" t="s">
        <v>906</v>
      </c>
      <c r="AO1" s="158" t="s">
        <v>907</v>
      </c>
      <c r="AP1" s="158" t="s">
        <v>908</v>
      </c>
      <c r="AQ1" s="158" t="s">
        <v>909</v>
      </c>
      <c r="AR1" s="158" t="s">
        <v>910</v>
      </c>
      <c r="AS1" s="158" t="s">
        <v>911</v>
      </c>
      <c r="AT1" s="158" t="s">
        <v>912</v>
      </c>
      <c r="AU1" s="158" t="s">
        <v>913</v>
      </c>
      <c r="AV1" s="158" t="s">
        <v>914</v>
      </c>
      <c r="AW1" s="158" t="s">
        <v>915</v>
      </c>
      <c r="AX1" s="158" t="s">
        <v>916</v>
      </c>
      <c r="AY1" s="158" t="s">
        <v>917</v>
      </c>
      <c r="AZ1" s="158" t="s">
        <v>918</v>
      </c>
      <c r="BA1" s="158" t="s">
        <v>919</v>
      </c>
      <c r="BB1" s="159" t="s">
        <v>920</v>
      </c>
    </row>
    <row r="2" spans="1:54" s="135" customFormat="1" x14ac:dyDescent="0.2">
      <c r="A2" s="151" t="s">
        <v>863</v>
      </c>
      <c r="B2" s="152">
        <v>0.1</v>
      </c>
      <c r="C2" s="153">
        <v>0.15</v>
      </c>
      <c r="D2" s="153">
        <v>0.17</v>
      </c>
      <c r="E2" s="153">
        <v>0.23</v>
      </c>
      <c r="F2" s="153">
        <v>0.28000000000000003</v>
      </c>
      <c r="G2" s="153">
        <v>0.35</v>
      </c>
      <c r="H2" s="153">
        <v>0.4</v>
      </c>
      <c r="I2" s="153">
        <v>0.45</v>
      </c>
      <c r="J2" s="153">
        <v>0.5</v>
      </c>
      <c r="K2" s="153">
        <v>0.57999999999999996</v>
      </c>
      <c r="L2" s="153">
        <v>0.62</v>
      </c>
      <c r="M2" s="153">
        <v>0.68</v>
      </c>
      <c r="N2" s="153">
        <v>0.71000000000000008</v>
      </c>
      <c r="O2" s="153">
        <v>0.7400000000000001</v>
      </c>
      <c r="P2" s="153">
        <v>0.75000000000000011</v>
      </c>
      <c r="Q2" s="153">
        <v>0.76000000000000012</v>
      </c>
      <c r="R2" s="153">
        <v>0.79000000000000015</v>
      </c>
      <c r="S2" s="153">
        <v>0.82000000000000017</v>
      </c>
      <c r="T2" s="153">
        <v>0.8500000000000002</v>
      </c>
      <c r="U2" s="153">
        <v>0.88000000000000023</v>
      </c>
      <c r="V2" s="153">
        <v>0.91000000000000025</v>
      </c>
      <c r="W2" s="153">
        <v>0.94000000000000028</v>
      </c>
      <c r="X2" s="153">
        <v>0.97000000000000031</v>
      </c>
      <c r="Y2" s="153">
        <v>1.0000000000000002</v>
      </c>
      <c r="Z2" s="153"/>
      <c r="AA2" s="153"/>
      <c r="AB2" s="153"/>
      <c r="AC2" s="153"/>
      <c r="AD2" s="153"/>
      <c r="AE2" s="153"/>
      <c r="AF2" s="153"/>
      <c r="AG2" s="153"/>
      <c r="AH2" s="153"/>
      <c r="AI2" s="153"/>
      <c r="AJ2" s="153"/>
      <c r="AK2" s="153"/>
      <c r="AL2" s="153"/>
      <c r="AM2" s="154"/>
      <c r="AN2" s="154"/>
      <c r="AO2" s="154"/>
      <c r="AP2" s="154"/>
      <c r="AQ2" s="154"/>
      <c r="AR2" s="154"/>
      <c r="AS2" s="154"/>
      <c r="AT2" s="154"/>
      <c r="AU2" s="154"/>
      <c r="AV2" s="154"/>
      <c r="AW2" s="154"/>
      <c r="AX2" s="154"/>
      <c r="AY2" s="154"/>
      <c r="AZ2" s="154"/>
      <c r="BA2" s="154"/>
      <c r="BB2" s="155"/>
    </row>
    <row r="3" spans="1:54" s="135" customFormat="1" x14ac:dyDescent="0.2">
      <c r="A3" s="148" t="s">
        <v>866</v>
      </c>
      <c r="B3" s="146"/>
      <c r="C3" s="132"/>
      <c r="D3" s="132"/>
      <c r="E3" s="132"/>
      <c r="F3" s="132"/>
      <c r="G3" s="132"/>
      <c r="H3" s="132"/>
      <c r="I3" s="132"/>
      <c r="J3" s="132"/>
      <c r="K3" s="132"/>
      <c r="L3" s="132">
        <v>0.1</v>
      </c>
      <c r="M3" s="132">
        <v>0.15</v>
      </c>
      <c r="N3" s="132">
        <v>0.2</v>
      </c>
      <c r="O3" s="132">
        <v>0.3</v>
      </c>
      <c r="P3" s="132">
        <v>0.35</v>
      </c>
      <c r="Q3" s="132">
        <v>0.4</v>
      </c>
      <c r="R3" s="132">
        <v>0.4</v>
      </c>
      <c r="S3" s="132">
        <v>0.4</v>
      </c>
      <c r="T3" s="132">
        <v>0.4</v>
      </c>
      <c r="U3" s="132">
        <v>0.4</v>
      </c>
      <c r="V3" s="132">
        <v>0.5</v>
      </c>
      <c r="W3" s="132">
        <v>0.6</v>
      </c>
      <c r="X3" s="132">
        <v>0.65</v>
      </c>
      <c r="Y3" s="132">
        <v>0.7</v>
      </c>
      <c r="Z3" s="132">
        <v>0.8</v>
      </c>
      <c r="AA3" s="132">
        <v>0.9</v>
      </c>
      <c r="AB3" s="132">
        <v>1</v>
      </c>
      <c r="AC3" s="132"/>
      <c r="AD3" s="132"/>
      <c r="AE3" s="132"/>
      <c r="AF3" s="132"/>
      <c r="AG3" s="132"/>
      <c r="AH3" s="132"/>
      <c r="AI3" s="132"/>
      <c r="AJ3" s="132"/>
      <c r="AK3" s="132"/>
      <c r="AL3" s="132"/>
      <c r="AM3" s="133"/>
      <c r="AN3" s="133"/>
      <c r="AO3" s="133"/>
      <c r="AP3" s="133"/>
      <c r="AQ3" s="133"/>
      <c r="AR3" s="133"/>
      <c r="AS3" s="133"/>
      <c r="AT3" s="133"/>
      <c r="AU3" s="133"/>
      <c r="AV3" s="133"/>
      <c r="AW3" s="133"/>
      <c r="AX3" s="133"/>
      <c r="AY3" s="133"/>
      <c r="AZ3" s="133"/>
      <c r="BA3" s="133"/>
      <c r="BB3" s="138"/>
    </row>
    <row r="4" spans="1:54" s="135" customFormat="1" ht="13.5" thickBot="1" x14ac:dyDescent="0.25">
      <c r="A4" s="150" t="s">
        <v>187</v>
      </c>
      <c r="B4" s="147"/>
      <c r="C4" s="139"/>
      <c r="D4" s="139"/>
      <c r="E4" s="139"/>
      <c r="F4" s="139"/>
      <c r="G4" s="139"/>
      <c r="H4" s="139"/>
      <c r="I4" s="139"/>
      <c r="J4" s="139"/>
      <c r="K4" s="139"/>
      <c r="L4" s="139"/>
      <c r="M4" s="139"/>
      <c r="N4" s="139"/>
      <c r="O4" s="139"/>
      <c r="P4" s="139"/>
      <c r="Q4" s="139"/>
      <c r="R4" s="139"/>
      <c r="S4" s="139"/>
      <c r="T4" s="139"/>
      <c r="U4" s="139"/>
      <c r="V4" s="139"/>
      <c r="W4" s="139"/>
      <c r="X4" s="139"/>
      <c r="Y4" s="139"/>
      <c r="Z4" s="139"/>
      <c r="AA4" s="139"/>
      <c r="AB4" s="139">
        <v>0.05</v>
      </c>
      <c r="AC4" s="139">
        <v>0.2</v>
      </c>
      <c r="AD4" s="139">
        <v>0.3</v>
      </c>
      <c r="AE4" s="139">
        <v>0.5</v>
      </c>
      <c r="AF4" s="139">
        <v>0.6</v>
      </c>
      <c r="AG4" s="139">
        <v>0.65</v>
      </c>
      <c r="AH4" s="139">
        <v>0.7</v>
      </c>
      <c r="AI4" s="139">
        <v>0.85</v>
      </c>
      <c r="AJ4" s="139">
        <v>0.9</v>
      </c>
      <c r="AK4" s="139">
        <v>0.95</v>
      </c>
      <c r="AL4" s="139">
        <v>1</v>
      </c>
      <c r="AM4" s="140"/>
      <c r="AN4" s="140"/>
      <c r="AO4" s="140"/>
      <c r="AP4" s="140"/>
      <c r="AQ4" s="140"/>
      <c r="AR4" s="140"/>
      <c r="AS4" s="140"/>
      <c r="AT4" s="140"/>
      <c r="AU4" s="140"/>
      <c r="AV4" s="140"/>
      <c r="AW4" s="140"/>
      <c r="AX4" s="140"/>
      <c r="AY4" s="140"/>
      <c r="AZ4" s="140"/>
      <c r="BA4" s="140"/>
      <c r="BB4" s="141"/>
    </row>
    <row r="5" spans="1:54" x14ac:dyDescent="0.2">
      <c r="A5" s="160" t="s">
        <v>864</v>
      </c>
      <c r="B5" s="161">
        <v>5</v>
      </c>
      <c r="C5" s="162">
        <v>6</v>
      </c>
      <c r="D5" s="162">
        <v>7</v>
      </c>
      <c r="E5" s="162">
        <v>8</v>
      </c>
      <c r="F5" s="162">
        <v>9</v>
      </c>
      <c r="G5" s="162"/>
      <c r="H5" s="162"/>
      <c r="I5" s="162"/>
      <c r="J5" s="162"/>
      <c r="K5" s="162"/>
      <c r="L5" s="162"/>
      <c r="M5" s="162"/>
      <c r="N5" s="162"/>
      <c r="O5" s="162"/>
      <c r="P5" s="162"/>
      <c r="Q5" s="162"/>
      <c r="R5" s="162"/>
      <c r="S5" s="162"/>
      <c r="T5" s="162"/>
      <c r="U5" s="162"/>
      <c r="V5" s="162"/>
      <c r="W5" s="162"/>
      <c r="X5" s="162"/>
      <c r="Y5" s="162"/>
      <c r="Z5" s="162"/>
      <c r="AA5" s="162"/>
      <c r="AB5" s="162"/>
      <c r="AC5" s="162"/>
      <c r="AD5" s="162"/>
      <c r="AE5" s="162"/>
      <c r="AF5" s="163"/>
      <c r="AG5" s="164"/>
      <c r="AH5" s="163"/>
      <c r="AI5" s="165"/>
      <c r="AJ5" s="165"/>
      <c r="AK5" s="165"/>
      <c r="AL5" s="165"/>
      <c r="AM5" s="165"/>
      <c r="AN5" s="165"/>
      <c r="AO5" s="165"/>
      <c r="AP5" s="165"/>
      <c r="AQ5" s="165"/>
      <c r="AR5" s="165"/>
      <c r="AS5" s="165"/>
      <c r="AT5" s="165"/>
      <c r="AU5" s="165"/>
      <c r="AV5" s="165"/>
      <c r="AW5" s="165"/>
      <c r="AX5" s="165"/>
      <c r="AY5" s="165"/>
      <c r="AZ5" s="165"/>
      <c r="BA5" s="165"/>
      <c r="BB5" s="166"/>
    </row>
    <row r="6" spans="1:54" s="135" customFormat="1" x14ac:dyDescent="0.2">
      <c r="A6" s="148" t="s">
        <v>863</v>
      </c>
      <c r="B6" s="146">
        <v>0.08</v>
      </c>
      <c r="C6" s="132">
        <v>0.12</v>
      </c>
      <c r="D6" s="132">
        <v>0.15</v>
      </c>
      <c r="E6" s="132">
        <v>0.18</v>
      </c>
      <c r="F6" s="132">
        <v>0.24</v>
      </c>
      <c r="G6" s="132">
        <v>0.3</v>
      </c>
      <c r="H6" s="132">
        <v>0.35</v>
      </c>
      <c r="I6" s="132">
        <v>0.4</v>
      </c>
      <c r="J6" s="132">
        <v>0.45</v>
      </c>
      <c r="K6" s="132">
        <v>0.5</v>
      </c>
      <c r="L6" s="132">
        <v>0.57999999999999996</v>
      </c>
      <c r="M6" s="132">
        <v>0.59</v>
      </c>
      <c r="N6" s="132">
        <v>0.6</v>
      </c>
      <c r="O6" s="132">
        <v>0.65</v>
      </c>
      <c r="P6" s="132">
        <v>0.68</v>
      </c>
      <c r="Q6" s="132">
        <v>0.7</v>
      </c>
      <c r="R6" s="132">
        <v>0.72</v>
      </c>
      <c r="S6" s="132">
        <v>0.74</v>
      </c>
      <c r="T6" s="132">
        <v>0.76</v>
      </c>
      <c r="U6" s="132">
        <v>0.78</v>
      </c>
      <c r="V6" s="132">
        <v>0.8</v>
      </c>
      <c r="W6" s="132">
        <v>0.85</v>
      </c>
      <c r="X6" s="132">
        <v>0.88</v>
      </c>
      <c r="Y6" s="132">
        <v>0.9</v>
      </c>
      <c r="Z6" s="132"/>
      <c r="AA6" s="132"/>
      <c r="AB6" s="132"/>
      <c r="AC6" s="132"/>
      <c r="AD6" s="132"/>
      <c r="AE6" s="132"/>
      <c r="AF6" s="132"/>
      <c r="AG6" s="132"/>
      <c r="AH6" s="132"/>
      <c r="AI6" s="133"/>
      <c r="AJ6" s="133"/>
      <c r="AK6" s="133"/>
      <c r="AL6" s="133"/>
      <c r="AM6" s="133"/>
      <c r="AN6" s="133"/>
      <c r="AO6" s="133"/>
      <c r="AP6" s="133"/>
      <c r="AQ6" s="133"/>
      <c r="AR6" s="133"/>
      <c r="AS6" s="133"/>
      <c r="AT6" s="133"/>
      <c r="AU6" s="133"/>
      <c r="AV6" s="133"/>
      <c r="AW6" s="133"/>
      <c r="AX6" s="133"/>
      <c r="AY6" s="133"/>
      <c r="AZ6" s="133"/>
      <c r="BA6" s="133"/>
      <c r="BB6" s="138"/>
    </row>
    <row r="7" spans="1:54" s="145" customFormat="1" x14ac:dyDescent="0.2">
      <c r="A7" s="149" t="s">
        <v>865</v>
      </c>
      <c r="B7" s="146"/>
      <c r="C7" s="132"/>
      <c r="D7" s="132"/>
      <c r="E7" s="132"/>
      <c r="F7" s="132"/>
      <c r="G7" s="132"/>
      <c r="H7" s="132"/>
      <c r="I7" s="132"/>
      <c r="J7" s="132"/>
      <c r="K7" s="132"/>
      <c r="L7" s="132"/>
      <c r="M7" s="132">
        <v>7.0000000000000007E-2</v>
      </c>
      <c r="N7" s="132">
        <v>0.12</v>
      </c>
      <c r="O7" s="132">
        <v>0.17</v>
      </c>
      <c r="P7" s="132">
        <v>0.27</v>
      </c>
      <c r="Q7" s="132">
        <v>0.31999999999999995</v>
      </c>
      <c r="R7" s="132">
        <v>0.37</v>
      </c>
      <c r="S7" s="132">
        <v>0.37</v>
      </c>
      <c r="T7" s="132">
        <v>0.37</v>
      </c>
      <c r="U7" s="132">
        <v>0.37</v>
      </c>
      <c r="V7" s="132">
        <v>0.37</v>
      </c>
      <c r="W7" s="132">
        <v>0.47</v>
      </c>
      <c r="X7" s="132">
        <v>0.56999999999999995</v>
      </c>
      <c r="Y7" s="132">
        <v>0.62</v>
      </c>
      <c r="Z7" s="132">
        <v>0.66999999999999993</v>
      </c>
      <c r="AA7" s="132">
        <v>0.77</v>
      </c>
      <c r="AB7" s="132">
        <v>0.87</v>
      </c>
      <c r="AC7" s="132">
        <v>0.97</v>
      </c>
      <c r="AD7" s="132"/>
      <c r="AE7" s="132"/>
      <c r="AF7" s="142"/>
      <c r="AG7" s="132"/>
      <c r="AH7" s="142"/>
      <c r="AI7" s="143"/>
      <c r="AJ7" s="143"/>
      <c r="AK7" s="143"/>
      <c r="AL7" s="143"/>
      <c r="AM7" s="143"/>
      <c r="AN7" s="143"/>
      <c r="AO7" s="143"/>
      <c r="AP7" s="143"/>
      <c r="AQ7" s="143"/>
      <c r="AR7" s="143"/>
      <c r="AS7" s="143"/>
      <c r="AT7" s="143"/>
      <c r="AU7" s="143"/>
      <c r="AV7" s="143"/>
      <c r="AW7" s="143"/>
      <c r="AX7" s="143"/>
      <c r="AY7" s="143"/>
      <c r="AZ7" s="143"/>
      <c r="BA7" s="143"/>
      <c r="BB7" s="144"/>
    </row>
    <row r="8" spans="1:54" s="135" customFormat="1" ht="13.5" thickBot="1" x14ac:dyDescent="0.25">
      <c r="A8" s="150" t="s">
        <v>187</v>
      </c>
      <c r="B8" s="147"/>
      <c r="C8" s="139"/>
      <c r="D8" s="139"/>
      <c r="E8" s="139"/>
      <c r="F8" s="139"/>
      <c r="G8" s="139"/>
      <c r="H8" s="139"/>
      <c r="I8" s="139"/>
      <c r="J8" s="139"/>
      <c r="K8" s="139"/>
      <c r="L8" s="139"/>
      <c r="M8" s="139"/>
      <c r="N8" s="139"/>
      <c r="O8" s="139"/>
      <c r="P8" s="139"/>
      <c r="Q8" s="139"/>
      <c r="R8" s="139"/>
      <c r="S8" s="139"/>
      <c r="T8" s="139"/>
      <c r="U8" s="139"/>
      <c r="V8" s="139"/>
      <c r="W8" s="139"/>
      <c r="X8" s="139"/>
      <c r="Y8" s="139"/>
      <c r="Z8" s="139"/>
      <c r="AA8" s="139"/>
      <c r="AB8" s="139">
        <v>0.08</v>
      </c>
      <c r="AC8" s="139">
        <v>0.15</v>
      </c>
      <c r="AD8" s="139">
        <v>0.26</v>
      </c>
      <c r="AE8" s="139">
        <v>0.4</v>
      </c>
      <c r="AF8" s="139">
        <v>0.5</v>
      </c>
      <c r="AG8" s="139">
        <v>0.55000000000000004</v>
      </c>
      <c r="AH8" s="139">
        <v>0.6</v>
      </c>
      <c r="AI8" s="140">
        <v>0.7</v>
      </c>
      <c r="AJ8" s="140">
        <v>0.75</v>
      </c>
      <c r="AK8" s="140">
        <v>0.78</v>
      </c>
      <c r="AL8" s="140">
        <v>0.8</v>
      </c>
      <c r="AM8" s="140">
        <v>0.85</v>
      </c>
      <c r="AN8" s="140">
        <v>0.88</v>
      </c>
      <c r="AO8" s="140">
        <v>0.9</v>
      </c>
      <c r="AP8" s="140">
        <v>0.95</v>
      </c>
      <c r="AQ8" s="140">
        <v>1</v>
      </c>
      <c r="AR8" s="140"/>
      <c r="AS8" s="140"/>
      <c r="AT8" s="140"/>
      <c r="AU8" s="140"/>
      <c r="AV8" s="140"/>
      <c r="AW8" s="140"/>
      <c r="AX8" s="140"/>
      <c r="AY8" s="140"/>
      <c r="AZ8" s="140"/>
      <c r="BA8" s="140"/>
      <c r="BB8" s="141"/>
    </row>
    <row r="16" spans="1:54" x14ac:dyDescent="0.2">
      <c r="V16" s="137"/>
    </row>
  </sheetData>
  <pageMargins left="0.7" right="0.7" top="0.75" bottom="0.75" header="0.3" footer="0.3"/>
  <pageSetup orientation="portrait" r:id="rId1"/>
  <headerFooter>
    <oddHeader>&amp;L&amp;"Arial"&amp;10&amp;K0000FF[AMD Official Use Only]&amp;1#</oddHead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3:E13"/>
  <sheetViews>
    <sheetView workbookViewId="0">
      <selection activeCell="D22" sqref="D22"/>
    </sheetView>
  </sheetViews>
  <sheetFormatPr defaultColWidth="8.5703125" defaultRowHeight="15" x14ac:dyDescent="0.25"/>
  <cols>
    <col min="1" max="2" width="13.42578125" bestFit="1" customWidth="1"/>
    <col min="4" max="4" width="9.42578125" style="130"/>
  </cols>
  <sheetData>
    <row r="3" spans="1:5" x14ac:dyDescent="0.25">
      <c r="A3" s="129" t="s">
        <v>921</v>
      </c>
      <c r="B3" s="129" t="s">
        <v>922</v>
      </c>
      <c r="C3" s="129"/>
      <c r="D3" s="219"/>
      <c r="E3" s="129"/>
    </row>
    <row r="4" spans="1:5" x14ac:dyDescent="0.25">
      <c r="A4" s="79" t="s">
        <v>47</v>
      </c>
      <c r="B4">
        <v>0</v>
      </c>
    </row>
    <row r="5" spans="1:5" x14ac:dyDescent="0.25">
      <c r="A5" s="79" t="s">
        <v>923</v>
      </c>
      <c r="B5">
        <v>85</v>
      </c>
      <c r="D5" s="130">
        <f>GETPIVOTDATA("#Tests",$A$3,"ETA","wk-1")/GETPIVOTDATA("#Tests",$A$3)</f>
        <v>0.17</v>
      </c>
      <c r="E5" s="131">
        <f>D5</f>
        <v>0.17</v>
      </c>
    </row>
    <row r="6" spans="1:5" x14ac:dyDescent="0.25">
      <c r="A6" s="79" t="s">
        <v>924</v>
      </c>
      <c r="B6">
        <v>48</v>
      </c>
      <c r="D6" s="130">
        <f>GETPIVOTDATA("#Tests",$A$3,"ETA","wk-2")/GETPIVOTDATA("#Tests",$A$3)</f>
        <v>9.6000000000000002E-2</v>
      </c>
      <c r="E6" s="131">
        <f t="shared" ref="E6:E12" si="0">E5+D6</f>
        <v>0.26600000000000001</v>
      </c>
    </row>
    <row r="7" spans="1:5" x14ac:dyDescent="0.25">
      <c r="A7" s="79" t="s">
        <v>925</v>
      </c>
      <c r="B7">
        <v>96</v>
      </c>
      <c r="D7" s="130">
        <f>GETPIVOTDATA("#Tests",$A$3,"ETA","wk-3")/GETPIVOTDATA("#Tests",$A$3)</f>
        <v>0.192</v>
      </c>
      <c r="E7" s="131">
        <f t="shared" si="0"/>
        <v>0.45800000000000002</v>
      </c>
    </row>
    <row r="8" spans="1:5" x14ac:dyDescent="0.25">
      <c r="A8" s="79" t="s">
        <v>926</v>
      </c>
      <c r="B8">
        <v>79</v>
      </c>
      <c r="D8" s="130">
        <f>GETPIVOTDATA("#Tests",$A$3,"ETA","wk-4")/GETPIVOTDATA("#Tests",$A$3)</f>
        <v>0.158</v>
      </c>
      <c r="E8" s="131">
        <f t="shared" si="0"/>
        <v>0.61599999999999999</v>
      </c>
    </row>
    <row r="9" spans="1:5" x14ac:dyDescent="0.25">
      <c r="A9" s="79" t="s">
        <v>927</v>
      </c>
      <c r="B9">
        <v>82</v>
      </c>
      <c r="D9" s="130">
        <f>GETPIVOTDATA("#Tests",$A$3,"ETA","wk-5")/GETPIVOTDATA("#Tests",$A$3)</f>
        <v>0.16400000000000001</v>
      </c>
      <c r="E9" s="131">
        <f t="shared" si="0"/>
        <v>0.78</v>
      </c>
    </row>
    <row r="10" spans="1:5" x14ac:dyDescent="0.25">
      <c r="A10" s="79" t="s">
        <v>928</v>
      </c>
      <c r="B10">
        <v>60</v>
      </c>
      <c r="D10" s="130">
        <f>GETPIVOTDATA("#Tests",$A$3,"ETA","wk-6")/GETPIVOTDATA("#Tests",$A$3)</f>
        <v>0.12</v>
      </c>
      <c r="E10" s="131">
        <f t="shared" si="0"/>
        <v>0.9</v>
      </c>
    </row>
    <row r="11" spans="1:5" x14ac:dyDescent="0.25">
      <c r="A11" s="79" t="s">
        <v>929</v>
      </c>
      <c r="B11">
        <v>30</v>
      </c>
      <c r="D11" s="130">
        <f>GETPIVOTDATA("#Tests",$A$3,"ETA","wk-7")/GETPIVOTDATA("#Tests",$A$3)</f>
        <v>0.06</v>
      </c>
      <c r="E11" s="131">
        <f t="shared" si="0"/>
        <v>0.96</v>
      </c>
    </row>
    <row r="12" spans="1:5" x14ac:dyDescent="0.25">
      <c r="A12" s="79" t="s">
        <v>930</v>
      </c>
      <c r="B12">
        <v>20</v>
      </c>
      <c r="D12" s="130">
        <f>GETPIVOTDATA("#Tests",$A$3,"ETA","wk-8")/GETPIVOTDATA("#Tests",$A$3)</f>
        <v>0.04</v>
      </c>
      <c r="E12" s="131">
        <f t="shared" si="0"/>
        <v>1</v>
      </c>
    </row>
    <row r="13" spans="1:5" x14ac:dyDescent="0.25">
      <c r="A13" s="79" t="s">
        <v>523</v>
      </c>
      <c r="B13">
        <v>500</v>
      </c>
      <c r="D13" s="130">
        <f>SUM(D5:D12)</f>
        <v>1</v>
      </c>
    </row>
  </sheetData>
  <pageMargins left="0.7" right="0.7" top="0.75" bottom="0.75" header="0.3" footer="0.3"/>
  <pageSetup orientation="portrait" r:id="rId2"/>
  <headerFooter>
    <oddHeader>&amp;L&amp;"Arial"&amp;10&amp;K0000FF[AMD Official Use Only]&amp;1#</oddHead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documentManagement>
    <IP_x002f_BLOCK xmlns="6d5e1dd9-3d6d-4d57-aaa4-c6398f910d60" xsi:nil="true"/>
    <SharedWithUsers xmlns="ec5a97c5-2653-49c6-b3a5-07f7dd96f613">
      <UserInfo>
        <DisplayName>McKinnon, Pierce</DisplayName>
        <AccountId>3130</AccountId>
        <AccountType/>
      </UserInfo>
      <UserInfo>
        <DisplayName>MonshiZadeh, Javad</DisplayName>
        <AccountId>3880</AccountId>
        <AccountType/>
      </UserInfo>
      <UserInfo>
        <DisplayName>BinShahlan, MohamedFaez (Mohamed Faez)</DisplayName>
        <AccountId>4548</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AF27253CFAB1BF4B84A3E42F67C7986B" ma:contentTypeVersion="3" ma:contentTypeDescription="Create a new document." ma:contentTypeScope="" ma:versionID="215488dfac1d560251ec08fcaef507f0">
  <xsd:schema xmlns:xsd="http://www.w3.org/2001/XMLSchema" xmlns:xs="http://www.w3.org/2001/XMLSchema" xmlns:p="http://schemas.microsoft.com/office/2006/metadata/properties" xmlns:ns1="6d5e1dd9-3d6d-4d57-aaa4-c6398f910d60" xmlns:ns3="ec5a97c5-2653-49c6-b3a5-07f7dd96f613" targetNamespace="http://schemas.microsoft.com/office/2006/metadata/properties" ma:root="true" ma:fieldsID="586e0fc65dfb92510ff0e56258217488" ns1:_="" ns3:_="">
    <xsd:import namespace="6d5e1dd9-3d6d-4d57-aaa4-c6398f910d60"/>
    <xsd:import namespace="ec5a97c5-2653-49c6-b3a5-07f7dd96f613"/>
    <xsd:element name="properties">
      <xsd:complexType>
        <xsd:sequence>
          <xsd:element name="documentManagement">
            <xsd:complexType>
              <xsd:all>
                <xsd:element ref="ns1:IP_x002f_BLOCK"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d5e1dd9-3d6d-4d57-aaa4-c6398f910d60" elementFormDefault="qualified">
    <xsd:import namespace="http://schemas.microsoft.com/office/2006/documentManagement/types"/>
    <xsd:import namespace="http://schemas.microsoft.com/office/infopath/2007/PartnerControls"/>
    <xsd:element name="IP_x002f_BLOCK" ma:index="0" nillable="true" ma:displayName="IP/BLOCK" ma:internalName="IP_x002f_BLOCK">
      <xsd:simpleType>
        <xsd:restriction base="dms:Text">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c5a97c5-2653-49c6-b3a5-07f7dd96f613" elementFormDefault="qualified">
    <xsd:import namespace="http://schemas.microsoft.com/office/2006/documentManagement/types"/>
    <xsd:import namespace="http://schemas.microsoft.com/office/infopath/2007/PartnerControls"/>
    <xsd:element name="SharedWithUsers" ma:index="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8" ma:displayName="Content Type"/>
        <xsd:element ref="dc:title" minOccurs="0" maxOccurs="1" ma:index="2"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2A514-3872-4BC6-85FB-7D9D07F457A6}">
  <ds:schemaRefs>
    <ds:schemaRef ds:uri="6d5e1dd9-3d6d-4d57-aaa4-c6398f910d60"/>
    <ds:schemaRef ds:uri="http://purl.org/dc/elements/1.1/"/>
    <ds:schemaRef ds:uri="http://purl.org/dc/dcmitype/"/>
    <ds:schemaRef ds:uri="http://www.w3.org/XML/1998/namespace"/>
    <ds:schemaRef ds:uri="http://schemas.microsoft.com/office/infopath/2007/PartnerControls"/>
    <ds:schemaRef ds:uri="http://schemas.openxmlformats.org/package/2006/metadata/core-properties"/>
    <ds:schemaRef ds:uri="http://schemas.microsoft.com/office/2006/documentManagement/types"/>
    <ds:schemaRef ds:uri="ec5a97c5-2653-49c6-b3a5-07f7dd96f613"/>
    <ds:schemaRef ds:uri="http://schemas.microsoft.com/office/2006/metadata/properties"/>
    <ds:schemaRef ds:uri="http://purl.org/dc/terms/"/>
  </ds:schemaRefs>
</ds:datastoreItem>
</file>

<file path=customXml/itemProps2.xml><?xml version="1.0" encoding="utf-8"?>
<ds:datastoreItem xmlns:ds="http://schemas.openxmlformats.org/officeDocument/2006/customXml" ds:itemID="{264F3511-7AA8-4DBA-8CBB-B887813280D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d5e1dd9-3d6d-4d57-aaa4-c6398f910d60"/>
    <ds:schemaRef ds:uri="ec5a97c5-2653-49c6-b3a5-07f7dd96f6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B573ECBC-040B-42FD-A237-7F2573680C6B}">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Log</vt:lpstr>
      <vt:lpstr>List Options</vt:lpstr>
      <vt:lpstr>Usage</vt:lpstr>
      <vt:lpstr>Cross-IP trackingHowTo</vt:lpstr>
      <vt:lpstr>Revision History</vt:lpstr>
      <vt:lpstr>Diags Raw Data</vt:lpstr>
      <vt:lpstr>Sub-IP Block Summary</vt:lpstr>
      <vt:lpstr>Feature Raw Data</vt:lpstr>
      <vt:lpstr>Feature Summary</vt:lpstr>
      <vt:lpstr>Progress (WIP)</vt:lpstr>
      <vt:lpstr>Progress</vt:lpstr>
      <vt:lpstr>Coverage Plan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Diagnostics IP Status Tracker 2.0 Master Template</dc:title>
  <dc:subject/>
  <dc:creator>Li, Raymond (Yun Peng)</dc:creator>
  <cp:keywords/>
  <dc:description/>
  <cp:lastModifiedBy>Regier, Paul</cp:lastModifiedBy>
  <cp:revision/>
  <dcterms:created xsi:type="dcterms:W3CDTF">2013-03-11T21:33:52Z</dcterms:created>
  <dcterms:modified xsi:type="dcterms:W3CDTF">2024-04-08T12:55:59Z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0x010100AF27253CFAB1BF4B84A3E42F67C7986B</vt:lpwstr>
  </property>
  <property fmtid="{D5CDD505-2E9C-101B-9397-08002B2CF9AE}" pid="3" name="MSIP_Label_88914ebd-7e6c-4e12-a031-a9906be2db14_Enabled">
    <vt:lpwstr>true</vt:lpwstr>
  </property>
  <property fmtid="{D5CDD505-2E9C-101B-9397-08002B2CF9AE}" pid="4" name="MSIP_Label_88914ebd-7e6c-4e12-a031-a9906be2db14_SetDate">
    <vt:lpwstr>2022-03-09T01:44:06Z</vt:lpwstr>
  </property>
  <property fmtid="{D5CDD505-2E9C-101B-9397-08002B2CF9AE}" pid="5" name="MSIP_Label_88914ebd-7e6c-4e12-a031-a9906be2db14_Method">
    <vt:lpwstr>Standard</vt:lpwstr>
  </property>
  <property fmtid="{D5CDD505-2E9C-101B-9397-08002B2CF9AE}" pid="6" name="MSIP_Label_88914ebd-7e6c-4e12-a031-a9906be2db14_Name">
    <vt:lpwstr>AMD Official Use Only-AIP 2.0</vt:lpwstr>
  </property>
  <property fmtid="{D5CDD505-2E9C-101B-9397-08002B2CF9AE}" pid="7" name="MSIP_Label_88914ebd-7e6c-4e12-a031-a9906be2db14_SiteId">
    <vt:lpwstr>3dd8961f-e488-4e60-8e11-a82d994e183d</vt:lpwstr>
  </property>
  <property fmtid="{D5CDD505-2E9C-101B-9397-08002B2CF9AE}" pid="8" name="MSIP_Label_88914ebd-7e6c-4e12-a031-a9906be2db14_ActionId">
    <vt:lpwstr>18a6e313-6fe1-4805-a2af-78ff1803d0b0</vt:lpwstr>
  </property>
  <property fmtid="{D5CDD505-2E9C-101B-9397-08002B2CF9AE}" pid="9" name="MSIP_Label_88914ebd-7e6c-4e12-a031-a9906be2db14_ContentBits">
    <vt:lpwstr>1</vt:lpwstr>
  </property>
</Properties>
</file>