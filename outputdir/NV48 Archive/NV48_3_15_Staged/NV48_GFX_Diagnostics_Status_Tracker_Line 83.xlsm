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outputdir\NV48_3_15_Staged\"/>
    </mc:Choice>
  </mc:AlternateContent>
  <xr:revisionPtr revIDLastSave="0" documentId="8_{CBBCBD3D-2B23-4501-A37C-A1A6341CA3BB}" xr6:coauthVersionLast="47" xr6:coauthVersionMax="47" xr10:uidLastSave="{00000000-0000-0000-0000-000000000000}"/>
  <bookViews>
    <workbookView xWindow="-26985" yWindow="1905" windowWidth="27615" windowHeight="11850"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Data'!$A$5:$AH$80</definedName>
    <definedName name="_xlnm._FilterDatabase" localSheetId="7" hidden="1">'Feature Raw Data'!$A$2:$I$254</definedName>
    <definedName name="_xlnm._FilterDatabase" localSheetId="8" hidden="1">'Feature Summary'!$A$6:$U$278</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129"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K80" i="53" l="1"/>
  <c r="L80" i="53"/>
  <c r="N80" i="53"/>
  <c r="O80" i="53"/>
  <c r="P80" i="53"/>
  <c r="R80" i="53"/>
  <c r="S80" i="53"/>
  <c r="T80" i="53"/>
  <c r="U80" i="53"/>
  <c r="V80" i="53"/>
  <c r="W80" i="53"/>
  <c r="Z80" i="53"/>
  <c r="AA80" i="53"/>
  <c r="AE80" i="53" s="1"/>
  <c r="AB80" i="53"/>
  <c r="AC80" i="53"/>
  <c r="AD80" i="53"/>
  <c r="C40" i="55"/>
  <c r="B40" i="55"/>
  <c r="E40" i="55"/>
  <c r="E131" i="55"/>
  <c r="U9" i="55"/>
  <c r="U10" i="55"/>
  <c r="U11" i="55"/>
  <c r="U12" i="55"/>
  <c r="U13" i="55"/>
  <c r="U14" i="55"/>
  <c r="U15" i="55"/>
  <c r="U16" i="55"/>
  <c r="U17" i="55"/>
  <c r="U18" i="55"/>
  <c r="U19" i="55"/>
  <c r="U20" i="55"/>
  <c r="U21" i="55"/>
  <c r="U22" i="55"/>
  <c r="U23" i="55"/>
  <c r="U24" i="55"/>
  <c r="U25" i="55"/>
  <c r="U26" i="55"/>
  <c r="U27" i="55"/>
  <c r="U28" i="55"/>
  <c r="U29" i="55"/>
  <c r="U30" i="55"/>
  <c r="U31" i="55"/>
  <c r="U32" i="55"/>
  <c r="U33" i="55"/>
  <c r="U34" i="55"/>
  <c r="U35" i="55"/>
  <c r="U36" i="55"/>
  <c r="U37" i="55"/>
  <c r="U38" i="55"/>
  <c r="U39" i="55"/>
  <c r="U40" i="55"/>
  <c r="U41" i="55"/>
  <c r="U42" i="55"/>
  <c r="U43" i="55"/>
  <c r="U44" i="55"/>
  <c r="U45" i="55"/>
  <c r="U46" i="55"/>
  <c r="U47" i="55"/>
  <c r="U48" i="55"/>
  <c r="U49" i="55"/>
  <c r="U50" i="55"/>
  <c r="U51" i="55"/>
  <c r="U52" i="55"/>
  <c r="U53" i="55"/>
  <c r="U54" i="55"/>
  <c r="U55" i="55"/>
  <c r="U56" i="55"/>
  <c r="U57" i="55"/>
  <c r="U58" i="55"/>
  <c r="U59" i="55"/>
  <c r="U60" i="55"/>
  <c r="U61" i="55"/>
  <c r="U62" i="55"/>
  <c r="U63" i="55"/>
  <c r="U64" i="55"/>
  <c r="U65" i="55"/>
  <c r="U66" i="55"/>
  <c r="U67" i="55"/>
  <c r="U68" i="55"/>
  <c r="U69" i="55"/>
  <c r="U70" i="55"/>
  <c r="U71" i="55"/>
  <c r="U72" i="55"/>
  <c r="U73" i="55"/>
  <c r="U74" i="55"/>
  <c r="U75" i="55"/>
  <c r="U76" i="55"/>
  <c r="U77" i="55"/>
  <c r="U78" i="55"/>
  <c r="U79" i="55"/>
  <c r="U80" i="55"/>
  <c r="U81" i="55"/>
  <c r="U82" i="55"/>
  <c r="U83" i="55"/>
  <c r="U84" i="55"/>
  <c r="U85" i="55"/>
  <c r="U86" i="55"/>
  <c r="U87" i="55"/>
  <c r="U88" i="55"/>
  <c r="U89" i="55"/>
  <c r="U90" i="55"/>
  <c r="U91" i="55"/>
  <c r="U92" i="55"/>
  <c r="U93" i="55"/>
  <c r="U94" i="55"/>
  <c r="U95" i="55"/>
  <c r="U96" i="55"/>
  <c r="U97" i="55"/>
  <c r="U98" i="55"/>
  <c r="U99" i="55"/>
  <c r="U100" i="55"/>
  <c r="U101" i="55"/>
  <c r="U102" i="55"/>
  <c r="U103" i="55"/>
  <c r="U104" i="55"/>
  <c r="U105" i="55"/>
  <c r="U106" i="55"/>
  <c r="U107" i="55"/>
  <c r="U108" i="55"/>
  <c r="U109" i="55"/>
  <c r="U110" i="55"/>
  <c r="U111" i="55"/>
  <c r="U112" i="55"/>
  <c r="U113" i="55"/>
  <c r="U114" i="55"/>
  <c r="U115" i="55"/>
  <c r="U116" i="55"/>
  <c r="U117" i="55"/>
  <c r="U118" i="55"/>
  <c r="U119" i="55"/>
  <c r="U120" i="55"/>
  <c r="U121" i="55"/>
  <c r="U122" i="55"/>
  <c r="U123" i="55"/>
  <c r="U124" i="55"/>
  <c r="U125" i="55"/>
  <c r="U126" i="55"/>
  <c r="U127" i="55"/>
  <c r="U128" i="55"/>
  <c r="U129" i="55"/>
  <c r="U130" i="55"/>
  <c r="U131" i="55"/>
  <c r="U132" i="55"/>
  <c r="U133" i="55"/>
  <c r="U134" i="55"/>
  <c r="U135" i="55"/>
  <c r="U136" i="55"/>
  <c r="U137" i="55"/>
  <c r="U138" i="55"/>
  <c r="U139" i="55"/>
  <c r="U140" i="55"/>
  <c r="U141" i="55"/>
  <c r="U142" i="55"/>
  <c r="U143" i="55"/>
  <c r="U144" i="55"/>
  <c r="U145" i="55"/>
  <c r="U146" i="55"/>
  <c r="U147" i="55"/>
  <c r="U148" i="55"/>
  <c r="U149" i="55"/>
  <c r="U150" i="55"/>
  <c r="U151" i="55"/>
  <c r="U152" i="55"/>
  <c r="U153" i="55"/>
  <c r="U154" i="55"/>
  <c r="U155" i="55"/>
  <c r="U156" i="55"/>
  <c r="U157" i="55"/>
  <c r="U158" i="55"/>
  <c r="U159" i="55"/>
  <c r="U160" i="55"/>
  <c r="U161" i="55"/>
  <c r="U162" i="55"/>
  <c r="U163" i="55"/>
  <c r="U164" i="55"/>
  <c r="U165" i="55"/>
  <c r="U166" i="55"/>
  <c r="U167" i="55"/>
  <c r="U168" i="55"/>
  <c r="U169" i="55"/>
  <c r="U170" i="55"/>
  <c r="U171" i="55"/>
  <c r="U172" i="55"/>
  <c r="U173" i="55"/>
  <c r="U174" i="55"/>
  <c r="U175" i="55"/>
  <c r="U176" i="55"/>
  <c r="U177" i="55"/>
  <c r="U178" i="55"/>
  <c r="U179" i="55"/>
  <c r="U180" i="55"/>
  <c r="U181" i="55"/>
  <c r="U182" i="55"/>
  <c r="U183" i="55"/>
  <c r="U184" i="55"/>
  <c r="U185" i="55"/>
  <c r="U186" i="55"/>
  <c r="U187" i="55"/>
  <c r="U188" i="55"/>
  <c r="U189" i="55"/>
  <c r="U190" i="55"/>
  <c r="U191" i="55"/>
  <c r="U192" i="55"/>
  <c r="U193" i="55"/>
  <c r="U194" i="55"/>
  <c r="U195" i="55"/>
  <c r="U196" i="55"/>
  <c r="U197" i="55"/>
  <c r="U198" i="55"/>
  <c r="U199" i="55"/>
  <c r="U200" i="55"/>
  <c r="U201" i="55"/>
  <c r="U202" i="55"/>
  <c r="U203" i="55"/>
  <c r="U204" i="55"/>
  <c r="U205" i="55"/>
  <c r="U206" i="55"/>
  <c r="U207" i="55"/>
  <c r="U208" i="55"/>
  <c r="U209" i="55"/>
  <c r="U210" i="55"/>
  <c r="U211" i="55"/>
  <c r="U212" i="55"/>
  <c r="U213" i="55"/>
  <c r="U214" i="55"/>
  <c r="U215" i="55"/>
  <c r="U216" i="55"/>
  <c r="U217" i="55"/>
  <c r="U218" i="55"/>
  <c r="U219" i="55"/>
  <c r="U220" i="55"/>
  <c r="U221" i="55"/>
  <c r="U222" i="55"/>
  <c r="U223" i="55"/>
  <c r="U224" i="55"/>
  <c r="U225" i="55"/>
  <c r="U226" i="55"/>
  <c r="U227" i="55"/>
  <c r="U228" i="55"/>
  <c r="U229" i="55"/>
  <c r="U230" i="55"/>
  <c r="U231" i="55"/>
  <c r="U232" i="55"/>
  <c r="U233" i="55"/>
  <c r="U234" i="55"/>
  <c r="U235" i="55"/>
  <c r="U236" i="55"/>
  <c r="U237" i="55"/>
  <c r="U238" i="55"/>
  <c r="U239" i="55"/>
  <c r="U240" i="55"/>
  <c r="U241" i="55"/>
  <c r="U242" i="55"/>
  <c r="U243" i="55"/>
  <c r="U244" i="55"/>
  <c r="U245" i="55"/>
  <c r="U246" i="55"/>
  <c r="U247" i="55"/>
  <c r="U248" i="55"/>
  <c r="U249" i="55"/>
  <c r="U250" i="55"/>
  <c r="U251" i="55"/>
  <c r="U252" i="55"/>
  <c r="U253" i="55"/>
  <c r="U254" i="55"/>
  <c r="U255" i="55"/>
  <c r="U256" i="55"/>
  <c r="U257" i="55"/>
  <c r="U258" i="55"/>
  <c r="U8" i="55"/>
  <c r="E42" i="55"/>
  <c r="U7" i="55"/>
  <c r="C174" i="55"/>
  <c r="E239" i="55"/>
  <c r="E20" i="55"/>
  <c r="E251" i="55"/>
  <c r="E252" i="55"/>
  <c r="E243" i="55"/>
  <c r="E174" i="55"/>
  <c r="E238" i="55"/>
  <c r="E240" i="55"/>
  <c r="E241" i="55"/>
  <c r="E242" i="55"/>
  <c r="E244" i="55"/>
  <c r="E245" i="55"/>
  <c r="E246" i="55"/>
  <c r="E247" i="55"/>
  <c r="E248" i="55"/>
  <c r="E249" i="55"/>
  <c r="E250" i="55"/>
  <c r="E253" i="55"/>
  <c r="E254" i="55"/>
  <c r="E255" i="55"/>
  <c r="E256" i="55"/>
  <c r="E257" i="55"/>
  <c r="E258" i="55"/>
  <c r="B238" i="55"/>
  <c r="C238" i="55"/>
  <c r="D238" i="55" a="1"/>
  <c r="D238" i="55" s="1"/>
  <c r="H238" i="55" s="1"/>
  <c r="F238" i="55"/>
  <c r="I238" i="55"/>
  <c r="J238" i="55"/>
  <c r="P238" i="55"/>
  <c r="Q238" i="55"/>
  <c r="B239" i="55"/>
  <c r="C239" i="55"/>
  <c r="D239" i="55" a="1"/>
  <c r="D239" i="55" s="1"/>
  <c r="H239" i="55" s="1"/>
  <c r="F239" i="55"/>
  <c r="I239" i="55"/>
  <c r="J239" i="55"/>
  <c r="R239" i="55" s="1"/>
  <c r="P239" i="55"/>
  <c r="S239" i="55" s="1"/>
  <c r="Q239" i="55"/>
  <c r="B240" i="55"/>
  <c r="C240" i="55"/>
  <c r="D240" i="55" a="1"/>
  <c r="D240" i="55" s="1"/>
  <c r="G240" i="55" s="1"/>
  <c r="F240" i="55"/>
  <c r="I240" i="55"/>
  <c r="J240" i="55"/>
  <c r="R240" i="55" s="1"/>
  <c r="P240" i="55"/>
  <c r="S240" i="55" s="1"/>
  <c r="Q240" i="55"/>
  <c r="B241" i="55"/>
  <c r="C241" i="55"/>
  <c r="D241" i="55" a="1"/>
  <c r="D241" i="55" s="1"/>
  <c r="F241" i="55"/>
  <c r="I241" i="55"/>
  <c r="J241" i="55"/>
  <c r="R241" i="55" s="1"/>
  <c r="P241" i="55"/>
  <c r="S241" i="55" s="1"/>
  <c r="Q241" i="55"/>
  <c r="B242" i="55"/>
  <c r="C242" i="55"/>
  <c r="D242" i="55" a="1"/>
  <c r="D242" i="55" s="1"/>
  <c r="G242" i="55" s="1"/>
  <c r="F242" i="55"/>
  <c r="I242" i="55"/>
  <c r="J242" i="55"/>
  <c r="P242" i="55"/>
  <c r="S242" i="55" s="1"/>
  <c r="Q242" i="55"/>
  <c r="B243" i="55"/>
  <c r="C243" i="55"/>
  <c r="D243" i="55" a="1"/>
  <c r="D243" i="55" s="1"/>
  <c r="F243" i="55"/>
  <c r="I243" i="55"/>
  <c r="J243" i="55"/>
  <c r="P243" i="55"/>
  <c r="S243" i="55" s="1"/>
  <c r="Q243" i="55"/>
  <c r="B244" i="55"/>
  <c r="C244" i="55"/>
  <c r="D244" i="55" a="1"/>
  <c r="D244" i="55" s="1"/>
  <c r="H244" i="55" s="1"/>
  <c r="F244" i="55"/>
  <c r="I244" i="55"/>
  <c r="J244" i="55"/>
  <c r="R244" i="55" s="1"/>
  <c r="P244" i="55"/>
  <c r="S244" i="55" s="1"/>
  <c r="Q244" i="55"/>
  <c r="B245" i="55"/>
  <c r="C245" i="55"/>
  <c r="D245" i="55" a="1"/>
  <c r="D245" i="55" s="1"/>
  <c r="H245" i="55" s="1"/>
  <c r="F245" i="55"/>
  <c r="I245" i="55"/>
  <c r="J245" i="55"/>
  <c r="P245" i="55"/>
  <c r="S245" i="55" s="1"/>
  <c r="Q245" i="55"/>
  <c r="B246" i="55"/>
  <c r="C246" i="55"/>
  <c r="D246" i="55" a="1"/>
  <c r="D246" i="55" s="1"/>
  <c r="H246" i="55" s="1"/>
  <c r="F246" i="55"/>
  <c r="I246" i="55"/>
  <c r="J246" i="55"/>
  <c r="R246" i="55" s="1"/>
  <c r="P246" i="55"/>
  <c r="S246" i="55" s="1"/>
  <c r="Q246" i="55"/>
  <c r="B247" i="55"/>
  <c r="C247" i="55"/>
  <c r="D247" i="55" a="1"/>
  <c r="D247" i="55" s="1"/>
  <c r="H247" i="55" s="1"/>
  <c r="F247" i="55"/>
  <c r="I247" i="55"/>
  <c r="J247" i="55"/>
  <c r="R247" i="55" s="1"/>
  <c r="P247" i="55"/>
  <c r="S247" i="55" s="1"/>
  <c r="Q247" i="55"/>
  <c r="B248" i="55"/>
  <c r="C248" i="55"/>
  <c r="D248" i="55" a="1"/>
  <c r="D248" i="55" s="1"/>
  <c r="G248" i="55" s="1"/>
  <c r="F248" i="55"/>
  <c r="I248" i="55"/>
  <c r="J248" i="55"/>
  <c r="R248" i="55" s="1"/>
  <c r="P248" i="55"/>
  <c r="S248" i="55" s="1"/>
  <c r="Q248" i="55"/>
  <c r="B249" i="55"/>
  <c r="C249" i="55"/>
  <c r="D249" i="55" a="1"/>
  <c r="D249" i="55" s="1"/>
  <c r="F249" i="55"/>
  <c r="I249" i="55"/>
  <c r="J249" i="55"/>
  <c r="P249" i="55"/>
  <c r="S249" i="55" s="1"/>
  <c r="Q249" i="55"/>
  <c r="B250" i="55"/>
  <c r="C250" i="55"/>
  <c r="D250" i="55" a="1"/>
  <c r="D250" i="55" s="1"/>
  <c r="G250" i="55" s="1"/>
  <c r="F250" i="55"/>
  <c r="I250" i="55"/>
  <c r="J250" i="55"/>
  <c r="R250" i="55" s="1"/>
  <c r="P250" i="55"/>
  <c r="S250" i="55" s="1"/>
  <c r="Q250" i="55"/>
  <c r="B251" i="55"/>
  <c r="C251" i="55"/>
  <c r="D251" i="55" a="1"/>
  <c r="D251" i="55" s="1"/>
  <c r="F251" i="55"/>
  <c r="I251" i="55"/>
  <c r="J251" i="55"/>
  <c r="P251" i="55"/>
  <c r="S251" i="55" s="1"/>
  <c r="Q251" i="55"/>
  <c r="B252" i="55"/>
  <c r="C252" i="55"/>
  <c r="D252" i="55" a="1"/>
  <c r="D252" i="55" s="1"/>
  <c r="G252" i="55" s="1"/>
  <c r="F252" i="55"/>
  <c r="I252" i="55"/>
  <c r="J252" i="55"/>
  <c r="R252" i="55" s="1"/>
  <c r="P252" i="55"/>
  <c r="S252" i="55" s="1"/>
  <c r="Q252" i="55"/>
  <c r="B253" i="55"/>
  <c r="C253" i="55"/>
  <c r="D253" i="55" a="1"/>
  <c r="D253" i="55" s="1"/>
  <c r="F253" i="55"/>
  <c r="I253" i="55"/>
  <c r="J253" i="55"/>
  <c r="R253" i="55" s="1"/>
  <c r="P253" i="55"/>
  <c r="S253" i="55" s="1"/>
  <c r="Q253" i="55"/>
  <c r="B254" i="55"/>
  <c r="C254" i="55"/>
  <c r="D254" i="55" a="1"/>
  <c r="D254" i="55" s="1"/>
  <c r="G254" i="55" s="1"/>
  <c r="F254" i="55"/>
  <c r="I254" i="55"/>
  <c r="J254" i="55"/>
  <c r="R254" i="55" s="1"/>
  <c r="P254" i="55"/>
  <c r="S254" i="55" s="1"/>
  <c r="Q254" i="55"/>
  <c r="B255" i="55"/>
  <c r="C255" i="55"/>
  <c r="D255" i="55" a="1"/>
  <c r="D255" i="55" s="1"/>
  <c r="G255" i="55" s="1"/>
  <c r="F255" i="55"/>
  <c r="I255" i="55"/>
  <c r="J255" i="55"/>
  <c r="R255" i="55" s="1"/>
  <c r="P255" i="55"/>
  <c r="S255" i="55" s="1"/>
  <c r="Q255" i="55"/>
  <c r="B256" i="55"/>
  <c r="C256" i="55"/>
  <c r="D256" i="55" a="1"/>
  <c r="D256" i="55" s="1"/>
  <c r="G256" i="55" s="1"/>
  <c r="F256" i="55"/>
  <c r="I256" i="55"/>
  <c r="J256" i="55"/>
  <c r="R256" i="55" s="1"/>
  <c r="P256" i="55"/>
  <c r="S256" i="55" s="1"/>
  <c r="Q256" i="55"/>
  <c r="B257" i="55"/>
  <c r="C257" i="55"/>
  <c r="D257" i="55" a="1"/>
  <c r="D257" i="55" s="1"/>
  <c r="H257" i="55" s="1"/>
  <c r="F257" i="55"/>
  <c r="I257" i="55"/>
  <c r="J257" i="55"/>
  <c r="P257" i="55"/>
  <c r="S257" i="55" s="1"/>
  <c r="Q257" i="55"/>
  <c r="B258" i="55"/>
  <c r="C258" i="55"/>
  <c r="D258" i="55" a="1"/>
  <c r="D258" i="55" s="1"/>
  <c r="G258" i="55" s="1"/>
  <c r="F258" i="55"/>
  <c r="I258" i="55"/>
  <c r="J258" i="55"/>
  <c r="R258" i="55" s="1"/>
  <c r="P258" i="55"/>
  <c r="S258" i="55" s="1"/>
  <c r="Q258" i="55"/>
  <c r="E12" i="55"/>
  <c r="E13" i="55"/>
  <c r="E14" i="55"/>
  <c r="E15" i="55"/>
  <c r="E16" i="55"/>
  <c r="E17" i="55"/>
  <c r="E18" i="55"/>
  <c r="E21" i="55"/>
  <c r="E22" i="55"/>
  <c r="E23" i="55"/>
  <c r="E24" i="55"/>
  <c r="E25" i="55"/>
  <c r="E26" i="55"/>
  <c r="E27" i="55"/>
  <c r="E28" i="55"/>
  <c r="E29" i="55"/>
  <c r="E30" i="55"/>
  <c r="E31" i="55"/>
  <c r="E32" i="55"/>
  <c r="E33" i="55"/>
  <c r="E34" i="55"/>
  <c r="E35" i="55"/>
  <c r="E36" i="55"/>
  <c r="E37" i="55"/>
  <c r="E38" i="55"/>
  <c r="E39" i="55"/>
  <c r="E41" i="55"/>
  <c r="E43" i="55"/>
  <c r="E44" i="55"/>
  <c r="E45" i="55"/>
  <c r="E46" i="55"/>
  <c r="E47" i="55"/>
  <c r="E48" i="55"/>
  <c r="E49" i="55"/>
  <c r="E50" i="55"/>
  <c r="E51" i="55"/>
  <c r="E52" i="55"/>
  <c r="E53" i="55"/>
  <c r="E54" i="55"/>
  <c r="E55" i="55"/>
  <c r="E56" i="55"/>
  <c r="E57" i="55"/>
  <c r="E58" i="55"/>
  <c r="E59" i="55"/>
  <c r="E60" i="55"/>
  <c r="E61" i="55"/>
  <c r="E62" i="55"/>
  <c r="E63" i="55"/>
  <c r="E64" i="55"/>
  <c r="E65" i="55"/>
  <c r="E66" i="55"/>
  <c r="E67" i="55"/>
  <c r="E68" i="55"/>
  <c r="E69" i="55"/>
  <c r="E70" i="55"/>
  <c r="E71" i="55"/>
  <c r="E72" i="55"/>
  <c r="E73" i="55"/>
  <c r="E74" i="55"/>
  <c r="E75" i="55"/>
  <c r="E76" i="55"/>
  <c r="E77" i="55"/>
  <c r="E78" i="55"/>
  <c r="E79" i="55"/>
  <c r="E80" i="55"/>
  <c r="E81" i="55"/>
  <c r="E82" i="55"/>
  <c r="E83" i="55"/>
  <c r="E84" i="55"/>
  <c r="E85" i="55"/>
  <c r="E86" i="55"/>
  <c r="E87" i="55"/>
  <c r="E88" i="55"/>
  <c r="E89" i="55"/>
  <c r="E90" i="55"/>
  <c r="E91" i="55"/>
  <c r="E92" i="55"/>
  <c r="E93" i="55"/>
  <c r="E94" i="55"/>
  <c r="E95" i="55"/>
  <c r="E96" i="55"/>
  <c r="E97" i="55"/>
  <c r="E98" i="55"/>
  <c r="E99" i="55"/>
  <c r="E100" i="55"/>
  <c r="E101" i="55"/>
  <c r="E102" i="55"/>
  <c r="E103" i="55"/>
  <c r="E104" i="55"/>
  <c r="E105" i="55"/>
  <c r="E106" i="55"/>
  <c r="E107" i="55"/>
  <c r="E108" i="55"/>
  <c r="E109" i="55"/>
  <c r="E110" i="55"/>
  <c r="E111" i="55"/>
  <c r="E112" i="55"/>
  <c r="E113" i="55"/>
  <c r="E114" i="55"/>
  <c r="E115" i="55"/>
  <c r="E116" i="55"/>
  <c r="E117" i="55"/>
  <c r="E118" i="55"/>
  <c r="E119" i="55"/>
  <c r="E120" i="55"/>
  <c r="E121" i="55"/>
  <c r="E122" i="55"/>
  <c r="E123" i="55"/>
  <c r="E124" i="55"/>
  <c r="E125" i="55"/>
  <c r="E126" i="55"/>
  <c r="E127" i="55"/>
  <c r="E128" i="55"/>
  <c r="E129" i="55"/>
  <c r="E130" i="55"/>
  <c r="E132" i="55"/>
  <c r="E133" i="55"/>
  <c r="E134" i="55"/>
  <c r="E135" i="55"/>
  <c r="E136" i="55"/>
  <c r="E137" i="55"/>
  <c r="E138" i="55"/>
  <c r="E139" i="55"/>
  <c r="E140" i="55"/>
  <c r="E141" i="55"/>
  <c r="E142" i="55"/>
  <c r="E143" i="55"/>
  <c r="E144" i="55"/>
  <c r="E145" i="55"/>
  <c r="E146" i="55"/>
  <c r="E147" i="55"/>
  <c r="E148" i="55"/>
  <c r="E149" i="55"/>
  <c r="E150" i="55"/>
  <c r="E151" i="55"/>
  <c r="E152" i="55"/>
  <c r="E153" i="55"/>
  <c r="E154" i="55"/>
  <c r="E155" i="55"/>
  <c r="E156" i="55"/>
  <c r="E157" i="55"/>
  <c r="E158" i="55"/>
  <c r="E159" i="55"/>
  <c r="E160" i="55"/>
  <c r="E161" i="55"/>
  <c r="E162" i="55"/>
  <c r="E163" i="55"/>
  <c r="E164" i="55"/>
  <c r="E165" i="55"/>
  <c r="E166" i="55"/>
  <c r="E167" i="55"/>
  <c r="E168" i="55"/>
  <c r="E169" i="55"/>
  <c r="E170" i="55"/>
  <c r="E171" i="55"/>
  <c r="E172" i="55"/>
  <c r="E173" i="55"/>
  <c r="E175" i="55"/>
  <c r="E176" i="55"/>
  <c r="E177" i="55"/>
  <c r="E178" i="55"/>
  <c r="E179" i="55"/>
  <c r="E180" i="55"/>
  <c r="E181" i="55"/>
  <c r="E182" i="55"/>
  <c r="E183" i="55"/>
  <c r="E184" i="55"/>
  <c r="E185" i="55"/>
  <c r="E186" i="55"/>
  <c r="E187" i="55"/>
  <c r="E188" i="55"/>
  <c r="E189" i="55"/>
  <c r="E190" i="55"/>
  <c r="E191" i="55"/>
  <c r="E192" i="55"/>
  <c r="E193" i="55"/>
  <c r="E194" i="55"/>
  <c r="E195" i="55"/>
  <c r="E196" i="55"/>
  <c r="E197" i="55"/>
  <c r="E198" i="55"/>
  <c r="E199" i="55"/>
  <c r="E200" i="55"/>
  <c r="E201" i="55"/>
  <c r="E202" i="55"/>
  <c r="E203" i="55"/>
  <c r="E204" i="55"/>
  <c r="E205" i="55"/>
  <c r="E206" i="55"/>
  <c r="E207" i="55"/>
  <c r="E208" i="55"/>
  <c r="E209" i="55"/>
  <c r="E210" i="55"/>
  <c r="E211" i="55"/>
  <c r="E212" i="55"/>
  <c r="E213" i="55"/>
  <c r="E214" i="55"/>
  <c r="E215" i="55"/>
  <c r="E216" i="55"/>
  <c r="E217" i="55"/>
  <c r="E218" i="55"/>
  <c r="E219" i="55"/>
  <c r="E220" i="55"/>
  <c r="E221" i="55"/>
  <c r="E222" i="55"/>
  <c r="E223" i="55"/>
  <c r="E224" i="55"/>
  <c r="E225" i="55"/>
  <c r="E226" i="55"/>
  <c r="E227" i="55"/>
  <c r="E228" i="55"/>
  <c r="E229" i="55"/>
  <c r="E230" i="55"/>
  <c r="E231" i="55"/>
  <c r="E232" i="55"/>
  <c r="E233" i="55"/>
  <c r="E234" i="55"/>
  <c r="E235" i="55"/>
  <c r="E236" i="55"/>
  <c r="E237" i="55"/>
  <c r="E9" i="55"/>
  <c r="E10" i="55"/>
  <c r="E8" i="55"/>
  <c r="E7" i="55"/>
  <c r="Q237" i="55"/>
  <c r="P237" i="55"/>
  <c r="S237" i="55" s="1"/>
  <c r="J237" i="55"/>
  <c r="R237" i="55" s="1"/>
  <c r="I237" i="55"/>
  <c r="F237" i="55"/>
  <c r="D237" i="55" a="1"/>
  <c r="D237" i="55" s="1"/>
  <c r="H237" i="55" s="1"/>
  <c r="C237" i="55"/>
  <c r="B237" i="55"/>
  <c r="Q236" i="55"/>
  <c r="P236" i="55"/>
  <c r="S236" i="55" s="1"/>
  <c r="J236" i="55"/>
  <c r="R236" i="55" s="1"/>
  <c r="I236" i="55"/>
  <c r="F236" i="55"/>
  <c r="D236" i="55" a="1"/>
  <c r="D236" i="55" s="1"/>
  <c r="C236" i="55"/>
  <c r="B236" i="55"/>
  <c r="Q235" i="55"/>
  <c r="P235" i="55"/>
  <c r="J235" i="55"/>
  <c r="R235" i="55" s="1"/>
  <c r="I235" i="55"/>
  <c r="F235" i="55"/>
  <c r="D235" i="55" a="1"/>
  <c r="D235" i="55" s="1"/>
  <c r="H235" i="55" s="1"/>
  <c r="C235" i="55"/>
  <c r="B235" i="55"/>
  <c r="Q234" i="55"/>
  <c r="P234" i="55"/>
  <c r="J234" i="55"/>
  <c r="I234" i="55"/>
  <c r="F234" i="55"/>
  <c r="D234" i="55" a="1"/>
  <c r="D234" i="55" s="1"/>
  <c r="C234" i="55"/>
  <c r="B234" i="55"/>
  <c r="Q233" i="55"/>
  <c r="P233" i="55"/>
  <c r="S233" i="55" s="1"/>
  <c r="J233" i="55"/>
  <c r="R233" i="55" s="1"/>
  <c r="I233" i="55"/>
  <c r="F233" i="55"/>
  <c r="D233" i="55" a="1"/>
  <c r="D233" i="55" s="1"/>
  <c r="G233" i="55" s="1"/>
  <c r="C233" i="55"/>
  <c r="B233" i="55"/>
  <c r="Q232" i="55"/>
  <c r="P232" i="55"/>
  <c r="S232" i="55" s="1"/>
  <c r="J232" i="55"/>
  <c r="I232" i="55"/>
  <c r="F232" i="55"/>
  <c r="D232" i="55" a="1"/>
  <c r="D232" i="55" s="1"/>
  <c r="G232" i="55" s="1"/>
  <c r="C232" i="55"/>
  <c r="B232" i="55"/>
  <c r="Q231" i="55"/>
  <c r="P231" i="55"/>
  <c r="S231" i="55" s="1"/>
  <c r="J231" i="55"/>
  <c r="R231" i="55" s="1"/>
  <c r="I231" i="55"/>
  <c r="F231" i="55"/>
  <c r="D231" i="55" a="1"/>
  <c r="D231" i="55" s="1"/>
  <c r="J277" i="55"/>
  <c r="C231" i="55"/>
  <c r="B231" i="55"/>
  <c r="Q230" i="55"/>
  <c r="P230" i="55"/>
  <c r="S230" i="55" s="1"/>
  <c r="J230" i="55"/>
  <c r="I230" i="55"/>
  <c r="F230" i="55"/>
  <c r="D230" i="55" a="1"/>
  <c r="D230" i="55" s="1"/>
  <c r="C230" i="55"/>
  <c r="B230" i="55"/>
  <c r="Q229" i="55"/>
  <c r="P229" i="55"/>
  <c r="S229" i="55" s="1"/>
  <c r="J229" i="55"/>
  <c r="R229" i="55" s="1"/>
  <c r="I229" i="55"/>
  <c r="F229" i="55"/>
  <c r="D229" i="55" a="1"/>
  <c r="D229" i="55" s="1"/>
  <c r="H229" i="55" s="1"/>
  <c r="C229" i="55"/>
  <c r="B229" i="55"/>
  <c r="Q228" i="55"/>
  <c r="P228" i="55"/>
  <c r="S228" i="55" s="1"/>
  <c r="J228" i="55"/>
  <c r="R228" i="55" s="1"/>
  <c r="I228" i="55"/>
  <c r="F228" i="55"/>
  <c r="D228" i="55" a="1"/>
  <c r="D228" i="55" s="1"/>
  <c r="G228" i="55" s="1"/>
  <c r="C228" i="55"/>
  <c r="B228" i="55"/>
  <c r="Q227" i="55"/>
  <c r="P227" i="55"/>
  <c r="S227" i="55" s="1"/>
  <c r="J227" i="55"/>
  <c r="I227" i="55"/>
  <c r="F227" i="55"/>
  <c r="D227" i="55" a="1"/>
  <c r="D227" i="55" s="1"/>
  <c r="C227" i="55"/>
  <c r="B227" i="55"/>
  <c r="Q226" i="55"/>
  <c r="P226" i="55"/>
  <c r="S226" i="55" s="1"/>
  <c r="J226" i="55"/>
  <c r="I226" i="55"/>
  <c r="F226" i="55"/>
  <c r="D226" i="55" a="1"/>
  <c r="D226" i="55" s="1"/>
  <c r="G226" i="55" s="1"/>
  <c r="C226" i="55"/>
  <c r="B226" i="55"/>
  <c r="Q225" i="55"/>
  <c r="P225" i="55"/>
  <c r="J225" i="55"/>
  <c r="I225" i="55"/>
  <c r="F225" i="55"/>
  <c r="D225" i="55" a="1"/>
  <c r="D225" i="55" s="1"/>
  <c r="G225" i="55" s="1"/>
  <c r="C225" i="55"/>
  <c r="B225" i="55"/>
  <c r="Q224" i="55"/>
  <c r="P224" i="55"/>
  <c r="S224" i="55" s="1"/>
  <c r="J224" i="55"/>
  <c r="R224" i="55" s="1"/>
  <c r="I224" i="55"/>
  <c r="F224" i="55"/>
  <c r="D224" i="55" a="1"/>
  <c r="D224" i="55" s="1"/>
  <c r="G224" i="55" s="1"/>
  <c r="C224" i="55"/>
  <c r="B224" i="55"/>
  <c r="Q223" i="55"/>
  <c r="P223" i="55"/>
  <c r="S223" i="55" s="1"/>
  <c r="J223" i="55"/>
  <c r="R223" i="55" s="1"/>
  <c r="I223" i="55"/>
  <c r="F223" i="55"/>
  <c r="D223" i="55" a="1"/>
  <c r="D223" i="55" s="1"/>
  <c r="H223" i="55" s="1"/>
  <c r="C223" i="55"/>
  <c r="B223" i="55"/>
  <c r="Q222" i="55"/>
  <c r="P222" i="55"/>
  <c r="S222" i="55" s="1"/>
  <c r="J222" i="55"/>
  <c r="R222" i="55" s="1"/>
  <c r="I222" i="55"/>
  <c r="F222" i="55"/>
  <c r="D222" i="55" a="1"/>
  <c r="D222" i="55" s="1"/>
  <c r="G222" i="55" s="1"/>
  <c r="C222" i="55"/>
  <c r="B222" i="55"/>
  <c r="Q221" i="55"/>
  <c r="P221" i="55"/>
  <c r="S221" i="55" s="1"/>
  <c r="J221" i="55"/>
  <c r="I221" i="55"/>
  <c r="F221" i="55"/>
  <c r="D221" i="55" a="1"/>
  <c r="D221" i="55" s="1"/>
  <c r="C221" i="55"/>
  <c r="B221" i="55"/>
  <c r="Q220" i="55"/>
  <c r="P220" i="55"/>
  <c r="J220" i="55"/>
  <c r="I220" i="55"/>
  <c r="F220" i="55"/>
  <c r="D220" i="55" a="1"/>
  <c r="D220" i="55" s="1"/>
  <c r="H220" i="55" s="1"/>
  <c r="C220" i="55"/>
  <c r="B220" i="55"/>
  <c r="Q219" i="55"/>
  <c r="P219" i="55"/>
  <c r="S219" i="55" s="1"/>
  <c r="J219" i="55"/>
  <c r="I219" i="55"/>
  <c r="F219" i="55"/>
  <c r="D219" i="55" a="1"/>
  <c r="D219" i="55" s="1"/>
  <c r="H219" i="55" s="1"/>
  <c r="C219" i="55"/>
  <c r="B219" i="55"/>
  <c r="Q218" i="55"/>
  <c r="P218" i="55"/>
  <c r="S218" i="55" s="1"/>
  <c r="J218" i="55"/>
  <c r="R218" i="55" s="1"/>
  <c r="I218" i="55"/>
  <c r="F218" i="55"/>
  <c r="D218" i="55" a="1"/>
  <c r="D218" i="55" s="1"/>
  <c r="G218" i="55" s="1"/>
  <c r="C218" i="55"/>
  <c r="B218" i="55"/>
  <c r="Q217" i="55"/>
  <c r="P217" i="55"/>
  <c r="S217" i="55" s="1"/>
  <c r="J217" i="55"/>
  <c r="I217" i="55"/>
  <c r="F217" i="55"/>
  <c r="D217" i="55" a="1"/>
  <c r="D217" i="55" s="1"/>
  <c r="C217" i="55"/>
  <c r="B217" i="55"/>
  <c r="Q216" i="55"/>
  <c r="P216" i="55"/>
  <c r="S216" i="55" s="1"/>
  <c r="J216" i="55"/>
  <c r="I216" i="55"/>
  <c r="F216" i="55"/>
  <c r="D216" i="55" a="1"/>
  <c r="D216" i="55" s="1"/>
  <c r="H216" i="55" s="1"/>
  <c r="C216" i="55"/>
  <c r="B216" i="55"/>
  <c r="Q215" i="55"/>
  <c r="P215" i="55"/>
  <c r="S215" i="55" s="1"/>
  <c r="J215" i="55"/>
  <c r="I215" i="55"/>
  <c r="F215" i="55"/>
  <c r="D215" i="55" a="1"/>
  <c r="D215" i="55" s="1"/>
  <c r="G215" i="55" s="1"/>
  <c r="C215" i="55"/>
  <c r="B215" i="55"/>
  <c r="Q214" i="55"/>
  <c r="P214" i="55"/>
  <c r="S214" i="55" s="1"/>
  <c r="J214" i="55"/>
  <c r="I214" i="55"/>
  <c r="F214" i="55"/>
  <c r="D214" i="55" a="1"/>
  <c r="D214" i="55" s="1"/>
  <c r="C214" i="55"/>
  <c r="B214" i="55"/>
  <c r="Q213" i="55"/>
  <c r="P213" i="55"/>
  <c r="S213" i="55" s="1"/>
  <c r="T213" i="55" s="1"/>
  <c r="J213" i="55"/>
  <c r="R213" i="55" s="1"/>
  <c r="I213" i="55"/>
  <c r="F213" i="55"/>
  <c r="D213" i="55" a="1"/>
  <c r="D213" i="55" s="1"/>
  <c r="G213" i="55" s="1"/>
  <c r="C213" i="55"/>
  <c r="B213" i="55"/>
  <c r="Q212" i="55"/>
  <c r="P212" i="55"/>
  <c r="S212" i="55" s="1"/>
  <c r="J212" i="55"/>
  <c r="R212" i="55" s="1"/>
  <c r="I212" i="55"/>
  <c r="F212" i="55"/>
  <c r="D212" i="55" a="1"/>
  <c r="D212" i="55" s="1"/>
  <c r="G212" i="55" s="1"/>
  <c r="C212" i="55"/>
  <c r="B212" i="55"/>
  <c r="Q211" i="55"/>
  <c r="P211" i="55"/>
  <c r="S211" i="55" s="1"/>
  <c r="J211" i="55"/>
  <c r="I211" i="55"/>
  <c r="F211" i="55"/>
  <c r="D211" i="55" a="1"/>
  <c r="D211" i="55" s="1"/>
  <c r="G211" i="55" s="1"/>
  <c r="C211" i="55"/>
  <c r="B211" i="55"/>
  <c r="Q210" i="55"/>
  <c r="P210" i="55"/>
  <c r="S210" i="55" s="1"/>
  <c r="J210" i="55"/>
  <c r="I210" i="55"/>
  <c r="F210" i="55"/>
  <c r="D210" i="55" a="1"/>
  <c r="D210" i="55" s="1"/>
  <c r="H210" i="55" s="1"/>
  <c r="C210" i="55"/>
  <c r="B210" i="55"/>
  <c r="Q209" i="55"/>
  <c r="P209" i="55"/>
  <c r="S209" i="55" s="1"/>
  <c r="J209" i="55"/>
  <c r="R209" i="55" s="1"/>
  <c r="I209" i="55"/>
  <c r="F209" i="55"/>
  <c r="D209" i="55" a="1"/>
  <c r="D209" i="55" s="1"/>
  <c r="G209" i="55" s="1"/>
  <c r="C209" i="55"/>
  <c r="B209" i="55"/>
  <c r="Q208" i="55"/>
  <c r="P208" i="55"/>
  <c r="S208" i="55" s="1"/>
  <c r="J208" i="55"/>
  <c r="R208" i="55" s="1"/>
  <c r="I208" i="55"/>
  <c r="F208" i="55"/>
  <c r="D208" i="55" a="1"/>
  <c r="D208" i="55" s="1"/>
  <c r="G208" i="55" s="1"/>
  <c r="C208" i="55"/>
  <c r="B208" i="55"/>
  <c r="Q207" i="55"/>
  <c r="P207" i="55"/>
  <c r="S207" i="55" s="1"/>
  <c r="J207" i="55"/>
  <c r="I207" i="55"/>
  <c r="F207" i="55"/>
  <c r="D207" i="55" a="1"/>
  <c r="D207" i="55" s="1"/>
  <c r="H207" i="55" s="1"/>
  <c r="C207" i="55"/>
  <c r="B207" i="55"/>
  <c r="Q206" i="55"/>
  <c r="P206" i="55"/>
  <c r="S206" i="55" s="1"/>
  <c r="J206" i="55"/>
  <c r="I206" i="55"/>
  <c r="F206" i="55"/>
  <c r="D206" i="55" a="1"/>
  <c r="D206" i="55" s="1"/>
  <c r="G206" i="55" s="1"/>
  <c r="C206" i="55"/>
  <c r="B206" i="55"/>
  <c r="Q205" i="55"/>
  <c r="P205" i="55"/>
  <c r="S205" i="55" s="1"/>
  <c r="J205" i="55"/>
  <c r="R205" i="55" s="1"/>
  <c r="I205" i="55"/>
  <c r="F205" i="55"/>
  <c r="D205" i="55" a="1"/>
  <c r="D205" i="55" s="1"/>
  <c r="H205" i="55" s="1"/>
  <c r="C205" i="55"/>
  <c r="B205" i="55"/>
  <c r="Q204" i="55"/>
  <c r="P204" i="55"/>
  <c r="S204" i="55" s="1"/>
  <c r="J204" i="55"/>
  <c r="I204" i="55"/>
  <c r="F204" i="55"/>
  <c r="D204" i="55" a="1"/>
  <c r="D204" i="55" s="1"/>
  <c r="G204" i="55" s="1"/>
  <c r="C204" i="55"/>
  <c r="B204" i="55"/>
  <c r="Q203" i="55"/>
  <c r="P203" i="55"/>
  <c r="S203" i="55" s="1"/>
  <c r="J203" i="55"/>
  <c r="I203" i="55"/>
  <c r="F203" i="55"/>
  <c r="D203" i="55" a="1"/>
  <c r="D203" i="55" s="1"/>
  <c r="C203" i="55"/>
  <c r="B203" i="55"/>
  <c r="Q202" i="55"/>
  <c r="P202" i="55"/>
  <c r="S202" i="55" s="1"/>
  <c r="J202" i="55"/>
  <c r="R202" i="55" s="1"/>
  <c r="I202" i="55"/>
  <c r="F202" i="55"/>
  <c r="D202" i="55" a="1"/>
  <c r="D202" i="55" s="1"/>
  <c r="H202" i="55" s="1"/>
  <c r="C202" i="55"/>
  <c r="B202" i="55"/>
  <c r="Q201" i="55"/>
  <c r="P201" i="55"/>
  <c r="S201" i="55" s="1"/>
  <c r="J201" i="55"/>
  <c r="R201" i="55" s="1"/>
  <c r="I201" i="55"/>
  <c r="F201" i="55"/>
  <c r="D201" i="55" a="1"/>
  <c r="D201" i="55" s="1"/>
  <c r="C201" i="55"/>
  <c r="B201" i="55"/>
  <c r="Q200" i="55"/>
  <c r="P200" i="55"/>
  <c r="S200" i="55" s="1"/>
  <c r="J200" i="55"/>
  <c r="R200" i="55" s="1"/>
  <c r="I200" i="55"/>
  <c r="F200" i="55"/>
  <c r="D200" i="55" a="1"/>
  <c r="D200" i="55" s="1"/>
  <c r="G200" i="55" s="1"/>
  <c r="C200" i="55"/>
  <c r="B200" i="55"/>
  <c r="Q199" i="55"/>
  <c r="P199" i="55"/>
  <c r="S199" i="55" s="1"/>
  <c r="J199" i="55"/>
  <c r="I199" i="55"/>
  <c r="F199" i="55"/>
  <c r="D199" i="55" a="1"/>
  <c r="D199" i="55" s="1"/>
  <c r="G199" i="55" s="1"/>
  <c r="C199" i="55"/>
  <c r="B199" i="55"/>
  <c r="Q198" i="55"/>
  <c r="P198" i="55"/>
  <c r="S198" i="55" s="1"/>
  <c r="J198" i="55"/>
  <c r="R198" i="55" s="1"/>
  <c r="I198" i="55"/>
  <c r="F198" i="55"/>
  <c r="D198" i="55" a="1"/>
  <c r="D198" i="55" s="1"/>
  <c r="C198" i="55"/>
  <c r="B198" i="55"/>
  <c r="Q197" i="55"/>
  <c r="P197" i="55"/>
  <c r="S197" i="55" s="1"/>
  <c r="J197" i="55"/>
  <c r="I197" i="55"/>
  <c r="F197" i="55"/>
  <c r="D197" i="55" a="1"/>
  <c r="D197" i="55" s="1"/>
  <c r="H197" i="55" s="1"/>
  <c r="C197" i="55"/>
  <c r="B197" i="55"/>
  <c r="Q196" i="55"/>
  <c r="P196" i="55"/>
  <c r="S196" i="55" s="1"/>
  <c r="J196" i="55"/>
  <c r="R196" i="55" s="1"/>
  <c r="I196" i="55"/>
  <c r="F196" i="55"/>
  <c r="D196" i="55" a="1"/>
  <c r="D196" i="55" s="1"/>
  <c r="C196" i="55"/>
  <c r="B196" i="55"/>
  <c r="Q195" i="55"/>
  <c r="P195" i="55"/>
  <c r="S195" i="55" s="1"/>
  <c r="J195" i="55"/>
  <c r="R195" i="55" s="1"/>
  <c r="I195" i="55"/>
  <c r="F195" i="55"/>
  <c r="D195" i="55" a="1"/>
  <c r="D195" i="55" s="1"/>
  <c r="G195" i="55" s="1"/>
  <c r="C195" i="55"/>
  <c r="B195" i="55"/>
  <c r="Q194" i="55"/>
  <c r="P194" i="55"/>
  <c r="S194" i="55" s="1"/>
  <c r="J194" i="55"/>
  <c r="I194" i="55"/>
  <c r="F194" i="55"/>
  <c r="D194" i="55" a="1"/>
  <c r="D194" i="55" s="1"/>
  <c r="H194" i="55" s="1"/>
  <c r="C194" i="55"/>
  <c r="B194" i="55"/>
  <c r="Q193" i="55"/>
  <c r="P193" i="55"/>
  <c r="S193" i="55" s="1"/>
  <c r="J193" i="55"/>
  <c r="R193" i="55" s="1"/>
  <c r="I193" i="55"/>
  <c r="F193" i="55"/>
  <c r="D193" i="55" a="1"/>
  <c r="D193" i="55" s="1"/>
  <c r="G193" i="55" s="1"/>
  <c r="C193" i="55"/>
  <c r="B193" i="55"/>
  <c r="Q192" i="55"/>
  <c r="P192" i="55"/>
  <c r="S192" i="55" s="1"/>
  <c r="J192" i="55"/>
  <c r="I192" i="55"/>
  <c r="F192" i="55"/>
  <c r="D192" i="55" a="1"/>
  <c r="D192" i="55" s="1"/>
  <c r="G192" i="55" s="1"/>
  <c r="C192" i="55"/>
  <c r="B192" i="55"/>
  <c r="Q191" i="55"/>
  <c r="P191" i="55"/>
  <c r="S191" i="55" s="1"/>
  <c r="J191" i="55"/>
  <c r="R191" i="55" s="1"/>
  <c r="I191" i="55"/>
  <c r="F191" i="55"/>
  <c r="D191" i="55" a="1"/>
  <c r="D191" i="55" s="1"/>
  <c r="C191" i="55"/>
  <c r="B191" i="55"/>
  <c r="Q190" i="55"/>
  <c r="P190" i="55"/>
  <c r="S190" i="55" s="1"/>
  <c r="J190" i="55"/>
  <c r="R190" i="55" s="1"/>
  <c r="I190" i="55"/>
  <c r="F190" i="55"/>
  <c r="D190" i="55" a="1"/>
  <c r="D190" i="55" s="1"/>
  <c r="H190" i="55" s="1"/>
  <c r="C190" i="55"/>
  <c r="B190" i="55"/>
  <c r="Q189" i="55"/>
  <c r="P189" i="55"/>
  <c r="S189" i="55" s="1"/>
  <c r="J189" i="55"/>
  <c r="R189" i="55" s="1"/>
  <c r="I189" i="55"/>
  <c r="F189" i="55"/>
  <c r="D189" i="55" a="1"/>
  <c r="D189" i="55" s="1"/>
  <c r="G189" i="55" s="1"/>
  <c r="C189" i="55"/>
  <c r="B189" i="55"/>
  <c r="Q188" i="55"/>
  <c r="P188" i="55"/>
  <c r="S188" i="55" s="1"/>
  <c r="J188" i="55"/>
  <c r="R188" i="55" s="1"/>
  <c r="I188" i="55"/>
  <c r="F188" i="55"/>
  <c r="D188" i="55" a="1"/>
  <c r="D188" i="55" s="1"/>
  <c r="H188" i="55" s="1"/>
  <c r="C188" i="55"/>
  <c r="B188" i="55"/>
  <c r="Q187" i="55"/>
  <c r="P187" i="55"/>
  <c r="J187" i="55"/>
  <c r="I187" i="55"/>
  <c r="F187" i="55"/>
  <c r="D187" i="55" a="1"/>
  <c r="D187" i="55" s="1"/>
  <c r="H187" i="55" s="1"/>
  <c r="C187" i="55"/>
  <c r="B187" i="55"/>
  <c r="Q186" i="55"/>
  <c r="P186" i="55"/>
  <c r="S186" i="55" s="1"/>
  <c r="J186" i="55"/>
  <c r="R186" i="55" s="1"/>
  <c r="I186" i="55"/>
  <c r="F186" i="55"/>
  <c r="D186" i="55" a="1"/>
  <c r="D186" i="55" s="1"/>
  <c r="G186" i="55" s="1"/>
  <c r="C186" i="55"/>
  <c r="B186" i="55"/>
  <c r="Q185" i="55"/>
  <c r="P185" i="55"/>
  <c r="S185" i="55" s="1"/>
  <c r="J185" i="55"/>
  <c r="R185" i="55" s="1"/>
  <c r="I185" i="55"/>
  <c r="F185" i="55"/>
  <c r="D185" i="55" a="1"/>
  <c r="D185" i="55" s="1"/>
  <c r="G185" i="55" s="1"/>
  <c r="C185" i="55"/>
  <c r="B185" i="55"/>
  <c r="Q184" i="55"/>
  <c r="P184" i="55"/>
  <c r="S184" i="55" s="1"/>
  <c r="J184" i="55"/>
  <c r="R184" i="55" s="1"/>
  <c r="I184" i="55"/>
  <c r="F184" i="55"/>
  <c r="D184" i="55" a="1"/>
  <c r="D184" i="55" s="1"/>
  <c r="C184" i="55"/>
  <c r="B184" i="55"/>
  <c r="Q183" i="55"/>
  <c r="P183" i="55"/>
  <c r="S183" i="55" s="1"/>
  <c r="J183" i="55"/>
  <c r="R183" i="55" s="1"/>
  <c r="I183" i="55"/>
  <c r="F183" i="55"/>
  <c r="D183" i="55" a="1"/>
  <c r="D183" i="55" s="1"/>
  <c r="G183" i="55" s="1"/>
  <c r="C183" i="55"/>
  <c r="B183" i="55"/>
  <c r="Q182" i="55"/>
  <c r="P182" i="55"/>
  <c r="S182" i="55" s="1"/>
  <c r="J182" i="55"/>
  <c r="R182" i="55" s="1"/>
  <c r="I182" i="55"/>
  <c r="F182" i="55"/>
  <c r="D182" i="55" a="1"/>
  <c r="D182" i="55" s="1"/>
  <c r="G182" i="55" s="1"/>
  <c r="C182" i="55"/>
  <c r="B182" i="55"/>
  <c r="Q181" i="55"/>
  <c r="P181" i="55"/>
  <c r="S181" i="55" s="1"/>
  <c r="J181" i="55"/>
  <c r="R181" i="55" s="1"/>
  <c r="I181" i="55"/>
  <c r="F181" i="55"/>
  <c r="D181" i="55" a="1"/>
  <c r="D181" i="55" s="1"/>
  <c r="G181" i="55" s="1"/>
  <c r="C181" i="55"/>
  <c r="B181" i="55"/>
  <c r="Q180" i="55"/>
  <c r="P180" i="55"/>
  <c r="S180" i="55" s="1"/>
  <c r="J180" i="55"/>
  <c r="R180" i="55" s="1"/>
  <c r="I180" i="55"/>
  <c r="F180" i="55"/>
  <c r="D180" i="55" a="1"/>
  <c r="D180" i="55" s="1"/>
  <c r="G180" i="55" s="1"/>
  <c r="C180" i="55"/>
  <c r="B180" i="55"/>
  <c r="Q179" i="55"/>
  <c r="P179" i="55"/>
  <c r="S179" i="55" s="1"/>
  <c r="J179" i="55"/>
  <c r="R179" i="55" s="1"/>
  <c r="I179" i="55"/>
  <c r="F179" i="55"/>
  <c r="D179" i="55" a="1"/>
  <c r="D179" i="55" s="1"/>
  <c r="G179" i="55" s="1"/>
  <c r="C179" i="55"/>
  <c r="B179" i="55"/>
  <c r="Q178" i="55"/>
  <c r="P178" i="55"/>
  <c r="S178" i="55" s="1"/>
  <c r="J178" i="55"/>
  <c r="R178" i="55" s="1"/>
  <c r="I178" i="55"/>
  <c r="F178" i="55"/>
  <c r="D178" i="55" a="1"/>
  <c r="D178" i="55" s="1"/>
  <c r="G178" i="55" s="1"/>
  <c r="C178" i="55"/>
  <c r="B178" i="55"/>
  <c r="Q177" i="55"/>
  <c r="P177" i="55"/>
  <c r="S177" i="55" s="1"/>
  <c r="J177" i="55"/>
  <c r="R177" i="55" s="1"/>
  <c r="I177" i="55"/>
  <c r="F177" i="55"/>
  <c r="D177" i="55" a="1"/>
  <c r="D177" i="55" s="1"/>
  <c r="C177" i="55"/>
  <c r="B177" i="55"/>
  <c r="Q176" i="55"/>
  <c r="P176" i="55"/>
  <c r="J176" i="55"/>
  <c r="I176" i="55"/>
  <c r="F176" i="55"/>
  <c r="D176" i="55" a="1"/>
  <c r="D176" i="55" s="1"/>
  <c r="C176" i="55"/>
  <c r="B176" i="55"/>
  <c r="Q175" i="55"/>
  <c r="P175" i="55"/>
  <c r="S175" i="55" s="1"/>
  <c r="J175" i="55"/>
  <c r="I175" i="55"/>
  <c r="F175" i="55"/>
  <c r="D175" i="55" a="1"/>
  <c r="D175" i="55" s="1"/>
  <c r="H175" i="55" s="1"/>
  <c r="C175" i="55"/>
  <c r="B175" i="55"/>
  <c r="Q174" i="55"/>
  <c r="P174" i="55"/>
  <c r="S174" i="55" s="1"/>
  <c r="J174" i="55"/>
  <c r="R174" i="55" s="1"/>
  <c r="I174" i="55"/>
  <c r="F174" i="55"/>
  <c r="D174" i="55" a="1"/>
  <c r="D174" i="55" s="1"/>
  <c r="B174" i="55"/>
  <c r="Q173" i="55"/>
  <c r="P173" i="55"/>
  <c r="S173" i="55" s="1"/>
  <c r="J173" i="55"/>
  <c r="R173" i="55" s="1"/>
  <c r="I173" i="55"/>
  <c r="F173" i="55"/>
  <c r="D173" i="55" a="1"/>
  <c r="D173" i="55" s="1"/>
  <c r="H173" i="55" s="1"/>
  <c r="C173" i="55"/>
  <c r="B173" i="55"/>
  <c r="Q172" i="55"/>
  <c r="P172" i="55"/>
  <c r="S172" i="55" s="1"/>
  <c r="J172" i="55"/>
  <c r="I172" i="55"/>
  <c r="F172" i="55"/>
  <c r="D172" i="55" a="1"/>
  <c r="D172" i="55" s="1"/>
  <c r="C172" i="55"/>
  <c r="B172" i="55"/>
  <c r="Q171" i="55"/>
  <c r="P171" i="55"/>
  <c r="S171" i="55" s="1"/>
  <c r="J171" i="55"/>
  <c r="I171" i="55"/>
  <c r="F171" i="55"/>
  <c r="D171" i="55" a="1"/>
  <c r="D171" i="55" s="1"/>
  <c r="H171" i="55" s="1"/>
  <c r="C171" i="55"/>
  <c r="B171" i="55"/>
  <c r="Q170" i="55"/>
  <c r="P170" i="55"/>
  <c r="S170" i="55" s="1"/>
  <c r="J170" i="55"/>
  <c r="R170" i="55" s="1"/>
  <c r="I170" i="55"/>
  <c r="F170" i="55"/>
  <c r="D170" i="55" a="1"/>
  <c r="D170" i="55" s="1"/>
  <c r="G170" i="55" s="1"/>
  <c r="C170" i="55"/>
  <c r="B170" i="55"/>
  <c r="Q169" i="55"/>
  <c r="P169" i="55"/>
  <c r="S169" i="55" s="1"/>
  <c r="J169" i="55"/>
  <c r="I169" i="55"/>
  <c r="F169" i="55"/>
  <c r="D169" i="55" a="1"/>
  <c r="D169" i="55" s="1"/>
  <c r="H169" i="55" s="1"/>
  <c r="C169" i="55"/>
  <c r="B169" i="55"/>
  <c r="Q168" i="55"/>
  <c r="P168" i="55"/>
  <c r="S168" i="55" s="1"/>
  <c r="J168" i="55"/>
  <c r="R168" i="55" s="1"/>
  <c r="I168" i="55"/>
  <c r="F168" i="55"/>
  <c r="D168" i="55" a="1"/>
  <c r="D168" i="55" s="1"/>
  <c r="C168" i="55"/>
  <c r="B168" i="55"/>
  <c r="Q167" i="55"/>
  <c r="P167" i="55"/>
  <c r="S167" i="55" s="1"/>
  <c r="J167" i="55"/>
  <c r="R167" i="55" s="1"/>
  <c r="I167" i="55"/>
  <c r="F167" i="55"/>
  <c r="D167" i="55" a="1"/>
  <c r="D167" i="55" s="1"/>
  <c r="C167" i="55"/>
  <c r="B167" i="55"/>
  <c r="Q166" i="55"/>
  <c r="P166" i="55"/>
  <c r="S166" i="55" s="1"/>
  <c r="J166" i="55"/>
  <c r="I166" i="55"/>
  <c r="F166" i="55"/>
  <c r="D166" i="55" a="1"/>
  <c r="D166" i="55" s="1"/>
  <c r="H166" i="55" s="1"/>
  <c r="C166" i="55"/>
  <c r="B166" i="55"/>
  <c r="Q165" i="55"/>
  <c r="P165" i="55"/>
  <c r="S165" i="55" s="1"/>
  <c r="J165" i="55"/>
  <c r="R165" i="55" s="1"/>
  <c r="I165" i="55"/>
  <c r="F165" i="55"/>
  <c r="D165" i="55" a="1"/>
  <c r="D165" i="55" s="1"/>
  <c r="C165" i="55"/>
  <c r="B165" i="55"/>
  <c r="Q164" i="55"/>
  <c r="P164" i="55"/>
  <c r="S164" i="55" s="1"/>
  <c r="J164" i="55"/>
  <c r="I164" i="55"/>
  <c r="F164" i="55"/>
  <c r="D164" i="55" a="1"/>
  <c r="D164" i="55" s="1"/>
  <c r="G164" i="55" s="1"/>
  <c r="C164" i="55"/>
  <c r="B164" i="55"/>
  <c r="Q163" i="55"/>
  <c r="P163" i="55"/>
  <c r="S163" i="55" s="1"/>
  <c r="J163" i="55"/>
  <c r="R163" i="55" s="1"/>
  <c r="I163" i="55"/>
  <c r="F163" i="55"/>
  <c r="D163" i="55" a="1"/>
  <c r="D163" i="55" s="1"/>
  <c r="G163" i="55" s="1"/>
  <c r="C163" i="55"/>
  <c r="B163" i="55"/>
  <c r="Q162" i="55"/>
  <c r="P162" i="55"/>
  <c r="S162" i="55" s="1"/>
  <c r="J162" i="55"/>
  <c r="R162" i="55" s="1"/>
  <c r="I162" i="55"/>
  <c r="F162" i="55"/>
  <c r="D162" i="55" a="1"/>
  <c r="D162" i="55" s="1"/>
  <c r="H162" i="55" s="1"/>
  <c r="C162" i="55"/>
  <c r="B162" i="55"/>
  <c r="Q161" i="55"/>
  <c r="P161" i="55"/>
  <c r="S161" i="55" s="1"/>
  <c r="J161" i="55"/>
  <c r="I161" i="55"/>
  <c r="F161" i="55"/>
  <c r="D161" i="55" a="1"/>
  <c r="D161" i="55" s="1"/>
  <c r="H161" i="55" s="1"/>
  <c r="C161" i="55"/>
  <c r="B161" i="55"/>
  <c r="Q160" i="55"/>
  <c r="P160" i="55"/>
  <c r="S160" i="55" s="1"/>
  <c r="J160" i="55"/>
  <c r="R160" i="55" s="1"/>
  <c r="I160" i="55"/>
  <c r="F160" i="55"/>
  <c r="D160" i="55" a="1"/>
  <c r="D160" i="55" s="1"/>
  <c r="C160" i="55"/>
  <c r="B160" i="55"/>
  <c r="Q159" i="55"/>
  <c r="P159" i="55"/>
  <c r="S159" i="55" s="1"/>
  <c r="J159" i="55"/>
  <c r="R159" i="55" s="1"/>
  <c r="I159" i="55"/>
  <c r="F159" i="55"/>
  <c r="D159" i="55" a="1"/>
  <c r="D159" i="55" s="1"/>
  <c r="G159" i="55" s="1"/>
  <c r="C159" i="55"/>
  <c r="B159" i="55"/>
  <c r="Q158" i="55"/>
  <c r="P158" i="55"/>
  <c r="S158" i="55" s="1"/>
  <c r="J158" i="55"/>
  <c r="R158" i="55" s="1"/>
  <c r="I158" i="55"/>
  <c r="F158" i="55"/>
  <c r="D158" i="55" a="1"/>
  <c r="D158" i="55" s="1"/>
  <c r="G158" i="55" s="1"/>
  <c r="C158" i="55"/>
  <c r="B158" i="55"/>
  <c r="Q157" i="55"/>
  <c r="P157" i="55"/>
  <c r="S157" i="55" s="1"/>
  <c r="J157" i="55"/>
  <c r="R157" i="55" s="1"/>
  <c r="I157" i="55"/>
  <c r="F157" i="55"/>
  <c r="D157" i="55" a="1"/>
  <c r="D157" i="55" s="1"/>
  <c r="C157" i="55"/>
  <c r="B157" i="55"/>
  <c r="Q156" i="55"/>
  <c r="P156" i="55"/>
  <c r="S156" i="55" s="1"/>
  <c r="J156" i="55"/>
  <c r="R156" i="55" s="1"/>
  <c r="I156" i="55"/>
  <c r="F156" i="55"/>
  <c r="D156" i="55" a="1"/>
  <c r="D156" i="55" s="1"/>
  <c r="C156" i="55"/>
  <c r="B156" i="55"/>
  <c r="Q155" i="55"/>
  <c r="P155" i="55"/>
  <c r="S155" i="55" s="1"/>
  <c r="J155" i="55"/>
  <c r="R155" i="55" s="1"/>
  <c r="I155" i="55"/>
  <c r="F155" i="55"/>
  <c r="D155" i="55" a="1"/>
  <c r="D155" i="55" s="1"/>
  <c r="H155" i="55" s="1"/>
  <c r="C155" i="55"/>
  <c r="B155" i="55"/>
  <c r="Q154" i="55"/>
  <c r="P154" i="55"/>
  <c r="S154" i="55" s="1"/>
  <c r="J154" i="55"/>
  <c r="I154" i="55"/>
  <c r="F154" i="55"/>
  <c r="D154" i="55" a="1"/>
  <c r="D154" i="55" s="1"/>
  <c r="C154" i="55"/>
  <c r="B154" i="55"/>
  <c r="Q153" i="55"/>
  <c r="P153" i="55"/>
  <c r="S153" i="55" s="1"/>
  <c r="J153" i="55"/>
  <c r="R153" i="55" s="1"/>
  <c r="I153" i="55"/>
  <c r="F153" i="55"/>
  <c r="D153" i="55" a="1"/>
  <c r="D153" i="55" s="1"/>
  <c r="H153" i="55" s="1"/>
  <c r="C153" i="55"/>
  <c r="B153" i="55"/>
  <c r="Q152" i="55"/>
  <c r="P152" i="55"/>
  <c r="S152" i="55" s="1"/>
  <c r="J152" i="55"/>
  <c r="R152" i="55" s="1"/>
  <c r="I152" i="55"/>
  <c r="F152" i="55"/>
  <c r="D152" i="55" a="1"/>
  <c r="D152" i="55" s="1"/>
  <c r="C152" i="55"/>
  <c r="B152" i="55"/>
  <c r="Q151" i="55"/>
  <c r="P151" i="55"/>
  <c r="S151" i="55" s="1"/>
  <c r="J151" i="55"/>
  <c r="I151" i="55"/>
  <c r="F151" i="55"/>
  <c r="D151" i="55" a="1"/>
  <c r="D151" i="55" s="1"/>
  <c r="H151" i="55" s="1"/>
  <c r="C151" i="55"/>
  <c r="B151" i="55"/>
  <c r="Q150" i="55"/>
  <c r="P150" i="55"/>
  <c r="S150" i="55" s="1"/>
  <c r="J150" i="55"/>
  <c r="R150" i="55" s="1"/>
  <c r="I150" i="55"/>
  <c r="F150" i="55"/>
  <c r="D150" i="55" a="1"/>
  <c r="D150" i="55" s="1"/>
  <c r="H150" i="55" s="1"/>
  <c r="C150" i="55"/>
  <c r="B150" i="55"/>
  <c r="Q149" i="55"/>
  <c r="P149" i="55"/>
  <c r="S149" i="55" s="1"/>
  <c r="J149" i="55"/>
  <c r="R149" i="55" s="1"/>
  <c r="I149" i="55"/>
  <c r="F149" i="55"/>
  <c r="D149" i="55" a="1"/>
  <c r="D149" i="55" s="1"/>
  <c r="G149" i="55" s="1"/>
  <c r="C149" i="55"/>
  <c r="B149" i="55"/>
  <c r="Q148" i="55"/>
  <c r="P148" i="55"/>
  <c r="S148" i="55" s="1"/>
  <c r="J148" i="55"/>
  <c r="R148" i="55" s="1"/>
  <c r="I148" i="55"/>
  <c r="F148" i="55"/>
  <c r="D148" i="55" a="1"/>
  <c r="D148" i="55" s="1"/>
  <c r="G148" i="55" s="1"/>
  <c r="C148" i="55"/>
  <c r="B148" i="55"/>
  <c r="Q147" i="55"/>
  <c r="P147" i="55"/>
  <c r="S147" i="55" s="1"/>
  <c r="J147" i="55"/>
  <c r="I147" i="55"/>
  <c r="F147" i="55"/>
  <c r="D147" i="55" a="1"/>
  <c r="D147" i="55" s="1"/>
  <c r="C147" i="55"/>
  <c r="B147" i="55"/>
  <c r="Q146" i="55"/>
  <c r="P146" i="55"/>
  <c r="J146" i="55"/>
  <c r="I146" i="55"/>
  <c r="F146" i="55"/>
  <c r="D146" i="55" a="1"/>
  <c r="D146" i="55" s="1"/>
  <c r="G146" i="55" s="1"/>
  <c r="C146" i="55"/>
  <c r="B146" i="55"/>
  <c r="Q145" i="55"/>
  <c r="P145" i="55"/>
  <c r="S145" i="55" s="1"/>
  <c r="J145" i="55"/>
  <c r="R145" i="55" s="1"/>
  <c r="I145" i="55"/>
  <c r="F145" i="55"/>
  <c r="D145" i="55" a="1"/>
  <c r="D145" i="55" s="1"/>
  <c r="H145" i="55" s="1"/>
  <c r="C145" i="55"/>
  <c r="B145" i="55"/>
  <c r="Q144" i="55"/>
  <c r="P144" i="55"/>
  <c r="S144" i="55" s="1"/>
  <c r="J144" i="55"/>
  <c r="I144" i="55"/>
  <c r="F144" i="55"/>
  <c r="D144" i="55" a="1"/>
  <c r="D144" i="55" s="1"/>
  <c r="G144" i="55" s="1"/>
  <c r="C144" i="55"/>
  <c r="B144" i="55"/>
  <c r="Q143" i="55"/>
  <c r="P143" i="55"/>
  <c r="S143" i="55" s="1"/>
  <c r="J143" i="55"/>
  <c r="I143" i="55"/>
  <c r="F143" i="55"/>
  <c r="D143" i="55" a="1"/>
  <c r="D143" i="55" s="1"/>
  <c r="G143" i="55" s="1"/>
  <c r="C143" i="55"/>
  <c r="B143" i="55"/>
  <c r="Q142" i="55"/>
  <c r="P142" i="55"/>
  <c r="S142" i="55" s="1"/>
  <c r="J142" i="55"/>
  <c r="R142" i="55" s="1"/>
  <c r="I142" i="55"/>
  <c r="F142" i="55"/>
  <c r="D142" i="55" a="1"/>
  <c r="D142" i="55" s="1"/>
  <c r="H142" i="55" s="1"/>
  <c r="C142" i="55"/>
  <c r="B142" i="55"/>
  <c r="Q141" i="55"/>
  <c r="P141" i="55"/>
  <c r="S141" i="55" s="1"/>
  <c r="J141" i="55"/>
  <c r="R141" i="55" s="1"/>
  <c r="I141" i="55"/>
  <c r="F141" i="55"/>
  <c r="D141" i="55" a="1"/>
  <c r="D141" i="55" s="1"/>
  <c r="H141" i="55" s="1"/>
  <c r="C141" i="55"/>
  <c r="B141" i="55"/>
  <c r="Q140" i="55"/>
  <c r="P140" i="55"/>
  <c r="S140" i="55" s="1"/>
  <c r="J140" i="55"/>
  <c r="R140" i="55" s="1"/>
  <c r="I140" i="55"/>
  <c r="F140" i="55"/>
  <c r="D140" i="55" a="1"/>
  <c r="D140" i="55" s="1"/>
  <c r="H140" i="55" s="1"/>
  <c r="C140" i="55"/>
  <c r="B140" i="55"/>
  <c r="Q139" i="55"/>
  <c r="P139" i="55"/>
  <c r="S139" i="55" s="1"/>
  <c r="J139" i="55"/>
  <c r="R139" i="55" s="1"/>
  <c r="I139" i="55"/>
  <c r="F139" i="55"/>
  <c r="D139" i="55" a="1"/>
  <c r="D139" i="55" s="1"/>
  <c r="C139" i="55"/>
  <c r="B139" i="55"/>
  <c r="Q138" i="55"/>
  <c r="P138" i="55"/>
  <c r="S138" i="55" s="1"/>
  <c r="J138" i="55"/>
  <c r="R138" i="55" s="1"/>
  <c r="I138" i="55"/>
  <c r="F138" i="55"/>
  <c r="D138" i="55" a="1"/>
  <c r="D138" i="55" s="1"/>
  <c r="C138" i="55"/>
  <c r="B138" i="55"/>
  <c r="Q137" i="55"/>
  <c r="P137" i="55"/>
  <c r="S137" i="55" s="1"/>
  <c r="J137" i="55"/>
  <c r="I137" i="55"/>
  <c r="F137" i="55"/>
  <c r="D137" i="55" a="1"/>
  <c r="D137" i="55" s="1"/>
  <c r="G137" i="55" s="1"/>
  <c r="C137" i="55"/>
  <c r="B137" i="55"/>
  <c r="Q136" i="55"/>
  <c r="P136" i="55"/>
  <c r="J136" i="55"/>
  <c r="I136" i="55"/>
  <c r="F136" i="55"/>
  <c r="D136" i="55" a="1"/>
  <c r="D136" i="55" s="1"/>
  <c r="G136" i="55" s="1"/>
  <c r="C136" i="55"/>
  <c r="B136" i="55"/>
  <c r="Q135" i="55"/>
  <c r="P135" i="55"/>
  <c r="S135" i="55" s="1"/>
  <c r="J135" i="55"/>
  <c r="I135" i="55"/>
  <c r="F135" i="55"/>
  <c r="D135" i="55" a="1"/>
  <c r="D135" i="55" s="1"/>
  <c r="H135" i="55" s="1"/>
  <c r="C135" i="55"/>
  <c r="B135" i="55"/>
  <c r="Q134" i="55"/>
  <c r="P134" i="55"/>
  <c r="J134" i="55"/>
  <c r="I134" i="55"/>
  <c r="F134" i="55"/>
  <c r="D134" i="55" a="1"/>
  <c r="D134" i="55" s="1"/>
  <c r="G134" i="55" s="1"/>
  <c r="C134" i="55"/>
  <c r="B134" i="55"/>
  <c r="Q133" i="55"/>
  <c r="P133" i="55"/>
  <c r="S133" i="55" s="1"/>
  <c r="J133" i="55"/>
  <c r="I133" i="55"/>
  <c r="F133" i="55"/>
  <c r="D133" i="55" a="1"/>
  <c r="D133" i="55" s="1"/>
  <c r="C133" i="55"/>
  <c r="B133" i="55"/>
  <c r="Q132" i="55"/>
  <c r="P132" i="55"/>
  <c r="S132" i="55" s="1"/>
  <c r="J132" i="55"/>
  <c r="I132" i="55"/>
  <c r="F132" i="55"/>
  <c r="D132" i="55" a="1"/>
  <c r="D132" i="55" s="1"/>
  <c r="G132" i="55" s="1"/>
  <c r="C132" i="55"/>
  <c r="B132" i="55"/>
  <c r="Q131" i="55"/>
  <c r="P131" i="55"/>
  <c r="S131" i="55" s="1"/>
  <c r="J131" i="55"/>
  <c r="I131" i="55"/>
  <c r="F131" i="55"/>
  <c r="D131" i="55" a="1"/>
  <c r="D131" i="55" s="1"/>
  <c r="H131" i="55" s="1"/>
  <c r="C131" i="55"/>
  <c r="B131" i="55"/>
  <c r="Q130" i="55"/>
  <c r="P130" i="55"/>
  <c r="S130" i="55" s="1"/>
  <c r="J130" i="55"/>
  <c r="I130" i="55"/>
  <c r="F130" i="55"/>
  <c r="D130" i="55" a="1"/>
  <c r="D130" i="55" s="1"/>
  <c r="C130" i="55"/>
  <c r="B130" i="55"/>
  <c r="Q129" i="55"/>
  <c r="P129" i="55"/>
  <c r="S129" i="55" s="1"/>
  <c r="J129" i="55"/>
  <c r="R129" i="55" s="1"/>
  <c r="I129" i="55"/>
  <c r="F129" i="55"/>
  <c r="D129" i="55" a="1"/>
  <c r="D129" i="55" s="1"/>
  <c r="H129" i="55" s="1"/>
  <c r="C129" i="55"/>
  <c r="B129" i="55"/>
  <c r="Q128" i="55"/>
  <c r="P128" i="55"/>
  <c r="S128" i="55" s="1"/>
  <c r="J128" i="55"/>
  <c r="R128" i="55" s="1"/>
  <c r="I128" i="55"/>
  <c r="F128" i="55"/>
  <c r="D128" i="55" a="1"/>
  <c r="D128" i="55" s="1"/>
  <c r="G128" i="55" s="1"/>
  <c r="C128" i="55"/>
  <c r="B128" i="55"/>
  <c r="Q127" i="55"/>
  <c r="P127" i="55"/>
  <c r="S127" i="55" s="1"/>
  <c r="J127" i="55"/>
  <c r="R127" i="55" s="1"/>
  <c r="I127" i="55"/>
  <c r="F127" i="55"/>
  <c r="D127" i="55" a="1"/>
  <c r="D127" i="55" s="1"/>
  <c r="H127" i="55" s="1"/>
  <c r="C127" i="55"/>
  <c r="B127" i="55"/>
  <c r="Q126" i="55"/>
  <c r="P126" i="55"/>
  <c r="S126" i="55" s="1"/>
  <c r="J126" i="55"/>
  <c r="I126" i="55"/>
  <c r="F126" i="55"/>
  <c r="D126" i="55" a="1"/>
  <c r="D126" i="55" s="1"/>
  <c r="H126" i="55" s="1"/>
  <c r="C126" i="55"/>
  <c r="B126" i="55"/>
  <c r="Q125" i="55"/>
  <c r="P125" i="55"/>
  <c r="S125" i="55" s="1"/>
  <c r="J125" i="55"/>
  <c r="R125" i="55" s="1"/>
  <c r="I125" i="55"/>
  <c r="F125" i="55"/>
  <c r="D125" i="55" a="1"/>
  <c r="D125" i="55" s="1"/>
  <c r="C125" i="55"/>
  <c r="B125" i="55"/>
  <c r="Q124" i="55"/>
  <c r="P124" i="55"/>
  <c r="S124" i="55" s="1"/>
  <c r="J124" i="55"/>
  <c r="R124" i="55" s="1"/>
  <c r="I124" i="55"/>
  <c r="F124" i="55"/>
  <c r="D124" i="55" a="1"/>
  <c r="D124" i="55" s="1"/>
  <c r="G124" i="55" s="1"/>
  <c r="C124" i="55"/>
  <c r="B124" i="55"/>
  <c r="Q123" i="55"/>
  <c r="P123" i="55"/>
  <c r="S123" i="55" s="1"/>
  <c r="J123" i="55"/>
  <c r="R123" i="55" s="1"/>
  <c r="I123" i="55"/>
  <c r="F123" i="55"/>
  <c r="D123" i="55" a="1"/>
  <c r="D123" i="55" s="1"/>
  <c r="G123" i="55" s="1"/>
  <c r="C123" i="55"/>
  <c r="B123" i="55"/>
  <c r="Q122" i="55"/>
  <c r="P122" i="55"/>
  <c r="S122" i="55" s="1"/>
  <c r="J122" i="55"/>
  <c r="R122" i="55" s="1"/>
  <c r="I122" i="55"/>
  <c r="F122" i="55"/>
  <c r="D122" i="55" a="1"/>
  <c r="D122" i="55" s="1"/>
  <c r="C122" i="55"/>
  <c r="B122" i="55"/>
  <c r="Q121" i="55"/>
  <c r="P121" i="55"/>
  <c r="S121" i="55" s="1"/>
  <c r="J121" i="55"/>
  <c r="I121" i="55"/>
  <c r="F121" i="55"/>
  <c r="D121" i="55" a="1"/>
  <c r="D121" i="55" s="1"/>
  <c r="G121" i="55" s="1"/>
  <c r="C121" i="55"/>
  <c r="B121" i="55"/>
  <c r="Q120" i="55"/>
  <c r="P120" i="55"/>
  <c r="S120" i="55" s="1"/>
  <c r="J120" i="55"/>
  <c r="R120" i="55" s="1"/>
  <c r="I120" i="55"/>
  <c r="F120" i="55"/>
  <c r="D120" i="55" a="1"/>
  <c r="D120" i="55" s="1"/>
  <c r="G120" i="55" s="1"/>
  <c r="C120" i="55"/>
  <c r="B120" i="55"/>
  <c r="Q119" i="55"/>
  <c r="P119" i="55"/>
  <c r="S119" i="55" s="1"/>
  <c r="J119" i="55"/>
  <c r="I119" i="55"/>
  <c r="F119" i="55"/>
  <c r="D119" i="55" a="1"/>
  <c r="D119" i="55" s="1"/>
  <c r="H119" i="55" s="1"/>
  <c r="C119" i="55"/>
  <c r="B119" i="55"/>
  <c r="Q118" i="55"/>
  <c r="P118" i="55"/>
  <c r="S118" i="55" s="1"/>
  <c r="J118" i="55"/>
  <c r="R118" i="55" s="1"/>
  <c r="I118" i="55"/>
  <c r="F118" i="55"/>
  <c r="D118" i="55" a="1"/>
  <c r="D118" i="55" s="1"/>
  <c r="H118" i="55" s="1"/>
  <c r="C118" i="55"/>
  <c r="B118" i="55"/>
  <c r="Q117" i="55"/>
  <c r="P117" i="55"/>
  <c r="S117" i="55" s="1"/>
  <c r="J117" i="55"/>
  <c r="I117" i="55"/>
  <c r="F117" i="55"/>
  <c r="D117" i="55" a="1"/>
  <c r="D117" i="55" s="1"/>
  <c r="C117" i="55"/>
  <c r="B117" i="55"/>
  <c r="Q116" i="55"/>
  <c r="P116" i="55"/>
  <c r="S116" i="55" s="1"/>
  <c r="J116" i="55"/>
  <c r="I116" i="55"/>
  <c r="F116" i="55"/>
  <c r="D116" i="55" a="1"/>
  <c r="D116" i="55" s="1"/>
  <c r="C116" i="55"/>
  <c r="B116" i="55"/>
  <c r="Q115" i="55"/>
  <c r="P115" i="55"/>
  <c r="S115" i="55" s="1"/>
  <c r="J115" i="55"/>
  <c r="R115" i="55" s="1"/>
  <c r="I115" i="55"/>
  <c r="F115" i="55"/>
  <c r="D115" i="55" a="1"/>
  <c r="D115" i="55" s="1"/>
  <c r="H115" i="55" s="1"/>
  <c r="C115" i="55"/>
  <c r="B115" i="55"/>
  <c r="Q114" i="55"/>
  <c r="P114" i="55"/>
  <c r="S114" i="55" s="1"/>
  <c r="J114" i="55"/>
  <c r="R114" i="55" s="1"/>
  <c r="I114" i="55"/>
  <c r="F114" i="55"/>
  <c r="D114" i="55" a="1"/>
  <c r="D114" i="55" s="1"/>
  <c r="G114" i="55" s="1"/>
  <c r="C114" i="55"/>
  <c r="B114" i="55"/>
  <c r="Q113" i="55"/>
  <c r="P113" i="55"/>
  <c r="S113" i="55" s="1"/>
  <c r="J113" i="55"/>
  <c r="R113" i="55" s="1"/>
  <c r="I113" i="55"/>
  <c r="F113" i="55"/>
  <c r="D113" i="55" a="1"/>
  <c r="D113" i="55" s="1"/>
  <c r="H113" i="55" s="1"/>
  <c r="C113" i="55"/>
  <c r="B113" i="55"/>
  <c r="Q112" i="55"/>
  <c r="P112" i="55"/>
  <c r="S112" i="55" s="1"/>
  <c r="J112" i="55"/>
  <c r="R112" i="55" s="1"/>
  <c r="I112" i="55"/>
  <c r="F112" i="55"/>
  <c r="D112" i="55" a="1"/>
  <c r="D112" i="55" s="1"/>
  <c r="H112" i="55" s="1"/>
  <c r="C112" i="55"/>
  <c r="B112" i="55"/>
  <c r="Q111" i="55"/>
  <c r="P111" i="55"/>
  <c r="S111" i="55" s="1"/>
  <c r="J111" i="55"/>
  <c r="I111" i="55"/>
  <c r="F111" i="55"/>
  <c r="D111" i="55" a="1"/>
  <c r="D111" i="55" s="1"/>
  <c r="H111" i="55" s="1"/>
  <c r="C111" i="55"/>
  <c r="B111" i="55"/>
  <c r="Q110" i="55"/>
  <c r="P110" i="55"/>
  <c r="S110" i="55" s="1"/>
  <c r="J110" i="55"/>
  <c r="I110" i="55"/>
  <c r="F110" i="55"/>
  <c r="D110" i="55" a="1"/>
  <c r="D110" i="55" s="1"/>
  <c r="C110" i="55"/>
  <c r="B110" i="55"/>
  <c r="Q109" i="55"/>
  <c r="P109" i="55"/>
  <c r="S109" i="55" s="1"/>
  <c r="J109" i="55"/>
  <c r="I109" i="55"/>
  <c r="F109" i="55"/>
  <c r="D109" i="55" a="1"/>
  <c r="D109" i="55" s="1"/>
  <c r="H109" i="55" s="1"/>
  <c r="C109" i="55"/>
  <c r="B109" i="55"/>
  <c r="Q108" i="55"/>
  <c r="P108" i="55"/>
  <c r="S108" i="55" s="1"/>
  <c r="J108" i="55"/>
  <c r="R108" i="55" s="1"/>
  <c r="I108" i="55"/>
  <c r="F108" i="55"/>
  <c r="D108" i="55" a="1"/>
  <c r="D108" i="55" s="1"/>
  <c r="G108" i="55" s="1"/>
  <c r="C108" i="55"/>
  <c r="B108" i="55"/>
  <c r="Q107" i="55"/>
  <c r="P107" i="55"/>
  <c r="S107" i="55" s="1"/>
  <c r="J107" i="55"/>
  <c r="I107" i="55"/>
  <c r="F107" i="55"/>
  <c r="D107" i="55" a="1"/>
  <c r="D107" i="55" s="1"/>
  <c r="G107" i="55" s="1"/>
  <c r="C107" i="55"/>
  <c r="B107" i="55"/>
  <c r="Q106" i="55"/>
  <c r="P106" i="55"/>
  <c r="S106" i="55" s="1"/>
  <c r="J106" i="55"/>
  <c r="I106" i="55"/>
  <c r="F106" i="55"/>
  <c r="D106" i="55" a="1"/>
  <c r="D106" i="55" s="1"/>
  <c r="G106" i="55" s="1"/>
  <c r="C106" i="55"/>
  <c r="B106" i="55"/>
  <c r="D86" i="55" a="1"/>
  <c r="D86" i="55" s="1"/>
  <c r="G86" i="55" s="1"/>
  <c r="J86" i="55"/>
  <c r="R86" i="55" s="1"/>
  <c r="B7" i="55"/>
  <c r="T2" i="53"/>
  <c r="M203" i="55" a="1"/>
  <c r="M203" i="55" s="1"/>
  <c r="K2" i="53"/>
  <c r="I7" i="55"/>
  <c r="I8" i="55"/>
  <c r="AD2" i="53"/>
  <c r="AC2" i="53"/>
  <c r="AB2" i="53"/>
  <c r="AA2" i="53"/>
  <c r="W2" i="53"/>
  <c r="V2" i="53"/>
  <c r="U2" i="53"/>
  <c r="R2" i="53"/>
  <c r="O2" i="53"/>
  <c r="L2" i="53"/>
  <c r="I46" i="55"/>
  <c r="I98" i="55"/>
  <c r="J16" i="55"/>
  <c r="J17" i="55"/>
  <c r="R17" i="55" s="1"/>
  <c r="D16" i="55" a="1"/>
  <c r="D16" i="55" s="1"/>
  <c r="D17" i="55" a="1"/>
  <c r="D17" i="55" s="1"/>
  <c r="H17" i="55" s="1"/>
  <c r="D9" i="55" a="1"/>
  <c r="D9" i="55" s="1"/>
  <c r="D10" i="55" a="1"/>
  <c r="D10" i="55" s="1"/>
  <c r="H10" i="55" s="1"/>
  <c r="D11" i="55" a="1"/>
  <c r="D11" i="55" s="1"/>
  <c r="D12" i="55" a="1"/>
  <c r="D12" i="55" s="1"/>
  <c r="D13" i="55" a="1"/>
  <c r="D13" i="55" s="1"/>
  <c r="H13" i="55" s="1"/>
  <c r="D14" i="55" a="1"/>
  <c r="D14" i="55" s="1"/>
  <c r="D15" i="55" a="1"/>
  <c r="D15" i="55" s="1"/>
  <c r="H15" i="55" s="1"/>
  <c r="D18" i="55" a="1"/>
  <c r="D18" i="55" s="1"/>
  <c r="D19" i="55" a="1"/>
  <c r="D19" i="55" s="1"/>
  <c r="G19" i="55" s="1"/>
  <c r="D20" i="55" a="1"/>
  <c r="D20" i="55" s="1"/>
  <c r="H20" i="55" s="1"/>
  <c r="D21" i="55" a="1"/>
  <c r="D21" i="55" s="1"/>
  <c r="G21" i="55" s="1"/>
  <c r="D22" i="55" a="1"/>
  <c r="D22" i="55" s="1"/>
  <c r="G22" i="55" s="1"/>
  <c r="D23" i="55" a="1"/>
  <c r="D23" i="55" s="1"/>
  <c r="D24" i="55" a="1"/>
  <c r="D24" i="55" s="1"/>
  <c r="H24" i="55" s="1"/>
  <c r="D25" i="55" a="1"/>
  <c r="D25" i="55" s="1"/>
  <c r="D26" i="55" a="1"/>
  <c r="D26" i="55" s="1"/>
  <c r="D27" i="55" a="1"/>
  <c r="D27" i="55" s="1"/>
  <c r="J27" i="55"/>
  <c r="D28" i="55" a="1"/>
  <c r="D28" i="55" s="1"/>
  <c r="D29" i="55" a="1"/>
  <c r="D29" i="55" s="1"/>
  <c r="G29" i="55" s="1"/>
  <c r="D30" i="55" a="1"/>
  <c r="D30" i="55" s="1"/>
  <c r="D31" i="55" a="1"/>
  <c r="D31" i="55" s="1"/>
  <c r="D32" i="55" a="1"/>
  <c r="D32" i="55" s="1"/>
  <c r="H32" i="55" s="1"/>
  <c r="D33" i="55" a="1"/>
  <c r="D33" i="55" s="1"/>
  <c r="G33" i="55" s="1"/>
  <c r="D34" i="55" a="1"/>
  <c r="D34" i="55" s="1"/>
  <c r="G34" i="55" s="1"/>
  <c r="D35" i="55" a="1"/>
  <c r="D35" i="55" s="1"/>
  <c r="G35" i="55" s="1"/>
  <c r="D36" i="55" a="1"/>
  <c r="D36" i="55" s="1"/>
  <c r="G36" i="55" s="1"/>
  <c r="D37" i="55" a="1"/>
  <c r="D37" i="55" s="1"/>
  <c r="G37" i="55" s="1"/>
  <c r="D38" i="55" a="1"/>
  <c r="D38" i="55" s="1"/>
  <c r="G38" i="55" s="1"/>
  <c r="J38" i="55"/>
  <c r="D39" i="55" a="1"/>
  <c r="D39" i="55" s="1"/>
  <c r="H39" i="55" s="1"/>
  <c r="D40" i="55" a="1"/>
  <c r="D40" i="55" s="1"/>
  <c r="H40" i="55" s="1"/>
  <c r="D41" i="55" a="1"/>
  <c r="D41" i="55" s="1"/>
  <c r="H41" i="55" s="1"/>
  <c r="J41" i="55"/>
  <c r="R41" i="55" s="1"/>
  <c r="P41" i="55"/>
  <c r="S41" i="55" s="1"/>
  <c r="D42" i="55" a="1"/>
  <c r="D42" i="55" s="1"/>
  <c r="D43" i="55" a="1"/>
  <c r="D43" i="55" s="1"/>
  <c r="H43" i="55" s="1"/>
  <c r="D44" i="55" a="1"/>
  <c r="D44" i="55" s="1"/>
  <c r="H44" i="55" s="1"/>
  <c r="D45" i="55" a="1"/>
  <c r="D45" i="55" s="1"/>
  <c r="J45" i="55"/>
  <c r="D46" i="55" a="1"/>
  <c r="D46" i="55" s="1"/>
  <c r="D47" i="55" a="1"/>
  <c r="D47" i="55" s="1"/>
  <c r="H47" i="55" s="1"/>
  <c r="J47" i="55"/>
  <c r="D48" i="55" a="1"/>
  <c r="D48" i="55" s="1"/>
  <c r="G48" i="55" s="1"/>
  <c r="J48" i="55"/>
  <c r="D49" i="55" a="1"/>
  <c r="D49" i="55" s="1"/>
  <c r="G49" i="55" s="1"/>
  <c r="D50" i="55" a="1"/>
  <c r="D50" i="55" s="1"/>
  <c r="H50" i="55" s="1"/>
  <c r="J50" i="55"/>
  <c r="D51" i="55" a="1"/>
  <c r="D51" i="55" s="1"/>
  <c r="H51" i="55" s="1"/>
  <c r="D52" i="55" a="1"/>
  <c r="D52" i="55" s="1"/>
  <c r="J52" i="55"/>
  <c r="D53" i="55" a="1"/>
  <c r="D53" i="55" s="1"/>
  <c r="J53" i="55"/>
  <c r="D54" i="55" a="1"/>
  <c r="D54" i="55" s="1"/>
  <c r="H54" i="55" s="1"/>
  <c r="J54" i="55"/>
  <c r="D55" i="55" a="1"/>
  <c r="D55" i="55" s="1"/>
  <c r="H55" i="55" s="1"/>
  <c r="J55" i="55"/>
  <c r="R55" i="55" s="1"/>
  <c r="D56" i="55" a="1"/>
  <c r="D56" i="55" s="1"/>
  <c r="H56" i="55" s="1"/>
  <c r="D57" i="55" a="1"/>
  <c r="D57" i="55" s="1"/>
  <c r="J57" i="55"/>
  <c r="R57" i="55" s="1"/>
  <c r="D58" i="55" a="1"/>
  <c r="D58" i="55" s="1"/>
  <c r="H58" i="55" s="1"/>
  <c r="D59" i="55" a="1"/>
  <c r="D59" i="55" s="1"/>
  <c r="G59" i="55" s="1"/>
  <c r="D60" i="55" a="1"/>
  <c r="D60" i="55" s="1"/>
  <c r="D61" i="55" a="1"/>
  <c r="D61" i="55" s="1"/>
  <c r="D62" i="55" a="1"/>
  <c r="D62" i="55" s="1"/>
  <c r="G62" i="55" s="1"/>
  <c r="D63" i="55" a="1"/>
  <c r="D63" i="55" s="1"/>
  <c r="G63" i="55" s="1"/>
  <c r="J63" i="55"/>
  <c r="R63" i="55" s="1"/>
  <c r="D64" i="55" a="1"/>
  <c r="D64" i="55" s="1"/>
  <c r="G64" i="55" s="1"/>
  <c r="D65" i="55" a="1"/>
  <c r="D65" i="55" s="1"/>
  <c r="H65" i="55" s="1"/>
  <c r="D66" i="55" a="1"/>
  <c r="D66" i="55" s="1"/>
  <c r="D67" i="55" a="1"/>
  <c r="D67" i="55" s="1"/>
  <c r="H67" i="55" s="1"/>
  <c r="D68" i="55" a="1"/>
  <c r="D68" i="55" s="1"/>
  <c r="D69" i="55" a="1"/>
  <c r="D69" i="55" s="1"/>
  <c r="H69" i="55" s="1"/>
  <c r="D70" i="55" a="1"/>
  <c r="D70" i="55" s="1"/>
  <c r="J70" i="55"/>
  <c r="D71" i="55" a="1"/>
  <c r="D71" i="55" s="1"/>
  <c r="D72" i="55" a="1"/>
  <c r="D72" i="55" s="1"/>
  <c r="H72" i="55" s="1"/>
  <c r="D73" i="55" a="1"/>
  <c r="D73" i="55" s="1"/>
  <c r="D74" i="55" a="1"/>
  <c r="D74" i="55" s="1"/>
  <c r="D75" i="55" a="1"/>
  <c r="D75" i="55" s="1"/>
  <c r="G75" i="55" s="1"/>
  <c r="D76" i="55" a="1"/>
  <c r="D76" i="55" s="1"/>
  <c r="H76" i="55" s="1"/>
  <c r="D77" i="55" a="1"/>
  <c r="D77" i="55" s="1"/>
  <c r="J77" i="55"/>
  <c r="D78" i="55" a="1"/>
  <c r="D78" i="55" s="1"/>
  <c r="D79" i="55" a="1"/>
  <c r="D79" i="55" s="1"/>
  <c r="D80" i="55" a="1"/>
  <c r="D80" i="55" s="1"/>
  <c r="G80" i="55" s="1"/>
  <c r="D81" i="55" a="1"/>
  <c r="D81" i="55" s="1"/>
  <c r="G81" i="55" s="1"/>
  <c r="D82" i="55" a="1"/>
  <c r="D82" i="55" s="1"/>
  <c r="D83" i="55" a="1"/>
  <c r="D83" i="55" s="1"/>
  <c r="G83" i="55" s="1"/>
  <c r="D84" i="55" a="1"/>
  <c r="D84" i="55" s="1"/>
  <c r="H84" i="55" s="1"/>
  <c r="D85" i="55" a="1"/>
  <c r="D85" i="55" s="1"/>
  <c r="G85" i="55" s="1"/>
  <c r="D87" i="55" a="1"/>
  <c r="D87" i="55" s="1"/>
  <c r="H87" i="55" s="1"/>
  <c r="D88" i="55" a="1"/>
  <c r="D88" i="55" s="1"/>
  <c r="G88" i="55" s="1"/>
  <c r="D89" i="55" a="1"/>
  <c r="D89" i="55" s="1"/>
  <c r="G89" i="55" s="1"/>
  <c r="D90" i="55" a="1"/>
  <c r="D90" i="55" s="1"/>
  <c r="G90" i="55" s="1"/>
  <c r="D91" i="55" a="1"/>
  <c r="D91" i="55" s="1"/>
  <c r="H91" i="55" s="1"/>
  <c r="D92" i="55" a="1"/>
  <c r="D92" i="55" s="1"/>
  <c r="D93" i="55" a="1"/>
  <c r="D93" i="55" s="1"/>
  <c r="G93" i="55" s="1"/>
  <c r="D94" i="55" a="1"/>
  <c r="D94" i="55" s="1"/>
  <c r="G94" i="55" s="1"/>
  <c r="D95" i="55" a="1"/>
  <c r="D95" i="55" s="1"/>
  <c r="D96" i="55" a="1"/>
  <c r="D96" i="55" s="1"/>
  <c r="H96" i="55" s="1"/>
  <c r="D97" i="55" a="1"/>
  <c r="D97" i="55" s="1"/>
  <c r="H97" i="55" s="1"/>
  <c r="D98" i="55" a="1"/>
  <c r="D98" i="55" s="1"/>
  <c r="H98" i="55" s="1"/>
  <c r="D99" i="55" a="1"/>
  <c r="D99" i="55" s="1"/>
  <c r="D100" i="55" a="1"/>
  <c r="D100" i="55" s="1"/>
  <c r="D101" i="55" a="1"/>
  <c r="D101" i="55" s="1"/>
  <c r="H101" i="55" s="1"/>
  <c r="D102" i="55" a="1"/>
  <c r="D102" i="55" s="1"/>
  <c r="J102" i="55"/>
  <c r="D103" i="55" a="1"/>
  <c r="D103" i="55" s="1"/>
  <c r="H103" i="55" s="1"/>
  <c r="D104" i="55" a="1"/>
  <c r="D104" i="55" s="1"/>
  <c r="J104" i="55"/>
  <c r="D105" i="55" a="1"/>
  <c r="D105" i="55" s="1"/>
  <c r="H105" i="55" s="1"/>
  <c r="Q104"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49" i="55"/>
  <c r="I50" i="55"/>
  <c r="I51" i="55"/>
  <c r="I52" i="55"/>
  <c r="I53" i="55"/>
  <c r="I54" i="55"/>
  <c r="I55" i="55"/>
  <c r="I56" i="55"/>
  <c r="I57" i="55"/>
  <c r="I58" i="55"/>
  <c r="I59" i="55"/>
  <c r="I60" i="55"/>
  <c r="I61" i="55"/>
  <c r="I62" i="55"/>
  <c r="I63" i="55"/>
  <c r="I64" i="55"/>
  <c r="I65" i="55"/>
  <c r="I66" i="55"/>
  <c r="I67" i="55"/>
  <c r="I68" i="55"/>
  <c r="I69" i="55"/>
  <c r="I70" i="55"/>
  <c r="I71" i="55"/>
  <c r="I72" i="55"/>
  <c r="I73" i="55"/>
  <c r="I74" i="55"/>
  <c r="I75" i="55"/>
  <c r="I76" i="55"/>
  <c r="I77" i="55"/>
  <c r="I78" i="55"/>
  <c r="I79" i="55"/>
  <c r="I80" i="55"/>
  <c r="I81" i="55"/>
  <c r="I82" i="55"/>
  <c r="I83" i="55"/>
  <c r="I84" i="55"/>
  <c r="I85" i="55"/>
  <c r="I86" i="55"/>
  <c r="I87" i="55"/>
  <c r="I88" i="55"/>
  <c r="I89" i="55"/>
  <c r="I90" i="55"/>
  <c r="I91" i="55"/>
  <c r="I92" i="55"/>
  <c r="I93" i="55"/>
  <c r="I94" i="55"/>
  <c r="I95" i="55"/>
  <c r="I96" i="55"/>
  <c r="I97" i="55"/>
  <c r="I99" i="55"/>
  <c r="I100" i="55"/>
  <c r="I101" i="55"/>
  <c r="I102" i="55"/>
  <c r="I103" i="55"/>
  <c r="I104" i="55"/>
  <c r="I105" i="55"/>
  <c r="B104" i="55"/>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49" i="55"/>
  <c r="Q50" i="55"/>
  <c r="Q51" i="55"/>
  <c r="Q52" i="55"/>
  <c r="Q53" i="55"/>
  <c r="Q54" i="55"/>
  <c r="Q55" i="55"/>
  <c r="Q56" i="55"/>
  <c r="Q57" i="55"/>
  <c r="Q58" i="55"/>
  <c r="Q59" i="55"/>
  <c r="Q60" i="55"/>
  <c r="Q61" i="55"/>
  <c r="Q62" i="55"/>
  <c r="Q63" i="55"/>
  <c r="Q64" i="55"/>
  <c r="Q65" i="55"/>
  <c r="Q66" i="55"/>
  <c r="Q67" i="55"/>
  <c r="Q68" i="55"/>
  <c r="Q69" i="55"/>
  <c r="Q70" i="55"/>
  <c r="Q71" i="55"/>
  <c r="Q72" i="55"/>
  <c r="Q73" i="55"/>
  <c r="Q74" i="55"/>
  <c r="Q75" i="55"/>
  <c r="Q76" i="55"/>
  <c r="Q77" i="55"/>
  <c r="Q78" i="55"/>
  <c r="Q79" i="55"/>
  <c r="Q80" i="55"/>
  <c r="Q81" i="55"/>
  <c r="Q82" i="55"/>
  <c r="Q83" i="55"/>
  <c r="Q84" i="55"/>
  <c r="Q85" i="55"/>
  <c r="Q86" i="55"/>
  <c r="Q87" i="55"/>
  <c r="Q88" i="55"/>
  <c r="Q89" i="55"/>
  <c r="Q90" i="55"/>
  <c r="Q91" i="55"/>
  <c r="Q92" i="55"/>
  <c r="Q93" i="55"/>
  <c r="Q94" i="55"/>
  <c r="Q95" i="55"/>
  <c r="Q96" i="55"/>
  <c r="Q97" i="55"/>
  <c r="Q98" i="55"/>
  <c r="Q99" i="55"/>
  <c r="Q100" i="55"/>
  <c r="Q101" i="55"/>
  <c r="Q102" i="55"/>
  <c r="Q103" i="55"/>
  <c r="Q105" i="55"/>
  <c r="Q8" i="55"/>
  <c r="Q7" i="55"/>
  <c r="P13" i="55"/>
  <c r="S13" i="55" s="1"/>
  <c r="J13" i="55"/>
  <c r="P18" i="55"/>
  <c r="S18" i="55" s="1"/>
  <c r="P19" i="55"/>
  <c r="S19" i="55" s="1"/>
  <c r="J19" i="55"/>
  <c r="P20" i="55"/>
  <c r="S20" i="55" s="1"/>
  <c r="J20" i="55"/>
  <c r="P21" i="55"/>
  <c r="S21" i="55" s="1"/>
  <c r="J21" i="55"/>
  <c r="P22" i="55"/>
  <c r="S22" i="55" s="1"/>
  <c r="P32" i="55"/>
  <c r="S32" i="55" s="1"/>
  <c r="P35" i="55"/>
  <c r="S35" i="55" s="1"/>
  <c r="P39" i="55"/>
  <c r="S39" i="55" s="1"/>
  <c r="P42" i="55"/>
  <c r="P51" i="55"/>
  <c r="S51" i="55" s="1"/>
  <c r="J51" i="55"/>
  <c r="P55" i="55"/>
  <c r="S55" i="55" s="1"/>
  <c r="P60" i="55"/>
  <c r="S60" i="55" s="1"/>
  <c r="P64" i="55"/>
  <c r="S64" i="55" s="1"/>
  <c r="J64" i="55"/>
  <c r="R64" i="55" s="1"/>
  <c r="P80" i="55"/>
  <c r="S80" i="55" s="1"/>
  <c r="J9" i="55"/>
  <c r="J10" i="55"/>
  <c r="J11" i="55"/>
  <c r="R11" i="55" s="1"/>
  <c r="P11" i="55"/>
  <c r="S11" i="55" s="1"/>
  <c r="J12" i="55"/>
  <c r="J14" i="55"/>
  <c r="R14" i="55" s="1"/>
  <c r="J15" i="55"/>
  <c r="R15" i="55" s="1"/>
  <c r="J18" i="55"/>
  <c r="J22" i="55"/>
  <c r="R22" i="55" s="1"/>
  <c r="J23" i="55"/>
  <c r="R23" i="55" s="1"/>
  <c r="J24" i="55"/>
  <c r="J25" i="55"/>
  <c r="J26" i="55"/>
  <c r="R26" i="55" s="1"/>
  <c r="P26" i="55"/>
  <c r="S26" i="55" s="1"/>
  <c r="J28" i="55"/>
  <c r="R28" i="55" s="1"/>
  <c r="J29" i="55"/>
  <c r="R29" i="55" s="1"/>
  <c r="J30" i="55"/>
  <c r="R30" i="55" s="1"/>
  <c r="J31" i="55"/>
  <c r="R31" i="55" s="1"/>
  <c r="J32" i="55"/>
  <c r="J33" i="55"/>
  <c r="P33" i="55"/>
  <c r="S33" i="55" s="1"/>
  <c r="J34" i="55"/>
  <c r="J35" i="55"/>
  <c r="R35" i="55" s="1"/>
  <c r="J36" i="55"/>
  <c r="R36" i="55" s="1"/>
  <c r="J37" i="55"/>
  <c r="R37" i="55" s="1"/>
  <c r="J39" i="55"/>
  <c r="R39" i="55" s="1"/>
  <c r="J40" i="55"/>
  <c r="J42" i="55"/>
  <c r="J43" i="55"/>
  <c r="J44" i="55"/>
  <c r="R44" i="55" s="1"/>
  <c r="J46" i="55"/>
  <c r="J49" i="55"/>
  <c r="P52" i="55"/>
  <c r="P53" i="55"/>
  <c r="S53" i="55" s="1"/>
  <c r="J56" i="55"/>
  <c r="R56" i="55" s="1"/>
  <c r="P57" i="55"/>
  <c r="S57" i="55" s="1"/>
  <c r="T57" i="55" s="1"/>
  <c r="J58" i="55"/>
  <c r="J59" i="55"/>
  <c r="R59" i="55" s="1"/>
  <c r="P59" i="55"/>
  <c r="S59" i="55" s="1"/>
  <c r="J60" i="55"/>
  <c r="R60" i="55" s="1"/>
  <c r="J61" i="55"/>
  <c r="R61" i="55" s="1"/>
  <c r="J62" i="55"/>
  <c r="R62" i="55" s="1"/>
  <c r="P62" i="55"/>
  <c r="S62" i="55" s="1"/>
  <c r="J65" i="55"/>
  <c r="R65" i="55" s="1"/>
  <c r="J66" i="55"/>
  <c r="P66" i="55"/>
  <c r="S66" i="55" s="1"/>
  <c r="J67" i="55"/>
  <c r="R67" i="55" s="1"/>
  <c r="J68" i="55"/>
  <c r="R68" i="55" s="1"/>
  <c r="J69" i="55"/>
  <c r="J71" i="55"/>
  <c r="R71" i="55" s="1"/>
  <c r="J72" i="55"/>
  <c r="J73" i="55"/>
  <c r="J74" i="55"/>
  <c r="J75" i="55"/>
  <c r="R75" i="55" s="1"/>
  <c r="J76" i="55"/>
  <c r="R76" i="55" s="1"/>
  <c r="J78" i="55"/>
  <c r="J79" i="55"/>
  <c r="J80" i="55"/>
  <c r="J81" i="55"/>
  <c r="J82" i="55"/>
  <c r="R82" i="55" s="1"/>
  <c r="J83" i="55"/>
  <c r="P83" i="55"/>
  <c r="S83" i="55" s="1"/>
  <c r="J84" i="55"/>
  <c r="J85" i="55"/>
  <c r="J87" i="55"/>
  <c r="J88" i="55"/>
  <c r="J89" i="55"/>
  <c r="J90" i="55"/>
  <c r="P90" i="55"/>
  <c r="J91" i="55"/>
  <c r="J92" i="55"/>
  <c r="P92" i="55"/>
  <c r="J93" i="55"/>
  <c r="P93" i="55"/>
  <c r="S93" i="55" s="1"/>
  <c r="J94" i="55"/>
  <c r="J95" i="55"/>
  <c r="R95" i="55" s="1"/>
  <c r="J96" i="55"/>
  <c r="R96" i="55" s="1"/>
  <c r="J97" i="55"/>
  <c r="J98" i="55"/>
  <c r="J99" i="55"/>
  <c r="J100" i="55"/>
  <c r="P100" i="55"/>
  <c r="J101" i="55"/>
  <c r="J103" i="55"/>
  <c r="R103" i="55" s="1"/>
  <c r="J105" i="55"/>
  <c r="J8" i="55"/>
  <c r="P8" i="55"/>
  <c r="S8" i="55" s="1"/>
  <c r="J7" i="55"/>
  <c r="D8" i="55" a="1"/>
  <c r="D8" i="55" s="1"/>
  <c r="D7" i="55" a="1"/>
  <c r="D7" i="55" s="1"/>
  <c r="G7" i="55" s="1"/>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1" i="55"/>
  <c r="B42" i="55"/>
  <c r="B43" i="55"/>
  <c r="B44" i="55"/>
  <c r="B45" i="55"/>
  <c r="B46" i="55"/>
  <c r="B47" i="55"/>
  <c r="B48" i="55"/>
  <c r="B49" i="55"/>
  <c r="B50" i="55"/>
  <c r="B51" i="55"/>
  <c r="B52" i="55"/>
  <c r="B53" i="55"/>
  <c r="B54" i="55"/>
  <c r="B55" i="55"/>
  <c r="B56" i="55"/>
  <c r="B57" i="55"/>
  <c r="B58" i="55"/>
  <c r="B59" i="55"/>
  <c r="B60" i="55"/>
  <c r="B61" i="55"/>
  <c r="B62" i="55"/>
  <c r="B63" i="55"/>
  <c r="B64" i="55"/>
  <c r="B65" i="55"/>
  <c r="B66" i="55"/>
  <c r="B67" i="55"/>
  <c r="B68" i="55"/>
  <c r="B69" i="55"/>
  <c r="B70" i="55"/>
  <c r="B71" i="55"/>
  <c r="B72" i="55"/>
  <c r="B73" i="55"/>
  <c r="B74" i="55"/>
  <c r="B75" i="55"/>
  <c r="B76" i="55"/>
  <c r="B77" i="55"/>
  <c r="B78" i="55"/>
  <c r="B79" i="55"/>
  <c r="B80" i="55"/>
  <c r="B81" i="55"/>
  <c r="B82" i="55"/>
  <c r="B83" i="55"/>
  <c r="B84" i="55"/>
  <c r="B85" i="55"/>
  <c r="B86" i="55"/>
  <c r="B87" i="55"/>
  <c r="B88" i="55"/>
  <c r="B89" i="55"/>
  <c r="B90" i="55"/>
  <c r="B91" i="55"/>
  <c r="B92" i="55"/>
  <c r="B93" i="55"/>
  <c r="B94" i="55"/>
  <c r="B95" i="55"/>
  <c r="B96" i="55"/>
  <c r="B97" i="55"/>
  <c r="B98" i="55"/>
  <c r="B99" i="55"/>
  <c r="B100" i="55"/>
  <c r="B101" i="55"/>
  <c r="B102" i="55"/>
  <c r="B103" i="55"/>
  <c r="B105" i="55"/>
  <c r="B9" i="55"/>
  <c r="B10" i="55"/>
  <c r="B11" i="55"/>
  <c r="B12" i="55"/>
  <c r="B8" i="55"/>
  <c r="F105" i="55"/>
  <c r="C105" i="55"/>
  <c r="F104" i="55"/>
  <c r="C104" i="55"/>
  <c r="C7" i="55"/>
  <c r="F14" i="55"/>
  <c r="F16" i="55"/>
  <c r="F22" i="55"/>
  <c r="F24" i="55"/>
  <c r="F30" i="55"/>
  <c r="F32" i="55"/>
  <c r="F38" i="55"/>
  <c r="F40" i="55"/>
  <c r="F46" i="55"/>
  <c r="F48" i="55"/>
  <c r="F54" i="55"/>
  <c r="F56" i="55"/>
  <c r="F62" i="55"/>
  <c r="F64" i="55"/>
  <c r="F70" i="55"/>
  <c r="F72" i="55"/>
  <c r="F78" i="55"/>
  <c r="F80" i="55"/>
  <c r="F86" i="55"/>
  <c r="F88" i="55"/>
  <c r="F94" i="55"/>
  <c r="F96" i="55"/>
  <c r="F102" i="55"/>
  <c r="F8" i="55"/>
  <c r="M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F49" i="55"/>
  <c r="F50" i="55"/>
  <c r="F51" i="55"/>
  <c r="F52" i="55"/>
  <c r="F53" i="55"/>
  <c r="F55" i="55"/>
  <c r="F57" i="55"/>
  <c r="F58" i="55"/>
  <c r="F59" i="55"/>
  <c r="F60" i="55"/>
  <c r="F61" i="55"/>
  <c r="F63" i="55"/>
  <c r="F65" i="55"/>
  <c r="F66" i="55"/>
  <c r="F67" i="55"/>
  <c r="F68" i="55"/>
  <c r="F69" i="55"/>
  <c r="F71" i="55"/>
  <c r="F73" i="55"/>
  <c r="F74" i="55"/>
  <c r="F75" i="55"/>
  <c r="F76" i="55"/>
  <c r="F77" i="55"/>
  <c r="F79" i="55"/>
  <c r="F81" i="55"/>
  <c r="F82" i="55"/>
  <c r="F83" i="55"/>
  <c r="F84" i="55"/>
  <c r="F85" i="55"/>
  <c r="F87" i="55"/>
  <c r="F89" i="55"/>
  <c r="F90" i="55"/>
  <c r="F91" i="55"/>
  <c r="F92" i="55"/>
  <c r="F93" i="55"/>
  <c r="F95" i="55"/>
  <c r="F97" i="55"/>
  <c r="F98" i="55"/>
  <c r="F99" i="55"/>
  <c r="F100" i="55"/>
  <c r="F101" i="55"/>
  <c r="F103" i="55"/>
  <c r="C15" i="55"/>
  <c r="C16" i="55"/>
  <c r="C17" i="55"/>
  <c r="C18" i="55"/>
  <c r="C19" i="55"/>
  <c r="C20" i="55"/>
  <c r="C21" i="55"/>
  <c r="C22" i="55"/>
  <c r="C23" i="55"/>
  <c r="C24" i="55"/>
  <c r="C25" i="55"/>
  <c r="C26" i="55"/>
  <c r="C27" i="55"/>
  <c r="C28" i="55"/>
  <c r="C29" i="55"/>
  <c r="C30" i="55"/>
  <c r="C31" i="55"/>
  <c r="C32" i="55"/>
  <c r="C33" i="55"/>
  <c r="C34" i="55"/>
  <c r="C35" i="55"/>
  <c r="C36" i="55"/>
  <c r="C37" i="55"/>
  <c r="C38" i="55"/>
  <c r="C39" i="55"/>
  <c r="C41" i="55"/>
  <c r="C42" i="55"/>
  <c r="C43" i="55"/>
  <c r="C44" i="55"/>
  <c r="C45" i="55"/>
  <c r="C46" i="55"/>
  <c r="C47" i="55"/>
  <c r="C48" i="55"/>
  <c r="C49" i="55"/>
  <c r="C50" i="55"/>
  <c r="C51" i="55"/>
  <c r="C52" i="55"/>
  <c r="C53" i="55"/>
  <c r="C54" i="55"/>
  <c r="C55" i="55"/>
  <c r="C56" i="55"/>
  <c r="C57" i="55"/>
  <c r="C58" i="55"/>
  <c r="C59" i="55"/>
  <c r="C60" i="55"/>
  <c r="C61" i="55"/>
  <c r="C62" i="55"/>
  <c r="C63" i="55"/>
  <c r="C64" i="55"/>
  <c r="C65" i="55"/>
  <c r="C66" i="55"/>
  <c r="C67" i="55"/>
  <c r="C68" i="55"/>
  <c r="C69" i="55"/>
  <c r="C70" i="55"/>
  <c r="C71" i="55"/>
  <c r="C72" i="55"/>
  <c r="C73" i="55"/>
  <c r="C74" i="55"/>
  <c r="C75" i="55"/>
  <c r="C76" i="55"/>
  <c r="C77" i="55"/>
  <c r="C78" i="55"/>
  <c r="C79" i="55"/>
  <c r="C80" i="55"/>
  <c r="C81" i="55"/>
  <c r="C82" i="55"/>
  <c r="C83" i="55"/>
  <c r="C84" i="55"/>
  <c r="C85" i="55"/>
  <c r="C86" i="55"/>
  <c r="C87" i="55"/>
  <c r="C88" i="55"/>
  <c r="C89" i="55"/>
  <c r="C90" i="55"/>
  <c r="C91" i="55"/>
  <c r="C92" i="55"/>
  <c r="C93" i="55"/>
  <c r="C94" i="55"/>
  <c r="C95" i="55"/>
  <c r="C96" i="55"/>
  <c r="C97" i="55"/>
  <c r="C98" i="55"/>
  <c r="C99" i="55"/>
  <c r="C100" i="55"/>
  <c r="C101" i="55"/>
  <c r="C102" i="55"/>
  <c r="C103" i="55"/>
  <c r="C9" i="55"/>
  <c r="C10" i="55"/>
  <c r="C11" i="55"/>
  <c r="C12" i="55"/>
  <c r="C13" i="55"/>
  <c r="C14" i="55"/>
  <c r="C8" i="55"/>
  <c r="M13" i="52"/>
  <c r="M12" i="52"/>
  <c r="M11" i="52"/>
  <c r="M10" i="52"/>
  <c r="M9" i="52"/>
  <c r="M8" i="52"/>
  <c r="M7" i="52"/>
  <c r="M6" i="52"/>
  <c r="M5" i="52"/>
  <c r="M4" i="52"/>
  <c r="G37" i="59"/>
  <c r="M37" i="59" s="1"/>
  <c r="P94" i="55"/>
  <c r="S94" i="55" s="1"/>
  <c r="P56" i="55"/>
  <c r="S56" i="55" s="1"/>
  <c r="P54" i="55"/>
  <c r="P38" i="55"/>
  <c r="S38" i="55" s="1"/>
  <c r="P31" i="55"/>
  <c r="S31" i="55" s="1"/>
  <c r="P99" i="55"/>
  <c r="S99" i="55" s="1"/>
  <c r="P58" i="55"/>
  <c r="P9" i="55"/>
  <c r="S9" i="55" s="1"/>
  <c r="P95" i="55"/>
  <c r="S95" i="55" s="1"/>
  <c r="O37" i="59"/>
  <c r="U37" i="59" s="1"/>
  <c r="P70" i="55"/>
  <c r="S70" i="55" s="1"/>
  <c r="P24" i="55"/>
  <c r="S24" i="55" s="1"/>
  <c r="P82" i="55"/>
  <c r="S82" i="55" s="1"/>
  <c r="P81" i="55"/>
  <c r="P46" i="55"/>
  <c r="P14" i="55"/>
  <c r="S14" i="55" s="1"/>
  <c r="C7" i="26"/>
  <c r="D7" i="26"/>
  <c r="C9" i="26"/>
  <c r="D9" i="26"/>
  <c r="E9" i="26"/>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s="1"/>
  <c r="F4" i="26" s="1"/>
  <c r="G4" i="26" s="1"/>
  <c r="H4" i="26" s="1"/>
  <c r="I4" i="26"/>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X14" i="26" s="1"/>
  <c r="F7" i="55"/>
  <c r="P88" i="55"/>
  <c r="P73" i="55"/>
  <c r="S73" i="55" s="1"/>
  <c r="P34" i="55"/>
  <c r="S34" i="55" s="1"/>
  <c r="P102" i="55"/>
  <c r="P105" i="55"/>
  <c r="S105" i="55" s="1"/>
  <c r="P63" i="55"/>
  <c r="S63" i="55" s="1"/>
  <c r="P67" i="55"/>
  <c r="S67" i="55" s="1"/>
  <c r="P79" i="55"/>
  <c r="S79" i="55" s="1"/>
  <c r="P37" i="55"/>
  <c r="S37" i="55" s="1"/>
  <c r="P71" i="55"/>
  <c r="S71" i="55" s="1"/>
  <c r="P69" i="55"/>
  <c r="P40" i="55"/>
  <c r="S40" i="55" s="1"/>
  <c r="P49" i="55"/>
  <c r="P65" i="55"/>
  <c r="S65" i="55" s="1"/>
  <c r="P50" i="55"/>
  <c r="P15" i="55"/>
  <c r="S15" i="55" s="1"/>
  <c r="P87" i="55"/>
  <c r="P48" i="55"/>
  <c r="P74" i="55"/>
  <c r="S74" i="55" s="1"/>
  <c r="P61" i="55"/>
  <c r="S61" i="55" s="1"/>
  <c r="P10" i="55"/>
  <c r="S10" i="55" s="1"/>
  <c r="P78" i="55"/>
  <c r="S78" i="55" s="1"/>
  <c r="P27" i="55"/>
  <c r="S27" i="55" s="1"/>
  <c r="P28" i="55"/>
  <c r="S28" i="55" s="1"/>
  <c r="P104" i="55"/>
  <c r="S104" i="55" s="1"/>
  <c r="P97" i="55"/>
  <c r="S97" i="55" s="1"/>
  <c r="P23" i="55"/>
  <c r="S23" i="55" s="1"/>
  <c r="P44" i="55"/>
  <c r="S44" i="55" s="1"/>
  <c r="P7" i="55"/>
  <c r="P103" i="55"/>
  <c r="S103" i="55" s="1"/>
  <c r="P77" i="55"/>
  <c r="S77" i="55" s="1"/>
  <c r="P96" i="55"/>
  <c r="S96" i="55" s="1"/>
  <c r="P30" i="55"/>
  <c r="S30" i="55" s="1"/>
  <c r="P89" i="55"/>
  <c r="P45" i="55"/>
  <c r="P68" i="55"/>
  <c r="S68" i="55" s="1"/>
  <c r="P86" i="55"/>
  <c r="S86" i="55" s="1"/>
  <c r="P36" i="55"/>
  <c r="S36" i="55" s="1"/>
  <c r="P47" i="55"/>
  <c r="P25" i="55"/>
  <c r="P91" i="55"/>
  <c r="S91" i="55" s="1"/>
  <c r="P17" i="55"/>
  <c r="S17" i="55" s="1"/>
  <c r="P16" i="55"/>
  <c r="S16" i="55" s="1"/>
  <c r="P29" i="55"/>
  <c r="S29" i="55" s="1"/>
  <c r="P76" i="55"/>
  <c r="S76" i="55" s="1"/>
  <c r="P72" i="55"/>
  <c r="S72" i="55" s="1"/>
  <c r="P101" i="55"/>
  <c r="P98" i="55"/>
  <c r="S98" i="55" s="1"/>
  <c r="P43" i="55"/>
  <c r="S43" i="55" s="1"/>
  <c r="P85" i="55"/>
  <c r="P84" i="55"/>
  <c r="P75" i="55"/>
  <c r="S75" i="55" s="1"/>
  <c r="P12" i="55"/>
  <c r="S12" i="55" s="1"/>
  <c r="AK14" i="26"/>
  <c r="M30" i="55" a="1"/>
  <c r="M30" i="55" s="1"/>
  <c r="O30" i="55" s="1"/>
  <c r="M32" i="55" a="1"/>
  <c r="M32" i="55" s="1"/>
  <c r="M215" i="55" a="1"/>
  <c r="M215" i="55" s="1"/>
  <c r="M27" i="55" a="1"/>
  <c r="M27" i="55" s="1"/>
  <c r="E19" i="55"/>
  <c r="J2" i="55"/>
  <c r="M191" i="55" a="1"/>
  <c r="M191" i="55" s="1"/>
  <c r="O191" i="55" s="1"/>
  <c r="M218" i="55" a="1"/>
  <c r="M218" i="55" s="1"/>
  <c r="O218" i="55" s="1"/>
  <c r="M53" i="55" a="1"/>
  <c r="M53" i="55" s="1"/>
  <c r="M124" i="55" a="1"/>
  <c r="M124" i="55" s="1"/>
  <c r="O124" i="55" s="1"/>
  <c r="M10" i="55" a="1"/>
  <c r="M10" i="55" s="1"/>
  <c r="M62" i="55" a="1"/>
  <c r="M62" i="55" s="1"/>
  <c r="O62" i="55" s="1"/>
  <c r="M48" i="55" a="1"/>
  <c r="M48" i="55" s="1"/>
  <c r="M199" i="55" a="1"/>
  <c r="M199" i="55" s="1"/>
  <c r="S14" i="26"/>
  <c r="J14" i="26"/>
  <c r="AI12" i="26"/>
  <c r="AG14" i="26"/>
  <c r="Y12" i="26"/>
  <c r="O14" i="26"/>
  <c r="W14" i="26"/>
  <c r="B12" i="26"/>
  <c r="S12" i="26"/>
  <c r="AE14" i="26"/>
  <c r="V14" i="26"/>
  <c r="X12" i="26"/>
  <c r="G223" i="55"/>
  <c r="H225" i="55"/>
  <c r="M67" i="55" a="1"/>
  <c r="M67" i="55" s="1"/>
  <c r="O67" i="55" s="1"/>
  <c r="M141" i="55" a="1"/>
  <c r="M141" i="55" s="1"/>
  <c r="O141" i="55" s="1"/>
  <c r="M128" i="55" a="1"/>
  <c r="M128" i="55" s="1"/>
  <c r="O128" i="55" s="1"/>
  <c r="M193" i="55" a="1"/>
  <c r="M193" i="55" s="1"/>
  <c r="O193" i="55" s="1"/>
  <c r="M160" i="55" a="1"/>
  <c r="M160" i="55" s="1"/>
  <c r="O160" i="55" s="1"/>
  <c r="M46" i="55" a="1"/>
  <c r="M46" i="55" s="1"/>
  <c r="M233" i="55" a="1"/>
  <c r="M233" i="55" s="1"/>
  <c r="O233" i="55" s="1"/>
  <c r="M184" i="55" a="1"/>
  <c r="M184" i="55" s="1"/>
  <c r="O184" i="55" s="1"/>
  <c r="M228" i="55" a="1"/>
  <c r="M228" i="55" s="1"/>
  <c r="O228" i="55" s="1"/>
  <c r="M243" i="55" a="1"/>
  <c r="M243" i="55" s="1"/>
  <c r="M142" i="55" a="1"/>
  <c r="M142" i="55" s="1"/>
  <c r="O142" i="55" s="1"/>
  <c r="M175" i="55" a="1"/>
  <c r="M175" i="55" s="1"/>
  <c r="M162" i="55" a="1"/>
  <c r="M162" i="55" s="1"/>
  <c r="M95" i="55" a="1"/>
  <c r="M95" i="55" s="1"/>
  <c r="O95" i="55" s="1"/>
  <c r="M159" i="55" a="1"/>
  <c r="M159" i="55" s="1"/>
  <c r="O159" i="55" s="1"/>
  <c r="M157" i="55" a="1"/>
  <c r="M157" i="55" s="1"/>
  <c r="O157" i="55" s="1"/>
  <c r="M137" i="55" a="1"/>
  <c r="M137" i="55" s="1"/>
  <c r="M140" i="55" a="1"/>
  <c r="M140" i="55" s="1"/>
  <c r="O140" i="55" s="1"/>
  <c r="M177" i="55" a="1"/>
  <c r="M177" i="55" s="1"/>
  <c r="O177" i="55" s="1"/>
  <c r="M64" i="55" a="1"/>
  <c r="M64" i="55" s="1"/>
  <c r="O64" i="55" s="1"/>
  <c r="M8" i="55" a="1"/>
  <c r="M8" i="55" s="1"/>
  <c r="M115" i="55" a="1"/>
  <c r="M115" i="55" s="1"/>
  <c r="O115" i="55" s="1"/>
  <c r="M135" i="55" a="1"/>
  <c r="M135" i="55" s="1"/>
  <c r="R251" i="55"/>
  <c r="M226" i="55" a="1"/>
  <c r="M226" i="55" s="1"/>
  <c r="M81" i="55" a="1"/>
  <c r="M81" i="55" s="1"/>
  <c r="M86" i="55" a="1"/>
  <c r="M86" i="55" s="1"/>
  <c r="O86" i="55" s="1"/>
  <c r="M7" i="55" a="1"/>
  <c r="M7" i="55" s="1"/>
  <c r="M241" i="55" a="1"/>
  <c r="M241" i="55" s="1"/>
  <c r="O241" i="55" s="1"/>
  <c r="M112" i="55" a="1"/>
  <c r="M112" i="55" s="1"/>
  <c r="O112" i="55" s="1"/>
  <c r="M214" i="55" a="1"/>
  <c r="M214" i="55" s="1"/>
  <c r="M106" i="55" a="1"/>
  <c r="M106" i="55" s="1"/>
  <c r="M192" i="55" a="1"/>
  <c r="M192" i="55" s="1"/>
  <c r="M107" i="55" a="1"/>
  <c r="M107" i="55" s="1"/>
  <c r="G243" i="55"/>
  <c r="H243" i="55"/>
  <c r="M52" i="55" a="1"/>
  <c r="M52" i="55" s="1"/>
  <c r="M98" i="55" a="1"/>
  <c r="M98" i="55" s="1"/>
  <c r="M164" i="55" a="1"/>
  <c r="M164" i="55" s="1"/>
  <c r="M36" i="55" a="1"/>
  <c r="M36" i="55" s="1"/>
  <c r="M207" i="55" a="1"/>
  <c r="M207" i="55" s="1"/>
  <c r="M253" i="55" a="1"/>
  <c r="M253" i="55" s="1"/>
  <c r="O253" i="55" s="1"/>
  <c r="M158" i="55" a="1"/>
  <c r="M158" i="55" s="1"/>
  <c r="O158" i="55" s="1"/>
  <c r="M11" i="55" a="1"/>
  <c r="M11" i="55" s="1"/>
  <c r="M96" i="55" a="1"/>
  <c r="M96" i="55" s="1"/>
  <c r="O96" i="55" s="1"/>
  <c r="M33" i="55" a="1"/>
  <c r="M33" i="55" s="1"/>
  <c r="M150" i="55" a="1"/>
  <c r="M150" i="55" s="1"/>
  <c r="M153" i="55" a="1"/>
  <c r="M153" i="55" s="1"/>
  <c r="O153" i="55" s="1"/>
  <c r="M223" i="55" a="1"/>
  <c r="M223" i="55" s="1"/>
  <c r="O223" i="55" s="1"/>
  <c r="M180" i="55" a="1"/>
  <c r="M180" i="55" s="1"/>
  <c r="O180" i="55" s="1"/>
  <c r="M51" i="55" a="1"/>
  <c r="M51" i="55" s="1"/>
  <c r="M251" i="55" a="1"/>
  <c r="M251" i="55" s="1"/>
  <c r="M246" i="55" a="1"/>
  <c r="M246" i="55" s="1"/>
  <c r="O246" i="55" s="1"/>
  <c r="M75" i="55" a="1"/>
  <c r="M75" i="55" s="1"/>
  <c r="M58" i="55" a="1"/>
  <c r="M58" i="55" s="1"/>
  <c r="M244" i="55" a="1"/>
  <c r="M244" i="55" s="1"/>
  <c r="O244" i="55" s="1"/>
  <c r="M54" i="55" a="1"/>
  <c r="M54" i="55" s="1"/>
  <c r="M66" i="55" a="1"/>
  <c r="M66" i="55" s="1"/>
  <c r="M82" i="55" a="1"/>
  <c r="M82" i="55" s="1"/>
  <c r="O82" i="55" s="1"/>
  <c r="M229" i="55" a="1"/>
  <c r="M229" i="55" s="1"/>
  <c r="O229" i="55" s="1"/>
  <c r="M72" i="55" a="1"/>
  <c r="M72" i="55" s="1"/>
  <c r="M89" i="55" a="1"/>
  <c r="M89" i="55" s="1"/>
  <c r="M79" i="55" a="1"/>
  <c r="M79" i="55" s="1"/>
  <c r="AH12" i="26"/>
  <c r="M94" i="55" a="1"/>
  <c r="M94" i="55" s="1"/>
  <c r="M174" i="55" a="1"/>
  <c r="M174" i="55" s="1"/>
  <c r="O174" i="55" s="1"/>
  <c r="M134" i="55" a="1"/>
  <c r="M134" i="55" s="1"/>
  <c r="M143" i="55" a="1"/>
  <c r="M143" i="55" s="1"/>
  <c r="M216" i="55" a="1"/>
  <c r="M216" i="55" s="1"/>
  <c r="M56" i="55" a="1"/>
  <c r="M56" i="55" s="1"/>
  <c r="O56" i="55" s="1"/>
  <c r="M122" i="55" a="1"/>
  <c r="M122" i="55" s="1"/>
  <c r="O122" i="55" s="1"/>
  <c r="M181" i="55" a="1"/>
  <c r="M181" i="55" s="1"/>
  <c r="O181" i="55" s="1"/>
  <c r="M105" i="55" a="1"/>
  <c r="M105" i="55" s="1"/>
  <c r="M161" i="55" a="1"/>
  <c r="M161" i="55" s="1"/>
  <c r="M245" i="55" a="1"/>
  <c r="M245" i="55" s="1"/>
  <c r="M169" i="55" a="1"/>
  <c r="M169" i="55" s="1"/>
  <c r="M224" i="55" a="1"/>
  <c r="M224" i="55" s="1"/>
  <c r="O224" i="55" s="1"/>
  <c r="M189" i="55" a="1"/>
  <c r="M189" i="55" s="1"/>
  <c r="O189" i="55" s="1"/>
  <c r="M210" i="55" a="1"/>
  <c r="M210" i="55" s="1"/>
  <c r="M12" i="55" a="1"/>
  <c r="M12" i="55" s="1"/>
  <c r="M88" i="55" a="1"/>
  <c r="M88" i="55" s="1"/>
  <c r="M119" i="55" a="1"/>
  <c r="M119" i="55" s="1"/>
  <c r="M57" i="55" a="1"/>
  <c r="M57" i="55" s="1"/>
  <c r="M196" i="55" a="1"/>
  <c r="M196" i="55" s="1"/>
  <c r="O196" i="55" s="1"/>
  <c r="M242" i="55" a="1"/>
  <c r="M242" i="55" s="1"/>
  <c r="M237" i="55" a="1"/>
  <c r="M237" i="55" s="1"/>
  <c r="M34" i="55" a="1"/>
  <c r="M34" i="55" s="1"/>
  <c r="M144" i="55" a="1"/>
  <c r="M144" i="55" s="1"/>
  <c r="M31" i="55" a="1"/>
  <c r="M31" i="55" s="1"/>
  <c r="M166" i="55" a="1"/>
  <c r="M166" i="55" s="1"/>
  <c r="M50" i="55" a="1"/>
  <c r="M50" i="55" s="1"/>
  <c r="M20" i="55" a="1"/>
  <c r="M20" i="55" s="1"/>
  <c r="H251" i="55"/>
  <c r="M47" i="55" a="1"/>
  <c r="M47" i="55" s="1"/>
  <c r="M231" i="55" a="1"/>
  <c r="M231" i="55" s="1"/>
  <c r="M188" i="55" a="1"/>
  <c r="M188" i="55" s="1"/>
  <c r="O188" i="55" s="1"/>
  <c r="M225" i="55" a="1"/>
  <c r="M225" i="55" s="1"/>
  <c r="M178" i="55" a="1"/>
  <c r="M178" i="55" s="1"/>
  <c r="O178" i="55" s="1"/>
  <c r="M156" i="55" a="1"/>
  <c r="M156" i="55" s="1"/>
  <c r="O156" i="55" s="1"/>
  <c r="M236" i="55" a="1"/>
  <c r="M236" i="55" s="1"/>
  <c r="M217" i="55" a="1"/>
  <c r="M217" i="55" s="1"/>
  <c r="M221" i="55" a="1"/>
  <c r="M221" i="55" s="1"/>
  <c r="M172" i="55" a="1"/>
  <c r="M172" i="55" s="1"/>
  <c r="M118" i="55" a="1"/>
  <c r="M118" i="55" s="1"/>
  <c r="O118" i="55" s="1"/>
  <c r="M73" i="55" a="1"/>
  <c r="M73" i="55" s="1"/>
  <c r="M65" i="55" a="1"/>
  <c r="M65" i="55" s="1"/>
  <c r="O65" i="55" s="1"/>
  <c r="M17" i="55" a="1"/>
  <c r="M17" i="55" s="1"/>
  <c r="AJ14" i="26"/>
  <c r="R12" i="26"/>
  <c r="G2" i="26"/>
  <c r="Z12" i="26"/>
  <c r="T12" i="26"/>
  <c r="AF12" i="26"/>
  <c r="G12" i="26"/>
  <c r="F14" i="26"/>
  <c r="J12" i="26"/>
  <c r="C6" i="26"/>
  <c r="P12" i="26"/>
  <c r="K12" i="26"/>
  <c r="M12" i="26"/>
  <c r="I12" i="26"/>
  <c r="M234" i="55" a="1"/>
  <c r="M234" i="55" s="1"/>
  <c r="M179" i="55" a="1"/>
  <c r="M179" i="55" s="1"/>
  <c r="O179" i="55" s="1"/>
  <c r="G246" i="55"/>
  <c r="G244" i="55"/>
  <c r="G169" i="55"/>
  <c r="M15" i="55" a="1"/>
  <c r="M15" i="55" s="1"/>
  <c r="M84" i="55" a="1"/>
  <c r="M84" i="55" s="1"/>
  <c r="H12" i="59"/>
  <c r="H35" i="59"/>
  <c r="C41" i="59"/>
  <c r="N41" i="59" s="1"/>
  <c r="E34" i="59"/>
  <c r="D24" i="59"/>
  <c r="C33" i="59"/>
  <c r="N33" i="59" s="1"/>
  <c r="R9" i="59"/>
  <c r="Q33" i="59"/>
  <c r="B27" i="59"/>
  <c r="F27" i="59" s="1"/>
  <c r="J32" i="59"/>
  <c r="S6" i="59"/>
  <c r="R7" i="59"/>
  <c r="E20" i="59"/>
  <c r="K35" i="59"/>
  <c r="J4" i="59"/>
  <c r="I12" i="59"/>
  <c r="O35" i="59"/>
  <c r="U35" i="59" s="1"/>
  <c r="T233" i="55"/>
  <c r="Q8" i="59"/>
  <c r="G245" i="55"/>
  <c r="G247" i="55"/>
  <c r="K6" i="59"/>
  <c r="E11" i="59"/>
  <c r="H20" i="59"/>
  <c r="K23" i="59"/>
  <c r="D22" i="59"/>
  <c r="K40" i="59"/>
  <c r="D13" i="59"/>
  <c r="S18" i="59"/>
  <c r="O39" i="59"/>
  <c r="U39" i="59" s="1"/>
  <c r="H26" i="59"/>
  <c r="B24" i="59"/>
  <c r="C39" i="59"/>
  <c r="L39" i="59" s="1"/>
  <c r="Q5" i="59"/>
  <c r="E37" i="59"/>
  <c r="K18" i="59"/>
  <c r="C26" i="59"/>
  <c r="B13" i="59"/>
  <c r="F13" i="59" s="1"/>
  <c r="Q38" i="59"/>
  <c r="D19" i="59"/>
  <c r="Q35" i="59"/>
  <c r="D27" i="59"/>
  <c r="G40" i="59"/>
  <c r="M40" i="59" s="1"/>
  <c r="D21" i="59"/>
  <c r="E11" i="55"/>
  <c r="R11" i="59"/>
  <c r="R4" i="59"/>
  <c r="S39" i="59"/>
  <c r="R33" i="59"/>
  <c r="O33" i="59"/>
  <c r="U33" i="59" s="1"/>
  <c r="Q37" i="59"/>
  <c r="C7" i="59"/>
  <c r="E24" i="59"/>
  <c r="G41" i="59"/>
  <c r="M41" i="59" s="1"/>
  <c r="K38" i="59"/>
  <c r="B37" i="59"/>
  <c r="V37" i="59" s="1"/>
  <c r="Q6" i="59"/>
  <c r="R25" i="59"/>
  <c r="J12" i="59"/>
  <c r="R12" i="59"/>
  <c r="J7" i="59"/>
  <c r="Q22" i="59"/>
  <c r="Q25" i="59"/>
  <c r="R13" i="59"/>
  <c r="C27" i="59"/>
  <c r="N27" i="59" s="1"/>
  <c r="J13" i="59"/>
  <c r="H19" i="59"/>
  <c r="R6" i="59"/>
  <c r="S7" i="59"/>
  <c r="D10" i="59"/>
  <c r="C25" i="59"/>
  <c r="E13" i="59"/>
  <c r="P21" i="59"/>
  <c r="P41" i="59"/>
  <c r="K22" i="59"/>
  <c r="B22" i="59"/>
  <c r="E12" i="59"/>
  <c r="C5" i="59"/>
  <c r="R37" i="59"/>
  <c r="C22" i="59"/>
  <c r="H41" i="59"/>
  <c r="H24" i="59"/>
  <c r="H21" i="59"/>
  <c r="Q11" i="59"/>
  <c r="E18" i="59"/>
  <c r="Q10" i="59"/>
  <c r="D23" i="59"/>
  <c r="C40" i="59"/>
  <c r="L40" i="59" s="1"/>
  <c r="Q19" i="59"/>
  <c r="I40" i="59"/>
  <c r="E32" i="59"/>
  <c r="P38" i="59"/>
  <c r="E26" i="59"/>
  <c r="D26" i="59"/>
  <c r="E27" i="59"/>
  <c r="B9" i="59"/>
  <c r="B33" i="59"/>
  <c r="F33" i="59" s="1"/>
  <c r="H13" i="59"/>
  <c r="I22" i="59"/>
  <c r="Q36" i="59"/>
  <c r="I13" i="59"/>
  <c r="I10" i="59"/>
  <c r="D9" i="59"/>
  <c r="S9" i="59"/>
  <c r="J27" i="59"/>
  <c r="P12" i="59"/>
  <c r="K10" i="59"/>
  <c r="I11" i="59"/>
  <c r="C32" i="59"/>
  <c r="L32" i="59" s="1"/>
  <c r="B12" i="59"/>
  <c r="B7" i="59"/>
  <c r="H18" i="59"/>
  <c r="P9" i="59"/>
  <c r="P10" i="59"/>
  <c r="K7" i="59"/>
  <c r="E41" i="59"/>
  <c r="I4" i="59"/>
  <c r="D18" i="59"/>
  <c r="K20" i="59"/>
  <c r="K39" i="59"/>
  <c r="P22" i="59"/>
  <c r="P35" i="59"/>
  <c r="K41" i="59"/>
  <c r="Q39" i="59"/>
  <c r="R20" i="59"/>
  <c r="H9" i="59"/>
  <c r="C13" i="59"/>
  <c r="L13" i="59" s="1"/>
  <c r="R39" i="59"/>
  <c r="I5" i="59"/>
  <c r="B41" i="59"/>
  <c r="T41" i="59" s="1"/>
  <c r="O41" i="59"/>
  <c r="U41" i="59" s="1"/>
  <c r="Q13" i="59"/>
  <c r="I39" i="59"/>
  <c r="B23" i="59"/>
  <c r="B35" i="59"/>
  <c r="F35" i="59" s="1"/>
  <c r="G33" i="59"/>
  <c r="M33" i="59" s="1"/>
  <c r="J20" i="59"/>
  <c r="H40" i="59"/>
  <c r="K12" i="59"/>
  <c r="D25" i="59"/>
  <c r="Q26" i="59"/>
  <c r="J8" i="59"/>
  <c r="J10" i="59"/>
  <c r="P6" i="59"/>
  <c r="H7" i="59"/>
  <c r="E6" i="59"/>
  <c r="B6" i="59"/>
  <c r="S27" i="59"/>
  <c r="G38" i="59"/>
  <c r="M38" i="59" s="1"/>
  <c r="P13" i="59"/>
  <c r="R35" i="59"/>
  <c r="B8" i="59"/>
  <c r="D6" i="59"/>
  <c r="P25" i="59"/>
  <c r="R21" i="59"/>
  <c r="P32" i="59"/>
  <c r="C21" i="59"/>
  <c r="I9" i="59"/>
  <c r="J34" i="59"/>
  <c r="R36" i="59"/>
  <c r="H6" i="59"/>
  <c r="D39" i="59"/>
  <c r="S5" i="59"/>
  <c r="C23" i="59"/>
  <c r="S12" i="59"/>
  <c r="B5" i="59"/>
  <c r="I8" i="59"/>
  <c r="Q4" i="59"/>
  <c r="D11" i="59"/>
  <c r="E39" i="59"/>
  <c r="I26" i="59"/>
  <c r="R41" i="59"/>
  <c r="Q27" i="59"/>
  <c r="D35" i="59"/>
  <c r="B40" i="59"/>
  <c r="T40" i="59" s="1"/>
  <c r="C19" i="59"/>
  <c r="P34" i="59"/>
  <c r="I20" i="59"/>
  <c r="I19" i="59"/>
  <c r="G36" i="59"/>
  <c r="M36" i="59" s="1"/>
  <c r="I36" i="59"/>
  <c r="S23" i="59"/>
  <c r="Q18" i="59"/>
  <c r="C37" i="59"/>
  <c r="N37" i="59" s="1"/>
  <c r="P27" i="59"/>
  <c r="C34" i="59"/>
  <c r="N34" i="59" s="1"/>
  <c r="P39" i="59"/>
  <c r="S19" i="59"/>
  <c r="C24" i="59"/>
  <c r="I38" i="59"/>
  <c r="C35" i="59"/>
  <c r="L35" i="59" s="1"/>
  <c r="J37" i="59"/>
  <c r="E7" i="59"/>
  <c r="J36" i="59"/>
  <c r="Q34" i="59"/>
  <c r="H39" i="59"/>
  <c r="S38" i="59"/>
  <c r="D40" i="59"/>
  <c r="P20" i="59"/>
  <c r="H241" i="55"/>
  <c r="G241" i="55"/>
  <c r="O34" i="59"/>
  <c r="U34" i="59" s="1"/>
  <c r="Q7" i="59"/>
  <c r="K32" i="59"/>
  <c r="G39" i="59"/>
  <c r="M39" i="59" s="1"/>
  <c r="R40" i="59"/>
  <c r="Q20" i="59"/>
  <c r="S22" i="59"/>
  <c r="S13" i="59"/>
  <c r="R24" i="59"/>
  <c r="O40" i="59"/>
  <c r="U40" i="59" s="1"/>
  <c r="Q21" i="59"/>
  <c r="J40" i="59"/>
  <c r="J25" i="59"/>
  <c r="E35" i="59"/>
  <c r="J35" i="59"/>
  <c r="B20" i="59"/>
  <c r="H4" i="59"/>
  <c r="C9" i="59"/>
  <c r="I25" i="59"/>
  <c r="Q41" i="59"/>
  <c r="K13" i="59"/>
  <c r="E22" i="59"/>
  <c r="S33" i="59"/>
  <c r="H34" i="59"/>
  <c r="I37" i="59"/>
  <c r="K21" i="59"/>
  <c r="S34" i="59"/>
  <c r="D33" i="59"/>
  <c r="E19" i="59"/>
  <c r="K5" i="59"/>
  <c r="P18" i="59"/>
  <c r="I23" i="59"/>
  <c r="H221" i="55"/>
  <c r="G221" i="55"/>
  <c r="H231" i="55"/>
  <c r="G231" i="55"/>
  <c r="D38" i="59"/>
  <c r="D34" i="59"/>
  <c r="I18" i="59"/>
  <c r="S41" i="59"/>
  <c r="R27" i="59"/>
  <c r="C12" i="59"/>
  <c r="S24" i="59"/>
  <c r="C10" i="59"/>
  <c r="E9" i="59"/>
  <c r="K26" i="59"/>
  <c r="E4" i="59"/>
  <c r="B18" i="59"/>
  <c r="E40" i="59"/>
  <c r="S26" i="59"/>
  <c r="B10" i="59"/>
  <c r="K4" i="59"/>
  <c r="H11" i="59"/>
  <c r="J38" i="59"/>
  <c r="H23" i="59"/>
  <c r="I27" i="59"/>
  <c r="C6" i="59"/>
  <c r="D5" i="59"/>
  <c r="S10" i="59"/>
  <c r="K37" i="59"/>
  <c r="C38" i="59"/>
  <c r="L38" i="59" s="1"/>
  <c r="H32" i="59"/>
  <c r="R26" i="59"/>
  <c r="P7" i="59"/>
  <c r="K19" i="59"/>
  <c r="K11" i="59"/>
  <c r="D36" i="59"/>
  <c r="J39" i="59"/>
  <c r="C20" i="59"/>
  <c r="J6" i="59"/>
  <c r="E10" i="59"/>
  <c r="H38" i="59"/>
  <c r="G35" i="59"/>
  <c r="M35" i="59" s="1"/>
  <c r="P33" i="59"/>
  <c r="P11" i="59"/>
  <c r="H8" i="59"/>
  <c r="I34" i="59"/>
  <c r="Q12" i="59"/>
  <c r="B38" i="59"/>
  <c r="T38" i="59" s="1"/>
  <c r="Q40" i="59"/>
  <c r="O32" i="59"/>
  <c r="U32" i="59" s="1"/>
  <c r="R18" i="59"/>
  <c r="H10" i="59"/>
  <c r="C18" i="59"/>
  <c r="Q23" i="59"/>
  <c r="E36" i="59"/>
  <c r="B36" i="59"/>
  <c r="V36" i="59" s="1"/>
  <c r="K34" i="59"/>
  <c r="O38" i="59"/>
  <c r="U38" i="59" s="1"/>
  <c r="R19" i="59"/>
  <c r="E23" i="59"/>
  <c r="K9" i="59"/>
  <c r="S32" i="59"/>
  <c r="B11" i="59"/>
  <c r="Q32" i="59"/>
  <c r="I33" i="59"/>
  <c r="C11" i="59"/>
  <c r="S4" i="59"/>
  <c r="J9" i="59"/>
  <c r="R23" i="59"/>
  <c r="B32" i="59"/>
  <c r="V32" i="59" s="1"/>
  <c r="B26" i="59"/>
  <c r="E25" i="59"/>
  <c r="H36" i="59"/>
  <c r="R197" i="55"/>
  <c r="J21" i="59"/>
  <c r="O36" i="59"/>
  <c r="U36" i="59" s="1"/>
  <c r="K24" i="59"/>
  <c r="Q9" i="59"/>
  <c r="I21" i="59"/>
  <c r="D8" i="59"/>
  <c r="K36" i="59"/>
  <c r="E33" i="59"/>
  <c r="D32" i="59"/>
  <c r="I24" i="59"/>
  <c r="D4" i="59"/>
  <c r="J23" i="59"/>
  <c r="J26" i="59"/>
  <c r="J41" i="59"/>
  <c r="R5" i="59"/>
  <c r="J22" i="59"/>
  <c r="D37" i="59"/>
  <c r="R10" i="59"/>
  <c r="I6" i="59"/>
  <c r="H5" i="59"/>
  <c r="B21" i="59"/>
  <c r="E7" i="26"/>
  <c r="D6" i="26"/>
  <c r="L14" i="26"/>
  <c r="H12" i="26"/>
  <c r="E12" i="26"/>
  <c r="AA12" i="26"/>
  <c r="AH14" i="26"/>
  <c r="C12" i="26"/>
  <c r="U12" i="26"/>
  <c r="K14" i="26"/>
  <c r="AB12" i="26"/>
  <c r="F12" i="26"/>
  <c r="H14" i="26"/>
  <c r="AA14" i="26"/>
  <c r="T14" i="26"/>
  <c r="AD12" i="26"/>
  <c r="G14" i="26"/>
  <c r="Q14" i="26"/>
  <c r="N14" i="26"/>
  <c r="AG12" i="26"/>
  <c r="F7" i="26"/>
  <c r="G7" i="26" s="1"/>
  <c r="E6" i="26"/>
  <c r="F6" i="26"/>
  <c r="D11" i="57"/>
  <c r="D10" i="57"/>
  <c r="D5" i="57"/>
  <c r="D8" i="57"/>
  <c r="D9" i="57"/>
  <c r="D6" i="57"/>
  <c r="D7" i="57"/>
  <c r="D12" i="57"/>
  <c r="H240" i="55" l="1"/>
  <c r="G238" i="55"/>
  <c r="H248" i="55"/>
  <c r="G257" i="55"/>
  <c r="G171" i="55"/>
  <c r="H164" i="55"/>
  <c r="H255" i="55"/>
  <c r="S47" i="55"/>
  <c r="X80" i="53"/>
  <c r="H209" i="55"/>
  <c r="H254" i="55"/>
  <c r="R43" i="55"/>
  <c r="R13" i="55"/>
  <c r="S46" i="55"/>
  <c r="R79" i="55"/>
  <c r="S42" i="55"/>
  <c r="S101" i="55"/>
  <c r="S50" i="55"/>
  <c r="R105" i="55"/>
  <c r="S90" i="55"/>
  <c r="R74" i="55"/>
  <c r="T74" i="55" s="1"/>
  <c r="R58" i="55"/>
  <c r="R12" i="55"/>
  <c r="T12" i="55" s="1"/>
  <c r="R48" i="55"/>
  <c r="R16" i="55"/>
  <c r="R91" i="55"/>
  <c r="S7" i="55"/>
  <c r="R88" i="55"/>
  <c r="R10" i="55"/>
  <c r="S58" i="55"/>
  <c r="R19" i="55"/>
  <c r="G166" i="55"/>
  <c r="H258" i="55"/>
  <c r="G187" i="55"/>
  <c r="R257" i="55"/>
  <c r="R249" i="55"/>
  <c r="H193" i="55"/>
  <c r="H148" i="55"/>
  <c r="H149" i="55"/>
  <c r="R242" i="55"/>
  <c r="R238" i="55"/>
  <c r="H146" i="55"/>
  <c r="R25" i="55"/>
  <c r="H218" i="55"/>
  <c r="H132" i="55"/>
  <c r="G190" i="55"/>
  <c r="H256" i="55"/>
  <c r="R176" i="55"/>
  <c r="R192" i="55"/>
  <c r="R220" i="55"/>
  <c r="R226" i="55"/>
  <c r="R93" i="55"/>
  <c r="S234" i="55"/>
  <c r="G175" i="55"/>
  <c r="G216" i="55"/>
  <c r="S69" i="55"/>
  <c r="G140" i="55"/>
  <c r="H186" i="55"/>
  <c r="H180" i="55"/>
  <c r="G142" i="55"/>
  <c r="H228" i="55"/>
  <c r="H206" i="55"/>
  <c r="R92" i="55"/>
  <c r="R104" i="55"/>
  <c r="H182" i="55"/>
  <c r="G194" i="55"/>
  <c r="G207" i="55"/>
  <c r="H204" i="55"/>
  <c r="G151" i="55"/>
  <c r="R21" i="55"/>
  <c r="R187" i="55"/>
  <c r="R199" i="55"/>
  <c r="R217" i="55"/>
  <c r="R221" i="55"/>
  <c r="T221" i="55" s="1"/>
  <c r="R225" i="55"/>
  <c r="S45" i="55"/>
  <c r="G126" i="55"/>
  <c r="H159" i="55"/>
  <c r="G162" i="55"/>
  <c r="S85" i="55"/>
  <c r="S89" i="55"/>
  <c r="S81" i="55"/>
  <c r="R100" i="55"/>
  <c r="R87" i="55"/>
  <c r="R69" i="55"/>
  <c r="T69" i="55" s="1"/>
  <c r="H226" i="55"/>
  <c r="H178" i="55"/>
  <c r="H195" i="55"/>
  <c r="H185" i="55"/>
  <c r="H189" i="55"/>
  <c r="H128" i="55"/>
  <c r="H199" i="55"/>
  <c r="R98" i="55"/>
  <c r="S87" i="55"/>
  <c r="S88" i="55"/>
  <c r="R42" i="55"/>
  <c r="R203" i="55"/>
  <c r="R214" i="55"/>
  <c r="T214" i="55" s="1"/>
  <c r="G153" i="55"/>
  <c r="R94" i="55"/>
  <c r="R81" i="55"/>
  <c r="R40" i="55"/>
  <c r="R24" i="55"/>
  <c r="T24" i="55" s="1"/>
  <c r="R51" i="55"/>
  <c r="R77" i="55"/>
  <c r="R52" i="55"/>
  <c r="R216" i="55"/>
  <c r="R9" i="55"/>
  <c r="S54" i="55"/>
  <c r="R80" i="55"/>
  <c r="R27" i="55"/>
  <c r="R106" i="55"/>
  <c r="R110" i="55"/>
  <c r="R116" i="55"/>
  <c r="T116" i="55" s="1"/>
  <c r="R126" i="55"/>
  <c r="R130" i="55"/>
  <c r="R132" i="55"/>
  <c r="R134" i="55"/>
  <c r="R136" i="55"/>
  <c r="R144" i="55"/>
  <c r="R146" i="55"/>
  <c r="R161" i="55"/>
  <c r="S238" i="55"/>
  <c r="T238" i="55" s="1"/>
  <c r="R97" i="55"/>
  <c r="S134" i="55"/>
  <c r="S136" i="55"/>
  <c r="S146" i="55"/>
  <c r="R207" i="55"/>
  <c r="T207" i="55" s="1"/>
  <c r="S220" i="55"/>
  <c r="S235" i="55"/>
  <c r="T235" i="55" s="1"/>
  <c r="S84" i="55"/>
  <c r="R83" i="55"/>
  <c r="S49" i="55"/>
  <c r="R7" i="55"/>
  <c r="S92" i="55"/>
  <c r="R78" i="55"/>
  <c r="R18" i="55"/>
  <c r="R50" i="55"/>
  <c r="S52" i="55"/>
  <c r="S48" i="55"/>
  <c r="R66" i="55"/>
  <c r="G115" i="55"/>
  <c r="R8" i="55"/>
  <c r="R34" i="55"/>
  <c r="R38" i="55"/>
  <c r="R154" i="55"/>
  <c r="R169" i="55"/>
  <c r="R171" i="55"/>
  <c r="R175" i="55"/>
  <c r="T175" i="55" s="1"/>
  <c r="R194" i="55"/>
  <c r="R211" i="55"/>
  <c r="T211" i="55" s="1"/>
  <c r="R230" i="55"/>
  <c r="R245" i="55"/>
  <c r="R90" i="55"/>
  <c r="R73" i="55"/>
  <c r="R33" i="55"/>
  <c r="T33" i="55" s="1"/>
  <c r="R102" i="55"/>
  <c r="R204" i="55"/>
  <c r="R215" i="55"/>
  <c r="R243" i="55"/>
  <c r="T243" i="55" s="1"/>
  <c r="S25" i="55"/>
  <c r="R101" i="55"/>
  <c r="T101" i="55" s="1"/>
  <c r="R89" i="55"/>
  <c r="R72" i="55"/>
  <c r="R32" i="55"/>
  <c r="T32" i="55" s="1"/>
  <c r="R70" i="55"/>
  <c r="R47" i="55"/>
  <c r="R232" i="55"/>
  <c r="T232" i="55" s="1"/>
  <c r="H170" i="55"/>
  <c r="S100" i="55"/>
  <c r="R20" i="55"/>
  <c r="R107" i="55"/>
  <c r="R109" i="55"/>
  <c r="R111" i="55"/>
  <c r="R117" i="55"/>
  <c r="R119" i="55"/>
  <c r="R121" i="55"/>
  <c r="R131" i="55"/>
  <c r="R133" i="55"/>
  <c r="R135" i="55"/>
  <c r="R137" i="55"/>
  <c r="R143" i="55"/>
  <c r="R147" i="55"/>
  <c r="T147" i="55" s="1"/>
  <c r="R206" i="55"/>
  <c r="R219" i="55"/>
  <c r="R234" i="55"/>
  <c r="R99" i="55"/>
  <c r="T99" i="55" s="1"/>
  <c r="R85" i="55"/>
  <c r="R49" i="55"/>
  <c r="R45" i="55"/>
  <c r="S187" i="55"/>
  <c r="H108" i="55"/>
  <c r="G127" i="55"/>
  <c r="S102" i="55"/>
  <c r="R84" i="55"/>
  <c r="R46" i="55"/>
  <c r="R54" i="55"/>
  <c r="R151" i="55"/>
  <c r="R164" i="55"/>
  <c r="T164" i="55" s="1"/>
  <c r="R166" i="55"/>
  <c r="R210" i="55"/>
  <c r="S225" i="55"/>
  <c r="R172" i="55"/>
  <c r="T172" i="55" s="1"/>
  <c r="S176" i="55"/>
  <c r="G119" i="55"/>
  <c r="H136" i="55"/>
  <c r="G118" i="55"/>
  <c r="K169" i="55" a="1"/>
  <c r="K169" i="55" s="1"/>
  <c r="H34" i="55"/>
  <c r="H252" i="55"/>
  <c r="G239" i="55"/>
  <c r="H200" i="55"/>
  <c r="H215" i="55"/>
  <c r="H19" i="55"/>
  <c r="G202" i="55"/>
  <c r="G113" i="55"/>
  <c r="G173" i="55"/>
  <c r="G135" i="55"/>
  <c r="T231" i="55"/>
  <c r="T162" i="55"/>
  <c r="T197" i="55"/>
  <c r="T185" i="55"/>
  <c r="T181" i="55"/>
  <c r="T223" i="55"/>
  <c r="T250" i="55"/>
  <c r="T183" i="55"/>
  <c r="T186" i="55"/>
  <c r="N61" i="55" a="1"/>
  <c r="N61" i="55" s="1"/>
  <c r="H183" i="55"/>
  <c r="G141" i="55"/>
  <c r="H232" i="55"/>
  <c r="H250" i="55"/>
  <c r="G41" i="55"/>
  <c r="H143" i="55"/>
  <c r="G40" i="55"/>
  <c r="H22" i="55"/>
  <c r="H137" i="55"/>
  <c r="G65" i="55"/>
  <c r="N247" i="55" a="1"/>
  <c r="N247" i="55" s="1"/>
  <c r="K159" i="55" a="1"/>
  <c r="K159" i="55" s="1"/>
  <c r="H94" i="55"/>
  <c r="T35" i="55"/>
  <c r="T246" i="55"/>
  <c r="T179" i="55"/>
  <c r="G111" i="55"/>
  <c r="G20" i="55"/>
  <c r="H48" i="55"/>
  <c r="G13" i="59"/>
  <c r="M13" i="59" s="1"/>
  <c r="T253" i="55"/>
  <c r="K128" i="55" a="1"/>
  <c r="K128" i="55" s="1"/>
  <c r="O27" i="59"/>
  <c r="U27" i="59" s="1"/>
  <c r="T199" i="55"/>
  <c r="G55" i="55"/>
  <c r="K98" i="55" a="1"/>
  <c r="K98" i="55" s="1"/>
  <c r="K244" i="55" a="1"/>
  <c r="K244" i="55" s="1"/>
  <c r="K238" i="55" a="1"/>
  <c r="K238" i="55" s="1"/>
  <c r="H49" i="55"/>
  <c r="G235" i="55"/>
  <c r="H59" i="55"/>
  <c r="K199" i="55" a="1"/>
  <c r="K199" i="55" s="1"/>
  <c r="K142" i="55" a="1"/>
  <c r="K142" i="55" s="1"/>
  <c r="K197" i="55" a="1"/>
  <c r="K197" i="55" s="1"/>
  <c r="H80" i="55"/>
  <c r="N109" i="55" a="1"/>
  <c r="N109" i="55" s="1"/>
  <c r="H114" i="55"/>
  <c r="K254" i="55" a="1"/>
  <c r="K254" i="55" s="1"/>
  <c r="K235" i="55" a="1"/>
  <c r="K235" i="55" s="1"/>
  <c r="G188" i="55"/>
  <c r="K202" i="55" a="1"/>
  <c r="K202" i="55" s="1"/>
  <c r="H33" i="55"/>
  <c r="H163" i="55"/>
  <c r="G220" i="55"/>
  <c r="K215" i="55" a="1"/>
  <c r="K215" i="55" s="1"/>
  <c r="N200" i="55" a="1"/>
  <c r="N200" i="55" s="1"/>
  <c r="G27" i="59"/>
  <c r="M27" i="59" s="1"/>
  <c r="K209" i="55" a="1"/>
  <c r="K209" i="55" s="1"/>
  <c r="N220" i="55" a="1"/>
  <c r="N220" i="55" s="1"/>
  <c r="K17" i="55" a="1"/>
  <c r="K17" i="55" s="1"/>
  <c r="K146" i="55" a="1"/>
  <c r="K146" i="55" s="1"/>
  <c r="N114" i="55" a="1"/>
  <c r="N114" i="55" s="1"/>
  <c r="K34" i="55" a="1"/>
  <c r="K34" i="55" s="1"/>
  <c r="K216" i="55" a="1"/>
  <c r="K216" i="55" s="1"/>
  <c r="K237" i="55" a="1"/>
  <c r="K237" i="55" s="1"/>
  <c r="K115" i="55" a="1"/>
  <c r="K115" i="55" s="1"/>
  <c r="K173" i="55" a="1"/>
  <c r="K173" i="55" s="1"/>
  <c r="K89" i="55" a="1"/>
  <c r="K89" i="55" s="1"/>
  <c r="K109" i="55" a="1"/>
  <c r="K109" i="55" s="1"/>
  <c r="K245" i="55" a="1"/>
  <c r="K245" i="55" s="1"/>
  <c r="K193" i="55" a="1"/>
  <c r="K193" i="55" s="1"/>
  <c r="K126" i="55" a="1"/>
  <c r="K126" i="55" s="1"/>
  <c r="K242" i="55" a="1"/>
  <c r="K242" i="55" s="1"/>
  <c r="T171" i="55"/>
  <c r="T228" i="55"/>
  <c r="K228" i="55" a="1"/>
  <c r="K228" i="55" s="1"/>
  <c r="K164" i="55" a="1"/>
  <c r="K164" i="55" s="1"/>
  <c r="K41" i="55" a="1"/>
  <c r="K41" i="55" s="1"/>
  <c r="K166" i="55" a="1"/>
  <c r="K166" i="55" s="1"/>
  <c r="G43" i="55"/>
  <c r="K21" i="55" a="1"/>
  <c r="K21" i="55" s="1"/>
  <c r="K182" i="55" a="1"/>
  <c r="K182" i="55" s="1"/>
  <c r="N145" i="55" a="1"/>
  <c r="N145" i="55" s="1"/>
  <c r="N139" i="55" a="1"/>
  <c r="N139" i="55" s="1"/>
  <c r="K111" i="55" a="1"/>
  <c r="K111" i="55" s="1"/>
  <c r="K40" i="55" a="1"/>
  <c r="K40" i="55" s="1"/>
  <c r="K86" i="55" a="1"/>
  <c r="K86" i="55" s="1"/>
  <c r="K221" i="55" a="1"/>
  <c r="K221" i="55" s="1"/>
  <c r="K64" i="55" a="1"/>
  <c r="K64" i="55" s="1"/>
  <c r="K175" i="55" a="1"/>
  <c r="K175" i="55" s="1"/>
  <c r="K167" i="55" a="1"/>
  <c r="K167" i="55" s="1"/>
  <c r="K35" i="55" a="1"/>
  <c r="K35" i="55" s="1"/>
  <c r="K230" i="55" a="1"/>
  <c r="K230" i="55" s="1"/>
  <c r="K247" i="55" a="1"/>
  <c r="K247" i="55" s="1"/>
  <c r="K240" i="55" a="1"/>
  <c r="K240" i="55" s="1"/>
  <c r="K85" i="55" a="1"/>
  <c r="K85" i="55" s="1"/>
  <c r="G96" i="55"/>
  <c r="K144" i="55" a="1"/>
  <c r="K144" i="55" s="1"/>
  <c r="K171" i="55" a="1"/>
  <c r="K171" i="55" s="1"/>
  <c r="K140" i="55" a="1"/>
  <c r="K140" i="55" s="1"/>
  <c r="K153" i="55" a="1"/>
  <c r="K153" i="55" s="1"/>
  <c r="K225" i="55" a="1"/>
  <c r="K225" i="55" s="1"/>
  <c r="K33" i="55" a="1"/>
  <c r="K33" i="55" s="1"/>
  <c r="K137" i="55" a="1"/>
  <c r="K137" i="55" s="1"/>
  <c r="K198" i="55" a="1"/>
  <c r="K198" i="55" s="1"/>
  <c r="K151" i="55" a="1"/>
  <c r="K151" i="55" s="1"/>
  <c r="K207" i="55" a="1"/>
  <c r="K207" i="55" s="1"/>
  <c r="T66" i="55"/>
  <c r="N223" i="55" a="1"/>
  <c r="N223" i="55" s="1"/>
  <c r="N96" i="55" a="1"/>
  <c r="N96" i="55" s="1"/>
  <c r="N75" i="55" a="1"/>
  <c r="N75" i="55" s="1"/>
  <c r="O75" i="55" s="1"/>
  <c r="N254" i="55" a="1"/>
  <c r="N254" i="55" s="1"/>
  <c r="N78" i="55" a="1"/>
  <c r="N78" i="55" s="1"/>
  <c r="N224" i="55" a="1"/>
  <c r="N224" i="55" s="1"/>
  <c r="N175" i="55" a="1"/>
  <c r="N175" i="55" s="1"/>
  <c r="O175" i="55" s="1"/>
  <c r="N215" i="55" a="1"/>
  <c r="N215" i="55" s="1"/>
  <c r="O215" i="55" s="1"/>
  <c r="F22" i="59"/>
  <c r="N236" i="55" a="1"/>
  <c r="N236" i="55" s="1"/>
  <c r="N173" i="55" a="1"/>
  <c r="N173" i="55" s="1"/>
  <c r="T71" i="55"/>
  <c r="N37" i="55" a="1"/>
  <c r="N37" i="55" s="1"/>
  <c r="N32" i="55" a="1"/>
  <c r="N32" i="55" s="1"/>
  <c r="M59" i="55" a="1"/>
  <c r="M59" i="55" s="1"/>
  <c r="M186" i="55" a="1"/>
  <c r="M186" i="55" s="1"/>
  <c r="O186" i="55" s="1"/>
  <c r="M2" i="55"/>
  <c r="M103" i="55" a="1"/>
  <c r="M103" i="55" s="1"/>
  <c r="O103" i="55" s="1"/>
  <c r="M127" i="55" a="1"/>
  <c r="M127" i="55" s="1"/>
  <c r="O127" i="55" s="1"/>
  <c r="F6" i="59"/>
  <c r="F9" i="59"/>
  <c r="N14" i="55" a="1"/>
  <c r="N14" i="55" s="1"/>
  <c r="N256" i="55" a="1"/>
  <c r="N256" i="55" s="1"/>
  <c r="N30" i="55" a="1"/>
  <c r="N30" i="55" s="1"/>
  <c r="N111" i="55" a="1"/>
  <c r="N111" i="55" s="1"/>
  <c r="N198" i="55" a="1"/>
  <c r="N198" i="55" s="1"/>
  <c r="O20" i="59"/>
  <c r="U20" i="59" s="1"/>
  <c r="N106" i="55" a="1"/>
  <c r="N106" i="55" s="1"/>
  <c r="N104" i="55" a="1"/>
  <c r="N104" i="55" s="1"/>
  <c r="T76" i="55"/>
  <c r="G11" i="59"/>
  <c r="M11" i="59" s="1"/>
  <c r="N81" i="55" a="1"/>
  <c r="N81" i="55" s="1"/>
  <c r="O81" i="55" s="1"/>
  <c r="N11" i="59"/>
  <c r="N113" i="55" a="1"/>
  <c r="N113" i="55" s="1"/>
  <c r="F38" i="59"/>
  <c r="V38" i="59"/>
  <c r="K180" i="55" a="1"/>
  <c r="K180" i="55" s="1"/>
  <c r="K47" i="55" a="1"/>
  <c r="K47" i="55" s="1"/>
  <c r="K121" i="55" a="1"/>
  <c r="K121" i="55" s="1"/>
  <c r="K246" i="55" a="1"/>
  <c r="K246" i="55" s="1"/>
  <c r="N74" i="55" a="1"/>
  <c r="N74" i="55" s="1"/>
  <c r="G97" i="55"/>
  <c r="N17" i="55" a="1"/>
  <c r="N17" i="55" s="1"/>
  <c r="O17" i="55" s="1"/>
  <c r="M173" i="55" a="1"/>
  <c r="M173" i="55" s="1"/>
  <c r="M63" i="55" a="1"/>
  <c r="M63" i="55" s="1"/>
  <c r="O63" i="55" s="1"/>
  <c r="M200" i="55" a="1"/>
  <c r="M200" i="55" s="1"/>
  <c r="O200" i="55" s="1"/>
  <c r="N38" i="59"/>
  <c r="N144" i="55" a="1"/>
  <c r="N144" i="55" s="1"/>
  <c r="N24" i="59"/>
  <c r="F26" i="59"/>
  <c r="K60" i="55" a="1"/>
  <c r="K60" i="55" s="1"/>
  <c r="N189" i="55" a="1"/>
  <c r="N189" i="55" s="1"/>
  <c r="K127" i="55" a="1"/>
  <c r="K127" i="55" s="1"/>
  <c r="K13" i="55" a="1"/>
  <c r="K13" i="55" s="1"/>
  <c r="N240" i="55" a="1"/>
  <c r="N240" i="55" s="1"/>
  <c r="N73" i="55" a="1"/>
  <c r="N73" i="55" s="1"/>
  <c r="O73" i="55" s="1"/>
  <c r="M110" i="55" a="1"/>
  <c r="M110" i="55" s="1"/>
  <c r="M42" i="55" a="1"/>
  <c r="M42" i="55" s="1"/>
  <c r="M209" i="55" a="1"/>
  <c r="M209" i="55" s="1"/>
  <c r="O209" i="55" s="1"/>
  <c r="M277" i="55"/>
  <c r="M22" i="55" a="1"/>
  <c r="M22" i="55" s="1"/>
  <c r="F32" i="59"/>
  <c r="G5" i="59"/>
  <c r="K114" i="55" a="1"/>
  <c r="K114" i="55" s="1"/>
  <c r="N128" i="55" a="1"/>
  <c r="N128" i="55" s="1"/>
  <c r="T219" i="55"/>
  <c r="K22" i="55" a="1"/>
  <c r="K22" i="55" s="1"/>
  <c r="G21" i="59"/>
  <c r="L21" i="59" s="1"/>
  <c r="T21" i="55"/>
  <c r="G9" i="59"/>
  <c r="M9" i="59" s="1"/>
  <c r="F10" i="59"/>
  <c r="N27" i="55" a="1"/>
  <c r="N27" i="55" s="1"/>
  <c r="O27" i="55" s="1"/>
  <c r="T237" i="55"/>
  <c r="K119" i="55" a="1"/>
  <c r="K119" i="55" s="1"/>
  <c r="K65" i="55" a="1"/>
  <c r="K65" i="55" s="1"/>
  <c r="K49" i="55" a="1"/>
  <c r="K49" i="55" s="1"/>
  <c r="H7" i="55"/>
  <c r="G51" i="55"/>
  <c r="H93" i="55"/>
  <c r="K83" i="55" a="1"/>
  <c r="K83" i="55" s="1"/>
  <c r="H123" i="55"/>
  <c r="G13" i="55"/>
  <c r="K123" i="55" a="1"/>
  <c r="K123" i="55" s="1"/>
  <c r="K124" i="55" a="1"/>
  <c r="K124" i="55" s="1"/>
  <c r="H121" i="55"/>
  <c r="K84" i="55" a="1"/>
  <c r="K84" i="55" s="1"/>
  <c r="K76" i="55" a="1"/>
  <c r="K76" i="55" s="1"/>
  <c r="H21" i="55"/>
  <c r="K62" i="55" a="1"/>
  <c r="K62" i="55" s="1"/>
  <c r="G72" i="55"/>
  <c r="H89" i="55"/>
  <c r="K101" i="55" a="1"/>
  <c r="K101" i="55" s="1"/>
  <c r="H29" i="55"/>
  <c r="K108" i="55" a="1"/>
  <c r="K108" i="55" s="1"/>
  <c r="H106" i="55"/>
  <c r="K93" i="55" a="1"/>
  <c r="K93" i="55" s="1"/>
  <c r="K59" i="55" a="1"/>
  <c r="K59" i="55" s="1"/>
  <c r="T208" i="55"/>
  <c r="T110" i="55"/>
  <c r="T138" i="55"/>
  <c r="T174" i="55"/>
  <c r="K91" i="55" a="1"/>
  <c r="K91" i="55" s="1"/>
  <c r="M19" i="55" a="1"/>
  <c r="M19" i="55" s="1"/>
  <c r="K58" i="55" a="1"/>
  <c r="K58" i="55" s="1"/>
  <c r="M213" i="55" a="1"/>
  <c r="M213" i="55" s="1"/>
  <c r="O213" i="55" s="1"/>
  <c r="M29" i="55" a="1"/>
  <c r="M29" i="55" s="1"/>
  <c r="M257" i="55" a="1"/>
  <c r="M257" i="55" s="1"/>
  <c r="M138" i="55" a="1"/>
  <c r="M138" i="55" s="1"/>
  <c r="O138" i="55" s="1"/>
  <c r="M249" i="55" a="1"/>
  <c r="M249" i="55" s="1"/>
  <c r="M147" i="55" a="1"/>
  <c r="M147" i="55" s="1"/>
  <c r="M197" i="55" a="1"/>
  <c r="M197" i="55" s="1"/>
  <c r="O197" i="55" s="1"/>
  <c r="G23" i="59"/>
  <c r="M23" i="59" s="1"/>
  <c r="N20" i="59"/>
  <c r="K88" i="55" a="1"/>
  <c r="K88" i="55" s="1"/>
  <c r="H88" i="55"/>
  <c r="F36" i="59"/>
  <c r="T36" i="59"/>
  <c r="T55" i="55"/>
  <c r="T156" i="55"/>
  <c r="N23" i="59"/>
  <c r="M39" i="55" a="1"/>
  <c r="M39" i="55" s="1"/>
  <c r="K36" i="55" a="1"/>
  <c r="K36" i="55" s="1"/>
  <c r="T188" i="55"/>
  <c r="T83" i="55"/>
  <c r="G152" i="55"/>
  <c r="H152" i="55"/>
  <c r="K152" i="55" a="1"/>
  <c r="K152" i="55" s="1"/>
  <c r="G66" i="55"/>
  <c r="H66" i="55"/>
  <c r="K66" i="55" a="1"/>
  <c r="K66" i="55" s="1"/>
  <c r="L37" i="59"/>
  <c r="O22" i="59"/>
  <c r="U22" i="59" s="1"/>
  <c r="T38" i="55"/>
  <c r="K162" i="55" a="1"/>
  <c r="K162" i="55" s="1"/>
  <c r="N13" i="55" a="1"/>
  <c r="N13" i="55" s="1"/>
  <c r="N51" i="55" a="1"/>
  <c r="N51" i="55" s="1"/>
  <c r="O51" i="55" s="1"/>
  <c r="T67" i="55"/>
  <c r="T130" i="55"/>
  <c r="L33" i="59"/>
  <c r="G84" i="55"/>
  <c r="F11" i="59"/>
  <c r="K188" i="55" a="1"/>
  <c r="K188" i="55" s="1"/>
  <c r="N56" i="55" a="1"/>
  <c r="N56" i="55" s="1"/>
  <c r="N227" i="55" a="1"/>
  <c r="N227" i="55" s="1"/>
  <c r="K194" i="55" a="1"/>
  <c r="K194" i="55" s="1"/>
  <c r="N160" i="55" a="1"/>
  <c r="N160" i="55" s="1"/>
  <c r="K243" i="55" a="1"/>
  <c r="K243" i="55" s="1"/>
  <c r="N35" i="59"/>
  <c r="T27" i="59"/>
  <c r="F18" i="59"/>
  <c r="K20" i="55" a="1"/>
  <c r="K20" i="55" s="1"/>
  <c r="N103" i="55" a="1"/>
  <c r="N103" i="55" s="1"/>
  <c r="N22" i="55" a="1"/>
  <c r="N22" i="55" s="1"/>
  <c r="K132" i="55" a="1"/>
  <c r="K132" i="55" s="1"/>
  <c r="V21" i="59"/>
  <c r="N19" i="59"/>
  <c r="F24" i="59"/>
  <c r="N13" i="59"/>
  <c r="H85" i="55"/>
  <c r="F7" i="59"/>
  <c r="K248" i="55" a="1"/>
  <c r="K248" i="55" s="1"/>
  <c r="K200" i="55" a="1"/>
  <c r="K200" i="55" s="1"/>
  <c r="K80" i="55" a="1"/>
  <c r="K80" i="55" s="1"/>
  <c r="K208" i="55" a="1"/>
  <c r="K208" i="55" s="1"/>
  <c r="N233" i="55" a="1"/>
  <c r="N233" i="55" s="1"/>
  <c r="N50" i="55" a="1"/>
  <c r="N50" i="55" s="1"/>
  <c r="O50" i="55" s="1"/>
  <c r="K55" i="55" a="1"/>
  <c r="K55" i="55" s="1"/>
  <c r="N250" i="55" a="1"/>
  <c r="N250" i="55" s="1"/>
  <c r="T98" i="55"/>
  <c r="T96" i="55"/>
  <c r="N18" i="55" a="1"/>
  <c r="N18" i="55" s="1"/>
  <c r="T64" i="55"/>
  <c r="V27" i="59"/>
  <c r="F40" i="59"/>
  <c r="N127" i="55" a="1"/>
  <c r="N127" i="55" s="1"/>
  <c r="K106" i="55" a="1"/>
  <c r="K106" i="55" s="1"/>
  <c r="P2" i="53"/>
  <c r="N185" i="55" a="1"/>
  <c r="N185" i="55" s="1"/>
  <c r="V33" i="59"/>
  <c r="T148" i="55"/>
  <c r="T33" i="59"/>
  <c r="T82" i="55"/>
  <c r="L27" i="59"/>
  <c r="G44" i="55"/>
  <c r="N148" i="55" a="1"/>
  <c r="N148" i="55" s="1"/>
  <c r="K149" i="55" a="1"/>
  <c r="K149" i="55" s="1"/>
  <c r="K204" i="55" a="1"/>
  <c r="K204" i="55" s="1"/>
  <c r="K118" i="55" a="1"/>
  <c r="K118" i="55" s="1"/>
  <c r="N11" i="55" a="1"/>
  <c r="N11" i="55" s="1"/>
  <c r="O11" i="55" s="1"/>
  <c r="N165" i="55" a="1"/>
  <c r="N165" i="55" s="1"/>
  <c r="L68" i="55" a="1"/>
  <c r="L68" i="55" s="1"/>
  <c r="K223" i="55" a="1"/>
  <c r="K223" i="55" s="1"/>
  <c r="N221" i="55" a="1"/>
  <c r="N221" i="55" s="1"/>
  <c r="O221" i="55" s="1"/>
  <c r="O4" i="59"/>
  <c r="O19" i="59"/>
  <c r="T72" i="55"/>
  <c r="T200" i="55"/>
  <c r="T202" i="55"/>
  <c r="T75" i="55"/>
  <c r="T127" i="55"/>
  <c r="T114" i="55"/>
  <c r="T210" i="55"/>
  <c r="T51" i="55"/>
  <c r="T120" i="55"/>
  <c r="T126" i="55"/>
  <c r="T128" i="55"/>
  <c r="T248" i="55"/>
  <c r="G99" i="55"/>
  <c r="H57" i="55"/>
  <c r="G57" i="55"/>
  <c r="G227" i="55"/>
  <c r="H227" i="55"/>
  <c r="H45" i="55"/>
  <c r="K45" i="55" a="1"/>
  <c r="K45" i="55" s="1"/>
  <c r="K77" i="55" a="1"/>
  <c r="K77" i="55" s="1"/>
  <c r="G77" i="55"/>
  <c r="H77" i="55"/>
  <c r="G104" i="55"/>
  <c r="H28" i="55"/>
  <c r="O24" i="59"/>
  <c r="T24" i="59" s="1"/>
  <c r="V13" i="59"/>
  <c r="T13" i="59"/>
  <c r="N10" i="59"/>
  <c r="N12" i="59"/>
  <c r="O12" i="59"/>
  <c r="U12" i="59" s="1"/>
  <c r="O18" i="59"/>
  <c r="T18" i="59" s="1"/>
  <c r="O8" i="59"/>
  <c r="U8" i="59" s="1"/>
  <c r="T41" i="55"/>
  <c r="O7" i="59"/>
  <c r="T7" i="59" s="1"/>
  <c r="T168" i="55"/>
  <c r="T135" i="55"/>
  <c r="V11" i="59"/>
  <c r="V18" i="59"/>
  <c r="G98" i="55"/>
  <c r="T27" i="55"/>
  <c r="T152" i="55"/>
  <c r="V9" i="59"/>
  <c r="T70" i="55"/>
  <c r="T143" i="55"/>
  <c r="T18" i="55"/>
  <c r="T212" i="55"/>
  <c r="T236" i="55"/>
  <c r="T256" i="55"/>
  <c r="T254" i="55"/>
  <c r="V40" i="59"/>
  <c r="T89" i="55"/>
  <c r="T39" i="55"/>
  <c r="T167" i="55"/>
  <c r="T203" i="55"/>
  <c r="T48" i="55"/>
  <c r="T158" i="55"/>
  <c r="N18" i="59"/>
  <c r="I28" i="59"/>
  <c r="T173" i="55"/>
  <c r="G26" i="59"/>
  <c r="L26" i="59" s="1"/>
  <c r="G6" i="59"/>
  <c r="L6" i="59" s="1"/>
  <c r="T31" i="55"/>
  <c r="T22" i="55"/>
  <c r="T125" i="55"/>
  <c r="T68" i="55"/>
  <c r="T153" i="55"/>
  <c r="T160" i="55"/>
  <c r="V20" i="59"/>
  <c r="V22" i="59"/>
  <c r="G19" i="59"/>
  <c r="M19" i="59" s="1"/>
  <c r="T140" i="55"/>
  <c r="Q14" i="59"/>
  <c r="Q42" i="59"/>
  <c r="T257" i="55"/>
  <c r="T84" i="55"/>
  <c r="T87" i="55"/>
  <c r="T13" i="55"/>
  <c r="AE2" i="53"/>
  <c r="T108" i="55"/>
  <c r="T242" i="55"/>
  <c r="T240" i="55"/>
  <c r="T88" i="55"/>
  <c r="T15" i="55"/>
  <c r="T154" i="55"/>
  <c r="T182" i="55"/>
  <c r="T184" i="55"/>
  <c r="T249" i="55"/>
  <c r="Q2" i="55"/>
  <c r="T56" i="55"/>
  <c r="T201" i="55"/>
  <c r="T91" i="55"/>
  <c r="T63" i="55"/>
  <c r="O10" i="59"/>
  <c r="U10" i="59" s="1"/>
  <c r="T10" i="55"/>
  <c r="T169" i="55"/>
  <c r="T229" i="55"/>
  <c r="T28" i="55"/>
  <c r="T109" i="55"/>
  <c r="T8" i="55"/>
  <c r="T93" i="55"/>
  <c r="T44" i="55"/>
  <c r="T78" i="55"/>
  <c r="T105" i="55"/>
  <c r="T65" i="55"/>
  <c r="T26" i="55"/>
  <c r="T122" i="55"/>
  <c r="T144" i="55"/>
  <c r="T239" i="55"/>
  <c r="T103" i="55"/>
  <c r="T60" i="55"/>
  <c r="T19" i="55"/>
  <c r="T150" i="55"/>
  <c r="T255" i="55"/>
  <c r="T244" i="55"/>
  <c r="H68" i="55"/>
  <c r="K68" i="55" a="1"/>
  <c r="K68" i="55" s="1"/>
  <c r="G68" i="55"/>
  <c r="H156" i="55"/>
  <c r="K156" i="55" a="1"/>
  <c r="K156" i="55" s="1"/>
  <c r="G156" i="55"/>
  <c r="G125" i="55"/>
  <c r="K125" i="55" a="1"/>
  <c r="K125" i="55" s="1"/>
  <c r="H125" i="55"/>
  <c r="K46" i="55" a="1"/>
  <c r="K46" i="55" s="1"/>
  <c r="G46" i="55"/>
  <c r="H46" i="55"/>
  <c r="H74" i="55"/>
  <c r="G74" i="55"/>
  <c r="G30" i="55"/>
  <c r="K30" i="55" a="1"/>
  <c r="K30" i="55" s="1"/>
  <c r="H30" i="55"/>
  <c r="H11" i="55"/>
  <c r="G11" i="55"/>
  <c r="H82" i="55"/>
  <c r="G27" i="55"/>
  <c r="H9" i="55"/>
  <c r="K9" i="55" a="1"/>
  <c r="K9" i="55" s="1"/>
  <c r="G9" i="55"/>
  <c r="N181" i="55" a="1"/>
  <c r="N181" i="55" s="1"/>
  <c r="N40" i="59"/>
  <c r="S2" i="53"/>
  <c r="N34" i="55" a="1"/>
  <c r="N34" i="55" s="1"/>
  <c r="O34" i="55" s="1"/>
  <c r="N20" i="55" a="1"/>
  <c r="N20" i="55" s="1"/>
  <c r="O20" i="55" s="1"/>
  <c r="N44" i="55" a="1"/>
  <c r="N44" i="55" s="1"/>
  <c r="N225" i="55" a="1"/>
  <c r="N225" i="55" s="1"/>
  <c r="N205" i="55" a="1"/>
  <c r="N205" i="55" s="1"/>
  <c r="N88" i="55" a="1"/>
  <c r="N88" i="55" s="1"/>
  <c r="O88" i="55" s="1"/>
  <c r="N211" i="55" a="1"/>
  <c r="N211" i="55" s="1"/>
  <c r="N196" i="55" a="1"/>
  <c r="N196" i="55" s="1"/>
  <c r="N85" i="55" a="1"/>
  <c r="N85" i="55" s="1"/>
  <c r="N159" i="55" a="1"/>
  <c r="N159" i="55" s="1"/>
  <c r="N242" i="55" a="1"/>
  <c r="N242" i="55" s="1"/>
  <c r="N209" i="55" a="1"/>
  <c r="N209" i="55" s="1"/>
  <c r="N141" i="55" a="1"/>
  <c r="N141" i="55" s="1"/>
  <c r="K250" i="55" a="1"/>
  <c r="K250" i="55" s="1"/>
  <c r="O9" i="59"/>
  <c r="O23" i="59"/>
  <c r="T23" i="59" s="1"/>
  <c r="O26" i="59"/>
  <c r="U26" i="59" s="1"/>
  <c r="G12" i="59"/>
  <c r="M12" i="59" s="1"/>
  <c r="G25" i="59"/>
  <c r="L25" i="59" s="1"/>
  <c r="T62" i="55"/>
  <c r="T43" i="55"/>
  <c r="T119" i="55"/>
  <c r="T142" i="55"/>
  <c r="T151" i="55"/>
  <c r="T194" i="55"/>
  <c r="N26" i="59"/>
  <c r="N219" i="55" a="1"/>
  <c r="N219" i="55" s="1"/>
  <c r="N72" i="55" a="1"/>
  <c r="N72" i="55" s="1"/>
  <c r="O72" i="55" s="1"/>
  <c r="N161" i="55" a="1"/>
  <c r="N161" i="55" s="1"/>
  <c r="O161" i="55" s="1"/>
  <c r="N232" i="55" a="1"/>
  <c r="N232" i="55" s="1"/>
  <c r="N68" i="55" a="1"/>
  <c r="N68" i="55" s="1"/>
  <c r="N177" i="55" a="1"/>
  <c r="N177" i="55" s="1"/>
  <c r="H104" i="55"/>
  <c r="G54" i="55"/>
  <c r="N84" i="55" a="1"/>
  <c r="N84" i="55" s="1"/>
  <c r="O84" i="55" s="1"/>
  <c r="N82" i="55" a="1"/>
  <c r="N82" i="55" s="1"/>
  <c r="N166" i="55" a="1"/>
  <c r="N166" i="55" s="1"/>
  <c r="O166" i="55" s="1"/>
  <c r="N170" i="55" a="1"/>
  <c r="N170" i="55" s="1"/>
  <c r="N186" i="55" a="1"/>
  <c r="N186" i="55" s="1"/>
  <c r="N239" i="55" a="1"/>
  <c r="N239" i="55" s="1"/>
  <c r="N12" i="55" a="1"/>
  <c r="N12" i="55" s="1"/>
  <c r="N180" i="55" a="1"/>
  <c r="N180" i="55" s="1"/>
  <c r="N69" i="55" a="1"/>
  <c r="N69" i="55" s="1"/>
  <c r="N210" i="55" a="1"/>
  <c r="N210" i="55" s="1"/>
  <c r="O210" i="55" s="1"/>
  <c r="N178" i="55" a="1"/>
  <c r="N178" i="55" s="1"/>
  <c r="N179" i="55" a="1"/>
  <c r="N179" i="55" s="1"/>
  <c r="T133" i="55"/>
  <c r="T196" i="55"/>
  <c r="T198" i="55"/>
  <c r="T209" i="55"/>
  <c r="T216" i="55"/>
  <c r="T258" i="55"/>
  <c r="K87" i="55" a="1"/>
  <c r="K87" i="55" s="1"/>
  <c r="N182" i="55" a="1"/>
  <c r="N182" i="55" s="1"/>
  <c r="N246" i="55" a="1"/>
  <c r="N246" i="55" s="1"/>
  <c r="N238" i="55" a="1"/>
  <c r="N238" i="55" s="1"/>
  <c r="N203" i="55" a="1"/>
  <c r="N203" i="55" s="1"/>
  <c r="O203" i="55" s="1"/>
  <c r="N230" i="55" a="1"/>
  <c r="N230" i="55" s="1"/>
  <c r="N231" i="55" a="1"/>
  <c r="N231" i="55" s="1"/>
  <c r="O231" i="55" s="1"/>
  <c r="N33" i="55" a="1"/>
  <c r="N33" i="55" s="1"/>
  <c r="O33" i="55" s="1"/>
  <c r="N97" i="55" a="1"/>
  <c r="N97" i="55" s="1"/>
  <c r="Q277" i="55"/>
  <c r="N28" i="55" a="1"/>
  <c r="N28" i="55" s="1"/>
  <c r="N47" i="55" a="1"/>
  <c r="N47" i="55" s="1"/>
  <c r="O47" i="55" s="1"/>
  <c r="N192" i="55" a="1"/>
  <c r="N192" i="55" s="1"/>
  <c r="N48" i="55" a="1"/>
  <c r="N48" i="55" s="1"/>
  <c r="O48" i="55" s="1"/>
  <c r="N188" i="55" a="1"/>
  <c r="N188" i="55" s="1"/>
  <c r="N237" i="55" a="1"/>
  <c r="N237" i="55" s="1"/>
  <c r="O237" i="55" s="1"/>
  <c r="I2" i="55"/>
  <c r="T163" i="55"/>
  <c r="T165" i="55"/>
  <c r="T176" i="55"/>
  <c r="T189" i="55"/>
  <c r="T204" i="55"/>
  <c r="N80" i="55" a="1"/>
  <c r="N80" i="55" s="1"/>
  <c r="N163" i="55" a="1"/>
  <c r="N163" i="55" s="1"/>
  <c r="N206" i="55" a="1"/>
  <c r="N206" i="55" s="1"/>
  <c r="N64" i="55" a="1"/>
  <c r="N64" i="55" s="1"/>
  <c r="N191" i="55" a="1"/>
  <c r="N191" i="55" s="1"/>
  <c r="N8" i="55" a="1"/>
  <c r="N8" i="55" s="1"/>
  <c r="O8" i="55" s="1"/>
  <c r="N244" i="55" a="1"/>
  <c r="N244" i="55" s="1"/>
  <c r="N190" i="55" a="1"/>
  <c r="N190" i="55" s="1"/>
  <c r="T59" i="55"/>
  <c r="G87" i="55"/>
  <c r="H37" i="55"/>
  <c r="T218" i="55"/>
  <c r="K251" i="55" a="1"/>
  <c r="K251" i="55" s="1"/>
  <c r="K249" i="55" a="1"/>
  <c r="K249" i="55" s="1"/>
  <c r="K141" i="55" a="1"/>
  <c r="K141" i="55" s="1"/>
  <c r="T155" i="55"/>
  <c r="T180" i="55"/>
  <c r="T191" i="55"/>
  <c r="T206" i="55"/>
  <c r="T220" i="55"/>
  <c r="K222" i="55" a="1"/>
  <c r="K222" i="55" s="1"/>
  <c r="T247" i="55"/>
  <c r="T32" i="59"/>
  <c r="N147" i="55" a="1"/>
  <c r="N147" i="55" s="1"/>
  <c r="N152" i="55" a="1"/>
  <c r="N152" i="55" s="1"/>
  <c r="N143" i="55" a="1"/>
  <c r="N143" i="55" s="1"/>
  <c r="O143" i="55" s="1"/>
  <c r="X2" i="53"/>
  <c r="N93" i="55" a="1"/>
  <c r="N93" i="55" s="1"/>
  <c r="N208" i="55" a="1"/>
  <c r="N208" i="55" s="1"/>
  <c r="N26" i="55" a="1"/>
  <c r="N26" i="55" s="1"/>
  <c r="G45" i="55"/>
  <c r="N41" i="55" a="1"/>
  <c r="N41" i="55" s="1"/>
  <c r="N118" i="55" a="1"/>
  <c r="N118" i="55" s="1"/>
  <c r="N187" i="55" a="1"/>
  <c r="N187" i="55" s="1"/>
  <c r="N92" i="55" a="1"/>
  <c r="N92" i="55" s="1"/>
  <c r="N154" i="55" a="1"/>
  <c r="N154" i="55" s="1"/>
  <c r="N229" i="55" a="1"/>
  <c r="N229" i="55" s="1"/>
  <c r="N120" i="55" a="1"/>
  <c r="N120" i="55" s="1"/>
  <c r="N53" i="55" a="1"/>
  <c r="N53" i="55" s="1"/>
  <c r="O53" i="55" s="1"/>
  <c r="N10" i="55" a="1"/>
  <c r="N10" i="55" s="1"/>
  <c r="O10" i="55" s="1"/>
  <c r="N2" i="53"/>
  <c r="T30" i="55"/>
  <c r="P2" i="55"/>
  <c r="T36" i="55"/>
  <c r="T193" i="55"/>
  <c r="K203" i="55" a="1"/>
  <c r="K203" i="55" s="1"/>
  <c r="O236" i="55"/>
  <c r="T35" i="59"/>
  <c r="V7" i="59"/>
  <c r="N86" i="55" a="1"/>
  <c r="N86" i="55" s="1"/>
  <c r="N168" i="55" a="1"/>
  <c r="N168" i="55" s="1"/>
  <c r="N136" i="55" a="1"/>
  <c r="N136" i="55" s="1"/>
  <c r="N95" i="55" a="1"/>
  <c r="N95" i="55" s="1"/>
  <c r="N245" i="55" a="1"/>
  <c r="N245" i="55" s="1"/>
  <c r="O245" i="55" s="1"/>
  <c r="N16" i="55" a="1"/>
  <c r="N16" i="55" s="1"/>
  <c r="N105" i="55" a="1"/>
  <c r="N105" i="55" s="1"/>
  <c r="O105" i="55" s="1"/>
  <c r="N140" i="55" a="1"/>
  <c r="N140" i="55" s="1"/>
  <c r="N24" i="55" a="1"/>
  <c r="N24" i="55" s="1"/>
  <c r="N58" i="55" a="1"/>
  <c r="N58" i="55" s="1"/>
  <c r="O58" i="55" s="1"/>
  <c r="N124" i="55" a="1"/>
  <c r="N124" i="55" s="1"/>
  <c r="N212" i="55" a="1"/>
  <c r="N212" i="55" s="1"/>
  <c r="N235" i="55" a="1"/>
  <c r="N235" i="55" s="1"/>
  <c r="N36" i="55" a="1"/>
  <c r="N36" i="55" s="1"/>
  <c r="O36" i="55" s="1"/>
  <c r="N123" i="55" a="1"/>
  <c r="N123" i="55" s="1"/>
  <c r="N60" i="55" a="1"/>
  <c r="N60" i="55" s="1"/>
  <c r="N258" i="55" a="1"/>
  <c r="N258" i="55" s="1"/>
  <c r="N122" i="55" a="1"/>
  <c r="N122" i="55" s="1"/>
  <c r="T111" i="55"/>
  <c r="T132" i="55"/>
  <c r="T137" i="55"/>
  <c r="T139" i="55"/>
  <c r="T141" i="55"/>
  <c r="T195" i="55"/>
  <c r="T215" i="55"/>
  <c r="T224" i="55"/>
  <c r="T226" i="55"/>
  <c r="T241" i="55"/>
  <c r="N70" i="55" a="1"/>
  <c r="N70" i="55" s="1"/>
  <c r="N216" i="55" a="1"/>
  <c r="N216" i="55" s="1"/>
  <c r="O216" i="55" s="1"/>
  <c r="N119" i="55" a="1"/>
  <c r="N119" i="55" s="1"/>
  <c r="O119" i="55" s="1"/>
  <c r="N174" i="55" a="1"/>
  <c r="N174" i="55" s="1"/>
  <c r="N66" i="55" a="1"/>
  <c r="N66" i="55" s="1"/>
  <c r="O66" i="55" s="1"/>
  <c r="N134" i="55" a="1"/>
  <c r="N134" i="55" s="1"/>
  <c r="O134" i="55" s="1"/>
  <c r="G91" i="55"/>
  <c r="N172" i="55" a="1"/>
  <c r="N172" i="55" s="1"/>
  <c r="N207" i="55" a="1"/>
  <c r="N207" i="55" s="1"/>
  <c r="O207" i="55" s="1"/>
  <c r="N129" i="55" a="1"/>
  <c r="N129" i="55" s="1"/>
  <c r="N194" i="55" a="1"/>
  <c r="N194" i="55" s="1"/>
  <c r="N130" i="55" a="1"/>
  <c r="N130" i="55" s="1"/>
  <c r="N248" i="55" a="1"/>
  <c r="N248" i="55" s="1"/>
  <c r="N228" i="55" a="1"/>
  <c r="N228" i="55" s="1"/>
  <c r="N251" i="55" a="1"/>
  <c r="N251" i="55" s="1"/>
  <c r="O251" i="55" s="1"/>
  <c r="N201" i="55" a="1"/>
  <c r="N201" i="55" s="1"/>
  <c r="N255" i="55" a="1"/>
  <c r="N255" i="55" s="1"/>
  <c r="N54" i="55" a="1"/>
  <c r="N54" i="55" s="1"/>
  <c r="O54" i="55" s="1"/>
  <c r="G10" i="55"/>
  <c r="T118" i="55"/>
  <c r="K147" i="55" a="1"/>
  <c r="K147" i="55" s="1"/>
  <c r="T157" i="55"/>
  <c r="V35" i="59"/>
  <c r="N5" i="59"/>
  <c r="N9" i="59"/>
  <c r="N77" i="55" a="1"/>
  <c r="N77" i="55" s="1"/>
  <c r="N184" i="55" a="1"/>
  <c r="N184" i="55" s="1"/>
  <c r="N101" i="55" a="1"/>
  <c r="N101" i="55" s="1"/>
  <c r="N243" i="55" a="1"/>
  <c r="N243" i="55" s="1"/>
  <c r="O243" i="55" s="1"/>
  <c r="N76" i="55" a="1"/>
  <c r="N76" i="55" s="1"/>
  <c r="N110" i="55" a="1"/>
  <c r="N110" i="55" s="1"/>
  <c r="O110" i="55" s="1"/>
  <c r="N29" i="55" a="1"/>
  <c r="N29" i="55" s="1"/>
  <c r="K19" i="55" a="1"/>
  <c r="K19" i="55" s="1"/>
  <c r="N241" i="55" a="1"/>
  <c r="N241" i="55" s="1"/>
  <c r="N31" i="55" a="1"/>
  <c r="N31" i="55" s="1"/>
  <c r="O31" i="55" s="1"/>
  <c r="N98" i="55" a="1"/>
  <c r="N98" i="55" s="1"/>
  <c r="O98" i="55" s="1"/>
  <c r="N142" i="55" a="1"/>
  <c r="N142" i="55" s="1"/>
  <c r="N2" i="55"/>
  <c r="N162" i="55" a="1"/>
  <c r="N162" i="55" s="1"/>
  <c r="O162" i="55" s="1"/>
  <c r="N150" i="55" a="1"/>
  <c r="N150" i="55" s="1"/>
  <c r="O150" i="55" s="1"/>
  <c r="N156" i="55" a="1"/>
  <c r="N156" i="55" s="1"/>
  <c r="N65" i="55" a="1"/>
  <c r="N65" i="55" s="1"/>
  <c r="T17" i="55"/>
  <c r="T106" i="55"/>
  <c r="T113" i="55"/>
  <c r="T134" i="55"/>
  <c r="V10" i="59"/>
  <c r="K96" i="55" a="1"/>
  <c r="K96" i="55" s="1"/>
  <c r="N112" i="55" a="1"/>
  <c r="N112" i="55" s="1"/>
  <c r="N117" i="55" a="1"/>
  <c r="N117" i="55" s="1"/>
  <c r="N131" i="55" a="1"/>
  <c r="N131" i="55" s="1"/>
  <c r="N135" i="55" a="1"/>
  <c r="N135" i="55" s="1"/>
  <c r="O135" i="55" s="1"/>
  <c r="N89" i="55" a="1"/>
  <c r="N89" i="55" s="1"/>
  <c r="O89" i="55" s="1"/>
  <c r="N149" i="55" a="1"/>
  <c r="N149" i="55" s="1"/>
  <c r="N253" i="55" a="1"/>
  <c r="N253" i="55" s="1"/>
  <c r="N146" i="55" a="1"/>
  <c r="N146" i="55" s="1"/>
  <c r="K72" i="55" a="1"/>
  <c r="K72" i="55" s="1"/>
  <c r="N164" i="55" a="1"/>
  <c r="N164" i="55" s="1"/>
  <c r="O164" i="55" s="1"/>
  <c r="N40" i="55" a="1"/>
  <c r="N40" i="55" s="1"/>
  <c r="N15" i="55" a="1"/>
  <c r="N15" i="55" s="1"/>
  <c r="O15" i="55" s="1"/>
  <c r="N39" i="55" a="1"/>
  <c r="N39" i="55" s="1"/>
  <c r="N55" i="55" a="1"/>
  <c r="N55" i="55" s="1"/>
  <c r="N195" i="55" a="1"/>
  <c r="N195" i="55" s="1"/>
  <c r="T50" i="55"/>
  <c r="T115" i="55"/>
  <c r="T145" i="55"/>
  <c r="T177" i="55"/>
  <c r="K181" i="55" a="1"/>
  <c r="K181" i="55" s="1"/>
  <c r="L34" i="59"/>
  <c r="V6" i="59"/>
  <c r="N91" i="55" a="1"/>
  <c r="N91" i="55" s="1"/>
  <c r="N125" i="55" a="1"/>
  <c r="N125" i="55" s="1"/>
  <c r="N71" i="55" a="1"/>
  <c r="N71" i="55" s="1"/>
  <c r="N169" i="55" a="1"/>
  <c r="N169" i="55" s="1"/>
  <c r="O169" i="55" s="1"/>
  <c r="N99" i="55" a="1"/>
  <c r="N99" i="55" s="1"/>
  <c r="N9" i="55" a="1"/>
  <c r="N9" i="55" s="1"/>
  <c r="N21" i="55" a="1"/>
  <c r="N21" i="55" s="1"/>
  <c r="N42" i="55" a="1"/>
  <c r="N42" i="55" s="1"/>
  <c r="N249" i="55" a="1"/>
  <c r="N249" i="55" s="1"/>
  <c r="N204" i="55" a="1"/>
  <c r="N204" i="55" s="1"/>
  <c r="N46" i="55" a="1"/>
  <c r="N46" i="55" s="1"/>
  <c r="O46" i="55" s="1"/>
  <c r="N176" i="55" a="1"/>
  <c r="N176" i="55" s="1"/>
  <c r="N23" i="55" a="1"/>
  <c r="N23" i="55" s="1"/>
  <c r="N171" i="55" a="1"/>
  <c r="N171" i="55" s="1"/>
  <c r="N234" i="55" a="1"/>
  <c r="N234" i="55" s="1"/>
  <c r="O234" i="55" s="1"/>
  <c r="N158" i="55" a="1"/>
  <c r="N158" i="55" s="1"/>
  <c r="I277" i="55"/>
  <c r="N100" i="55" a="1"/>
  <c r="N100" i="55" s="1"/>
  <c r="K50" i="55" a="1"/>
  <c r="K50" i="55" s="1"/>
  <c r="K241" i="55" a="1"/>
  <c r="K241" i="55" s="1"/>
  <c r="L41" i="59"/>
  <c r="N222" i="55" a="1"/>
  <c r="N222" i="55" s="1"/>
  <c r="N132" i="55" a="1"/>
  <c r="N132" i="55" s="1"/>
  <c r="N115" i="55" a="1"/>
  <c r="N115" i="55" s="1"/>
  <c r="N116" i="55" a="1"/>
  <c r="N116" i="55" s="1"/>
  <c r="N7" i="55" a="1"/>
  <c r="N7" i="55" s="1"/>
  <c r="O7" i="55" s="1"/>
  <c r="N107" i="55" a="1"/>
  <c r="N107" i="55" s="1"/>
  <c r="O107" i="55" s="1"/>
  <c r="N83" i="55" a="1"/>
  <c r="N83" i="55" s="1"/>
  <c r="K99" i="55" a="1"/>
  <c r="K99" i="55" s="1"/>
  <c r="H99" i="55"/>
  <c r="N218" i="55" a="1"/>
  <c r="N218" i="55" s="1"/>
  <c r="N155" i="55" a="1"/>
  <c r="N155" i="55" s="1"/>
  <c r="N45" i="55" a="1"/>
  <c r="N45" i="55" s="1"/>
  <c r="N108" i="55" a="1"/>
  <c r="N108" i="55" s="1"/>
  <c r="N38" i="55" a="1"/>
  <c r="N38" i="55" s="1"/>
  <c r="N49" i="55" a="1"/>
  <c r="N49" i="55" s="1"/>
  <c r="N213" i="55" a="1"/>
  <c r="N213" i="55" s="1"/>
  <c r="N79" i="55" a="1"/>
  <c r="N79" i="55" s="1"/>
  <c r="O79" i="55" s="1"/>
  <c r="N202" i="55" a="1"/>
  <c r="N202" i="55" s="1"/>
  <c r="T54" i="55"/>
  <c r="K174" i="55" a="1"/>
  <c r="K174" i="55" s="1"/>
  <c r="T190" i="55"/>
  <c r="N39" i="59"/>
  <c r="N32" i="59"/>
  <c r="N138" i="55" a="1"/>
  <c r="N138" i="55" s="1"/>
  <c r="N87" i="55" a="1"/>
  <c r="N87" i="55" s="1"/>
  <c r="N277" i="55"/>
  <c r="N25" i="55" a="1"/>
  <c r="N25" i="55" s="1"/>
  <c r="N157" i="55" a="1"/>
  <c r="N157" i="55" s="1"/>
  <c r="N197" i="55" a="1"/>
  <c r="N197" i="55" s="1"/>
  <c r="N43" i="55" a="1"/>
  <c r="N43" i="55" s="1"/>
  <c r="N67" i="55" a="1"/>
  <c r="N67" i="55" s="1"/>
  <c r="N94" i="55" a="1"/>
  <c r="N94" i="55" s="1"/>
  <c r="O94" i="55" s="1"/>
  <c r="N226" i="55" a="1"/>
  <c r="N226" i="55" s="1"/>
  <c r="O226" i="55" s="1"/>
  <c r="N133" i="55" a="1"/>
  <c r="N133" i="55" s="1"/>
  <c r="N252" i="55" a="1"/>
  <c r="N252" i="55" s="1"/>
  <c r="N217" i="55" a="1"/>
  <c r="N217" i="55" s="1"/>
  <c r="O217" i="55" s="1"/>
  <c r="N102" i="55" a="1"/>
  <c r="N102" i="55" s="1"/>
  <c r="N62" i="55" a="1"/>
  <c r="N62" i="55" s="1"/>
  <c r="T97" i="55"/>
  <c r="K18" i="55" a="1"/>
  <c r="K18" i="55" s="1"/>
  <c r="T131" i="55"/>
  <c r="K239" i="55" a="1"/>
  <c r="K239" i="55" s="1"/>
  <c r="K44" i="55" a="1"/>
  <c r="K44" i="55" s="1"/>
  <c r="N121" i="55" a="1"/>
  <c r="N121" i="55" s="1"/>
  <c r="N52" i="55" a="1"/>
  <c r="N52" i="55" s="1"/>
  <c r="O52" i="55" s="1"/>
  <c r="N57" i="55" a="1"/>
  <c r="N57" i="55" s="1"/>
  <c r="O57" i="55" s="1"/>
  <c r="N63" i="55" a="1"/>
  <c r="N63" i="55" s="1"/>
  <c r="N153" i="55" a="1"/>
  <c r="N153" i="55" s="1"/>
  <c r="N199" i="55" a="1"/>
  <c r="N199" i="55" s="1"/>
  <c r="O199" i="55" s="1"/>
  <c r="N151" i="55" a="1"/>
  <c r="N151" i="55" s="1"/>
  <c r="N126" i="55" a="1"/>
  <c r="N126" i="55" s="1"/>
  <c r="N35" i="55" a="1"/>
  <c r="N35" i="55" s="1"/>
  <c r="N193" i="55" a="1"/>
  <c r="N193" i="55" s="1"/>
  <c r="N183" i="55" a="1"/>
  <c r="N183" i="55" s="1"/>
  <c r="N90" i="55" a="1"/>
  <c r="N90" i="55" s="1"/>
  <c r="N214" i="55" a="1"/>
  <c r="N214" i="55" s="1"/>
  <c r="O214" i="55" s="1"/>
  <c r="N137" i="55" a="1"/>
  <c r="N137" i="55" s="1"/>
  <c r="O137" i="55" s="1"/>
  <c r="T80" i="55"/>
  <c r="T46" i="55"/>
  <c r="T29" i="55"/>
  <c r="T11" i="55"/>
  <c r="T104" i="55"/>
  <c r="T124" i="55"/>
  <c r="T159" i="55"/>
  <c r="T192" i="55"/>
  <c r="L5" i="59"/>
  <c r="T94" i="55"/>
  <c r="G22" i="59"/>
  <c r="L22" i="59" s="1"/>
  <c r="G18" i="59"/>
  <c r="M18" i="59" s="1"/>
  <c r="T79" i="55"/>
  <c r="T251" i="55"/>
  <c r="T16" i="55"/>
  <c r="T252" i="55"/>
  <c r="T86" i="55"/>
  <c r="T100" i="55"/>
  <c r="T9" i="55"/>
  <c r="T47" i="55"/>
  <c r="T222" i="55"/>
  <c r="V12" i="59"/>
  <c r="T14" i="55"/>
  <c r="T107" i="55"/>
  <c r="T112" i="55"/>
  <c r="T149" i="55"/>
  <c r="T129" i="55"/>
  <c r="O42" i="59"/>
  <c r="U42" i="59" s="1"/>
  <c r="O21" i="59"/>
  <c r="U21" i="59" s="1"/>
  <c r="T45" i="55"/>
  <c r="T20" i="55"/>
  <c r="T102" i="55"/>
  <c r="T217" i="55"/>
  <c r="T73" i="55"/>
  <c r="T37" i="55"/>
  <c r="T205" i="55"/>
  <c r="T230" i="55"/>
  <c r="T95" i="55"/>
  <c r="T61" i="55"/>
  <c r="T23" i="55"/>
  <c r="T245" i="55"/>
  <c r="T123" i="55"/>
  <c r="T170" i="55"/>
  <c r="T77" i="55"/>
  <c r="H70" i="55"/>
  <c r="G70" i="55"/>
  <c r="K70" i="55" a="1"/>
  <c r="K70" i="55" s="1"/>
  <c r="K31" i="55" a="1"/>
  <c r="K31" i="55" s="1"/>
  <c r="G31" i="55"/>
  <c r="H31" i="55"/>
  <c r="G160" i="55"/>
  <c r="K160" i="55" a="1"/>
  <c r="K160" i="55" s="1"/>
  <c r="H160" i="55"/>
  <c r="H157" i="55"/>
  <c r="G157" i="55"/>
  <c r="H122" i="55"/>
  <c r="G122" i="55"/>
  <c r="K122" i="55" a="1"/>
  <c r="K122" i="55" s="1"/>
  <c r="K138" i="55" a="1"/>
  <c r="K138" i="55" s="1"/>
  <c r="H138" i="55"/>
  <c r="G138" i="55"/>
  <c r="G92" i="55"/>
  <c r="K92" i="55" a="1"/>
  <c r="K92" i="55" s="1"/>
  <c r="H92" i="55"/>
  <c r="H154" i="55"/>
  <c r="G154" i="55"/>
  <c r="K154" i="55" a="1"/>
  <c r="K154" i="55" s="1"/>
  <c r="H177" i="55"/>
  <c r="K177" i="55" a="1"/>
  <c r="K177" i="55" s="1"/>
  <c r="G177" i="55"/>
  <c r="K95" i="55" a="1"/>
  <c r="K95" i="55" s="1"/>
  <c r="H95" i="55"/>
  <c r="G95" i="55"/>
  <c r="G12" i="55"/>
  <c r="H12" i="55"/>
  <c r="K12" i="55" a="1"/>
  <c r="K12" i="55" s="1"/>
  <c r="G168" i="55"/>
  <c r="K168" i="55" a="1"/>
  <c r="K168" i="55" s="1"/>
  <c r="H168" i="55"/>
  <c r="H26" i="55"/>
  <c r="G26" i="55"/>
  <c r="K26" i="55" a="1"/>
  <c r="K26" i="55" s="1"/>
  <c r="H214" i="55"/>
  <c r="G214" i="55"/>
  <c r="H79" i="55"/>
  <c r="G79" i="55"/>
  <c r="G100" i="55"/>
  <c r="K100" i="55" a="1"/>
  <c r="K100" i="55" s="1"/>
  <c r="H100" i="55"/>
  <c r="H73" i="55"/>
  <c r="G73" i="55"/>
  <c r="K73" i="55" a="1"/>
  <c r="K73" i="55" s="1"/>
  <c r="G139" i="55"/>
  <c r="H139" i="55"/>
  <c r="K139" i="55" a="1"/>
  <c r="K139" i="55" s="1"/>
  <c r="G176" i="55"/>
  <c r="K176" i="55" a="1"/>
  <c r="K176" i="55" s="1"/>
  <c r="H176" i="55"/>
  <c r="G53" i="55"/>
  <c r="H53" i="55"/>
  <c r="G52" i="55"/>
  <c r="H52" i="55"/>
  <c r="K52" i="55" a="1"/>
  <c r="K52" i="55" s="1"/>
  <c r="H191" i="55"/>
  <c r="G155" i="55"/>
  <c r="K94" i="55" a="1"/>
  <c r="K94" i="55" s="1"/>
  <c r="K82" i="55" a="1"/>
  <c r="K82" i="55" s="1"/>
  <c r="G8" i="55"/>
  <c r="H181" i="55"/>
  <c r="H63" i="55"/>
  <c r="K63" i="55" a="1"/>
  <c r="K63" i="55" s="1"/>
  <c r="H64" i="55"/>
  <c r="K67" i="55" a="1"/>
  <c r="K67" i="55" s="1"/>
  <c r="G50" i="55"/>
  <c r="H233" i="55"/>
  <c r="K170" i="55" a="1"/>
  <c r="K170" i="55" s="1"/>
  <c r="H158" i="55"/>
  <c r="K71" i="55" a="1"/>
  <c r="K71" i="55" s="1"/>
  <c r="H90" i="55"/>
  <c r="K103" i="55" a="1"/>
  <c r="K103" i="55" s="1"/>
  <c r="K233" i="55" a="1"/>
  <c r="K233" i="55" s="1"/>
  <c r="G101" i="55"/>
  <c r="G105" i="55"/>
  <c r="K28" i="55" a="1"/>
  <c r="K28" i="55" s="1"/>
  <c r="H144" i="55"/>
  <c r="G150" i="55"/>
  <c r="G210" i="55"/>
  <c r="H86" i="55"/>
  <c r="G28" i="55"/>
  <c r="K105" i="55" a="1"/>
  <c r="K105" i="55" s="1"/>
  <c r="H81" i="55"/>
  <c r="K48" i="55" a="1"/>
  <c r="K48" i="55" s="1"/>
  <c r="H75" i="55"/>
  <c r="K155" i="55" a="1"/>
  <c r="K155" i="55" s="1"/>
  <c r="H249" i="55"/>
  <c r="K54" i="55" a="1"/>
  <c r="K54" i="55" s="1"/>
  <c r="G47" i="55"/>
  <c r="K104" i="55" a="1"/>
  <c r="K104" i="55" s="1"/>
  <c r="G109" i="55"/>
  <c r="G17" i="55"/>
  <c r="G161" i="55"/>
  <c r="G249" i="55"/>
  <c r="K107" i="55" a="1"/>
  <c r="K107" i="55" s="1"/>
  <c r="K90" i="55" a="1"/>
  <c r="K90" i="55" s="1"/>
  <c r="H242" i="55"/>
  <c r="H83" i="55"/>
  <c r="H222" i="55"/>
  <c r="G197" i="55"/>
  <c r="K81" i="55" a="1"/>
  <c r="K81" i="55" s="1"/>
  <c r="H134" i="55"/>
  <c r="G67" i="55"/>
  <c r="K75" i="55" a="1"/>
  <c r="K75" i="55" s="1"/>
  <c r="G251" i="55"/>
  <c r="K129" i="55" a="1"/>
  <c r="K129" i="55" s="1"/>
  <c r="G58" i="55"/>
  <c r="H38" i="55"/>
  <c r="K38" i="55" a="1"/>
  <c r="K38" i="55" s="1"/>
  <c r="G129" i="55"/>
  <c r="K134" i="55" a="1"/>
  <c r="K134" i="55" s="1"/>
  <c r="G76" i="55"/>
  <c r="H62" i="55"/>
  <c r="H124" i="55"/>
  <c r="H36" i="55"/>
  <c r="G39" i="55"/>
  <c r="H224" i="55"/>
  <c r="H179" i="55"/>
  <c r="H208" i="55"/>
  <c r="G133" i="55"/>
  <c r="G82" i="55"/>
  <c r="H107" i="55"/>
  <c r="H35" i="55"/>
  <c r="K113" i="55" a="1"/>
  <c r="K113" i="55" s="1"/>
  <c r="H213" i="55"/>
  <c r="G131" i="55"/>
  <c r="H18" i="55"/>
  <c r="G18" i="55"/>
  <c r="T49" i="55"/>
  <c r="H117" i="55"/>
  <c r="G117" i="55"/>
  <c r="K117" i="55" a="1"/>
  <c r="K117" i="55" s="1"/>
  <c r="H201" i="55"/>
  <c r="G201" i="55"/>
  <c r="K201" i="55" a="1"/>
  <c r="K201" i="55" s="1"/>
  <c r="R53" i="55"/>
  <c r="T53" i="55" s="1"/>
  <c r="K53" i="55" a="1"/>
  <c r="K53" i="55" s="1"/>
  <c r="G10" i="59"/>
  <c r="M10" i="59" s="1"/>
  <c r="G24" i="59"/>
  <c r="G172" i="55"/>
  <c r="K172" i="55" a="1"/>
  <c r="K172" i="55" s="1"/>
  <c r="H172" i="55"/>
  <c r="G174" i="55"/>
  <c r="H174" i="55"/>
  <c r="F12" i="59"/>
  <c r="F23" i="59"/>
  <c r="T37" i="59"/>
  <c r="K61" i="55" a="1"/>
  <c r="K61" i="55" s="1"/>
  <c r="H61" i="55"/>
  <c r="G61" i="55"/>
  <c r="H165" i="55"/>
  <c r="G165" i="55"/>
  <c r="K165" i="55" a="1"/>
  <c r="K165" i="55" s="1"/>
  <c r="G217" i="55"/>
  <c r="H217" i="55"/>
  <c r="K217" i="55" a="1"/>
  <c r="K217" i="55" s="1"/>
  <c r="M5" i="59"/>
  <c r="F37" i="59"/>
  <c r="K78" i="55" a="1"/>
  <c r="K78" i="55" s="1"/>
  <c r="G78" i="55"/>
  <c r="H78" i="55"/>
  <c r="G60" i="55"/>
  <c r="H60" i="55"/>
  <c r="H102" i="55"/>
  <c r="K102" i="55" a="1"/>
  <c r="K102" i="55" s="1"/>
  <c r="G102" i="55"/>
  <c r="H25" i="55"/>
  <c r="K25" i="55" a="1"/>
  <c r="K25" i="55" s="1"/>
  <c r="G25" i="55"/>
  <c r="G116" i="55"/>
  <c r="H116" i="55"/>
  <c r="K116" i="55" a="1"/>
  <c r="K116" i="55" s="1"/>
  <c r="K24" i="55" a="1"/>
  <c r="K24" i="55" s="1"/>
  <c r="G24" i="55"/>
  <c r="G32" i="55"/>
  <c r="K32" i="55" a="1"/>
  <c r="K32" i="55" s="1"/>
  <c r="H14" i="59"/>
  <c r="H8" i="55"/>
  <c r="K8" i="55" a="1"/>
  <c r="K8" i="55" s="1"/>
  <c r="G42" i="55"/>
  <c r="K42" i="55" a="1"/>
  <c r="K42" i="55" s="1"/>
  <c r="H42" i="55"/>
  <c r="F20" i="59"/>
  <c r="G130" i="55"/>
  <c r="K130" i="55" a="1"/>
  <c r="K130" i="55" s="1"/>
  <c r="H130" i="55"/>
  <c r="N6" i="59"/>
  <c r="G56" i="55"/>
  <c r="K56" i="55" a="1"/>
  <c r="K56" i="55" s="1"/>
  <c r="K120" i="55" a="1"/>
  <c r="K120" i="55" s="1"/>
  <c r="H120" i="55"/>
  <c r="K229" i="55" a="1"/>
  <c r="K229" i="55" s="1"/>
  <c r="G229" i="55"/>
  <c r="G236" i="55"/>
  <c r="K236" i="55" a="1"/>
  <c r="K236" i="55" s="1"/>
  <c r="H236" i="55"/>
  <c r="V41" i="59"/>
  <c r="F41" i="59"/>
  <c r="G110" i="55"/>
  <c r="H110" i="55"/>
  <c r="K110" i="55" a="1"/>
  <c r="K110" i="55" s="1"/>
  <c r="R227" i="55"/>
  <c r="T227" i="55" s="1"/>
  <c r="K227" i="55" a="1"/>
  <c r="K227" i="55" s="1"/>
  <c r="S37" i="59"/>
  <c r="O13" i="59"/>
  <c r="U13" i="59" s="1"/>
  <c r="S40" i="59"/>
  <c r="S25" i="59"/>
  <c r="P37" i="59"/>
  <c r="P40" i="59"/>
  <c r="D41" i="59"/>
  <c r="D42" i="59" s="1"/>
  <c r="G32" i="59"/>
  <c r="E21" i="59"/>
  <c r="B4" i="59"/>
  <c r="B14" i="59" s="1"/>
  <c r="B25" i="59"/>
  <c r="H33" i="59"/>
  <c r="K33" i="59"/>
  <c r="K42" i="59" s="1"/>
  <c r="D20" i="59"/>
  <c r="D28" i="59" s="1"/>
  <c r="S8" i="59"/>
  <c r="P19" i="59"/>
  <c r="H22" i="59"/>
  <c r="N22" i="59" s="1"/>
  <c r="S11" i="59"/>
  <c r="H27" i="59"/>
  <c r="P24" i="59"/>
  <c r="G8" i="59"/>
  <c r="I7" i="59"/>
  <c r="N7" i="59" s="1"/>
  <c r="S35" i="59"/>
  <c r="G34" i="59"/>
  <c r="M34" i="59" s="1"/>
  <c r="O25" i="59"/>
  <c r="K226" i="55" a="1"/>
  <c r="K226" i="55" s="1"/>
  <c r="K206" i="55" a="1"/>
  <c r="K206" i="55" s="1"/>
  <c r="K195" i="55" a="1"/>
  <c r="K195" i="55" s="1"/>
  <c r="T121" i="55"/>
  <c r="G253" i="55"/>
  <c r="H253" i="55"/>
  <c r="K253" i="55" a="1"/>
  <c r="K253" i="55" s="1"/>
  <c r="K219" i="55" a="1"/>
  <c r="K219" i="55" s="1"/>
  <c r="G219" i="55"/>
  <c r="H196" i="55"/>
  <c r="G196" i="55"/>
  <c r="K196" i="55" a="1"/>
  <c r="K196" i="55" s="1"/>
  <c r="G198" i="55"/>
  <c r="H198" i="55"/>
  <c r="P8" i="59"/>
  <c r="V8" i="59" s="1"/>
  <c r="J33" i="59"/>
  <c r="J42" i="59" s="1"/>
  <c r="K224" i="55" a="1"/>
  <c r="K224" i="55" s="1"/>
  <c r="G69" i="55"/>
  <c r="K69" i="55" a="1"/>
  <c r="K69" i="55" s="1"/>
  <c r="T178" i="55"/>
  <c r="G230" i="55"/>
  <c r="H230" i="55"/>
  <c r="J19" i="59"/>
  <c r="Z2" i="53"/>
  <c r="S36" i="59"/>
  <c r="D7" i="59"/>
  <c r="K27" i="59"/>
  <c r="R34" i="59"/>
  <c r="R32" i="59"/>
  <c r="H25" i="59"/>
  <c r="C4" i="59"/>
  <c r="J5" i="59"/>
  <c r="C36" i="59"/>
  <c r="K8" i="59"/>
  <c r="K14" i="59" s="1"/>
  <c r="P36" i="59"/>
  <c r="P26" i="59"/>
  <c r="V26" i="59" s="1"/>
  <c r="S20" i="59"/>
  <c r="P4" i="59"/>
  <c r="P23" i="59"/>
  <c r="B34" i="59"/>
  <c r="I41" i="59"/>
  <c r="J11" i="59"/>
  <c r="C8" i="59"/>
  <c r="N8" i="59" s="1"/>
  <c r="R8" i="59"/>
  <c r="R14" i="59" s="1"/>
  <c r="I35" i="59"/>
  <c r="E38" i="59"/>
  <c r="E42" i="59" s="1"/>
  <c r="E8" i="59"/>
  <c r="F8" i="59" s="1"/>
  <c r="O6" i="59"/>
  <c r="K43" i="55" a="1"/>
  <c r="K43" i="55" s="1"/>
  <c r="G15" i="55"/>
  <c r="K15" i="55" a="1"/>
  <c r="K15" i="55" s="1"/>
  <c r="G184" i="55"/>
  <c r="K184" i="55" a="1"/>
  <c r="K184" i="55" s="1"/>
  <c r="H184" i="55"/>
  <c r="G191" i="55"/>
  <c r="K191" i="55" a="1"/>
  <c r="K191" i="55" s="1"/>
  <c r="H27" i="55"/>
  <c r="K27" i="55" a="1"/>
  <c r="K27" i="55" s="1"/>
  <c r="G14" i="55"/>
  <c r="H14" i="55"/>
  <c r="K14" i="55" a="1"/>
  <c r="K14" i="55" s="1"/>
  <c r="K136" i="55" a="1"/>
  <c r="K136" i="55" s="1"/>
  <c r="O225" i="55"/>
  <c r="H211" i="55"/>
  <c r="K211" i="55" a="1"/>
  <c r="K211" i="55" s="1"/>
  <c r="G237" i="55"/>
  <c r="O11" i="59"/>
  <c r="I32" i="59"/>
  <c r="B19" i="59"/>
  <c r="P5" i="59"/>
  <c r="V5" i="59" s="1"/>
  <c r="Q24" i="59"/>
  <c r="Q28" i="59" s="1"/>
  <c r="J24" i="59"/>
  <c r="J18" i="59"/>
  <c r="H37" i="59"/>
  <c r="R22" i="59"/>
  <c r="R28" i="59" s="1"/>
  <c r="E5" i="59"/>
  <c r="K25" i="59"/>
  <c r="D12" i="59"/>
  <c r="B39" i="59"/>
  <c r="O5" i="59"/>
  <c r="S21" i="59"/>
  <c r="G20" i="59"/>
  <c r="L20" i="59" s="1"/>
  <c r="T117" i="55"/>
  <c r="T166" i="55"/>
  <c r="G4" i="59"/>
  <c r="K179" i="55" a="1"/>
  <c r="K179" i="55" s="1"/>
  <c r="H234" i="55"/>
  <c r="K234" i="55" a="1"/>
  <c r="K234" i="55" s="1"/>
  <c r="G234" i="55"/>
  <c r="R38" i="59"/>
  <c r="G7" i="59"/>
  <c r="T161" i="55"/>
  <c r="H147" i="55"/>
  <c r="G147" i="55"/>
  <c r="G203" i="55"/>
  <c r="H203" i="55"/>
  <c r="O12" i="55"/>
  <c r="K133" i="55" a="1"/>
  <c r="K133" i="55" s="1"/>
  <c r="H133" i="55"/>
  <c r="G167" i="55"/>
  <c r="H167" i="55"/>
  <c r="K185" i="55" a="1"/>
  <c r="K185" i="55" s="1"/>
  <c r="K157" i="55" a="1"/>
  <c r="K157" i="55" s="1"/>
  <c r="K205" i="55" a="1"/>
  <c r="K205" i="55" s="1"/>
  <c r="K23" i="55" a="1"/>
  <c r="K23" i="55" s="1"/>
  <c r="K220" i="55" a="1"/>
  <c r="K220" i="55" s="1"/>
  <c r="K187" i="55" a="1"/>
  <c r="K187" i="55" s="1"/>
  <c r="K145" i="55" a="1"/>
  <c r="K145" i="55" s="1"/>
  <c r="K37" i="55" a="1"/>
  <c r="K37" i="55" s="1"/>
  <c r="K158" i="55" a="1"/>
  <c r="K158" i="55" s="1"/>
  <c r="K214" i="55" a="1"/>
  <c r="K214" i="55" s="1"/>
  <c r="K189" i="55" a="1"/>
  <c r="K189" i="55" s="1"/>
  <c r="K256" i="55" a="1"/>
  <c r="K256" i="55" s="1"/>
  <c r="K213" i="55" a="1"/>
  <c r="K213" i="55" s="1"/>
  <c r="K11" i="55" a="1"/>
  <c r="K11" i="55" s="1"/>
  <c r="K178" i="55" a="1"/>
  <c r="K178" i="55" s="1"/>
  <c r="K29" i="55" a="1"/>
  <c r="K29" i="55" s="1"/>
  <c r="K51" i="55" a="1"/>
  <c r="K51" i="55" s="1"/>
  <c r="K7" i="55" a="1"/>
  <c r="K7" i="55" s="1"/>
  <c r="K57" i="55" a="1"/>
  <c r="K57" i="55" s="1"/>
  <c r="K257" i="55" a="1"/>
  <c r="K257" i="55" s="1"/>
  <c r="K131" i="55" a="1"/>
  <c r="K131" i="55" s="1"/>
  <c r="K148" i="55" a="1"/>
  <c r="K148" i="55" s="1"/>
  <c r="K150" i="55" a="1"/>
  <c r="K150" i="55" s="1"/>
  <c r="K252" i="55" a="1"/>
  <c r="K252" i="55" s="1"/>
  <c r="K258" i="55" a="1"/>
  <c r="K258" i="55" s="1"/>
  <c r="K39" i="55" a="1"/>
  <c r="K39" i="55" s="1"/>
  <c r="K232" i="55" a="1"/>
  <c r="K232" i="55" s="1"/>
  <c r="K163" i="55" a="1"/>
  <c r="K163" i="55" s="1"/>
  <c r="K218" i="55" a="1"/>
  <c r="K218" i="55" s="1"/>
  <c r="K255" i="55" a="1"/>
  <c r="K255" i="55" s="1"/>
  <c r="K135" i="55" a="1"/>
  <c r="K135" i="55" s="1"/>
  <c r="K143" i="55" a="1"/>
  <c r="K143" i="55" s="1"/>
  <c r="K210" i="55" a="1"/>
  <c r="K210" i="55" s="1"/>
  <c r="K183" i="55" a="1"/>
  <c r="K183" i="55" s="1"/>
  <c r="K190" i="55" a="1"/>
  <c r="K190" i="55" s="1"/>
  <c r="K161" i="55" a="1"/>
  <c r="K161" i="55" s="1"/>
  <c r="K74" i="55" a="1"/>
  <c r="K74" i="55" s="1"/>
  <c r="K10" i="55" a="1"/>
  <c r="K10" i="55" s="1"/>
  <c r="K79" i="55" a="1"/>
  <c r="K79" i="55" s="1"/>
  <c r="K97" i="55" a="1"/>
  <c r="K97" i="55" s="1"/>
  <c r="K186" i="55" a="1"/>
  <c r="K186" i="55" s="1"/>
  <c r="K231" i="55" a="1"/>
  <c r="K231" i="55" s="1"/>
  <c r="N21" i="59"/>
  <c r="O192" i="55"/>
  <c r="H71" i="55"/>
  <c r="G71" i="55"/>
  <c r="H192" i="55"/>
  <c r="K192" i="55" a="1"/>
  <c r="K192" i="55" s="1"/>
  <c r="K277" i="55"/>
  <c r="K2" i="55"/>
  <c r="G16" i="55"/>
  <c r="H16" i="55"/>
  <c r="K16" i="55" a="1"/>
  <c r="K16" i="55" s="1"/>
  <c r="H212" i="55"/>
  <c r="K212" i="55" a="1"/>
  <c r="K212" i="55" s="1"/>
  <c r="G103" i="55"/>
  <c r="T42" i="55"/>
  <c r="T40" i="55"/>
  <c r="O172" i="55"/>
  <c r="O106" i="55"/>
  <c r="O242" i="55"/>
  <c r="O32" i="55"/>
  <c r="T58" i="55"/>
  <c r="D13" i="57"/>
  <c r="E5" i="57"/>
  <c r="E6" i="57" s="1"/>
  <c r="E7" i="57" s="1"/>
  <c r="E8" i="57" s="1"/>
  <c r="E9" i="57" s="1"/>
  <c r="E10" i="57" s="1"/>
  <c r="E11" i="57" s="1"/>
  <c r="E12" i="57" s="1"/>
  <c r="G6" i="26"/>
  <c r="H7" i="26"/>
  <c r="M21" i="59"/>
  <c r="C28" i="59"/>
  <c r="O144" i="55"/>
  <c r="K112" i="55" a="1"/>
  <c r="K112" i="55" s="1"/>
  <c r="G112" i="55"/>
  <c r="N167" i="55" a="1"/>
  <c r="N167" i="55" s="1"/>
  <c r="N257" i="55" a="1"/>
  <c r="N257" i="55" s="1"/>
  <c r="O257" i="55" s="1"/>
  <c r="N19" i="55" a="1"/>
  <c r="N19" i="55" s="1"/>
  <c r="O19" i="55" s="1"/>
  <c r="N59" i="55" a="1"/>
  <c r="N59" i="55" s="1"/>
  <c r="O59" i="55" s="1"/>
  <c r="H23" i="55"/>
  <c r="G23" i="55"/>
  <c r="T34" i="55"/>
  <c r="M37" i="55" a="1"/>
  <c r="M37" i="55" s="1"/>
  <c r="M55" i="55" a="1"/>
  <c r="M55" i="55" s="1"/>
  <c r="M70" i="55" a="1"/>
  <c r="M70" i="55" s="1"/>
  <c r="M170" i="55" a="1"/>
  <c r="M170" i="55" s="1"/>
  <c r="O170" i="55" s="1"/>
  <c r="M44" i="55" a="1"/>
  <c r="M44" i="55" s="1"/>
  <c r="M123" i="55" a="1"/>
  <c r="M123" i="55" s="1"/>
  <c r="O123" i="55" s="1"/>
  <c r="O12" i="26"/>
  <c r="D12" i="26"/>
  <c r="M60" i="55" a="1"/>
  <c r="M60" i="55" s="1"/>
  <c r="O60" i="55" s="1"/>
  <c r="M35" i="55" a="1"/>
  <c r="M35" i="55" s="1"/>
  <c r="M167" i="55" a="1"/>
  <c r="M167" i="55" s="1"/>
  <c r="M18" i="55" a="1"/>
  <c r="M18" i="55" s="1"/>
  <c r="O18" i="55" s="1"/>
  <c r="M24" i="55" a="1"/>
  <c r="M24" i="55" s="1"/>
  <c r="M195" i="55" a="1"/>
  <c r="M195" i="55" s="1"/>
  <c r="M111" i="55" a="1"/>
  <c r="M111" i="55" s="1"/>
  <c r="O111" i="55" s="1"/>
  <c r="M92" i="55" a="1"/>
  <c r="M92" i="55" s="1"/>
  <c r="M102" i="55" a="1"/>
  <c r="M102" i="55" s="1"/>
  <c r="M121" i="55" a="1"/>
  <c r="M121" i="55" s="1"/>
  <c r="M239" i="55" a="1"/>
  <c r="M239" i="55" s="1"/>
  <c r="O239" i="55" s="1"/>
  <c r="M132" i="55" a="1"/>
  <c r="M132" i="55" s="1"/>
  <c r="M16" i="55" a="1"/>
  <c r="M16" i="55" s="1"/>
  <c r="O16" i="55" s="1"/>
  <c r="W12" i="26"/>
  <c r="AE12" i="26"/>
  <c r="M148" i="55" a="1"/>
  <c r="M148" i="55" s="1"/>
  <c r="O148" i="55" s="1"/>
  <c r="M133" i="55" a="1"/>
  <c r="M133" i="55" s="1"/>
  <c r="M198" i="55" a="1"/>
  <c r="M198" i="55" s="1"/>
  <c r="O198" i="55" s="1"/>
  <c r="M49" i="55" a="1"/>
  <c r="M49" i="55" s="1"/>
  <c r="M26" i="55" a="1"/>
  <c r="M26" i="55" s="1"/>
  <c r="M43" i="55" a="1"/>
  <c r="M43" i="55" s="1"/>
  <c r="M136" i="55" a="1"/>
  <c r="M136" i="55" s="1"/>
  <c r="G145" i="55"/>
  <c r="M232" i="55" a="1"/>
  <c r="M232" i="55" s="1"/>
  <c r="M212" i="55" a="1"/>
  <c r="M212" i="55" s="1"/>
  <c r="O212" i="55" s="1"/>
  <c r="M130" i="55" a="1"/>
  <c r="M130" i="55" s="1"/>
  <c r="M85" i="55" a="1"/>
  <c r="M85" i="55" s="1"/>
  <c r="O85" i="55" s="1"/>
  <c r="M208" i="55" a="1"/>
  <c r="M208" i="55" s="1"/>
  <c r="O208" i="55" s="1"/>
  <c r="M183" i="55" a="1"/>
  <c r="M183" i="55" s="1"/>
  <c r="O183" i="55" s="1"/>
  <c r="M194" i="55" a="1"/>
  <c r="M194" i="55" s="1"/>
  <c r="O194" i="55" s="1"/>
  <c r="M68" i="55" a="1"/>
  <c r="M68" i="55" s="1"/>
  <c r="O68" i="55" s="1"/>
  <c r="M97" i="55" a="1"/>
  <c r="M97" i="55" s="1"/>
  <c r="M211" i="55" a="1"/>
  <c r="M211" i="55" s="1"/>
  <c r="O211" i="55" s="1"/>
  <c r="M125" i="55" a="1"/>
  <c r="M125" i="55" s="1"/>
  <c r="O125" i="55" s="1"/>
  <c r="I14" i="26"/>
  <c r="R14" i="26"/>
  <c r="M101" i="55" a="1"/>
  <c r="M101" i="55" s="1"/>
  <c r="M116" i="55" a="1"/>
  <c r="M116" i="55" s="1"/>
  <c r="G205" i="55"/>
  <c r="AJ12" i="26"/>
  <c r="M248" i="55" a="1"/>
  <c r="M248" i="55" s="1"/>
  <c r="O248" i="55" s="1"/>
  <c r="M120" i="55" a="1"/>
  <c r="M120" i="55" s="1"/>
  <c r="O120" i="55" s="1"/>
  <c r="M185" i="55" a="1"/>
  <c r="M185" i="55" s="1"/>
  <c r="O185" i="55" s="1"/>
  <c r="M187" i="55" a="1"/>
  <c r="M187" i="55" s="1"/>
  <c r="M41" i="55" a="1"/>
  <c r="M41" i="55" s="1"/>
  <c r="M220" i="55" a="1"/>
  <c r="M220" i="55" s="1"/>
  <c r="O220" i="55" s="1"/>
  <c r="M152" i="55" a="1"/>
  <c r="M152" i="55" s="1"/>
  <c r="O152" i="55" s="1"/>
  <c r="M145" i="55" a="1"/>
  <c r="M145" i="55" s="1"/>
  <c r="O145" i="55" s="1"/>
  <c r="N12" i="26"/>
  <c r="Y14" i="26"/>
  <c r="M71" i="55" a="1"/>
  <c r="M71" i="55" s="1"/>
  <c r="O71" i="55" s="1"/>
  <c r="M254" i="55" a="1"/>
  <c r="M254" i="55" s="1"/>
  <c r="O254" i="55" s="1"/>
  <c r="M126" i="55" a="1"/>
  <c r="M126" i="55" s="1"/>
  <c r="M222" i="55" a="1"/>
  <c r="M222" i="55" s="1"/>
  <c r="O222" i="55" s="1"/>
  <c r="M129" i="55" a="1"/>
  <c r="M129" i="55" s="1"/>
  <c r="O129" i="55" s="1"/>
  <c r="M13" i="55" a="1"/>
  <c r="M13" i="55" s="1"/>
  <c r="M201" i="55" a="1"/>
  <c r="M201" i="55" s="1"/>
  <c r="O201" i="55" s="1"/>
  <c r="M219" i="55" a="1"/>
  <c r="M219" i="55" s="1"/>
  <c r="O219" i="55" s="1"/>
  <c r="M117" i="55" a="1"/>
  <c r="M117" i="55" s="1"/>
  <c r="M83" i="55" a="1"/>
  <c r="M83" i="55" s="1"/>
  <c r="M104" i="55" a="1"/>
  <c r="M104" i="55" s="1"/>
  <c r="O104" i="55" s="1"/>
  <c r="M255" i="55" a="1"/>
  <c r="M255" i="55" s="1"/>
  <c r="O255" i="55" s="1"/>
  <c r="M38" i="55" a="1"/>
  <c r="M38" i="55" s="1"/>
  <c r="M252" i="55" a="1"/>
  <c r="M252" i="55" s="1"/>
  <c r="O252" i="55" s="1"/>
  <c r="M78" i="55" a="1"/>
  <c r="M78" i="55" s="1"/>
  <c r="O78" i="55" s="1"/>
  <c r="AK12" i="26"/>
  <c r="AC14" i="26"/>
  <c r="Q12" i="26"/>
  <c r="M151" i="55" a="1"/>
  <c r="M151" i="55" s="1"/>
  <c r="M23" i="55" a="1"/>
  <c r="M23" i="55" s="1"/>
  <c r="O23" i="55" s="1"/>
  <c r="M256" i="55" a="1"/>
  <c r="M256" i="55" s="1"/>
  <c r="O256" i="55" s="1"/>
  <c r="M108" i="55" a="1"/>
  <c r="M108" i="55" s="1"/>
  <c r="O108" i="55" s="1"/>
  <c r="M258" i="55" a="1"/>
  <c r="M258" i="55" s="1"/>
  <c r="O258" i="55" s="1"/>
  <c r="AC12" i="26"/>
  <c r="AF14" i="26"/>
  <c r="AL14" i="26"/>
  <c r="M14" i="55" a="1"/>
  <c r="M14" i="55" s="1"/>
  <c r="O14" i="55" s="1"/>
  <c r="M154" i="55" a="1"/>
  <c r="M154" i="55" s="1"/>
  <c r="M238" i="55" a="1"/>
  <c r="M238" i="55" s="1"/>
  <c r="O238" i="55" s="1"/>
  <c r="M165" i="55" a="1"/>
  <c r="M165" i="55" s="1"/>
  <c r="O165" i="55" s="1"/>
  <c r="M114" i="55" a="1"/>
  <c r="M114" i="55" s="1"/>
  <c r="O114" i="55" s="1"/>
  <c r="M109" i="55" a="1"/>
  <c r="M109" i="55" s="1"/>
  <c r="O109" i="55" s="1"/>
  <c r="M230" i="55" a="1"/>
  <c r="M230" i="55" s="1"/>
  <c r="O230" i="55" s="1"/>
  <c r="M205" i="55" a="1"/>
  <c r="M205" i="55" s="1"/>
  <c r="O205" i="55" s="1"/>
  <c r="M93" i="55" a="1"/>
  <c r="M93" i="55" s="1"/>
  <c r="O93" i="55" s="1"/>
  <c r="M149" i="55" a="1"/>
  <c r="M149" i="55" s="1"/>
  <c r="O149" i="55" s="1"/>
  <c r="M204" i="55" a="1"/>
  <c r="M204" i="55" s="1"/>
  <c r="M90" i="55" a="1"/>
  <c r="M90" i="55" s="1"/>
  <c r="M202" i="55" a="1"/>
  <c r="M202" i="55" s="1"/>
  <c r="O202" i="55" s="1"/>
  <c r="M69" i="55" a="1"/>
  <c r="M69" i="55" s="1"/>
  <c r="O69" i="55" s="1"/>
  <c r="AI14" i="26"/>
  <c r="AL12" i="26"/>
  <c r="M14" i="26"/>
  <c r="M25" i="55" a="1"/>
  <c r="M25" i="55" s="1"/>
  <c r="M190" i="55" a="1"/>
  <c r="M190" i="55" s="1"/>
  <c r="O190" i="55" s="1"/>
  <c r="M182" i="55" a="1"/>
  <c r="M182" i="55" s="1"/>
  <c r="O182" i="55" s="1"/>
  <c r="M139" i="55" a="1"/>
  <c r="M139" i="55" s="1"/>
  <c r="O139" i="55" s="1"/>
  <c r="M80" i="55" a="1"/>
  <c r="M80" i="55" s="1"/>
  <c r="O80" i="55" s="1"/>
  <c r="M240" i="55" a="1"/>
  <c r="M240" i="55" s="1"/>
  <c r="O240" i="55" s="1"/>
  <c r="M171" i="55" a="1"/>
  <c r="M171" i="55" s="1"/>
  <c r="M247" i="55" a="1"/>
  <c r="M247" i="55" s="1"/>
  <c r="O247" i="55" s="1"/>
  <c r="M76" i="55" a="1"/>
  <c r="M76" i="55" s="1"/>
  <c r="M21" i="55" a="1"/>
  <c r="M21" i="55" s="1"/>
  <c r="O21" i="55" s="1"/>
  <c r="M61" i="55" a="1"/>
  <c r="M61" i="55" s="1"/>
  <c r="O61" i="55" s="1"/>
  <c r="M28" i="55" a="1"/>
  <c r="M28" i="55" s="1"/>
  <c r="O28" i="55" s="1"/>
  <c r="M100" i="55" a="1"/>
  <c r="M100" i="55" s="1"/>
  <c r="Z14" i="26"/>
  <c r="L12" i="26"/>
  <c r="U14" i="26"/>
  <c r="M163" i="55" a="1"/>
  <c r="M163" i="55" s="1"/>
  <c r="O163" i="55" s="1"/>
  <c r="M99" i="55" a="1"/>
  <c r="M99" i="55" s="1"/>
  <c r="M87" i="55" a="1"/>
  <c r="M87" i="55" s="1"/>
  <c r="AB14" i="26"/>
  <c r="M168" i="55" a="1"/>
  <c r="M168" i="55" s="1"/>
  <c r="O168" i="55" s="1"/>
  <c r="M91" i="55" a="1"/>
  <c r="M91" i="55" s="1"/>
  <c r="M77" i="55" a="1"/>
  <c r="M77" i="55" s="1"/>
  <c r="M206" i="55" a="1"/>
  <c r="M206" i="55" s="1"/>
  <c r="M227" i="55" a="1"/>
  <c r="M227" i="55" s="1"/>
  <c r="O227" i="55" s="1"/>
  <c r="M9" i="55" a="1"/>
  <c r="M9" i="55" s="1"/>
  <c r="O9" i="55" s="1"/>
  <c r="M113" i="55" a="1"/>
  <c r="M113" i="55" s="1"/>
  <c r="O113" i="55" s="1"/>
  <c r="M176" i="55" a="1"/>
  <c r="M176" i="55" s="1"/>
  <c r="M155" i="55" a="1"/>
  <c r="M155" i="55" s="1"/>
  <c r="P14" i="26"/>
  <c r="B6" i="26"/>
  <c r="AD14" i="26"/>
  <c r="M45" i="55" a="1"/>
  <c r="M45" i="55" s="1"/>
  <c r="M250" i="55" a="1"/>
  <c r="M250" i="55" s="1"/>
  <c r="O250" i="55" s="1"/>
  <c r="M235" i="55" a="1"/>
  <c r="M235" i="55" s="1"/>
  <c r="M131" i="55" a="1"/>
  <c r="M131" i="55" s="1"/>
  <c r="M40" i="55" a="1"/>
  <c r="M40" i="55" s="1"/>
  <c r="O40" i="55" s="1"/>
  <c r="M74" i="55" a="1"/>
  <c r="M74" i="55" s="1"/>
  <c r="O74" i="55" s="1"/>
  <c r="V12" i="26"/>
  <c r="M146" i="55" a="1"/>
  <c r="M146" i="55" s="1"/>
  <c r="O146" i="55" s="1"/>
  <c r="O117" i="55" l="1"/>
  <c r="O155" i="55"/>
  <c r="T92" i="55"/>
  <c r="T234" i="55"/>
  <c r="T85" i="55"/>
  <c r="O22" i="55"/>
  <c r="L11" i="59"/>
  <c r="T90" i="55"/>
  <c r="T52" i="55"/>
  <c r="T136" i="55"/>
  <c r="T187" i="55"/>
  <c r="T25" i="55"/>
  <c r="T225" i="55"/>
  <c r="T7" i="55"/>
  <c r="T146" i="55"/>
  <c r="O171" i="55"/>
  <c r="O39" i="55"/>
  <c r="T81" i="55"/>
  <c r="O131" i="55"/>
  <c r="O92" i="55"/>
  <c r="O42" i="55"/>
  <c r="O102" i="55"/>
  <c r="L23" i="59"/>
  <c r="O25" i="55"/>
  <c r="O176" i="55"/>
  <c r="O147" i="55"/>
  <c r="O132" i="55"/>
  <c r="O83" i="55"/>
  <c r="O136" i="55"/>
  <c r="L174" i="55" a="1"/>
  <c r="L174" i="55" s="1"/>
  <c r="L172" i="55" a="1"/>
  <c r="L172" i="55" s="1"/>
  <c r="L136" i="55" a="1"/>
  <c r="L136" i="55" s="1"/>
  <c r="O154" i="55"/>
  <c r="L9" i="59"/>
  <c r="L53" i="55" a="1"/>
  <c r="L53" i="55" s="1"/>
  <c r="L144" i="55" a="1"/>
  <c r="L144" i="55" s="1"/>
  <c r="F28" i="59" a="1"/>
  <c r="F28" i="59" s="1"/>
  <c r="L25" i="55" a="1"/>
  <c r="L25" i="55" s="1"/>
  <c r="L120" i="55" a="1"/>
  <c r="L120" i="55" s="1"/>
  <c r="L18" i="59"/>
  <c r="L107" i="55" a="1"/>
  <c r="L107" i="55" s="1"/>
  <c r="L64" i="55" a="1"/>
  <c r="L64" i="55" s="1"/>
  <c r="L157" i="55" a="1"/>
  <c r="L157" i="55" s="1"/>
  <c r="L234" i="55" a="1"/>
  <c r="L234" i="55" s="1"/>
  <c r="L100" i="55" a="1"/>
  <c r="L100" i="55" s="1"/>
  <c r="L83" i="55" a="1"/>
  <c r="L83" i="55" s="1"/>
  <c r="L129" i="55" a="1"/>
  <c r="L129" i="55" s="1"/>
  <c r="O235" i="55"/>
  <c r="L197" i="55" a="1"/>
  <c r="L197" i="55" s="1"/>
  <c r="O70" i="55"/>
  <c r="L226" i="55" a="1"/>
  <c r="L226" i="55" s="1"/>
  <c r="L113" i="55" a="1"/>
  <c r="L113" i="55" s="1"/>
  <c r="L31" i="55" a="1"/>
  <c r="L31" i="55" s="1"/>
  <c r="O90" i="55"/>
  <c r="L11" i="55" a="1"/>
  <c r="L11" i="55" s="1"/>
  <c r="L72" i="55" a="1"/>
  <c r="L72" i="55" s="1"/>
  <c r="L181" i="55" a="1"/>
  <c r="L181" i="55" s="1"/>
  <c r="L210" i="55" a="1"/>
  <c r="L210" i="55" s="1"/>
  <c r="L117" i="55" a="1"/>
  <c r="L117" i="55" s="1"/>
  <c r="L155" i="55" a="1"/>
  <c r="L155" i="55" s="1"/>
  <c r="L191" i="55" a="1"/>
  <c r="L191" i="55" s="1"/>
  <c r="L201" i="55" a="1"/>
  <c r="L201" i="55" s="1"/>
  <c r="L60" i="55" a="1"/>
  <c r="L60" i="55" s="1"/>
  <c r="L12" i="55" a="1"/>
  <c r="L12" i="55" s="1"/>
  <c r="L12" i="59"/>
  <c r="L227" i="55" a="1"/>
  <c r="L227" i="55" s="1"/>
  <c r="L122" i="55" a="1"/>
  <c r="L122" i="55" s="1"/>
  <c r="O26" i="55"/>
  <c r="L56" i="55" a="1"/>
  <c r="L56" i="55" s="1"/>
  <c r="L101" i="55" a="1"/>
  <c r="L101" i="55" s="1"/>
  <c r="L251" i="55" a="1"/>
  <c r="L251" i="55" s="1"/>
  <c r="L79" i="55" a="1"/>
  <c r="L79" i="55" s="1"/>
  <c r="L70" i="55" a="1"/>
  <c r="L70" i="55" s="1"/>
  <c r="L24" i="55" a="1"/>
  <c r="L24" i="55" s="1"/>
  <c r="L17" i="55" a="1"/>
  <c r="L17" i="55" s="1"/>
  <c r="L208" i="55" a="1"/>
  <c r="L208" i="55" s="1"/>
  <c r="L76" i="55" a="1"/>
  <c r="L76" i="55" s="1"/>
  <c r="L110" i="55" a="1"/>
  <c r="L110" i="55" s="1"/>
  <c r="L62" i="55" a="1"/>
  <c r="L62" i="55" s="1"/>
  <c r="L182" i="55" a="1"/>
  <c r="L182" i="55" s="1"/>
  <c r="L176" i="55" a="1"/>
  <c r="L176" i="55" s="1"/>
  <c r="L214" i="55" a="1"/>
  <c r="L214" i="55" s="1"/>
  <c r="L57" i="55" a="1"/>
  <c r="L57" i="55" s="1"/>
  <c r="L71" i="55" a="1"/>
  <c r="L71" i="55" s="1"/>
  <c r="L130" i="55" a="1"/>
  <c r="L130" i="55" s="1"/>
  <c r="L103" i="55" a="1"/>
  <c r="L103" i="55" s="1"/>
  <c r="L15" i="55" a="1"/>
  <c r="L15" i="55" s="1"/>
  <c r="L105" i="55" a="1"/>
  <c r="L105" i="55" s="1"/>
  <c r="L37" i="55" a="1"/>
  <c r="L37" i="55" s="1"/>
  <c r="O173" i="55"/>
  <c r="L203" i="55" a="1"/>
  <c r="L203" i="55" s="1"/>
  <c r="L94" i="55" a="1"/>
  <c r="L94" i="55" s="1"/>
  <c r="L26" i="55" a="1"/>
  <c r="L26" i="55" s="1"/>
  <c r="L133" i="55" a="1"/>
  <c r="L133" i="55" s="1"/>
  <c r="L96" i="55" a="1"/>
  <c r="L96" i="55" s="1"/>
  <c r="F42" i="59" a="1"/>
  <c r="F42" i="59" s="1"/>
  <c r="L42" i="55" a="1"/>
  <c r="L42" i="55" s="1"/>
  <c r="L18" i="55" a="1"/>
  <c r="L18" i="55" s="1"/>
  <c r="L190" i="55" a="1"/>
  <c r="L190" i="55" s="1"/>
  <c r="L73" i="55" a="1"/>
  <c r="L73" i="55" s="1"/>
  <c r="L160" i="55" a="1"/>
  <c r="L160" i="55" s="1"/>
  <c r="O35" i="55"/>
  <c r="L233" i="55" a="1"/>
  <c r="L233" i="55" s="1"/>
  <c r="L168" i="55" a="1"/>
  <c r="L168" i="55" s="1"/>
  <c r="L92" i="55" a="1"/>
  <c r="L92" i="55" s="1"/>
  <c r="L32" i="55" a="1"/>
  <c r="L32" i="55" s="1"/>
  <c r="L139" i="55" a="1"/>
  <c r="L139" i="55" s="1"/>
  <c r="L14" i="55" a="1"/>
  <c r="L14" i="55" s="1"/>
  <c r="L177" i="55" a="1"/>
  <c r="L177" i="55" s="1"/>
  <c r="L52" i="55" a="1"/>
  <c r="L52" i="55" s="1"/>
  <c r="L61" i="55" a="1"/>
  <c r="L61" i="55" s="1"/>
  <c r="L95" i="55" a="1"/>
  <c r="L95" i="55" s="1"/>
  <c r="L138" i="55" a="1"/>
  <c r="L138" i="55" s="1"/>
  <c r="L158" i="55" a="1"/>
  <c r="L158" i="55" s="1"/>
  <c r="L154" i="55" a="1"/>
  <c r="L154" i="55" s="1"/>
  <c r="O232" i="55"/>
  <c r="O195" i="55"/>
  <c r="O44" i="55"/>
  <c r="O187" i="55"/>
  <c r="O126" i="55"/>
  <c r="O76" i="55"/>
  <c r="O206" i="55"/>
  <c r="O99" i="55"/>
  <c r="U23" i="59"/>
  <c r="T20" i="59"/>
  <c r="T8" i="59"/>
  <c r="O24" i="55"/>
  <c r="O77" i="55"/>
  <c r="L99" i="55" a="1"/>
  <c r="L99" i="55" s="1"/>
  <c r="O91" i="55"/>
  <c r="L156" i="55" a="1"/>
  <c r="L156" i="55" s="1"/>
  <c r="O133" i="55"/>
  <c r="L82" i="55" a="1"/>
  <c r="L82" i="55" s="1"/>
  <c r="O97" i="55"/>
  <c r="L135" i="55" a="1"/>
  <c r="L135" i="55" s="1"/>
  <c r="L66" i="55" a="1"/>
  <c r="L66" i="55" s="1"/>
  <c r="O29" i="55"/>
  <c r="O37" i="55"/>
  <c r="O45" i="55"/>
  <c r="O13" i="55"/>
  <c r="T12" i="59"/>
  <c r="L77" i="55" a="1"/>
  <c r="L77" i="55" s="1"/>
  <c r="L9" i="55" a="1"/>
  <c r="L9" i="55" s="1"/>
  <c r="L46" i="55" a="1"/>
  <c r="L46" i="55" s="1"/>
  <c r="L8" i="55" a="1"/>
  <c r="L8" i="55" s="1"/>
  <c r="L45" i="55" a="1"/>
  <c r="L45" i="55" s="1"/>
  <c r="O87" i="55"/>
  <c r="L27" i="55" a="1"/>
  <c r="L27" i="55" s="1"/>
  <c r="L125" i="55" a="1"/>
  <c r="L125" i="55" s="1"/>
  <c r="M6" i="59"/>
  <c r="L28" i="55" a="1"/>
  <c r="L28" i="55" s="1"/>
  <c r="L84" i="55" a="1"/>
  <c r="L84" i="55" s="1"/>
  <c r="L74" i="55" a="1"/>
  <c r="L74" i="55" s="1"/>
  <c r="O38" i="55"/>
  <c r="O41" i="55"/>
  <c r="L10" i="59"/>
  <c r="L104" i="55" a="1"/>
  <c r="L104" i="55" s="1"/>
  <c r="O55" i="55"/>
  <c r="L93" i="55" a="1"/>
  <c r="L93" i="55" s="1"/>
  <c r="O249" i="55"/>
  <c r="O101" i="55"/>
  <c r="P277" i="55"/>
  <c r="S277" i="55" s="1"/>
  <c r="O204" i="55"/>
  <c r="O151" i="55"/>
  <c r="U7" i="59"/>
  <c r="T22" i="59"/>
  <c r="L209" i="55" a="1"/>
  <c r="L209" i="55" s="1"/>
  <c r="L164" i="55" a="1"/>
  <c r="L164" i="55" s="1"/>
  <c r="L171" i="55" a="1"/>
  <c r="L171" i="55" s="1"/>
  <c r="L114" i="55" a="1"/>
  <c r="L114" i="55" s="1"/>
  <c r="L118" i="55" a="1"/>
  <c r="L118" i="55" s="1"/>
  <c r="L97" i="55" a="1"/>
  <c r="L97" i="55" s="1"/>
  <c r="L206" i="55" a="1"/>
  <c r="L206" i="55" s="1"/>
  <c r="L123" i="55" a="1"/>
  <c r="L123" i="55" s="1"/>
  <c r="L213" i="55" a="1"/>
  <c r="L213" i="55" s="1"/>
  <c r="L185" i="55" a="1"/>
  <c r="L185" i="55" s="1"/>
  <c r="L163" i="55" a="1"/>
  <c r="L163" i="55" s="1"/>
  <c r="L87" i="55" a="1"/>
  <c r="L87" i="55" s="1"/>
  <c r="L140" i="55" a="1"/>
  <c r="L140" i="55" s="1"/>
  <c r="L51" i="55" a="1"/>
  <c r="L51" i="55" s="1"/>
  <c r="L106" i="55" a="1"/>
  <c r="L106" i="55" s="1"/>
  <c r="L34" i="55" a="1"/>
  <c r="L34" i="55" s="1"/>
  <c r="L223" i="55" a="1"/>
  <c r="L223" i="55" s="1"/>
  <c r="L216" i="55" a="1"/>
  <c r="L216" i="55" s="1"/>
  <c r="L236" i="55" a="1"/>
  <c r="L236" i="55" s="1"/>
  <c r="L142" i="55" a="1"/>
  <c r="L142" i="55" s="1"/>
  <c r="L115" i="55" a="1"/>
  <c r="L115" i="55" s="1"/>
  <c r="L23" i="55" a="1"/>
  <c r="L23" i="55" s="1"/>
  <c r="L10" i="55" a="1"/>
  <c r="L10" i="55" s="1"/>
  <c r="L242" i="55" a="1"/>
  <c r="L242" i="55" s="1"/>
  <c r="L146" i="55" a="1"/>
  <c r="L146" i="55" s="1"/>
  <c r="L54" i="55" a="1"/>
  <c r="L54" i="55" s="1"/>
  <c r="L65" i="55" a="1"/>
  <c r="L65" i="55" s="1"/>
  <c r="L29" i="55" a="1"/>
  <c r="L29" i="55" s="1"/>
  <c r="L204" i="55" a="1"/>
  <c r="L204" i="55" s="1"/>
  <c r="L48" i="55" a="1"/>
  <c r="L48" i="55" s="1"/>
  <c r="L108" i="55" a="1"/>
  <c r="L108" i="55" s="1"/>
  <c r="L198" i="55" a="1"/>
  <c r="L198" i="55" s="1"/>
  <c r="L19" i="55" a="1"/>
  <c r="L19" i="55" s="1"/>
  <c r="L229" i="55" a="1"/>
  <c r="L229" i="55" s="1"/>
  <c r="L124" i="55" a="1"/>
  <c r="L124" i="55" s="1"/>
  <c r="L33" i="55" a="1"/>
  <c r="L33" i="55" s="1"/>
  <c r="L240" i="55" a="1"/>
  <c r="L240" i="55" s="1"/>
  <c r="L38" i="55" a="1"/>
  <c r="L38" i="55" s="1"/>
  <c r="L218" i="55" a="1"/>
  <c r="L218" i="55" s="1"/>
  <c r="L121" i="55" a="1"/>
  <c r="L121" i="55" s="1"/>
  <c r="L189" i="55" a="1"/>
  <c r="L189" i="55" s="1"/>
  <c r="L131" i="55" a="1"/>
  <c r="L131" i="55" s="1"/>
  <c r="L39" i="55" a="1"/>
  <c r="L39" i="55" s="1"/>
  <c r="L173" i="55" a="1"/>
  <c r="L173" i="55" s="1"/>
  <c r="L128" i="55" a="1"/>
  <c r="L128" i="55" s="1"/>
  <c r="L85" i="55" a="1"/>
  <c r="L85" i="55" s="1"/>
  <c r="L170" i="55" a="1"/>
  <c r="L170" i="55" s="1"/>
  <c r="L228" i="55" a="1"/>
  <c r="L228" i="55" s="1"/>
  <c r="L200" i="55" a="1"/>
  <c r="L200" i="55" s="1"/>
  <c r="L221" i="55" a="1"/>
  <c r="L221" i="55" s="1"/>
  <c r="L148" i="55" a="1"/>
  <c r="L148" i="55" s="1"/>
  <c r="L127" i="55" a="1"/>
  <c r="L127" i="55" s="1"/>
  <c r="L80" i="55" a="1"/>
  <c r="L80" i="55" s="1"/>
  <c r="L20" i="55" a="1"/>
  <c r="L20" i="55" s="1"/>
  <c r="L91" i="55" a="1"/>
  <c r="L91" i="55" s="1"/>
  <c r="L90" i="55" a="1"/>
  <c r="L90" i="55" s="1"/>
  <c r="L50" i="55" a="1"/>
  <c r="L50" i="55" s="1"/>
  <c r="L166" i="55" a="1"/>
  <c r="L166" i="55" s="1"/>
  <c r="L116" i="55" a="1"/>
  <c r="L116" i="55" s="1"/>
  <c r="L250" i="55" a="1"/>
  <c r="L250" i="55" s="1"/>
  <c r="L69" i="55" a="1"/>
  <c r="L69" i="55" s="1"/>
  <c r="L81" i="55" a="1"/>
  <c r="L81" i="55" s="1"/>
  <c r="L238" i="55" a="1"/>
  <c r="L238" i="55" s="1"/>
  <c r="L224" i="55" a="1"/>
  <c r="L224" i="55" s="1"/>
  <c r="L119" i="55" a="1"/>
  <c r="L119" i="55" s="1"/>
  <c r="L41" i="55" a="1"/>
  <c r="L41" i="55" s="1"/>
  <c r="L16" i="55" a="1"/>
  <c r="L16" i="55" s="1"/>
  <c r="L230" i="55" a="1"/>
  <c r="L230" i="55" s="1"/>
  <c r="L22" i="55" a="1"/>
  <c r="L22" i="55" s="1"/>
  <c r="L188" i="55" a="1"/>
  <c r="L188" i="55" s="1"/>
  <c r="L252" i="55" a="1"/>
  <c r="L252" i="55" s="1"/>
  <c r="L248" i="55" a="1"/>
  <c r="L248" i="55" s="1"/>
  <c r="L47" i="55" a="1"/>
  <c r="L47" i="55" s="1"/>
  <c r="L21" i="55" a="1"/>
  <c r="L21" i="55" s="1"/>
  <c r="L231" i="55" a="1"/>
  <c r="L231" i="55" s="1"/>
  <c r="L132" i="55" a="1"/>
  <c r="L132" i="55" s="1"/>
  <c r="L112" i="55" a="1"/>
  <c r="L112" i="55" s="1"/>
  <c r="L256" i="55" a="1"/>
  <c r="L256" i="55" s="1"/>
  <c r="L217" i="55" a="1"/>
  <c r="L217" i="55" s="1"/>
  <c r="L58" i="55" a="1"/>
  <c r="L58" i="55" s="1"/>
  <c r="L35" i="55" a="1"/>
  <c r="L35" i="55" s="1"/>
  <c r="L194" i="55" a="1"/>
  <c r="L194" i="55" s="1"/>
  <c r="L277" i="55"/>
  <c r="L159" i="55" a="1"/>
  <c r="L159" i="55" s="1"/>
  <c r="L165" i="55" a="1"/>
  <c r="L165" i="55" s="1"/>
  <c r="L184" i="55" a="1"/>
  <c r="L184" i="55" s="1"/>
  <c r="L169" i="55" a="1"/>
  <c r="L169" i="55" s="1"/>
  <c r="L245" i="55" a="1"/>
  <c r="L245" i="55" s="1"/>
  <c r="L44" i="55" a="1"/>
  <c r="L44" i="55" s="1"/>
  <c r="L13" i="55" a="1"/>
  <c r="L13" i="55" s="1"/>
  <c r="L244" i="55" a="1"/>
  <c r="L244" i="55" s="1"/>
  <c r="L207" i="55" a="1"/>
  <c r="L207" i="55" s="1"/>
  <c r="L102" i="55" a="1"/>
  <c r="L102" i="55" s="1"/>
  <c r="L257" i="55" a="1"/>
  <c r="L257" i="55" s="1"/>
  <c r="L67" i="55" a="1"/>
  <c r="L67" i="55" s="1"/>
  <c r="L75" i="55" a="1"/>
  <c r="L75" i="55" s="1"/>
  <c r="L89" i="55" a="1"/>
  <c r="L89" i="55" s="1"/>
  <c r="L219" i="55" a="1"/>
  <c r="L219" i="55" s="1"/>
  <c r="L88" i="55" a="1"/>
  <c r="L88" i="55" s="1"/>
  <c r="L195" i="55" a="1"/>
  <c r="L195" i="55" s="1"/>
  <c r="L249" i="55" a="1"/>
  <c r="L249" i="55" s="1"/>
  <c r="L161" i="55" a="1"/>
  <c r="L161" i="55" s="1"/>
  <c r="L98" i="55" a="1"/>
  <c r="L98" i="55" s="1"/>
  <c r="L141" i="55" a="1"/>
  <c r="L141" i="55" s="1"/>
  <c r="L126" i="55" a="1"/>
  <c r="L126" i="55" s="1"/>
  <c r="L241" i="55" a="1"/>
  <c r="L241" i="55" s="1"/>
  <c r="L255" i="55" a="1"/>
  <c r="L255" i="55" s="1"/>
  <c r="L220" i="55" a="1"/>
  <c r="L220" i="55" s="1"/>
  <c r="L137" i="55" a="1"/>
  <c r="L137" i="55" s="1"/>
  <c r="L222" i="55" a="1"/>
  <c r="L222" i="55" s="1"/>
  <c r="L237" i="55" a="1"/>
  <c r="L237" i="55" s="1"/>
  <c r="L247" i="55" a="1"/>
  <c r="L247" i="55" s="1"/>
  <c r="L205" i="55" a="1"/>
  <c r="L205" i="55" s="1"/>
  <c r="L40" i="55" a="1"/>
  <c r="L40" i="55" s="1"/>
  <c r="L145" i="55" a="1"/>
  <c r="L145" i="55" s="1"/>
  <c r="L109" i="55" a="1"/>
  <c r="L109" i="55" s="1"/>
  <c r="L192" i="55" a="1"/>
  <c r="L192" i="55" s="1"/>
  <c r="L134" i="55" a="1"/>
  <c r="L134" i="55" s="1"/>
  <c r="L235" i="55" a="1"/>
  <c r="L235" i="55" s="1"/>
  <c r="L225" i="55" a="1"/>
  <c r="L225" i="55" s="1"/>
  <c r="L143" i="55" a="1"/>
  <c r="L143" i="55" s="1"/>
  <c r="L212" i="55" a="1"/>
  <c r="L212" i="55" s="1"/>
  <c r="L7" i="55" a="1"/>
  <c r="L7" i="55" s="1"/>
  <c r="L215" i="55" a="1"/>
  <c r="L215" i="55" s="1"/>
  <c r="L147" i="55" a="1"/>
  <c r="L147" i="55" s="1"/>
  <c r="L59" i="55" a="1"/>
  <c r="L59" i="55" s="1"/>
  <c r="L63" i="55" a="1"/>
  <c r="L63" i="55" s="1"/>
  <c r="L175" i="55" a="1"/>
  <c r="L175" i="55" s="1"/>
  <c r="L254" i="55" a="1"/>
  <c r="L254" i="55" s="1"/>
  <c r="L246" i="55" a="1"/>
  <c r="L246" i="55" s="1"/>
  <c r="L243" i="55" a="1"/>
  <c r="L243" i="55" s="1"/>
  <c r="L258" i="55" a="1"/>
  <c r="L258" i="55" s="1"/>
  <c r="L2" i="55"/>
  <c r="L55" i="55" a="1"/>
  <c r="L55" i="55" s="1"/>
  <c r="L111" i="55" a="1"/>
  <c r="L111" i="55" s="1"/>
  <c r="L211" i="55" a="1"/>
  <c r="L211" i="55" s="1"/>
  <c r="L167" i="55" a="1"/>
  <c r="L167" i="55" s="1"/>
  <c r="L149" i="55" a="1"/>
  <c r="L149" i="55" s="1"/>
  <c r="L179" i="55" a="1"/>
  <c r="L179" i="55" s="1"/>
  <c r="L199" i="55" a="1"/>
  <c r="L199" i="55" s="1"/>
  <c r="L187" i="55" a="1"/>
  <c r="L187" i="55" s="1"/>
  <c r="L150" i="55" a="1"/>
  <c r="L150" i="55" s="1"/>
  <c r="L151" i="55" a="1"/>
  <c r="L151" i="55" s="1"/>
  <c r="L86" i="55" a="1"/>
  <c r="L86" i="55" s="1"/>
  <c r="L202" i="55" a="1"/>
  <c r="L202" i="55" s="1"/>
  <c r="L180" i="55" a="1"/>
  <c r="L180" i="55" s="1"/>
  <c r="L232" i="55" a="1"/>
  <c r="L232" i="55" s="1"/>
  <c r="L36" i="55" a="1"/>
  <c r="L36" i="55" s="1"/>
  <c r="L196" i="55" a="1"/>
  <c r="L196" i="55" s="1"/>
  <c r="L49" i="55" a="1"/>
  <c r="L49" i="55" s="1"/>
  <c r="L193" i="55" a="1"/>
  <c r="L193" i="55" s="1"/>
  <c r="L239" i="55" a="1"/>
  <c r="L239" i="55" s="1"/>
  <c r="L78" i="55" a="1"/>
  <c r="L78" i="55" s="1"/>
  <c r="L253" i="55" a="1"/>
  <c r="L253" i="55" s="1"/>
  <c r="L178" i="55" a="1"/>
  <c r="L178" i="55" s="1"/>
  <c r="L162" i="55" a="1"/>
  <c r="L162" i="55" s="1"/>
  <c r="L153" i="55" a="1"/>
  <c r="L153" i="55" s="1"/>
  <c r="L43" i="55" a="1"/>
  <c r="L43" i="55" s="1"/>
  <c r="L183" i="55" a="1"/>
  <c r="L183" i="55" s="1"/>
  <c r="L186" i="55" a="1"/>
  <c r="L186" i="55" s="1"/>
  <c r="L30" i="55" a="1"/>
  <c r="L30" i="55" s="1"/>
  <c r="O100" i="55"/>
  <c r="O130" i="55"/>
  <c r="L152" i="55" a="1"/>
  <c r="L152" i="55" s="1"/>
  <c r="U18" i="59"/>
  <c r="O116" i="55"/>
  <c r="I42" i="59"/>
  <c r="S14" i="59"/>
  <c r="L19" i="59"/>
  <c r="J14" i="59"/>
  <c r="M26" i="59"/>
  <c r="T26" i="59"/>
  <c r="T10" i="59"/>
  <c r="O121" i="55"/>
  <c r="M7" i="59"/>
  <c r="K28" i="59"/>
  <c r="R42" i="59"/>
  <c r="T21" i="59"/>
  <c r="U9" i="59"/>
  <c r="T9" i="59"/>
  <c r="O277" i="55"/>
  <c r="O2" i="55"/>
  <c r="D14" i="59"/>
  <c r="F14" i="59" s="1" a="1"/>
  <c r="F14" i="59" s="1"/>
  <c r="O43" i="55"/>
  <c r="O49" i="55"/>
  <c r="H28" i="59"/>
  <c r="N28" i="59" s="1"/>
  <c r="S28" i="59"/>
  <c r="P42" i="59"/>
  <c r="M4" i="59"/>
  <c r="G14" i="59"/>
  <c r="P14" i="59"/>
  <c r="V14" i="59" s="1"/>
  <c r="U4" i="59"/>
  <c r="L7" i="59"/>
  <c r="T19" i="59"/>
  <c r="V19" i="59"/>
  <c r="F19" i="59"/>
  <c r="B28" i="59"/>
  <c r="P28" i="59"/>
  <c r="U19" i="59"/>
  <c r="U11" i="59"/>
  <c r="T11" i="59"/>
  <c r="G28" i="59"/>
  <c r="M20" i="59"/>
  <c r="L36" i="59"/>
  <c r="N36" i="59"/>
  <c r="H42" i="59"/>
  <c r="U5" i="59"/>
  <c r="O14" i="59"/>
  <c r="T14" i="59" s="1"/>
  <c r="U6" i="59"/>
  <c r="T6" i="59"/>
  <c r="V25" i="59"/>
  <c r="T25" i="59"/>
  <c r="F25" i="59"/>
  <c r="F39" i="59"/>
  <c r="V39" i="59"/>
  <c r="T39" i="59"/>
  <c r="C14" i="59"/>
  <c r="L4" i="59"/>
  <c r="N4" i="59"/>
  <c r="V4" i="59"/>
  <c r="F4" i="59"/>
  <c r="T4" i="59"/>
  <c r="M22" i="59"/>
  <c r="M25" i="59"/>
  <c r="N25" i="59"/>
  <c r="U25" i="59"/>
  <c r="O28" i="59"/>
  <c r="E28" i="59"/>
  <c r="F21" i="59"/>
  <c r="L24" i="59"/>
  <c r="M24" i="59"/>
  <c r="M32" i="59"/>
  <c r="G42" i="59"/>
  <c r="M42" i="59" s="1"/>
  <c r="E14" i="59"/>
  <c r="F5" i="59"/>
  <c r="S42" i="59"/>
  <c r="V23" i="59"/>
  <c r="O167" i="55"/>
  <c r="T5" i="59"/>
  <c r="L8" i="59"/>
  <c r="M8" i="59"/>
  <c r="J28" i="59"/>
  <c r="U24" i="59"/>
  <c r="V24" i="59"/>
  <c r="I14" i="59"/>
  <c r="B42" i="59"/>
  <c r="T34" i="59"/>
  <c r="V34" i="59"/>
  <c r="F34" i="59"/>
  <c r="C42" i="59"/>
  <c r="H2" i="55"/>
  <c r="H277" i="55"/>
  <c r="I7" i="26"/>
  <c r="H6" i="26"/>
  <c r="G277" i="55"/>
  <c r="G278" i="55"/>
  <c r="G3" i="55"/>
  <c r="G2" i="55"/>
  <c r="R2" i="55" l="1"/>
  <c r="R277" i="55"/>
  <c r="T2" i="55" s="1"/>
  <c r="S2" i="55"/>
  <c r="M28" i="59"/>
  <c r="M14" i="59"/>
  <c r="U14" i="59"/>
  <c r="T28" i="59"/>
  <c r="U28" i="59"/>
  <c r="L42" i="59"/>
  <c r="N42" i="59"/>
  <c r="L14" i="59"/>
  <c r="N14" i="59"/>
  <c r="V42" i="59"/>
  <c r="T42" i="59"/>
  <c r="V28" i="59"/>
  <c r="L28" i="59"/>
  <c r="H3" i="55"/>
  <c r="H278" i="55"/>
  <c r="I6" i="26"/>
  <c r="J7" i="26"/>
  <c r="T277" i="55" l="1"/>
  <c r="J6" i="26"/>
  <c r="K7" i="26"/>
  <c r="K6" i="26" l="1"/>
  <c r="L7" i="26"/>
  <c r="M7" i="26" l="1"/>
  <c r="L6" i="26"/>
  <c r="N7" i="26" l="1"/>
  <c r="M6" i="26"/>
  <c r="N6" i="26" l="1"/>
  <c r="O7" i="26"/>
  <c r="P7" i="26" l="1"/>
  <c r="O6" i="26"/>
  <c r="Q7" i="26" l="1"/>
  <c r="P6" i="26"/>
  <c r="R7" i="26" l="1"/>
  <c r="Q6" i="26"/>
  <c r="R6" i="26" l="1"/>
  <c r="S7" i="26"/>
  <c r="S6" i="26" l="1"/>
  <c r="T7" i="26"/>
  <c r="U7" i="26" l="1"/>
  <c r="T6" i="26"/>
  <c r="V7" i="26" l="1"/>
  <c r="U6" i="26"/>
  <c r="W7" i="26" l="1"/>
  <c r="V6" i="26"/>
  <c r="X7" i="26" l="1"/>
  <c r="W6" i="26"/>
  <c r="Y7" i="26" l="1"/>
  <c r="X6" i="26"/>
  <c r="Y6" i="26" l="1"/>
  <c r="Z7" i="26"/>
  <c r="AA7" i="26" l="1"/>
  <c r="Z6" i="26"/>
  <c r="AA6" i="26" l="1"/>
  <c r="AB7" i="26"/>
  <c r="AC7" i="26" l="1"/>
  <c r="AB6" i="26"/>
  <c r="AC6" i="26" l="1"/>
  <c r="AD7" i="26"/>
  <c r="AD6" i="26" l="1"/>
  <c r="AE7" i="26"/>
  <c r="AF7" i="26" l="1"/>
  <c r="AE6" i="26"/>
  <c r="AF6" i="26" l="1"/>
  <c r="AG7" i="26"/>
  <c r="AG6" i="26" l="1"/>
  <c r="AH7" i="26"/>
  <c r="AH6" i="26" l="1"/>
  <c r="AI7" i="26"/>
  <c r="AI6" i="26" l="1"/>
  <c r="AJ7" i="26"/>
  <c r="AJ6" i="26" l="1"/>
  <c r="AK7" i="26"/>
  <c r="AL7" i="26" l="1"/>
  <c r="AK6"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<sst xmlns="http://schemas.openxmlformats.org/spreadsheetml/2006/main" count="3824" uniqueCount="877">
  <si>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</si>
  <si>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</si>
  <si>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</si>
  <si>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</si>
  <si>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</si>
  <si>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</si>
  <si>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</si>
  <si>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</si>
  <si>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</si>
  <si>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</si>
  <si>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</si>
  <si>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</si>
  <si>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</si>
  <si>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</si>
  <si>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</si>
  <si>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</si>
  <si>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</si>
  <si>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</si>
  <si>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</si>
  <si>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</si>
  <si>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</si>
  <si>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</si>
  <si>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</si>
  <si>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</si>
  <si>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</si>
  <si>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</si>
  <si>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</si>
  <si>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</si>
  <si>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</si>
  <si>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</si>
  <si>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</si>
  <si>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</si>
  <si>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</si>
  <si>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</si>
  <si>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</si>
  <si>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</si>
  <si>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</si>
  <si>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</si>
  <si>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</si>
  <si>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</si>
  <si>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</si>
  <si>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</si>
  <si>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</si>
  <si>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</si>
  <si>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</si>
  <si>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</si>
  <si>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</si>
  <si>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</si>
  <si>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</si>
  <si>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</si>
  <si>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</si>
  <si>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</si>
  <si>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</si>
  <si>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</si>
  <si>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</si>
  <si>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</si>
  <si>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</si>
  <si>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</si>
  <si>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</si>
  <si>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</si>
  <si>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</si>
  <si>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</si>
  <si>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</si>
  <si>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</si>
  <si>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</si>
  <si>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</si>
  <si>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</si>
  <si>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</si>
  <si>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</si>
  <si>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</si>
  <si>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</si>
  <si>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</si>
  <si>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</si>
  <si>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</si>
  <si>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</si>
  <si>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</si>
  <si>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</si>
  <si>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</si>
  <si>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</si>
  <si>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</si>
  <si>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</si>
  <si>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</si>
  <si>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</si>
  <si>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</si>
  <si>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</si>
  <si>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</si>
  <si>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</si>
  <si>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</si>
  <si>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</si>
  <si>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</si>
  <si>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</si>
  <si>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</si>
  <si>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</si>
  <si>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</si>
  <si>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</si>
  <si>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</si>
  <si>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</si>
  <si>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</si>
  <si>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</si>
  <si>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</si>
  <si>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</si>
  <si>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</si>
  <si>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</si>
  <si>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</si>
  <si>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</si>
  <si>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</si>
  <si>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</si>
  <si>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</si>
  <si>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</si>
  <si>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</si>
  <si>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</si>
  <si>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</si>
  <si>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</si>
  <si>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</si>
  <si>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</si>
  <si>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</si>
  <si>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</si>
  <si>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</si>
  <si>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</si>
  <si>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</si>
  <si>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</si>
  <si>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</si>
  <si>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</si>
  <si>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</si>
  <si>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</si>
  <si>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</si>
  <si>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</si>
  <si>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</si>
  <si>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</si>
  <si>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</si>
  <si>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</si>
  <si>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</si>
  <si>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</si>
  <si>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</si>
  <si>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</si>
  <si>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</si>
  <si>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</si>
  <si>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</si>
  <si>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</si>
  <si>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</si>
  <si>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</si>
  <si>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</si>
  <si>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</si>
  <si>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</si>
  <si>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</si>
  <si>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</si>
  <si>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</si>
  <si>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</si>
  <si>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</si>
  <si>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</si>
  <si>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</si>
  <si>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</si>
  <si>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</si>
  <si>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</si>
  <si>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</si>
  <si>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</si>
  <si>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</si>
  <si>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</si>
  <si>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</si>
  <si>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</si>
  <si>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</si>
  <si>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</si>
  <si>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</si>
  <si>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</si>
  <si>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</si>
  <si>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</si>
  <si>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</si>
  <si>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</si>
  <si>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</si>
  <si>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</si>
  <si>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</si>
  <si>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</si>
  <si>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</si>
  <si>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</si>
  <si>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</si>
  <si>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</si>
  <si>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</si>
  <si>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</si>
  <si>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</si>
  <si>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</si>
  <si>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</si>
  <si>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</si>
  <si>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</si>
  <si>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</si>
  <si>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</si>
  <si>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</si>
  <si>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</si>
  <si>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</si>
  <si>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</si>
  <si>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</si>
  <si>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</si>
  <si>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</si>
  <si>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</si>
  <si>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</si>
  <si>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</si>
  <si>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</si>
  <si>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</si>
  <si>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</si>
  <si>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</si>
  <si>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</si>
  <si>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</si>
  <si>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</si>
  <si>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</si>
  <si>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</si>
  <si>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</si>
  <si>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</si>
  <si>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</si>
  <si>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</si>
  <si>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</si>
  <si>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</si>
  <si>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</si>
  <si>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</si>
  <si>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</si>
  <si>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</si>
  <si>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</si>
  <si>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</si>
  <si>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</si>
  <si>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</si>
  <si>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</si>
  <si>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</si>
  <si>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</si>
  <si>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</si>
  <si>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</si>
  <si>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</si>
  <si>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</si>
  <si>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</si>
  <si>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</si>
  <si>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</si>
  <si>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</si>
  <si>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</si>
  <si>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</si>
  <si>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</si>
  <si>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</si>
  <si>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</si>
  <si>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</si>
  <si>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</si>
  <si>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</si>
  <si>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</si>
  <si>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</si>
  <si>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</si>
  <si>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</si>
  <si>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</si>
  <si>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</si>
  <si>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</si>
  <si>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</si>
  <si>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</si>
  <si>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</si>
  <si>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</si>
  <si>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</si>
  <si>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</si>
  <si>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</si>
  <si>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</si>
  <si>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</si>
  <si>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</si>
  <si>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</si>
  <si>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</si>
  <si>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</si>
  <si>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</si>
  <si>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</si>
  <si>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</si>
  <si>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</si>
  <si>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</si>
  <si>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</si>
  <si>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</si>
  <si>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</si>
  <si>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</si>
  <si>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</si>
  <si>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</si>
  <si>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</si>
  <si>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</si>
  <si>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</si>
  <si>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</si>
  <si>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</si>
  <si>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</si>
  <si>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</si>
  <si>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</si>
  <si>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</si>
  <si>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</si>
  <si>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</si>
  <si>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</si>
  <si>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</si>
  <si>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</si>
  <si>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</si>
  <si>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</si>
  <si>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</si>
  <si>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</si>
  <si>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</si>
  <si>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</si>
  <si>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</si>
  <si>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</si>
  <si>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</si>
  <si>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</si>
  <si>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</si>
  <si>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</si>
  <si>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</si>
  <si>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</si>
  <si>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</si>
  <si>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</si>
  <si>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</si>
  <si>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</si>
  <si>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</si>
  <si>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</si>
  <si>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</si>
  <si>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</si>
  <si>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</si>
  <si>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</si>
  <si>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</si>
  <si>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</si>
  <si>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Dennis</t>
  </si>
  <si>
    <t>WK5</t>
  </si>
  <si>
    <t>WK4</t>
  </si>
  <si>
    <t>Xiaojing/Yu Xuan</t>
  </si>
  <si>
    <t>WK3</t>
  </si>
  <si>
    <t>Yu Xuan</t>
  </si>
  <si>
    <t>David/Steven</t>
  </si>
  <si>
    <t>Xiaojing</t>
  </si>
  <si>
    <t>gfx.sr_stat</t>
  </si>
  <si>
    <t>Frank</t>
  </si>
  <si>
    <t>Glenn/Javad</t>
  </si>
  <si>
    <t>WK2</t>
  </si>
  <si>
    <t>Glenn/Javad/JJ/Anthony</t>
  </si>
  <si>
    <t>WK8</t>
  </si>
  <si>
    <t xml:space="preserve"> -vm</t>
  </si>
  <si>
    <t>Shuhui</t>
  </si>
  <si>
    <t>WK1</t>
  </si>
  <si>
    <t>Steven</t>
  </si>
  <si>
    <t>Not a feature, the MAS to be delivered by the DE team</t>
  </si>
  <si>
    <t>Removal feature, not visible to diags</t>
  </si>
  <si>
    <t>Waived from gfx coverage by IPSE</t>
  </si>
  <si>
    <t>IPSE team will cover this</t>
  </si>
  <si>
    <t>Issues in gfx_pm4_packets</t>
  </si>
  <si>
    <t>Daniel G</t>
  </si>
  <si>
    <t>Driver team will verify this</t>
  </si>
  <si>
    <t>Steven/JJ/Anthony</t>
  </si>
  <si>
    <t>spi2010,spi2011</t>
  </si>
  <si>
    <t>spi2020,spi2021</t>
  </si>
  <si>
    <t>Indirect</t>
  </si>
  <si>
    <t>https://ontrack-internal.amd.com/browse/TNG-8760</t>
  </si>
  <si>
    <t>Claire/Meiru</t>
  </si>
  <si>
    <t>gci669.1-12</t>
  </si>
  <si>
    <t>Deprecated, not visible to diags</t>
  </si>
  <si>
    <t>Not visible to diags, will be tested by IPSE team</t>
  </si>
  <si>
    <t>gfx.red_triangle_draw_composite</t>
  </si>
  <si>
    <t>navi48.gfx.ge.register_access</t>
  </si>
  <si>
    <t>IPSE team will cover this, with RLC FW team support</t>
  </si>
  <si>
    <t>Indirect covered by regular clock stretch, not directly covered by diag</t>
  </si>
  <si>
    <t>food_store,mountain_range,navi48.gfx.ge.register_access</t>
  </si>
  <si>
    <t>IMU team will cover this</t>
  </si>
  <si>
    <t>David</t>
  </si>
  <si>
    <t xml:space="preserve">wgs.6 :: wgs_dispatch_sanity_pm4_01           pass
wgs.8 :: wgs_dispatch_two_pipes_pm4_01    pass
wgs.1 :: wgs_ace_cwsr_pm4_01                        not run
wgs.100 :: wgs_dispatch_sanity_tacl_01        pass
wgs.12 :: wgs_gl1_ret_xnack_pm4_01              pass
gci30.3 ::linpack_wgs                                           not run
wgs_interrrupt_tacl                                              pass
gci22.11 :: shader_memory_copy                      pass
</t>
  </si>
  <si>
    <t>gci820.0</t>
  </si>
  <si>
    <t>Partially covered by 12.030 and in tserver gci1307 test.
https://ontrack-internal.amd.com/browse/TNG-8541</t>
  </si>
  <si>
    <t>glxi60.7</t>
  </si>
  <si>
    <t>Will be covered by any DCC tests</t>
  </si>
  <si>
    <t>glxi60.5</t>
  </si>
  <si>
    <t>glxi60.6</t>
  </si>
  <si>
    <t>Not visible to diags</t>
  </si>
  <si>
    <t>./tserverlite -test=ge3.0 -skip_consoleblank_check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</si>
  <si>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gfx.ieee_min_max</t>
  </si>
  <si>
    <t>https://ontrack-internal.amd.com/browse/TNG-7987</t>
  </si>
  <si>
    <t>Invisible to diags, workload cross the original die interface will cover</t>
  </si>
  <si>
    <t>glxi29.8</t>
  </si>
  <si>
    <t>gfx.cmm_sax_utcl0_invalidation_monolithic/utcl0_enable</t>
  </si>
  <si>
    <t>Sid</t>
  </si>
  <si>
    <t>glxi86.1-2</t>
  </si>
  <si>
    <t>rlc1.0</t>
  </si>
  <si>
    <t>./tserverlite -test=rlc1.0 -skip_consoleblank_check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</si>
  <si>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./tserverlite -test=rlc1.1 -skip_consoleblank_check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</si>
  <si>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gfx.inst_perf/global_load_tr.*</t>
  </si>
  <si>
    <t>https://ontrack-internal.amd.com/browse/TNG-8759</t>
  </si>
  <si>
    <t>Requires thread trace viewer</t>
  </si>
  <si>
    <t>GFX IPSE will cover the Perfmon related features</t>
  </si>
  <si>
    <t>gfx.inst_perf/v_dual_mov_b32</t>
  </si>
  <si>
    <t>https://ontrack-internal.amd.com/browse/TNG-8273</t>
  </si>
  <si>
    <t xml:space="preserve">Not a feature </t>
  </si>
  <si>
    <t>This is a pre-silicon initiative thus does not apply to PostSi.  We can waive this one from PostSi coverage.   Makhan/Wanshou to align with design team accordingly.</t>
  </si>
  <si>
    <t>Design confirmed feature is fully dropped</t>
  </si>
  <si>
    <t xml:space="preserve">This is a pure H/W change which impacts the SRAM access.   This would be covered implicitly by running various 3D/Compute workload.   There is no need to develop a target test case for this feature. </t>
  </si>
  <si>
    <t>Removed, DEGFX12-10852</t>
  </si>
  <si>
    <t>WGS dependent</t>
  </si>
  <si>
    <t>OSS diag will provide coverage</t>
  </si>
  <si>
    <t>Not POR for NV48/44</t>
  </si>
  <si>
    <t>Xiaojing/Botao</t>
  </si>
  <si>
    <t>gci1311</t>
  </si>
  <si>
    <t xml:space="preserve">The feature is not applicable to Navi44/48.   Please remove this from your feature list. </t>
  </si>
  <si>
    <t>Tserver</t>
  </si>
  <si>
    <t>de-featured</t>
  </si>
  <si>
    <t>Faez</t>
  </si>
  <si>
    <t>rt1.400-401</t>
  </si>
  <si>
    <t>This is a removal, and no direct coverage is required.   Makhan/Wanshou to check with Arch and waive from PostSi coverage.</t>
  </si>
  <si>
    <t>Steven/Glenn</t>
  </si>
  <si>
    <t>utci16.1</t>
  </si>
  <si>
    <t>IPSE confirmed chiplet only</t>
  </si>
  <si>
    <t>shci2039.0-3</t>
  </si>
  <si>
    <t>"-tt_enable=1 -vm -tt_config=traceSe=0"</t>
  </si>
  <si>
    <t>rt33.0</t>
  </si>
  <si>
    <t>rt33.1-2</t>
  </si>
  <si>
    <t>gci1307.4-7</t>
  </si>
  <si>
    <t>Tested on gopher+
Partially addresses by 12.030</t>
  </si>
  <si>
    <t>tested on GopherLite</t>
  </si>
  <si>
    <t>spi453</t>
  </si>
  <si>
    <t>glxi61.1-2</t>
  </si>
  <si>
    <t>gfx.linpack_gfx_compute</t>
  </si>
  <si>
    <t xml:space="preserve">PPA team will enable this, IPSE team will verify </t>
  </si>
  <si>
    <t>gci1310</t>
  </si>
  <si>
    <t>cpi415</t>
  </si>
  <si>
    <t>Risc-V features, will be tested by IPSE team</t>
  </si>
  <si>
    <t>gci1309.0-3</t>
  </si>
  <si>
    <t>gmhub.athub_raw_monolithic_test/CPWD</t>
  </si>
  <si>
    <t>Will use MHUB team's ATHUB RAW check and Single VC for GFX IO test's CPWD variation as coverage</t>
  </si>
  <si>
    <t>PMM test will deliver gfxoff by AB+8wks (dependency)</t>
  </si>
  <si>
    <t>Partially covered by 12.209. Checked cycles by using thread trace WMMA8/WMMA16 tokens</t>
  </si>
  <si>
    <t>Confirmed ownership has been passed to SDMA team for perf verfication</t>
  </si>
  <si>
    <t>Steven/Frank</t>
  </si>
  <si>
    <t>txi83</t>
  </si>
  <si>
    <t>Risc-V feature, will be tested by IPSE team</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</si>
  <si>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</si>
  <si>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</si>
  <si>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</si>
  <si>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</si>
  <si>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CMM</t>
  </si>
  <si>
    <t>CTL</t>
  </si>
  <si>
    <t>GC</t>
  </si>
  <si>
    <t>GEO</t>
  </si>
  <si>
    <t>GFX</t>
  </si>
  <si>
    <t>PP</t>
  </si>
  <si>
    <t>SH</t>
  </si>
  <si>
    <t>SIO</t>
  </si>
  <si>
    <t>TEX</t>
  </si>
  <si>
    <t>UTCL2</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</si>
  <si>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</si>
  <si>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</si>
  <si>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</si>
  <si>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</si>
  <si>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</si>
  <si>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Big Rock</t>
  </si>
  <si>
    <t>Emulation Priority</t>
  </si>
  <si>
    <t>Navi4x configuration changes</t>
  </si>
  <si>
    <t>Total # of Features</t>
  </si>
  <si>
    <t xml:space="preserve">Separate color blend opt bits out of CB_COLORn_INFO </t>
  </si>
  <si>
    <t>Total # of P1</t>
  </si>
  <si>
    <t xml:space="preserve">Change SPI_VS_OUT_CONFIG and SPI_PS_IN_CONTROL from context to persistent state regs </t>
  </si>
  <si>
    <t>Total # of P2</t>
  </si>
  <si>
    <t xml:space="preserve">Separate PS_ITER_SAMPLE out of PA_SC_MODE_CNTL_1 </t>
  </si>
  <si>
    <t>Total # of P3</t>
  </si>
  <si>
    <t xml:space="preserve">Separate SAMPLE_RATE out of DB_COUNT_CONTROL </t>
  </si>
  <si>
    <t>Total # of Diagnostics</t>
  </si>
  <si>
    <t xml:space="preserve">GE_CNTL and VGT_LS_HS_CONFIG changes </t>
  </si>
  <si>
    <t>Total # of Driver</t>
  </si>
  <si>
    <t xml:space="preserve">PA_SC_AA_CONFIG changes </t>
  </si>
  <si>
    <t>Total # of IPSE</t>
  </si>
  <si>
    <t xml:space="preserve">PA_SC_CONSERVATIVE_RASTERIZATION_CNTL changes </t>
  </si>
  <si>
    <t>Total # of N/A</t>
  </si>
  <si>
    <t xml:space="preserve">Eliminate PA_SU_SC_MODE_CNTL.KEEP_TOGETHER_ENABLE </t>
  </si>
  <si>
    <t>Total # of Legacy</t>
  </si>
  <si>
    <t xml:space="preserve">Separate AUTO_RESET_CNTL from PA_SC_LINE_STIPPLE </t>
  </si>
  <si>
    <t>Total # of Delta</t>
  </si>
  <si>
    <t xml:space="preserve">Implicit viewport scissoring </t>
  </si>
  <si>
    <t>Total # of New</t>
  </si>
  <si>
    <t xml:space="preserve">Simplify workaround for DEGGIGXX0-4644 </t>
  </si>
  <si>
    <t>Separate event enable bits out of SPI_CONFIG_CNTL</t>
  </si>
  <si>
    <t xml:space="preserve">Split DB_RENDER_OVERRIDE </t>
  </si>
  <si>
    <t xml:space="preserve">DB_STENCILREFMASK refactor </t>
  </si>
  <si>
    <t xml:space="preserve">Per target control for CB BIG_PAGE/L2_BYPASS </t>
  </si>
  <si>
    <t xml:space="preserve">MSAA shader write support for D/S images </t>
  </si>
  <si>
    <t xml:space="preserve">Broadcast stores </t>
  </si>
  <si>
    <t xml:space="preserve">out of order per-wave vmem returns </t>
  </si>
  <si>
    <t>New (Big Rock)</t>
  </si>
  <si>
    <t>Configuration agnostic memory scope and policy control (dup of 12.041)</t>
  </si>
  <si>
    <t>Add support for image atomics fp32 add (makes fp32 add orthogonal).  Make fp behaviour among lds/cmm/df identical</t>
  </si>
  <si>
    <t xml:space="preserve">Support greater than 16k x 16k x 8k textures  (64k x 64k x 16k, inc. 16 mip levels to support 64k).  Reduce/simplify swizzle modes. </t>
  </si>
  <si>
    <t xml:space="preserve">Unclamped image load/store support </t>
  </si>
  <si>
    <t xml:space="preserve">Move PRT++ atomic ops out of TCP tags </t>
  </si>
  <si>
    <t xml:space="preserve">Double Ray Tracing Intersect Engine </t>
  </si>
  <si>
    <t xml:space="preserve">RT instance node transform </t>
  </si>
  <si>
    <t xml:space="preserve">64B RT node </t>
  </si>
  <si>
    <t>New GL2 policies (same/child of 12.027)</t>
  </si>
  <si>
    <t xml:space="preserve">Unify GLC-&gt;EA request interface </t>
  </si>
  <si>
    <t>GLC guarantee of same address order for any op or scope (dep. On 12.042)</t>
  </si>
  <si>
    <t>GLC Cascading Read-Mod-Write Atomic Ops (includes retaining gfx11 atomic ops)</t>
  </si>
  <si>
    <t xml:space="preserve">GLC Full CL sized write support </t>
  </si>
  <si>
    <t xml:space="preserve">GLC Up to 256B Write Support to EA </t>
  </si>
  <si>
    <t>cache last_use policy (child of 12.041/12.027)</t>
  </si>
  <si>
    <t>Distributed compression architecture in CMM and client impacts (w/ physical meta-data)</t>
  </si>
  <si>
    <t xml:space="preserve">SQG Ring Bus conversion for multi-chip </t>
  </si>
  <si>
    <t>Split workgroup barrier</t>
  </si>
  <si>
    <t>Shader Instruction Data Prefetch (viola item)</t>
  </si>
  <si>
    <t>Shader software data dependency control</t>
  </si>
  <si>
    <t>Shader SALU Float support (in M1/M2/gfx11.5)</t>
  </si>
  <si>
    <t>VGPR DMA for Function Calls (uniform mask only)</t>
  </si>
  <si>
    <t xml:space="preserve">Shader Debugger Enablement </t>
  </si>
  <si>
    <t xml:space="preserve">Shader Illegal Instruction Detection </t>
  </si>
  <si>
    <t xml:space="preserve">Support PERMUTE/BPERMUTE for wave64 </t>
  </si>
  <si>
    <t xml:space="preserve">Shader VALU Improvements </t>
  </si>
  <si>
    <t>Modified (Big Rock)</t>
  </si>
  <si>
    <t xml:space="preserve">Shader Scalar Improvements </t>
  </si>
  <si>
    <t xml:space="preserve">Fix SQG GRBM design </t>
  </si>
  <si>
    <t>SQC Latency reduction (inherit approach from mi300)</t>
  </si>
  <si>
    <t xml:space="preserve">WGP-takeover mode </t>
  </si>
  <si>
    <t>Shader Instruction Store convert to Cache (likely in M2/gfx11.5)</t>
  </si>
  <si>
    <t xml:space="preserve">Shader signed memory offsets </t>
  </si>
  <si>
    <t xml:space="preserve">Move SQG outside of SPI </t>
  </si>
  <si>
    <t xml:space="preserve">Dynamic VGPR allocation </t>
  </si>
  <si>
    <t xml:space="preserve">Prep for Navi + MIx00 shader merge </t>
  </si>
  <si>
    <t>Documentation - UTCL* MAS</t>
  </si>
  <si>
    <t xml:space="preserve">UTCL1: check page_size using the stored frag_size </t>
  </si>
  <si>
    <t xml:space="preserve">Remove unused client shootdown interface </t>
  </si>
  <si>
    <t xml:space="preserve">GPUVM PTE bits </t>
  </si>
  <si>
    <t xml:space="preserve">Deprecate metadata probe and client shootdown in UTCL0 </t>
  </si>
  <si>
    <t xml:space="preserve">GCR single cycle UTC request interface </t>
  </si>
  <si>
    <t xml:space="preserve">RLC dont disable CGCG while thread trace is active </t>
  </si>
  <si>
    <t xml:space="preserve">CP ucode use dispatch index for TTMP init </t>
  </si>
  <si>
    <t>Single Pass Wave64 Trans Issue (in M2)</t>
  </si>
  <si>
    <t xml:space="preserve">PH Memory Queues </t>
  </si>
  <si>
    <t xml:space="preserve">Harvesting enabled by default </t>
  </si>
  <si>
    <t>WGP&amp;RB GRBM Index Remapping (possible gfx11.5)</t>
  </si>
  <si>
    <t xml:space="preserve">CSC Group Launch guarantee </t>
  </si>
  <si>
    <t xml:space="preserve">GFX Pipe Group Launch Guarantee </t>
  </si>
  <si>
    <t xml:space="preserve">Packet Hardening for Microsoft Telemetry </t>
  </si>
  <si>
    <t xml:space="preserve">add TCP out of order response support </t>
  </si>
  <si>
    <t xml:space="preserve">CP/RLC/SDMA 40-bit Register Addressing to GRBM&lt;&gt;RSMU </t>
  </si>
  <si>
    <t xml:space="preserve">Removal of Clear State Context 0 and reclamation for rendering </t>
  </si>
  <si>
    <t xml:space="preserve">MES Handling Doorbell Misses </t>
  </si>
  <si>
    <t xml:space="preserve">Simplify software debugger register change process </t>
  </si>
  <si>
    <t xml:space="preserve">Double shader DOT Int4 and Int8 rates </t>
  </si>
  <si>
    <t xml:space="preserve">Remove SA Affinity for Pixel Shaders </t>
  </si>
  <si>
    <t xml:space="preserve">RS64 L0 Instr Cache </t>
  </si>
  <si>
    <t xml:space="preserve">RS64 L0 Data Cache </t>
  </si>
  <si>
    <t xml:space="preserve">RS64 Bit Manip Instructions </t>
  </si>
  <si>
    <t>RS64 Dynamic TMR Loading</t>
  </si>
  <si>
    <t>Shader pseudo-scalar trans ops (M2 item)</t>
  </si>
  <si>
    <t>Shader reduce VGPR writes (M2 item, evaluate for gaming)</t>
  </si>
  <si>
    <t>Shader double wave64 VINTERP rate (por gfx11.5, evaluate gaming)</t>
  </si>
  <si>
    <t xml:space="preserve">Shader Performance Profiler Enablement </t>
  </si>
  <si>
    <t xml:space="preserve">Architected SGPR Values </t>
  </si>
  <si>
    <t xml:space="preserve">Hybrid Depth Compression </t>
  </si>
  <si>
    <t xml:space="preserve">HiZ/S in SC </t>
  </si>
  <si>
    <t xml:space="preserve">CB codec removal/simplifications </t>
  </si>
  <si>
    <t xml:space="preserve">VRS fragment compression </t>
  </si>
  <si>
    <t>RS64 64bit Stream Input</t>
  </si>
  <si>
    <t>RS64 Atomic ISA Ext</t>
  </si>
  <si>
    <t>GLx bus widths and configuration</t>
  </si>
  <si>
    <t>CH 256B read/write support</t>
  </si>
  <si>
    <t>Add SP support for float8 (fp8/bf8) dot products (ieee and/or non-ieee)</t>
  </si>
  <si>
    <t>Make shader round-robin arb in workgroup usable by driver</t>
  </si>
  <si>
    <t>Capture shader memviol source to speed up bringup debug</t>
  </si>
  <si>
    <t>UTCL2 UTCL1 Dummy INV interface removal</t>
  </si>
  <si>
    <t>Additional SAx client to UTCL1 (from 12.</t>
  </si>
  <si>
    <t>Ping-Pong walking for dispatches</t>
  </si>
  <si>
    <t>Compute Grid Programmable Walk Order (cs_grid_walk_order).   If not doing morton'ish (ex. 2x2) then improving launch rate for existing typewriter (ex 4x1) is P1)</t>
  </si>
  <si>
    <t>Compute Thread Walk Order (cs_thread_walk_order)</t>
  </si>
  <si>
    <t>DC-&gt;SPI wire reduction</t>
  </si>
  <si>
    <t>wave64 FMAF32 power reduction (M2 item) -&gt; large area</t>
  </si>
  <si>
    <t>Add Structured Sparsity Support</t>
  </si>
  <si>
    <t>Fully connect capability to use high and normal MALL reuse hint (child of 12.027/12.041)</t>
  </si>
  <si>
    <t>UTCL1_identity_mode  (SED Crest)</t>
  </si>
  <si>
    <t>deprecate HPG</t>
  </si>
  <si>
    <t>reduce GE_DIST to GE_SE wire count</t>
  </si>
  <si>
    <t>All debug bus buffers to 4K size</t>
  </si>
  <si>
    <t>ge_se in sed.  Sub item under basic configuration</t>
  </si>
  <si>
    <t>register cleanup</t>
  </si>
  <si>
    <t>Add support to the SDMA to dequeue similar to the way the CP does</t>
  </si>
  <si>
    <t>Update PA/SC support for 1 to 9SE and updated pix distribution algorithm</t>
  </si>
  <si>
    <t>Drop the FSR support from SC PBB implementation</t>
  </si>
  <si>
    <t>DB design simplificaitons while updating for hybrid depth compression</t>
  </si>
  <si>
    <t>add DRAM logging support for RLC</t>
  </si>
  <si>
    <t>Add RLC SRM as an RLC_CH client</t>
  </si>
  <si>
    <t>IPSE team will cover</t>
  </si>
  <si>
    <t>change RLC LX7 config used for power management</t>
  </si>
  <si>
    <t>NAVI4X no longer has SED, not applicable</t>
  </si>
  <si>
    <t>increase adaptive stretch response of GDFLL</t>
  </si>
  <si>
    <t>Register remap to match M1</t>
  </si>
  <si>
    <t>GFX12 IMU - Remove CPAXI and send doorbells directly to CP/RLC/SDMA</t>
  </si>
  <si>
    <t>GFX12 IMU - Modify doorbell interface from Syshub to IMU</t>
  </si>
  <si>
    <t>GFX12 IMU - Add Resets and idle sidebands</t>
  </si>
  <si>
    <t>GFX12 Firewall update for 40 bit address</t>
  </si>
  <si>
    <t>Work Graph Scheduler</t>
  </si>
  <si>
    <t xml:space="preserve">Remove the data duplication for MLOPS </t>
  </si>
  <si>
    <t>Add Conditional-subtract memory atomic for locks</t>
  </si>
  <si>
    <t>DCC sector size to increase to 128B</t>
  </si>
  <si>
    <t>DCC auto-CT detection</t>
  </si>
  <si>
    <t>Sector-separated DCC compressed data layout</t>
  </si>
  <si>
    <t>rename GE BIA containers</t>
  </si>
  <si>
    <t>Data return for clamped PRT is "0" only (no longer needs to be programable)</t>
  </si>
  <si>
    <t>Remove BIG_PAGE control for UTC probing</t>
  </si>
  <si>
    <t>Remove passthru_en/esgs_ring_itemsize/old gs fastlaunch</t>
  </si>
  <si>
    <t>VRS removal in DCC</t>
  </si>
  <si>
    <t>Remove F32 from CPG and CPC; No BC support in PM4 parsers</t>
  </si>
  <si>
    <t>move offchip lds manager to GE</t>
  </si>
  <si>
    <t>Improve SPI work limiting controls (spi_work_limit_ctrl)</t>
  </si>
  <si>
    <t>[Navi4x] Move RTAVFS/DLDO/DFLL initialization to after CP is running workloads</t>
  </si>
  <si>
    <t>Indirect covered by initialization (front door loading)</t>
  </si>
  <si>
    <t>[Navi4x] SDMA ucode caching</t>
  </si>
  <si>
    <t>[Navi4x] CP ucode firmware execution speed-up via cache priming</t>
  </si>
  <si>
    <t>[Navi4x] Remove SDMA load/run commands or disallow DRAM access allowed for load/run commands</t>
  </si>
  <si>
    <t>RS64 Debug Enablement</t>
  </si>
  <si>
    <t>SED client to 256B reads</t>
  </si>
  <si>
    <t>Shader VALU min/max IEEE compliant</t>
  </si>
  <si>
    <t>Convert PAL implementation of streamout to sw solution enables GDS removal</t>
  </si>
  <si>
    <t>SED&lt;&gt;AID and AID&lt;&gt;AID interfaces must support arbitrary clk deviation, so protocols like valid-only need to be converted.</t>
  </si>
  <si>
    <t>GCRD-&gt;GCR response interface to credit/debit</t>
  </si>
  <si>
    <t>GCRD_SE SAX client</t>
  </si>
  <si>
    <t>Limit wires SED&lt;-&gt;AID for PMM Ips</t>
  </si>
  <si>
    <t>GFX12 UTLC2 - Add idle sidebands</t>
  </si>
  <si>
    <t>GFX12 SDMA - Add sidebands to control Idle request</t>
  </si>
  <si>
    <t>remove GCR dummy UTCL2 invalidation interface</t>
  </si>
  <si>
    <t>GFX12 EA - Add idle sidebands</t>
  </si>
  <si>
    <t>Swap PRIM_CONFIG register to SA_UNIT_DISABLE register</t>
  </si>
  <si>
    <t>GTS support in GFX12</t>
  </si>
  <si>
    <t>Remove harvesting connectivity/RTL mux in SP</t>
  </si>
  <si>
    <t>GFX12 IH Gasket update for chiplet design</t>
  </si>
  <si>
    <t>TBD: Diag will cover this feature like before, but need to sync with design</t>
  </si>
  <si>
    <t>GFX12 IMU - Add FIFO for blocked RSMU writes and keep read outstanding</t>
  </si>
  <si>
    <t>SPM sample sync across AID and GFX to DF</t>
  </si>
  <si>
    <t>Faulting illegal ops to PCIE</t>
  </si>
  <si>
    <t>Perfmon: GFX - Convert all counter modules to SPM-only mode</t>
  </si>
  <si>
    <t>Perfmon: GFX - GFX SPM sampling window to be driven by REFCLK</t>
  </si>
  <si>
    <t>Perfmon: GFX - SQ counters to support shader type filters per individual counter</t>
  </si>
  <si>
    <t>Perfmon: GFX - Custom data injection from CP into SPM with delta counters</t>
  </si>
  <si>
    <t>WMMA wave level matrix load Instruction</t>
  </si>
  <si>
    <t>Perfmon: GFX - VMID Specific Profiling/Debugging</t>
  </si>
  <si>
    <t>NV4x: Perfmon: Review and refinement of available perf counter events for GC and DF</t>
  </si>
  <si>
    <t xml:space="preserve">Fix VOPD dual V_MOV </t>
  </si>
  <si>
    <t>Modification of GS throttle (due to 12.118 ph_memory_queues)</t>
  </si>
  <si>
    <t>MEM_PWR_CTRL Bus increase to support FGCG</t>
  </si>
  <si>
    <t>Wavied, will be covered by IPSE team</t>
  </si>
  <si>
    <t>[Strix] pbb_tile_order_rev -- from BRP:11.5.017</t>
  </si>
  <si>
    <t>Block Initiatives</t>
  </si>
  <si>
    <t>GFX EDC Controller using XVmin/Mafdd</t>
  </si>
  <si>
    <t>NV4x: GFX Cac Events selection enhancement</t>
  </si>
  <si>
    <t>GFX PCC latency optimization</t>
  </si>
  <si>
    <t>Airtight FIFO Design Robustness</t>
  </si>
  <si>
    <t>Benchmark Stimulus Replay at Block</t>
  </si>
  <si>
    <t xml:space="preserve">Adoption of RDL2RTL </t>
  </si>
  <si>
    <t>Remove Coverage into Render Targets</t>
  </si>
  <si>
    <t>SRAM Bit/byte write enable</t>
  </si>
  <si>
    <t>Improving MBFF ratio (Octa/Hexa Flops)</t>
  </si>
  <si>
    <t>Repeater Clock Gating (Clock Gating Efficiency focus)</t>
  </si>
  <si>
    <t>Diag will cover the functionality of clock gating, but need to figure out how to verify efficiency</t>
  </si>
  <si>
    <t>MGCG partitioning (Goal is to reduce gating residency of MGCG domains. Power saved is function of reduction in MGCG domain clock residency, and physical partitioning of domain (size of domain, clones, ICG placement, pre MGCG power).  </t>
  </si>
  <si>
    <t>TBD: Need to figure out how to verify this</t>
  </si>
  <si>
    <t>With GPO enabled, perfmon clock and flops connected to it are currently not gated. Proposal is to improve clock gating of “event” flops and counters used in performance monitor logic</t>
  </si>
  <si>
    <t>Combine clock gating, perf mon check, and GPO in diag test</t>
  </si>
  <si>
    <t>User Data Scatter Engine (RS64)</t>
  </si>
  <si>
    <t>Replace SDMA F32 with RS64</t>
  </si>
  <si>
    <t>Enable GPA in UTCL0 of SAx GL1C</t>
  </si>
  <si>
    <t>Switch GFX to Memgen-based SRAM FGCG</t>
  </si>
  <si>
    <t>Indirect cover with FGCG</t>
  </si>
  <si>
    <t>Add an L1 TLB into the SDMA front-end</t>
  </si>
  <si>
    <t>GFX12 IMU - Add light sleep and deep sleep to SRAMs</t>
  </si>
  <si>
    <t>GFX12 IMU - Add deep sleep support and sideband for IMUCLK</t>
  </si>
  <si>
    <t xml:space="preserve">Increase max scratch allocation </t>
  </si>
  <si>
    <t>TOC updates for RLC FW</t>
  </si>
  <si>
    <t xml:space="preserve">Indrect cover with front door loading </t>
  </si>
  <si>
    <t>Navi4c (chiplet) GFXIP STA Targets</t>
  </si>
  <si>
    <t>GE WD_QOS.DRAW_STALL behavior</t>
  </si>
  <si>
    <t>HP64 child reuse</t>
  </si>
  <si>
    <t>Ray Tracing Tri Pair optimization</t>
  </si>
  <si>
    <t>Remove Soft Lock feature</t>
  </si>
  <si>
    <t>Improve register based invalidation</t>
  </si>
  <si>
    <t>Make SE CAC Counters accessible over Debug Bus</t>
  </si>
  <si>
    <t>reduce VGPRs for LS and ES stages</t>
  </si>
  <si>
    <t>EA and GL2CC move from GRBM to GRBMH</t>
  </si>
  <si>
    <t>Expand V# const_stride from 14 to 17 bit width</t>
  </si>
  <si>
    <t>Improve Thread Trace ExecPopCount bandwidth</t>
  </si>
  <si>
    <t>Load_reserved/store_conditional support in SE$</t>
  </si>
  <si>
    <t>Load_reserved/store_conditional support in DF</t>
  </si>
  <si>
    <t>Change flags encoded in barycentrics to simplify detection of procedural nodes</t>
  </si>
  <si>
    <t>Remove culling with skip_triangles in TA</t>
  </si>
  <si>
    <t>Add AtomicAdd packed math for F16</t>
  </si>
  <si>
    <t>Extend compression control support in Texture</t>
  </si>
  <si>
    <t>Breaking SE reuse in Navi48</t>
  </si>
  <si>
    <t>Add HS and GS Stages to event collection for PS_DONE and PS_PARTIAL_FLUSH</t>
  </si>
  <si>
    <t>Proper Handling of the Force Decompression and Comp Key Read Command on compression-bypassed resources</t>
  </si>
  <si>
    <t>Decrease CS max grid size support to X,Y,Z = 32b,16b,16b</t>
  </si>
  <si>
    <t>Decrompress BLTs via SDMA</t>
  </si>
  <si>
    <t>Descope VRS Compression feature</t>
  </si>
  <si>
    <t>Remove support for Shared VGPRs and Subvector Execution</t>
  </si>
  <si>
    <t xml:space="preserve">BVH Footprint Improvement
</t>
  </si>
  <si>
    <t xml:space="preserve">RT support for OBB and Instance Node Intersection
</t>
  </si>
  <si>
    <t xml:space="preserve">Descope Verification of 16xaa for VRS Coarse Rates (1x2, 2x2, 2x1)
</t>
  </si>
  <si>
    <t>GFXCLK Deep Sleep trigger based on XVMIN</t>
  </si>
  <si>
    <t>SP Throttling and the first DIDT droop</t>
  </si>
  <si>
    <t>SP src operand invalidated by td/lds return</t>
  </si>
  <si>
    <t>Distributed DIDT controller</t>
  </si>
  <si>
    <t>TBD: Needs PMFW and PPA team to enable first, then see whether GFX Diags can cover</t>
  </si>
  <si>
    <t>GRBM/H SYNC registers</t>
  </si>
  <si>
    <t>RS64: Adding performance features for both Navi4x and MI400</t>
  </si>
  <si>
    <t>F8 1.4.3 IEEE mode behavior change (match with NV)</t>
  </si>
  <si>
    <t>RS64: No support for OOO IO read and write memory transactions</t>
  </si>
  <si>
    <t>Save and Restore of perfcounter and ttrace enable for GFXOFF/SRIOV</t>
  </si>
  <si>
    <t>GL2 shared across all SEs for Navi44/48</t>
  </si>
  <si>
    <t>2x MLOPs performance</t>
  </si>
  <si>
    <t>IO traffic can potentially block DRAM traffic</t>
  </si>
  <si>
    <t>Descope 8xaa for VRS coarse rates (1x2, 2x2, 2x1)</t>
  </si>
  <si>
    <t>Hook up AVFS debug bus to debug bus chains in 4 gc_2gl2c_1_tiles</t>
  </si>
  <si>
    <t>Add Ordered-Add memory atomic for faster SW Streamout (global_atomic_ordered_add_b64)</t>
  </si>
  <si>
    <t>Move GFX PSMs to faster clock for faster DIDT controller response</t>
  </si>
  <si>
    <t xml:space="preserve">Waived. PMM Diags, Tools team, and PPA team should cover this. </t>
  </si>
  <si>
    <t>Processor controllable performance counters for CP Bottleneck profiling</t>
  </si>
  <si>
    <t>decoding of op ATOMIC_UMAX_8_NO_RTN from EA to SDP is not expected</t>
  </si>
  <si>
    <t>Navi4 GFXIMU Interrupt Capability</t>
  </si>
  <si>
    <t>Allow GFX doorbells through IMU doorbell fence</t>
  </si>
  <si>
    <t>Increase DB Z cache size for performance</t>
  </si>
  <si>
    <t>Reduce PBB maximum batch size from 1024 to 512 and constrain the minimum bin size in the PBB to 128 pixels</t>
  </si>
  <si>
    <t>Deprioritize NOT_EOP=1 mode</t>
  </si>
  <si>
    <t xml:space="preserve">GFXCLK has risk to achieve 3.46GHz due to AR change </t>
  </si>
  <si>
    <t>PD</t>
  </si>
  <si>
    <t xml:space="preserve">Waived. PMM Diags and PPA team should cover this. </t>
  </si>
  <si>
    <t>Add new jump table for SET_SH_REG and SET_SH_REG_PAIRS when packet count=1 and state is clean</t>
  </si>
  <si>
    <t>Indirect coverage with updated/correct CP FW</t>
  </si>
  <si>
    <t>[Navi4m] GRBM Queue to optimize CP processor performance</t>
  </si>
  <si>
    <t>[RS64] Add Load-IO Custom instruction w/16 CSRs</t>
  </si>
  <si>
    <t>load_reserved store_conditional unitID aliasing requires a change in GFX client unitID values</t>
  </si>
  <si>
    <t>Increase in DB FIFOs for Write-Only Performance</t>
  </si>
  <si>
    <t>CB/DB compress to clear/single before sending to GLx</t>
  </si>
  <si>
    <t>2ch_cant_saturate_pcie_rdBW</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</si>
  <si>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</si>
  <si>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</si>
  <si>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</si>
  <si>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</si>
  <si>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</si>
  <si>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</si>
  <si>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</si>
  <si>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</si>
  <si>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</si>
  <si>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</si>
  <si>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</si>
  <si>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</si>
  <si>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</si>
  <si>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</si>
  <si>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</si>
  <si>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</si>
  <si>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</si>
  <si>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</si>
  <si>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</si>
  <si>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</si>
  <si>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</si>
  <si>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</si>
  <si>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</si>
  <si>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</si>
  <si>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</si>
  <si>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</si>
  <si>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</si>
  <si>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</si>
  <si>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</si>
  <si>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</si>
  <si>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</si>
  <si>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</si>
  <si>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</si>
  <si>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</si>
  <si>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</si>
  <si>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</si>
  <si>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</si>
  <si>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</si>
  <si>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</si>
  <si>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</si>
  <si>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</si>
  <si>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</si>
  <si>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</si>
  <si>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</si>
  <si>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</si>
  <si>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</si>
  <si>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</si>
  <si>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</si>
  <si>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</si>
  <si>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</si>
  <si>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</si>
  <si>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</si>
  <si>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</si>
  <si>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</si>
  <si>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</si>
  <si>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</si>
  <si>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</si>
  <si>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</si>
  <si>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</si>
  <si>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</si>
  <si>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</si>
  <si>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</si>
  <si>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</si>
  <si>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</si>
  <si>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</si>
  <si>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</si>
  <si>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</si>
  <si>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</si>
  <si>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</si>
  <si>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</si>
  <si>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</si>
  <si>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</si>
  <si>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</si>
  <si>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</si>
  <si>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</si>
  <si>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</si>
  <si>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</si>
  <si>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</si>
  <si>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</si>
  <si>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</si>
  <si>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</si>
  <si>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</si>
  <si>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</si>
  <si>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</si>
  <si>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</si>
  <si>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</si>
  <si>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</si>
  <si>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</si>
  <si>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</si>
  <si>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</si>
  <si>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</si>
  <si>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</si>
  <si>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</si>
  <si>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</si>
  <si>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</si>
  <si>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</si>
  <si>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</si>
  <si>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</si>
  <si>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</si>
  <si>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</si>
  <si>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</si>
  <si>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</si>
  <si>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</si>
  <si>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</si>
  <si>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</si>
  <si>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</si>
  <si>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</si>
  <si>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</si>
  <si>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</si>
  <si>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</si>
  <si>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</si>
  <si>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</si>
  <si>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</si>
  <si>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</si>
  <si>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</si>
  <si>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</si>
  <si>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</si>
  <si>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</si>
  <si>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</si>
  <si>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</si>
  <si>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</si>
  <si>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std1.6,2.6,3.6,4.6</t>
  </si>
  <si>
    <t>"-tt_enable=1 -vm -tt_config=tracese=0,stall_all_simds=0,wavestart_mode=wg_id"</t>
  </si>
  <si>
    <t>GCI28.3</t>
  </si>
  <si>
    <t>./tserverlite -cf=tserver-soclfb-frontdoor.cf -test=gci28.3 -d=1</t>
  </si>
  <si>
    <t>placeholder_a.1-108</t>
  </si>
  <si>
    <t>placeholder_b.1</t>
  </si>
  <si>
    <t>placeholder_c.1</t>
  </si>
  <si>
    <t>placeholder_t.1</t>
  </si>
  <si>
    <t>placeholder_h.1</t>
  </si>
  <si>
    <t>placeholder_i.1</t>
  </si>
  <si>
    <t>placeholder_j.1</t>
  </si>
  <si>
    <t>placeholder_k.1-2</t>
  </si>
  <si>
    <t>placeholder_l.1-8</t>
  </si>
  <si>
    <t>placeholder_s.1</t>
  </si>
  <si>
    <t>Total Run.1</t>
  </si>
  <si>
    <t>Pass.1</t>
  </si>
  <si>
    <t>Waived.1</t>
  </si>
  <si>
    <t>Fail.1</t>
  </si>
  <si>
    <t>Skip.1</t>
  </si>
  <si>
    <t>% Pass Rate.1</t>
  </si>
  <si>
    <t/>
  </si>
  <si>
    <t>Same,to,12.164</t>
  </si>
  <si>
    <t>gfx.inst_perf/v_sad.*,gfx.inst_perf/v_swap.*,gfx.inst_perf/v_perm.*,gfx.inst_perf/v_sat_pk_u8_i16,gfx.inst_perf/v_max.*,gfx.inst_perf/v_sub_co_ci_u32.*,gfx.inst_perf/v_med.*,gfx.inst_perf/v_min.*,gfx.inst_perf/v_qsad.*,gfx.inst_perf/v_mqsad.*,gfx.inst_perf/v_mad.*,gfx.inst_perf/v_lerp.*,gfx.inst_perf/v_and.*,gfx.inst_perf/v_.*cndmask_b16,gfx.inst_perf/v_dual.*,gfx.inst_perf/v_frexp.*,gfx.inst_perf/v_alignb.*,gfx.inst_perf/v_div.*,gfx.inst_perf/v_interp.*,gfx.inst_perf/ldexp.*,gfx.inst_perf/v_div.*,gfx.inst_perf/v_fract_f16,gfx.inst_perf/v_add.*</t>
  </si>
  <si>
    <t>gci950-960.0,for,wave32,.1,for,wave64</t>
  </si>
  <si>
    <t>STD1.6,GCI30.3</t>
  </si>
  <si>
    <t>rlci9.1,::,rlc_firewall_40bit_address,rlci10.1,::,cp_firewall_40bit_address</t>
  </si>
  <si>
    <t>wgs.6,::,wgs_dispatch_sanity_pm4_01,wgs.8,::,wgs_dispatch_two_pipes_pm4_01,wgs.1,::,wgs_ace_cwsr_pm4_01,wgs.100,::,wgs_dispatch_sanity_tacl_01,wgs.12,::,wgs_gl1_ret_xnack_pm4_01,gci30.3,::linpack_wgs,wgs_interrrupt_tacl,gci22.11,::,shader_memory_copy</t>
  </si>
  <si>
    <t>gfx.inst_perf/flat_atomic_cond_sub_u32_global,gfx.inst_perf/flat_atomic_sub_clamp_u32_global,gfx.inst_perf/ds_cond_sub_rtn_u32,gfx.inst_perf/ds_sub_clamp_rtn_u32,gci1307.0-3</t>
  </si>
  <si>
    <t>ge3.0,std4.34</t>
  </si>
  <si>
    <t>spi2940,spi2941</t>
  </si>
  <si>
    <t>std1.6,with,tgre,spm,&amp;,sqtt</t>
  </si>
  <si>
    <t>std1.6,with,tgre,spm,cp,test,with,spm</t>
  </si>
  <si>
    <t>std1.1,with,legacy,pv_proxy</t>
  </si>
  <si>
    <t>rlc1.0,rlc1.1</t>
  </si>
  <si>
    <t>shci2039.4,shci2039.5</t>
  </si>
  <si>
    <t>cs16.0,wgs_gpa3_disable_dispatch_pm4_01</t>
  </si>
  <si>
    <t>gfx.inst_perf/v_wmma_f32_16x16x.*,gfx.inst_perf/v_wmma_i32_16x16x32_iu4,gci39.1-6</t>
  </si>
  <si>
    <t>STD1.6</t>
  </si>
  <si>
    <t xml:space="preserve">Compute Grid Programmable Walk Order (cs_grid_walk_order).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</si>
</sst>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m/dd/yy;@"/>
    <numFmt numFmtId="165" formatCode="m/d;@"/>
    <numFmt numFmtId="166" formatCode="0.0%"/>
    <numFmt numFmtId="167" formatCode="0.000"/>
  </numFmts>
  <fonts count="5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11"/>
      <name val="Calibri"/>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23">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3" xfId="0" applyFont="1" applyFill="1" applyBorder="1" applyAlignment="1" applyProtection="1">
      <alignment vertical="center" wrapText="1"/>
      <protection locked="0"/>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7" xfId="0" applyFill="1" applyBorder="1" applyProtection="1">
      <protection locked="0"/>
    </xf>
    <xf numFmtId="0" fontId="0" fillId="52" borderId="10"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18" fillId="52" borderId="10" xfId="0" applyFont="1" applyFill="1" applyBorder="1" applyAlignment="1" applyProtection="1">
      <alignment horizontal="left" vertical="center"/>
      <protection locked="0"/>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57" xfId="44" applyFont="1" applyFill="1" applyBorder="1" applyAlignment="1" applyProtection="1">
      <alignment horizontal="center"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52" borderId="13" xfId="0" applyFont="1" applyFill="1" applyBorder="1" applyAlignment="1" applyProtection="1">
      <alignment vertical="center"/>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167" fontId="0" fillId="52" borderId="16" xfId="0" applyNumberFormat="1" applyFill="1" applyBorder="1" applyProtection="1">
      <protection locked="0"/>
    </xf>
    <xf numFmtId="167" fontId="0" fillId="52" borderId="13" xfId="0" applyNumberFormat="1" applyFill="1" applyBorder="1" applyProtection="1">
      <protection locked="0"/>
    </xf>
    <xf numFmtId="0" fontId="19" fillId="43" borderId="0" xfId="0" applyFont="1" applyFill="1" applyAlignment="1">
      <alignment horizontal="left" vertical="center"/>
    </xf>
    <xf numFmtId="0" fontId="0" fillId="52" borderId="13" xfId="0" applyFill="1" applyBorder="1" applyAlignment="1" applyProtection="1">
      <alignment horizontal="center"/>
      <protection locked="0"/>
    </xf>
    <xf numFmtId="0" fontId="19" fillId="43" borderId="0" xfId="0" applyFont="1" applyFill="1" applyAlignment="1">
      <alignment vertical="center"/>
    </xf>
    <xf numFmtId="0" fontId="0" fillId="52" borderId="14" xfId="0" applyFill="1" applyBorder="1" applyProtection="1">
      <protection locked="0"/>
    </xf>
    <xf numFmtId="0" fontId="0" fillId="0" borderId="14" xfId="0" applyBorder="1" applyProtection="1">
      <protection locked="0"/>
    </xf>
    <xf numFmtId="0" fontId="51" fillId="0" borderId="10" xfId="0" applyFont="1" applyBorder="1" applyAlignment="1">
      <alignment horizontal="center" vertical="top"/>
    </xf>
    <xf numFmtId="167" fontId="51" fillId="0" borderId="10" xfId="0" applyNumberFormat="1" applyFont="1" applyBorder="1" applyAlignment="1">
      <alignment horizontal="center" vertical="top"/>
    </xf>
    <xf numFmtId="167" fontId="0" fillId="0" borderId="0" xfId="0" applyNumberFormat="1"/>
    <xf numFmtId="167" fontId="18" fillId="52" borderId="13" xfId="0" applyNumberFormat="1" applyFont="1" applyFill="1" applyBorder="1" applyAlignment="1" applyProtection="1">
      <alignment vertical="center" wrapText="1"/>
      <protection locked="0"/>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12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42578125" defaultRowHeight="15" x14ac:dyDescent="0.25"/>
  <cols>
    <col min="1" max="1" width="8.5703125" style="90" bestFit="1" customWidth="1"/>
    <col min="2" max="2" width="10.5703125" style="81" bestFit="1" customWidth="1"/>
    <col min="3" max="3" width="10.42578125" style="81" bestFit="1" customWidth="1"/>
    <col min="4" max="4" width="120.42578125" style="78" bestFit="1" customWidth="1"/>
    <col min="5" max="5" width="40.42578125" style="81" bestFit="1" customWidth="1"/>
    <col min="6" max="6" width="35.42578125" style="81" bestFit="1" customWidth="1"/>
    <col min="7" max="16384" width="9.425781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ht="30"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20" activePane="bottomRight" state="frozen"/>
      <selection pane="topRight" activeCell="D1" sqref="D1"/>
      <selection pane="bottomLeft" activeCell="A9" sqref="A9"/>
      <selection pane="bottomRight" activeCell="D20" sqref="D20"/>
    </sheetView>
  </sheetViews>
  <sheetFormatPr defaultColWidth="26.42578125" defaultRowHeight="15" x14ac:dyDescent="0.25"/>
  <cols>
    <col min="1" max="1" width="20.5703125" style="84" bestFit="1" customWidth="1"/>
    <col min="2" max="2" width="27" style="78" bestFit="1" customWidth="1"/>
    <col min="3" max="3" width="26" style="78" bestFit="1" customWidth="1"/>
    <col min="4" max="4" width="83.42578125" style="78" customWidth="1"/>
    <col min="5" max="5" width="14.5703125" style="78" bestFit="1" customWidth="1"/>
    <col min="6" max="6" width="28.42578125" style="78" bestFit="1" customWidth="1"/>
    <col min="7" max="7" width="66.5703125" style="78" customWidth="1"/>
    <col min="8" max="16384" width="26.42578125" style="78"/>
  </cols>
  <sheetData>
    <row r="1" spans="1:7" s="84" customFormat="1" ht="30.75" thickBot="1" x14ac:dyDescent="0.3">
      <c r="A1" s="115" t="s">
        <v>53</v>
      </c>
      <c r="B1" s="579" t="s">
        <v>54</v>
      </c>
      <c r="C1" s="580"/>
      <c r="D1" s="580"/>
      <c r="E1" s="167" t="s">
        <v>55</v>
      </c>
      <c r="F1" s="167" t="s">
        <v>56</v>
      </c>
      <c r="G1" s="110" t="s">
        <v>57</v>
      </c>
    </row>
    <row r="2" spans="1:7" x14ac:dyDescent="0.25">
      <c r="A2" s="116" t="s">
        <v>58</v>
      </c>
      <c r="B2" s="581" t="s">
        <v>59</v>
      </c>
      <c r="C2" s="582"/>
      <c r="D2" s="582"/>
      <c r="E2" s="295" t="s">
        <v>60</v>
      </c>
      <c r="F2" s="295" t="s">
        <v>61</v>
      </c>
      <c r="G2" s="327" t="s">
        <v>62</v>
      </c>
    </row>
    <row r="3" spans="1:7" s="81" customFormat="1" x14ac:dyDescent="0.25">
      <c r="A3" s="203" t="s">
        <v>63</v>
      </c>
      <c r="B3" s="588" t="s">
        <v>64</v>
      </c>
      <c r="C3" s="589"/>
      <c r="D3" s="590"/>
      <c r="E3" s="80" t="s">
        <v>60</v>
      </c>
      <c r="F3" s="80" t="s">
        <v>61</v>
      </c>
      <c r="G3" s="328" t="s">
        <v>62</v>
      </c>
    </row>
    <row r="4" spans="1:7" x14ac:dyDescent="0.25">
      <c r="A4" s="203" t="s">
        <v>65</v>
      </c>
      <c r="B4" s="585" t="s">
        <v>66</v>
      </c>
      <c r="C4" s="586"/>
      <c r="D4" s="587"/>
      <c r="E4" s="80" t="s">
        <v>67</v>
      </c>
      <c r="F4" s="80" t="s">
        <v>61</v>
      </c>
      <c r="G4" s="328" t="s">
        <v>62</v>
      </c>
    </row>
    <row r="5" spans="1:7" x14ac:dyDescent="0.25">
      <c r="A5" s="117" t="s">
        <v>68</v>
      </c>
      <c r="B5" s="585" t="s">
        <v>69</v>
      </c>
      <c r="C5" s="586"/>
      <c r="D5" s="587"/>
      <c r="E5" s="80" t="s">
        <v>67</v>
      </c>
      <c r="F5" s="80" t="s">
        <v>61</v>
      </c>
      <c r="G5" s="328" t="s">
        <v>62</v>
      </c>
    </row>
    <row r="6" spans="1:7" x14ac:dyDescent="0.25">
      <c r="A6" s="117" t="s">
        <v>70</v>
      </c>
      <c r="B6" s="585" t="s">
        <v>71</v>
      </c>
      <c r="C6" s="586"/>
      <c r="D6" s="587"/>
      <c r="E6" s="80" t="s">
        <v>72</v>
      </c>
      <c r="F6" s="80" t="s">
        <v>61</v>
      </c>
      <c r="G6" s="85"/>
    </row>
    <row r="7" spans="1:7" ht="15.75" thickBot="1" x14ac:dyDescent="0.3">
      <c r="A7" s="118" t="s">
        <v>73</v>
      </c>
      <c r="B7" s="583" t="s">
        <v>74</v>
      </c>
      <c r="C7" s="584"/>
      <c r="D7" s="584"/>
      <c r="E7" s="86" t="s">
        <v>72</v>
      </c>
      <c r="F7" s="86"/>
      <c r="G7" s="87"/>
    </row>
    <row r="8" spans="1:7" s="84" customFormat="1" ht="30.75" thickBot="1" x14ac:dyDescent="0.3">
      <c r="A8" s="115" t="s">
        <v>53</v>
      </c>
      <c r="B8" s="412" t="s">
        <v>1</v>
      </c>
      <c r="C8" s="167" t="s">
        <v>75</v>
      </c>
      <c r="D8" s="167" t="s">
        <v>54</v>
      </c>
      <c r="E8" s="167" t="s">
        <v>55</v>
      </c>
      <c r="F8" s="167" t="s">
        <v>56</v>
      </c>
      <c r="G8" s="110" t="s">
        <v>57</v>
      </c>
    </row>
    <row r="9" spans="1:7" ht="105" x14ac:dyDescent="0.25">
      <c r="A9" s="565" t="s">
        <v>58</v>
      </c>
      <c r="B9" s="568" t="s">
        <v>76</v>
      </c>
      <c r="C9" s="334" t="s">
        <v>77</v>
      </c>
      <c r="D9" s="94" t="s">
        <v>78</v>
      </c>
      <c r="E9" s="94" t="s">
        <v>60</v>
      </c>
      <c r="F9" s="94" t="s">
        <v>79</v>
      </c>
      <c r="G9" s="413" t="s">
        <v>80</v>
      </c>
    </row>
    <row r="10" spans="1:7" ht="75" x14ac:dyDescent="0.25">
      <c r="A10" s="566"/>
      <c r="B10" s="569"/>
      <c r="C10" s="330" t="s">
        <v>81</v>
      </c>
      <c r="D10" s="82" t="s">
        <v>82</v>
      </c>
      <c r="E10" s="82" t="s">
        <v>60</v>
      </c>
      <c r="F10" s="82" t="s">
        <v>79</v>
      </c>
      <c r="G10" s="322" t="s">
        <v>83</v>
      </c>
    </row>
    <row r="11" spans="1:7" ht="45" x14ac:dyDescent="0.25">
      <c r="A11" s="566"/>
      <c r="B11" s="569"/>
      <c r="C11" s="330" t="s">
        <v>84</v>
      </c>
      <c r="D11" s="82" t="s">
        <v>85</v>
      </c>
      <c r="E11" s="82" t="s">
        <v>86</v>
      </c>
      <c r="F11" s="82" t="s">
        <v>79</v>
      </c>
      <c r="G11" s="95" t="s">
        <v>87</v>
      </c>
    </row>
    <row r="12" spans="1:7" ht="120" x14ac:dyDescent="0.25">
      <c r="A12" s="566"/>
      <c r="B12" s="569"/>
      <c r="C12" s="330" t="s">
        <v>88</v>
      </c>
      <c r="D12" s="349" t="s">
        <v>89</v>
      </c>
      <c r="E12" s="82" t="s">
        <v>86</v>
      </c>
      <c r="F12" s="82" t="s">
        <v>79</v>
      </c>
      <c r="G12" s="322" t="s">
        <v>90</v>
      </c>
    </row>
    <row r="13" spans="1:7" ht="30" x14ac:dyDescent="0.25">
      <c r="A13" s="566"/>
      <c r="B13" s="569"/>
      <c r="C13" s="330" t="s">
        <v>91</v>
      </c>
      <c r="D13" s="82" t="s">
        <v>92</v>
      </c>
      <c r="E13" s="82" t="s">
        <v>86</v>
      </c>
      <c r="F13" s="82" t="s">
        <v>79</v>
      </c>
      <c r="G13" s="95" t="s">
        <v>93</v>
      </c>
    </row>
    <row r="14" spans="1:7" ht="30" x14ac:dyDescent="0.25">
      <c r="A14" s="566"/>
      <c r="B14" s="569"/>
      <c r="C14" s="330" t="s">
        <v>94</v>
      </c>
      <c r="D14" s="82" t="s">
        <v>95</v>
      </c>
      <c r="E14" s="82" t="s">
        <v>86</v>
      </c>
      <c r="F14" s="82" t="s">
        <v>79</v>
      </c>
      <c r="G14" s="95" t="s">
        <v>93</v>
      </c>
    </row>
    <row r="15" spans="1:7" ht="30" x14ac:dyDescent="0.25">
      <c r="A15" s="566"/>
      <c r="B15" s="569"/>
      <c r="C15" s="121" t="s">
        <v>96</v>
      </c>
      <c r="D15" s="82" t="s">
        <v>97</v>
      </c>
      <c r="E15" s="82" t="s">
        <v>60</v>
      </c>
      <c r="F15" s="82" t="s">
        <v>79</v>
      </c>
      <c r="G15" s="95" t="s">
        <v>98</v>
      </c>
    </row>
    <row r="16" spans="1:7" ht="60" x14ac:dyDescent="0.25">
      <c r="A16" s="566"/>
      <c r="B16" s="569"/>
      <c r="C16" s="330" t="s">
        <v>99</v>
      </c>
      <c r="D16" s="349" t="s">
        <v>100</v>
      </c>
      <c r="E16" s="82" t="s">
        <v>86</v>
      </c>
      <c r="F16" s="82" t="s">
        <v>79</v>
      </c>
      <c r="G16" s="322" t="s">
        <v>101</v>
      </c>
    </row>
    <row r="17" spans="1:7" ht="30" x14ac:dyDescent="0.25">
      <c r="A17" s="566"/>
      <c r="B17" s="569"/>
      <c r="C17" s="330" t="s">
        <v>102</v>
      </c>
      <c r="D17" s="82" t="s">
        <v>103</v>
      </c>
      <c r="E17" s="82" t="s">
        <v>86</v>
      </c>
      <c r="F17" s="82" t="s">
        <v>79</v>
      </c>
      <c r="G17" s="95" t="s">
        <v>104</v>
      </c>
    </row>
    <row r="18" spans="1:7" ht="45" x14ac:dyDescent="0.25">
      <c r="A18" s="566"/>
      <c r="B18" s="569"/>
      <c r="C18" s="330" t="s">
        <v>105</v>
      </c>
      <c r="D18" s="82" t="s">
        <v>106</v>
      </c>
      <c r="E18" s="82" t="s">
        <v>86</v>
      </c>
      <c r="F18" s="82" t="s">
        <v>79</v>
      </c>
      <c r="G18" s="95" t="s">
        <v>107</v>
      </c>
    </row>
    <row r="19" spans="1:7" x14ac:dyDescent="0.25">
      <c r="A19" s="566"/>
      <c r="B19" s="569"/>
      <c r="C19" s="330" t="s">
        <v>108</v>
      </c>
      <c r="D19" s="82" t="s">
        <v>109</v>
      </c>
      <c r="E19" s="82" t="s">
        <v>86</v>
      </c>
      <c r="F19" s="82" t="s">
        <v>79</v>
      </c>
      <c r="G19" s="95" t="s">
        <v>110</v>
      </c>
    </row>
    <row r="20" spans="1:7" ht="105.75" thickBot="1" x14ac:dyDescent="0.3">
      <c r="A20" s="566"/>
      <c r="B20" s="570"/>
      <c r="C20" s="414" t="s">
        <v>1</v>
      </c>
      <c r="D20" s="522" t="s">
        <v>111</v>
      </c>
      <c r="E20" s="382" t="s">
        <v>86</v>
      </c>
      <c r="F20" s="382" t="s">
        <v>79</v>
      </c>
      <c r="G20" s="415" t="s">
        <v>112</v>
      </c>
    </row>
    <row r="21" spans="1:7" ht="45" x14ac:dyDescent="0.25">
      <c r="A21" s="566"/>
      <c r="B21" s="602" t="s">
        <v>113</v>
      </c>
      <c r="C21" s="331" t="s">
        <v>114</v>
      </c>
      <c r="D21" s="105" t="s">
        <v>115</v>
      </c>
      <c r="E21" s="105" t="s">
        <v>86</v>
      </c>
      <c r="F21" s="105" t="s">
        <v>116</v>
      </c>
      <c r="G21" s="168" t="s">
        <v>117</v>
      </c>
    </row>
    <row r="22" spans="1:7" ht="30" x14ac:dyDescent="0.25">
      <c r="A22" s="566"/>
      <c r="B22" s="603"/>
      <c r="C22" s="332" t="s">
        <v>118</v>
      </c>
      <c r="D22" s="419" t="s">
        <v>119</v>
      </c>
      <c r="E22" s="419" t="s">
        <v>86</v>
      </c>
      <c r="F22" s="419" t="s">
        <v>116</v>
      </c>
      <c r="G22" s="420" t="s">
        <v>120</v>
      </c>
    </row>
    <row r="23" spans="1:7" ht="15.75" thickBot="1" x14ac:dyDescent="0.3">
      <c r="A23" s="566"/>
      <c r="B23" s="604"/>
      <c r="C23" s="421" t="s">
        <v>121</v>
      </c>
      <c r="D23" s="107" t="s">
        <v>122</v>
      </c>
      <c r="E23" s="107" t="s">
        <v>86</v>
      </c>
      <c r="F23" s="107" t="s">
        <v>116</v>
      </c>
      <c r="G23" s="108" t="s">
        <v>123</v>
      </c>
    </row>
    <row r="24" spans="1:7" ht="30" customHeight="1" x14ac:dyDescent="0.25">
      <c r="A24" s="566"/>
      <c r="B24" s="605" t="s">
        <v>124</v>
      </c>
      <c r="C24" s="416" t="s">
        <v>125</v>
      </c>
      <c r="D24" s="417" t="s">
        <v>126</v>
      </c>
      <c r="E24" s="417" t="s">
        <v>86</v>
      </c>
      <c r="F24" s="417" t="s">
        <v>79</v>
      </c>
      <c r="G24" s="418" t="s">
        <v>127</v>
      </c>
    </row>
    <row r="25" spans="1:7" ht="30" customHeight="1" x14ac:dyDescent="0.25">
      <c r="A25" s="566"/>
      <c r="B25" s="606"/>
      <c r="C25" s="332" t="s">
        <v>128</v>
      </c>
      <c r="D25" s="109" t="s">
        <v>129</v>
      </c>
      <c r="E25" s="109" t="s">
        <v>86</v>
      </c>
      <c r="F25" s="109" t="s">
        <v>130</v>
      </c>
      <c r="G25" s="559" t="s">
        <v>131</v>
      </c>
    </row>
    <row r="26" spans="1:7" ht="30" x14ac:dyDescent="0.25">
      <c r="A26" s="566"/>
      <c r="B26" s="606"/>
      <c r="C26" s="276" t="s">
        <v>132</v>
      </c>
      <c r="D26" s="109" t="s">
        <v>133</v>
      </c>
      <c r="E26" s="109" t="s">
        <v>86</v>
      </c>
      <c r="F26" s="109" t="s">
        <v>130</v>
      </c>
      <c r="G26" s="560"/>
    </row>
    <row r="27" spans="1:7" x14ac:dyDescent="0.25">
      <c r="A27" s="566"/>
      <c r="B27" s="606"/>
      <c r="C27" s="332" t="s">
        <v>30</v>
      </c>
      <c r="D27" s="109" t="s">
        <v>134</v>
      </c>
      <c r="E27" s="109" t="s">
        <v>86</v>
      </c>
      <c r="F27" s="109" t="s">
        <v>130</v>
      </c>
      <c r="G27" s="560"/>
    </row>
    <row r="28" spans="1:7" x14ac:dyDescent="0.25">
      <c r="A28" s="566"/>
      <c r="B28" s="606"/>
      <c r="C28" s="332" t="s">
        <v>135</v>
      </c>
      <c r="D28" s="109" t="s">
        <v>136</v>
      </c>
      <c r="E28" s="109" t="s">
        <v>86</v>
      </c>
      <c r="F28" s="109" t="s">
        <v>130</v>
      </c>
      <c r="G28" s="560"/>
    </row>
    <row r="29" spans="1:7" x14ac:dyDescent="0.25">
      <c r="A29" s="566"/>
      <c r="B29" s="606"/>
      <c r="C29" s="332" t="s">
        <v>36</v>
      </c>
      <c r="D29" s="109" t="s">
        <v>137</v>
      </c>
      <c r="E29" s="109" t="s">
        <v>86</v>
      </c>
      <c r="F29" s="109" t="s">
        <v>130</v>
      </c>
      <c r="G29" s="560"/>
    </row>
    <row r="30" spans="1:7" x14ac:dyDescent="0.25">
      <c r="A30" s="566"/>
      <c r="B30" s="606"/>
      <c r="C30" s="332" t="s">
        <v>138</v>
      </c>
      <c r="D30" s="109" t="s">
        <v>139</v>
      </c>
      <c r="E30" s="109" t="s">
        <v>86</v>
      </c>
      <c r="F30" s="109" t="s">
        <v>130</v>
      </c>
      <c r="G30" s="560"/>
    </row>
    <row r="31" spans="1:7" x14ac:dyDescent="0.25">
      <c r="A31" s="566"/>
      <c r="B31" s="606"/>
      <c r="C31" s="276" t="s">
        <v>140</v>
      </c>
      <c r="D31" s="109" t="s">
        <v>141</v>
      </c>
      <c r="E31" s="109" t="s">
        <v>86</v>
      </c>
      <c r="F31" s="109" t="s">
        <v>130</v>
      </c>
      <c r="G31" s="560"/>
    </row>
    <row r="32" spans="1:7" ht="30.75" thickBot="1" x14ac:dyDescent="0.3">
      <c r="A32" s="566"/>
      <c r="B32" s="607"/>
      <c r="C32" s="333" t="s">
        <v>142</v>
      </c>
      <c r="D32" s="104" t="s">
        <v>143</v>
      </c>
      <c r="E32" s="104" t="s">
        <v>86</v>
      </c>
      <c r="F32" s="104" t="s">
        <v>130</v>
      </c>
      <c r="G32" s="561"/>
    </row>
    <row r="33" spans="1:7" ht="30" x14ac:dyDescent="0.25">
      <c r="A33" s="566"/>
      <c r="B33" s="608" t="s">
        <v>144</v>
      </c>
      <c r="C33" s="311" t="s">
        <v>132</v>
      </c>
      <c r="D33" s="274" t="s">
        <v>145</v>
      </c>
      <c r="E33" s="274" t="s">
        <v>86</v>
      </c>
      <c r="F33" s="274" t="s">
        <v>146</v>
      </c>
      <c r="G33" s="275" t="s">
        <v>147</v>
      </c>
    </row>
    <row r="34" spans="1:7" x14ac:dyDescent="0.25">
      <c r="A34" s="566"/>
      <c r="B34" s="609"/>
      <c r="C34" s="330" t="s">
        <v>30</v>
      </c>
      <c r="D34" s="83" t="s">
        <v>148</v>
      </c>
      <c r="E34" s="83" t="s">
        <v>86</v>
      </c>
      <c r="F34" s="83" t="s">
        <v>146</v>
      </c>
      <c r="G34" s="99"/>
    </row>
    <row r="35" spans="1:7" x14ac:dyDescent="0.25">
      <c r="A35" s="566"/>
      <c r="B35" s="609"/>
      <c r="C35" s="330" t="s">
        <v>135</v>
      </c>
      <c r="D35" s="83" t="s">
        <v>149</v>
      </c>
      <c r="E35" s="83" t="s">
        <v>86</v>
      </c>
      <c r="F35" s="83" t="s">
        <v>146</v>
      </c>
      <c r="G35" s="99" t="s">
        <v>150</v>
      </c>
    </row>
    <row r="36" spans="1:7" x14ac:dyDescent="0.25">
      <c r="A36" s="566"/>
      <c r="B36" s="609"/>
      <c r="C36" s="330" t="s">
        <v>36</v>
      </c>
      <c r="D36" s="83" t="s">
        <v>151</v>
      </c>
      <c r="E36" s="83" t="s">
        <v>86</v>
      </c>
      <c r="F36" s="83" t="s">
        <v>146</v>
      </c>
      <c r="G36" s="113"/>
    </row>
    <row r="37" spans="1:7" x14ac:dyDescent="0.25">
      <c r="A37" s="566"/>
      <c r="B37" s="609"/>
      <c r="C37" s="330" t="s">
        <v>138</v>
      </c>
      <c r="D37" s="83" t="s">
        <v>152</v>
      </c>
      <c r="E37" s="83" t="s">
        <v>86</v>
      </c>
      <c r="F37" s="83" t="s">
        <v>146</v>
      </c>
      <c r="G37" s="99" t="s">
        <v>153</v>
      </c>
    </row>
    <row r="38" spans="1:7" x14ac:dyDescent="0.25">
      <c r="A38" s="566"/>
      <c r="B38" s="609"/>
      <c r="C38" s="277" t="s">
        <v>140</v>
      </c>
      <c r="D38" s="83" t="s">
        <v>154</v>
      </c>
      <c r="E38" s="83" t="s">
        <v>86</v>
      </c>
      <c r="F38" s="83" t="s">
        <v>146</v>
      </c>
      <c r="G38" s="99"/>
    </row>
    <row r="39" spans="1:7" ht="30" x14ac:dyDescent="0.25">
      <c r="A39" s="566"/>
      <c r="B39" s="609"/>
      <c r="C39" s="332" t="s">
        <v>155</v>
      </c>
      <c r="D39" s="83" t="s">
        <v>156</v>
      </c>
      <c r="E39" s="83" t="s">
        <v>86</v>
      </c>
      <c r="F39" s="83" t="s">
        <v>146</v>
      </c>
      <c r="G39" s="99"/>
    </row>
    <row r="40" spans="1:7" ht="30" x14ac:dyDescent="0.25">
      <c r="A40" s="566"/>
      <c r="B40" s="609"/>
      <c r="C40" s="277" t="s">
        <v>157</v>
      </c>
      <c r="D40" s="83" t="s">
        <v>158</v>
      </c>
      <c r="E40" s="83" t="s">
        <v>60</v>
      </c>
      <c r="F40" s="83" t="s">
        <v>146</v>
      </c>
      <c r="G40" s="99" t="s">
        <v>159</v>
      </c>
    </row>
    <row r="41" spans="1:7" ht="45.75" thickBot="1" x14ac:dyDescent="0.3">
      <c r="A41" s="566"/>
      <c r="B41" s="610"/>
      <c r="C41" s="329" t="s">
        <v>160</v>
      </c>
      <c r="D41" s="100" t="s">
        <v>161</v>
      </c>
      <c r="E41" s="100" t="s">
        <v>86</v>
      </c>
      <c r="F41" s="100" t="s">
        <v>146</v>
      </c>
      <c r="G41" s="101" t="s">
        <v>162</v>
      </c>
    </row>
    <row r="42" spans="1:7" ht="135.75" thickBot="1" x14ac:dyDescent="0.3">
      <c r="A42" s="565" t="s">
        <v>63</v>
      </c>
      <c r="B42" s="422" t="s">
        <v>163</v>
      </c>
      <c r="C42" s="334" t="s">
        <v>88</v>
      </c>
      <c r="D42" s="423" t="s">
        <v>164</v>
      </c>
      <c r="E42" s="423" t="s">
        <v>86</v>
      </c>
      <c r="F42" s="423" t="s">
        <v>79</v>
      </c>
      <c r="G42" s="424" t="s">
        <v>165</v>
      </c>
    </row>
    <row r="43" spans="1:7" ht="15" customHeight="1" x14ac:dyDescent="0.25">
      <c r="A43" s="566"/>
      <c r="B43" s="594" t="s">
        <v>166</v>
      </c>
      <c r="C43" s="308" t="s">
        <v>167</v>
      </c>
      <c r="D43" s="296" t="s">
        <v>168</v>
      </c>
      <c r="E43" s="296" t="s">
        <v>67</v>
      </c>
      <c r="F43" s="296" t="s">
        <v>79</v>
      </c>
      <c r="G43" s="279" t="s">
        <v>169</v>
      </c>
    </row>
    <row r="44" spans="1:7" ht="30" x14ac:dyDescent="0.25">
      <c r="A44" s="566"/>
      <c r="B44" s="595"/>
      <c r="C44" s="309" t="s">
        <v>128</v>
      </c>
      <c r="D44" s="297" t="s">
        <v>170</v>
      </c>
      <c r="E44" s="297" t="s">
        <v>67</v>
      </c>
      <c r="F44" s="297" t="s">
        <v>79</v>
      </c>
      <c r="G44" s="280" t="s">
        <v>169</v>
      </c>
    </row>
    <row r="45" spans="1:7" ht="30" x14ac:dyDescent="0.25">
      <c r="A45" s="566"/>
      <c r="B45" s="595"/>
      <c r="C45" s="309" t="s">
        <v>105</v>
      </c>
      <c r="D45" s="297" t="s">
        <v>171</v>
      </c>
      <c r="E45" s="297" t="s">
        <v>67</v>
      </c>
      <c r="F45" s="297" t="s">
        <v>79</v>
      </c>
      <c r="G45" s="280" t="s">
        <v>172</v>
      </c>
    </row>
    <row r="46" spans="1:7" x14ac:dyDescent="0.25">
      <c r="A46" s="566"/>
      <c r="B46" s="595"/>
      <c r="C46" s="309" t="s">
        <v>173</v>
      </c>
      <c r="D46" s="297" t="s">
        <v>174</v>
      </c>
      <c r="E46" s="297" t="s">
        <v>67</v>
      </c>
      <c r="F46" s="297" t="s">
        <v>79</v>
      </c>
      <c r="G46" s="280" t="s">
        <v>169</v>
      </c>
    </row>
    <row r="47" spans="1:7" ht="15.75" thickBot="1" x14ac:dyDescent="0.3">
      <c r="A47" s="566"/>
      <c r="B47" s="596"/>
      <c r="C47" s="310" t="s">
        <v>175</v>
      </c>
      <c r="D47" s="298" t="s">
        <v>176</v>
      </c>
      <c r="E47" s="297" t="s">
        <v>67</v>
      </c>
      <c r="F47" s="298" t="s">
        <v>79</v>
      </c>
      <c r="G47" s="281" t="s">
        <v>169</v>
      </c>
    </row>
    <row r="48" spans="1:7" ht="30" x14ac:dyDescent="0.25">
      <c r="A48" s="566"/>
      <c r="B48" s="597" t="s">
        <v>177</v>
      </c>
      <c r="C48" s="305" t="s">
        <v>132</v>
      </c>
      <c r="D48" s="299" t="s">
        <v>178</v>
      </c>
      <c r="E48" s="299" t="s">
        <v>67</v>
      </c>
      <c r="F48" s="299" t="s">
        <v>130</v>
      </c>
      <c r="G48" s="562" t="s">
        <v>179</v>
      </c>
    </row>
    <row r="49" spans="1:7" ht="30" x14ac:dyDescent="0.25">
      <c r="A49" s="566"/>
      <c r="B49" s="597"/>
      <c r="C49" s="306" t="s">
        <v>30</v>
      </c>
      <c r="D49" s="282" t="s">
        <v>180</v>
      </c>
      <c r="E49" s="282" t="s">
        <v>67</v>
      </c>
      <c r="F49" s="282" t="s">
        <v>130</v>
      </c>
      <c r="G49" s="563"/>
    </row>
    <row r="50" spans="1:7" ht="30" x14ac:dyDescent="0.25">
      <c r="A50" s="566"/>
      <c r="B50" s="597"/>
      <c r="C50" s="306" t="s">
        <v>135</v>
      </c>
      <c r="D50" s="282" t="s">
        <v>181</v>
      </c>
      <c r="E50" s="282" t="s">
        <v>67</v>
      </c>
      <c r="F50" s="282" t="s">
        <v>130</v>
      </c>
      <c r="G50" s="563"/>
    </row>
    <row r="51" spans="1:7" ht="30" x14ac:dyDescent="0.25">
      <c r="A51" s="566"/>
      <c r="B51" s="597"/>
      <c r="C51" s="306" t="s">
        <v>36</v>
      </c>
      <c r="D51" s="282" t="s">
        <v>182</v>
      </c>
      <c r="E51" s="282" t="s">
        <v>67</v>
      </c>
      <c r="F51" s="282" t="s">
        <v>130</v>
      </c>
      <c r="G51" s="563"/>
    </row>
    <row r="52" spans="1:7" ht="30" x14ac:dyDescent="0.25">
      <c r="A52" s="566"/>
      <c r="B52" s="597"/>
      <c r="C52" s="306" t="s">
        <v>138</v>
      </c>
      <c r="D52" s="282" t="s">
        <v>183</v>
      </c>
      <c r="E52" s="282" t="s">
        <v>67</v>
      </c>
      <c r="F52" s="282" t="s">
        <v>130</v>
      </c>
      <c r="G52" s="563"/>
    </row>
    <row r="53" spans="1:7" ht="30" x14ac:dyDescent="0.25">
      <c r="A53" s="566"/>
      <c r="B53" s="597"/>
      <c r="C53" s="306" t="s">
        <v>184</v>
      </c>
      <c r="D53" s="282" t="s">
        <v>185</v>
      </c>
      <c r="E53" s="282" t="s">
        <v>67</v>
      </c>
      <c r="F53" s="282" t="s">
        <v>130</v>
      </c>
      <c r="G53" s="563"/>
    </row>
    <row r="54" spans="1:7" x14ac:dyDescent="0.25">
      <c r="A54" s="566"/>
      <c r="B54" s="597"/>
      <c r="C54" s="306" t="s">
        <v>140</v>
      </c>
      <c r="D54" s="282" t="s">
        <v>186</v>
      </c>
      <c r="E54" s="282" t="s">
        <v>67</v>
      </c>
      <c r="F54" s="282" t="s">
        <v>130</v>
      </c>
      <c r="G54" s="563"/>
    </row>
    <row r="55" spans="1:7" ht="30.75" thickBot="1" x14ac:dyDescent="0.3">
      <c r="A55" s="566"/>
      <c r="B55" s="598"/>
      <c r="C55" s="307" t="s">
        <v>187</v>
      </c>
      <c r="D55" s="300" t="s">
        <v>188</v>
      </c>
      <c r="E55" s="300" t="s">
        <v>67</v>
      </c>
      <c r="F55" s="300" t="s">
        <v>130</v>
      </c>
      <c r="G55" s="564"/>
    </row>
    <row r="56" spans="1:7" ht="30" x14ac:dyDescent="0.25">
      <c r="A56" s="566"/>
      <c r="B56" s="599" t="s">
        <v>144</v>
      </c>
      <c r="C56" s="409" t="s">
        <v>132</v>
      </c>
      <c r="D56" s="410" t="s">
        <v>189</v>
      </c>
      <c r="E56" s="410" t="s">
        <v>67</v>
      </c>
      <c r="F56" s="410" t="s">
        <v>146</v>
      </c>
      <c r="G56" s="411" t="s">
        <v>169</v>
      </c>
    </row>
    <row r="57" spans="1:7" ht="30" x14ac:dyDescent="0.25">
      <c r="A57" s="566"/>
      <c r="B57" s="600"/>
      <c r="C57" s="303" t="s">
        <v>30</v>
      </c>
      <c r="D57" s="301" t="s">
        <v>190</v>
      </c>
      <c r="E57" s="301" t="s">
        <v>67</v>
      </c>
      <c r="F57" s="301" t="s">
        <v>146</v>
      </c>
      <c r="G57" s="278" t="s">
        <v>169</v>
      </c>
    </row>
    <row r="58" spans="1:7" ht="30" x14ac:dyDescent="0.25">
      <c r="A58" s="566"/>
      <c r="B58" s="600"/>
      <c r="C58" s="303" t="s">
        <v>135</v>
      </c>
      <c r="D58" s="301" t="s">
        <v>191</v>
      </c>
      <c r="E58" s="301" t="s">
        <v>67</v>
      </c>
      <c r="F58" s="301" t="s">
        <v>146</v>
      </c>
      <c r="G58" s="278" t="s">
        <v>169</v>
      </c>
    </row>
    <row r="59" spans="1:7" x14ac:dyDescent="0.25">
      <c r="A59" s="566"/>
      <c r="B59" s="600"/>
      <c r="C59" s="303" t="s">
        <v>36</v>
      </c>
      <c r="D59" s="301" t="s">
        <v>192</v>
      </c>
      <c r="E59" s="301" t="s">
        <v>67</v>
      </c>
      <c r="F59" s="301" t="s">
        <v>146</v>
      </c>
      <c r="G59" s="278" t="s">
        <v>169</v>
      </c>
    </row>
    <row r="60" spans="1:7" ht="30" x14ac:dyDescent="0.25">
      <c r="A60" s="566"/>
      <c r="B60" s="600"/>
      <c r="C60" s="303" t="s">
        <v>138</v>
      </c>
      <c r="D60" s="301" t="s">
        <v>193</v>
      </c>
      <c r="E60" s="301" t="s">
        <v>67</v>
      </c>
      <c r="F60" s="301" t="s">
        <v>146</v>
      </c>
      <c r="G60" s="278" t="s">
        <v>169</v>
      </c>
    </row>
    <row r="61" spans="1:7" x14ac:dyDescent="0.25">
      <c r="A61" s="566"/>
      <c r="B61" s="600"/>
      <c r="C61" s="303" t="s">
        <v>184</v>
      </c>
      <c r="D61" s="301" t="s">
        <v>194</v>
      </c>
      <c r="E61" s="301" t="s">
        <v>67</v>
      </c>
      <c r="F61" s="301" t="s">
        <v>146</v>
      </c>
      <c r="G61" s="278" t="s">
        <v>169</v>
      </c>
    </row>
    <row r="62" spans="1:7" x14ac:dyDescent="0.25">
      <c r="A62" s="566"/>
      <c r="B62" s="600"/>
      <c r="C62" s="303" t="s">
        <v>140</v>
      </c>
      <c r="D62" s="301" t="s">
        <v>195</v>
      </c>
      <c r="E62" s="301" t="s">
        <v>67</v>
      </c>
      <c r="F62" s="301" t="s">
        <v>146</v>
      </c>
      <c r="G62" s="278" t="s">
        <v>169</v>
      </c>
    </row>
    <row r="63" spans="1:7" ht="15.75" thickBot="1" x14ac:dyDescent="0.3">
      <c r="A63" s="567"/>
      <c r="B63" s="601"/>
      <c r="C63" s="304" t="s">
        <v>187</v>
      </c>
      <c r="D63" s="302" t="s">
        <v>196</v>
      </c>
      <c r="E63" s="302" t="s">
        <v>67</v>
      </c>
      <c r="F63" s="302" t="s">
        <v>146</v>
      </c>
      <c r="G63" s="283" t="s">
        <v>169</v>
      </c>
    </row>
    <row r="64" spans="1:7" ht="120" x14ac:dyDescent="0.25">
      <c r="A64" s="566" t="s">
        <v>65</v>
      </c>
      <c r="B64" s="591" t="s">
        <v>197</v>
      </c>
      <c r="C64" s="331" t="s">
        <v>77</v>
      </c>
      <c r="D64" s="285" t="s">
        <v>198</v>
      </c>
      <c r="E64" s="285" t="s">
        <v>60</v>
      </c>
      <c r="F64" s="285" t="s">
        <v>79</v>
      </c>
      <c r="G64" s="425" t="s">
        <v>199</v>
      </c>
    </row>
    <row r="65" spans="1:7" ht="60" x14ac:dyDescent="0.25">
      <c r="A65" s="566"/>
      <c r="B65" s="592"/>
      <c r="C65" s="332" t="s">
        <v>81</v>
      </c>
      <c r="D65" s="286" t="s">
        <v>82</v>
      </c>
      <c r="E65" s="286" t="s">
        <v>60</v>
      </c>
      <c r="F65" s="286" t="s">
        <v>79</v>
      </c>
      <c r="G65" s="427" t="s">
        <v>200</v>
      </c>
    </row>
    <row r="66" spans="1:7" ht="30" x14ac:dyDescent="0.25">
      <c r="A66" s="566"/>
      <c r="B66" s="592"/>
      <c r="C66" s="332" t="s">
        <v>96</v>
      </c>
      <c r="D66" s="286" t="s">
        <v>97</v>
      </c>
      <c r="E66" s="286" t="s">
        <v>60</v>
      </c>
      <c r="F66" s="286" t="s">
        <v>79</v>
      </c>
      <c r="G66" s="287" t="s">
        <v>201</v>
      </c>
    </row>
    <row r="67" spans="1:7" ht="30" x14ac:dyDescent="0.25">
      <c r="A67" s="566"/>
      <c r="B67" s="592"/>
      <c r="C67" s="332" t="s">
        <v>202</v>
      </c>
      <c r="D67" s="286" t="s">
        <v>203</v>
      </c>
      <c r="E67" s="286" t="s">
        <v>60</v>
      </c>
      <c r="F67" s="286" t="s">
        <v>79</v>
      </c>
      <c r="G67" s="287" t="s">
        <v>204</v>
      </c>
    </row>
    <row r="68" spans="1:7" x14ac:dyDescent="0.25">
      <c r="A68" s="566"/>
      <c r="B68" s="592"/>
      <c r="C68" s="332" t="s">
        <v>1</v>
      </c>
      <c r="D68" s="286" t="s">
        <v>205</v>
      </c>
      <c r="E68" s="286" t="s">
        <v>60</v>
      </c>
      <c r="F68" s="286" t="s">
        <v>79</v>
      </c>
      <c r="G68" s="287" t="s">
        <v>206</v>
      </c>
    </row>
    <row r="69" spans="1:7" ht="15.75" thickBot="1" x14ac:dyDescent="0.3">
      <c r="A69" s="566"/>
      <c r="B69" s="593"/>
      <c r="C69" s="333" t="s">
        <v>207</v>
      </c>
      <c r="D69" s="288" t="s">
        <v>208</v>
      </c>
      <c r="E69" s="288" t="s">
        <v>60</v>
      </c>
      <c r="F69" s="288" t="s">
        <v>79</v>
      </c>
      <c r="G69" s="289"/>
    </row>
    <row r="70" spans="1:7" ht="150" x14ac:dyDescent="0.25">
      <c r="A70" s="565" t="s">
        <v>68</v>
      </c>
      <c r="B70" s="568" t="s">
        <v>76</v>
      </c>
      <c r="C70" s="341" t="s">
        <v>77</v>
      </c>
      <c r="D70" s="284" t="s">
        <v>209</v>
      </c>
      <c r="E70" s="284" t="s">
        <v>60</v>
      </c>
      <c r="F70" s="284" t="s">
        <v>79</v>
      </c>
      <c r="G70" s="426" t="s">
        <v>210</v>
      </c>
    </row>
    <row r="71" spans="1:7" x14ac:dyDescent="0.25">
      <c r="A71" s="566"/>
      <c r="B71" s="569"/>
      <c r="C71" s="121" t="s">
        <v>81</v>
      </c>
      <c r="D71" s="82" t="s">
        <v>82</v>
      </c>
      <c r="E71" s="82" t="s">
        <v>60</v>
      </c>
      <c r="F71" s="82" t="s">
        <v>79</v>
      </c>
      <c r="G71" s="95" t="s">
        <v>169</v>
      </c>
    </row>
    <row r="72" spans="1:7" ht="30" x14ac:dyDescent="0.25">
      <c r="A72" s="566"/>
      <c r="B72" s="569"/>
      <c r="C72" s="121" t="s">
        <v>96</v>
      </c>
      <c r="D72" s="82" t="s">
        <v>97</v>
      </c>
      <c r="E72" s="82" t="s">
        <v>60</v>
      </c>
      <c r="F72" s="82" t="s">
        <v>79</v>
      </c>
      <c r="G72" s="95" t="s">
        <v>211</v>
      </c>
    </row>
    <row r="73" spans="1:7" x14ac:dyDescent="0.25">
      <c r="A73" s="566"/>
      <c r="B73" s="569"/>
      <c r="C73" s="121" t="s">
        <v>212</v>
      </c>
      <c r="D73" s="82" t="s">
        <v>213</v>
      </c>
      <c r="E73" s="82" t="s">
        <v>86</v>
      </c>
      <c r="F73" s="82" t="s">
        <v>79</v>
      </c>
      <c r="G73" s="95" t="s">
        <v>169</v>
      </c>
    </row>
    <row r="74" spans="1:7" ht="60" customHeight="1" x14ac:dyDescent="0.25">
      <c r="A74" s="566"/>
      <c r="B74" s="569"/>
      <c r="C74" s="121" t="s">
        <v>88</v>
      </c>
      <c r="D74" s="82" t="s">
        <v>214</v>
      </c>
      <c r="E74" s="82" t="s">
        <v>86</v>
      </c>
      <c r="F74" s="82" t="s">
        <v>79</v>
      </c>
      <c r="G74" s="95" t="s">
        <v>169</v>
      </c>
    </row>
    <row r="75" spans="1:7" x14ac:dyDescent="0.25">
      <c r="A75" s="566"/>
      <c r="B75" s="569"/>
      <c r="C75" s="121" t="s">
        <v>1</v>
      </c>
      <c r="D75" s="82" t="s">
        <v>205</v>
      </c>
      <c r="E75" s="82" t="s">
        <v>86</v>
      </c>
      <c r="F75" s="82" t="s">
        <v>79</v>
      </c>
      <c r="G75" s="95" t="s">
        <v>169</v>
      </c>
    </row>
    <row r="76" spans="1:7" ht="105" x14ac:dyDescent="0.25">
      <c r="A76" s="566"/>
      <c r="B76" s="569"/>
      <c r="C76" s="121" t="s">
        <v>215</v>
      </c>
      <c r="D76" s="82" t="s">
        <v>216</v>
      </c>
      <c r="E76" s="82" t="s">
        <v>60</v>
      </c>
      <c r="F76" s="82" t="s">
        <v>79</v>
      </c>
      <c r="G76" s="322" t="s">
        <v>217</v>
      </c>
    </row>
    <row r="77" spans="1:7" ht="105" x14ac:dyDescent="0.25">
      <c r="A77" s="566"/>
      <c r="B77" s="569"/>
      <c r="C77" s="121" t="s">
        <v>218</v>
      </c>
      <c r="D77" s="82" t="s">
        <v>219</v>
      </c>
      <c r="E77" s="82" t="s">
        <v>60</v>
      </c>
      <c r="F77" s="82" t="s">
        <v>79</v>
      </c>
      <c r="G77" s="322" t="s">
        <v>220</v>
      </c>
    </row>
    <row r="78" spans="1:7" ht="30" x14ac:dyDescent="0.25">
      <c r="A78" s="566"/>
      <c r="B78" s="569"/>
      <c r="C78" s="121" t="s">
        <v>105</v>
      </c>
      <c r="D78" s="82" t="s">
        <v>171</v>
      </c>
      <c r="E78" s="82" t="s">
        <v>86</v>
      </c>
      <c r="F78" s="82" t="s">
        <v>79</v>
      </c>
      <c r="G78" s="95" t="s">
        <v>172</v>
      </c>
    </row>
    <row r="79" spans="1:7" ht="30.75" thickBot="1" x14ac:dyDescent="0.3">
      <c r="A79" s="566"/>
      <c r="B79" s="570"/>
      <c r="C79" s="122" t="s">
        <v>221</v>
      </c>
      <c r="D79" s="96" t="s">
        <v>222</v>
      </c>
      <c r="E79" s="96" t="s">
        <v>60</v>
      </c>
      <c r="F79" s="96" t="s">
        <v>79</v>
      </c>
      <c r="G79" s="97" t="s">
        <v>223</v>
      </c>
    </row>
    <row r="80" spans="1:7" ht="30" x14ac:dyDescent="0.25">
      <c r="A80" s="566"/>
      <c r="B80" s="571" t="s">
        <v>113</v>
      </c>
      <c r="C80" s="123" t="s">
        <v>114</v>
      </c>
      <c r="D80" s="105" t="s">
        <v>224</v>
      </c>
      <c r="E80" s="105" t="s">
        <v>60</v>
      </c>
      <c r="F80" s="105" t="s">
        <v>225</v>
      </c>
      <c r="G80" s="106" t="s">
        <v>223</v>
      </c>
    </row>
    <row r="81" spans="1:7" ht="30.75" thickBot="1" x14ac:dyDescent="0.3">
      <c r="A81" s="566"/>
      <c r="B81" s="572"/>
      <c r="C81" s="124" t="s">
        <v>121</v>
      </c>
      <c r="D81" s="107" t="s">
        <v>226</v>
      </c>
      <c r="E81" s="107" t="s">
        <v>60</v>
      </c>
      <c r="F81" s="107" t="s">
        <v>225</v>
      </c>
      <c r="G81" s="108" t="s">
        <v>223</v>
      </c>
    </row>
    <row r="82" spans="1:7" ht="30" x14ac:dyDescent="0.25">
      <c r="A82" s="566"/>
      <c r="B82" s="573" t="s">
        <v>124</v>
      </c>
      <c r="C82" s="125" t="s">
        <v>227</v>
      </c>
      <c r="D82" s="102" t="s">
        <v>228</v>
      </c>
      <c r="E82" s="102" t="s">
        <v>60</v>
      </c>
      <c r="F82" s="102" t="s">
        <v>79</v>
      </c>
      <c r="G82" s="103" t="s">
        <v>223</v>
      </c>
    </row>
    <row r="83" spans="1:7" ht="30" x14ac:dyDescent="0.25">
      <c r="A83" s="566"/>
      <c r="B83" s="574"/>
      <c r="C83" s="127" t="s">
        <v>229</v>
      </c>
      <c r="D83" s="109" t="s">
        <v>230</v>
      </c>
      <c r="E83" s="109" t="s">
        <v>60</v>
      </c>
      <c r="F83" s="109" t="s">
        <v>225</v>
      </c>
      <c r="G83" s="114" t="s">
        <v>223</v>
      </c>
    </row>
    <row r="84" spans="1:7" ht="30.75" thickBot="1" x14ac:dyDescent="0.3">
      <c r="A84" s="566"/>
      <c r="B84" s="575"/>
      <c r="C84" s="128" t="s">
        <v>187</v>
      </c>
      <c r="D84" s="119" t="s">
        <v>231</v>
      </c>
      <c r="E84" s="119" t="s">
        <v>60</v>
      </c>
      <c r="F84" s="119" t="s">
        <v>225</v>
      </c>
      <c r="G84" s="120" t="s">
        <v>223</v>
      </c>
    </row>
    <row r="85" spans="1:7" ht="30" x14ac:dyDescent="0.25">
      <c r="A85" s="566"/>
      <c r="B85" s="576" t="s">
        <v>144</v>
      </c>
      <c r="C85" s="126" t="s">
        <v>232</v>
      </c>
      <c r="D85" s="111" t="s">
        <v>233</v>
      </c>
      <c r="E85" s="111" t="s">
        <v>60</v>
      </c>
      <c r="F85" s="111" t="s">
        <v>225</v>
      </c>
      <c r="G85" s="112" t="s">
        <v>223</v>
      </c>
    </row>
    <row r="86" spans="1:7" ht="30" x14ac:dyDescent="0.25">
      <c r="A86" s="566"/>
      <c r="B86" s="577"/>
      <c r="C86" s="98" t="s">
        <v>229</v>
      </c>
      <c r="D86" s="83" t="s">
        <v>234</v>
      </c>
      <c r="E86" s="83" t="s">
        <v>60</v>
      </c>
      <c r="F86" s="83" t="s">
        <v>225</v>
      </c>
      <c r="G86" s="99" t="s">
        <v>223</v>
      </c>
    </row>
    <row r="87" spans="1:7" ht="30" x14ac:dyDescent="0.25">
      <c r="A87" s="566"/>
      <c r="B87" s="577"/>
      <c r="C87" s="98" t="s">
        <v>184</v>
      </c>
      <c r="D87" s="83" t="s">
        <v>235</v>
      </c>
      <c r="E87" s="83" t="s">
        <v>60</v>
      </c>
      <c r="F87" s="83" t="s">
        <v>225</v>
      </c>
      <c r="G87" s="99" t="s">
        <v>223</v>
      </c>
    </row>
    <row r="88" spans="1:7" ht="30" x14ac:dyDescent="0.25">
      <c r="A88" s="566"/>
      <c r="B88" s="577"/>
      <c r="C88" s="98" t="s">
        <v>140</v>
      </c>
      <c r="D88" s="83" t="s">
        <v>236</v>
      </c>
      <c r="E88" s="83" t="s">
        <v>60</v>
      </c>
      <c r="F88" s="83" t="s">
        <v>225</v>
      </c>
      <c r="G88" s="99" t="s">
        <v>223</v>
      </c>
    </row>
    <row r="89" spans="1:7" ht="45" customHeight="1" x14ac:dyDescent="0.25">
      <c r="A89" s="566"/>
      <c r="B89" s="577"/>
      <c r="C89" s="98" t="s">
        <v>187</v>
      </c>
      <c r="D89" s="83" t="s">
        <v>237</v>
      </c>
      <c r="E89" s="83" t="s">
        <v>60</v>
      </c>
      <c r="F89" s="83" t="s">
        <v>225</v>
      </c>
      <c r="G89" s="99" t="s">
        <v>223</v>
      </c>
    </row>
    <row r="90" spans="1:7" ht="30.75" thickBot="1" x14ac:dyDescent="0.3">
      <c r="A90" s="567"/>
      <c r="B90" s="578"/>
      <c r="C90" s="329" t="s">
        <v>157</v>
      </c>
      <c r="D90" s="100" t="s">
        <v>158</v>
      </c>
      <c r="E90" s="100" t="s">
        <v>60</v>
      </c>
      <c r="F90" s="100" t="s">
        <v>238</v>
      </c>
      <c r="G90" s="101" t="s">
        <v>239</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topLeftCell="A13" workbookViewId="0">
      <selection activeCell="B27" sqref="B27"/>
    </sheetView>
  </sheetViews>
  <sheetFormatPr defaultColWidth="8.5703125" defaultRowHeight="15" x14ac:dyDescent="0.25"/>
  <cols>
    <col min="1" max="1" width="14.5703125" bestFit="1" customWidth="1"/>
    <col min="2" max="2" width="26.42578125" bestFit="1" customWidth="1"/>
    <col min="3" max="3" width="12.5703125" customWidth="1"/>
    <col min="4" max="4" width="14.5703125" customWidth="1"/>
    <col min="5" max="5" width="18.5703125" customWidth="1"/>
    <col min="6" max="6" width="39.42578125" bestFit="1" customWidth="1"/>
    <col min="7" max="7" width="7.42578125" bestFit="1" customWidth="1"/>
    <col min="8" max="8" width="11.42578125" bestFit="1" customWidth="1"/>
    <col min="11" max="11" width="15" bestFit="1" customWidth="1"/>
  </cols>
  <sheetData>
    <row r="2" spans="1:19" ht="54.75" customHeight="1" x14ac:dyDescent="0.25">
      <c r="A2" s="611" t="s">
        <v>240</v>
      </c>
      <c r="B2" s="611"/>
      <c r="C2" s="611"/>
      <c r="D2" s="611"/>
      <c r="E2" s="611"/>
      <c r="F2" s="89"/>
      <c r="G2" s="89"/>
      <c r="H2" s="89"/>
      <c r="I2" s="89"/>
      <c r="J2" s="89"/>
      <c r="K2" s="89"/>
      <c r="L2" s="89"/>
      <c r="M2" s="89"/>
      <c r="N2" s="89"/>
      <c r="O2" s="89"/>
      <c r="P2" s="89"/>
      <c r="Q2" s="89"/>
      <c r="R2" s="89"/>
    </row>
    <row r="3" spans="1:19" ht="45" x14ac:dyDescent="0.25">
      <c r="A3" s="523" t="s">
        <v>241</v>
      </c>
      <c r="B3" s="523" t="s">
        <v>242</v>
      </c>
      <c r="C3" s="523" t="s">
        <v>243</v>
      </c>
      <c r="D3" s="523" t="s">
        <v>244</v>
      </c>
      <c r="E3" s="523" t="s">
        <v>245</v>
      </c>
    </row>
    <row r="4" spans="1:19" x14ac:dyDescent="0.25">
      <c r="A4" s="524" t="s">
        <v>246</v>
      </c>
      <c r="B4" s="524" t="s">
        <v>247</v>
      </c>
      <c r="C4" s="524" t="s">
        <v>248</v>
      </c>
      <c r="D4" s="524" t="s">
        <v>249</v>
      </c>
      <c r="E4" s="524" t="s">
        <v>248</v>
      </c>
    </row>
    <row r="5" spans="1:19" x14ac:dyDescent="0.25">
      <c r="A5" s="524" t="s">
        <v>250</v>
      </c>
      <c r="B5" s="524" t="s">
        <v>251</v>
      </c>
      <c r="C5" s="524" t="s">
        <v>252</v>
      </c>
      <c r="D5" s="524" t="s">
        <v>249</v>
      </c>
      <c r="E5" s="524" t="s">
        <v>248</v>
      </c>
    </row>
    <row r="6" spans="1:19" x14ac:dyDescent="0.25">
      <c r="A6" s="81"/>
    </row>
    <row r="7" spans="1:19" ht="59.25" customHeight="1" x14ac:dyDescent="0.25">
      <c r="A7" s="611" t="s">
        <v>253</v>
      </c>
      <c r="B7" s="612"/>
      <c r="C7" s="612"/>
      <c r="D7" s="612"/>
      <c r="E7" s="612"/>
      <c r="F7" s="612"/>
      <c r="G7" s="612"/>
      <c r="H7" s="612"/>
      <c r="I7" s="612"/>
      <c r="J7" s="612"/>
      <c r="K7" s="612"/>
      <c r="L7" s="612"/>
      <c r="M7" s="89"/>
      <c r="N7" s="89"/>
      <c r="O7" s="89"/>
      <c r="P7" s="89"/>
      <c r="Q7" s="89"/>
      <c r="R7" s="89"/>
      <c r="S7" s="89"/>
    </row>
    <row r="8" spans="1:19" x14ac:dyDescent="0.25">
      <c r="A8" s="525" t="s">
        <v>254</v>
      </c>
      <c r="B8" s="526"/>
      <c r="C8" s="526"/>
      <c r="D8" s="526"/>
      <c r="E8" s="526"/>
      <c r="F8" s="526"/>
      <c r="G8" s="526"/>
      <c r="H8" s="526"/>
      <c r="I8" s="526"/>
      <c r="J8" s="526"/>
      <c r="K8" s="526"/>
      <c r="L8" s="526"/>
      <c r="M8" s="89"/>
      <c r="N8" s="89"/>
      <c r="O8" s="89"/>
      <c r="P8" s="89"/>
      <c r="Q8" s="89"/>
      <c r="R8" s="89"/>
      <c r="S8" s="89"/>
    </row>
    <row r="9" spans="1:19" x14ac:dyDescent="0.25">
      <c r="A9" s="527" t="s">
        <v>77</v>
      </c>
      <c r="B9" s="528" t="s">
        <v>81</v>
      </c>
      <c r="C9" s="528" t="s">
        <v>84</v>
      </c>
      <c r="D9" s="529" t="s">
        <v>88</v>
      </c>
      <c r="E9" s="528" t="s">
        <v>91</v>
      </c>
      <c r="F9" s="528" t="s">
        <v>94</v>
      </c>
      <c r="G9" s="528" t="s">
        <v>96</v>
      </c>
      <c r="H9" s="528" t="s">
        <v>99</v>
      </c>
      <c r="I9" s="528" t="s">
        <v>102</v>
      </c>
      <c r="J9" s="530" t="s">
        <v>105</v>
      </c>
      <c r="K9" s="530" t="s">
        <v>108</v>
      </c>
      <c r="L9" s="531" t="s">
        <v>1</v>
      </c>
    </row>
    <row r="10" spans="1:19" x14ac:dyDescent="0.25">
      <c r="A10" s="532" t="s">
        <v>255</v>
      </c>
      <c r="B10" s="533" t="s">
        <v>256</v>
      </c>
      <c r="C10" s="533"/>
      <c r="D10" s="534" t="s">
        <v>257</v>
      </c>
      <c r="E10" s="535"/>
      <c r="F10" s="533" t="s">
        <v>258</v>
      </c>
      <c r="G10" s="534" t="s">
        <v>259</v>
      </c>
      <c r="H10" s="533" t="s">
        <v>260</v>
      </c>
      <c r="I10" s="533"/>
      <c r="J10" s="534">
        <v>1</v>
      </c>
      <c r="K10" s="534">
        <v>1</v>
      </c>
      <c r="L10" s="534" t="s">
        <v>261</v>
      </c>
    </row>
    <row r="11" spans="1:19" x14ac:dyDescent="0.25">
      <c r="A11" s="532" t="s">
        <v>262</v>
      </c>
      <c r="B11" s="533" t="s">
        <v>263</v>
      </c>
      <c r="C11" s="533"/>
      <c r="D11" s="534" t="s">
        <v>264</v>
      </c>
      <c r="E11" s="535"/>
      <c r="F11" s="533" t="s">
        <v>265</v>
      </c>
      <c r="G11" s="534" t="s">
        <v>259</v>
      </c>
      <c r="H11" s="533" t="s">
        <v>266</v>
      </c>
      <c r="I11" s="533"/>
      <c r="J11" s="534">
        <v>1</v>
      </c>
      <c r="K11" s="534">
        <v>1</v>
      </c>
      <c r="L11" s="534" t="s">
        <v>267</v>
      </c>
    </row>
    <row r="12" spans="1:19" ht="45" x14ac:dyDescent="0.25">
      <c r="A12" s="532" t="s">
        <v>268</v>
      </c>
      <c r="B12" s="532" t="s">
        <v>269</v>
      </c>
      <c r="C12" s="533"/>
      <c r="D12" s="534" t="s">
        <v>247</v>
      </c>
      <c r="E12" s="535"/>
      <c r="F12" s="533" t="s">
        <v>270</v>
      </c>
      <c r="G12" s="534" t="e">
        <v>#N/A</v>
      </c>
      <c r="H12" s="533" t="s">
        <v>249</v>
      </c>
      <c r="I12" s="533"/>
      <c r="J12" s="534">
        <v>1</v>
      </c>
      <c r="K12" s="534">
        <v>1</v>
      </c>
      <c r="L12" s="534" t="s">
        <v>261</v>
      </c>
    </row>
    <row r="13" spans="1:19" x14ac:dyDescent="0.25">
      <c r="A13" s="536" t="s">
        <v>271</v>
      </c>
    </row>
    <row r="14" spans="1:19" x14ac:dyDescent="0.25">
      <c r="A14" s="527" t="s">
        <v>77</v>
      </c>
      <c r="B14" s="528" t="s">
        <v>81</v>
      </c>
      <c r="C14" s="528" t="s">
        <v>84</v>
      </c>
      <c r="D14" s="529" t="s">
        <v>88</v>
      </c>
      <c r="E14" s="528" t="s">
        <v>91</v>
      </c>
      <c r="F14" s="528" t="s">
        <v>94</v>
      </c>
      <c r="G14" s="528" t="s">
        <v>96</v>
      </c>
      <c r="H14" s="528" t="s">
        <v>99</v>
      </c>
      <c r="I14" s="528" t="s">
        <v>102</v>
      </c>
      <c r="J14" s="530" t="s">
        <v>105</v>
      </c>
      <c r="K14" s="530" t="s">
        <v>108</v>
      </c>
      <c r="L14" s="537" t="s">
        <v>1</v>
      </c>
      <c r="M14" s="530" t="s">
        <v>114</v>
      </c>
      <c r="N14" s="530" t="s">
        <v>118</v>
      </c>
      <c r="O14" s="530" t="s">
        <v>121</v>
      </c>
      <c r="P14" s="530" t="s">
        <v>125</v>
      </c>
      <c r="Q14" s="530" t="s">
        <v>128</v>
      </c>
      <c r="R14" s="530" t="s">
        <v>132</v>
      </c>
      <c r="S14" s="530" t="s">
        <v>157</v>
      </c>
    </row>
    <row r="15" spans="1:19" x14ac:dyDescent="0.25">
      <c r="A15" s="532" t="s">
        <v>272</v>
      </c>
      <c r="B15" s="533" t="s">
        <v>273</v>
      </c>
      <c r="C15" s="533"/>
      <c r="D15" s="534" t="s">
        <v>252</v>
      </c>
      <c r="E15" s="533"/>
      <c r="F15" s="533" t="s">
        <v>274</v>
      </c>
      <c r="G15" s="534" t="s">
        <v>259</v>
      </c>
      <c r="H15" s="533" t="s">
        <v>275</v>
      </c>
      <c r="I15" s="533"/>
      <c r="J15" s="534">
        <v>1</v>
      </c>
      <c r="K15" s="534">
        <v>1</v>
      </c>
      <c r="L15" s="534" t="s">
        <v>276</v>
      </c>
      <c r="M15" s="538">
        <v>0</v>
      </c>
      <c r="N15" s="534"/>
      <c r="O15" s="538">
        <v>0</v>
      </c>
      <c r="P15" s="533" t="s">
        <v>48</v>
      </c>
      <c r="Q15" s="534">
        <v>1</v>
      </c>
      <c r="R15" s="534">
        <v>0</v>
      </c>
      <c r="S15" s="533" t="s">
        <v>277</v>
      </c>
    </row>
    <row r="16" spans="1:19" x14ac:dyDescent="0.25">
      <c r="A16" s="532" t="s">
        <v>250</v>
      </c>
      <c r="B16" s="533" t="s">
        <v>278</v>
      </c>
      <c r="C16" s="533"/>
      <c r="D16" s="539" t="s">
        <v>247</v>
      </c>
      <c r="E16" s="533"/>
      <c r="F16" s="533" t="s">
        <v>279</v>
      </c>
      <c r="G16" s="534" t="s">
        <v>280</v>
      </c>
      <c r="H16" s="540" t="s">
        <v>249</v>
      </c>
      <c r="I16" s="533"/>
      <c r="J16" s="534">
        <v>1</v>
      </c>
      <c r="K16" s="534">
        <v>1</v>
      </c>
      <c r="L16" s="534" t="s">
        <v>261</v>
      </c>
      <c r="M16" s="538">
        <v>0</v>
      </c>
      <c r="N16" s="534"/>
      <c r="O16" s="538">
        <v>0</v>
      </c>
      <c r="P16" s="533" t="s">
        <v>48</v>
      </c>
      <c r="Q16" s="534">
        <v>1</v>
      </c>
      <c r="R16" s="534">
        <v>0</v>
      </c>
      <c r="S16" s="533" t="s">
        <v>277</v>
      </c>
    </row>
    <row r="17" spans="1:19" x14ac:dyDescent="0.25">
      <c r="A17" s="532" t="s">
        <v>281</v>
      </c>
      <c r="B17" s="533" t="s">
        <v>282</v>
      </c>
      <c r="C17" s="533"/>
      <c r="D17" s="534" t="s">
        <v>252</v>
      </c>
      <c r="E17" s="533"/>
      <c r="F17" s="533" t="s">
        <v>283</v>
      </c>
      <c r="G17" s="534" t="s">
        <v>284</v>
      </c>
      <c r="H17" s="533" t="s">
        <v>285</v>
      </c>
      <c r="I17" s="533"/>
      <c r="J17" s="534">
        <v>1</v>
      </c>
      <c r="K17" s="534">
        <v>1</v>
      </c>
      <c r="L17" s="534" t="s">
        <v>276</v>
      </c>
      <c r="M17" s="538">
        <v>0</v>
      </c>
      <c r="N17" s="534"/>
      <c r="O17" s="538">
        <v>0</v>
      </c>
      <c r="P17" s="533" t="s">
        <v>48</v>
      </c>
      <c r="Q17" s="534">
        <v>1</v>
      </c>
      <c r="R17" s="534">
        <v>0</v>
      </c>
      <c r="S17" s="533"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9" activePane="bottomRight" state="frozen"/>
      <selection pane="topRight" activeCell="B1" sqref="B1"/>
      <selection pane="bottomLeft" activeCell="A2" sqref="A2"/>
      <selection pane="bottomRight" activeCell="B14" sqref="B14"/>
    </sheetView>
  </sheetViews>
  <sheetFormatPr defaultColWidth="9.42578125" defaultRowHeight="15" x14ac:dyDescent="0.25"/>
  <cols>
    <col min="1" max="1" width="9.5703125" style="169" bestFit="1" customWidth="1"/>
    <col min="2" max="2" width="123" style="81" bestFit="1" customWidth="1"/>
    <col min="3" max="3" width="7.42578125" style="81" bestFit="1" customWidth="1"/>
    <col min="4" max="16384" width="9.42578125" style="81"/>
  </cols>
  <sheetData>
    <row r="1" spans="1:3" x14ac:dyDescent="0.25">
      <c r="A1" s="541" t="s">
        <v>0</v>
      </c>
      <c r="B1" s="542" t="s">
        <v>287</v>
      </c>
      <c r="C1" s="542" t="s">
        <v>288</v>
      </c>
    </row>
    <row r="2" spans="1:3" x14ac:dyDescent="0.25">
      <c r="A2" s="543">
        <v>43807</v>
      </c>
      <c r="B2" s="544" t="s">
        <v>289</v>
      </c>
      <c r="C2" s="544" t="s">
        <v>11</v>
      </c>
    </row>
    <row r="3" spans="1:3" ht="30" x14ac:dyDescent="0.25">
      <c r="A3" s="543">
        <v>43937</v>
      </c>
      <c r="B3" s="80" t="s">
        <v>290</v>
      </c>
      <c r="C3" s="544" t="s">
        <v>11</v>
      </c>
    </row>
    <row r="4" spans="1:3" x14ac:dyDescent="0.25">
      <c r="A4" s="543">
        <v>43941</v>
      </c>
      <c r="B4" s="544" t="s">
        <v>291</v>
      </c>
      <c r="C4" s="544" t="s">
        <v>11</v>
      </c>
    </row>
    <row r="5" spans="1:3" x14ac:dyDescent="0.25">
      <c r="A5" s="543">
        <v>43942</v>
      </c>
      <c r="B5" s="544" t="s">
        <v>292</v>
      </c>
      <c r="C5" s="544" t="s">
        <v>11</v>
      </c>
    </row>
    <row r="6" spans="1:3" x14ac:dyDescent="0.25">
      <c r="A6" s="543">
        <v>43963</v>
      </c>
      <c r="B6" s="544" t="s">
        <v>293</v>
      </c>
      <c r="C6" s="544" t="s">
        <v>11</v>
      </c>
    </row>
    <row r="7" spans="1:3" x14ac:dyDescent="0.25">
      <c r="A7" s="543">
        <v>43990</v>
      </c>
      <c r="B7" s="544" t="s">
        <v>294</v>
      </c>
      <c r="C7" s="544" t="s">
        <v>11</v>
      </c>
    </row>
    <row r="8" spans="1:3" ht="30" x14ac:dyDescent="0.25">
      <c r="A8" s="543">
        <v>44104</v>
      </c>
      <c r="B8" s="80" t="s">
        <v>295</v>
      </c>
      <c r="C8" s="544" t="s">
        <v>296</v>
      </c>
    </row>
    <row r="9" spans="1:3" ht="150" x14ac:dyDescent="0.25">
      <c r="A9" s="543">
        <v>44128</v>
      </c>
      <c r="B9" s="80" t="s">
        <v>297</v>
      </c>
      <c r="C9" s="544" t="s">
        <v>296</v>
      </c>
    </row>
    <row r="10" spans="1:3" x14ac:dyDescent="0.25">
      <c r="A10" s="543">
        <v>44361</v>
      </c>
      <c r="B10" s="544" t="s">
        <v>298</v>
      </c>
      <c r="C10" s="544" t="s">
        <v>299</v>
      </c>
    </row>
    <row r="11" spans="1:3" x14ac:dyDescent="0.25">
      <c r="A11" s="543">
        <v>44813</v>
      </c>
      <c r="B11" s="544" t="s">
        <v>300</v>
      </c>
      <c r="C11" s="544"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82"/>
  <sheetViews>
    <sheetView tabSelected="1" zoomScaleNormal="100" workbookViewId="0">
      <pane xSplit="2" ySplit="5" topLeftCell="C6" activePane="bottomRight" state="frozen"/>
      <selection pane="topRight" activeCell="C1" sqref="C1"/>
      <selection pane="bottomLeft" activeCell="A4" sqref="A4"/>
      <selection pane="bottomRight" activeCell="B13" sqref="B13"/>
    </sheetView>
  </sheetViews>
  <sheetFormatPr defaultColWidth="9.42578125" defaultRowHeight="15" x14ac:dyDescent="0.25"/>
  <cols>
    <col min="1" max="1" width="12.42578125" style="172" customWidth="1"/>
    <col min="2" max="2" width="77.85546875" style="170" customWidth="1"/>
    <col min="3" max="3" width="17.5703125" style="170" customWidth="1"/>
    <col min="4" max="4" width="7" style="173" customWidth="1"/>
    <col min="5" max="5" width="7.42578125" style="170" customWidth="1"/>
    <col min="6" max="6" width="7" style="170" customWidth="1"/>
    <col min="7" max="7" width="9.5703125" style="170" bestFit="1" customWidth="1"/>
    <col min="8" max="8" width="51" style="173" bestFit="1" customWidth="1"/>
    <col min="9" max="9" width="13.42578125" style="173" customWidth="1"/>
    <col min="10" max="10" width="7.42578125" style="170" customWidth="1"/>
    <col min="11" max="11" width="7.5703125" style="170" customWidth="1"/>
    <col min="12" max="12" width="17.42578125" style="170" bestFit="1" customWidth="1"/>
    <col min="13" max="13" width="11.42578125" style="170" hidden="1" customWidth="1"/>
    <col min="14" max="14" width="12.42578125" style="170" bestFit="1" customWidth="1"/>
    <col min="15" max="15" width="11.5703125" style="170" bestFit="1" customWidth="1"/>
    <col min="16" max="16" width="15" style="170" bestFit="1" customWidth="1"/>
    <col min="17" max="17" width="10.42578125" style="170" hidden="1" customWidth="1"/>
    <col min="18" max="18" width="26.42578125" style="175" hidden="1" customWidth="1"/>
    <col min="19" max="19" width="11.42578125" style="175" hidden="1" customWidth="1"/>
    <col min="20" max="20" width="7.42578125" style="174" hidden="1" customWidth="1"/>
    <col min="21" max="23" width="6.42578125" style="174" hidden="1" customWidth="1"/>
    <col min="24" max="24" width="13.42578125" style="174" hidden="1" customWidth="1"/>
    <col min="25" max="25" width="49.5703125" style="175" hidden="1" customWidth="1"/>
    <col min="26" max="26" width="11.42578125" style="175" bestFit="1" customWidth="1"/>
    <col min="27" max="27" width="7.42578125" style="174" bestFit="1" customWidth="1"/>
    <col min="28" max="28" width="10.42578125" style="174" bestFit="1" customWidth="1"/>
    <col min="29" max="29" width="6.42578125" style="174" bestFit="1" customWidth="1"/>
    <col min="30" max="30" width="7" style="174" bestFit="1" customWidth="1"/>
    <col min="31" max="31" width="13.42578125" style="174" bestFit="1" customWidth="1"/>
    <col min="32" max="32" width="45.5703125" style="170" customWidth="1"/>
    <col min="33" max="33" width="6.42578125" style="170" bestFit="1" customWidth="1"/>
    <col min="34" max="34" width="60.5703125" style="170" customWidth="1"/>
    <col min="35" max="16384" width="9.42578125" style="170"/>
  </cols>
  <sheetData>
    <row r="1" spans="1:34" ht="18.75" x14ac:dyDescent="0.25">
      <c r="A1" s="619" t="s">
        <v>301</v>
      </c>
      <c r="B1" s="620"/>
      <c r="C1" s="620"/>
      <c r="D1" s="620"/>
      <c r="E1" s="620"/>
      <c r="F1" s="620"/>
      <c r="G1" s="620"/>
      <c r="H1" s="620"/>
      <c r="I1" s="620"/>
      <c r="J1" s="620"/>
      <c r="K1" s="620"/>
      <c r="L1" s="620"/>
      <c r="M1" s="620"/>
      <c r="N1" s="620"/>
      <c r="O1" s="620"/>
      <c r="P1" s="620"/>
      <c r="Q1" s="620"/>
      <c r="R1" s="620"/>
      <c r="S1" s="620"/>
      <c r="T1" s="620"/>
      <c r="U1" s="620"/>
      <c r="V1" s="620"/>
      <c r="W1" s="620"/>
      <c r="X1" s="620"/>
      <c r="Y1" s="621"/>
      <c r="Z1" s="620"/>
      <c r="AA1" s="620"/>
      <c r="AB1" s="620"/>
      <c r="AC1" s="620"/>
      <c r="AD1" s="620"/>
      <c r="AE1" s="620"/>
      <c r="AF1" s="620"/>
      <c r="AG1" s="620"/>
      <c r="AH1" s="622"/>
    </row>
    <row r="2" spans="1:34" ht="18.75" x14ac:dyDescent="0.25">
      <c r="A2" s="623" t="s">
        <v>302</v>
      </c>
      <c r="B2" s="624"/>
      <c r="C2" s="624"/>
      <c r="D2" s="624"/>
      <c r="E2" s="624"/>
      <c r="F2" s="624"/>
      <c r="G2" s="624"/>
      <c r="H2" s="624"/>
      <c r="I2" s="624"/>
      <c r="J2" s="625"/>
      <c r="K2" s="387">
        <f>SUM(K6:K77)</f>
        <v>65</v>
      </c>
      <c r="L2" s="387">
        <f>SUM(L6:L77)</f>
        <v>349</v>
      </c>
      <c r="M2" s="388"/>
      <c r="N2" s="451">
        <f>SUMPRODUCT(K6:K77,N6:N77)/K80</f>
        <v>1</v>
      </c>
      <c r="O2" s="452">
        <f>SUM(O6:O77)</f>
        <v>343.3</v>
      </c>
      <c r="P2" s="453">
        <f>SUMPRODUCT(K6:K77,P6:P77)/K80</f>
        <v>0.94692307692307687</v>
      </c>
      <c r="Q2" s="389"/>
      <c r="R2" s="390">
        <f>SUM(R6:R77)</f>
        <v>236</v>
      </c>
      <c r="S2" s="454">
        <f>SUM(S6:S77)</f>
        <v>181</v>
      </c>
      <c r="T2" s="454">
        <f>SUM(T6:T77)</f>
        <v>177</v>
      </c>
      <c r="U2" s="454">
        <f>SUM(U6:U77)</f>
        <v>0</v>
      </c>
      <c r="V2" s="454">
        <f>SUM(V6:V77)</f>
        <v>4</v>
      </c>
      <c r="W2" s="454">
        <f>SUM(W6:W77)</f>
        <v>0</v>
      </c>
      <c r="X2" s="455">
        <f>IF((R80=0),1,((T80+U80)/R80*100%))</f>
        <v>0.75</v>
      </c>
      <c r="Y2" s="391"/>
      <c r="Z2" s="468">
        <f>SUM(Z6:Z77)</f>
        <v>57</v>
      </c>
      <c r="AA2" s="469">
        <f>SUM(AA6:AA77)</f>
        <v>55</v>
      </c>
      <c r="AB2" s="469">
        <f>SUM(AB6:AB77)</f>
        <v>0</v>
      </c>
      <c r="AC2" s="469">
        <f>SUM(AC6:AC77)</f>
        <v>2</v>
      </c>
      <c r="AD2" s="469">
        <f>SUM(AD6:AD77)</f>
        <v>0</v>
      </c>
      <c r="AE2" s="458">
        <f>IF((L80=0),1,((AA80+AB80)/L80*100%))</f>
        <v>0.15759312320916904</v>
      </c>
      <c r="AF2" s="392"/>
      <c r="AG2" s="392"/>
      <c r="AH2" s="393"/>
    </row>
    <row r="3" spans="1:34" ht="19.5" customHeight="1" thickBot="1" x14ac:dyDescent="0.3">
      <c r="A3" s="619" t="s">
        <v>303</v>
      </c>
      <c r="B3" s="620"/>
      <c r="C3" s="620"/>
      <c r="D3" s="620"/>
      <c r="E3" s="620"/>
      <c r="F3" s="620"/>
      <c r="G3" s="620"/>
      <c r="H3" s="620"/>
      <c r="I3" s="620"/>
      <c r="J3" s="620"/>
      <c r="K3" s="620"/>
      <c r="L3" s="620"/>
      <c r="M3" s="620"/>
      <c r="N3" s="620"/>
      <c r="O3" s="620"/>
      <c r="P3" s="620"/>
      <c r="Q3" s="620"/>
      <c r="R3" s="620"/>
      <c r="S3" s="620"/>
      <c r="T3" s="620"/>
      <c r="U3" s="620"/>
      <c r="V3" s="620"/>
      <c r="W3" s="620"/>
      <c r="X3" s="620"/>
      <c r="Y3" s="621"/>
      <c r="Z3" s="620"/>
      <c r="AA3" s="620"/>
      <c r="AB3" s="620"/>
      <c r="AC3" s="620"/>
      <c r="AD3" s="620"/>
      <c r="AE3" s="620"/>
      <c r="AF3" s="620"/>
      <c r="AG3" s="620"/>
      <c r="AH3" s="622"/>
    </row>
    <row r="4" spans="1:34" ht="31.5" customHeight="1" x14ac:dyDescent="0.25">
      <c r="A4" s="626" t="s">
        <v>76</v>
      </c>
      <c r="B4" s="627"/>
      <c r="C4" s="627"/>
      <c r="D4" s="627"/>
      <c r="E4" s="627"/>
      <c r="F4" s="627"/>
      <c r="G4" s="627"/>
      <c r="H4" s="627"/>
      <c r="I4" s="627"/>
      <c r="J4" s="627"/>
      <c r="K4" s="627"/>
      <c r="L4" s="627"/>
      <c r="M4" s="628"/>
      <c r="N4" s="629" t="s">
        <v>304</v>
      </c>
      <c r="O4" s="630"/>
      <c r="P4" s="631"/>
      <c r="Q4" s="636" t="s">
        <v>305</v>
      </c>
      <c r="R4" s="637"/>
      <c r="S4" s="637"/>
      <c r="T4" s="637"/>
      <c r="U4" s="637"/>
      <c r="V4" s="637"/>
      <c r="W4" s="637"/>
      <c r="X4" s="637"/>
      <c r="Y4" s="638"/>
      <c r="Z4" s="632" t="s">
        <v>306</v>
      </c>
      <c r="AA4" s="633"/>
      <c r="AB4" s="633"/>
      <c r="AC4" s="633"/>
      <c r="AD4" s="633"/>
      <c r="AE4" s="634"/>
      <c r="AF4" s="634"/>
      <c r="AG4" s="634"/>
      <c r="AH4" s="635"/>
    </row>
    <row r="5" spans="1:34" s="171" customFormat="1" ht="15.75" customHeight="1" x14ac:dyDescent="0.25">
      <c r="A5" s="556" t="s">
        <v>77</v>
      </c>
      <c r="B5" s="555" t="s">
        <v>81</v>
      </c>
      <c r="C5" s="555" t="s">
        <v>84</v>
      </c>
      <c r="D5" s="555" t="s">
        <v>88</v>
      </c>
      <c r="E5" s="555" t="s">
        <v>91</v>
      </c>
      <c r="F5" s="555" t="s">
        <v>94</v>
      </c>
      <c r="G5" s="555" t="s">
        <v>96</v>
      </c>
      <c r="H5" s="555" t="s">
        <v>99</v>
      </c>
      <c r="I5" s="555" t="s">
        <v>307</v>
      </c>
      <c r="J5" s="555" t="s">
        <v>102</v>
      </c>
      <c r="K5" s="555" t="s">
        <v>105</v>
      </c>
      <c r="L5" s="555" t="s">
        <v>108</v>
      </c>
      <c r="M5" s="555" t="s">
        <v>1</v>
      </c>
      <c r="N5" s="555" t="s">
        <v>114</v>
      </c>
      <c r="O5" s="555" t="s">
        <v>118</v>
      </c>
      <c r="P5" s="555" t="s">
        <v>121</v>
      </c>
      <c r="Q5" s="555" t="s">
        <v>125</v>
      </c>
      <c r="R5" s="555" t="s">
        <v>128</v>
      </c>
      <c r="S5" s="555" t="s">
        <v>132</v>
      </c>
      <c r="T5" s="555" t="s">
        <v>30</v>
      </c>
      <c r="U5" s="555" t="s">
        <v>135</v>
      </c>
      <c r="V5" s="555" t="s">
        <v>36</v>
      </c>
      <c r="W5" s="555" t="s">
        <v>138</v>
      </c>
      <c r="X5" s="555" t="s">
        <v>140</v>
      </c>
      <c r="Y5" s="555" t="s">
        <v>142</v>
      </c>
      <c r="Z5" s="555" t="s">
        <v>852</v>
      </c>
      <c r="AA5" s="555" t="s">
        <v>853</v>
      </c>
      <c r="AB5" s="555" t="s">
        <v>854</v>
      </c>
      <c r="AC5" s="555" t="s">
        <v>855</v>
      </c>
      <c r="AD5" s="555" t="s">
        <v>856</v>
      </c>
      <c r="AE5" s="555" t="s">
        <v>857</v>
      </c>
      <c r="AF5" s="555" t="s">
        <v>155</v>
      </c>
      <c r="AG5" s="555" t="s">
        <v>157</v>
      </c>
      <c r="AH5" s="555" t="s">
        <v>160</v>
      </c>
    </row>
    <row r="6" spans="1:34" ht="17.25" customHeight="1" x14ac:dyDescent="0.25">
      <c r="A6" s="557">
        <v>12.201000000000001</v>
      </c>
      <c r="B6" t="s">
        <v>876</v>
      </c>
      <c r="C6" t="s">
        <v>311</v>
      </c>
      <c r="D6" t="s">
        <v>427</v>
      </c>
      <c r="E6" t="s">
        <v>858</v>
      </c>
      <c r="F6" t="s">
        <v>858</v>
      </c>
      <c r="G6" t="s">
        <v>259</v>
      </c>
      <c r="H6" t="s">
        <v>334</v>
      </c>
      <c r="I6" t="s">
        <v>41</v>
      </c>
      <c r="J6" t="s">
        <v>858</v>
      </c>
      <c r="K6">
        <v>1</v>
      </c>
      <c r="L6">
        <v>2</v>
      </c>
      <c r="M6" t="s">
        <v>44</v>
      </c>
      <c r="N6">
        <v>1</v>
      </c>
      <c r="O6">
        <v>2</v>
      </c>
      <c r="P6">
        <v>1</v>
      </c>
      <c r="Q6" t="s">
        <v>32</v>
      </c>
      <c r="R6">
        <v>2</v>
      </c>
      <c r="S6">
        <v>2</v>
      </c>
      <c r="T6">
        <v>2</v>
      </c>
      <c r="U6" t="s">
        <v>858</v>
      </c>
      <c r="V6" t="s">
        <v>858</v>
      </c>
      <c r="W6" t="s">
        <v>858</v>
      </c>
      <c r="X6">
        <v>1</v>
      </c>
      <c r="Y6" t="s">
        <v>858</v>
      </c>
      <c r="Z6">
        <v>0</v>
      </c>
      <c r="AA6" t="s">
        <v>858</v>
      </c>
      <c r="AB6" t="s">
        <v>858</v>
      </c>
      <c r="AC6" t="s">
        <v>858</v>
      </c>
      <c r="AD6" t="s">
        <v>858</v>
      </c>
      <c r="AE6">
        <v>0</v>
      </c>
      <c r="AF6" t="s">
        <v>858</v>
      </c>
      <c r="AG6" t="s">
        <v>309</v>
      </c>
      <c r="AH6" t="s">
        <v>858</v>
      </c>
    </row>
    <row r="7" spans="1:34" x14ac:dyDescent="0.25">
      <c r="A7" s="557">
        <v>12.202</v>
      </c>
      <c r="B7" t="s">
        <v>550</v>
      </c>
      <c r="C7" t="s">
        <v>311</v>
      </c>
      <c r="D7" t="s">
        <v>427</v>
      </c>
      <c r="E7" t="s">
        <v>858</v>
      </c>
      <c r="F7" t="s">
        <v>858</v>
      </c>
      <c r="G7" t="s">
        <v>259</v>
      </c>
      <c r="H7" t="s">
        <v>335</v>
      </c>
      <c r="I7" t="s">
        <v>41</v>
      </c>
      <c r="J7" t="s">
        <v>858</v>
      </c>
      <c r="K7">
        <v>1</v>
      </c>
      <c r="L7">
        <v>2</v>
      </c>
      <c r="M7" t="s">
        <v>44</v>
      </c>
      <c r="N7">
        <v>1</v>
      </c>
      <c r="O7">
        <v>2</v>
      </c>
      <c r="P7">
        <v>1</v>
      </c>
      <c r="Q7" t="s">
        <v>32</v>
      </c>
      <c r="R7">
        <v>2</v>
      </c>
      <c r="S7">
        <v>2</v>
      </c>
      <c r="T7">
        <v>2</v>
      </c>
      <c r="U7" t="s">
        <v>858</v>
      </c>
      <c r="V7" t="s">
        <v>858</v>
      </c>
      <c r="W7" t="s">
        <v>858</v>
      </c>
      <c r="X7">
        <v>1</v>
      </c>
      <c r="Y7" t="s">
        <v>330</v>
      </c>
      <c r="Z7">
        <v>0</v>
      </c>
      <c r="AA7" t="s">
        <v>858</v>
      </c>
      <c r="AB7" t="s">
        <v>858</v>
      </c>
      <c r="AC7" t="s">
        <v>858</v>
      </c>
      <c r="AD7" t="s">
        <v>858</v>
      </c>
      <c r="AE7">
        <v>0</v>
      </c>
      <c r="AF7" t="s">
        <v>858</v>
      </c>
      <c r="AG7" t="s">
        <v>310</v>
      </c>
      <c r="AH7" t="s">
        <v>858</v>
      </c>
    </row>
    <row r="8" spans="1:34" x14ac:dyDescent="0.25">
      <c r="A8" s="557">
        <v>12.208</v>
      </c>
      <c r="B8" t="s">
        <v>552</v>
      </c>
      <c r="C8" t="s">
        <v>323</v>
      </c>
      <c r="D8" t="s">
        <v>426</v>
      </c>
      <c r="E8" t="s">
        <v>858</v>
      </c>
      <c r="F8" t="s">
        <v>858</v>
      </c>
      <c r="G8" t="s">
        <v>280</v>
      </c>
      <c r="H8" t="s">
        <v>860</v>
      </c>
      <c r="I8" t="s">
        <v>35</v>
      </c>
      <c r="J8" t="s">
        <v>858</v>
      </c>
      <c r="K8">
        <v>1</v>
      </c>
      <c r="L8">
        <v>64</v>
      </c>
      <c r="M8" t="s">
        <v>44</v>
      </c>
      <c r="N8">
        <v>1</v>
      </c>
      <c r="O8">
        <v>64</v>
      </c>
      <c r="P8">
        <v>1</v>
      </c>
      <c r="Q8" t="s">
        <v>32</v>
      </c>
      <c r="R8">
        <v>64</v>
      </c>
      <c r="S8">
        <v>64</v>
      </c>
      <c r="T8">
        <v>64</v>
      </c>
      <c r="U8" t="s">
        <v>858</v>
      </c>
      <c r="V8" t="s">
        <v>858</v>
      </c>
      <c r="W8" t="s">
        <v>858</v>
      </c>
      <c r="X8">
        <v>1</v>
      </c>
      <c r="Y8" t="s">
        <v>337</v>
      </c>
      <c r="Z8">
        <v>0</v>
      </c>
      <c r="AA8" t="s">
        <v>858</v>
      </c>
      <c r="AB8" t="s">
        <v>858</v>
      </c>
      <c r="AC8" t="s">
        <v>858</v>
      </c>
      <c r="AD8" t="s">
        <v>858</v>
      </c>
      <c r="AE8">
        <v>0</v>
      </c>
      <c r="AF8" t="s">
        <v>858</v>
      </c>
      <c r="AG8" t="s">
        <v>321</v>
      </c>
      <c r="AH8" t="s">
        <v>858</v>
      </c>
    </row>
    <row r="9" spans="1:34" x14ac:dyDescent="0.25">
      <c r="A9" s="557">
        <v>12.209</v>
      </c>
      <c r="B9" t="s">
        <v>553</v>
      </c>
      <c r="C9" t="s">
        <v>338</v>
      </c>
      <c r="D9" t="s">
        <v>426</v>
      </c>
      <c r="E9" t="s">
        <v>858</v>
      </c>
      <c r="F9" t="s">
        <v>858</v>
      </c>
      <c r="G9" t="s">
        <v>259</v>
      </c>
      <c r="H9" t="s">
        <v>861</v>
      </c>
      <c r="I9" t="s">
        <v>41</v>
      </c>
      <c r="J9" t="s">
        <v>858</v>
      </c>
      <c r="K9">
        <v>1</v>
      </c>
      <c r="L9">
        <v>22</v>
      </c>
      <c r="M9" t="s">
        <v>44</v>
      </c>
      <c r="N9">
        <v>1</v>
      </c>
      <c r="O9">
        <v>22</v>
      </c>
      <c r="P9">
        <v>1</v>
      </c>
      <c r="Q9" t="s">
        <v>32</v>
      </c>
      <c r="R9">
        <v>22</v>
      </c>
      <c r="S9">
        <v>2</v>
      </c>
      <c r="T9">
        <v>2</v>
      </c>
      <c r="U9" t="s">
        <v>858</v>
      </c>
      <c r="V9" t="s">
        <v>858</v>
      </c>
      <c r="W9" t="s">
        <v>858</v>
      </c>
      <c r="X9">
        <v>9.0909090909090912E-2</v>
      </c>
      <c r="Y9" t="s">
        <v>858</v>
      </c>
      <c r="Z9">
        <v>0</v>
      </c>
      <c r="AA9" t="s">
        <v>858</v>
      </c>
      <c r="AB9" t="s">
        <v>858</v>
      </c>
      <c r="AC9" t="s">
        <v>858</v>
      </c>
      <c r="AD9" t="s">
        <v>858</v>
      </c>
      <c r="AE9">
        <v>0</v>
      </c>
      <c r="AF9" t="s">
        <v>858</v>
      </c>
      <c r="AG9" t="s">
        <v>312</v>
      </c>
      <c r="AH9" t="s">
        <v>858</v>
      </c>
    </row>
    <row r="10" spans="1:34" x14ac:dyDescent="0.25">
      <c r="A10" s="557">
        <v>12.21</v>
      </c>
      <c r="B10" t="s">
        <v>554</v>
      </c>
      <c r="C10" t="s">
        <v>325</v>
      </c>
      <c r="D10" t="s">
        <v>420</v>
      </c>
      <c r="E10" t="s">
        <v>858</v>
      </c>
      <c r="F10" t="s">
        <v>858</v>
      </c>
      <c r="G10" t="s">
        <v>259</v>
      </c>
      <c r="H10" t="s">
        <v>339</v>
      </c>
      <c r="I10" t="s">
        <v>41</v>
      </c>
      <c r="J10" t="s">
        <v>858</v>
      </c>
      <c r="K10">
        <v>1</v>
      </c>
      <c r="L10">
        <v>12</v>
      </c>
      <c r="M10" t="s">
        <v>44</v>
      </c>
      <c r="N10">
        <v>1</v>
      </c>
      <c r="O10">
        <v>12</v>
      </c>
      <c r="P10">
        <v>1</v>
      </c>
      <c r="Q10" t="s">
        <v>43</v>
      </c>
      <c r="R10">
        <v>1</v>
      </c>
      <c r="S10">
        <v>0</v>
      </c>
      <c r="T10" t="s">
        <v>858</v>
      </c>
      <c r="U10" t="s">
        <v>858</v>
      </c>
      <c r="V10" t="s">
        <v>858</v>
      </c>
      <c r="W10" t="s">
        <v>858</v>
      </c>
      <c r="X10">
        <v>0</v>
      </c>
      <c r="Y10" t="s">
        <v>858</v>
      </c>
      <c r="Z10">
        <v>0</v>
      </c>
      <c r="AA10" t="s">
        <v>858</v>
      </c>
      <c r="AB10" t="s">
        <v>858</v>
      </c>
      <c r="AC10" t="s">
        <v>858</v>
      </c>
      <c r="AD10" t="s">
        <v>858</v>
      </c>
      <c r="AE10">
        <v>0</v>
      </c>
      <c r="AF10" t="s">
        <v>858</v>
      </c>
      <c r="AG10" t="s">
        <v>310</v>
      </c>
      <c r="AH10" t="s">
        <v>858</v>
      </c>
    </row>
    <row r="11" spans="1:34" x14ac:dyDescent="0.25">
      <c r="A11" s="557">
        <v>12.218999999999999</v>
      </c>
      <c r="B11" t="s">
        <v>559</v>
      </c>
      <c r="C11" t="s">
        <v>315</v>
      </c>
      <c r="D11" t="s">
        <v>423</v>
      </c>
      <c r="E11" t="s">
        <v>858</v>
      </c>
      <c r="F11" t="s">
        <v>858</v>
      </c>
      <c r="G11" t="s">
        <v>259</v>
      </c>
      <c r="H11" t="s">
        <v>342</v>
      </c>
      <c r="I11" t="s">
        <v>35</v>
      </c>
      <c r="J11" t="s">
        <v>858</v>
      </c>
      <c r="K11">
        <v>1</v>
      </c>
      <c r="L11">
        <v>1</v>
      </c>
      <c r="M11" t="s">
        <v>44</v>
      </c>
      <c r="N11">
        <v>1</v>
      </c>
      <c r="O11">
        <v>1</v>
      </c>
      <c r="P11">
        <v>1</v>
      </c>
      <c r="Q11" t="s">
        <v>32</v>
      </c>
      <c r="R11">
        <v>1</v>
      </c>
      <c r="S11">
        <v>0</v>
      </c>
      <c r="T11" t="s">
        <v>858</v>
      </c>
      <c r="U11" t="s">
        <v>858</v>
      </c>
      <c r="V11" t="s">
        <v>858</v>
      </c>
      <c r="W11" t="s">
        <v>858</v>
      </c>
      <c r="X11">
        <v>0</v>
      </c>
      <c r="Y11" t="s">
        <v>858</v>
      </c>
      <c r="Z11">
        <v>0</v>
      </c>
      <c r="AA11" t="s">
        <v>858</v>
      </c>
      <c r="AB11" t="s">
        <v>858</v>
      </c>
      <c r="AC11" t="s">
        <v>858</v>
      </c>
      <c r="AD11" t="s">
        <v>858</v>
      </c>
      <c r="AE11">
        <v>0</v>
      </c>
      <c r="AF11" t="s">
        <v>858</v>
      </c>
      <c r="AG11" t="s">
        <v>310</v>
      </c>
      <c r="AH11" t="s">
        <v>858</v>
      </c>
    </row>
    <row r="12" spans="1:34" ht="15.75" customHeight="1" x14ac:dyDescent="0.25">
      <c r="A12" s="557">
        <v>12.22</v>
      </c>
      <c r="B12" t="s">
        <v>560</v>
      </c>
      <c r="C12" t="s">
        <v>315</v>
      </c>
      <c r="D12" t="s">
        <v>423</v>
      </c>
      <c r="E12" t="s">
        <v>858</v>
      </c>
      <c r="F12" t="s">
        <v>858</v>
      </c>
      <c r="G12" t="s">
        <v>259</v>
      </c>
      <c r="H12" t="s">
        <v>343</v>
      </c>
      <c r="I12" t="s">
        <v>35</v>
      </c>
      <c r="J12" t="s">
        <v>858</v>
      </c>
      <c r="K12">
        <v>1</v>
      </c>
      <c r="L12">
        <v>1</v>
      </c>
      <c r="M12" t="s">
        <v>44</v>
      </c>
      <c r="N12">
        <v>1</v>
      </c>
      <c r="O12">
        <v>1</v>
      </c>
      <c r="P12">
        <v>1</v>
      </c>
      <c r="Q12" t="s">
        <v>32</v>
      </c>
      <c r="R12">
        <v>1</v>
      </c>
      <c r="S12">
        <v>1</v>
      </c>
      <c r="T12">
        <v>1</v>
      </c>
      <c r="U12" t="s">
        <v>858</v>
      </c>
      <c r="V12" t="s">
        <v>858</v>
      </c>
      <c r="W12" t="s">
        <v>858</v>
      </c>
      <c r="X12">
        <v>1</v>
      </c>
      <c r="Y12" t="s">
        <v>858</v>
      </c>
      <c r="Z12">
        <v>0</v>
      </c>
      <c r="AA12" t="s">
        <v>858</v>
      </c>
      <c r="AB12" t="s">
        <v>858</v>
      </c>
      <c r="AC12" t="s">
        <v>858</v>
      </c>
      <c r="AD12" t="s">
        <v>858</v>
      </c>
      <c r="AE12">
        <v>0</v>
      </c>
      <c r="AF12" t="s">
        <v>858</v>
      </c>
      <c r="AG12" t="s">
        <v>310</v>
      </c>
      <c r="AH12" t="s">
        <v>858</v>
      </c>
    </row>
    <row r="13" spans="1:34" x14ac:dyDescent="0.25">
      <c r="A13" s="557">
        <v>12.223000000000001</v>
      </c>
      <c r="B13" t="s">
        <v>562</v>
      </c>
      <c r="C13" t="s">
        <v>314</v>
      </c>
      <c r="D13" t="s">
        <v>425</v>
      </c>
      <c r="E13" t="s">
        <v>858</v>
      </c>
      <c r="F13" t="s">
        <v>858</v>
      </c>
      <c r="G13" t="s">
        <v>259</v>
      </c>
      <c r="H13" t="s">
        <v>862</v>
      </c>
      <c r="I13" t="s">
        <v>41</v>
      </c>
      <c r="J13" t="s">
        <v>858</v>
      </c>
      <c r="K13">
        <v>1</v>
      </c>
      <c r="L13">
        <v>2</v>
      </c>
      <c r="M13" t="s">
        <v>44</v>
      </c>
      <c r="N13">
        <v>1</v>
      </c>
      <c r="O13">
        <v>2</v>
      </c>
      <c r="P13">
        <v>1</v>
      </c>
      <c r="Q13" t="s">
        <v>32</v>
      </c>
      <c r="R13">
        <v>1</v>
      </c>
      <c r="S13">
        <v>1</v>
      </c>
      <c r="T13">
        <v>1</v>
      </c>
      <c r="U13" t="s">
        <v>858</v>
      </c>
      <c r="V13" t="s">
        <v>858</v>
      </c>
      <c r="W13" t="s">
        <v>858</v>
      </c>
      <c r="X13">
        <v>1</v>
      </c>
      <c r="Y13" t="s">
        <v>858</v>
      </c>
      <c r="Z13">
        <v>0</v>
      </c>
      <c r="AA13" t="s">
        <v>858</v>
      </c>
      <c r="AB13" t="s">
        <v>858</v>
      </c>
      <c r="AC13" t="s">
        <v>858</v>
      </c>
      <c r="AD13" t="s">
        <v>858</v>
      </c>
      <c r="AE13">
        <v>0</v>
      </c>
      <c r="AF13" t="s">
        <v>858</v>
      </c>
      <c r="AG13" t="s">
        <v>309</v>
      </c>
      <c r="AH13" t="s">
        <v>858</v>
      </c>
    </row>
    <row r="14" spans="1:34" x14ac:dyDescent="0.25">
      <c r="A14" s="557">
        <v>12.225</v>
      </c>
      <c r="B14" t="s">
        <v>564</v>
      </c>
      <c r="C14" t="s">
        <v>314</v>
      </c>
      <c r="D14" t="s">
        <v>425</v>
      </c>
      <c r="E14" t="s">
        <v>858</v>
      </c>
      <c r="F14" t="s">
        <v>858</v>
      </c>
      <c r="G14" t="s">
        <v>259</v>
      </c>
      <c r="H14" t="s">
        <v>859</v>
      </c>
      <c r="I14" t="s">
        <v>41</v>
      </c>
      <c r="J14" t="s">
        <v>858</v>
      </c>
      <c r="K14">
        <v>1</v>
      </c>
      <c r="L14">
        <v>2</v>
      </c>
      <c r="M14" t="s">
        <v>44</v>
      </c>
      <c r="N14">
        <v>1</v>
      </c>
      <c r="O14">
        <v>2</v>
      </c>
      <c r="P14">
        <v>1</v>
      </c>
      <c r="Q14" t="s">
        <v>32</v>
      </c>
      <c r="R14">
        <v>1</v>
      </c>
      <c r="S14">
        <v>0</v>
      </c>
      <c r="T14" t="s">
        <v>858</v>
      </c>
      <c r="U14" t="s">
        <v>858</v>
      </c>
      <c r="V14" t="s">
        <v>858</v>
      </c>
      <c r="W14" t="s">
        <v>858</v>
      </c>
      <c r="X14">
        <v>0</v>
      </c>
      <c r="Y14" t="s">
        <v>858</v>
      </c>
      <c r="Z14">
        <v>0</v>
      </c>
      <c r="AA14" t="s">
        <v>858</v>
      </c>
      <c r="AB14" t="s">
        <v>858</v>
      </c>
      <c r="AC14" t="s">
        <v>858</v>
      </c>
      <c r="AD14" t="s">
        <v>858</v>
      </c>
      <c r="AE14">
        <v>0</v>
      </c>
      <c r="AF14" t="s">
        <v>858</v>
      </c>
      <c r="AG14" t="s">
        <v>309</v>
      </c>
      <c r="AH14" t="s">
        <v>858</v>
      </c>
    </row>
    <row r="15" spans="1:34" x14ac:dyDescent="0.25">
      <c r="A15" s="557">
        <v>12.247</v>
      </c>
      <c r="B15" t="s">
        <v>571</v>
      </c>
      <c r="C15" t="s">
        <v>315</v>
      </c>
      <c r="D15" t="s">
        <v>423</v>
      </c>
      <c r="E15" t="s">
        <v>858</v>
      </c>
      <c r="F15" t="s">
        <v>858</v>
      </c>
      <c r="G15" t="s">
        <v>259</v>
      </c>
      <c r="H15" t="s">
        <v>346</v>
      </c>
      <c r="I15" t="s">
        <v>35</v>
      </c>
      <c r="J15" t="s">
        <v>858</v>
      </c>
      <c r="K15">
        <v>1</v>
      </c>
      <c r="L15">
        <v>3</v>
      </c>
      <c r="M15" t="s">
        <v>44</v>
      </c>
      <c r="N15">
        <v>1</v>
      </c>
      <c r="O15">
        <v>3</v>
      </c>
      <c r="P15">
        <v>1</v>
      </c>
      <c r="Q15" t="s">
        <v>32</v>
      </c>
      <c r="R15">
        <v>1</v>
      </c>
      <c r="S15">
        <v>1</v>
      </c>
      <c r="T15">
        <v>1</v>
      </c>
      <c r="U15" t="s">
        <v>858</v>
      </c>
      <c r="V15" t="s">
        <v>858</v>
      </c>
      <c r="W15" t="s">
        <v>858</v>
      </c>
      <c r="X15">
        <v>1</v>
      </c>
      <c r="Y15" t="s">
        <v>858</v>
      </c>
      <c r="Z15">
        <v>0</v>
      </c>
      <c r="AA15" t="s">
        <v>858</v>
      </c>
      <c r="AB15" t="s">
        <v>858</v>
      </c>
      <c r="AC15" t="s">
        <v>858</v>
      </c>
      <c r="AD15" t="s">
        <v>858</v>
      </c>
      <c r="AE15">
        <v>0</v>
      </c>
      <c r="AF15" t="s">
        <v>858</v>
      </c>
      <c r="AG15" t="s">
        <v>310</v>
      </c>
      <c r="AH15" t="s">
        <v>858</v>
      </c>
    </row>
    <row r="16" spans="1:34" x14ac:dyDescent="0.25">
      <c r="A16" s="557">
        <v>12.266</v>
      </c>
      <c r="B16" t="s">
        <v>575</v>
      </c>
      <c r="C16" t="s">
        <v>348</v>
      </c>
      <c r="D16" t="s">
        <v>421</v>
      </c>
      <c r="E16" t="s">
        <v>858</v>
      </c>
      <c r="F16" t="s">
        <v>858</v>
      </c>
      <c r="G16" t="s">
        <v>259</v>
      </c>
      <c r="H16" t="s">
        <v>863</v>
      </c>
      <c r="I16" t="s">
        <v>41</v>
      </c>
      <c r="J16" t="s">
        <v>858</v>
      </c>
      <c r="K16">
        <v>1</v>
      </c>
      <c r="L16">
        <v>2</v>
      </c>
      <c r="M16" t="s">
        <v>44</v>
      </c>
      <c r="N16">
        <v>1</v>
      </c>
      <c r="O16">
        <v>2</v>
      </c>
      <c r="P16">
        <v>1</v>
      </c>
      <c r="Q16" t="s">
        <v>32</v>
      </c>
      <c r="R16">
        <v>1</v>
      </c>
      <c r="S16">
        <v>0</v>
      </c>
      <c r="T16" t="s">
        <v>858</v>
      </c>
      <c r="U16" t="s">
        <v>858</v>
      </c>
      <c r="V16" t="s">
        <v>858</v>
      </c>
      <c r="W16" t="s">
        <v>858</v>
      </c>
      <c r="X16">
        <v>0</v>
      </c>
      <c r="Y16" t="s">
        <v>858</v>
      </c>
      <c r="Z16">
        <v>0</v>
      </c>
      <c r="AA16" t="s">
        <v>858</v>
      </c>
      <c r="AB16" t="s">
        <v>858</v>
      </c>
      <c r="AC16" t="s">
        <v>858</v>
      </c>
      <c r="AD16" t="s">
        <v>858</v>
      </c>
      <c r="AE16">
        <v>0</v>
      </c>
      <c r="AF16" t="s">
        <v>858</v>
      </c>
      <c r="AG16" t="s">
        <v>310</v>
      </c>
      <c r="AH16" t="s">
        <v>858</v>
      </c>
    </row>
    <row r="17" spans="1:34" x14ac:dyDescent="0.25">
      <c r="A17" s="557">
        <v>12.27</v>
      </c>
      <c r="B17" t="s">
        <v>576</v>
      </c>
      <c r="C17" t="s">
        <v>348</v>
      </c>
      <c r="D17" t="s">
        <v>421</v>
      </c>
      <c r="E17" t="s">
        <v>858</v>
      </c>
      <c r="F17" t="s">
        <v>858</v>
      </c>
      <c r="G17" t="s">
        <v>259</v>
      </c>
      <c r="H17" t="s">
        <v>864</v>
      </c>
      <c r="I17" t="s">
        <v>41</v>
      </c>
      <c r="J17" t="s">
        <v>858</v>
      </c>
      <c r="K17">
        <v>1</v>
      </c>
      <c r="L17">
        <v>8</v>
      </c>
      <c r="M17" t="s">
        <v>44</v>
      </c>
      <c r="N17">
        <v>1</v>
      </c>
      <c r="O17">
        <v>8</v>
      </c>
      <c r="P17">
        <v>1</v>
      </c>
      <c r="Q17" t="s">
        <v>43</v>
      </c>
      <c r="R17">
        <v>6</v>
      </c>
      <c r="S17">
        <v>6</v>
      </c>
      <c r="T17">
        <v>6</v>
      </c>
      <c r="U17" t="s">
        <v>858</v>
      </c>
      <c r="V17" t="s">
        <v>858</v>
      </c>
      <c r="W17" t="s">
        <v>858</v>
      </c>
      <c r="X17">
        <v>1</v>
      </c>
      <c r="Y17" t="s">
        <v>349</v>
      </c>
      <c r="Z17">
        <v>8</v>
      </c>
      <c r="AA17">
        <v>6</v>
      </c>
      <c r="AB17" t="s">
        <v>858</v>
      </c>
      <c r="AC17">
        <v>2</v>
      </c>
      <c r="AD17" t="s">
        <v>858</v>
      </c>
      <c r="AE17">
        <v>0.75</v>
      </c>
      <c r="AF17" t="s">
        <v>858</v>
      </c>
      <c r="AG17" t="s">
        <v>309</v>
      </c>
      <c r="AH17" t="s">
        <v>858</v>
      </c>
    </row>
    <row r="18" spans="1:34" x14ac:dyDescent="0.25">
      <c r="A18" s="557">
        <v>12.276</v>
      </c>
      <c r="B18" t="s">
        <v>577</v>
      </c>
      <c r="C18" t="s">
        <v>338</v>
      </c>
      <c r="D18" t="s">
        <v>426</v>
      </c>
      <c r="E18" t="s">
        <v>858</v>
      </c>
      <c r="F18" t="s">
        <v>858</v>
      </c>
      <c r="G18" t="s">
        <v>259</v>
      </c>
      <c r="H18" t="s">
        <v>350</v>
      </c>
      <c r="I18" t="s">
        <v>41</v>
      </c>
      <c r="J18" t="s">
        <v>858</v>
      </c>
      <c r="K18">
        <v>1</v>
      </c>
      <c r="L18">
        <v>14</v>
      </c>
      <c r="M18" t="s">
        <v>44</v>
      </c>
      <c r="N18">
        <v>1</v>
      </c>
      <c r="O18">
        <v>14</v>
      </c>
      <c r="P18">
        <v>1</v>
      </c>
      <c r="Q18" t="s">
        <v>32</v>
      </c>
      <c r="R18">
        <v>14</v>
      </c>
      <c r="S18">
        <v>0</v>
      </c>
      <c r="T18" t="s">
        <v>858</v>
      </c>
      <c r="U18" t="s">
        <v>858</v>
      </c>
      <c r="V18" t="s">
        <v>858</v>
      </c>
      <c r="W18" t="s">
        <v>858</v>
      </c>
      <c r="X18">
        <v>0</v>
      </c>
      <c r="Y18" t="s">
        <v>858</v>
      </c>
      <c r="Z18">
        <v>0</v>
      </c>
      <c r="AA18" t="s">
        <v>858</v>
      </c>
      <c r="AB18" t="s">
        <v>858</v>
      </c>
      <c r="AC18" t="s">
        <v>858</v>
      </c>
      <c r="AD18" t="s">
        <v>858</v>
      </c>
      <c r="AE18">
        <v>0</v>
      </c>
      <c r="AF18" t="s">
        <v>858</v>
      </c>
      <c r="AG18" t="s">
        <v>309</v>
      </c>
      <c r="AH18" t="s">
        <v>858</v>
      </c>
    </row>
    <row r="19" spans="1:34" x14ac:dyDescent="0.25">
      <c r="A19" s="557">
        <v>12.276999999999999</v>
      </c>
      <c r="B19" t="s">
        <v>578</v>
      </c>
      <c r="C19" t="s">
        <v>323</v>
      </c>
      <c r="D19" t="s">
        <v>426</v>
      </c>
      <c r="E19" t="s">
        <v>858</v>
      </c>
      <c r="F19" t="s">
        <v>858</v>
      </c>
      <c r="G19" t="s">
        <v>280</v>
      </c>
      <c r="H19" t="s">
        <v>865</v>
      </c>
      <c r="I19" t="s">
        <v>35</v>
      </c>
      <c r="J19" t="s">
        <v>858</v>
      </c>
      <c r="K19">
        <v>1</v>
      </c>
      <c r="L19">
        <v>8</v>
      </c>
      <c r="M19" t="s">
        <v>44</v>
      </c>
      <c r="N19">
        <v>1</v>
      </c>
      <c r="O19">
        <v>8</v>
      </c>
      <c r="P19">
        <v>1</v>
      </c>
      <c r="Q19" t="s">
        <v>32</v>
      </c>
      <c r="R19">
        <v>8</v>
      </c>
      <c r="S19">
        <v>8</v>
      </c>
      <c r="T19">
        <v>8</v>
      </c>
      <c r="U19" t="s">
        <v>858</v>
      </c>
      <c r="V19" t="s">
        <v>858</v>
      </c>
      <c r="W19" t="s">
        <v>858</v>
      </c>
      <c r="X19">
        <v>1</v>
      </c>
      <c r="Y19" t="s">
        <v>351</v>
      </c>
      <c r="Z19">
        <v>8</v>
      </c>
      <c r="AA19">
        <v>8</v>
      </c>
      <c r="AB19" t="s">
        <v>858</v>
      </c>
      <c r="AC19" t="s">
        <v>858</v>
      </c>
      <c r="AD19" t="s">
        <v>858</v>
      </c>
      <c r="AE19">
        <v>1</v>
      </c>
      <c r="AF19" t="s">
        <v>858</v>
      </c>
      <c r="AG19" t="s">
        <v>321</v>
      </c>
      <c r="AH19" t="s">
        <v>858</v>
      </c>
    </row>
    <row r="20" spans="1:34" x14ac:dyDescent="0.25">
      <c r="A20" s="557">
        <v>12.278</v>
      </c>
      <c r="B20" t="s">
        <v>579</v>
      </c>
      <c r="C20" t="s">
        <v>318</v>
      </c>
      <c r="D20" t="s">
        <v>420</v>
      </c>
      <c r="E20" t="s">
        <v>858</v>
      </c>
      <c r="F20" t="s">
        <v>858</v>
      </c>
      <c r="G20" t="s">
        <v>259</v>
      </c>
      <c r="H20" t="s">
        <v>352</v>
      </c>
      <c r="I20" t="s">
        <v>41</v>
      </c>
      <c r="J20" t="s">
        <v>322</v>
      </c>
      <c r="K20">
        <v>1</v>
      </c>
      <c r="L20">
        <v>1</v>
      </c>
      <c r="M20" t="s">
        <v>44</v>
      </c>
      <c r="N20">
        <v>1</v>
      </c>
      <c r="O20">
        <v>1</v>
      </c>
      <c r="P20">
        <v>1</v>
      </c>
      <c r="Q20" t="s">
        <v>43</v>
      </c>
      <c r="R20">
        <v>1</v>
      </c>
      <c r="S20">
        <v>1</v>
      </c>
      <c r="T20">
        <v>1</v>
      </c>
      <c r="U20" t="s">
        <v>858</v>
      </c>
      <c r="V20" t="s">
        <v>858</v>
      </c>
      <c r="W20" t="s">
        <v>858</v>
      </c>
      <c r="X20">
        <v>1</v>
      </c>
      <c r="Y20" t="s">
        <v>353</v>
      </c>
      <c r="Z20">
        <v>1</v>
      </c>
      <c r="AA20">
        <v>1</v>
      </c>
      <c r="AB20" t="s">
        <v>858</v>
      </c>
      <c r="AC20" t="s">
        <v>858</v>
      </c>
      <c r="AD20" t="s">
        <v>858</v>
      </c>
      <c r="AE20">
        <v>1</v>
      </c>
      <c r="AF20" t="s">
        <v>858</v>
      </c>
      <c r="AG20" t="s">
        <v>309</v>
      </c>
      <c r="AH20" t="s">
        <v>858</v>
      </c>
    </row>
    <row r="21" spans="1:34" x14ac:dyDescent="0.25">
      <c r="A21" s="557">
        <v>12.28</v>
      </c>
      <c r="B21" t="s">
        <v>580</v>
      </c>
      <c r="C21" t="s">
        <v>318</v>
      </c>
      <c r="D21" t="s">
        <v>420</v>
      </c>
      <c r="E21" t="s">
        <v>858</v>
      </c>
      <c r="F21" t="s">
        <v>858</v>
      </c>
      <c r="G21" t="s">
        <v>259</v>
      </c>
      <c r="H21" t="s">
        <v>354</v>
      </c>
      <c r="I21" t="s">
        <v>41</v>
      </c>
      <c r="J21" t="s">
        <v>322</v>
      </c>
      <c r="K21">
        <v>1</v>
      </c>
      <c r="L21">
        <v>1</v>
      </c>
      <c r="M21" t="s">
        <v>44</v>
      </c>
      <c r="N21">
        <v>1</v>
      </c>
      <c r="O21">
        <v>1</v>
      </c>
      <c r="P21">
        <v>1</v>
      </c>
      <c r="Q21" t="s">
        <v>43</v>
      </c>
      <c r="R21">
        <v>2</v>
      </c>
      <c r="S21">
        <v>2</v>
      </c>
      <c r="T21">
        <v>2</v>
      </c>
      <c r="U21" t="s">
        <v>858</v>
      </c>
      <c r="V21" t="s">
        <v>858</v>
      </c>
      <c r="W21" t="s">
        <v>858</v>
      </c>
      <c r="X21">
        <v>1</v>
      </c>
      <c r="Y21" t="s">
        <v>858</v>
      </c>
      <c r="Z21">
        <v>1</v>
      </c>
      <c r="AA21">
        <v>1</v>
      </c>
      <c r="AB21" t="s">
        <v>858</v>
      </c>
      <c r="AC21" t="s">
        <v>858</v>
      </c>
      <c r="AD21" t="s">
        <v>858</v>
      </c>
      <c r="AE21">
        <v>1</v>
      </c>
      <c r="AF21" t="s">
        <v>858</v>
      </c>
      <c r="AG21" t="s">
        <v>309</v>
      </c>
      <c r="AH21" t="s">
        <v>858</v>
      </c>
    </row>
    <row r="22" spans="1:34" x14ac:dyDescent="0.25">
      <c r="A22" s="557">
        <v>12.281000000000001</v>
      </c>
      <c r="B22" t="s">
        <v>581</v>
      </c>
      <c r="C22" t="s">
        <v>318</v>
      </c>
      <c r="D22" t="s">
        <v>420</v>
      </c>
      <c r="E22" t="s">
        <v>858</v>
      </c>
      <c r="F22" t="s">
        <v>858</v>
      </c>
      <c r="G22" t="s">
        <v>259</v>
      </c>
      <c r="H22" t="s">
        <v>355</v>
      </c>
      <c r="I22" t="s">
        <v>41</v>
      </c>
      <c r="J22" t="s">
        <v>322</v>
      </c>
      <c r="K22">
        <v>1</v>
      </c>
      <c r="L22">
        <v>1</v>
      </c>
      <c r="M22" t="s">
        <v>44</v>
      </c>
      <c r="N22">
        <v>1</v>
      </c>
      <c r="O22">
        <v>1</v>
      </c>
      <c r="P22">
        <v>1</v>
      </c>
      <c r="Q22" t="s">
        <v>43</v>
      </c>
      <c r="R22">
        <v>1</v>
      </c>
      <c r="S22">
        <v>1</v>
      </c>
      <c r="T22">
        <v>1</v>
      </c>
      <c r="U22" t="s">
        <v>858</v>
      </c>
      <c r="V22" t="s">
        <v>858</v>
      </c>
      <c r="W22" t="s">
        <v>858</v>
      </c>
      <c r="X22">
        <v>1</v>
      </c>
      <c r="Y22" t="s">
        <v>858</v>
      </c>
      <c r="Z22">
        <v>1</v>
      </c>
      <c r="AA22">
        <v>1</v>
      </c>
      <c r="AB22" t="s">
        <v>858</v>
      </c>
      <c r="AC22" t="s">
        <v>858</v>
      </c>
      <c r="AD22" t="s">
        <v>858</v>
      </c>
      <c r="AE22">
        <v>1</v>
      </c>
      <c r="AF22" t="s">
        <v>858</v>
      </c>
      <c r="AG22" t="s">
        <v>309</v>
      </c>
      <c r="AH22" t="s">
        <v>858</v>
      </c>
    </row>
    <row r="23" spans="1:34" x14ac:dyDescent="0.25">
      <c r="A23" s="557">
        <v>12.282</v>
      </c>
      <c r="B23" t="s">
        <v>582</v>
      </c>
      <c r="C23" t="s">
        <v>315</v>
      </c>
      <c r="D23" t="s">
        <v>423</v>
      </c>
      <c r="E23" t="s">
        <v>858</v>
      </c>
      <c r="F23" t="s">
        <v>858</v>
      </c>
      <c r="G23" t="s">
        <v>259</v>
      </c>
      <c r="H23" t="s">
        <v>343</v>
      </c>
      <c r="I23" t="s">
        <v>35</v>
      </c>
      <c r="J23" t="s">
        <v>858</v>
      </c>
      <c r="K23">
        <v>1</v>
      </c>
      <c r="L23">
        <v>1</v>
      </c>
      <c r="M23" t="s">
        <v>44</v>
      </c>
      <c r="N23">
        <v>1</v>
      </c>
      <c r="O23">
        <v>1</v>
      </c>
      <c r="P23">
        <v>1</v>
      </c>
      <c r="Q23" t="s">
        <v>32</v>
      </c>
      <c r="R23">
        <v>1</v>
      </c>
      <c r="S23">
        <v>1</v>
      </c>
      <c r="T23">
        <v>1</v>
      </c>
      <c r="U23" t="s">
        <v>858</v>
      </c>
      <c r="V23" t="s">
        <v>858</v>
      </c>
      <c r="W23" t="s">
        <v>858</v>
      </c>
      <c r="X23">
        <v>1</v>
      </c>
      <c r="Y23" t="s">
        <v>858</v>
      </c>
      <c r="Z23">
        <v>0</v>
      </c>
      <c r="AA23" t="s">
        <v>858</v>
      </c>
      <c r="AB23" t="s">
        <v>858</v>
      </c>
      <c r="AC23" t="s">
        <v>858</v>
      </c>
      <c r="AD23" t="s">
        <v>858</v>
      </c>
      <c r="AE23">
        <v>0</v>
      </c>
      <c r="AF23" t="s">
        <v>858</v>
      </c>
      <c r="AG23" t="s">
        <v>312</v>
      </c>
      <c r="AH23" t="s">
        <v>858</v>
      </c>
    </row>
    <row r="24" spans="1:34" x14ac:dyDescent="0.25">
      <c r="A24" s="557">
        <v>12.292</v>
      </c>
      <c r="B24" t="s">
        <v>588</v>
      </c>
      <c r="C24" t="s">
        <v>313</v>
      </c>
      <c r="D24" t="s">
        <v>423</v>
      </c>
      <c r="E24" t="s">
        <v>858</v>
      </c>
      <c r="F24" t="s">
        <v>858</v>
      </c>
      <c r="G24" t="s">
        <v>259</v>
      </c>
      <c r="H24" t="s">
        <v>866</v>
      </c>
      <c r="I24" t="s">
        <v>41</v>
      </c>
      <c r="J24" t="s">
        <v>858</v>
      </c>
      <c r="K24">
        <v>1</v>
      </c>
      <c r="L24">
        <v>2</v>
      </c>
      <c r="M24" t="s">
        <v>44</v>
      </c>
      <c r="N24">
        <v>1</v>
      </c>
      <c r="O24">
        <v>2</v>
      </c>
      <c r="P24">
        <v>1</v>
      </c>
      <c r="Q24" t="s">
        <v>32</v>
      </c>
      <c r="R24">
        <v>2</v>
      </c>
      <c r="S24">
        <v>2</v>
      </c>
      <c r="T24">
        <v>1</v>
      </c>
      <c r="U24" t="s">
        <v>858</v>
      </c>
      <c r="V24">
        <v>1</v>
      </c>
      <c r="W24" t="s">
        <v>858</v>
      </c>
      <c r="X24">
        <v>0.5</v>
      </c>
      <c r="Y24" t="s">
        <v>357</v>
      </c>
      <c r="Z24">
        <v>1</v>
      </c>
      <c r="AA24">
        <v>1</v>
      </c>
      <c r="AB24" t="s">
        <v>858</v>
      </c>
      <c r="AC24" t="s">
        <v>858</v>
      </c>
      <c r="AD24" t="s">
        <v>858</v>
      </c>
      <c r="AE24">
        <v>0.5</v>
      </c>
      <c r="AF24" t="s">
        <v>858</v>
      </c>
      <c r="AG24" t="s">
        <v>309</v>
      </c>
      <c r="AH24" t="s">
        <v>858</v>
      </c>
    </row>
    <row r="25" spans="1:34" x14ac:dyDescent="0.25">
      <c r="A25" s="557">
        <v>12.294</v>
      </c>
      <c r="B25" t="s">
        <v>589</v>
      </c>
      <c r="C25" t="s">
        <v>311</v>
      </c>
      <c r="D25" t="s">
        <v>427</v>
      </c>
      <c r="E25" t="s">
        <v>858</v>
      </c>
      <c r="F25" t="s">
        <v>858</v>
      </c>
      <c r="G25" t="s">
        <v>259</v>
      </c>
      <c r="H25" t="s">
        <v>867</v>
      </c>
      <c r="I25" t="s">
        <v>41</v>
      </c>
      <c r="J25" t="s">
        <v>858</v>
      </c>
      <c r="K25">
        <v>1</v>
      </c>
      <c r="L25">
        <v>2</v>
      </c>
      <c r="M25" t="s">
        <v>44</v>
      </c>
      <c r="N25">
        <v>1</v>
      </c>
      <c r="O25">
        <v>2</v>
      </c>
      <c r="P25">
        <v>1</v>
      </c>
      <c r="Q25" t="s">
        <v>32</v>
      </c>
      <c r="R25">
        <v>2</v>
      </c>
      <c r="S25">
        <v>2</v>
      </c>
      <c r="T25">
        <v>2</v>
      </c>
      <c r="U25" t="s">
        <v>858</v>
      </c>
      <c r="V25" t="s">
        <v>858</v>
      </c>
      <c r="W25" t="s">
        <v>858</v>
      </c>
      <c r="X25">
        <v>1</v>
      </c>
      <c r="Y25" t="s">
        <v>858</v>
      </c>
      <c r="Z25">
        <v>0</v>
      </c>
      <c r="AA25" t="s">
        <v>858</v>
      </c>
      <c r="AB25" t="s">
        <v>858</v>
      </c>
      <c r="AC25" t="s">
        <v>858</v>
      </c>
      <c r="AD25" t="s">
        <v>858</v>
      </c>
      <c r="AE25">
        <v>0</v>
      </c>
      <c r="AF25" t="s">
        <v>858</v>
      </c>
      <c r="AG25" t="s">
        <v>310</v>
      </c>
      <c r="AH25" t="s">
        <v>858</v>
      </c>
    </row>
    <row r="26" spans="1:34" x14ac:dyDescent="0.25">
      <c r="A26" s="557">
        <v>12.301</v>
      </c>
      <c r="B26" t="s">
        <v>593</v>
      </c>
      <c r="C26" t="s">
        <v>331</v>
      </c>
      <c r="D26" t="s">
        <v>421</v>
      </c>
      <c r="E26" t="s">
        <v>858</v>
      </c>
      <c r="F26" t="s">
        <v>858</v>
      </c>
      <c r="G26" t="s">
        <v>280</v>
      </c>
      <c r="H26" t="s">
        <v>851</v>
      </c>
      <c r="I26" t="s">
        <v>41</v>
      </c>
      <c r="J26" t="s">
        <v>858</v>
      </c>
      <c r="K26">
        <v>1</v>
      </c>
      <c r="L26">
        <v>1</v>
      </c>
      <c r="M26" t="s">
        <v>44</v>
      </c>
      <c r="N26">
        <v>1</v>
      </c>
      <c r="O26">
        <v>0</v>
      </c>
      <c r="P26">
        <v>0</v>
      </c>
      <c r="Q26" t="s">
        <v>32</v>
      </c>
      <c r="R26">
        <v>1</v>
      </c>
      <c r="S26">
        <v>0</v>
      </c>
      <c r="T26" t="s">
        <v>858</v>
      </c>
      <c r="U26" t="s">
        <v>858</v>
      </c>
      <c r="V26" t="s">
        <v>858</v>
      </c>
      <c r="W26" t="s">
        <v>858</v>
      </c>
      <c r="X26">
        <v>0</v>
      </c>
      <c r="Y26" t="s">
        <v>858</v>
      </c>
      <c r="Z26">
        <v>0</v>
      </c>
      <c r="AA26" t="s">
        <v>858</v>
      </c>
      <c r="AB26" t="s">
        <v>858</v>
      </c>
      <c r="AC26" t="s">
        <v>858</v>
      </c>
      <c r="AD26" t="s">
        <v>858</v>
      </c>
      <c r="AE26">
        <v>0</v>
      </c>
      <c r="AF26" t="s">
        <v>858</v>
      </c>
      <c r="AG26" t="s">
        <v>277</v>
      </c>
      <c r="AH26" t="s">
        <v>858</v>
      </c>
    </row>
    <row r="27" spans="1:34" x14ac:dyDescent="0.25">
      <c r="A27" s="557">
        <v>12.31</v>
      </c>
      <c r="B27" t="s">
        <v>596</v>
      </c>
      <c r="C27" t="s">
        <v>318</v>
      </c>
      <c r="D27" t="s">
        <v>420</v>
      </c>
      <c r="E27" t="s">
        <v>858</v>
      </c>
      <c r="F27" t="s">
        <v>858</v>
      </c>
      <c r="G27" t="s">
        <v>259</v>
      </c>
      <c r="H27" t="s">
        <v>846</v>
      </c>
      <c r="I27" t="s">
        <v>35</v>
      </c>
      <c r="J27" t="s">
        <v>858</v>
      </c>
      <c r="K27">
        <v>1</v>
      </c>
      <c r="L27">
        <v>1</v>
      </c>
      <c r="M27" t="s">
        <v>44</v>
      </c>
      <c r="N27">
        <v>1</v>
      </c>
      <c r="O27">
        <v>1</v>
      </c>
      <c r="P27">
        <v>1</v>
      </c>
      <c r="Q27" t="s">
        <v>32</v>
      </c>
      <c r="R27">
        <v>1</v>
      </c>
      <c r="S27">
        <v>1</v>
      </c>
      <c r="T27">
        <v>1</v>
      </c>
      <c r="U27" t="s">
        <v>858</v>
      </c>
      <c r="V27" t="s">
        <v>858</v>
      </c>
      <c r="W27" t="s">
        <v>858</v>
      </c>
      <c r="X27">
        <v>1</v>
      </c>
      <c r="Y27" t="s">
        <v>858</v>
      </c>
      <c r="Z27">
        <v>0</v>
      </c>
      <c r="AA27" t="s">
        <v>858</v>
      </c>
      <c r="AB27" t="s">
        <v>858</v>
      </c>
      <c r="AC27" t="s">
        <v>858</v>
      </c>
      <c r="AD27" t="s">
        <v>858</v>
      </c>
      <c r="AE27">
        <v>0</v>
      </c>
      <c r="AF27" t="s">
        <v>858</v>
      </c>
      <c r="AG27" t="s">
        <v>319</v>
      </c>
      <c r="AH27" t="s">
        <v>858</v>
      </c>
    </row>
    <row r="28" spans="1:34" x14ac:dyDescent="0.25">
      <c r="A28" s="557">
        <v>12.311</v>
      </c>
      <c r="B28" t="s">
        <v>597</v>
      </c>
      <c r="C28" t="s">
        <v>323</v>
      </c>
      <c r="D28" t="s">
        <v>426</v>
      </c>
      <c r="E28" t="s">
        <v>858</v>
      </c>
      <c r="F28" t="s">
        <v>858</v>
      </c>
      <c r="G28" t="s">
        <v>259</v>
      </c>
      <c r="H28" t="s">
        <v>358</v>
      </c>
      <c r="I28" t="s">
        <v>35</v>
      </c>
      <c r="J28" t="s">
        <v>858</v>
      </c>
      <c r="K28">
        <v>1</v>
      </c>
      <c r="L28">
        <v>1</v>
      </c>
      <c r="M28" t="s">
        <v>44</v>
      </c>
      <c r="N28">
        <v>1</v>
      </c>
      <c r="O28">
        <v>1</v>
      </c>
      <c r="P28">
        <v>1</v>
      </c>
      <c r="Q28" t="s">
        <v>43</v>
      </c>
      <c r="R28">
        <v>1</v>
      </c>
      <c r="S28">
        <v>1</v>
      </c>
      <c r="T28">
        <v>1</v>
      </c>
      <c r="U28" t="s">
        <v>858</v>
      </c>
      <c r="V28" t="s">
        <v>858</v>
      </c>
      <c r="W28" t="s">
        <v>858</v>
      </c>
      <c r="X28">
        <v>1</v>
      </c>
      <c r="Y28" t="s">
        <v>359</v>
      </c>
      <c r="Z28">
        <v>1</v>
      </c>
      <c r="AA28">
        <v>1</v>
      </c>
      <c r="AB28" t="s">
        <v>858</v>
      </c>
      <c r="AC28" t="s">
        <v>858</v>
      </c>
      <c r="AD28" t="s">
        <v>858</v>
      </c>
      <c r="AE28">
        <v>1</v>
      </c>
      <c r="AF28" t="s">
        <v>858</v>
      </c>
      <c r="AG28" t="s">
        <v>324</v>
      </c>
      <c r="AH28" t="s">
        <v>858</v>
      </c>
    </row>
    <row r="29" spans="1:34" x14ac:dyDescent="0.25">
      <c r="A29" s="557">
        <v>12.319000000000001</v>
      </c>
      <c r="B29" t="s">
        <v>600</v>
      </c>
      <c r="C29" t="s">
        <v>325</v>
      </c>
      <c r="D29" t="s">
        <v>420</v>
      </c>
      <c r="E29" t="s">
        <v>858</v>
      </c>
      <c r="F29" t="s">
        <v>858</v>
      </c>
      <c r="G29" t="s">
        <v>259</v>
      </c>
      <c r="H29" t="s">
        <v>361</v>
      </c>
      <c r="I29" t="s">
        <v>41</v>
      </c>
      <c r="J29" t="s">
        <v>858</v>
      </c>
      <c r="K29">
        <v>1</v>
      </c>
      <c r="L29">
        <v>1</v>
      </c>
      <c r="M29" t="s">
        <v>44</v>
      </c>
      <c r="N29">
        <v>1</v>
      </c>
      <c r="O29">
        <v>1</v>
      </c>
      <c r="P29">
        <v>1</v>
      </c>
      <c r="Q29" t="s">
        <v>32</v>
      </c>
      <c r="R29">
        <v>1</v>
      </c>
      <c r="S29">
        <v>0</v>
      </c>
      <c r="T29" t="s">
        <v>858</v>
      </c>
      <c r="U29" t="s">
        <v>858</v>
      </c>
      <c r="V29" t="s">
        <v>858</v>
      </c>
      <c r="W29" t="s">
        <v>858</v>
      </c>
      <c r="X29">
        <v>0</v>
      </c>
      <c r="Y29" t="s">
        <v>858</v>
      </c>
      <c r="Z29">
        <v>0</v>
      </c>
      <c r="AA29" t="s">
        <v>858</v>
      </c>
      <c r="AB29" t="s">
        <v>858</v>
      </c>
      <c r="AC29" t="s">
        <v>858</v>
      </c>
      <c r="AD29" t="s">
        <v>858</v>
      </c>
      <c r="AE29">
        <v>0</v>
      </c>
      <c r="AF29" t="s">
        <v>858</v>
      </c>
      <c r="AG29" t="s">
        <v>309</v>
      </c>
      <c r="AH29" t="s">
        <v>858</v>
      </c>
    </row>
    <row r="30" spans="1:34" x14ac:dyDescent="0.25">
      <c r="A30" s="557">
        <v>12.32</v>
      </c>
      <c r="B30" t="s">
        <v>601</v>
      </c>
      <c r="C30" t="s">
        <v>333</v>
      </c>
      <c r="D30" t="s">
        <v>420</v>
      </c>
      <c r="E30" t="s">
        <v>858</v>
      </c>
      <c r="F30" t="s">
        <v>858</v>
      </c>
      <c r="G30" t="s">
        <v>259</v>
      </c>
      <c r="H30" t="s">
        <v>362</v>
      </c>
      <c r="I30" t="s">
        <v>35</v>
      </c>
      <c r="J30" t="s">
        <v>858</v>
      </c>
      <c r="K30">
        <v>1</v>
      </c>
      <c r="L30">
        <v>1</v>
      </c>
      <c r="M30" t="s">
        <v>44</v>
      </c>
      <c r="N30">
        <v>1</v>
      </c>
      <c r="O30">
        <v>1</v>
      </c>
      <c r="P30">
        <v>1</v>
      </c>
      <c r="Q30" t="s">
        <v>32</v>
      </c>
      <c r="R30">
        <v>1</v>
      </c>
      <c r="S30">
        <v>0</v>
      </c>
      <c r="T30" t="s">
        <v>858</v>
      </c>
      <c r="U30" t="s">
        <v>858</v>
      </c>
      <c r="V30" t="s">
        <v>858</v>
      </c>
      <c r="W30" t="s">
        <v>858</v>
      </c>
      <c r="X30">
        <v>0</v>
      </c>
      <c r="Y30" t="s">
        <v>858</v>
      </c>
      <c r="Z30">
        <v>0</v>
      </c>
      <c r="AA30" t="s">
        <v>858</v>
      </c>
      <c r="AB30" t="s">
        <v>858</v>
      </c>
      <c r="AC30" t="s">
        <v>858</v>
      </c>
      <c r="AD30" t="s">
        <v>858</v>
      </c>
      <c r="AE30">
        <v>0</v>
      </c>
      <c r="AF30" t="s">
        <v>858</v>
      </c>
      <c r="AG30" t="s">
        <v>286</v>
      </c>
      <c r="AH30" t="s">
        <v>858</v>
      </c>
    </row>
    <row r="31" spans="1:34" x14ac:dyDescent="0.25">
      <c r="A31" s="557">
        <v>12.333</v>
      </c>
      <c r="B31" t="s">
        <v>607</v>
      </c>
      <c r="C31" t="s">
        <v>348</v>
      </c>
      <c r="D31" t="s">
        <v>422</v>
      </c>
      <c r="E31" t="s">
        <v>858</v>
      </c>
      <c r="F31" t="s">
        <v>858</v>
      </c>
      <c r="G31" t="s">
        <v>280</v>
      </c>
      <c r="H31" t="s">
        <v>862</v>
      </c>
      <c r="I31" t="s">
        <v>35</v>
      </c>
      <c r="J31" t="s">
        <v>858</v>
      </c>
      <c r="K31">
        <v>1</v>
      </c>
      <c r="L31">
        <v>4</v>
      </c>
      <c r="M31" t="s">
        <v>44</v>
      </c>
      <c r="N31">
        <v>1</v>
      </c>
      <c r="O31">
        <v>4</v>
      </c>
      <c r="P31">
        <v>1</v>
      </c>
      <c r="Q31" t="s">
        <v>32</v>
      </c>
      <c r="R31">
        <v>4</v>
      </c>
      <c r="S31">
        <v>4</v>
      </c>
      <c r="T31">
        <v>4</v>
      </c>
      <c r="U31" t="s">
        <v>858</v>
      </c>
      <c r="V31" t="s">
        <v>858</v>
      </c>
      <c r="W31" t="s">
        <v>858</v>
      </c>
      <c r="X31">
        <v>1</v>
      </c>
      <c r="Y31" t="s">
        <v>858</v>
      </c>
      <c r="Z31">
        <v>0</v>
      </c>
      <c r="AA31" t="s">
        <v>858</v>
      </c>
      <c r="AB31" t="s">
        <v>858</v>
      </c>
      <c r="AC31" t="s">
        <v>858</v>
      </c>
      <c r="AD31" t="s">
        <v>858</v>
      </c>
      <c r="AE31">
        <v>0</v>
      </c>
      <c r="AF31" t="s">
        <v>858</v>
      </c>
      <c r="AG31" t="s">
        <v>286</v>
      </c>
      <c r="AH31" t="s">
        <v>858</v>
      </c>
    </row>
    <row r="32" spans="1:34" x14ac:dyDescent="0.25">
      <c r="A32" s="557">
        <v>12.334</v>
      </c>
      <c r="B32" t="s">
        <v>608</v>
      </c>
      <c r="C32" t="s">
        <v>348</v>
      </c>
      <c r="D32" t="s">
        <v>421</v>
      </c>
      <c r="E32" t="s">
        <v>858</v>
      </c>
      <c r="F32" t="s">
        <v>858</v>
      </c>
      <c r="G32" t="s">
        <v>259</v>
      </c>
      <c r="H32" t="s">
        <v>845</v>
      </c>
      <c r="I32" t="s">
        <v>35</v>
      </c>
      <c r="J32" t="s">
        <v>858</v>
      </c>
      <c r="K32">
        <v>1</v>
      </c>
      <c r="L32">
        <v>2</v>
      </c>
      <c r="M32" t="s">
        <v>44</v>
      </c>
      <c r="N32">
        <v>1</v>
      </c>
      <c r="O32">
        <v>0</v>
      </c>
      <c r="P32">
        <v>0</v>
      </c>
      <c r="Q32" t="s">
        <v>32</v>
      </c>
      <c r="R32">
        <v>2</v>
      </c>
      <c r="S32">
        <v>0</v>
      </c>
      <c r="T32" t="s">
        <v>858</v>
      </c>
      <c r="U32" t="s">
        <v>858</v>
      </c>
      <c r="V32" t="s">
        <v>858</v>
      </c>
      <c r="W32" t="s">
        <v>858</v>
      </c>
      <c r="X32">
        <v>0</v>
      </c>
      <c r="Y32" t="s">
        <v>858</v>
      </c>
      <c r="Z32">
        <v>0</v>
      </c>
      <c r="AA32" t="s">
        <v>858</v>
      </c>
      <c r="AB32" t="s">
        <v>858</v>
      </c>
      <c r="AC32" t="s">
        <v>858</v>
      </c>
      <c r="AD32" t="s">
        <v>858</v>
      </c>
      <c r="AE32">
        <v>0</v>
      </c>
      <c r="AF32" t="s">
        <v>858</v>
      </c>
      <c r="AG32" t="s">
        <v>310</v>
      </c>
      <c r="AH32" t="s">
        <v>858</v>
      </c>
    </row>
    <row r="33" spans="1:34" x14ac:dyDescent="0.25">
      <c r="A33" s="557">
        <v>12.339</v>
      </c>
      <c r="B33" t="s">
        <v>610</v>
      </c>
      <c r="C33" t="s">
        <v>363</v>
      </c>
      <c r="D33" t="s">
        <v>421</v>
      </c>
      <c r="E33" t="s">
        <v>858</v>
      </c>
      <c r="F33" t="s">
        <v>858</v>
      </c>
      <c r="G33" t="s">
        <v>259</v>
      </c>
      <c r="H33" t="s">
        <v>840</v>
      </c>
      <c r="I33" t="s">
        <v>41</v>
      </c>
      <c r="J33" t="s">
        <v>841</v>
      </c>
      <c r="K33">
        <v>1</v>
      </c>
      <c r="L33">
        <v>1</v>
      </c>
      <c r="M33" t="s">
        <v>44</v>
      </c>
      <c r="N33">
        <v>1</v>
      </c>
      <c r="O33">
        <v>1</v>
      </c>
      <c r="P33">
        <v>1</v>
      </c>
      <c r="Q33" t="s">
        <v>50</v>
      </c>
      <c r="R33">
        <v>1</v>
      </c>
      <c r="S33">
        <v>1</v>
      </c>
      <c r="T33">
        <v>1</v>
      </c>
      <c r="U33" t="s">
        <v>858</v>
      </c>
      <c r="V33" t="s">
        <v>858</v>
      </c>
      <c r="W33" t="s">
        <v>858</v>
      </c>
      <c r="X33">
        <v>1</v>
      </c>
      <c r="Y33" t="s">
        <v>858</v>
      </c>
      <c r="Z33">
        <v>1</v>
      </c>
      <c r="AA33">
        <v>1</v>
      </c>
      <c r="AB33" t="s">
        <v>858</v>
      </c>
      <c r="AC33" t="s">
        <v>858</v>
      </c>
      <c r="AD33" t="s">
        <v>858</v>
      </c>
      <c r="AE33">
        <v>1</v>
      </c>
      <c r="AF33" t="s">
        <v>858</v>
      </c>
      <c r="AG33" t="s">
        <v>309</v>
      </c>
      <c r="AH33" t="s">
        <v>858</v>
      </c>
    </row>
    <row r="34" spans="1:34" x14ac:dyDescent="0.25">
      <c r="A34" s="557">
        <v>12.343</v>
      </c>
      <c r="B34" t="s">
        <v>613</v>
      </c>
      <c r="C34" t="s">
        <v>313</v>
      </c>
      <c r="D34" t="s">
        <v>421</v>
      </c>
      <c r="E34" t="s">
        <v>858</v>
      </c>
      <c r="F34" t="s">
        <v>858</v>
      </c>
      <c r="G34" t="s">
        <v>259</v>
      </c>
      <c r="H34" t="s">
        <v>868</v>
      </c>
      <c r="I34" t="s">
        <v>41</v>
      </c>
      <c r="J34" t="s">
        <v>858</v>
      </c>
      <c r="K34">
        <v>1</v>
      </c>
      <c r="L34">
        <v>1</v>
      </c>
      <c r="M34" t="s">
        <v>44</v>
      </c>
      <c r="N34">
        <v>1</v>
      </c>
      <c r="O34">
        <v>1</v>
      </c>
      <c r="P34">
        <v>1</v>
      </c>
      <c r="Q34" t="s">
        <v>32</v>
      </c>
      <c r="R34">
        <v>1</v>
      </c>
      <c r="S34">
        <v>1</v>
      </c>
      <c r="T34" t="s">
        <v>858</v>
      </c>
      <c r="U34" t="s">
        <v>858</v>
      </c>
      <c r="V34">
        <v>1</v>
      </c>
      <c r="W34" t="s">
        <v>858</v>
      </c>
      <c r="X34">
        <v>0</v>
      </c>
      <c r="Y34" t="s">
        <v>858</v>
      </c>
      <c r="Z34">
        <v>0</v>
      </c>
      <c r="AA34" t="s">
        <v>858</v>
      </c>
      <c r="AB34" t="s">
        <v>858</v>
      </c>
      <c r="AC34" t="s">
        <v>858</v>
      </c>
      <c r="AD34" t="s">
        <v>858</v>
      </c>
      <c r="AE34">
        <v>0</v>
      </c>
      <c r="AF34" t="s">
        <v>858</v>
      </c>
      <c r="AG34" t="s">
        <v>309</v>
      </c>
      <c r="AH34" t="s">
        <v>858</v>
      </c>
    </row>
    <row r="35" spans="1:34" x14ac:dyDescent="0.25">
      <c r="A35" s="557">
        <v>12.343999999999999</v>
      </c>
      <c r="B35" t="s">
        <v>614</v>
      </c>
      <c r="C35" t="s">
        <v>333</v>
      </c>
      <c r="D35" t="s">
        <v>420</v>
      </c>
      <c r="E35" t="s">
        <v>858</v>
      </c>
      <c r="F35" t="s">
        <v>858</v>
      </c>
      <c r="G35" t="s">
        <v>259</v>
      </c>
      <c r="H35" t="s">
        <v>364</v>
      </c>
      <c r="I35" t="s">
        <v>41</v>
      </c>
      <c r="J35" t="s">
        <v>858</v>
      </c>
      <c r="K35">
        <v>1</v>
      </c>
      <c r="L35">
        <v>2</v>
      </c>
      <c r="M35" t="s">
        <v>44</v>
      </c>
      <c r="N35">
        <v>1</v>
      </c>
      <c r="O35">
        <v>2</v>
      </c>
      <c r="P35">
        <v>1</v>
      </c>
      <c r="Q35" t="s">
        <v>32</v>
      </c>
      <c r="R35">
        <v>1</v>
      </c>
      <c r="S35">
        <v>0</v>
      </c>
      <c r="T35" t="s">
        <v>858</v>
      </c>
      <c r="U35" t="s">
        <v>858</v>
      </c>
      <c r="V35" t="s">
        <v>858</v>
      </c>
      <c r="W35" t="s">
        <v>858</v>
      </c>
      <c r="X35">
        <v>0</v>
      </c>
      <c r="Y35" t="s">
        <v>858</v>
      </c>
      <c r="Z35">
        <v>0</v>
      </c>
      <c r="AA35" t="s">
        <v>858</v>
      </c>
      <c r="AB35" t="s">
        <v>858</v>
      </c>
      <c r="AC35" t="s">
        <v>858</v>
      </c>
      <c r="AD35" t="s">
        <v>858</v>
      </c>
      <c r="AE35">
        <v>0</v>
      </c>
      <c r="AF35" t="s">
        <v>858</v>
      </c>
      <c r="AG35" t="s">
        <v>286</v>
      </c>
      <c r="AH35" t="s">
        <v>858</v>
      </c>
    </row>
    <row r="36" spans="1:34" x14ac:dyDescent="0.25">
      <c r="A36" s="557">
        <v>12.349</v>
      </c>
      <c r="B36" t="s">
        <v>615</v>
      </c>
      <c r="C36" t="s">
        <v>313</v>
      </c>
      <c r="D36" t="s">
        <v>422</v>
      </c>
      <c r="E36" t="s">
        <v>858</v>
      </c>
      <c r="F36" t="s">
        <v>858</v>
      </c>
      <c r="G36" t="s">
        <v>280</v>
      </c>
      <c r="H36" t="s">
        <v>869</v>
      </c>
      <c r="I36" t="s">
        <v>41</v>
      </c>
      <c r="J36" t="s">
        <v>858</v>
      </c>
      <c r="K36">
        <v>1</v>
      </c>
      <c r="L36">
        <v>2</v>
      </c>
      <c r="M36" t="s">
        <v>44</v>
      </c>
      <c r="N36">
        <v>1</v>
      </c>
      <c r="O36">
        <v>1.5</v>
      </c>
      <c r="P36">
        <v>0.75</v>
      </c>
      <c r="Q36" t="s">
        <v>32</v>
      </c>
      <c r="R36">
        <v>1</v>
      </c>
      <c r="S36">
        <v>1</v>
      </c>
      <c r="T36" t="s">
        <v>858</v>
      </c>
      <c r="U36" t="s">
        <v>858</v>
      </c>
      <c r="V36">
        <v>1</v>
      </c>
      <c r="W36" t="s">
        <v>858</v>
      </c>
      <c r="X36">
        <v>0</v>
      </c>
      <c r="Y36" t="s">
        <v>858</v>
      </c>
      <c r="Z36">
        <v>0</v>
      </c>
      <c r="AA36" t="s">
        <v>858</v>
      </c>
      <c r="AB36" t="s">
        <v>858</v>
      </c>
      <c r="AC36" t="s">
        <v>858</v>
      </c>
      <c r="AD36" t="s">
        <v>858</v>
      </c>
      <c r="AE36">
        <v>0</v>
      </c>
      <c r="AF36" t="s">
        <v>858</v>
      </c>
      <c r="AG36" t="s">
        <v>321</v>
      </c>
      <c r="AH36" t="s">
        <v>858</v>
      </c>
    </row>
    <row r="37" spans="1:34" x14ac:dyDescent="0.25">
      <c r="A37" s="557">
        <v>12.356</v>
      </c>
      <c r="B37" t="s">
        <v>616</v>
      </c>
      <c r="C37" t="s">
        <v>313</v>
      </c>
      <c r="D37" t="s">
        <v>422</v>
      </c>
      <c r="E37" t="s">
        <v>858</v>
      </c>
      <c r="F37" t="s">
        <v>858</v>
      </c>
      <c r="G37" t="s">
        <v>259</v>
      </c>
      <c r="H37" t="s">
        <v>365</v>
      </c>
      <c r="I37" t="s">
        <v>41</v>
      </c>
      <c r="J37" t="s">
        <v>858</v>
      </c>
      <c r="K37">
        <v>1</v>
      </c>
      <c r="L37">
        <v>1</v>
      </c>
      <c r="M37" t="s">
        <v>44</v>
      </c>
      <c r="N37">
        <v>1</v>
      </c>
      <c r="O37">
        <v>1</v>
      </c>
      <c r="P37">
        <v>1</v>
      </c>
      <c r="Q37" t="s">
        <v>43</v>
      </c>
      <c r="R37">
        <v>1</v>
      </c>
      <c r="S37">
        <v>1</v>
      </c>
      <c r="T37">
        <v>1</v>
      </c>
      <c r="U37" t="s">
        <v>858</v>
      </c>
      <c r="V37" t="s">
        <v>858</v>
      </c>
      <c r="W37" t="s">
        <v>858</v>
      </c>
      <c r="X37">
        <v>1</v>
      </c>
      <c r="Y37" t="s">
        <v>366</v>
      </c>
      <c r="Z37">
        <v>0</v>
      </c>
      <c r="AA37" t="s">
        <v>858</v>
      </c>
      <c r="AB37" t="s">
        <v>858</v>
      </c>
      <c r="AC37" t="s">
        <v>858</v>
      </c>
      <c r="AD37" t="s">
        <v>858</v>
      </c>
      <c r="AE37">
        <v>0</v>
      </c>
      <c r="AF37" t="s">
        <v>858</v>
      </c>
      <c r="AG37" t="s">
        <v>309</v>
      </c>
      <c r="AH37" t="s">
        <v>858</v>
      </c>
    </row>
    <row r="38" spans="1:34" x14ac:dyDescent="0.25">
      <c r="A38" s="557">
        <v>12.356999999999999</v>
      </c>
      <c r="B38" t="s">
        <v>617</v>
      </c>
      <c r="C38" t="s">
        <v>308</v>
      </c>
      <c r="D38" t="s">
        <v>422</v>
      </c>
      <c r="E38" t="s">
        <v>858</v>
      </c>
      <c r="F38" t="s">
        <v>858</v>
      </c>
      <c r="G38" t="s">
        <v>259</v>
      </c>
      <c r="H38" t="s">
        <v>870</v>
      </c>
      <c r="I38" t="s">
        <v>41</v>
      </c>
      <c r="J38" t="s">
        <v>858</v>
      </c>
      <c r="K38">
        <v>1</v>
      </c>
      <c r="L38">
        <v>1</v>
      </c>
      <c r="M38" t="s">
        <v>44</v>
      </c>
      <c r="N38">
        <v>1</v>
      </c>
      <c r="O38">
        <v>1</v>
      </c>
      <c r="P38">
        <v>1</v>
      </c>
      <c r="Q38" t="s">
        <v>32</v>
      </c>
      <c r="R38">
        <v>1</v>
      </c>
      <c r="S38">
        <v>1</v>
      </c>
      <c r="T38">
        <v>1</v>
      </c>
      <c r="U38" t="s">
        <v>858</v>
      </c>
      <c r="V38" t="s">
        <v>858</v>
      </c>
      <c r="W38" t="s">
        <v>858</v>
      </c>
      <c r="X38">
        <v>1</v>
      </c>
      <c r="Y38" t="s">
        <v>858</v>
      </c>
      <c r="Z38">
        <v>0</v>
      </c>
      <c r="AA38" t="s">
        <v>858</v>
      </c>
      <c r="AB38" t="s">
        <v>858</v>
      </c>
      <c r="AC38" t="s">
        <v>858</v>
      </c>
      <c r="AD38" t="s">
        <v>858</v>
      </c>
      <c r="AE38">
        <v>0</v>
      </c>
      <c r="AF38" t="s">
        <v>858</v>
      </c>
      <c r="AG38" t="s">
        <v>309</v>
      </c>
      <c r="AH38" t="s">
        <v>858</v>
      </c>
    </row>
    <row r="39" spans="1:34" x14ac:dyDescent="0.25">
      <c r="A39" s="557">
        <v>12.358000000000001</v>
      </c>
      <c r="B39" t="s">
        <v>618</v>
      </c>
      <c r="C39" t="s">
        <v>313</v>
      </c>
      <c r="D39" t="s">
        <v>422</v>
      </c>
      <c r="E39" t="s">
        <v>858</v>
      </c>
      <c r="F39" t="s">
        <v>858</v>
      </c>
      <c r="G39" t="s">
        <v>280</v>
      </c>
      <c r="H39" t="s">
        <v>871</v>
      </c>
      <c r="I39" t="s">
        <v>41</v>
      </c>
      <c r="J39" t="s">
        <v>858</v>
      </c>
      <c r="K39">
        <v>1</v>
      </c>
      <c r="L39">
        <v>1</v>
      </c>
      <c r="M39" t="s">
        <v>44</v>
      </c>
      <c r="N39">
        <v>1</v>
      </c>
      <c r="O39">
        <v>1</v>
      </c>
      <c r="P39">
        <v>1</v>
      </c>
      <c r="Q39" t="s">
        <v>43</v>
      </c>
      <c r="R39">
        <v>1</v>
      </c>
      <c r="S39">
        <v>1</v>
      </c>
      <c r="T39">
        <v>1</v>
      </c>
      <c r="U39" t="s">
        <v>858</v>
      </c>
      <c r="V39" t="s">
        <v>858</v>
      </c>
      <c r="W39" t="s">
        <v>858</v>
      </c>
      <c r="X39">
        <v>1</v>
      </c>
      <c r="Y39" t="s">
        <v>367</v>
      </c>
      <c r="Z39">
        <v>0</v>
      </c>
      <c r="AA39" t="s">
        <v>858</v>
      </c>
      <c r="AB39" t="s">
        <v>858</v>
      </c>
      <c r="AC39" t="s">
        <v>858</v>
      </c>
      <c r="AD39" t="s">
        <v>858</v>
      </c>
      <c r="AE39">
        <v>0</v>
      </c>
      <c r="AF39" t="s">
        <v>858</v>
      </c>
      <c r="AG39" t="s">
        <v>321</v>
      </c>
      <c r="AH39" t="s">
        <v>858</v>
      </c>
    </row>
    <row r="40" spans="1:34" x14ac:dyDescent="0.25">
      <c r="A40" s="557">
        <v>12.36</v>
      </c>
      <c r="B40" t="s">
        <v>619</v>
      </c>
      <c r="C40" t="s">
        <v>323</v>
      </c>
      <c r="D40" t="s">
        <v>426</v>
      </c>
      <c r="E40" t="s">
        <v>858</v>
      </c>
      <c r="F40" t="s">
        <v>858</v>
      </c>
      <c r="G40" t="s">
        <v>280</v>
      </c>
      <c r="H40" t="s">
        <v>368</v>
      </c>
      <c r="I40" t="s">
        <v>35</v>
      </c>
      <c r="J40" t="s">
        <v>858</v>
      </c>
      <c r="K40">
        <v>1</v>
      </c>
      <c r="L40">
        <v>2</v>
      </c>
      <c r="M40" t="s">
        <v>44</v>
      </c>
      <c r="N40">
        <v>1</v>
      </c>
      <c r="O40">
        <v>2</v>
      </c>
      <c r="P40">
        <v>1</v>
      </c>
      <c r="Q40" t="s">
        <v>32</v>
      </c>
      <c r="R40">
        <v>2</v>
      </c>
      <c r="S40">
        <v>2</v>
      </c>
      <c r="T40">
        <v>2</v>
      </c>
      <c r="U40" t="s">
        <v>858</v>
      </c>
      <c r="V40" t="s">
        <v>858</v>
      </c>
      <c r="W40" t="s">
        <v>858</v>
      </c>
      <c r="X40">
        <v>1</v>
      </c>
      <c r="Y40" t="s">
        <v>369</v>
      </c>
      <c r="Z40">
        <v>2</v>
      </c>
      <c r="AA40">
        <v>2</v>
      </c>
      <c r="AB40" t="s">
        <v>858</v>
      </c>
      <c r="AC40" t="s">
        <v>858</v>
      </c>
      <c r="AD40" t="s">
        <v>858</v>
      </c>
      <c r="AE40">
        <v>1</v>
      </c>
      <c r="AF40" t="s">
        <v>858</v>
      </c>
      <c r="AG40" t="s">
        <v>286</v>
      </c>
      <c r="AH40" t="s">
        <v>858</v>
      </c>
    </row>
    <row r="41" spans="1:34" x14ac:dyDescent="0.25">
      <c r="A41" s="557">
        <v>12.361000000000001</v>
      </c>
      <c r="B41" t="s">
        <v>620</v>
      </c>
      <c r="C41" t="s">
        <v>323</v>
      </c>
      <c r="D41" t="s">
        <v>426</v>
      </c>
      <c r="E41" t="s">
        <v>858</v>
      </c>
      <c r="F41" t="s">
        <v>858</v>
      </c>
      <c r="G41" t="s">
        <v>280</v>
      </c>
      <c r="H41" t="s">
        <v>872</v>
      </c>
      <c r="I41" t="s">
        <v>41</v>
      </c>
      <c r="J41" t="s">
        <v>839</v>
      </c>
      <c r="K41">
        <v>2</v>
      </c>
      <c r="L41">
        <v>2</v>
      </c>
      <c r="M41" t="s">
        <v>44</v>
      </c>
      <c r="N41">
        <v>1</v>
      </c>
      <c r="O41">
        <v>2</v>
      </c>
      <c r="P41">
        <v>1</v>
      </c>
      <c r="Q41" t="s">
        <v>43</v>
      </c>
      <c r="R41">
        <v>1</v>
      </c>
      <c r="S41">
        <v>1</v>
      </c>
      <c r="T41">
        <v>1</v>
      </c>
      <c r="U41" t="s">
        <v>858</v>
      </c>
      <c r="V41" t="s">
        <v>858</v>
      </c>
      <c r="W41" t="s">
        <v>858</v>
      </c>
      <c r="X41">
        <v>1</v>
      </c>
      <c r="Y41" t="s">
        <v>370</v>
      </c>
      <c r="Z41">
        <v>2</v>
      </c>
      <c r="AA41">
        <v>2</v>
      </c>
      <c r="AB41" t="s">
        <v>858</v>
      </c>
      <c r="AC41" t="s">
        <v>858</v>
      </c>
      <c r="AD41" t="s">
        <v>858</v>
      </c>
      <c r="AE41">
        <v>1</v>
      </c>
      <c r="AF41" t="s">
        <v>858</v>
      </c>
      <c r="AG41" t="s">
        <v>321</v>
      </c>
      <c r="AH41" t="s">
        <v>858</v>
      </c>
    </row>
    <row r="42" spans="1:34" x14ac:dyDescent="0.25">
      <c r="A42" s="557">
        <v>12.37</v>
      </c>
      <c r="B42" t="s">
        <v>622</v>
      </c>
      <c r="C42" t="s">
        <v>323</v>
      </c>
      <c r="D42" t="s">
        <v>426</v>
      </c>
      <c r="E42" t="s">
        <v>858</v>
      </c>
      <c r="F42" t="s">
        <v>858</v>
      </c>
      <c r="G42" t="s">
        <v>280</v>
      </c>
      <c r="H42" t="s">
        <v>372</v>
      </c>
      <c r="I42" t="s">
        <v>35</v>
      </c>
      <c r="J42" t="s">
        <v>858</v>
      </c>
      <c r="K42">
        <v>1</v>
      </c>
      <c r="L42">
        <v>1</v>
      </c>
      <c r="M42" t="s">
        <v>44</v>
      </c>
      <c r="N42">
        <v>1</v>
      </c>
      <c r="O42">
        <v>1</v>
      </c>
      <c r="P42">
        <v>1</v>
      </c>
      <c r="Q42" t="s">
        <v>32</v>
      </c>
      <c r="R42">
        <v>1</v>
      </c>
      <c r="S42">
        <v>1</v>
      </c>
      <c r="T42">
        <v>1</v>
      </c>
      <c r="U42" t="s">
        <v>858</v>
      </c>
      <c r="V42" t="s">
        <v>858</v>
      </c>
      <c r="W42" t="s">
        <v>858</v>
      </c>
      <c r="X42">
        <v>1</v>
      </c>
      <c r="Y42" t="s">
        <v>373</v>
      </c>
      <c r="Z42">
        <v>1</v>
      </c>
      <c r="AA42">
        <v>1</v>
      </c>
      <c r="AB42" t="s">
        <v>858</v>
      </c>
      <c r="AC42" t="s">
        <v>858</v>
      </c>
      <c r="AD42" t="s">
        <v>858</v>
      </c>
      <c r="AE42">
        <v>1</v>
      </c>
      <c r="AF42" t="s">
        <v>858</v>
      </c>
      <c r="AG42" t="s">
        <v>286</v>
      </c>
      <c r="AH42" t="s">
        <v>858</v>
      </c>
    </row>
    <row r="43" spans="1:34" x14ac:dyDescent="0.25">
      <c r="A43" s="557">
        <v>12.372999999999999</v>
      </c>
      <c r="B43" t="s">
        <v>623</v>
      </c>
      <c r="C43" t="s">
        <v>311</v>
      </c>
      <c r="D43" t="s">
        <v>423</v>
      </c>
      <c r="E43" t="s">
        <v>858</v>
      </c>
      <c r="F43" t="s">
        <v>858</v>
      </c>
      <c r="G43" t="s">
        <v>259</v>
      </c>
      <c r="H43" t="s">
        <v>838</v>
      </c>
      <c r="I43" t="s">
        <v>41</v>
      </c>
      <c r="J43" t="s">
        <v>858</v>
      </c>
      <c r="K43">
        <v>1</v>
      </c>
      <c r="L43">
        <v>4</v>
      </c>
      <c r="M43" t="s">
        <v>44</v>
      </c>
      <c r="N43">
        <v>1</v>
      </c>
      <c r="O43">
        <v>4</v>
      </c>
      <c r="P43">
        <v>1</v>
      </c>
      <c r="Q43" t="s">
        <v>32</v>
      </c>
      <c r="R43">
        <v>4</v>
      </c>
      <c r="S43">
        <v>4</v>
      </c>
      <c r="T43">
        <v>3</v>
      </c>
      <c r="U43" t="s">
        <v>858</v>
      </c>
      <c r="V43">
        <v>1</v>
      </c>
      <c r="W43" t="s">
        <v>858</v>
      </c>
      <c r="X43">
        <v>0.75</v>
      </c>
      <c r="Y43" t="s">
        <v>858</v>
      </c>
      <c r="Z43">
        <v>4</v>
      </c>
      <c r="AA43">
        <v>4</v>
      </c>
      <c r="AB43" t="s">
        <v>858</v>
      </c>
      <c r="AC43" t="s">
        <v>858</v>
      </c>
      <c r="AD43" t="s">
        <v>858</v>
      </c>
      <c r="AE43">
        <v>1</v>
      </c>
      <c r="AF43" t="s">
        <v>858</v>
      </c>
      <c r="AG43" t="s">
        <v>310</v>
      </c>
      <c r="AH43" t="s">
        <v>858</v>
      </c>
    </row>
    <row r="44" spans="1:34" x14ac:dyDescent="0.25">
      <c r="A44" s="557">
        <v>12.412000000000001</v>
      </c>
      <c r="B44" t="s">
        <v>645</v>
      </c>
      <c r="C44" t="s">
        <v>314</v>
      </c>
      <c r="D44" t="s">
        <v>420</v>
      </c>
      <c r="E44" t="s">
        <v>858</v>
      </c>
      <c r="F44" t="s">
        <v>858</v>
      </c>
      <c r="G44" t="s">
        <v>259</v>
      </c>
      <c r="H44" t="s">
        <v>873</v>
      </c>
      <c r="I44" t="s">
        <v>41</v>
      </c>
      <c r="J44" t="s">
        <v>858</v>
      </c>
      <c r="K44">
        <v>1</v>
      </c>
      <c r="L44">
        <v>2</v>
      </c>
      <c r="M44" t="s">
        <v>44</v>
      </c>
      <c r="N44">
        <v>1</v>
      </c>
      <c r="O44">
        <v>2</v>
      </c>
      <c r="P44">
        <v>1</v>
      </c>
      <c r="Q44" t="s">
        <v>32</v>
      </c>
      <c r="R44">
        <v>2</v>
      </c>
      <c r="S44">
        <v>2</v>
      </c>
      <c r="T44">
        <v>2</v>
      </c>
      <c r="U44" t="s">
        <v>858</v>
      </c>
      <c r="V44" t="s">
        <v>858</v>
      </c>
      <c r="W44" t="s">
        <v>858</v>
      </c>
      <c r="X44">
        <v>1</v>
      </c>
      <c r="Y44" t="s">
        <v>379</v>
      </c>
      <c r="Z44">
        <v>0</v>
      </c>
      <c r="AA44" t="s">
        <v>858</v>
      </c>
      <c r="AB44" t="s">
        <v>858</v>
      </c>
      <c r="AC44" t="s">
        <v>858</v>
      </c>
      <c r="AD44" t="s">
        <v>858</v>
      </c>
      <c r="AE44">
        <v>0</v>
      </c>
      <c r="AF44" t="s">
        <v>858</v>
      </c>
      <c r="AG44" t="s">
        <v>309</v>
      </c>
      <c r="AH44" t="s">
        <v>858</v>
      </c>
    </row>
    <row r="45" spans="1:34" x14ac:dyDescent="0.25">
      <c r="A45" s="557">
        <v>12.42</v>
      </c>
      <c r="B45" t="s">
        <v>651</v>
      </c>
      <c r="C45" t="s">
        <v>382</v>
      </c>
      <c r="D45" t="s">
        <v>427</v>
      </c>
      <c r="E45" t="s">
        <v>858</v>
      </c>
      <c r="F45" t="s">
        <v>858</v>
      </c>
      <c r="G45" t="s">
        <v>280</v>
      </c>
      <c r="H45" t="s">
        <v>383</v>
      </c>
      <c r="I45" t="s">
        <v>35</v>
      </c>
      <c r="J45" t="s">
        <v>858</v>
      </c>
      <c r="K45">
        <v>1</v>
      </c>
      <c r="L45">
        <v>1</v>
      </c>
      <c r="M45" t="s">
        <v>44</v>
      </c>
      <c r="N45">
        <v>1</v>
      </c>
      <c r="O45">
        <v>1</v>
      </c>
      <c r="P45">
        <v>1</v>
      </c>
      <c r="Q45" t="s">
        <v>32</v>
      </c>
      <c r="R45">
        <v>1</v>
      </c>
      <c r="S45">
        <v>0</v>
      </c>
      <c r="T45" t="s">
        <v>858</v>
      </c>
      <c r="U45" t="s">
        <v>858</v>
      </c>
      <c r="V45" t="s">
        <v>858</v>
      </c>
      <c r="W45" t="s">
        <v>858</v>
      </c>
      <c r="X45">
        <v>0</v>
      </c>
      <c r="Y45" t="s">
        <v>858</v>
      </c>
      <c r="Z45">
        <v>0</v>
      </c>
      <c r="AA45" t="s">
        <v>858</v>
      </c>
      <c r="AB45" t="s">
        <v>858</v>
      </c>
      <c r="AC45" t="s">
        <v>858</v>
      </c>
      <c r="AD45" t="s">
        <v>858</v>
      </c>
      <c r="AE45">
        <v>0</v>
      </c>
      <c r="AF45" t="s">
        <v>858</v>
      </c>
      <c r="AG45" t="s">
        <v>277</v>
      </c>
      <c r="AH45" t="s">
        <v>858</v>
      </c>
    </row>
    <row r="46" spans="1:34" x14ac:dyDescent="0.25">
      <c r="A46" s="557">
        <v>12.429</v>
      </c>
      <c r="B46" t="s">
        <v>656</v>
      </c>
      <c r="C46" t="s">
        <v>317</v>
      </c>
      <c r="D46" t="s">
        <v>428</v>
      </c>
      <c r="E46" t="s">
        <v>858</v>
      </c>
      <c r="F46" t="s">
        <v>858</v>
      </c>
      <c r="G46" t="s">
        <v>259</v>
      </c>
      <c r="H46" t="s">
        <v>847</v>
      </c>
      <c r="I46" t="s">
        <v>385</v>
      </c>
      <c r="J46" t="s">
        <v>858</v>
      </c>
      <c r="K46">
        <v>1</v>
      </c>
      <c r="L46">
        <v>1</v>
      </c>
      <c r="M46" t="s">
        <v>44</v>
      </c>
      <c r="N46">
        <v>1</v>
      </c>
      <c r="O46">
        <v>1</v>
      </c>
      <c r="P46">
        <v>1</v>
      </c>
      <c r="Q46" t="s">
        <v>43</v>
      </c>
      <c r="R46">
        <v>1</v>
      </c>
      <c r="S46">
        <v>1</v>
      </c>
      <c r="T46">
        <v>1</v>
      </c>
      <c r="U46" t="s">
        <v>858</v>
      </c>
      <c r="V46" t="s">
        <v>858</v>
      </c>
      <c r="W46" t="s">
        <v>858</v>
      </c>
      <c r="X46">
        <v>1</v>
      </c>
      <c r="Y46" t="s">
        <v>386</v>
      </c>
      <c r="Z46">
        <v>0</v>
      </c>
      <c r="AA46" t="s">
        <v>858</v>
      </c>
      <c r="AB46" t="s">
        <v>858</v>
      </c>
      <c r="AC46" t="s">
        <v>858</v>
      </c>
      <c r="AD46" t="s">
        <v>858</v>
      </c>
      <c r="AE46">
        <v>0</v>
      </c>
      <c r="AF46" t="s">
        <v>858</v>
      </c>
      <c r="AG46" t="s">
        <v>309</v>
      </c>
      <c r="AH46" t="s">
        <v>858</v>
      </c>
    </row>
    <row r="47" spans="1:34" x14ac:dyDescent="0.25">
      <c r="A47" s="557">
        <v>12.43</v>
      </c>
      <c r="B47" t="s">
        <v>657</v>
      </c>
      <c r="C47" t="s">
        <v>387</v>
      </c>
      <c r="D47" t="s">
        <v>428</v>
      </c>
      <c r="E47" t="s">
        <v>858</v>
      </c>
      <c r="F47" t="s">
        <v>858</v>
      </c>
      <c r="G47" t="s">
        <v>259</v>
      </c>
      <c r="H47" t="s">
        <v>388</v>
      </c>
      <c r="I47" t="s">
        <v>41</v>
      </c>
      <c r="J47" t="s">
        <v>858</v>
      </c>
      <c r="K47">
        <v>1</v>
      </c>
      <c r="L47">
        <v>2</v>
      </c>
      <c r="M47" t="s">
        <v>44</v>
      </c>
      <c r="N47">
        <v>1</v>
      </c>
      <c r="O47">
        <v>2</v>
      </c>
      <c r="P47">
        <v>1</v>
      </c>
      <c r="Q47" t="s">
        <v>43</v>
      </c>
      <c r="R47">
        <v>2</v>
      </c>
      <c r="S47">
        <v>2</v>
      </c>
      <c r="T47">
        <v>2</v>
      </c>
      <c r="U47" t="s">
        <v>858</v>
      </c>
      <c r="V47" t="s">
        <v>858</v>
      </c>
      <c r="W47" t="s">
        <v>858</v>
      </c>
      <c r="X47">
        <v>1</v>
      </c>
      <c r="Y47" t="s">
        <v>858</v>
      </c>
      <c r="Z47">
        <v>0</v>
      </c>
      <c r="AA47" t="s">
        <v>858</v>
      </c>
      <c r="AB47" t="s">
        <v>858</v>
      </c>
      <c r="AC47" t="s">
        <v>858</v>
      </c>
      <c r="AD47" t="s">
        <v>858</v>
      </c>
      <c r="AE47">
        <v>0</v>
      </c>
      <c r="AF47" t="s">
        <v>858</v>
      </c>
      <c r="AG47" t="s">
        <v>310</v>
      </c>
      <c r="AH47" t="s">
        <v>858</v>
      </c>
    </row>
    <row r="48" spans="1:34" x14ac:dyDescent="0.25">
      <c r="A48" s="557">
        <v>12.439</v>
      </c>
      <c r="B48" t="s">
        <v>659</v>
      </c>
      <c r="C48" t="s">
        <v>390</v>
      </c>
      <c r="D48" t="s">
        <v>421</v>
      </c>
      <c r="E48" t="s">
        <v>858</v>
      </c>
      <c r="F48" t="s">
        <v>858</v>
      </c>
      <c r="G48" t="s">
        <v>280</v>
      </c>
      <c r="H48" t="s">
        <v>391</v>
      </c>
      <c r="I48" t="s">
        <v>41</v>
      </c>
      <c r="J48" t="s">
        <v>858</v>
      </c>
      <c r="K48">
        <v>1</v>
      </c>
      <c r="L48">
        <v>1</v>
      </c>
      <c r="M48" t="s">
        <v>44</v>
      </c>
      <c r="N48">
        <v>1</v>
      </c>
      <c r="O48">
        <v>1</v>
      </c>
      <c r="P48">
        <v>1</v>
      </c>
      <c r="Q48" t="s">
        <v>32</v>
      </c>
      <c r="R48">
        <v>1</v>
      </c>
      <c r="S48">
        <v>0</v>
      </c>
      <c r="T48" t="s">
        <v>858</v>
      </c>
      <c r="U48" t="s">
        <v>858</v>
      </c>
      <c r="V48" t="s">
        <v>858</v>
      </c>
      <c r="W48" t="s">
        <v>858</v>
      </c>
      <c r="X48">
        <v>0</v>
      </c>
      <c r="Y48" t="s">
        <v>858</v>
      </c>
      <c r="Z48">
        <v>0</v>
      </c>
      <c r="AA48" t="s">
        <v>858</v>
      </c>
      <c r="AB48" t="s">
        <v>858</v>
      </c>
      <c r="AC48" t="s">
        <v>858</v>
      </c>
      <c r="AD48" t="s">
        <v>858</v>
      </c>
      <c r="AE48">
        <v>0</v>
      </c>
      <c r="AF48" t="s">
        <v>858</v>
      </c>
      <c r="AG48" t="s">
        <v>321</v>
      </c>
      <c r="AH48" t="s">
        <v>858</v>
      </c>
    </row>
    <row r="49" spans="1:34" x14ac:dyDescent="0.25">
      <c r="A49" s="557">
        <v>12.444000000000001</v>
      </c>
      <c r="B49" t="s">
        <v>663</v>
      </c>
      <c r="C49" t="s">
        <v>317</v>
      </c>
      <c r="D49" t="s">
        <v>428</v>
      </c>
      <c r="E49" t="s">
        <v>858</v>
      </c>
      <c r="F49" t="s">
        <v>858</v>
      </c>
      <c r="G49" t="s">
        <v>280</v>
      </c>
      <c r="H49" t="s">
        <v>848</v>
      </c>
      <c r="I49" t="s">
        <v>41</v>
      </c>
      <c r="J49" t="s">
        <v>858</v>
      </c>
      <c r="K49">
        <v>1</v>
      </c>
      <c r="L49">
        <v>4</v>
      </c>
      <c r="M49" t="s">
        <v>44</v>
      </c>
      <c r="N49">
        <v>1</v>
      </c>
      <c r="O49">
        <v>4</v>
      </c>
      <c r="P49">
        <v>1</v>
      </c>
      <c r="Q49" t="s">
        <v>43</v>
      </c>
      <c r="R49">
        <v>4</v>
      </c>
      <c r="S49">
        <v>4</v>
      </c>
      <c r="T49">
        <v>4</v>
      </c>
      <c r="U49" t="s">
        <v>858</v>
      </c>
      <c r="V49" t="s">
        <v>858</v>
      </c>
      <c r="W49" t="s">
        <v>858</v>
      </c>
      <c r="X49">
        <v>1</v>
      </c>
      <c r="Y49" t="s">
        <v>858</v>
      </c>
      <c r="Z49">
        <v>0</v>
      </c>
      <c r="AA49" t="s">
        <v>858</v>
      </c>
      <c r="AB49" t="s">
        <v>858</v>
      </c>
      <c r="AC49" t="s">
        <v>858</v>
      </c>
      <c r="AD49" t="s">
        <v>858</v>
      </c>
      <c r="AE49">
        <v>0</v>
      </c>
      <c r="AF49" t="s">
        <v>858</v>
      </c>
      <c r="AG49" t="s">
        <v>321</v>
      </c>
      <c r="AH49" t="s">
        <v>858</v>
      </c>
    </row>
    <row r="50" spans="1:34" x14ac:dyDescent="0.25">
      <c r="A50" s="557">
        <v>12.445</v>
      </c>
      <c r="B50" t="s">
        <v>664</v>
      </c>
      <c r="C50" t="s">
        <v>323</v>
      </c>
      <c r="D50" t="s">
        <v>426</v>
      </c>
      <c r="E50" t="s">
        <v>858</v>
      </c>
      <c r="F50" t="s">
        <v>858</v>
      </c>
      <c r="G50" t="s">
        <v>280</v>
      </c>
      <c r="H50" t="s">
        <v>393</v>
      </c>
      <c r="I50" t="s">
        <v>41</v>
      </c>
      <c r="J50" t="s">
        <v>394</v>
      </c>
      <c r="K50">
        <v>1</v>
      </c>
      <c r="L50">
        <v>4</v>
      </c>
      <c r="M50" t="s">
        <v>44</v>
      </c>
      <c r="N50">
        <v>1</v>
      </c>
      <c r="O50">
        <v>4</v>
      </c>
      <c r="P50">
        <v>1</v>
      </c>
      <c r="Q50" t="s">
        <v>43</v>
      </c>
      <c r="R50">
        <v>4</v>
      </c>
      <c r="S50">
        <v>4</v>
      </c>
      <c r="T50">
        <v>4</v>
      </c>
      <c r="U50" t="s">
        <v>858</v>
      </c>
      <c r="V50" t="s">
        <v>858</v>
      </c>
      <c r="W50" t="s">
        <v>858</v>
      </c>
      <c r="X50">
        <v>1</v>
      </c>
      <c r="Y50" t="s">
        <v>370</v>
      </c>
      <c r="Z50">
        <v>4</v>
      </c>
      <c r="AA50">
        <v>4</v>
      </c>
      <c r="AB50" t="s">
        <v>858</v>
      </c>
      <c r="AC50" t="s">
        <v>858</v>
      </c>
      <c r="AD50" t="s">
        <v>858</v>
      </c>
      <c r="AE50">
        <v>1</v>
      </c>
      <c r="AF50" t="s">
        <v>858</v>
      </c>
      <c r="AG50" t="s">
        <v>321</v>
      </c>
      <c r="AH50" t="s">
        <v>858</v>
      </c>
    </row>
    <row r="51" spans="1:34" x14ac:dyDescent="0.25">
      <c r="A51" s="557">
        <v>12.448</v>
      </c>
      <c r="B51" t="s">
        <v>667</v>
      </c>
      <c r="C51" t="s">
        <v>387</v>
      </c>
      <c r="D51" t="s">
        <v>428</v>
      </c>
      <c r="E51" t="s">
        <v>858</v>
      </c>
      <c r="F51" t="s">
        <v>858</v>
      </c>
      <c r="G51" t="s">
        <v>280</v>
      </c>
      <c r="H51" t="s">
        <v>395</v>
      </c>
      <c r="I51" t="s">
        <v>41</v>
      </c>
      <c r="J51" t="s">
        <v>858</v>
      </c>
      <c r="K51">
        <v>1</v>
      </c>
      <c r="L51">
        <v>1</v>
      </c>
      <c r="M51" t="s">
        <v>44</v>
      </c>
      <c r="N51">
        <v>1</v>
      </c>
      <c r="O51">
        <v>1</v>
      </c>
      <c r="P51">
        <v>1</v>
      </c>
      <c r="Q51" t="s">
        <v>43</v>
      </c>
      <c r="R51">
        <v>1</v>
      </c>
      <c r="S51">
        <v>1</v>
      </c>
      <c r="T51">
        <v>1</v>
      </c>
      <c r="U51" t="s">
        <v>858</v>
      </c>
      <c r="V51" t="s">
        <v>858</v>
      </c>
      <c r="W51" t="s">
        <v>858</v>
      </c>
      <c r="X51">
        <v>1</v>
      </c>
      <c r="Y51" t="s">
        <v>858</v>
      </c>
      <c r="Z51">
        <v>0</v>
      </c>
      <c r="AA51" t="s">
        <v>858</v>
      </c>
      <c r="AB51" t="s">
        <v>858</v>
      </c>
      <c r="AC51" t="s">
        <v>858</v>
      </c>
      <c r="AD51" t="s">
        <v>858</v>
      </c>
      <c r="AE51">
        <v>0</v>
      </c>
      <c r="AF51" t="s">
        <v>858</v>
      </c>
      <c r="AG51" t="s">
        <v>321</v>
      </c>
      <c r="AH51" t="s">
        <v>858</v>
      </c>
    </row>
    <row r="52" spans="1:34" x14ac:dyDescent="0.25">
      <c r="A52" s="557">
        <v>12.449</v>
      </c>
      <c r="B52" t="s">
        <v>668</v>
      </c>
      <c r="C52" t="s">
        <v>387</v>
      </c>
      <c r="D52" t="s">
        <v>428</v>
      </c>
      <c r="E52" t="s">
        <v>858</v>
      </c>
      <c r="F52" t="s">
        <v>858</v>
      </c>
      <c r="G52" t="s">
        <v>259</v>
      </c>
      <c r="H52" t="s">
        <v>396</v>
      </c>
      <c r="I52" t="s">
        <v>41</v>
      </c>
      <c r="J52" t="s">
        <v>858</v>
      </c>
      <c r="K52">
        <v>1</v>
      </c>
      <c r="L52">
        <v>2</v>
      </c>
      <c r="M52" t="s">
        <v>44</v>
      </c>
      <c r="N52">
        <v>1</v>
      </c>
      <c r="O52">
        <v>2</v>
      </c>
      <c r="P52">
        <v>1</v>
      </c>
      <c r="Q52" t="s">
        <v>43</v>
      </c>
      <c r="R52">
        <v>2</v>
      </c>
      <c r="S52">
        <v>2</v>
      </c>
      <c r="T52">
        <v>2</v>
      </c>
      <c r="U52" t="s">
        <v>858</v>
      </c>
      <c r="V52" t="s">
        <v>858</v>
      </c>
      <c r="W52" t="s">
        <v>858</v>
      </c>
      <c r="X52">
        <v>1</v>
      </c>
      <c r="Y52" t="s">
        <v>858</v>
      </c>
      <c r="Z52">
        <v>0</v>
      </c>
      <c r="AA52" t="s">
        <v>858</v>
      </c>
      <c r="AB52" t="s">
        <v>858</v>
      </c>
      <c r="AC52" t="s">
        <v>858</v>
      </c>
      <c r="AD52" t="s">
        <v>858</v>
      </c>
      <c r="AE52">
        <v>0</v>
      </c>
      <c r="AF52" t="s">
        <v>858</v>
      </c>
      <c r="AG52" t="s">
        <v>286</v>
      </c>
      <c r="AH52" t="s">
        <v>858</v>
      </c>
    </row>
    <row r="53" spans="1:34" ht="35.25" customHeight="1" x14ac:dyDescent="0.25">
      <c r="A53" s="557">
        <v>12.45</v>
      </c>
      <c r="B53" t="s">
        <v>669</v>
      </c>
      <c r="C53" t="s">
        <v>323</v>
      </c>
      <c r="D53" t="s">
        <v>426</v>
      </c>
      <c r="E53" t="s">
        <v>858</v>
      </c>
      <c r="F53" t="s">
        <v>858</v>
      </c>
      <c r="G53" t="s">
        <v>280</v>
      </c>
      <c r="H53" t="s">
        <v>397</v>
      </c>
      <c r="I53" t="s">
        <v>41</v>
      </c>
      <c r="J53" t="s">
        <v>858</v>
      </c>
      <c r="K53">
        <v>1</v>
      </c>
      <c r="L53">
        <v>4</v>
      </c>
      <c r="M53" t="s">
        <v>44</v>
      </c>
      <c r="N53">
        <v>1</v>
      </c>
      <c r="O53">
        <v>4</v>
      </c>
      <c r="P53">
        <v>1</v>
      </c>
      <c r="Q53" t="s">
        <v>43</v>
      </c>
      <c r="R53">
        <v>4</v>
      </c>
      <c r="S53">
        <v>4</v>
      </c>
      <c r="T53">
        <v>4</v>
      </c>
      <c r="U53" t="s">
        <v>858</v>
      </c>
      <c r="V53" t="s">
        <v>858</v>
      </c>
      <c r="W53" t="s">
        <v>858</v>
      </c>
      <c r="X53">
        <v>1</v>
      </c>
      <c r="Y53" t="s">
        <v>398</v>
      </c>
      <c r="Z53">
        <v>4</v>
      </c>
      <c r="AA53">
        <v>4</v>
      </c>
      <c r="AB53" t="s">
        <v>858</v>
      </c>
      <c r="AC53" t="s">
        <v>858</v>
      </c>
      <c r="AD53" t="s">
        <v>858</v>
      </c>
      <c r="AE53">
        <v>1</v>
      </c>
      <c r="AF53" t="s">
        <v>858</v>
      </c>
      <c r="AG53" t="s">
        <v>277</v>
      </c>
      <c r="AH53" t="s">
        <v>858</v>
      </c>
    </row>
    <row r="54" spans="1:34" x14ac:dyDescent="0.25">
      <c r="A54" s="557">
        <v>12.451000000000001</v>
      </c>
      <c r="B54" t="s">
        <v>670</v>
      </c>
      <c r="C54" t="s">
        <v>317</v>
      </c>
      <c r="D54" t="s">
        <v>428</v>
      </c>
      <c r="E54" t="s">
        <v>858</v>
      </c>
      <c r="F54" t="s">
        <v>858</v>
      </c>
      <c r="G54" t="s">
        <v>259</v>
      </c>
      <c r="H54" t="s">
        <v>849</v>
      </c>
      <c r="I54" t="s">
        <v>41</v>
      </c>
      <c r="J54" t="s">
        <v>858</v>
      </c>
      <c r="K54">
        <v>1</v>
      </c>
      <c r="L54">
        <v>2</v>
      </c>
      <c r="M54" t="s">
        <v>44</v>
      </c>
      <c r="N54">
        <v>1</v>
      </c>
      <c r="O54">
        <v>2</v>
      </c>
      <c r="P54">
        <v>1</v>
      </c>
      <c r="Q54" t="s">
        <v>43</v>
      </c>
      <c r="R54">
        <v>2</v>
      </c>
      <c r="S54">
        <v>2</v>
      </c>
      <c r="T54">
        <v>2</v>
      </c>
      <c r="U54" t="s">
        <v>858</v>
      </c>
      <c r="V54" t="s">
        <v>858</v>
      </c>
      <c r="W54" t="s">
        <v>858</v>
      </c>
      <c r="X54">
        <v>1</v>
      </c>
      <c r="Y54" t="s">
        <v>399</v>
      </c>
      <c r="Z54">
        <v>0</v>
      </c>
      <c r="AA54" t="s">
        <v>858</v>
      </c>
      <c r="AB54" t="s">
        <v>858</v>
      </c>
      <c r="AC54" t="s">
        <v>858</v>
      </c>
      <c r="AD54" t="s">
        <v>858</v>
      </c>
      <c r="AE54">
        <v>0</v>
      </c>
      <c r="AF54" t="s">
        <v>858</v>
      </c>
      <c r="AG54" t="s">
        <v>286</v>
      </c>
      <c r="AH54" t="s">
        <v>858</v>
      </c>
    </row>
    <row r="55" spans="1:34" x14ac:dyDescent="0.25">
      <c r="A55" s="557">
        <v>12.452999999999999</v>
      </c>
      <c r="B55" t="s">
        <v>672</v>
      </c>
      <c r="C55" t="s">
        <v>311</v>
      </c>
      <c r="D55" t="s">
        <v>427</v>
      </c>
      <c r="E55" t="s">
        <v>858</v>
      </c>
      <c r="F55" t="s">
        <v>858</v>
      </c>
      <c r="G55" t="s">
        <v>280</v>
      </c>
      <c r="H55" t="s">
        <v>400</v>
      </c>
      <c r="I55" t="s">
        <v>41</v>
      </c>
      <c r="J55" t="s">
        <v>858</v>
      </c>
      <c r="K55">
        <v>1</v>
      </c>
      <c r="L55">
        <v>1</v>
      </c>
      <c r="M55" t="s">
        <v>44</v>
      </c>
      <c r="N55">
        <v>1</v>
      </c>
      <c r="O55">
        <v>1</v>
      </c>
      <c r="P55">
        <v>1</v>
      </c>
      <c r="Q55" t="s">
        <v>32</v>
      </c>
      <c r="R55">
        <v>1</v>
      </c>
      <c r="S55">
        <v>1</v>
      </c>
      <c r="T55">
        <v>1</v>
      </c>
      <c r="U55" t="s">
        <v>858</v>
      </c>
      <c r="V55" t="s">
        <v>858</v>
      </c>
      <c r="W55" t="s">
        <v>858</v>
      </c>
      <c r="X55">
        <v>1</v>
      </c>
      <c r="Y55" t="s">
        <v>858</v>
      </c>
      <c r="Z55">
        <v>0</v>
      </c>
      <c r="AA55" t="s">
        <v>858</v>
      </c>
      <c r="AB55" t="s">
        <v>858</v>
      </c>
      <c r="AC55" t="s">
        <v>858</v>
      </c>
      <c r="AD55" t="s">
        <v>858</v>
      </c>
      <c r="AE55">
        <v>0</v>
      </c>
      <c r="AF55" t="s">
        <v>858</v>
      </c>
      <c r="AG55" t="s">
        <v>286</v>
      </c>
      <c r="AH55" t="s">
        <v>858</v>
      </c>
    </row>
    <row r="56" spans="1:34" x14ac:dyDescent="0.25">
      <c r="A56" s="557">
        <v>12.454000000000001</v>
      </c>
      <c r="B56" t="s">
        <v>673</v>
      </c>
      <c r="C56" t="s">
        <v>318</v>
      </c>
      <c r="D56" t="s">
        <v>420</v>
      </c>
      <c r="E56" t="s">
        <v>858</v>
      </c>
      <c r="F56" t="s">
        <v>858</v>
      </c>
      <c r="G56" t="s">
        <v>280</v>
      </c>
      <c r="H56" t="s">
        <v>401</v>
      </c>
      <c r="I56" t="s">
        <v>41</v>
      </c>
      <c r="J56" t="s">
        <v>322</v>
      </c>
      <c r="K56">
        <v>1</v>
      </c>
      <c r="L56">
        <v>2</v>
      </c>
      <c r="M56" t="s">
        <v>44</v>
      </c>
      <c r="N56">
        <v>1</v>
      </c>
      <c r="O56">
        <v>2</v>
      </c>
      <c r="P56">
        <v>1</v>
      </c>
      <c r="Q56" t="s">
        <v>32</v>
      </c>
      <c r="R56">
        <v>2</v>
      </c>
      <c r="S56">
        <v>2</v>
      </c>
      <c r="T56">
        <v>2</v>
      </c>
      <c r="U56" t="s">
        <v>858</v>
      </c>
      <c r="V56" t="s">
        <v>858</v>
      </c>
      <c r="W56" t="s">
        <v>858</v>
      </c>
      <c r="X56">
        <v>1</v>
      </c>
      <c r="Y56" t="s">
        <v>858</v>
      </c>
      <c r="Z56">
        <v>2</v>
      </c>
      <c r="AA56">
        <v>2</v>
      </c>
      <c r="AB56" t="s">
        <v>858</v>
      </c>
      <c r="AC56" t="s">
        <v>858</v>
      </c>
      <c r="AD56" t="s">
        <v>858</v>
      </c>
      <c r="AE56">
        <v>1</v>
      </c>
      <c r="AF56" t="s">
        <v>858</v>
      </c>
      <c r="AG56" t="s">
        <v>321</v>
      </c>
      <c r="AH56" t="s">
        <v>858</v>
      </c>
    </row>
    <row r="57" spans="1:34" x14ac:dyDescent="0.25">
      <c r="A57" s="557">
        <v>12.455</v>
      </c>
      <c r="B57" t="s">
        <v>674</v>
      </c>
      <c r="C57" t="s">
        <v>315</v>
      </c>
      <c r="D57" t="s">
        <v>427</v>
      </c>
      <c r="E57" t="s">
        <v>858</v>
      </c>
      <c r="F57" t="s">
        <v>858</v>
      </c>
      <c r="G57" t="s">
        <v>280</v>
      </c>
      <c r="H57" t="s">
        <v>402</v>
      </c>
      <c r="I57" t="s">
        <v>35</v>
      </c>
      <c r="J57" t="s">
        <v>858</v>
      </c>
      <c r="K57">
        <v>1</v>
      </c>
      <c r="L57">
        <v>1</v>
      </c>
      <c r="M57" t="s">
        <v>44</v>
      </c>
      <c r="N57">
        <v>1</v>
      </c>
      <c r="O57">
        <v>1</v>
      </c>
      <c r="P57">
        <v>1</v>
      </c>
      <c r="Q57" t="s">
        <v>32</v>
      </c>
      <c r="R57">
        <v>1</v>
      </c>
      <c r="S57">
        <v>0</v>
      </c>
      <c r="T57" t="s">
        <v>858</v>
      </c>
      <c r="U57" t="s">
        <v>858</v>
      </c>
      <c r="V57" t="s">
        <v>858</v>
      </c>
      <c r="W57" t="s">
        <v>858</v>
      </c>
      <c r="X57">
        <v>0</v>
      </c>
      <c r="Y57" t="s">
        <v>858</v>
      </c>
      <c r="Z57">
        <v>0</v>
      </c>
      <c r="AA57" t="s">
        <v>858</v>
      </c>
      <c r="AB57" t="s">
        <v>858</v>
      </c>
      <c r="AC57" t="s">
        <v>858</v>
      </c>
      <c r="AD57" t="s">
        <v>858</v>
      </c>
      <c r="AE57">
        <v>0</v>
      </c>
      <c r="AF57" t="s">
        <v>858</v>
      </c>
      <c r="AG57" t="s">
        <v>286</v>
      </c>
      <c r="AH57" t="s">
        <v>858</v>
      </c>
    </row>
    <row r="58" spans="1:34" x14ac:dyDescent="0.25">
      <c r="A58" s="557">
        <v>12.46</v>
      </c>
      <c r="B58" t="s">
        <v>678</v>
      </c>
      <c r="C58" t="s">
        <v>317</v>
      </c>
      <c r="D58" t="s">
        <v>428</v>
      </c>
      <c r="E58" t="s">
        <v>858</v>
      </c>
      <c r="F58" t="s">
        <v>858</v>
      </c>
      <c r="G58" t="s">
        <v>280</v>
      </c>
      <c r="H58" t="s">
        <v>850</v>
      </c>
      <c r="I58" t="s">
        <v>41</v>
      </c>
      <c r="J58" t="s">
        <v>858</v>
      </c>
      <c r="K58">
        <v>1</v>
      </c>
      <c r="L58">
        <v>8</v>
      </c>
      <c r="M58" t="s">
        <v>44</v>
      </c>
      <c r="N58">
        <v>1</v>
      </c>
      <c r="O58">
        <v>8</v>
      </c>
      <c r="P58">
        <v>1</v>
      </c>
      <c r="Q58" t="s">
        <v>43</v>
      </c>
      <c r="R58">
        <v>4</v>
      </c>
      <c r="S58">
        <v>4</v>
      </c>
      <c r="T58">
        <v>4</v>
      </c>
      <c r="U58" t="s">
        <v>858</v>
      </c>
      <c r="V58" t="s">
        <v>858</v>
      </c>
      <c r="W58" t="s">
        <v>858</v>
      </c>
      <c r="X58">
        <v>1</v>
      </c>
      <c r="Y58" t="s">
        <v>858</v>
      </c>
      <c r="Z58">
        <v>0</v>
      </c>
      <c r="AA58" t="s">
        <v>858</v>
      </c>
      <c r="AB58" t="s">
        <v>858</v>
      </c>
      <c r="AC58" t="s">
        <v>858</v>
      </c>
      <c r="AD58" t="s">
        <v>858</v>
      </c>
      <c r="AE58">
        <v>0</v>
      </c>
      <c r="AF58" t="s">
        <v>858</v>
      </c>
      <c r="AG58" t="s">
        <v>277</v>
      </c>
      <c r="AH58" t="s">
        <v>858</v>
      </c>
    </row>
    <row r="59" spans="1:34" x14ac:dyDescent="0.25">
      <c r="A59" s="557">
        <v>12.461</v>
      </c>
      <c r="B59" t="s">
        <v>679</v>
      </c>
      <c r="C59" t="s">
        <v>317</v>
      </c>
      <c r="D59" t="s">
        <v>428</v>
      </c>
      <c r="E59" t="s">
        <v>858</v>
      </c>
      <c r="F59" t="s">
        <v>858</v>
      </c>
      <c r="G59" t="s">
        <v>280</v>
      </c>
      <c r="H59" t="s">
        <v>842</v>
      </c>
      <c r="I59" t="s">
        <v>41</v>
      </c>
      <c r="J59" t="s">
        <v>858</v>
      </c>
      <c r="K59">
        <v>1</v>
      </c>
      <c r="L59">
        <v>108</v>
      </c>
      <c r="M59" t="s">
        <v>44</v>
      </c>
      <c r="N59">
        <v>1</v>
      </c>
      <c r="O59">
        <v>108</v>
      </c>
      <c r="P59">
        <v>1</v>
      </c>
      <c r="Q59" t="s">
        <v>43</v>
      </c>
      <c r="R59">
        <v>20</v>
      </c>
      <c r="S59">
        <v>20</v>
      </c>
      <c r="T59">
        <v>20</v>
      </c>
      <c r="U59" t="s">
        <v>858</v>
      </c>
      <c r="V59" t="s">
        <v>858</v>
      </c>
      <c r="W59" t="s">
        <v>858</v>
      </c>
      <c r="X59">
        <v>1</v>
      </c>
      <c r="Y59" t="s">
        <v>858</v>
      </c>
      <c r="Z59">
        <v>0</v>
      </c>
      <c r="AA59" t="s">
        <v>858</v>
      </c>
      <c r="AB59" t="s">
        <v>858</v>
      </c>
      <c r="AC59" t="s">
        <v>858</v>
      </c>
      <c r="AD59" t="s">
        <v>858</v>
      </c>
      <c r="AE59">
        <v>0</v>
      </c>
      <c r="AF59" t="s">
        <v>858</v>
      </c>
      <c r="AG59" t="s">
        <v>321</v>
      </c>
      <c r="AH59" t="s">
        <v>858</v>
      </c>
    </row>
    <row r="60" spans="1:34" x14ac:dyDescent="0.25">
      <c r="A60" s="557">
        <v>12.465</v>
      </c>
      <c r="B60" t="s">
        <v>683</v>
      </c>
      <c r="C60" t="s">
        <v>323</v>
      </c>
      <c r="D60" t="s">
        <v>426</v>
      </c>
      <c r="E60" t="s">
        <v>858</v>
      </c>
      <c r="F60" t="s">
        <v>858</v>
      </c>
      <c r="G60" t="s">
        <v>280</v>
      </c>
      <c r="H60" t="s">
        <v>404</v>
      </c>
      <c r="I60" t="s">
        <v>41</v>
      </c>
      <c r="J60" t="s">
        <v>858</v>
      </c>
      <c r="K60">
        <v>1</v>
      </c>
      <c r="L60">
        <v>1</v>
      </c>
      <c r="M60" t="s">
        <v>44</v>
      </c>
      <c r="N60">
        <v>1</v>
      </c>
      <c r="O60">
        <v>1</v>
      </c>
      <c r="P60">
        <v>1</v>
      </c>
      <c r="Q60" t="s">
        <v>43</v>
      </c>
      <c r="R60">
        <v>1</v>
      </c>
      <c r="S60">
        <v>1</v>
      </c>
      <c r="T60">
        <v>1</v>
      </c>
      <c r="U60" t="s">
        <v>858</v>
      </c>
      <c r="V60" t="s">
        <v>858</v>
      </c>
      <c r="W60" t="s">
        <v>858</v>
      </c>
      <c r="X60">
        <v>1</v>
      </c>
      <c r="Y60" t="s">
        <v>858</v>
      </c>
      <c r="Z60">
        <v>1</v>
      </c>
      <c r="AA60">
        <v>1</v>
      </c>
      <c r="AB60" t="s">
        <v>858</v>
      </c>
      <c r="AC60" t="s">
        <v>858</v>
      </c>
      <c r="AD60" t="s">
        <v>858</v>
      </c>
      <c r="AE60">
        <v>1</v>
      </c>
      <c r="AF60" t="s">
        <v>858</v>
      </c>
      <c r="AG60" t="s">
        <v>286</v>
      </c>
      <c r="AH60" t="s">
        <v>858</v>
      </c>
    </row>
    <row r="61" spans="1:34" x14ac:dyDescent="0.25">
      <c r="A61" s="557">
        <v>12.467000000000001</v>
      </c>
      <c r="B61" t="s">
        <v>686</v>
      </c>
      <c r="C61" t="s">
        <v>331</v>
      </c>
      <c r="D61" t="s">
        <v>421</v>
      </c>
      <c r="E61" t="s">
        <v>858</v>
      </c>
      <c r="F61" t="s">
        <v>858</v>
      </c>
      <c r="G61" t="s">
        <v>259</v>
      </c>
      <c r="H61" t="s">
        <v>405</v>
      </c>
      <c r="I61" t="s">
        <v>41</v>
      </c>
      <c r="J61" t="s">
        <v>858</v>
      </c>
      <c r="K61">
        <v>1</v>
      </c>
      <c r="L61">
        <v>2</v>
      </c>
      <c r="M61" t="s">
        <v>44</v>
      </c>
      <c r="N61">
        <v>1</v>
      </c>
      <c r="O61">
        <v>1</v>
      </c>
      <c r="P61">
        <v>0.5</v>
      </c>
      <c r="Q61" t="s">
        <v>32</v>
      </c>
      <c r="R61">
        <v>2</v>
      </c>
      <c r="S61">
        <v>0</v>
      </c>
      <c r="T61" t="s">
        <v>858</v>
      </c>
      <c r="U61" t="s">
        <v>858</v>
      </c>
      <c r="V61" t="s">
        <v>858</v>
      </c>
      <c r="W61" t="s">
        <v>858</v>
      </c>
      <c r="X61">
        <v>0</v>
      </c>
      <c r="Y61" t="s">
        <v>858</v>
      </c>
      <c r="Z61">
        <v>0</v>
      </c>
      <c r="AA61" t="s">
        <v>858</v>
      </c>
      <c r="AB61" t="s">
        <v>858</v>
      </c>
      <c r="AC61" t="s">
        <v>858</v>
      </c>
      <c r="AD61" t="s">
        <v>858</v>
      </c>
      <c r="AE61">
        <v>0</v>
      </c>
      <c r="AF61" t="s">
        <v>858</v>
      </c>
      <c r="AG61" t="s">
        <v>312</v>
      </c>
      <c r="AH61" t="s">
        <v>858</v>
      </c>
    </row>
    <row r="62" spans="1:34" x14ac:dyDescent="0.25">
      <c r="A62" s="557">
        <v>12.468999999999999</v>
      </c>
      <c r="B62" t="s">
        <v>688</v>
      </c>
      <c r="C62" t="s">
        <v>323</v>
      </c>
      <c r="D62" t="s">
        <v>426</v>
      </c>
      <c r="E62" t="s">
        <v>858</v>
      </c>
      <c r="F62" t="s">
        <v>858</v>
      </c>
      <c r="G62" t="s">
        <v>280</v>
      </c>
      <c r="H62" t="s">
        <v>407</v>
      </c>
      <c r="I62" t="s">
        <v>41</v>
      </c>
      <c r="J62" t="s">
        <v>858</v>
      </c>
      <c r="K62">
        <v>1</v>
      </c>
      <c r="L62">
        <v>4</v>
      </c>
      <c r="M62" t="s">
        <v>44</v>
      </c>
      <c r="N62">
        <v>1</v>
      </c>
      <c r="O62">
        <v>4</v>
      </c>
      <c r="P62">
        <v>1</v>
      </c>
      <c r="Q62" t="s">
        <v>32</v>
      </c>
      <c r="R62">
        <v>4</v>
      </c>
      <c r="S62">
        <v>4</v>
      </c>
      <c r="T62">
        <v>4</v>
      </c>
      <c r="U62" t="s">
        <v>858</v>
      </c>
      <c r="V62" t="s">
        <v>858</v>
      </c>
      <c r="W62" t="s">
        <v>858</v>
      </c>
      <c r="X62">
        <v>1</v>
      </c>
      <c r="Y62" t="s">
        <v>858</v>
      </c>
      <c r="Z62">
        <v>4</v>
      </c>
      <c r="AA62">
        <v>4</v>
      </c>
      <c r="AB62" t="s">
        <v>858</v>
      </c>
      <c r="AC62" t="s">
        <v>858</v>
      </c>
      <c r="AD62" t="s">
        <v>858</v>
      </c>
      <c r="AE62">
        <v>1</v>
      </c>
      <c r="AF62" t="s">
        <v>858</v>
      </c>
      <c r="AG62" t="s">
        <v>277</v>
      </c>
      <c r="AH62" t="s">
        <v>858</v>
      </c>
    </row>
    <row r="63" spans="1:34" x14ac:dyDescent="0.25">
      <c r="A63" s="557">
        <v>12.47</v>
      </c>
      <c r="B63" t="s">
        <v>689</v>
      </c>
      <c r="C63" t="s">
        <v>325</v>
      </c>
      <c r="D63" t="s">
        <v>420</v>
      </c>
      <c r="E63" t="s">
        <v>858</v>
      </c>
      <c r="F63" t="s">
        <v>858</v>
      </c>
      <c r="G63" t="s">
        <v>259</v>
      </c>
      <c r="H63" t="s">
        <v>408</v>
      </c>
      <c r="I63" t="s">
        <v>35</v>
      </c>
      <c r="J63" t="s">
        <v>858</v>
      </c>
      <c r="K63">
        <v>1</v>
      </c>
      <c r="L63">
        <v>1</v>
      </c>
      <c r="M63" t="s">
        <v>44</v>
      </c>
      <c r="N63">
        <v>1</v>
      </c>
      <c r="O63">
        <v>1</v>
      </c>
      <c r="P63">
        <v>1</v>
      </c>
      <c r="Q63" t="s">
        <v>50</v>
      </c>
      <c r="R63">
        <v>1</v>
      </c>
      <c r="S63">
        <v>0</v>
      </c>
      <c r="T63" t="s">
        <v>858</v>
      </c>
      <c r="U63" t="s">
        <v>858</v>
      </c>
      <c r="V63" t="s">
        <v>858</v>
      </c>
      <c r="W63" t="s">
        <v>858</v>
      </c>
      <c r="X63">
        <v>0</v>
      </c>
      <c r="Y63" t="s">
        <v>409</v>
      </c>
      <c r="Z63">
        <v>0</v>
      </c>
      <c r="AA63" t="s">
        <v>858</v>
      </c>
      <c r="AB63" t="s">
        <v>858</v>
      </c>
      <c r="AC63" t="s">
        <v>858</v>
      </c>
      <c r="AD63" t="s">
        <v>858</v>
      </c>
      <c r="AE63">
        <v>0</v>
      </c>
      <c r="AF63" t="s">
        <v>858</v>
      </c>
      <c r="AG63" t="s">
        <v>309</v>
      </c>
      <c r="AH63" t="s">
        <v>858</v>
      </c>
    </row>
    <row r="64" spans="1:34" x14ac:dyDescent="0.25">
      <c r="A64" s="557">
        <v>12.471</v>
      </c>
      <c r="B64" t="s">
        <v>690</v>
      </c>
      <c r="C64" t="s">
        <v>315</v>
      </c>
      <c r="D64" t="s">
        <v>427</v>
      </c>
      <c r="E64" t="s">
        <v>858</v>
      </c>
      <c r="F64" t="s">
        <v>858</v>
      </c>
      <c r="G64" t="s">
        <v>280</v>
      </c>
      <c r="H64" t="s">
        <v>316</v>
      </c>
      <c r="I64" t="s">
        <v>41</v>
      </c>
      <c r="J64" t="s">
        <v>858</v>
      </c>
      <c r="K64">
        <v>1</v>
      </c>
      <c r="L64">
        <v>1</v>
      </c>
      <c r="M64" t="s">
        <v>44</v>
      </c>
      <c r="N64">
        <v>1</v>
      </c>
      <c r="O64">
        <v>0.8</v>
      </c>
      <c r="P64">
        <v>0.8</v>
      </c>
      <c r="Q64" t="s">
        <v>32</v>
      </c>
      <c r="R64">
        <v>1</v>
      </c>
      <c r="S64">
        <v>0</v>
      </c>
      <c r="T64" t="s">
        <v>858</v>
      </c>
      <c r="U64" t="s">
        <v>858</v>
      </c>
      <c r="V64" t="s">
        <v>858</v>
      </c>
      <c r="W64" t="s">
        <v>858</v>
      </c>
      <c r="X64">
        <v>0</v>
      </c>
      <c r="Y64" t="s">
        <v>858</v>
      </c>
      <c r="Z64">
        <v>0</v>
      </c>
      <c r="AA64" t="s">
        <v>858</v>
      </c>
      <c r="AB64" t="s">
        <v>858</v>
      </c>
      <c r="AC64" t="s">
        <v>858</v>
      </c>
      <c r="AD64" t="s">
        <v>858</v>
      </c>
      <c r="AE64">
        <v>0</v>
      </c>
      <c r="AF64" t="s">
        <v>410</v>
      </c>
      <c r="AG64" t="s">
        <v>321</v>
      </c>
      <c r="AH64" t="s">
        <v>858</v>
      </c>
    </row>
    <row r="65" spans="1:34" x14ac:dyDescent="0.25">
      <c r="A65" s="557">
        <v>12.474</v>
      </c>
      <c r="B65" t="s">
        <v>692</v>
      </c>
      <c r="C65" t="s">
        <v>323</v>
      </c>
      <c r="D65" t="s">
        <v>426</v>
      </c>
      <c r="E65" t="s">
        <v>858</v>
      </c>
      <c r="F65" t="s">
        <v>858</v>
      </c>
      <c r="G65" t="s">
        <v>280</v>
      </c>
      <c r="H65" t="s">
        <v>874</v>
      </c>
      <c r="I65" t="s">
        <v>35</v>
      </c>
      <c r="J65" t="s">
        <v>858</v>
      </c>
      <c r="K65">
        <v>1</v>
      </c>
      <c r="L65">
        <v>11</v>
      </c>
      <c r="M65" t="s">
        <v>44</v>
      </c>
      <c r="N65">
        <v>1</v>
      </c>
      <c r="O65">
        <v>11</v>
      </c>
      <c r="P65">
        <v>1</v>
      </c>
      <c r="Q65" t="s">
        <v>43</v>
      </c>
      <c r="R65">
        <v>11</v>
      </c>
      <c r="S65">
        <v>11</v>
      </c>
      <c r="T65">
        <v>11</v>
      </c>
      <c r="U65" t="s">
        <v>858</v>
      </c>
      <c r="V65" t="s">
        <v>858</v>
      </c>
      <c r="W65" t="s">
        <v>858</v>
      </c>
      <c r="X65">
        <v>1</v>
      </c>
      <c r="Y65" t="s">
        <v>411</v>
      </c>
      <c r="Z65">
        <v>11</v>
      </c>
      <c r="AA65">
        <v>11</v>
      </c>
      <c r="AB65" t="s">
        <v>858</v>
      </c>
      <c r="AC65" t="s">
        <v>858</v>
      </c>
      <c r="AD65" t="s">
        <v>858</v>
      </c>
      <c r="AE65">
        <v>1</v>
      </c>
      <c r="AF65" t="s">
        <v>858</v>
      </c>
      <c r="AG65" t="s">
        <v>286</v>
      </c>
      <c r="AH65" t="s">
        <v>858</v>
      </c>
    </row>
    <row r="66" spans="1:34" x14ac:dyDescent="0.25">
      <c r="A66" s="557">
        <v>12.478999999999999</v>
      </c>
      <c r="B66" t="s">
        <v>696</v>
      </c>
      <c r="C66" t="s">
        <v>320</v>
      </c>
      <c r="D66" t="s">
        <v>420</v>
      </c>
      <c r="E66" t="s">
        <v>858</v>
      </c>
      <c r="F66" t="s">
        <v>858</v>
      </c>
      <c r="G66" t="s">
        <v>280</v>
      </c>
      <c r="H66" t="s">
        <v>843</v>
      </c>
      <c r="I66" t="s">
        <v>35</v>
      </c>
      <c r="J66" t="s">
        <v>858</v>
      </c>
      <c r="K66">
        <v>1</v>
      </c>
      <c r="L66">
        <v>1</v>
      </c>
      <c r="M66" t="s">
        <v>44</v>
      </c>
      <c r="N66">
        <v>1</v>
      </c>
      <c r="O66">
        <v>1</v>
      </c>
      <c r="P66">
        <v>1</v>
      </c>
      <c r="Q66" t="s">
        <v>32</v>
      </c>
      <c r="R66">
        <v>1</v>
      </c>
      <c r="S66">
        <v>0</v>
      </c>
      <c r="T66" t="s">
        <v>858</v>
      </c>
      <c r="U66" t="s">
        <v>858</v>
      </c>
      <c r="V66" t="s">
        <v>858</v>
      </c>
      <c r="W66" t="s">
        <v>858</v>
      </c>
      <c r="X66">
        <v>0</v>
      </c>
      <c r="Y66" t="s">
        <v>858</v>
      </c>
      <c r="Z66">
        <v>0</v>
      </c>
      <c r="AA66" t="s">
        <v>858</v>
      </c>
      <c r="AB66" t="s">
        <v>858</v>
      </c>
      <c r="AC66" t="s">
        <v>858</v>
      </c>
      <c r="AD66" t="s">
        <v>858</v>
      </c>
      <c r="AE66">
        <v>0</v>
      </c>
      <c r="AF66" t="s">
        <v>858</v>
      </c>
      <c r="AG66" t="s">
        <v>321</v>
      </c>
      <c r="AH66" t="s">
        <v>858</v>
      </c>
    </row>
    <row r="67" spans="1:34" x14ac:dyDescent="0.25">
      <c r="A67" s="557">
        <v>12.484</v>
      </c>
      <c r="B67" t="s">
        <v>700</v>
      </c>
      <c r="C67" t="s">
        <v>413</v>
      </c>
      <c r="D67" t="s">
        <v>420</v>
      </c>
      <c r="E67" t="s">
        <v>858</v>
      </c>
      <c r="F67" t="s">
        <v>858</v>
      </c>
      <c r="G67" t="s">
        <v>259</v>
      </c>
      <c r="H67" t="s">
        <v>414</v>
      </c>
      <c r="I67" t="s">
        <v>41</v>
      </c>
      <c r="J67" t="s">
        <v>858</v>
      </c>
      <c r="K67">
        <v>1</v>
      </c>
      <c r="L67">
        <v>1</v>
      </c>
      <c r="M67" t="s">
        <v>44</v>
      </c>
      <c r="N67">
        <v>1</v>
      </c>
      <c r="O67">
        <v>1</v>
      </c>
      <c r="P67">
        <v>1</v>
      </c>
      <c r="Q67" t="s">
        <v>32</v>
      </c>
      <c r="R67">
        <v>1</v>
      </c>
      <c r="S67">
        <v>0</v>
      </c>
      <c r="T67" t="s">
        <v>858</v>
      </c>
      <c r="U67" t="s">
        <v>858</v>
      </c>
      <c r="V67" t="s">
        <v>858</v>
      </c>
      <c r="W67" t="s">
        <v>858</v>
      </c>
      <c r="X67">
        <v>0</v>
      </c>
      <c r="Y67" t="s">
        <v>858</v>
      </c>
      <c r="Z67">
        <v>0</v>
      </c>
      <c r="AA67" t="s">
        <v>858</v>
      </c>
      <c r="AB67" t="s">
        <v>858</v>
      </c>
      <c r="AC67" t="s">
        <v>858</v>
      </c>
      <c r="AD67" t="s">
        <v>858</v>
      </c>
      <c r="AE67">
        <v>0</v>
      </c>
      <c r="AF67" t="s">
        <v>858</v>
      </c>
      <c r="AG67" t="s">
        <v>277</v>
      </c>
      <c r="AH67" t="s">
        <v>858</v>
      </c>
    </row>
    <row r="68" spans="1:34" x14ac:dyDescent="0.25">
      <c r="A68" s="557">
        <v>12.488</v>
      </c>
      <c r="B68" t="s">
        <v>704</v>
      </c>
      <c r="C68" t="s">
        <v>314</v>
      </c>
      <c r="D68" t="s">
        <v>425</v>
      </c>
      <c r="E68" t="s">
        <v>858</v>
      </c>
      <c r="F68" t="s">
        <v>858</v>
      </c>
      <c r="G68" t="s">
        <v>284</v>
      </c>
      <c r="H68" t="s">
        <v>875</v>
      </c>
      <c r="I68" t="s">
        <v>41</v>
      </c>
      <c r="J68" t="s">
        <v>858</v>
      </c>
      <c r="K68">
        <v>1</v>
      </c>
      <c r="L68">
        <v>1</v>
      </c>
      <c r="M68" t="s">
        <v>44</v>
      </c>
      <c r="N68">
        <v>1</v>
      </c>
      <c r="O68">
        <v>1</v>
      </c>
      <c r="P68">
        <v>1</v>
      </c>
      <c r="Q68" t="s">
        <v>32</v>
      </c>
      <c r="R68">
        <v>1</v>
      </c>
      <c r="S68">
        <v>0</v>
      </c>
      <c r="T68" t="s">
        <v>858</v>
      </c>
      <c r="U68" t="s">
        <v>858</v>
      </c>
      <c r="V68" t="s">
        <v>858</v>
      </c>
      <c r="W68" t="s">
        <v>858</v>
      </c>
      <c r="X68">
        <v>0</v>
      </c>
      <c r="Y68" t="s">
        <v>858</v>
      </c>
      <c r="Z68">
        <v>0</v>
      </c>
      <c r="AA68" t="s">
        <v>858</v>
      </c>
      <c r="AB68" t="s">
        <v>858</v>
      </c>
      <c r="AC68" t="s">
        <v>858</v>
      </c>
      <c r="AD68" t="s">
        <v>858</v>
      </c>
      <c r="AE68">
        <v>0</v>
      </c>
      <c r="AF68" t="s">
        <v>858</v>
      </c>
      <c r="AG68" t="s">
        <v>321</v>
      </c>
      <c r="AH68" t="s">
        <v>858</v>
      </c>
    </row>
    <row r="69" spans="1:34" x14ac:dyDescent="0.25">
      <c r="A69" s="557">
        <v>12.499000000000001</v>
      </c>
      <c r="B69" t="s">
        <v>715</v>
      </c>
      <c r="C69" t="s">
        <v>318</v>
      </c>
      <c r="D69" t="s">
        <v>420</v>
      </c>
      <c r="E69" t="s">
        <v>858</v>
      </c>
      <c r="F69" t="s">
        <v>858</v>
      </c>
      <c r="G69" t="s">
        <v>280</v>
      </c>
      <c r="H69" t="s">
        <v>844</v>
      </c>
      <c r="I69" t="s">
        <v>41</v>
      </c>
      <c r="J69" t="s">
        <v>322</v>
      </c>
      <c r="K69">
        <v>1</v>
      </c>
      <c r="L69">
        <v>2</v>
      </c>
      <c r="M69" t="s">
        <v>44</v>
      </c>
      <c r="N69">
        <v>1</v>
      </c>
      <c r="O69">
        <v>1</v>
      </c>
      <c r="P69">
        <v>0.5</v>
      </c>
      <c r="Q69" t="s">
        <v>32</v>
      </c>
      <c r="R69">
        <v>1</v>
      </c>
      <c r="S69">
        <v>0</v>
      </c>
      <c r="T69" t="s">
        <v>858</v>
      </c>
      <c r="U69" t="s">
        <v>858</v>
      </c>
      <c r="V69" t="s">
        <v>858</v>
      </c>
      <c r="W69" t="s">
        <v>858</v>
      </c>
      <c r="X69">
        <v>0</v>
      </c>
      <c r="Y69" t="s">
        <v>858</v>
      </c>
      <c r="Z69">
        <v>0</v>
      </c>
      <c r="AA69" t="s">
        <v>858</v>
      </c>
      <c r="AB69" t="s">
        <v>858</v>
      </c>
      <c r="AC69" t="s">
        <v>858</v>
      </c>
      <c r="AD69" t="s">
        <v>858</v>
      </c>
      <c r="AE69">
        <v>0</v>
      </c>
      <c r="AF69" t="s">
        <v>858</v>
      </c>
      <c r="AG69" t="s">
        <v>321</v>
      </c>
      <c r="AH69" t="s">
        <v>858</v>
      </c>
    </row>
    <row r="70" spans="1:34" x14ac:dyDescent="0.25">
      <c r="A70" s="558"/>
      <c r="B70" s="324"/>
      <c r="C70" s="324"/>
      <c r="D70" s="325"/>
      <c r="E70" s="324"/>
      <c r="F70" s="324"/>
      <c r="G70" s="243"/>
      <c r="H70" s="403"/>
      <c r="I70" s="428"/>
      <c r="J70" s="324"/>
      <c r="K70" s="325"/>
      <c r="L70" s="325"/>
      <c r="M70" s="406"/>
      <c r="N70" s="443"/>
      <c r="O70" s="444"/>
      <c r="P70" s="445"/>
      <c r="Q70" s="428"/>
      <c r="R70" s="325"/>
      <c r="S70" s="470"/>
      <c r="T70" s="460"/>
      <c r="U70" s="460"/>
      <c r="V70" s="460"/>
      <c r="W70" s="460"/>
      <c r="X70" s="471"/>
      <c r="Y70" s="429"/>
      <c r="Z70" s="459"/>
      <c r="AA70" s="460"/>
      <c r="AB70" s="460"/>
      <c r="AC70" s="460"/>
      <c r="AD70" s="460"/>
      <c r="AE70" s="461"/>
      <c r="AF70" s="324"/>
      <c r="AG70" s="430"/>
      <c r="AH70" s="326"/>
    </row>
    <row r="71" spans="1:34" x14ac:dyDescent="0.25">
      <c r="A71" s="323"/>
      <c r="B71" s="324"/>
      <c r="C71" s="324"/>
      <c r="D71" s="325"/>
      <c r="E71" s="324"/>
      <c r="F71" s="324"/>
      <c r="G71" s="243"/>
      <c r="H71" s="403"/>
      <c r="I71" s="428"/>
      <c r="J71" s="324"/>
      <c r="K71" s="325"/>
      <c r="L71" s="325"/>
      <c r="M71" s="406"/>
      <c r="N71" s="443"/>
      <c r="O71" s="444"/>
      <c r="P71" s="445"/>
      <c r="Q71" s="428"/>
      <c r="R71" s="325"/>
      <c r="S71" s="470"/>
      <c r="T71" s="460"/>
      <c r="U71" s="460"/>
      <c r="V71" s="460"/>
      <c r="W71" s="460"/>
      <c r="X71" s="471"/>
      <c r="Y71" s="429"/>
      <c r="Z71" s="459"/>
      <c r="AA71" s="460"/>
      <c r="AB71" s="460"/>
      <c r="AC71" s="460"/>
      <c r="AD71" s="460"/>
      <c r="AE71" s="461"/>
      <c r="AF71" s="324"/>
      <c r="AG71" s="430"/>
      <c r="AH71" s="326"/>
    </row>
    <row r="72" spans="1:34" x14ac:dyDescent="0.25">
      <c r="A72" s="323"/>
      <c r="B72" s="324"/>
      <c r="C72" s="324"/>
      <c r="D72" s="325"/>
      <c r="E72" s="324"/>
      <c r="F72" s="324"/>
      <c r="G72" s="243"/>
      <c r="H72" s="403"/>
      <c r="I72" s="428"/>
      <c r="J72" s="324"/>
      <c r="K72" s="325"/>
      <c r="L72" s="325"/>
      <c r="M72" s="406"/>
      <c r="N72" s="443"/>
      <c r="O72" s="444"/>
      <c r="P72" s="445"/>
      <c r="Q72" s="428"/>
      <c r="R72" s="325"/>
      <c r="S72" s="470"/>
      <c r="T72" s="460"/>
      <c r="U72" s="460"/>
      <c r="V72" s="460"/>
      <c r="W72" s="460"/>
      <c r="X72" s="471"/>
      <c r="Y72" s="429"/>
      <c r="Z72" s="459"/>
      <c r="AA72" s="460"/>
      <c r="AB72" s="460"/>
      <c r="AC72" s="460"/>
      <c r="AD72" s="460"/>
      <c r="AE72" s="461"/>
      <c r="AF72" s="324"/>
      <c r="AG72" s="430"/>
      <c r="AH72" s="326"/>
    </row>
    <row r="73" spans="1:34" x14ac:dyDescent="0.25">
      <c r="A73" s="323"/>
      <c r="B73" s="324"/>
      <c r="C73" s="324"/>
      <c r="D73" s="325"/>
      <c r="E73" s="324"/>
      <c r="F73" s="324"/>
      <c r="G73" s="243"/>
      <c r="H73" s="403"/>
      <c r="I73" s="428"/>
      <c r="J73" s="324"/>
      <c r="K73" s="325"/>
      <c r="L73" s="325"/>
      <c r="M73" s="406"/>
      <c r="N73" s="443"/>
      <c r="O73" s="444"/>
      <c r="P73" s="445"/>
      <c r="Q73" s="428"/>
      <c r="R73" s="325"/>
      <c r="S73" s="470"/>
      <c r="T73" s="460"/>
      <c r="U73" s="460"/>
      <c r="V73" s="460"/>
      <c r="W73" s="460"/>
      <c r="X73" s="471"/>
      <c r="Y73" s="429"/>
      <c r="Z73" s="459"/>
      <c r="AA73" s="460"/>
      <c r="AB73" s="460"/>
      <c r="AC73" s="460"/>
      <c r="AD73" s="460"/>
      <c r="AE73" s="461"/>
      <c r="AF73" s="324"/>
      <c r="AG73" s="430"/>
      <c r="AH73" s="326"/>
    </row>
    <row r="74" spans="1:34" x14ac:dyDescent="0.25">
      <c r="A74" s="323"/>
      <c r="B74" s="324"/>
      <c r="C74" s="324"/>
      <c r="D74" s="325"/>
      <c r="E74" s="324"/>
      <c r="F74" s="324"/>
      <c r="G74" s="243"/>
      <c r="H74" s="403"/>
      <c r="I74" s="428"/>
      <c r="J74" s="324"/>
      <c r="K74" s="325"/>
      <c r="L74" s="325"/>
      <c r="M74" s="406"/>
      <c r="N74" s="443"/>
      <c r="O74" s="444"/>
      <c r="P74" s="445"/>
      <c r="Q74" s="428"/>
      <c r="R74" s="325"/>
      <c r="S74" s="470"/>
      <c r="T74" s="460"/>
      <c r="U74" s="460"/>
      <c r="V74" s="460"/>
      <c r="W74" s="460"/>
      <c r="X74" s="471"/>
      <c r="Y74" s="429"/>
      <c r="Z74" s="459"/>
      <c r="AA74" s="460"/>
      <c r="AB74" s="460"/>
      <c r="AC74" s="460"/>
      <c r="AD74" s="460"/>
      <c r="AE74" s="461"/>
      <c r="AF74" s="324"/>
      <c r="AG74" s="430"/>
      <c r="AH74" s="326"/>
    </row>
    <row r="75" spans="1:34" x14ac:dyDescent="0.25">
      <c r="A75" s="354"/>
      <c r="B75" s="355"/>
      <c r="C75" s="355"/>
      <c r="D75" s="356"/>
      <c r="E75" s="355"/>
      <c r="F75" s="355"/>
      <c r="G75" s="356"/>
      <c r="H75" s="404"/>
      <c r="I75" s="547"/>
      <c r="J75" s="355"/>
      <c r="K75" s="355"/>
      <c r="L75" s="357"/>
      <c r="M75" s="358"/>
      <c r="N75" s="446"/>
      <c r="O75" s="447"/>
      <c r="P75" s="445"/>
      <c r="Q75" s="364"/>
      <c r="R75" s="365"/>
      <c r="S75" s="472"/>
      <c r="T75" s="473"/>
      <c r="U75" s="473"/>
      <c r="V75" s="473"/>
      <c r="W75" s="473"/>
      <c r="X75" s="474"/>
      <c r="Y75" s="366"/>
      <c r="Z75" s="462"/>
      <c r="AA75" s="463"/>
      <c r="AB75" s="463"/>
      <c r="AC75" s="463"/>
      <c r="AD75" s="463"/>
      <c r="AE75" s="464"/>
      <c r="AF75" s="370"/>
      <c r="AG75" s="370"/>
      <c r="AH75" s="374"/>
    </row>
    <row r="76" spans="1:34" x14ac:dyDescent="0.25">
      <c r="A76" s="354"/>
      <c r="B76" s="355"/>
      <c r="C76" s="355"/>
      <c r="D76" s="356"/>
      <c r="E76" s="355"/>
      <c r="F76" s="355"/>
      <c r="G76" s="356"/>
      <c r="H76" s="404"/>
      <c r="I76" s="547"/>
      <c r="J76" s="355"/>
      <c r="K76" s="355"/>
      <c r="L76" s="357"/>
      <c r="M76" s="358"/>
      <c r="N76" s="446"/>
      <c r="O76" s="447"/>
      <c r="P76" s="445"/>
      <c r="Q76" s="364"/>
      <c r="R76" s="365"/>
      <c r="S76" s="472"/>
      <c r="T76" s="473"/>
      <c r="U76" s="473"/>
      <c r="V76" s="473"/>
      <c r="W76" s="473"/>
      <c r="X76" s="474"/>
      <c r="Y76" s="366"/>
      <c r="Z76" s="462"/>
      <c r="AA76" s="463"/>
      <c r="AB76" s="463"/>
      <c r="AC76" s="463"/>
      <c r="AD76" s="463"/>
      <c r="AE76" s="464"/>
      <c r="AF76" s="370"/>
      <c r="AG76" s="370"/>
      <c r="AH76" s="374"/>
    </row>
    <row r="77" spans="1:34" ht="15.75" thickBot="1" x14ac:dyDescent="0.3">
      <c r="A77" s="359"/>
      <c r="B77" s="360"/>
      <c r="C77" s="360"/>
      <c r="D77" s="361"/>
      <c r="E77" s="360"/>
      <c r="F77" s="360"/>
      <c r="G77" s="361"/>
      <c r="H77" s="405"/>
      <c r="I77" s="547"/>
      <c r="J77" s="360"/>
      <c r="K77" s="360"/>
      <c r="L77" s="362"/>
      <c r="M77" s="363"/>
      <c r="N77" s="448"/>
      <c r="O77" s="449"/>
      <c r="P77" s="450"/>
      <c r="Q77" s="367"/>
      <c r="R77" s="368"/>
      <c r="S77" s="475"/>
      <c r="T77" s="476"/>
      <c r="U77" s="476"/>
      <c r="V77" s="476"/>
      <c r="W77" s="476"/>
      <c r="X77" s="477"/>
      <c r="Y77" s="369"/>
      <c r="Z77" s="465"/>
      <c r="AA77" s="466"/>
      <c r="AB77" s="466"/>
      <c r="AC77" s="466"/>
      <c r="AD77" s="466"/>
      <c r="AE77" s="467"/>
      <c r="AF77" s="371"/>
      <c r="AG77" s="371"/>
      <c r="AH77" s="375"/>
    </row>
    <row r="78" spans="1:34" x14ac:dyDescent="0.25">
      <c r="A78" s="613" t="s">
        <v>416</v>
      </c>
      <c r="B78" s="614"/>
      <c r="C78" s="614"/>
      <c r="D78" s="614"/>
      <c r="E78" s="614"/>
      <c r="F78" s="614"/>
      <c r="G78" s="614"/>
      <c r="H78" s="614"/>
      <c r="I78" s="614"/>
      <c r="J78" s="614"/>
      <c r="K78" s="614"/>
      <c r="L78" s="614"/>
      <c r="M78" s="614"/>
      <c r="N78" s="614"/>
      <c r="O78" s="614"/>
      <c r="P78" s="614"/>
      <c r="Q78" s="614"/>
      <c r="R78" s="614"/>
      <c r="S78" s="614"/>
      <c r="T78" s="614"/>
      <c r="U78" s="614"/>
      <c r="V78" s="614"/>
      <c r="W78" s="614"/>
      <c r="X78" s="614"/>
      <c r="Y78" s="614"/>
      <c r="Z78" s="614"/>
      <c r="AA78" s="614"/>
      <c r="AB78" s="614"/>
      <c r="AC78" s="614"/>
      <c r="AD78" s="614"/>
      <c r="AE78" s="614"/>
      <c r="AF78" s="614"/>
      <c r="AG78" s="614"/>
      <c r="AH78" s="615"/>
    </row>
    <row r="79" spans="1:34" ht="15.75" thickBot="1" x14ac:dyDescent="0.3">
      <c r="A79" s="616"/>
      <c r="B79" s="617"/>
      <c r="C79" s="617"/>
      <c r="D79" s="617"/>
      <c r="E79" s="617"/>
      <c r="F79" s="617"/>
      <c r="G79" s="617"/>
      <c r="H79" s="617"/>
      <c r="I79" s="617"/>
      <c r="J79" s="617"/>
      <c r="K79" s="617"/>
      <c r="L79" s="617"/>
      <c r="M79" s="617"/>
      <c r="N79" s="617"/>
      <c r="O79" s="617"/>
      <c r="P79" s="617"/>
      <c r="Q79" s="617"/>
      <c r="R79" s="617"/>
      <c r="S79" s="617"/>
      <c r="T79" s="617"/>
      <c r="U79" s="617"/>
      <c r="V79" s="617"/>
      <c r="W79" s="617"/>
      <c r="X79" s="617"/>
      <c r="Y79" s="617"/>
      <c r="Z79" s="617"/>
      <c r="AA79" s="617"/>
      <c r="AB79" s="617"/>
      <c r="AC79" s="617"/>
      <c r="AD79" s="617"/>
      <c r="AE79" s="617"/>
      <c r="AF79" s="617"/>
      <c r="AG79" s="617"/>
      <c r="AH79" s="618"/>
    </row>
    <row r="80" spans="1:34" ht="19.5" thickBot="1" x14ac:dyDescent="0.3">
      <c r="A80" s="623" t="s">
        <v>302</v>
      </c>
      <c r="B80" s="624"/>
      <c r="C80" s="624"/>
      <c r="D80" s="624"/>
      <c r="E80" s="624"/>
      <c r="F80" s="624"/>
      <c r="G80" s="624"/>
      <c r="H80" s="624"/>
      <c r="I80" s="624"/>
      <c r="J80" s="625"/>
      <c r="K80" s="387">
        <f>SUM(K6:K77)</f>
        <v>65</v>
      </c>
      <c r="L80" s="387">
        <f>SUM(L6:L77)</f>
        <v>349</v>
      </c>
      <c r="M80" s="388"/>
      <c r="N80" s="451">
        <f>SUMPRODUCT(K6:K77,N6:N77)/K80</f>
        <v>1</v>
      </c>
      <c r="O80" s="452">
        <f>SUM(O6:O77)</f>
        <v>343.3</v>
      </c>
      <c r="P80" s="453">
        <f>SUMPRODUCT(K6:K77,P6:P77)/K80</f>
        <v>0.94692307692307687</v>
      </c>
      <c r="Q80" s="389"/>
      <c r="R80" s="390">
        <f>SUM(R6:R77)</f>
        <v>236</v>
      </c>
      <c r="S80" s="454">
        <f>SUM(S6:S77)</f>
        <v>181</v>
      </c>
      <c r="T80" s="454">
        <f>SUM(T6:T77)</f>
        <v>177</v>
      </c>
      <c r="U80" s="390">
        <f>SUM(U6:U77)</f>
        <v>0</v>
      </c>
      <c r="V80" s="390">
        <f>SUM(V6:V77)</f>
        <v>4</v>
      </c>
      <c r="W80" s="390">
        <f>SUM(W6:W77)</f>
        <v>0</v>
      </c>
      <c r="X80" s="455">
        <f>IF((R80=1),0,((T80+U80)/R80*100%))</f>
        <v>0.75</v>
      </c>
      <c r="Y80" s="391"/>
      <c r="Z80" s="456">
        <f>SUM(Z6:Z77)</f>
        <v>57</v>
      </c>
      <c r="AA80" s="457">
        <f>SUM(AA6:AA77)</f>
        <v>55</v>
      </c>
      <c r="AB80" s="457">
        <f>SUM(AB6:AB77)</f>
        <v>0</v>
      </c>
      <c r="AC80" s="457">
        <f>SUM(AC6:AC77)</f>
        <v>2</v>
      </c>
      <c r="AD80" s="457">
        <f>SUM(AD6:AD77)</f>
        <v>0</v>
      </c>
      <c r="AE80" s="458">
        <f>IF((L80=0),1,((AA80+AB80)/L80*100%))</f>
        <v>0.15759312320916904</v>
      </c>
      <c r="AF80" s="392"/>
      <c r="AG80" s="392"/>
      <c r="AH80" s="393"/>
    </row>
    <row r="82" spans="12:12" x14ac:dyDescent="0.25">
      <c r="L82" s="170" t="s">
        <v>417</v>
      </c>
    </row>
  </sheetData>
  <sheetProtection insertColumns="0" insertRows="0" deleteRows="0" sort="0"/>
  <autoFilter ref="A5:AH80" xr:uid="{00000000-0009-0000-0000-000002000000}"/>
  <mergeCells count="9">
    <mergeCell ref="A78:AH79"/>
    <mergeCell ref="A1:AH1"/>
    <mergeCell ref="A3:AH3"/>
    <mergeCell ref="A2:J2"/>
    <mergeCell ref="A80:J80"/>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Q75:Q77</xm:sqref>
        </x14:dataValidation>
        <x14:dataValidation type="list" allowBlank="1" showInputMessage="1" showErrorMessage="1" xr:uid="{5513F172-4253-4807-A8CE-34D720193895}">
          <x14:formula1>
            <xm:f>'List Options'!$G$1:$G$3</xm:f>
          </x14:formula1>
          <xm:sqref>M6:M77</xm:sqref>
        </x14:dataValidation>
        <x14:dataValidation type="list" allowBlank="1" showInputMessage="1" showErrorMessage="1" xr:uid="{237AC15D-702E-46B4-89E7-DAB1EF5DAEB1}">
          <x14:formula1>
            <xm:f>'List Options'!$E$1:$E$7</xm:f>
          </x14:formula1>
          <xm:sqref>Q6:Q74</xm:sqref>
        </x14:dataValidation>
        <x14:dataValidation type="list" allowBlank="1" showInputMessage="1" showErrorMessage="1" xr:uid="{8B92A7F6-7ABF-446A-A0A1-23D59ABEAA7C}">
          <x14:formula1>
            <xm:f>'List Options'!$K$1:$K$6</xm:f>
          </x14:formula1>
          <xm:sqref>I6:I77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32" activePane="bottomRight" state="frozen"/>
      <selection pane="topRight" activeCell="B1" sqref="B1"/>
      <selection pane="bottomLeft" activeCell="A4" sqref="A4"/>
      <selection pane="bottomRight" activeCell="B37" sqref="B37"/>
    </sheetView>
  </sheetViews>
  <sheetFormatPr defaultColWidth="8.5703125" defaultRowHeight="15" x14ac:dyDescent="0.25"/>
  <cols>
    <col min="1" max="1" width="27.5703125" customWidth="1"/>
    <col min="2" max="2" width="15.5703125" bestFit="1" customWidth="1"/>
    <col min="3" max="3" width="27.5703125" bestFit="1" customWidth="1"/>
    <col min="4" max="4" width="6" bestFit="1" customWidth="1"/>
    <col min="5" max="5" width="14.42578125" bestFit="1" customWidth="1"/>
    <col min="6" max="6" width="15.42578125" bestFit="1" customWidth="1"/>
    <col min="7" max="8" width="9.42578125" customWidth="1"/>
    <col min="9" max="9" width="9.42578125" hidden="1" customWidth="1"/>
    <col min="10" max="10" width="9.42578125" customWidth="1"/>
    <col min="11" max="11" width="9.42578125" hidden="1" customWidth="1"/>
    <col min="12" max="14" width="11.42578125" customWidth="1"/>
    <col min="15" max="15" width="9.42578125" customWidth="1"/>
    <col min="20" max="22" width="11.42578125" bestFit="1" customWidth="1"/>
  </cols>
  <sheetData>
    <row r="1" spans="1:22" ht="39" customHeight="1" thickBot="1" x14ac:dyDescent="0.3">
      <c r="A1" s="639" t="s">
        <v>418</v>
      </c>
      <c r="B1" s="640"/>
      <c r="C1" s="640"/>
      <c r="D1" s="640"/>
      <c r="E1" s="640"/>
      <c r="F1" s="640"/>
      <c r="G1" s="640"/>
      <c r="H1" s="640"/>
      <c r="I1" s="640"/>
      <c r="J1" s="640"/>
      <c r="K1" s="640"/>
      <c r="L1" s="640"/>
      <c r="M1" s="640"/>
      <c r="N1" s="640"/>
      <c r="O1" s="640"/>
      <c r="P1" s="640"/>
      <c r="Q1" s="640"/>
      <c r="R1" s="640"/>
      <c r="S1" s="640"/>
      <c r="T1" s="640"/>
      <c r="U1" s="640"/>
      <c r="V1" s="641"/>
    </row>
    <row r="2" spans="1:22" ht="15.75" thickBot="1" x14ac:dyDescent="0.3">
      <c r="A2" s="218" t="s">
        <v>419</v>
      </c>
      <c r="B2" s="642" t="s">
        <v>166</v>
      </c>
      <c r="C2" s="642"/>
      <c r="D2" s="642"/>
      <c r="E2" s="642"/>
      <c r="F2" s="642"/>
      <c r="G2" s="643" t="s">
        <v>177</v>
      </c>
      <c r="H2" s="644"/>
      <c r="I2" s="644"/>
      <c r="J2" s="644"/>
      <c r="K2" s="644"/>
      <c r="L2" s="644"/>
      <c r="M2" s="644"/>
      <c r="N2" s="645"/>
      <c r="O2" s="646" t="s">
        <v>144</v>
      </c>
      <c r="P2" s="647"/>
      <c r="Q2" s="647"/>
      <c r="R2" s="647"/>
      <c r="S2" s="647"/>
      <c r="T2" s="647"/>
      <c r="U2" s="647"/>
      <c r="V2" s="648"/>
    </row>
    <row r="3" spans="1:22" s="251" customFormat="1" ht="30.75" thickBot="1" x14ac:dyDescent="0.3">
      <c r="A3" s="255" t="s">
        <v>88</v>
      </c>
      <c r="B3" s="312" t="s">
        <v>167</v>
      </c>
      <c r="C3" s="313" t="s">
        <v>128</v>
      </c>
      <c r="D3" s="314" t="s">
        <v>105</v>
      </c>
      <c r="E3" s="314" t="s">
        <v>173</v>
      </c>
      <c r="F3" s="315" t="s">
        <v>175</v>
      </c>
      <c r="G3" s="316" t="s">
        <v>132</v>
      </c>
      <c r="H3" s="317" t="s">
        <v>30</v>
      </c>
      <c r="I3" s="317" t="s">
        <v>135</v>
      </c>
      <c r="J3" s="317" t="s">
        <v>36</v>
      </c>
      <c r="K3" s="317" t="s">
        <v>138</v>
      </c>
      <c r="L3" s="317" t="s">
        <v>184</v>
      </c>
      <c r="M3" s="317" t="s">
        <v>140</v>
      </c>
      <c r="N3" s="318" t="s">
        <v>187</v>
      </c>
      <c r="O3" s="319" t="s">
        <v>132</v>
      </c>
      <c r="P3" s="320" t="s">
        <v>30</v>
      </c>
      <c r="Q3" s="320" t="s">
        <v>135</v>
      </c>
      <c r="R3" s="320" t="s">
        <v>36</v>
      </c>
      <c r="S3" s="320" t="s">
        <v>138</v>
      </c>
      <c r="T3" s="320" t="s">
        <v>184</v>
      </c>
      <c r="U3" s="320" t="s">
        <v>140</v>
      </c>
      <c r="V3" s="321" t="s">
        <v>187</v>
      </c>
    </row>
    <row r="4" spans="1:22" x14ac:dyDescent="0.25">
      <c r="A4" s="335" t="s">
        <v>420</v>
      </c>
      <c r="B4" s="252">
        <f>SUMIFS('Diags Raw Data'!$L$6:$L$4694,'Diags Raw Data'!$D$6:$D$4694,$A4)</f>
        <v>29</v>
      </c>
      <c r="C4" s="242">
        <f>SUMIFS('Diags Raw Data'!$R$6:$R$4694,'Diags Raw Data'!$D$6:$D$4694,$A4)</f>
        <v>17</v>
      </c>
      <c r="D4" s="242">
        <f>SUMIFS('Diags Raw Data'!$K$6:$K$4694,'Diags Raw Data'!$D$6:$D$4694,$A4)</f>
        <v>14</v>
      </c>
      <c r="E4" s="242">
        <f>SUMIFS('Diags Raw Data'!$O$6:$O$4694,'Diags Raw Data'!$D$6:$D$4694,$A4)</f>
        <v>28</v>
      </c>
      <c r="F4" s="248">
        <f>IF(NOT($B4=0), E4/$B4, "---")</f>
        <v>0.96551724137931039</v>
      </c>
      <c r="G4" s="220">
        <f>SUMIFS('Diags Raw Data'!$S$6:$S$4694,'Diags Raw Data'!$D$6:$D$4694,$A4)</f>
        <v>9</v>
      </c>
      <c r="H4" s="221">
        <f>SUMIFS('Diags Raw Data'!$T$6:$T$4694,'Diags Raw Data'!$D$6:$D$4694,$A4)</f>
        <v>9</v>
      </c>
      <c r="I4" s="223">
        <f>SUMIFS('Diags Raw Data'!$U$6:$U$4694,'Diags Raw Data'!$D$6:$D$4694,$A4)</f>
        <v>0</v>
      </c>
      <c r="J4" s="221">
        <f>SUMIFS('Diags Raw Data'!$V$6:$V$4694,'Diags Raw Data'!$D$6:$D$4694,$A4)</f>
        <v>0</v>
      </c>
      <c r="K4" s="223">
        <f>SUMIFS('Diags Raw Data'!$W$6:$W$4694,'Diags Raw Data'!$D$6:$D$4694,$A4)</f>
        <v>0</v>
      </c>
      <c r="L4" s="222">
        <f>IF(NOT($C4=0), G4/$C4, "---")</f>
        <v>0.52941176470588236</v>
      </c>
      <c r="M4" s="224">
        <f>IF(NOT($G4=0), (H4+I4)/$G4, "---")</f>
        <v>1</v>
      </c>
      <c r="N4" s="226">
        <f>IF(NOT($C4=0), (H4+I4)/$C4, "---")</f>
        <v>0.52941176470588236</v>
      </c>
      <c r="O4" s="213">
        <f>SUMIFS('Diags Raw Data'!$Z$6:$Z$4694,'Diags Raw Data'!$D$6:$D$4694,$A4)</f>
        <v>5</v>
      </c>
      <c r="P4" s="210">
        <f>SUMIFS('Diags Raw Data'!$AA$6:$AA$4694,'Diags Raw Data'!$D$6:$D$4694,$A4)</f>
        <v>5</v>
      </c>
      <c r="Q4" s="212">
        <f>SUMIFS('Diags Raw Data'!$AB$6:$AB$4694,'Diags Raw Data'!$D$6:$D$4694,$A4)</f>
        <v>0</v>
      </c>
      <c r="R4" s="210">
        <f>SUMIFS('Diags Raw Data'!$AC$6:$AC$4694,'Diags Raw Data'!$D$6:$D$4694,$A4)</f>
        <v>0</v>
      </c>
      <c r="S4" s="212">
        <f>SUMIFS('Diags Raw Data'!$AD$6:$AD$4694,'Diags Raw Data'!$D$6:$D$4694,$A4)</f>
        <v>0</v>
      </c>
      <c r="T4" s="211">
        <f>IF(NOT($B4=0), O4/$B4, "---")</f>
        <v>0.17241379310344829</v>
      </c>
      <c r="U4" s="225">
        <f>IF(NOT($O4=0), (P4+Q4)/$O4, "---")</f>
        <v>1</v>
      </c>
      <c r="V4" s="241">
        <f>IF(NOT($B4=0), (P4+Q4)/$B4, "---")</f>
        <v>0.17241379310344829</v>
      </c>
    </row>
    <row r="5" spans="1:22" x14ac:dyDescent="0.25">
      <c r="A5" s="335" t="s">
        <v>421</v>
      </c>
      <c r="B5" s="253">
        <f>SUMIFS('Diags Raw Data'!$L$6:$L$4694,'Diags Raw Data'!$D$6:$D$4694,$A5)</f>
        <v>18</v>
      </c>
      <c r="C5" s="243">
        <f>SUMIFS('Diags Raw Data'!$R$6:$R$4694,'Diags Raw Data'!$D$6:$D$4694,$A5)</f>
        <v>15</v>
      </c>
      <c r="D5" s="243">
        <f>SUMIFS('Diags Raw Data'!$K$6:$K$4694,'Diags Raw Data'!$D$6:$D$4694,$A5)</f>
        <v>8</v>
      </c>
      <c r="E5" s="243">
        <f>SUMIFS('Diags Raw Data'!$O$6:$O$4694,'Diags Raw Data'!$D$6:$D$4694,$A5)</f>
        <v>14</v>
      </c>
      <c r="F5" s="249">
        <f t="shared" ref="F5:F12" si="0">IF(NOT($B5=0), E5/$B5, "---")</f>
        <v>0.77777777777777779</v>
      </c>
      <c r="G5" s="231">
        <f>SUMIFS('Diags Raw Data'!$S$6:$S$4694,'Diags Raw Data'!$D$6:$D$4694,$A5)</f>
        <v>8</v>
      </c>
      <c r="H5" s="227">
        <f>SUMIFS('Diags Raw Data'!$T$6:$T$4694,'Diags Raw Data'!$D$6:$D$4694,$A5)</f>
        <v>7</v>
      </c>
      <c r="I5" s="228">
        <f>SUMIFS('Diags Raw Data'!$U$6:$U$4694,'Diags Raw Data'!$D$6:$D$4694,$A5)</f>
        <v>0</v>
      </c>
      <c r="J5" s="227">
        <f>SUMIFS('Diags Raw Data'!$V$6:$V$4694,'Diags Raw Data'!$D$6:$D$4694,$A5)</f>
        <v>1</v>
      </c>
      <c r="K5" s="228">
        <f>SUMIFS('Diags Raw Data'!$W$6:$W$4694,'Diags Raw Data'!$D$6:$D$4694,$A5)</f>
        <v>0</v>
      </c>
      <c r="L5" s="244">
        <f t="shared" ref="L5:L13" si="1">IF(NOT($C5=0), G5/$C5, "---")</f>
        <v>0.53333333333333333</v>
      </c>
      <c r="M5" s="229">
        <f t="shared" ref="M5:M13" si="2">IF(NOT($G5=0), (H5+I5)/$G5, "---")</f>
        <v>0.875</v>
      </c>
      <c r="N5" s="238">
        <f t="shared" ref="N5:N12" si="3">IF(NOT($C5=0), (H5+I5)/$C5, "---")</f>
        <v>0.46666666666666667</v>
      </c>
      <c r="O5" s="214">
        <f>SUMIFS('Diags Raw Data'!$Z$6:$Z$4694,'Diags Raw Data'!$D$6:$D$4694,$A5)</f>
        <v>9</v>
      </c>
      <c r="P5" s="204">
        <f>SUMIFS('Diags Raw Data'!$AA$6:$AA$4694,'Diags Raw Data'!$D$6:$D$4694,$A5)</f>
        <v>7</v>
      </c>
      <c r="Q5" s="206">
        <f>SUMIFS('Diags Raw Data'!$AB$6:$AB$4694,'Diags Raw Data'!$D$6:$D$4694,$A5)</f>
        <v>0</v>
      </c>
      <c r="R5" s="204">
        <f>SUMIFS('Diags Raw Data'!$AC$6:$AC$4694,'Diags Raw Data'!$D$6:$D$4694,$A5)</f>
        <v>2</v>
      </c>
      <c r="S5" s="206">
        <f>SUMIFS('Diags Raw Data'!$AD$6:$AD$4694,'Diags Raw Data'!$D$6:$D$4694,$A5)</f>
        <v>0</v>
      </c>
      <c r="T5" s="205">
        <f t="shared" ref="T5:T13" si="4">IF(NOT($B5=0), O5/$B5, "---")</f>
        <v>0.5</v>
      </c>
      <c r="U5" s="230">
        <f t="shared" ref="U5:U8" si="5">IF(NOT($O5=0), (P5+Q5)/$O5, "---")</f>
        <v>0.77777777777777779</v>
      </c>
      <c r="V5" s="232">
        <f t="shared" ref="V5:V13" si="6">IF(NOT($B5=0), (P5+Q5)/$B5, "---")</f>
        <v>0.3888888888888889</v>
      </c>
    </row>
    <row r="6" spans="1:22" x14ac:dyDescent="0.25">
      <c r="A6" s="335" t="s">
        <v>422</v>
      </c>
      <c r="B6" s="253">
        <f>SUMIFS('Diags Raw Data'!$L$6:$L$4694,'Diags Raw Data'!$D$6:$D$4694,$A6)</f>
        <v>9</v>
      </c>
      <c r="C6" s="243">
        <f>SUMIFS('Diags Raw Data'!$R$6:$R$4694,'Diags Raw Data'!$D$6:$D$4694,$A6)</f>
        <v>8</v>
      </c>
      <c r="D6" s="243">
        <f>SUMIFS('Diags Raw Data'!$K$6:$K$4694,'Diags Raw Data'!$D$6:$D$4694,$A6)</f>
        <v>5</v>
      </c>
      <c r="E6" s="243">
        <f>SUMIFS('Diags Raw Data'!$O$6:$O$4694,'Diags Raw Data'!$D$6:$D$4694,$A6)</f>
        <v>8.5</v>
      </c>
      <c r="F6" s="249">
        <f t="shared" si="0"/>
        <v>0.94444444444444442</v>
      </c>
      <c r="G6" s="231">
        <f>SUMIFS('Diags Raw Data'!$S$6:$S$4694,'Diags Raw Data'!$D$6:$D$4694,$A6)</f>
        <v>8</v>
      </c>
      <c r="H6" s="227">
        <f>SUMIFS('Diags Raw Data'!$T$6:$T$4694,'Diags Raw Data'!$D$6:$D$4694,$A6)</f>
        <v>7</v>
      </c>
      <c r="I6" s="228">
        <f>SUMIFS('Diags Raw Data'!$U$6:$U$4694,'Diags Raw Data'!$D$6:$D$4694,$A6)</f>
        <v>0</v>
      </c>
      <c r="J6" s="227">
        <f>SUMIFS('Diags Raw Data'!$V$6:$V$4694,'Diags Raw Data'!$D$6:$D$4694,$A6)</f>
        <v>1</v>
      </c>
      <c r="K6" s="228">
        <f>SUMIFS('Diags Raw Data'!$W$6:$W$4694,'Diags Raw Data'!$D$6:$D$4694,$A6)</f>
        <v>0</v>
      </c>
      <c r="L6" s="244">
        <f t="shared" si="1"/>
        <v>1</v>
      </c>
      <c r="M6" s="229">
        <f t="shared" si="2"/>
        <v>0.875</v>
      </c>
      <c r="N6" s="238">
        <f t="shared" si="3"/>
        <v>0.875</v>
      </c>
      <c r="O6" s="214">
        <f>SUMIFS('Diags Raw Data'!$Z$6:$Z$4694,'Diags Raw Data'!$D$6:$D$4694,$A6)</f>
        <v>0</v>
      </c>
      <c r="P6" s="204">
        <f>SUMIFS('Diags Raw Data'!$AA$6:$AA$4694,'Diags Raw Data'!$D$6:$D$4694,$A6)</f>
        <v>0</v>
      </c>
      <c r="Q6" s="206">
        <f>SUMIFS('Diags Raw Data'!$AB$6:$AB$4694,'Diags Raw Data'!$D$6:$D$4694,$A6)</f>
        <v>0</v>
      </c>
      <c r="R6" s="204">
        <f>SUMIFS('Diags Raw Data'!$AC$6:$AC$4694,'Diags Raw Data'!$D$6:$D$4694,$A6)</f>
        <v>0</v>
      </c>
      <c r="S6" s="206">
        <f>SUMIFS('Diags Raw Data'!$AD$6:$AD$4694,'Diags Raw Data'!$D$6:$D$4694,$A6)</f>
        <v>0</v>
      </c>
      <c r="T6" s="205">
        <f t="shared" si="4"/>
        <v>0</v>
      </c>
      <c r="U6" s="230" t="str">
        <f t="shared" si="5"/>
        <v>---</v>
      </c>
      <c r="V6" s="232">
        <f t="shared" si="6"/>
        <v>0</v>
      </c>
    </row>
    <row r="7" spans="1:22" x14ac:dyDescent="0.25">
      <c r="A7" s="335" t="s">
        <v>423</v>
      </c>
      <c r="B7" s="253">
        <f>SUMIFS('Diags Raw Data'!$L$6:$L$4694,'Diags Raw Data'!$D$6:$D$4694,$A7)</f>
        <v>12</v>
      </c>
      <c r="C7" s="243">
        <f>SUMIFS('Diags Raw Data'!$R$6:$R$4694,'Diags Raw Data'!$D$6:$D$4694,$A7)</f>
        <v>10</v>
      </c>
      <c r="D7" s="243">
        <f>SUMIFS('Diags Raw Data'!$K$6:$K$4694,'Diags Raw Data'!$D$6:$D$4694,$A7)</f>
        <v>6</v>
      </c>
      <c r="E7" s="243">
        <f>SUMIFS('Diags Raw Data'!$O$6:$O$4694,'Diags Raw Data'!$D$6:$D$4694,$A7)</f>
        <v>12</v>
      </c>
      <c r="F7" s="249">
        <f t="shared" si="0"/>
        <v>1</v>
      </c>
      <c r="G7" s="231">
        <f>SUMIFS('Diags Raw Data'!$S$6:$S$4694,'Diags Raw Data'!$D$6:$D$4694,$A7)</f>
        <v>9</v>
      </c>
      <c r="H7" s="227">
        <f>SUMIFS('Diags Raw Data'!$T$6:$T$4694,'Diags Raw Data'!$D$6:$D$4694,$A7)</f>
        <v>7</v>
      </c>
      <c r="I7" s="228">
        <f>SUMIFS('Diags Raw Data'!$U$6:$U$4694,'Diags Raw Data'!$D$6:$D$4694,$A7)</f>
        <v>0</v>
      </c>
      <c r="J7" s="227">
        <f>SUMIFS('Diags Raw Data'!$V$6:$V$4694,'Diags Raw Data'!$D$6:$D$4694,$A7)</f>
        <v>2</v>
      </c>
      <c r="K7" s="228">
        <f>SUMIFS('Diags Raw Data'!$W$6:$W$4694,'Diags Raw Data'!$D$6:$D$4694,$A7)</f>
        <v>0</v>
      </c>
      <c r="L7" s="244">
        <f t="shared" si="1"/>
        <v>0.9</v>
      </c>
      <c r="M7" s="229">
        <f t="shared" si="2"/>
        <v>0.77777777777777779</v>
      </c>
      <c r="N7" s="238">
        <f t="shared" si="3"/>
        <v>0.7</v>
      </c>
      <c r="O7" s="214">
        <f>SUMIFS('Diags Raw Data'!$Z$6:$Z$4694,'Diags Raw Data'!$D$6:$D$4694,$A7)</f>
        <v>5</v>
      </c>
      <c r="P7" s="204">
        <f>SUMIFS('Diags Raw Data'!$AA$6:$AA$4694,'Diags Raw Data'!$D$6:$D$4694,$A7)</f>
        <v>5</v>
      </c>
      <c r="Q7" s="206">
        <f>SUMIFS('Diags Raw Data'!$AB$6:$AB$4694,'Diags Raw Data'!$D$6:$D$4694,$A7)</f>
        <v>0</v>
      </c>
      <c r="R7" s="204">
        <f>SUMIFS('Diags Raw Data'!$AC$6:$AC$4694,'Diags Raw Data'!$D$6:$D$4694,$A7)</f>
        <v>0</v>
      </c>
      <c r="S7" s="206">
        <f>SUMIFS('Diags Raw Data'!$AD$6:$AD$4694,'Diags Raw Data'!$D$6:$D$4694,$A7)</f>
        <v>0</v>
      </c>
      <c r="T7" s="205">
        <f t="shared" si="4"/>
        <v>0.41666666666666669</v>
      </c>
      <c r="U7" s="230">
        <f t="shared" si="5"/>
        <v>1</v>
      </c>
      <c r="V7" s="232">
        <f t="shared" si="6"/>
        <v>0.41666666666666669</v>
      </c>
    </row>
    <row r="8" spans="1:22" x14ac:dyDescent="0.25">
      <c r="A8" s="335" t="s">
        <v>424</v>
      </c>
      <c r="B8" s="253">
        <f>SUMIFS('Diags Raw Data'!$L$6:$L$4694,'Diags Raw Data'!$D$6:$D$4694,$A8)</f>
        <v>0</v>
      </c>
      <c r="C8" s="243">
        <f>SUMIFS('Diags Raw Data'!$R$6:$R$4694,'Diags Raw Data'!$D$6:$D$4694,$A8)</f>
        <v>0</v>
      </c>
      <c r="D8" s="243">
        <f>SUMIFS('Diags Raw Data'!$K$6:$K$4694,'Diags Raw Data'!$D$6:$D$4694,$A8)</f>
        <v>0</v>
      </c>
      <c r="E8" s="243">
        <f>SUMIFS('Diags Raw Data'!$O$6:$O$4694,'Diags Raw Data'!$D$6:$D$4694,$A8)</f>
        <v>0</v>
      </c>
      <c r="F8" s="249" t="str">
        <f t="shared" si="0"/>
        <v>---</v>
      </c>
      <c r="G8" s="231">
        <f>SUMIFS('Diags Raw Data'!$S$6:$S$4694,'Diags Raw Data'!$D$6:$D$4694,$A8)</f>
        <v>0</v>
      </c>
      <c r="H8" s="227">
        <f>SUMIFS('Diags Raw Data'!$T$6:$T$4694,'Diags Raw Data'!$D$6:$D$4694,$A8)</f>
        <v>0</v>
      </c>
      <c r="I8" s="228">
        <f>SUMIFS('Diags Raw Data'!$U$6:$U$4694,'Diags Raw Data'!$D$6:$D$4694,$A8)</f>
        <v>0</v>
      </c>
      <c r="J8" s="227">
        <f>SUMIFS('Diags Raw Data'!$V$6:$V$4694,'Diags Raw Data'!$D$6:$D$4694,$A8)</f>
        <v>0</v>
      </c>
      <c r="K8" s="228">
        <f>SUMIFS('Diags Raw Data'!$W$6:$W$4694,'Diags Raw Data'!$D$6:$D$4694,$A8)</f>
        <v>0</v>
      </c>
      <c r="L8" s="244" t="str">
        <f t="shared" si="1"/>
        <v>---</v>
      </c>
      <c r="M8" s="229" t="str">
        <f t="shared" si="2"/>
        <v>---</v>
      </c>
      <c r="N8" s="238" t="str">
        <f t="shared" si="3"/>
        <v>---</v>
      </c>
      <c r="O8" s="214">
        <f>SUMIFS('Diags Raw Data'!$Z$6:$Z$4694,'Diags Raw Data'!$D$6:$D$4694,$A8)</f>
        <v>0</v>
      </c>
      <c r="P8" s="204">
        <f>SUMIFS('Diags Raw Data'!$AA$6:$AA$4694,'Diags Raw Data'!$D$6:$D$4694,$A8)</f>
        <v>0</v>
      </c>
      <c r="Q8" s="206">
        <f>SUMIFS('Diags Raw Data'!$AB$6:$AB$4694,'Diags Raw Data'!$D$6:$D$4694,$A8)</f>
        <v>0</v>
      </c>
      <c r="R8" s="204">
        <f>SUMIFS('Diags Raw Data'!$AC$6:$AC$4694,'Diags Raw Data'!$D$6:$D$4694,$A8)</f>
        <v>0</v>
      </c>
      <c r="S8" s="206">
        <f>SUMIFS('Diags Raw Data'!$AD$6:$AD$4694,'Diags Raw Data'!$D$6:$D$4694,$A8)</f>
        <v>0</v>
      </c>
      <c r="T8" s="205" t="str">
        <f t="shared" si="4"/>
        <v>---</v>
      </c>
      <c r="U8" s="230" t="str">
        <f t="shared" si="5"/>
        <v>---</v>
      </c>
      <c r="V8" s="232" t="str">
        <f t="shared" si="6"/>
        <v>---</v>
      </c>
    </row>
    <row r="9" spans="1:22" x14ac:dyDescent="0.25">
      <c r="A9" s="335" t="s">
        <v>425</v>
      </c>
      <c r="B9" s="253">
        <f>SUMIFS('Diags Raw Data'!$L$6:$L$4694,'Diags Raw Data'!$D$6:$D$4694,$A9)</f>
        <v>5</v>
      </c>
      <c r="C9" s="243">
        <f>SUMIFS('Diags Raw Data'!$R$6:$R$4694,'Diags Raw Data'!$D$6:$D$4694,$A9)</f>
        <v>3</v>
      </c>
      <c r="D9" s="243">
        <f>SUMIFS('Diags Raw Data'!$K$6:$K$4694,'Diags Raw Data'!$D$6:$D$4694,$A9)</f>
        <v>3</v>
      </c>
      <c r="E9" s="243">
        <f>SUMIFS('Diags Raw Data'!$O$6:$O$4694,'Diags Raw Data'!$D$6:$D$4694,$A9)</f>
        <v>5</v>
      </c>
      <c r="F9" s="249">
        <f t="shared" si="0"/>
        <v>1</v>
      </c>
      <c r="G9" s="231">
        <f>SUMIFS('Diags Raw Data'!$S$6:$S$4694,'Diags Raw Data'!$D$6:$D$4694,$A9)</f>
        <v>1</v>
      </c>
      <c r="H9" s="227">
        <f>SUMIFS('Diags Raw Data'!$T$6:$T$4694,'Diags Raw Data'!$D$6:$D$4694,$A9)</f>
        <v>1</v>
      </c>
      <c r="I9" s="228">
        <f>SUMIFS('Diags Raw Data'!$U$6:$U$4694,'Diags Raw Data'!$D$6:$D$4694,$A9)</f>
        <v>0</v>
      </c>
      <c r="J9" s="227">
        <f>SUMIFS('Diags Raw Data'!$V$6:$V$4694,'Diags Raw Data'!$D$6:$D$4694,$A9)</f>
        <v>0</v>
      </c>
      <c r="K9" s="228">
        <f>SUMIFS('Diags Raw Data'!$W$6:$W$4694,'Diags Raw Data'!$D$6:$D$4694,$A9)</f>
        <v>0</v>
      </c>
      <c r="L9" s="244">
        <f t="shared" si="1"/>
        <v>0.33333333333333331</v>
      </c>
      <c r="M9" s="229">
        <f t="shared" si="2"/>
        <v>1</v>
      </c>
      <c r="N9" s="238">
        <f t="shared" si="3"/>
        <v>0.33333333333333331</v>
      </c>
      <c r="O9" s="214">
        <f>SUMIFS('Diags Raw Data'!$Z$6:$Z$4694,'Diags Raw Data'!$D$6:$D$4694,$A9)</f>
        <v>0</v>
      </c>
      <c r="P9" s="204">
        <f>SUMIFS('Diags Raw Data'!$AA$6:$AA$4694,'Diags Raw Data'!$D$6:$D$4694,$A9)</f>
        <v>0</v>
      </c>
      <c r="Q9" s="206">
        <f>SUMIFS('Diags Raw Data'!$AB$6:$AB$4694,'Diags Raw Data'!$D$6:$D$4694,$A9)</f>
        <v>0</v>
      </c>
      <c r="R9" s="204">
        <f>SUMIFS('Diags Raw Data'!$AC$6:$AC$4694,'Diags Raw Data'!$D$6:$D$4694,$A9)</f>
        <v>0</v>
      </c>
      <c r="S9" s="206">
        <f>SUMIFS('Diags Raw Data'!$AD$6:$AD$4694,'Diags Raw Data'!$D$6:$D$4694,$A9)</f>
        <v>0</v>
      </c>
      <c r="T9" s="205">
        <f t="shared" si="4"/>
        <v>0</v>
      </c>
      <c r="U9" s="230" t="str">
        <f>IF(NOT($O9=0), (P9+Q9)/$O9, "---")</f>
        <v>---</v>
      </c>
      <c r="V9" s="232">
        <f t="shared" si="6"/>
        <v>0</v>
      </c>
    </row>
    <row r="10" spans="1:22" x14ac:dyDescent="0.25">
      <c r="A10" s="335" t="s">
        <v>426</v>
      </c>
      <c r="B10" s="253">
        <f>SUMIFS('Diags Raw Data'!$L$6:$L$4694,'Diags Raw Data'!$D$6:$D$4694,$A10)</f>
        <v>138</v>
      </c>
      <c r="C10" s="243">
        <f>SUMIFS('Diags Raw Data'!$R$6:$R$4694,'Diags Raw Data'!$D$6:$D$4694,$A10)</f>
        <v>137</v>
      </c>
      <c r="D10" s="243">
        <f>SUMIFS('Diags Raw Data'!$K$6:$K$4694,'Diags Raw Data'!$D$6:$D$4694,$A10)</f>
        <v>14</v>
      </c>
      <c r="E10" s="243">
        <f>SUMIFS('Diags Raw Data'!$O$6:$O$4694,'Diags Raw Data'!$D$6:$D$4694,$A10)</f>
        <v>138</v>
      </c>
      <c r="F10" s="249">
        <f>IF(NOT($B10=0), E10/$B10, "---")</f>
        <v>1</v>
      </c>
      <c r="G10" s="231">
        <f>SUMIFS('Diags Raw Data'!$S$6:$S$4694,'Diags Raw Data'!$D$6:$D$4694,$A10)</f>
        <v>103</v>
      </c>
      <c r="H10" s="227">
        <f>SUMIFS('Diags Raw Data'!$T$6:$T$4694,'Diags Raw Data'!$D$6:$D$4694,$A10)</f>
        <v>103</v>
      </c>
      <c r="I10" s="228">
        <f>SUMIFS('Diags Raw Data'!$U$6:$U$4694,'Diags Raw Data'!$D$6:$D$4694,$A10)</f>
        <v>0</v>
      </c>
      <c r="J10" s="227">
        <f>SUMIFS('Diags Raw Data'!$V$6:$V$4694,'Diags Raw Data'!$D$6:$D$4694,$A10)</f>
        <v>0</v>
      </c>
      <c r="K10" s="228">
        <f>SUMIFS('Diags Raw Data'!$W$6:$W$4694,'Diags Raw Data'!$D$6:$D$4694,$A10)</f>
        <v>0</v>
      </c>
      <c r="L10" s="244">
        <f t="shared" si="1"/>
        <v>0.75182481751824815</v>
      </c>
      <c r="M10" s="229">
        <f t="shared" si="2"/>
        <v>1</v>
      </c>
      <c r="N10" s="238">
        <f t="shared" si="3"/>
        <v>0.75182481751824815</v>
      </c>
      <c r="O10" s="214">
        <f>SUMIFS('Diags Raw Data'!$Z$6:$Z$4694,'Diags Raw Data'!$D$6:$D$4694,$A10)</f>
        <v>38</v>
      </c>
      <c r="P10" s="204">
        <f>SUMIFS('Diags Raw Data'!$AA$6:$AA$4694,'Diags Raw Data'!$D$6:$D$4694,$A10)</f>
        <v>38</v>
      </c>
      <c r="Q10" s="206">
        <f>SUMIFS('Diags Raw Data'!$AB$6:$AB$4694,'Diags Raw Data'!$D$6:$D$4694,$A10)</f>
        <v>0</v>
      </c>
      <c r="R10" s="204">
        <f>SUMIFS('Diags Raw Data'!$AC$6:$AC$4694,'Diags Raw Data'!$D$6:$D$4694,$A10)</f>
        <v>0</v>
      </c>
      <c r="S10" s="206">
        <f>SUMIFS('Diags Raw Data'!$AD$6:$AD$4694,'Diags Raw Data'!$D$6:$D$4694,$A10)</f>
        <v>0</v>
      </c>
      <c r="T10" s="205">
        <f t="shared" si="4"/>
        <v>0.27536231884057971</v>
      </c>
      <c r="U10" s="230">
        <f t="shared" ref="U10:U13" si="7">IF(NOT($O10=0), (P10+Q10)/$O10, "---")</f>
        <v>1</v>
      </c>
      <c r="V10" s="232">
        <f t="shared" si="6"/>
        <v>0.27536231884057971</v>
      </c>
    </row>
    <row r="11" spans="1:22" x14ac:dyDescent="0.25">
      <c r="A11" s="335" t="s">
        <v>427</v>
      </c>
      <c r="B11" s="253">
        <f>SUMIFS('Diags Raw Data'!$L$6:$L$4694,'Diags Raw Data'!$D$6:$D$4694,$A11)</f>
        <v>10</v>
      </c>
      <c r="C11" s="243">
        <f>SUMIFS('Diags Raw Data'!$R$6:$R$4694,'Diags Raw Data'!$D$6:$D$4694,$A11)</f>
        <v>10</v>
      </c>
      <c r="D11" s="243">
        <f>SUMIFS('Diags Raw Data'!$K$6:$K$4694,'Diags Raw Data'!$D$6:$D$4694,$A11)</f>
        <v>7</v>
      </c>
      <c r="E11" s="243">
        <f>SUMIFS('Diags Raw Data'!$O$6:$O$4694,'Diags Raw Data'!$D$6:$D$4694,$A11)</f>
        <v>9.8000000000000007</v>
      </c>
      <c r="F11" s="249">
        <f t="shared" si="0"/>
        <v>0.98000000000000009</v>
      </c>
      <c r="G11" s="231">
        <f>SUMIFS('Diags Raw Data'!$S$6:$S$4694,'Diags Raw Data'!$D$6:$D$4694,$A11)</f>
        <v>7</v>
      </c>
      <c r="H11" s="227">
        <f>SUMIFS('Diags Raw Data'!$T$6:$T$4694,'Diags Raw Data'!$D$6:$D$4694,$A11)</f>
        <v>7</v>
      </c>
      <c r="I11" s="228">
        <f>SUMIFS('Diags Raw Data'!$U$6:$U$4694,'Diags Raw Data'!$D$6:$D$4694,$A11)</f>
        <v>0</v>
      </c>
      <c r="J11" s="227">
        <f>SUMIFS('Diags Raw Data'!$V$6:$V$4694,'Diags Raw Data'!$D$6:$D$4694,$A11)</f>
        <v>0</v>
      </c>
      <c r="K11" s="228">
        <f>SUMIFS('Diags Raw Data'!$W$6:$W$4694,'Diags Raw Data'!$D$6:$D$4694,$A11)</f>
        <v>0</v>
      </c>
      <c r="L11" s="244">
        <f t="shared" si="1"/>
        <v>0.7</v>
      </c>
      <c r="M11" s="229">
        <f t="shared" si="2"/>
        <v>1</v>
      </c>
      <c r="N11" s="238">
        <f t="shared" si="3"/>
        <v>0.7</v>
      </c>
      <c r="O11" s="214">
        <f>SUMIFS('Diags Raw Data'!$Z$6:$Z$4694,'Diags Raw Data'!$D$6:$D$4694,$A11)</f>
        <v>0</v>
      </c>
      <c r="P11" s="204">
        <f>SUMIFS('Diags Raw Data'!$AA$6:$AA$4694,'Diags Raw Data'!$D$6:$D$4694,$A11)</f>
        <v>0</v>
      </c>
      <c r="Q11" s="206">
        <f>SUMIFS('Diags Raw Data'!$AB$6:$AB$4694,'Diags Raw Data'!$D$6:$D$4694,$A11)</f>
        <v>0</v>
      </c>
      <c r="R11" s="204">
        <f>SUMIFS('Diags Raw Data'!$AC$6:$AC$4694,'Diags Raw Data'!$D$6:$D$4694,$A11)</f>
        <v>0</v>
      </c>
      <c r="S11" s="206">
        <f>SUMIFS('Diags Raw Data'!$AD$6:$AD$4694,'Diags Raw Data'!$D$6:$D$4694,$A11)</f>
        <v>0</v>
      </c>
      <c r="T11" s="205">
        <f t="shared" si="4"/>
        <v>0</v>
      </c>
      <c r="U11" s="230" t="str">
        <f t="shared" si="7"/>
        <v>---</v>
      </c>
      <c r="V11" s="232">
        <f t="shared" si="6"/>
        <v>0</v>
      </c>
    </row>
    <row r="12" spans="1:22" x14ac:dyDescent="0.25">
      <c r="A12" s="335" t="s">
        <v>428</v>
      </c>
      <c r="B12" s="253">
        <f>SUMIFS('Diags Raw Data'!$L$6:$L$4694,'Diags Raw Data'!$D$6:$D$4694,$A12)</f>
        <v>128</v>
      </c>
      <c r="C12" s="243">
        <f>SUMIFS('Diags Raw Data'!$R$6:$R$4694,'Diags Raw Data'!$D$6:$D$4694,$A12)</f>
        <v>36</v>
      </c>
      <c r="D12" s="243">
        <f>SUMIFS('Diags Raw Data'!$K$6:$K$4694,'Diags Raw Data'!$D$6:$D$4694,$A12)</f>
        <v>8</v>
      </c>
      <c r="E12" s="243">
        <f>SUMIFS('Diags Raw Data'!$O$6:$O$4694,'Diags Raw Data'!$D$6:$D$4694,$A12)</f>
        <v>128</v>
      </c>
      <c r="F12" s="249">
        <f t="shared" si="0"/>
        <v>1</v>
      </c>
      <c r="G12" s="231">
        <f>SUMIFS('Diags Raw Data'!$S$6:$S$4694,'Diags Raw Data'!$D$6:$D$4694,$A12)</f>
        <v>36</v>
      </c>
      <c r="H12" s="227">
        <f>SUMIFS('Diags Raw Data'!$T$6:$T$4694,'Diags Raw Data'!$D$6:$D$4694,$A12)</f>
        <v>36</v>
      </c>
      <c r="I12" s="228">
        <f>SUMIFS('Diags Raw Data'!$U$6:$U$4694,'Diags Raw Data'!$D$6:$D$4694,$A12)</f>
        <v>0</v>
      </c>
      <c r="J12" s="227">
        <f>SUMIFS('Diags Raw Data'!$V$6:$V$4694,'Diags Raw Data'!$D$6:$D$4694,$A12)</f>
        <v>0</v>
      </c>
      <c r="K12" s="228">
        <f>SUMIFS('Diags Raw Data'!$W$6:$W$4694,'Diags Raw Data'!$D$6:$D$4694,$A12)</f>
        <v>0</v>
      </c>
      <c r="L12" s="244">
        <f t="shared" si="1"/>
        <v>1</v>
      </c>
      <c r="M12" s="229">
        <f t="shared" si="2"/>
        <v>1</v>
      </c>
      <c r="N12" s="238">
        <f t="shared" si="3"/>
        <v>1</v>
      </c>
      <c r="O12" s="214">
        <f>SUMIFS('Diags Raw Data'!$Z$6:$Z$4694,'Diags Raw Data'!$D$6:$D$4694,$A12)</f>
        <v>0</v>
      </c>
      <c r="P12" s="204">
        <f>SUMIFS('Diags Raw Data'!$AA$6:$AA$4694,'Diags Raw Data'!$D$6:$D$4694,$A12)</f>
        <v>0</v>
      </c>
      <c r="Q12" s="206">
        <f>SUMIFS('Diags Raw Data'!$AB$6:$AB$4694,'Diags Raw Data'!$D$6:$D$4694,$A12)</f>
        <v>0</v>
      </c>
      <c r="R12" s="204">
        <f>SUMIFS('Diags Raw Data'!$AC$6:$AC$4694,'Diags Raw Data'!$D$6:$D$4694,$A12)</f>
        <v>0</v>
      </c>
      <c r="S12" s="206">
        <f>SUMIFS('Diags Raw Data'!$AD$6:$AD$4694,'Diags Raw Data'!$D$6:$D$4694,$A12)</f>
        <v>0</v>
      </c>
      <c r="T12" s="205">
        <f t="shared" si="4"/>
        <v>0</v>
      </c>
      <c r="U12" s="230" t="str">
        <f t="shared" si="7"/>
        <v>---</v>
      </c>
      <c r="V12" s="232">
        <f t="shared" si="6"/>
        <v>0</v>
      </c>
    </row>
    <row r="13" spans="1:22" ht="15.75" thickBot="1" x14ac:dyDescent="0.3">
      <c r="A13" s="336" t="s">
        <v>429</v>
      </c>
      <c r="B13" s="254">
        <f>SUMIFS('Diags Raw Data'!$L$6:$L$4694,'Diags Raw Data'!$D$6:$D$4694,$A13)</f>
        <v>0</v>
      </c>
      <c r="C13" s="245">
        <f>SUMIFS('Diags Raw Data'!$R$6:$R$4694,'Diags Raw Data'!$D$6:$D$4694,$A13)</f>
        <v>0</v>
      </c>
      <c r="D13" s="245">
        <f>SUMIFS('Diags Raw Data'!$K$6:$K$4694,'Diags Raw Data'!$D$6:$D$4694,$A13)</f>
        <v>0</v>
      </c>
      <c r="E13" s="245">
        <f>SUMIFS('Diags Raw Data'!$O$6:$O$4694,'Diags Raw Data'!$D$6:$D$4694,$A13)</f>
        <v>0</v>
      </c>
      <c r="F13" s="250" t="str">
        <f>IF(NOT($B13=0), E13/$B13, "---")</f>
        <v>---</v>
      </c>
      <c r="G13" s="233">
        <f>SUMIFS('Diags Raw Data'!$S$6:$S$4694,'Diags Raw Data'!$D$6:$D$4694,$A13)</f>
        <v>0</v>
      </c>
      <c r="H13" s="234">
        <f>SUMIFS('Diags Raw Data'!$T$6:$T$4694,'Diags Raw Data'!$D$6:$D$4694,$A13)</f>
        <v>0</v>
      </c>
      <c r="I13" s="235">
        <f>SUMIFS('Diags Raw Data'!$U$6:$U$4694,'Diags Raw Data'!$D$6:$D$4694,$A13)</f>
        <v>0</v>
      </c>
      <c r="J13" s="234">
        <f>SUMIFS('Diags Raw Data'!$V$6:$V$4694,'Diags Raw Data'!$D$6:$D$4694,$A13)</f>
        <v>0</v>
      </c>
      <c r="K13" s="235">
        <f>SUMIFS('Diags Raw Data'!$W$6:$W$4694,'Diags Raw Data'!$D$6:$D$4694,$A13)</f>
        <v>0</v>
      </c>
      <c r="L13" s="246" t="str">
        <f t="shared" si="1"/>
        <v>---</v>
      </c>
      <c r="M13" s="236" t="str">
        <f t="shared" si="2"/>
        <v>---</v>
      </c>
      <c r="N13" s="239" t="str">
        <f>IF(NOT($C13=0), (H13+I13)/$C13, "---")</f>
        <v>---</v>
      </c>
      <c r="O13" s="215">
        <f>SUMIFS('Diags Raw Data'!$Z$6:$Z$4694,'Diags Raw Data'!$D$6:$D$4694,$A13)</f>
        <v>0</v>
      </c>
      <c r="P13" s="207">
        <f>SUMIFS('Diags Raw Data'!$AA$6:$AA$4694,'Diags Raw Data'!$D$6:$D$4694,$A13)</f>
        <v>0</v>
      </c>
      <c r="Q13" s="209">
        <f>SUMIFS('Diags Raw Data'!$AB$6:$AB$4694,'Diags Raw Data'!$D$6:$D$4694,$A13)</f>
        <v>0</v>
      </c>
      <c r="R13" s="207">
        <f>SUMIFS('Diags Raw Data'!$AC$6:$AC$4694,'Diags Raw Data'!$D$6:$D$4694,$A13)</f>
        <v>0</v>
      </c>
      <c r="S13" s="209">
        <f>SUMIFS('Diags Raw Data'!$AD$6:$AD$4694,'Diags Raw Data'!$D$6:$D$4694,$A13)</f>
        <v>0</v>
      </c>
      <c r="T13" s="208" t="str">
        <f t="shared" si="4"/>
        <v>---</v>
      </c>
      <c r="U13" s="240" t="str">
        <f t="shared" si="7"/>
        <v>---</v>
      </c>
      <c r="V13" s="237" t="str">
        <f t="shared" si="6"/>
        <v>---</v>
      </c>
    </row>
    <row r="14" spans="1:22" ht="16.5" thickBot="1" x14ac:dyDescent="0.3">
      <c r="A14" s="273" t="s">
        <v>430</v>
      </c>
      <c r="B14" s="257">
        <f>SUM(B4:B13)</f>
        <v>349</v>
      </c>
      <c r="C14" s="258">
        <f>SUM(C4:C13)</f>
        <v>236</v>
      </c>
      <c r="D14" s="258">
        <f>SUM(D4:D13)</f>
        <v>65</v>
      </c>
      <c r="E14" s="258">
        <f>SUM(E4:E13)</f>
        <v>343.3</v>
      </c>
      <c r="F14" s="259" cm="1">
        <f t="array" ref="F14">SUMPRODUCT(--(ISNUMBER(SEARCH("New",'Diags Raw Data'!$M$6:$M$4694))),'Diags Raw Data'!$K$6:$K$4694,'Diags Raw Data'!$P$6:$P$4694)/D14+SUMPRODUCT(--(ISNUMBER(SEARCH("Delta",'Diags Raw Data'!$M$6:$M$4694))),'Diags Raw Data'!$K$6:$K$4694,'Diags Raw Data'!$P$6:$P$4694)/D14+SUMPRODUCT(--(ISNUMBER(SEARCH("Legacy",'Diags Raw Data'!$M$6:$M$4694))),'Diags Raw Data'!$K$6:$K$4694,'Diags Raw Data'!$P$6:$P$4694)/D14</f>
        <v>0.94692307692307687</v>
      </c>
      <c r="G14" s="260">
        <f>SUM(G4:G13)</f>
        <v>181</v>
      </c>
      <c r="H14" s="261">
        <f>SUM(H4:H13)</f>
        <v>177</v>
      </c>
      <c r="I14" s="262">
        <f>SUM(I4:I13)</f>
        <v>0</v>
      </c>
      <c r="J14" s="261">
        <f>SUM(J4:J13)</f>
        <v>4</v>
      </c>
      <c r="K14" s="262">
        <f>SUM(K4:K13)</f>
        <v>0</v>
      </c>
      <c r="L14" s="263">
        <f>IF(NOT($C14=0), G14/$C14, "---")</f>
        <v>0.76694915254237284</v>
      </c>
      <c r="M14" s="264">
        <f>IF(NOT($G14=0), (H14+I14)/$G14, "---")</f>
        <v>0.97790055248618779</v>
      </c>
      <c r="N14" s="265">
        <f>IF(NOT($C14=0), (H14+I14)/$C14, "---")</f>
        <v>0.75</v>
      </c>
      <c r="O14" s="266">
        <f>SUM(O4:O13)</f>
        <v>57</v>
      </c>
      <c r="P14" s="267">
        <f>SUM(P4:P13)</f>
        <v>55</v>
      </c>
      <c r="Q14" s="268">
        <f>SUM(Q4:Q13)</f>
        <v>0</v>
      </c>
      <c r="R14" s="267">
        <f>SUM(R4:R13)</f>
        <v>2</v>
      </c>
      <c r="S14" s="268">
        <f>SUM(S4:S13)</f>
        <v>0</v>
      </c>
      <c r="T14" s="269">
        <f>IF(NOT($B14=0), O14/$B14, "---")</f>
        <v>0.16332378223495703</v>
      </c>
      <c r="U14" s="270">
        <f>IF(NOT($O14=0), (P14+Q14)/$O14, "---")</f>
        <v>0.96491228070175439</v>
      </c>
      <c r="V14" s="271">
        <f>IF(NOT($B14=0), (P14+Q14)/$B14, "---")</f>
        <v>0.15759312320916904</v>
      </c>
    </row>
    <row r="15" spans="1:22" ht="15.75" thickBot="1" x14ac:dyDescent="0.3"/>
    <row r="16" spans="1:22" ht="15.75" thickBot="1" x14ac:dyDescent="0.3">
      <c r="A16" s="216" t="s">
        <v>431</v>
      </c>
      <c r="B16" s="642" t="s">
        <v>166</v>
      </c>
      <c r="C16" s="642"/>
      <c r="D16" s="642"/>
      <c r="E16" s="642"/>
      <c r="F16" s="642"/>
      <c r="G16" s="643" t="s">
        <v>177</v>
      </c>
      <c r="H16" s="644"/>
      <c r="I16" s="644"/>
      <c r="J16" s="644"/>
      <c r="K16" s="644"/>
      <c r="L16" s="644"/>
      <c r="M16" s="644"/>
      <c r="N16" s="645"/>
      <c r="O16" s="646" t="s">
        <v>144</v>
      </c>
      <c r="P16" s="647"/>
      <c r="Q16" s="647"/>
      <c r="R16" s="647"/>
      <c r="S16" s="647"/>
      <c r="T16" s="647"/>
      <c r="U16" s="647"/>
      <c r="V16" s="648"/>
    </row>
    <row r="17" spans="1:22" s="251" customFormat="1" ht="30.75" thickBot="1" x14ac:dyDescent="0.3">
      <c r="A17" s="255" t="s">
        <v>88</v>
      </c>
      <c r="B17" s="312" t="s">
        <v>167</v>
      </c>
      <c r="C17" s="313" t="s">
        <v>128</v>
      </c>
      <c r="D17" s="314" t="s">
        <v>105</v>
      </c>
      <c r="E17" s="314" t="s">
        <v>173</v>
      </c>
      <c r="F17" s="315" t="s">
        <v>175</v>
      </c>
      <c r="G17" s="316" t="s">
        <v>132</v>
      </c>
      <c r="H17" s="317" t="s">
        <v>30</v>
      </c>
      <c r="I17" s="317" t="s">
        <v>135</v>
      </c>
      <c r="J17" s="317" t="s">
        <v>36</v>
      </c>
      <c r="K17" s="317" t="s">
        <v>138</v>
      </c>
      <c r="L17" s="317" t="s">
        <v>184</v>
      </c>
      <c r="M17" s="317" t="s">
        <v>140</v>
      </c>
      <c r="N17" s="318" t="s">
        <v>187</v>
      </c>
      <c r="O17" s="319" t="s">
        <v>132</v>
      </c>
      <c r="P17" s="320" t="s">
        <v>30</v>
      </c>
      <c r="Q17" s="320" t="s">
        <v>135</v>
      </c>
      <c r="R17" s="320" t="s">
        <v>36</v>
      </c>
      <c r="S17" s="320" t="s">
        <v>138</v>
      </c>
      <c r="T17" s="320" t="s">
        <v>184</v>
      </c>
      <c r="U17" s="320" t="s">
        <v>140</v>
      </c>
      <c r="V17" s="321" t="s">
        <v>187</v>
      </c>
    </row>
    <row r="18" spans="1:22" x14ac:dyDescent="0.25">
      <c r="A18" s="335" t="s">
        <v>420</v>
      </c>
      <c r="B18" s="252">
        <f>SUMIFS('Diags Raw Data'!$L$6:$L$4694,'Diags Raw Data'!$D$6:$D$4694,$A18,'Diags Raw Data'!$M$6:$M$4694,"New")+SUMIFS('Diags Raw Data'!$L$6:$L$4694,'Diags Raw Data'!$D$6:$D$4694,$A18,'Diags Raw Data'!$M$6:$M$4694,"Delta")</f>
        <v>29</v>
      </c>
      <c r="C18" s="242">
        <f>SUMIFS('Diags Raw Data'!$R$6:$R$4694,'Diags Raw Data'!$D$6:$D$4694,$A18,'Diags Raw Data'!$M$6:$M$4694,"New")+SUMIFS('Diags Raw Data'!$R$6:$R$4694,'Diags Raw Data'!$D$6:$D$4694,$A18,'Diags Raw Data'!$M$6:$M$4694,"Delta")</f>
        <v>17</v>
      </c>
      <c r="D18" s="242">
        <f>SUMIFS('Diags Raw Data'!$K$6:$K$4694,'Diags Raw Data'!$D$6:$D$4694,$A18,'Diags Raw Data'!$M$6:$M$4694,"New")+SUMIFS('Diags Raw Data'!$K$6:$K$4694,'Diags Raw Data'!$D$6:$D$4694,$A18,'Diags Raw Data'!$M$6:$M$4694,"Delta")</f>
        <v>14</v>
      </c>
      <c r="E18" s="242">
        <f>SUMIFS('Diags Raw Data'!$O$6:$O$4694,'Diags Raw Data'!$D$6:$D$4694,$A18,'Diags Raw Data'!$M$6:$M$4694,"New")+SUMIFS('Diags Raw Data'!$O$6:$O$4694,'Diags Raw Data'!$D$6:$D$4694,$A18,'Diags Raw Data'!$M$6:$M$4694,"Delta")</f>
        <v>28</v>
      </c>
      <c r="F18" s="248">
        <f t="shared" ref="F18:F27" si="8">IF(NOT($B18=0), E18/$B18, "---")</f>
        <v>0.96551724137931039</v>
      </c>
      <c r="G18" s="220">
        <f>SUMIFS('Diags Raw Data'!$S$6:$S$4694,'Diags Raw Data'!$D$6:$D$4694,$A18,'Diags Raw Data'!$M$6:$M$4694,"New")+SUMIFS('Diags Raw Data'!$S$6:$S$4694,'Diags Raw Data'!$D$6:$D$4694,$A18,'Diags Raw Data'!$M$6:$M$4694,"Delta")</f>
        <v>9</v>
      </c>
      <c r="H18" s="221">
        <f>SUMIFS('Diags Raw Data'!$T$6:$T$4694,'Diags Raw Data'!$D$6:$D$4694,$A18,'Diags Raw Data'!$M$6:$M$4694,"New")+SUMIFS('Diags Raw Data'!$T$6:$T$4694,'Diags Raw Data'!$D$6:$D$4694,$A18,'Diags Raw Data'!$M$6:$M$4694,"Delta")</f>
        <v>9</v>
      </c>
      <c r="I18" s="221">
        <f>SUMIFS('Diags Raw Data'!$U$6:$U$4694,'Diags Raw Data'!$D$6:$D$4694,$A18,'Diags Raw Data'!$M$6:$M$4694,"New")+SUMIFS('Diags Raw Data'!$U$6:$U$4694,'Diags Raw Data'!$D$6:$D$4694,$A18,'Diags Raw Data'!$M$6:$M$4694,"Delta")</f>
        <v>0</v>
      </c>
      <c r="J18" s="221">
        <f>SUMIFS('Diags Raw Data'!$V$6:$V$4694,'Diags Raw Data'!$D$6:$D$4694,$A18,'Diags Raw Data'!$M$6:$M$4694,"New")+SUMIFS('Diags Raw Data'!$V$6:$V$4694,'Diags Raw Data'!$D$6:$D$4694,$A18,'Diags Raw Data'!$M$6:$M$4694,"Delta")</f>
        <v>0</v>
      </c>
      <c r="K18" s="221">
        <f>SUMIFS('Diags Raw Data'!$W$6:$W$4694,'Diags Raw Data'!$D$6:$D$4694,$A18,'Diags Raw Data'!$M$6:$M$4694,"New")+SUMIFS('Diags Raw Data'!$W$6:$W$4694,'Diags Raw Data'!$D$6:$D$4694,$A18,'Diags Raw Data'!$M$6:$M$4694,"Delta")</f>
        <v>0</v>
      </c>
      <c r="L18" s="222">
        <f>IF(NOT($C18=0), G18/$C18, "---")</f>
        <v>0.52941176470588236</v>
      </c>
      <c r="M18" s="224">
        <f>IF(NOT($G18=0), (H18+I18)/$G18, "---")</f>
        <v>1</v>
      </c>
      <c r="N18" s="226">
        <f>IF(NOT($C18=0), (H18+I18)/$C18, "---")</f>
        <v>0.52941176470588236</v>
      </c>
      <c r="O18" s="213">
        <f>SUMIFS('Diags Raw Data'!$Z$6:$Z$4694,'Diags Raw Data'!$D$6:$D$4694,$A18,'Diags Raw Data'!$M$6:$M$4694,"New")+SUMIFS('Diags Raw Data'!$Z$6:$Z$4694,'Diags Raw Data'!$D$6:$D$4694,$A18,'Diags Raw Data'!$M$6:$M$4694,"Delta")</f>
        <v>5</v>
      </c>
      <c r="P18" s="210">
        <f>SUMIFS('Diags Raw Data'!$AA$6:$AA$4694,'Diags Raw Data'!$D$6:$D$4694,$A18,'Diags Raw Data'!$M$6:$M$4694,"New")+SUMIFS('Diags Raw Data'!$AA$6:$AA$4694,'Diags Raw Data'!$D$6:$D$4694,$A18,'Diags Raw Data'!$M$6:$M$4694,"Delta")</f>
        <v>5</v>
      </c>
      <c r="Q18" s="210">
        <f>SUMIFS('Diags Raw Data'!$AB$6:$AB$4694,'Diags Raw Data'!$D$6:$D$4694,$A18,'Diags Raw Data'!$M$6:$M$4694,"New")+SUMIFS('Diags Raw Data'!$AB$6:$AB$4694,'Diags Raw Data'!$D$6:$D$4694,$A18,'Diags Raw Data'!$M$6:$M$4694,"Delta")</f>
        <v>0</v>
      </c>
      <c r="R18" s="210">
        <f>SUMIFS('Diags Raw Data'!$AC$6:$AC$4694,'Diags Raw Data'!$D$6:$D$4694,$A18,'Diags Raw Data'!$M$6:$M$4694,"New")+SUMIFS('Diags Raw Data'!$AC$6:$AC$4694,'Diags Raw Data'!$D$6:$D$4694,$A18,'Diags Raw Data'!$M$6:$M$4694,"Delta")</f>
        <v>0</v>
      </c>
      <c r="S18" s="210">
        <f>SUMIFS('Diags Raw Data'!$AD$6:$AD$4694,'Diags Raw Data'!$D$6:$D$4694,$A18,'Diags Raw Data'!$M$6:$M$4694,"New")+SUMIFS('Diags Raw Data'!$AD$6:$AD$4694,'Diags Raw Data'!$D$6:$D$4694,$A18,'Diags Raw Data'!$M$6:$M$4694,"Delta")</f>
        <v>0</v>
      </c>
      <c r="T18" s="211">
        <f>IF(NOT($B18=0), O18/$B18, "---")</f>
        <v>0.17241379310344829</v>
      </c>
      <c r="U18" s="225">
        <f>IF(NOT($O18=0), (P18+Q18)/$O18, "---")</f>
        <v>1</v>
      </c>
      <c r="V18" s="241">
        <f>IF(NOT($B18=0), (P18+Q18)/$B18, "---")</f>
        <v>0.17241379310344829</v>
      </c>
    </row>
    <row r="19" spans="1:22" x14ac:dyDescent="0.25">
      <c r="A19" s="335" t="s">
        <v>421</v>
      </c>
      <c r="B19" s="253">
        <f>SUMIFS('Diags Raw Data'!$L$6:$L$4694,'Diags Raw Data'!$D$6:$D$4694,$A19,'Diags Raw Data'!$M$6:$M$4694,"New")+SUMIFS('Diags Raw Data'!$L$6:$L$4694,'Diags Raw Data'!$D$6:$D$4694,$A19,'Diags Raw Data'!$M$6:$M$4694,"Delta")</f>
        <v>18</v>
      </c>
      <c r="C19" s="243">
        <f>SUMIFS('Diags Raw Data'!$R$6:$R$4694,'Diags Raw Data'!$D$6:$D$4694,$A19,'Diags Raw Data'!$M$6:$M$4694,"New")+SUMIFS('Diags Raw Data'!$R$6:$R$4694,'Diags Raw Data'!$D$6:$D$4694,$A19,'Diags Raw Data'!$M$6:$M$4694,"Delta")</f>
        <v>15</v>
      </c>
      <c r="D19" s="243">
        <f>SUMIFS('Diags Raw Data'!$K$6:$K$4694,'Diags Raw Data'!$D$6:$D$4694,$A19,'Diags Raw Data'!$M$6:$M$4694,"New")+SUMIFS('Diags Raw Data'!$K$6:$K$4694,'Diags Raw Data'!$D$6:$D$4694,$A19,'Diags Raw Data'!$M$6:$M$4694,"Delta")</f>
        <v>8</v>
      </c>
      <c r="E19" s="243">
        <f>SUMIFS('Diags Raw Data'!$O$6:$O$4694,'Diags Raw Data'!$D$6:$D$4694,$A19,'Diags Raw Data'!$M$6:$M$4694,"New")+SUMIFS('Diags Raw Data'!$O$6:$O$4694,'Diags Raw Data'!$D$6:$D$4694,$A19,'Diags Raw Data'!$M$6:$M$4694,"Delta")</f>
        <v>14</v>
      </c>
      <c r="F19" s="249">
        <f t="shared" si="8"/>
        <v>0.77777777777777779</v>
      </c>
      <c r="G19" s="231">
        <f>SUMIFS('Diags Raw Data'!$S$6:$S$4694,'Diags Raw Data'!$D$6:$D$4694,$A19,'Diags Raw Data'!$M$6:$M$4694,"New")+SUMIFS('Diags Raw Data'!$S$6:$S$4694,'Diags Raw Data'!$D$6:$D$4694,$A19,'Diags Raw Data'!$M$6:$M$4694,"Delta")</f>
        <v>8</v>
      </c>
      <c r="H19" s="227">
        <f>SUMIFS('Diags Raw Data'!$T$6:$T$4694,'Diags Raw Data'!$D$6:$D$4694,$A19,'Diags Raw Data'!$M$6:$M$4694,"New")+SUMIFS('Diags Raw Data'!$T$6:$T$4694,'Diags Raw Data'!$D$6:$D$4694,$A19,'Diags Raw Data'!$M$6:$M$4694,"Delta")</f>
        <v>7</v>
      </c>
      <c r="I19" s="227">
        <f>SUMIFS('Diags Raw Data'!$U$6:$U$4694,'Diags Raw Data'!$D$6:$D$4694,$A19,'Diags Raw Data'!$M$6:$M$4694,"New")+SUMIFS('Diags Raw Data'!$U$6:$U$4694,'Diags Raw Data'!$D$6:$D$4694,$A19,'Diags Raw Data'!$M$6:$M$4694,"Delta")</f>
        <v>0</v>
      </c>
      <c r="J19" s="227">
        <f>SUMIFS('Diags Raw Data'!$V$6:$V$4694,'Diags Raw Data'!$D$6:$D$4694,$A19,'Diags Raw Data'!$M$6:$M$4694,"New")+SUMIFS('Diags Raw Data'!$V$6:$V$4694,'Diags Raw Data'!$D$6:$D$4694,$A19,'Diags Raw Data'!$M$6:$M$4694,"Delta")</f>
        <v>1</v>
      </c>
      <c r="K19" s="227">
        <f>SUMIFS('Diags Raw Data'!$W$6:$W$4694,'Diags Raw Data'!$D$6:$D$4694,$A19,'Diags Raw Data'!$M$6:$M$4694,"New")+SUMIFS('Diags Raw Data'!$W$6:$W$4694,'Diags Raw Data'!$D$6:$D$4694,$A19,'Diags Raw Data'!$M$6:$M$4694,"Delta")</f>
        <v>0</v>
      </c>
      <c r="L19" s="244">
        <f>IF(NOT($C19=0), G19/$C19, "---")</f>
        <v>0.53333333333333333</v>
      </c>
      <c r="M19" s="229">
        <f>IF(NOT($G19=0), (H19+I19)/$G19, "---")</f>
        <v>0.875</v>
      </c>
      <c r="N19" s="238">
        <f>IF(NOT($C19=0), (H19+I19)/$C19, "---")</f>
        <v>0.46666666666666667</v>
      </c>
      <c r="O19" s="214">
        <f>SUMIFS('Diags Raw Data'!$Z$6:$Z$4694,'Diags Raw Data'!$D$6:$D$4694,$A19,'Diags Raw Data'!$M$6:$M$4694,"New")+SUMIFS('Diags Raw Data'!$Z$6:$Z$4694,'Diags Raw Data'!$D$6:$D$4694,$A19,'Diags Raw Data'!$M$6:$M$4694,"Delta")</f>
        <v>9</v>
      </c>
      <c r="P19" s="204">
        <f>SUMIFS('Diags Raw Data'!$AA$6:$AA$4694,'Diags Raw Data'!$D$6:$D$4694,$A19,'Diags Raw Data'!$M$6:$M$4694,"New")+SUMIFS('Diags Raw Data'!$AA$6:$AA$4694,'Diags Raw Data'!$D$6:$D$4694,$A19,'Diags Raw Data'!$M$6:$M$4694,"Delta")</f>
        <v>7</v>
      </c>
      <c r="Q19" s="204">
        <f>SUMIFS('Diags Raw Data'!$AB$6:$AB$4694,'Diags Raw Data'!$D$6:$D$4694,$A19,'Diags Raw Data'!$M$6:$M$4694,"New")+SUMIFS('Diags Raw Data'!$AB$6:$AB$4694,'Diags Raw Data'!$D$6:$D$4694,$A19,'Diags Raw Data'!$M$6:$M$4694,"Delta")</f>
        <v>0</v>
      </c>
      <c r="R19" s="204">
        <f>SUMIFS('Diags Raw Data'!$AC$6:$AC$4694,'Diags Raw Data'!$D$6:$D$4694,$A19,'Diags Raw Data'!$M$6:$M$4694,"New")+SUMIFS('Diags Raw Data'!$AC$6:$AC$4694,'Diags Raw Data'!$D$6:$D$4694,$A19,'Diags Raw Data'!$M$6:$M$4694,"Delta")</f>
        <v>2</v>
      </c>
      <c r="S19" s="204">
        <f>SUMIFS('Diags Raw Data'!$AD$6:$AD$4694,'Diags Raw Data'!$D$6:$D$4694,$A19,'Diags Raw Data'!$M$6:$M$4694,"New")+SUMIFS('Diags Raw Data'!$AD$6:$AD$4694,'Diags Raw Data'!$D$6:$D$4694,$A19,'Diags Raw Data'!$M$6:$M$4694,"Delta")</f>
        <v>0</v>
      </c>
      <c r="T19" s="205">
        <f>IF(NOT($B19=0), O19/$B19, "---")</f>
        <v>0.5</v>
      </c>
      <c r="U19" s="230">
        <f>IF(NOT($O19=0), (P19+Q19)/$O19, "---")</f>
        <v>0.77777777777777779</v>
      </c>
      <c r="V19" s="232">
        <f t="shared" ref="V19:V28" si="9">IF(NOT($B19=0), (P19+Q19)/$B19, "---")</f>
        <v>0.3888888888888889</v>
      </c>
    </row>
    <row r="20" spans="1:22" x14ac:dyDescent="0.25">
      <c r="A20" s="335" t="s">
        <v>422</v>
      </c>
      <c r="B20" s="253">
        <f>SUMIFS('Diags Raw Data'!$L$6:$L$4694,'Diags Raw Data'!$D$6:$D$4694,$A20,'Diags Raw Data'!$M$6:$M$4694,"New")+SUMIFS('Diags Raw Data'!$L$6:$L$4694,'Diags Raw Data'!$D$6:$D$4694,$A20,'Diags Raw Data'!$M$6:$M$4694,"Delta")</f>
        <v>9</v>
      </c>
      <c r="C20" s="243">
        <f>SUMIFS('Diags Raw Data'!$R$6:$R$4694,'Diags Raw Data'!$D$6:$D$4694,$A20,'Diags Raw Data'!$M$6:$M$4694,"New")+SUMIFS('Diags Raw Data'!$R$6:$R$4694,'Diags Raw Data'!$D$6:$D$4694,$A20,'Diags Raw Data'!$M$6:$M$4694,"Delta")</f>
        <v>8</v>
      </c>
      <c r="D20" s="243">
        <f>SUMIFS('Diags Raw Data'!$K$6:$K$4694,'Diags Raw Data'!$D$6:$D$4694,$A20,'Diags Raw Data'!$M$6:$M$4694,"New")+SUMIFS('Diags Raw Data'!$K$6:$K$4694,'Diags Raw Data'!$D$6:$D$4694,$A20,'Diags Raw Data'!$M$6:$M$4694,"Delta")</f>
        <v>5</v>
      </c>
      <c r="E20" s="243">
        <f>SUMIFS('Diags Raw Data'!$O$6:$O$4694,'Diags Raw Data'!$D$6:$D$4694,$A20,'Diags Raw Data'!$M$6:$M$4694,"New")+SUMIFS('Diags Raw Data'!$O$6:$O$4694,'Diags Raw Data'!$D$6:$D$4694,$A20,'Diags Raw Data'!$M$6:$M$4694,"Delta")</f>
        <v>8.5</v>
      </c>
      <c r="F20" s="249">
        <f>IF(NOT($B20=0), E20/$B20, "---")</f>
        <v>0.94444444444444442</v>
      </c>
      <c r="G20" s="231">
        <f>SUMIFS('Diags Raw Data'!$S$6:$S$4694,'Diags Raw Data'!$D$6:$D$4694,$A20,'Diags Raw Data'!$M$6:$M$4694,"New")+SUMIFS('Diags Raw Data'!$S$6:$S$4694,'Diags Raw Data'!$D$6:$D$4694,$A20,'Diags Raw Data'!$M$6:$M$4694,"Delta")</f>
        <v>8</v>
      </c>
      <c r="H20" s="227">
        <f>SUMIFS('Diags Raw Data'!$T$6:$T$4694,'Diags Raw Data'!$D$6:$D$4694,$A20,'Diags Raw Data'!$M$6:$M$4694,"New")+SUMIFS('Diags Raw Data'!$T$6:$T$4694,'Diags Raw Data'!$D$6:$D$4694,$A20,'Diags Raw Data'!$M$6:$M$4694,"Delta")</f>
        <v>7</v>
      </c>
      <c r="I20" s="227">
        <f>SUMIFS('Diags Raw Data'!$U$6:$U$4694,'Diags Raw Data'!$D$6:$D$4694,$A20,'Diags Raw Data'!$M$6:$M$4694,"New")+SUMIFS('Diags Raw Data'!$U$6:$U$4694,'Diags Raw Data'!$D$6:$D$4694,$A20,'Diags Raw Data'!$M$6:$M$4694,"Delta")</f>
        <v>0</v>
      </c>
      <c r="J20" s="227">
        <f>SUMIFS('Diags Raw Data'!$V$6:$V$4694,'Diags Raw Data'!$D$6:$D$4694,$A20,'Diags Raw Data'!$M$6:$M$4694,"New")+SUMIFS('Diags Raw Data'!$V$6:$V$4694,'Diags Raw Data'!$D$6:$D$4694,$A20,'Diags Raw Data'!$M$6:$M$4694,"Delta")</f>
        <v>1</v>
      </c>
      <c r="K20" s="227">
        <f>SUMIFS('Diags Raw Data'!$W$6:$W$4694,'Diags Raw Data'!$D$6:$D$4694,$A20,'Diags Raw Data'!$M$6:$M$4694,"New")+SUMIFS('Diags Raw Data'!$W$6:$W$4694,'Diags Raw Data'!$D$6:$D$4694,$A20,'Diags Raw Data'!$M$6:$M$4694,"Delta")</f>
        <v>0</v>
      </c>
      <c r="L20" s="244">
        <f t="shared" ref="L20:L27" si="10">IF(NOT($C20=0), G20/$C20, "---")</f>
        <v>1</v>
      </c>
      <c r="M20" s="229">
        <f>IF(NOT($G20=0), (H20+I20)/$G20, "---")</f>
        <v>0.875</v>
      </c>
      <c r="N20" s="238">
        <f t="shared" ref="N20:N27" si="11">IF(NOT($C20=0), (H20+I20)/$C20, "---")</f>
        <v>0.875</v>
      </c>
      <c r="O20" s="214">
        <f>SUMIFS('Diags Raw Data'!$Z$6:$Z$4694,'Diags Raw Data'!$D$6:$D$4694,$A20,'Diags Raw Data'!$M$6:$M$4694,"New")+SUMIFS('Diags Raw Data'!$Z$6:$Z$4694,'Diags Raw Data'!$D$6:$D$4694,$A20,'Diags Raw Data'!$M$6:$M$4694,"Delta")</f>
        <v>0</v>
      </c>
      <c r="P20" s="204">
        <f>SUMIFS('Diags Raw Data'!$AA$6:$AA$4694,'Diags Raw Data'!$D$6:$D$4694,$A20,'Diags Raw Data'!$M$6:$M$4694,"New")+SUMIFS('Diags Raw Data'!$AA$6:$AA$4694,'Diags Raw Data'!$D$6:$D$4694,$A20,'Diags Raw Data'!$M$6:$M$4694,"Delta")</f>
        <v>0</v>
      </c>
      <c r="Q20" s="204">
        <f>SUMIFS('Diags Raw Data'!$AB$6:$AB$4694,'Diags Raw Data'!$D$6:$D$4694,$A20,'Diags Raw Data'!$M$6:$M$4694,"New")+SUMIFS('Diags Raw Data'!$AB$6:$AB$4694,'Diags Raw Data'!$D$6:$D$4694,$A20,'Diags Raw Data'!$M$6:$M$4694,"Delta")</f>
        <v>0</v>
      </c>
      <c r="R20" s="204">
        <f>SUMIFS('Diags Raw Data'!$AC$6:$AC$4694,'Diags Raw Data'!$D$6:$D$4694,$A20,'Diags Raw Data'!$M$6:$M$4694,"New")+SUMIFS('Diags Raw Data'!$AC$6:$AC$4694,'Diags Raw Data'!$D$6:$D$4694,$A20,'Diags Raw Data'!$M$6:$M$4694,"Delta")</f>
        <v>0</v>
      </c>
      <c r="S20" s="204">
        <f>SUMIFS('Diags Raw Data'!$AD$6:$AD$4694,'Diags Raw Data'!$D$6:$D$4694,$A20,'Diags Raw Data'!$M$6:$M$4694,"New")+SUMIFS('Diags Raw Data'!$AD$6:$AD$4694,'Diags Raw Data'!$D$6:$D$4694,$A20,'Diags Raw Data'!$M$6:$M$4694,"Delta")</f>
        <v>0</v>
      </c>
      <c r="T20" s="205">
        <f t="shared" ref="T20:T27" si="12">IF(NOT($B20=0), O20/$B20, "---")</f>
        <v>0</v>
      </c>
      <c r="U20" s="230" t="str">
        <f t="shared" ref="U20:U28" si="13">IF(NOT($O20=0), (P20+Q20)/$O20, "---")</f>
        <v>---</v>
      </c>
      <c r="V20" s="232">
        <f>IF(NOT($B20=0), (P20+Q20)/$B20, "---")</f>
        <v>0</v>
      </c>
    </row>
    <row r="21" spans="1:22" x14ac:dyDescent="0.25">
      <c r="A21" s="335" t="s">
        <v>423</v>
      </c>
      <c r="B21" s="253">
        <f>SUMIFS('Diags Raw Data'!$L$6:$L$4694,'Diags Raw Data'!$D$6:$D$4694,$A21,'Diags Raw Data'!$M$6:$M$4694,"New")+SUMIFS('Diags Raw Data'!$L$6:$L$4694,'Diags Raw Data'!$D$6:$D$4694,$A21,'Diags Raw Data'!$M$6:$M$4694,"Delta")</f>
        <v>12</v>
      </c>
      <c r="C21" s="243">
        <f>SUMIFS('Diags Raw Data'!$R$6:$R$4694,'Diags Raw Data'!$D$6:$D$4694,$A21,'Diags Raw Data'!$M$6:$M$4694,"New")+SUMIFS('Diags Raw Data'!$R$6:$R$4694,'Diags Raw Data'!$D$6:$D$4694,$A21,'Diags Raw Data'!$M$6:$M$4694,"Delta")</f>
        <v>10</v>
      </c>
      <c r="D21" s="243">
        <f>SUMIFS('Diags Raw Data'!$K$6:$K$4694,'Diags Raw Data'!$D$6:$D$4694,$A21,'Diags Raw Data'!$M$6:$M$4694,"New")+SUMIFS('Diags Raw Data'!$K$6:$K$4694,'Diags Raw Data'!$D$6:$D$4694,$A21,'Diags Raw Data'!$M$6:$M$4694,"Delta")</f>
        <v>6</v>
      </c>
      <c r="E21" s="243">
        <f>SUMIFS('Diags Raw Data'!$O$6:$O$4694,'Diags Raw Data'!$D$6:$D$4694,$A21,'Diags Raw Data'!$M$6:$M$4694,"New")+SUMIFS('Diags Raw Data'!$O$6:$O$4694,'Diags Raw Data'!$D$6:$D$4694,$A21,'Diags Raw Data'!$M$6:$M$4694,"Delta")</f>
        <v>12</v>
      </c>
      <c r="F21" s="249">
        <f t="shared" si="8"/>
        <v>1</v>
      </c>
      <c r="G21" s="231">
        <f>SUMIFS('Diags Raw Data'!$S$6:$S$4694,'Diags Raw Data'!$D$6:$D$4694,$A21,'Diags Raw Data'!$M$6:$M$4694,"New")+SUMIFS('Diags Raw Data'!$S$6:$S$4694,'Diags Raw Data'!$D$6:$D$4694,$A21,'Diags Raw Data'!$M$6:$M$4694,"Delta")</f>
        <v>9</v>
      </c>
      <c r="H21" s="227">
        <f>SUMIFS('Diags Raw Data'!$T$6:$T$4694,'Diags Raw Data'!$D$6:$D$4694,$A21,'Diags Raw Data'!$M$6:$M$4694,"New")+SUMIFS('Diags Raw Data'!$T$6:$T$4694,'Diags Raw Data'!$D$6:$D$4694,$A21,'Diags Raw Data'!$M$6:$M$4694,"Delta")</f>
        <v>7</v>
      </c>
      <c r="I21" s="227">
        <f>SUMIFS('Diags Raw Data'!$U$6:$U$4694,'Diags Raw Data'!$D$6:$D$4694,$A21,'Diags Raw Data'!$M$6:$M$4694,"New")+SUMIFS('Diags Raw Data'!$U$6:$U$4694,'Diags Raw Data'!$D$6:$D$4694,$A21,'Diags Raw Data'!$M$6:$M$4694,"Delta")</f>
        <v>0</v>
      </c>
      <c r="J21" s="227">
        <f>SUMIFS('Diags Raw Data'!$V$6:$V$4694,'Diags Raw Data'!$D$6:$D$4694,$A21,'Diags Raw Data'!$M$6:$M$4694,"New")+SUMIFS('Diags Raw Data'!$V$6:$V$4694,'Diags Raw Data'!$D$6:$D$4694,$A21,'Diags Raw Data'!$M$6:$M$4694,"Delta")</f>
        <v>2</v>
      </c>
      <c r="K21" s="227">
        <f>SUMIFS('Diags Raw Data'!$W$6:$W$4694,'Diags Raw Data'!$D$6:$D$4694,$A21,'Diags Raw Data'!$M$6:$M$4694,"New")+SUMIFS('Diags Raw Data'!$W$6:$W$4694,'Diags Raw Data'!$D$6:$D$4694,$A21,'Diags Raw Data'!$M$6:$M$4694,"Delta")</f>
        <v>0</v>
      </c>
      <c r="L21" s="244">
        <f t="shared" si="10"/>
        <v>0.9</v>
      </c>
      <c r="M21" s="229">
        <f t="shared" ref="M21:M28" si="14">IF(NOT($G21=0), (H21+I21)/$G21, "---")</f>
        <v>0.77777777777777779</v>
      </c>
      <c r="N21" s="238">
        <f>IF(NOT($C21=0), (H21+I21)/$C21, "---")</f>
        <v>0.7</v>
      </c>
      <c r="O21" s="214">
        <f>SUMIFS('Diags Raw Data'!$Z$6:$Z$4694,'Diags Raw Data'!$D$6:$D$4694,$A21,'Diags Raw Data'!$M$6:$M$4694,"New")+SUMIFS('Diags Raw Data'!$Z$6:$Z$4694,'Diags Raw Data'!$D$6:$D$4694,$A21,'Diags Raw Data'!$M$6:$M$4694,"Delta")</f>
        <v>5</v>
      </c>
      <c r="P21" s="204">
        <f>SUMIFS('Diags Raw Data'!$AA$6:$AA$4694,'Diags Raw Data'!$D$6:$D$4694,$A21,'Diags Raw Data'!$M$6:$M$4694,"New")+SUMIFS('Diags Raw Data'!$AA$6:$AA$4694,'Diags Raw Data'!$D$6:$D$4694,$A21,'Diags Raw Data'!$M$6:$M$4694,"Delta")</f>
        <v>5</v>
      </c>
      <c r="Q21" s="204">
        <f>SUMIFS('Diags Raw Data'!$AB$6:$AB$4694,'Diags Raw Data'!$D$6:$D$4694,$A21,'Diags Raw Data'!$M$6:$M$4694,"New")+SUMIFS('Diags Raw Data'!$AB$6:$AB$4694,'Diags Raw Data'!$D$6:$D$4694,$A21,'Diags Raw Data'!$M$6:$M$4694,"Delta")</f>
        <v>0</v>
      </c>
      <c r="R21" s="204">
        <f>SUMIFS('Diags Raw Data'!$AC$6:$AC$4694,'Diags Raw Data'!$D$6:$D$4694,$A21,'Diags Raw Data'!$M$6:$M$4694,"New")+SUMIFS('Diags Raw Data'!$AC$6:$AC$4694,'Diags Raw Data'!$D$6:$D$4694,$A21,'Diags Raw Data'!$M$6:$M$4694,"Delta")</f>
        <v>0</v>
      </c>
      <c r="S21" s="204">
        <f>SUMIFS('Diags Raw Data'!$AD$6:$AD$4694,'Diags Raw Data'!$D$6:$D$4694,$A21,'Diags Raw Data'!$M$6:$M$4694,"New")+SUMIFS('Diags Raw Data'!$AD$6:$AD$4694,'Diags Raw Data'!$D$6:$D$4694,$A21,'Diags Raw Data'!$M$6:$M$4694,"Delta")</f>
        <v>0</v>
      </c>
      <c r="T21" s="205">
        <f t="shared" si="12"/>
        <v>0.41666666666666669</v>
      </c>
      <c r="U21" s="230">
        <f t="shared" si="13"/>
        <v>1</v>
      </c>
      <c r="V21" s="232">
        <f>IF(NOT($B21=0), (P21+Q21)/$B21, "---")</f>
        <v>0.41666666666666669</v>
      </c>
    </row>
    <row r="22" spans="1:22" x14ac:dyDescent="0.25">
      <c r="A22" s="335" t="s">
        <v>424</v>
      </c>
      <c r="B22" s="253">
        <f>SUMIFS('Diags Raw Data'!$L$6:$L$4694,'Diags Raw Data'!$D$6:$D$4694,$A22,'Diags Raw Data'!$M$6:$M$4694,"New")+SUMIFS('Diags Raw Data'!$L$6:$L$4694,'Diags Raw Data'!$D$6:$D$4694,$A22,'Diags Raw Data'!$M$6:$M$4694,"Delta")</f>
        <v>0</v>
      </c>
      <c r="C22" s="243">
        <f>SUMIFS('Diags Raw Data'!$R$6:$R$4694,'Diags Raw Data'!$D$6:$D$4694,$A22,'Diags Raw Data'!$M$6:$M$4694,"New")+SUMIFS('Diags Raw Data'!$R$6:$R$4694,'Diags Raw Data'!$D$6:$D$4694,$A22,'Diags Raw Data'!$M$6:$M$4694,"Delta")</f>
        <v>0</v>
      </c>
      <c r="D22" s="243">
        <f>SUMIFS('Diags Raw Data'!$K$6:$K$4694,'Diags Raw Data'!$D$6:$D$4694,$A22,'Diags Raw Data'!$M$6:$M$4694,"New")+SUMIFS('Diags Raw Data'!$K$6:$K$4694,'Diags Raw Data'!$D$6:$D$4694,$A22,'Diags Raw Data'!$M$6:$M$4694,"Delta")</f>
        <v>0</v>
      </c>
      <c r="E22" s="243">
        <f>SUMIFS('Diags Raw Data'!$O$6:$O$4694,'Diags Raw Data'!$D$6:$D$4694,$A22,'Diags Raw Data'!$M$6:$M$4694,"New")+SUMIFS('Diags Raw Data'!$O$6:$O$4694,'Diags Raw Data'!$D$6:$D$4694,$A22,'Diags Raw Data'!$M$6:$M$4694,"Delta")</f>
        <v>0</v>
      </c>
      <c r="F22" s="249" t="str">
        <f>IF(NOT($B22=0), E22/$B22, "---")</f>
        <v>---</v>
      </c>
      <c r="G22" s="231">
        <f>SUMIFS('Diags Raw Data'!$S$6:$S$4694,'Diags Raw Data'!$D$6:$D$4694,$A22,'Diags Raw Data'!$M$6:$M$4694,"New")+SUMIFS('Diags Raw Data'!$S$6:$S$4694,'Diags Raw Data'!$D$6:$D$4694,$A22,'Diags Raw Data'!$M$6:$M$4694,"Delta")</f>
        <v>0</v>
      </c>
      <c r="H22" s="227">
        <f>SUMIFS('Diags Raw Data'!$T$6:$T$4694,'Diags Raw Data'!$D$6:$D$4694,$A22,'Diags Raw Data'!$M$6:$M$4694,"New")+SUMIFS('Diags Raw Data'!$T$6:$T$4694,'Diags Raw Data'!$D$6:$D$4694,$A22,'Diags Raw Data'!$M$6:$M$4694,"Delta")</f>
        <v>0</v>
      </c>
      <c r="I22" s="227">
        <f>SUMIFS('Diags Raw Data'!$U$6:$U$4694,'Diags Raw Data'!$D$6:$D$4694,$A22,'Diags Raw Data'!$M$6:$M$4694,"New")+SUMIFS('Diags Raw Data'!$U$6:$U$4694,'Diags Raw Data'!$D$6:$D$4694,$A22,'Diags Raw Data'!$M$6:$M$4694,"Delta")</f>
        <v>0</v>
      </c>
      <c r="J22" s="227">
        <f>SUMIFS('Diags Raw Data'!$V$6:$V$4694,'Diags Raw Data'!$D$6:$D$4694,$A22,'Diags Raw Data'!$M$6:$M$4694,"New")+SUMIFS('Diags Raw Data'!$V$6:$V$4694,'Diags Raw Data'!$D$6:$D$4694,$A22,'Diags Raw Data'!$M$6:$M$4694,"Delta")</f>
        <v>0</v>
      </c>
      <c r="K22" s="227">
        <f>SUMIFS('Diags Raw Data'!$W$6:$W$4694,'Diags Raw Data'!$D$6:$D$4694,$A22,'Diags Raw Data'!$M$6:$M$4694,"New")+SUMIFS('Diags Raw Data'!$W$6:$W$4694,'Diags Raw Data'!$D$6:$D$4694,$A22,'Diags Raw Data'!$M$6:$M$4694,"Delta")</f>
        <v>0</v>
      </c>
      <c r="L22" s="244" t="str">
        <f t="shared" si="10"/>
        <v>---</v>
      </c>
      <c r="M22" s="229" t="str">
        <f t="shared" si="14"/>
        <v>---</v>
      </c>
      <c r="N22" s="238" t="str">
        <f t="shared" si="11"/>
        <v>---</v>
      </c>
      <c r="O22" s="214">
        <f>SUMIFS('Diags Raw Data'!$Z$6:$Z$4694,'Diags Raw Data'!$D$6:$D$4694,$A22,'Diags Raw Data'!$M$6:$M$4694,"New")+SUMIFS('Diags Raw Data'!$Z$6:$Z$4694,'Diags Raw Data'!$D$6:$D$4694,$A22,'Diags Raw Data'!$M$6:$M$4694,"Delta")</f>
        <v>0</v>
      </c>
      <c r="P22" s="204">
        <f>SUMIFS('Diags Raw Data'!$AA$6:$AA$4694,'Diags Raw Data'!$D$6:$D$4694,$A22,'Diags Raw Data'!$M$6:$M$4694,"New")+SUMIFS('Diags Raw Data'!$AA$6:$AA$4694,'Diags Raw Data'!$D$6:$D$4694,$A22,'Diags Raw Data'!$M$6:$M$4694,"Delta")</f>
        <v>0</v>
      </c>
      <c r="Q22" s="204">
        <f>SUMIFS('Diags Raw Data'!$AB$6:$AB$4694,'Diags Raw Data'!$D$6:$D$4694,$A22,'Diags Raw Data'!$M$6:$M$4694,"New")+SUMIFS('Diags Raw Data'!$AB$6:$AB$4694,'Diags Raw Data'!$D$6:$D$4694,$A22,'Diags Raw Data'!$M$6:$M$4694,"Delta")</f>
        <v>0</v>
      </c>
      <c r="R22" s="204">
        <f>SUMIFS('Diags Raw Data'!$AC$6:$AC$4694,'Diags Raw Data'!$D$6:$D$4694,$A22,'Diags Raw Data'!$M$6:$M$4694,"New")+SUMIFS('Diags Raw Data'!$AC$6:$AC$4694,'Diags Raw Data'!$D$6:$D$4694,$A22,'Diags Raw Data'!$M$6:$M$4694,"Delta")</f>
        <v>0</v>
      </c>
      <c r="S22" s="204">
        <f>SUMIFS('Diags Raw Data'!$AD$6:$AD$4694,'Diags Raw Data'!$D$6:$D$4694,$A22,'Diags Raw Data'!$M$6:$M$4694,"New")+SUMIFS('Diags Raw Data'!$AD$6:$AD$4694,'Diags Raw Data'!$D$6:$D$4694,$A22,'Diags Raw Data'!$M$6:$M$4694,"Delta")</f>
        <v>0</v>
      </c>
      <c r="T22" s="205" t="str">
        <f t="shared" si="12"/>
        <v>---</v>
      </c>
      <c r="U22" s="230" t="str">
        <f t="shared" si="13"/>
        <v>---</v>
      </c>
      <c r="V22" s="232" t="str">
        <f t="shared" si="9"/>
        <v>---</v>
      </c>
    </row>
    <row r="23" spans="1:22" x14ac:dyDescent="0.25">
      <c r="A23" s="335" t="s">
        <v>425</v>
      </c>
      <c r="B23" s="253">
        <f>SUMIFS('Diags Raw Data'!$L$6:$L$4694,'Diags Raw Data'!$D$6:$D$4694,$A23,'Diags Raw Data'!$M$6:$M$4694,"New")+SUMIFS('Diags Raw Data'!$L$6:$L$4694,'Diags Raw Data'!$D$6:$D$4694,$A23,'Diags Raw Data'!$M$6:$M$4694,"Delta")</f>
        <v>5</v>
      </c>
      <c r="C23" s="243">
        <f>SUMIFS('Diags Raw Data'!$R$6:$R$4694,'Diags Raw Data'!$D$6:$D$4694,$A23,'Diags Raw Data'!$M$6:$M$4694,"New")+SUMIFS('Diags Raw Data'!$R$6:$R$4694,'Diags Raw Data'!$D$6:$D$4694,$A23,'Diags Raw Data'!$M$6:$M$4694,"Delta")</f>
        <v>3</v>
      </c>
      <c r="D23" s="243">
        <f>SUMIFS('Diags Raw Data'!$K$6:$K$4694,'Diags Raw Data'!$D$6:$D$4694,$A23,'Diags Raw Data'!$M$6:$M$4694,"New")+SUMIFS('Diags Raw Data'!$K$6:$K$4694,'Diags Raw Data'!$D$6:$D$4694,$A23,'Diags Raw Data'!$M$6:$M$4694,"Delta")</f>
        <v>3</v>
      </c>
      <c r="E23" s="243">
        <f>SUMIFS('Diags Raw Data'!$O$6:$O$4694,'Diags Raw Data'!$D$6:$D$4694,$A23,'Diags Raw Data'!$M$6:$M$4694,"New")+SUMIFS('Diags Raw Data'!$O$6:$O$4694,'Diags Raw Data'!$D$6:$D$4694,$A23,'Diags Raw Data'!$M$6:$M$4694,"Delta")</f>
        <v>5</v>
      </c>
      <c r="F23" s="249">
        <f t="shared" si="8"/>
        <v>1</v>
      </c>
      <c r="G23" s="231">
        <f>SUMIFS('Diags Raw Data'!$S$6:$S$4694,'Diags Raw Data'!$D$6:$D$4694,$A23,'Diags Raw Data'!$M$6:$M$4694,"New")+SUMIFS('Diags Raw Data'!$S$6:$S$4694,'Diags Raw Data'!$D$6:$D$4694,$A23,'Diags Raw Data'!$M$6:$M$4694,"Delta")</f>
        <v>1</v>
      </c>
      <c r="H23" s="227">
        <f>SUMIFS('Diags Raw Data'!$T$6:$T$4694,'Diags Raw Data'!$D$6:$D$4694,$A23,'Diags Raw Data'!$M$6:$M$4694,"New")+SUMIFS('Diags Raw Data'!$T$6:$T$4694,'Diags Raw Data'!$D$6:$D$4694,$A23,'Diags Raw Data'!$M$6:$M$4694,"Delta")</f>
        <v>1</v>
      </c>
      <c r="I23" s="227">
        <f>SUMIFS('Diags Raw Data'!$U$6:$U$4694,'Diags Raw Data'!$D$6:$D$4694,$A23,'Diags Raw Data'!$M$6:$M$4694,"New")+SUMIFS('Diags Raw Data'!$U$6:$U$4694,'Diags Raw Data'!$D$6:$D$4694,$A23,'Diags Raw Data'!$M$6:$M$4694,"Delta")</f>
        <v>0</v>
      </c>
      <c r="J23" s="227">
        <f>SUMIFS('Diags Raw Data'!$V$6:$V$4694,'Diags Raw Data'!$D$6:$D$4694,$A23,'Diags Raw Data'!$M$6:$M$4694,"New")+SUMIFS('Diags Raw Data'!$V$6:$V$4694,'Diags Raw Data'!$D$6:$D$4694,$A23,'Diags Raw Data'!$M$6:$M$4694,"Delta")</f>
        <v>0</v>
      </c>
      <c r="K23" s="227">
        <f>SUMIFS('Diags Raw Data'!$W$6:$W$4694,'Diags Raw Data'!$D$6:$D$4694,$A23,'Diags Raw Data'!$M$6:$M$4694,"New")+SUMIFS('Diags Raw Data'!$W$6:$W$4694,'Diags Raw Data'!$D$6:$D$4694,$A23,'Diags Raw Data'!$M$6:$M$4694,"Delta")</f>
        <v>0</v>
      </c>
      <c r="L23" s="244">
        <f t="shared" si="10"/>
        <v>0.33333333333333331</v>
      </c>
      <c r="M23" s="229">
        <f t="shared" si="14"/>
        <v>1</v>
      </c>
      <c r="N23" s="238">
        <f t="shared" si="11"/>
        <v>0.33333333333333331</v>
      </c>
      <c r="O23" s="214">
        <f>SUMIFS('Diags Raw Data'!$Z$6:$Z$4694,'Diags Raw Data'!$D$6:$D$4694,$A23,'Diags Raw Data'!$M$6:$M$4694,"New")+SUMIFS('Diags Raw Data'!$Z$6:$Z$4694,'Diags Raw Data'!$D$6:$D$4694,$A23,'Diags Raw Data'!$M$6:$M$4694,"Delta")</f>
        <v>0</v>
      </c>
      <c r="P23" s="204">
        <f>SUMIFS('Diags Raw Data'!$AA$6:$AA$4694,'Diags Raw Data'!$D$6:$D$4694,$A23,'Diags Raw Data'!$M$6:$M$4694,"New")+SUMIFS('Diags Raw Data'!$AA$6:$AA$4694,'Diags Raw Data'!$D$6:$D$4694,$A23,'Diags Raw Data'!$M$6:$M$4694,"Delta")</f>
        <v>0</v>
      </c>
      <c r="Q23" s="204">
        <f>SUMIFS('Diags Raw Data'!$AB$6:$AB$4694,'Diags Raw Data'!$D$6:$D$4694,$A23,'Diags Raw Data'!$M$6:$M$4694,"New")+SUMIFS('Diags Raw Data'!$AB$6:$AB$4694,'Diags Raw Data'!$D$6:$D$4694,$A23,'Diags Raw Data'!$M$6:$M$4694,"Delta")</f>
        <v>0</v>
      </c>
      <c r="R23" s="204">
        <f>SUMIFS('Diags Raw Data'!$AC$6:$AC$4694,'Diags Raw Data'!$D$6:$D$4694,$A23,'Diags Raw Data'!$M$6:$M$4694,"New")+SUMIFS('Diags Raw Data'!$AC$6:$AC$4694,'Diags Raw Data'!$D$6:$D$4694,$A23,'Diags Raw Data'!$M$6:$M$4694,"Delta")</f>
        <v>0</v>
      </c>
      <c r="S23" s="204">
        <f>SUMIFS('Diags Raw Data'!$AD$6:$AD$4694,'Diags Raw Data'!$D$6:$D$4694,$A23,'Diags Raw Data'!$M$6:$M$4694,"New")+SUMIFS('Diags Raw Data'!$AD$6:$AD$4694,'Diags Raw Data'!$D$6:$D$4694,$A23,'Diags Raw Data'!$M$6:$M$4694,"Delta")</f>
        <v>0</v>
      </c>
      <c r="T23" s="205">
        <f t="shared" si="12"/>
        <v>0</v>
      </c>
      <c r="U23" s="230" t="str">
        <f t="shared" si="13"/>
        <v>---</v>
      </c>
      <c r="V23" s="232">
        <f t="shared" si="9"/>
        <v>0</v>
      </c>
    </row>
    <row r="24" spans="1:22" x14ac:dyDescent="0.25">
      <c r="A24" s="335" t="s">
        <v>426</v>
      </c>
      <c r="B24" s="253">
        <f>SUMIFS('Diags Raw Data'!$L$6:$L$4694,'Diags Raw Data'!$D$6:$D$4694,$A24,'Diags Raw Data'!$M$6:$M$4694,"New")+SUMIFS('Diags Raw Data'!$L$6:$L$4694,'Diags Raw Data'!$D$6:$D$4694,$A24,'Diags Raw Data'!$M$6:$M$4694,"Delta")</f>
        <v>138</v>
      </c>
      <c r="C24" s="243">
        <f>SUMIFS('Diags Raw Data'!$R$6:$R$4694,'Diags Raw Data'!$D$6:$D$4694,$A24,'Diags Raw Data'!$M$6:$M$4694,"New")+SUMIFS('Diags Raw Data'!$R$6:$R$4694,'Diags Raw Data'!$D$6:$D$4694,$A24,'Diags Raw Data'!$M$6:$M$4694,"Delta")</f>
        <v>137</v>
      </c>
      <c r="D24" s="243">
        <f>SUMIFS('Diags Raw Data'!$K$6:$K$4694,'Diags Raw Data'!$D$6:$D$4694,$A24,'Diags Raw Data'!$M$6:$M$4694,"New")+SUMIFS('Diags Raw Data'!$K$6:$K$4694,'Diags Raw Data'!$D$6:$D$4694,$A24,'Diags Raw Data'!$M$6:$M$4694,"Delta")</f>
        <v>14</v>
      </c>
      <c r="E24" s="243">
        <f>SUMIFS('Diags Raw Data'!$O$6:$O$4694,'Diags Raw Data'!$D$6:$D$4694,$A24,'Diags Raw Data'!$M$6:$M$4694,"New")+SUMIFS('Diags Raw Data'!$O$6:$O$4694,'Diags Raw Data'!$D$6:$D$4694,$A24,'Diags Raw Data'!$M$6:$M$4694,"Delta")</f>
        <v>138</v>
      </c>
      <c r="F24" s="249">
        <f t="shared" si="8"/>
        <v>1</v>
      </c>
      <c r="G24" s="231">
        <f>SUMIFS('Diags Raw Data'!$S$6:$S$4694,'Diags Raw Data'!$D$6:$D$4694,$A24,'Diags Raw Data'!$M$6:$M$4694,"New")+SUMIFS('Diags Raw Data'!$S$6:$S$4694,'Diags Raw Data'!$D$6:$D$4694,$A24,'Diags Raw Data'!$M$6:$M$4694,"Delta")</f>
        <v>103</v>
      </c>
      <c r="H24" s="227">
        <f>SUMIFS('Diags Raw Data'!$T$6:$T$4694,'Diags Raw Data'!$D$6:$D$4694,$A24,'Diags Raw Data'!$M$6:$M$4694,"New")+SUMIFS('Diags Raw Data'!$T$6:$T$4694,'Diags Raw Data'!$D$6:$D$4694,$A24,'Diags Raw Data'!$M$6:$M$4694,"Delta")</f>
        <v>103</v>
      </c>
      <c r="I24" s="227">
        <f>SUMIFS('Diags Raw Data'!$U$6:$U$4694,'Diags Raw Data'!$D$6:$D$4694,$A24,'Diags Raw Data'!$M$6:$M$4694,"New")+SUMIFS('Diags Raw Data'!$U$6:$U$4694,'Diags Raw Data'!$D$6:$D$4694,$A24,'Diags Raw Data'!$M$6:$M$4694,"Delta")</f>
        <v>0</v>
      </c>
      <c r="J24" s="227">
        <f>SUMIFS('Diags Raw Data'!$V$6:$V$4694,'Diags Raw Data'!$D$6:$D$4694,$A24,'Diags Raw Data'!$M$6:$M$4694,"New")+SUMIFS('Diags Raw Data'!$V$6:$V$4694,'Diags Raw Data'!$D$6:$D$4694,$A24,'Diags Raw Data'!$M$6:$M$4694,"Delta")</f>
        <v>0</v>
      </c>
      <c r="K24" s="227">
        <f>SUMIFS('Diags Raw Data'!$W$6:$W$4694,'Diags Raw Data'!$D$6:$D$4694,$A24,'Diags Raw Data'!$M$6:$M$4694,"New")+SUMIFS('Diags Raw Data'!$W$6:$W$4694,'Diags Raw Data'!$D$6:$D$4694,$A24,'Diags Raw Data'!$M$6:$M$4694,"Delta")</f>
        <v>0</v>
      </c>
      <c r="L24" s="244">
        <f t="shared" si="10"/>
        <v>0.75182481751824815</v>
      </c>
      <c r="M24" s="229">
        <f t="shared" si="14"/>
        <v>1</v>
      </c>
      <c r="N24" s="238">
        <f t="shared" si="11"/>
        <v>0.75182481751824815</v>
      </c>
      <c r="O24" s="214">
        <f>SUMIFS('Diags Raw Data'!$Z$6:$Z$4694,'Diags Raw Data'!$D$6:$D$4694,$A24,'Diags Raw Data'!$M$6:$M$4694,"New")+SUMIFS('Diags Raw Data'!$Z$6:$Z$4694,'Diags Raw Data'!$D$6:$D$4694,$A24,'Diags Raw Data'!$M$6:$M$4694,"Delta")</f>
        <v>38</v>
      </c>
      <c r="P24" s="204">
        <f>SUMIFS('Diags Raw Data'!$AA$6:$AA$4694,'Diags Raw Data'!$D$6:$D$4694,$A24,'Diags Raw Data'!$M$6:$M$4694,"New")+SUMIFS('Diags Raw Data'!$AA$6:$AA$4694,'Diags Raw Data'!$D$6:$D$4694,$A24,'Diags Raw Data'!$M$6:$M$4694,"Delta")</f>
        <v>38</v>
      </c>
      <c r="Q24" s="204">
        <f>SUMIFS('Diags Raw Data'!$AB$6:$AB$4694,'Diags Raw Data'!$D$6:$D$4694,$A24,'Diags Raw Data'!$M$6:$M$4694,"New")+SUMIFS('Diags Raw Data'!$AB$6:$AB$4694,'Diags Raw Data'!$D$6:$D$4694,$A24,'Diags Raw Data'!$M$6:$M$4694,"Delta")</f>
        <v>0</v>
      </c>
      <c r="R24" s="204">
        <f>SUMIFS('Diags Raw Data'!$AC$6:$AC$4694,'Diags Raw Data'!$D$6:$D$4694,$A24,'Diags Raw Data'!$M$6:$M$4694,"New")+SUMIFS('Diags Raw Data'!$AC$6:$AC$4694,'Diags Raw Data'!$D$6:$D$4694,$A24,'Diags Raw Data'!$M$6:$M$4694,"Delta")</f>
        <v>0</v>
      </c>
      <c r="S24" s="204">
        <f>SUMIFS('Diags Raw Data'!$AD$6:$AD$4694,'Diags Raw Data'!$D$6:$D$4694,$A24,'Diags Raw Data'!$M$6:$M$4694,"New")+SUMIFS('Diags Raw Data'!$AD$6:$AD$4694,'Diags Raw Data'!$D$6:$D$4694,$A24,'Diags Raw Data'!$M$6:$M$4694,"Delta")</f>
        <v>0</v>
      </c>
      <c r="T24" s="205">
        <f t="shared" si="12"/>
        <v>0.27536231884057971</v>
      </c>
      <c r="U24" s="230">
        <f t="shared" si="13"/>
        <v>1</v>
      </c>
      <c r="V24" s="232">
        <f t="shared" si="9"/>
        <v>0.27536231884057971</v>
      </c>
    </row>
    <row r="25" spans="1:22" x14ac:dyDescent="0.25">
      <c r="A25" s="335" t="s">
        <v>427</v>
      </c>
      <c r="B25" s="253">
        <f>SUMIFS('Diags Raw Data'!$L$6:$L$4694,'Diags Raw Data'!$D$6:$D$4694,$A25,'Diags Raw Data'!$M$6:$M$4694,"New")+SUMIFS('Diags Raw Data'!$L$6:$L$4694,'Diags Raw Data'!$D$6:$D$4694,$A25,'Diags Raw Data'!$M$6:$M$4694,"Delta")</f>
        <v>10</v>
      </c>
      <c r="C25" s="243">
        <f>SUMIFS('Diags Raw Data'!$R$6:$R$4694,'Diags Raw Data'!$D$6:$D$4694,$A25,'Diags Raw Data'!$M$6:$M$4694,"New")+SUMIFS('Diags Raw Data'!$R$6:$R$4694,'Diags Raw Data'!$D$6:$D$4694,$A25,'Diags Raw Data'!$M$6:$M$4694,"Delta")</f>
        <v>10</v>
      </c>
      <c r="D25" s="243">
        <f>SUMIFS('Diags Raw Data'!$K$6:$K$4694,'Diags Raw Data'!$D$6:$D$4694,$A25,'Diags Raw Data'!$M$6:$M$4694,"New")+SUMIFS('Diags Raw Data'!$K$6:$K$4694,'Diags Raw Data'!$D$6:$D$4694,$A25,'Diags Raw Data'!$M$6:$M$4694,"Delta")</f>
        <v>7</v>
      </c>
      <c r="E25" s="243">
        <f>SUMIFS('Diags Raw Data'!$O$6:$O$4694,'Diags Raw Data'!$D$6:$D$4694,$A25,'Diags Raw Data'!$M$6:$M$4694,"New")+SUMIFS('Diags Raw Data'!$O$6:$O$4694,'Diags Raw Data'!$D$6:$D$4694,$A25,'Diags Raw Data'!$M$6:$M$4694,"Delta")</f>
        <v>9.8000000000000007</v>
      </c>
      <c r="F25" s="249">
        <f t="shared" si="8"/>
        <v>0.98000000000000009</v>
      </c>
      <c r="G25" s="231">
        <f>SUMIFS('Diags Raw Data'!$S$6:$S$4694,'Diags Raw Data'!$D$6:$D$4694,$A25,'Diags Raw Data'!$M$6:$M$4694,"New")+SUMIFS('Diags Raw Data'!$S$6:$S$4694,'Diags Raw Data'!$D$6:$D$4694,$A25,'Diags Raw Data'!$M$6:$M$4694,"Delta")</f>
        <v>7</v>
      </c>
      <c r="H25" s="227">
        <f>SUMIFS('Diags Raw Data'!$T$6:$T$4694,'Diags Raw Data'!$D$6:$D$4694,$A25,'Diags Raw Data'!$M$6:$M$4694,"New")+SUMIFS('Diags Raw Data'!$T$6:$T$4694,'Diags Raw Data'!$D$6:$D$4694,$A25,'Diags Raw Data'!$M$6:$M$4694,"Delta")</f>
        <v>7</v>
      </c>
      <c r="I25" s="227">
        <f>SUMIFS('Diags Raw Data'!$U$6:$U$4694,'Diags Raw Data'!$D$6:$D$4694,$A25,'Diags Raw Data'!$M$6:$M$4694,"New")+SUMIFS('Diags Raw Data'!$U$6:$U$4694,'Diags Raw Data'!$D$6:$D$4694,$A25,'Diags Raw Data'!$M$6:$M$4694,"Delta")</f>
        <v>0</v>
      </c>
      <c r="J25" s="227">
        <f>SUMIFS('Diags Raw Data'!$V$6:$V$4694,'Diags Raw Data'!$D$6:$D$4694,$A25,'Diags Raw Data'!$M$6:$M$4694,"New")+SUMIFS('Diags Raw Data'!$V$6:$V$4694,'Diags Raw Data'!$D$6:$D$4694,$A25,'Diags Raw Data'!$M$6:$M$4694,"Delta")</f>
        <v>0</v>
      </c>
      <c r="K25" s="227">
        <f>SUMIFS('Diags Raw Data'!$W$6:$W$4694,'Diags Raw Data'!$D$6:$D$4694,$A25,'Diags Raw Data'!$M$6:$M$4694,"New")+SUMIFS('Diags Raw Data'!$W$6:$W$4694,'Diags Raw Data'!$D$6:$D$4694,$A25,'Diags Raw Data'!$M$6:$M$4694,"Delta")</f>
        <v>0</v>
      </c>
      <c r="L25" s="244">
        <f t="shared" si="10"/>
        <v>0.7</v>
      </c>
      <c r="M25" s="229">
        <f>IF(NOT($G25=0), (H25+I25)/$G25, "---")</f>
        <v>1</v>
      </c>
      <c r="N25" s="238">
        <f t="shared" si="11"/>
        <v>0.7</v>
      </c>
      <c r="O25" s="214">
        <f>SUMIFS('Diags Raw Data'!$Z$6:$Z$4694,'Diags Raw Data'!$D$6:$D$4694,$A25,'Diags Raw Data'!$M$6:$M$4694,"New")+SUMIFS('Diags Raw Data'!$Z$6:$Z$4694,'Diags Raw Data'!$D$6:$D$4694,$A25,'Diags Raw Data'!$M$6:$M$4694,"Delta")</f>
        <v>0</v>
      </c>
      <c r="P25" s="204">
        <f>SUMIFS('Diags Raw Data'!$AA$6:$AA$4694,'Diags Raw Data'!$D$6:$D$4694,$A25,'Diags Raw Data'!$M$6:$M$4694,"New")+SUMIFS('Diags Raw Data'!$AA$6:$AA$4694,'Diags Raw Data'!$D$6:$D$4694,$A25,'Diags Raw Data'!$M$6:$M$4694,"Delta")</f>
        <v>0</v>
      </c>
      <c r="Q25" s="204">
        <f>SUMIFS('Diags Raw Data'!$AB$6:$AB$4694,'Diags Raw Data'!$D$6:$D$4694,$A25,'Diags Raw Data'!$M$6:$M$4694,"New")+SUMIFS('Diags Raw Data'!$AB$6:$AB$4694,'Diags Raw Data'!$D$6:$D$4694,$A25,'Diags Raw Data'!$M$6:$M$4694,"Delta")</f>
        <v>0</v>
      </c>
      <c r="R25" s="204">
        <f>SUMIFS('Diags Raw Data'!$AC$6:$AC$4694,'Diags Raw Data'!$D$6:$D$4694,$A25,'Diags Raw Data'!$M$6:$M$4694,"New")+SUMIFS('Diags Raw Data'!$AC$6:$AC$4694,'Diags Raw Data'!$D$6:$D$4694,$A25,'Diags Raw Data'!$M$6:$M$4694,"Delta")</f>
        <v>0</v>
      </c>
      <c r="S25" s="204">
        <f>SUMIFS('Diags Raw Data'!$AD$6:$AD$4694,'Diags Raw Data'!$D$6:$D$4694,$A25,'Diags Raw Data'!$M$6:$M$4694,"New")+SUMIFS('Diags Raw Data'!$AD$6:$AD$4694,'Diags Raw Data'!$D$6:$D$4694,$A25,'Diags Raw Data'!$M$6:$M$4694,"Delta")</f>
        <v>0</v>
      </c>
      <c r="T25" s="205">
        <f t="shared" si="12"/>
        <v>0</v>
      </c>
      <c r="U25" s="230" t="str">
        <f t="shared" si="13"/>
        <v>---</v>
      </c>
      <c r="V25" s="232">
        <f t="shared" si="9"/>
        <v>0</v>
      </c>
    </row>
    <row r="26" spans="1:22" x14ac:dyDescent="0.25">
      <c r="A26" s="335" t="s">
        <v>428</v>
      </c>
      <c r="B26" s="253">
        <f>SUMIFS('Diags Raw Data'!$L$6:$L$4694,'Diags Raw Data'!$D$6:$D$4694,$A26,'Diags Raw Data'!$M$6:$M$4694,"New")+SUMIFS('Diags Raw Data'!$L$6:$L$4694,'Diags Raw Data'!$D$6:$D$4694,$A26,'Diags Raw Data'!$M$6:$M$4694,"Delta")</f>
        <v>128</v>
      </c>
      <c r="C26" s="243">
        <f>SUMIFS('Diags Raw Data'!$R$6:$R$4694,'Diags Raw Data'!$D$6:$D$4694,$A26,'Diags Raw Data'!$M$6:$M$4694,"New")+SUMIFS('Diags Raw Data'!$R$6:$R$4694,'Diags Raw Data'!$D$6:$D$4694,$A26,'Diags Raw Data'!$M$6:$M$4694,"Delta")</f>
        <v>36</v>
      </c>
      <c r="D26" s="243">
        <f>SUMIFS('Diags Raw Data'!$K$6:$K$4694,'Diags Raw Data'!$D$6:$D$4694,$A26,'Diags Raw Data'!$M$6:$M$4694,"New")+SUMIFS('Diags Raw Data'!$K$6:$K$4694,'Diags Raw Data'!$D$6:$D$4694,$A26,'Diags Raw Data'!$M$6:$M$4694,"Delta")</f>
        <v>8</v>
      </c>
      <c r="E26" s="243">
        <f>SUMIFS('Diags Raw Data'!$O$6:$O$4694,'Diags Raw Data'!$D$6:$D$4694,$A26,'Diags Raw Data'!$M$6:$M$4694,"New")+SUMIFS('Diags Raw Data'!$O$6:$O$4694,'Diags Raw Data'!$D$6:$D$4694,$A26,'Diags Raw Data'!$M$6:$M$4694,"Delta")</f>
        <v>128</v>
      </c>
      <c r="F26" s="249">
        <f t="shared" si="8"/>
        <v>1</v>
      </c>
      <c r="G26" s="231">
        <f>SUMIFS('Diags Raw Data'!$S$6:$S$4694,'Diags Raw Data'!$D$6:$D$4694,$A26,'Diags Raw Data'!$M$6:$M$4694,"New")+SUMIFS('Diags Raw Data'!$S$6:$S$4694,'Diags Raw Data'!$D$6:$D$4694,$A26,'Diags Raw Data'!$M$6:$M$4694,"Delta")</f>
        <v>36</v>
      </c>
      <c r="H26" s="227">
        <f>SUMIFS('Diags Raw Data'!$T$6:$T$4694,'Diags Raw Data'!$D$6:$D$4694,$A26,'Diags Raw Data'!$M$6:$M$4694,"New")+SUMIFS('Diags Raw Data'!$T$6:$T$4694,'Diags Raw Data'!$D$6:$D$4694,$A26,'Diags Raw Data'!$M$6:$M$4694,"Delta")</f>
        <v>36</v>
      </c>
      <c r="I26" s="227">
        <f>SUMIFS('Diags Raw Data'!$U$6:$U$4694,'Diags Raw Data'!$D$6:$D$4694,$A26,'Diags Raw Data'!$M$6:$M$4694,"New")+SUMIFS('Diags Raw Data'!$U$6:$U$4694,'Diags Raw Data'!$D$6:$D$4694,$A26,'Diags Raw Data'!$M$6:$M$4694,"Delta")</f>
        <v>0</v>
      </c>
      <c r="J26" s="227">
        <f>SUMIFS('Diags Raw Data'!$V$6:$V$4694,'Diags Raw Data'!$D$6:$D$4694,$A26,'Diags Raw Data'!$M$6:$M$4694,"New")+SUMIFS('Diags Raw Data'!$V$6:$V$4694,'Diags Raw Data'!$D$6:$D$4694,$A26,'Diags Raw Data'!$M$6:$M$4694,"Delta")</f>
        <v>0</v>
      </c>
      <c r="K26" s="227">
        <f>SUMIFS('Diags Raw Data'!$W$6:$W$4694,'Diags Raw Data'!$D$6:$D$4694,$A26,'Diags Raw Data'!$M$6:$M$4694,"New")+SUMIFS('Diags Raw Data'!$W$6:$W$4694,'Diags Raw Data'!$D$6:$D$4694,$A26,'Diags Raw Data'!$M$6:$M$4694,"Delta")</f>
        <v>0</v>
      </c>
      <c r="L26" s="244">
        <f t="shared" si="10"/>
        <v>1</v>
      </c>
      <c r="M26" s="229">
        <f t="shared" si="14"/>
        <v>1</v>
      </c>
      <c r="N26" s="238">
        <f t="shared" si="11"/>
        <v>1</v>
      </c>
      <c r="O26" s="214">
        <f>SUMIFS('Diags Raw Data'!$Z$6:$Z$4694,'Diags Raw Data'!$D$6:$D$4694,$A26,'Diags Raw Data'!$M$6:$M$4694,"New")+SUMIFS('Diags Raw Data'!$Z$6:$Z$4694,'Diags Raw Data'!$D$6:$D$4694,$A26,'Diags Raw Data'!$M$6:$M$4694,"Delta")</f>
        <v>0</v>
      </c>
      <c r="P26" s="204">
        <f>SUMIFS('Diags Raw Data'!$AA$6:$AA$4694,'Diags Raw Data'!$D$6:$D$4694,$A26,'Diags Raw Data'!$M$6:$M$4694,"New")+SUMIFS('Diags Raw Data'!$AA$6:$AA$4694,'Diags Raw Data'!$D$6:$D$4694,$A26,'Diags Raw Data'!$M$6:$M$4694,"Delta")</f>
        <v>0</v>
      </c>
      <c r="Q26" s="204">
        <f>SUMIFS('Diags Raw Data'!$AB$6:$AB$4694,'Diags Raw Data'!$D$6:$D$4694,$A26,'Diags Raw Data'!$M$6:$M$4694,"New")+SUMIFS('Diags Raw Data'!$AB$6:$AB$4694,'Diags Raw Data'!$D$6:$D$4694,$A26,'Diags Raw Data'!$M$6:$M$4694,"Delta")</f>
        <v>0</v>
      </c>
      <c r="R26" s="204">
        <f>SUMIFS('Diags Raw Data'!$AC$6:$AC$4694,'Diags Raw Data'!$D$6:$D$4694,$A26,'Diags Raw Data'!$M$6:$M$4694,"New")+SUMIFS('Diags Raw Data'!$AC$6:$AC$4694,'Diags Raw Data'!$D$6:$D$4694,$A26,'Diags Raw Data'!$M$6:$M$4694,"Delta")</f>
        <v>0</v>
      </c>
      <c r="S26" s="204">
        <f>SUMIFS('Diags Raw Data'!$AD$6:$AD$4694,'Diags Raw Data'!$D$6:$D$4694,$A26,'Diags Raw Data'!$M$6:$M$4694,"New")+SUMIFS('Diags Raw Data'!$AD$6:$AD$4694,'Diags Raw Data'!$D$6:$D$4694,$A26,'Diags Raw Data'!$M$6:$M$4694,"Delta")</f>
        <v>0</v>
      </c>
      <c r="T26" s="205">
        <f t="shared" si="12"/>
        <v>0</v>
      </c>
      <c r="U26" s="230" t="str">
        <f t="shared" si="13"/>
        <v>---</v>
      </c>
      <c r="V26" s="232">
        <f t="shared" si="9"/>
        <v>0</v>
      </c>
    </row>
    <row r="27" spans="1:22" ht="15.75" thickBot="1" x14ac:dyDescent="0.3">
      <c r="A27" s="336" t="s">
        <v>429</v>
      </c>
      <c r="B27" s="254">
        <f>SUMIFS('Diags Raw Data'!$L$6:$L$4694,'Diags Raw Data'!$D$6:$D$4694,$A27,'Diags Raw Data'!$M$6:$M$4694,"New")+SUMIFS('Diags Raw Data'!$L$6:$L$4694,'Diags Raw Data'!$D$6:$D$4694,$A27,'Diags Raw Data'!$M$6:$M$4694,"Delta")</f>
        <v>0</v>
      </c>
      <c r="C27" s="245">
        <f>SUMIFS('Diags Raw Data'!$R$6:$R$4694,'Diags Raw Data'!$D$6:$D$4694,$A27,'Diags Raw Data'!$M$6:$M$4694,"New")+SUMIFS('Diags Raw Data'!$R$6:$R$4694,'Diags Raw Data'!$D$6:$D$4694,$A27,'Diags Raw Data'!$M$6:$M$4694,"Delta")</f>
        <v>0</v>
      </c>
      <c r="D27" s="245">
        <f>SUMIFS('Diags Raw Data'!$K$6:$K$4694,'Diags Raw Data'!$D$6:$D$4694,$A27,'Diags Raw Data'!$M$6:$M$4694,"New")+SUMIFS('Diags Raw Data'!$K$6:$K$4694,'Diags Raw Data'!$D$6:$D$4694,$A27,'Diags Raw Data'!$M$6:$M$4694,"Delta")</f>
        <v>0</v>
      </c>
      <c r="E27" s="245">
        <f>SUMIFS('Diags Raw Data'!$O$6:$O$4694,'Diags Raw Data'!$D$6:$D$4694,$A27,'Diags Raw Data'!$M$6:$M$4694,"New")+SUMIFS('Diags Raw Data'!$O$6:$O$4694,'Diags Raw Data'!$D$6:$D$4694,$A27,'Diags Raw Data'!$M$6:$M$4694,"Delta")</f>
        <v>0</v>
      </c>
      <c r="F27" s="250" t="str">
        <f t="shared" si="8"/>
        <v>---</v>
      </c>
      <c r="G27" s="233">
        <f>SUMIFS('Diags Raw Data'!$S$6:$S$4694,'Diags Raw Data'!$D$6:$D$4694,$A27,'Diags Raw Data'!$M$6:$M$4694,"New")+SUMIFS('Diags Raw Data'!$S$6:$S$4694,'Diags Raw Data'!$D$6:$D$4694,$A27,'Diags Raw Data'!$M$6:$M$4694,"Delta")</f>
        <v>0</v>
      </c>
      <c r="H27" s="234">
        <f>SUMIFS('Diags Raw Data'!$T$6:$T$4694,'Diags Raw Data'!$D$6:$D$4694,$A27,'Diags Raw Data'!$M$6:$M$4694,"New")+SUMIFS('Diags Raw Data'!$T$6:$T$4694,'Diags Raw Data'!$D$6:$D$4694,$A27,'Diags Raw Data'!$M$6:$M$4694,"Delta")</f>
        <v>0</v>
      </c>
      <c r="I27" s="234">
        <f>SUMIFS('Diags Raw Data'!$U$6:$U$4694,'Diags Raw Data'!$D$6:$D$4694,$A27,'Diags Raw Data'!$M$6:$M$4694,"New")+SUMIFS('Diags Raw Data'!$U$6:$U$4694,'Diags Raw Data'!$D$6:$D$4694,$A27,'Diags Raw Data'!$M$6:$M$4694,"Delta")</f>
        <v>0</v>
      </c>
      <c r="J27" s="234">
        <f>SUMIFS('Diags Raw Data'!$V$6:$V$4694,'Diags Raw Data'!$D$6:$D$4694,$A27,'Diags Raw Data'!$M$6:$M$4694,"New")+SUMIFS('Diags Raw Data'!$V$6:$V$4694,'Diags Raw Data'!$D$6:$D$4694,$A27,'Diags Raw Data'!$M$6:$M$4694,"Delta")</f>
        <v>0</v>
      </c>
      <c r="K27" s="234">
        <f>SUMIFS('Diags Raw Data'!$W$6:$W$4694,'Diags Raw Data'!$D$6:$D$4694,$A27,'Diags Raw Data'!$M$6:$M$4694,"New")+SUMIFS('Diags Raw Data'!$W$6:$W$4694,'Diags Raw Data'!$D$6:$D$4694,$A27,'Diags Raw Data'!$M$6:$M$4694,"Delta")</f>
        <v>0</v>
      </c>
      <c r="L27" s="246" t="str">
        <f t="shared" si="10"/>
        <v>---</v>
      </c>
      <c r="M27" s="236" t="str">
        <f t="shared" si="14"/>
        <v>---</v>
      </c>
      <c r="N27" s="239" t="str">
        <f t="shared" si="11"/>
        <v>---</v>
      </c>
      <c r="O27" s="215">
        <f>SUMIFS('Diags Raw Data'!$Z$6:$Z$4694,'Diags Raw Data'!$D$6:$D$4694,$A27,'Diags Raw Data'!$M$6:$M$4694,"New")+SUMIFS('Diags Raw Data'!$Z$6:$Z$4694,'Diags Raw Data'!$D$6:$D$4694,$A27,'Diags Raw Data'!$M$6:$M$4694,"Delta")</f>
        <v>0</v>
      </c>
      <c r="P27" s="207">
        <f>SUMIFS('Diags Raw Data'!$AA$6:$AA$4694,'Diags Raw Data'!$D$6:$D$4694,$A27,'Diags Raw Data'!$M$6:$M$4694,"New")+SUMIFS('Diags Raw Data'!$AA$6:$AA$4694,'Diags Raw Data'!$D$6:$D$4694,$A27,'Diags Raw Data'!$M$6:$M$4694,"Delta")</f>
        <v>0</v>
      </c>
      <c r="Q27" s="207">
        <f>SUMIFS('Diags Raw Data'!$AB$6:$AB$4694,'Diags Raw Data'!$D$6:$D$4694,$A27,'Diags Raw Data'!$M$6:$M$4694,"New")+SUMIFS('Diags Raw Data'!$AB$6:$AB$4694,'Diags Raw Data'!$D$6:$D$4694,$A27,'Diags Raw Data'!$M$6:$M$4694,"Delta")</f>
        <v>0</v>
      </c>
      <c r="R27" s="207">
        <f>SUMIFS('Diags Raw Data'!$AC$6:$AC$4694,'Diags Raw Data'!$D$6:$D$4694,$A27,'Diags Raw Data'!$M$6:$M$4694,"New")+SUMIFS('Diags Raw Data'!$AC$6:$AC$4694,'Diags Raw Data'!$D$6:$D$4694,$A27,'Diags Raw Data'!$M$6:$M$4694,"Delta")</f>
        <v>0</v>
      </c>
      <c r="S27" s="207">
        <f>SUMIFS('Diags Raw Data'!$AD$6:$AD$4694,'Diags Raw Data'!$D$6:$D$4694,$A27,'Diags Raw Data'!$M$6:$M$4694,"New")+SUMIFS('Diags Raw Data'!$AD$6:$AD$4694,'Diags Raw Data'!$D$6:$D$4694,$A27,'Diags Raw Data'!$M$6:$M$4694,"Delta")</f>
        <v>0</v>
      </c>
      <c r="T27" s="208" t="str">
        <f t="shared" si="12"/>
        <v>---</v>
      </c>
      <c r="U27" s="240" t="str">
        <f t="shared" si="13"/>
        <v>---</v>
      </c>
      <c r="V27" s="237" t="str">
        <f t="shared" si="9"/>
        <v>---</v>
      </c>
    </row>
    <row r="28" spans="1:22" ht="16.5" thickBot="1" x14ac:dyDescent="0.3">
      <c r="A28" s="256" t="s">
        <v>432</v>
      </c>
      <c r="B28" s="257">
        <f>SUM(B18:B27)</f>
        <v>349</v>
      </c>
      <c r="C28" s="258">
        <f>SUM(C18:C27)</f>
        <v>236</v>
      </c>
      <c r="D28" s="258">
        <f>SUM(D18:D27)</f>
        <v>65</v>
      </c>
      <c r="E28" s="258">
        <f>SUM(E18:E27)</f>
        <v>343.3</v>
      </c>
      <c r="F28" s="259" cm="1">
        <f t="array" ref="F28">SUMPRODUCT(--(ISNUMBER(SEARCH("New",'Diags Raw Data'!$M$6:$M$4694))),'Diags Raw Data'!$K$6:$K$4694,'Diags Raw Data'!$P$6:$P$4694)/D28+SUMPRODUCT(--(ISNUMBER(SEARCH("Delta",'Diags Raw Data'!$M$6:$M$4694))),'Diags Raw Data'!$K$6:$K$4694,'Diags Raw Data'!$P$6:$P$4694)/D28</f>
        <v>0.94692307692307687</v>
      </c>
      <c r="G28" s="260">
        <f>SUM(G18:G27)</f>
        <v>181</v>
      </c>
      <c r="H28" s="261">
        <f>SUM(H18:H27)</f>
        <v>177</v>
      </c>
      <c r="I28" s="262">
        <f>SUM(I18:I27)</f>
        <v>0</v>
      </c>
      <c r="J28" s="261">
        <f>SUM(J18:J27)</f>
        <v>4</v>
      </c>
      <c r="K28" s="262">
        <f>SUM(K18:K27)</f>
        <v>0</v>
      </c>
      <c r="L28" s="263">
        <f>IF(NOT($C28=0), G28/$C28, "---")</f>
        <v>0.76694915254237284</v>
      </c>
      <c r="M28" s="264">
        <f t="shared" si="14"/>
        <v>0.97790055248618779</v>
      </c>
      <c r="N28" s="265">
        <f>IF(NOT($C28=0), (H28+I28)/$C28, "---")</f>
        <v>0.75</v>
      </c>
      <c r="O28" s="266">
        <f>SUM(O18:O27)</f>
        <v>57</v>
      </c>
      <c r="P28" s="267">
        <f>SUM(P18:P27)</f>
        <v>55</v>
      </c>
      <c r="Q28" s="268">
        <f>SUM(Q18:Q27)</f>
        <v>0</v>
      </c>
      <c r="R28" s="267">
        <f>SUM(R18:R27)</f>
        <v>2</v>
      </c>
      <c r="S28" s="268">
        <f>SUM(S18:S27)</f>
        <v>0</v>
      </c>
      <c r="T28" s="269">
        <f>IF(NOT($B28=0), O28/$B28, "---")</f>
        <v>0.16332378223495703</v>
      </c>
      <c r="U28" s="270">
        <f t="shared" si="13"/>
        <v>0.96491228070175439</v>
      </c>
      <c r="V28" s="271">
        <f t="shared" si="9"/>
        <v>0.15759312320916904</v>
      </c>
    </row>
    <row r="29" spans="1:22" ht="15.75" thickBot="1" x14ac:dyDescent="0.3">
      <c r="A29" s="247"/>
      <c r="B29" s="247"/>
      <c r="C29" s="247"/>
      <c r="D29" s="247"/>
      <c r="E29" s="247"/>
      <c r="F29" s="247"/>
      <c r="G29" s="247"/>
      <c r="H29" s="247"/>
      <c r="I29" s="247"/>
      <c r="J29" s="247"/>
      <c r="K29" s="247"/>
      <c r="L29" s="247"/>
      <c r="M29" s="247"/>
      <c r="N29" s="247"/>
      <c r="O29" s="247"/>
      <c r="P29" s="247"/>
      <c r="Q29" s="247"/>
      <c r="R29" s="247"/>
      <c r="S29" s="247"/>
      <c r="T29" s="247"/>
      <c r="U29" s="247"/>
      <c r="V29" s="247"/>
    </row>
    <row r="30" spans="1:22" ht="15.75" thickBot="1" x14ac:dyDescent="0.3">
      <c r="A30" s="217" t="s">
        <v>33</v>
      </c>
      <c r="B30" s="642" t="s">
        <v>166</v>
      </c>
      <c r="C30" s="642"/>
      <c r="D30" s="642"/>
      <c r="E30" s="642"/>
      <c r="F30" s="642"/>
      <c r="G30" s="643" t="s">
        <v>177</v>
      </c>
      <c r="H30" s="644"/>
      <c r="I30" s="644"/>
      <c r="J30" s="644"/>
      <c r="K30" s="644"/>
      <c r="L30" s="644"/>
      <c r="M30" s="644"/>
      <c r="N30" s="645"/>
      <c r="O30" s="646" t="s">
        <v>144</v>
      </c>
      <c r="P30" s="647"/>
      <c r="Q30" s="647"/>
      <c r="R30" s="647"/>
      <c r="S30" s="647"/>
      <c r="T30" s="647"/>
      <c r="U30" s="647"/>
      <c r="V30" s="648"/>
    </row>
    <row r="31" spans="1:22" s="251" customFormat="1" ht="30.75" thickBot="1" x14ac:dyDescent="0.3">
      <c r="A31" s="255" t="s">
        <v>88</v>
      </c>
      <c r="B31" s="312" t="s">
        <v>167</v>
      </c>
      <c r="C31" s="313" t="s">
        <v>128</v>
      </c>
      <c r="D31" s="314" t="s">
        <v>105</v>
      </c>
      <c r="E31" s="314" t="s">
        <v>173</v>
      </c>
      <c r="F31" s="315" t="s">
        <v>175</v>
      </c>
      <c r="G31" s="316" t="s">
        <v>132</v>
      </c>
      <c r="H31" s="317" t="s">
        <v>30</v>
      </c>
      <c r="I31" s="317" t="s">
        <v>135</v>
      </c>
      <c r="J31" s="317" t="s">
        <v>36</v>
      </c>
      <c r="K31" s="317" t="s">
        <v>138</v>
      </c>
      <c r="L31" s="317" t="s">
        <v>184</v>
      </c>
      <c r="M31" s="317" t="s">
        <v>140</v>
      </c>
      <c r="N31" s="318" t="s">
        <v>187</v>
      </c>
      <c r="O31" s="319" t="s">
        <v>132</v>
      </c>
      <c r="P31" s="320" t="s">
        <v>30</v>
      </c>
      <c r="Q31" s="320" t="s">
        <v>135</v>
      </c>
      <c r="R31" s="320" t="s">
        <v>36</v>
      </c>
      <c r="S31" s="320" t="s">
        <v>138</v>
      </c>
      <c r="T31" s="320" t="s">
        <v>184</v>
      </c>
      <c r="U31" s="320" t="s">
        <v>140</v>
      </c>
      <c r="V31" s="321" t="s">
        <v>187</v>
      </c>
    </row>
    <row r="32" spans="1:22" x14ac:dyDescent="0.25">
      <c r="A32" s="335" t="s">
        <v>420</v>
      </c>
      <c r="B32" s="252">
        <f>SUMIFS('Diags Raw Data'!$L$6:$L$4694,'Diags Raw Data'!$D$6:$D$4694,$A32,'Diags Raw Data'!$M$6:$M$4694,"Legacy")</f>
        <v>0</v>
      </c>
      <c r="C32" s="242">
        <f>SUMIFS('Diags Raw Data'!$R$6:$R$4694,'Diags Raw Data'!$D$6:$D$4694,$A32,'Diags Raw Data'!$M$6:$M$4694,"Legacy")</f>
        <v>0</v>
      </c>
      <c r="D32" s="242">
        <f>SUMIFS('Diags Raw Data'!$K$6:$K$4694,'Diags Raw Data'!$D$6:$D$4694,$A32,'Diags Raw Data'!$M$6:$M$4694,"Legacy")</f>
        <v>0</v>
      </c>
      <c r="E32" s="242">
        <f>SUMIFS('Diags Raw Data'!$O$6:$O$4694,'Diags Raw Data'!$D$6:$D$4694,$A32,'Diags Raw Data'!$M$6:$M$4694,"Legacy")</f>
        <v>0</v>
      </c>
      <c r="F32" s="248" t="str">
        <f>IF(NOT($B32=0), E32/$B32, "---")</f>
        <v>---</v>
      </c>
      <c r="G32" s="220">
        <f>SUMIFS('Diags Raw Data'!$S$6:$S$4694,'Diags Raw Data'!$D$6:$D$4694,$A32,'Diags Raw Data'!$M$6:$M$4694,"Legacy")</f>
        <v>0</v>
      </c>
      <c r="H32" s="221">
        <f>SUMIFS('Diags Raw Data'!$T$6:$T$4694,'Diags Raw Data'!$D$6:$D$4694,$A32,'Diags Raw Data'!$M$6:$M$4694,"Legacy")</f>
        <v>0</v>
      </c>
      <c r="I32" s="223">
        <f>SUMIFS('Diags Raw Data'!$U$6:$U$4694,'Diags Raw Data'!$D$6:$D$4694,$A32,'Diags Raw Data'!$M$6:$M$4694,"Legacy")</f>
        <v>0</v>
      </c>
      <c r="J32" s="221">
        <f>SUMIFS('Diags Raw Data'!$V$6:$V$4694,'Diags Raw Data'!$D$6:$D$4694,$A32,'Diags Raw Data'!$M$6:$M$4694,"Legacy")</f>
        <v>0</v>
      </c>
      <c r="K32" s="223">
        <f>SUMIFS('Diags Raw Data'!$W$6:$W$4694,'Diags Raw Data'!$D$6:$D$4694,$A32,'Diags Raw Data'!$M$6:$M$4694,"Legacy")</f>
        <v>0</v>
      </c>
      <c r="L32" s="222" t="str">
        <f>IF(NOT($C32=0), G32/$C32, "---")</f>
        <v>---</v>
      </c>
      <c r="M32" s="224" t="str">
        <f>IF(NOT($G32=0), (H32+I32)/$G32, "---")</f>
        <v>---</v>
      </c>
      <c r="N32" s="226" t="str">
        <f>IF(NOT($C32=0), (H32+I32)/$C32, "---")</f>
        <v>---</v>
      </c>
      <c r="O32" s="213">
        <f>SUMIFS('Diags Raw Data'!$Z$6:$Z$4694,'Diags Raw Data'!$D$6:$D$4694,$A32,'Diags Raw Data'!$M$6:$M$4694,"Legacy")</f>
        <v>0</v>
      </c>
      <c r="P32" s="210">
        <f>SUMIFS('Diags Raw Data'!$AA$6:$AA$4694,'Diags Raw Data'!$D$6:$D$4694,$A32,'Diags Raw Data'!$M$6:$M$4694,"Legacy")</f>
        <v>0</v>
      </c>
      <c r="Q32" s="212">
        <f>SUMIFS('Diags Raw Data'!$AB$6:$AB$4694,'Diags Raw Data'!$D$6:$D$4694,$A32,'Diags Raw Data'!$M$6:$M$4694,"Legacy")</f>
        <v>0</v>
      </c>
      <c r="R32" s="210">
        <f>SUMIFS('Diags Raw Data'!$AC$6:$AC$4694,'Diags Raw Data'!$D$6:$D$4694,$A32,'Diags Raw Data'!$M$6:$M$4694,"Legacy")</f>
        <v>0</v>
      </c>
      <c r="S32" s="212">
        <f>SUMIFS('Diags Raw Data'!$AD$6:$AD$4694,'Diags Raw Data'!$D$6:$D$4694,$A32,'Diags Raw Data'!$M$6:$M$4694,"Legacy")</f>
        <v>0</v>
      </c>
      <c r="T32" s="211" t="str">
        <f>IF(NOT($B32=0), O32/$B32, "---")</f>
        <v>---</v>
      </c>
      <c r="U32" s="225" t="str">
        <f>IF(NOT($O32=0), (P32+Q32)/$O32, "---")</f>
        <v>---</v>
      </c>
      <c r="V32" s="241" t="str">
        <f>IF(NOT($B32=0), (P32+Q32)/$B32, "---")</f>
        <v>---</v>
      </c>
    </row>
    <row r="33" spans="1:22" x14ac:dyDescent="0.25">
      <c r="A33" s="335" t="s">
        <v>421</v>
      </c>
      <c r="B33" s="253">
        <f>SUMIFS('Diags Raw Data'!$L$6:$L$4694,'Diags Raw Data'!$D$6:$D$4694,$A33,'Diags Raw Data'!$M$6:$M$4694,"Legacy")</f>
        <v>0</v>
      </c>
      <c r="C33" s="243">
        <f>SUMIFS('Diags Raw Data'!$R$6:$R$4694,'Diags Raw Data'!$D$6:$D$4694,$A33,'Diags Raw Data'!$M$6:$M$4694,"Legacy")</f>
        <v>0</v>
      </c>
      <c r="D33" s="243">
        <f>SUMIFS('Diags Raw Data'!$K$6:$K$4694,'Diags Raw Data'!$D$6:$D$4694,$A33,'Diags Raw Data'!$M$6:$M$4694,"Legacy")</f>
        <v>0</v>
      </c>
      <c r="E33" s="243">
        <f>SUMIFS('Diags Raw Data'!$O$6:$O$4694,'Diags Raw Data'!$D$6:$D$4694,$A33,'Diags Raw Data'!$M$6:$M$4694,"Legacy")</f>
        <v>0</v>
      </c>
      <c r="F33" s="249" t="str">
        <f t="shared" ref="F33:F41" si="15">IF(NOT($B33=0), E33/$B33, "---")</f>
        <v>---</v>
      </c>
      <c r="G33" s="231">
        <f>SUMIFS('Diags Raw Data'!$S$6:$S$4694,'Diags Raw Data'!$D$6:$D$4694,$A33,'Diags Raw Data'!$M$6:$M$4694,"Legacy")</f>
        <v>0</v>
      </c>
      <c r="H33" s="227">
        <f>SUMIFS('Diags Raw Data'!$T$6:$T$4694,'Diags Raw Data'!$D$6:$D$4694,$A33,'Diags Raw Data'!$M$6:$M$4694,"Legacy")</f>
        <v>0</v>
      </c>
      <c r="I33" s="228">
        <f>SUMIFS('Diags Raw Data'!$U$6:$U$4694,'Diags Raw Data'!$D$6:$D$4694,$A33,'Diags Raw Data'!$M$6:$M$4694,"Legacy")</f>
        <v>0</v>
      </c>
      <c r="J33" s="227">
        <f>SUMIFS('Diags Raw Data'!$V$6:$V$4694,'Diags Raw Data'!$D$6:$D$4694,$A33,'Diags Raw Data'!$M$6:$M$4694,"Legacy")</f>
        <v>0</v>
      </c>
      <c r="K33" s="228">
        <f>SUMIFS('Diags Raw Data'!$W$6:$W$4694,'Diags Raw Data'!$D$6:$D$4694,$A33,'Diags Raw Data'!$M$6:$M$4694,"Legacy")</f>
        <v>0</v>
      </c>
      <c r="L33" s="244" t="str">
        <f t="shared" ref="L33:L41" si="16">IF(NOT($C33=0), G33/$C33, "---")</f>
        <v>---</v>
      </c>
      <c r="M33" s="229" t="str">
        <f t="shared" ref="M33:M42" si="17">IF(NOT($G33=0), (H33+I33)/$G33, "---")</f>
        <v>---</v>
      </c>
      <c r="N33" s="238" t="str">
        <f t="shared" ref="N33:N42" si="18">IF(NOT($C33=0), (H33+I33)/$C33, "---")</f>
        <v>---</v>
      </c>
      <c r="O33" s="214">
        <f>SUMIFS('Diags Raw Data'!$Z$6:$Z$4694,'Diags Raw Data'!$D$6:$D$4694,$A33,'Diags Raw Data'!$M$6:$M$4694,"Legacy")</f>
        <v>0</v>
      </c>
      <c r="P33" s="204">
        <f>SUMIFS('Diags Raw Data'!$AA$6:$AA$4694,'Diags Raw Data'!$D$6:$D$4694,$A33,'Diags Raw Data'!$M$6:$M$4694,"Legacy")</f>
        <v>0</v>
      </c>
      <c r="Q33" s="206">
        <f>SUMIFS('Diags Raw Data'!$AB$6:$AB$4694,'Diags Raw Data'!$D$6:$D$4694,$A33,'Diags Raw Data'!$M$6:$M$4694,"Legacy")</f>
        <v>0</v>
      </c>
      <c r="R33" s="204">
        <f>SUMIFS('Diags Raw Data'!$AC$6:$AC$4694,'Diags Raw Data'!$D$6:$D$4694,$A33,'Diags Raw Data'!$M$6:$M$4694,"Legacy")</f>
        <v>0</v>
      </c>
      <c r="S33" s="206">
        <f>SUMIFS('Diags Raw Data'!$AD$6:$AD$4694,'Diags Raw Data'!$D$6:$D$4694,$A33,'Diags Raw Data'!$M$6:$M$4694,"Legacy")</f>
        <v>0</v>
      </c>
      <c r="T33" s="205" t="str">
        <f t="shared" ref="T33:T41" si="19">IF(NOT($B33=0), O33/$B33, "---")</f>
        <v>---</v>
      </c>
      <c r="U33" s="230" t="str">
        <f t="shared" ref="U33:U42" si="20">IF(NOT($O33=0), (P33+Q33)/$O33, "---")</f>
        <v>---</v>
      </c>
      <c r="V33" s="232" t="str">
        <f t="shared" ref="V33:V41" si="21">IF(NOT($B33=0), (P33+Q33)/$B33, "---")</f>
        <v>---</v>
      </c>
    </row>
    <row r="34" spans="1:22" x14ac:dyDescent="0.25">
      <c r="A34" s="335" t="s">
        <v>422</v>
      </c>
      <c r="B34" s="253">
        <f>SUMIFS('Diags Raw Data'!$L$6:$L$4694,'Diags Raw Data'!$D$6:$D$4694,$A34,'Diags Raw Data'!$M$6:$M$4694,"Legacy")</f>
        <v>0</v>
      </c>
      <c r="C34" s="243">
        <f>SUMIFS('Diags Raw Data'!$R$6:$R$4694,'Diags Raw Data'!$D$6:$D$4694,$A34,'Diags Raw Data'!$M$6:$M$4694,"Legacy")</f>
        <v>0</v>
      </c>
      <c r="D34" s="243">
        <f>SUMIFS('Diags Raw Data'!$K$6:$K$4694,'Diags Raw Data'!$D$6:$D$4694,$A34,'Diags Raw Data'!$M$6:$M$4694,"Legacy")</f>
        <v>0</v>
      </c>
      <c r="E34" s="243">
        <f>SUMIFS('Diags Raw Data'!$O$6:$O$4694,'Diags Raw Data'!$D$6:$D$4694,$A34,'Diags Raw Data'!$M$6:$M$4694,"Legacy")</f>
        <v>0</v>
      </c>
      <c r="F34" s="249" t="str">
        <f t="shared" si="15"/>
        <v>---</v>
      </c>
      <c r="G34" s="231">
        <f>SUMIFS('Diags Raw Data'!$S$6:$S$4694,'Diags Raw Data'!$D$6:$D$4694,$A34,'Diags Raw Data'!$M$6:$M$4694,"Legacy")</f>
        <v>0</v>
      </c>
      <c r="H34" s="227">
        <f>SUMIFS('Diags Raw Data'!$T$6:$T$4694,'Diags Raw Data'!$D$6:$D$4694,$A34,'Diags Raw Data'!$M$6:$M$4694,"Legacy")</f>
        <v>0</v>
      </c>
      <c r="I34" s="228">
        <f>SUMIFS('Diags Raw Data'!$U$6:$U$4694,'Diags Raw Data'!$D$6:$D$4694,$A34,'Diags Raw Data'!$M$6:$M$4694,"Legacy")</f>
        <v>0</v>
      </c>
      <c r="J34" s="227">
        <f>SUMIFS('Diags Raw Data'!$V$6:$V$4694,'Diags Raw Data'!$D$6:$D$4694,$A34,'Diags Raw Data'!$M$6:$M$4694,"Legacy")</f>
        <v>0</v>
      </c>
      <c r="K34" s="228">
        <f>SUMIFS('Diags Raw Data'!$W$6:$W$4694,'Diags Raw Data'!$D$6:$D$4694,$A34,'Diags Raw Data'!$M$6:$M$4694,"Legacy")</f>
        <v>0</v>
      </c>
      <c r="L34" s="244" t="str">
        <f t="shared" si="16"/>
        <v>---</v>
      </c>
      <c r="M34" s="229" t="str">
        <f t="shared" si="17"/>
        <v>---</v>
      </c>
      <c r="N34" s="238" t="str">
        <f t="shared" si="18"/>
        <v>---</v>
      </c>
      <c r="O34" s="214">
        <f>SUMIFS('Diags Raw Data'!$Z$6:$Z$4694,'Diags Raw Data'!$D$6:$D$4694,$A34,'Diags Raw Data'!$M$6:$M$4694,"Legacy")</f>
        <v>0</v>
      </c>
      <c r="P34" s="204">
        <f>SUMIFS('Diags Raw Data'!$AA$6:$AA$4694,'Diags Raw Data'!$D$6:$D$4694,$A34,'Diags Raw Data'!$M$6:$M$4694,"Legacy")</f>
        <v>0</v>
      </c>
      <c r="Q34" s="206">
        <f>SUMIFS('Diags Raw Data'!$AB$6:$AB$4694,'Diags Raw Data'!$D$6:$D$4694,$A34,'Diags Raw Data'!$M$6:$M$4694,"Legacy")</f>
        <v>0</v>
      </c>
      <c r="R34" s="204">
        <f>SUMIFS('Diags Raw Data'!$AC$6:$AC$4694,'Diags Raw Data'!$D$6:$D$4694,$A34,'Diags Raw Data'!$M$6:$M$4694,"Legacy")</f>
        <v>0</v>
      </c>
      <c r="S34" s="206">
        <f>SUMIFS('Diags Raw Data'!$AD$6:$AD$4694,'Diags Raw Data'!$D$6:$D$4694,$A34,'Diags Raw Data'!$M$6:$M$4694,"Legacy")</f>
        <v>0</v>
      </c>
      <c r="T34" s="205" t="str">
        <f t="shared" si="19"/>
        <v>---</v>
      </c>
      <c r="U34" s="230" t="str">
        <f t="shared" si="20"/>
        <v>---</v>
      </c>
      <c r="V34" s="232" t="str">
        <f t="shared" si="21"/>
        <v>---</v>
      </c>
    </row>
    <row r="35" spans="1:22" x14ac:dyDescent="0.25">
      <c r="A35" s="335" t="s">
        <v>423</v>
      </c>
      <c r="B35" s="253">
        <f>SUMIFS('Diags Raw Data'!$L$6:$L$4694,'Diags Raw Data'!$D$6:$D$4694,$A35,'Diags Raw Data'!$M$6:$M$4694,"Legacy")</f>
        <v>0</v>
      </c>
      <c r="C35" s="243">
        <f>SUMIFS('Diags Raw Data'!$R$6:$R$4694,'Diags Raw Data'!$D$6:$D$4694,$A35,'Diags Raw Data'!$M$6:$M$4694,"Legacy")</f>
        <v>0</v>
      </c>
      <c r="D35" s="243">
        <f>SUMIFS('Diags Raw Data'!$K$6:$K$4694,'Diags Raw Data'!$D$6:$D$4694,$A35,'Diags Raw Data'!$M$6:$M$4694,"Legacy")</f>
        <v>0</v>
      </c>
      <c r="E35" s="243">
        <f>SUMIFS('Diags Raw Data'!$O$6:$O$4694,'Diags Raw Data'!$D$6:$D$4694,$A35,'Diags Raw Data'!$M$6:$M$4694,"Legacy")</f>
        <v>0</v>
      </c>
      <c r="F35" s="249" t="str">
        <f t="shared" si="15"/>
        <v>---</v>
      </c>
      <c r="G35" s="231">
        <f>SUMIFS('Diags Raw Data'!$S$6:$S$4694,'Diags Raw Data'!$D$6:$D$4694,$A35,'Diags Raw Data'!$M$6:$M$4694,"Legacy")</f>
        <v>0</v>
      </c>
      <c r="H35" s="227">
        <f>SUMIFS('Diags Raw Data'!$T$6:$T$4694,'Diags Raw Data'!$D$6:$D$4694,$A35,'Diags Raw Data'!$M$6:$M$4694,"Legacy")</f>
        <v>0</v>
      </c>
      <c r="I35" s="228">
        <f>SUMIFS('Diags Raw Data'!$U$6:$U$4694,'Diags Raw Data'!$D$6:$D$4694,$A35,'Diags Raw Data'!$M$6:$M$4694,"Legacy")</f>
        <v>0</v>
      </c>
      <c r="J35" s="227">
        <f>SUMIFS('Diags Raw Data'!$V$6:$V$4694,'Diags Raw Data'!$D$6:$D$4694,$A35,'Diags Raw Data'!$M$6:$M$4694,"Legacy")</f>
        <v>0</v>
      </c>
      <c r="K35" s="228">
        <f>SUMIFS('Diags Raw Data'!$W$6:$W$4694,'Diags Raw Data'!$D$6:$D$4694,$A35,'Diags Raw Data'!$M$6:$M$4694,"Legacy")</f>
        <v>0</v>
      </c>
      <c r="L35" s="244" t="str">
        <f t="shared" si="16"/>
        <v>---</v>
      </c>
      <c r="M35" s="229" t="str">
        <f t="shared" si="17"/>
        <v>---</v>
      </c>
      <c r="N35" s="238" t="str">
        <f t="shared" si="18"/>
        <v>---</v>
      </c>
      <c r="O35" s="214">
        <f>SUMIFS('Diags Raw Data'!$Z$6:$Z$4694,'Diags Raw Data'!$D$6:$D$4694,$A35,'Diags Raw Data'!$M$6:$M$4694,"Legacy")</f>
        <v>0</v>
      </c>
      <c r="P35" s="204">
        <f>SUMIFS('Diags Raw Data'!$AA$6:$AA$4694,'Diags Raw Data'!$D$6:$D$4694,$A35,'Diags Raw Data'!$M$6:$M$4694,"Legacy")</f>
        <v>0</v>
      </c>
      <c r="Q35" s="206">
        <f>SUMIFS('Diags Raw Data'!$AB$6:$AB$4694,'Diags Raw Data'!$D$6:$D$4694,$A35,'Diags Raw Data'!$M$6:$M$4694,"Legacy")</f>
        <v>0</v>
      </c>
      <c r="R35" s="204">
        <f>SUMIFS('Diags Raw Data'!$AC$6:$AC$4694,'Diags Raw Data'!$D$6:$D$4694,$A35,'Diags Raw Data'!$M$6:$M$4694,"Legacy")</f>
        <v>0</v>
      </c>
      <c r="S35" s="206">
        <f>SUMIFS('Diags Raw Data'!$AD$6:$AD$4694,'Diags Raw Data'!$D$6:$D$4694,$A35,'Diags Raw Data'!$M$6:$M$4694,"Legacy")</f>
        <v>0</v>
      </c>
      <c r="T35" s="205" t="str">
        <f t="shared" si="19"/>
        <v>---</v>
      </c>
      <c r="U35" s="230" t="str">
        <f t="shared" si="20"/>
        <v>---</v>
      </c>
      <c r="V35" s="232" t="str">
        <f t="shared" si="21"/>
        <v>---</v>
      </c>
    </row>
    <row r="36" spans="1:22" x14ac:dyDescent="0.25">
      <c r="A36" s="335" t="s">
        <v>424</v>
      </c>
      <c r="B36" s="253">
        <f>SUMIFS('Diags Raw Data'!$L$6:$L$4694,'Diags Raw Data'!$D$6:$D$4694,$A36,'Diags Raw Data'!$M$6:$M$4694,"Legacy")</f>
        <v>0</v>
      </c>
      <c r="C36" s="243">
        <f>SUMIFS('Diags Raw Data'!$R$6:$R$4694,'Diags Raw Data'!$D$6:$D$4694,$A36,'Diags Raw Data'!$M$6:$M$4694,"Legacy")</f>
        <v>0</v>
      </c>
      <c r="D36" s="243">
        <f>SUMIFS('Diags Raw Data'!$K$6:$K$4694,'Diags Raw Data'!$D$6:$D$4694,$A36,'Diags Raw Data'!$M$6:$M$4694,"Legacy")</f>
        <v>0</v>
      </c>
      <c r="E36" s="243">
        <f>SUMIFS('Diags Raw Data'!$O$6:$O$4694,'Diags Raw Data'!$D$6:$D$4694,$A36,'Diags Raw Data'!$M$6:$M$4694,"Legacy")</f>
        <v>0</v>
      </c>
      <c r="F36" s="249" t="str">
        <f t="shared" si="15"/>
        <v>---</v>
      </c>
      <c r="G36" s="231">
        <f>SUMIFS('Diags Raw Data'!$S$6:$S$4694,'Diags Raw Data'!$D$6:$D$4694,$A36,'Diags Raw Data'!$M$6:$M$4694,"Legacy")</f>
        <v>0</v>
      </c>
      <c r="H36" s="227">
        <f>SUMIFS('Diags Raw Data'!$T$6:$T$4694,'Diags Raw Data'!$D$6:$D$4694,$A36,'Diags Raw Data'!$M$6:$M$4694,"Legacy")</f>
        <v>0</v>
      </c>
      <c r="I36" s="228">
        <f>SUMIFS('Diags Raw Data'!$U$6:$U$4694,'Diags Raw Data'!$D$6:$D$4694,$A36,'Diags Raw Data'!$M$6:$M$4694,"Legacy")</f>
        <v>0</v>
      </c>
      <c r="J36" s="227">
        <f>SUMIFS('Diags Raw Data'!$V$6:$V$4694,'Diags Raw Data'!$D$6:$D$4694,$A36,'Diags Raw Data'!$M$6:$M$4694,"Legacy")</f>
        <v>0</v>
      </c>
      <c r="K36" s="228">
        <f>SUMIFS('Diags Raw Data'!$W$6:$W$4694,'Diags Raw Data'!$D$6:$D$4694,$A36,'Diags Raw Data'!$M$6:$M$4694,"Legacy")</f>
        <v>0</v>
      </c>
      <c r="L36" s="244" t="str">
        <f t="shared" si="16"/>
        <v>---</v>
      </c>
      <c r="M36" s="229" t="str">
        <f t="shared" si="17"/>
        <v>---</v>
      </c>
      <c r="N36" s="238" t="str">
        <f t="shared" si="18"/>
        <v>---</v>
      </c>
      <c r="O36" s="214">
        <f>SUMIFS('Diags Raw Data'!$Z$6:$Z$4694,'Diags Raw Data'!$D$6:$D$4694,$A36,'Diags Raw Data'!$M$6:$M$4694,"Legacy")</f>
        <v>0</v>
      </c>
      <c r="P36" s="204">
        <f>SUMIFS('Diags Raw Data'!$AA$6:$AA$4694,'Diags Raw Data'!$D$6:$D$4694,$A36,'Diags Raw Data'!$M$6:$M$4694,"Legacy")</f>
        <v>0</v>
      </c>
      <c r="Q36" s="206">
        <f>SUMIFS('Diags Raw Data'!$AB$6:$AB$4694,'Diags Raw Data'!$D$6:$D$4694,$A36,'Diags Raw Data'!$M$6:$M$4694,"Legacy")</f>
        <v>0</v>
      </c>
      <c r="R36" s="204">
        <f>SUMIFS('Diags Raw Data'!$AC$6:$AC$4694,'Diags Raw Data'!$D$6:$D$4694,$A36,'Diags Raw Data'!$M$6:$M$4694,"Legacy")</f>
        <v>0</v>
      </c>
      <c r="S36" s="206">
        <f>SUMIFS('Diags Raw Data'!$AD$6:$AD$4694,'Diags Raw Data'!$D$6:$D$4694,$A36,'Diags Raw Data'!$M$6:$M$4694,"Legacy")</f>
        <v>0</v>
      </c>
      <c r="T36" s="205" t="str">
        <f t="shared" si="19"/>
        <v>---</v>
      </c>
      <c r="U36" s="230" t="str">
        <f t="shared" si="20"/>
        <v>---</v>
      </c>
      <c r="V36" s="232" t="str">
        <f t="shared" si="21"/>
        <v>---</v>
      </c>
    </row>
    <row r="37" spans="1:22" x14ac:dyDescent="0.25">
      <c r="A37" s="335" t="s">
        <v>425</v>
      </c>
      <c r="B37" s="253">
        <f>SUMIFS('Diags Raw Data'!$L$6:$L$4694,'Diags Raw Data'!$D$6:$D$4694,$A37,'Diags Raw Data'!$M$6:$M$4694,"Legacy")</f>
        <v>0</v>
      </c>
      <c r="C37" s="243">
        <f>SUMIFS('Diags Raw Data'!$R$6:$R$4694,'Diags Raw Data'!$D$6:$D$4694,$A37,'Diags Raw Data'!$M$6:$M$4694,"Legacy")</f>
        <v>0</v>
      </c>
      <c r="D37" s="243">
        <f>SUMIFS('Diags Raw Data'!$K$6:$K$4694,'Diags Raw Data'!$D$6:$D$4694,$A37,'Diags Raw Data'!$M$6:$M$4694,"Legacy")</f>
        <v>0</v>
      </c>
      <c r="E37" s="243">
        <f>SUMIFS('Diags Raw Data'!$O$6:$O$4694,'Diags Raw Data'!$D$6:$D$4694,$A37,'Diags Raw Data'!$M$6:$M$4694,"Legacy")</f>
        <v>0</v>
      </c>
      <c r="F37" s="249" t="str">
        <f t="shared" si="15"/>
        <v>---</v>
      </c>
      <c r="G37" s="231">
        <f>SUMIFS('Diags Raw Data'!$S$6:$S$4694,'Diags Raw Data'!$D$6:$D$4694,$A37,'Diags Raw Data'!$M$6:$M$4694,"Legacy")</f>
        <v>0</v>
      </c>
      <c r="H37" s="227">
        <f>SUMIFS('Diags Raw Data'!$T$6:$T$4694,'Diags Raw Data'!$D$6:$D$4694,$A37,'Diags Raw Data'!$M$6:$M$4694,"Legacy")</f>
        <v>0</v>
      </c>
      <c r="I37" s="228">
        <f>SUMIFS('Diags Raw Data'!$U$6:$U$4694,'Diags Raw Data'!$D$6:$D$4694,$A37,'Diags Raw Data'!$M$6:$M$4694,"Legacy")</f>
        <v>0</v>
      </c>
      <c r="J37" s="227">
        <f>SUMIFS('Diags Raw Data'!$V$6:$V$4694,'Diags Raw Data'!$D$6:$D$4694,$A37,'Diags Raw Data'!$M$6:$M$4694,"Legacy")</f>
        <v>0</v>
      </c>
      <c r="K37" s="228">
        <f>SUMIFS('Diags Raw Data'!$W$6:$W$4694,'Diags Raw Data'!$D$6:$D$4694,$A37,'Diags Raw Data'!$M$6:$M$4694,"Legacy")</f>
        <v>0</v>
      </c>
      <c r="L37" s="244" t="str">
        <f t="shared" si="16"/>
        <v>---</v>
      </c>
      <c r="M37" s="229" t="str">
        <f t="shared" si="17"/>
        <v>---</v>
      </c>
      <c r="N37" s="238" t="str">
        <f t="shared" si="18"/>
        <v>---</v>
      </c>
      <c r="O37" s="214">
        <f>SUMIFS('Diags Raw Data'!$Z$6:$Z$4694,'Diags Raw Data'!$D$6:$D$4694,$A37,'Diags Raw Data'!$M$6:$M$4694,"Legacy")</f>
        <v>0</v>
      </c>
      <c r="P37" s="204">
        <f>SUMIFS('Diags Raw Data'!$AA$6:$AA$4694,'Diags Raw Data'!$D$6:$D$4694,$A37,'Diags Raw Data'!$M$6:$M$4694,"Legacy")</f>
        <v>0</v>
      </c>
      <c r="Q37" s="206">
        <f>SUMIFS('Diags Raw Data'!$AB$6:$AB$4694,'Diags Raw Data'!$D$6:$D$4694,$A37,'Diags Raw Data'!$M$6:$M$4694,"Legacy")</f>
        <v>0</v>
      </c>
      <c r="R37" s="204">
        <f>SUMIFS('Diags Raw Data'!$AC$6:$AC$4694,'Diags Raw Data'!$D$6:$D$4694,$A37,'Diags Raw Data'!$M$6:$M$4694,"Legacy")</f>
        <v>0</v>
      </c>
      <c r="S37" s="206">
        <f>SUMIFS('Diags Raw Data'!$AD$6:$AD$4694,'Diags Raw Data'!$D$6:$D$4694,$A37,'Diags Raw Data'!$M$6:$M$4694,"Legacy")</f>
        <v>0</v>
      </c>
      <c r="T37" s="205" t="str">
        <f t="shared" si="19"/>
        <v>---</v>
      </c>
      <c r="U37" s="230" t="str">
        <f t="shared" si="20"/>
        <v>---</v>
      </c>
      <c r="V37" s="232" t="str">
        <f t="shared" si="21"/>
        <v>---</v>
      </c>
    </row>
    <row r="38" spans="1:22" x14ac:dyDescent="0.25">
      <c r="A38" s="335" t="s">
        <v>426</v>
      </c>
      <c r="B38" s="253">
        <f>SUMIFS('Diags Raw Data'!$L$6:$L$4694,'Diags Raw Data'!$D$6:$D$4694,$A38,'Diags Raw Data'!$M$6:$M$4694,"Legacy")</f>
        <v>0</v>
      </c>
      <c r="C38" s="243">
        <f>SUMIFS('Diags Raw Data'!$R$6:$R$4694,'Diags Raw Data'!$D$6:$D$4694,$A38,'Diags Raw Data'!$M$6:$M$4694,"Legacy")</f>
        <v>0</v>
      </c>
      <c r="D38" s="243">
        <f>SUMIFS('Diags Raw Data'!$K$6:$K$4694,'Diags Raw Data'!$D$6:$D$4694,$A38,'Diags Raw Data'!$M$6:$M$4694,"Legacy")</f>
        <v>0</v>
      </c>
      <c r="E38" s="243">
        <f>SUMIFS('Diags Raw Data'!$O$6:$O$4694,'Diags Raw Data'!$D$6:$D$4694,$A38,'Diags Raw Data'!$M$6:$M$4694,"Legacy")</f>
        <v>0</v>
      </c>
      <c r="F38" s="249" t="str">
        <f t="shared" si="15"/>
        <v>---</v>
      </c>
      <c r="G38" s="231">
        <f>SUMIFS('Diags Raw Data'!$S$6:$S$4694,'Diags Raw Data'!$D$6:$D$4694,$A38,'Diags Raw Data'!$M$6:$M$4694,"Legacy")</f>
        <v>0</v>
      </c>
      <c r="H38" s="227">
        <f>SUMIFS('Diags Raw Data'!$T$6:$T$4694,'Diags Raw Data'!$D$6:$D$4694,$A38,'Diags Raw Data'!$M$6:$M$4694,"Legacy")</f>
        <v>0</v>
      </c>
      <c r="I38" s="228">
        <f>SUMIFS('Diags Raw Data'!$U$6:$U$4694,'Diags Raw Data'!$D$6:$D$4694,$A38,'Diags Raw Data'!$M$6:$M$4694,"Legacy")</f>
        <v>0</v>
      </c>
      <c r="J38" s="227">
        <f>SUMIFS('Diags Raw Data'!$V$6:$V$4694,'Diags Raw Data'!$D$6:$D$4694,$A38,'Diags Raw Data'!$M$6:$M$4694,"Legacy")</f>
        <v>0</v>
      </c>
      <c r="K38" s="228">
        <f>SUMIFS('Diags Raw Data'!$W$6:$W$4694,'Diags Raw Data'!$D$6:$D$4694,$A38,'Diags Raw Data'!$M$6:$M$4694,"Legacy")</f>
        <v>0</v>
      </c>
      <c r="L38" s="244" t="str">
        <f t="shared" si="16"/>
        <v>---</v>
      </c>
      <c r="M38" s="229" t="str">
        <f t="shared" si="17"/>
        <v>---</v>
      </c>
      <c r="N38" s="238" t="str">
        <f t="shared" si="18"/>
        <v>---</v>
      </c>
      <c r="O38" s="214">
        <f>SUMIFS('Diags Raw Data'!$Z$6:$Z$4694,'Diags Raw Data'!$D$6:$D$4694,$A38,'Diags Raw Data'!$M$6:$M$4694,"Legacy")</f>
        <v>0</v>
      </c>
      <c r="P38" s="204">
        <f>SUMIFS('Diags Raw Data'!$AA$6:$AA$4694,'Diags Raw Data'!$D$6:$D$4694,$A38,'Diags Raw Data'!$M$6:$M$4694,"Legacy")</f>
        <v>0</v>
      </c>
      <c r="Q38" s="206">
        <f>SUMIFS('Diags Raw Data'!$AB$6:$AB$4694,'Diags Raw Data'!$D$6:$D$4694,$A38,'Diags Raw Data'!$M$6:$M$4694,"Legacy")</f>
        <v>0</v>
      </c>
      <c r="R38" s="204">
        <f>SUMIFS('Diags Raw Data'!$AC$6:$AC$4694,'Diags Raw Data'!$D$6:$D$4694,$A38,'Diags Raw Data'!$M$6:$M$4694,"Legacy")</f>
        <v>0</v>
      </c>
      <c r="S38" s="206">
        <f>SUMIFS('Diags Raw Data'!$AD$6:$AD$4694,'Diags Raw Data'!$D$6:$D$4694,$A38,'Diags Raw Data'!$M$6:$M$4694,"Legacy")</f>
        <v>0</v>
      </c>
      <c r="T38" s="205" t="str">
        <f t="shared" si="19"/>
        <v>---</v>
      </c>
      <c r="U38" s="230" t="str">
        <f t="shared" si="20"/>
        <v>---</v>
      </c>
      <c r="V38" s="232" t="str">
        <f t="shared" si="21"/>
        <v>---</v>
      </c>
    </row>
    <row r="39" spans="1:22" x14ac:dyDescent="0.25">
      <c r="A39" s="335" t="s">
        <v>427</v>
      </c>
      <c r="B39" s="253">
        <f>SUMIFS('Diags Raw Data'!$L$6:$L$4694,'Diags Raw Data'!$D$6:$D$4694,$A39,'Diags Raw Data'!$M$6:$M$4694,"Legacy")</f>
        <v>0</v>
      </c>
      <c r="C39" s="243">
        <f>SUMIFS('Diags Raw Data'!$R$6:$R$4694,'Diags Raw Data'!$D$6:$D$4694,$A39,'Diags Raw Data'!$M$6:$M$4694,"Legacy")</f>
        <v>0</v>
      </c>
      <c r="D39" s="243">
        <f>SUMIFS('Diags Raw Data'!$K$6:$K$4694,'Diags Raw Data'!$D$6:$D$4694,$A39,'Diags Raw Data'!$M$6:$M$4694,"Legacy")</f>
        <v>0</v>
      </c>
      <c r="E39" s="243">
        <f>SUMIFS('Diags Raw Data'!$O$6:$O$4694,'Diags Raw Data'!$D$6:$D$4694,$A39,'Diags Raw Data'!$M$6:$M$4694,"Legacy")</f>
        <v>0</v>
      </c>
      <c r="F39" s="249" t="str">
        <f t="shared" si="15"/>
        <v>---</v>
      </c>
      <c r="G39" s="231">
        <f>SUMIFS('Diags Raw Data'!$S$6:$S$4694,'Diags Raw Data'!$D$6:$D$4694,$A39,'Diags Raw Data'!$M$6:$M$4694,"Legacy")</f>
        <v>0</v>
      </c>
      <c r="H39" s="227">
        <f>SUMIFS('Diags Raw Data'!$T$6:$T$4694,'Diags Raw Data'!$D$6:$D$4694,$A39,'Diags Raw Data'!$M$6:$M$4694,"Legacy")</f>
        <v>0</v>
      </c>
      <c r="I39" s="228">
        <f>SUMIFS('Diags Raw Data'!$U$6:$U$4694,'Diags Raw Data'!$D$6:$D$4694,$A39,'Diags Raw Data'!$M$6:$M$4694,"Legacy")</f>
        <v>0</v>
      </c>
      <c r="J39" s="227">
        <f>SUMIFS('Diags Raw Data'!$V$6:$V$4694,'Diags Raw Data'!$D$6:$D$4694,$A39,'Diags Raw Data'!$M$6:$M$4694,"Legacy")</f>
        <v>0</v>
      </c>
      <c r="K39" s="228">
        <f>SUMIFS('Diags Raw Data'!$W$6:$W$4694,'Diags Raw Data'!$D$6:$D$4694,$A39,'Diags Raw Data'!$M$6:$M$4694,"Legacy")</f>
        <v>0</v>
      </c>
      <c r="L39" s="244" t="str">
        <f t="shared" si="16"/>
        <v>---</v>
      </c>
      <c r="M39" s="229" t="str">
        <f t="shared" si="17"/>
        <v>---</v>
      </c>
      <c r="N39" s="238" t="str">
        <f t="shared" si="18"/>
        <v>---</v>
      </c>
      <c r="O39" s="214">
        <f>SUMIFS('Diags Raw Data'!$Z$6:$Z$4694,'Diags Raw Data'!$D$6:$D$4694,$A39,'Diags Raw Data'!$M$6:$M$4694,"Legacy")</f>
        <v>0</v>
      </c>
      <c r="P39" s="204">
        <f>SUMIFS('Diags Raw Data'!$AA$6:$AA$4694,'Diags Raw Data'!$D$6:$D$4694,$A39,'Diags Raw Data'!$M$6:$M$4694,"Legacy")</f>
        <v>0</v>
      </c>
      <c r="Q39" s="206">
        <f>SUMIFS('Diags Raw Data'!$AB$6:$AB$4694,'Diags Raw Data'!$D$6:$D$4694,$A39,'Diags Raw Data'!$M$6:$M$4694,"Legacy")</f>
        <v>0</v>
      </c>
      <c r="R39" s="204">
        <f>SUMIFS('Diags Raw Data'!$AC$6:$AC$4694,'Diags Raw Data'!$D$6:$D$4694,$A39,'Diags Raw Data'!$M$6:$M$4694,"Legacy")</f>
        <v>0</v>
      </c>
      <c r="S39" s="206">
        <f>SUMIFS('Diags Raw Data'!$AD$6:$AD$4694,'Diags Raw Data'!$D$6:$D$4694,$A39,'Diags Raw Data'!$M$6:$M$4694,"Legacy")</f>
        <v>0</v>
      </c>
      <c r="T39" s="205" t="str">
        <f t="shared" si="19"/>
        <v>---</v>
      </c>
      <c r="U39" s="230" t="str">
        <f t="shared" si="20"/>
        <v>---</v>
      </c>
      <c r="V39" s="232" t="str">
        <f t="shared" si="21"/>
        <v>---</v>
      </c>
    </row>
    <row r="40" spans="1:22" x14ac:dyDescent="0.25">
      <c r="A40" s="335" t="s">
        <v>428</v>
      </c>
      <c r="B40" s="253">
        <f>SUMIFS('Diags Raw Data'!$L$6:$L$4694,'Diags Raw Data'!$D$6:$D$4694,$A40,'Diags Raw Data'!$M$6:$M$4694,"Legacy")</f>
        <v>0</v>
      </c>
      <c r="C40" s="243">
        <f>SUMIFS('Diags Raw Data'!$R$6:$R$4694,'Diags Raw Data'!$D$6:$D$4694,$A40,'Diags Raw Data'!$M$6:$M$4694,"Legacy")</f>
        <v>0</v>
      </c>
      <c r="D40" s="243">
        <f>SUMIFS('Diags Raw Data'!$K$6:$K$4694,'Diags Raw Data'!$D$6:$D$4694,$A40,'Diags Raw Data'!$M$6:$M$4694,"Legacy")</f>
        <v>0</v>
      </c>
      <c r="E40" s="243">
        <f>SUMIFS('Diags Raw Data'!$O$6:$O$4694,'Diags Raw Data'!$D$6:$D$4694,$A40,'Diags Raw Data'!$M$6:$M$4694,"Legacy")</f>
        <v>0</v>
      </c>
      <c r="F40" s="249" t="str">
        <f t="shared" si="15"/>
        <v>---</v>
      </c>
      <c r="G40" s="231">
        <f>SUMIFS('Diags Raw Data'!$S$6:$S$4694,'Diags Raw Data'!$D$6:$D$4694,$A40,'Diags Raw Data'!$M$6:$M$4694,"Legacy")</f>
        <v>0</v>
      </c>
      <c r="H40" s="227">
        <f>SUMIFS('Diags Raw Data'!$T$6:$T$4694,'Diags Raw Data'!$D$6:$D$4694,$A40,'Diags Raw Data'!$M$6:$M$4694,"Legacy")</f>
        <v>0</v>
      </c>
      <c r="I40" s="228">
        <f>SUMIFS('Diags Raw Data'!$U$6:$U$4694,'Diags Raw Data'!$D$6:$D$4694,$A40,'Diags Raw Data'!$M$6:$M$4694,"Legacy")</f>
        <v>0</v>
      </c>
      <c r="J40" s="227">
        <f>SUMIFS('Diags Raw Data'!$V$6:$V$4694,'Diags Raw Data'!$D$6:$D$4694,$A40,'Diags Raw Data'!$M$6:$M$4694,"Legacy")</f>
        <v>0</v>
      </c>
      <c r="K40" s="228">
        <f>SUMIFS('Diags Raw Data'!$W$6:$W$4694,'Diags Raw Data'!$D$6:$D$4694,$A40,'Diags Raw Data'!$M$6:$M$4694,"Legacy")</f>
        <v>0</v>
      </c>
      <c r="L40" s="244" t="str">
        <f t="shared" si="16"/>
        <v>---</v>
      </c>
      <c r="M40" s="229" t="str">
        <f t="shared" si="17"/>
        <v>---</v>
      </c>
      <c r="N40" s="238" t="str">
        <f t="shared" si="18"/>
        <v>---</v>
      </c>
      <c r="O40" s="214">
        <f>SUMIFS('Diags Raw Data'!$Z$6:$Z$4694,'Diags Raw Data'!$D$6:$D$4694,$A40,'Diags Raw Data'!$M$6:$M$4694,"Legacy")</f>
        <v>0</v>
      </c>
      <c r="P40" s="204">
        <f>SUMIFS('Diags Raw Data'!$AA$6:$AA$4694,'Diags Raw Data'!$D$6:$D$4694,$A40,'Diags Raw Data'!$M$6:$M$4694,"Legacy")</f>
        <v>0</v>
      </c>
      <c r="Q40" s="206">
        <f>SUMIFS('Diags Raw Data'!$AB$6:$AB$4694,'Diags Raw Data'!$D$6:$D$4694,$A40,'Diags Raw Data'!$M$6:$M$4694,"Legacy")</f>
        <v>0</v>
      </c>
      <c r="R40" s="204">
        <f>SUMIFS('Diags Raw Data'!$AC$6:$AC$4694,'Diags Raw Data'!$D$6:$D$4694,$A40,'Diags Raw Data'!$M$6:$M$4694,"Legacy")</f>
        <v>0</v>
      </c>
      <c r="S40" s="206">
        <f>SUMIFS('Diags Raw Data'!$AD$6:$AD$4694,'Diags Raw Data'!$D$6:$D$4694,$A40,'Diags Raw Data'!$M$6:$M$4694,"Legacy")</f>
        <v>0</v>
      </c>
      <c r="T40" s="205" t="str">
        <f t="shared" si="19"/>
        <v>---</v>
      </c>
      <c r="U40" s="230" t="str">
        <f t="shared" si="20"/>
        <v>---</v>
      </c>
      <c r="V40" s="232" t="str">
        <f t="shared" si="21"/>
        <v>---</v>
      </c>
    </row>
    <row r="41" spans="1:22" ht="15.75" thickBot="1" x14ac:dyDescent="0.3">
      <c r="A41" s="336" t="s">
        <v>429</v>
      </c>
      <c r="B41" s="254">
        <f>SUMIFS('Diags Raw Data'!$L$6:$L$4694,'Diags Raw Data'!$D$6:$D$4694,$A41,'Diags Raw Data'!$M$6:$M$4694,"Legacy")</f>
        <v>0</v>
      </c>
      <c r="C41" s="245">
        <f>SUMIFS('Diags Raw Data'!$R$6:$R$4694,'Diags Raw Data'!$D$6:$D$4694,$A41,'Diags Raw Data'!$M$6:$M$4694,"Legacy")</f>
        <v>0</v>
      </c>
      <c r="D41" s="245">
        <f>SUMIFS('Diags Raw Data'!$K$6:$K$4694,'Diags Raw Data'!$D$6:$D$4694,$A41,'Diags Raw Data'!$M$6:$M$4694,"Legacy")</f>
        <v>0</v>
      </c>
      <c r="E41" s="245">
        <f>SUMIFS('Diags Raw Data'!$O$6:$O$4694,'Diags Raw Data'!$D$6:$D$4694,$A41,'Diags Raw Data'!$M$6:$M$4694,"Legacy")</f>
        <v>0</v>
      </c>
      <c r="F41" s="250" t="str">
        <f t="shared" si="15"/>
        <v>---</v>
      </c>
      <c r="G41" s="233">
        <f>SUMIFS('Diags Raw Data'!$S$6:$S$4694,'Diags Raw Data'!$D$6:$D$4694,$A41,'Diags Raw Data'!$M$6:$M$4694,"Legacy")</f>
        <v>0</v>
      </c>
      <c r="H41" s="234">
        <f>SUMIFS('Diags Raw Data'!$T$6:$T$4694,'Diags Raw Data'!$D$6:$D$4694,$A41,'Diags Raw Data'!$M$6:$M$4694,"Legacy")</f>
        <v>0</v>
      </c>
      <c r="I41" s="235">
        <f>SUMIFS('Diags Raw Data'!$U$6:$U$4694,'Diags Raw Data'!$D$6:$D$4694,$A41,'Diags Raw Data'!$M$6:$M$4694,"Legacy")</f>
        <v>0</v>
      </c>
      <c r="J41" s="234">
        <f>SUMIFS('Diags Raw Data'!$V$6:$V$4694,'Diags Raw Data'!$D$6:$D$4694,$A41,'Diags Raw Data'!$M$6:$M$4694,"Legacy")</f>
        <v>0</v>
      </c>
      <c r="K41" s="235">
        <f>SUMIFS('Diags Raw Data'!$W$6:$W$4694,'Diags Raw Data'!$D$6:$D$4694,$A41,'Diags Raw Data'!$M$6:$M$4694,"Legacy")</f>
        <v>0</v>
      </c>
      <c r="L41" s="246" t="str">
        <f t="shared" si="16"/>
        <v>---</v>
      </c>
      <c r="M41" s="236" t="str">
        <f t="shared" si="17"/>
        <v>---</v>
      </c>
      <c r="N41" s="239" t="str">
        <f t="shared" si="18"/>
        <v>---</v>
      </c>
      <c r="O41" s="215">
        <f>SUMIFS('Diags Raw Data'!$Z$6:$Z$4694,'Diags Raw Data'!$D$6:$D$4694,$A41,'Diags Raw Data'!$M$6:$M$4694,"Legacy")</f>
        <v>0</v>
      </c>
      <c r="P41" s="207">
        <f>SUMIFS('Diags Raw Data'!$AA$6:$AA$4694,'Diags Raw Data'!$D$6:$D$4694,$A41,'Diags Raw Data'!$M$6:$M$4694,"Legacy")</f>
        <v>0</v>
      </c>
      <c r="Q41" s="209">
        <f>SUMIFS('Diags Raw Data'!$AB$6:$AB$4694,'Diags Raw Data'!$D$6:$D$4694,$A41,'Diags Raw Data'!$M$6:$M$4694,"Legacy")</f>
        <v>0</v>
      </c>
      <c r="R41" s="207">
        <f>SUMIFS('Diags Raw Data'!$AC$6:$AC$4694,'Diags Raw Data'!$D$6:$D$4694,$A41,'Diags Raw Data'!$M$6:$M$4694,"Legacy")</f>
        <v>0</v>
      </c>
      <c r="S41" s="209">
        <f>SUMIFS('Diags Raw Data'!$AD$6:$AD$4694,'Diags Raw Data'!$D$6:$D$4694,$A41,'Diags Raw Data'!$M$6:$M$4694,"Legacy")</f>
        <v>0</v>
      </c>
      <c r="T41" s="208" t="str">
        <f t="shared" si="19"/>
        <v>---</v>
      </c>
      <c r="U41" s="240" t="str">
        <f t="shared" si="20"/>
        <v>---</v>
      </c>
      <c r="V41" s="237" t="str">
        <f t="shared" si="21"/>
        <v>---</v>
      </c>
    </row>
    <row r="42" spans="1:22" ht="16.5" thickBot="1" x14ac:dyDescent="0.3">
      <c r="A42" s="272" t="s">
        <v>433</v>
      </c>
      <c r="B42" s="257">
        <f>SUM(B32:B41)</f>
        <v>0</v>
      </c>
      <c r="C42" s="258">
        <f>SUM(C32:C41)</f>
        <v>0</v>
      </c>
      <c r="D42" s="258">
        <f>SUM(D32:D41)</f>
        <v>0</v>
      </c>
      <c r="E42" s="258">
        <f>SUM(E32:E41)</f>
        <v>0</v>
      </c>
      <c r="F42" s="259" t="e" cm="1">
        <f t="array" ref="F42">SUMPRODUCT(--(ISNUMBER(SEARCH("Legacy",'Diags Raw Data'!$M$6:$M$4694))),'Diags Raw Data'!$K$6:$K$4694,'Diags Raw Data'!$P$6:$P$4694)/D42</f>
        <v>#DIV/0!</v>
      </c>
      <c r="G42" s="260">
        <f>SUM(G32:G41)</f>
        <v>0</v>
      </c>
      <c r="H42" s="261">
        <f>SUM(H32:H41)</f>
        <v>0</v>
      </c>
      <c r="I42" s="262">
        <f>SUM(I32:I41)</f>
        <v>0</v>
      </c>
      <c r="J42" s="261">
        <f>SUM(J32:J41)</f>
        <v>0</v>
      </c>
      <c r="K42" s="262">
        <f>SUM(K32:K41)</f>
        <v>0</v>
      </c>
      <c r="L42" s="263" t="str">
        <f>IF(NOT($C42=0), G42/$C42, "---")</f>
        <v>---</v>
      </c>
      <c r="M42" s="264" t="str">
        <f t="shared" si="17"/>
        <v>---</v>
      </c>
      <c r="N42" s="265" t="str">
        <f t="shared" si="18"/>
        <v>---</v>
      </c>
      <c r="O42" s="266">
        <f>SUM(O32:O41)</f>
        <v>0</v>
      </c>
      <c r="P42" s="267">
        <f>SUM(P32:P41)</f>
        <v>0</v>
      </c>
      <c r="Q42" s="268">
        <f>SUM(Q32:Q41)</f>
        <v>0</v>
      </c>
      <c r="R42" s="267">
        <f>SUM(R32:R41)</f>
        <v>0</v>
      </c>
      <c r="S42" s="268">
        <f>SUM(S32:S41)</f>
        <v>0</v>
      </c>
      <c r="T42" s="269" t="str">
        <f>IF(NOT($B42=0), O42/$B42, "---")</f>
        <v>---</v>
      </c>
      <c r="U42" s="270" t="str">
        <f t="shared" si="20"/>
        <v>---</v>
      </c>
      <c r="V42" s="271" t="str">
        <f>IF(NOT($B42=0), (P42+Q42)/$B42, "---")</f>
        <v>---</v>
      </c>
    </row>
    <row r="43" spans="1:22" x14ac:dyDescent="0.25">
      <c r="A43" s="247"/>
      <c r="B43" s="247"/>
      <c r="C43" s="247"/>
      <c r="D43" s="247"/>
      <c r="E43" s="247"/>
      <c r="F43" s="247"/>
      <c r="G43" s="247"/>
      <c r="H43" s="247"/>
      <c r="I43" s="247"/>
      <c r="J43" s="247"/>
      <c r="K43" s="247"/>
      <c r="L43" s="247"/>
      <c r="M43" s="247"/>
      <c r="N43" s="247"/>
      <c r="O43" s="247"/>
      <c r="P43" s="247"/>
      <c r="Q43" s="247"/>
      <c r="R43" s="247"/>
      <c r="S43" s="247"/>
      <c r="T43" s="247"/>
      <c r="U43" s="247"/>
      <c r="V43" s="247"/>
    </row>
    <row r="45" spans="1:22" x14ac:dyDescent="0.25">
      <c r="F45" s="130"/>
    </row>
    <row r="48" spans="1:22" x14ac:dyDescent="0.25">
      <c r="F48" s="402"/>
    </row>
    <row r="49" spans="6:6" x14ac:dyDescent="0.25">
      <c r="F49" s="401"/>
    </row>
    <row r="50" spans="6:6" x14ac:dyDescent="0.25">
      <c r="F50" s="401"/>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3">
      <colorScale>
        <cfvo type="percentile" val="10"/>
        <cfvo type="percentile" val="50"/>
        <cfvo type="percentile" val="9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73">
      <colorScale>
        <cfvo type="percent" val="0"/>
        <cfvo type="percent" val="50"/>
        <cfvo type="percent" val="10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32:F41">
    <cfRule type="colorScale" priority="68">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4">
      <colorScale>
        <cfvo type="percent" val="2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47">
      <colorScale>
        <cfvo type="percent" val="0"/>
        <cfvo type="percent" val="50"/>
        <cfvo type="percent" val="100"/>
        <color rgb="FFF8696B"/>
        <color rgb="FFFFEB84"/>
        <color rgb="FF63BE7B"/>
      </colorScale>
    </cfRule>
    <cfRule type="colorScale" priority="51">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7">
      <colorScale>
        <cfvo type="percent" val="0"/>
        <cfvo type="percent" val="50"/>
        <cfvo type="percent" val="100"/>
        <color rgb="FFF8696B"/>
        <color rgb="FFFFEB84"/>
        <color rgb="FF63BE7B"/>
      </colorScale>
    </cfRule>
    <cfRule type="colorScale" priority="8">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onditionalFormatting>
  <conditionalFormatting sqref="N32:N41">
    <cfRule type="colorScale" priority="28">
      <colorScale>
        <cfvo type="percent" val="0"/>
        <cfvo type="percent" val="50"/>
        <cfvo type="percent" val="100"/>
        <color rgb="FFF8696B"/>
        <color rgb="FFFFEB84"/>
        <color rgb="FF63BE7B"/>
      </colorScale>
    </cfRule>
    <cfRule type="colorScale" priority="29">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265"/>
  <sheetViews>
    <sheetView zoomScaleNormal="100" workbookViewId="0">
      <pane ySplit="2" topLeftCell="A154" activePane="bottomLeft" state="frozen"/>
      <selection pane="bottomLeft" activeCell="C203" sqref="C203"/>
    </sheetView>
  </sheetViews>
  <sheetFormatPr defaultColWidth="8.5703125" defaultRowHeight="15" x14ac:dyDescent="0.25"/>
  <cols>
    <col min="1" max="1" width="16.5703125" bestFit="1" customWidth="1"/>
    <col min="2" max="2" width="71" customWidth="1"/>
    <col min="3" max="3" width="10" bestFit="1" customWidth="1"/>
    <col min="4" max="4" width="15.42578125" bestFit="1" customWidth="1"/>
    <col min="5" max="5" width="11.42578125" bestFit="1" customWidth="1"/>
    <col min="6" max="6" width="11.42578125" customWidth="1"/>
    <col min="7" max="7" width="18" customWidth="1"/>
    <col min="8" max="8" width="17.5703125" customWidth="1"/>
    <col min="9" max="9" width="70.42578125" customWidth="1"/>
    <col min="11" max="11" width="15.5703125" customWidth="1"/>
    <col min="12" max="12" width="20.42578125" customWidth="1"/>
  </cols>
  <sheetData>
    <row r="1" spans="1:13" ht="39" customHeight="1" thickBot="1" x14ac:dyDescent="0.35">
      <c r="A1" s="657" t="s">
        <v>434</v>
      </c>
      <c r="B1" s="658"/>
      <c r="C1" s="658"/>
      <c r="D1" s="658"/>
      <c r="E1" s="658"/>
      <c r="F1" s="658"/>
      <c r="G1" s="658"/>
      <c r="H1" s="658"/>
      <c r="I1" s="658"/>
      <c r="J1" s="658"/>
      <c r="K1" s="658"/>
      <c r="L1" s="658"/>
      <c r="M1" s="659"/>
    </row>
    <row r="2" spans="1:13" s="79" customFormat="1" ht="15.75" thickBot="1" x14ac:dyDescent="0.3">
      <c r="A2" s="396" t="s">
        <v>77</v>
      </c>
      <c r="B2" s="397" t="s">
        <v>81</v>
      </c>
      <c r="C2" s="398" t="s">
        <v>96</v>
      </c>
      <c r="D2" s="398" t="s">
        <v>202</v>
      </c>
      <c r="E2" s="399" t="s">
        <v>1</v>
      </c>
      <c r="F2" s="550" t="s">
        <v>88</v>
      </c>
      <c r="G2" s="550" t="s">
        <v>435</v>
      </c>
      <c r="H2" s="550" t="s">
        <v>436</v>
      </c>
      <c r="I2" s="552" t="s">
        <v>57</v>
      </c>
    </row>
    <row r="3" spans="1:13" ht="15.75" thickBot="1" x14ac:dyDescent="0.3">
      <c r="A3" s="548">
        <v>12</v>
      </c>
      <c r="B3" s="337" t="s">
        <v>437</v>
      </c>
      <c r="C3" s="518" t="s">
        <v>259</v>
      </c>
      <c r="D3" s="518" t="s">
        <v>34</v>
      </c>
      <c r="E3" s="520" t="s">
        <v>44</v>
      </c>
      <c r="F3" s="551" t="s">
        <v>424</v>
      </c>
      <c r="G3" s="519"/>
      <c r="H3" s="519"/>
      <c r="I3" s="553"/>
      <c r="K3" s="290" t="s">
        <v>77</v>
      </c>
      <c r="L3" s="291" t="s">
        <v>438</v>
      </c>
      <c r="M3" s="514">
        <f>COUNTA(A3:A3922)</f>
        <v>252</v>
      </c>
    </row>
    <row r="4" spans="1:13" x14ac:dyDescent="0.25">
      <c r="A4" s="549">
        <v>12.000999999999999</v>
      </c>
      <c r="B4" s="338" t="s">
        <v>439</v>
      </c>
      <c r="C4" s="519" t="s">
        <v>259</v>
      </c>
      <c r="D4" s="519" t="s">
        <v>34</v>
      </c>
      <c r="E4" s="521" t="s">
        <v>44</v>
      </c>
      <c r="F4" s="551" t="s">
        <v>425</v>
      </c>
      <c r="G4" s="519"/>
      <c r="H4" s="519"/>
      <c r="I4" s="553"/>
      <c r="K4" s="649" t="s">
        <v>96</v>
      </c>
      <c r="L4" s="292" t="s">
        <v>440</v>
      </c>
      <c r="M4" s="515">
        <f>COUNTIFS($C3:$C3922,"P1")</f>
        <v>151</v>
      </c>
    </row>
    <row r="5" spans="1:13" x14ac:dyDescent="0.25">
      <c r="A5" s="549">
        <v>12.001999999999999</v>
      </c>
      <c r="B5" s="338" t="s">
        <v>441</v>
      </c>
      <c r="C5" s="519" t="s">
        <v>259</v>
      </c>
      <c r="D5" s="519" t="s">
        <v>34</v>
      </c>
      <c r="E5" s="521" t="s">
        <v>44</v>
      </c>
      <c r="F5" s="551" t="s">
        <v>427</v>
      </c>
      <c r="G5" s="519"/>
      <c r="H5" s="519"/>
      <c r="I5" s="553"/>
      <c r="K5" s="650"/>
      <c r="L5" s="293" t="s">
        <v>442</v>
      </c>
      <c r="M5" s="516">
        <f>COUNTIFS($C3:$C3922,"P2")</f>
        <v>90</v>
      </c>
    </row>
    <row r="6" spans="1:13" ht="15.75" thickBot="1" x14ac:dyDescent="0.3">
      <c r="A6" s="549">
        <v>12.002999999999998</v>
      </c>
      <c r="B6" s="338" t="s">
        <v>443</v>
      </c>
      <c r="C6" s="519" t="s">
        <v>259</v>
      </c>
      <c r="D6" s="519" t="s">
        <v>34</v>
      </c>
      <c r="E6" s="521" t="s">
        <v>44</v>
      </c>
      <c r="F6" s="551" t="s">
        <v>425</v>
      </c>
      <c r="G6" s="519"/>
      <c r="H6" s="519"/>
      <c r="I6" s="553"/>
      <c r="K6" s="651"/>
      <c r="L6" s="294" t="s">
        <v>444</v>
      </c>
      <c r="M6" s="517">
        <f>COUNTIFS($C3:$C3922,"P3")</f>
        <v>11</v>
      </c>
    </row>
    <row r="7" spans="1:13" x14ac:dyDescent="0.25">
      <c r="A7" s="549">
        <v>12.003999999999998</v>
      </c>
      <c r="B7" s="338" t="s">
        <v>445</v>
      </c>
      <c r="C7" s="519" t="s">
        <v>259</v>
      </c>
      <c r="D7" s="519" t="s">
        <v>34</v>
      </c>
      <c r="E7" s="521" t="s">
        <v>44</v>
      </c>
      <c r="F7" s="551" t="s">
        <v>425</v>
      </c>
      <c r="G7" s="519"/>
      <c r="H7" s="519"/>
      <c r="I7" s="553"/>
      <c r="K7" s="652" t="s">
        <v>202</v>
      </c>
      <c r="L7" s="292" t="s">
        <v>446</v>
      </c>
      <c r="M7" s="515">
        <f>COUNTIFS($D3:$D3922,"Diagnostics")</f>
        <v>191</v>
      </c>
    </row>
    <row r="8" spans="1:13" x14ac:dyDescent="0.25">
      <c r="A8" s="549">
        <v>12.005999999999997</v>
      </c>
      <c r="B8" s="338" t="s">
        <v>447</v>
      </c>
      <c r="C8" s="519" t="s">
        <v>259</v>
      </c>
      <c r="D8" s="519" t="s">
        <v>34</v>
      </c>
      <c r="E8" s="521" t="s">
        <v>44</v>
      </c>
      <c r="F8" s="551" t="s">
        <v>423</v>
      </c>
      <c r="G8" s="519"/>
      <c r="H8" s="519"/>
      <c r="I8" s="553"/>
      <c r="K8" s="653"/>
      <c r="L8" s="293" t="s">
        <v>448</v>
      </c>
      <c r="M8" s="516">
        <f>COUNTIFS($D3:$D3922,"Driver")</f>
        <v>5</v>
      </c>
    </row>
    <row r="9" spans="1:13" x14ac:dyDescent="0.25">
      <c r="A9" s="549">
        <v>12.006999999999996</v>
      </c>
      <c r="B9" s="338" t="s">
        <v>449</v>
      </c>
      <c r="C9" s="519" t="s">
        <v>259</v>
      </c>
      <c r="D9" s="519" t="s">
        <v>34</v>
      </c>
      <c r="E9" s="521" t="s">
        <v>39</v>
      </c>
      <c r="F9" s="551" t="s">
        <v>425</v>
      </c>
      <c r="G9" s="519"/>
      <c r="H9" s="519"/>
      <c r="I9" s="553"/>
      <c r="K9" s="653"/>
      <c r="L9" s="293" t="s">
        <v>450</v>
      </c>
      <c r="M9" s="516">
        <f>COUNTIFS($D3:$D3922,"IPSE")</f>
        <v>12</v>
      </c>
    </row>
    <row r="10" spans="1:13" ht="15.75" thickBot="1" x14ac:dyDescent="0.3">
      <c r="A10" s="549">
        <v>12.007999999999996</v>
      </c>
      <c r="B10" s="338" t="s">
        <v>451</v>
      </c>
      <c r="C10" s="519" t="s">
        <v>259</v>
      </c>
      <c r="D10" s="519" t="s">
        <v>34</v>
      </c>
      <c r="E10" s="521" t="s">
        <v>39</v>
      </c>
      <c r="F10" s="551" t="s">
        <v>425</v>
      </c>
      <c r="G10" s="519"/>
      <c r="H10" s="519"/>
      <c r="I10" s="553"/>
      <c r="K10" s="654"/>
      <c r="L10" s="294" t="s">
        <v>452</v>
      </c>
      <c r="M10" s="517">
        <f>COUNTIFS($D3:$D3922,"N/A")</f>
        <v>44</v>
      </c>
    </row>
    <row r="11" spans="1:13" x14ac:dyDescent="0.25">
      <c r="A11" s="549">
        <v>12.008999999999995</v>
      </c>
      <c r="B11" s="338" t="s">
        <v>453</v>
      </c>
      <c r="C11" s="519" t="s">
        <v>259</v>
      </c>
      <c r="D11" s="519" t="s">
        <v>34</v>
      </c>
      <c r="E11" s="521" t="s">
        <v>44</v>
      </c>
      <c r="F11" s="551" t="s">
        <v>425</v>
      </c>
      <c r="G11" s="519"/>
      <c r="H11" s="519"/>
      <c r="I11" s="553"/>
      <c r="K11" s="652" t="s">
        <v>1</v>
      </c>
      <c r="L11" s="292" t="s">
        <v>454</v>
      </c>
      <c r="M11" s="515">
        <f>COUNTIFS($E3:$E3922,"Legacy")</f>
        <v>2</v>
      </c>
    </row>
    <row r="12" spans="1:13" x14ac:dyDescent="0.25">
      <c r="A12" s="549">
        <v>12.009999999999994</v>
      </c>
      <c r="B12" s="338" t="s">
        <v>455</v>
      </c>
      <c r="C12" s="519" t="s">
        <v>259</v>
      </c>
      <c r="D12" s="519" t="s">
        <v>34</v>
      </c>
      <c r="E12" s="521" t="s">
        <v>44</v>
      </c>
      <c r="F12" s="551" t="s">
        <v>425</v>
      </c>
      <c r="G12" s="519"/>
      <c r="H12" s="519"/>
      <c r="I12" s="553"/>
      <c r="K12" s="653"/>
      <c r="L12" s="293" t="s">
        <v>456</v>
      </c>
      <c r="M12" s="516">
        <f>COUNTIFS($E3:$E3922,"Delta")</f>
        <v>11</v>
      </c>
    </row>
    <row r="13" spans="1:13" ht="15.75" thickBot="1" x14ac:dyDescent="0.3">
      <c r="A13" s="549">
        <v>12.010999999999994</v>
      </c>
      <c r="B13" s="338" t="s">
        <v>457</v>
      </c>
      <c r="C13" s="519" t="s">
        <v>259</v>
      </c>
      <c r="D13" s="519" t="s">
        <v>34</v>
      </c>
      <c r="E13" s="521" t="s">
        <v>44</v>
      </c>
      <c r="F13" s="551" t="s">
        <v>425</v>
      </c>
      <c r="G13" s="519"/>
      <c r="H13" s="519"/>
      <c r="I13" s="553"/>
      <c r="K13" s="654"/>
      <c r="L13" s="294" t="s">
        <v>458</v>
      </c>
      <c r="M13" s="517">
        <f>COUNTIFS($E3:$E3922,"New")</f>
        <v>239</v>
      </c>
    </row>
    <row r="14" spans="1:13" ht="15.75" thickBot="1" x14ac:dyDescent="0.3">
      <c r="A14" s="549">
        <v>12.011999999999993</v>
      </c>
      <c r="B14" s="338" t="s">
        <v>459</v>
      </c>
      <c r="C14" s="519" t="s">
        <v>259</v>
      </c>
      <c r="D14" s="519" t="s">
        <v>34</v>
      </c>
      <c r="E14" s="521" t="s">
        <v>39</v>
      </c>
      <c r="F14" s="551" t="s">
        <v>425</v>
      </c>
      <c r="G14" s="519"/>
      <c r="H14" s="519"/>
      <c r="I14" s="553"/>
      <c r="K14" s="400" t="s">
        <v>207</v>
      </c>
      <c r="L14" s="655"/>
      <c r="M14" s="656"/>
    </row>
    <row r="15" spans="1:13" x14ac:dyDescent="0.25">
      <c r="A15" s="549">
        <v>12.012999999999993</v>
      </c>
      <c r="B15" s="338" t="s">
        <v>460</v>
      </c>
      <c r="C15" s="519" t="s">
        <v>280</v>
      </c>
      <c r="D15" s="519" t="s">
        <v>34</v>
      </c>
      <c r="E15" s="521" t="s">
        <v>44</v>
      </c>
      <c r="F15" s="551" t="s">
        <v>427</v>
      </c>
      <c r="G15" s="519"/>
      <c r="H15" s="519"/>
      <c r="I15" s="553"/>
    </row>
    <row r="16" spans="1:13" x14ac:dyDescent="0.25">
      <c r="A16" s="549">
        <v>12.013999999999992</v>
      </c>
      <c r="B16" s="338" t="s">
        <v>461</v>
      </c>
      <c r="C16" s="519" t="s">
        <v>259</v>
      </c>
      <c r="D16" s="519" t="s">
        <v>34</v>
      </c>
      <c r="E16" s="521" t="s">
        <v>44</v>
      </c>
      <c r="F16" s="551" t="s">
        <v>425</v>
      </c>
      <c r="G16" s="519"/>
      <c r="H16" s="519"/>
      <c r="I16" s="553"/>
    </row>
    <row r="17" spans="1:9" x14ac:dyDescent="0.25">
      <c r="A17" s="549">
        <v>12.014999999999992</v>
      </c>
      <c r="B17" s="338" t="s">
        <v>462</v>
      </c>
      <c r="C17" s="519" t="s">
        <v>259</v>
      </c>
      <c r="D17" s="519" t="s">
        <v>34</v>
      </c>
      <c r="E17" s="521" t="s">
        <v>39</v>
      </c>
      <c r="F17" s="551" t="s">
        <v>425</v>
      </c>
      <c r="G17" s="519"/>
      <c r="H17" s="519"/>
      <c r="I17" s="553"/>
    </row>
    <row r="18" spans="1:9" x14ac:dyDescent="0.25">
      <c r="A18" s="549">
        <v>12.015999999999991</v>
      </c>
      <c r="B18" s="338" t="s">
        <v>463</v>
      </c>
      <c r="C18" s="519" t="s">
        <v>259</v>
      </c>
      <c r="D18" s="519" t="s">
        <v>34</v>
      </c>
      <c r="E18" s="521" t="s">
        <v>44</v>
      </c>
      <c r="F18" s="551" t="s">
        <v>425</v>
      </c>
      <c r="G18" s="519"/>
      <c r="H18" s="519"/>
      <c r="I18" s="553"/>
    </row>
    <row r="19" spans="1:9" x14ac:dyDescent="0.25">
      <c r="A19" s="549">
        <v>12.016999999999991</v>
      </c>
      <c r="B19" s="338" t="s">
        <v>464</v>
      </c>
      <c r="C19" s="519" t="s">
        <v>259</v>
      </c>
      <c r="D19" s="519" t="s">
        <v>34</v>
      </c>
      <c r="E19" s="521" t="s">
        <v>44</v>
      </c>
      <c r="F19" s="551" t="s">
        <v>425</v>
      </c>
      <c r="G19" s="519"/>
      <c r="H19" s="519"/>
      <c r="I19" s="553"/>
    </row>
    <row r="20" spans="1:9" x14ac:dyDescent="0.25">
      <c r="A20" s="549">
        <v>12.018999999999989</v>
      </c>
      <c r="B20" s="338" t="s">
        <v>465</v>
      </c>
      <c r="C20" s="519" t="s">
        <v>259</v>
      </c>
      <c r="D20" s="519" t="s">
        <v>34</v>
      </c>
      <c r="E20" s="521" t="s">
        <v>44</v>
      </c>
      <c r="F20" s="551" t="s">
        <v>428</v>
      </c>
      <c r="G20" s="519"/>
      <c r="H20" s="519"/>
      <c r="I20" s="553"/>
    </row>
    <row r="21" spans="1:9" x14ac:dyDescent="0.25">
      <c r="A21" s="549">
        <v>12.019999999999989</v>
      </c>
      <c r="B21" s="338" t="s">
        <v>466</v>
      </c>
      <c r="C21" s="519" t="s">
        <v>259</v>
      </c>
      <c r="D21" s="519" t="s">
        <v>34</v>
      </c>
      <c r="E21" s="521" t="s">
        <v>44</v>
      </c>
      <c r="F21" s="551" t="s">
        <v>428</v>
      </c>
      <c r="G21" s="519" t="s">
        <v>467</v>
      </c>
      <c r="H21" s="519" t="s">
        <v>259</v>
      </c>
      <c r="I21" s="553"/>
    </row>
    <row r="22" spans="1:9" x14ac:dyDescent="0.25">
      <c r="A22" s="549">
        <v>12.026999999999985</v>
      </c>
      <c r="B22" s="338" t="s">
        <v>468</v>
      </c>
      <c r="C22" s="519" t="s">
        <v>259</v>
      </c>
      <c r="D22" s="519" t="s">
        <v>34</v>
      </c>
      <c r="E22" s="521" t="s">
        <v>44</v>
      </c>
      <c r="F22" s="551" t="s">
        <v>420</v>
      </c>
      <c r="G22" s="519"/>
      <c r="H22" s="519"/>
      <c r="I22" s="553"/>
    </row>
    <row r="23" spans="1:9" x14ac:dyDescent="0.25">
      <c r="A23" s="549">
        <v>12.029999999999983</v>
      </c>
      <c r="B23" s="338" t="s">
        <v>469</v>
      </c>
      <c r="C23" s="519" t="s">
        <v>259</v>
      </c>
      <c r="D23" s="519" t="s">
        <v>34</v>
      </c>
      <c r="E23" s="521" t="s">
        <v>44</v>
      </c>
      <c r="F23" s="551" t="s">
        <v>426</v>
      </c>
      <c r="G23" s="519"/>
      <c r="H23" s="519" t="s">
        <v>280</v>
      </c>
      <c r="I23" s="553"/>
    </row>
    <row r="24" spans="1:9" x14ac:dyDescent="0.25">
      <c r="A24" s="549">
        <v>12.030999999999983</v>
      </c>
      <c r="B24" s="338" t="s">
        <v>470</v>
      </c>
      <c r="C24" s="519" t="s">
        <v>259</v>
      </c>
      <c r="D24" s="519" t="s">
        <v>34</v>
      </c>
      <c r="E24" s="521" t="s">
        <v>44</v>
      </c>
      <c r="F24" s="551" t="s">
        <v>425</v>
      </c>
      <c r="G24" s="519"/>
      <c r="H24" s="519" t="s">
        <v>280</v>
      </c>
      <c r="I24" s="553"/>
    </row>
    <row r="25" spans="1:9" x14ac:dyDescent="0.25">
      <c r="A25" s="549">
        <v>12.032999999999982</v>
      </c>
      <c r="B25" s="338" t="s">
        <v>471</v>
      </c>
      <c r="C25" s="519" t="s">
        <v>280</v>
      </c>
      <c r="D25" s="519" t="s">
        <v>34</v>
      </c>
      <c r="E25" s="521" t="s">
        <v>44</v>
      </c>
      <c r="F25" s="551" t="s">
        <v>428</v>
      </c>
      <c r="G25" s="519"/>
      <c r="H25" s="519"/>
      <c r="I25" s="553"/>
    </row>
    <row r="26" spans="1:9" x14ac:dyDescent="0.25">
      <c r="A26" s="549">
        <v>12.033999999999981</v>
      </c>
      <c r="B26" s="338" t="s">
        <v>472</v>
      </c>
      <c r="C26" s="519" t="s">
        <v>280</v>
      </c>
      <c r="D26" s="519" t="s">
        <v>34</v>
      </c>
      <c r="E26" s="521" t="s">
        <v>44</v>
      </c>
      <c r="F26" s="551" t="s">
        <v>428</v>
      </c>
      <c r="G26" s="519"/>
      <c r="H26" s="519"/>
      <c r="I26" s="553"/>
    </row>
    <row r="27" spans="1:9" x14ac:dyDescent="0.25">
      <c r="A27" s="549">
        <v>12.03599999999998</v>
      </c>
      <c r="B27" s="338" t="s">
        <v>473</v>
      </c>
      <c r="C27" s="519" t="s">
        <v>259</v>
      </c>
      <c r="D27" s="519" t="s">
        <v>34</v>
      </c>
      <c r="E27" s="521" t="s">
        <v>44</v>
      </c>
      <c r="F27" s="551" t="s">
        <v>428</v>
      </c>
      <c r="G27" s="519" t="s">
        <v>467</v>
      </c>
      <c r="H27" s="519" t="s">
        <v>280</v>
      </c>
      <c r="I27" s="553"/>
    </row>
    <row r="28" spans="1:9" x14ac:dyDescent="0.25">
      <c r="A28" s="549">
        <v>12.037000000000001</v>
      </c>
      <c r="B28" s="338" t="s">
        <v>474</v>
      </c>
      <c r="C28" s="519" t="s">
        <v>259</v>
      </c>
      <c r="D28" s="519" t="s">
        <v>34</v>
      </c>
      <c r="E28" s="521" t="s">
        <v>44</v>
      </c>
      <c r="F28" s="551" t="s">
        <v>428</v>
      </c>
      <c r="G28" s="519" t="s">
        <v>467</v>
      </c>
      <c r="H28" s="519" t="s">
        <v>280</v>
      </c>
      <c r="I28" s="553"/>
    </row>
    <row r="29" spans="1:9" x14ac:dyDescent="0.25">
      <c r="A29" s="549">
        <v>12.039999999999978</v>
      </c>
      <c r="B29" s="338" t="s">
        <v>475</v>
      </c>
      <c r="C29" s="519" t="s">
        <v>259</v>
      </c>
      <c r="D29" s="519" t="s">
        <v>34</v>
      </c>
      <c r="E29" s="521" t="s">
        <v>44</v>
      </c>
      <c r="F29" s="551" t="s">
        <v>428</v>
      </c>
      <c r="G29" s="519" t="s">
        <v>467</v>
      </c>
      <c r="H29" s="519" t="s">
        <v>280</v>
      </c>
      <c r="I29" s="553"/>
    </row>
    <row r="30" spans="1:9" x14ac:dyDescent="0.25">
      <c r="A30" s="549">
        <v>12.041</v>
      </c>
      <c r="B30" s="338" t="s">
        <v>476</v>
      </c>
      <c r="C30" s="519" t="s">
        <v>259</v>
      </c>
      <c r="D30" s="519" t="s">
        <v>34</v>
      </c>
      <c r="E30" s="521" t="s">
        <v>44</v>
      </c>
      <c r="F30" s="551" t="s">
        <v>420</v>
      </c>
      <c r="G30" s="519"/>
      <c r="H30" s="519" t="s">
        <v>280</v>
      </c>
      <c r="I30" s="553"/>
    </row>
    <row r="31" spans="1:9" x14ac:dyDescent="0.25">
      <c r="A31" s="549">
        <v>12.041999999999977</v>
      </c>
      <c r="B31" s="338" t="s">
        <v>477</v>
      </c>
      <c r="C31" s="519" t="s">
        <v>259</v>
      </c>
      <c r="D31" s="519" t="s">
        <v>34</v>
      </c>
      <c r="E31" s="521" t="s">
        <v>44</v>
      </c>
      <c r="F31" s="551" t="s">
        <v>420</v>
      </c>
      <c r="G31" s="519"/>
      <c r="H31" s="519"/>
      <c r="I31" s="553"/>
    </row>
    <row r="32" spans="1:9" x14ac:dyDescent="0.25">
      <c r="A32" s="549">
        <v>12.043999999999976</v>
      </c>
      <c r="B32" s="338" t="s">
        <v>478</v>
      </c>
      <c r="C32" s="519" t="s">
        <v>259</v>
      </c>
      <c r="D32" s="519" t="s">
        <v>34</v>
      </c>
      <c r="E32" s="521" t="s">
        <v>44</v>
      </c>
      <c r="F32" s="551" t="s">
        <v>420</v>
      </c>
      <c r="G32" s="519"/>
      <c r="H32" s="519"/>
      <c r="I32" s="553"/>
    </row>
    <row r="33" spans="1:9" x14ac:dyDescent="0.25">
      <c r="A33" s="549">
        <v>12.045999999999975</v>
      </c>
      <c r="B33" s="338" t="s">
        <v>479</v>
      </c>
      <c r="C33" s="519" t="s">
        <v>259</v>
      </c>
      <c r="D33" s="519" t="s">
        <v>34</v>
      </c>
      <c r="E33" s="521" t="s">
        <v>44</v>
      </c>
      <c r="F33" s="551" t="s">
        <v>420</v>
      </c>
      <c r="G33" s="519"/>
      <c r="H33" s="519"/>
      <c r="I33" s="553"/>
    </row>
    <row r="34" spans="1:9" x14ac:dyDescent="0.25">
      <c r="A34" s="549">
        <v>12.047999999999973</v>
      </c>
      <c r="B34" s="338" t="s">
        <v>480</v>
      </c>
      <c r="C34" s="519" t="s">
        <v>280</v>
      </c>
      <c r="D34" s="519" t="s">
        <v>34</v>
      </c>
      <c r="E34" s="521" t="s">
        <v>44</v>
      </c>
      <c r="F34" s="551" t="s">
        <v>420</v>
      </c>
      <c r="G34" s="519"/>
      <c r="H34" s="519"/>
      <c r="I34" s="553"/>
    </row>
    <row r="35" spans="1:9" x14ac:dyDescent="0.25">
      <c r="A35" s="549">
        <v>12.048999999999973</v>
      </c>
      <c r="B35" s="338" t="s">
        <v>481</v>
      </c>
      <c r="C35" s="519" t="s">
        <v>259</v>
      </c>
      <c r="D35" s="519" t="s">
        <v>34</v>
      </c>
      <c r="E35" s="521" t="s">
        <v>44</v>
      </c>
      <c r="F35" s="551" t="s">
        <v>420</v>
      </c>
      <c r="G35" s="519"/>
      <c r="H35" s="519"/>
      <c r="I35" s="553"/>
    </row>
    <row r="36" spans="1:9" x14ac:dyDescent="0.25">
      <c r="A36" s="549">
        <v>12.051</v>
      </c>
      <c r="B36" s="338" t="s">
        <v>482</v>
      </c>
      <c r="C36" s="519" t="s">
        <v>280</v>
      </c>
      <c r="D36" s="519" t="s">
        <v>34</v>
      </c>
      <c r="E36" s="521" t="s">
        <v>44</v>
      </c>
      <c r="F36" s="551" t="s">
        <v>420</v>
      </c>
      <c r="G36" s="519"/>
      <c r="H36" s="519"/>
      <c r="I36" s="553"/>
    </row>
    <row r="37" spans="1:9" x14ac:dyDescent="0.25">
      <c r="A37" s="549">
        <v>12.052999999999971</v>
      </c>
      <c r="B37" s="338" t="s">
        <v>483</v>
      </c>
      <c r="C37" s="519" t="s">
        <v>259</v>
      </c>
      <c r="D37" s="519" t="s">
        <v>34</v>
      </c>
      <c r="E37" s="521" t="s">
        <v>44</v>
      </c>
      <c r="F37" s="551" t="s">
        <v>420</v>
      </c>
      <c r="G37" s="519" t="s">
        <v>467</v>
      </c>
      <c r="H37" s="519" t="s">
        <v>280</v>
      </c>
      <c r="I37" s="553"/>
    </row>
    <row r="38" spans="1:9" x14ac:dyDescent="0.25">
      <c r="A38" s="549">
        <v>12.054</v>
      </c>
      <c r="B38" s="338" t="s">
        <v>484</v>
      </c>
      <c r="C38" s="519" t="s">
        <v>259</v>
      </c>
      <c r="D38" s="519" t="s">
        <v>34</v>
      </c>
      <c r="E38" s="521" t="s">
        <v>44</v>
      </c>
      <c r="F38" s="551" t="s">
        <v>426</v>
      </c>
      <c r="G38" s="519"/>
      <c r="H38" s="519"/>
      <c r="I38" s="553"/>
    </row>
    <row r="39" spans="1:9" x14ac:dyDescent="0.25">
      <c r="A39" s="549">
        <v>12.05499999999997</v>
      </c>
      <c r="B39" s="338" t="s">
        <v>485</v>
      </c>
      <c r="C39" s="519" t="s">
        <v>259</v>
      </c>
      <c r="D39" s="519" t="s">
        <v>34</v>
      </c>
      <c r="E39" s="521" t="s">
        <v>44</v>
      </c>
      <c r="F39" s="551" t="s">
        <v>426</v>
      </c>
      <c r="G39" s="519"/>
      <c r="H39" s="519"/>
      <c r="I39" s="553"/>
    </row>
    <row r="40" spans="1:9" x14ac:dyDescent="0.25">
      <c r="A40" s="549">
        <v>12.055999999999969</v>
      </c>
      <c r="B40" s="338" t="s">
        <v>486</v>
      </c>
      <c r="C40" s="519" t="s">
        <v>259</v>
      </c>
      <c r="D40" s="519" t="s">
        <v>34</v>
      </c>
      <c r="E40" s="521" t="s">
        <v>44</v>
      </c>
      <c r="F40" s="551" t="s">
        <v>426</v>
      </c>
      <c r="G40" s="519"/>
      <c r="H40" s="519"/>
      <c r="I40" s="553"/>
    </row>
    <row r="41" spans="1:9" x14ac:dyDescent="0.25">
      <c r="A41" s="549">
        <v>12.057</v>
      </c>
      <c r="B41" s="338" t="s">
        <v>487</v>
      </c>
      <c r="C41" s="519" t="s">
        <v>280</v>
      </c>
      <c r="D41" s="519" t="s">
        <v>34</v>
      </c>
      <c r="E41" s="521" t="s">
        <v>44</v>
      </c>
      <c r="F41" s="551" t="s">
        <v>426</v>
      </c>
      <c r="G41" s="519"/>
      <c r="H41" s="519"/>
      <c r="I41" s="553"/>
    </row>
    <row r="42" spans="1:9" x14ac:dyDescent="0.25">
      <c r="A42" s="549">
        <v>12.058999999999967</v>
      </c>
      <c r="B42" s="338" t="s">
        <v>488</v>
      </c>
      <c r="C42" s="519" t="s">
        <v>259</v>
      </c>
      <c r="D42" s="519" t="s">
        <v>34</v>
      </c>
      <c r="E42" s="521" t="s">
        <v>44</v>
      </c>
      <c r="F42" s="551" t="s">
        <v>426</v>
      </c>
      <c r="G42" s="519"/>
      <c r="H42" s="519"/>
      <c r="I42" s="553"/>
    </row>
    <row r="43" spans="1:9" x14ac:dyDescent="0.25">
      <c r="A43" s="549">
        <v>12.059999999999967</v>
      </c>
      <c r="B43" s="338" t="s">
        <v>489</v>
      </c>
      <c r="C43" s="519" t="s">
        <v>259</v>
      </c>
      <c r="D43" s="519" t="s">
        <v>34</v>
      </c>
      <c r="E43" s="521" t="s">
        <v>44</v>
      </c>
      <c r="F43" s="551" t="s">
        <v>426</v>
      </c>
      <c r="G43" s="519" t="s">
        <v>467</v>
      </c>
      <c r="H43" s="519" t="s">
        <v>259</v>
      </c>
      <c r="I43" s="553"/>
    </row>
    <row r="44" spans="1:9" x14ac:dyDescent="0.25">
      <c r="A44" s="549">
        <v>12.061999999999966</v>
      </c>
      <c r="B44" s="338" t="s">
        <v>490</v>
      </c>
      <c r="C44" s="519" t="s">
        <v>259</v>
      </c>
      <c r="D44" s="519" t="s">
        <v>34</v>
      </c>
      <c r="E44" s="521" t="s">
        <v>44</v>
      </c>
      <c r="F44" s="551" t="s">
        <v>426</v>
      </c>
      <c r="G44" s="519"/>
      <c r="H44" s="519"/>
      <c r="I44" s="553"/>
    </row>
    <row r="45" spans="1:9" x14ac:dyDescent="0.25">
      <c r="A45" s="549">
        <v>12.062999999999965</v>
      </c>
      <c r="B45" s="338" t="s">
        <v>491</v>
      </c>
      <c r="C45" s="519" t="s">
        <v>280</v>
      </c>
      <c r="D45" s="519" t="s">
        <v>34</v>
      </c>
      <c r="E45" s="521" t="s">
        <v>39</v>
      </c>
      <c r="F45" s="551" t="s">
        <v>426</v>
      </c>
      <c r="G45" s="519"/>
      <c r="H45" s="519"/>
      <c r="I45" s="553"/>
    </row>
    <row r="46" spans="1:9" x14ac:dyDescent="0.25">
      <c r="A46" s="549">
        <v>12.063999999999965</v>
      </c>
      <c r="B46" s="338" t="s">
        <v>492</v>
      </c>
      <c r="C46" s="519" t="s">
        <v>280</v>
      </c>
      <c r="D46" s="519" t="s">
        <v>34</v>
      </c>
      <c r="E46" s="521" t="s">
        <v>39</v>
      </c>
      <c r="F46" s="551" t="s">
        <v>426</v>
      </c>
      <c r="G46" s="519"/>
      <c r="H46" s="519"/>
      <c r="I46" s="553"/>
    </row>
    <row r="47" spans="1:9" x14ac:dyDescent="0.25">
      <c r="A47" s="549">
        <v>12.064999999999964</v>
      </c>
      <c r="B47" s="338" t="s">
        <v>493</v>
      </c>
      <c r="C47" s="519" t="s">
        <v>259</v>
      </c>
      <c r="D47" s="519" t="s">
        <v>34</v>
      </c>
      <c r="E47" s="521" t="s">
        <v>39</v>
      </c>
      <c r="F47" s="551" t="s">
        <v>426</v>
      </c>
      <c r="G47" s="519" t="s">
        <v>494</v>
      </c>
      <c r="H47" s="519"/>
      <c r="I47" s="553"/>
    </row>
    <row r="48" spans="1:9" x14ac:dyDescent="0.25">
      <c r="A48" s="549">
        <v>12.065999999999963</v>
      </c>
      <c r="B48" s="338" t="s">
        <v>495</v>
      </c>
      <c r="C48" s="519" t="s">
        <v>280</v>
      </c>
      <c r="D48" s="519" t="s">
        <v>34</v>
      </c>
      <c r="E48" s="521" t="s">
        <v>39</v>
      </c>
      <c r="F48" s="551" t="s">
        <v>426</v>
      </c>
      <c r="G48" s="519"/>
      <c r="H48" s="519"/>
      <c r="I48" s="553"/>
    </row>
    <row r="49" spans="1:9" x14ac:dyDescent="0.25">
      <c r="A49" s="549">
        <v>12.066999999999963</v>
      </c>
      <c r="B49" s="338" t="s">
        <v>496</v>
      </c>
      <c r="C49" s="519" t="s">
        <v>259</v>
      </c>
      <c r="D49" s="519" t="s">
        <v>34</v>
      </c>
      <c r="E49" s="521" t="s">
        <v>39</v>
      </c>
      <c r="F49" s="551" t="s">
        <v>426</v>
      </c>
      <c r="G49" s="519"/>
      <c r="H49" s="519"/>
      <c r="I49" s="553"/>
    </row>
    <row r="50" spans="1:9" x14ac:dyDescent="0.25">
      <c r="A50" s="549">
        <v>12.067999999999962</v>
      </c>
      <c r="B50" s="338" t="s">
        <v>497</v>
      </c>
      <c r="C50" s="519" t="s">
        <v>259</v>
      </c>
      <c r="D50" s="519" t="s">
        <v>34</v>
      </c>
      <c r="E50" s="521" t="s">
        <v>33</v>
      </c>
      <c r="F50" s="551" t="s">
        <v>426</v>
      </c>
      <c r="G50" s="519"/>
      <c r="H50" s="519"/>
      <c r="I50" s="553"/>
    </row>
    <row r="51" spans="1:9" x14ac:dyDescent="0.25">
      <c r="A51" s="549">
        <v>12.068999999999962</v>
      </c>
      <c r="B51" s="338" t="s">
        <v>498</v>
      </c>
      <c r="C51" s="519" t="s">
        <v>259</v>
      </c>
      <c r="D51" s="519" t="s">
        <v>34</v>
      </c>
      <c r="E51" s="521" t="s">
        <v>44</v>
      </c>
      <c r="F51" s="551" t="s">
        <v>426</v>
      </c>
      <c r="G51" s="519" t="s">
        <v>467</v>
      </c>
      <c r="H51" s="519"/>
      <c r="I51" s="553"/>
    </row>
    <row r="52" spans="1:9" x14ac:dyDescent="0.25">
      <c r="A52" s="549">
        <v>12.070999999999961</v>
      </c>
      <c r="B52" s="338" t="s">
        <v>499</v>
      </c>
      <c r="C52" s="519" t="s">
        <v>280</v>
      </c>
      <c r="D52" s="519" t="s">
        <v>34</v>
      </c>
      <c r="E52" s="521" t="s">
        <v>44</v>
      </c>
      <c r="F52" s="551" t="s">
        <v>426</v>
      </c>
      <c r="G52" s="519"/>
      <c r="H52" s="519"/>
      <c r="I52" s="553"/>
    </row>
    <row r="53" spans="1:9" x14ac:dyDescent="0.25">
      <c r="A53" s="549">
        <v>12.07299999999996</v>
      </c>
      <c r="B53" s="338" t="s">
        <v>500</v>
      </c>
      <c r="C53" s="519" t="s">
        <v>280</v>
      </c>
      <c r="D53" s="519" t="s">
        <v>34</v>
      </c>
      <c r="E53" s="521" t="s">
        <v>44</v>
      </c>
      <c r="F53" s="551" t="s">
        <v>426</v>
      </c>
      <c r="G53" s="519"/>
      <c r="H53" s="519"/>
      <c r="I53" s="553"/>
    </row>
    <row r="54" spans="1:9" x14ac:dyDescent="0.25">
      <c r="A54" s="549">
        <v>12.077999999999957</v>
      </c>
      <c r="B54" s="338" t="s">
        <v>501</v>
      </c>
      <c r="C54" s="519" t="s">
        <v>259</v>
      </c>
      <c r="D54" s="519" t="s">
        <v>34</v>
      </c>
      <c r="E54" s="521" t="s">
        <v>44</v>
      </c>
      <c r="F54" s="551" t="s">
        <v>427</v>
      </c>
      <c r="G54" s="519"/>
      <c r="H54" s="519"/>
      <c r="I54" s="553"/>
    </row>
    <row r="55" spans="1:9" x14ac:dyDescent="0.25">
      <c r="A55" s="549">
        <v>12.078999999999956</v>
      </c>
      <c r="B55" s="338" t="s">
        <v>502</v>
      </c>
      <c r="C55" s="519" t="s">
        <v>259</v>
      </c>
      <c r="D55" s="519" t="s">
        <v>34</v>
      </c>
      <c r="E55" s="521" t="s">
        <v>44</v>
      </c>
      <c r="F55" s="551" t="s">
        <v>426</v>
      </c>
      <c r="G55" s="519" t="s">
        <v>467</v>
      </c>
      <c r="H55" s="519"/>
      <c r="I55" s="553"/>
    </row>
    <row r="56" spans="1:9" x14ac:dyDescent="0.25">
      <c r="A56" s="549">
        <v>12.083999999999953</v>
      </c>
      <c r="B56" s="338" t="s">
        <v>503</v>
      </c>
      <c r="C56" s="519" t="s">
        <v>280</v>
      </c>
      <c r="D56" s="519" t="s">
        <v>34</v>
      </c>
      <c r="E56" s="521" t="s">
        <v>44</v>
      </c>
      <c r="F56" s="551" t="s">
        <v>426</v>
      </c>
      <c r="G56" s="519"/>
      <c r="H56" s="519"/>
      <c r="I56" s="553"/>
    </row>
    <row r="57" spans="1:9" x14ac:dyDescent="0.25">
      <c r="A57" s="549">
        <v>12.092000000000001</v>
      </c>
      <c r="B57" s="338" t="s">
        <v>504</v>
      </c>
      <c r="C57" s="519" t="s">
        <v>280</v>
      </c>
      <c r="D57" s="519" t="s">
        <v>47</v>
      </c>
      <c r="E57" s="521" t="s">
        <v>44</v>
      </c>
      <c r="F57" s="551" t="s">
        <v>420</v>
      </c>
      <c r="G57" s="519"/>
      <c r="H57" s="519"/>
      <c r="I57" s="553" t="s">
        <v>326</v>
      </c>
    </row>
    <row r="58" spans="1:9" x14ac:dyDescent="0.25">
      <c r="A58" s="549">
        <v>12.096</v>
      </c>
      <c r="B58" s="338" t="s">
        <v>505</v>
      </c>
      <c r="C58" s="519" t="s">
        <v>280</v>
      </c>
      <c r="D58" s="519" t="s">
        <v>34</v>
      </c>
      <c r="E58" s="521" t="s">
        <v>44</v>
      </c>
      <c r="F58" s="551" t="s">
        <v>420</v>
      </c>
      <c r="G58" s="519"/>
      <c r="H58" s="519"/>
      <c r="I58" s="553"/>
    </row>
    <row r="59" spans="1:9" x14ac:dyDescent="0.25">
      <c r="A59" s="549">
        <v>12.098000000000001</v>
      </c>
      <c r="B59" s="338" t="s">
        <v>506</v>
      </c>
      <c r="C59" s="519" t="s">
        <v>280</v>
      </c>
      <c r="D59" s="519" t="s">
        <v>47</v>
      </c>
      <c r="E59" s="521" t="s">
        <v>44</v>
      </c>
      <c r="F59" s="551" t="s">
        <v>420</v>
      </c>
      <c r="G59" s="519"/>
      <c r="H59" s="519"/>
      <c r="I59" s="553" t="s">
        <v>327</v>
      </c>
    </row>
    <row r="60" spans="1:9" x14ac:dyDescent="0.25">
      <c r="A60" s="549">
        <v>12.103999999999999</v>
      </c>
      <c r="B60" s="338" t="s">
        <v>507</v>
      </c>
      <c r="C60" s="519" t="s">
        <v>259</v>
      </c>
      <c r="D60" s="519" t="s">
        <v>45</v>
      </c>
      <c r="E60" s="521" t="s">
        <v>44</v>
      </c>
      <c r="F60" s="551" t="s">
        <v>429</v>
      </c>
      <c r="G60" s="519"/>
      <c r="H60" s="519"/>
      <c r="I60" s="553" t="s">
        <v>328</v>
      </c>
    </row>
    <row r="61" spans="1:9" x14ac:dyDescent="0.25">
      <c r="A61" s="549">
        <v>12.111000000000001</v>
      </c>
      <c r="B61" s="338" t="s">
        <v>508</v>
      </c>
      <c r="C61" s="519" t="s">
        <v>280</v>
      </c>
      <c r="D61" s="519" t="s">
        <v>47</v>
      </c>
      <c r="E61" s="521" t="s">
        <v>44</v>
      </c>
      <c r="F61" s="551" t="s">
        <v>420</v>
      </c>
      <c r="G61" s="519"/>
      <c r="H61" s="519"/>
      <c r="I61" s="553" t="s">
        <v>327</v>
      </c>
    </row>
    <row r="62" spans="1:9" x14ac:dyDescent="0.25">
      <c r="A62" s="549">
        <v>12.112</v>
      </c>
      <c r="B62" s="338" t="s">
        <v>509</v>
      </c>
      <c r="C62" s="519" t="s">
        <v>280</v>
      </c>
      <c r="D62" s="519" t="s">
        <v>34</v>
      </c>
      <c r="E62" s="521" t="s">
        <v>44</v>
      </c>
      <c r="F62" s="551" t="s">
        <v>420</v>
      </c>
      <c r="G62" s="519"/>
      <c r="H62" s="519"/>
      <c r="I62" s="553"/>
    </row>
    <row r="63" spans="1:9" x14ac:dyDescent="0.25">
      <c r="A63" s="549">
        <v>12.113</v>
      </c>
      <c r="B63" s="338" t="s">
        <v>510</v>
      </c>
      <c r="C63" s="519" t="s">
        <v>280</v>
      </c>
      <c r="D63" s="519" t="s">
        <v>45</v>
      </c>
      <c r="E63" s="521" t="s">
        <v>44</v>
      </c>
      <c r="F63" s="551" t="s">
        <v>421</v>
      </c>
      <c r="G63" s="519"/>
      <c r="H63" s="519"/>
      <c r="I63" s="553" t="s">
        <v>329</v>
      </c>
    </row>
    <row r="64" spans="1:9" x14ac:dyDescent="0.25">
      <c r="A64" s="549">
        <v>12.114000000000001</v>
      </c>
      <c r="B64" s="338" t="s">
        <v>511</v>
      </c>
      <c r="C64" s="519" t="s">
        <v>280</v>
      </c>
      <c r="D64" s="519" t="s">
        <v>34</v>
      </c>
      <c r="E64" s="521" t="s">
        <v>44</v>
      </c>
      <c r="F64" s="551" t="s">
        <v>421</v>
      </c>
      <c r="G64" s="519"/>
      <c r="H64" s="519"/>
      <c r="I64" s="553"/>
    </row>
    <row r="65" spans="1:9" x14ac:dyDescent="0.25">
      <c r="A65" s="549">
        <v>12.115</v>
      </c>
      <c r="B65" s="338" t="s">
        <v>512</v>
      </c>
      <c r="C65" s="519" t="s">
        <v>259</v>
      </c>
      <c r="D65" s="519" t="s">
        <v>34</v>
      </c>
      <c r="E65" s="521" t="s">
        <v>44</v>
      </c>
      <c r="F65" s="551" t="s">
        <v>426</v>
      </c>
      <c r="G65" s="519"/>
      <c r="H65" s="519"/>
      <c r="I65" s="553"/>
    </row>
    <row r="66" spans="1:9" x14ac:dyDescent="0.25">
      <c r="A66" s="549">
        <v>12.118</v>
      </c>
      <c r="B66" s="338" t="s">
        <v>513</v>
      </c>
      <c r="C66" s="519" t="s">
        <v>259</v>
      </c>
      <c r="D66" s="519" t="s">
        <v>34</v>
      </c>
      <c r="E66" s="521" t="s">
        <v>44</v>
      </c>
      <c r="F66" s="551" t="s">
        <v>423</v>
      </c>
      <c r="G66" s="519" t="s">
        <v>467</v>
      </c>
      <c r="H66" s="519" t="s">
        <v>280</v>
      </c>
      <c r="I66" s="553"/>
    </row>
    <row r="67" spans="1:9" x14ac:dyDescent="0.25">
      <c r="A67" s="549">
        <v>12.119</v>
      </c>
      <c r="B67" s="338" t="s">
        <v>514</v>
      </c>
      <c r="C67" s="519" t="s">
        <v>259</v>
      </c>
      <c r="D67" s="519" t="s">
        <v>34</v>
      </c>
      <c r="E67" s="521" t="s">
        <v>44</v>
      </c>
      <c r="F67" s="551" t="s">
        <v>422</v>
      </c>
      <c r="G67" s="519"/>
      <c r="H67" s="519"/>
      <c r="I67" s="553"/>
    </row>
    <row r="68" spans="1:9" x14ac:dyDescent="0.25">
      <c r="A68" s="549">
        <v>12.12</v>
      </c>
      <c r="B68" s="338" t="s">
        <v>515</v>
      </c>
      <c r="C68" s="519" t="s">
        <v>259</v>
      </c>
      <c r="D68" s="519" t="s">
        <v>34</v>
      </c>
      <c r="E68" s="521" t="s">
        <v>44</v>
      </c>
      <c r="F68" s="551" t="s">
        <v>421</v>
      </c>
      <c r="G68" s="519"/>
      <c r="H68" s="519" t="s">
        <v>259</v>
      </c>
      <c r="I68" s="553"/>
    </row>
    <row r="69" spans="1:9" x14ac:dyDescent="0.25">
      <c r="A69" s="549">
        <v>12.124000000000001</v>
      </c>
      <c r="B69" s="338" t="s">
        <v>516</v>
      </c>
      <c r="C69" s="519" t="s">
        <v>280</v>
      </c>
      <c r="D69" s="519" t="s">
        <v>34</v>
      </c>
      <c r="E69" s="521" t="s">
        <v>44</v>
      </c>
      <c r="F69" s="551" t="s">
        <v>427</v>
      </c>
      <c r="G69" s="519"/>
      <c r="H69" s="519"/>
      <c r="I69" s="553"/>
    </row>
    <row r="70" spans="1:9" x14ac:dyDescent="0.25">
      <c r="A70" s="549">
        <v>12.125</v>
      </c>
      <c r="B70" s="338" t="s">
        <v>517</v>
      </c>
      <c r="C70" s="519" t="s">
        <v>280</v>
      </c>
      <c r="D70" s="519" t="s">
        <v>34</v>
      </c>
      <c r="E70" s="521" t="s">
        <v>44</v>
      </c>
      <c r="F70" s="551" t="s">
        <v>427</v>
      </c>
      <c r="G70" s="519"/>
      <c r="H70" s="519"/>
      <c r="I70" s="553"/>
    </row>
    <row r="71" spans="1:9" x14ac:dyDescent="0.25">
      <c r="A71" s="549">
        <v>12.128</v>
      </c>
      <c r="B71" s="338" t="s">
        <v>518</v>
      </c>
      <c r="C71" s="519" t="s">
        <v>259</v>
      </c>
      <c r="D71" s="519" t="s">
        <v>34</v>
      </c>
      <c r="E71" s="521" t="s">
        <v>44</v>
      </c>
      <c r="F71" s="551" t="s">
        <v>421</v>
      </c>
      <c r="G71" s="519"/>
      <c r="H71" s="519"/>
      <c r="I71" s="553"/>
    </row>
    <row r="72" spans="1:9" x14ac:dyDescent="0.25">
      <c r="A72" s="549">
        <v>12.13</v>
      </c>
      <c r="B72" s="338" t="s">
        <v>519</v>
      </c>
      <c r="C72" s="519" t="s">
        <v>259</v>
      </c>
      <c r="D72" s="519" t="s">
        <v>34</v>
      </c>
      <c r="E72" s="521" t="s">
        <v>44</v>
      </c>
      <c r="F72" s="551" t="s">
        <v>420</v>
      </c>
      <c r="G72" s="519" t="s">
        <v>467</v>
      </c>
      <c r="H72" s="519"/>
      <c r="I72" s="553"/>
    </row>
    <row r="73" spans="1:9" x14ac:dyDescent="0.25">
      <c r="A73" s="549">
        <v>12.132</v>
      </c>
      <c r="B73" s="338" t="s">
        <v>520</v>
      </c>
      <c r="C73" s="519" t="s">
        <v>259</v>
      </c>
      <c r="D73" s="519" t="s">
        <v>34</v>
      </c>
      <c r="E73" s="521" t="s">
        <v>44</v>
      </c>
      <c r="F73" s="551" t="s">
        <v>421</v>
      </c>
      <c r="G73" s="519"/>
      <c r="H73" s="519" t="s">
        <v>280</v>
      </c>
      <c r="I73" s="553"/>
    </row>
    <row r="74" spans="1:9" x14ac:dyDescent="0.25">
      <c r="A74" s="549">
        <v>12.132999999999999</v>
      </c>
      <c r="B74" s="338" t="s">
        <v>521</v>
      </c>
      <c r="C74" s="519" t="s">
        <v>259</v>
      </c>
      <c r="D74" s="519" t="s">
        <v>34</v>
      </c>
      <c r="E74" s="521" t="s">
        <v>44</v>
      </c>
      <c r="F74" s="551" t="s">
        <v>421</v>
      </c>
      <c r="G74" s="519"/>
      <c r="H74" s="519"/>
      <c r="I74" s="553"/>
    </row>
    <row r="75" spans="1:9" x14ac:dyDescent="0.25">
      <c r="A75" s="549">
        <v>12.134</v>
      </c>
      <c r="B75" s="338" t="s">
        <v>522</v>
      </c>
      <c r="C75" s="519" t="s">
        <v>259</v>
      </c>
      <c r="D75" s="519" t="s">
        <v>34</v>
      </c>
      <c r="E75" s="521" t="s">
        <v>44</v>
      </c>
      <c r="F75" s="551" t="s">
        <v>421</v>
      </c>
      <c r="G75" s="519"/>
      <c r="H75" s="519"/>
      <c r="I75" s="553"/>
    </row>
    <row r="76" spans="1:9" x14ac:dyDescent="0.25">
      <c r="A76" s="549">
        <v>12.138999999999999</v>
      </c>
      <c r="B76" s="338" t="s">
        <v>523</v>
      </c>
      <c r="C76" s="519" t="s">
        <v>259</v>
      </c>
      <c r="D76" s="519" t="s">
        <v>34</v>
      </c>
      <c r="E76" s="521" t="s">
        <v>44</v>
      </c>
      <c r="F76" s="551" t="s">
        <v>427</v>
      </c>
      <c r="G76" s="519"/>
      <c r="H76" s="519"/>
      <c r="I76" s="553"/>
    </row>
    <row r="77" spans="1:9" x14ac:dyDescent="0.25">
      <c r="A77" s="549">
        <v>12.141999999999999</v>
      </c>
      <c r="B77" s="338" t="s">
        <v>524</v>
      </c>
      <c r="C77" s="519" t="s">
        <v>259</v>
      </c>
      <c r="D77" s="519" t="s">
        <v>34</v>
      </c>
      <c r="E77" s="521" t="s">
        <v>39</v>
      </c>
      <c r="F77" s="551" t="s">
        <v>426</v>
      </c>
      <c r="G77" s="519"/>
      <c r="H77" s="519" t="s">
        <v>280</v>
      </c>
      <c r="I77" s="553"/>
    </row>
    <row r="78" spans="1:9" x14ac:dyDescent="0.25">
      <c r="A78" s="549">
        <v>12.143000000000001</v>
      </c>
      <c r="B78" s="338" t="s">
        <v>525</v>
      </c>
      <c r="C78" s="519" t="s">
        <v>259</v>
      </c>
      <c r="D78" s="519" t="s">
        <v>40</v>
      </c>
      <c r="E78" s="521" t="s">
        <v>44</v>
      </c>
      <c r="F78" s="551" t="s">
        <v>427</v>
      </c>
      <c r="G78" s="519"/>
      <c r="H78" s="519"/>
      <c r="I78" s="553" t="s">
        <v>332</v>
      </c>
    </row>
    <row r="79" spans="1:9" x14ac:dyDescent="0.25">
      <c r="A79" s="549">
        <v>12.146000000000001</v>
      </c>
      <c r="B79" s="338" t="s">
        <v>526</v>
      </c>
      <c r="C79" s="519" t="s">
        <v>259</v>
      </c>
      <c r="D79" s="519" t="s">
        <v>34</v>
      </c>
      <c r="E79" s="521" t="s">
        <v>44</v>
      </c>
      <c r="F79" s="551" t="s">
        <v>421</v>
      </c>
      <c r="G79" s="519"/>
      <c r="H79" s="519"/>
      <c r="I79" s="553"/>
    </row>
    <row r="80" spans="1:9" x14ac:dyDescent="0.25">
      <c r="A80" s="549">
        <v>12.148</v>
      </c>
      <c r="B80" s="338" t="s">
        <v>527</v>
      </c>
      <c r="C80" s="519" t="s">
        <v>259</v>
      </c>
      <c r="D80" s="519" t="s">
        <v>34</v>
      </c>
      <c r="E80" s="521" t="s">
        <v>44</v>
      </c>
      <c r="F80" s="551" t="s">
        <v>421</v>
      </c>
      <c r="G80" s="519"/>
      <c r="H80" s="519"/>
      <c r="I80" s="553"/>
    </row>
    <row r="81" spans="1:9" x14ac:dyDescent="0.25">
      <c r="A81" s="549">
        <v>12.15</v>
      </c>
      <c r="B81" s="338" t="s">
        <v>528</v>
      </c>
      <c r="C81" s="519" t="s">
        <v>259</v>
      </c>
      <c r="D81" s="519" t="s">
        <v>34</v>
      </c>
      <c r="E81" s="521" t="s">
        <v>44</v>
      </c>
      <c r="F81" s="551" t="s">
        <v>421</v>
      </c>
      <c r="G81" s="519"/>
      <c r="H81" s="519"/>
      <c r="I81" s="553"/>
    </row>
    <row r="82" spans="1:9" x14ac:dyDescent="0.25">
      <c r="A82" s="549">
        <v>12.151999999999999</v>
      </c>
      <c r="B82" s="338" t="s">
        <v>529</v>
      </c>
      <c r="C82" s="519" t="s">
        <v>259</v>
      </c>
      <c r="D82" s="519" t="s">
        <v>34</v>
      </c>
      <c r="E82" s="521" t="s">
        <v>44</v>
      </c>
      <c r="F82" s="551" t="s">
        <v>421</v>
      </c>
      <c r="G82" s="519"/>
      <c r="H82" s="519"/>
      <c r="I82" s="553"/>
    </row>
    <row r="83" spans="1:9" x14ac:dyDescent="0.25">
      <c r="A83" s="549">
        <v>12.157</v>
      </c>
      <c r="B83" s="338" t="s">
        <v>530</v>
      </c>
      <c r="C83" s="519" t="s">
        <v>280</v>
      </c>
      <c r="D83" s="519" t="s">
        <v>34</v>
      </c>
      <c r="E83" s="521" t="s">
        <v>44</v>
      </c>
      <c r="F83" s="551" t="s">
        <v>426</v>
      </c>
      <c r="G83" s="519"/>
      <c r="H83" s="519"/>
      <c r="I83" s="553"/>
    </row>
    <row r="84" spans="1:9" x14ac:dyDescent="0.25">
      <c r="A84" s="549">
        <v>12.159000000000001</v>
      </c>
      <c r="B84" s="338" t="s">
        <v>531</v>
      </c>
      <c r="C84" s="519" t="s">
        <v>259</v>
      </c>
      <c r="D84" s="519" t="s">
        <v>34</v>
      </c>
      <c r="E84" s="521" t="s">
        <v>44</v>
      </c>
      <c r="F84" s="551" t="s">
        <v>426</v>
      </c>
      <c r="G84" s="519"/>
      <c r="H84" s="519"/>
      <c r="I84" s="553"/>
    </row>
    <row r="85" spans="1:9" x14ac:dyDescent="0.25">
      <c r="A85" s="549">
        <v>12.16</v>
      </c>
      <c r="B85" s="338" t="s">
        <v>532</v>
      </c>
      <c r="C85" s="519" t="s">
        <v>280</v>
      </c>
      <c r="D85" s="519" t="s">
        <v>34</v>
      </c>
      <c r="E85" s="521" t="s">
        <v>44</v>
      </c>
      <c r="F85" s="551" t="s">
        <v>426</v>
      </c>
      <c r="G85" s="519"/>
      <c r="H85" s="519"/>
      <c r="I85" s="553"/>
    </row>
    <row r="86" spans="1:9" x14ac:dyDescent="0.25">
      <c r="A86" s="549">
        <v>12.162000000000001</v>
      </c>
      <c r="B86" s="338" t="s">
        <v>533</v>
      </c>
      <c r="C86" s="519" t="s">
        <v>259</v>
      </c>
      <c r="D86" s="519" t="s">
        <v>34</v>
      </c>
      <c r="E86" s="521" t="s">
        <v>39</v>
      </c>
      <c r="F86" s="551" t="s">
        <v>426</v>
      </c>
      <c r="G86" s="519"/>
      <c r="H86" s="519"/>
      <c r="I86" s="553"/>
    </row>
    <row r="87" spans="1:9" x14ac:dyDescent="0.25">
      <c r="A87" s="549">
        <v>12.163</v>
      </c>
      <c r="B87" s="338" t="s">
        <v>534</v>
      </c>
      <c r="C87" s="519" t="s">
        <v>280</v>
      </c>
      <c r="D87" s="519" t="s">
        <v>34</v>
      </c>
      <c r="E87" s="521" t="s">
        <v>44</v>
      </c>
      <c r="F87" s="551" t="s">
        <v>427</v>
      </c>
      <c r="G87" s="519"/>
      <c r="H87" s="519"/>
      <c r="I87" s="553"/>
    </row>
    <row r="88" spans="1:9" x14ac:dyDescent="0.25">
      <c r="A88" s="549">
        <v>12.164</v>
      </c>
      <c r="B88" s="338" t="s">
        <v>535</v>
      </c>
      <c r="C88" s="519" t="s">
        <v>259</v>
      </c>
      <c r="D88" s="519" t="s">
        <v>34</v>
      </c>
      <c r="E88" s="521" t="s">
        <v>44</v>
      </c>
      <c r="F88" s="551" t="s">
        <v>425</v>
      </c>
      <c r="G88" s="519"/>
      <c r="H88" s="519" t="s">
        <v>280</v>
      </c>
      <c r="I88" s="553"/>
    </row>
    <row r="89" spans="1:9" x14ac:dyDescent="0.25">
      <c r="A89" s="549">
        <v>12.164999999999999</v>
      </c>
      <c r="B89" s="338" t="s">
        <v>536</v>
      </c>
      <c r="C89" s="519" t="s">
        <v>259</v>
      </c>
      <c r="D89" s="519" t="s">
        <v>34</v>
      </c>
      <c r="E89" s="521" t="s">
        <v>44</v>
      </c>
      <c r="F89" s="551" t="s">
        <v>425</v>
      </c>
      <c r="G89" s="519"/>
      <c r="H89" s="519" t="s">
        <v>280</v>
      </c>
      <c r="I89" s="553"/>
    </row>
    <row r="90" spans="1:9" x14ac:dyDescent="0.25">
      <c r="A90" s="549">
        <v>12.167</v>
      </c>
      <c r="B90" s="338" t="s">
        <v>537</v>
      </c>
      <c r="C90" s="519" t="s">
        <v>259</v>
      </c>
      <c r="D90" s="519" t="s">
        <v>34</v>
      </c>
      <c r="E90" s="521" t="s">
        <v>44</v>
      </c>
      <c r="F90" s="551" t="s">
        <v>425</v>
      </c>
      <c r="G90" s="519"/>
      <c r="H90" s="519"/>
      <c r="I90" s="553"/>
    </row>
    <row r="91" spans="1:9" x14ac:dyDescent="0.25">
      <c r="A91" s="549">
        <v>12.167999999999999</v>
      </c>
      <c r="B91" s="338" t="s">
        <v>538</v>
      </c>
      <c r="C91" s="519" t="s">
        <v>259</v>
      </c>
      <c r="D91" s="519" t="s">
        <v>34</v>
      </c>
      <c r="E91" s="521" t="s">
        <v>44</v>
      </c>
      <c r="F91" s="551" t="s">
        <v>425</v>
      </c>
      <c r="G91" s="519"/>
      <c r="H91" s="519"/>
      <c r="I91" s="553"/>
    </row>
    <row r="92" spans="1:9" x14ac:dyDescent="0.25">
      <c r="A92" s="549">
        <v>12.173999999999999</v>
      </c>
      <c r="B92" s="338" t="s">
        <v>539</v>
      </c>
      <c r="C92" s="519" t="s">
        <v>259</v>
      </c>
      <c r="D92" s="519" t="s">
        <v>34</v>
      </c>
      <c r="E92" s="521" t="s">
        <v>44</v>
      </c>
      <c r="F92" s="551" t="s">
        <v>421</v>
      </c>
      <c r="G92" s="519"/>
      <c r="H92" s="519"/>
      <c r="I92" s="553"/>
    </row>
    <row r="93" spans="1:9" x14ac:dyDescent="0.25">
      <c r="A93" s="549">
        <v>12.175000000000001</v>
      </c>
      <c r="B93" s="338" t="s">
        <v>540</v>
      </c>
      <c r="C93" s="519" t="s">
        <v>259</v>
      </c>
      <c r="D93" s="519" t="s">
        <v>34</v>
      </c>
      <c r="E93" s="521" t="s">
        <v>44</v>
      </c>
      <c r="F93" s="551" t="s">
        <v>421</v>
      </c>
      <c r="G93" s="519"/>
      <c r="H93" s="519"/>
      <c r="I93" s="553"/>
    </row>
    <row r="94" spans="1:9" x14ac:dyDescent="0.25">
      <c r="A94" s="549">
        <v>12.183999999999999</v>
      </c>
      <c r="B94" s="338" t="s">
        <v>541</v>
      </c>
      <c r="C94" s="519" t="s">
        <v>259</v>
      </c>
      <c r="D94" s="519" t="s">
        <v>34</v>
      </c>
      <c r="E94" s="521" t="s">
        <v>44</v>
      </c>
      <c r="F94" s="551" t="s">
        <v>420</v>
      </c>
      <c r="G94" s="519"/>
      <c r="H94" s="519" t="s">
        <v>259</v>
      </c>
      <c r="I94" s="553"/>
    </row>
    <row r="95" spans="1:9" x14ac:dyDescent="0.25">
      <c r="A95" s="549">
        <v>12.185</v>
      </c>
      <c r="B95" s="338" t="s">
        <v>542</v>
      </c>
      <c r="C95" s="519" t="s">
        <v>259</v>
      </c>
      <c r="D95" s="519" t="s">
        <v>34</v>
      </c>
      <c r="E95" s="521" t="s">
        <v>44</v>
      </c>
      <c r="F95" s="551" t="s">
        <v>420</v>
      </c>
      <c r="G95" s="519"/>
      <c r="H95" s="519"/>
      <c r="I95" s="553"/>
    </row>
    <row r="96" spans="1:9" x14ac:dyDescent="0.25">
      <c r="A96" s="549">
        <v>12.186</v>
      </c>
      <c r="B96" s="338" t="s">
        <v>543</v>
      </c>
      <c r="C96" s="519" t="s">
        <v>259</v>
      </c>
      <c r="D96" s="519" t="s">
        <v>34</v>
      </c>
      <c r="E96" s="521" t="s">
        <v>44</v>
      </c>
      <c r="F96" s="551" t="s">
        <v>426</v>
      </c>
      <c r="G96" s="519"/>
      <c r="H96" s="519"/>
      <c r="I96" s="553"/>
    </row>
    <row r="97" spans="1:9" x14ac:dyDescent="0.25">
      <c r="A97" s="549">
        <v>12.188000000000001</v>
      </c>
      <c r="B97" s="338" t="s">
        <v>544</v>
      </c>
      <c r="C97" s="519" t="s">
        <v>259</v>
      </c>
      <c r="D97" s="519" t="s">
        <v>34</v>
      </c>
      <c r="E97" s="521" t="s">
        <v>44</v>
      </c>
      <c r="F97" s="551" t="s">
        <v>426</v>
      </c>
      <c r="G97" s="519"/>
      <c r="H97" s="519"/>
      <c r="I97" s="553"/>
    </row>
    <row r="98" spans="1:9" x14ac:dyDescent="0.25">
      <c r="A98" s="549">
        <v>12.191000000000001</v>
      </c>
      <c r="B98" s="338" t="s">
        <v>545</v>
      </c>
      <c r="C98" s="519" t="s">
        <v>259</v>
      </c>
      <c r="D98" s="519" t="s">
        <v>34</v>
      </c>
      <c r="E98" s="521" t="s">
        <v>44</v>
      </c>
      <c r="F98" s="551" t="s">
        <v>426</v>
      </c>
      <c r="G98" s="519"/>
      <c r="H98" s="519"/>
      <c r="I98" s="553"/>
    </row>
    <row r="99" spans="1:9" x14ac:dyDescent="0.25">
      <c r="A99" s="549">
        <v>12.192</v>
      </c>
      <c r="B99" s="338" t="s">
        <v>546</v>
      </c>
      <c r="C99" s="519" t="s">
        <v>280</v>
      </c>
      <c r="D99" s="519" t="s">
        <v>47</v>
      </c>
      <c r="E99" s="521" t="s">
        <v>44</v>
      </c>
      <c r="F99" s="551" t="s">
        <v>420</v>
      </c>
      <c r="G99" s="519"/>
      <c r="H99" s="519"/>
      <c r="I99" s="553" t="s">
        <v>327</v>
      </c>
    </row>
    <row r="100" spans="1:9" x14ac:dyDescent="0.25">
      <c r="A100" s="549">
        <v>12.193</v>
      </c>
      <c r="B100" s="338" t="s">
        <v>547</v>
      </c>
      <c r="C100" s="519" t="s">
        <v>259</v>
      </c>
      <c r="D100" s="519" t="s">
        <v>34</v>
      </c>
      <c r="E100" s="521" t="s">
        <v>44</v>
      </c>
      <c r="F100" s="551" t="s">
        <v>420</v>
      </c>
      <c r="G100" s="519"/>
      <c r="H100" s="519" t="s">
        <v>280</v>
      </c>
      <c r="I100" s="553"/>
    </row>
    <row r="101" spans="1:9" x14ac:dyDescent="0.25">
      <c r="A101" s="549">
        <v>12.196999999999999</v>
      </c>
      <c r="B101" s="338" t="s">
        <v>548</v>
      </c>
      <c r="C101" s="519" t="s">
        <v>280</v>
      </c>
      <c r="D101" s="519" t="s">
        <v>34</v>
      </c>
      <c r="E101" s="521" t="s">
        <v>44</v>
      </c>
      <c r="F101" s="551" t="s">
        <v>427</v>
      </c>
      <c r="G101" s="519"/>
      <c r="H101" s="519"/>
      <c r="I101" s="553"/>
    </row>
    <row r="102" spans="1:9" x14ac:dyDescent="0.25">
      <c r="A102" s="549">
        <v>12.201000000000001</v>
      </c>
      <c r="B102" s="338" t="s">
        <v>549</v>
      </c>
      <c r="C102" s="519" t="s">
        <v>259</v>
      </c>
      <c r="D102" s="519" t="s">
        <v>34</v>
      </c>
      <c r="E102" s="521" t="s">
        <v>44</v>
      </c>
      <c r="F102" s="551" t="s">
        <v>427</v>
      </c>
      <c r="G102" s="519" t="s">
        <v>467</v>
      </c>
      <c r="H102" s="519"/>
      <c r="I102" s="553"/>
    </row>
    <row r="103" spans="1:9" x14ac:dyDescent="0.25">
      <c r="A103" s="549">
        <v>12.202</v>
      </c>
      <c r="B103" s="338" t="s">
        <v>550</v>
      </c>
      <c r="C103" s="519" t="s">
        <v>259</v>
      </c>
      <c r="D103" s="519" t="s">
        <v>34</v>
      </c>
      <c r="E103" s="521" t="s">
        <v>44</v>
      </c>
      <c r="F103" s="551" t="s">
        <v>427</v>
      </c>
      <c r="G103" s="519" t="s">
        <v>467</v>
      </c>
      <c r="H103" s="519"/>
      <c r="I103" s="553"/>
    </row>
    <row r="104" spans="1:9" x14ac:dyDescent="0.25">
      <c r="A104" s="549">
        <v>12.206</v>
      </c>
      <c r="B104" s="338" t="s">
        <v>551</v>
      </c>
      <c r="C104" s="519" t="s">
        <v>259</v>
      </c>
      <c r="D104" s="519" t="s">
        <v>34</v>
      </c>
      <c r="E104" s="521" t="s">
        <v>44</v>
      </c>
      <c r="F104" s="551" t="s">
        <v>421</v>
      </c>
      <c r="G104" s="519"/>
      <c r="H104" s="519"/>
      <c r="I104" s="553" t="s">
        <v>336</v>
      </c>
    </row>
    <row r="105" spans="1:9" x14ac:dyDescent="0.25">
      <c r="A105" s="549">
        <v>12.208</v>
      </c>
      <c r="B105" s="338" t="s">
        <v>552</v>
      </c>
      <c r="C105" s="519" t="s">
        <v>280</v>
      </c>
      <c r="D105" s="519" t="s">
        <v>34</v>
      </c>
      <c r="E105" s="521" t="s">
        <v>44</v>
      </c>
      <c r="F105" s="551" t="s">
        <v>426</v>
      </c>
      <c r="G105" s="519"/>
      <c r="H105" s="519"/>
      <c r="I105" s="553"/>
    </row>
    <row r="106" spans="1:9" x14ac:dyDescent="0.25">
      <c r="A106" s="549">
        <v>12.209</v>
      </c>
      <c r="B106" s="338" t="s">
        <v>553</v>
      </c>
      <c r="C106" s="519" t="s">
        <v>259</v>
      </c>
      <c r="D106" s="519" t="s">
        <v>34</v>
      </c>
      <c r="E106" s="521" t="s">
        <v>44</v>
      </c>
      <c r="F106" s="551" t="s">
        <v>426</v>
      </c>
      <c r="G106" s="519"/>
      <c r="H106" s="519"/>
      <c r="I106" s="553"/>
    </row>
    <row r="107" spans="1:9" x14ac:dyDescent="0.25">
      <c r="A107" s="549">
        <v>12.21</v>
      </c>
      <c r="B107" s="338" t="s">
        <v>554</v>
      </c>
      <c r="C107" s="519" t="s">
        <v>259</v>
      </c>
      <c r="D107" s="519" t="s">
        <v>34</v>
      </c>
      <c r="E107" s="521" t="s">
        <v>44</v>
      </c>
      <c r="F107" s="551" t="s">
        <v>420</v>
      </c>
      <c r="G107" s="519"/>
      <c r="H107" s="519"/>
      <c r="I107" s="553"/>
    </row>
    <row r="108" spans="1:9" x14ac:dyDescent="0.25">
      <c r="A108" s="549">
        <v>12.211</v>
      </c>
      <c r="B108" s="338" t="s">
        <v>555</v>
      </c>
      <c r="C108" s="519" t="s">
        <v>259</v>
      </c>
      <c r="D108" s="519" t="s">
        <v>34</v>
      </c>
      <c r="E108" s="521" t="s">
        <v>44</v>
      </c>
      <c r="F108" s="551" t="s">
        <v>420</v>
      </c>
      <c r="G108" s="519"/>
      <c r="H108" s="519"/>
      <c r="I108" s="553"/>
    </row>
    <row r="109" spans="1:9" x14ac:dyDescent="0.25">
      <c r="A109" s="549">
        <v>12.212999999999999</v>
      </c>
      <c r="B109" s="338" t="s">
        <v>556</v>
      </c>
      <c r="C109" s="519" t="s">
        <v>259</v>
      </c>
      <c r="D109" s="519" t="s">
        <v>47</v>
      </c>
      <c r="E109" s="521" t="s">
        <v>44</v>
      </c>
      <c r="F109" s="551" t="s">
        <v>423</v>
      </c>
      <c r="G109" s="519"/>
      <c r="H109" s="519"/>
      <c r="I109" s="553" t="s">
        <v>340</v>
      </c>
    </row>
    <row r="110" spans="1:9" x14ac:dyDescent="0.25">
      <c r="A110" s="549">
        <v>12.214</v>
      </c>
      <c r="B110" s="338" t="s">
        <v>557</v>
      </c>
      <c r="C110" s="519" t="s">
        <v>259</v>
      </c>
      <c r="D110" s="519" t="s">
        <v>34</v>
      </c>
      <c r="E110" s="521" t="s">
        <v>44</v>
      </c>
      <c r="F110" s="551" t="s">
        <v>423</v>
      </c>
      <c r="G110" s="519"/>
      <c r="H110" s="519"/>
      <c r="I110" s="553" t="s">
        <v>336</v>
      </c>
    </row>
    <row r="111" spans="1:9" x14ac:dyDescent="0.25">
      <c r="A111" s="549">
        <v>12.215999999999999</v>
      </c>
      <c r="B111" s="338" t="s">
        <v>558</v>
      </c>
      <c r="C111" s="519" t="s">
        <v>259</v>
      </c>
      <c r="D111" s="519" t="s">
        <v>45</v>
      </c>
      <c r="E111" s="521" t="s">
        <v>44</v>
      </c>
      <c r="F111" s="551" t="s">
        <v>421</v>
      </c>
      <c r="G111" s="519"/>
      <c r="H111" s="519"/>
      <c r="I111" s="553" t="s">
        <v>341</v>
      </c>
    </row>
    <row r="112" spans="1:9" x14ac:dyDescent="0.25">
      <c r="A112" s="549">
        <v>12.218999999999999</v>
      </c>
      <c r="B112" s="338" t="s">
        <v>559</v>
      </c>
      <c r="C112" s="519" t="s">
        <v>259</v>
      </c>
      <c r="D112" s="519" t="s">
        <v>34</v>
      </c>
      <c r="E112" s="521" t="s">
        <v>44</v>
      </c>
      <c r="F112" s="551" t="s">
        <v>423</v>
      </c>
      <c r="G112" s="519"/>
      <c r="H112" s="519"/>
      <c r="I112" s="553"/>
    </row>
    <row r="113" spans="1:9" x14ac:dyDescent="0.25">
      <c r="A113" s="549">
        <v>12.22</v>
      </c>
      <c r="B113" s="338" t="s">
        <v>560</v>
      </c>
      <c r="C113" s="519" t="s">
        <v>259</v>
      </c>
      <c r="D113" s="519" t="s">
        <v>34</v>
      </c>
      <c r="E113" s="521" t="s">
        <v>44</v>
      </c>
      <c r="F113" s="551" t="s">
        <v>423</v>
      </c>
      <c r="G113" s="519"/>
      <c r="H113" s="519"/>
      <c r="I113" s="553"/>
    </row>
    <row r="114" spans="1:9" x14ac:dyDescent="0.25">
      <c r="A114" s="549">
        <v>12.221</v>
      </c>
      <c r="B114" s="338" t="s">
        <v>561</v>
      </c>
      <c r="C114" s="519" t="s">
        <v>259</v>
      </c>
      <c r="D114" s="519" t="s">
        <v>34</v>
      </c>
      <c r="E114" s="521" t="s">
        <v>44</v>
      </c>
      <c r="F114" s="551" t="s">
        <v>421</v>
      </c>
      <c r="G114" s="519"/>
      <c r="H114" s="519"/>
      <c r="I114" s="553"/>
    </row>
    <row r="115" spans="1:9" x14ac:dyDescent="0.25">
      <c r="A115" s="549">
        <v>12.223000000000001</v>
      </c>
      <c r="B115" s="338" t="s">
        <v>562</v>
      </c>
      <c r="C115" s="519" t="s">
        <v>259</v>
      </c>
      <c r="D115" s="519" t="s">
        <v>34</v>
      </c>
      <c r="E115" s="521" t="s">
        <v>44</v>
      </c>
      <c r="F115" s="551" t="s">
        <v>425</v>
      </c>
      <c r="G115" s="519"/>
      <c r="H115" s="519"/>
      <c r="I115" s="553"/>
    </row>
    <row r="116" spans="1:9" x14ac:dyDescent="0.25">
      <c r="A116" s="549">
        <v>12.224</v>
      </c>
      <c r="B116" s="338" t="s">
        <v>563</v>
      </c>
      <c r="C116" s="519" t="s">
        <v>259</v>
      </c>
      <c r="D116" s="519" t="s">
        <v>34</v>
      </c>
      <c r="E116" s="521" t="s">
        <v>44</v>
      </c>
      <c r="F116" s="551" t="s">
        <v>425</v>
      </c>
      <c r="G116" s="519"/>
      <c r="H116" s="519"/>
      <c r="I116" s="553"/>
    </row>
    <row r="117" spans="1:9" x14ac:dyDescent="0.25">
      <c r="A117" s="549">
        <v>12.225</v>
      </c>
      <c r="B117" s="338" t="s">
        <v>564</v>
      </c>
      <c r="C117" s="519" t="s">
        <v>259</v>
      </c>
      <c r="D117" s="519" t="s">
        <v>34</v>
      </c>
      <c r="E117" s="521" t="s">
        <v>44</v>
      </c>
      <c r="F117" s="551" t="s">
        <v>425</v>
      </c>
      <c r="G117" s="519"/>
      <c r="H117" s="519"/>
      <c r="I117" s="553"/>
    </row>
    <row r="118" spans="1:9" x14ac:dyDescent="0.25">
      <c r="A118" s="549">
        <v>12.233000000000001</v>
      </c>
      <c r="B118" s="338" t="s">
        <v>565</v>
      </c>
      <c r="C118" s="519" t="s">
        <v>280</v>
      </c>
      <c r="D118" s="519" t="s">
        <v>45</v>
      </c>
      <c r="E118" s="521" t="s">
        <v>44</v>
      </c>
      <c r="F118" s="551" t="s">
        <v>421</v>
      </c>
      <c r="G118" s="519"/>
      <c r="H118" s="519"/>
      <c r="I118" s="553" t="s">
        <v>344</v>
      </c>
    </row>
    <row r="119" spans="1:9" x14ac:dyDescent="0.25">
      <c r="A119" s="549">
        <v>12.234999999999999</v>
      </c>
      <c r="B119" s="338" t="s">
        <v>566</v>
      </c>
      <c r="C119" s="519" t="s">
        <v>280</v>
      </c>
      <c r="D119" s="519" t="s">
        <v>34</v>
      </c>
      <c r="E119" s="521" t="s">
        <v>44</v>
      </c>
      <c r="F119" s="551" t="s">
        <v>421</v>
      </c>
      <c r="G119" s="519"/>
      <c r="H119" s="519"/>
      <c r="I119" s="553" t="s">
        <v>567</v>
      </c>
    </row>
    <row r="120" spans="1:9" x14ac:dyDescent="0.25">
      <c r="A120" s="549">
        <v>12.236000000000001</v>
      </c>
      <c r="B120" s="338" t="s">
        <v>568</v>
      </c>
      <c r="C120" s="519" t="s">
        <v>259</v>
      </c>
      <c r="D120" s="519" t="s">
        <v>34</v>
      </c>
      <c r="E120" s="521" t="s">
        <v>44</v>
      </c>
      <c r="F120" s="551" t="s">
        <v>421</v>
      </c>
      <c r="G120" s="519"/>
      <c r="H120" s="519"/>
      <c r="I120" s="553" t="s">
        <v>569</v>
      </c>
    </row>
    <row r="121" spans="1:9" x14ac:dyDescent="0.25">
      <c r="A121" s="549">
        <v>12.239000000000001</v>
      </c>
      <c r="B121" s="338" t="s">
        <v>570</v>
      </c>
      <c r="C121" s="519" t="s">
        <v>280</v>
      </c>
      <c r="D121" s="519" t="s">
        <v>45</v>
      </c>
      <c r="E121" s="521" t="s">
        <v>44</v>
      </c>
      <c r="F121" s="551" t="s">
        <v>421</v>
      </c>
      <c r="G121" s="519"/>
      <c r="H121" s="519"/>
      <c r="I121" s="553" t="s">
        <v>345</v>
      </c>
    </row>
    <row r="122" spans="1:9" x14ac:dyDescent="0.25">
      <c r="A122" s="549">
        <v>12.247</v>
      </c>
      <c r="B122" s="338" t="s">
        <v>571</v>
      </c>
      <c r="C122" s="519" t="s">
        <v>259</v>
      </c>
      <c r="D122" s="519" t="s">
        <v>34</v>
      </c>
      <c r="E122" s="521" t="s">
        <v>44</v>
      </c>
      <c r="F122" s="551" t="s">
        <v>423</v>
      </c>
      <c r="G122" s="519"/>
      <c r="H122" s="519"/>
      <c r="I122" s="553"/>
    </row>
    <row r="123" spans="1:9" x14ac:dyDescent="0.25">
      <c r="A123" s="549">
        <v>12.253</v>
      </c>
      <c r="B123" s="338" t="s">
        <v>572</v>
      </c>
      <c r="C123" s="519" t="s">
        <v>259</v>
      </c>
      <c r="D123" s="519" t="s">
        <v>47</v>
      </c>
      <c r="E123" s="521" t="s">
        <v>44</v>
      </c>
      <c r="F123" s="551" t="s">
        <v>421</v>
      </c>
      <c r="G123" s="519"/>
      <c r="H123" s="519"/>
      <c r="I123" s="553" t="s">
        <v>347</v>
      </c>
    </row>
    <row r="124" spans="1:9" x14ac:dyDescent="0.25">
      <c r="A124" s="549">
        <v>12.255000000000001</v>
      </c>
      <c r="B124" s="338" t="s">
        <v>573</v>
      </c>
      <c r="C124" s="519" t="s">
        <v>259</v>
      </c>
      <c r="D124" s="519" t="s">
        <v>47</v>
      </c>
      <c r="E124" s="521" t="s">
        <v>44</v>
      </c>
      <c r="F124" s="551" t="s">
        <v>421</v>
      </c>
      <c r="G124" s="519"/>
      <c r="H124" s="519" t="s">
        <v>280</v>
      </c>
      <c r="I124" s="553" t="s">
        <v>347</v>
      </c>
    </row>
    <row r="125" spans="1:9" x14ac:dyDescent="0.25">
      <c r="A125" s="549">
        <v>12.263</v>
      </c>
      <c r="B125" s="338" t="s">
        <v>574</v>
      </c>
      <c r="C125" s="519" t="s">
        <v>259</v>
      </c>
      <c r="D125" s="519" t="s">
        <v>47</v>
      </c>
      <c r="E125" s="521" t="s">
        <v>44</v>
      </c>
      <c r="F125" s="551" t="s">
        <v>421</v>
      </c>
      <c r="G125" s="519"/>
      <c r="H125" s="519"/>
      <c r="I125" s="553" t="s">
        <v>347</v>
      </c>
    </row>
    <row r="126" spans="1:9" x14ac:dyDescent="0.25">
      <c r="A126" s="549">
        <v>12.266</v>
      </c>
      <c r="B126" s="338" t="s">
        <v>575</v>
      </c>
      <c r="C126" s="519" t="s">
        <v>259</v>
      </c>
      <c r="D126" s="519" t="s">
        <v>34</v>
      </c>
      <c r="E126" s="521" t="s">
        <v>44</v>
      </c>
      <c r="F126" s="551" t="s">
        <v>421</v>
      </c>
      <c r="G126" s="519"/>
      <c r="H126" s="519"/>
      <c r="I126" s="553"/>
    </row>
    <row r="127" spans="1:9" x14ac:dyDescent="0.25">
      <c r="A127" s="549">
        <v>12.27</v>
      </c>
      <c r="B127" s="338" t="s">
        <v>576</v>
      </c>
      <c r="C127" s="519" t="s">
        <v>259</v>
      </c>
      <c r="D127" s="519" t="s">
        <v>34</v>
      </c>
      <c r="E127" s="521" t="s">
        <v>44</v>
      </c>
      <c r="F127" s="551" t="s">
        <v>421</v>
      </c>
      <c r="G127" s="519" t="s">
        <v>467</v>
      </c>
      <c r="H127" s="519" t="s">
        <v>280</v>
      </c>
      <c r="I127" s="553"/>
    </row>
    <row r="128" spans="1:9" x14ac:dyDescent="0.25">
      <c r="A128" s="549">
        <v>12.276</v>
      </c>
      <c r="B128" s="338" t="s">
        <v>577</v>
      </c>
      <c r="C128" s="519" t="s">
        <v>259</v>
      </c>
      <c r="D128" s="519" t="s">
        <v>34</v>
      </c>
      <c r="E128" s="521" t="s">
        <v>44</v>
      </c>
      <c r="F128" s="551" t="s">
        <v>426</v>
      </c>
      <c r="G128" s="519"/>
      <c r="H128" s="519"/>
      <c r="I128" s="553"/>
    </row>
    <row r="129" spans="1:9" ht="15" customHeight="1" x14ac:dyDescent="0.25">
      <c r="A129" s="549">
        <v>12.276999999999999</v>
      </c>
      <c r="B129" s="338" t="s">
        <v>578</v>
      </c>
      <c r="C129" s="519" t="s">
        <v>280</v>
      </c>
      <c r="D129" s="519" t="s">
        <v>34</v>
      </c>
      <c r="E129" s="521" t="s">
        <v>44</v>
      </c>
      <c r="F129" s="551" t="s">
        <v>426</v>
      </c>
      <c r="G129" s="519"/>
      <c r="H129" s="519"/>
      <c r="I129" s="553"/>
    </row>
    <row r="130" spans="1:9" x14ac:dyDescent="0.25">
      <c r="A130" s="549">
        <v>12.278</v>
      </c>
      <c r="B130" s="338" t="s">
        <v>579</v>
      </c>
      <c r="C130" s="519" t="s">
        <v>259</v>
      </c>
      <c r="D130" s="519" t="s">
        <v>34</v>
      </c>
      <c r="E130" s="521" t="s">
        <v>44</v>
      </c>
      <c r="F130" s="551" t="s">
        <v>420</v>
      </c>
      <c r="G130" s="519"/>
      <c r="H130" s="519" t="s">
        <v>280</v>
      </c>
      <c r="I130" s="553"/>
    </row>
    <row r="131" spans="1:9" x14ac:dyDescent="0.25">
      <c r="A131" s="549">
        <v>12.28</v>
      </c>
      <c r="B131" s="338" t="s">
        <v>580</v>
      </c>
      <c r="C131" s="519" t="s">
        <v>259</v>
      </c>
      <c r="D131" s="519" t="s">
        <v>34</v>
      </c>
      <c r="E131" s="521" t="s">
        <v>44</v>
      </c>
      <c r="F131" s="551" t="s">
        <v>420</v>
      </c>
      <c r="G131" s="519"/>
      <c r="H131" s="519" t="s">
        <v>280</v>
      </c>
      <c r="I131" s="553"/>
    </row>
    <row r="132" spans="1:9" ht="66.75" customHeight="1" x14ac:dyDescent="0.25">
      <c r="A132" s="549">
        <v>12.281000000000001</v>
      </c>
      <c r="B132" s="338" t="s">
        <v>581</v>
      </c>
      <c r="C132" s="519" t="s">
        <v>259</v>
      </c>
      <c r="D132" s="519" t="s">
        <v>34</v>
      </c>
      <c r="E132" s="521" t="s">
        <v>44</v>
      </c>
      <c r="F132" s="551" t="s">
        <v>420</v>
      </c>
      <c r="G132" s="519"/>
      <c r="H132" s="519" t="s">
        <v>280</v>
      </c>
      <c r="I132" s="553"/>
    </row>
    <row r="133" spans="1:9" x14ac:dyDescent="0.25">
      <c r="A133" s="549">
        <v>12.282</v>
      </c>
      <c r="B133" s="338" t="s">
        <v>582</v>
      </c>
      <c r="C133" s="519" t="s">
        <v>259</v>
      </c>
      <c r="D133" s="519" t="s">
        <v>34</v>
      </c>
      <c r="E133" s="521" t="s">
        <v>44</v>
      </c>
      <c r="F133" s="551" t="s">
        <v>423</v>
      </c>
      <c r="G133" s="519"/>
      <c r="H133" s="519"/>
      <c r="I133" s="553"/>
    </row>
    <row r="134" spans="1:9" x14ac:dyDescent="0.25">
      <c r="A134" s="549">
        <v>12.284000000000001</v>
      </c>
      <c r="B134" s="338" t="s">
        <v>583</v>
      </c>
      <c r="C134" s="519" t="s">
        <v>280</v>
      </c>
      <c r="D134" s="519" t="s">
        <v>40</v>
      </c>
      <c r="E134" s="521" t="s">
        <v>44</v>
      </c>
      <c r="F134" s="551" t="s">
        <v>428</v>
      </c>
      <c r="G134" s="519"/>
      <c r="H134" s="519"/>
      <c r="I134" s="553" t="s">
        <v>356</v>
      </c>
    </row>
    <row r="135" spans="1:9" x14ac:dyDescent="0.25">
      <c r="A135" s="549">
        <v>12.285</v>
      </c>
      <c r="B135" s="338" t="s">
        <v>584</v>
      </c>
      <c r="C135" s="519" t="s">
        <v>280</v>
      </c>
      <c r="D135" s="519" t="s">
        <v>40</v>
      </c>
      <c r="E135" s="521" t="s">
        <v>44</v>
      </c>
      <c r="F135" s="551" t="s">
        <v>420</v>
      </c>
      <c r="G135" s="519"/>
      <c r="H135" s="519"/>
      <c r="I135" s="553" t="s">
        <v>327</v>
      </c>
    </row>
    <row r="136" spans="1:9" x14ac:dyDescent="0.25">
      <c r="A136" s="549">
        <v>12.286</v>
      </c>
      <c r="B136" s="338" t="s">
        <v>585</v>
      </c>
      <c r="C136" s="519" t="s">
        <v>259</v>
      </c>
      <c r="D136" s="519" t="s">
        <v>40</v>
      </c>
      <c r="E136" s="521" t="s">
        <v>44</v>
      </c>
      <c r="F136" s="551" t="s">
        <v>423</v>
      </c>
      <c r="G136" s="519"/>
      <c r="H136" s="519"/>
      <c r="I136" s="553" t="s">
        <v>327</v>
      </c>
    </row>
    <row r="137" spans="1:9" x14ac:dyDescent="0.25">
      <c r="A137" s="549">
        <v>12.287000000000001</v>
      </c>
      <c r="B137" s="338" t="s">
        <v>586</v>
      </c>
      <c r="C137" s="519" t="s">
        <v>259</v>
      </c>
      <c r="D137" s="519" t="s">
        <v>47</v>
      </c>
      <c r="E137" s="521" t="s">
        <v>44</v>
      </c>
      <c r="F137" s="551" t="s">
        <v>420</v>
      </c>
      <c r="G137" s="519"/>
      <c r="H137" s="519"/>
      <c r="I137" s="553" t="s">
        <v>327</v>
      </c>
    </row>
    <row r="138" spans="1:9" x14ac:dyDescent="0.25">
      <c r="A138" s="549">
        <v>12.291</v>
      </c>
      <c r="B138" s="338" t="s">
        <v>587</v>
      </c>
      <c r="C138" s="519" t="s">
        <v>280</v>
      </c>
      <c r="D138" s="519" t="s">
        <v>47</v>
      </c>
      <c r="E138" s="521" t="s">
        <v>44</v>
      </c>
      <c r="F138" s="551" t="s">
        <v>421</v>
      </c>
      <c r="G138" s="519"/>
      <c r="H138" s="519"/>
      <c r="I138" s="553" t="s">
        <v>327</v>
      </c>
    </row>
    <row r="139" spans="1:9" x14ac:dyDescent="0.25">
      <c r="A139" s="549">
        <v>12.292</v>
      </c>
      <c r="B139" s="338" t="s">
        <v>588</v>
      </c>
      <c r="C139" s="519" t="s">
        <v>259</v>
      </c>
      <c r="D139" s="519" t="s">
        <v>34</v>
      </c>
      <c r="E139" s="521" t="s">
        <v>44</v>
      </c>
      <c r="F139" s="551" t="s">
        <v>423</v>
      </c>
      <c r="G139" s="519"/>
      <c r="H139" s="519"/>
      <c r="I139" s="553"/>
    </row>
    <row r="140" spans="1:9" x14ac:dyDescent="0.25">
      <c r="A140" s="549">
        <v>12.294</v>
      </c>
      <c r="B140" s="338" t="s">
        <v>589</v>
      </c>
      <c r="C140" s="519" t="s">
        <v>259</v>
      </c>
      <c r="D140" s="519" t="s">
        <v>34</v>
      </c>
      <c r="E140" s="521" t="s">
        <v>44</v>
      </c>
      <c r="F140" s="551" t="s">
        <v>427</v>
      </c>
      <c r="G140" s="519"/>
      <c r="H140" s="519"/>
      <c r="I140" s="553"/>
    </row>
    <row r="141" spans="1:9" x14ac:dyDescent="0.25">
      <c r="A141" s="549">
        <v>12.298999999999999</v>
      </c>
      <c r="B141" s="338" t="s">
        <v>590</v>
      </c>
      <c r="C141" s="519" t="s">
        <v>280</v>
      </c>
      <c r="D141" s="519" t="s">
        <v>34</v>
      </c>
      <c r="E141" s="521" t="s">
        <v>44</v>
      </c>
      <c r="F141" s="551" t="s">
        <v>421</v>
      </c>
      <c r="G141" s="519"/>
      <c r="H141" s="519"/>
      <c r="I141" s="553" t="s">
        <v>591</v>
      </c>
    </row>
    <row r="142" spans="1:9" x14ac:dyDescent="0.25">
      <c r="A142" s="549">
        <v>12.3</v>
      </c>
      <c r="B142" s="338" t="s">
        <v>592</v>
      </c>
      <c r="C142" s="519" t="s">
        <v>280</v>
      </c>
      <c r="D142" s="519" t="s">
        <v>34</v>
      </c>
      <c r="E142" s="521" t="s">
        <v>44</v>
      </c>
      <c r="F142" s="551" t="s">
        <v>421</v>
      </c>
      <c r="G142" s="519"/>
      <c r="H142" s="519"/>
      <c r="I142" s="553"/>
    </row>
    <row r="143" spans="1:9" x14ac:dyDescent="0.25">
      <c r="A143" s="549">
        <v>12.301</v>
      </c>
      <c r="B143" s="338" t="s">
        <v>593</v>
      </c>
      <c r="C143" s="519" t="s">
        <v>280</v>
      </c>
      <c r="D143" s="519" t="s">
        <v>34</v>
      </c>
      <c r="E143" s="521" t="s">
        <v>44</v>
      </c>
      <c r="F143" s="551" t="s">
        <v>421</v>
      </c>
      <c r="G143" s="519"/>
      <c r="H143" s="519"/>
      <c r="I143" s="553"/>
    </row>
    <row r="144" spans="1:9" x14ac:dyDescent="0.25">
      <c r="A144" s="549">
        <v>12.302</v>
      </c>
      <c r="B144" s="338" t="s">
        <v>594</v>
      </c>
      <c r="C144" s="519" t="s">
        <v>280</v>
      </c>
      <c r="D144" s="519" t="s">
        <v>47</v>
      </c>
      <c r="E144" s="521" t="s">
        <v>44</v>
      </c>
      <c r="F144" s="551" t="s">
        <v>421</v>
      </c>
      <c r="G144" s="519"/>
      <c r="H144" s="519"/>
      <c r="I144" s="553" t="s">
        <v>327</v>
      </c>
    </row>
    <row r="145" spans="1:9" x14ac:dyDescent="0.25">
      <c r="A145" s="549">
        <v>12.308</v>
      </c>
      <c r="B145" s="338" t="s">
        <v>595</v>
      </c>
      <c r="C145" s="519" t="s">
        <v>259</v>
      </c>
      <c r="D145" s="519" t="s">
        <v>45</v>
      </c>
      <c r="E145" s="521" t="s">
        <v>44</v>
      </c>
      <c r="F145" s="551" t="s">
        <v>421</v>
      </c>
      <c r="G145" s="519"/>
      <c r="H145" s="519"/>
      <c r="I145" s="553" t="s">
        <v>341</v>
      </c>
    </row>
    <row r="146" spans="1:9" x14ac:dyDescent="0.25">
      <c r="A146" s="549">
        <v>12.31</v>
      </c>
      <c r="B146" s="338" t="s">
        <v>596</v>
      </c>
      <c r="C146" s="519" t="s">
        <v>259</v>
      </c>
      <c r="D146" s="519" t="s">
        <v>34</v>
      </c>
      <c r="E146" s="521" t="s">
        <v>44</v>
      </c>
      <c r="F146" s="551" t="s">
        <v>420</v>
      </c>
      <c r="G146" s="519"/>
      <c r="H146" s="519"/>
      <c r="I146" s="553"/>
    </row>
    <row r="147" spans="1:9" x14ac:dyDescent="0.25">
      <c r="A147" s="549">
        <v>12.311</v>
      </c>
      <c r="B147" s="338" t="s">
        <v>597</v>
      </c>
      <c r="C147" s="519" t="s">
        <v>259</v>
      </c>
      <c r="D147" s="519" t="s">
        <v>34</v>
      </c>
      <c r="E147" s="521" t="s">
        <v>44</v>
      </c>
      <c r="F147" s="551" t="s">
        <v>426</v>
      </c>
      <c r="G147" s="519"/>
      <c r="H147" s="519"/>
      <c r="I147" s="553"/>
    </row>
    <row r="148" spans="1:9" x14ac:dyDescent="0.25">
      <c r="A148" s="549">
        <v>12.311999999999999</v>
      </c>
      <c r="B148" s="338" t="s">
        <v>598</v>
      </c>
      <c r="C148" s="519" t="s">
        <v>259</v>
      </c>
      <c r="D148" s="519" t="s">
        <v>47</v>
      </c>
      <c r="E148" s="521" t="s">
        <v>44</v>
      </c>
      <c r="F148" s="551" t="s">
        <v>427</v>
      </c>
      <c r="G148" s="519"/>
      <c r="H148" s="519"/>
      <c r="I148" s="553" t="s">
        <v>327</v>
      </c>
    </row>
    <row r="149" spans="1:9" x14ac:dyDescent="0.25">
      <c r="A149" s="549">
        <v>12.318</v>
      </c>
      <c r="B149" s="338" t="s">
        <v>599</v>
      </c>
      <c r="C149" s="519" t="s">
        <v>259</v>
      </c>
      <c r="D149" s="519" t="s">
        <v>47</v>
      </c>
      <c r="E149" s="521" t="s">
        <v>44</v>
      </c>
      <c r="F149" s="551" t="s">
        <v>422</v>
      </c>
      <c r="G149" s="519" t="s">
        <v>467</v>
      </c>
      <c r="H149" s="519"/>
      <c r="I149" s="553" t="s">
        <v>360</v>
      </c>
    </row>
    <row r="150" spans="1:9" x14ac:dyDescent="0.25">
      <c r="A150" s="549">
        <v>12.319000000000001</v>
      </c>
      <c r="B150" s="338" t="s">
        <v>600</v>
      </c>
      <c r="C150" s="519" t="s">
        <v>259</v>
      </c>
      <c r="D150" s="519" t="s">
        <v>34</v>
      </c>
      <c r="E150" s="521" t="s">
        <v>44</v>
      </c>
      <c r="F150" s="551" t="s">
        <v>420</v>
      </c>
      <c r="G150" s="519" t="s">
        <v>467</v>
      </c>
      <c r="H150" s="519"/>
      <c r="I150" s="553"/>
    </row>
    <row r="151" spans="1:9" x14ac:dyDescent="0.25">
      <c r="A151" s="549">
        <v>12.32</v>
      </c>
      <c r="B151" s="338" t="s">
        <v>601</v>
      </c>
      <c r="C151" s="519" t="s">
        <v>259</v>
      </c>
      <c r="D151" s="519" t="s">
        <v>34</v>
      </c>
      <c r="E151" s="521" t="s">
        <v>44</v>
      </c>
      <c r="F151" s="551" t="s">
        <v>420</v>
      </c>
      <c r="G151" s="519"/>
      <c r="H151" s="519"/>
      <c r="I151" s="553"/>
    </row>
    <row r="152" spans="1:9" x14ac:dyDescent="0.25">
      <c r="A152" s="549">
        <v>12.321</v>
      </c>
      <c r="B152" s="338" t="s">
        <v>602</v>
      </c>
      <c r="C152" s="519" t="s">
        <v>259</v>
      </c>
      <c r="D152" s="519" t="s">
        <v>47</v>
      </c>
      <c r="E152" s="521" t="s">
        <v>44</v>
      </c>
      <c r="F152" s="551" t="s">
        <v>420</v>
      </c>
      <c r="G152" s="519"/>
      <c r="H152" s="519"/>
      <c r="I152" s="553" t="s">
        <v>356</v>
      </c>
    </row>
    <row r="153" spans="1:9" x14ac:dyDescent="0.25">
      <c r="A153" s="549">
        <v>12.321999999999999</v>
      </c>
      <c r="B153" s="338" t="s">
        <v>603</v>
      </c>
      <c r="C153" s="519" t="s">
        <v>280</v>
      </c>
      <c r="D153" s="519" t="s">
        <v>47</v>
      </c>
      <c r="E153" s="521" t="s">
        <v>44</v>
      </c>
      <c r="F153" s="551" t="s">
        <v>420</v>
      </c>
      <c r="G153" s="519"/>
      <c r="H153" s="519"/>
      <c r="I153" s="553" t="s">
        <v>356</v>
      </c>
    </row>
    <row r="154" spans="1:9" x14ac:dyDescent="0.25">
      <c r="A154" s="549">
        <v>12.327999999999999</v>
      </c>
      <c r="B154" s="338" t="s">
        <v>604</v>
      </c>
      <c r="C154" s="519" t="s">
        <v>259</v>
      </c>
      <c r="D154" s="519" t="s">
        <v>47</v>
      </c>
      <c r="E154" s="521" t="s">
        <v>44</v>
      </c>
      <c r="F154" s="551" t="s">
        <v>421</v>
      </c>
      <c r="G154" s="519"/>
      <c r="H154" s="519"/>
      <c r="I154" s="553" t="s">
        <v>356</v>
      </c>
    </row>
    <row r="155" spans="1:9" x14ac:dyDescent="0.25">
      <c r="A155" s="549">
        <v>12.329000000000001</v>
      </c>
      <c r="B155" s="338" t="s">
        <v>605</v>
      </c>
      <c r="C155" s="519" t="s">
        <v>280</v>
      </c>
      <c r="D155" s="519" t="s">
        <v>47</v>
      </c>
      <c r="E155" s="521" t="s">
        <v>44</v>
      </c>
      <c r="F155" s="551" t="s">
        <v>420</v>
      </c>
      <c r="G155" s="519"/>
      <c r="H155" s="519"/>
      <c r="I155" s="553" t="s">
        <v>327</v>
      </c>
    </row>
    <row r="156" spans="1:9" x14ac:dyDescent="0.25">
      <c r="A156" s="549">
        <v>12.332000000000001</v>
      </c>
      <c r="B156" s="338" t="s">
        <v>606</v>
      </c>
      <c r="C156" s="519" t="s">
        <v>280</v>
      </c>
      <c r="D156" s="519" t="s">
        <v>47</v>
      </c>
      <c r="E156" s="521" t="s">
        <v>44</v>
      </c>
      <c r="F156" s="551" t="s">
        <v>420</v>
      </c>
      <c r="G156" s="519"/>
      <c r="H156" s="519"/>
      <c r="I156" s="553" t="s">
        <v>356</v>
      </c>
    </row>
    <row r="157" spans="1:9" x14ac:dyDescent="0.25">
      <c r="A157" s="549">
        <v>12.333</v>
      </c>
      <c r="B157" s="338" t="s">
        <v>607</v>
      </c>
      <c r="C157" s="519" t="s">
        <v>280</v>
      </c>
      <c r="D157" s="519" t="s">
        <v>34</v>
      </c>
      <c r="E157" s="521" t="s">
        <v>44</v>
      </c>
      <c r="F157" s="551" t="s">
        <v>422</v>
      </c>
      <c r="G157" s="519"/>
      <c r="H157" s="519"/>
      <c r="I157" s="553"/>
    </row>
    <row r="158" spans="1:9" x14ac:dyDescent="0.25">
      <c r="A158" s="549">
        <v>12.334</v>
      </c>
      <c r="B158" s="338" t="s">
        <v>608</v>
      </c>
      <c r="C158" s="519" t="s">
        <v>259</v>
      </c>
      <c r="D158" s="519" t="s">
        <v>34</v>
      </c>
      <c r="E158" s="521" t="s">
        <v>44</v>
      </c>
      <c r="F158" s="551" t="s">
        <v>421</v>
      </c>
      <c r="G158" s="519" t="s">
        <v>467</v>
      </c>
      <c r="H158" s="519"/>
      <c r="I158" s="553"/>
    </row>
    <row r="159" spans="1:9" x14ac:dyDescent="0.25">
      <c r="A159" s="549">
        <v>12.336</v>
      </c>
      <c r="B159" s="338" t="s">
        <v>609</v>
      </c>
      <c r="C159" s="519" t="s">
        <v>280</v>
      </c>
      <c r="D159" s="519" t="s">
        <v>47</v>
      </c>
      <c r="E159" s="521" t="s">
        <v>44</v>
      </c>
      <c r="F159" s="551" t="s">
        <v>426</v>
      </c>
      <c r="G159" s="519"/>
      <c r="H159" s="519"/>
      <c r="I159" s="553" t="s">
        <v>356</v>
      </c>
    </row>
    <row r="160" spans="1:9" x14ac:dyDescent="0.25">
      <c r="A160" s="549">
        <v>12.339</v>
      </c>
      <c r="B160" s="338" t="s">
        <v>610</v>
      </c>
      <c r="C160" s="519" t="s">
        <v>259</v>
      </c>
      <c r="D160" s="519" t="s">
        <v>34</v>
      </c>
      <c r="E160" s="521" t="s">
        <v>44</v>
      </c>
      <c r="F160" s="551" t="s">
        <v>421</v>
      </c>
      <c r="G160" s="519"/>
      <c r="H160" s="519"/>
      <c r="I160" s="553" t="s">
        <v>611</v>
      </c>
    </row>
    <row r="161" spans="1:9" x14ac:dyDescent="0.25">
      <c r="A161" s="549">
        <v>12.342000000000001</v>
      </c>
      <c r="B161" s="338" t="s">
        <v>612</v>
      </c>
      <c r="C161" s="519" t="s">
        <v>259</v>
      </c>
      <c r="D161" s="519" t="s">
        <v>47</v>
      </c>
      <c r="E161" s="521" t="s">
        <v>44</v>
      </c>
      <c r="F161" s="551" t="s">
        <v>421</v>
      </c>
      <c r="G161" s="519"/>
      <c r="H161" s="519"/>
      <c r="I161" s="553" t="s">
        <v>347</v>
      </c>
    </row>
    <row r="162" spans="1:9" x14ac:dyDescent="0.25">
      <c r="A162" s="549">
        <v>12.343</v>
      </c>
      <c r="B162" s="338" t="s">
        <v>613</v>
      </c>
      <c r="C162" s="519" t="s">
        <v>259</v>
      </c>
      <c r="D162" s="519" t="s">
        <v>34</v>
      </c>
      <c r="E162" s="521" t="s">
        <v>44</v>
      </c>
      <c r="F162" s="551" t="s">
        <v>421</v>
      </c>
      <c r="G162" s="519"/>
      <c r="H162" s="519"/>
      <c r="I162" s="553"/>
    </row>
    <row r="163" spans="1:9" x14ac:dyDescent="0.25">
      <c r="A163" s="549">
        <v>12.343999999999999</v>
      </c>
      <c r="B163" s="338" t="s">
        <v>614</v>
      </c>
      <c r="C163" s="519" t="s">
        <v>259</v>
      </c>
      <c r="D163" s="519" t="s">
        <v>34</v>
      </c>
      <c r="E163" s="521" t="s">
        <v>44</v>
      </c>
      <c r="F163" s="551" t="s">
        <v>420</v>
      </c>
      <c r="G163" s="519"/>
      <c r="H163" s="519"/>
      <c r="I163" s="553"/>
    </row>
    <row r="164" spans="1:9" x14ac:dyDescent="0.25">
      <c r="A164" s="549">
        <v>12.349</v>
      </c>
      <c r="B164" s="338" t="s">
        <v>615</v>
      </c>
      <c r="C164" s="519" t="s">
        <v>280</v>
      </c>
      <c r="D164" s="519" t="s">
        <v>34</v>
      </c>
      <c r="E164" s="521" t="s">
        <v>44</v>
      </c>
      <c r="F164" s="551" t="s">
        <v>422</v>
      </c>
      <c r="G164" s="519"/>
      <c r="H164" s="519"/>
      <c r="I164" s="553"/>
    </row>
    <row r="165" spans="1:9" x14ac:dyDescent="0.25">
      <c r="A165" s="549">
        <v>12.356</v>
      </c>
      <c r="B165" s="338" t="s">
        <v>616</v>
      </c>
      <c r="C165" s="519" t="s">
        <v>259</v>
      </c>
      <c r="D165" s="519" t="s">
        <v>34</v>
      </c>
      <c r="E165" s="521" t="s">
        <v>44</v>
      </c>
      <c r="F165" s="551" t="s">
        <v>422</v>
      </c>
      <c r="G165" s="519"/>
      <c r="H165" s="519"/>
      <c r="I165" s="553"/>
    </row>
    <row r="166" spans="1:9" x14ac:dyDescent="0.25">
      <c r="A166" s="549">
        <v>12.356999999999999</v>
      </c>
      <c r="B166" s="338" t="s">
        <v>617</v>
      </c>
      <c r="C166" s="519" t="s">
        <v>259</v>
      </c>
      <c r="D166" s="519" t="s">
        <v>34</v>
      </c>
      <c r="E166" s="521" t="s">
        <v>44</v>
      </c>
      <c r="F166" s="551" t="s">
        <v>422</v>
      </c>
      <c r="G166" s="519"/>
      <c r="H166" s="519"/>
      <c r="I166" s="553"/>
    </row>
    <row r="167" spans="1:9" x14ac:dyDescent="0.25">
      <c r="A167" s="549">
        <v>12.358000000000001</v>
      </c>
      <c r="B167" s="338" t="s">
        <v>618</v>
      </c>
      <c r="C167" s="519" t="s">
        <v>280</v>
      </c>
      <c r="D167" s="519" t="s">
        <v>34</v>
      </c>
      <c r="E167" s="521" t="s">
        <v>44</v>
      </c>
      <c r="F167" s="551" t="s">
        <v>422</v>
      </c>
      <c r="G167" s="519"/>
      <c r="H167" s="519"/>
      <c r="I167" s="553"/>
    </row>
    <row r="168" spans="1:9" x14ac:dyDescent="0.25">
      <c r="A168" s="549">
        <v>12.36</v>
      </c>
      <c r="B168" s="338" t="s">
        <v>619</v>
      </c>
      <c r="C168" s="519" t="s">
        <v>280</v>
      </c>
      <c r="D168" s="519" t="s">
        <v>34</v>
      </c>
      <c r="E168" s="521" t="s">
        <v>44</v>
      </c>
      <c r="F168" s="551" t="s">
        <v>426</v>
      </c>
      <c r="G168" s="519"/>
      <c r="H168" s="519"/>
      <c r="I168" s="553"/>
    </row>
    <row r="169" spans="1:9" x14ac:dyDescent="0.25">
      <c r="A169" s="549">
        <v>12.361000000000001</v>
      </c>
      <c r="B169" s="338" t="s">
        <v>620</v>
      </c>
      <c r="C169" s="519" t="s">
        <v>280</v>
      </c>
      <c r="D169" s="519" t="s">
        <v>34</v>
      </c>
      <c r="E169" s="521" t="s">
        <v>44</v>
      </c>
      <c r="F169" s="551" t="s">
        <v>426</v>
      </c>
      <c r="G169" s="519"/>
      <c r="H169" s="519"/>
      <c r="I169" s="553"/>
    </row>
    <row r="170" spans="1:9" x14ac:dyDescent="0.25">
      <c r="A170" s="549">
        <v>12.366</v>
      </c>
      <c r="B170" s="338" t="s">
        <v>621</v>
      </c>
      <c r="C170" s="519" t="s">
        <v>280</v>
      </c>
      <c r="D170" s="519" t="s">
        <v>45</v>
      </c>
      <c r="E170" s="521" t="s">
        <v>44</v>
      </c>
      <c r="F170" s="551" t="s">
        <v>422</v>
      </c>
      <c r="G170" s="519"/>
      <c r="H170" s="519"/>
      <c r="I170" s="553" t="s">
        <v>371</v>
      </c>
    </row>
    <row r="171" spans="1:9" x14ac:dyDescent="0.25">
      <c r="A171" s="549">
        <v>12.37</v>
      </c>
      <c r="B171" s="338" t="s">
        <v>622</v>
      </c>
      <c r="C171" s="519" t="s">
        <v>280</v>
      </c>
      <c r="D171" s="519" t="s">
        <v>34</v>
      </c>
      <c r="E171" s="521" t="s">
        <v>44</v>
      </c>
      <c r="F171" s="551" t="s">
        <v>426</v>
      </c>
      <c r="G171" s="519"/>
      <c r="H171" s="519"/>
      <c r="I171" s="553"/>
    </row>
    <row r="172" spans="1:9" x14ac:dyDescent="0.25">
      <c r="A172" s="549">
        <v>12.372999999999999</v>
      </c>
      <c r="B172" s="338" t="s">
        <v>623</v>
      </c>
      <c r="C172" s="519" t="s">
        <v>259</v>
      </c>
      <c r="D172" s="519" t="s">
        <v>34</v>
      </c>
      <c r="E172" s="521" t="s">
        <v>44</v>
      </c>
      <c r="F172" s="551" t="s">
        <v>423</v>
      </c>
      <c r="G172" s="519"/>
      <c r="H172" s="519"/>
      <c r="I172" s="553"/>
    </row>
    <row r="173" spans="1:9" x14ac:dyDescent="0.25">
      <c r="A173" s="549">
        <v>12.374000000000001</v>
      </c>
      <c r="B173" s="338" t="s">
        <v>624</v>
      </c>
      <c r="C173" s="519" t="s">
        <v>259</v>
      </c>
      <c r="D173" s="519" t="s">
        <v>34</v>
      </c>
      <c r="E173" s="521" t="s">
        <v>44</v>
      </c>
      <c r="F173" s="551" t="s">
        <v>422</v>
      </c>
      <c r="G173" s="519"/>
      <c r="H173" s="519"/>
      <c r="I173" s="553" t="s">
        <v>625</v>
      </c>
    </row>
    <row r="174" spans="1:9" x14ac:dyDescent="0.25">
      <c r="A174" s="549">
        <v>12.382</v>
      </c>
      <c r="B174" s="338" t="s">
        <v>626</v>
      </c>
      <c r="C174" s="519" t="s">
        <v>280</v>
      </c>
      <c r="D174" s="519" t="s">
        <v>40</v>
      </c>
      <c r="E174" s="521" t="s">
        <v>33</v>
      </c>
      <c r="F174" s="551" t="s">
        <v>425</v>
      </c>
      <c r="G174" s="519"/>
      <c r="H174" s="519"/>
      <c r="I174" s="553" t="s">
        <v>332</v>
      </c>
    </row>
    <row r="175" spans="1:9" x14ac:dyDescent="0.25">
      <c r="A175" s="549">
        <v>12.387</v>
      </c>
      <c r="B175" s="338" t="s">
        <v>627</v>
      </c>
      <c r="C175" s="519" t="s">
        <v>259</v>
      </c>
      <c r="D175" s="519" t="s">
        <v>47</v>
      </c>
      <c r="E175" s="521" t="s">
        <v>44</v>
      </c>
      <c r="F175" s="551" t="s">
        <v>424</v>
      </c>
      <c r="G175" s="519"/>
      <c r="H175" s="519"/>
      <c r="I175" s="553" t="s">
        <v>374</v>
      </c>
    </row>
    <row r="176" spans="1:9" x14ac:dyDescent="0.25">
      <c r="A176" s="549">
        <v>12.388999999999999</v>
      </c>
      <c r="B176" s="338" t="s">
        <v>628</v>
      </c>
      <c r="C176" s="519" t="s">
        <v>259</v>
      </c>
      <c r="D176" s="519" t="s">
        <v>47</v>
      </c>
      <c r="E176" s="521" t="s">
        <v>44</v>
      </c>
      <c r="F176" s="551" t="s">
        <v>421</v>
      </c>
      <c r="G176" s="519"/>
      <c r="H176" s="519"/>
      <c r="I176" s="553" t="s">
        <v>356</v>
      </c>
    </row>
    <row r="177" spans="1:9" x14ac:dyDescent="0.25">
      <c r="A177" s="549">
        <v>12.391999999999999</v>
      </c>
      <c r="B177" s="338" t="s">
        <v>629</v>
      </c>
      <c r="C177" s="519" t="s">
        <v>280</v>
      </c>
      <c r="D177" s="519" t="s">
        <v>47</v>
      </c>
      <c r="E177" s="521" t="s">
        <v>44</v>
      </c>
      <c r="F177" s="551" t="s">
        <v>421</v>
      </c>
      <c r="G177" s="519"/>
      <c r="H177" s="519"/>
      <c r="I177" s="553" t="s">
        <v>356</v>
      </c>
    </row>
    <row r="178" spans="1:9" x14ac:dyDescent="0.25">
      <c r="A178" s="549">
        <v>12.393000000000001</v>
      </c>
      <c r="B178" s="338" t="s">
        <v>630</v>
      </c>
      <c r="C178" s="519" t="s">
        <v>259</v>
      </c>
      <c r="D178" s="519" t="s">
        <v>47</v>
      </c>
      <c r="E178" s="521" t="s">
        <v>44</v>
      </c>
      <c r="F178" s="551" t="s">
        <v>421</v>
      </c>
      <c r="G178" s="519"/>
      <c r="H178" s="519"/>
      <c r="I178" s="553" t="s">
        <v>356</v>
      </c>
    </row>
    <row r="179" spans="1:9" x14ac:dyDescent="0.25">
      <c r="A179" s="549">
        <v>12.396000000000001</v>
      </c>
      <c r="B179" s="338" t="s">
        <v>631</v>
      </c>
      <c r="C179" s="519" t="s">
        <v>259</v>
      </c>
      <c r="D179" s="519" t="s">
        <v>34</v>
      </c>
      <c r="E179" s="521" t="s">
        <v>44</v>
      </c>
      <c r="F179" s="551" t="s">
        <v>424</v>
      </c>
      <c r="G179" s="519"/>
      <c r="H179" s="519"/>
      <c r="I179" s="553"/>
    </row>
    <row r="180" spans="1:9" x14ac:dyDescent="0.25">
      <c r="A180" s="549">
        <v>12.397</v>
      </c>
      <c r="B180" s="338" t="s">
        <v>632</v>
      </c>
      <c r="C180" s="519" t="s">
        <v>280</v>
      </c>
      <c r="D180" s="519" t="s">
        <v>47</v>
      </c>
      <c r="E180" s="521" t="s">
        <v>44</v>
      </c>
      <c r="F180" s="551" t="s">
        <v>424</v>
      </c>
      <c r="G180" s="519"/>
      <c r="H180" s="519"/>
      <c r="I180" s="553" t="s">
        <v>375</v>
      </c>
    </row>
    <row r="181" spans="1:9" x14ac:dyDescent="0.25">
      <c r="A181" s="549">
        <v>12.398</v>
      </c>
      <c r="B181" s="338" t="s">
        <v>633</v>
      </c>
      <c r="C181" s="519" t="s">
        <v>280</v>
      </c>
      <c r="D181" s="519" t="s">
        <v>47</v>
      </c>
      <c r="E181" s="521" t="s">
        <v>44</v>
      </c>
      <c r="F181" s="551" t="s">
        <v>424</v>
      </c>
      <c r="G181" s="519"/>
      <c r="H181" s="519"/>
      <c r="I181" s="553" t="s">
        <v>375</v>
      </c>
    </row>
    <row r="182" spans="1:9" x14ac:dyDescent="0.25">
      <c r="A182" s="549">
        <v>12.398999999999999</v>
      </c>
      <c r="B182" s="338" t="s">
        <v>634</v>
      </c>
      <c r="C182" s="519" t="s">
        <v>259</v>
      </c>
      <c r="D182" s="519" t="s">
        <v>47</v>
      </c>
      <c r="E182" s="521" t="s">
        <v>44</v>
      </c>
      <c r="F182" s="551" t="s">
        <v>425</v>
      </c>
      <c r="G182" s="519"/>
      <c r="H182" s="519"/>
      <c r="I182" s="553" t="s">
        <v>376</v>
      </c>
    </row>
    <row r="183" spans="1:9" x14ac:dyDescent="0.25">
      <c r="A183" s="549">
        <v>12.4</v>
      </c>
      <c r="B183" s="338" t="s">
        <v>635</v>
      </c>
      <c r="C183" s="519" t="s">
        <v>259</v>
      </c>
      <c r="D183" s="519" t="s">
        <v>47</v>
      </c>
      <c r="E183" s="521" t="s">
        <v>44</v>
      </c>
      <c r="F183" s="551" t="s">
        <v>424</v>
      </c>
      <c r="G183" s="519"/>
      <c r="H183" s="519"/>
      <c r="I183" s="553" t="s">
        <v>377</v>
      </c>
    </row>
    <row r="184" spans="1:9" x14ac:dyDescent="0.25">
      <c r="A184" s="549">
        <v>12.401</v>
      </c>
      <c r="B184" s="338" t="s">
        <v>636</v>
      </c>
      <c r="C184" s="519" t="s">
        <v>280</v>
      </c>
      <c r="D184" s="519" t="s">
        <v>34</v>
      </c>
      <c r="E184" s="521" t="s">
        <v>44</v>
      </c>
      <c r="F184" s="551" t="s">
        <v>420</v>
      </c>
      <c r="G184" s="519"/>
      <c r="H184" s="519"/>
      <c r="I184" s="553"/>
    </row>
    <row r="185" spans="1:9" x14ac:dyDescent="0.25">
      <c r="A185" s="549">
        <v>12.401999999999999</v>
      </c>
      <c r="B185" s="338" t="s">
        <v>637</v>
      </c>
      <c r="C185" s="519" t="s">
        <v>259</v>
      </c>
      <c r="D185" s="519" t="s">
        <v>34</v>
      </c>
      <c r="E185" s="521" t="s">
        <v>44</v>
      </c>
      <c r="F185" s="551" t="s">
        <v>424</v>
      </c>
      <c r="G185" s="519"/>
      <c r="H185" s="519"/>
      <c r="I185" s="553" t="s">
        <v>638</v>
      </c>
    </row>
    <row r="186" spans="1:9" x14ac:dyDescent="0.25">
      <c r="A186" s="549">
        <v>12.403</v>
      </c>
      <c r="B186" s="338" t="s">
        <v>639</v>
      </c>
      <c r="C186" s="519" t="s">
        <v>259</v>
      </c>
      <c r="D186" s="519" t="s">
        <v>34</v>
      </c>
      <c r="E186" s="521" t="s">
        <v>44</v>
      </c>
      <c r="F186" s="551" t="s">
        <v>424</v>
      </c>
      <c r="G186" s="519"/>
      <c r="H186" s="519"/>
      <c r="I186" s="553" t="s">
        <v>640</v>
      </c>
    </row>
    <row r="187" spans="1:9" x14ac:dyDescent="0.25">
      <c r="A187" s="549">
        <v>12.406000000000001</v>
      </c>
      <c r="B187" s="338" t="s">
        <v>641</v>
      </c>
      <c r="C187" s="519" t="s">
        <v>259</v>
      </c>
      <c r="D187" s="519" t="s">
        <v>34</v>
      </c>
      <c r="E187" s="521" t="s">
        <v>44</v>
      </c>
      <c r="F187" s="551" t="s">
        <v>424</v>
      </c>
      <c r="G187" s="519"/>
      <c r="H187" s="519"/>
      <c r="I187" s="553" t="s">
        <v>642</v>
      </c>
    </row>
    <row r="188" spans="1:9" x14ac:dyDescent="0.25">
      <c r="A188" s="549">
        <v>12.41</v>
      </c>
      <c r="B188" s="338" t="s">
        <v>643</v>
      </c>
      <c r="C188" s="519" t="s">
        <v>259</v>
      </c>
      <c r="D188" s="519" t="s">
        <v>47</v>
      </c>
      <c r="E188" s="521" t="s">
        <v>44</v>
      </c>
      <c r="F188" s="551" t="s">
        <v>421</v>
      </c>
      <c r="G188" s="519"/>
      <c r="H188" s="519"/>
      <c r="I188" s="553" t="s">
        <v>378</v>
      </c>
    </row>
    <row r="189" spans="1:9" x14ac:dyDescent="0.25">
      <c r="A189" s="549">
        <v>12.411</v>
      </c>
      <c r="B189" s="338" t="s">
        <v>644</v>
      </c>
      <c r="C189" s="519" t="s">
        <v>280</v>
      </c>
      <c r="D189" s="519" t="s">
        <v>34</v>
      </c>
      <c r="E189" s="521" t="s">
        <v>44</v>
      </c>
      <c r="F189" s="551" t="s">
        <v>421</v>
      </c>
      <c r="G189" s="519"/>
      <c r="H189" s="519"/>
      <c r="I189" s="553"/>
    </row>
    <row r="190" spans="1:9" x14ac:dyDescent="0.25">
      <c r="A190" s="549">
        <v>12.412000000000001</v>
      </c>
      <c r="B190" s="338" t="s">
        <v>645</v>
      </c>
      <c r="C190" s="519" t="s">
        <v>259</v>
      </c>
      <c r="D190" s="519" t="s">
        <v>34</v>
      </c>
      <c r="E190" s="521" t="s">
        <v>44</v>
      </c>
      <c r="F190" s="551" t="s">
        <v>420</v>
      </c>
      <c r="G190" s="519"/>
      <c r="H190" s="519"/>
      <c r="I190" s="553"/>
    </row>
    <row r="191" spans="1:9" x14ac:dyDescent="0.25">
      <c r="A191" s="549">
        <v>12.413</v>
      </c>
      <c r="B191" s="338" t="s">
        <v>646</v>
      </c>
      <c r="C191" s="519" t="s">
        <v>259</v>
      </c>
      <c r="D191" s="519" t="s">
        <v>34</v>
      </c>
      <c r="E191" s="521" t="s">
        <v>44</v>
      </c>
      <c r="F191" s="551" t="s">
        <v>422</v>
      </c>
      <c r="G191" s="519"/>
      <c r="H191" s="519"/>
      <c r="I191" s="553" t="s">
        <v>647</v>
      </c>
    </row>
    <row r="192" spans="1:9" x14ac:dyDescent="0.25">
      <c r="A192" s="549">
        <v>12.414</v>
      </c>
      <c r="B192" s="338" t="s">
        <v>648</v>
      </c>
      <c r="C192" s="519" t="s">
        <v>259</v>
      </c>
      <c r="D192" s="519" t="s">
        <v>47</v>
      </c>
      <c r="E192" s="521" t="s">
        <v>44</v>
      </c>
      <c r="F192" s="551" t="s">
        <v>429</v>
      </c>
      <c r="G192" s="519"/>
      <c r="H192" s="519"/>
      <c r="I192" s="553" t="s">
        <v>380</v>
      </c>
    </row>
    <row r="193" spans="1:9" x14ac:dyDescent="0.25">
      <c r="A193" s="549">
        <v>12.417</v>
      </c>
      <c r="B193" s="338" t="s">
        <v>649</v>
      </c>
      <c r="C193" s="519" t="s">
        <v>259</v>
      </c>
      <c r="D193" s="519" t="s">
        <v>47</v>
      </c>
      <c r="E193" s="521" t="s">
        <v>44</v>
      </c>
      <c r="F193" s="551" t="s">
        <v>421</v>
      </c>
      <c r="G193" s="519"/>
      <c r="H193" s="519"/>
      <c r="I193" s="553" t="s">
        <v>381</v>
      </c>
    </row>
    <row r="194" spans="1:9" x14ac:dyDescent="0.25">
      <c r="A194" s="549">
        <v>12.417999999999999</v>
      </c>
      <c r="B194" s="338" t="s">
        <v>650</v>
      </c>
      <c r="C194" s="519" t="s">
        <v>259</v>
      </c>
      <c r="D194" s="519" t="s">
        <v>47</v>
      </c>
      <c r="E194" s="521" t="s">
        <v>44</v>
      </c>
      <c r="F194" s="551" t="s">
        <v>421</v>
      </c>
      <c r="G194" s="519"/>
      <c r="H194" s="519"/>
      <c r="I194" s="553" t="s">
        <v>381</v>
      </c>
    </row>
    <row r="195" spans="1:9" x14ac:dyDescent="0.25">
      <c r="A195" s="549">
        <v>12.42</v>
      </c>
      <c r="B195" s="338" t="s">
        <v>651</v>
      </c>
      <c r="C195" s="519" t="s">
        <v>280</v>
      </c>
      <c r="D195" s="519" t="s">
        <v>34</v>
      </c>
      <c r="E195" s="521" t="s">
        <v>44</v>
      </c>
      <c r="F195" s="551" t="s">
        <v>427</v>
      </c>
      <c r="G195" s="519"/>
      <c r="H195" s="519"/>
      <c r="I195" s="553"/>
    </row>
    <row r="196" spans="1:9" x14ac:dyDescent="0.25">
      <c r="A196" s="549">
        <v>12.420999999999999</v>
      </c>
      <c r="B196" s="338" t="s">
        <v>652</v>
      </c>
      <c r="C196" s="519" t="s">
        <v>259</v>
      </c>
      <c r="D196" s="519" t="s">
        <v>34</v>
      </c>
      <c r="E196" s="521" t="s">
        <v>44</v>
      </c>
      <c r="F196" s="551" t="s">
        <v>421</v>
      </c>
      <c r="G196" s="519"/>
      <c r="H196" s="519"/>
      <c r="I196" s="553" t="s">
        <v>653</v>
      </c>
    </row>
    <row r="197" spans="1:9" x14ac:dyDescent="0.25">
      <c r="A197" s="549">
        <v>12.422000000000001</v>
      </c>
      <c r="B197" s="338" t="s">
        <v>654</v>
      </c>
      <c r="C197" s="519" t="s">
        <v>259</v>
      </c>
      <c r="D197" s="519" t="s">
        <v>47</v>
      </c>
      <c r="E197" s="521" t="s">
        <v>44</v>
      </c>
      <c r="F197" s="551" t="s">
        <v>424</v>
      </c>
      <c r="G197" s="519"/>
      <c r="H197" s="519"/>
      <c r="I197" s="553" t="s">
        <v>384</v>
      </c>
    </row>
    <row r="198" spans="1:9" x14ac:dyDescent="0.25">
      <c r="A198" s="549">
        <v>12.425000000000001</v>
      </c>
      <c r="B198" s="338" t="s">
        <v>655</v>
      </c>
      <c r="C198" s="519" t="s">
        <v>280</v>
      </c>
      <c r="D198" s="519" t="s">
        <v>34</v>
      </c>
      <c r="E198" s="521" t="s">
        <v>44</v>
      </c>
      <c r="F198" s="551" t="s">
        <v>423</v>
      </c>
      <c r="G198" s="519"/>
      <c r="H198" s="519"/>
      <c r="I198" s="553"/>
    </row>
    <row r="199" spans="1:9" x14ac:dyDescent="0.25">
      <c r="A199" s="549">
        <v>12.429</v>
      </c>
      <c r="B199" s="338" t="s">
        <v>656</v>
      </c>
      <c r="C199" s="519" t="s">
        <v>259</v>
      </c>
      <c r="D199" s="519" t="s">
        <v>34</v>
      </c>
      <c r="E199" s="521" t="s">
        <v>44</v>
      </c>
      <c r="F199" s="551" t="s">
        <v>428</v>
      </c>
      <c r="G199" s="519"/>
      <c r="H199" s="519"/>
      <c r="I199" s="553"/>
    </row>
    <row r="200" spans="1:9" x14ac:dyDescent="0.25">
      <c r="A200" s="549">
        <v>12.43</v>
      </c>
      <c r="B200" s="338" t="s">
        <v>657</v>
      </c>
      <c r="C200" s="519" t="s">
        <v>259</v>
      </c>
      <c r="D200" s="519" t="s">
        <v>34</v>
      </c>
      <c r="E200" s="521" t="s">
        <v>44</v>
      </c>
      <c r="F200" s="551" t="s">
        <v>428</v>
      </c>
      <c r="G200" s="519"/>
      <c r="H200" s="519"/>
      <c r="I200" s="553"/>
    </row>
    <row r="201" spans="1:9" x14ac:dyDescent="0.25">
      <c r="A201" s="549">
        <v>12.438000000000001</v>
      </c>
      <c r="B201" s="338" t="s">
        <v>658</v>
      </c>
      <c r="C201" s="519" t="s">
        <v>280</v>
      </c>
      <c r="D201" s="519" t="s">
        <v>47</v>
      </c>
      <c r="E201" s="521" t="s">
        <v>44</v>
      </c>
      <c r="F201" s="551" t="s">
        <v>427</v>
      </c>
      <c r="G201" s="519"/>
      <c r="H201" s="519"/>
      <c r="I201" s="553" t="s">
        <v>389</v>
      </c>
    </row>
    <row r="202" spans="1:9" x14ac:dyDescent="0.25">
      <c r="A202" s="549">
        <v>12.439</v>
      </c>
      <c r="B202" s="338" t="s">
        <v>659</v>
      </c>
      <c r="C202" s="519" t="s">
        <v>280</v>
      </c>
      <c r="D202" s="519" t="s">
        <v>34</v>
      </c>
      <c r="E202" s="521" t="s">
        <v>44</v>
      </c>
      <c r="F202" s="551" t="s">
        <v>421</v>
      </c>
      <c r="G202" s="519"/>
      <c r="H202" s="519"/>
      <c r="I202" s="553"/>
    </row>
    <row r="203" spans="1:9" x14ac:dyDescent="0.25">
      <c r="A203" s="549">
        <v>12.44</v>
      </c>
      <c r="B203" s="338" t="s">
        <v>660</v>
      </c>
      <c r="C203" s="519" t="s">
        <v>280</v>
      </c>
      <c r="D203" s="519" t="s">
        <v>45</v>
      </c>
      <c r="E203" s="521" t="s">
        <v>44</v>
      </c>
      <c r="F203" s="551" t="s">
        <v>421</v>
      </c>
      <c r="G203" s="519"/>
      <c r="H203" s="519"/>
      <c r="I203" s="553" t="s">
        <v>341</v>
      </c>
    </row>
    <row r="204" spans="1:9" x14ac:dyDescent="0.25">
      <c r="A204" s="549">
        <v>12.441000000000001</v>
      </c>
      <c r="B204" s="338" t="s">
        <v>661</v>
      </c>
      <c r="C204" s="519" t="s">
        <v>280</v>
      </c>
      <c r="D204" s="519" t="s">
        <v>34</v>
      </c>
      <c r="E204" s="521" t="s">
        <v>44</v>
      </c>
      <c r="F204" s="551" t="s">
        <v>427</v>
      </c>
      <c r="G204" s="519"/>
      <c r="H204" s="519"/>
      <c r="I204" s="553"/>
    </row>
    <row r="205" spans="1:9" x14ac:dyDescent="0.25">
      <c r="A205" s="549">
        <v>12.442</v>
      </c>
      <c r="B205" s="338" t="s">
        <v>662</v>
      </c>
      <c r="C205" s="519" t="s">
        <v>280</v>
      </c>
      <c r="D205" s="519" t="s">
        <v>47</v>
      </c>
      <c r="E205" s="521" t="s">
        <v>44</v>
      </c>
      <c r="F205" s="551" t="s">
        <v>421</v>
      </c>
      <c r="G205" s="519"/>
      <c r="H205" s="519"/>
      <c r="I205" s="553" t="s">
        <v>392</v>
      </c>
    </row>
    <row r="206" spans="1:9" x14ac:dyDescent="0.25">
      <c r="A206" s="549">
        <v>12.444000000000001</v>
      </c>
      <c r="B206" s="338" t="s">
        <v>663</v>
      </c>
      <c r="C206" s="519" t="s">
        <v>280</v>
      </c>
      <c r="D206" s="519" t="s">
        <v>34</v>
      </c>
      <c r="E206" s="521" t="s">
        <v>44</v>
      </c>
      <c r="F206" s="551" t="s">
        <v>428</v>
      </c>
      <c r="G206" s="519"/>
      <c r="H206" s="519"/>
      <c r="I206" s="553"/>
    </row>
    <row r="207" spans="1:9" x14ac:dyDescent="0.25">
      <c r="A207" s="549">
        <v>12.445</v>
      </c>
      <c r="B207" s="338" t="s">
        <v>664</v>
      </c>
      <c r="C207" s="519" t="s">
        <v>280</v>
      </c>
      <c r="D207" s="519" t="s">
        <v>34</v>
      </c>
      <c r="E207" s="521" t="s">
        <v>44</v>
      </c>
      <c r="F207" s="551" t="s">
        <v>426</v>
      </c>
      <c r="G207" s="519"/>
      <c r="H207" s="519"/>
      <c r="I207" s="553"/>
    </row>
    <row r="208" spans="1:9" x14ac:dyDescent="0.25">
      <c r="A208" s="549">
        <v>12.446</v>
      </c>
      <c r="B208" s="338" t="s">
        <v>665</v>
      </c>
      <c r="C208" s="519" t="s">
        <v>280</v>
      </c>
      <c r="D208" s="519" t="s">
        <v>34</v>
      </c>
      <c r="E208" s="521" t="s">
        <v>44</v>
      </c>
      <c r="F208" s="551" t="s">
        <v>420</v>
      </c>
      <c r="G208" s="519"/>
      <c r="H208" s="519"/>
      <c r="I208" s="553"/>
    </row>
    <row r="209" spans="1:9" x14ac:dyDescent="0.25">
      <c r="A209" s="549">
        <v>12.446999999999999</v>
      </c>
      <c r="B209" s="338" t="s">
        <v>666</v>
      </c>
      <c r="C209" s="519" t="s">
        <v>280</v>
      </c>
      <c r="D209" s="519" t="s">
        <v>34</v>
      </c>
      <c r="E209" s="521" t="s">
        <v>44</v>
      </c>
      <c r="F209" s="551" t="s">
        <v>420</v>
      </c>
      <c r="G209" s="519"/>
      <c r="H209" s="519"/>
      <c r="I209" s="553"/>
    </row>
    <row r="210" spans="1:9" x14ac:dyDescent="0.25">
      <c r="A210" s="549">
        <v>12.448</v>
      </c>
      <c r="B210" s="338" t="s">
        <v>667</v>
      </c>
      <c r="C210" s="519" t="s">
        <v>280</v>
      </c>
      <c r="D210" s="519" t="s">
        <v>34</v>
      </c>
      <c r="E210" s="521" t="s">
        <v>44</v>
      </c>
      <c r="F210" s="551" t="s">
        <v>428</v>
      </c>
      <c r="G210" s="519"/>
      <c r="H210" s="519"/>
      <c r="I210" s="553"/>
    </row>
    <row r="211" spans="1:9" x14ac:dyDescent="0.25">
      <c r="A211" s="549">
        <v>12.449</v>
      </c>
      <c r="B211" s="338" t="s">
        <v>668</v>
      </c>
      <c r="C211" s="519" t="s">
        <v>259</v>
      </c>
      <c r="D211" s="519" t="s">
        <v>34</v>
      </c>
      <c r="E211" s="521" t="s">
        <v>44</v>
      </c>
      <c r="F211" s="551" t="s">
        <v>428</v>
      </c>
      <c r="G211" s="519"/>
      <c r="H211" s="519"/>
      <c r="I211" s="553"/>
    </row>
    <row r="212" spans="1:9" x14ac:dyDescent="0.25">
      <c r="A212" s="549">
        <v>12.45</v>
      </c>
      <c r="B212" s="338" t="s">
        <v>669</v>
      </c>
      <c r="C212" s="519" t="s">
        <v>280</v>
      </c>
      <c r="D212" s="519" t="s">
        <v>34</v>
      </c>
      <c r="E212" s="521" t="s">
        <v>44</v>
      </c>
      <c r="F212" s="551" t="s">
        <v>426</v>
      </c>
      <c r="G212" s="519"/>
      <c r="H212" s="519"/>
      <c r="I212" s="553"/>
    </row>
    <row r="213" spans="1:9" x14ac:dyDescent="0.25">
      <c r="A213" s="549">
        <v>12.451000000000001</v>
      </c>
      <c r="B213" s="338" t="s">
        <v>670</v>
      </c>
      <c r="C213" s="519" t="s">
        <v>259</v>
      </c>
      <c r="D213" s="519" t="s">
        <v>34</v>
      </c>
      <c r="E213" s="521" t="s">
        <v>44</v>
      </c>
      <c r="F213" s="551" t="s">
        <v>428</v>
      </c>
      <c r="G213" s="519"/>
      <c r="H213" s="519"/>
      <c r="I213" s="553"/>
    </row>
    <row r="214" spans="1:9" x14ac:dyDescent="0.25">
      <c r="A214" s="549">
        <v>12.452</v>
      </c>
      <c r="B214" s="338" t="s">
        <v>671</v>
      </c>
      <c r="C214" s="519" t="s">
        <v>280</v>
      </c>
      <c r="D214" s="519" t="s">
        <v>34</v>
      </c>
      <c r="E214" s="521" t="s">
        <v>44</v>
      </c>
      <c r="F214" s="551" t="s">
        <v>420</v>
      </c>
      <c r="G214" s="519"/>
      <c r="H214" s="519"/>
      <c r="I214" s="553"/>
    </row>
    <row r="215" spans="1:9" x14ac:dyDescent="0.25">
      <c r="A215" s="549">
        <v>12.452999999999999</v>
      </c>
      <c r="B215" s="338" t="s">
        <v>672</v>
      </c>
      <c r="C215" s="519" t="s">
        <v>280</v>
      </c>
      <c r="D215" s="519" t="s">
        <v>34</v>
      </c>
      <c r="E215" s="521" t="s">
        <v>44</v>
      </c>
      <c r="F215" s="551" t="s">
        <v>427</v>
      </c>
      <c r="G215" s="519"/>
      <c r="H215" s="519"/>
      <c r="I215" s="553"/>
    </row>
    <row r="216" spans="1:9" x14ac:dyDescent="0.25">
      <c r="A216" s="549">
        <v>12.454000000000001</v>
      </c>
      <c r="B216" s="338" t="s">
        <v>673</v>
      </c>
      <c r="C216" s="519" t="s">
        <v>280</v>
      </c>
      <c r="D216" s="519" t="s">
        <v>34</v>
      </c>
      <c r="E216" s="521" t="s">
        <v>44</v>
      </c>
      <c r="F216" s="551" t="s">
        <v>420</v>
      </c>
      <c r="G216" s="519"/>
      <c r="H216" s="519"/>
      <c r="I216" s="553"/>
    </row>
    <row r="217" spans="1:9" x14ac:dyDescent="0.25">
      <c r="A217" s="549">
        <v>12.455</v>
      </c>
      <c r="B217" s="338" t="s">
        <v>674</v>
      </c>
      <c r="C217" s="519" t="s">
        <v>280</v>
      </c>
      <c r="D217" s="519" t="s">
        <v>34</v>
      </c>
      <c r="E217" s="521" t="s">
        <v>44</v>
      </c>
      <c r="F217" s="551" t="s">
        <v>427</v>
      </c>
      <c r="G217" s="519"/>
      <c r="H217" s="519"/>
      <c r="I217" s="553"/>
    </row>
    <row r="218" spans="1:9" x14ac:dyDescent="0.25">
      <c r="A218" s="549">
        <v>12.457000000000001</v>
      </c>
      <c r="B218" s="338" t="s">
        <v>675</v>
      </c>
      <c r="C218" s="519" t="s">
        <v>280</v>
      </c>
      <c r="D218" s="519" t="s">
        <v>34</v>
      </c>
      <c r="E218" s="521" t="s">
        <v>44</v>
      </c>
      <c r="F218" s="551" t="s">
        <v>421</v>
      </c>
      <c r="G218" s="519"/>
      <c r="H218" s="519"/>
      <c r="I218" s="553"/>
    </row>
    <row r="219" spans="1:9" x14ac:dyDescent="0.25">
      <c r="A219" s="549">
        <v>12.458</v>
      </c>
      <c r="B219" s="338" t="s">
        <v>676</v>
      </c>
      <c r="C219" s="519" t="s">
        <v>280</v>
      </c>
      <c r="D219" s="519" t="s">
        <v>47</v>
      </c>
      <c r="E219" s="521" t="s">
        <v>44</v>
      </c>
      <c r="F219" s="551" t="s">
        <v>425</v>
      </c>
      <c r="G219" s="519"/>
      <c r="H219" s="519"/>
      <c r="I219" s="553" t="s">
        <v>327</v>
      </c>
    </row>
    <row r="220" spans="1:9" x14ac:dyDescent="0.25">
      <c r="A220" s="549">
        <v>12.459</v>
      </c>
      <c r="B220" s="338" t="s">
        <v>677</v>
      </c>
      <c r="C220" s="519" t="s">
        <v>280</v>
      </c>
      <c r="D220" s="519" t="s">
        <v>47</v>
      </c>
      <c r="E220" s="521" t="s">
        <v>44</v>
      </c>
      <c r="F220" s="551" t="s">
        <v>426</v>
      </c>
      <c r="G220" s="519"/>
      <c r="H220" s="519"/>
      <c r="I220" s="553" t="s">
        <v>356</v>
      </c>
    </row>
    <row r="221" spans="1:9" x14ac:dyDescent="0.25">
      <c r="A221" s="549">
        <v>12.46</v>
      </c>
      <c r="B221" s="338" t="s">
        <v>678</v>
      </c>
      <c r="C221" s="519" t="s">
        <v>280</v>
      </c>
      <c r="D221" s="519" t="s">
        <v>34</v>
      </c>
      <c r="E221" s="521" t="s">
        <v>44</v>
      </c>
      <c r="F221" s="551" t="s">
        <v>428</v>
      </c>
      <c r="G221" s="519"/>
      <c r="H221" s="519"/>
      <c r="I221" s="553"/>
    </row>
    <row r="222" spans="1:9" x14ac:dyDescent="0.25">
      <c r="A222" s="549">
        <v>12.461</v>
      </c>
      <c r="B222" s="338" t="s">
        <v>679</v>
      </c>
      <c r="C222" s="519" t="s">
        <v>280</v>
      </c>
      <c r="D222" s="519" t="s">
        <v>34</v>
      </c>
      <c r="E222" s="521" t="s">
        <v>44</v>
      </c>
      <c r="F222" s="551" t="s">
        <v>428</v>
      </c>
      <c r="G222" s="519"/>
      <c r="H222" s="519"/>
      <c r="I222" s="553"/>
    </row>
    <row r="223" spans="1:9" x14ac:dyDescent="0.25">
      <c r="A223" s="549">
        <v>12.462</v>
      </c>
      <c r="B223" s="338" t="s">
        <v>680</v>
      </c>
      <c r="C223" s="519" t="s">
        <v>284</v>
      </c>
      <c r="D223" s="519" t="s">
        <v>47</v>
      </c>
      <c r="E223" s="521" t="s">
        <v>44</v>
      </c>
      <c r="F223" s="551" t="s">
        <v>425</v>
      </c>
      <c r="G223" s="519"/>
      <c r="H223" s="519"/>
      <c r="I223" s="553" t="s">
        <v>327</v>
      </c>
    </row>
    <row r="224" spans="1:9" x14ac:dyDescent="0.25">
      <c r="A224" s="549">
        <v>12.462999999999999</v>
      </c>
      <c r="B224" s="338" t="s">
        <v>681</v>
      </c>
      <c r="C224" s="519" t="s">
        <v>280</v>
      </c>
      <c r="D224" s="519" t="s">
        <v>45</v>
      </c>
      <c r="E224" s="521" t="s">
        <v>44</v>
      </c>
      <c r="F224" s="551" t="s">
        <v>421</v>
      </c>
      <c r="G224" s="519"/>
      <c r="H224" s="519"/>
      <c r="I224" s="553" t="s">
        <v>403</v>
      </c>
    </row>
    <row r="225" spans="1:9" x14ac:dyDescent="0.25">
      <c r="A225" s="549">
        <v>12.464</v>
      </c>
      <c r="B225" s="338" t="s">
        <v>682</v>
      </c>
      <c r="C225" s="519" t="s">
        <v>280</v>
      </c>
      <c r="D225" s="519" t="s">
        <v>34</v>
      </c>
      <c r="E225" s="521" t="s">
        <v>44</v>
      </c>
      <c r="F225" s="551" t="s">
        <v>426</v>
      </c>
      <c r="G225" s="519"/>
      <c r="H225" s="519"/>
      <c r="I225" s="553"/>
    </row>
    <row r="226" spans="1:9" x14ac:dyDescent="0.25">
      <c r="A226" s="549">
        <v>12.465</v>
      </c>
      <c r="B226" s="338" t="s">
        <v>683</v>
      </c>
      <c r="C226" s="519" t="s">
        <v>280</v>
      </c>
      <c r="D226" s="519" t="s">
        <v>34</v>
      </c>
      <c r="E226" s="521" t="s">
        <v>44</v>
      </c>
      <c r="F226" s="551" t="s">
        <v>426</v>
      </c>
      <c r="G226" s="519"/>
      <c r="H226" s="519"/>
      <c r="I226" s="553"/>
    </row>
    <row r="227" spans="1:9" x14ac:dyDescent="0.25">
      <c r="A227" s="549">
        <v>12.465999999999999</v>
      </c>
      <c r="B227" s="338" t="s">
        <v>684</v>
      </c>
      <c r="C227" s="519" t="s">
        <v>280</v>
      </c>
      <c r="D227" s="519" t="s">
        <v>34</v>
      </c>
      <c r="E227" s="521" t="s">
        <v>44</v>
      </c>
      <c r="F227" s="551" t="s">
        <v>421</v>
      </c>
      <c r="G227" s="519"/>
      <c r="H227" s="519"/>
      <c r="I227" s="553" t="s">
        <v>685</v>
      </c>
    </row>
    <row r="228" spans="1:9" x14ac:dyDescent="0.25">
      <c r="A228" s="549">
        <v>12.467000000000001</v>
      </c>
      <c r="B228" s="338" t="s">
        <v>686</v>
      </c>
      <c r="C228" s="519" t="s">
        <v>259</v>
      </c>
      <c r="D228" s="519" t="s">
        <v>34</v>
      </c>
      <c r="E228" s="521" t="s">
        <v>44</v>
      </c>
      <c r="F228" s="551" t="s">
        <v>421</v>
      </c>
      <c r="G228" s="519"/>
      <c r="H228" s="519"/>
      <c r="I228" s="553"/>
    </row>
    <row r="229" spans="1:9" x14ac:dyDescent="0.25">
      <c r="A229" s="549">
        <v>12.468</v>
      </c>
      <c r="B229" s="338" t="s">
        <v>687</v>
      </c>
      <c r="C229" s="519" t="s">
        <v>280</v>
      </c>
      <c r="D229" s="519" t="s">
        <v>45</v>
      </c>
      <c r="E229" s="521" t="s">
        <v>44</v>
      </c>
      <c r="F229" s="551" t="s">
        <v>421</v>
      </c>
      <c r="G229" s="519"/>
      <c r="H229" s="519"/>
      <c r="I229" s="553" t="s">
        <v>406</v>
      </c>
    </row>
    <row r="230" spans="1:9" x14ac:dyDescent="0.25">
      <c r="A230" s="549">
        <v>12.468999999999999</v>
      </c>
      <c r="B230" s="338" t="s">
        <v>688</v>
      </c>
      <c r="C230" s="519" t="s">
        <v>280</v>
      </c>
      <c r="D230" s="519" t="s">
        <v>34</v>
      </c>
      <c r="E230" s="521" t="s">
        <v>44</v>
      </c>
      <c r="F230" s="551" t="s">
        <v>426</v>
      </c>
      <c r="G230" s="519"/>
      <c r="H230" s="519"/>
      <c r="I230" s="553"/>
    </row>
    <row r="231" spans="1:9" x14ac:dyDescent="0.25">
      <c r="A231" s="549">
        <v>12.47</v>
      </c>
      <c r="B231" s="338" t="s">
        <v>689</v>
      </c>
      <c r="C231" s="519" t="s">
        <v>259</v>
      </c>
      <c r="D231" s="519" t="s">
        <v>34</v>
      </c>
      <c r="E231" s="521" t="s">
        <v>44</v>
      </c>
      <c r="F231" s="551" t="s">
        <v>420</v>
      </c>
      <c r="G231" s="519"/>
      <c r="H231" s="519"/>
      <c r="I231" s="553"/>
    </row>
    <row r="232" spans="1:9" x14ac:dyDescent="0.25">
      <c r="A232" s="549">
        <v>12.471</v>
      </c>
      <c r="B232" s="338" t="s">
        <v>690</v>
      </c>
      <c r="C232" s="519" t="s">
        <v>280</v>
      </c>
      <c r="D232" s="519" t="s">
        <v>34</v>
      </c>
      <c r="E232" s="521" t="s">
        <v>44</v>
      </c>
      <c r="F232" s="551" t="s">
        <v>427</v>
      </c>
      <c r="G232" s="519"/>
      <c r="H232" s="519"/>
      <c r="I232" s="553"/>
    </row>
    <row r="233" spans="1:9" x14ac:dyDescent="0.25">
      <c r="A233" s="549">
        <v>12.473000000000001</v>
      </c>
      <c r="B233" s="338" t="s">
        <v>691</v>
      </c>
      <c r="C233" s="519" t="s">
        <v>259</v>
      </c>
      <c r="D233" s="519" t="s">
        <v>34</v>
      </c>
      <c r="E233" s="521" t="s">
        <v>44</v>
      </c>
      <c r="F233" s="551" t="s">
        <v>420</v>
      </c>
      <c r="G233" s="519"/>
      <c r="H233" s="519"/>
      <c r="I233" s="553"/>
    </row>
    <row r="234" spans="1:9" x14ac:dyDescent="0.25">
      <c r="A234" s="549">
        <v>12.474</v>
      </c>
      <c r="B234" s="338" t="s">
        <v>692</v>
      </c>
      <c r="C234" s="519" t="s">
        <v>280</v>
      </c>
      <c r="D234" s="519" t="s">
        <v>34</v>
      </c>
      <c r="E234" s="521" t="s">
        <v>44</v>
      </c>
      <c r="F234" s="551" t="s">
        <v>426</v>
      </c>
      <c r="G234" s="519"/>
      <c r="H234" s="519"/>
      <c r="I234" s="553"/>
    </row>
    <row r="235" spans="1:9" x14ac:dyDescent="0.25">
      <c r="A235" s="549">
        <v>12.475</v>
      </c>
      <c r="B235" s="338" t="s">
        <v>693</v>
      </c>
      <c r="C235" s="519" t="s">
        <v>259</v>
      </c>
      <c r="D235" s="519" t="s">
        <v>34</v>
      </c>
      <c r="E235" s="521" t="s">
        <v>44</v>
      </c>
      <c r="F235" s="551" t="s">
        <v>420</v>
      </c>
      <c r="G235" s="519"/>
      <c r="H235" s="519"/>
      <c r="I235" s="553"/>
    </row>
    <row r="236" spans="1:9" x14ac:dyDescent="0.25">
      <c r="A236" s="549">
        <v>12.476000000000001</v>
      </c>
      <c r="B236" s="338" t="s">
        <v>694</v>
      </c>
      <c r="C236" s="519" t="s">
        <v>284</v>
      </c>
      <c r="D236" s="519" t="s">
        <v>34</v>
      </c>
      <c r="E236" s="521" t="s">
        <v>44</v>
      </c>
      <c r="F236" s="551" t="s">
        <v>425</v>
      </c>
      <c r="G236" s="519"/>
      <c r="H236" s="519"/>
      <c r="I236" s="553"/>
    </row>
    <row r="237" spans="1:9" x14ac:dyDescent="0.25">
      <c r="A237" s="549">
        <v>12.477</v>
      </c>
      <c r="B237" s="338" t="s">
        <v>695</v>
      </c>
      <c r="C237" s="519" t="s">
        <v>284</v>
      </c>
      <c r="D237" s="519" t="s">
        <v>45</v>
      </c>
      <c r="E237" s="521" t="s">
        <v>44</v>
      </c>
      <c r="F237" s="551" t="s">
        <v>421</v>
      </c>
      <c r="G237" s="519"/>
      <c r="H237" s="519"/>
      <c r="I237" s="553" t="s">
        <v>341</v>
      </c>
    </row>
    <row r="238" spans="1:9" x14ac:dyDescent="0.25">
      <c r="A238" s="549">
        <v>12.478999999999999</v>
      </c>
      <c r="B238" s="338" t="s">
        <v>696</v>
      </c>
      <c r="C238" s="519" t="s">
        <v>280</v>
      </c>
      <c r="D238" s="519" t="s">
        <v>34</v>
      </c>
      <c r="E238" s="521" t="s">
        <v>44</v>
      </c>
      <c r="F238" s="551" t="s">
        <v>420</v>
      </c>
      <c r="G238" s="519"/>
      <c r="H238" s="519"/>
      <c r="I238" s="553"/>
    </row>
    <row r="239" spans="1:9" x14ac:dyDescent="0.25">
      <c r="A239" s="549">
        <v>12.48</v>
      </c>
      <c r="B239" s="338" t="s">
        <v>697</v>
      </c>
      <c r="C239" s="519" t="s">
        <v>284</v>
      </c>
      <c r="D239" s="519" t="s">
        <v>47</v>
      </c>
      <c r="E239" s="521" t="s">
        <v>44</v>
      </c>
      <c r="F239" s="551" t="s">
        <v>421</v>
      </c>
      <c r="G239" s="519"/>
      <c r="H239" s="519"/>
      <c r="I239" s="553" t="s">
        <v>698</v>
      </c>
    </row>
    <row r="240" spans="1:9" x14ac:dyDescent="0.25">
      <c r="A240" s="549">
        <v>12.483000000000001</v>
      </c>
      <c r="B240" s="338" t="s">
        <v>699</v>
      </c>
      <c r="C240" s="519" t="s">
        <v>284</v>
      </c>
      <c r="D240" s="519" t="s">
        <v>34</v>
      </c>
      <c r="E240" s="521" t="s">
        <v>44</v>
      </c>
      <c r="F240" s="551" t="s">
        <v>421</v>
      </c>
      <c r="G240" s="519"/>
      <c r="H240" s="519"/>
      <c r="I240" s="553"/>
    </row>
    <row r="241" spans="1:9" x14ac:dyDescent="0.25">
      <c r="A241" s="549">
        <v>12.484</v>
      </c>
      <c r="B241" s="338" t="s">
        <v>700</v>
      </c>
      <c r="C241" s="519" t="s">
        <v>259</v>
      </c>
      <c r="D241" s="519" t="s">
        <v>34</v>
      </c>
      <c r="E241" s="521" t="s">
        <v>44</v>
      </c>
      <c r="F241" s="551" t="s">
        <v>420</v>
      </c>
      <c r="G241" s="519"/>
      <c r="H241" s="519"/>
      <c r="I241" s="553"/>
    </row>
    <row r="242" spans="1:9" x14ac:dyDescent="0.25">
      <c r="A242" s="549">
        <v>12.484999999999999</v>
      </c>
      <c r="B242" s="338" t="s">
        <v>701</v>
      </c>
      <c r="C242" s="519" t="s">
        <v>284</v>
      </c>
      <c r="D242" s="519" t="s">
        <v>47</v>
      </c>
      <c r="E242" s="521" t="s">
        <v>44</v>
      </c>
      <c r="F242" s="551" t="s">
        <v>421</v>
      </c>
      <c r="G242" s="519"/>
      <c r="H242" s="519"/>
      <c r="I242" s="553" t="s">
        <v>347</v>
      </c>
    </row>
    <row r="243" spans="1:9" x14ac:dyDescent="0.25">
      <c r="A243" s="549">
        <v>12.486000000000001</v>
      </c>
      <c r="B243" s="338" t="s">
        <v>702</v>
      </c>
      <c r="C243" s="519" t="s">
        <v>259</v>
      </c>
      <c r="D243" s="519" t="s">
        <v>47</v>
      </c>
      <c r="E243" s="521" t="s">
        <v>44</v>
      </c>
      <c r="F243" s="551" t="s">
        <v>421</v>
      </c>
      <c r="G243" s="519"/>
      <c r="H243" s="519"/>
      <c r="I243" s="553" t="s">
        <v>347</v>
      </c>
    </row>
    <row r="244" spans="1:9" x14ac:dyDescent="0.25">
      <c r="A244" s="549">
        <v>12.487</v>
      </c>
      <c r="B244" s="338" t="s">
        <v>703</v>
      </c>
      <c r="C244" s="519" t="s">
        <v>284</v>
      </c>
      <c r="D244" s="519" t="s">
        <v>34</v>
      </c>
      <c r="E244" s="521" t="s">
        <v>44</v>
      </c>
      <c r="F244" s="551" t="s">
        <v>425</v>
      </c>
      <c r="G244" s="519"/>
      <c r="H244" s="519"/>
      <c r="I244" s="553"/>
    </row>
    <row r="245" spans="1:9" x14ac:dyDescent="0.25">
      <c r="A245" s="549">
        <v>12.488</v>
      </c>
      <c r="B245" s="338" t="s">
        <v>704</v>
      </c>
      <c r="C245" s="519" t="s">
        <v>284</v>
      </c>
      <c r="D245" s="519" t="s">
        <v>34</v>
      </c>
      <c r="E245" s="521" t="s">
        <v>44</v>
      </c>
      <c r="F245" s="551" t="s">
        <v>425</v>
      </c>
      <c r="G245" s="519"/>
      <c r="H245" s="519"/>
      <c r="I245" s="553"/>
    </row>
    <row r="246" spans="1:9" x14ac:dyDescent="0.25">
      <c r="A246" s="549">
        <v>12.489000000000001</v>
      </c>
      <c r="B246" s="338" t="s">
        <v>705</v>
      </c>
      <c r="C246" s="519" t="s">
        <v>284</v>
      </c>
      <c r="D246" s="519" t="s">
        <v>47</v>
      </c>
      <c r="E246" s="521" t="s">
        <v>44</v>
      </c>
      <c r="F246" s="551" t="s">
        <v>423</v>
      </c>
      <c r="G246" s="519"/>
      <c r="H246" s="519"/>
      <c r="I246" s="553" t="s">
        <v>375</v>
      </c>
    </row>
    <row r="247" spans="1:9" x14ac:dyDescent="0.25">
      <c r="A247" s="549">
        <v>12.49</v>
      </c>
      <c r="B247" s="338" t="s">
        <v>706</v>
      </c>
      <c r="C247" s="519" t="s">
        <v>280</v>
      </c>
      <c r="D247" s="519" t="s">
        <v>47</v>
      </c>
      <c r="E247" s="521" t="s">
        <v>44</v>
      </c>
      <c r="F247" s="551" t="s">
        <v>707</v>
      </c>
      <c r="G247" s="519"/>
      <c r="H247" s="519"/>
      <c r="I247" s="553" t="s">
        <v>708</v>
      </c>
    </row>
    <row r="248" spans="1:9" x14ac:dyDescent="0.25">
      <c r="A248" s="549">
        <v>12.493</v>
      </c>
      <c r="B248" s="338" t="s">
        <v>709</v>
      </c>
      <c r="C248" s="519" t="s">
        <v>284</v>
      </c>
      <c r="D248" s="519" t="s">
        <v>34</v>
      </c>
      <c r="E248" s="521" t="s">
        <v>44</v>
      </c>
      <c r="F248" s="551" t="s">
        <v>421</v>
      </c>
      <c r="G248" s="519"/>
      <c r="H248" s="519"/>
      <c r="I248" s="553" t="s">
        <v>710</v>
      </c>
    </row>
    <row r="249" spans="1:9" x14ac:dyDescent="0.25">
      <c r="A249" s="549">
        <v>12.494</v>
      </c>
      <c r="B249" s="338" t="s">
        <v>711</v>
      </c>
      <c r="C249" s="519" t="s">
        <v>284</v>
      </c>
      <c r="D249" s="519" t="s">
        <v>34</v>
      </c>
      <c r="E249" s="521" t="s">
        <v>44</v>
      </c>
      <c r="F249" s="551" t="s">
        <v>421</v>
      </c>
      <c r="G249" s="519"/>
      <c r="H249" s="519"/>
      <c r="I249" s="553"/>
    </row>
    <row r="250" spans="1:9" x14ac:dyDescent="0.25">
      <c r="A250" s="549">
        <v>12.494999999999999</v>
      </c>
      <c r="B250" s="338" t="s">
        <v>712</v>
      </c>
      <c r="C250" s="519" t="s">
        <v>280</v>
      </c>
      <c r="D250" s="519" t="s">
        <v>45</v>
      </c>
      <c r="E250" s="521" t="s">
        <v>44</v>
      </c>
      <c r="F250" s="551" t="s">
        <v>421</v>
      </c>
      <c r="G250" s="519"/>
      <c r="H250" s="519"/>
      <c r="I250" s="553" t="s">
        <v>415</v>
      </c>
    </row>
    <row r="251" spans="1:9" ht="18" customHeight="1" x14ac:dyDescent="0.25">
      <c r="A251" s="549">
        <v>12.497</v>
      </c>
      <c r="B251" s="338" t="s">
        <v>713</v>
      </c>
      <c r="C251" s="519" t="s">
        <v>259</v>
      </c>
      <c r="D251" s="519" t="s">
        <v>34</v>
      </c>
      <c r="E251" s="521" t="s">
        <v>44</v>
      </c>
      <c r="F251" s="551" t="s">
        <v>420</v>
      </c>
      <c r="G251" s="519"/>
      <c r="H251" s="519"/>
      <c r="I251" s="553"/>
    </row>
    <row r="252" spans="1:9" ht="21" customHeight="1" x14ac:dyDescent="0.25">
      <c r="A252" s="549">
        <v>12.497999999999999</v>
      </c>
      <c r="B252" s="338" t="s">
        <v>714</v>
      </c>
      <c r="C252" s="519" t="s">
        <v>259</v>
      </c>
      <c r="D252" s="519" t="s">
        <v>34</v>
      </c>
      <c r="E252" s="521" t="s">
        <v>44</v>
      </c>
      <c r="F252" s="551" t="s">
        <v>425</v>
      </c>
      <c r="G252" s="519"/>
      <c r="H252" s="519"/>
      <c r="I252" s="553"/>
    </row>
    <row r="253" spans="1:9" ht="21" customHeight="1" x14ac:dyDescent="0.25">
      <c r="A253" s="549">
        <v>12.499000000000001</v>
      </c>
      <c r="B253" s="338" t="s">
        <v>715</v>
      </c>
      <c r="C253" s="519" t="s">
        <v>280</v>
      </c>
      <c r="D253" s="519" t="s">
        <v>34</v>
      </c>
      <c r="E253" s="521" t="s">
        <v>44</v>
      </c>
      <c r="F253" s="551" t="s">
        <v>420</v>
      </c>
      <c r="G253" s="519"/>
      <c r="H253" s="519"/>
      <c r="I253" s="553"/>
    </row>
    <row r="254" spans="1:9" ht="49.5" customHeight="1" x14ac:dyDescent="0.25">
      <c r="A254" s="549">
        <v>12.5</v>
      </c>
      <c r="B254" s="338" t="s">
        <v>716</v>
      </c>
      <c r="C254" s="519" t="s">
        <v>280</v>
      </c>
      <c r="D254" s="519" t="s">
        <v>47</v>
      </c>
      <c r="E254" s="521" t="s">
        <v>44</v>
      </c>
      <c r="F254" s="551" t="s">
        <v>420</v>
      </c>
      <c r="G254" s="519"/>
      <c r="H254" s="519"/>
      <c r="I254" s="553" t="s">
        <v>412</v>
      </c>
    </row>
    <row r="255" spans="1:9" x14ac:dyDescent="0.25">
      <c r="A255" s="549"/>
      <c r="B255" s="338"/>
      <c r="C255" s="519"/>
      <c r="D255" s="519"/>
      <c r="E255" s="521"/>
      <c r="F255" s="551"/>
      <c r="G255" s="519"/>
      <c r="H255" s="519"/>
      <c r="I255" s="553"/>
    </row>
    <row r="256" spans="1:9" x14ac:dyDescent="0.25">
      <c r="A256" s="549"/>
      <c r="B256" s="338"/>
      <c r="C256" s="519"/>
      <c r="D256" s="519"/>
      <c r="E256" s="521"/>
      <c r="F256" s="551"/>
      <c r="G256" s="519"/>
      <c r="H256" s="519"/>
      <c r="I256" s="553"/>
    </row>
    <row r="257" spans="1:9" x14ac:dyDescent="0.25">
      <c r="A257" s="549"/>
      <c r="B257" s="338"/>
      <c r="C257" s="519"/>
      <c r="D257" s="519"/>
      <c r="E257" s="521"/>
      <c r="F257" s="551"/>
      <c r="G257" s="519"/>
      <c r="H257" s="519"/>
      <c r="I257" s="553"/>
    </row>
    <row r="258" spans="1:9" x14ac:dyDescent="0.25">
      <c r="A258" s="549"/>
      <c r="B258" s="338"/>
      <c r="C258" s="519"/>
      <c r="D258" s="519"/>
      <c r="E258" s="521"/>
      <c r="F258" s="551"/>
      <c r="G258" s="519"/>
      <c r="H258" s="519"/>
      <c r="I258" s="553"/>
    </row>
    <row r="259" spans="1:9" x14ac:dyDescent="0.25">
      <c r="A259" s="549"/>
      <c r="B259" s="338"/>
      <c r="C259" s="519"/>
      <c r="D259" s="519"/>
      <c r="E259" s="521"/>
      <c r="F259" s="551"/>
      <c r="G259" s="519"/>
      <c r="H259" s="519"/>
      <c r="I259" s="553"/>
    </row>
    <row r="260" spans="1:9" x14ac:dyDescent="0.25">
      <c r="A260" s="549"/>
      <c r="B260" s="338"/>
      <c r="C260" s="519"/>
      <c r="D260" s="519"/>
      <c r="E260" s="521"/>
      <c r="F260" s="551"/>
      <c r="G260" s="519"/>
      <c r="H260" s="519"/>
      <c r="I260" s="553"/>
    </row>
    <row r="261" spans="1:9" x14ac:dyDescent="0.25">
      <c r="A261" s="549"/>
      <c r="B261" s="338"/>
      <c r="C261" s="519"/>
      <c r="D261" s="519"/>
      <c r="E261" s="521"/>
      <c r="F261" s="551"/>
      <c r="G261" s="519"/>
      <c r="H261" s="519"/>
      <c r="I261" s="553"/>
    </row>
    <row r="262" spans="1:9" x14ac:dyDescent="0.25">
      <c r="A262" s="549"/>
      <c r="B262" s="338"/>
      <c r="C262" s="519"/>
      <c r="D262" s="519"/>
      <c r="E262" s="521"/>
      <c r="F262" s="551"/>
      <c r="G262" s="519"/>
      <c r="H262" s="519"/>
      <c r="I262" s="553"/>
    </row>
    <row r="263" spans="1:9" x14ac:dyDescent="0.25">
      <c r="A263" s="549"/>
      <c r="B263" s="338"/>
      <c r="C263" s="519"/>
      <c r="D263" s="519"/>
      <c r="E263" s="521"/>
      <c r="F263" s="551"/>
      <c r="G263" s="519"/>
      <c r="H263" s="519"/>
      <c r="I263" s="553"/>
    </row>
    <row r="264" spans="1:9" x14ac:dyDescent="0.25">
      <c r="A264" s="549"/>
      <c r="B264" s="338"/>
      <c r="C264" s="519"/>
      <c r="D264" s="519"/>
      <c r="E264" s="521"/>
      <c r="F264" s="551"/>
      <c r="G264" s="519"/>
      <c r="H264" s="519"/>
      <c r="I264" s="553"/>
    </row>
    <row r="265" spans="1:9" x14ac:dyDescent="0.25">
      <c r="A265" s="549"/>
      <c r="B265" s="338"/>
      <c r="C265" s="519"/>
      <c r="D265" s="519"/>
      <c r="E265" s="521"/>
      <c r="F265" s="551"/>
      <c r="G265" s="519"/>
      <c r="H265" s="519"/>
      <c r="I265" s="553"/>
    </row>
  </sheetData>
  <autoFilter ref="A2:I254" xr:uid="{00000000-0001-0000-0300-000000000000}"/>
  <mergeCells count="5">
    <mergeCell ref="K4:K6"/>
    <mergeCell ref="K7:K10"/>
    <mergeCell ref="K11:K13"/>
    <mergeCell ref="L14:M14"/>
    <mergeCell ref="A1:M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D3:D265</xm:sqref>
        </x14:dataValidation>
        <x14:dataValidation type="list" allowBlank="1" showInputMessage="1" showErrorMessage="1" xr:uid="{AA1AC074-A7B7-4C8D-9132-118B458773B2}">
          <x14:formula1>
            <xm:f>'List Options'!$G$1:$G$3</xm:f>
          </x14:formula1>
          <xm:sqref>E3:E265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279"/>
  <sheetViews>
    <sheetView workbookViewId="0">
      <pane xSplit="4" ySplit="6" topLeftCell="P36" activePane="bottomRight" state="frozen"/>
      <selection pane="topRight" activeCell="D1" sqref="D1"/>
      <selection pane="bottomLeft" activeCell="A3" sqref="A3"/>
      <selection pane="bottomRight" activeCell="A40" sqref="A40"/>
    </sheetView>
  </sheetViews>
  <sheetFormatPr defaultColWidth="8.42578125" defaultRowHeight="15" x14ac:dyDescent="0.25"/>
  <cols>
    <col min="1" max="1" width="16.5703125" style="182" bestFit="1" customWidth="1"/>
    <col min="2" max="2" width="28.42578125" style="191" bestFit="1" customWidth="1"/>
    <col min="3" max="3" width="9.5703125" style="191" bestFit="1" customWidth="1"/>
    <col min="4" max="4" width="34" style="182" bestFit="1" customWidth="1"/>
    <col min="5" max="5" width="14.42578125" style="191" bestFit="1" customWidth="1"/>
    <col min="6" max="7" width="11.42578125" style="191" bestFit="1" customWidth="1"/>
    <col min="8" max="8" width="14.42578125" style="191" bestFit="1" customWidth="1"/>
    <col min="9" max="9" width="8.42578125" style="193" bestFit="1" customWidth="1"/>
    <col min="10" max="10" width="20" style="193" bestFit="1" customWidth="1"/>
    <col min="11" max="11" width="13.42578125" style="197" customWidth="1"/>
    <col min="12" max="12" width="15.42578125" style="197" customWidth="1"/>
    <col min="13" max="13" width="12" style="198" bestFit="1" customWidth="1"/>
    <col min="14" max="14" width="10.5703125" style="198" bestFit="1" customWidth="1"/>
    <col min="15" max="15" width="13.42578125" style="197" bestFit="1" customWidth="1"/>
    <col min="16" max="16" width="12.5703125" style="80" bestFit="1" customWidth="1"/>
    <col min="17" max="17" width="10.5703125" style="80" bestFit="1" customWidth="1"/>
    <col min="18" max="19" width="13.42578125" style="201" bestFit="1" customWidth="1"/>
    <col min="20" max="20" width="13.5703125" style="202" bestFit="1" customWidth="1"/>
    <col min="21" max="21" width="9.5703125" style="182" customWidth="1"/>
    <col min="22" max="22" width="45.5703125" style="182" customWidth="1"/>
    <col min="23" max="16384" width="8.42578125" style="182"/>
  </cols>
  <sheetData>
    <row r="1" spans="1:23" s="177" customFormat="1" ht="19.5" thickBot="1" x14ac:dyDescent="0.3">
      <c r="A1" s="613" t="s">
        <v>717</v>
      </c>
      <c r="B1" s="614"/>
      <c r="C1" s="614"/>
      <c r="D1" s="614"/>
      <c r="E1" s="614"/>
      <c r="F1" s="614"/>
      <c r="G1" s="614"/>
      <c r="H1" s="614"/>
      <c r="I1" s="614"/>
      <c r="J1" s="614"/>
      <c r="K1" s="614"/>
      <c r="L1" s="614"/>
      <c r="M1" s="614"/>
      <c r="N1" s="614"/>
      <c r="O1" s="614"/>
      <c r="P1" s="614"/>
      <c r="Q1" s="614"/>
      <c r="R1" s="614"/>
      <c r="S1" s="614"/>
      <c r="T1" s="614"/>
      <c r="U1" s="615"/>
      <c r="V1" s="545"/>
    </row>
    <row r="2" spans="1:23" s="188" customFormat="1" ht="18.75" x14ac:dyDescent="0.25">
      <c r="A2" s="671" t="s">
        <v>302</v>
      </c>
      <c r="B2" s="672"/>
      <c r="C2" s="672"/>
      <c r="D2" s="672"/>
      <c r="E2" s="672"/>
      <c r="F2" s="673"/>
      <c r="G2" s="394">
        <f>COUNTIF(G7:G274,"Yes")</f>
        <v>252</v>
      </c>
      <c r="H2" s="394">
        <f>COUNTIF(H7:H274,"Yes")</f>
        <v>252</v>
      </c>
      <c r="I2" s="702">
        <f>'Diags Raw Data'!K80</f>
        <v>65</v>
      </c>
      <c r="J2" s="710">
        <f>'Diags Raw Data'!L80</f>
        <v>349</v>
      </c>
      <c r="K2" s="712">
        <f>'Diags Raw Data'!N80</f>
        <v>1</v>
      </c>
      <c r="L2" s="714">
        <f>'Diags Raw Data'!P80</f>
        <v>0.94692307692307687</v>
      </c>
      <c r="M2" s="716">
        <f>'Diags Raw Data'!R80</f>
        <v>236</v>
      </c>
      <c r="N2" s="686">
        <f>SUM('Diags Raw Data'!T80+'Diags Raw Data'!U80)</f>
        <v>177</v>
      </c>
      <c r="O2" s="706">
        <f>IF((M277=0),0,N277/M277)</f>
        <v>0.75</v>
      </c>
      <c r="P2" s="708">
        <f>'Diags Raw Data'!Z80</f>
        <v>57</v>
      </c>
      <c r="Q2" s="700">
        <f>SUM('Diags Raw Data'!AA80+'Diags Raw Data'!AB80)</f>
        <v>55</v>
      </c>
      <c r="R2" s="696">
        <f>IF((J277=0),0,P277/J277)</f>
        <v>0.16332378223495703</v>
      </c>
      <c r="S2" s="696">
        <f>IF((P277=0),0,Q277/P277)</f>
        <v>0.96491228070175439</v>
      </c>
      <c r="T2" s="696">
        <f>R277*S277</f>
        <v>0.15759312320916907</v>
      </c>
      <c r="U2" s="698"/>
      <c r="V2" s="688" t="s">
        <v>718</v>
      </c>
      <c r="W2" s="187"/>
    </row>
    <row r="3" spans="1:23" ht="19.5" thickBot="1" x14ac:dyDescent="0.3">
      <c r="A3" s="674"/>
      <c r="B3" s="675"/>
      <c r="C3" s="675"/>
      <c r="D3" s="675"/>
      <c r="E3" s="675"/>
      <c r="F3" s="676"/>
      <c r="G3" s="395">
        <f>COUNTIF(G7:G274,"Yes")/COUNTA(A7:A274)</f>
        <v>1</v>
      </c>
      <c r="H3" s="395">
        <f>(COUNTIF(H7:H274,"Yes")/G277)</f>
        <v>1</v>
      </c>
      <c r="I3" s="703"/>
      <c r="J3" s="711"/>
      <c r="K3" s="713"/>
      <c r="L3" s="715"/>
      <c r="M3" s="717"/>
      <c r="N3" s="687"/>
      <c r="O3" s="707"/>
      <c r="P3" s="709"/>
      <c r="Q3" s="701"/>
      <c r="R3" s="697"/>
      <c r="S3" s="697"/>
      <c r="T3" s="697"/>
      <c r="U3" s="699"/>
      <c r="V3" s="689"/>
      <c r="W3" s="181"/>
    </row>
    <row r="4" spans="1:23" ht="19.5" thickBot="1" x14ac:dyDescent="0.3">
      <c r="A4" s="616" t="s">
        <v>719</v>
      </c>
      <c r="B4" s="617"/>
      <c r="C4" s="617"/>
      <c r="D4" s="617"/>
      <c r="E4" s="617"/>
      <c r="F4" s="617"/>
      <c r="G4" s="617"/>
      <c r="H4" s="617"/>
      <c r="I4" s="617"/>
      <c r="J4" s="617"/>
      <c r="K4" s="617"/>
      <c r="L4" s="617"/>
      <c r="M4" s="617"/>
      <c r="N4" s="617"/>
      <c r="O4" s="617"/>
      <c r="P4" s="617"/>
      <c r="Q4" s="617"/>
      <c r="R4" s="617"/>
      <c r="S4" s="617"/>
      <c r="T4" s="617"/>
      <c r="U4" s="618"/>
      <c r="V4" s="546"/>
    </row>
    <row r="5" spans="1:23" s="177" customFormat="1" ht="31.5" customHeight="1" thickBot="1" x14ac:dyDescent="0.3">
      <c r="A5" s="662" t="s">
        <v>76</v>
      </c>
      <c r="B5" s="663"/>
      <c r="C5" s="663"/>
      <c r="D5" s="663"/>
      <c r="E5" s="663"/>
      <c r="F5" s="663"/>
      <c r="G5" s="663"/>
      <c r="H5" s="663"/>
      <c r="I5" s="663"/>
      <c r="J5" s="664"/>
      <c r="K5" s="660" t="s">
        <v>113</v>
      </c>
      <c r="L5" s="661"/>
      <c r="M5" s="665" t="s">
        <v>124</v>
      </c>
      <c r="N5" s="666"/>
      <c r="O5" s="667"/>
      <c r="P5" s="668" t="s">
        <v>144</v>
      </c>
      <c r="Q5" s="669"/>
      <c r="R5" s="669"/>
      <c r="S5" s="669"/>
      <c r="T5" s="669"/>
      <c r="U5" s="670"/>
      <c r="V5" s="176"/>
    </row>
    <row r="6" spans="1:23" s="179" customFormat="1" ht="15.75" thickBot="1" x14ac:dyDescent="0.3">
      <c r="A6" s="350" t="s">
        <v>77</v>
      </c>
      <c r="B6" s="377" t="s">
        <v>81</v>
      </c>
      <c r="C6" s="377" t="s">
        <v>96</v>
      </c>
      <c r="D6" s="377" t="s">
        <v>212</v>
      </c>
      <c r="E6" s="377" t="s">
        <v>88</v>
      </c>
      <c r="F6" s="377" t="s">
        <v>1</v>
      </c>
      <c r="G6" s="378" t="s">
        <v>215</v>
      </c>
      <c r="H6" s="378" t="s">
        <v>218</v>
      </c>
      <c r="I6" s="379" t="s">
        <v>105</v>
      </c>
      <c r="J6" s="379" t="s">
        <v>221</v>
      </c>
      <c r="K6" s="351" t="s">
        <v>114</v>
      </c>
      <c r="L6" s="352" t="s">
        <v>121</v>
      </c>
      <c r="M6" s="343" t="s">
        <v>227</v>
      </c>
      <c r="N6" s="344" t="s">
        <v>229</v>
      </c>
      <c r="O6" s="342" t="s">
        <v>187</v>
      </c>
      <c r="P6" s="353" t="s">
        <v>232</v>
      </c>
      <c r="Q6" s="345" t="s">
        <v>229</v>
      </c>
      <c r="R6" s="346" t="s">
        <v>184</v>
      </c>
      <c r="S6" s="346" t="s">
        <v>140</v>
      </c>
      <c r="T6" s="347" t="s">
        <v>187</v>
      </c>
      <c r="U6" s="348" t="s">
        <v>157</v>
      </c>
      <c r="V6" s="178"/>
    </row>
    <row r="7" spans="1:23" ht="409.6" thickBot="1" x14ac:dyDescent="0.3">
      <c r="A7" s="548">
        <v>12</v>
      </c>
      <c r="B7" s="431" t="str">
        <f>VLOOKUP(A7,'Feature Raw Data'!$A$3:$B$3922,2,FALSE)</f>
        <v>Navi4x configuration changes</v>
      </c>
      <c r="C7" s="432" t="str">
        <f>VLOOKUP(A7,'Feature Raw Data'!$A$3:$C$3922,3,FALSE)</f>
        <v>P1</v>
      </c>
      <c r="D7" s="433" t="str" cm="1">
        <f t="array" ref="D7">_xlfn.TEXTJOIN("",TRUE,IF(ISNUMBER(SEARCH($A7,'Diags Raw Data'!$A$6:$A$3690)),CONCATENATE('Diags Raw Data'!$H$6:$H$3690,", "),""))</f>
        <v xml:space="preserve">spi2010,spi2011, spi2020,spi2021, gfx.inst_perf/v_sad.*,gfx.inst_perf/v_swap.*,gfx.inst_perf/v_perm.*,gfx.inst_perf/v_sat_pk_u8_i16,gfx.inst_perf/v_max.*,gfx.inst_perf/v_sub_co_ci_u32.*,gfx.inst_perf/v_med.*,gfx.inst_perf/v_min.*,gfx.inst_perf/v_qsad.*,gfx.inst_perf/v_mqsad.*,gfx.inst_perf/v_mad.*,gfx.inst_perf/v_lerp.*,gfx.inst_perf/v_and.*,gfx.inst_perf/v_.*cndmask_b16,gfx.inst_perf/v_dual.*,gfx.inst_perf/v_frexp.*,gfx.inst_perf/v_alignb.*,gfx.inst_perf/v_div.*,gfx.inst_perf/v_interp.*,gfx.inst_perf/ldexp.*,gfx.inst_perf/v_div.*,gfx.inst_perf/v_fract_f16,gfx.inst_perf/v_add.*, gci950-960.0,for,wave32,.1,for,wave64, gci669.1-12, gfx.red_triangle_draw_composite, navi48.gfx.ge.register_access, STD1.6,GCI30.3, Same,to,12.164, food_store,mountain_range,navi48.gfx.ge.register_access, rlci9.1,::,rlc_firewall_40bit_address,rlci10.1,::,cp_firewall_40bit_address, wgs.6,::,wgs_dispatch_sanity_pm4_01,wgs.8,::,wgs_dispatch_two_pipes_pm4_01,wgs.1,::,wgs_ace_cwsr_pm4_01,wgs.100,::,wgs_dispatch_sanity_tacl_01,wgs.12,::,wgs_gl1_ret_xnack_pm4_01,gci30.3,::linpack_wgs,wgs_interrrupt_tacl,gci22.11,::,shader_memory_copy, gci820.0, gfx.inst_perf/flat_atomic_cond_sub_u32_global,gfx.inst_perf/flat_atomic_sub_clamp_u32_global,gfx.inst_perf/ds_cond_sub_rtn_u32,gfx.inst_perf/ds_sub_clamp_rtn_u32,gci1307.0-3, glxi60.7, glxi60.5, glxi60.6, navi48.gfx.ge.register_access, ge3.0,std4.34, spi2940,spi2941, placeholder_s.1, placeholder_h.1, gfx.ieee_min_max, glxi29.8, gfx.cmm_sax_utcl0_invalidation_monolithic/utcl0_enable, STD1.6,GCI30.3, placeholder_t.1, GCI28.3, std1.6,with,tgre,spm,&amp;,sqtt, glxi86.1-2, std1.6,with,tgre,spm,cp,test,with,spm, rlc1.0, std1.1,with,legacy,pv_proxy, rlc1.0,rlc1.1, gfx.inst_perf/global_load_tr.*, shci2039.4,shci2039.5, gfx.inst_perf/v_dual_mov_b32, std1.6,2.6,3.6,4.6, cs16.0,wgs_gpa3_disable_dispatch_pm4_01, gci1311, placeholder_i.1, rt1.400-401, utci16.1, placeholder_j.1, shci2039.0-3, rt33.0, rt33.1-2, gci1307.4-7, placeholder_k.1-2, spi453, glxi61.1-2, gfx.linpack_gfx_compute, placeholder_l.1-8, placeholder_a.1-108, gci1310, cpi415, gci1309.0-3, gmhub.athub_raw_monolithic_test/CPWD, gfx.sr_stat, gfx.inst_perf/v_wmma_f32_16x16x.*,gfx.inst_perf/v_wmma_i32_16x16x32_iu4,gci39.1-6, placeholder_b.1, txi83, STD1.6, placeholder_c.1, </v>
      </c>
      <c r="E7" s="434" t="e">
        <f>VLOOKUP(A7,'Diags Raw Data'!$A$6:$D$3690,4,FALSE)</f>
        <v>#N/A</v>
      </c>
      <c r="F7" s="434" t="str">
        <f>VLOOKUP(A7,'Feature Raw Data'!$A$3:$E$3922,5,FALSE)</f>
        <v>New</v>
      </c>
      <c r="G7" s="434" t="str">
        <f t="shared" ref="G7:G60" si="0">IF(D7="N/A, ","No","Yes")</f>
        <v>Yes</v>
      </c>
      <c r="H7" s="434" t="str">
        <f t="shared" ref="H7:H62" si="1">IF(D7="N/A, ","No","Yes")</f>
        <v>Yes</v>
      </c>
      <c r="I7" s="432">
        <f>SUMIF('Diags Raw Data'!$A$6:$A$3690,"*"&amp;$A7&amp;"*",'Diags Raw Data'!$K$6:$K$3690)</f>
        <v>0</v>
      </c>
      <c r="J7" s="435">
        <f>SUMIF('Diags Raw Data'!$A$6:$A$3690,"*"&amp;$A7&amp;"*",'Diags Raw Data'!$L$6:$L$3690)</f>
        <v>0</v>
      </c>
      <c r="K7" s="478" t="e" cm="1">
        <f t="array" ref="K7">IF(D7="",0, SUMPRODUCT(--(ISNUMBER(SEARCH($A7,'Diags Raw Data'!$A$6:$A$3690))),'Diags Raw Data'!$L$6:$L$3690,'Diags Raw Data'!$N$6:$N$3690)/J7)</f>
        <v>#DIV/0!</v>
      </c>
      <c r="L7" s="479" t="e" cm="1">
        <f t="array" ref="L7">IF(D7="",0, SUMPRODUCT(--(ISNUMBER(SEARCH($A7,'Diags Raw Data'!$A$6:$A$3690))),'Diags Raw Data'!$L$6:$L$3690,'Diags Raw Data'!$P$6:$P$3690)/J7)</f>
        <v>#DIV/0!</v>
      </c>
      <c r="M7" s="480" cm="1">
        <f t="array" ref="M7">SUMPRODUCT(--(ISNUMBER(SEARCH($A7,'Diags Raw Data'!$A$6:$A$3690))),--('Diags Raw Data'!$Q$6:$Q$3690&lt;&gt;"N/A"),'Diags Raw Data'!$R$6:$R$3690)</f>
        <v>236</v>
      </c>
      <c r="N7" s="481" cm="1">
        <f t="array" ref="N7">SUMPRODUCT(--(ISNUMBER(SEARCH($A7,'Diags Raw Data'!$A$6:$A$3690))),--('Diags Raw Data'!$Q$6:$Q$3690&lt;&gt;"N/A"),'Diags Raw Data'!$T$6:$T$3690)+SUMPRODUCT(--(ISNUMBER(SEARCH($A7,'Diags Raw Data'!$A$6:$A$3690))),--('Diags Raw Data'!$Q$6:$Q$3690&lt;&gt;"N/A"),'Diags Raw Data'!$U$6:$U$3690)</f>
        <v>177</v>
      </c>
      <c r="O7" s="482">
        <f>IF((M7=0),0,N7/M7)</f>
        <v>0.75</v>
      </c>
      <c r="P7" s="483">
        <f>SUMIF('Diags Raw Data'!$A$6:$A$3690,"*"&amp;$A7&amp;"*",'Diags Raw Data'!$Z$6:$Z$3690)</f>
        <v>0</v>
      </c>
      <c r="Q7" s="484">
        <f>SUM(SUMIF('Diags Raw Data'!$A$6:$A$3690,"*"&amp;$A7&amp;"*",'Diags Raw Data'!$AA$6:$AA$3690),SUMIF('Diags Raw Data'!$A$6:$A$3690,"*"&amp;$A7&amp;"*",'Diags Raw Data'!$AB$6:$AB$3690))</f>
        <v>0</v>
      </c>
      <c r="R7" s="485">
        <f>IF((J7=0),0,P7/J7)</f>
        <v>0</v>
      </c>
      <c r="S7" s="485">
        <f>IF((P7=0),0,Q7/P7)</f>
        <v>0</v>
      </c>
      <c r="T7" s="486">
        <f>R7*S7</f>
        <v>0</v>
      </c>
      <c r="U7" s="436" t="e">
        <f>VLOOKUP(A7,'Diags Raw Data'!$A$6:$AH$3690,33,FALSE)</f>
        <v>#N/A</v>
      </c>
      <c r="V7" s="181"/>
    </row>
    <row r="8" spans="1:23" ht="30.75" thickBot="1" x14ac:dyDescent="0.3">
      <c r="A8" s="549">
        <v>12.000999999999999</v>
      </c>
      <c r="B8" s="438" t="str">
        <f>VLOOKUP(A8,'Feature Raw Data'!$A$3:$B$3922,2,FALSE)</f>
        <v xml:space="preserve">Separate color blend opt bits out of CB_COLORn_INFO </v>
      </c>
      <c r="C8" s="439" t="str">
        <f>VLOOKUP(A8,'Feature Raw Data'!$A$3:$C$3922,3,FALSE)</f>
        <v>P1</v>
      </c>
      <c r="D8" s="440" t="str" cm="1">
        <f t="array" ref="D8">_xlfn.TEXTJOIN("",TRUE,IF(ISNUMBER(SEARCH($A8,'Diags Raw Data'!$A$6:$A$3690)),CONCATENATE('Diags Raw Data'!$H$6:$H$3690,", "),""))</f>
        <v/>
      </c>
      <c r="E8" s="340" t="e">
        <f>VLOOKUP(A8,'Diags Raw Data'!$A$6:$D$3690,4,FALSE)</f>
        <v>#N/A</v>
      </c>
      <c r="F8" s="340" t="str">
        <f>VLOOKUP(A8,'Feature Raw Data'!$A$3:$E$3922,5,FALSE)</f>
        <v>New</v>
      </c>
      <c r="G8" s="340" t="str">
        <f t="shared" si="0"/>
        <v>Yes</v>
      </c>
      <c r="H8" s="340" t="str">
        <f t="shared" si="1"/>
        <v>Yes</v>
      </c>
      <c r="I8" s="439">
        <f>SUMIF('Diags Raw Data'!$A$6:$A$3690,"*"&amp;$A8&amp;"*",'Diags Raw Data'!$K$6:$K$3690)</f>
        <v>0</v>
      </c>
      <c r="J8" s="441">
        <f>SUMIF('Diags Raw Data'!$A$6:$A$3690,"*"&amp;$A8&amp;"*",'Diags Raw Data'!$L$6:$L$3690)</f>
        <v>0</v>
      </c>
      <c r="K8" s="487" cm="1">
        <f t="array" ref="K8">IF(D8="",0, SUMPRODUCT(--(ISNUMBER(SEARCH($A8,'Diags Raw Data'!$A$6:$A$3690))),'Diags Raw Data'!$L$6:$L$3690,'Diags Raw Data'!$N$6:$N$3690)/J8)</f>
        <v>0</v>
      </c>
      <c r="L8" s="488" cm="1">
        <f t="array" ref="L8">IF(D8="",0, SUMPRODUCT(--(ISNUMBER(SEARCH($A8,'Diags Raw Data'!$A$6:$A$3690))),'Diags Raw Data'!$L$6:$L$3690,'Diags Raw Data'!$P$6:$P$3690)/J8)</f>
        <v>0</v>
      </c>
      <c r="M8" s="489" cm="1">
        <f t="array" ref="M8">SUMPRODUCT(--(ISNUMBER(SEARCH($A8,'Diags Raw Data'!$A$6:$A$3690))),--('Diags Raw Data'!$Q$6:$Q$3690&lt;&gt;"N/A"),'Diags Raw Data'!$R$6:$R$3690)</f>
        <v>0</v>
      </c>
      <c r="N8" s="490" cm="1">
        <f t="array" ref="N8">SUMPRODUCT(--(ISNUMBER(SEARCH($A8,'Diags Raw Data'!$A$6:$A$3690))),--('Diags Raw Data'!$Q$6:$Q$3690&lt;&gt;"N/A"),'Diags Raw Data'!$T$6:$T$3690)+SUMPRODUCT(--(ISNUMBER(SEARCH($A8,'Diags Raw Data'!$A$6:$A$3690))),--('Diags Raw Data'!$Q$6:$Q$3690&lt;&gt;"N/A"),'Diags Raw Data'!$U$6:$U$3690)</f>
        <v>0</v>
      </c>
      <c r="O8" s="491">
        <f t="shared" ref="O8:O71" si="2">IF((M8=0),0,N8/M8)</f>
        <v>0</v>
      </c>
      <c r="P8" s="492">
        <f>SUMIF('Diags Raw Data'!$A$6:$A$3690,"*"&amp;$A8&amp;"*",'Diags Raw Data'!$Z$6:$Z$3690)</f>
        <v>0</v>
      </c>
      <c r="Q8" s="493">
        <f>SUM(SUMIF('Diags Raw Data'!$A$6:$A$3690,"*"&amp;$A8&amp;"*",'Diags Raw Data'!$AA$6:$AA$3690),SUMIF('Diags Raw Data'!$A$6:$A$3690,"*"&amp;$A8&amp;"*",'Diags Raw Data'!$AB$6:$AB$3690))</f>
        <v>0</v>
      </c>
      <c r="R8" s="494">
        <f t="shared" ref="R8:R70" si="3">IF((J8=0),0,P8/J8)</f>
        <v>0</v>
      </c>
      <c r="S8" s="494">
        <f t="shared" ref="S8:S70" si="4">IF((P8=0),0,Q8/P8)</f>
        <v>0</v>
      </c>
      <c r="T8" s="495">
        <f t="shared" ref="T8:T70" si="5">R8*S8</f>
        <v>0</v>
      </c>
      <c r="U8" s="436" t="e">
        <f>VLOOKUP(A8,'Diags Raw Data'!$A$6:$AH$3690,33,FALSE)</f>
        <v>#N/A</v>
      </c>
      <c r="V8" s="181"/>
    </row>
    <row r="9" spans="1:23" ht="60.75" thickBot="1" x14ac:dyDescent="0.3">
      <c r="A9" s="549">
        <v>12.001999999999999</v>
      </c>
      <c r="B9" s="438" t="str">
        <f>VLOOKUP(A9,'Feature Raw Data'!$A$3:$B$3922,2,FALSE)</f>
        <v xml:space="preserve">Change SPI_VS_OUT_CONFIG and SPI_PS_IN_CONTROL from context to persistent state regs </v>
      </c>
      <c r="C9" s="439" t="str">
        <f>VLOOKUP(A9,'Feature Raw Data'!$A$3:$C$3922,3,FALSE)</f>
        <v>P1</v>
      </c>
      <c r="D9" s="440" t="str" cm="1">
        <f t="array" ref="D9">_xlfn.TEXTJOIN("",TRUE,IF(ISNUMBER(SEARCH($A9,'Diags Raw Data'!$A$6:$A$3690)),CONCATENATE('Diags Raw Data'!$H$6:$H$3690,", "),""))</f>
        <v/>
      </c>
      <c r="E9" s="340" t="e">
        <f>VLOOKUP(A9,'Diags Raw Data'!$A$6:$D$3690,4,FALSE)</f>
        <v>#N/A</v>
      </c>
      <c r="F9" s="340" t="str">
        <f>VLOOKUP(A9,'Feature Raw Data'!$A$3:$E$3922,5,FALSE)</f>
        <v>New</v>
      </c>
      <c r="G9" s="340" t="str">
        <f t="shared" si="0"/>
        <v>Yes</v>
      </c>
      <c r="H9" s="340" t="str">
        <f t="shared" si="1"/>
        <v>Yes</v>
      </c>
      <c r="I9" s="439">
        <f>SUMIF('Diags Raw Data'!$A$6:$A$3690,"*"&amp;$A9&amp;"*",'Diags Raw Data'!$K$6:$K$3690)</f>
        <v>0</v>
      </c>
      <c r="J9" s="441">
        <f>SUMIF('Diags Raw Data'!$A$6:$A$3690,"*"&amp;$A9&amp;"*",'Diags Raw Data'!$L$6:$L$3690)</f>
        <v>0</v>
      </c>
      <c r="K9" s="487" cm="1">
        <f t="array" ref="K9">IF(D9="",0, SUMPRODUCT(--(ISNUMBER(SEARCH($A9,'Diags Raw Data'!$A$6:$A$3690))),'Diags Raw Data'!$L$6:$L$3690,'Diags Raw Data'!$N$6:$N$3690)/J9)</f>
        <v>0</v>
      </c>
      <c r="L9" s="488" cm="1">
        <f t="array" ref="L9">IF(D9="",0, SUMPRODUCT(--(ISNUMBER(SEARCH($A9,'Diags Raw Data'!$A$6:$A$3690))),'Diags Raw Data'!$L$6:$L$3690,'Diags Raw Data'!$P$6:$P$3690)/J9)</f>
        <v>0</v>
      </c>
      <c r="M9" s="489" cm="1">
        <f t="array" ref="M9">SUMPRODUCT(--(ISNUMBER(SEARCH($A9,'Diags Raw Data'!$A$6:$A$3690))),--('Diags Raw Data'!$Q$6:$Q$3690&lt;&gt;"N/A"),'Diags Raw Data'!$R$6:$R$3690)</f>
        <v>0</v>
      </c>
      <c r="N9" s="490" cm="1">
        <f t="array" ref="N9">SUMPRODUCT(--(ISNUMBER(SEARCH($A9,'Diags Raw Data'!$A$6:$A$3690))),--('Diags Raw Data'!$Q$6:$Q$3690&lt;&gt;"N/A"),'Diags Raw Data'!$T$6:$T$3690)+SUMPRODUCT(--(ISNUMBER(SEARCH($A9,'Diags Raw Data'!$A$6:$A$3690))),--('Diags Raw Data'!$Q$6:$Q$3690&lt;&gt;"N/A"),'Diags Raw Data'!$U$6:$U$3690)</f>
        <v>0</v>
      </c>
      <c r="O9" s="491">
        <f t="shared" si="2"/>
        <v>0</v>
      </c>
      <c r="P9" s="492">
        <f>SUMIF('Diags Raw Data'!$A$6:$A$3690,"*"&amp;$A9&amp;"*",'Diags Raw Data'!$Z$6:$Z$3690)</f>
        <v>0</v>
      </c>
      <c r="Q9" s="493">
        <f>SUM(SUMIF('Diags Raw Data'!$A$6:$A$3690,"*"&amp;$A9&amp;"*",'Diags Raw Data'!$AA$6:$AA$3690),SUMIF('Diags Raw Data'!$A$6:$A$3690,"*"&amp;$A9&amp;"*",'Diags Raw Data'!$AB$6:$AB$3690))</f>
        <v>0</v>
      </c>
      <c r="R9" s="494">
        <f t="shared" si="3"/>
        <v>0</v>
      </c>
      <c r="S9" s="494">
        <f t="shared" si="4"/>
        <v>0</v>
      </c>
      <c r="T9" s="495">
        <f t="shared" si="5"/>
        <v>0</v>
      </c>
      <c r="U9" s="436" t="e">
        <f>VLOOKUP(A9,'Diags Raw Data'!$A$6:$AH$3690,33,FALSE)</f>
        <v>#N/A</v>
      </c>
      <c r="V9" s="181"/>
    </row>
    <row r="10" spans="1:23" ht="30.75" thickBot="1" x14ac:dyDescent="0.3">
      <c r="A10" s="549">
        <v>12.002999999999998</v>
      </c>
      <c r="B10" s="438" t="str">
        <f>VLOOKUP(A10,'Feature Raw Data'!$A$3:$B$3922,2,FALSE)</f>
        <v xml:space="preserve">Separate PS_ITER_SAMPLE out of PA_SC_MODE_CNTL_1 </v>
      </c>
      <c r="C10" s="439" t="str">
        <f>VLOOKUP(A10,'Feature Raw Data'!$A$3:$C$3922,3,FALSE)</f>
        <v>P1</v>
      </c>
      <c r="D10" s="440" t="str" cm="1">
        <f t="array" ref="D10">_xlfn.TEXTJOIN("",TRUE,IF(ISNUMBER(SEARCH($A10,'Diags Raw Data'!$A$6:$A$3690)),CONCATENATE('Diags Raw Data'!$H$6:$H$3690,", "),""))</f>
        <v/>
      </c>
      <c r="E10" s="340" t="e">
        <f>VLOOKUP(A10,'Diags Raw Data'!$A$6:$D$3690,4,FALSE)</f>
        <v>#N/A</v>
      </c>
      <c r="F10" s="340" t="str">
        <f>VLOOKUP(A10,'Feature Raw Data'!$A$3:$E$3922,5,FALSE)</f>
        <v>New</v>
      </c>
      <c r="G10" s="340" t="str">
        <f t="shared" si="0"/>
        <v>Yes</v>
      </c>
      <c r="H10" s="340" t="str">
        <f t="shared" si="1"/>
        <v>Yes</v>
      </c>
      <c r="I10" s="439">
        <f>SUMIF('Diags Raw Data'!$A$6:$A$3690,"*"&amp;$A10&amp;"*",'Diags Raw Data'!$K$6:$K$3690)</f>
        <v>0</v>
      </c>
      <c r="J10" s="441">
        <f>SUMIF('Diags Raw Data'!$A$6:$A$3690,"*"&amp;$A10&amp;"*",'Diags Raw Data'!$L$6:$L$3690)</f>
        <v>0</v>
      </c>
      <c r="K10" s="487" cm="1">
        <f t="array" ref="K10">IF(D10="",0, SUMPRODUCT(--(ISNUMBER(SEARCH($A10,'Diags Raw Data'!$A$6:$A$3690))),'Diags Raw Data'!$L$6:$L$3690,'Diags Raw Data'!$N$6:$N$3690)/J10)</f>
        <v>0</v>
      </c>
      <c r="L10" s="488" cm="1">
        <f t="array" ref="L10">IF(D10="",0, SUMPRODUCT(--(ISNUMBER(SEARCH($A10,'Diags Raw Data'!$A$6:$A$3690))),'Diags Raw Data'!$L$6:$L$3690,'Diags Raw Data'!$P$6:$P$3690)/J10)</f>
        <v>0</v>
      </c>
      <c r="M10" s="489" cm="1">
        <f t="array" ref="M10">SUMPRODUCT(--(ISNUMBER(SEARCH($A10,'Diags Raw Data'!$A$6:$A$3690))),--('Diags Raw Data'!$Q$6:$Q$3690&lt;&gt;"N/A"),'Diags Raw Data'!$R$6:$R$3690)</f>
        <v>0</v>
      </c>
      <c r="N10" s="490" cm="1">
        <f t="array" ref="N10">SUMPRODUCT(--(ISNUMBER(SEARCH($A10,'Diags Raw Data'!$A$6:$A$3690))),--('Diags Raw Data'!$Q$6:$Q$3690&lt;&gt;"N/A"),'Diags Raw Data'!$T$6:$T$3690)+SUMPRODUCT(--(ISNUMBER(SEARCH($A10,'Diags Raw Data'!$A$6:$A$3690))),--('Diags Raw Data'!$Q$6:$Q$3690&lt;&gt;"N/A"),'Diags Raw Data'!$U$6:$U$3690)</f>
        <v>0</v>
      </c>
      <c r="O10" s="491">
        <f t="shared" si="2"/>
        <v>0</v>
      </c>
      <c r="P10" s="492">
        <f>SUMIF('Diags Raw Data'!$A$6:$A$3690,"*"&amp;$A10&amp;"*",'Diags Raw Data'!$Z$6:$Z$3690)</f>
        <v>0</v>
      </c>
      <c r="Q10" s="493">
        <f>SUM(SUMIF('Diags Raw Data'!$A$6:$A$3690,"*"&amp;$A10&amp;"*",'Diags Raw Data'!$AA$6:$AA$3690),SUMIF('Diags Raw Data'!$A$6:$A$3690,"*"&amp;$A10&amp;"*",'Diags Raw Data'!$AB$6:$AB$3690))</f>
        <v>0</v>
      </c>
      <c r="R10" s="494">
        <f t="shared" si="3"/>
        <v>0</v>
      </c>
      <c r="S10" s="494">
        <f t="shared" si="4"/>
        <v>0</v>
      </c>
      <c r="T10" s="495">
        <f t="shared" si="5"/>
        <v>0</v>
      </c>
      <c r="U10" s="436" t="e">
        <f>VLOOKUP(A10,'Diags Raw Data'!$A$6:$AH$3690,33,FALSE)</f>
        <v>#N/A</v>
      </c>
      <c r="V10" s="181"/>
    </row>
    <row r="11" spans="1:23" ht="30.75" thickBot="1" x14ac:dyDescent="0.3">
      <c r="A11" s="549">
        <v>12.003999999999998</v>
      </c>
      <c r="B11" s="438" t="str">
        <f>VLOOKUP(A11,'Feature Raw Data'!$A$3:$B$3922,2,FALSE)</f>
        <v xml:space="preserve">Separate SAMPLE_RATE out of DB_COUNT_CONTROL </v>
      </c>
      <c r="C11" s="439" t="str">
        <f>VLOOKUP(A11,'Feature Raw Data'!$A$3:$C$3922,3,FALSE)</f>
        <v>P1</v>
      </c>
      <c r="D11" s="440" t="str" cm="1">
        <f t="array" ref="D11">_xlfn.TEXTJOIN("",TRUE,IF(ISNUMBER(SEARCH($A11,'Diags Raw Data'!$A$6:$A$3690)),CONCATENATE('Diags Raw Data'!$H$6:$H$3690,", "),""))</f>
        <v/>
      </c>
      <c r="E11" s="340" t="e">
        <f>VLOOKUP(A11,'Diags Raw Data'!$A$6:$D$3690,4,FALSE)</f>
        <v>#N/A</v>
      </c>
      <c r="F11" s="340" t="str">
        <f>VLOOKUP(A11,'Feature Raw Data'!$A$3:$E$3922,5,FALSE)</f>
        <v>New</v>
      </c>
      <c r="G11" s="340" t="str">
        <f t="shared" si="0"/>
        <v>Yes</v>
      </c>
      <c r="H11" s="340" t="str">
        <f t="shared" si="1"/>
        <v>Yes</v>
      </c>
      <c r="I11" s="439">
        <f>SUMIF('Diags Raw Data'!$A$6:$A$3690,"*"&amp;$A11&amp;"*",'Diags Raw Data'!$K$6:$K$3690)</f>
        <v>0</v>
      </c>
      <c r="J11" s="441">
        <f>SUMIF('Diags Raw Data'!$A$6:$A$3690,"*"&amp;$A11&amp;"*",'Diags Raw Data'!$L$6:$L$3690)</f>
        <v>0</v>
      </c>
      <c r="K11" s="487" cm="1">
        <f t="array" ref="K11">IF(D11="",0, SUMPRODUCT(--(ISNUMBER(SEARCH($A11,'Diags Raw Data'!$A$6:$A$3690))),'Diags Raw Data'!$L$6:$L$3690,'Diags Raw Data'!$N$6:$N$3690)/J11)</f>
        <v>0</v>
      </c>
      <c r="L11" s="488" cm="1">
        <f t="array" ref="L11">IF(D11="",0, SUMPRODUCT(--(ISNUMBER(SEARCH($A11,'Diags Raw Data'!$A$6:$A$3690))),'Diags Raw Data'!$L$6:$L$3690,'Diags Raw Data'!$P$6:$P$3690)/J11)</f>
        <v>0</v>
      </c>
      <c r="M11" s="489" cm="1">
        <f t="array" ref="M11">SUMPRODUCT(--(ISNUMBER(SEARCH($A11,'Diags Raw Data'!$A$6:$A$3690))),--('Diags Raw Data'!$Q$6:$Q$3690&lt;&gt;"N/A"),'Diags Raw Data'!$R$6:$R$3690)</f>
        <v>0</v>
      </c>
      <c r="N11" s="490" cm="1">
        <f t="array" ref="N11">SUMPRODUCT(--(ISNUMBER(SEARCH($A11,'Diags Raw Data'!$A$6:$A$3690))),--('Diags Raw Data'!$Q$6:$Q$3690&lt;&gt;"N/A"),'Diags Raw Data'!$T$6:$T$3690)+SUMPRODUCT(--(ISNUMBER(SEARCH($A11,'Diags Raw Data'!$A$6:$A$3690))),--('Diags Raw Data'!$Q$6:$Q$3690&lt;&gt;"N/A"),'Diags Raw Data'!$U$6:$U$3690)</f>
        <v>0</v>
      </c>
      <c r="O11" s="491">
        <f t="shared" si="2"/>
        <v>0</v>
      </c>
      <c r="P11" s="492">
        <f>SUMIF('Diags Raw Data'!$A$6:$A$3690,"*"&amp;$A11&amp;"*",'Diags Raw Data'!$Z$6:$Z$3690)</f>
        <v>0</v>
      </c>
      <c r="Q11" s="493">
        <f>SUM(SUMIF('Diags Raw Data'!$A$6:$A$3690,"*"&amp;$A11&amp;"*",'Diags Raw Data'!$AA$6:$AA$3690),SUMIF('Diags Raw Data'!$A$6:$A$3690,"*"&amp;$A11&amp;"*",'Diags Raw Data'!$AB$6:$AB$3690))</f>
        <v>0</v>
      </c>
      <c r="R11" s="494">
        <f t="shared" si="3"/>
        <v>0</v>
      </c>
      <c r="S11" s="494">
        <f t="shared" si="4"/>
        <v>0</v>
      </c>
      <c r="T11" s="495">
        <f t="shared" si="5"/>
        <v>0</v>
      </c>
      <c r="U11" s="436" t="e">
        <f>VLOOKUP(A11,'Diags Raw Data'!$A$6:$AH$3690,33,FALSE)</f>
        <v>#N/A</v>
      </c>
      <c r="V11" s="181"/>
    </row>
    <row r="12" spans="1:23" ht="30.75" thickBot="1" x14ac:dyDescent="0.3">
      <c r="A12" s="549">
        <v>12.005999999999997</v>
      </c>
      <c r="B12" s="438" t="str">
        <f>VLOOKUP(A12,'Feature Raw Data'!$A$3:$B$3922,2,FALSE)</f>
        <v xml:space="preserve">GE_CNTL and VGT_LS_HS_CONFIG changes </v>
      </c>
      <c r="C12" s="439" t="str">
        <f>VLOOKUP(A12,'Feature Raw Data'!$A$3:$C$3922,3,FALSE)</f>
        <v>P1</v>
      </c>
      <c r="D12" s="440" t="str" cm="1">
        <f t="array" ref="D12">_xlfn.TEXTJOIN("",TRUE,IF(ISNUMBER(SEARCH($A12,'Diags Raw Data'!$A$6:$A$3690)),CONCATENATE('Diags Raw Data'!$H$6:$H$3690,", "),""))</f>
        <v/>
      </c>
      <c r="E12" s="340" t="e">
        <f>VLOOKUP(A12,'Diags Raw Data'!$A$6:$D$3690,4,FALSE)</f>
        <v>#N/A</v>
      </c>
      <c r="F12" s="340" t="str">
        <f>VLOOKUP(A12,'Feature Raw Data'!$A$3:$E$3922,5,FALSE)</f>
        <v>New</v>
      </c>
      <c r="G12" s="340" t="str">
        <f t="shared" si="0"/>
        <v>Yes</v>
      </c>
      <c r="H12" s="340" t="str">
        <f t="shared" si="1"/>
        <v>Yes</v>
      </c>
      <c r="I12" s="439">
        <f>SUMIF('Diags Raw Data'!$A$6:$A$3690,"*"&amp;$A12&amp;"*",'Diags Raw Data'!$K$6:$K$3690)</f>
        <v>0</v>
      </c>
      <c r="J12" s="441">
        <f>SUMIF('Diags Raw Data'!$A$6:$A$3690,"*"&amp;$A12&amp;"*",'Diags Raw Data'!$L$6:$L$3690)</f>
        <v>0</v>
      </c>
      <c r="K12" s="487" cm="1">
        <f t="array" ref="K12">IF(D12="",0, SUMPRODUCT(--(ISNUMBER(SEARCH($A12,'Diags Raw Data'!$A$6:$A$3690))),'Diags Raw Data'!$L$6:$L$3690,'Diags Raw Data'!$N$6:$N$3690)/J12)</f>
        <v>0</v>
      </c>
      <c r="L12" s="488" cm="1">
        <f t="array" ref="L12">IF(D12="",0, SUMPRODUCT(--(ISNUMBER(SEARCH($A12,'Diags Raw Data'!$A$6:$A$3690))),'Diags Raw Data'!$L$6:$L$3690,'Diags Raw Data'!$P$6:$P$3690)/J12)</f>
        <v>0</v>
      </c>
      <c r="M12" s="489" cm="1">
        <f t="array" ref="M12">SUMPRODUCT(--(ISNUMBER(SEARCH($A12,'Diags Raw Data'!$A$6:$A$3690))),--('Diags Raw Data'!$Q$6:$Q$3690&lt;&gt;"N/A"),'Diags Raw Data'!$R$6:$R$3690)</f>
        <v>0</v>
      </c>
      <c r="N12" s="490" cm="1">
        <f t="array" ref="N12">SUMPRODUCT(--(ISNUMBER(SEARCH($A12,'Diags Raw Data'!$A$6:$A$3690))),--('Diags Raw Data'!$Q$6:$Q$3690&lt;&gt;"N/A"),'Diags Raw Data'!$T$6:$T$3690)+SUMPRODUCT(--(ISNUMBER(SEARCH($A12,'Diags Raw Data'!$A$6:$A$3690))),--('Diags Raw Data'!$Q$6:$Q$3690&lt;&gt;"N/A"),'Diags Raw Data'!$U$6:$U$3690)</f>
        <v>0</v>
      </c>
      <c r="O12" s="491">
        <f t="shared" si="2"/>
        <v>0</v>
      </c>
      <c r="P12" s="492">
        <f>SUMIF('Diags Raw Data'!$A$6:$A$3690,"*"&amp;$A12&amp;"*",'Diags Raw Data'!$Z$6:$Z$3690)</f>
        <v>0</v>
      </c>
      <c r="Q12" s="493">
        <f>SUM(SUMIF('Diags Raw Data'!$A$6:$A$3690,"*"&amp;$A12&amp;"*",'Diags Raw Data'!$AA$6:$AA$3690),SUMIF('Diags Raw Data'!$A$6:$A$3690,"*"&amp;$A12&amp;"*",'Diags Raw Data'!$AB$6:$AB$3690))</f>
        <v>0</v>
      </c>
      <c r="R12" s="494">
        <f t="shared" si="3"/>
        <v>0</v>
      </c>
      <c r="S12" s="494">
        <f t="shared" si="4"/>
        <v>0</v>
      </c>
      <c r="T12" s="495">
        <f t="shared" si="5"/>
        <v>0</v>
      </c>
      <c r="U12" s="436" t="e">
        <f>VLOOKUP(A12,'Diags Raw Data'!$A$6:$AH$3690,33,FALSE)</f>
        <v>#N/A</v>
      </c>
      <c r="V12" s="181"/>
    </row>
    <row r="13" spans="1:23" ht="15.75" thickBot="1" x14ac:dyDescent="0.3">
      <c r="A13" s="549">
        <v>12.006999999999996</v>
      </c>
      <c r="B13" s="438" t="str">
        <f>VLOOKUP(A13,'Feature Raw Data'!$A$3:$B$3922,2,FALSE)</f>
        <v xml:space="preserve">PA_SC_AA_CONFIG changes </v>
      </c>
      <c r="C13" s="439" t="str">
        <f>VLOOKUP(A13,'Feature Raw Data'!$A$3:$C$3922,3,FALSE)</f>
        <v>P1</v>
      </c>
      <c r="D13" s="440" t="str" cm="1">
        <f t="array" ref="D13">_xlfn.TEXTJOIN("",TRUE,IF(ISNUMBER(SEARCH($A13,'Diags Raw Data'!$A$6:$A$3690)),CONCATENATE('Diags Raw Data'!$H$6:$H$3690,", "),""))</f>
        <v/>
      </c>
      <c r="E13" s="340" t="e">
        <f>VLOOKUP(A13,'Diags Raw Data'!$A$6:$D$3690,4,FALSE)</f>
        <v>#N/A</v>
      </c>
      <c r="F13" s="340" t="str">
        <f>VLOOKUP(A13,'Feature Raw Data'!$A$3:$E$3922,5,FALSE)</f>
        <v>Delta</v>
      </c>
      <c r="G13" s="340" t="str">
        <f t="shared" si="0"/>
        <v>Yes</v>
      </c>
      <c r="H13" s="340" t="str">
        <f t="shared" si="1"/>
        <v>Yes</v>
      </c>
      <c r="I13" s="439">
        <f>SUMIF('Diags Raw Data'!$A$6:$A$3690,"*"&amp;$A13&amp;"*",'Diags Raw Data'!$K$6:$K$3690)</f>
        <v>0</v>
      </c>
      <c r="J13" s="441">
        <f>SUMIF('Diags Raw Data'!$A$6:$A$3690,"*"&amp;$A13&amp;"*",'Diags Raw Data'!$L$6:$L$3690)</f>
        <v>0</v>
      </c>
      <c r="K13" s="487" cm="1">
        <f t="array" ref="K13">IF(D13="",0, SUMPRODUCT(--(ISNUMBER(SEARCH($A13,'Diags Raw Data'!$A$6:$A$3690))),'Diags Raw Data'!$L$6:$L$3690,'Diags Raw Data'!$N$6:$N$3690)/J13)</f>
        <v>0</v>
      </c>
      <c r="L13" s="488" cm="1">
        <f t="array" ref="L13">IF(D13="",0, SUMPRODUCT(--(ISNUMBER(SEARCH($A13,'Diags Raw Data'!$A$6:$A$3690))),'Diags Raw Data'!$L$6:$L$3690,'Diags Raw Data'!$P$6:$P$3690)/J13)</f>
        <v>0</v>
      </c>
      <c r="M13" s="489" cm="1">
        <f t="array" ref="M13">SUMPRODUCT(--(ISNUMBER(SEARCH($A13,'Diags Raw Data'!$A$6:$A$3690))),--('Diags Raw Data'!$Q$6:$Q$3690&lt;&gt;"N/A"),'Diags Raw Data'!$R$6:$R$3690)</f>
        <v>0</v>
      </c>
      <c r="N13" s="490" cm="1">
        <f t="array" ref="N13">SUMPRODUCT(--(ISNUMBER(SEARCH($A13,'Diags Raw Data'!$A$6:$A$3690))),--('Diags Raw Data'!$Q$6:$Q$3690&lt;&gt;"N/A"),'Diags Raw Data'!$T$6:$T$3690)+SUMPRODUCT(--(ISNUMBER(SEARCH($A13,'Diags Raw Data'!$A$6:$A$3690))),--('Diags Raw Data'!$Q$6:$Q$3690&lt;&gt;"N/A"),'Diags Raw Data'!$U$6:$U$3690)</f>
        <v>0</v>
      </c>
      <c r="O13" s="491">
        <f>IF((M13=0),0,N13/M13)</f>
        <v>0</v>
      </c>
      <c r="P13" s="492">
        <f>SUMIF('Diags Raw Data'!$A$6:$A$3690,"*"&amp;$A13&amp;"*",'Diags Raw Data'!$Z$6:$Z$3690)</f>
        <v>0</v>
      </c>
      <c r="Q13" s="493">
        <f>SUM(SUMIF('Diags Raw Data'!$A$6:$A$3690,"*"&amp;$A13&amp;"*",'Diags Raw Data'!$AA$6:$AA$3690),SUMIF('Diags Raw Data'!$A$6:$A$3690,"*"&amp;$A13&amp;"*",'Diags Raw Data'!$AB$6:$AB$3690))</f>
        <v>0</v>
      </c>
      <c r="R13" s="494">
        <f t="shared" si="3"/>
        <v>0</v>
      </c>
      <c r="S13" s="494">
        <f t="shared" si="4"/>
        <v>0</v>
      </c>
      <c r="T13" s="495">
        <f t="shared" si="5"/>
        <v>0</v>
      </c>
      <c r="U13" s="436" t="e">
        <f>VLOOKUP(A13,'Diags Raw Data'!$A$6:$AH$3690,33,FALSE)</f>
        <v>#N/A</v>
      </c>
      <c r="V13" s="181"/>
    </row>
    <row r="14" spans="1:23" ht="30.75" thickBot="1" x14ac:dyDescent="0.3">
      <c r="A14" s="549">
        <v>12.007999999999996</v>
      </c>
      <c r="B14" s="438" t="str">
        <f>VLOOKUP(A14,'Feature Raw Data'!$A$3:$B$3922,2,FALSE)</f>
        <v xml:space="preserve">PA_SC_CONSERVATIVE_RASTERIZATION_CNTL changes </v>
      </c>
      <c r="C14" s="439" t="str">
        <f>VLOOKUP(A14,'Feature Raw Data'!$A$3:$C$3922,3,FALSE)</f>
        <v>P1</v>
      </c>
      <c r="D14" s="440" t="str" cm="1">
        <f t="array" ref="D14">_xlfn.TEXTJOIN("",TRUE,IF(ISNUMBER(SEARCH($A14,'Diags Raw Data'!$A$6:$A$3690)),CONCATENATE('Diags Raw Data'!$H$6:$H$3690,", "),""))</f>
        <v/>
      </c>
      <c r="E14" s="340" t="e">
        <f>VLOOKUP(A14,'Diags Raw Data'!$A$6:$D$3690,4,FALSE)</f>
        <v>#N/A</v>
      </c>
      <c r="F14" s="340" t="str">
        <f>VLOOKUP(A14,'Feature Raw Data'!$A$3:$E$3922,5,FALSE)</f>
        <v>Delta</v>
      </c>
      <c r="G14" s="340" t="str">
        <f t="shared" si="0"/>
        <v>Yes</v>
      </c>
      <c r="H14" s="340" t="str">
        <f t="shared" si="1"/>
        <v>Yes</v>
      </c>
      <c r="I14" s="439">
        <f>SUMIF('Diags Raw Data'!$A$6:$A$3690,"*"&amp;$A14&amp;"*",'Diags Raw Data'!$K$6:$K$3690)</f>
        <v>0</v>
      </c>
      <c r="J14" s="441">
        <f>SUMIF('Diags Raw Data'!$A$6:$A$3690,"*"&amp;$A14&amp;"*",'Diags Raw Data'!$L$6:$L$3690)</f>
        <v>0</v>
      </c>
      <c r="K14" s="487" cm="1">
        <f t="array" ref="K14">IF(D14="",0, SUMPRODUCT(--(ISNUMBER(SEARCH($A14,'Diags Raw Data'!$A$6:$A$3690))),'Diags Raw Data'!$L$6:$L$3690,'Diags Raw Data'!$N$6:$N$3690)/J14)</f>
        <v>0</v>
      </c>
      <c r="L14" s="488" cm="1">
        <f t="array" ref="L14">IF(D14="",0, SUMPRODUCT(--(ISNUMBER(SEARCH($A14,'Diags Raw Data'!$A$6:$A$3690))),'Diags Raw Data'!$L$6:$L$3690,'Diags Raw Data'!$P$6:$P$3690)/J14)</f>
        <v>0</v>
      </c>
      <c r="M14" s="489" cm="1">
        <f t="array" ref="M14">SUMPRODUCT(--(ISNUMBER(SEARCH($A14,'Diags Raw Data'!$A$6:$A$3690))),--('Diags Raw Data'!$Q$6:$Q$3690&lt;&gt;"N/A"),'Diags Raw Data'!$R$6:$R$3690)</f>
        <v>0</v>
      </c>
      <c r="N14" s="490" cm="1">
        <f t="array" ref="N14">SUMPRODUCT(--(ISNUMBER(SEARCH($A14,'Diags Raw Data'!$A$6:$A$3690))),--('Diags Raw Data'!$Q$6:$Q$3690&lt;&gt;"N/A"),'Diags Raw Data'!$T$6:$T$3690)+SUMPRODUCT(--(ISNUMBER(SEARCH($A14,'Diags Raw Data'!$A$6:$A$3690))),--('Diags Raw Data'!$Q$6:$Q$3690&lt;&gt;"N/A"),'Diags Raw Data'!$U$6:$U$3690)</f>
        <v>0</v>
      </c>
      <c r="O14" s="491">
        <f t="shared" si="2"/>
        <v>0</v>
      </c>
      <c r="P14" s="492">
        <f>SUMIF('Diags Raw Data'!$A$6:$A$3690,"*"&amp;$A14&amp;"*",'Diags Raw Data'!$Z$6:$Z$3690)</f>
        <v>0</v>
      </c>
      <c r="Q14" s="493">
        <f>SUM(SUMIF('Diags Raw Data'!$A$6:$A$3690,"*"&amp;$A14&amp;"*",'Diags Raw Data'!$AA$6:$AA$3690),SUMIF('Diags Raw Data'!$A$6:$A$3690,"*"&amp;$A14&amp;"*",'Diags Raw Data'!$AB$6:$AB$3690))</f>
        <v>0</v>
      </c>
      <c r="R14" s="494">
        <f t="shared" si="3"/>
        <v>0</v>
      </c>
      <c r="S14" s="494">
        <f t="shared" si="4"/>
        <v>0</v>
      </c>
      <c r="T14" s="495">
        <f t="shared" si="5"/>
        <v>0</v>
      </c>
      <c r="U14" s="436" t="e">
        <f>VLOOKUP(A14,'Diags Raw Data'!$A$6:$AH$3690,33,FALSE)</f>
        <v>#N/A</v>
      </c>
      <c r="V14" s="181"/>
    </row>
    <row r="15" spans="1:23" ht="45.75" thickBot="1" x14ac:dyDescent="0.3">
      <c r="A15" s="549">
        <v>12.008999999999995</v>
      </c>
      <c r="B15" s="438" t="str">
        <f>VLOOKUP(A15,'Feature Raw Data'!$A$3:$B$3922,2,FALSE)</f>
        <v xml:space="preserve">Eliminate PA_SU_SC_MODE_CNTL.KEEP_TOGETHER_ENABLE </v>
      </c>
      <c r="C15" s="439" t="str">
        <f>VLOOKUP(A15,'Feature Raw Data'!$A$3:$C$3922,3,FALSE)</f>
        <v>P1</v>
      </c>
      <c r="D15" s="440" t="str" cm="1">
        <f t="array" ref="D15">_xlfn.TEXTJOIN("",TRUE,IF(ISNUMBER(SEARCH($A15,'Diags Raw Data'!$A$6:$A$3690)),CONCATENATE('Diags Raw Data'!$H$6:$H$3690,", "),""))</f>
        <v/>
      </c>
      <c r="E15" s="340" t="e">
        <f>VLOOKUP(A15,'Diags Raw Data'!$A$6:$D$3690,4,FALSE)</f>
        <v>#N/A</v>
      </c>
      <c r="F15" s="340" t="str">
        <f>VLOOKUP(A15,'Feature Raw Data'!$A$3:$E$3922,5,FALSE)</f>
        <v>New</v>
      </c>
      <c r="G15" s="340" t="str">
        <f t="shared" si="0"/>
        <v>Yes</v>
      </c>
      <c r="H15" s="340" t="str">
        <f t="shared" si="1"/>
        <v>Yes</v>
      </c>
      <c r="I15" s="439">
        <f>SUMIF('Diags Raw Data'!$A$6:$A$3690,"*"&amp;$A15&amp;"*",'Diags Raw Data'!$K$6:$K$3690)</f>
        <v>0</v>
      </c>
      <c r="J15" s="441">
        <f>SUMIF('Diags Raw Data'!$A$6:$A$3690,"*"&amp;$A15&amp;"*",'Diags Raw Data'!$L$6:$L$3690)</f>
        <v>0</v>
      </c>
      <c r="K15" s="487" cm="1">
        <f t="array" ref="K15">IF(D15="",0, SUMPRODUCT(--(ISNUMBER(SEARCH($A15,'Diags Raw Data'!$A$6:$A$3690))),'Diags Raw Data'!$L$6:$L$3690,'Diags Raw Data'!$N$6:$N$3690)/J15)</f>
        <v>0</v>
      </c>
      <c r="L15" s="488" cm="1">
        <f t="array" ref="L15">IF(D15="",0, SUMPRODUCT(--(ISNUMBER(SEARCH($A15,'Diags Raw Data'!$A$6:$A$3690))),'Diags Raw Data'!$L$6:$L$3690,'Diags Raw Data'!$P$6:$P$3690)/J15)</f>
        <v>0</v>
      </c>
      <c r="M15" s="489" cm="1">
        <f t="array" ref="M15">SUMPRODUCT(--(ISNUMBER(SEARCH($A15,'Diags Raw Data'!$A$6:$A$3690))),--('Diags Raw Data'!$Q$6:$Q$3690&lt;&gt;"N/A"),'Diags Raw Data'!$R$6:$R$3690)</f>
        <v>0</v>
      </c>
      <c r="N15" s="490" cm="1">
        <f t="array" ref="N15">SUMPRODUCT(--(ISNUMBER(SEARCH($A15,'Diags Raw Data'!$A$6:$A$3690))),--('Diags Raw Data'!$Q$6:$Q$3690&lt;&gt;"N/A"),'Diags Raw Data'!$T$6:$T$3690)+SUMPRODUCT(--(ISNUMBER(SEARCH($A15,'Diags Raw Data'!$A$6:$A$3690))),--('Diags Raw Data'!$Q$6:$Q$3690&lt;&gt;"N/A"),'Diags Raw Data'!$U$6:$U$3690)</f>
        <v>0</v>
      </c>
      <c r="O15" s="491">
        <f t="shared" si="2"/>
        <v>0</v>
      </c>
      <c r="P15" s="492">
        <f>SUMIF('Diags Raw Data'!$A$6:$A$3690,"*"&amp;$A15&amp;"*",'Diags Raw Data'!$Z$6:$Z$3690)</f>
        <v>0</v>
      </c>
      <c r="Q15" s="493">
        <f>SUM(SUMIF('Diags Raw Data'!$A$6:$A$3690,"*"&amp;$A15&amp;"*",'Diags Raw Data'!$AA$6:$AA$3690),SUMIF('Diags Raw Data'!$A$6:$A$3690,"*"&amp;$A15&amp;"*",'Diags Raw Data'!$AB$6:$AB$3690))</f>
        <v>0</v>
      </c>
      <c r="R15" s="494">
        <f t="shared" si="3"/>
        <v>0</v>
      </c>
      <c r="S15" s="494">
        <f t="shared" si="4"/>
        <v>0</v>
      </c>
      <c r="T15" s="495">
        <f t="shared" si="5"/>
        <v>0</v>
      </c>
      <c r="U15" s="436" t="e">
        <f>VLOOKUP(A15,'Diags Raw Data'!$A$6:$AH$3690,33,FALSE)</f>
        <v>#N/A</v>
      </c>
      <c r="V15" s="181"/>
    </row>
    <row r="16" spans="1:23" ht="135.75" thickBot="1" x14ac:dyDescent="0.3">
      <c r="A16" s="549">
        <v>12.009999999999994</v>
      </c>
      <c r="B16" s="438" t="str">
        <f>VLOOKUP(A16,'Feature Raw Data'!$A$3:$B$3922,2,FALSE)</f>
        <v xml:space="preserve">Separate AUTO_RESET_CNTL from PA_SC_LINE_STIPPLE </v>
      </c>
      <c r="C16" s="439" t="str">
        <f>VLOOKUP(A16,'Feature Raw Data'!$A$3:$C$3922,3,FALSE)</f>
        <v>P1</v>
      </c>
      <c r="D16" s="440" t="str" cm="1">
        <f t="array" ref="D16">_xlfn.TEXTJOIN("",TRUE,IF(ISNUMBER(SEARCH($A16,'Diags Raw Data'!$A$6:$A$3690)),CONCATENATE('Diags Raw Data'!$H$6:$H$3690,", "),""))</f>
        <v/>
      </c>
      <c r="E16" s="340" t="e">
        <f>VLOOKUP(A16,'Diags Raw Data'!$A$6:$D$3690,4,FALSE)</f>
        <v>#N/A</v>
      </c>
      <c r="F16" s="340" t="str">
        <f>VLOOKUP(A16,'Feature Raw Data'!$A$3:$E$3922,5,FALSE)</f>
        <v>New</v>
      </c>
      <c r="G16" s="340" t="str">
        <f t="shared" si="0"/>
        <v>Yes</v>
      </c>
      <c r="H16" s="340" t="str">
        <f t="shared" si="1"/>
        <v>Yes</v>
      </c>
      <c r="I16" s="439">
        <f>SUMIF('Diags Raw Data'!$A$6:$A$3690,"*"&amp;$A16&amp;"*",'Diags Raw Data'!$K$6:$K$3690)</f>
        <v>0</v>
      </c>
      <c r="J16" s="441">
        <f>SUMIF('Diags Raw Data'!$A$6:$A$3690,"*"&amp;$A16&amp;"*",'Diags Raw Data'!$L$6:$L$3690)</f>
        <v>0</v>
      </c>
      <c r="K16" s="487" cm="1">
        <f t="array" ref="K16">IF(D16="",0, SUMPRODUCT(--(ISNUMBER(SEARCH($A16,'Diags Raw Data'!$A$6:$A$3690))),'Diags Raw Data'!$L$6:$L$3690,'Diags Raw Data'!$N$6:$N$3690)/J16)</f>
        <v>0</v>
      </c>
      <c r="L16" s="488" cm="1">
        <f t="array" ref="L16">IF(D16="",0, SUMPRODUCT(--(ISNUMBER(SEARCH($A16,'Diags Raw Data'!$A$6:$A$3690))),'Diags Raw Data'!$L$6:$L$3690,'Diags Raw Data'!$P$6:$P$3690)/J16)</f>
        <v>0</v>
      </c>
      <c r="M16" s="489" cm="1">
        <f t="array" ref="M16">SUMPRODUCT(--(ISNUMBER(SEARCH($A16,'Diags Raw Data'!$A$6:$A$3690))),--('Diags Raw Data'!$Q$6:$Q$3690&lt;&gt;"N/A"),'Diags Raw Data'!$R$6:$R$3690)</f>
        <v>0</v>
      </c>
      <c r="N16" s="490" cm="1">
        <f t="array" ref="N16">SUMPRODUCT(--(ISNUMBER(SEARCH($A16,'Diags Raw Data'!$A$6:$A$3690))),--('Diags Raw Data'!$Q$6:$Q$3690&lt;&gt;"N/A"),'Diags Raw Data'!$T$6:$T$3690)+SUMPRODUCT(--(ISNUMBER(SEARCH($A16,'Diags Raw Data'!$A$6:$A$3690))),--('Diags Raw Data'!$Q$6:$Q$3690&lt;&gt;"N/A"),'Diags Raw Data'!$U$6:$U$3690)</f>
        <v>0</v>
      </c>
      <c r="O16" s="491">
        <f t="shared" si="2"/>
        <v>0</v>
      </c>
      <c r="P16" s="492">
        <f>SUMIF('Diags Raw Data'!$A$6:$A$3690,"*"&amp;$A16&amp;"*",'Diags Raw Data'!$Z$6:$Z$3690)</f>
        <v>0</v>
      </c>
      <c r="Q16" s="493">
        <f>SUM(SUMIF('Diags Raw Data'!$A$6:$A$3690,"*"&amp;$A16&amp;"*",'Diags Raw Data'!$AA$6:$AA$3690),SUMIF('Diags Raw Data'!$A$6:$A$3690,"*"&amp;$A16&amp;"*",'Diags Raw Data'!$AB$6:$AB$3690))</f>
        <v>0</v>
      </c>
      <c r="R16" s="494">
        <f t="shared" si="3"/>
        <v>0</v>
      </c>
      <c r="S16" s="494">
        <f t="shared" si="4"/>
        <v>0</v>
      </c>
      <c r="T16" s="495">
        <f t="shared" si="5"/>
        <v>0</v>
      </c>
      <c r="U16" s="436" t="e">
        <f>VLOOKUP(A16,'Diags Raw Data'!$A$6:$AH$3690,33,FALSE)</f>
        <v>#N/A</v>
      </c>
      <c r="V16" s="181"/>
    </row>
    <row r="17" spans="1:22" s="184" customFormat="1" ht="90.75" thickBot="1" x14ac:dyDescent="0.3">
      <c r="A17" s="549">
        <v>12.010999999999994</v>
      </c>
      <c r="B17" s="438" t="str">
        <f>VLOOKUP(A17,'Feature Raw Data'!$A$3:$B$3922,2,FALSE)</f>
        <v xml:space="preserve">Implicit viewport scissoring </v>
      </c>
      <c r="C17" s="439" t="str">
        <f>VLOOKUP(A17,'Feature Raw Data'!$A$3:$C$3922,3,FALSE)</f>
        <v>P1</v>
      </c>
      <c r="D17" s="440" t="str" cm="1">
        <f t="array" ref="D17">_xlfn.TEXTJOIN("",TRUE,IF(ISNUMBER(SEARCH($A17,'Diags Raw Data'!$A$6:$A$3690)),CONCATENATE('Diags Raw Data'!$H$6:$H$3690,", "),""))</f>
        <v/>
      </c>
      <c r="E17" s="340" t="e">
        <f>VLOOKUP(A17,'Diags Raw Data'!$A$6:$D$3690,4,FALSE)</f>
        <v>#N/A</v>
      </c>
      <c r="F17" s="340" t="str">
        <f>VLOOKUP(A17,'Feature Raw Data'!$A$3:$E$3922,5,FALSE)</f>
        <v>New</v>
      </c>
      <c r="G17" s="340" t="str">
        <f t="shared" si="0"/>
        <v>Yes</v>
      </c>
      <c r="H17" s="340" t="str">
        <f t="shared" si="1"/>
        <v>Yes</v>
      </c>
      <c r="I17" s="439">
        <f>SUMIF('Diags Raw Data'!$A$6:$A$3690,"*"&amp;$A17&amp;"*",'Diags Raw Data'!$K$6:$K$3690)</f>
        <v>0</v>
      </c>
      <c r="J17" s="441">
        <f>SUMIF('Diags Raw Data'!$A$6:$A$3690,"*"&amp;$A17&amp;"*",'Diags Raw Data'!$L$6:$L$3690)</f>
        <v>0</v>
      </c>
      <c r="K17" s="487" cm="1">
        <f t="array" ref="K17">IF(D17="",0, SUMPRODUCT(--(ISNUMBER(SEARCH($A17,'Diags Raw Data'!$A$6:$A$3690))),'Diags Raw Data'!$L$6:$L$3690,'Diags Raw Data'!$N$6:$N$3690)/J17)</f>
        <v>0</v>
      </c>
      <c r="L17" s="488" cm="1">
        <f t="array" ref="L17">IF(D17="",0, SUMPRODUCT(--(ISNUMBER(SEARCH($A17,'Diags Raw Data'!$A$6:$A$3690))),'Diags Raw Data'!$L$6:$L$3690,'Diags Raw Data'!$P$6:$P$3690)/J17)</f>
        <v>0</v>
      </c>
      <c r="M17" s="489" cm="1">
        <f t="array" ref="M17">SUMPRODUCT(--(ISNUMBER(SEARCH($A17,'Diags Raw Data'!$A$6:$A$3690))),--('Diags Raw Data'!$Q$6:$Q$3690&lt;&gt;"N/A"),'Diags Raw Data'!$R$6:$R$3690)</f>
        <v>0</v>
      </c>
      <c r="N17" s="490" cm="1">
        <f t="array" ref="N17">SUMPRODUCT(--(ISNUMBER(SEARCH($A17,'Diags Raw Data'!$A$6:$A$3690))),--('Diags Raw Data'!$Q$6:$Q$3690&lt;&gt;"N/A"),'Diags Raw Data'!$T$6:$T$3690)+SUMPRODUCT(--(ISNUMBER(SEARCH($A17,'Diags Raw Data'!$A$6:$A$3690))),--('Diags Raw Data'!$Q$6:$Q$3690&lt;&gt;"N/A"),'Diags Raw Data'!$U$6:$U$3690)</f>
        <v>0</v>
      </c>
      <c r="O17" s="491">
        <f t="shared" si="2"/>
        <v>0</v>
      </c>
      <c r="P17" s="492">
        <f>SUMIF('Diags Raw Data'!$A$6:$A$3690,"*"&amp;$A17&amp;"*",'Diags Raw Data'!$Z$6:$Z$3690)</f>
        <v>0</v>
      </c>
      <c r="Q17" s="493">
        <f>SUM(SUMIF('Diags Raw Data'!$A$6:$A$3690,"*"&amp;$A17&amp;"*",'Diags Raw Data'!$AA$6:$AA$3690),SUMIF('Diags Raw Data'!$A$6:$A$3690,"*"&amp;$A17&amp;"*",'Diags Raw Data'!$AB$6:$AB$3690))</f>
        <v>0</v>
      </c>
      <c r="R17" s="494">
        <f t="shared" si="3"/>
        <v>0</v>
      </c>
      <c r="S17" s="494">
        <f t="shared" si="4"/>
        <v>0</v>
      </c>
      <c r="T17" s="495">
        <f t="shared" si="5"/>
        <v>0</v>
      </c>
      <c r="U17" s="436" t="e">
        <f>VLOOKUP(A17,'Diags Raw Data'!$A$6:$AH$3690,33,FALSE)</f>
        <v>#N/A</v>
      </c>
      <c r="V17" s="183"/>
    </row>
    <row r="18" spans="1:22" ht="30.75" thickBot="1" x14ac:dyDescent="0.3">
      <c r="A18" s="549">
        <v>12.011999999999993</v>
      </c>
      <c r="B18" s="438" t="str">
        <f>VLOOKUP(A18,'Feature Raw Data'!$A$3:$B$3922,2,FALSE)</f>
        <v xml:space="preserve">Simplify workaround for DEGGIGXX0-4644 </v>
      </c>
      <c r="C18" s="439" t="str">
        <f>VLOOKUP(A18,'Feature Raw Data'!$A$3:$C$3922,3,FALSE)</f>
        <v>P1</v>
      </c>
      <c r="D18" s="440" t="str" cm="1">
        <f t="array" ref="D18">_xlfn.TEXTJOIN("",TRUE,IF(ISNUMBER(SEARCH($A18,'Diags Raw Data'!$A$6:$A$3690)),CONCATENATE('Diags Raw Data'!$H$6:$H$3690,", "),""))</f>
        <v/>
      </c>
      <c r="E18" s="340" t="e">
        <f>VLOOKUP(A18,'Diags Raw Data'!$A$6:$D$3690,4,FALSE)</f>
        <v>#N/A</v>
      </c>
      <c r="F18" s="340" t="str">
        <f>VLOOKUP(A18,'Feature Raw Data'!$A$3:$E$3922,5,FALSE)</f>
        <v>Delta</v>
      </c>
      <c r="G18" s="340" t="str">
        <f t="shared" si="0"/>
        <v>Yes</v>
      </c>
      <c r="H18" s="340" t="str">
        <f t="shared" si="1"/>
        <v>Yes</v>
      </c>
      <c r="I18" s="439">
        <f>SUMIF('Diags Raw Data'!$A$6:$A$3690,"*"&amp;$A18&amp;"*",'Diags Raw Data'!$K$6:$K$3690)</f>
        <v>0</v>
      </c>
      <c r="J18" s="441">
        <f>SUMIF('Diags Raw Data'!$A$6:$A$3690,"*"&amp;$A18&amp;"*",'Diags Raw Data'!$L$6:$L$3690)</f>
        <v>0</v>
      </c>
      <c r="K18" s="487" cm="1">
        <f t="array" ref="K18">IF(D18="",0, SUMPRODUCT(--(ISNUMBER(SEARCH($A18,'Diags Raw Data'!$A$6:$A$3690))),'Diags Raw Data'!$L$6:$L$3690,'Diags Raw Data'!$N$6:$N$3690)/J18)</f>
        <v>0</v>
      </c>
      <c r="L18" s="488" cm="1">
        <f t="array" ref="L18">IF(D18="",0, SUMPRODUCT(--(ISNUMBER(SEARCH($A18,'Diags Raw Data'!$A$6:$A$3690))),'Diags Raw Data'!$L$6:$L$3690,'Diags Raw Data'!$P$6:$P$3690)/J18)</f>
        <v>0</v>
      </c>
      <c r="M18" s="489" cm="1">
        <f t="array" ref="M18">SUMPRODUCT(--(ISNUMBER(SEARCH($A18,'Diags Raw Data'!$A$6:$A$3690))),--('Diags Raw Data'!$Q$6:$Q$3690&lt;&gt;"N/A"),'Diags Raw Data'!$R$6:$R$3690)</f>
        <v>0</v>
      </c>
      <c r="N18" s="490" cm="1">
        <f t="array" ref="N18">SUMPRODUCT(--(ISNUMBER(SEARCH($A18,'Diags Raw Data'!$A$6:$A$3690))),--('Diags Raw Data'!$Q$6:$Q$3690&lt;&gt;"N/A"),'Diags Raw Data'!$T$6:$T$3690)+SUMPRODUCT(--(ISNUMBER(SEARCH($A18,'Diags Raw Data'!$A$6:$A$3690))),--('Diags Raw Data'!$Q$6:$Q$3690&lt;&gt;"N/A"),'Diags Raw Data'!$U$6:$U$3690)</f>
        <v>0</v>
      </c>
      <c r="O18" s="491">
        <f t="shared" si="2"/>
        <v>0</v>
      </c>
      <c r="P18" s="492">
        <f>SUMIF('Diags Raw Data'!$A$6:$A$3690,"*"&amp;$A18&amp;"*",'Diags Raw Data'!$Z$6:$Z$3690)</f>
        <v>0</v>
      </c>
      <c r="Q18" s="493">
        <f>SUM(SUMIF('Diags Raw Data'!$A$6:$A$3690,"*"&amp;$A18&amp;"*",'Diags Raw Data'!$AA$6:$AA$3690),SUMIF('Diags Raw Data'!$A$6:$A$3690,"*"&amp;$A18&amp;"*",'Diags Raw Data'!$AB$6:$AB$3690))</f>
        <v>0</v>
      </c>
      <c r="R18" s="494">
        <f t="shared" si="3"/>
        <v>0</v>
      </c>
      <c r="S18" s="494">
        <f t="shared" si="4"/>
        <v>0</v>
      </c>
      <c r="T18" s="495">
        <f t="shared" si="5"/>
        <v>0</v>
      </c>
      <c r="U18" s="436" t="e">
        <f>VLOOKUP(A18,'Diags Raw Data'!$A$6:$AH$3690,33,FALSE)</f>
        <v>#N/A</v>
      </c>
      <c r="V18" s="181"/>
    </row>
    <row r="19" spans="1:22" ht="30.75" thickBot="1" x14ac:dyDescent="0.3">
      <c r="A19" s="549">
        <v>12.012999999999993</v>
      </c>
      <c r="B19" s="438" t="str">
        <f>VLOOKUP(A19,'Feature Raw Data'!$A$3:$B$3922,2,FALSE)</f>
        <v>Separate event enable bits out of SPI_CONFIG_CNTL</v>
      </c>
      <c r="C19" s="439" t="str">
        <f>VLOOKUP(A19,'Feature Raw Data'!$A$3:$C$3922,3,FALSE)</f>
        <v>P2</v>
      </c>
      <c r="D19" s="440" t="str" cm="1">
        <f t="array" ref="D19">_xlfn.TEXTJOIN("",TRUE,IF(ISNUMBER(SEARCH($A19,'Diags Raw Data'!$A$6:$A$3690)),CONCATENATE('Diags Raw Data'!$H$6:$H$3690,", "),""))</f>
        <v/>
      </c>
      <c r="E19" s="340" t="e">
        <f>VLOOKUP(A19,'Diags Raw Data'!$A$6:$D$3690,4,FALSE)</f>
        <v>#N/A</v>
      </c>
      <c r="F19" s="340" t="str">
        <f>VLOOKUP(A19,'Feature Raw Data'!$A$3:$E$3922,5,FALSE)</f>
        <v>New</v>
      </c>
      <c r="G19" s="340" t="str">
        <f t="shared" si="0"/>
        <v>Yes</v>
      </c>
      <c r="H19" s="340" t="str">
        <f t="shared" si="1"/>
        <v>Yes</v>
      </c>
      <c r="I19" s="439">
        <f>SUMIF('Diags Raw Data'!$A$6:$A$3690,"*"&amp;$A19&amp;"*",'Diags Raw Data'!$K$6:$K$3690)</f>
        <v>0</v>
      </c>
      <c r="J19" s="441">
        <f>SUMIF('Diags Raw Data'!$A$6:$A$3690,"*"&amp;$A19&amp;"*",'Diags Raw Data'!$L$6:$L$3690)</f>
        <v>0</v>
      </c>
      <c r="K19" s="487" cm="1">
        <f t="array" ref="K19">IF(D19="",0, SUMPRODUCT(--(ISNUMBER(SEARCH($A19,'Diags Raw Data'!$A$6:$A$3690))),'Diags Raw Data'!$L$6:$L$3690,'Diags Raw Data'!$N$6:$N$3690)/J19)</f>
        <v>0</v>
      </c>
      <c r="L19" s="488" cm="1">
        <f t="array" ref="L19">IF(D19="",0, SUMPRODUCT(--(ISNUMBER(SEARCH($A19,'Diags Raw Data'!$A$6:$A$3690))),'Diags Raw Data'!$L$6:$L$3690,'Diags Raw Data'!$P$6:$P$3690)/J19)</f>
        <v>0</v>
      </c>
      <c r="M19" s="489" cm="1">
        <f t="array" ref="M19">SUMPRODUCT(--(ISNUMBER(SEARCH($A19,'Diags Raw Data'!$A$6:$A$3690))),--('Diags Raw Data'!$Q$6:$Q$3690&lt;&gt;"N/A"),'Diags Raw Data'!$R$6:$R$3690)</f>
        <v>0</v>
      </c>
      <c r="N19" s="490" cm="1">
        <f t="array" ref="N19">SUMPRODUCT(--(ISNUMBER(SEARCH($A19,'Diags Raw Data'!$A$6:$A$3690))),--('Diags Raw Data'!$Q$6:$Q$3690&lt;&gt;"N/A"),'Diags Raw Data'!$T$6:$T$3690)+SUMPRODUCT(--(ISNUMBER(SEARCH($A19,'Diags Raw Data'!$A$6:$A$3690))),--('Diags Raw Data'!$Q$6:$Q$3690&lt;&gt;"N/A"),'Diags Raw Data'!$U$6:$U$3690)</f>
        <v>0</v>
      </c>
      <c r="O19" s="491">
        <f t="shared" si="2"/>
        <v>0</v>
      </c>
      <c r="P19" s="492">
        <f>SUMIF('Diags Raw Data'!$A$6:$A$3690,"*"&amp;$A19&amp;"*",'Diags Raw Data'!$Z$6:$Z$3690)</f>
        <v>0</v>
      </c>
      <c r="Q19" s="493">
        <f>SUM(SUMIF('Diags Raw Data'!$A$6:$A$3690,"*"&amp;$A19&amp;"*",'Diags Raw Data'!$AA$6:$AA$3690),SUMIF('Diags Raw Data'!$A$6:$A$3690,"*"&amp;$A19&amp;"*",'Diags Raw Data'!$AB$6:$AB$3690))</f>
        <v>0</v>
      </c>
      <c r="R19" s="494">
        <f t="shared" si="3"/>
        <v>0</v>
      </c>
      <c r="S19" s="494">
        <f t="shared" si="4"/>
        <v>0</v>
      </c>
      <c r="T19" s="495">
        <f t="shared" si="5"/>
        <v>0</v>
      </c>
      <c r="U19" s="436" t="e">
        <f>VLOOKUP(A19,'Diags Raw Data'!$A$6:$AH$3690,33,FALSE)</f>
        <v>#N/A</v>
      </c>
      <c r="V19" s="181"/>
    </row>
    <row r="20" spans="1:22" ht="15.75" thickBot="1" x14ac:dyDescent="0.3">
      <c r="A20" s="549">
        <v>12.013999999999992</v>
      </c>
      <c r="B20" s="438" t="str">
        <f>VLOOKUP(A20,'Feature Raw Data'!$A$3:$B$3922,2,FALSE)</f>
        <v xml:space="preserve">Split DB_RENDER_OVERRIDE </v>
      </c>
      <c r="C20" s="439" t="str">
        <f>VLOOKUP(A20,'Feature Raw Data'!$A$3:$C$3922,3,FALSE)</f>
        <v>P1</v>
      </c>
      <c r="D20" s="440" t="str" cm="1">
        <f t="array" ref="D20">_xlfn.TEXTJOIN("",TRUE,IF(ISNUMBER(SEARCH($A20,'Diags Raw Data'!$A$6:$A$3690)),CONCATENATE('Diags Raw Data'!$H$6:$H$3690,", "),""))</f>
        <v/>
      </c>
      <c r="E20" s="340" t="e">
        <f>VLOOKUP(A20,'Diags Raw Data'!$A$6:$D$3690,4,FALSE)</f>
        <v>#N/A</v>
      </c>
      <c r="F20" s="340" t="str">
        <f>VLOOKUP(A20,'Feature Raw Data'!$A$3:$E$3922,5,FALSE)</f>
        <v>New</v>
      </c>
      <c r="G20" s="340" t="str">
        <f t="shared" si="0"/>
        <v>Yes</v>
      </c>
      <c r="H20" s="340" t="str">
        <f t="shared" si="1"/>
        <v>Yes</v>
      </c>
      <c r="I20" s="439">
        <f>SUMIF('Diags Raw Data'!$A$6:$A$3690,"*"&amp;$A20&amp;"*",'Diags Raw Data'!$K$6:$K$3690)</f>
        <v>0</v>
      </c>
      <c r="J20" s="441">
        <f>SUMIF('Diags Raw Data'!$A$6:$A$3690,"*"&amp;$A20&amp;"*",'Diags Raw Data'!$L$6:$L$3690)</f>
        <v>0</v>
      </c>
      <c r="K20" s="487" cm="1">
        <f t="array" ref="K20">IF(D20="",0, SUMPRODUCT(--(ISNUMBER(SEARCH($A20,'Diags Raw Data'!$A$6:$A$3690))),'Diags Raw Data'!$L$6:$L$3690,'Diags Raw Data'!$N$6:$N$3690)/J20)</f>
        <v>0</v>
      </c>
      <c r="L20" s="488" cm="1">
        <f t="array" ref="L20">IF(D20="",0, SUMPRODUCT(--(ISNUMBER(SEARCH($A20,'Diags Raw Data'!$A$6:$A$3690))),'Diags Raw Data'!$L$6:$L$3690,'Diags Raw Data'!$P$6:$P$3690)/J20)</f>
        <v>0</v>
      </c>
      <c r="M20" s="489" cm="1">
        <f t="array" ref="M20">SUMPRODUCT(--(ISNUMBER(SEARCH($A20,'Diags Raw Data'!$A$6:$A$3690))),--('Diags Raw Data'!$Q$6:$Q$3690&lt;&gt;"N/A"),'Diags Raw Data'!$R$6:$R$3690)</f>
        <v>0</v>
      </c>
      <c r="N20" s="490" cm="1">
        <f t="array" ref="N20">SUMPRODUCT(--(ISNUMBER(SEARCH($A20,'Diags Raw Data'!$A$6:$A$3690))),--('Diags Raw Data'!$Q$6:$Q$3690&lt;&gt;"N/A"),'Diags Raw Data'!$T$6:$T$3690)+SUMPRODUCT(--(ISNUMBER(SEARCH($A20,'Diags Raw Data'!$A$6:$A$3690))),--('Diags Raw Data'!$Q$6:$Q$3690&lt;&gt;"N/A"),'Diags Raw Data'!$U$6:$U$3690)</f>
        <v>0</v>
      </c>
      <c r="O20" s="491">
        <f t="shared" si="2"/>
        <v>0</v>
      </c>
      <c r="P20" s="492">
        <f>SUMIF('Diags Raw Data'!$A$6:$A$3690,"*"&amp;$A20&amp;"*",'Diags Raw Data'!$Z$6:$Z$3690)</f>
        <v>0</v>
      </c>
      <c r="Q20" s="493">
        <f>SUM(SUMIF('Diags Raw Data'!$A$6:$A$3690,"*"&amp;$A20&amp;"*",'Diags Raw Data'!$AA$6:$AA$3690),SUMIF('Diags Raw Data'!$A$6:$A$3690,"*"&amp;$A20&amp;"*",'Diags Raw Data'!$AB$6:$AB$3690))</f>
        <v>0</v>
      </c>
      <c r="R20" s="494">
        <f t="shared" si="3"/>
        <v>0</v>
      </c>
      <c r="S20" s="494">
        <f t="shared" si="4"/>
        <v>0</v>
      </c>
      <c r="T20" s="495">
        <f t="shared" si="5"/>
        <v>0</v>
      </c>
      <c r="U20" s="436" t="e">
        <f>VLOOKUP(A20,'Diags Raw Data'!$A$6:$AH$3690,33,FALSE)</f>
        <v>#N/A</v>
      </c>
      <c r="V20" s="181"/>
    </row>
    <row r="21" spans="1:22" ht="15.75" thickBot="1" x14ac:dyDescent="0.3">
      <c r="A21" s="549">
        <v>12.014999999999992</v>
      </c>
      <c r="B21" s="438" t="str">
        <f>VLOOKUP(A21,'Feature Raw Data'!$A$3:$B$3922,2,FALSE)</f>
        <v xml:space="preserve">DB_STENCILREFMASK refactor </v>
      </c>
      <c r="C21" s="439" t="str">
        <f>VLOOKUP(A21,'Feature Raw Data'!$A$3:$C$3922,3,FALSE)</f>
        <v>P1</v>
      </c>
      <c r="D21" s="440" t="str" cm="1">
        <f t="array" ref="D21">_xlfn.TEXTJOIN("",TRUE,IF(ISNUMBER(SEARCH($A21,'Diags Raw Data'!$A$6:$A$3690)),CONCATENATE('Diags Raw Data'!$H$6:$H$3690,", "),""))</f>
        <v/>
      </c>
      <c r="E21" s="340" t="e">
        <f>VLOOKUP(A21,'Diags Raw Data'!$A$6:$D$3690,4,FALSE)</f>
        <v>#N/A</v>
      </c>
      <c r="F21" s="340" t="str">
        <f>VLOOKUP(A21,'Feature Raw Data'!$A$3:$E$3922,5,FALSE)</f>
        <v>Delta</v>
      </c>
      <c r="G21" s="340" t="str">
        <f t="shared" si="0"/>
        <v>Yes</v>
      </c>
      <c r="H21" s="340" t="str">
        <f t="shared" si="1"/>
        <v>Yes</v>
      </c>
      <c r="I21" s="439">
        <f>SUMIF('Diags Raw Data'!$A$6:$A$3690,"*"&amp;$A21&amp;"*",'Diags Raw Data'!$K$6:$K$3690)</f>
        <v>0</v>
      </c>
      <c r="J21" s="441">
        <f>SUMIF('Diags Raw Data'!$A$6:$A$3690,"*"&amp;$A21&amp;"*",'Diags Raw Data'!$L$6:$L$3690)</f>
        <v>0</v>
      </c>
      <c r="K21" s="487" cm="1">
        <f t="array" ref="K21">IF(D21="",0, SUMPRODUCT(--(ISNUMBER(SEARCH($A21,'Diags Raw Data'!$A$6:$A$3690))),'Diags Raw Data'!$L$6:$L$3690,'Diags Raw Data'!$N$6:$N$3690)/J21)</f>
        <v>0</v>
      </c>
      <c r="L21" s="488" cm="1">
        <f t="array" ref="L21">IF(D21="",0, SUMPRODUCT(--(ISNUMBER(SEARCH($A21,'Diags Raw Data'!$A$6:$A$3690))),'Diags Raw Data'!$L$6:$L$3690,'Diags Raw Data'!$P$6:$P$3690)/J21)</f>
        <v>0</v>
      </c>
      <c r="M21" s="489" cm="1">
        <f t="array" ref="M21">SUMPRODUCT(--(ISNUMBER(SEARCH($A21,'Diags Raw Data'!$A$6:$A$3690))),--('Diags Raw Data'!$Q$6:$Q$3690&lt;&gt;"N/A"),'Diags Raw Data'!$R$6:$R$3690)</f>
        <v>0</v>
      </c>
      <c r="N21" s="490" cm="1">
        <f t="array" ref="N21">SUMPRODUCT(--(ISNUMBER(SEARCH($A21,'Diags Raw Data'!$A$6:$A$3690))),--('Diags Raw Data'!$Q$6:$Q$3690&lt;&gt;"N/A"),'Diags Raw Data'!$T$6:$T$3690)+SUMPRODUCT(--(ISNUMBER(SEARCH($A21,'Diags Raw Data'!$A$6:$A$3690))),--('Diags Raw Data'!$Q$6:$Q$3690&lt;&gt;"N/A"),'Diags Raw Data'!$U$6:$U$3690)</f>
        <v>0</v>
      </c>
      <c r="O21" s="491">
        <f t="shared" si="2"/>
        <v>0</v>
      </c>
      <c r="P21" s="492">
        <f>SUMIF('Diags Raw Data'!$A$6:$A$3690,"*"&amp;$A21&amp;"*",'Diags Raw Data'!$Z$6:$Z$3690)</f>
        <v>0</v>
      </c>
      <c r="Q21" s="493">
        <f>SUM(SUMIF('Diags Raw Data'!$A$6:$A$3690,"*"&amp;$A21&amp;"*",'Diags Raw Data'!$AA$6:$AA$3690),SUMIF('Diags Raw Data'!$A$6:$A$3690,"*"&amp;$A21&amp;"*",'Diags Raw Data'!$AB$6:$AB$3690))</f>
        <v>0</v>
      </c>
      <c r="R21" s="494">
        <f t="shared" si="3"/>
        <v>0</v>
      </c>
      <c r="S21" s="494">
        <f t="shared" si="4"/>
        <v>0</v>
      </c>
      <c r="T21" s="495">
        <f t="shared" si="5"/>
        <v>0</v>
      </c>
      <c r="U21" s="436" t="e">
        <f>VLOOKUP(A21,'Diags Raw Data'!$A$6:$AH$3690,33,FALSE)</f>
        <v>#N/A</v>
      </c>
      <c r="V21" s="181"/>
    </row>
    <row r="22" spans="1:22" ht="30.75" thickBot="1" x14ac:dyDescent="0.3">
      <c r="A22" s="549">
        <v>12.015999999999991</v>
      </c>
      <c r="B22" s="438" t="str">
        <f>VLOOKUP(A22,'Feature Raw Data'!$A$3:$B$3922,2,FALSE)</f>
        <v xml:space="preserve">Per target control for CB BIG_PAGE/L2_BYPASS </v>
      </c>
      <c r="C22" s="439" t="str">
        <f>VLOOKUP(A22,'Feature Raw Data'!$A$3:$C$3922,3,FALSE)</f>
        <v>P1</v>
      </c>
      <c r="D22" s="440" t="str" cm="1">
        <f t="array" ref="D22">_xlfn.TEXTJOIN("",TRUE,IF(ISNUMBER(SEARCH($A22,'Diags Raw Data'!$A$6:$A$3690)),CONCATENATE('Diags Raw Data'!$H$6:$H$3690,", "),""))</f>
        <v/>
      </c>
      <c r="E22" s="340" t="e">
        <f>VLOOKUP(A22,'Diags Raw Data'!$A$6:$D$3690,4,FALSE)</f>
        <v>#N/A</v>
      </c>
      <c r="F22" s="340" t="str">
        <f>VLOOKUP(A22,'Feature Raw Data'!$A$3:$E$3922,5,FALSE)</f>
        <v>New</v>
      </c>
      <c r="G22" s="340" t="str">
        <f t="shared" si="0"/>
        <v>Yes</v>
      </c>
      <c r="H22" s="340" t="str">
        <f t="shared" si="1"/>
        <v>Yes</v>
      </c>
      <c r="I22" s="439">
        <f>SUMIF('Diags Raw Data'!$A$6:$A$3690,"*"&amp;$A22&amp;"*",'Diags Raw Data'!$K$6:$K$3690)</f>
        <v>0</v>
      </c>
      <c r="J22" s="441">
        <f>SUMIF('Diags Raw Data'!$A$6:$A$3690,"*"&amp;$A22&amp;"*",'Diags Raw Data'!$L$6:$L$3690)</f>
        <v>0</v>
      </c>
      <c r="K22" s="487" cm="1">
        <f t="array" ref="K22">IF(D22="",0, SUMPRODUCT(--(ISNUMBER(SEARCH($A22,'Diags Raw Data'!$A$6:$A$3690))),'Diags Raw Data'!$L$6:$L$3690,'Diags Raw Data'!$N$6:$N$3690)/J22)</f>
        <v>0</v>
      </c>
      <c r="L22" s="488" cm="1">
        <f t="array" ref="L22">IF(D22="",0, SUMPRODUCT(--(ISNUMBER(SEARCH($A22,'Diags Raw Data'!$A$6:$A$3690))),'Diags Raw Data'!$L$6:$L$3690,'Diags Raw Data'!$P$6:$P$3690)/J22)</f>
        <v>0</v>
      </c>
      <c r="M22" s="489" cm="1">
        <f t="array" ref="M22">SUMPRODUCT(--(ISNUMBER(SEARCH($A22,'Diags Raw Data'!$A$6:$A$3690))),--('Diags Raw Data'!$Q$6:$Q$3690&lt;&gt;"N/A"),'Diags Raw Data'!$R$6:$R$3690)</f>
        <v>0</v>
      </c>
      <c r="N22" s="490" cm="1">
        <f t="array" ref="N22">SUMPRODUCT(--(ISNUMBER(SEARCH($A22,'Diags Raw Data'!$A$6:$A$3690))),--('Diags Raw Data'!$Q$6:$Q$3690&lt;&gt;"N/A"),'Diags Raw Data'!$T$6:$T$3690)+SUMPRODUCT(--(ISNUMBER(SEARCH($A22,'Diags Raw Data'!$A$6:$A$3690))),--('Diags Raw Data'!$Q$6:$Q$3690&lt;&gt;"N/A"),'Diags Raw Data'!$U$6:$U$3690)</f>
        <v>0</v>
      </c>
      <c r="O22" s="491">
        <f t="shared" si="2"/>
        <v>0</v>
      </c>
      <c r="P22" s="492">
        <f>SUMIF('Diags Raw Data'!$A$6:$A$3690,"*"&amp;$A22&amp;"*",'Diags Raw Data'!$Z$6:$Z$3690)</f>
        <v>0</v>
      </c>
      <c r="Q22" s="493">
        <f>SUM(SUMIF('Diags Raw Data'!$A$6:$A$3690,"*"&amp;$A22&amp;"*",'Diags Raw Data'!$AA$6:$AA$3690),SUMIF('Diags Raw Data'!$A$6:$A$3690,"*"&amp;$A22&amp;"*",'Diags Raw Data'!$AB$6:$AB$3690))</f>
        <v>0</v>
      </c>
      <c r="R22" s="494">
        <f t="shared" si="3"/>
        <v>0</v>
      </c>
      <c r="S22" s="494">
        <f t="shared" si="4"/>
        <v>0</v>
      </c>
      <c r="T22" s="495">
        <f t="shared" si="5"/>
        <v>0</v>
      </c>
      <c r="U22" s="436" t="e">
        <f>VLOOKUP(A22,'Diags Raw Data'!$A$6:$AH$3690,33,FALSE)</f>
        <v>#N/A</v>
      </c>
      <c r="V22" s="181"/>
    </row>
    <row r="23" spans="1:22" ht="30.75" thickBot="1" x14ac:dyDescent="0.3">
      <c r="A23" s="549">
        <v>12.016999999999991</v>
      </c>
      <c r="B23" s="438" t="str">
        <f>VLOOKUP(A23,'Feature Raw Data'!$A$3:$B$3922,2,FALSE)</f>
        <v xml:space="preserve">MSAA shader write support for D/S images </v>
      </c>
      <c r="C23" s="439" t="str">
        <f>VLOOKUP(A23,'Feature Raw Data'!$A$3:$C$3922,3,FALSE)</f>
        <v>P1</v>
      </c>
      <c r="D23" s="440" t="str" cm="1">
        <f t="array" ref="D23">_xlfn.TEXTJOIN("",TRUE,IF(ISNUMBER(SEARCH($A23,'Diags Raw Data'!$A$6:$A$3690)),CONCATENATE('Diags Raw Data'!$H$6:$H$3690,", "),""))</f>
        <v/>
      </c>
      <c r="E23" s="340" t="e">
        <f>VLOOKUP(A23,'Diags Raw Data'!$A$6:$D$3690,4,FALSE)</f>
        <v>#N/A</v>
      </c>
      <c r="F23" s="340" t="str">
        <f>VLOOKUP(A23,'Feature Raw Data'!$A$3:$E$3922,5,FALSE)</f>
        <v>New</v>
      </c>
      <c r="G23" s="340" t="str">
        <f t="shared" si="0"/>
        <v>Yes</v>
      </c>
      <c r="H23" s="340" t="str">
        <f t="shared" si="1"/>
        <v>Yes</v>
      </c>
      <c r="I23" s="439">
        <f>SUMIF('Diags Raw Data'!$A$6:$A$3690,"*"&amp;$A23&amp;"*",'Diags Raw Data'!$K$6:$K$3690)</f>
        <v>0</v>
      </c>
      <c r="J23" s="441">
        <f>SUMIF('Diags Raw Data'!$A$6:$A$3690,"*"&amp;$A23&amp;"*",'Diags Raw Data'!$L$6:$L$3690)</f>
        <v>0</v>
      </c>
      <c r="K23" s="487" cm="1">
        <f t="array" ref="K23">IF(D23="",0, SUMPRODUCT(--(ISNUMBER(SEARCH($A23,'Diags Raw Data'!$A$6:$A$3690))),'Diags Raw Data'!$L$6:$L$3690,'Diags Raw Data'!$N$6:$N$3690)/J23)</f>
        <v>0</v>
      </c>
      <c r="L23" s="488" cm="1">
        <f t="array" ref="L23">IF(D23="",0, SUMPRODUCT(--(ISNUMBER(SEARCH($A23,'Diags Raw Data'!$A$6:$A$3690))),'Diags Raw Data'!$L$6:$L$3690,'Diags Raw Data'!$P$6:$P$3690)/J23)</f>
        <v>0</v>
      </c>
      <c r="M23" s="489" cm="1">
        <f t="array" ref="M23">SUMPRODUCT(--(ISNUMBER(SEARCH($A23,'Diags Raw Data'!$A$6:$A$3690))),--('Diags Raw Data'!$Q$6:$Q$3690&lt;&gt;"N/A"),'Diags Raw Data'!$R$6:$R$3690)</f>
        <v>0</v>
      </c>
      <c r="N23" s="490" cm="1">
        <f t="array" ref="N23">SUMPRODUCT(--(ISNUMBER(SEARCH($A23,'Diags Raw Data'!$A$6:$A$3690))),--('Diags Raw Data'!$Q$6:$Q$3690&lt;&gt;"N/A"),'Diags Raw Data'!$T$6:$T$3690)+SUMPRODUCT(--(ISNUMBER(SEARCH($A23,'Diags Raw Data'!$A$6:$A$3690))),--('Diags Raw Data'!$Q$6:$Q$3690&lt;&gt;"N/A"),'Diags Raw Data'!$U$6:$U$3690)</f>
        <v>0</v>
      </c>
      <c r="O23" s="491">
        <f t="shared" si="2"/>
        <v>0</v>
      </c>
      <c r="P23" s="492">
        <f>SUMIF('Diags Raw Data'!$A$6:$A$3690,"*"&amp;$A23&amp;"*",'Diags Raw Data'!$Z$6:$Z$3690)</f>
        <v>0</v>
      </c>
      <c r="Q23" s="493">
        <f>SUM(SUMIF('Diags Raw Data'!$A$6:$A$3690,"*"&amp;$A23&amp;"*",'Diags Raw Data'!$AA$6:$AA$3690),SUMIF('Diags Raw Data'!$A$6:$A$3690,"*"&amp;$A23&amp;"*",'Diags Raw Data'!$AB$6:$AB$3690))</f>
        <v>0</v>
      </c>
      <c r="R23" s="494">
        <f t="shared" si="3"/>
        <v>0</v>
      </c>
      <c r="S23" s="494">
        <f t="shared" si="4"/>
        <v>0</v>
      </c>
      <c r="T23" s="495">
        <f t="shared" si="5"/>
        <v>0</v>
      </c>
      <c r="U23" s="436" t="e">
        <f>VLOOKUP(A23,'Diags Raw Data'!$A$6:$AH$3690,33,FALSE)</f>
        <v>#N/A</v>
      </c>
      <c r="V23" s="181"/>
    </row>
    <row r="24" spans="1:22" ht="15.75" thickBot="1" x14ac:dyDescent="0.3">
      <c r="A24" s="549">
        <v>12.018999999999989</v>
      </c>
      <c r="B24" s="438" t="str">
        <f>VLOOKUP(A24,'Feature Raw Data'!$A$3:$B$3922,2,FALSE)</f>
        <v xml:space="preserve">Broadcast stores </v>
      </c>
      <c r="C24" s="439" t="str">
        <f>VLOOKUP(A24,'Feature Raw Data'!$A$3:$C$3922,3,FALSE)</f>
        <v>P1</v>
      </c>
      <c r="D24" s="440" t="str" cm="1">
        <f t="array" ref="D24">_xlfn.TEXTJOIN("",TRUE,IF(ISNUMBER(SEARCH($A24,'Diags Raw Data'!$A$6:$A$3690)),CONCATENATE('Diags Raw Data'!$H$6:$H$3690,", "),""))</f>
        <v/>
      </c>
      <c r="E24" s="340" t="e">
        <f>VLOOKUP(A24,'Diags Raw Data'!$A$6:$D$3690,4,FALSE)</f>
        <v>#N/A</v>
      </c>
      <c r="F24" s="340" t="str">
        <f>VLOOKUP(A24,'Feature Raw Data'!$A$3:$E$3922,5,FALSE)</f>
        <v>New</v>
      </c>
      <c r="G24" s="340" t="str">
        <f t="shared" si="0"/>
        <v>Yes</v>
      </c>
      <c r="H24" s="340" t="str">
        <f t="shared" si="1"/>
        <v>Yes</v>
      </c>
      <c r="I24" s="439">
        <f>SUMIF('Diags Raw Data'!$A$6:$A$3690,"*"&amp;$A24&amp;"*",'Diags Raw Data'!$K$6:$K$3690)</f>
        <v>0</v>
      </c>
      <c r="J24" s="441">
        <f>SUMIF('Diags Raw Data'!$A$6:$A$3690,"*"&amp;$A24&amp;"*",'Diags Raw Data'!$L$6:$L$3690)</f>
        <v>0</v>
      </c>
      <c r="K24" s="487" cm="1">
        <f t="array" ref="K24">IF(D24="",0, SUMPRODUCT(--(ISNUMBER(SEARCH($A24,'Diags Raw Data'!$A$6:$A$3690))),'Diags Raw Data'!$L$6:$L$3690,'Diags Raw Data'!$N$6:$N$3690)/J24)</f>
        <v>0</v>
      </c>
      <c r="L24" s="488" cm="1">
        <f t="array" ref="L24">IF(D24="",0, SUMPRODUCT(--(ISNUMBER(SEARCH($A24,'Diags Raw Data'!$A$6:$A$3690))),'Diags Raw Data'!$L$6:$L$3690,'Diags Raw Data'!$P$6:$P$3690)/J24)</f>
        <v>0</v>
      </c>
      <c r="M24" s="489" cm="1">
        <f t="array" ref="M24">SUMPRODUCT(--(ISNUMBER(SEARCH($A24,'Diags Raw Data'!$A$6:$A$3690))),--('Diags Raw Data'!$Q$6:$Q$3690&lt;&gt;"N/A"),'Diags Raw Data'!$R$6:$R$3690)</f>
        <v>0</v>
      </c>
      <c r="N24" s="490" cm="1">
        <f t="array" ref="N24">SUMPRODUCT(--(ISNUMBER(SEARCH($A24,'Diags Raw Data'!$A$6:$A$3690))),--('Diags Raw Data'!$Q$6:$Q$3690&lt;&gt;"N/A"),'Diags Raw Data'!$T$6:$T$3690)+SUMPRODUCT(--(ISNUMBER(SEARCH($A24,'Diags Raw Data'!$A$6:$A$3690))),--('Diags Raw Data'!$Q$6:$Q$3690&lt;&gt;"N/A"),'Diags Raw Data'!$U$6:$U$3690)</f>
        <v>0</v>
      </c>
      <c r="O24" s="491">
        <f t="shared" si="2"/>
        <v>0</v>
      </c>
      <c r="P24" s="492">
        <f>SUMIF('Diags Raw Data'!$A$6:$A$3690,"*"&amp;$A24&amp;"*",'Diags Raw Data'!$Z$6:$Z$3690)</f>
        <v>0</v>
      </c>
      <c r="Q24" s="493">
        <f>SUM(SUMIF('Diags Raw Data'!$A$6:$A$3690,"*"&amp;$A24&amp;"*",'Diags Raw Data'!$AA$6:$AA$3690),SUMIF('Diags Raw Data'!$A$6:$A$3690,"*"&amp;$A24&amp;"*",'Diags Raw Data'!$AB$6:$AB$3690))</f>
        <v>0</v>
      </c>
      <c r="R24" s="494">
        <f t="shared" si="3"/>
        <v>0</v>
      </c>
      <c r="S24" s="494">
        <f t="shared" si="4"/>
        <v>0</v>
      </c>
      <c r="T24" s="495">
        <f t="shared" si="5"/>
        <v>0</v>
      </c>
      <c r="U24" s="436" t="e">
        <f>VLOOKUP(A24,'Diags Raw Data'!$A$6:$AH$3690,33,FALSE)</f>
        <v>#N/A</v>
      </c>
      <c r="V24" s="181"/>
    </row>
    <row r="25" spans="1:22" ht="30.75" thickBot="1" x14ac:dyDescent="0.3">
      <c r="A25" s="549">
        <v>12.019999999999989</v>
      </c>
      <c r="B25" s="438" t="str">
        <f>VLOOKUP(A25,'Feature Raw Data'!$A$3:$B$3922,2,FALSE)</f>
        <v xml:space="preserve">out of order per-wave vmem returns </v>
      </c>
      <c r="C25" s="439" t="str">
        <f>VLOOKUP(A25,'Feature Raw Data'!$A$3:$C$3922,3,FALSE)</f>
        <v>P1</v>
      </c>
      <c r="D25" s="440" t="str" cm="1">
        <f t="array" ref="D25">_xlfn.TEXTJOIN("",TRUE,IF(ISNUMBER(SEARCH($A25,'Diags Raw Data'!$A$6:$A$3690)),CONCATENATE('Diags Raw Data'!$H$6:$H$3690,", "),""))</f>
        <v/>
      </c>
      <c r="E25" s="340" t="e">
        <f>VLOOKUP(A25,'Diags Raw Data'!$A$6:$D$3690,4,FALSE)</f>
        <v>#N/A</v>
      </c>
      <c r="F25" s="340" t="str">
        <f>VLOOKUP(A25,'Feature Raw Data'!$A$3:$E$3922,5,FALSE)</f>
        <v>New</v>
      </c>
      <c r="G25" s="340" t="str">
        <f t="shared" si="0"/>
        <v>Yes</v>
      </c>
      <c r="H25" s="340" t="str">
        <f t="shared" si="1"/>
        <v>Yes</v>
      </c>
      <c r="I25" s="439">
        <f>SUMIF('Diags Raw Data'!$A$6:$A$3690,"*"&amp;$A25&amp;"*",'Diags Raw Data'!$K$6:$K$3690)</f>
        <v>0</v>
      </c>
      <c r="J25" s="441">
        <f>SUMIF('Diags Raw Data'!$A$6:$A$3690,"*"&amp;$A25&amp;"*",'Diags Raw Data'!$L$6:$L$3690)</f>
        <v>0</v>
      </c>
      <c r="K25" s="487" cm="1">
        <f t="array" ref="K25">IF(D25="",0, SUMPRODUCT(--(ISNUMBER(SEARCH($A25,'Diags Raw Data'!$A$6:$A$3690))),'Diags Raw Data'!$L$6:$L$3690,'Diags Raw Data'!$N$6:$N$3690)/J25)</f>
        <v>0</v>
      </c>
      <c r="L25" s="488" cm="1">
        <f t="array" ref="L25">IF(D25="",0, SUMPRODUCT(--(ISNUMBER(SEARCH($A25,'Diags Raw Data'!$A$6:$A$3690))),'Diags Raw Data'!$L$6:$L$3690,'Diags Raw Data'!$P$6:$P$3690)/J25)</f>
        <v>0</v>
      </c>
      <c r="M25" s="489" cm="1">
        <f t="array" ref="M25">SUMPRODUCT(--(ISNUMBER(SEARCH($A25,'Diags Raw Data'!$A$6:$A$3690))),--('Diags Raw Data'!$Q$6:$Q$3690&lt;&gt;"N/A"),'Diags Raw Data'!$R$6:$R$3690)</f>
        <v>0</v>
      </c>
      <c r="N25" s="490" cm="1">
        <f t="array" ref="N25">SUMPRODUCT(--(ISNUMBER(SEARCH($A25,'Diags Raw Data'!$A$6:$A$3690))),--('Diags Raw Data'!$Q$6:$Q$3690&lt;&gt;"N/A"),'Diags Raw Data'!$T$6:$T$3690)+SUMPRODUCT(--(ISNUMBER(SEARCH($A25,'Diags Raw Data'!$A$6:$A$3690))),--('Diags Raw Data'!$Q$6:$Q$3690&lt;&gt;"N/A"),'Diags Raw Data'!$U$6:$U$3690)</f>
        <v>0</v>
      </c>
      <c r="O25" s="491">
        <f t="shared" si="2"/>
        <v>0</v>
      </c>
      <c r="P25" s="492">
        <f>SUMIF('Diags Raw Data'!$A$6:$A$3690,"*"&amp;$A25&amp;"*",'Diags Raw Data'!$Z$6:$Z$3690)</f>
        <v>0</v>
      </c>
      <c r="Q25" s="493">
        <f>SUM(SUMIF('Diags Raw Data'!$A$6:$A$3690,"*"&amp;$A25&amp;"*",'Diags Raw Data'!$AA$6:$AA$3690),SUMIF('Diags Raw Data'!$A$6:$A$3690,"*"&amp;$A25&amp;"*",'Diags Raw Data'!$AB$6:$AB$3690))</f>
        <v>0</v>
      </c>
      <c r="R25" s="494">
        <f t="shared" si="3"/>
        <v>0</v>
      </c>
      <c r="S25" s="494">
        <f t="shared" si="4"/>
        <v>0</v>
      </c>
      <c r="T25" s="495">
        <f t="shared" si="5"/>
        <v>0</v>
      </c>
      <c r="U25" s="436" t="e">
        <f>VLOOKUP(A25,'Diags Raw Data'!$A$6:$AH$3690,33,FALSE)</f>
        <v>#N/A</v>
      </c>
      <c r="V25" s="181"/>
    </row>
    <row r="26" spans="1:22" ht="45.75" thickBot="1" x14ac:dyDescent="0.3">
      <c r="A26" s="549">
        <v>12.026999999999985</v>
      </c>
      <c r="B26" s="438" t="str">
        <f>VLOOKUP(A26,'Feature Raw Data'!$A$3:$B$3922,2,FALSE)</f>
        <v>Configuration agnostic memory scope and policy control (dup of 12.041)</v>
      </c>
      <c r="C26" s="439" t="str">
        <f>VLOOKUP(A26,'Feature Raw Data'!$A$3:$C$3922,3,FALSE)</f>
        <v>P1</v>
      </c>
      <c r="D26" s="440" t="str" cm="1">
        <f t="array" ref="D26">_xlfn.TEXTJOIN("",TRUE,IF(ISNUMBER(SEARCH($A26,'Diags Raw Data'!$A$6:$A$3690)),CONCATENATE('Diags Raw Data'!$H$6:$H$3690,", "),""))</f>
        <v/>
      </c>
      <c r="E26" s="340" t="e">
        <f>VLOOKUP(A26,'Diags Raw Data'!$A$6:$D$3690,4,FALSE)</f>
        <v>#N/A</v>
      </c>
      <c r="F26" s="340" t="str">
        <f>VLOOKUP(A26,'Feature Raw Data'!$A$3:$E$3922,5,FALSE)</f>
        <v>New</v>
      </c>
      <c r="G26" s="340" t="str">
        <f t="shared" si="0"/>
        <v>Yes</v>
      </c>
      <c r="H26" s="340" t="str">
        <f t="shared" si="1"/>
        <v>Yes</v>
      </c>
      <c r="I26" s="439">
        <f>SUMIF('Diags Raw Data'!$A$6:$A$3690,"*"&amp;$A26&amp;"*",'Diags Raw Data'!$K$6:$K$3690)</f>
        <v>0</v>
      </c>
      <c r="J26" s="441">
        <f>SUMIF('Diags Raw Data'!$A$6:$A$3690,"*"&amp;$A26&amp;"*",'Diags Raw Data'!$L$6:$L$3690)</f>
        <v>0</v>
      </c>
      <c r="K26" s="487" cm="1">
        <f t="array" ref="K26">IF(D26="",0, SUMPRODUCT(--(ISNUMBER(SEARCH($A26,'Diags Raw Data'!$A$6:$A$3690))),'Diags Raw Data'!$L$6:$L$3690,'Diags Raw Data'!$N$6:$N$3690)/J26)</f>
        <v>0</v>
      </c>
      <c r="L26" s="488" cm="1">
        <f t="array" ref="L26">IF(D26="",0, SUMPRODUCT(--(ISNUMBER(SEARCH($A26,'Diags Raw Data'!$A$6:$A$3690))),'Diags Raw Data'!$L$6:$L$3690,'Diags Raw Data'!$P$6:$P$3690)/J26)</f>
        <v>0</v>
      </c>
      <c r="M26" s="489" cm="1">
        <f t="array" ref="M26">SUMPRODUCT(--(ISNUMBER(SEARCH($A26,'Diags Raw Data'!$A$6:$A$3690))),--('Diags Raw Data'!$Q$6:$Q$3690&lt;&gt;"N/A"),'Diags Raw Data'!$R$6:$R$3690)</f>
        <v>0</v>
      </c>
      <c r="N26" s="490" cm="1">
        <f t="array" ref="N26">SUMPRODUCT(--(ISNUMBER(SEARCH($A26,'Diags Raw Data'!$A$6:$A$3690))),--('Diags Raw Data'!$Q$6:$Q$3690&lt;&gt;"N/A"),'Diags Raw Data'!$T$6:$T$3690)+SUMPRODUCT(--(ISNUMBER(SEARCH($A26,'Diags Raw Data'!$A$6:$A$3690))),--('Diags Raw Data'!$Q$6:$Q$3690&lt;&gt;"N/A"),'Diags Raw Data'!$U$6:$U$3690)</f>
        <v>0</v>
      </c>
      <c r="O26" s="491">
        <f t="shared" si="2"/>
        <v>0</v>
      </c>
      <c r="P26" s="492">
        <f>SUMIF('Diags Raw Data'!$A$6:$A$3690,"*"&amp;$A26&amp;"*",'Diags Raw Data'!$Z$6:$Z$3690)</f>
        <v>0</v>
      </c>
      <c r="Q26" s="493">
        <f>SUM(SUMIF('Diags Raw Data'!$A$6:$A$3690,"*"&amp;$A26&amp;"*",'Diags Raw Data'!$AA$6:$AA$3690),SUMIF('Diags Raw Data'!$A$6:$A$3690,"*"&amp;$A26&amp;"*",'Diags Raw Data'!$AB$6:$AB$3690))</f>
        <v>0</v>
      </c>
      <c r="R26" s="494">
        <f t="shared" si="3"/>
        <v>0</v>
      </c>
      <c r="S26" s="494">
        <f t="shared" si="4"/>
        <v>0</v>
      </c>
      <c r="T26" s="495">
        <f t="shared" si="5"/>
        <v>0</v>
      </c>
      <c r="U26" s="436" t="e">
        <f>VLOOKUP(A26,'Diags Raw Data'!$A$6:$AH$3690,33,FALSE)</f>
        <v>#N/A</v>
      </c>
      <c r="V26" s="181"/>
    </row>
    <row r="27" spans="1:22" ht="75.75" thickBot="1" x14ac:dyDescent="0.3">
      <c r="A27" s="549">
        <v>12.029999999999983</v>
      </c>
      <c r="B27" s="438" t="str">
        <f>VLOOKUP(A27,'Feature Raw Data'!$A$3:$B$3922,2,FALSE)</f>
        <v>Add support for image atomics fp32 add (makes fp32 add orthogonal).  Make fp behaviour among lds/cmm/df identical</v>
      </c>
      <c r="C27" s="439" t="str">
        <f>VLOOKUP(A27,'Feature Raw Data'!$A$3:$C$3922,3,FALSE)</f>
        <v>P1</v>
      </c>
      <c r="D27" s="440" t="str" cm="1">
        <f t="array" ref="D27">_xlfn.TEXTJOIN("",TRUE,IF(ISNUMBER(SEARCH($A27,'Diags Raw Data'!$A$6:$A$3690)),CONCATENATE('Diags Raw Data'!$H$6:$H$3690,", "),""))</f>
        <v/>
      </c>
      <c r="E27" s="340" t="e">
        <f>VLOOKUP(A27,'Diags Raw Data'!$A$6:$D$3690,4,FALSE)</f>
        <v>#N/A</v>
      </c>
      <c r="F27" s="340" t="str">
        <f>VLOOKUP(A27,'Feature Raw Data'!$A$3:$E$3922,5,FALSE)</f>
        <v>New</v>
      </c>
      <c r="G27" s="340" t="str">
        <f t="shared" si="0"/>
        <v>Yes</v>
      </c>
      <c r="H27" s="340" t="str">
        <f t="shared" si="1"/>
        <v>Yes</v>
      </c>
      <c r="I27" s="439">
        <f>SUMIF('Diags Raw Data'!$A$6:$A$3690,"*"&amp;$A27&amp;"*",'Diags Raw Data'!$K$6:$K$3690)</f>
        <v>0</v>
      </c>
      <c r="J27" s="441">
        <f>SUMIF('Diags Raw Data'!$A$6:$A$3690,"*"&amp;$A27&amp;"*",'Diags Raw Data'!$L$6:$L$3690)</f>
        <v>0</v>
      </c>
      <c r="K27" s="487" cm="1">
        <f t="array" ref="K27">IF(D27="",0, SUMPRODUCT(--(ISNUMBER(SEARCH($A27,'Diags Raw Data'!$A$6:$A$3690))),'Diags Raw Data'!$L$6:$L$3690,'Diags Raw Data'!$N$6:$N$3690)/J27)</f>
        <v>0</v>
      </c>
      <c r="L27" s="488" cm="1">
        <f t="array" ref="L27">IF(D27="",0, SUMPRODUCT(--(ISNUMBER(SEARCH($A27,'Diags Raw Data'!$A$6:$A$3690))),'Diags Raw Data'!$L$6:$L$3690,'Diags Raw Data'!$P$6:$P$3690)/J27)</f>
        <v>0</v>
      </c>
      <c r="M27" s="489" cm="1">
        <f t="array" ref="M27">SUMPRODUCT(--(ISNUMBER(SEARCH($A27,'Diags Raw Data'!$A$6:$A$3690))),--('Diags Raw Data'!$Q$6:$Q$3690&lt;&gt;"N/A"),'Diags Raw Data'!$R$6:$R$3690)</f>
        <v>0</v>
      </c>
      <c r="N27" s="490" cm="1">
        <f t="array" ref="N27">SUMPRODUCT(--(ISNUMBER(SEARCH($A27,'Diags Raw Data'!$A$6:$A$3690))),--('Diags Raw Data'!$Q$6:$Q$3690&lt;&gt;"N/A"),'Diags Raw Data'!$T$6:$T$3690)+SUMPRODUCT(--(ISNUMBER(SEARCH($A27,'Diags Raw Data'!$A$6:$A$3690))),--('Diags Raw Data'!$Q$6:$Q$3690&lt;&gt;"N/A"),'Diags Raw Data'!$U$6:$U$3690)</f>
        <v>0</v>
      </c>
      <c r="O27" s="491">
        <f t="shared" si="2"/>
        <v>0</v>
      </c>
      <c r="P27" s="492">
        <f>SUMIF('Diags Raw Data'!$A$6:$A$3690,"*"&amp;$A27&amp;"*",'Diags Raw Data'!$Z$6:$Z$3690)</f>
        <v>0</v>
      </c>
      <c r="Q27" s="493">
        <f>SUM(SUMIF('Diags Raw Data'!$A$6:$A$3690,"*"&amp;$A27&amp;"*",'Diags Raw Data'!$AA$6:$AA$3690),SUMIF('Diags Raw Data'!$A$6:$A$3690,"*"&amp;$A27&amp;"*",'Diags Raw Data'!$AB$6:$AB$3690))</f>
        <v>0</v>
      </c>
      <c r="R27" s="494">
        <f t="shared" si="3"/>
        <v>0</v>
      </c>
      <c r="S27" s="494">
        <f t="shared" si="4"/>
        <v>0</v>
      </c>
      <c r="T27" s="495">
        <f t="shared" si="5"/>
        <v>0</v>
      </c>
      <c r="U27" s="436" t="e">
        <f>VLOOKUP(A27,'Diags Raw Data'!$A$6:$AH$3690,33,FALSE)</f>
        <v>#N/A</v>
      </c>
      <c r="V27" s="181"/>
    </row>
    <row r="28" spans="1:22" ht="75.75" thickBot="1" x14ac:dyDescent="0.3">
      <c r="A28" s="549">
        <v>12.030999999999983</v>
      </c>
      <c r="B28" s="438" t="str">
        <f>VLOOKUP(A28,'Feature Raw Data'!$A$3:$B$3922,2,FALSE)</f>
        <v xml:space="preserve">Support greater than 16k x 16k x 8k textures  (64k x 64k x 16k, inc. 16 mip levels to support 64k).  Reduce/simplify swizzle modes. </v>
      </c>
      <c r="C28" s="439" t="str">
        <f>VLOOKUP(A28,'Feature Raw Data'!$A$3:$C$3922,3,FALSE)</f>
        <v>P1</v>
      </c>
      <c r="D28" s="440" t="str" cm="1">
        <f t="array" ref="D28">_xlfn.TEXTJOIN("",TRUE,IF(ISNUMBER(SEARCH($A28,'Diags Raw Data'!$A$6:$A$3690)),CONCATENATE('Diags Raw Data'!$H$6:$H$3690,", "),""))</f>
        <v/>
      </c>
      <c r="E28" s="340" t="e">
        <f>VLOOKUP(A28,'Diags Raw Data'!$A$6:$D$3690,4,FALSE)</f>
        <v>#N/A</v>
      </c>
      <c r="F28" s="340" t="str">
        <f>VLOOKUP(A28,'Feature Raw Data'!$A$3:$E$3922,5,FALSE)</f>
        <v>New</v>
      </c>
      <c r="G28" s="340" t="str">
        <f t="shared" si="0"/>
        <v>Yes</v>
      </c>
      <c r="H28" s="340" t="str">
        <f t="shared" si="1"/>
        <v>Yes</v>
      </c>
      <c r="I28" s="439">
        <f>SUMIF('Diags Raw Data'!$A$6:$A$3690,"*"&amp;$A28&amp;"*",'Diags Raw Data'!$K$6:$K$3690)</f>
        <v>0</v>
      </c>
      <c r="J28" s="441">
        <f>SUMIF('Diags Raw Data'!$A$6:$A$3690,"*"&amp;$A28&amp;"*",'Diags Raw Data'!$L$6:$L$3690)</f>
        <v>0</v>
      </c>
      <c r="K28" s="487" cm="1">
        <f t="array" ref="K28">IF(D28="",0, SUMPRODUCT(--(ISNUMBER(SEARCH($A28,'Diags Raw Data'!$A$6:$A$3690))),'Diags Raw Data'!$L$6:$L$3690,'Diags Raw Data'!$N$6:$N$3690)/J28)</f>
        <v>0</v>
      </c>
      <c r="L28" s="488" cm="1">
        <f t="array" ref="L28">IF(D28="",0, SUMPRODUCT(--(ISNUMBER(SEARCH($A28,'Diags Raw Data'!$A$6:$A$3690))),'Diags Raw Data'!$L$6:$L$3690,'Diags Raw Data'!$P$6:$P$3690)/J28)</f>
        <v>0</v>
      </c>
      <c r="M28" s="489" cm="1">
        <f t="array" ref="M28">SUMPRODUCT(--(ISNUMBER(SEARCH($A28,'Diags Raw Data'!$A$6:$A$3690))),--('Diags Raw Data'!$Q$6:$Q$3690&lt;&gt;"N/A"),'Diags Raw Data'!$R$6:$R$3690)</f>
        <v>0</v>
      </c>
      <c r="N28" s="490" cm="1">
        <f t="array" ref="N28">SUMPRODUCT(--(ISNUMBER(SEARCH($A28,'Diags Raw Data'!$A$6:$A$3690))),--('Diags Raw Data'!$Q$6:$Q$3690&lt;&gt;"N/A"),'Diags Raw Data'!$T$6:$T$3690)+SUMPRODUCT(--(ISNUMBER(SEARCH($A28,'Diags Raw Data'!$A$6:$A$3690))),--('Diags Raw Data'!$Q$6:$Q$3690&lt;&gt;"N/A"),'Diags Raw Data'!$U$6:$U$3690)</f>
        <v>0</v>
      </c>
      <c r="O28" s="491">
        <f t="shared" si="2"/>
        <v>0</v>
      </c>
      <c r="P28" s="492">
        <f>SUMIF('Diags Raw Data'!$A$6:$A$3690,"*"&amp;$A28&amp;"*",'Diags Raw Data'!$Z$6:$Z$3690)</f>
        <v>0</v>
      </c>
      <c r="Q28" s="493">
        <f>SUM(SUMIF('Diags Raw Data'!$A$6:$A$3690,"*"&amp;$A28&amp;"*",'Diags Raw Data'!$AA$6:$AA$3690),SUMIF('Diags Raw Data'!$A$6:$A$3690,"*"&amp;$A28&amp;"*",'Diags Raw Data'!$AB$6:$AB$3690))</f>
        <v>0</v>
      </c>
      <c r="R28" s="494">
        <f t="shared" si="3"/>
        <v>0</v>
      </c>
      <c r="S28" s="494">
        <f t="shared" si="4"/>
        <v>0</v>
      </c>
      <c r="T28" s="495">
        <f t="shared" si="5"/>
        <v>0</v>
      </c>
      <c r="U28" s="436" t="e">
        <f>VLOOKUP(A28,'Diags Raw Data'!$A$6:$AH$3690,33,FALSE)</f>
        <v>#N/A</v>
      </c>
      <c r="V28" s="181"/>
    </row>
    <row r="29" spans="1:22" ht="30.75" thickBot="1" x14ac:dyDescent="0.3">
      <c r="A29" s="549">
        <v>12.032999999999982</v>
      </c>
      <c r="B29" s="438" t="str">
        <f>VLOOKUP(A29,'Feature Raw Data'!$A$3:$B$3922,2,FALSE)</f>
        <v xml:space="preserve">Unclamped image load/store support </v>
      </c>
      <c r="C29" s="439" t="str">
        <f>VLOOKUP(A29,'Feature Raw Data'!$A$3:$C$3922,3,FALSE)</f>
        <v>P2</v>
      </c>
      <c r="D29" s="440" t="str" cm="1">
        <f t="array" ref="D29">_xlfn.TEXTJOIN("",TRUE,IF(ISNUMBER(SEARCH($A29,'Diags Raw Data'!$A$6:$A$3690)),CONCATENATE('Diags Raw Data'!$H$6:$H$3690,", "),""))</f>
        <v/>
      </c>
      <c r="E29" s="340" t="e">
        <f>VLOOKUP(A29,'Diags Raw Data'!$A$6:$D$3690,4,FALSE)</f>
        <v>#N/A</v>
      </c>
      <c r="F29" s="340" t="str">
        <f>VLOOKUP(A29,'Feature Raw Data'!$A$3:$E$3922,5,FALSE)</f>
        <v>New</v>
      </c>
      <c r="G29" s="340" t="str">
        <f t="shared" si="0"/>
        <v>Yes</v>
      </c>
      <c r="H29" s="340" t="str">
        <f t="shared" si="1"/>
        <v>Yes</v>
      </c>
      <c r="I29" s="439">
        <f>SUMIF('Diags Raw Data'!$A$6:$A$3690,"*"&amp;$A29&amp;"*",'Diags Raw Data'!$K$6:$K$3690)</f>
        <v>0</v>
      </c>
      <c r="J29" s="441">
        <f>SUMIF('Diags Raw Data'!$A$6:$A$3690,"*"&amp;$A29&amp;"*",'Diags Raw Data'!$L$6:$L$3690)</f>
        <v>0</v>
      </c>
      <c r="K29" s="487" cm="1">
        <f t="array" ref="K29">IF(D29="",0, SUMPRODUCT(--(ISNUMBER(SEARCH($A29,'Diags Raw Data'!$A$6:$A$3690))),'Diags Raw Data'!$L$6:$L$3690,'Diags Raw Data'!$N$6:$N$3690)/J29)</f>
        <v>0</v>
      </c>
      <c r="L29" s="488" cm="1">
        <f t="array" ref="L29">IF(D29="",0, SUMPRODUCT(--(ISNUMBER(SEARCH($A29,'Diags Raw Data'!$A$6:$A$3690))),'Diags Raw Data'!$L$6:$L$3690,'Diags Raw Data'!$P$6:$P$3690)/J29)</f>
        <v>0</v>
      </c>
      <c r="M29" s="489" cm="1">
        <f t="array" ref="M29">SUMPRODUCT(--(ISNUMBER(SEARCH($A29,'Diags Raw Data'!$A$6:$A$3690))),--('Diags Raw Data'!$Q$6:$Q$3690&lt;&gt;"N/A"),'Diags Raw Data'!$R$6:$R$3690)</f>
        <v>0</v>
      </c>
      <c r="N29" s="490" cm="1">
        <f t="array" ref="N29">SUMPRODUCT(--(ISNUMBER(SEARCH($A29,'Diags Raw Data'!$A$6:$A$3690))),--('Diags Raw Data'!$Q$6:$Q$3690&lt;&gt;"N/A"),'Diags Raw Data'!$T$6:$T$3690)+SUMPRODUCT(--(ISNUMBER(SEARCH($A29,'Diags Raw Data'!$A$6:$A$3690))),--('Diags Raw Data'!$Q$6:$Q$3690&lt;&gt;"N/A"),'Diags Raw Data'!$U$6:$U$3690)</f>
        <v>0</v>
      </c>
      <c r="O29" s="491">
        <f t="shared" si="2"/>
        <v>0</v>
      </c>
      <c r="P29" s="492">
        <f>SUMIF('Diags Raw Data'!$A$6:$A$3690,"*"&amp;$A29&amp;"*",'Diags Raw Data'!$Z$6:$Z$3690)</f>
        <v>0</v>
      </c>
      <c r="Q29" s="493">
        <f>SUM(SUMIF('Diags Raw Data'!$A$6:$A$3690,"*"&amp;$A29&amp;"*",'Diags Raw Data'!$AA$6:$AA$3690),SUMIF('Diags Raw Data'!$A$6:$A$3690,"*"&amp;$A29&amp;"*",'Diags Raw Data'!$AB$6:$AB$3690))</f>
        <v>0</v>
      </c>
      <c r="R29" s="494">
        <f t="shared" si="3"/>
        <v>0</v>
      </c>
      <c r="S29" s="494">
        <f t="shared" si="4"/>
        <v>0</v>
      </c>
      <c r="T29" s="495">
        <f t="shared" si="5"/>
        <v>0</v>
      </c>
      <c r="U29" s="436" t="e">
        <f>VLOOKUP(A29,'Diags Raw Data'!$A$6:$AH$3690,33,FALSE)</f>
        <v>#N/A</v>
      </c>
      <c r="V29" s="181"/>
    </row>
    <row r="30" spans="1:22" ht="30.75" thickBot="1" x14ac:dyDescent="0.3">
      <c r="A30" s="549">
        <v>12.033999999999981</v>
      </c>
      <c r="B30" s="438" t="str">
        <f>VLOOKUP(A30,'Feature Raw Data'!$A$3:$B$3922,2,FALSE)</f>
        <v xml:space="preserve">Move PRT++ atomic ops out of TCP tags </v>
      </c>
      <c r="C30" s="439" t="str">
        <f>VLOOKUP(A30,'Feature Raw Data'!$A$3:$C$3922,3,FALSE)</f>
        <v>P2</v>
      </c>
      <c r="D30" s="440" t="str" cm="1">
        <f t="array" ref="D30">_xlfn.TEXTJOIN("",TRUE,IF(ISNUMBER(SEARCH($A30,'Diags Raw Data'!$A$6:$A$3690)),CONCATENATE('Diags Raw Data'!$H$6:$H$3690,", "),""))</f>
        <v/>
      </c>
      <c r="E30" s="340" t="e">
        <f>VLOOKUP(A30,'Diags Raw Data'!$A$6:$D$3690,4,FALSE)</f>
        <v>#N/A</v>
      </c>
      <c r="F30" s="340" t="str">
        <f>VLOOKUP(A30,'Feature Raw Data'!$A$3:$E$3922,5,FALSE)</f>
        <v>New</v>
      </c>
      <c r="G30" s="340" t="str">
        <f t="shared" si="0"/>
        <v>Yes</v>
      </c>
      <c r="H30" s="340" t="str">
        <f t="shared" si="1"/>
        <v>Yes</v>
      </c>
      <c r="I30" s="439">
        <f>SUMIF('Diags Raw Data'!$A$6:$A$3690,"*"&amp;$A30&amp;"*",'Diags Raw Data'!$K$6:$K$3690)</f>
        <v>0</v>
      </c>
      <c r="J30" s="441">
        <f>SUMIF('Diags Raw Data'!$A$6:$A$3690,"*"&amp;$A30&amp;"*",'Diags Raw Data'!$L$6:$L$3690)</f>
        <v>0</v>
      </c>
      <c r="K30" s="487" cm="1">
        <f t="array" ref="K30">IF(D30="",0, SUMPRODUCT(--(ISNUMBER(SEARCH($A30,'Diags Raw Data'!$A$6:$A$3690))),'Diags Raw Data'!$L$6:$L$3690,'Diags Raw Data'!$N$6:$N$3690)/J30)</f>
        <v>0</v>
      </c>
      <c r="L30" s="488" cm="1">
        <f t="array" ref="L30">IF(D30="",0, SUMPRODUCT(--(ISNUMBER(SEARCH($A30,'Diags Raw Data'!$A$6:$A$3690))),'Diags Raw Data'!$L$6:$L$3690,'Diags Raw Data'!$P$6:$P$3690)/J30)</f>
        <v>0</v>
      </c>
      <c r="M30" s="489" cm="1">
        <f t="array" ref="M30">SUMPRODUCT(--(ISNUMBER(SEARCH($A30,'Diags Raw Data'!$A$6:$A$3690))),--('Diags Raw Data'!$Q$6:$Q$3690&lt;&gt;"N/A"),'Diags Raw Data'!$R$6:$R$3690)</f>
        <v>0</v>
      </c>
      <c r="N30" s="490" cm="1">
        <f t="array" ref="N30">SUMPRODUCT(--(ISNUMBER(SEARCH($A30,'Diags Raw Data'!$A$6:$A$3690))),--('Diags Raw Data'!$Q$6:$Q$3690&lt;&gt;"N/A"),'Diags Raw Data'!$T$6:$T$3690)+SUMPRODUCT(--(ISNUMBER(SEARCH($A30,'Diags Raw Data'!$A$6:$A$3690))),--('Diags Raw Data'!$Q$6:$Q$3690&lt;&gt;"N/A"),'Diags Raw Data'!$U$6:$U$3690)</f>
        <v>0</v>
      </c>
      <c r="O30" s="491">
        <f>IF((M30=0),0,N30/M30)</f>
        <v>0</v>
      </c>
      <c r="P30" s="492">
        <f>SUMIF('Diags Raw Data'!$A$6:$A$3690,"*"&amp;$A30&amp;"*",'Diags Raw Data'!$Z$6:$Z$3690)</f>
        <v>0</v>
      </c>
      <c r="Q30" s="493">
        <f>SUM(SUMIF('Diags Raw Data'!$A$6:$A$3690,"*"&amp;$A30&amp;"*",'Diags Raw Data'!$AA$6:$AA$3690),SUMIF('Diags Raw Data'!$A$6:$A$3690,"*"&amp;$A30&amp;"*",'Diags Raw Data'!$AB$6:$AB$3690))</f>
        <v>0</v>
      </c>
      <c r="R30" s="494">
        <f>IF((J30=0),0,P30/J30)</f>
        <v>0</v>
      </c>
      <c r="S30" s="494">
        <f>IF((P30=0),0,Q30/P30)</f>
        <v>0</v>
      </c>
      <c r="T30" s="495">
        <f>R30*S30</f>
        <v>0</v>
      </c>
      <c r="U30" s="436" t="e">
        <f>VLOOKUP(A30,'Diags Raw Data'!$A$6:$AH$3690,33,FALSE)</f>
        <v>#N/A</v>
      </c>
      <c r="V30" s="181"/>
    </row>
    <row r="31" spans="1:22" ht="30.75" thickBot="1" x14ac:dyDescent="0.3">
      <c r="A31" s="549">
        <v>12.03599999999998</v>
      </c>
      <c r="B31" s="438" t="str">
        <f>VLOOKUP(A31,'Feature Raw Data'!$A$3:$B$3922,2,FALSE)</f>
        <v xml:space="preserve">Double Ray Tracing Intersect Engine </v>
      </c>
      <c r="C31" s="439" t="str">
        <f>VLOOKUP(A31,'Feature Raw Data'!$A$3:$C$3922,3,FALSE)</f>
        <v>P1</v>
      </c>
      <c r="D31" s="440" t="str" cm="1">
        <f t="array" ref="D31">_xlfn.TEXTJOIN("",TRUE,IF(ISNUMBER(SEARCH($A31,'Diags Raw Data'!$A$6:$A$3690)),CONCATENATE('Diags Raw Data'!$H$6:$H$3690,", "),""))</f>
        <v/>
      </c>
      <c r="E31" s="340" t="e">
        <f>VLOOKUP(A31,'Diags Raw Data'!$A$6:$D$3690,4,FALSE)</f>
        <v>#N/A</v>
      </c>
      <c r="F31" s="340" t="str">
        <f>VLOOKUP(A31,'Feature Raw Data'!$A$3:$E$3922,5,FALSE)</f>
        <v>New</v>
      </c>
      <c r="G31" s="340" t="str">
        <f t="shared" si="0"/>
        <v>Yes</v>
      </c>
      <c r="H31" s="340" t="str">
        <f t="shared" si="1"/>
        <v>Yes</v>
      </c>
      <c r="I31" s="439">
        <f>SUMIF('Diags Raw Data'!$A$6:$A$3690,"*"&amp;$A31&amp;"*",'Diags Raw Data'!$K$6:$K$3690)</f>
        <v>0</v>
      </c>
      <c r="J31" s="441">
        <f>SUMIF('Diags Raw Data'!$A$6:$A$3690,"*"&amp;$A31&amp;"*",'Diags Raw Data'!$L$6:$L$3690)</f>
        <v>0</v>
      </c>
      <c r="K31" s="487" cm="1">
        <f t="array" ref="K31">IF(D31="",0, SUMPRODUCT(--(ISNUMBER(SEARCH($A31,'Diags Raw Data'!$A$6:$A$3690))),'Diags Raw Data'!$L$6:$L$3690,'Diags Raw Data'!$N$6:$N$3690)/J31)</f>
        <v>0</v>
      </c>
      <c r="L31" s="488" cm="1">
        <f t="array" ref="L31">IF(D31="",0, SUMPRODUCT(--(ISNUMBER(SEARCH($A31,'Diags Raw Data'!$A$6:$A$3690))),'Diags Raw Data'!$L$6:$L$3690,'Diags Raw Data'!$P$6:$P$3690)/J31)</f>
        <v>0</v>
      </c>
      <c r="M31" s="489" cm="1">
        <f t="array" ref="M31">SUMPRODUCT(--(ISNUMBER(SEARCH($A31,'Diags Raw Data'!$A$6:$A$3690))),--('Diags Raw Data'!$Q$6:$Q$3690&lt;&gt;"N/A"),'Diags Raw Data'!$R$6:$R$3690)</f>
        <v>0</v>
      </c>
      <c r="N31" s="490" cm="1">
        <f t="array" ref="N31">SUMPRODUCT(--(ISNUMBER(SEARCH($A31,'Diags Raw Data'!$A$6:$A$3690))),--('Diags Raw Data'!$Q$6:$Q$3690&lt;&gt;"N/A"),'Diags Raw Data'!$T$6:$T$3690)+SUMPRODUCT(--(ISNUMBER(SEARCH($A31,'Diags Raw Data'!$A$6:$A$3690))),--('Diags Raw Data'!$Q$6:$Q$3690&lt;&gt;"N/A"),'Diags Raw Data'!$U$6:$U$3690)</f>
        <v>0</v>
      </c>
      <c r="O31" s="491">
        <f t="shared" si="2"/>
        <v>0</v>
      </c>
      <c r="P31" s="492">
        <f>SUMIF('Diags Raw Data'!$A$6:$A$3690,"*"&amp;$A31&amp;"*",'Diags Raw Data'!$Z$6:$Z$3690)</f>
        <v>0</v>
      </c>
      <c r="Q31" s="493">
        <f>SUM(SUMIF('Diags Raw Data'!$A$6:$A$3690,"*"&amp;$A31&amp;"*",'Diags Raw Data'!$AA$6:$AA$3690),SUMIF('Diags Raw Data'!$A$6:$A$3690,"*"&amp;$A31&amp;"*",'Diags Raw Data'!$AB$6:$AB$3690))</f>
        <v>0</v>
      </c>
      <c r="R31" s="494">
        <f t="shared" si="3"/>
        <v>0</v>
      </c>
      <c r="S31" s="494">
        <f t="shared" si="4"/>
        <v>0</v>
      </c>
      <c r="T31" s="495">
        <f t="shared" si="5"/>
        <v>0</v>
      </c>
      <c r="U31" s="436" t="e">
        <f>VLOOKUP(A31,'Diags Raw Data'!$A$6:$AH$3690,33,FALSE)</f>
        <v>#N/A</v>
      </c>
      <c r="V31" s="181"/>
    </row>
    <row r="32" spans="1:22" ht="15.75" thickBot="1" x14ac:dyDescent="0.3">
      <c r="A32" s="549">
        <v>12.037000000000001</v>
      </c>
      <c r="B32" s="438" t="str">
        <f>VLOOKUP(A32,'Feature Raw Data'!$A$3:$B$3922,2,FALSE)</f>
        <v xml:space="preserve">RT instance node transform </v>
      </c>
      <c r="C32" s="439" t="str">
        <f>VLOOKUP(A32,'Feature Raw Data'!$A$3:$C$3922,3,FALSE)</f>
        <v>P1</v>
      </c>
      <c r="D32" s="440" t="str" cm="1">
        <f t="array" ref="D32">_xlfn.TEXTJOIN("",TRUE,IF(ISNUMBER(SEARCH($A32,'Diags Raw Data'!$A$6:$A$3690)),CONCATENATE('Diags Raw Data'!$H$6:$H$3690,", "),""))</f>
        <v/>
      </c>
      <c r="E32" s="340" t="e">
        <f>VLOOKUP(A32,'Diags Raw Data'!$A$6:$D$3690,4,FALSE)</f>
        <v>#N/A</v>
      </c>
      <c r="F32" s="340" t="str">
        <f>VLOOKUP(A32,'Feature Raw Data'!$A$3:$E$3922,5,FALSE)</f>
        <v>New</v>
      </c>
      <c r="G32" s="340" t="str">
        <f t="shared" si="0"/>
        <v>Yes</v>
      </c>
      <c r="H32" s="340" t="str">
        <f t="shared" si="1"/>
        <v>Yes</v>
      </c>
      <c r="I32" s="439">
        <f>SUMIF('Diags Raw Data'!$A$6:$A$3690,"*"&amp;$A32&amp;"*",'Diags Raw Data'!$K$6:$K$3690)</f>
        <v>0</v>
      </c>
      <c r="J32" s="441">
        <f>SUMIF('Diags Raw Data'!$A$6:$A$3690,"*"&amp;$A32&amp;"*",'Diags Raw Data'!$L$6:$L$3690)</f>
        <v>0</v>
      </c>
      <c r="K32" s="487" cm="1">
        <f t="array" ref="K32">IF(D32="",0, SUMPRODUCT(--(ISNUMBER(SEARCH($A32,'Diags Raw Data'!$A$6:$A$3690))),'Diags Raw Data'!$L$6:$L$3690,'Diags Raw Data'!$N$6:$N$3690)/J32)</f>
        <v>0</v>
      </c>
      <c r="L32" s="488" cm="1">
        <f t="array" ref="L32">IF(D32="",0, SUMPRODUCT(--(ISNUMBER(SEARCH($A32,'Diags Raw Data'!$A$6:$A$3690))),'Diags Raw Data'!$L$6:$L$3690,'Diags Raw Data'!$P$6:$P$3690)/J32)</f>
        <v>0</v>
      </c>
      <c r="M32" s="489" cm="1">
        <f t="array" ref="M32">SUMPRODUCT(--(ISNUMBER(SEARCH($A32,'Diags Raw Data'!$A$6:$A$3690))),--('Diags Raw Data'!$Q$6:$Q$3690&lt;&gt;"N/A"),'Diags Raw Data'!$R$6:$R$3690)</f>
        <v>0</v>
      </c>
      <c r="N32" s="490" cm="1">
        <f t="array" ref="N32">SUMPRODUCT(--(ISNUMBER(SEARCH($A32,'Diags Raw Data'!$A$6:$A$3690))),--('Diags Raw Data'!$Q$6:$Q$3690&lt;&gt;"N/A"),'Diags Raw Data'!$T$6:$T$3690)+SUMPRODUCT(--(ISNUMBER(SEARCH($A32,'Diags Raw Data'!$A$6:$A$3690))),--('Diags Raw Data'!$Q$6:$Q$3690&lt;&gt;"N/A"),'Diags Raw Data'!$U$6:$U$3690)</f>
        <v>0</v>
      </c>
      <c r="O32" s="491">
        <f t="shared" si="2"/>
        <v>0</v>
      </c>
      <c r="P32" s="492">
        <f>SUMIF('Diags Raw Data'!$A$6:$A$3690,"*"&amp;$A32&amp;"*",'Diags Raw Data'!$Z$6:$Z$3690)</f>
        <v>0</v>
      </c>
      <c r="Q32" s="493">
        <f>SUM(SUMIF('Diags Raw Data'!$A$6:$A$3690,"*"&amp;$A32&amp;"*",'Diags Raw Data'!$AA$6:$AA$3690),SUMIF('Diags Raw Data'!$A$6:$A$3690,"*"&amp;$A32&amp;"*",'Diags Raw Data'!$AB$6:$AB$3690))</f>
        <v>0</v>
      </c>
      <c r="R32" s="494">
        <f t="shared" si="3"/>
        <v>0</v>
      </c>
      <c r="S32" s="494">
        <f t="shared" si="4"/>
        <v>0</v>
      </c>
      <c r="T32" s="495">
        <f t="shared" si="5"/>
        <v>0</v>
      </c>
      <c r="U32" s="436" t="e">
        <f>VLOOKUP(A32,'Diags Raw Data'!$A$6:$AH$3690,33,FALSE)</f>
        <v>#N/A</v>
      </c>
      <c r="V32" s="181"/>
    </row>
    <row r="33" spans="1:22" ht="240.75" thickBot="1" x14ac:dyDescent="0.3">
      <c r="A33" s="549">
        <v>12.039999999999978</v>
      </c>
      <c r="B33" s="438" t="str">
        <f>VLOOKUP(A33,'Feature Raw Data'!$A$3:$B$3922,2,FALSE)</f>
        <v xml:space="preserve">64B RT node </v>
      </c>
      <c r="C33" s="439" t="str">
        <f>VLOOKUP(A33,'Feature Raw Data'!$A$3:$C$3922,3,FALSE)</f>
        <v>P1</v>
      </c>
      <c r="D33" s="440" t="str" cm="1">
        <f t="array" ref="D33">_xlfn.TEXTJOIN("",TRUE,IF(ISNUMBER(SEARCH($A33,'Diags Raw Data'!$A$6:$A$3690)),CONCATENATE('Diags Raw Data'!$H$6:$H$3690,", "),""))</f>
        <v/>
      </c>
      <c r="E33" s="340" t="e">
        <f>VLOOKUP(A33,'Diags Raw Data'!$A$6:$D$3690,4,FALSE)</f>
        <v>#N/A</v>
      </c>
      <c r="F33" s="340" t="str">
        <f>VLOOKUP(A33,'Feature Raw Data'!$A$3:$E$3922,5,FALSE)</f>
        <v>New</v>
      </c>
      <c r="G33" s="340" t="str">
        <f t="shared" si="0"/>
        <v>Yes</v>
      </c>
      <c r="H33" s="340" t="str">
        <f t="shared" si="1"/>
        <v>Yes</v>
      </c>
      <c r="I33" s="439">
        <f>SUMIF('Diags Raw Data'!$A$6:$A$3690,"*"&amp;$A33&amp;"*",'Diags Raw Data'!$K$6:$K$3690)</f>
        <v>0</v>
      </c>
      <c r="J33" s="441">
        <f>SUMIF('Diags Raw Data'!$A$6:$A$3690,"*"&amp;$A33&amp;"*",'Diags Raw Data'!$L$6:$L$3690)</f>
        <v>0</v>
      </c>
      <c r="K33" s="487" cm="1">
        <f t="array" ref="K33">IF(D33="",0, SUMPRODUCT(--(ISNUMBER(SEARCH($A33,'Diags Raw Data'!$A$6:$A$3690))),'Diags Raw Data'!$L$6:$L$3690,'Diags Raw Data'!$N$6:$N$3690)/J33)</f>
        <v>0</v>
      </c>
      <c r="L33" s="488" cm="1">
        <f t="array" ref="L33">IF(D33="",0, SUMPRODUCT(--(ISNUMBER(SEARCH($A33,'Diags Raw Data'!$A$6:$A$3690))),'Diags Raw Data'!$L$6:$L$3690,'Diags Raw Data'!$P$6:$P$3690)/J33)</f>
        <v>0</v>
      </c>
      <c r="M33" s="489" cm="1">
        <f t="array" ref="M33">SUMPRODUCT(--(ISNUMBER(SEARCH($A33,'Diags Raw Data'!$A$6:$A$3690))),--('Diags Raw Data'!$Q$6:$Q$3690&lt;&gt;"N/A"),'Diags Raw Data'!$R$6:$R$3690)</f>
        <v>0</v>
      </c>
      <c r="N33" s="490" cm="1">
        <f t="array" ref="N33">SUMPRODUCT(--(ISNUMBER(SEARCH($A33,'Diags Raw Data'!$A$6:$A$3690))),--('Diags Raw Data'!$Q$6:$Q$3690&lt;&gt;"N/A"),'Diags Raw Data'!$T$6:$T$3690)+SUMPRODUCT(--(ISNUMBER(SEARCH($A33,'Diags Raw Data'!$A$6:$A$3690))),--('Diags Raw Data'!$Q$6:$Q$3690&lt;&gt;"N/A"),'Diags Raw Data'!$U$6:$U$3690)</f>
        <v>0</v>
      </c>
      <c r="O33" s="491">
        <f t="shared" si="2"/>
        <v>0</v>
      </c>
      <c r="P33" s="492">
        <f>SUMIF('Diags Raw Data'!$A$6:$A$3690,"*"&amp;$A33&amp;"*",'Diags Raw Data'!$Z$6:$Z$3690)</f>
        <v>0</v>
      </c>
      <c r="Q33" s="493">
        <f>SUM(SUMIF('Diags Raw Data'!$A$6:$A$3690,"*"&amp;$A33&amp;"*",'Diags Raw Data'!$AA$6:$AA$3690),SUMIF('Diags Raw Data'!$A$6:$A$3690,"*"&amp;$A33&amp;"*",'Diags Raw Data'!$AB$6:$AB$3690))</f>
        <v>0</v>
      </c>
      <c r="R33" s="494">
        <f t="shared" si="3"/>
        <v>0</v>
      </c>
      <c r="S33" s="494">
        <f t="shared" si="4"/>
        <v>0</v>
      </c>
      <c r="T33" s="495">
        <f t="shared" si="5"/>
        <v>0</v>
      </c>
      <c r="U33" s="436" t="e">
        <f>VLOOKUP(A33,'Diags Raw Data'!$A$6:$AH$3690,33,FALSE)</f>
        <v>#N/A</v>
      </c>
      <c r="V33" s="181"/>
    </row>
    <row r="34" spans="1:22" ht="30.75" thickBot="1" x14ac:dyDescent="0.3">
      <c r="A34" s="549">
        <v>12.041</v>
      </c>
      <c r="B34" s="438" t="str">
        <f>VLOOKUP(A34,'Feature Raw Data'!$A$3:$B$3922,2,FALSE)</f>
        <v>New GL2 policies (same/child of 12.027)</v>
      </c>
      <c r="C34" s="439" t="str">
        <f>VLOOKUP(A34,'Feature Raw Data'!$A$3:$C$3922,3,FALSE)</f>
        <v>P1</v>
      </c>
      <c r="D34" s="440" t="str" cm="1">
        <f t="array" ref="D34">_xlfn.TEXTJOIN("",TRUE,IF(ISNUMBER(SEARCH($A34,'Diags Raw Data'!$A$6:$A$3690)),CONCATENATE('Diags Raw Data'!$H$6:$H$3690,", "),""))</f>
        <v/>
      </c>
      <c r="E34" s="340" t="e">
        <f>VLOOKUP(A34,'Diags Raw Data'!$A$6:$D$3690,4,FALSE)</f>
        <v>#N/A</v>
      </c>
      <c r="F34" s="340" t="str">
        <f>VLOOKUP(A34,'Feature Raw Data'!$A$3:$E$3922,5,FALSE)</f>
        <v>New</v>
      </c>
      <c r="G34" s="340" t="str">
        <f t="shared" si="0"/>
        <v>Yes</v>
      </c>
      <c r="H34" s="340" t="str">
        <f t="shared" si="1"/>
        <v>Yes</v>
      </c>
      <c r="I34" s="439">
        <f>SUMIF('Diags Raw Data'!$A$6:$A$3690,"*"&amp;$A34&amp;"*",'Diags Raw Data'!$K$6:$K$3690)</f>
        <v>0</v>
      </c>
      <c r="J34" s="441">
        <f>SUMIF('Diags Raw Data'!$A$6:$A$3690,"*"&amp;$A34&amp;"*",'Diags Raw Data'!$L$6:$L$3690)</f>
        <v>0</v>
      </c>
      <c r="K34" s="487" cm="1">
        <f t="array" ref="K34">IF(D34="",0, SUMPRODUCT(--(ISNUMBER(SEARCH($A34,'Diags Raw Data'!$A$6:$A$3690))),'Diags Raw Data'!$L$6:$L$3690,'Diags Raw Data'!$N$6:$N$3690)/J34)</f>
        <v>0</v>
      </c>
      <c r="L34" s="488" cm="1">
        <f t="array" ref="L34">IF(D34="",0, SUMPRODUCT(--(ISNUMBER(SEARCH($A34,'Diags Raw Data'!$A$6:$A$3690))),'Diags Raw Data'!$L$6:$L$3690,'Diags Raw Data'!$P$6:$P$3690)/J34)</f>
        <v>0</v>
      </c>
      <c r="M34" s="489" cm="1">
        <f t="array" ref="M34">SUMPRODUCT(--(ISNUMBER(SEARCH($A34,'Diags Raw Data'!$A$6:$A$3690))),--('Diags Raw Data'!$Q$6:$Q$3690&lt;&gt;"N/A"),'Diags Raw Data'!$R$6:$R$3690)</f>
        <v>0</v>
      </c>
      <c r="N34" s="490" cm="1">
        <f t="array" ref="N34">SUMPRODUCT(--(ISNUMBER(SEARCH($A34,'Diags Raw Data'!$A$6:$A$3690))),--('Diags Raw Data'!$Q$6:$Q$3690&lt;&gt;"N/A"),'Diags Raw Data'!$T$6:$T$3690)+SUMPRODUCT(--(ISNUMBER(SEARCH($A34,'Diags Raw Data'!$A$6:$A$3690))),--('Diags Raw Data'!$Q$6:$Q$3690&lt;&gt;"N/A"),'Diags Raw Data'!$U$6:$U$3690)</f>
        <v>0</v>
      </c>
      <c r="O34" s="491">
        <f t="shared" si="2"/>
        <v>0</v>
      </c>
      <c r="P34" s="492">
        <f>SUMIF('Diags Raw Data'!$A$6:$A$3690,"*"&amp;$A34&amp;"*",'Diags Raw Data'!$Z$6:$Z$3690)</f>
        <v>0</v>
      </c>
      <c r="Q34" s="493">
        <f>SUM(SUMIF('Diags Raw Data'!$A$6:$A$3690,"*"&amp;$A34&amp;"*",'Diags Raw Data'!$AA$6:$AA$3690),SUMIF('Diags Raw Data'!$A$6:$A$3690,"*"&amp;$A34&amp;"*",'Diags Raw Data'!$AB$6:$AB$3690))</f>
        <v>0</v>
      </c>
      <c r="R34" s="494">
        <f t="shared" si="3"/>
        <v>0</v>
      </c>
      <c r="S34" s="494">
        <f t="shared" si="4"/>
        <v>0</v>
      </c>
      <c r="T34" s="495">
        <f t="shared" si="5"/>
        <v>0</v>
      </c>
      <c r="U34" s="436" t="e">
        <f>VLOOKUP(A34,'Diags Raw Data'!$A$6:$AH$3690,33,FALSE)</f>
        <v>#N/A</v>
      </c>
      <c r="V34" s="181"/>
    </row>
    <row r="35" spans="1:22" ht="90.75" thickBot="1" x14ac:dyDescent="0.3">
      <c r="A35" s="549">
        <v>12.041999999999977</v>
      </c>
      <c r="B35" s="438" t="str">
        <f>VLOOKUP(A35,'Feature Raw Data'!$A$3:$B$3922,2,FALSE)</f>
        <v xml:space="preserve">Unify GLC-&gt;EA request interface </v>
      </c>
      <c r="C35" s="439" t="str">
        <f>VLOOKUP(A35,'Feature Raw Data'!$A$3:$C$3922,3,FALSE)</f>
        <v>P1</v>
      </c>
      <c r="D35" s="440" t="str" cm="1">
        <f t="array" ref="D35">_xlfn.TEXTJOIN("",TRUE,IF(ISNUMBER(SEARCH($A35,'Diags Raw Data'!$A$6:$A$3690)),CONCATENATE('Diags Raw Data'!$H$6:$H$3690,", "),""))</f>
        <v/>
      </c>
      <c r="E35" s="340" t="e">
        <f>VLOOKUP(A35,'Diags Raw Data'!$A$6:$D$3690,4,FALSE)</f>
        <v>#N/A</v>
      </c>
      <c r="F35" s="340" t="str">
        <f>VLOOKUP(A35,'Feature Raw Data'!$A$3:$E$3922,5,FALSE)</f>
        <v>New</v>
      </c>
      <c r="G35" s="340" t="str">
        <f t="shared" si="0"/>
        <v>Yes</v>
      </c>
      <c r="H35" s="340" t="str">
        <f t="shared" si="1"/>
        <v>Yes</v>
      </c>
      <c r="I35" s="439">
        <f>SUMIF('Diags Raw Data'!$A$6:$A$3690,"*"&amp;$A35&amp;"*",'Diags Raw Data'!$K$6:$K$3690)</f>
        <v>0</v>
      </c>
      <c r="J35" s="441">
        <f>SUMIF('Diags Raw Data'!$A$6:$A$3690,"*"&amp;$A35&amp;"*",'Diags Raw Data'!$L$6:$L$3690)</f>
        <v>0</v>
      </c>
      <c r="K35" s="487" cm="1">
        <f t="array" ref="K35">IF(D35="",0, SUMPRODUCT(--(ISNUMBER(SEARCH($A35,'Diags Raw Data'!$A$6:$A$3690))),'Diags Raw Data'!$L$6:$L$3690,'Diags Raw Data'!$N$6:$N$3690)/J35)</f>
        <v>0</v>
      </c>
      <c r="L35" s="488" cm="1">
        <f t="array" ref="L35">IF(D35="",0, SUMPRODUCT(--(ISNUMBER(SEARCH($A35,'Diags Raw Data'!$A$6:$A$3690))),'Diags Raw Data'!$L$6:$L$3690,'Diags Raw Data'!$P$6:$P$3690)/J35)</f>
        <v>0</v>
      </c>
      <c r="M35" s="489" cm="1">
        <f t="array" ref="M35">SUMPRODUCT(--(ISNUMBER(SEARCH($A35,'Diags Raw Data'!$A$6:$A$3690))),--('Diags Raw Data'!$Q$6:$Q$3690&lt;&gt;"N/A"),'Diags Raw Data'!$R$6:$R$3690)</f>
        <v>0</v>
      </c>
      <c r="N35" s="490" cm="1">
        <f t="array" ref="N35">SUMPRODUCT(--(ISNUMBER(SEARCH($A35,'Diags Raw Data'!$A$6:$A$3690))),--('Diags Raw Data'!$Q$6:$Q$3690&lt;&gt;"N/A"),'Diags Raw Data'!$T$6:$T$3690)+SUMPRODUCT(--(ISNUMBER(SEARCH($A35,'Diags Raw Data'!$A$6:$A$3690))),--('Diags Raw Data'!$Q$6:$Q$3690&lt;&gt;"N/A"),'Diags Raw Data'!$U$6:$U$3690)</f>
        <v>0</v>
      </c>
      <c r="O35" s="491">
        <f t="shared" si="2"/>
        <v>0</v>
      </c>
      <c r="P35" s="492">
        <f>SUMIF('Diags Raw Data'!$A$6:$A$3690,"*"&amp;$A35&amp;"*",'Diags Raw Data'!$Z$6:$Z$3690)</f>
        <v>0</v>
      </c>
      <c r="Q35" s="493">
        <f>SUM(SUMIF('Diags Raw Data'!$A$6:$A$3690,"*"&amp;$A35&amp;"*",'Diags Raw Data'!$AA$6:$AA$3690),SUMIF('Diags Raw Data'!$A$6:$A$3690,"*"&amp;$A35&amp;"*",'Diags Raw Data'!$AB$6:$AB$3690))</f>
        <v>0</v>
      </c>
      <c r="R35" s="494">
        <f t="shared" si="3"/>
        <v>0</v>
      </c>
      <c r="S35" s="494">
        <f t="shared" si="4"/>
        <v>0</v>
      </c>
      <c r="T35" s="495">
        <f t="shared" si="5"/>
        <v>0</v>
      </c>
      <c r="U35" s="436" t="e">
        <f>VLOOKUP(A35,'Diags Raw Data'!$A$6:$AH$3690,33,FALSE)</f>
        <v>#N/A</v>
      </c>
      <c r="V35" s="181"/>
    </row>
    <row r="36" spans="1:22" ht="90.75" thickBot="1" x14ac:dyDescent="0.3">
      <c r="A36" s="549">
        <v>12.043999999999976</v>
      </c>
      <c r="B36" s="438" t="str">
        <f>VLOOKUP(A36,'Feature Raw Data'!$A$3:$B$3922,2,FALSE)</f>
        <v>GLC guarantee of same address order for any op or scope (dep. On 12.042)</v>
      </c>
      <c r="C36" s="439" t="str">
        <f>VLOOKUP(A36,'Feature Raw Data'!$A$3:$C$3922,3,FALSE)</f>
        <v>P1</v>
      </c>
      <c r="D36" s="440" t="str" cm="1">
        <f t="array" ref="D36">_xlfn.TEXTJOIN("",TRUE,IF(ISNUMBER(SEARCH($A36,'Diags Raw Data'!$A$6:$A$3690)),CONCATENATE('Diags Raw Data'!$H$6:$H$3690,", "),""))</f>
        <v/>
      </c>
      <c r="E36" s="340" t="e">
        <f>VLOOKUP(A36,'Diags Raw Data'!$A$6:$D$3690,4,FALSE)</f>
        <v>#N/A</v>
      </c>
      <c r="F36" s="340" t="str">
        <f>VLOOKUP(A36,'Feature Raw Data'!$A$3:$E$3922,5,FALSE)</f>
        <v>New</v>
      </c>
      <c r="G36" s="340" t="str">
        <f t="shared" si="0"/>
        <v>Yes</v>
      </c>
      <c r="H36" s="340" t="str">
        <f t="shared" si="1"/>
        <v>Yes</v>
      </c>
      <c r="I36" s="439">
        <f>SUMIF('Diags Raw Data'!$A$6:$A$3690,"*"&amp;$A36&amp;"*",'Diags Raw Data'!$K$6:$K$3690)</f>
        <v>0</v>
      </c>
      <c r="J36" s="441">
        <f>SUMIF('Diags Raw Data'!$A$6:$A$3690,"*"&amp;$A36&amp;"*",'Diags Raw Data'!$L$6:$L$3690)</f>
        <v>0</v>
      </c>
      <c r="K36" s="487" cm="1">
        <f t="array" ref="K36">IF(D36="",0, SUMPRODUCT(--(ISNUMBER(SEARCH($A36,'Diags Raw Data'!$A$6:$A$3690))),'Diags Raw Data'!$L$6:$L$3690,'Diags Raw Data'!$N$6:$N$3690)/J36)</f>
        <v>0</v>
      </c>
      <c r="L36" s="488" cm="1">
        <f t="array" ref="L36">IF(D36="",0, SUMPRODUCT(--(ISNUMBER(SEARCH($A36,'Diags Raw Data'!$A$6:$A$3690))),'Diags Raw Data'!$L$6:$L$3690,'Diags Raw Data'!$P$6:$P$3690)/J36)</f>
        <v>0</v>
      </c>
      <c r="M36" s="489" cm="1">
        <f t="array" ref="M36">SUMPRODUCT(--(ISNUMBER(SEARCH($A36,'Diags Raw Data'!$A$6:$A$3690))),--('Diags Raw Data'!$Q$6:$Q$3690&lt;&gt;"N/A"),'Diags Raw Data'!$R$6:$R$3690)</f>
        <v>0</v>
      </c>
      <c r="N36" s="490" cm="1">
        <f t="array" ref="N36">SUMPRODUCT(--(ISNUMBER(SEARCH($A36,'Diags Raw Data'!$A$6:$A$3690))),--('Diags Raw Data'!$Q$6:$Q$3690&lt;&gt;"N/A"),'Diags Raw Data'!$T$6:$T$3690)+SUMPRODUCT(--(ISNUMBER(SEARCH($A36,'Diags Raw Data'!$A$6:$A$3690))),--('Diags Raw Data'!$Q$6:$Q$3690&lt;&gt;"N/A"),'Diags Raw Data'!$U$6:$U$3690)</f>
        <v>0</v>
      </c>
      <c r="O36" s="491">
        <f t="shared" si="2"/>
        <v>0</v>
      </c>
      <c r="P36" s="492">
        <f>SUMIF('Diags Raw Data'!$A$6:$A$3690,"*"&amp;$A36&amp;"*",'Diags Raw Data'!$Z$6:$Z$3690)</f>
        <v>0</v>
      </c>
      <c r="Q36" s="493">
        <f>SUM(SUMIF('Diags Raw Data'!$A$6:$A$3690,"*"&amp;$A36&amp;"*",'Diags Raw Data'!$AA$6:$AA$3690),SUMIF('Diags Raw Data'!$A$6:$A$3690,"*"&amp;$A36&amp;"*",'Diags Raw Data'!$AB$6:$AB$3690))</f>
        <v>0</v>
      </c>
      <c r="R36" s="494">
        <f t="shared" si="3"/>
        <v>0</v>
      </c>
      <c r="S36" s="494">
        <f t="shared" si="4"/>
        <v>0</v>
      </c>
      <c r="T36" s="495">
        <f t="shared" si="5"/>
        <v>0</v>
      </c>
      <c r="U36" s="436" t="e">
        <f>VLOOKUP(A36,'Diags Raw Data'!$A$6:$AH$3690,33,FALSE)</f>
        <v>#N/A</v>
      </c>
      <c r="V36" s="181"/>
    </row>
    <row r="37" spans="1:22" ht="45.75" thickBot="1" x14ac:dyDescent="0.3">
      <c r="A37" s="549">
        <v>12.045999999999975</v>
      </c>
      <c r="B37" s="438" t="str">
        <f>VLOOKUP(A37,'Feature Raw Data'!$A$3:$B$3922,2,FALSE)</f>
        <v>GLC Cascading Read-Mod-Write Atomic Ops (includes retaining gfx11 atomic ops)</v>
      </c>
      <c r="C37" s="439" t="str">
        <f>VLOOKUP(A37,'Feature Raw Data'!$A$3:$C$3922,3,FALSE)</f>
        <v>P1</v>
      </c>
      <c r="D37" s="440" t="str" cm="1">
        <f t="array" ref="D37">_xlfn.TEXTJOIN("",TRUE,IF(ISNUMBER(SEARCH($A37,'Diags Raw Data'!$A$6:$A$3690)),CONCATENATE('Diags Raw Data'!$H$6:$H$3690,", "),""))</f>
        <v/>
      </c>
      <c r="E37" s="340" t="e">
        <f>VLOOKUP(A37,'Diags Raw Data'!$A$6:$D$3690,4,FALSE)</f>
        <v>#N/A</v>
      </c>
      <c r="F37" s="340" t="str">
        <f>VLOOKUP(A37,'Feature Raw Data'!$A$3:$E$3922,5,FALSE)</f>
        <v>New</v>
      </c>
      <c r="G37" s="340" t="str">
        <f t="shared" si="0"/>
        <v>Yes</v>
      </c>
      <c r="H37" s="340" t="str">
        <f t="shared" si="1"/>
        <v>Yes</v>
      </c>
      <c r="I37" s="439">
        <f>SUMIF('Diags Raw Data'!$A$6:$A$3690,"*"&amp;$A37&amp;"*",'Diags Raw Data'!$K$6:$K$3690)</f>
        <v>0</v>
      </c>
      <c r="J37" s="441">
        <f>SUMIF('Diags Raw Data'!$A$6:$A$3690,"*"&amp;$A37&amp;"*",'Diags Raw Data'!$L$6:$L$3690)</f>
        <v>0</v>
      </c>
      <c r="K37" s="487" cm="1">
        <f t="array" ref="K37">IF(D37="",0, SUMPRODUCT(--(ISNUMBER(SEARCH($A37,'Diags Raw Data'!$A$6:$A$3690))),'Diags Raw Data'!$L$6:$L$3690,'Diags Raw Data'!$N$6:$N$3690)/J37)</f>
        <v>0</v>
      </c>
      <c r="L37" s="488" cm="1">
        <f t="array" ref="L37">IF(D37="",0, SUMPRODUCT(--(ISNUMBER(SEARCH($A37,'Diags Raw Data'!$A$6:$A$3690))),'Diags Raw Data'!$L$6:$L$3690,'Diags Raw Data'!$P$6:$P$3690)/J37)</f>
        <v>0</v>
      </c>
      <c r="M37" s="489" cm="1">
        <f t="array" ref="M37">SUMPRODUCT(--(ISNUMBER(SEARCH($A37,'Diags Raw Data'!$A$6:$A$3690))),--('Diags Raw Data'!$Q$6:$Q$3690&lt;&gt;"N/A"),'Diags Raw Data'!$R$6:$R$3690)</f>
        <v>0</v>
      </c>
      <c r="N37" s="490" cm="1">
        <f t="array" ref="N37">SUMPRODUCT(--(ISNUMBER(SEARCH($A37,'Diags Raw Data'!$A$6:$A$3690))),--('Diags Raw Data'!$Q$6:$Q$3690&lt;&gt;"N/A"),'Diags Raw Data'!$T$6:$T$3690)+SUMPRODUCT(--(ISNUMBER(SEARCH($A37,'Diags Raw Data'!$A$6:$A$3690))),--('Diags Raw Data'!$Q$6:$Q$3690&lt;&gt;"N/A"),'Diags Raw Data'!$U$6:$U$3690)</f>
        <v>0</v>
      </c>
      <c r="O37" s="491">
        <f t="shared" si="2"/>
        <v>0</v>
      </c>
      <c r="P37" s="492">
        <f>SUMIF('Diags Raw Data'!$A$6:$A$3690,"*"&amp;$A37&amp;"*",'Diags Raw Data'!$Z$6:$Z$3690)</f>
        <v>0</v>
      </c>
      <c r="Q37" s="493">
        <f>SUM(SUMIF('Diags Raw Data'!$A$6:$A$3690,"*"&amp;$A37&amp;"*",'Diags Raw Data'!$AA$6:$AA$3690),SUMIF('Diags Raw Data'!$A$6:$A$3690,"*"&amp;$A37&amp;"*",'Diags Raw Data'!$AB$6:$AB$3690))</f>
        <v>0</v>
      </c>
      <c r="R37" s="494">
        <f t="shared" si="3"/>
        <v>0</v>
      </c>
      <c r="S37" s="494">
        <f t="shared" si="4"/>
        <v>0</v>
      </c>
      <c r="T37" s="495">
        <f t="shared" si="5"/>
        <v>0</v>
      </c>
      <c r="U37" s="436" t="e">
        <f>VLOOKUP(A37,'Diags Raw Data'!$A$6:$AH$3690,33,FALSE)</f>
        <v>#N/A</v>
      </c>
      <c r="V37" s="181"/>
    </row>
    <row r="38" spans="1:22" s="186" customFormat="1" ht="15.75" thickBot="1" x14ac:dyDescent="0.3">
      <c r="A38" s="549">
        <v>12.047999999999973</v>
      </c>
      <c r="B38" s="438" t="str">
        <f>VLOOKUP(A38,'Feature Raw Data'!$A$3:$B$3922,2,FALSE)</f>
        <v xml:space="preserve">GLC Full CL sized write support </v>
      </c>
      <c r="C38" s="439" t="str">
        <f>VLOOKUP(A38,'Feature Raw Data'!$A$3:$C$3922,3,FALSE)</f>
        <v>P2</v>
      </c>
      <c r="D38" s="440" t="str" cm="1">
        <f t="array" ref="D38">_xlfn.TEXTJOIN("",TRUE,IF(ISNUMBER(SEARCH($A38,'Diags Raw Data'!$A$6:$A$3690)),CONCATENATE('Diags Raw Data'!$H$6:$H$3690,", "),""))</f>
        <v/>
      </c>
      <c r="E38" s="340" t="e">
        <f>VLOOKUP(A38,'Diags Raw Data'!$A$6:$D$3690,4,FALSE)</f>
        <v>#N/A</v>
      </c>
      <c r="F38" s="340" t="str">
        <f>VLOOKUP(A38,'Feature Raw Data'!$A$3:$E$3922,5,FALSE)</f>
        <v>New</v>
      </c>
      <c r="G38" s="340" t="str">
        <f t="shared" si="0"/>
        <v>Yes</v>
      </c>
      <c r="H38" s="340" t="str">
        <f t="shared" si="1"/>
        <v>Yes</v>
      </c>
      <c r="I38" s="439">
        <f>SUMIF('Diags Raw Data'!$A$6:$A$3690,"*"&amp;$A38&amp;"*",'Diags Raw Data'!$K$6:$K$3690)</f>
        <v>0</v>
      </c>
      <c r="J38" s="441">
        <f>SUMIF('Diags Raw Data'!$A$6:$A$3690,"*"&amp;$A38&amp;"*",'Diags Raw Data'!$L$6:$L$3690)</f>
        <v>0</v>
      </c>
      <c r="K38" s="487" cm="1">
        <f t="array" ref="K38">IF(D38="",0, SUMPRODUCT(--(ISNUMBER(SEARCH($A38,'Diags Raw Data'!$A$6:$A$3690))),'Diags Raw Data'!$L$6:$L$3690,'Diags Raw Data'!$N$6:$N$3690)/J38)</f>
        <v>0</v>
      </c>
      <c r="L38" s="488" cm="1">
        <f t="array" ref="L38">IF(D38="",0, SUMPRODUCT(--(ISNUMBER(SEARCH($A38,'Diags Raw Data'!$A$6:$A$3690))),'Diags Raw Data'!$L$6:$L$3690,'Diags Raw Data'!$P$6:$P$3690)/J38)</f>
        <v>0</v>
      </c>
      <c r="M38" s="489" cm="1">
        <f t="array" ref="M38">SUMPRODUCT(--(ISNUMBER(SEARCH($A38,'Diags Raw Data'!$A$6:$A$3690))),--('Diags Raw Data'!$Q$6:$Q$3690&lt;&gt;"N/A"),'Diags Raw Data'!$R$6:$R$3690)</f>
        <v>0</v>
      </c>
      <c r="N38" s="490" cm="1">
        <f t="array" ref="N38">SUMPRODUCT(--(ISNUMBER(SEARCH($A38,'Diags Raw Data'!$A$6:$A$3690))),--('Diags Raw Data'!$Q$6:$Q$3690&lt;&gt;"N/A"),'Diags Raw Data'!$T$6:$T$3690)+SUMPRODUCT(--(ISNUMBER(SEARCH($A38,'Diags Raw Data'!$A$6:$A$3690))),--('Diags Raw Data'!$Q$6:$Q$3690&lt;&gt;"N/A"),'Diags Raw Data'!$U$6:$U$3690)</f>
        <v>0</v>
      </c>
      <c r="O38" s="491">
        <f t="shared" si="2"/>
        <v>0</v>
      </c>
      <c r="P38" s="492">
        <f>SUMIF('Diags Raw Data'!$A$6:$A$3690,"*"&amp;$A38&amp;"*",'Diags Raw Data'!$Z$6:$Z$3690)</f>
        <v>0</v>
      </c>
      <c r="Q38" s="493">
        <f>SUM(SUMIF('Diags Raw Data'!$A$6:$A$3690,"*"&amp;$A38&amp;"*",'Diags Raw Data'!$AA$6:$AA$3690),SUMIF('Diags Raw Data'!$A$6:$A$3690,"*"&amp;$A38&amp;"*",'Diags Raw Data'!$AB$6:$AB$3690))</f>
        <v>0</v>
      </c>
      <c r="R38" s="494">
        <f t="shared" si="3"/>
        <v>0</v>
      </c>
      <c r="S38" s="494">
        <f t="shared" si="4"/>
        <v>0</v>
      </c>
      <c r="T38" s="495">
        <f t="shared" si="5"/>
        <v>0</v>
      </c>
      <c r="U38" s="436" t="e">
        <f>VLOOKUP(A38,'Diags Raw Data'!$A$6:$AH$3690,33,FALSE)</f>
        <v>#N/A</v>
      </c>
      <c r="V38" s="185"/>
    </row>
    <row r="39" spans="1:22" ht="30.75" thickBot="1" x14ac:dyDescent="0.3">
      <c r="A39" s="549">
        <v>12.048999999999973</v>
      </c>
      <c r="B39" s="438" t="str">
        <f>VLOOKUP(A39,'Feature Raw Data'!$A$3:$B$3922,2,FALSE)</f>
        <v xml:space="preserve">GLC Up to 256B Write Support to EA </v>
      </c>
      <c r="C39" s="439" t="str">
        <f>VLOOKUP(A39,'Feature Raw Data'!$A$3:$C$3922,3,FALSE)</f>
        <v>P1</v>
      </c>
      <c r="D39" s="440" t="str" cm="1">
        <f t="array" ref="D39">_xlfn.TEXTJOIN("",TRUE,IF(ISNUMBER(SEARCH($A39,'Diags Raw Data'!$A$6:$A$3690)),CONCATENATE('Diags Raw Data'!$H$6:$H$3690,", "),""))</f>
        <v/>
      </c>
      <c r="E39" s="340" t="e">
        <f>VLOOKUP(A39,'Diags Raw Data'!$A$6:$D$3690,4,FALSE)</f>
        <v>#N/A</v>
      </c>
      <c r="F39" s="340" t="str">
        <f>VLOOKUP(A39,'Feature Raw Data'!$A$3:$E$3922,5,FALSE)</f>
        <v>New</v>
      </c>
      <c r="G39" s="340" t="str">
        <f t="shared" si="0"/>
        <v>Yes</v>
      </c>
      <c r="H39" s="340" t="str">
        <f t="shared" si="1"/>
        <v>Yes</v>
      </c>
      <c r="I39" s="439">
        <f>SUMIF('Diags Raw Data'!$A$6:$A$3690,"*"&amp;$A39&amp;"*",'Diags Raw Data'!$K$6:$K$3690)</f>
        <v>0</v>
      </c>
      <c r="J39" s="441">
        <f>SUMIF('Diags Raw Data'!$A$6:$A$3690,"*"&amp;$A39&amp;"*",'Diags Raw Data'!$L$6:$L$3690)</f>
        <v>0</v>
      </c>
      <c r="K39" s="487" cm="1">
        <f t="array" ref="K39">IF(D39="",0, SUMPRODUCT(--(ISNUMBER(SEARCH($A39,'Diags Raw Data'!$A$6:$A$3690))),'Diags Raw Data'!$L$6:$L$3690,'Diags Raw Data'!$N$6:$N$3690)/J39)</f>
        <v>0</v>
      </c>
      <c r="L39" s="488" cm="1">
        <f t="array" ref="L39">IF(D39="",0, SUMPRODUCT(--(ISNUMBER(SEARCH($A39,'Diags Raw Data'!$A$6:$A$3690))),'Diags Raw Data'!$L$6:$L$3690,'Diags Raw Data'!$P$6:$P$3690)/J39)</f>
        <v>0</v>
      </c>
      <c r="M39" s="489" cm="1">
        <f t="array" ref="M39">SUMPRODUCT(--(ISNUMBER(SEARCH($A39,'Diags Raw Data'!$A$6:$A$3690))),--('Diags Raw Data'!$Q$6:$Q$3690&lt;&gt;"N/A"),'Diags Raw Data'!$R$6:$R$3690)</f>
        <v>0</v>
      </c>
      <c r="N39" s="490" cm="1">
        <f t="array" ref="N39">SUMPRODUCT(--(ISNUMBER(SEARCH($A39,'Diags Raw Data'!$A$6:$A$3690))),--('Diags Raw Data'!$Q$6:$Q$3690&lt;&gt;"N/A"),'Diags Raw Data'!$T$6:$T$3690)+SUMPRODUCT(--(ISNUMBER(SEARCH($A39,'Diags Raw Data'!$A$6:$A$3690))),--('Diags Raw Data'!$Q$6:$Q$3690&lt;&gt;"N/A"),'Diags Raw Data'!$U$6:$U$3690)</f>
        <v>0</v>
      </c>
      <c r="O39" s="491">
        <f t="shared" si="2"/>
        <v>0</v>
      </c>
      <c r="P39" s="492">
        <f>SUMIF('Diags Raw Data'!$A$6:$A$3690,"*"&amp;$A39&amp;"*",'Diags Raw Data'!$Z$6:$Z$3690)</f>
        <v>0</v>
      </c>
      <c r="Q39" s="493">
        <f>SUM(SUMIF('Diags Raw Data'!$A$6:$A$3690,"*"&amp;$A39&amp;"*",'Diags Raw Data'!$AA$6:$AA$3690),SUMIF('Diags Raw Data'!$A$6:$A$3690,"*"&amp;$A39&amp;"*",'Diags Raw Data'!$AB$6:$AB$3690))</f>
        <v>0</v>
      </c>
      <c r="R39" s="494">
        <f t="shared" si="3"/>
        <v>0</v>
      </c>
      <c r="S39" s="494">
        <f t="shared" si="4"/>
        <v>0</v>
      </c>
      <c r="T39" s="495">
        <f t="shared" si="5"/>
        <v>0</v>
      </c>
      <c r="U39" s="436" t="e">
        <f>VLOOKUP(A39,'Diags Raw Data'!$A$6:$AH$3690,33,FALSE)</f>
        <v>#N/A</v>
      </c>
      <c r="V39" s="181"/>
    </row>
    <row r="40" spans="1:22" ht="30.75" thickBot="1" x14ac:dyDescent="0.3">
      <c r="A40" s="549">
        <v>12.051</v>
      </c>
      <c r="B40" s="438" t="str">
        <f>VLOOKUP(A40,'Feature Raw Data'!$A$3:$B$3922,2,FALSE)</f>
        <v>cache last_use policy (child of 12.041/12.027)</v>
      </c>
      <c r="C40" s="439" t="str">
        <f>VLOOKUP(A40,'Feature Raw Data'!$A$3:$C$3922,3,FALSE)</f>
        <v>P2</v>
      </c>
      <c r="D40" s="440" t="str" cm="1">
        <f t="array" ref="D40">_xlfn.TEXTJOIN("",TRUE,IF(ISNUMBER(SEARCH($A40,'Diags Raw Data'!$A$6:$A$3690)),CONCATENATE('Diags Raw Data'!$H$6:$H$3690,", "),""))</f>
        <v/>
      </c>
      <c r="E40" s="340" t="e">
        <f>VLOOKUP(A40,'Diags Raw Data'!$A$6:$D$3690,4,FALSE)</f>
        <v>#N/A</v>
      </c>
      <c r="F40" s="340" t="str">
        <f>VLOOKUP(A40,'Feature Raw Data'!$A$3:$E$3922,5,FALSE)</f>
        <v>New</v>
      </c>
      <c r="G40" s="340" t="str">
        <f t="shared" si="0"/>
        <v>Yes</v>
      </c>
      <c r="H40" s="340" t="str">
        <f t="shared" si="1"/>
        <v>Yes</v>
      </c>
      <c r="I40" s="439">
        <f>SUMIF('Diags Raw Data'!$A$6:$A$3690,"*"&amp;$A40&amp;"*",'Diags Raw Data'!$K$6:$K$3690)</f>
        <v>0</v>
      </c>
      <c r="J40" s="441">
        <f>SUMIF('Diags Raw Data'!$A$6:$A$3690,"*"&amp;$A40&amp;"*",'Diags Raw Data'!$L$6:$L$3690)</f>
        <v>0</v>
      </c>
      <c r="K40" s="487" cm="1">
        <f t="array" ref="K40">IF(D40="",0, SUMPRODUCT(--(ISNUMBER(SEARCH($A40,'Diags Raw Data'!$A$6:$A$3690))),'Diags Raw Data'!$L$6:$L$3690,'Diags Raw Data'!$N$6:$N$3690)/J40)</f>
        <v>0</v>
      </c>
      <c r="L40" s="488" cm="1">
        <f t="array" ref="L40">IF(D40="",0, SUMPRODUCT(--(ISNUMBER(SEARCH($A40,'Diags Raw Data'!$A$6:$A$3690))),'Diags Raw Data'!$L$6:$L$3690,'Diags Raw Data'!$P$6:$P$3690)/J40)</f>
        <v>0</v>
      </c>
      <c r="M40" s="489" cm="1">
        <f t="array" ref="M40">SUMPRODUCT(--(ISNUMBER(SEARCH($A40,'Diags Raw Data'!$A$6:$A$3690))),--('Diags Raw Data'!$Q$6:$Q$3690&lt;&gt;"N/A"),'Diags Raw Data'!$R$6:$R$3690)</f>
        <v>0</v>
      </c>
      <c r="N40" s="490" cm="1">
        <f t="array" ref="N40">SUMPRODUCT(--(ISNUMBER(SEARCH($A40,'Diags Raw Data'!$A$6:$A$3690))),--('Diags Raw Data'!$Q$6:$Q$3690&lt;&gt;"N/A"),'Diags Raw Data'!$T$6:$T$3690)+SUMPRODUCT(--(ISNUMBER(SEARCH($A40,'Diags Raw Data'!$A$6:$A$3690))),--('Diags Raw Data'!$Q$6:$Q$3690&lt;&gt;"N/A"),'Diags Raw Data'!$U$6:$U$3690)</f>
        <v>0</v>
      </c>
      <c r="O40" s="491">
        <f t="shared" si="2"/>
        <v>0</v>
      </c>
      <c r="P40" s="492">
        <f>SUMIF('Diags Raw Data'!$A$6:$A$3690,"*"&amp;$A40&amp;"*",'Diags Raw Data'!$Z$6:$Z$3690)</f>
        <v>0</v>
      </c>
      <c r="Q40" s="493">
        <f>SUM(SUMIF('Diags Raw Data'!$A$6:$A$3690,"*"&amp;$A40&amp;"*",'Diags Raw Data'!$AA$6:$AA$3690),SUMIF('Diags Raw Data'!$A$6:$A$3690,"*"&amp;$A40&amp;"*",'Diags Raw Data'!$AB$6:$AB$3690))</f>
        <v>0</v>
      </c>
      <c r="R40" s="494">
        <f t="shared" si="3"/>
        <v>0</v>
      </c>
      <c r="S40" s="494">
        <f t="shared" si="4"/>
        <v>0</v>
      </c>
      <c r="T40" s="495">
        <f t="shared" si="5"/>
        <v>0</v>
      </c>
      <c r="U40" s="436" t="e">
        <f>VLOOKUP(A40,'Diags Raw Data'!$A$6:$AH$3690,33,FALSE)</f>
        <v>#N/A</v>
      </c>
      <c r="V40" s="181"/>
    </row>
    <row r="41" spans="1:22" ht="60.75" thickBot="1" x14ac:dyDescent="0.3">
      <c r="A41" s="549">
        <v>12.052999999999971</v>
      </c>
      <c r="B41" s="438" t="str">
        <f>VLOOKUP(A41,'Feature Raw Data'!$A$3:$B$3922,2,FALSE)</f>
        <v>Distributed compression architecture in CMM and client impacts (w/ physical meta-data)</v>
      </c>
      <c r="C41" s="439" t="str">
        <f>VLOOKUP(A41,'Feature Raw Data'!$A$3:$C$3922,3,FALSE)</f>
        <v>P1</v>
      </c>
      <c r="D41" s="440" t="str" cm="1">
        <f t="array" ref="D41">_xlfn.TEXTJOIN("",TRUE,IF(ISNUMBER(SEARCH($A41,'Diags Raw Data'!$A$6:$A$3690)),CONCATENATE('Diags Raw Data'!$H$6:$H$3690,", "),""))</f>
        <v/>
      </c>
      <c r="E41" s="340" t="e">
        <f>VLOOKUP(A41,'Diags Raw Data'!$A$6:$D$3690,4,FALSE)</f>
        <v>#N/A</v>
      </c>
      <c r="F41" s="340" t="str">
        <f>VLOOKUP(A41,'Feature Raw Data'!$A$3:$E$3922,5,FALSE)</f>
        <v>New</v>
      </c>
      <c r="G41" s="340" t="str">
        <f t="shared" si="0"/>
        <v>Yes</v>
      </c>
      <c r="H41" s="340" t="str">
        <f t="shared" si="1"/>
        <v>Yes</v>
      </c>
      <c r="I41" s="439">
        <f>SUMIF('Diags Raw Data'!$A$6:$A$3690,"*"&amp;$A41&amp;"*",'Diags Raw Data'!$K$6:$K$3690)</f>
        <v>0</v>
      </c>
      <c r="J41" s="441">
        <f>SUMIF('Diags Raw Data'!$A$6:$A$3690,"*"&amp;$A41&amp;"*",'Diags Raw Data'!$L$6:$L$3690)</f>
        <v>0</v>
      </c>
      <c r="K41" s="487" cm="1">
        <f t="array" ref="K41">IF(D41="",0, SUMPRODUCT(--(ISNUMBER(SEARCH($A41,'Diags Raw Data'!$A$6:$A$3690))),'Diags Raw Data'!$L$6:$L$3690,'Diags Raw Data'!$N$6:$N$3690)/J41)</f>
        <v>0</v>
      </c>
      <c r="L41" s="488" cm="1">
        <f t="array" ref="L41">IF(D41="",0, SUMPRODUCT(--(ISNUMBER(SEARCH($A41,'Diags Raw Data'!$A$6:$A$3690))),'Diags Raw Data'!$L$6:$L$3690,'Diags Raw Data'!$P$6:$P$3690)/J41)</f>
        <v>0</v>
      </c>
      <c r="M41" s="489" cm="1">
        <f t="array" ref="M41">SUMPRODUCT(--(ISNUMBER(SEARCH($A41,'Diags Raw Data'!$A$6:$A$3690))),--('Diags Raw Data'!$Q$6:$Q$3690&lt;&gt;"N/A"),'Diags Raw Data'!$R$6:$R$3690)</f>
        <v>0</v>
      </c>
      <c r="N41" s="490" cm="1">
        <f t="array" ref="N41">SUMPRODUCT(--(ISNUMBER(SEARCH($A41,'Diags Raw Data'!$A$6:$A$3690))),--('Diags Raw Data'!$Q$6:$Q$3690&lt;&gt;"N/A"),'Diags Raw Data'!$T$6:$T$3690)+SUMPRODUCT(--(ISNUMBER(SEARCH($A41,'Diags Raw Data'!$A$6:$A$3690))),--('Diags Raw Data'!$Q$6:$Q$3690&lt;&gt;"N/A"),'Diags Raw Data'!$U$6:$U$3690)</f>
        <v>0</v>
      </c>
      <c r="O41" s="491">
        <f t="shared" si="2"/>
        <v>0</v>
      </c>
      <c r="P41" s="492">
        <f>SUMIF('Diags Raw Data'!$A$6:$A$3690,"*"&amp;$A41&amp;"*",'Diags Raw Data'!$Z$6:$Z$3690)</f>
        <v>0</v>
      </c>
      <c r="Q41" s="493">
        <f>SUM(SUMIF('Diags Raw Data'!$A$6:$A$3690,"*"&amp;$A41&amp;"*",'Diags Raw Data'!$AA$6:$AA$3690),SUMIF('Diags Raw Data'!$A$6:$A$3690,"*"&amp;$A41&amp;"*",'Diags Raw Data'!$AB$6:$AB$3690))</f>
        <v>0</v>
      </c>
      <c r="R41" s="494">
        <f t="shared" si="3"/>
        <v>0</v>
      </c>
      <c r="S41" s="494">
        <f t="shared" si="4"/>
        <v>0</v>
      </c>
      <c r="T41" s="495">
        <f t="shared" si="5"/>
        <v>0</v>
      </c>
      <c r="U41" s="436" t="e">
        <f>VLOOKUP(A41,'Diags Raw Data'!$A$6:$AH$3690,33,FALSE)</f>
        <v>#N/A</v>
      </c>
      <c r="V41" s="181"/>
    </row>
    <row r="42" spans="1:22" ht="30.75" thickBot="1" x14ac:dyDescent="0.3">
      <c r="A42" s="549">
        <v>12.054</v>
      </c>
      <c r="B42" s="438" t="str">
        <f>VLOOKUP(A42,'Feature Raw Data'!$A$3:$B$3922,2,FALSE)</f>
        <v xml:space="preserve">SQG Ring Bus conversion for multi-chip </v>
      </c>
      <c r="C42" s="439" t="str">
        <f>VLOOKUP(A42,'Feature Raw Data'!$A$3:$C$3922,3,FALSE)</f>
        <v>P1</v>
      </c>
      <c r="D42" s="440" t="str" cm="1">
        <f t="array" ref="D42">_xlfn.TEXTJOIN("",TRUE,IF(ISNUMBER(SEARCH($A42,'Diags Raw Data'!$A$6:$A$3690)),CONCATENATE('Diags Raw Data'!$H$6:$H$3690,", "),""))</f>
        <v/>
      </c>
      <c r="E42" s="340" t="e">
        <f>VLOOKUP(A42,'Diags Raw Data'!$A$6:$D$3690,4,FALSE)</f>
        <v>#N/A</v>
      </c>
      <c r="F42" s="340" t="str">
        <f>VLOOKUP(A42,'Feature Raw Data'!$A$3:$E$3922,5,FALSE)</f>
        <v>New</v>
      </c>
      <c r="G42" s="340" t="str">
        <f t="shared" si="0"/>
        <v>Yes</v>
      </c>
      <c r="H42" s="340" t="str">
        <f t="shared" si="1"/>
        <v>Yes</v>
      </c>
      <c r="I42" s="439">
        <f>SUMIF('Diags Raw Data'!$A$6:$A$3690,"*"&amp;$A42&amp;"*",'Diags Raw Data'!$K$6:$K$3690)</f>
        <v>0</v>
      </c>
      <c r="J42" s="441">
        <f>SUMIF('Diags Raw Data'!$A$6:$A$3690,"*"&amp;$A42&amp;"*",'Diags Raw Data'!$L$6:$L$3690)</f>
        <v>0</v>
      </c>
      <c r="K42" s="487" cm="1">
        <f t="array" ref="K42">IF(D42="",0, SUMPRODUCT(--(ISNUMBER(SEARCH($A42,'Diags Raw Data'!$A$6:$A$3690))),'Diags Raw Data'!$L$6:$L$3690,'Diags Raw Data'!$N$6:$N$3690)/J42)</f>
        <v>0</v>
      </c>
      <c r="L42" s="488" cm="1">
        <f t="array" ref="L42">IF(D42="",0, SUMPRODUCT(--(ISNUMBER(SEARCH($A42,'Diags Raw Data'!$A$6:$A$3690))),'Diags Raw Data'!$L$6:$L$3690,'Diags Raw Data'!$P$6:$P$3690)/J42)</f>
        <v>0</v>
      </c>
      <c r="M42" s="489" cm="1">
        <f t="array" ref="M42">SUMPRODUCT(--(ISNUMBER(SEARCH($A42,'Diags Raw Data'!$A$6:$A$3690))),--('Diags Raw Data'!$Q$6:$Q$3690&lt;&gt;"N/A"),'Diags Raw Data'!$R$6:$R$3690)</f>
        <v>0</v>
      </c>
      <c r="N42" s="490" cm="1">
        <f t="array" ref="N42">SUMPRODUCT(--(ISNUMBER(SEARCH($A42,'Diags Raw Data'!$A$6:$A$3690))),--('Diags Raw Data'!$Q$6:$Q$3690&lt;&gt;"N/A"),'Diags Raw Data'!$T$6:$T$3690)+SUMPRODUCT(--(ISNUMBER(SEARCH($A42,'Diags Raw Data'!$A$6:$A$3690))),--('Diags Raw Data'!$Q$6:$Q$3690&lt;&gt;"N/A"),'Diags Raw Data'!$U$6:$U$3690)</f>
        <v>0</v>
      </c>
      <c r="O42" s="491">
        <f t="shared" si="2"/>
        <v>0</v>
      </c>
      <c r="P42" s="492">
        <f>SUMIF('Diags Raw Data'!$A$6:$A$3690,"*"&amp;$A42&amp;"*",'Diags Raw Data'!$Z$6:$Z$3690)</f>
        <v>0</v>
      </c>
      <c r="Q42" s="493">
        <f>SUM(SUMIF('Diags Raw Data'!$A$6:$A$3690,"*"&amp;$A42&amp;"*",'Diags Raw Data'!$AA$6:$AA$3690),SUMIF('Diags Raw Data'!$A$6:$A$3690,"*"&amp;$A42&amp;"*",'Diags Raw Data'!$AB$6:$AB$3690))</f>
        <v>0</v>
      </c>
      <c r="R42" s="494">
        <f t="shared" si="3"/>
        <v>0</v>
      </c>
      <c r="S42" s="494">
        <f t="shared" si="4"/>
        <v>0</v>
      </c>
      <c r="T42" s="495">
        <f t="shared" si="5"/>
        <v>0</v>
      </c>
      <c r="U42" s="436" t="e">
        <f>VLOOKUP(A42,'Diags Raw Data'!$A$6:$AH$3690,33,FALSE)</f>
        <v>#N/A</v>
      </c>
      <c r="V42" s="181"/>
    </row>
    <row r="43" spans="1:22" ht="15.75" thickBot="1" x14ac:dyDescent="0.3">
      <c r="A43" s="549">
        <v>12.05499999999997</v>
      </c>
      <c r="B43" s="438" t="str">
        <f>VLOOKUP(A43,'Feature Raw Data'!$A$3:$B$3922,2,FALSE)</f>
        <v>Split workgroup barrier</v>
      </c>
      <c r="C43" s="439" t="str">
        <f>VLOOKUP(A43,'Feature Raw Data'!$A$3:$C$3922,3,FALSE)</f>
        <v>P1</v>
      </c>
      <c r="D43" s="440" t="str" cm="1">
        <f t="array" ref="D43">_xlfn.TEXTJOIN("",TRUE,IF(ISNUMBER(SEARCH($A43,'Diags Raw Data'!$A$6:$A$3690)),CONCATENATE('Diags Raw Data'!$H$6:$H$3690,", "),""))</f>
        <v/>
      </c>
      <c r="E43" s="340" t="e">
        <f>VLOOKUP(A43,'Diags Raw Data'!$A$6:$D$3690,4,FALSE)</f>
        <v>#N/A</v>
      </c>
      <c r="F43" s="340" t="str">
        <f>VLOOKUP(A43,'Feature Raw Data'!$A$3:$E$3922,5,FALSE)</f>
        <v>New</v>
      </c>
      <c r="G43" s="340" t="str">
        <f t="shared" si="0"/>
        <v>Yes</v>
      </c>
      <c r="H43" s="340" t="str">
        <f t="shared" si="1"/>
        <v>Yes</v>
      </c>
      <c r="I43" s="439">
        <f>SUMIF('Diags Raw Data'!$A$6:$A$3690,"*"&amp;$A43&amp;"*",'Diags Raw Data'!$K$6:$K$3690)</f>
        <v>0</v>
      </c>
      <c r="J43" s="441">
        <f>SUMIF('Diags Raw Data'!$A$6:$A$3690,"*"&amp;$A43&amp;"*",'Diags Raw Data'!$L$6:$L$3690)</f>
        <v>0</v>
      </c>
      <c r="K43" s="487" cm="1">
        <f t="array" ref="K43">IF(D43="",0, SUMPRODUCT(--(ISNUMBER(SEARCH($A43,'Diags Raw Data'!$A$6:$A$3690))),'Diags Raw Data'!$L$6:$L$3690,'Diags Raw Data'!$N$6:$N$3690)/J43)</f>
        <v>0</v>
      </c>
      <c r="L43" s="488" cm="1">
        <f t="array" ref="L43">IF(D43="",0, SUMPRODUCT(--(ISNUMBER(SEARCH($A43,'Diags Raw Data'!$A$6:$A$3690))),'Diags Raw Data'!$L$6:$L$3690,'Diags Raw Data'!$P$6:$P$3690)/J43)</f>
        <v>0</v>
      </c>
      <c r="M43" s="489" cm="1">
        <f t="array" ref="M43">SUMPRODUCT(--(ISNUMBER(SEARCH($A43,'Diags Raw Data'!$A$6:$A$3690))),--('Diags Raw Data'!$Q$6:$Q$3690&lt;&gt;"N/A"),'Diags Raw Data'!$R$6:$R$3690)</f>
        <v>0</v>
      </c>
      <c r="N43" s="490" cm="1">
        <f t="array" ref="N43">SUMPRODUCT(--(ISNUMBER(SEARCH($A43,'Diags Raw Data'!$A$6:$A$3690))),--('Diags Raw Data'!$Q$6:$Q$3690&lt;&gt;"N/A"),'Diags Raw Data'!$T$6:$T$3690)+SUMPRODUCT(--(ISNUMBER(SEARCH($A43,'Diags Raw Data'!$A$6:$A$3690))),--('Diags Raw Data'!$Q$6:$Q$3690&lt;&gt;"N/A"),'Diags Raw Data'!$U$6:$U$3690)</f>
        <v>0</v>
      </c>
      <c r="O43" s="491">
        <f t="shared" si="2"/>
        <v>0</v>
      </c>
      <c r="P43" s="492">
        <f>SUMIF('Diags Raw Data'!$A$6:$A$3690,"*"&amp;$A43&amp;"*",'Diags Raw Data'!$Z$6:$Z$3690)</f>
        <v>0</v>
      </c>
      <c r="Q43" s="493">
        <f>SUM(SUMIF('Diags Raw Data'!$A$6:$A$3690,"*"&amp;$A43&amp;"*",'Diags Raw Data'!$AA$6:$AA$3690),SUMIF('Diags Raw Data'!$A$6:$A$3690,"*"&amp;$A43&amp;"*",'Diags Raw Data'!$AB$6:$AB$3690))</f>
        <v>0</v>
      </c>
      <c r="R43" s="494">
        <f t="shared" si="3"/>
        <v>0</v>
      </c>
      <c r="S43" s="494">
        <f t="shared" si="4"/>
        <v>0</v>
      </c>
      <c r="T43" s="495">
        <f t="shared" si="5"/>
        <v>0</v>
      </c>
      <c r="U43" s="436" t="e">
        <f>VLOOKUP(A43,'Diags Raw Data'!$A$6:$AH$3690,33,FALSE)</f>
        <v>#N/A</v>
      </c>
      <c r="V43" s="181"/>
    </row>
    <row r="44" spans="1:22" ht="30.75" thickBot="1" x14ac:dyDescent="0.3">
      <c r="A44" s="549">
        <v>12.055999999999969</v>
      </c>
      <c r="B44" s="438" t="str">
        <f>VLOOKUP(A44,'Feature Raw Data'!$A$3:$B$3922,2,FALSE)</f>
        <v>Shader Instruction Data Prefetch (viola item)</v>
      </c>
      <c r="C44" s="439" t="str">
        <f>VLOOKUP(A44,'Feature Raw Data'!$A$3:$C$3922,3,FALSE)</f>
        <v>P1</v>
      </c>
      <c r="D44" s="440" t="str" cm="1">
        <f t="array" ref="D44">_xlfn.TEXTJOIN("",TRUE,IF(ISNUMBER(SEARCH($A44,'Diags Raw Data'!$A$6:$A$3690)),CONCATENATE('Diags Raw Data'!$H$6:$H$3690,", "),""))</f>
        <v/>
      </c>
      <c r="E44" s="340" t="e">
        <f>VLOOKUP(A44,'Diags Raw Data'!$A$6:$D$3690,4,FALSE)</f>
        <v>#N/A</v>
      </c>
      <c r="F44" s="340" t="str">
        <f>VLOOKUP(A44,'Feature Raw Data'!$A$3:$E$3922,5,FALSE)</f>
        <v>New</v>
      </c>
      <c r="G44" s="340" t="str">
        <f t="shared" si="0"/>
        <v>Yes</v>
      </c>
      <c r="H44" s="340" t="str">
        <f t="shared" si="1"/>
        <v>Yes</v>
      </c>
      <c r="I44" s="439">
        <f>SUMIF('Diags Raw Data'!$A$6:$A$3690,"*"&amp;$A44&amp;"*",'Diags Raw Data'!$K$6:$K$3690)</f>
        <v>0</v>
      </c>
      <c r="J44" s="441">
        <f>SUMIF('Diags Raw Data'!$A$6:$A$3690,"*"&amp;$A44&amp;"*",'Diags Raw Data'!$L$6:$L$3690)</f>
        <v>0</v>
      </c>
      <c r="K44" s="487" cm="1">
        <f t="array" ref="K44">IF(D44="",0, SUMPRODUCT(--(ISNUMBER(SEARCH($A44,'Diags Raw Data'!$A$6:$A$3690))),'Diags Raw Data'!$L$6:$L$3690,'Diags Raw Data'!$N$6:$N$3690)/J44)</f>
        <v>0</v>
      </c>
      <c r="L44" s="488" cm="1">
        <f t="array" ref="L44">IF(D44="",0, SUMPRODUCT(--(ISNUMBER(SEARCH($A44,'Diags Raw Data'!$A$6:$A$3690))),'Diags Raw Data'!$L$6:$L$3690,'Diags Raw Data'!$P$6:$P$3690)/J44)</f>
        <v>0</v>
      </c>
      <c r="M44" s="489" cm="1">
        <f t="array" ref="M44">SUMPRODUCT(--(ISNUMBER(SEARCH($A44,'Diags Raw Data'!$A$6:$A$3690))),--('Diags Raw Data'!$Q$6:$Q$3690&lt;&gt;"N/A"),'Diags Raw Data'!$R$6:$R$3690)</f>
        <v>0</v>
      </c>
      <c r="N44" s="490" cm="1">
        <f t="array" ref="N44">SUMPRODUCT(--(ISNUMBER(SEARCH($A44,'Diags Raw Data'!$A$6:$A$3690))),--('Diags Raw Data'!$Q$6:$Q$3690&lt;&gt;"N/A"),'Diags Raw Data'!$T$6:$T$3690)+SUMPRODUCT(--(ISNUMBER(SEARCH($A44,'Diags Raw Data'!$A$6:$A$3690))),--('Diags Raw Data'!$Q$6:$Q$3690&lt;&gt;"N/A"),'Diags Raw Data'!$U$6:$U$3690)</f>
        <v>0</v>
      </c>
      <c r="O44" s="491">
        <f t="shared" si="2"/>
        <v>0</v>
      </c>
      <c r="P44" s="492">
        <f>SUMIF('Diags Raw Data'!$A$6:$A$3690,"*"&amp;$A44&amp;"*",'Diags Raw Data'!$Z$6:$Z$3690)</f>
        <v>0</v>
      </c>
      <c r="Q44" s="493">
        <f>SUM(SUMIF('Diags Raw Data'!$A$6:$A$3690,"*"&amp;$A44&amp;"*",'Diags Raw Data'!$AA$6:$AA$3690),SUMIF('Diags Raw Data'!$A$6:$A$3690,"*"&amp;$A44&amp;"*",'Diags Raw Data'!$AB$6:$AB$3690))</f>
        <v>0</v>
      </c>
      <c r="R44" s="494">
        <f t="shared" si="3"/>
        <v>0</v>
      </c>
      <c r="S44" s="494">
        <f t="shared" si="4"/>
        <v>0</v>
      </c>
      <c r="T44" s="495">
        <f t="shared" si="5"/>
        <v>0</v>
      </c>
      <c r="U44" s="436" t="e">
        <f>VLOOKUP(A44,'Diags Raw Data'!$A$6:$AH$3690,33,FALSE)</f>
        <v>#N/A</v>
      </c>
      <c r="V44" s="181"/>
    </row>
    <row r="45" spans="1:22" ht="60.75" thickBot="1" x14ac:dyDescent="0.3">
      <c r="A45" s="549">
        <v>12.057</v>
      </c>
      <c r="B45" s="438" t="str">
        <f>VLOOKUP(A45,'Feature Raw Data'!$A$3:$B$3922,2,FALSE)</f>
        <v>Shader software data dependency control</v>
      </c>
      <c r="C45" s="439" t="str">
        <f>VLOOKUP(A45,'Feature Raw Data'!$A$3:$C$3922,3,FALSE)</f>
        <v>P2</v>
      </c>
      <c r="D45" s="440" t="str" cm="1">
        <f t="array" ref="D45">_xlfn.TEXTJOIN("",TRUE,IF(ISNUMBER(SEARCH($A45,'Diags Raw Data'!$A$6:$A$3690)),CONCATENATE('Diags Raw Data'!$H$6:$H$3690,", "),""))</f>
        <v/>
      </c>
      <c r="E45" s="340" t="e">
        <f>VLOOKUP(A45,'Diags Raw Data'!$A$6:$D$3690,4,FALSE)</f>
        <v>#N/A</v>
      </c>
      <c r="F45" s="340" t="str">
        <f>VLOOKUP(A45,'Feature Raw Data'!$A$3:$E$3922,5,FALSE)</f>
        <v>New</v>
      </c>
      <c r="G45" s="340" t="str">
        <f t="shared" si="0"/>
        <v>Yes</v>
      </c>
      <c r="H45" s="340" t="str">
        <f t="shared" si="1"/>
        <v>Yes</v>
      </c>
      <c r="I45" s="439">
        <f>SUMIF('Diags Raw Data'!$A$6:$A$3690,"*"&amp;$A45&amp;"*",'Diags Raw Data'!$K$6:$K$3690)</f>
        <v>0</v>
      </c>
      <c r="J45" s="441">
        <f>SUMIF('Diags Raw Data'!$A$6:$A$3690,"*"&amp;$A45&amp;"*",'Diags Raw Data'!$L$6:$L$3690)</f>
        <v>0</v>
      </c>
      <c r="K45" s="487" cm="1">
        <f t="array" ref="K45">IF(D45="",0, SUMPRODUCT(--(ISNUMBER(SEARCH($A45,'Diags Raw Data'!$A$6:$A$3690))),'Diags Raw Data'!$L$6:$L$3690,'Diags Raw Data'!$N$6:$N$3690)/J45)</f>
        <v>0</v>
      </c>
      <c r="L45" s="488" cm="1">
        <f t="array" ref="L45">IF(D45="",0, SUMPRODUCT(--(ISNUMBER(SEARCH($A45,'Diags Raw Data'!$A$6:$A$3690))),'Diags Raw Data'!$L$6:$L$3690,'Diags Raw Data'!$P$6:$P$3690)/J45)</f>
        <v>0</v>
      </c>
      <c r="M45" s="489" cm="1">
        <f t="array" ref="M45">SUMPRODUCT(--(ISNUMBER(SEARCH($A45,'Diags Raw Data'!$A$6:$A$3690))),--('Diags Raw Data'!$Q$6:$Q$3690&lt;&gt;"N/A"),'Diags Raw Data'!$R$6:$R$3690)</f>
        <v>0</v>
      </c>
      <c r="N45" s="490" cm="1">
        <f t="array" ref="N45">SUMPRODUCT(--(ISNUMBER(SEARCH($A45,'Diags Raw Data'!$A$6:$A$3690))),--('Diags Raw Data'!$Q$6:$Q$3690&lt;&gt;"N/A"),'Diags Raw Data'!$T$6:$T$3690)+SUMPRODUCT(--(ISNUMBER(SEARCH($A45,'Diags Raw Data'!$A$6:$A$3690))),--('Diags Raw Data'!$Q$6:$Q$3690&lt;&gt;"N/A"),'Diags Raw Data'!$U$6:$U$3690)</f>
        <v>0</v>
      </c>
      <c r="O45" s="491">
        <f t="shared" si="2"/>
        <v>0</v>
      </c>
      <c r="P45" s="492">
        <f>SUMIF('Diags Raw Data'!$A$6:$A$3690,"*"&amp;$A45&amp;"*",'Diags Raw Data'!$Z$6:$Z$3690)</f>
        <v>0</v>
      </c>
      <c r="Q45" s="493">
        <f>SUM(SUMIF('Diags Raw Data'!$A$6:$A$3690,"*"&amp;$A45&amp;"*",'Diags Raw Data'!$AA$6:$AA$3690),SUMIF('Diags Raw Data'!$A$6:$A$3690,"*"&amp;$A45&amp;"*",'Diags Raw Data'!$AB$6:$AB$3690))</f>
        <v>0</v>
      </c>
      <c r="R45" s="494">
        <f t="shared" si="3"/>
        <v>0</v>
      </c>
      <c r="S45" s="494">
        <f t="shared" si="4"/>
        <v>0</v>
      </c>
      <c r="T45" s="495">
        <f t="shared" si="5"/>
        <v>0</v>
      </c>
      <c r="U45" s="436" t="e">
        <f>VLOOKUP(A45,'Diags Raw Data'!$A$6:$AH$3690,33,FALSE)</f>
        <v>#N/A</v>
      </c>
      <c r="V45" s="181"/>
    </row>
    <row r="46" spans="1:22" ht="409.6" thickBot="1" x14ac:dyDescent="0.3">
      <c r="A46" s="549">
        <v>12.058999999999967</v>
      </c>
      <c r="B46" s="438" t="str">
        <f>VLOOKUP(A46,'Feature Raw Data'!$A$3:$B$3922,2,FALSE)</f>
        <v>Shader SALU Float support (in M1/M2/gfx11.5)</v>
      </c>
      <c r="C46" s="439" t="str">
        <f>VLOOKUP(A46,'Feature Raw Data'!$A$3:$C$3922,3,FALSE)</f>
        <v>P1</v>
      </c>
      <c r="D46" s="440" t="str" cm="1">
        <f t="array" ref="D46">_xlfn.TEXTJOIN("",TRUE,IF(ISNUMBER(SEARCH($A46,'Diags Raw Data'!$A$6:$A$3690)),CONCATENATE('Diags Raw Data'!$H$6:$H$3690,", "),""))</f>
        <v/>
      </c>
      <c r="E46" s="340" t="e">
        <f>VLOOKUP(A46,'Diags Raw Data'!$A$6:$D$3690,4,FALSE)</f>
        <v>#N/A</v>
      </c>
      <c r="F46" s="340" t="str">
        <f>VLOOKUP(A46,'Feature Raw Data'!$A$3:$E$3922,5,FALSE)</f>
        <v>New</v>
      </c>
      <c r="G46" s="340" t="str">
        <f t="shared" si="0"/>
        <v>Yes</v>
      </c>
      <c r="H46" s="340" t="str">
        <f t="shared" si="1"/>
        <v>Yes</v>
      </c>
      <c r="I46" s="439">
        <f>SUMIF('Diags Raw Data'!$A$6:$A$3690,"*"&amp;$A46&amp;"*",'Diags Raw Data'!$K$6:$K$3690)</f>
        <v>0</v>
      </c>
      <c r="J46" s="441">
        <f>SUMIF('Diags Raw Data'!$A$6:$A$3690,"*"&amp;$A46&amp;"*",'Diags Raw Data'!$L$6:$L$3690)</f>
        <v>0</v>
      </c>
      <c r="K46" s="487" cm="1">
        <f t="array" ref="K46">IF(D46="",0, SUMPRODUCT(--(ISNUMBER(SEARCH($A46,'Diags Raw Data'!$A$6:$A$3690))),'Diags Raw Data'!$L$6:$L$3690,'Diags Raw Data'!$N$6:$N$3690)/J46)</f>
        <v>0</v>
      </c>
      <c r="L46" s="488" cm="1">
        <f t="array" ref="L46">IF(D46="",0, SUMPRODUCT(--(ISNUMBER(SEARCH($A46,'Diags Raw Data'!$A$6:$A$3690))),'Diags Raw Data'!$L$6:$L$3690,'Diags Raw Data'!$P$6:$P$3690)/J46)</f>
        <v>0</v>
      </c>
      <c r="M46" s="489" cm="1">
        <f t="array" ref="M46">SUMPRODUCT(--(ISNUMBER(SEARCH($A46,'Diags Raw Data'!$A$6:$A$3690))),--('Diags Raw Data'!$Q$6:$Q$3690&lt;&gt;"N/A"),'Diags Raw Data'!$R$6:$R$3690)</f>
        <v>0</v>
      </c>
      <c r="N46" s="490" cm="1">
        <f t="array" ref="N46">SUMPRODUCT(--(ISNUMBER(SEARCH($A46,'Diags Raw Data'!$A$6:$A$3690))),--('Diags Raw Data'!$Q$6:$Q$3690&lt;&gt;"N/A"),'Diags Raw Data'!$T$6:$T$3690)+SUMPRODUCT(--(ISNUMBER(SEARCH($A46,'Diags Raw Data'!$A$6:$A$3690))),--('Diags Raw Data'!$Q$6:$Q$3690&lt;&gt;"N/A"),'Diags Raw Data'!$U$6:$U$3690)</f>
        <v>0</v>
      </c>
      <c r="O46" s="491">
        <f t="shared" si="2"/>
        <v>0</v>
      </c>
      <c r="P46" s="492">
        <f>SUMIF('Diags Raw Data'!$A$6:$A$3690,"*"&amp;$A46&amp;"*",'Diags Raw Data'!$Z$6:$Z$3690)</f>
        <v>0</v>
      </c>
      <c r="Q46" s="493">
        <f>SUM(SUMIF('Diags Raw Data'!$A$6:$A$3690,"*"&amp;$A46&amp;"*",'Diags Raw Data'!$AA$6:$AA$3690),SUMIF('Diags Raw Data'!$A$6:$A$3690,"*"&amp;$A46&amp;"*",'Diags Raw Data'!$AB$6:$AB$3690))</f>
        <v>0</v>
      </c>
      <c r="R46" s="494">
        <f t="shared" si="3"/>
        <v>0</v>
      </c>
      <c r="S46" s="494">
        <f t="shared" si="4"/>
        <v>0</v>
      </c>
      <c r="T46" s="495">
        <f t="shared" si="5"/>
        <v>0</v>
      </c>
      <c r="U46" s="436" t="e">
        <f>VLOOKUP(A46,'Diags Raw Data'!$A$6:$AH$3690,33,FALSE)</f>
        <v>#N/A</v>
      </c>
      <c r="V46" s="181"/>
    </row>
    <row r="47" spans="1:22" ht="195.75" thickBot="1" x14ac:dyDescent="0.3">
      <c r="A47" s="549">
        <v>12.059999999999967</v>
      </c>
      <c r="B47" s="438" t="str">
        <f>VLOOKUP(A47,'Feature Raw Data'!$A$3:$B$3922,2,FALSE)</f>
        <v>VGPR DMA for Function Calls (uniform mask only)</v>
      </c>
      <c r="C47" s="439" t="str">
        <f>VLOOKUP(A47,'Feature Raw Data'!$A$3:$C$3922,3,FALSE)</f>
        <v>P1</v>
      </c>
      <c r="D47" s="440" t="str" cm="1">
        <f t="array" ref="D47">_xlfn.TEXTJOIN("",TRUE,IF(ISNUMBER(SEARCH($A47,'Diags Raw Data'!$A$6:$A$3690)),CONCATENATE('Diags Raw Data'!$H$6:$H$3690,", "),""))</f>
        <v/>
      </c>
      <c r="E47" s="340" t="e">
        <f>VLOOKUP(A47,'Diags Raw Data'!$A$6:$D$3690,4,FALSE)</f>
        <v>#N/A</v>
      </c>
      <c r="F47" s="340" t="str">
        <f>VLOOKUP(A47,'Feature Raw Data'!$A$3:$E$3922,5,FALSE)</f>
        <v>New</v>
      </c>
      <c r="G47" s="340" t="str">
        <f t="shared" si="0"/>
        <v>Yes</v>
      </c>
      <c r="H47" s="340" t="str">
        <f t="shared" si="1"/>
        <v>Yes</v>
      </c>
      <c r="I47" s="439">
        <f>SUMIF('Diags Raw Data'!$A$6:$A$3690,"*"&amp;$A47&amp;"*",'Diags Raw Data'!$K$6:$K$3690)</f>
        <v>0</v>
      </c>
      <c r="J47" s="441">
        <f>SUMIF('Diags Raw Data'!$A$6:$A$3690,"*"&amp;$A47&amp;"*",'Diags Raw Data'!$L$6:$L$3690)</f>
        <v>0</v>
      </c>
      <c r="K47" s="487" cm="1">
        <f t="array" ref="K47">IF(D47="",0, SUMPRODUCT(--(ISNUMBER(SEARCH($A47,'Diags Raw Data'!$A$6:$A$3690))),'Diags Raw Data'!$L$6:$L$3690,'Diags Raw Data'!$N$6:$N$3690)/J47)</f>
        <v>0</v>
      </c>
      <c r="L47" s="488" cm="1">
        <f t="array" ref="L47">IF(D47="",0, SUMPRODUCT(--(ISNUMBER(SEARCH($A47,'Diags Raw Data'!$A$6:$A$3690))),'Diags Raw Data'!$L$6:$L$3690,'Diags Raw Data'!$P$6:$P$3690)/J47)</f>
        <v>0</v>
      </c>
      <c r="M47" s="489" cm="1">
        <f t="array" ref="M47">SUMPRODUCT(--(ISNUMBER(SEARCH($A47,'Diags Raw Data'!$A$6:$A$3690))),--('Diags Raw Data'!$Q$6:$Q$3690&lt;&gt;"N/A"),'Diags Raw Data'!$R$6:$R$3690)</f>
        <v>0</v>
      </c>
      <c r="N47" s="490" cm="1">
        <f t="array" ref="N47">SUMPRODUCT(--(ISNUMBER(SEARCH($A47,'Diags Raw Data'!$A$6:$A$3690))),--('Diags Raw Data'!$Q$6:$Q$3690&lt;&gt;"N/A"),'Diags Raw Data'!$T$6:$T$3690)+SUMPRODUCT(--(ISNUMBER(SEARCH($A47,'Diags Raw Data'!$A$6:$A$3690))),--('Diags Raw Data'!$Q$6:$Q$3690&lt;&gt;"N/A"),'Diags Raw Data'!$U$6:$U$3690)</f>
        <v>0</v>
      </c>
      <c r="O47" s="491">
        <f t="shared" si="2"/>
        <v>0</v>
      </c>
      <c r="P47" s="492">
        <f>SUMIF('Diags Raw Data'!$A$6:$A$3690,"*"&amp;$A47&amp;"*",'Diags Raw Data'!$Z$6:$Z$3690)</f>
        <v>0</v>
      </c>
      <c r="Q47" s="493">
        <f>SUM(SUMIF('Diags Raw Data'!$A$6:$A$3690,"*"&amp;$A47&amp;"*",'Diags Raw Data'!$AA$6:$AA$3690),SUMIF('Diags Raw Data'!$A$6:$A$3690,"*"&amp;$A47&amp;"*",'Diags Raw Data'!$AB$6:$AB$3690))</f>
        <v>0</v>
      </c>
      <c r="R47" s="494">
        <f t="shared" si="3"/>
        <v>0</v>
      </c>
      <c r="S47" s="494">
        <f t="shared" si="4"/>
        <v>0</v>
      </c>
      <c r="T47" s="495">
        <f t="shared" si="5"/>
        <v>0</v>
      </c>
      <c r="U47" s="436" t="e">
        <f>VLOOKUP(A47,'Diags Raw Data'!$A$6:$AH$3690,33,FALSE)</f>
        <v>#N/A</v>
      </c>
      <c r="V47" s="181"/>
    </row>
    <row r="48" spans="1:22" ht="15.75" thickBot="1" x14ac:dyDescent="0.3">
      <c r="A48" s="549">
        <v>12.061999999999966</v>
      </c>
      <c r="B48" s="438" t="str">
        <f>VLOOKUP(A48,'Feature Raw Data'!$A$3:$B$3922,2,FALSE)</f>
        <v xml:space="preserve">Shader Debugger Enablement </v>
      </c>
      <c r="C48" s="439" t="str">
        <f>VLOOKUP(A48,'Feature Raw Data'!$A$3:$C$3922,3,FALSE)</f>
        <v>P1</v>
      </c>
      <c r="D48" s="440" t="str" cm="1">
        <f t="array" ref="D48">_xlfn.TEXTJOIN("",TRUE,IF(ISNUMBER(SEARCH($A48,'Diags Raw Data'!$A$6:$A$3690)),CONCATENATE('Diags Raw Data'!$H$6:$H$3690,", "),""))</f>
        <v/>
      </c>
      <c r="E48" s="340" t="e">
        <f>VLOOKUP(A48,'Diags Raw Data'!$A$6:$D$3690,4,FALSE)</f>
        <v>#N/A</v>
      </c>
      <c r="F48" s="340" t="str">
        <f>VLOOKUP(A48,'Feature Raw Data'!$A$3:$E$3922,5,FALSE)</f>
        <v>New</v>
      </c>
      <c r="G48" s="340" t="str">
        <f t="shared" si="0"/>
        <v>Yes</v>
      </c>
      <c r="H48" s="340" t="str">
        <f t="shared" si="1"/>
        <v>Yes</v>
      </c>
      <c r="I48" s="439">
        <f>SUMIF('Diags Raw Data'!$A$6:$A$3690,"*"&amp;$A48&amp;"*",'Diags Raw Data'!$K$6:$K$3690)</f>
        <v>0</v>
      </c>
      <c r="J48" s="441">
        <f>SUMIF('Diags Raw Data'!$A$6:$A$3690,"*"&amp;$A48&amp;"*",'Diags Raw Data'!$L$6:$L$3690)</f>
        <v>0</v>
      </c>
      <c r="K48" s="487" cm="1">
        <f t="array" ref="K48">IF(D48="",0, SUMPRODUCT(--(ISNUMBER(SEARCH($A48,'Diags Raw Data'!$A$6:$A$3690))),'Diags Raw Data'!$L$6:$L$3690,'Diags Raw Data'!$N$6:$N$3690)/J48)</f>
        <v>0</v>
      </c>
      <c r="L48" s="488" cm="1">
        <f t="array" ref="L48">IF(D48="",0, SUMPRODUCT(--(ISNUMBER(SEARCH($A48,'Diags Raw Data'!$A$6:$A$3690))),'Diags Raw Data'!$L$6:$L$3690,'Diags Raw Data'!$P$6:$P$3690)/J48)</f>
        <v>0</v>
      </c>
      <c r="M48" s="489" cm="1">
        <f t="array" ref="M48">SUMPRODUCT(--(ISNUMBER(SEARCH($A48,'Diags Raw Data'!$A$6:$A$3690))),--('Diags Raw Data'!$Q$6:$Q$3690&lt;&gt;"N/A"),'Diags Raw Data'!$R$6:$R$3690)</f>
        <v>0</v>
      </c>
      <c r="N48" s="490" cm="1">
        <f t="array" ref="N48">SUMPRODUCT(--(ISNUMBER(SEARCH($A48,'Diags Raw Data'!$A$6:$A$3690))),--('Diags Raw Data'!$Q$6:$Q$3690&lt;&gt;"N/A"),'Diags Raw Data'!$T$6:$T$3690)+SUMPRODUCT(--(ISNUMBER(SEARCH($A48,'Diags Raw Data'!$A$6:$A$3690))),--('Diags Raw Data'!$Q$6:$Q$3690&lt;&gt;"N/A"),'Diags Raw Data'!$U$6:$U$3690)</f>
        <v>0</v>
      </c>
      <c r="O48" s="491">
        <f t="shared" si="2"/>
        <v>0</v>
      </c>
      <c r="P48" s="492">
        <f>SUMIF('Diags Raw Data'!$A$6:$A$3690,"*"&amp;$A48&amp;"*",'Diags Raw Data'!$Z$6:$Z$3690)</f>
        <v>0</v>
      </c>
      <c r="Q48" s="493">
        <f>SUM(SUMIF('Diags Raw Data'!$A$6:$A$3690,"*"&amp;$A48&amp;"*",'Diags Raw Data'!$AA$6:$AA$3690),SUMIF('Diags Raw Data'!$A$6:$A$3690,"*"&amp;$A48&amp;"*",'Diags Raw Data'!$AB$6:$AB$3690))</f>
        <v>0</v>
      </c>
      <c r="R48" s="494">
        <f t="shared" si="3"/>
        <v>0</v>
      </c>
      <c r="S48" s="494">
        <f t="shared" si="4"/>
        <v>0</v>
      </c>
      <c r="T48" s="495">
        <f t="shared" si="5"/>
        <v>0</v>
      </c>
      <c r="U48" s="436" t="e">
        <f>VLOOKUP(A48,'Diags Raw Data'!$A$6:$AH$3690,33,FALSE)</f>
        <v>#N/A</v>
      </c>
      <c r="V48" s="181"/>
    </row>
    <row r="49" spans="1:22" ht="45.75" thickBot="1" x14ac:dyDescent="0.3">
      <c r="A49" s="549">
        <v>12.062999999999965</v>
      </c>
      <c r="B49" s="438" t="str">
        <f>VLOOKUP(A49,'Feature Raw Data'!$A$3:$B$3922,2,FALSE)</f>
        <v xml:space="preserve">Shader Illegal Instruction Detection </v>
      </c>
      <c r="C49" s="439" t="str">
        <f>VLOOKUP(A49,'Feature Raw Data'!$A$3:$C$3922,3,FALSE)</f>
        <v>P2</v>
      </c>
      <c r="D49" s="440" t="str" cm="1">
        <f t="array" ref="D49">_xlfn.TEXTJOIN("",TRUE,IF(ISNUMBER(SEARCH($A49,'Diags Raw Data'!$A$6:$A$3690)),CONCATENATE('Diags Raw Data'!$H$6:$H$3690,", "),""))</f>
        <v/>
      </c>
      <c r="E49" s="340" t="e">
        <f>VLOOKUP(A49,'Diags Raw Data'!$A$6:$D$3690,4,FALSE)</f>
        <v>#N/A</v>
      </c>
      <c r="F49" s="340" t="str">
        <f>VLOOKUP(A49,'Feature Raw Data'!$A$3:$E$3922,5,FALSE)</f>
        <v>Delta</v>
      </c>
      <c r="G49" s="340" t="str">
        <f t="shared" si="0"/>
        <v>Yes</v>
      </c>
      <c r="H49" s="340" t="str">
        <f t="shared" si="1"/>
        <v>Yes</v>
      </c>
      <c r="I49" s="439">
        <f>SUMIF('Diags Raw Data'!$A$6:$A$3690,"*"&amp;$A49&amp;"*",'Diags Raw Data'!$K$6:$K$3690)</f>
        <v>0</v>
      </c>
      <c r="J49" s="441">
        <f>SUMIF('Diags Raw Data'!$A$6:$A$3690,"*"&amp;$A49&amp;"*",'Diags Raw Data'!$L$6:$L$3690)</f>
        <v>0</v>
      </c>
      <c r="K49" s="487" cm="1">
        <f t="array" ref="K49">IF(D49="",0, SUMPRODUCT(--(ISNUMBER(SEARCH($A49,'Diags Raw Data'!$A$6:$A$3690))),'Diags Raw Data'!$L$6:$L$3690,'Diags Raw Data'!$N$6:$N$3690)/J49)</f>
        <v>0</v>
      </c>
      <c r="L49" s="488" cm="1">
        <f t="array" ref="L49">IF(D49="",0, SUMPRODUCT(--(ISNUMBER(SEARCH($A49,'Diags Raw Data'!$A$6:$A$3690))),'Diags Raw Data'!$L$6:$L$3690,'Diags Raw Data'!$P$6:$P$3690)/J49)</f>
        <v>0</v>
      </c>
      <c r="M49" s="489" cm="1">
        <f t="array" ref="M49">SUMPRODUCT(--(ISNUMBER(SEARCH($A49,'Diags Raw Data'!$A$6:$A$3690))),--('Diags Raw Data'!$Q$6:$Q$3690&lt;&gt;"N/A"),'Diags Raw Data'!$R$6:$R$3690)</f>
        <v>0</v>
      </c>
      <c r="N49" s="490" cm="1">
        <f t="array" ref="N49">SUMPRODUCT(--(ISNUMBER(SEARCH($A49,'Diags Raw Data'!$A$6:$A$3690))),--('Diags Raw Data'!$Q$6:$Q$3690&lt;&gt;"N/A"),'Diags Raw Data'!$T$6:$T$3690)+SUMPRODUCT(--(ISNUMBER(SEARCH($A49,'Diags Raw Data'!$A$6:$A$3690))),--('Diags Raw Data'!$Q$6:$Q$3690&lt;&gt;"N/A"),'Diags Raw Data'!$U$6:$U$3690)</f>
        <v>0</v>
      </c>
      <c r="O49" s="491">
        <f t="shared" si="2"/>
        <v>0</v>
      </c>
      <c r="P49" s="492">
        <f>SUMIF('Diags Raw Data'!$A$6:$A$3690,"*"&amp;$A49&amp;"*",'Diags Raw Data'!$Z$6:$Z$3690)</f>
        <v>0</v>
      </c>
      <c r="Q49" s="493">
        <f>SUM(SUMIF('Diags Raw Data'!$A$6:$A$3690,"*"&amp;$A49&amp;"*",'Diags Raw Data'!$AA$6:$AA$3690),SUMIF('Diags Raw Data'!$A$6:$A$3690,"*"&amp;$A49&amp;"*",'Diags Raw Data'!$AB$6:$AB$3690))</f>
        <v>0</v>
      </c>
      <c r="R49" s="494">
        <f t="shared" si="3"/>
        <v>0</v>
      </c>
      <c r="S49" s="494">
        <f t="shared" si="4"/>
        <v>0</v>
      </c>
      <c r="T49" s="495">
        <f t="shared" si="5"/>
        <v>0</v>
      </c>
      <c r="U49" s="436" t="e">
        <f>VLOOKUP(A49,'Diags Raw Data'!$A$6:$AH$3690,33,FALSE)</f>
        <v>#N/A</v>
      </c>
      <c r="V49" s="181"/>
    </row>
    <row r="50" spans="1:22" ht="45.75" thickBot="1" x14ac:dyDescent="0.3">
      <c r="A50" s="549">
        <v>12.063999999999965</v>
      </c>
      <c r="B50" s="438" t="str">
        <f>VLOOKUP(A50,'Feature Raw Data'!$A$3:$B$3922,2,FALSE)</f>
        <v xml:space="preserve">Support PERMUTE/BPERMUTE for wave64 </v>
      </c>
      <c r="C50" s="439" t="str">
        <f>VLOOKUP(A50,'Feature Raw Data'!$A$3:$C$3922,3,FALSE)</f>
        <v>P2</v>
      </c>
      <c r="D50" s="440" t="str" cm="1">
        <f t="array" ref="D50">_xlfn.TEXTJOIN("",TRUE,IF(ISNUMBER(SEARCH($A50,'Diags Raw Data'!$A$6:$A$3690)),CONCATENATE('Diags Raw Data'!$H$6:$H$3690,", "),""))</f>
        <v/>
      </c>
      <c r="E50" s="340" t="e">
        <f>VLOOKUP(A50,'Diags Raw Data'!$A$6:$D$3690,4,FALSE)</f>
        <v>#N/A</v>
      </c>
      <c r="F50" s="340" t="str">
        <f>VLOOKUP(A50,'Feature Raw Data'!$A$3:$E$3922,5,FALSE)</f>
        <v>Delta</v>
      </c>
      <c r="G50" s="340" t="str">
        <f t="shared" si="0"/>
        <v>Yes</v>
      </c>
      <c r="H50" s="340" t="str">
        <f t="shared" si="1"/>
        <v>Yes</v>
      </c>
      <c r="I50" s="439">
        <f>SUMIF('Diags Raw Data'!$A$6:$A$3690,"*"&amp;$A50&amp;"*",'Diags Raw Data'!$K$6:$K$3690)</f>
        <v>0</v>
      </c>
      <c r="J50" s="441">
        <f>SUMIF('Diags Raw Data'!$A$6:$A$3690,"*"&amp;$A50&amp;"*",'Diags Raw Data'!$L$6:$L$3690)</f>
        <v>0</v>
      </c>
      <c r="K50" s="487" cm="1">
        <f t="array" ref="K50">IF(D50="",0, SUMPRODUCT(--(ISNUMBER(SEARCH($A50,'Diags Raw Data'!$A$6:$A$3690))),'Diags Raw Data'!$L$6:$L$3690,'Diags Raw Data'!$N$6:$N$3690)/J50)</f>
        <v>0</v>
      </c>
      <c r="L50" s="488" cm="1">
        <f t="array" ref="L50">IF(D50="",0, SUMPRODUCT(--(ISNUMBER(SEARCH($A50,'Diags Raw Data'!$A$6:$A$3690))),'Diags Raw Data'!$L$6:$L$3690,'Diags Raw Data'!$P$6:$P$3690)/J50)</f>
        <v>0</v>
      </c>
      <c r="M50" s="489" cm="1">
        <f t="array" ref="M50">SUMPRODUCT(--(ISNUMBER(SEARCH($A50,'Diags Raw Data'!$A$6:$A$3690))),--('Diags Raw Data'!$Q$6:$Q$3690&lt;&gt;"N/A"),'Diags Raw Data'!$R$6:$R$3690)</f>
        <v>0</v>
      </c>
      <c r="N50" s="490" cm="1">
        <f t="array" ref="N50">SUMPRODUCT(--(ISNUMBER(SEARCH($A50,'Diags Raw Data'!$A$6:$A$3690))),--('Diags Raw Data'!$Q$6:$Q$3690&lt;&gt;"N/A"),'Diags Raw Data'!$T$6:$T$3690)+SUMPRODUCT(--(ISNUMBER(SEARCH($A50,'Diags Raw Data'!$A$6:$A$3690))),--('Diags Raw Data'!$Q$6:$Q$3690&lt;&gt;"N/A"),'Diags Raw Data'!$U$6:$U$3690)</f>
        <v>0</v>
      </c>
      <c r="O50" s="491">
        <f t="shared" si="2"/>
        <v>0</v>
      </c>
      <c r="P50" s="492">
        <f>SUMIF('Diags Raw Data'!$A$6:$A$3690,"*"&amp;$A50&amp;"*",'Diags Raw Data'!$Z$6:$Z$3690)</f>
        <v>0</v>
      </c>
      <c r="Q50" s="493">
        <f>SUM(SUMIF('Diags Raw Data'!$A$6:$A$3690,"*"&amp;$A50&amp;"*",'Diags Raw Data'!$AA$6:$AA$3690),SUMIF('Diags Raw Data'!$A$6:$A$3690,"*"&amp;$A50&amp;"*",'Diags Raw Data'!$AB$6:$AB$3690))</f>
        <v>0</v>
      </c>
      <c r="R50" s="494">
        <f t="shared" si="3"/>
        <v>0</v>
      </c>
      <c r="S50" s="494">
        <f t="shared" si="4"/>
        <v>0</v>
      </c>
      <c r="T50" s="495">
        <f t="shared" si="5"/>
        <v>0</v>
      </c>
      <c r="U50" s="436" t="e">
        <f>VLOOKUP(A50,'Diags Raw Data'!$A$6:$AH$3690,33,FALSE)</f>
        <v>#N/A</v>
      </c>
      <c r="V50" s="181"/>
    </row>
    <row r="51" spans="1:22" ht="75.75" thickBot="1" x14ac:dyDescent="0.3">
      <c r="A51" s="549">
        <v>12.064999999999964</v>
      </c>
      <c r="B51" s="438" t="str">
        <f>VLOOKUP(A51,'Feature Raw Data'!$A$3:$B$3922,2,FALSE)</f>
        <v xml:space="preserve">Shader VALU Improvements </v>
      </c>
      <c r="C51" s="439" t="str">
        <f>VLOOKUP(A51,'Feature Raw Data'!$A$3:$C$3922,3,FALSE)</f>
        <v>P1</v>
      </c>
      <c r="D51" s="440" t="str" cm="1">
        <f t="array" ref="D51">_xlfn.TEXTJOIN("",TRUE,IF(ISNUMBER(SEARCH($A51,'Diags Raw Data'!$A$6:$A$3690)),CONCATENATE('Diags Raw Data'!$H$6:$H$3690,", "),""))</f>
        <v/>
      </c>
      <c r="E51" s="340" t="e">
        <f>VLOOKUP(A51,'Diags Raw Data'!$A$6:$D$3690,4,FALSE)</f>
        <v>#N/A</v>
      </c>
      <c r="F51" s="340" t="str">
        <f>VLOOKUP(A51,'Feature Raw Data'!$A$3:$E$3922,5,FALSE)</f>
        <v>Delta</v>
      </c>
      <c r="G51" s="340" t="str">
        <f t="shared" si="0"/>
        <v>Yes</v>
      </c>
      <c r="H51" s="340" t="str">
        <f t="shared" si="1"/>
        <v>Yes</v>
      </c>
      <c r="I51" s="439">
        <f>SUMIF('Diags Raw Data'!$A$6:$A$3690,"*"&amp;$A51&amp;"*",'Diags Raw Data'!$K$6:$K$3690)</f>
        <v>0</v>
      </c>
      <c r="J51" s="441">
        <f>SUMIF('Diags Raw Data'!$A$6:$A$3690,"*"&amp;$A51&amp;"*",'Diags Raw Data'!$L$6:$L$3690)</f>
        <v>0</v>
      </c>
      <c r="K51" s="487" cm="1">
        <f t="array" ref="K51">IF(D51="",0, SUMPRODUCT(--(ISNUMBER(SEARCH($A51,'Diags Raw Data'!$A$6:$A$3690))),'Diags Raw Data'!$L$6:$L$3690,'Diags Raw Data'!$N$6:$N$3690)/J51)</f>
        <v>0</v>
      </c>
      <c r="L51" s="488" cm="1">
        <f t="array" ref="L51">IF(D51="",0, SUMPRODUCT(--(ISNUMBER(SEARCH($A51,'Diags Raw Data'!$A$6:$A$3690))),'Diags Raw Data'!$L$6:$L$3690,'Diags Raw Data'!$P$6:$P$3690)/J51)</f>
        <v>0</v>
      </c>
      <c r="M51" s="489" cm="1">
        <f t="array" ref="M51">SUMPRODUCT(--(ISNUMBER(SEARCH($A51,'Diags Raw Data'!$A$6:$A$3690))),--('Diags Raw Data'!$Q$6:$Q$3690&lt;&gt;"N/A"),'Diags Raw Data'!$R$6:$R$3690)</f>
        <v>0</v>
      </c>
      <c r="N51" s="490" cm="1">
        <f t="array" ref="N51">SUMPRODUCT(--(ISNUMBER(SEARCH($A51,'Diags Raw Data'!$A$6:$A$3690))),--('Diags Raw Data'!$Q$6:$Q$3690&lt;&gt;"N/A"),'Diags Raw Data'!$T$6:$T$3690)+SUMPRODUCT(--(ISNUMBER(SEARCH($A51,'Diags Raw Data'!$A$6:$A$3690))),--('Diags Raw Data'!$Q$6:$Q$3690&lt;&gt;"N/A"),'Diags Raw Data'!$U$6:$U$3690)</f>
        <v>0</v>
      </c>
      <c r="O51" s="491">
        <f t="shared" si="2"/>
        <v>0</v>
      </c>
      <c r="P51" s="492">
        <f>SUMIF('Diags Raw Data'!$A$6:$A$3690,"*"&amp;$A51&amp;"*",'Diags Raw Data'!$Z$6:$Z$3690)</f>
        <v>0</v>
      </c>
      <c r="Q51" s="493">
        <f>SUM(SUMIF('Diags Raw Data'!$A$6:$A$3690,"*"&amp;$A51&amp;"*",'Diags Raw Data'!$AA$6:$AA$3690),SUMIF('Diags Raw Data'!$A$6:$A$3690,"*"&amp;$A51&amp;"*",'Diags Raw Data'!$AB$6:$AB$3690))</f>
        <v>0</v>
      </c>
      <c r="R51" s="494">
        <f t="shared" si="3"/>
        <v>0</v>
      </c>
      <c r="S51" s="494">
        <f t="shared" si="4"/>
        <v>0</v>
      </c>
      <c r="T51" s="495">
        <f t="shared" si="5"/>
        <v>0</v>
      </c>
      <c r="U51" s="436" t="e">
        <f>VLOOKUP(A51,'Diags Raw Data'!$A$6:$AH$3690,33,FALSE)</f>
        <v>#N/A</v>
      </c>
      <c r="V51" s="181"/>
    </row>
    <row r="52" spans="1:22" ht="15.75" thickBot="1" x14ac:dyDescent="0.3">
      <c r="A52" s="549">
        <v>12.065999999999963</v>
      </c>
      <c r="B52" s="438" t="str">
        <f>VLOOKUP(A52,'Feature Raw Data'!$A$3:$B$3922,2,FALSE)</f>
        <v xml:space="preserve">Shader Scalar Improvements </v>
      </c>
      <c r="C52" s="439" t="str">
        <f>VLOOKUP(A52,'Feature Raw Data'!$A$3:$C$3922,3,FALSE)</f>
        <v>P2</v>
      </c>
      <c r="D52" s="440" t="str" cm="1">
        <f t="array" ref="D52">_xlfn.TEXTJOIN("",TRUE,IF(ISNUMBER(SEARCH($A52,'Diags Raw Data'!$A$6:$A$3690)),CONCATENATE('Diags Raw Data'!$H$6:$H$3690,", "),""))</f>
        <v/>
      </c>
      <c r="E52" s="340" t="e">
        <f>VLOOKUP(A52,'Diags Raw Data'!$A$6:$D$3690,4,FALSE)</f>
        <v>#N/A</v>
      </c>
      <c r="F52" s="340" t="str">
        <f>VLOOKUP(A52,'Feature Raw Data'!$A$3:$E$3922,5,FALSE)</f>
        <v>Delta</v>
      </c>
      <c r="G52" s="340" t="str">
        <f t="shared" si="0"/>
        <v>Yes</v>
      </c>
      <c r="H52" s="340" t="str">
        <f t="shared" si="1"/>
        <v>Yes</v>
      </c>
      <c r="I52" s="439">
        <f>SUMIF('Diags Raw Data'!$A$6:$A$3690,"*"&amp;$A52&amp;"*",'Diags Raw Data'!$K$6:$K$3690)</f>
        <v>0</v>
      </c>
      <c r="J52" s="441">
        <f>SUMIF('Diags Raw Data'!$A$6:$A$3690,"*"&amp;$A52&amp;"*",'Diags Raw Data'!$L$6:$L$3690)</f>
        <v>0</v>
      </c>
      <c r="K52" s="487" cm="1">
        <f t="array" ref="K52">IF(D52="",0, SUMPRODUCT(--(ISNUMBER(SEARCH($A52,'Diags Raw Data'!$A$6:$A$3690))),'Diags Raw Data'!$L$6:$L$3690,'Diags Raw Data'!$N$6:$N$3690)/J52)</f>
        <v>0</v>
      </c>
      <c r="L52" s="488" cm="1">
        <f t="array" ref="L52">IF(D52="",0, SUMPRODUCT(--(ISNUMBER(SEARCH($A52,'Diags Raw Data'!$A$6:$A$3690))),'Diags Raw Data'!$L$6:$L$3690,'Diags Raw Data'!$P$6:$P$3690)/J52)</f>
        <v>0</v>
      </c>
      <c r="M52" s="489" cm="1">
        <f t="array" ref="M52">SUMPRODUCT(--(ISNUMBER(SEARCH($A52,'Diags Raw Data'!$A$6:$A$3690))),--('Diags Raw Data'!$Q$6:$Q$3690&lt;&gt;"N/A"),'Diags Raw Data'!$R$6:$R$3690)</f>
        <v>0</v>
      </c>
      <c r="N52" s="490" cm="1">
        <f t="array" ref="N52">SUMPRODUCT(--(ISNUMBER(SEARCH($A52,'Diags Raw Data'!$A$6:$A$3690))),--('Diags Raw Data'!$Q$6:$Q$3690&lt;&gt;"N/A"),'Diags Raw Data'!$T$6:$T$3690)+SUMPRODUCT(--(ISNUMBER(SEARCH($A52,'Diags Raw Data'!$A$6:$A$3690))),--('Diags Raw Data'!$Q$6:$Q$3690&lt;&gt;"N/A"),'Diags Raw Data'!$U$6:$U$3690)</f>
        <v>0</v>
      </c>
      <c r="O52" s="491">
        <f t="shared" si="2"/>
        <v>0</v>
      </c>
      <c r="P52" s="492">
        <f>SUMIF('Diags Raw Data'!$A$6:$A$3690,"*"&amp;$A52&amp;"*",'Diags Raw Data'!$Z$6:$Z$3690)</f>
        <v>0</v>
      </c>
      <c r="Q52" s="493">
        <f>SUM(SUMIF('Diags Raw Data'!$A$6:$A$3690,"*"&amp;$A52&amp;"*",'Diags Raw Data'!$AA$6:$AA$3690),SUMIF('Diags Raw Data'!$A$6:$A$3690,"*"&amp;$A52&amp;"*",'Diags Raw Data'!$AB$6:$AB$3690))</f>
        <v>0</v>
      </c>
      <c r="R52" s="494">
        <f t="shared" si="3"/>
        <v>0</v>
      </c>
      <c r="S52" s="494">
        <f t="shared" si="4"/>
        <v>0</v>
      </c>
      <c r="T52" s="495">
        <f t="shared" si="5"/>
        <v>0</v>
      </c>
      <c r="U52" s="436" t="e">
        <f>VLOOKUP(A52,'Diags Raw Data'!$A$6:$AH$3690,33,FALSE)</f>
        <v>#N/A</v>
      </c>
      <c r="V52" s="181"/>
    </row>
    <row r="53" spans="1:22" ht="15.75" thickBot="1" x14ac:dyDescent="0.3">
      <c r="A53" s="549">
        <v>12.066999999999963</v>
      </c>
      <c r="B53" s="438" t="str">
        <f>VLOOKUP(A53,'Feature Raw Data'!$A$3:$B$3922,2,FALSE)</f>
        <v xml:space="preserve">Fix SQG GRBM design </v>
      </c>
      <c r="C53" s="439" t="str">
        <f>VLOOKUP(A53,'Feature Raw Data'!$A$3:$C$3922,3,FALSE)</f>
        <v>P1</v>
      </c>
      <c r="D53" s="440" t="str" cm="1">
        <f t="array" ref="D53">_xlfn.TEXTJOIN("",TRUE,IF(ISNUMBER(SEARCH($A53,'Diags Raw Data'!$A$6:$A$3690)),CONCATENATE('Diags Raw Data'!$H$6:$H$3690,", "),""))</f>
        <v/>
      </c>
      <c r="E53" s="340" t="e">
        <f>VLOOKUP(A53,'Diags Raw Data'!$A$6:$D$3690,4,FALSE)</f>
        <v>#N/A</v>
      </c>
      <c r="F53" s="340" t="str">
        <f>VLOOKUP(A53,'Feature Raw Data'!$A$3:$E$3922,5,FALSE)</f>
        <v>Delta</v>
      </c>
      <c r="G53" s="340" t="str">
        <f t="shared" si="0"/>
        <v>Yes</v>
      </c>
      <c r="H53" s="340" t="str">
        <f t="shared" si="1"/>
        <v>Yes</v>
      </c>
      <c r="I53" s="439">
        <f>SUMIF('Diags Raw Data'!$A$6:$A$3690,"*"&amp;$A53&amp;"*",'Diags Raw Data'!$K$6:$K$3690)</f>
        <v>0</v>
      </c>
      <c r="J53" s="441">
        <f>SUMIF('Diags Raw Data'!$A$6:$A$3690,"*"&amp;$A53&amp;"*",'Diags Raw Data'!$L$6:$L$3690)</f>
        <v>0</v>
      </c>
      <c r="K53" s="487" cm="1">
        <f t="array" ref="K53">IF(D53="",0, SUMPRODUCT(--(ISNUMBER(SEARCH($A53,'Diags Raw Data'!$A$6:$A$3690))),'Diags Raw Data'!$L$6:$L$3690,'Diags Raw Data'!$N$6:$N$3690)/J53)</f>
        <v>0</v>
      </c>
      <c r="L53" s="488" cm="1">
        <f t="array" ref="L53">IF(D53="",0, SUMPRODUCT(--(ISNUMBER(SEARCH($A53,'Diags Raw Data'!$A$6:$A$3690))),'Diags Raw Data'!$L$6:$L$3690,'Diags Raw Data'!$P$6:$P$3690)/J53)</f>
        <v>0</v>
      </c>
      <c r="M53" s="489" cm="1">
        <f t="array" ref="M53">SUMPRODUCT(--(ISNUMBER(SEARCH($A53,'Diags Raw Data'!$A$6:$A$3690))),--('Diags Raw Data'!$Q$6:$Q$3690&lt;&gt;"N/A"),'Diags Raw Data'!$R$6:$R$3690)</f>
        <v>0</v>
      </c>
      <c r="N53" s="490" cm="1">
        <f t="array" ref="N53">SUMPRODUCT(--(ISNUMBER(SEARCH($A53,'Diags Raw Data'!$A$6:$A$3690))),--('Diags Raw Data'!$Q$6:$Q$3690&lt;&gt;"N/A"),'Diags Raw Data'!$T$6:$T$3690)+SUMPRODUCT(--(ISNUMBER(SEARCH($A53,'Diags Raw Data'!$A$6:$A$3690))),--('Diags Raw Data'!$Q$6:$Q$3690&lt;&gt;"N/A"),'Diags Raw Data'!$U$6:$U$3690)</f>
        <v>0</v>
      </c>
      <c r="O53" s="491">
        <f t="shared" si="2"/>
        <v>0</v>
      </c>
      <c r="P53" s="492">
        <f>SUMIF('Diags Raw Data'!$A$6:$A$3690,"*"&amp;$A53&amp;"*",'Diags Raw Data'!$Z$6:$Z$3690)</f>
        <v>0</v>
      </c>
      <c r="Q53" s="493">
        <f>SUM(SUMIF('Diags Raw Data'!$A$6:$A$3690,"*"&amp;$A53&amp;"*",'Diags Raw Data'!$AA$6:$AA$3690),SUMIF('Diags Raw Data'!$A$6:$A$3690,"*"&amp;$A53&amp;"*",'Diags Raw Data'!$AB$6:$AB$3690))</f>
        <v>0</v>
      </c>
      <c r="R53" s="494">
        <f t="shared" si="3"/>
        <v>0</v>
      </c>
      <c r="S53" s="494">
        <f t="shared" si="4"/>
        <v>0</v>
      </c>
      <c r="T53" s="495">
        <f t="shared" si="5"/>
        <v>0</v>
      </c>
      <c r="U53" s="436" t="e">
        <f>VLOOKUP(A53,'Diags Raw Data'!$A$6:$AH$3690,33,FALSE)</f>
        <v>#N/A</v>
      </c>
      <c r="V53" s="181"/>
    </row>
    <row r="54" spans="1:22" ht="30.75" thickBot="1" x14ac:dyDescent="0.3">
      <c r="A54" s="549">
        <v>12.067999999999962</v>
      </c>
      <c r="B54" s="438" t="str">
        <f>VLOOKUP(A54,'Feature Raw Data'!$A$3:$B$3922,2,FALSE)</f>
        <v>SQC Latency reduction (inherit approach from mi300)</v>
      </c>
      <c r="C54" s="439" t="str">
        <f>VLOOKUP(A54,'Feature Raw Data'!$A$3:$C$3922,3,FALSE)</f>
        <v>P1</v>
      </c>
      <c r="D54" s="440" t="str" cm="1">
        <f t="array" ref="D54">_xlfn.TEXTJOIN("",TRUE,IF(ISNUMBER(SEARCH($A54,'Diags Raw Data'!$A$6:$A$3690)),CONCATENATE('Diags Raw Data'!$H$6:$H$3690,", "),""))</f>
        <v/>
      </c>
      <c r="E54" s="340" t="e">
        <f>VLOOKUP(A54,'Diags Raw Data'!$A$6:$D$3690,4,FALSE)</f>
        <v>#N/A</v>
      </c>
      <c r="F54" s="340" t="str">
        <f>VLOOKUP(A54,'Feature Raw Data'!$A$3:$E$3922,5,FALSE)</f>
        <v>Legacy</v>
      </c>
      <c r="G54" s="340" t="str">
        <f t="shared" si="0"/>
        <v>Yes</v>
      </c>
      <c r="H54" s="340" t="str">
        <f t="shared" si="1"/>
        <v>Yes</v>
      </c>
      <c r="I54" s="439">
        <f>SUMIF('Diags Raw Data'!$A$6:$A$3690,"*"&amp;$A54&amp;"*",'Diags Raw Data'!$K$6:$K$3690)</f>
        <v>0</v>
      </c>
      <c r="J54" s="441">
        <f>SUMIF('Diags Raw Data'!$A$6:$A$3690,"*"&amp;$A54&amp;"*",'Diags Raw Data'!$L$6:$L$3690)</f>
        <v>0</v>
      </c>
      <c r="K54" s="487" cm="1">
        <f t="array" ref="K54">IF(D54="",0, SUMPRODUCT(--(ISNUMBER(SEARCH($A54,'Diags Raw Data'!$A$6:$A$3690))),'Diags Raw Data'!$L$6:$L$3690,'Diags Raw Data'!$N$6:$N$3690)/J54)</f>
        <v>0</v>
      </c>
      <c r="L54" s="488" cm="1">
        <f t="array" ref="L54">IF(D54="",0, SUMPRODUCT(--(ISNUMBER(SEARCH($A54,'Diags Raw Data'!$A$6:$A$3690))),'Diags Raw Data'!$L$6:$L$3690,'Diags Raw Data'!$P$6:$P$3690)/J54)</f>
        <v>0</v>
      </c>
      <c r="M54" s="489" cm="1">
        <f t="array" ref="M54">SUMPRODUCT(--(ISNUMBER(SEARCH($A54,'Diags Raw Data'!$A$6:$A$3690))),--('Diags Raw Data'!$Q$6:$Q$3690&lt;&gt;"N/A"),'Diags Raw Data'!$R$6:$R$3690)</f>
        <v>0</v>
      </c>
      <c r="N54" s="490" cm="1">
        <f t="array" ref="N54">SUMPRODUCT(--(ISNUMBER(SEARCH($A54,'Diags Raw Data'!$A$6:$A$3690))),--('Diags Raw Data'!$Q$6:$Q$3690&lt;&gt;"N/A"),'Diags Raw Data'!$T$6:$T$3690)+SUMPRODUCT(--(ISNUMBER(SEARCH($A54,'Diags Raw Data'!$A$6:$A$3690))),--('Diags Raw Data'!$Q$6:$Q$3690&lt;&gt;"N/A"),'Diags Raw Data'!$U$6:$U$3690)</f>
        <v>0</v>
      </c>
      <c r="O54" s="491">
        <f t="shared" si="2"/>
        <v>0</v>
      </c>
      <c r="P54" s="492">
        <f>SUMIF('Diags Raw Data'!$A$6:$A$3690,"*"&amp;$A54&amp;"*",'Diags Raw Data'!$Z$6:$Z$3690)</f>
        <v>0</v>
      </c>
      <c r="Q54" s="493">
        <f>SUM(SUMIF('Diags Raw Data'!$A$6:$A$3690,"*"&amp;$A54&amp;"*",'Diags Raw Data'!$AA$6:$AA$3690),SUMIF('Diags Raw Data'!$A$6:$A$3690,"*"&amp;$A54&amp;"*",'Diags Raw Data'!$AB$6:$AB$3690))</f>
        <v>0</v>
      </c>
      <c r="R54" s="494">
        <f t="shared" si="3"/>
        <v>0</v>
      </c>
      <c r="S54" s="494">
        <f t="shared" si="4"/>
        <v>0</v>
      </c>
      <c r="T54" s="495">
        <f t="shared" si="5"/>
        <v>0</v>
      </c>
      <c r="U54" s="436" t="e">
        <f>VLOOKUP(A54,'Diags Raw Data'!$A$6:$AH$3690,33,FALSE)</f>
        <v>#N/A</v>
      </c>
      <c r="V54" s="181"/>
    </row>
    <row r="55" spans="1:22" ht="15.75" thickBot="1" x14ac:dyDescent="0.3">
      <c r="A55" s="549">
        <v>12.068999999999962</v>
      </c>
      <c r="B55" s="438" t="str">
        <f>VLOOKUP(A55,'Feature Raw Data'!$A$3:$B$3922,2,FALSE)</f>
        <v xml:space="preserve">WGP-takeover mode </v>
      </c>
      <c r="C55" s="439" t="str">
        <f>VLOOKUP(A55,'Feature Raw Data'!$A$3:$C$3922,3,FALSE)</f>
        <v>P1</v>
      </c>
      <c r="D55" s="440" t="str" cm="1">
        <f t="array" ref="D55">_xlfn.TEXTJOIN("",TRUE,IF(ISNUMBER(SEARCH($A55,'Diags Raw Data'!$A$6:$A$3690)),CONCATENATE('Diags Raw Data'!$H$6:$H$3690,", "),""))</f>
        <v/>
      </c>
      <c r="E55" s="340" t="e">
        <f>VLOOKUP(A55,'Diags Raw Data'!$A$6:$D$3690,4,FALSE)</f>
        <v>#N/A</v>
      </c>
      <c r="F55" s="340" t="str">
        <f>VLOOKUP(A55,'Feature Raw Data'!$A$3:$E$3922,5,FALSE)</f>
        <v>New</v>
      </c>
      <c r="G55" s="340" t="str">
        <f t="shared" si="0"/>
        <v>Yes</v>
      </c>
      <c r="H55" s="340" t="str">
        <f t="shared" si="1"/>
        <v>Yes</v>
      </c>
      <c r="I55" s="439">
        <f>SUMIF('Diags Raw Data'!$A$6:$A$3690,"*"&amp;$A55&amp;"*",'Diags Raw Data'!$K$6:$K$3690)</f>
        <v>0</v>
      </c>
      <c r="J55" s="441">
        <f>SUMIF('Diags Raw Data'!$A$6:$A$3690,"*"&amp;$A55&amp;"*",'Diags Raw Data'!$L$6:$L$3690)</f>
        <v>0</v>
      </c>
      <c r="K55" s="487" cm="1">
        <f t="array" ref="K55">IF(D55="",0, SUMPRODUCT(--(ISNUMBER(SEARCH($A55,'Diags Raw Data'!$A$6:$A$3690))),'Diags Raw Data'!$L$6:$L$3690,'Diags Raw Data'!$N$6:$N$3690)/J55)</f>
        <v>0</v>
      </c>
      <c r="L55" s="488" cm="1">
        <f t="array" ref="L55">IF(D55="",0, SUMPRODUCT(--(ISNUMBER(SEARCH($A55,'Diags Raw Data'!$A$6:$A$3690))),'Diags Raw Data'!$L$6:$L$3690,'Diags Raw Data'!$P$6:$P$3690)/J55)</f>
        <v>0</v>
      </c>
      <c r="M55" s="489" cm="1">
        <f t="array" ref="M55">SUMPRODUCT(--(ISNUMBER(SEARCH($A55,'Diags Raw Data'!$A$6:$A$3690))),--('Diags Raw Data'!$Q$6:$Q$3690&lt;&gt;"N/A"),'Diags Raw Data'!$R$6:$R$3690)</f>
        <v>0</v>
      </c>
      <c r="N55" s="490" cm="1">
        <f t="array" ref="N55">SUMPRODUCT(--(ISNUMBER(SEARCH($A55,'Diags Raw Data'!$A$6:$A$3690))),--('Diags Raw Data'!$Q$6:$Q$3690&lt;&gt;"N/A"),'Diags Raw Data'!$T$6:$T$3690)+SUMPRODUCT(--(ISNUMBER(SEARCH($A55,'Diags Raw Data'!$A$6:$A$3690))),--('Diags Raw Data'!$Q$6:$Q$3690&lt;&gt;"N/A"),'Diags Raw Data'!$U$6:$U$3690)</f>
        <v>0</v>
      </c>
      <c r="O55" s="491">
        <f t="shared" si="2"/>
        <v>0</v>
      </c>
      <c r="P55" s="492">
        <f>SUMIF('Diags Raw Data'!$A$6:$A$3690,"*"&amp;$A55&amp;"*",'Diags Raw Data'!$Z$6:$Z$3690)</f>
        <v>0</v>
      </c>
      <c r="Q55" s="493">
        <f>SUM(SUMIF('Diags Raw Data'!$A$6:$A$3690,"*"&amp;$A55&amp;"*",'Diags Raw Data'!$AA$6:$AA$3690),SUMIF('Diags Raw Data'!$A$6:$A$3690,"*"&amp;$A55&amp;"*",'Diags Raw Data'!$AB$6:$AB$3690))</f>
        <v>0</v>
      </c>
      <c r="R55" s="494">
        <f t="shared" si="3"/>
        <v>0</v>
      </c>
      <c r="S55" s="494">
        <f t="shared" si="4"/>
        <v>0</v>
      </c>
      <c r="T55" s="495">
        <f t="shared" si="5"/>
        <v>0</v>
      </c>
      <c r="U55" s="436" t="e">
        <f>VLOOKUP(A55,'Diags Raw Data'!$A$6:$AH$3690,33,FALSE)</f>
        <v>#N/A</v>
      </c>
      <c r="V55" s="181"/>
    </row>
    <row r="56" spans="1:22" ht="45.75" thickBot="1" x14ac:dyDescent="0.3">
      <c r="A56" s="549">
        <v>12.070999999999961</v>
      </c>
      <c r="B56" s="438" t="str">
        <f>VLOOKUP(A56,'Feature Raw Data'!$A$3:$B$3922,2,FALSE)</f>
        <v>Shader Instruction Store convert to Cache (likely in M2/gfx11.5)</v>
      </c>
      <c r="C56" s="439" t="str">
        <f>VLOOKUP(A56,'Feature Raw Data'!$A$3:$C$3922,3,FALSE)</f>
        <v>P2</v>
      </c>
      <c r="D56" s="440" t="str" cm="1">
        <f t="array" ref="D56">_xlfn.TEXTJOIN("",TRUE,IF(ISNUMBER(SEARCH($A56,'Diags Raw Data'!$A$6:$A$3690)),CONCATENATE('Diags Raw Data'!$H$6:$H$3690,", "),""))</f>
        <v/>
      </c>
      <c r="E56" s="340" t="e">
        <f>VLOOKUP(A56,'Diags Raw Data'!$A$6:$D$3690,4,FALSE)</f>
        <v>#N/A</v>
      </c>
      <c r="F56" s="340" t="str">
        <f>VLOOKUP(A56,'Feature Raw Data'!$A$3:$E$3922,5,FALSE)</f>
        <v>New</v>
      </c>
      <c r="G56" s="340" t="str">
        <f t="shared" si="0"/>
        <v>Yes</v>
      </c>
      <c r="H56" s="340" t="str">
        <f t="shared" si="1"/>
        <v>Yes</v>
      </c>
      <c r="I56" s="439">
        <f>SUMIF('Diags Raw Data'!$A$6:$A$3690,"*"&amp;$A56&amp;"*",'Diags Raw Data'!$K$6:$K$3690)</f>
        <v>0</v>
      </c>
      <c r="J56" s="441">
        <f>SUMIF('Diags Raw Data'!$A$6:$A$3690,"*"&amp;$A56&amp;"*",'Diags Raw Data'!$L$6:$L$3690)</f>
        <v>0</v>
      </c>
      <c r="K56" s="487" cm="1">
        <f t="array" ref="K56">IF(D56="",0, SUMPRODUCT(--(ISNUMBER(SEARCH($A56,'Diags Raw Data'!$A$6:$A$3690))),'Diags Raw Data'!$L$6:$L$3690,'Diags Raw Data'!$N$6:$N$3690)/J56)</f>
        <v>0</v>
      </c>
      <c r="L56" s="488" cm="1">
        <f t="array" ref="L56">IF(D56="",0, SUMPRODUCT(--(ISNUMBER(SEARCH($A56,'Diags Raw Data'!$A$6:$A$3690))),'Diags Raw Data'!$L$6:$L$3690,'Diags Raw Data'!$P$6:$P$3690)/J56)</f>
        <v>0</v>
      </c>
      <c r="M56" s="489" cm="1">
        <f t="array" ref="M56">SUMPRODUCT(--(ISNUMBER(SEARCH($A56,'Diags Raw Data'!$A$6:$A$3690))),--('Diags Raw Data'!$Q$6:$Q$3690&lt;&gt;"N/A"),'Diags Raw Data'!$R$6:$R$3690)</f>
        <v>0</v>
      </c>
      <c r="N56" s="490" cm="1">
        <f t="array" ref="N56">SUMPRODUCT(--(ISNUMBER(SEARCH($A56,'Diags Raw Data'!$A$6:$A$3690))),--('Diags Raw Data'!$Q$6:$Q$3690&lt;&gt;"N/A"),'Diags Raw Data'!$T$6:$T$3690)+SUMPRODUCT(--(ISNUMBER(SEARCH($A56,'Diags Raw Data'!$A$6:$A$3690))),--('Diags Raw Data'!$Q$6:$Q$3690&lt;&gt;"N/A"),'Diags Raw Data'!$U$6:$U$3690)</f>
        <v>0</v>
      </c>
      <c r="O56" s="491">
        <f t="shared" si="2"/>
        <v>0</v>
      </c>
      <c r="P56" s="492">
        <f>SUMIF('Diags Raw Data'!$A$6:$A$3690,"*"&amp;$A56&amp;"*",'Diags Raw Data'!$Z$6:$Z$3690)</f>
        <v>0</v>
      </c>
      <c r="Q56" s="493">
        <f>SUM(SUMIF('Diags Raw Data'!$A$6:$A$3690,"*"&amp;$A56&amp;"*",'Diags Raw Data'!$AA$6:$AA$3690),SUMIF('Diags Raw Data'!$A$6:$A$3690,"*"&amp;$A56&amp;"*",'Diags Raw Data'!$AB$6:$AB$3690))</f>
        <v>0</v>
      </c>
      <c r="R56" s="494">
        <f t="shared" si="3"/>
        <v>0</v>
      </c>
      <c r="S56" s="494">
        <f t="shared" si="4"/>
        <v>0</v>
      </c>
      <c r="T56" s="495">
        <f t="shared" si="5"/>
        <v>0</v>
      </c>
      <c r="U56" s="436" t="e">
        <f>VLOOKUP(A56,'Diags Raw Data'!$A$6:$AH$3690,33,FALSE)</f>
        <v>#N/A</v>
      </c>
      <c r="V56" s="181"/>
    </row>
    <row r="57" spans="1:22" ht="15.75" thickBot="1" x14ac:dyDescent="0.3">
      <c r="A57" s="549">
        <v>12.07299999999996</v>
      </c>
      <c r="B57" s="438" t="str">
        <f>VLOOKUP(A57,'Feature Raw Data'!$A$3:$B$3922,2,FALSE)</f>
        <v xml:space="preserve">Shader signed memory offsets </v>
      </c>
      <c r="C57" s="439" t="str">
        <f>VLOOKUP(A57,'Feature Raw Data'!$A$3:$C$3922,3,FALSE)</f>
        <v>P2</v>
      </c>
      <c r="D57" s="440" t="str" cm="1">
        <f t="array" ref="D57">_xlfn.TEXTJOIN("",TRUE,IF(ISNUMBER(SEARCH($A57,'Diags Raw Data'!$A$6:$A$3690)),CONCATENATE('Diags Raw Data'!$H$6:$H$3690,", "),""))</f>
        <v/>
      </c>
      <c r="E57" s="340" t="e">
        <f>VLOOKUP(A57,'Diags Raw Data'!$A$6:$D$3690,4,FALSE)</f>
        <v>#N/A</v>
      </c>
      <c r="F57" s="340" t="str">
        <f>VLOOKUP(A57,'Feature Raw Data'!$A$3:$E$3922,5,FALSE)</f>
        <v>New</v>
      </c>
      <c r="G57" s="340" t="str">
        <f t="shared" si="0"/>
        <v>Yes</v>
      </c>
      <c r="H57" s="340" t="str">
        <f t="shared" si="1"/>
        <v>Yes</v>
      </c>
      <c r="I57" s="439">
        <f>SUMIF('Diags Raw Data'!$A$6:$A$3690,"*"&amp;$A57&amp;"*",'Diags Raw Data'!$K$6:$K$3690)</f>
        <v>0</v>
      </c>
      <c r="J57" s="441">
        <f>SUMIF('Diags Raw Data'!$A$6:$A$3690,"*"&amp;$A57&amp;"*",'Diags Raw Data'!$L$6:$L$3690)</f>
        <v>0</v>
      </c>
      <c r="K57" s="487" cm="1">
        <f t="array" ref="K57">IF(D57="",0, SUMPRODUCT(--(ISNUMBER(SEARCH($A57,'Diags Raw Data'!$A$6:$A$3690))),'Diags Raw Data'!$L$6:$L$3690,'Diags Raw Data'!$N$6:$N$3690)/J57)</f>
        <v>0</v>
      </c>
      <c r="L57" s="488" cm="1">
        <f t="array" ref="L57">IF(D57="",0, SUMPRODUCT(--(ISNUMBER(SEARCH($A57,'Diags Raw Data'!$A$6:$A$3690))),'Diags Raw Data'!$L$6:$L$3690,'Diags Raw Data'!$P$6:$P$3690)/J57)</f>
        <v>0</v>
      </c>
      <c r="M57" s="489" cm="1">
        <f t="array" ref="M57">SUMPRODUCT(--(ISNUMBER(SEARCH($A57,'Diags Raw Data'!$A$6:$A$3690))),--('Diags Raw Data'!$Q$6:$Q$3690&lt;&gt;"N/A"),'Diags Raw Data'!$R$6:$R$3690)</f>
        <v>0</v>
      </c>
      <c r="N57" s="490" cm="1">
        <f t="array" ref="N57">SUMPRODUCT(--(ISNUMBER(SEARCH($A57,'Diags Raw Data'!$A$6:$A$3690))),--('Diags Raw Data'!$Q$6:$Q$3690&lt;&gt;"N/A"),'Diags Raw Data'!$T$6:$T$3690)+SUMPRODUCT(--(ISNUMBER(SEARCH($A57,'Diags Raw Data'!$A$6:$A$3690))),--('Diags Raw Data'!$Q$6:$Q$3690&lt;&gt;"N/A"),'Diags Raw Data'!$U$6:$U$3690)</f>
        <v>0</v>
      </c>
      <c r="O57" s="491">
        <f t="shared" si="2"/>
        <v>0</v>
      </c>
      <c r="P57" s="492">
        <f>SUMIF('Diags Raw Data'!$A$6:$A$3690,"*"&amp;$A57&amp;"*",'Diags Raw Data'!$Z$6:$Z$3690)</f>
        <v>0</v>
      </c>
      <c r="Q57" s="493">
        <f>SUM(SUMIF('Diags Raw Data'!$A$6:$A$3690,"*"&amp;$A57&amp;"*",'Diags Raw Data'!$AA$6:$AA$3690),SUMIF('Diags Raw Data'!$A$6:$A$3690,"*"&amp;$A57&amp;"*",'Diags Raw Data'!$AB$6:$AB$3690))</f>
        <v>0</v>
      </c>
      <c r="R57" s="494">
        <f t="shared" si="3"/>
        <v>0</v>
      </c>
      <c r="S57" s="494">
        <f t="shared" si="4"/>
        <v>0</v>
      </c>
      <c r="T57" s="495">
        <f t="shared" si="5"/>
        <v>0</v>
      </c>
      <c r="U57" s="436" t="e">
        <f>VLOOKUP(A57,'Diags Raw Data'!$A$6:$AH$3690,33,FALSE)</f>
        <v>#N/A</v>
      </c>
      <c r="V57" s="181"/>
    </row>
    <row r="58" spans="1:22" ht="15.75" thickBot="1" x14ac:dyDescent="0.3">
      <c r="A58" s="549">
        <v>12.077999999999957</v>
      </c>
      <c r="B58" s="438" t="str">
        <f>VLOOKUP(A58,'Feature Raw Data'!$A$3:$B$3922,2,FALSE)</f>
        <v xml:space="preserve">Move SQG outside of SPI </v>
      </c>
      <c r="C58" s="439" t="str">
        <f>VLOOKUP(A58,'Feature Raw Data'!$A$3:$C$3922,3,FALSE)</f>
        <v>P1</v>
      </c>
      <c r="D58" s="440" t="str" cm="1">
        <f t="array" ref="D58">_xlfn.TEXTJOIN("",TRUE,IF(ISNUMBER(SEARCH($A58,'Diags Raw Data'!$A$6:$A$3690)),CONCATENATE('Diags Raw Data'!$H$6:$H$3690,", "),""))</f>
        <v/>
      </c>
      <c r="E58" s="340" t="e">
        <f>VLOOKUP(A58,'Diags Raw Data'!$A$6:$D$3690,4,FALSE)</f>
        <v>#N/A</v>
      </c>
      <c r="F58" s="340" t="str">
        <f>VLOOKUP(A58,'Feature Raw Data'!$A$3:$E$3922,5,FALSE)</f>
        <v>New</v>
      </c>
      <c r="G58" s="340" t="str">
        <f t="shared" si="0"/>
        <v>Yes</v>
      </c>
      <c r="H58" s="340" t="str">
        <f t="shared" si="1"/>
        <v>Yes</v>
      </c>
      <c r="I58" s="439">
        <f>SUMIF('Diags Raw Data'!$A$6:$A$3690,"*"&amp;$A58&amp;"*",'Diags Raw Data'!$K$6:$K$3690)</f>
        <v>0</v>
      </c>
      <c r="J58" s="441">
        <f>SUMIF('Diags Raw Data'!$A$6:$A$3690,"*"&amp;$A58&amp;"*",'Diags Raw Data'!$L$6:$L$3690)</f>
        <v>0</v>
      </c>
      <c r="K58" s="487" cm="1">
        <f t="array" ref="K58">IF(D58="",0, SUMPRODUCT(--(ISNUMBER(SEARCH($A58,'Diags Raw Data'!$A$6:$A$3690))),'Diags Raw Data'!$L$6:$L$3690,'Diags Raw Data'!$N$6:$N$3690)/J58)</f>
        <v>0</v>
      </c>
      <c r="L58" s="488" cm="1">
        <f t="array" ref="L58">IF(D58="",0, SUMPRODUCT(--(ISNUMBER(SEARCH($A58,'Diags Raw Data'!$A$6:$A$3690))),'Diags Raw Data'!$L$6:$L$3690,'Diags Raw Data'!$P$6:$P$3690)/J58)</f>
        <v>0</v>
      </c>
      <c r="M58" s="489" cm="1">
        <f t="array" ref="M58">SUMPRODUCT(--(ISNUMBER(SEARCH($A58,'Diags Raw Data'!$A$6:$A$3690))),--('Diags Raw Data'!$Q$6:$Q$3690&lt;&gt;"N/A"),'Diags Raw Data'!$R$6:$R$3690)</f>
        <v>0</v>
      </c>
      <c r="N58" s="490" cm="1">
        <f t="array" ref="N58">SUMPRODUCT(--(ISNUMBER(SEARCH($A58,'Diags Raw Data'!$A$6:$A$3690))),--('Diags Raw Data'!$Q$6:$Q$3690&lt;&gt;"N/A"),'Diags Raw Data'!$T$6:$T$3690)+SUMPRODUCT(--(ISNUMBER(SEARCH($A58,'Diags Raw Data'!$A$6:$A$3690))),--('Diags Raw Data'!$Q$6:$Q$3690&lt;&gt;"N/A"),'Diags Raw Data'!$U$6:$U$3690)</f>
        <v>0</v>
      </c>
      <c r="O58" s="491">
        <f t="shared" si="2"/>
        <v>0</v>
      </c>
      <c r="P58" s="492">
        <f>SUMIF('Diags Raw Data'!$A$6:$A$3690,"*"&amp;$A58&amp;"*",'Diags Raw Data'!$Z$6:$Z$3690)</f>
        <v>0</v>
      </c>
      <c r="Q58" s="493">
        <f>SUM(SUMIF('Diags Raw Data'!$A$6:$A$3690,"*"&amp;$A58&amp;"*",'Diags Raw Data'!$AA$6:$AA$3690),SUMIF('Diags Raw Data'!$A$6:$A$3690,"*"&amp;$A58&amp;"*",'Diags Raw Data'!$AB$6:$AB$3690))</f>
        <v>0</v>
      </c>
      <c r="R58" s="494">
        <f t="shared" si="3"/>
        <v>0</v>
      </c>
      <c r="S58" s="494">
        <f t="shared" si="4"/>
        <v>0</v>
      </c>
      <c r="T58" s="495">
        <f t="shared" si="5"/>
        <v>0</v>
      </c>
      <c r="U58" s="436" t="e">
        <f>VLOOKUP(A58,'Diags Raw Data'!$A$6:$AH$3690,33,FALSE)</f>
        <v>#N/A</v>
      </c>
      <c r="V58" s="181"/>
    </row>
    <row r="59" spans="1:22" ht="15.75" thickBot="1" x14ac:dyDescent="0.3">
      <c r="A59" s="549">
        <v>12.078999999999956</v>
      </c>
      <c r="B59" s="438" t="str">
        <f>VLOOKUP(A59,'Feature Raw Data'!$A$3:$B$3922,2,FALSE)</f>
        <v xml:space="preserve">Dynamic VGPR allocation </v>
      </c>
      <c r="C59" s="439" t="str">
        <f>VLOOKUP(A59,'Feature Raw Data'!$A$3:$C$3922,3,FALSE)</f>
        <v>P1</v>
      </c>
      <c r="D59" s="440" t="str" cm="1">
        <f t="array" ref="D59">_xlfn.TEXTJOIN("",TRUE,IF(ISNUMBER(SEARCH($A59,'Diags Raw Data'!$A$6:$A$3690)),CONCATENATE('Diags Raw Data'!$H$6:$H$3690,", "),""))</f>
        <v/>
      </c>
      <c r="E59" s="340" t="e">
        <f>VLOOKUP(A59,'Diags Raw Data'!$A$6:$D$3690,4,FALSE)</f>
        <v>#N/A</v>
      </c>
      <c r="F59" s="340" t="str">
        <f>VLOOKUP(A59,'Feature Raw Data'!$A$3:$E$3922,5,FALSE)</f>
        <v>New</v>
      </c>
      <c r="G59" s="340" t="str">
        <f t="shared" si="0"/>
        <v>Yes</v>
      </c>
      <c r="H59" s="340" t="str">
        <f t="shared" si="1"/>
        <v>Yes</v>
      </c>
      <c r="I59" s="439">
        <f>SUMIF('Diags Raw Data'!$A$6:$A$3690,"*"&amp;$A59&amp;"*",'Diags Raw Data'!$K$6:$K$3690)</f>
        <v>0</v>
      </c>
      <c r="J59" s="441">
        <f>SUMIF('Diags Raw Data'!$A$6:$A$3690,"*"&amp;$A59&amp;"*",'Diags Raw Data'!$L$6:$L$3690)</f>
        <v>0</v>
      </c>
      <c r="K59" s="487" cm="1">
        <f t="array" ref="K59">IF(D59="",0, SUMPRODUCT(--(ISNUMBER(SEARCH($A59,'Diags Raw Data'!$A$6:$A$3690))),'Diags Raw Data'!$L$6:$L$3690,'Diags Raw Data'!$N$6:$N$3690)/J59)</f>
        <v>0</v>
      </c>
      <c r="L59" s="488" cm="1">
        <f t="array" ref="L59">IF(D59="",0, SUMPRODUCT(--(ISNUMBER(SEARCH($A59,'Diags Raw Data'!$A$6:$A$3690))),'Diags Raw Data'!$L$6:$L$3690,'Diags Raw Data'!$P$6:$P$3690)/J59)</f>
        <v>0</v>
      </c>
      <c r="M59" s="489" cm="1">
        <f t="array" ref="M59">SUMPRODUCT(--(ISNUMBER(SEARCH($A59,'Diags Raw Data'!$A$6:$A$3690))),--('Diags Raw Data'!$Q$6:$Q$3690&lt;&gt;"N/A"),'Diags Raw Data'!$R$6:$R$3690)</f>
        <v>0</v>
      </c>
      <c r="N59" s="490" cm="1">
        <f t="array" ref="N59">SUMPRODUCT(--(ISNUMBER(SEARCH($A59,'Diags Raw Data'!$A$6:$A$3690))),--('Diags Raw Data'!$Q$6:$Q$3690&lt;&gt;"N/A"),'Diags Raw Data'!$T$6:$T$3690)+SUMPRODUCT(--(ISNUMBER(SEARCH($A59,'Diags Raw Data'!$A$6:$A$3690))),--('Diags Raw Data'!$Q$6:$Q$3690&lt;&gt;"N/A"),'Diags Raw Data'!$U$6:$U$3690)</f>
        <v>0</v>
      </c>
      <c r="O59" s="491">
        <f t="shared" si="2"/>
        <v>0</v>
      </c>
      <c r="P59" s="492">
        <f>SUMIF('Diags Raw Data'!$A$6:$A$3690,"*"&amp;$A59&amp;"*",'Diags Raw Data'!$Z$6:$Z$3690)</f>
        <v>0</v>
      </c>
      <c r="Q59" s="493">
        <f>SUM(SUMIF('Diags Raw Data'!$A$6:$A$3690,"*"&amp;$A59&amp;"*",'Diags Raw Data'!$AA$6:$AA$3690),SUMIF('Diags Raw Data'!$A$6:$A$3690,"*"&amp;$A59&amp;"*",'Diags Raw Data'!$AB$6:$AB$3690))</f>
        <v>0</v>
      </c>
      <c r="R59" s="494">
        <f t="shared" si="3"/>
        <v>0</v>
      </c>
      <c r="S59" s="494">
        <f t="shared" si="4"/>
        <v>0</v>
      </c>
      <c r="T59" s="495">
        <f t="shared" si="5"/>
        <v>0</v>
      </c>
      <c r="U59" s="436" t="e">
        <f>VLOOKUP(A59,'Diags Raw Data'!$A$6:$AH$3690,33,FALSE)</f>
        <v>#N/A</v>
      </c>
      <c r="V59" s="181"/>
    </row>
    <row r="60" spans="1:22" ht="30.75" thickBot="1" x14ac:dyDescent="0.3">
      <c r="A60" s="549">
        <v>12.083999999999953</v>
      </c>
      <c r="B60" s="438" t="str">
        <f>VLOOKUP(A60,'Feature Raw Data'!$A$3:$B$3922,2,FALSE)</f>
        <v xml:space="preserve">Prep for Navi + MIx00 shader merge </v>
      </c>
      <c r="C60" s="439" t="str">
        <f>VLOOKUP(A60,'Feature Raw Data'!$A$3:$C$3922,3,FALSE)</f>
        <v>P2</v>
      </c>
      <c r="D60" s="440" t="str" cm="1">
        <f t="array" ref="D60">_xlfn.TEXTJOIN("",TRUE,IF(ISNUMBER(SEARCH($A60,'Diags Raw Data'!$A$6:$A$3690)),CONCATENATE('Diags Raw Data'!$H$6:$H$3690,", "),""))</f>
        <v/>
      </c>
      <c r="E60" s="340" t="e">
        <f>VLOOKUP(A60,'Diags Raw Data'!$A$6:$D$3690,4,FALSE)</f>
        <v>#N/A</v>
      </c>
      <c r="F60" s="340" t="str">
        <f>VLOOKUP(A60,'Feature Raw Data'!$A$3:$E$3922,5,FALSE)</f>
        <v>New</v>
      </c>
      <c r="G60" s="340" t="str">
        <f t="shared" si="0"/>
        <v>Yes</v>
      </c>
      <c r="H60" s="340" t="str">
        <f t="shared" si="1"/>
        <v>Yes</v>
      </c>
      <c r="I60" s="439">
        <f>SUMIF('Diags Raw Data'!$A$6:$A$3690,"*"&amp;$A60&amp;"*",'Diags Raw Data'!$K$6:$K$3690)</f>
        <v>0</v>
      </c>
      <c r="J60" s="441">
        <f>SUMIF('Diags Raw Data'!$A$6:$A$3690,"*"&amp;$A60&amp;"*",'Diags Raw Data'!$L$6:$L$3690)</f>
        <v>0</v>
      </c>
      <c r="K60" s="487" cm="1">
        <f t="array" ref="K60">IF(D60="",0, SUMPRODUCT(--(ISNUMBER(SEARCH($A60,'Diags Raw Data'!$A$6:$A$3690))),'Diags Raw Data'!$L$6:$L$3690,'Diags Raw Data'!$N$6:$N$3690)/J60)</f>
        <v>0</v>
      </c>
      <c r="L60" s="488" cm="1">
        <f t="array" ref="L60">IF(D60="",0, SUMPRODUCT(--(ISNUMBER(SEARCH($A60,'Diags Raw Data'!$A$6:$A$3690))),'Diags Raw Data'!$L$6:$L$3690,'Diags Raw Data'!$P$6:$P$3690)/J60)</f>
        <v>0</v>
      </c>
      <c r="M60" s="489" cm="1">
        <f t="array" ref="M60">SUMPRODUCT(--(ISNUMBER(SEARCH($A60,'Diags Raw Data'!$A$6:$A$3690))),--('Diags Raw Data'!$Q$6:$Q$3690&lt;&gt;"N/A"),'Diags Raw Data'!$R$6:$R$3690)</f>
        <v>0</v>
      </c>
      <c r="N60" s="490" cm="1">
        <f t="array" ref="N60">SUMPRODUCT(--(ISNUMBER(SEARCH($A60,'Diags Raw Data'!$A$6:$A$3690))),--('Diags Raw Data'!$Q$6:$Q$3690&lt;&gt;"N/A"),'Diags Raw Data'!$T$6:$T$3690)+SUMPRODUCT(--(ISNUMBER(SEARCH($A60,'Diags Raw Data'!$A$6:$A$3690))),--('Diags Raw Data'!$Q$6:$Q$3690&lt;&gt;"N/A"),'Diags Raw Data'!$U$6:$U$3690)</f>
        <v>0</v>
      </c>
      <c r="O60" s="491">
        <f t="shared" si="2"/>
        <v>0</v>
      </c>
      <c r="P60" s="492">
        <f>SUMIF('Diags Raw Data'!$A$6:$A$3690,"*"&amp;$A60&amp;"*",'Diags Raw Data'!$Z$6:$Z$3690)</f>
        <v>0</v>
      </c>
      <c r="Q60" s="493">
        <f>SUM(SUMIF('Diags Raw Data'!$A$6:$A$3690,"*"&amp;$A60&amp;"*",'Diags Raw Data'!$AA$6:$AA$3690),SUMIF('Diags Raw Data'!$A$6:$A$3690,"*"&amp;$A60&amp;"*",'Diags Raw Data'!$AB$6:$AB$3690))</f>
        <v>0</v>
      </c>
      <c r="R60" s="494">
        <f t="shared" si="3"/>
        <v>0</v>
      </c>
      <c r="S60" s="494">
        <f t="shared" si="4"/>
        <v>0</v>
      </c>
      <c r="T60" s="495">
        <f t="shared" si="5"/>
        <v>0</v>
      </c>
      <c r="U60" s="436" t="e">
        <f>VLOOKUP(A60,'Diags Raw Data'!$A$6:$AH$3690,33,FALSE)</f>
        <v>#N/A</v>
      </c>
      <c r="V60" s="181"/>
    </row>
    <row r="61" spans="1:22" ht="15.75" thickBot="1" x14ac:dyDescent="0.3">
      <c r="A61" s="549">
        <v>12.092000000000001</v>
      </c>
      <c r="B61" s="438" t="str">
        <f>VLOOKUP(A61,'Feature Raw Data'!$A$3:$B$3922,2,FALSE)</f>
        <v>Documentation - UTCL* MAS</v>
      </c>
      <c r="C61" s="439" t="str">
        <f>VLOOKUP(A61,'Feature Raw Data'!$A$3:$C$3922,3,FALSE)</f>
        <v>P2</v>
      </c>
      <c r="D61" s="440" t="str" cm="1">
        <f t="array" ref="D61">_xlfn.TEXTJOIN("",TRUE,IF(ISNUMBER(SEARCH($A61,'Diags Raw Data'!$A$6:$A$3690)),CONCATENATE('Diags Raw Data'!$H$6:$H$3690,", "),""))</f>
        <v/>
      </c>
      <c r="E61" s="340" t="e">
        <f>VLOOKUP(A61,'Diags Raw Data'!$A$6:$D$3690,4,FALSE)</f>
        <v>#N/A</v>
      </c>
      <c r="F61" s="340" t="str">
        <f>VLOOKUP(A61,'Feature Raw Data'!$A$3:$E$3922,5,FALSE)</f>
        <v>New</v>
      </c>
      <c r="G61" s="340" t="str">
        <f>IF(D61="N/A, ","No","Yes")</f>
        <v>Yes</v>
      </c>
      <c r="H61" s="340" t="str">
        <f t="shared" si="1"/>
        <v>Yes</v>
      </c>
      <c r="I61" s="439">
        <f>SUMIF('Diags Raw Data'!$A$6:$A$3690,"*"&amp;$A61&amp;"*",'Diags Raw Data'!$K$6:$K$3690)</f>
        <v>0</v>
      </c>
      <c r="J61" s="441">
        <f>SUMIF('Diags Raw Data'!$A$6:$A$3690,"*"&amp;$A61&amp;"*",'Diags Raw Data'!$L$6:$L$3690)</f>
        <v>0</v>
      </c>
      <c r="K61" s="487" cm="1">
        <f t="array" ref="K61">IF(D61="",0, SUMPRODUCT(--(ISNUMBER(SEARCH($A61,'Diags Raw Data'!$A$6:$A$3690))),'Diags Raw Data'!$L$6:$L$3690,'Diags Raw Data'!$N$6:$N$3690)/J61)</f>
        <v>0</v>
      </c>
      <c r="L61" s="488" cm="1">
        <f t="array" ref="L61">IF(D61="",0, SUMPRODUCT(--(ISNUMBER(SEARCH($A61,'Diags Raw Data'!$A$6:$A$3690))),'Diags Raw Data'!$L$6:$L$3690,'Diags Raw Data'!$P$6:$P$3690)/J61)</f>
        <v>0</v>
      </c>
      <c r="M61" s="489" cm="1">
        <f t="array" ref="M61">SUMPRODUCT(--(ISNUMBER(SEARCH($A61,'Diags Raw Data'!$A$6:$A$3690))),--('Diags Raw Data'!$Q$6:$Q$3690&lt;&gt;"N/A"),'Diags Raw Data'!$R$6:$R$3690)</f>
        <v>0</v>
      </c>
      <c r="N61" s="490" cm="1">
        <f t="array" ref="N61">SUMPRODUCT(--(ISNUMBER(SEARCH($A61,'Diags Raw Data'!$A$6:$A$3690))),--('Diags Raw Data'!$Q$6:$Q$3690&lt;&gt;"N/A"),'Diags Raw Data'!$T$6:$T$3690)+SUMPRODUCT(--(ISNUMBER(SEARCH($A61,'Diags Raw Data'!$A$6:$A$3690))),--('Diags Raw Data'!$Q$6:$Q$3690&lt;&gt;"N/A"),'Diags Raw Data'!$U$6:$U$3690)</f>
        <v>0</v>
      </c>
      <c r="O61" s="491">
        <f t="shared" si="2"/>
        <v>0</v>
      </c>
      <c r="P61" s="492">
        <f>SUMIF('Diags Raw Data'!$A$6:$A$3690,"*"&amp;$A61&amp;"*",'Diags Raw Data'!$Z$6:$Z$3690)</f>
        <v>0</v>
      </c>
      <c r="Q61" s="493">
        <f>SUM(SUMIF('Diags Raw Data'!$A$6:$A$3690,"*"&amp;$A61&amp;"*",'Diags Raw Data'!$AA$6:$AA$3690),SUMIF('Diags Raw Data'!$A$6:$A$3690,"*"&amp;$A61&amp;"*",'Diags Raw Data'!$AB$6:$AB$3690))</f>
        <v>0</v>
      </c>
      <c r="R61" s="494">
        <f t="shared" si="3"/>
        <v>0</v>
      </c>
      <c r="S61" s="494">
        <f t="shared" si="4"/>
        <v>0</v>
      </c>
      <c r="T61" s="495">
        <f t="shared" si="5"/>
        <v>0</v>
      </c>
      <c r="U61" s="436" t="e">
        <f>VLOOKUP(A61,'Diags Raw Data'!$A$6:$AH$3690,33,FALSE)</f>
        <v>#N/A</v>
      </c>
      <c r="V61" s="554" t="s">
        <v>326</v>
      </c>
    </row>
    <row r="62" spans="1:22" ht="30.75" thickBot="1" x14ac:dyDescent="0.3">
      <c r="A62" s="549">
        <v>12.096</v>
      </c>
      <c r="B62" s="438" t="str">
        <f>VLOOKUP(A62,'Feature Raw Data'!$A$3:$B$3922,2,FALSE)</f>
        <v xml:space="preserve">UTCL1: check page_size using the stored frag_size </v>
      </c>
      <c r="C62" s="439" t="str">
        <f>VLOOKUP(A62,'Feature Raw Data'!$A$3:$C$3922,3,FALSE)</f>
        <v>P2</v>
      </c>
      <c r="D62" s="440" t="str" cm="1">
        <f t="array" ref="D62">_xlfn.TEXTJOIN("",TRUE,IF(ISNUMBER(SEARCH($A62,'Diags Raw Data'!$A$6:$A$3690)),CONCATENATE('Diags Raw Data'!$H$6:$H$3690,", "),""))</f>
        <v/>
      </c>
      <c r="E62" s="340" t="e">
        <f>VLOOKUP(A62,'Diags Raw Data'!$A$6:$D$3690,4,FALSE)</f>
        <v>#N/A</v>
      </c>
      <c r="F62" s="340" t="str">
        <f>VLOOKUP(A62,'Feature Raw Data'!$A$3:$E$3922,5,FALSE)</f>
        <v>New</v>
      </c>
      <c r="G62" s="340" t="str">
        <f t="shared" ref="G62:G125" si="6">IF(D62="N/A, ","No","Yes")</f>
        <v>Yes</v>
      </c>
      <c r="H62" s="340" t="str">
        <f t="shared" si="1"/>
        <v>Yes</v>
      </c>
      <c r="I62" s="439">
        <f>SUMIF('Diags Raw Data'!$A$6:$A$3690,"*"&amp;$A62&amp;"*",'Diags Raw Data'!$K$6:$K$3690)</f>
        <v>0</v>
      </c>
      <c r="J62" s="441">
        <f>SUMIF('Diags Raw Data'!$A$6:$A$3690,"*"&amp;$A62&amp;"*",'Diags Raw Data'!$L$6:$L$3690)</f>
        <v>0</v>
      </c>
      <c r="K62" s="487" cm="1">
        <f t="array" ref="K62">IF(D62="",0, SUMPRODUCT(--(ISNUMBER(SEARCH($A62,'Diags Raw Data'!$A$6:$A$3690))),'Diags Raw Data'!$L$6:$L$3690,'Diags Raw Data'!$N$6:$N$3690)/J62)</f>
        <v>0</v>
      </c>
      <c r="L62" s="488" cm="1">
        <f t="array" ref="L62">IF(D62="",0, SUMPRODUCT(--(ISNUMBER(SEARCH($A62,'Diags Raw Data'!$A$6:$A$3690))),'Diags Raw Data'!$L$6:$L$3690,'Diags Raw Data'!$P$6:$P$3690)/J62)</f>
        <v>0</v>
      </c>
      <c r="M62" s="489" cm="1">
        <f t="array" ref="M62">SUMPRODUCT(--(ISNUMBER(SEARCH($A62,'Diags Raw Data'!$A$6:$A$3690))),--('Diags Raw Data'!$Q$6:$Q$3690&lt;&gt;"N/A"),'Diags Raw Data'!$R$6:$R$3690)</f>
        <v>0</v>
      </c>
      <c r="N62" s="490" cm="1">
        <f t="array" ref="N62">SUMPRODUCT(--(ISNUMBER(SEARCH($A62,'Diags Raw Data'!$A$6:$A$3690))),--('Diags Raw Data'!$Q$6:$Q$3690&lt;&gt;"N/A"),'Diags Raw Data'!$T$6:$T$3690)+SUMPRODUCT(--(ISNUMBER(SEARCH($A62,'Diags Raw Data'!$A$6:$A$3690))),--('Diags Raw Data'!$Q$6:$Q$3690&lt;&gt;"N/A"),'Diags Raw Data'!$U$6:$U$3690)</f>
        <v>0</v>
      </c>
      <c r="O62" s="491">
        <f t="shared" si="2"/>
        <v>0</v>
      </c>
      <c r="P62" s="492">
        <f>SUMIF('Diags Raw Data'!$A$6:$A$3690,"*"&amp;$A62&amp;"*",'Diags Raw Data'!$Z$6:$Z$3690)</f>
        <v>0</v>
      </c>
      <c r="Q62" s="493">
        <f>SUM(SUMIF('Diags Raw Data'!$A$6:$A$3690,"*"&amp;$A62&amp;"*",'Diags Raw Data'!$AA$6:$AA$3690),SUMIF('Diags Raw Data'!$A$6:$A$3690,"*"&amp;$A62&amp;"*",'Diags Raw Data'!$AB$6:$AB$3690))</f>
        <v>0</v>
      </c>
      <c r="R62" s="494">
        <f t="shared" si="3"/>
        <v>0</v>
      </c>
      <c r="S62" s="494">
        <f t="shared" si="4"/>
        <v>0</v>
      </c>
      <c r="T62" s="495">
        <f t="shared" si="5"/>
        <v>0</v>
      </c>
      <c r="U62" s="436" t="e">
        <f>VLOOKUP(A62,'Diags Raw Data'!$A$6:$AH$3690,33,FALSE)</f>
        <v>#N/A</v>
      </c>
      <c r="V62" s="181"/>
    </row>
    <row r="63" spans="1:22" ht="30.75" thickBot="1" x14ac:dyDescent="0.3">
      <c r="A63" s="549">
        <v>12.098000000000001</v>
      </c>
      <c r="B63" s="438" t="str">
        <f>VLOOKUP(A63,'Feature Raw Data'!$A$3:$B$3922,2,FALSE)</f>
        <v xml:space="preserve">Remove unused client shootdown interface </v>
      </c>
      <c r="C63" s="439" t="str">
        <f>VLOOKUP(A63,'Feature Raw Data'!$A$3:$C$3922,3,FALSE)</f>
        <v>P2</v>
      </c>
      <c r="D63" s="440" t="str" cm="1">
        <f t="array" ref="D63">_xlfn.TEXTJOIN("",TRUE,IF(ISNUMBER(SEARCH($A63,'Diags Raw Data'!$A$6:$A$3690)),CONCATENATE('Diags Raw Data'!$H$6:$H$3690,", "),""))</f>
        <v/>
      </c>
      <c r="E63" s="340" t="e">
        <f>VLOOKUP(A63,'Diags Raw Data'!$A$6:$D$3690,4,FALSE)</f>
        <v>#N/A</v>
      </c>
      <c r="F63" s="340" t="str">
        <f>VLOOKUP(A63,'Feature Raw Data'!$A$3:$E$3922,5,FALSE)</f>
        <v>New</v>
      </c>
      <c r="G63" s="340" t="str">
        <f t="shared" si="6"/>
        <v>Yes</v>
      </c>
      <c r="H63" s="340" t="str">
        <f>IF(D63="N/A, ","No","Yes")</f>
        <v>Yes</v>
      </c>
      <c r="I63" s="439">
        <f>SUMIF('Diags Raw Data'!$A$6:$A$3690,"*"&amp;$A63&amp;"*",'Diags Raw Data'!$K$6:$K$3690)</f>
        <v>0</v>
      </c>
      <c r="J63" s="441">
        <f>SUMIF('Diags Raw Data'!$A$6:$A$3690,"*"&amp;$A63&amp;"*",'Diags Raw Data'!$L$6:$L$3690)</f>
        <v>0</v>
      </c>
      <c r="K63" s="487" cm="1">
        <f t="array" ref="K63">IF(D63="",0, SUMPRODUCT(--(ISNUMBER(SEARCH($A63,'Diags Raw Data'!$A$6:$A$3690))),'Diags Raw Data'!$L$6:$L$3690,'Diags Raw Data'!$N$6:$N$3690)/J63)</f>
        <v>0</v>
      </c>
      <c r="L63" s="488" cm="1">
        <f t="array" ref="L63">IF(D63="",0, SUMPRODUCT(--(ISNUMBER(SEARCH($A63,'Diags Raw Data'!$A$6:$A$3690))),'Diags Raw Data'!$L$6:$L$3690,'Diags Raw Data'!$P$6:$P$3690)/J63)</f>
        <v>0</v>
      </c>
      <c r="M63" s="489" cm="1">
        <f t="array" ref="M63">SUMPRODUCT(--(ISNUMBER(SEARCH($A63,'Diags Raw Data'!$A$6:$A$3690))),--('Diags Raw Data'!$Q$6:$Q$3690&lt;&gt;"N/A"),'Diags Raw Data'!$R$6:$R$3690)</f>
        <v>0</v>
      </c>
      <c r="N63" s="490" cm="1">
        <f t="array" ref="N63">SUMPRODUCT(--(ISNUMBER(SEARCH($A63,'Diags Raw Data'!$A$6:$A$3690))),--('Diags Raw Data'!$Q$6:$Q$3690&lt;&gt;"N/A"),'Diags Raw Data'!$T$6:$T$3690)+SUMPRODUCT(--(ISNUMBER(SEARCH($A63,'Diags Raw Data'!$A$6:$A$3690))),--('Diags Raw Data'!$Q$6:$Q$3690&lt;&gt;"N/A"),'Diags Raw Data'!$U$6:$U$3690)</f>
        <v>0</v>
      </c>
      <c r="O63" s="491">
        <f t="shared" si="2"/>
        <v>0</v>
      </c>
      <c r="P63" s="492">
        <f>SUMIF('Diags Raw Data'!$A$6:$A$3690,"*"&amp;$A63&amp;"*",'Diags Raw Data'!$Z$6:$Z$3690)</f>
        <v>0</v>
      </c>
      <c r="Q63" s="493">
        <f>SUM(SUMIF('Diags Raw Data'!$A$6:$A$3690,"*"&amp;$A63&amp;"*",'Diags Raw Data'!$AA$6:$AA$3690),SUMIF('Diags Raw Data'!$A$6:$A$3690,"*"&amp;$A63&amp;"*",'Diags Raw Data'!$AB$6:$AB$3690))</f>
        <v>0</v>
      </c>
      <c r="R63" s="494">
        <f t="shared" si="3"/>
        <v>0</v>
      </c>
      <c r="S63" s="494">
        <f t="shared" si="4"/>
        <v>0</v>
      </c>
      <c r="T63" s="495">
        <f t="shared" si="5"/>
        <v>0</v>
      </c>
      <c r="U63" s="436" t="e">
        <f>VLOOKUP(A63,'Diags Raw Data'!$A$6:$AH$3690,33,FALSE)</f>
        <v>#N/A</v>
      </c>
      <c r="V63" s="554" t="s">
        <v>327</v>
      </c>
    </row>
    <row r="64" spans="1:22" ht="15.75" thickBot="1" x14ac:dyDescent="0.3">
      <c r="A64" s="549">
        <v>12.103999999999999</v>
      </c>
      <c r="B64" s="438" t="str">
        <f>VLOOKUP(A64,'Feature Raw Data'!$A$3:$B$3922,2,FALSE)</f>
        <v xml:space="preserve">GPUVM PTE bits </v>
      </c>
      <c r="C64" s="439" t="str">
        <f>VLOOKUP(A64,'Feature Raw Data'!$A$3:$C$3922,3,FALSE)</f>
        <v>P1</v>
      </c>
      <c r="D64" s="440" t="str" cm="1">
        <f t="array" ref="D64">_xlfn.TEXTJOIN("",TRUE,IF(ISNUMBER(SEARCH($A64,'Diags Raw Data'!$A$6:$A$3690)),CONCATENATE('Diags Raw Data'!$H$6:$H$3690,", "),""))</f>
        <v/>
      </c>
      <c r="E64" s="340" t="e">
        <f>VLOOKUP(A64,'Diags Raw Data'!$A$6:$D$3690,4,FALSE)</f>
        <v>#N/A</v>
      </c>
      <c r="F64" s="340" t="str">
        <f>VLOOKUP(A64,'Feature Raw Data'!$A$3:$E$3922,5,FALSE)</f>
        <v>New</v>
      </c>
      <c r="G64" s="340" t="str">
        <f t="shared" si="6"/>
        <v>Yes</v>
      </c>
      <c r="H64" s="340" t="str">
        <f t="shared" ref="H64:H127" si="7">IF(D64="N/A, ","No","Yes")</f>
        <v>Yes</v>
      </c>
      <c r="I64" s="439">
        <f>SUMIF('Diags Raw Data'!$A$6:$A$3690,"*"&amp;$A64&amp;"*",'Diags Raw Data'!$K$6:$K$3690)</f>
        <v>0</v>
      </c>
      <c r="J64" s="441">
        <f>SUMIF('Diags Raw Data'!$A$6:$A$3690,"*"&amp;$A64&amp;"*",'Diags Raw Data'!$L$6:$L$3690)</f>
        <v>0</v>
      </c>
      <c r="K64" s="487" cm="1">
        <f t="array" ref="K64">IF(D64="",0, SUMPRODUCT(--(ISNUMBER(SEARCH($A64,'Diags Raw Data'!$A$6:$A$3690))),'Diags Raw Data'!$L$6:$L$3690,'Diags Raw Data'!$N$6:$N$3690)/J64)</f>
        <v>0</v>
      </c>
      <c r="L64" s="488" cm="1">
        <f t="array" ref="L64">IF(D64="",0, SUMPRODUCT(--(ISNUMBER(SEARCH($A64,'Diags Raw Data'!$A$6:$A$3690))),'Diags Raw Data'!$L$6:$L$3690,'Diags Raw Data'!$P$6:$P$3690)/J64)</f>
        <v>0</v>
      </c>
      <c r="M64" s="489" cm="1">
        <f t="array" ref="M64">SUMPRODUCT(--(ISNUMBER(SEARCH($A64,'Diags Raw Data'!$A$6:$A$3690))),--('Diags Raw Data'!$Q$6:$Q$3690&lt;&gt;"N/A"),'Diags Raw Data'!$R$6:$R$3690)</f>
        <v>0</v>
      </c>
      <c r="N64" s="490" cm="1">
        <f t="array" ref="N64">SUMPRODUCT(--(ISNUMBER(SEARCH($A64,'Diags Raw Data'!$A$6:$A$3690))),--('Diags Raw Data'!$Q$6:$Q$3690&lt;&gt;"N/A"),'Diags Raw Data'!$T$6:$T$3690)+SUMPRODUCT(--(ISNUMBER(SEARCH($A64,'Diags Raw Data'!$A$6:$A$3690))),--('Diags Raw Data'!$Q$6:$Q$3690&lt;&gt;"N/A"),'Diags Raw Data'!$U$6:$U$3690)</f>
        <v>0</v>
      </c>
      <c r="O64" s="491">
        <f t="shared" si="2"/>
        <v>0</v>
      </c>
      <c r="P64" s="492">
        <f>SUMIF('Diags Raw Data'!$A$6:$A$3690,"*"&amp;$A64&amp;"*",'Diags Raw Data'!$Z$6:$Z$3690)</f>
        <v>0</v>
      </c>
      <c r="Q64" s="493">
        <f>SUM(SUMIF('Diags Raw Data'!$A$6:$A$3690,"*"&amp;$A64&amp;"*",'Diags Raw Data'!$AA$6:$AA$3690),SUMIF('Diags Raw Data'!$A$6:$A$3690,"*"&amp;$A64&amp;"*",'Diags Raw Data'!$AB$6:$AB$3690))</f>
        <v>0</v>
      </c>
      <c r="R64" s="494">
        <f t="shared" si="3"/>
        <v>0</v>
      </c>
      <c r="S64" s="494">
        <f t="shared" si="4"/>
        <v>0</v>
      </c>
      <c r="T64" s="495">
        <f t="shared" si="5"/>
        <v>0</v>
      </c>
      <c r="U64" s="436" t="e">
        <f>VLOOKUP(A64,'Diags Raw Data'!$A$6:$AH$3690,33,FALSE)</f>
        <v>#N/A</v>
      </c>
      <c r="V64" s="181"/>
    </row>
    <row r="65" spans="1:22" ht="45.75" thickBot="1" x14ac:dyDescent="0.3">
      <c r="A65" s="549">
        <v>12.111000000000001</v>
      </c>
      <c r="B65" s="438" t="str">
        <f>VLOOKUP(A65,'Feature Raw Data'!$A$3:$B$3922,2,FALSE)</f>
        <v xml:space="preserve">Deprecate metadata probe and client shootdown in UTCL0 </v>
      </c>
      <c r="C65" s="439" t="str">
        <f>VLOOKUP(A65,'Feature Raw Data'!$A$3:$C$3922,3,FALSE)</f>
        <v>P2</v>
      </c>
      <c r="D65" s="440" t="str" cm="1">
        <f t="array" ref="D65">_xlfn.TEXTJOIN("",TRUE,IF(ISNUMBER(SEARCH($A65,'Diags Raw Data'!$A$6:$A$3690)),CONCATENATE('Diags Raw Data'!$H$6:$H$3690,", "),""))</f>
        <v/>
      </c>
      <c r="E65" s="340" t="e">
        <f>VLOOKUP(A65,'Diags Raw Data'!$A$6:$D$3690,4,FALSE)</f>
        <v>#N/A</v>
      </c>
      <c r="F65" s="340" t="str">
        <f>VLOOKUP(A65,'Feature Raw Data'!$A$3:$E$3922,5,FALSE)</f>
        <v>New</v>
      </c>
      <c r="G65" s="340" t="str">
        <f t="shared" si="6"/>
        <v>Yes</v>
      </c>
      <c r="H65" s="340" t="str">
        <f t="shared" si="7"/>
        <v>Yes</v>
      </c>
      <c r="I65" s="439">
        <f>SUMIF('Diags Raw Data'!$A$6:$A$3690,"*"&amp;$A65&amp;"*",'Diags Raw Data'!$K$6:$K$3690)</f>
        <v>0</v>
      </c>
      <c r="J65" s="441">
        <f>SUMIF('Diags Raw Data'!$A$6:$A$3690,"*"&amp;$A65&amp;"*",'Diags Raw Data'!$L$6:$L$3690)</f>
        <v>0</v>
      </c>
      <c r="K65" s="487" cm="1">
        <f t="array" ref="K65">IF(D65="",0, SUMPRODUCT(--(ISNUMBER(SEARCH($A65,'Diags Raw Data'!$A$6:$A$3690))),'Diags Raw Data'!$L$6:$L$3690,'Diags Raw Data'!$N$6:$N$3690)/J65)</f>
        <v>0</v>
      </c>
      <c r="L65" s="488" cm="1">
        <f t="array" ref="L65">IF(D65="",0, SUMPRODUCT(--(ISNUMBER(SEARCH($A65,'Diags Raw Data'!$A$6:$A$3690))),'Diags Raw Data'!$L$6:$L$3690,'Diags Raw Data'!$P$6:$P$3690)/J65)</f>
        <v>0</v>
      </c>
      <c r="M65" s="489" cm="1">
        <f t="array" ref="M65">SUMPRODUCT(--(ISNUMBER(SEARCH($A65,'Diags Raw Data'!$A$6:$A$3690))),--('Diags Raw Data'!$Q$6:$Q$3690&lt;&gt;"N/A"),'Diags Raw Data'!$R$6:$R$3690)</f>
        <v>0</v>
      </c>
      <c r="N65" s="490" cm="1">
        <f t="array" ref="N65">SUMPRODUCT(--(ISNUMBER(SEARCH($A65,'Diags Raw Data'!$A$6:$A$3690))),--('Diags Raw Data'!$Q$6:$Q$3690&lt;&gt;"N/A"),'Diags Raw Data'!$T$6:$T$3690)+SUMPRODUCT(--(ISNUMBER(SEARCH($A65,'Diags Raw Data'!$A$6:$A$3690))),--('Diags Raw Data'!$Q$6:$Q$3690&lt;&gt;"N/A"),'Diags Raw Data'!$U$6:$U$3690)</f>
        <v>0</v>
      </c>
      <c r="O65" s="491">
        <f t="shared" si="2"/>
        <v>0</v>
      </c>
      <c r="P65" s="492">
        <f>SUMIF('Diags Raw Data'!$A$6:$A$3690,"*"&amp;$A65&amp;"*",'Diags Raw Data'!$Z$6:$Z$3690)</f>
        <v>0</v>
      </c>
      <c r="Q65" s="493">
        <f>SUM(SUMIF('Diags Raw Data'!$A$6:$A$3690,"*"&amp;$A65&amp;"*",'Diags Raw Data'!$AA$6:$AA$3690),SUMIF('Diags Raw Data'!$A$6:$A$3690,"*"&amp;$A65&amp;"*",'Diags Raw Data'!$AB$6:$AB$3690))</f>
        <v>0</v>
      </c>
      <c r="R65" s="494">
        <f t="shared" si="3"/>
        <v>0</v>
      </c>
      <c r="S65" s="494">
        <f t="shared" si="4"/>
        <v>0</v>
      </c>
      <c r="T65" s="495">
        <f t="shared" si="5"/>
        <v>0</v>
      </c>
      <c r="U65" s="436" t="e">
        <f>VLOOKUP(A65,'Diags Raw Data'!$A$6:$AH$3690,33,FALSE)</f>
        <v>#N/A</v>
      </c>
      <c r="V65" s="554" t="s">
        <v>327</v>
      </c>
    </row>
    <row r="66" spans="1:22" ht="30.75" thickBot="1" x14ac:dyDescent="0.3">
      <c r="A66" s="549">
        <v>12.112</v>
      </c>
      <c r="B66" s="438" t="str">
        <f>VLOOKUP(A66,'Feature Raw Data'!$A$3:$B$3922,2,FALSE)</f>
        <v xml:space="preserve">GCR single cycle UTC request interface </v>
      </c>
      <c r="C66" s="439" t="str">
        <f>VLOOKUP(A66,'Feature Raw Data'!$A$3:$C$3922,3,FALSE)</f>
        <v>P2</v>
      </c>
      <c r="D66" s="440" t="str" cm="1">
        <f t="array" ref="D66">_xlfn.TEXTJOIN("",TRUE,IF(ISNUMBER(SEARCH($A66,'Diags Raw Data'!$A$6:$A$3690)),CONCATENATE('Diags Raw Data'!$H$6:$H$3690,", "),""))</f>
        <v/>
      </c>
      <c r="E66" s="340" t="e">
        <f>VLOOKUP(A66,'Diags Raw Data'!$A$6:$D$3690,4,FALSE)</f>
        <v>#N/A</v>
      </c>
      <c r="F66" s="340" t="str">
        <f>VLOOKUP(A66,'Feature Raw Data'!$A$3:$E$3922,5,FALSE)</f>
        <v>New</v>
      </c>
      <c r="G66" s="340" t="str">
        <f t="shared" si="6"/>
        <v>Yes</v>
      </c>
      <c r="H66" s="340" t="str">
        <f t="shared" si="7"/>
        <v>Yes</v>
      </c>
      <c r="I66" s="439">
        <f>SUMIF('Diags Raw Data'!$A$6:$A$3690,"*"&amp;$A66&amp;"*",'Diags Raw Data'!$K$6:$K$3690)</f>
        <v>0</v>
      </c>
      <c r="J66" s="441">
        <f>SUMIF('Diags Raw Data'!$A$6:$A$3690,"*"&amp;$A66&amp;"*",'Diags Raw Data'!$L$6:$L$3690)</f>
        <v>0</v>
      </c>
      <c r="K66" s="487" cm="1">
        <f t="array" ref="K66">IF(D66="",0, SUMPRODUCT(--(ISNUMBER(SEARCH($A66,'Diags Raw Data'!$A$6:$A$3690))),'Diags Raw Data'!$L$6:$L$3690,'Diags Raw Data'!$N$6:$N$3690)/J66)</f>
        <v>0</v>
      </c>
      <c r="L66" s="488" cm="1">
        <f t="array" ref="L66">IF(D66="",0, SUMPRODUCT(--(ISNUMBER(SEARCH($A66,'Diags Raw Data'!$A$6:$A$3690))),'Diags Raw Data'!$L$6:$L$3690,'Diags Raw Data'!$P$6:$P$3690)/J66)</f>
        <v>0</v>
      </c>
      <c r="M66" s="489" cm="1">
        <f t="array" ref="M66">SUMPRODUCT(--(ISNUMBER(SEARCH($A66,'Diags Raw Data'!$A$6:$A$3690))),--('Diags Raw Data'!$Q$6:$Q$3690&lt;&gt;"N/A"),'Diags Raw Data'!$R$6:$R$3690)</f>
        <v>0</v>
      </c>
      <c r="N66" s="490" cm="1">
        <f t="array" ref="N66">SUMPRODUCT(--(ISNUMBER(SEARCH($A66,'Diags Raw Data'!$A$6:$A$3690))),--('Diags Raw Data'!$Q$6:$Q$3690&lt;&gt;"N/A"),'Diags Raw Data'!$T$6:$T$3690)+SUMPRODUCT(--(ISNUMBER(SEARCH($A66,'Diags Raw Data'!$A$6:$A$3690))),--('Diags Raw Data'!$Q$6:$Q$3690&lt;&gt;"N/A"),'Diags Raw Data'!$U$6:$U$3690)</f>
        <v>0</v>
      </c>
      <c r="O66" s="491">
        <f t="shared" si="2"/>
        <v>0</v>
      </c>
      <c r="P66" s="492">
        <f>SUMIF('Diags Raw Data'!$A$6:$A$3690,"*"&amp;$A66&amp;"*",'Diags Raw Data'!$Z$6:$Z$3690)</f>
        <v>0</v>
      </c>
      <c r="Q66" s="493">
        <f>SUM(SUMIF('Diags Raw Data'!$A$6:$A$3690,"*"&amp;$A66&amp;"*",'Diags Raw Data'!$AA$6:$AA$3690),SUMIF('Diags Raw Data'!$A$6:$A$3690,"*"&amp;$A66&amp;"*",'Diags Raw Data'!$AB$6:$AB$3690))</f>
        <v>0</v>
      </c>
      <c r="R66" s="494">
        <f t="shared" si="3"/>
        <v>0</v>
      </c>
      <c r="S66" s="494">
        <f t="shared" si="4"/>
        <v>0</v>
      </c>
      <c r="T66" s="495">
        <f t="shared" si="5"/>
        <v>0</v>
      </c>
      <c r="U66" s="436" t="e">
        <f>VLOOKUP(A66,'Diags Raw Data'!$A$6:$AH$3690,33,FALSE)</f>
        <v>#N/A</v>
      </c>
      <c r="V66" s="181"/>
    </row>
    <row r="67" spans="1:22" ht="30.75" thickBot="1" x14ac:dyDescent="0.3">
      <c r="A67" s="549">
        <v>12.113</v>
      </c>
      <c r="B67" s="438" t="str">
        <f>VLOOKUP(A67,'Feature Raw Data'!$A$3:$B$3922,2,FALSE)</f>
        <v xml:space="preserve">RLC dont disable CGCG while thread trace is active </v>
      </c>
      <c r="C67" s="439" t="str">
        <f>VLOOKUP(A67,'Feature Raw Data'!$A$3:$C$3922,3,FALSE)</f>
        <v>P2</v>
      </c>
      <c r="D67" s="440" t="str" cm="1">
        <f t="array" ref="D67">_xlfn.TEXTJOIN("",TRUE,IF(ISNUMBER(SEARCH($A67,'Diags Raw Data'!$A$6:$A$3690)),CONCATENATE('Diags Raw Data'!$H$6:$H$3690,", "),""))</f>
        <v/>
      </c>
      <c r="E67" s="340" t="e">
        <f>VLOOKUP(A67,'Diags Raw Data'!$A$6:$D$3690,4,FALSE)</f>
        <v>#N/A</v>
      </c>
      <c r="F67" s="340" t="str">
        <f>VLOOKUP(A67,'Feature Raw Data'!$A$3:$E$3922,5,FALSE)</f>
        <v>New</v>
      </c>
      <c r="G67" s="340" t="str">
        <f t="shared" si="6"/>
        <v>Yes</v>
      </c>
      <c r="H67" s="340" t="str">
        <f t="shared" si="7"/>
        <v>Yes</v>
      </c>
      <c r="I67" s="439">
        <f>SUMIF('Diags Raw Data'!$A$6:$A$3690,"*"&amp;$A67&amp;"*",'Diags Raw Data'!$K$6:$K$3690)</f>
        <v>0</v>
      </c>
      <c r="J67" s="441">
        <f>SUMIF('Diags Raw Data'!$A$6:$A$3690,"*"&amp;$A67&amp;"*",'Diags Raw Data'!$L$6:$L$3690)</f>
        <v>0</v>
      </c>
      <c r="K67" s="487" cm="1">
        <f t="array" ref="K67">IF(D67="",0, SUMPRODUCT(--(ISNUMBER(SEARCH($A67,'Diags Raw Data'!$A$6:$A$3690))),'Diags Raw Data'!$L$6:$L$3690,'Diags Raw Data'!$N$6:$N$3690)/J67)</f>
        <v>0</v>
      </c>
      <c r="L67" s="488" cm="1">
        <f t="array" ref="L67">IF(D67="",0, SUMPRODUCT(--(ISNUMBER(SEARCH($A67,'Diags Raw Data'!$A$6:$A$3690))),'Diags Raw Data'!$L$6:$L$3690,'Diags Raw Data'!$P$6:$P$3690)/J67)</f>
        <v>0</v>
      </c>
      <c r="M67" s="489" cm="1">
        <f t="array" ref="M67">SUMPRODUCT(--(ISNUMBER(SEARCH($A67,'Diags Raw Data'!$A$6:$A$3690))),--('Diags Raw Data'!$Q$6:$Q$3690&lt;&gt;"N/A"),'Diags Raw Data'!$R$6:$R$3690)</f>
        <v>0</v>
      </c>
      <c r="N67" s="490" cm="1">
        <f t="array" ref="N67">SUMPRODUCT(--(ISNUMBER(SEARCH($A67,'Diags Raw Data'!$A$6:$A$3690))),--('Diags Raw Data'!$Q$6:$Q$3690&lt;&gt;"N/A"),'Diags Raw Data'!$T$6:$T$3690)+SUMPRODUCT(--(ISNUMBER(SEARCH($A67,'Diags Raw Data'!$A$6:$A$3690))),--('Diags Raw Data'!$Q$6:$Q$3690&lt;&gt;"N/A"),'Diags Raw Data'!$U$6:$U$3690)</f>
        <v>0</v>
      </c>
      <c r="O67" s="491">
        <f t="shared" si="2"/>
        <v>0</v>
      </c>
      <c r="P67" s="492">
        <f>SUMIF('Diags Raw Data'!$A$6:$A$3690,"*"&amp;$A67&amp;"*",'Diags Raw Data'!$Z$6:$Z$3690)</f>
        <v>0</v>
      </c>
      <c r="Q67" s="493">
        <f>SUM(SUMIF('Diags Raw Data'!$A$6:$A$3690,"*"&amp;$A67&amp;"*",'Diags Raw Data'!$AA$6:$AA$3690),SUMIF('Diags Raw Data'!$A$6:$A$3690,"*"&amp;$A67&amp;"*",'Diags Raw Data'!$AB$6:$AB$3690))</f>
        <v>0</v>
      </c>
      <c r="R67" s="494">
        <f t="shared" si="3"/>
        <v>0</v>
      </c>
      <c r="S67" s="494">
        <f t="shared" si="4"/>
        <v>0</v>
      </c>
      <c r="T67" s="495">
        <f t="shared" si="5"/>
        <v>0</v>
      </c>
      <c r="U67" s="436" t="e">
        <f>VLOOKUP(A67,'Diags Raw Data'!$A$6:$AH$3690,33,FALSE)</f>
        <v>#N/A</v>
      </c>
      <c r="V67" s="181"/>
    </row>
    <row r="68" spans="1:22" ht="30.75" thickBot="1" x14ac:dyDescent="0.3">
      <c r="A68" s="549">
        <v>12.114000000000001</v>
      </c>
      <c r="B68" s="438" t="str">
        <f>VLOOKUP(A68,'Feature Raw Data'!$A$3:$B$3922,2,FALSE)</f>
        <v xml:space="preserve">CP ucode use dispatch index for TTMP init </v>
      </c>
      <c r="C68" s="439" t="str">
        <f>VLOOKUP(A68,'Feature Raw Data'!$A$3:$C$3922,3,FALSE)</f>
        <v>P2</v>
      </c>
      <c r="D68" s="440" t="str" cm="1">
        <f t="array" ref="D68">_xlfn.TEXTJOIN("",TRUE,IF(ISNUMBER(SEARCH($A68,'Diags Raw Data'!$A$6:$A$3690)),CONCATENATE('Diags Raw Data'!$H$6:$H$3690,", "),""))</f>
        <v/>
      </c>
      <c r="E68" s="340" t="e">
        <f>VLOOKUP(A68,'Diags Raw Data'!$A$6:$D$3690,4,FALSE)</f>
        <v>#N/A</v>
      </c>
      <c r="F68" s="340" t="str">
        <f>VLOOKUP(A68,'Feature Raw Data'!$A$3:$E$3922,5,FALSE)</f>
        <v>New</v>
      </c>
      <c r="G68" s="340" t="str">
        <f t="shared" si="6"/>
        <v>Yes</v>
      </c>
      <c r="H68" s="340" t="str">
        <f t="shared" si="7"/>
        <v>Yes</v>
      </c>
      <c r="I68" s="439">
        <f>SUMIF('Diags Raw Data'!$A$6:$A$3690,"*"&amp;$A68&amp;"*",'Diags Raw Data'!$K$6:$K$3690)</f>
        <v>0</v>
      </c>
      <c r="J68" s="441">
        <f>SUMIF('Diags Raw Data'!$A$6:$A$3690,"*"&amp;$A68&amp;"*",'Diags Raw Data'!$L$6:$L$3690)</f>
        <v>0</v>
      </c>
      <c r="K68" s="487" cm="1">
        <f t="array" ref="K68">IF(D68="",0, SUMPRODUCT(--(ISNUMBER(SEARCH($A68,'Diags Raw Data'!$A$6:$A$3690))),'Diags Raw Data'!$L$6:$L$3690,'Diags Raw Data'!$N$6:$N$3690)/J68)</f>
        <v>0</v>
      </c>
      <c r="L68" s="488" cm="1">
        <f t="array" ref="L68">IF(D68="",0, SUMPRODUCT(--(ISNUMBER(SEARCH($A68,'Diags Raw Data'!$A$6:$A$3690))),'Diags Raw Data'!$L$6:$L$3690,'Diags Raw Data'!$P$6:$P$3690)/J68)</f>
        <v>0</v>
      </c>
      <c r="M68" s="489" cm="1">
        <f t="array" ref="M68">SUMPRODUCT(--(ISNUMBER(SEARCH($A68,'Diags Raw Data'!$A$6:$A$3690))),--('Diags Raw Data'!$Q$6:$Q$3690&lt;&gt;"N/A"),'Diags Raw Data'!$R$6:$R$3690)</f>
        <v>0</v>
      </c>
      <c r="N68" s="490" cm="1">
        <f t="array" ref="N68">SUMPRODUCT(--(ISNUMBER(SEARCH($A68,'Diags Raw Data'!$A$6:$A$3690))),--('Diags Raw Data'!$Q$6:$Q$3690&lt;&gt;"N/A"),'Diags Raw Data'!$T$6:$T$3690)+SUMPRODUCT(--(ISNUMBER(SEARCH($A68,'Diags Raw Data'!$A$6:$A$3690))),--('Diags Raw Data'!$Q$6:$Q$3690&lt;&gt;"N/A"),'Diags Raw Data'!$U$6:$U$3690)</f>
        <v>0</v>
      </c>
      <c r="O68" s="491">
        <f t="shared" si="2"/>
        <v>0</v>
      </c>
      <c r="P68" s="492">
        <f>SUMIF('Diags Raw Data'!$A$6:$A$3690,"*"&amp;$A68&amp;"*",'Diags Raw Data'!$Z$6:$Z$3690)</f>
        <v>0</v>
      </c>
      <c r="Q68" s="493">
        <f>SUM(SUMIF('Diags Raw Data'!$A$6:$A$3690,"*"&amp;$A68&amp;"*",'Diags Raw Data'!$AA$6:$AA$3690),SUMIF('Diags Raw Data'!$A$6:$A$3690,"*"&amp;$A68&amp;"*",'Diags Raw Data'!$AB$6:$AB$3690))</f>
        <v>0</v>
      </c>
      <c r="R68" s="494">
        <f t="shared" si="3"/>
        <v>0</v>
      </c>
      <c r="S68" s="494">
        <f t="shared" si="4"/>
        <v>0</v>
      </c>
      <c r="T68" s="495">
        <f t="shared" si="5"/>
        <v>0</v>
      </c>
      <c r="U68" s="436" t="e">
        <f>VLOOKUP(A68,'Diags Raw Data'!$A$6:$AH$3690,33,FALSE)</f>
        <v>#N/A</v>
      </c>
      <c r="V68" s="181"/>
    </row>
    <row r="69" spans="1:22" ht="180.75" thickBot="1" x14ac:dyDescent="0.3">
      <c r="A69" s="549">
        <v>12.115</v>
      </c>
      <c r="B69" s="438" t="str">
        <f>VLOOKUP(A69,'Feature Raw Data'!$A$3:$B$3922,2,FALSE)</f>
        <v>Single Pass Wave64 Trans Issue (in M2)</v>
      </c>
      <c r="C69" s="439" t="str">
        <f>VLOOKUP(A69,'Feature Raw Data'!$A$3:$C$3922,3,FALSE)</f>
        <v>P1</v>
      </c>
      <c r="D69" s="440" t="str" cm="1">
        <f t="array" ref="D69">_xlfn.TEXTJOIN("",TRUE,IF(ISNUMBER(SEARCH($A69,'Diags Raw Data'!$A$6:$A$3690)),CONCATENATE('Diags Raw Data'!$H$6:$H$3690,", "),""))</f>
        <v/>
      </c>
      <c r="E69" s="340" t="e">
        <f>VLOOKUP(A69,'Diags Raw Data'!$A$6:$D$3690,4,FALSE)</f>
        <v>#N/A</v>
      </c>
      <c r="F69" s="340" t="str">
        <f>VLOOKUP(A69,'Feature Raw Data'!$A$3:$E$3922,5,FALSE)</f>
        <v>New</v>
      </c>
      <c r="G69" s="340" t="str">
        <f t="shared" si="6"/>
        <v>Yes</v>
      </c>
      <c r="H69" s="340" t="str">
        <f t="shared" si="7"/>
        <v>Yes</v>
      </c>
      <c r="I69" s="439">
        <f>SUMIF('Diags Raw Data'!$A$6:$A$3690,"*"&amp;$A69&amp;"*",'Diags Raw Data'!$K$6:$K$3690)</f>
        <v>0</v>
      </c>
      <c r="J69" s="441">
        <f>SUMIF('Diags Raw Data'!$A$6:$A$3690,"*"&amp;$A69&amp;"*",'Diags Raw Data'!$L$6:$L$3690)</f>
        <v>0</v>
      </c>
      <c r="K69" s="487" cm="1">
        <f t="array" ref="K69">IF(D69="",0, SUMPRODUCT(--(ISNUMBER(SEARCH($A69,'Diags Raw Data'!$A$6:$A$3690))),'Diags Raw Data'!$L$6:$L$3690,'Diags Raw Data'!$N$6:$N$3690)/J69)</f>
        <v>0</v>
      </c>
      <c r="L69" s="488" cm="1">
        <f t="array" ref="L69">IF(D69="",0, SUMPRODUCT(--(ISNUMBER(SEARCH($A69,'Diags Raw Data'!$A$6:$A$3690))),'Diags Raw Data'!$L$6:$L$3690,'Diags Raw Data'!$P$6:$P$3690)/J69)</f>
        <v>0</v>
      </c>
      <c r="M69" s="489" cm="1">
        <f t="array" ref="M69">SUMPRODUCT(--(ISNUMBER(SEARCH($A69,'Diags Raw Data'!$A$6:$A$3690))),--('Diags Raw Data'!$Q$6:$Q$3690&lt;&gt;"N/A"),'Diags Raw Data'!$R$6:$R$3690)</f>
        <v>0</v>
      </c>
      <c r="N69" s="490" cm="1">
        <f t="array" ref="N69">SUMPRODUCT(--(ISNUMBER(SEARCH($A69,'Diags Raw Data'!$A$6:$A$3690))),--('Diags Raw Data'!$Q$6:$Q$3690&lt;&gt;"N/A"),'Diags Raw Data'!$T$6:$T$3690)+SUMPRODUCT(--(ISNUMBER(SEARCH($A69,'Diags Raw Data'!$A$6:$A$3690))),--('Diags Raw Data'!$Q$6:$Q$3690&lt;&gt;"N/A"),'Diags Raw Data'!$U$6:$U$3690)</f>
        <v>0</v>
      </c>
      <c r="O69" s="491">
        <f t="shared" si="2"/>
        <v>0</v>
      </c>
      <c r="P69" s="492">
        <f>SUMIF('Diags Raw Data'!$A$6:$A$3690,"*"&amp;$A69&amp;"*",'Diags Raw Data'!$Z$6:$Z$3690)</f>
        <v>0</v>
      </c>
      <c r="Q69" s="493">
        <f>SUM(SUMIF('Diags Raw Data'!$A$6:$A$3690,"*"&amp;$A69&amp;"*",'Diags Raw Data'!$AA$6:$AA$3690),SUMIF('Diags Raw Data'!$A$6:$A$3690,"*"&amp;$A69&amp;"*",'Diags Raw Data'!$AB$6:$AB$3690))</f>
        <v>0</v>
      </c>
      <c r="R69" s="494">
        <f t="shared" si="3"/>
        <v>0</v>
      </c>
      <c r="S69" s="494">
        <f t="shared" si="4"/>
        <v>0</v>
      </c>
      <c r="T69" s="495">
        <f t="shared" si="5"/>
        <v>0</v>
      </c>
      <c r="U69" s="436" t="e">
        <f>VLOOKUP(A69,'Diags Raw Data'!$A$6:$AH$3690,33,FALSE)</f>
        <v>#N/A</v>
      </c>
      <c r="V69" s="181"/>
    </row>
    <row r="70" spans="1:22" ht="15.75" thickBot="1" x14ac:dyDescent="0.3">
      <c r="A70" s="549">
        <v>12.118</v>
      </c>
      <c r="B70" s="438" t="str">
        <f>VLOOKUP(A70,'Feature Raw Data'!$A$3:$B$3922,2,FALSE)</f>
        <v xml:space="preserve">PH Memory Queues </v>
      </c>
      <c r="C70" s="439" t="str">
        <f>VLOOKUP(A70,'Feature Raw Data'!$A$3:$C$3922,3,FALSE)</f>
        <v>P1</v>
      </c>
      <c r="D70" s="440" t="str" cm="1">
        <f t="array" ref="D70">_xlfn.TEXTJOIN("",TRUE,IF(ISNUMBER(SEARCH($A70,'Diags Raw Data'!$A$6:$A$3690)),CONCATENATE('Diags Raw Data'!$H$6:$H$3690,", "),""))</f>
        <v/>
      </c>
      <c r="E70" s="340" t="e">
        <f>VLOOKUP(A70,'Diags Raw Data'!$A$6:$D$3690,4,FALSE)</f>
        <v>#N/A</v>
      </c>
      <c r="F70" s="340" t="str">
        <f>VLOOKUP(A70,'Feature Raw Data'!$A$3:$E$3922,5,FALSE)</f>
        <v>New</v>
      </c>
      <c r="G70" s="340" t="str">
        <f t="shared" si="6"/>
        <v>Yes</v>
      </c>
      <c r="H70" s="340" t="str">
        <f t="shared" si="7"/>
        <v>Yes</v>
      </c>
      <c r="I70" s="439">
        <f>SUMIF('Diags Raw Data'!$A$6:$A$3690,"*"&amp;$A70&amp;"*",'Diags Raw Data'!$K$6:$K$3690)</f>
        <v>0</v>
      </c>
      <c r="J70" s="441">
        <f>SUMIF('Diags Raw Data'!$A$6:$A$3690,"*"&amp;$A70&amp;"*",'Diags Raw Data'!$L$6:$L$3690)</f>
        <v>0</v>
      </c>
      <c r="K70" s="487" cm="1">
        <f t="array" ref="K70">IF(D70="",0, SUMPRODUCT(--(ISNUMBER(SEARCH($A70,'Diags Raw Data'!$A$6:$A$3690))),'Diags Raw Data'!$L$6:$L$3690,'Diags Raw Data'!$N$6:$N$3690)/J70)</f>
        <v>0</v>
      </c>
      <c r="L70" s="488" cm="1">
        <f t="array" ref="L70">IF(D70="",0, SUMPRODUCT(--(ISNUMBER(SEARCH($A70,'Diags Raw Data'!$A$6:$A$3690))),'Diags Raw Data'!$L$6:$L$3690,'Diags Raw Data'!$P$6:$P$3690)/J70)</f>
        <v>0</v>
      </c>
      <c r="M70" s="489" cm="1">
        <f t="array" ref="M70">SUMPRODUCT(--(ISNUMBER(SEARCH($A70,'Diags Raw Data'!$A$6:$A$3690))),--('Diags Raw Data'!$Q$6:$Q$3690&lt;&gt;"N/A"),'Diags Raw Data'!$R$6:$R$3690)</f>
        <v>0</v>
      </c>
      <c r="N70" s="490" cm="1">
        <f t="array" ref="N70">SUMPRODUCT(--(ISNUMBER(SEARCH($A70,'Diags Raw Data'!$A$6:$A$3690))),--('Diags Raw Data'!$Q$6:$Q$3690&lt;&gt;"N/A"),'Diags Raw Data'!$T$6:$T$3690)+SUMPRODUCT(--(ISNUMBER(SEARCH($A70,'Diags Raw Data'!$A$6:$A$3690))),--('Diags Raw Data'!$Q$6:$Q$3690&lt;&gt;"N/A"),'Diags Raw Data'!$U$6:$U$3690)</f>
        <v>0</v>
      </c>
      <c r="O70" s="491">
        <f t="shared" si="2"/>
        <v>0</v>
      </c>
      <c r="P70" s="492">
        <f>SUMIF('Diags Raw Data'!$A$6:$A$3690,"*"&amp;$A70&amp;"*",'Diags Raw Data'!$Z$6:$Z$3690)</f>
        <v>0</v>
      </c>
      <c r="Q70" s="493">
        <f>SUM(SUMIF('Diags Raw Data'!$A$6:$A$3690,"*"&amp;$A70&amp;"*",'Diags Raw Data'!$AA$6:$AA$3690),SUMIF('Diags Raw Data'!$A$6:$A$3690,"*"&amp;$A70&amp;"*",'Diags Raw Data'!$AB$6:$AB$3690))</f>
        <v>0</v>
      </c>
      <c r="R70" s="494">
        <f t="shared" si="3"/>
        <v>0</v>
      </c>
      <c r="S70" s="494">
        <f t="shared" si="4"/>
        <v>0</v>
      </c>
      <c r="T70" s="495">
        <f t="shared" si="5"/>
        <v>0</v>
      </c>
      <c r="U70" s="436" t="e">
        <f>VLOOKUP(A70,'Diags Raw Data'!$A$6:$AH$3690,33,FALSE)</f>
        <v>#N/A</v>
      </c>
      <c r="V70" s="181"/>
    </row>
    <row r="71" spans="1:22" ht="15.75" thickBot="1" x14ac:dyDescent="0.3">
      <c r="A71" s="549">
        <v>12.119</v>
      </c>
      <c r="B71" s="438" t="str">
        <f>VLOOKUP(A71,'Feature Raw Data'!$A$3:$B$3922,2,FALSE)</f>
        <v xml:space="preserve">Harvesting enabled by default </v>
      </c>
      <c r="C71" s="439" t="str">
        <f>VLOOKUP(A71,'Feature Raw Data'!$A$3:$C$3922,3,FALSE)</f>
        <v>P1</v>
      </c>
      <c r="D71" s="440" t="str" cm="1">
        <f t="array" ref="D71">_xlfn.TEXTJOIN("",TRUE,IF(ISNUMBER(SEARCH($A71,'Diags Raw Data'!$A$6:$A$3690)),CONCATENATE('Diags Raw Data'!$H$6:$H$3690,", "),""))</f>
        <v/>
      </c>
      <c r="E71" s="340" t="e">
        <f>VLOOKUP(A71,'Diags Raw Data'!$A$6:$D$3690,4,FALSE)</f>
        <v>#N/A</v>
      </c>
      <c r="F71" s="340" t="str">
        <f>VLOOKUP(A71,'Feature Raw Data'!$A$3:$E$3922,5,FALSE)</f>
        <v>New</v>
      </c>
      <c r="G71" s="340" t="str">
        <f t="shared" si="6"/>
        <v>Yes</v>
      </c>
      <c r="H71" s="340" t="str">
        <f t="shared" si="7"/>
        <v>Yes</v>
      </c>
      <c r="I71" s="439">
        <f>SUMIF('Diags Raw Data'!$A$6:$A$3690,"*"&amp;$A71&amp;"*",'Diags Raw Data'!$K$6:$K$3690)</f>
        <v>0</v>
      </c>
      <c r="J71" s="441">
        <f>SUMIF('Diags Raw Data'!$A$6:$A$3690,"*"&amp;$A71&amp;"*",'Diags Raw Data'!$L$6:$L$3690)</f>
        <v>0</v>
      </c>
      <c r="K71" s="487" cm="1">
        <f t="array" ref="K71">IF(D71="",0, SUMPRODUCT(--(ISNUMBER(SEARCH($A71,'Diags Raw Data'!$A$6:$A$3690))),'Diags Raw Data'!$L$6:$L$3690,'Diags Raw Data'!$N$6:$N$3690)/J71)</f>
        <v>0</v>
      </c>
      <c r="L71" s="488" cm="1">
        <f t="array" ref="L71">IF(D71="",0, SUMPRODUCT(--(ISNUMBER(SEARCH($A71,'Diags Raw Data'!$A$6:$A$3690))),'Diags Raw Data'!$L$6:$L$3690,'Diags Raw Data'!$P$6:$P$3690)/J71)</f>
        <v>0</v>
      </c>
      <c r="M71" s="489" cm="1">
        <f t="array" ref="M71">SUMPRODUCT(--(ISNUMBER(SEARCH($A71,'Diags Raw Data'!$A$6:$A$3690))),--('Diags Raw Data'!$Q$6:$Q$3690&lt;&gt;"N/A"),'Diags Raw Data'!$R$6:$R$3690)</f>
        <v>0</v>
      </c>
      <c r="N71" s="490" cm="1">
        <f t="array" ref="N71">SUMPRODUCT(--(ISNUMBER(SEARCH($A71,'Diags Raw Data'!$A$6:$A$3690))),--('Diags Raw Data'!$Q$6:$Q$3690&lt;&gt;"N/A"),'Diags Raw Data'!$T$6:$T$3690)+SUMPRODUCT(--(ISNUMBER(SEARCH($A71,'Diags Raw Data'!$A$6:$A$3690))),--('Diags Raw Data'!$Q$6:$Q$3690&lt;&gt;"N/A"),'Diags Raw Data'!$U$6:$U$3690)</f>
        <v>0</v>
      </c>
      <c r="O71" s="491">
        <f t="shared" si="2"/>
        <v>0</v>
      </c>
      <c r="P71" s="492">
        <f>SUMIF('Diags Raw Data'!$A$6:$A$3690,"*"&amp;$A71&amp;"*",'Diags Raw Data'!$Z$6:$Z$3690)</f>
        <v>0</v>
      </c>
      <c r="Q71" s="493">
        <f>SUM(SUMIF('Diags Raw Data'!$A$6:$A$3690,"*"&amp;$A71&amp;"*",'Diags Raw Data'!$AA$6:$AA$3690),SUMIF('Diags Raw Data'!$A$6:$A$3690,"*"&amp;$A71&amp;"*",'Diags Raw Data'!$AB$6:$AB$3690))</f>
        <v>0</v>
      </c>
      <c r="R71" s="494">
        <f t="shared" ref="R71:R100" si="8">IF((J71=0),0,P71/J71)</f>
        <v>0</v>
      </c>
      <c r="S71" s="494">
        <f t="shared" ref="S71:S103" si="9">IF((P71=0),0,Q71/P71)</f>
        <v>0</v>
      </c>
      <c r="T71" s="495">
        <f t="shared" ref="T71:T102" si="10">R71*S71</f>
        <v>0</v>
      </c>
      <c r="U71" s="436" t="e">
        <f>VLOOKUP(A71,'Diags Raw Data'!$A$6:$AH$3690,33,FALSE)</f>
        <v>#N/A</v>
      </c>
      <c r="V71" s="181"/>
    </row>
    <row r="72" spans="1:22" ht="45.75" thickBot="1" x14ac:dyDescent="0.3">
      <c r="A72" s="549">
        <v>12.12</v>
      </c>
      <c r="B72" s="438" t="str">
        <f>VLOOKUP(A72,'Feature Raw Data'!$A$3:$B$3922,2,FALSE)</f>
        <v>WGP&amp;RB GRBM Index Remapping (possible gfx11.5)</v>
      </c>
      <c r="C72" s="439" t="str">
        <f>VLOOKUP(A72,'Feature Raw Data'!$A$3:$C$3922,3,FALSE)</f>
        <v>P1</v>
      </c>
      <c r="D72" s="440" t="str" cm="1">
        <f t="array" ref="D72">_xlfn.TEXTJOIN("",TRUE,IF(ISNUMBER(SEARCH($A72,'Diags Raw Data'!$A$6:$A$3690)),CONCATENATE('Diags Raw Data'!$H$6:$H$3690,", "),""))</f>
        <v/>
      </c>
      <c r="E72" s="340" t="e">
        <f>VLOOKUP(A72,'Diags Raw Data'!$A$6:$D$3690,4,FALSE)</f>
        <v>#N/A</v>
      </c>
      <c r="F72" s="340" t="str">
        <f>VLOOKUP(A72,'Feature Raw Data'!$A$3:$E$3922,5,FALSE)</f>
        <v>New</v>
      </c>
      <c r="G72" s="340" t="str">
        <f t="shared" si="6"/>
        <v>Yes</v>
      </c>
      <c r="H72" s="340" t="str">
        <f t="shared" si="7"/>
        <v>Yes</v>
      </c>
      <c r="I72" s="439">
        <f>SUMIF('Diags Raw Data'!$A$6:$A$3690,"*"&amp;$A72&amp;"*",'Diags Raw Data'!$K$6:$K$3690)</f>
        <v>0</v>
      </c>
      <c r="J72" s="441">
        <f>SUMIF('Diags Raw Data'!$A$6:$A$3690,"*"&amp;$A72&amp;"*",'Diags Raw Data'!$L$6:$L$3690)</f>
        <v>0</v>
      </c>
      <c r="K72" s="487" cm="1">
        <f t="array" ref="K72">IF(D72="",0, SUMPRODUCT(--(ISNUMBER(SEARCH($A72,'Diags Raw Data'!$A$6:$A$3690))),'Diags Raw Data'!$L$6:$L$3690,'Diags Raw Data'!$N$6:$N$3690)/J72)</f>
        <v>0</v>
      </c>
      <c r="L72" s="488" cm="1">
        <f t="array" ref="L72">IF(D72="",0, SUMPRODUCT(--(ISNUMBER(SEARCH($A72,'Diags Raw Data'!$A$6:$A$3690))),'Diags Raw Data'!$L$6:$L$3690,'Diags Raw Data'!$P$6:$P$3690)/J72)</f>
        <v>0</v>
      </c>
      <c r="M72" s="489" cm="1">
        <f t="array" ref="M72">SUMPRODUCT(--(ISNUMBER(SEARCH($A72,'Diags Raw Data'!$A$6:$A$3690))),--('Diags Raw Data'!$Q$6:$Q$3690&lt;&gt;"N/A"),'Diags Raw Data'!$R$6:$R$3690)</f>
        <v>0</v>
      </c>
      <c r="N72" s="490" cm="1">
        <f t="array" ref="N72">SUMPRODUCT(--(ISNUMBER(SEARCH($A72,'Diags Raw Data'!$A$6:$A$3690))),--('Diags Raw Data'!$Q$6:$Q$3690&lt;&gt;"N/A"),'Diags Raw Data'!$T$6:$T$3690)+SUMPRODUCT(--(ISNUMBER(SEARCH($A72,'Diags Raw Data'!$A$6:$A$3690))),--('Diags Raw Data'!$Q$6:$Q$3690&lt;&gt;"N/A"),'Diags Raw Data'!$U$6:$U$3690)</f>
        <v>0</v>
      </c>
      <c r="O72" s="491">
        <f t="shared" ref="O72:O103" si="11">IF((M72=0),0,N72/M72)</f>
        <v>0</v>
      </c>
      <c r="P72" s="492">
        <f>SUMIF('Diags Raw Data'!$A$6:$A$3690,"*"&amp;$A72&amp;"*",'Diags Raw Data'!$Z$6:$Z$3690)</f>
        <v>0</v>
      </c>
      <c r="Q72" s="493">
        <f>SUM(SUMIF('Diags Raw Data'!$A$6:$A$3690,"*"&amp;$A72&amp;"*",'Diags Raw Data'!$AA$6:$AA$3690),SUMIF('Diags Raw Data'!$A$6:$A$3690,"*"&amp;$A72&amp;"*",'Diags Raw Data'!$AB$6:$AB$3690))</f>
        <v>0</v>
      </c>
      <c r="R72" s="494">
        <f t="shared" si="8"/>
        <v>0</v>
      </c>
      <c r="S72" s="494">
        <f t="shared" si="9"/>
        <v>0</v>
      </c>
      <c r="T72" s="495">
        <f t="shared" si="10"/>
        <v>0</v>
      </c>
      <c r="U72" s="436" t="e">
        <f>VLOOKUP(A72,'Diags Raw Data'!$A$6:$AH$3690,33,FALSE)</f>
        <v>#N/A</v>
      </c>
      <c r="V72" s="181"/>
    </row>
    <row r="73" spans="1:22" ht="15.75" thickBot="1" x14ac:dyDescent="0.3">
      <c r="A73" s="549">
        <v>12.124000000000001</v>
      </c>
      <c r="B73" s="438" t="str">
        <f>VLOOKUP(A73,'Feature Raw Data'!$A$3:$B$3922,2,FALSE)</f>
        <v xml:space="preserve">CSC Group Launch guarantee </v>
      </c>
      <c r="C73" s="439" t="str">
        <f>VLOOKUP(A73,'Feature Raw Data'!$A$3:$C$3922,3,FALSE)</f>
        <v>P2</v>
      </c>
      <c r="D73" s="440" t="str" cm="1">
        <f t="array" ref="D73">_xlfn.TEXTJOIN("",TRUE,IF(ISNUMBER(SEARCH($A73,'Diags Raw Data'!$A$6:$A$3690)),CONCATENATE('Diags Raw Data'!$H$6:$H$3690,", "),""))</f>
        <v/>
      </c>
      <c r="E73" s="340" t="e">
        <f>VLOOKUP(A73,'Diags Raw Data'!$A$6:$D$3690,4,FALSE)</f>
        <v>#N/A</v>
      </c>
      <c r="F73" s="340" t="str">
        <f>VLOOKUP(A73,'Feature Raw Data'!$A$3:$E$3922,5,FALSE)</f>
        <v>New</v>
      </c>
      <c r="G73" s="340" t="str">
        <f t="shared" si="6"/>
        <v>Yes</v>
      </c>
      <c r="H73" s="340" t="str">
        <f t="shared" si="7"/>
        <v>Yes</v>
      </c>
      <c r="I73" s="439">
        <f>SUMIF('Diags Raw Data'!$A$6:$A$3690,"*"&amp;$A73&amp;"*",'Diags Raw Data'!$K$6:$K$3690)</f>
        <v>0</v>
      </c>
      <c r="J73" s="441">
        <f>SUMIF('Diags Raw Data'!$A$6:$A$3690,"*"&amp;$A73&amp;"*",'Diags Raw Data'!$L$6:$L$3690)</f>
        <v>0</v>
      </c>
      <c r="K73" s="487" cm="1">
        <f t="array" ref="K73">IF(D73="",0, SUMPRODUCT(--(ISNUMBER(SEARCH($A73,'Diags Raw Data'!$A$6:$A$3690))),'Diags Raw Data'!$L$6:$L$3690,'Diags Raw Data'!$N$6:$N$3690)/J73)</f>
        <v>0</v>
      </c>
      <c r="L73" s="488" cm="1">
        <f t="array" ref="L73">IF(D73="",0, SUMPRODUCT(--(ISNUMBER(SEARCH($A73,'Diags Raw Data'!$A$6:$A$3690))),'Diags Raw Data'!$L$6:$L$3690,'Diags Raw Data'!$P$6:$P$3690)/J73)</f>
        <v>0</v>
      </c>
      <c r="M73" s="489" cm="1">
        <f t="array" ref="M73">SUMPRODUCT(--(ISNUMBER(SEARCH($A73,'Diags Raw Data'!$A$6:$A$3690))),--('Diags Raw Data'!$Q$6:$Q$3690&lt;&gt;"N/A"),'Diags Raw Data'!$R$6:$R$3690)</f>
        <v>0</v>
      </c>
      <c r="N73" s="490" cm="1">
        <f t="array" ref="N73">SUMPRODUCT(--(ISNUMBER(SEARCH($A73,'Diags Raw Data'!$A$6:$A$3690))),--('Diags Raw Data'!$Q$6:$Q$3690&lt;&gt;"N/A"),'Diags Raw Data'!$T$6:$T$3690)+SUMPRODUCT(--(ISNUMBER(SEARCH($A73,'Diags Raw Data'!$A$6:$A$3690))),--('Diags Raw Data'!$Q$6:$Q$3690&lt;&gt;"N/A"),'Diags Raw Data'!$U$6:$U$3690)</f>
        <v>0</v>
      </c>
      <c r="O73" s="491">
        <f t="shared" si="11"/>
        <v>0</v>
      </c>
      <c r="P73" s="492">
        <f>SUMIF('Diags Raw Data'!$A$6:$A$3690,"*"&amp;$A73&amp;"*",'Diags Raw Data'!$Z$6:$Z$3690)</f>
        <v>0</v>
      </c>
      <c r="Q73" s="493">
        <f>SUM(SUMIF('Diags Raw Data'!$A$6:$A$3690,"*"&amp;$A73&amp;"*",'Diags Raw Data'!$AA$6:$AA$3690),SUMIF('Diags Raw Data'!$A$6:$A$3690,"*"&amp;$A73&amp;"*",'Diags Raw Data'!$AB$6:$AB$3690))</f>
        <v>0</v>
      </c>
      <c r="R73" s="494">
        <f t="shared" si="8"/>
        <v>0</v>
      </c>
      <c r="S73" s="494">
        <f t="shared" si="9"/>
        <v>0</v>
      </c>
      <c r="T73" s="495">
        <f t="shared" si="10"/>
        <v>0</v>
      </c>
      <c r="U73" s="436" t="e">
        <f>VLOOKUP(A73,'Diags Raw Data'!$A$6:$AH$3690,33,FALSE)</f>
        <v>#N/A</v>
      </c>
      <c r="V73" s="181"/>
    </row>
    <row r="74" spans="1:22" ht="30.75" thickBot="1" x14ac:dyDescent="0.3">
      <c r="A74" s="549">
        <v>12.125</v>
      </c>
      <c r="B74" s="438" t="str">
        <f>VLOOKUP(A74,'Feature Raw Data'!$A$3:$B$3922,2,FALSE)</f>
        <v xml:space="preserve">GFX Pipe Group Launch Guarantee </v>
      </c>
      <c r="C74" s="439" t="str">
        <f>VLOOKUP(A74,'Feature Raw Data'!$A$3:$C$3922,3,FALSE)</f>
        <v>P2</v>
      </c>
      <c r="D74" s="440" t="str" cm="1">
        <f t="array" ref="D74">_xlfn.TEXTJOIN("",TRUE,IF(ISNUMBER(SEARCH($A74,'Diags Raw Data'!$A$6:$A$3690)),CONCATENATE('Diags Raw Data'!$H$6:$H$3690,", "),""))</f>
        <v/>
      </c>
      <c r="E74" s="340" t="e">
        <f>VLOOKUP(A74,'Diags Raw Data'!$A$6:$D$3690,4,FALSE)</f>
        <v>#N/A</v>
      </c>
      <c r="F74" s="340" t="str">
        <f>VLOOKUP(A74,'Feature Raw Data'!$A$3:$E$3922,5,FALSE)</f>
        <v>New</v>
      </c>
      <c r="G74" s="340" t="str">
        <f t="shared" si="6"/>
        <v>Yes</v>
      </c>
      <c r="H74" s="340" t="str">
        <f t="shared" si="7"/>
        <v>Yes</v>
      </c>
      <c r="I74" s="439">
        <f>SUMIF('Diags Raw Data'!$A$6:$A$3690,"*"&amp;$A74&amp;"*",'Diags Raw Data'!$K$6:$K$3690)</f>
        <v>0</v>
      </c>
      <c r="J74" s="441">
        <f>SUMIF('Diags Raw Data'!$A$6:$A$3690,"*"&amp;$A74&amp;"*",'Diags Raw Data'!$L$6:$L$3690)</f>
        <v>0</v>
      </c>
      <c r="K74" s="487" cm="1">
        <f t="array" ref="K74">IF(D74="",0, SUMPRODUCT(--(ISNUMBER(SEARCH($A74,'Diags Raw Data'!$A$6:$A$3690))),'Diags Raw Data'!$L$6:$L$3690,'Diags Raw Data'!$N$6:$N$3690)/J74)</f>
        <v>0</v>
      </c>
      <c r="L74" s="488" cm="1">
        <f t="array" ref="L74">IF(D74="",0, SUMPRODUCT(--(ISNUMBER(SEARCH($A74,'Diags Raw Data'!$A$6:$A$3690))),'Diags Raw Data'!$L$6:$L$3690,'Diags Raw Data'!$P$6:$P$3690)/J74)</f>
        <v>0</v>
      </c>
      <c r="M74" s="489" cm="1">
        <f t="array" ref="M74">SUMPRODUCT(--(ISNUMBER(SEARCH($A74,'Diags Raw Data'!$A$6:$A$3690))),--('Diags Raw Data'!$Q$6:$Q$3690&lt;&gt;"N/A"),'Diags Raw Data'!$R$6:$R$3690)</f>
        <v>0</v>
      </c>
      <c r="N74" s="490" cm="1">
        <f t="array" ref="N74">SUMPRODUCT(--(ISNUMBER(SEARCH($A74,'Diags Raw Data'!$A$6:$A$3690))),--('Diags Raw Data'!$Q$6:$Q$3690&lt;&gt;"N/A"),'Diags Raw Data'!$T$6:$T$3690)+SUMPRODUCT(--(ISNUMBER(SEARCH($A74,'Diags Raw Data'!$A$6:$A$3690))),--('Diags Raw Data'!$Q$6:$Q$3690&lt;&gt;"N/A"),'Diags Raw Data'!$U$6:$U$3690)</f>
        <v>0</v>
      </c>
      <c r="O74" s="491">
        <f t="shared" si="11"/>
        <v>0</v>
      </c>
      <c r="P74" s="492">
        <f>SUMIF('Diags Raw Data'!$A$6:$A$3690,"*"&amp;$A74&amp;"*",'Diags Raw Data'!$Z$6:$Z$3690)</f>
        <v>0</v>
      </c>
      <c r="Q74" s="493">
        <f>SUM(SUMIF('Diags Raw Data'!$A$6:$A$3690,"*"&amp;$A74&amp;"*",'Diags Raw Data'!$AA$6:$AA$3690),SUMIF('Diags Raw Data'!$A$6:$A$3690,"*"&amp;$A74&amp;"*",'Diags Raw Data'!$AB$6:$AB$3690))</f>
        <v>0</v>
      </c>
      <c r="R74" s="494">
        <f t="shared" si="8"/>
        <v>0</v>
      </c>
      <c r="S74" s="494">
        <f t="shared" si="9"/>
        <v>0</v>
      </c>
      <c r="T74" s="495">
        <f t="shared" si="10"/>
        <v>0</v>
      </c>
      <c r="U74" s="436" t="e">
        <f>VLOOKUP(A74,'Diags Raw Data'!$A$6:$AH$3690,33,FALSE)</f>
        <v>#N/A</v>
      </c>
      <c r="V74" s="181"/>
    </row>
    <row r="75" spans="1:22" ht="30.75" thickBot="1" x14ac:dyDescent="0.3">
      <c r="A75" s="549">
        <v>12.128</v>
      </c>
      <c r="B75" s="438" t="str">
        <f>VLOOKUP(A75,'Feature Raw Data'!$A$3:$B$3922,2,FALSE)</f>
        <v xml:space="preserve">Packet Hardening for Microsoft Telemetry </v>
      </c>
      <c r="C75" s="439" t="str">
        <f>VLOOKUP(A75,'Feature Raw Data'!$A$3:$C$3922,3,FALSE)</f>
        <v>P1</v>
      </c>
      <c r="D75" s="440" t="str" cm="1">
        <f t="array" ref="D75">_xlfn.TEXTJOIN("",TRUE,IF(ISNUMBER(SEARCH($A75,'Diags Raw Data'!$A$6:$A$3690)),CONCATENATE('Diags Raw Data'!$H$6:$H$3690,", "),""))</f>
        <v/>
      </c>
      <c r="E75" s="340" t="e">
        <f>VLOOKUP(A75,'Diags Raw Data'!$A$6:$D$3690,4,FALSE)</f>
        <v>#N/A</v>
      </c>
      <c r="F75" s="340" t="str">
        <f>VLOOKUP(A75,'Feature Raw Data'!$A$3:$E$3922,5,FALSE)</f>
        <v>New</v>
      </c>
      <c r="G75" s="340" t="str">
        <f t="shared" si="6"/>
        <v>Yes</v>
      </c>
      <c r="H75" s="340" t="str">
        <f t="shared" si="7"/>
        <v>Yes</v>
      </c>
      <c r="I75" s="439">
        <f>SUMIF('Diags Raw Data'!$A$6:$A$3690,"*"&amp;$A75&amp;"*",'Diags Raw Data'!$K$6:$K$3690)</f>
        <v>0</v>
      </c>
      <c r="J75" s="441">
        <f>SUMIF('Diags Raw Data'!$A$6:$A$3690,"*"&amp;$A75&amp;"*",'Diags Raw Data'!$L$6:$L$3690)</f>
        <v>0</v>
      </c>
      <c r="K75" s="487" cm="1">
        <f t="array" ref="K75">IF(D75="",0, SUMPRODUCT(--(ISNUMBER(SEARCH($A75,'Diags Raw Data'!$A$6:$A$3690))),'Diags Raw Data'!$L$6:$L$3690,'Diags Raw Data'!$N$6:$N$3690)/J75)</f>
        <v>0</v>
      </c>
      <c r="L75" s="488" cm="1">
        <f t="array" ref="L75">IF(D75="",0, SUMPRODUCT(--(ISNUMBER(SEARCH($A75,'Diags Raw Data'!$A$6:$A$3690))),'Diags Raw Data'!$L$6:$L$3690,'Diags Raw Data'!$P$6:$P$3690)/J75)</f>
        <v>0</v>
      </c>
      <c r="M75" s="489" cm="1">
        <f t="array" ref="M75">SUMPRODUCT(--(ISNUMBER(SEARCH($A75,'Diags Raw Data'!$A$6:$A$3690))),--('Diags Raw Data'!$Q$6:$Q$3690&lt;&gt;"N/A"),'Diags Raw Data'!$R$6:$R$3690)</f>
        <v>0</v>
      </c>
      <c r="N75" s="490" cm="1">
        <f t="array" ref="N75">SUMPRODUCT(--(ISNUMBER(SEARCH($A75,'Diags Raw Data'!$A$6:$A$3690))),--('Diags Raw Data'!$Q$6:$Q$3690&lt;&gt;"N/A"),'Diags Raw Data'!$T$6:$T$3690)+SUMPRODUCT(--(ISNUMBER(SEARCH($A75,'Diags Raw Data'!$A$6:$A$3690))),--('Diags Raw Data'!$Q$6:$Q$3690&lt;&gt;"N/A"),'Diags Raw Data'!$U$6:$U$3690)</f>
        <v>0</v>
      </c>
      <c r="O75" s="491">
        <f t="shared" si="11"/>
        <v>0</v>
      </c>
      <c r="P75" s="492">
        <f>SUMIF('Diags Raw Data'!$A$6:$A$3690,"*"&amp;$A75&amp;"*",'Diags Raw Data'!$Z$6:$Z$3690)</f>
        <v>0</v>
      </c>
      <c r="Q75" s="493">
        <f>SUM(SUMIF('Diags Raw Data'!$A$6:$A$3690,"*"&amp;$A75&amp;"*",'Diags Raw Data'!$AA$6:$AA$3690),SUMIF('Diags Raw Data'!$A$6:$A$3690,"*"&amp;$A75&amp;"*",'Diags Raw Data'!$AB$6:$AB$3690))</f>
        <v>0</v>
      </c>
      <c r="R75" s="494">
        <f t="shared" si="8"/>
        <v>0</v>
      </c>
      <c r="S75" s="494">
        <f t="shared" si="9"/>
        <v>0</v>
      </c>
      <c r="T75" s="495">
        <f t="shared" si="10"/>
        <v>0</v>
      </c>
      <c r="U75" s="436" t="e">
        <f>VLOOKUP(A75,'Diags Raw Data'!$A$6:$AH$3690,33,FALSE)</f>
        <v>#N/A</v>
      </c>
      <c r="V75" s="181"/>
    </row>
    <row r="76" spans="1:22" ht="45.75" thickBot="1" x14ac:dyDescent="0.3">
      <c r="A76" s="549">
        <v>12.13</v>
      </c>
      <c r="B76" s="438" t="str">
        <f>VLOOKUP(A76,'Feature Raw Data'!$A$3:$B$3922,2,FALSE)</f>
        <v xml:space="preserve">add TCP out of order response support </v>
      </c>
      <c r="C76" s="439" t="str">
        <f>VLOOKUP(A76,'Feature Raw Data'!$A$3:$C$3922,3,FALSE)</f>
        <v>P1</v>
      </c>
      <c r="D76" s="440" t="str" cm="1">
        <f t="array" ref="D76">_xlfn.TEXTJOIN("",TRUE,IF(ISNUMBER(SEARCH($A76,'Diags Raw Data'!$A$6:$A$3690)),CONCATENATE('Diags Raw Data'!$H$6:$H$3690,", "),""))</f>
        <v/>
      </c>
      <c r="E76" s="340" t="e">
        <f>VLOOKUP(A76,'Diags Raw Data'!$A$6:$D$3690,4,FALSE)</f>
        <v>#N/A</v>
      </c>
      <c r="F76" s="340" t="str">
        <f>VLOOKUP(A76,'Feature Raw Data'!$A$3:$E$3922,5,FALSE)</f>
        <v>New</v>
      </c>
      <c r="G76" s="340" t="str">
        <f t="shared" si="6"/>
        <v>Yes</v>
      </c>
      <c r="H76" s="340" t="str">
        <f t="shared" si="7"/>
        <v>Yes</v>
      </c>
      <c r="I76" s="439">
        <f>SUMIF('Diags Raw Data'!$A$6:$A$3690,"*"&amp;$A76&amp;"*",'Diags Raw Data'!$K$6:$K$3690)</f>
        <v>0</v>
      </c>
      <c r="J76" s="441">
        <f>SUMIF('Diags Raw Data'!$A$6:$A$3690,"*"&amp;$A76&amp;"*",'Diags Raw Data'!$L$6:$L$3690)</f>
        <v>0</v>
      </c>
      <c r="K76" s="487" cm="1">
        <f t="array" ref="K76">IF(D76="",0, SUMPRODUCT(--(ISNUMBER(SEARCH($A76,'Diags Raw Data'!$A$6:$A$3690))),'Diags Raw Data'!$L$6:$L$3690,'Diags Raw Data'!$N$6:$N$3690)/J76)</f>
        <v>0</v>
      </c>
      <c r="L76" s="488" cm="1">
        <f t="array" ref="L76">IF(D76="",0, SUMPRODUCT(--(ISNUMBER(SEARCH($A76,'Diags Raw Data'!$A$6:$A$3690))),'Diags Raw Data'!$L$6:$L$3690,'Diags Raw Data'!$P$6:$P$3690)/J76)</f>
        <v>0</v>
      </c>
      <c r="M76" s="489" cm="1">
        <f t="array" ref="M76">SUMPRODUCT(--(ISNUMBER(SEARCH($A76,'Diags Raw Data'!$A$6:$A$3690))),--('Diags Raw Data'!$Q$6:$Q$3690&lt;&gt;"N/A"),'Diags Raw Data'!$R$6:$R$3690)</f>
        <v>0</v>
      </c>
      <c r="N76" s="490" cm="1">
        <f t="array" ref="N76">SUMPRODUCT(--(ISNUMBER(SEARCH($A76,'Diags Raw Data'!$A$6:$A$3690))),--('Diags Raw Data'!$Q$6:$Q$3690&lt;&gt;"N/A"),'Diags Raw Data'!$T$6:$T$3690)+SUMPRODUCT(--(ISNUMBER(SEARCH($A76,'Diags Raw Data'!$A$6:$A$3690))),--('Diags Raw Data'!$Q$6:$Q$3690&lt;&gt;"N/A"),'Diags Raw Data'!$U$6:$U$3690)</f>
        <v>0</v>
      </c>
      <c r="O76" s="491">
        <f t="shared" si="11"/>
        <v>0</v>
      </c>
      <c r="P76" s="492">
        <f>SUMIF('Diags Raw Data'!$A$6:$A$3690,"*"&amp;$A76&amp;"*",'Diags Raw Data'!$Z$6:$Z$3690)</f>
        <v>0</v>
      </c>
      <c r="Q76" s="493">
        <f>SUM(SUMIF('Diags Raw Data'!$A$6:$A$3690,"*"&amp;$A76&amp;"*",'Diags Raw Data'!$AA$6:$AA$3690),SUMIF('Diags Raw Data'!$A$6:$A$3690,"*"&amp;$A76&amp;"*",'Diags Raw Data'!$AB$6:$AB$3690))</f>
        <v>0</v>
      </c>
      <c r="R76" s="494">
        <f t="shared" si="8"/>
        <v>0</v>
      </c>
      <c r="S76" s="494">
        <f t="shared" si="9"/>
        <v>0</v>
      </c>
      <c r="T76" s="495">
        <f t="shared" si="10"/>
        <v>0</v>
      </c>
      <c r="U76" s="436" t="e">
        <f>VLOOKUP(A76,'Diags Raw Data'!$A$6:$AH$3690,33,FALSE)</f>
        <v>#N/A</v>
      </c>
      <c r="V76" s="181"/>
    </row>
    <row r="77" spans="1:22" ht="30.75" thickBot="1" x14ac:dyDescent="0.3">
      <c r="A77" s="549">
        <v>12.132</v>
      </c>
      <c r="B77" s="438" t="str">
        <f>VLOOKUP(A77,'Feature Raw Data'!$A$3:$B$3922,2,FALSE)</f>
        <v xml:space="preserve">CP/RLC/SDMA 40-bit Register Addressing to GRBM&lt;&gt;RSMU </v>
      </c>
      <c r="C77" s="439" t="str">
        <f>VLOOKUP(A77,'Feature Raw Data'!$A$3:$C$3922,3,FALSE)</f>
        <v>P1</v>
      </c>
      <c r="D77" s="440" t="str" cm="1">
        <f t="array" ref="D77">_xlfn.TEXTJOIN("",TRUE,IF(ISNUMBER(SEARCH($A77,'Diags Raw Data'!$A$6:$A$3690)),CONCATENATE('Diags Raw Data'!$H$6:$H$3690,", "),""))</f>
        <v/>
      </c>
      <c r="E77" s="340" t="e">
        <f>VLOOKUP(A77,'Diags Raw Data'!$A$6:$D$3690,4,FALSE)</f>
        <v>#N/A</v>
      </c>
      <c r="F77" s="340" t="str">
        <f>VLOOKUP(A77,'Feature Raw Data'!$A$3:$E$3922,5,FALSE)</f>
        <v>New</v>
      </c>
      <c r="G77" s="340" t="str">
        <f t="shared" si="6"/>
        <v>Yes</v>
      </c>
      <c r="H77" s="340" t="str">
        <f t="shared" si="7"/>
        <v>Yes</v>
      </c>
      <c r="I77" s="439">
        <f>SUMIF('Diags Raw Data'!$A$6:$A$3690,"*"&amp;$A77&amp;"*",'Diags Raw Data'!$K$6:$K$3690)</f>
        <v>0</v>
      </c>
      <c r="J77" s="441">
        <f>SUMIF('Diags Raw Data'!$A$6:$A$3690,"*"&amp;$A77&amp;"*",'Diags Raw Data'!$L$6:$L$3690)</f>
        <v>0</v>
      </c>
      <c r="K77" s="487" cm="1">
        <f t="array" ref="K77">IF(D77="",0, SUMPRODUCT(--(ISNUMBER(SEARCH($A77,'Diags Raw Data'!$A$6:$A$3690))),'Diags Raw Data'!$L$6:$L$3690,'Diags Raw Data'!$N$6:$N$3690)/J77)</f>
        <v>0</v>
      </c>
      <c r="L77" s="488" cm="1">
        <f t="array" ref="L77">IF(D77="",0, SUMPRODUCT(--(ISNUMBER(SEARCH($A77,'Diags Raw Data'!$A$6:$A$3690))),'Diags Raw Data'!$L$6:$L$3690,'Diags Raw Data'!$P$6:$P$3690)/J77)</f>
        <v>0</v>
      </c>
      <c r="M77" s="489" cm="1">
        <f t="array" ref="M77">SUMPRODUCT(--(ISNUMBER(SEARCH($A77,'Diags Raw Data'!$A$6:$A$3690))),--('Diags Raw Data'!$Q$6:$Q$3690&lt;&gt;"N/A"),'Diags Raw Data'!$R$6:$R$3690)</f>
        <v>0</v>
      </c>
      <c r="N77" s="490" cm="1">
        <f t="array" ref="N77">SUMPRODUCT(--(ISNUMBER(SEARCH($A77,'Diags Raw Data'!$A$6:$A$3690))),--('Diags Raw Data'!$Q$6:$Q$3690&lt;&gt;"N/A"),'Diags Raw Data'!$T$6:$T$3690)+SUMPRODUCT(--(ISNUMBER(SEARCH($A77,'Diags Raw Data'!$A$6:$A$3690))),--('Diags Raw Data'!$Q$6:$Q$3690&lt;&gt;"N/A"),'Diags Raw Data'!$U$6:$U$3690)</f>
        <v>0</v>
      </c>
      <c r="O77" s="491">
        <f t="shared" si="11"/>
        <v>0</v>
      </c>
      <c r="P77" s="492">
        <f>SUMIF('Diags Raw Data'!$A$6:$A$3690,"*"&amp;$A77&amp;"*",'Diags Raw Data'!$Z$6:$Z$3690)</f>
        <v>0</v>
      </c>
      <c r="Q77" s="493">
        <f>SUM(SUMIF('Diags Raw Data'!$A$6:$A$3690,"*"&amp;$A77&amp;"*",'Diags Raw Data'!$AA$6:$AA$3690),SUMIF('Diags Raw Data'!$A$6:$A$3690,"*"&amp;$A77&amp;"*",'Diags Raw Data'!$AB$6:$AB$3690))</f>
        <v>0</v>
      </c>
      <c r="R77" s="494">
        <f t="shared" si="8"/>
        <v>0</v>
      </c>
      <c r="S77" s="494">
        <f t="shared" si="9"/>
        <v>0</v>
      </c>
      <c r="T77" s="495">
        <f t="shared" si="10"/>
        <v>0</v>
      </c>
      <c r="U77" s="436" t="e">
        <f>VLOOKUP(A77,'Diags Raw Data'!$A$6:$AH$3690,33,FALSE)</f>
        <v>#N/A</v>
      </c>
      <c r="V77" s="181"/>
    </row>
    <row r="78" spans="1:22" ht="45.75" thickBot="1" x14ac:dyDescent="0.3">
      <c r="A78" s="549">
        <v>12.132999999999999</v>
      </c>
      <c r="B78" s="438" t="str">
        <f>VLOOKUP(A78,'Feature Raw Data'!$A$3:$B$3922,2,FALSE)</f>
        <v xml:space="preserve">Removal of Clear State Context 0 and reclamation for rendering </v>
      </c>
      <c r="C78" s="439" t="str">
        <f>VLOOKUP(A78,'Feature Raw Data'!$A$3:$C$3922,3,FALSE)</f>
        <v>P1</v>
      </c>
      <c r="D78" s="440" t="str" cm="1">
        <f t="array" ref="D78">_xlfn.TEXTJOIN("",TRUE,IF(ISNUMBER(SEARCH($A78,'Diags Raw Data'!$A$6:$A$3690)),CONCATENATE('Diags Raw Data'!$H$6:$H$3690,", "),""))</f>
        <v/>
      </c>
      <c r="E78" s="340" t="e">
        <f>VLOOKUP(A78,'Diags Raw Data'!$A$6:$D$3690,4,FALSE)</f>
        <v>#N/A</v>
      </c>
      <c r="F78" s="340" t="str">
        <f>VLOOKUP(A78,'Feature Raw Data'!$A$3:$E$3922,5,FALSE)</f>
        <v>New</v>
      </c>
      <c r="G78" s="340" t="str">
        <f t="shared" si="6"/>
        <v>Yes</v>
      </c>
      <c r="H78" s="340" t="str">
        <f t="shared" si="7"/>
        <v>Yes</v>
      </c>
      <c r="I78" s="439">
        <f>SUMIF('Diags Raw Data'!$A$6:$A$3690,"*"&amp;$A78&amp;"*",'Diags Raw Data'!$K$6:$K$3690)</f>
        <v>0</v>
      </c>
      <c r="J78" s="441">
        <f>SUMIF('Diags Raw Data'!$A$6:$A$3690,"*"&amp;$A78&amp;"*",'Diags Raw Data'!$L$6:$L$3690)</f>
        <v>0</v>
      </c>
      <c r="K78" s="487" cm="1">
        <f t="array" ref="K78">IF(D78="",0, SUMPRODUCT(--(ISNUMBER(SEARCH($A78,'Diags Raw Data'!$A$6:$A$3690))),'Diags Raw Data'!$L$6:$L$3690,'Diags Raw Data'!$N$6:$N$3690)/J78)</f>
        <v>0</v>
      </c>
      <c r="L78" s="488" cm="1">
        <f t="array" ref="L78">IF(D78="",0, SUMPRODUCT(--(ISNUMBER(SEARCH($A78,'Diags Raw Data'!$A$6:$A$3690))),'Diags Raw Data'!$L$6:$L$3690,'Diags Raw Data'!$P$6:$P$3690)/J78)</f>
        <v>0</v>
      </c>
      <c r="M78" s="489" cm="1">
        <f t="array" ref="M78">SUMPRODUCT(--(ISNUMBER(SEARCH($A78,'Diags Raw Data'!$A$6:$A$3690))),--('Diags Raw Data'!$Q$6:$Q$3690&lt;&gt;"N/A"),'Diags Raw Data'!$R$6:$R$3690)</f>
        <v>0</v>
      </c>
      <c r="N78" s="490" cm="1">
        <f t="array" ref="N78">SUMPRODUCT(--(ISNUMBER(SEARCH($A78,'Diags Raw Data'!$A$6:$A$3690))),--('Diags Raw Data'!$Q$6:$Q$3690&lt;&gt;"N/A"),'Diags Raw Data'!$T$6:$T$3690)+SUMPRODUCT(--(ISNUMBER(SEARCH($A78,'Diags Raw Data'!$A$6:$A$3690))),--('Diags Raw Data'!$Q$6:$Q$3690&lt;&gt;"N/A"),'Diags Raw Data'!$U$6:$U$3690)</f>
        <v>0</v>
      </c>
      <c r="O78" s="491">
        <f t="shared" si="11"/>
        <v>0</v>
      </c>
      <c r="P78" s="492">
        <f>SUMIF('Diags Raw Data'!$A$6:$A$3690,"*"&amp;$A78&amp;"*",'Diags Raw Data'!$Z$6:$Z$3690)</f>
        <v>0</v>
      </c>
      <c r="Q78" s="493">
        <f>SUM(SUMIF('Diags Raw Data'!$A$6:$A$3690,"*"&amp;$A78&amp;"*",'Diags Raw Data'!$AA$6:$AA$3690),SUMIF('Diags Raw Data'!$A$6:$A$3690,"*"&amp;$A78&amp;"*",'Diags Raw Data'!$AB$6:$AB$3690))</f>
        <v>0</v>
      </c>
      <c r="R78" s="494">
        <f t="shared" si="8"/>
        <v>0</v>
      </c>
      <c r="S78" s="494">
        <f t="shared" si="9"/>
        <v>0</v>
      </c>
      <c r="T78" s="495">
        <f t="shared" si="10"/>
        <v>0</v>
      </c>
      <c r="U78" s="436" t="e">
        <f>VLOOKUP(A78,'Diags Raw Data'!$A$6:$AH$3690,33,FALSE)</f>
        <v>#N/A</v>
      </c>
      <c r="V78" s="181"/>
    </row>
    <row r="79" spans="1:22" ht="15.75" thickBot="1" x14ac:dyDescent="0.3">
      <c r="A79" s="549">
        <v>12.134</v>
      </c>
      <c r="B79" s="438" t="str">
        <f>VLOOKUP(A79,'Feature Raw Data'!$A$3:$B$3922,2,FALSE)</f>
        <v xml:space="preserve">MES Handling Doorbell Misses </v>
      </c>
      <c r="C79" s="439" t="str">
        <f>VLOOKUP(A79,'Feature Raw Data'!$A$3:$C$3922,3,FALSE)</f>
        <v>P1</v>
      </c>
      <c r="D79" s="440" t="str" cm="1">
        <f t="array" ref="D79">_xlfn.TEXTJOIN("",TRUE,IF(ISNUMBER(SEARCH($A79,'Diags Raw Data'!$A$6:$A$3690)),CONCATENATE('Diags Raw Data'!$H$6:$H$3690,", "),""))</f>
        <v/>
      </c>
      <c r="E79" s="340" t="e">
        <f>VLOOKUP(A79,'Diags Raw Data'!$A$6:$D$3690,4,FALSE)</f>
        <v>#N/A</v>
      </c>
      <c r="F79" s="340" t="str">
        <f>VLOOKUP(A79,'Feature Raw Data'!$A$3:$E$3922,5,FALSE)</f>
        <v>New</v>
      </c>
      <c r="G79" s="340" t="str">
        <f t="shared" si="6"/>
        <v>Yes</v>
      </c>
      <c r="H79" s="340" t="str">
        <f t="shared" si="7"/>
        <v>Yes</v>
      </c>
      <c r="I79" s="439">
        <f>SUMIF('Diags Raw Data'!$A$6:$A$3690,"*"&amp;$A79&amp;"*",'Diags Raw Data'!$K$6:$K$3690)</f>
        <v>0</v>
      </c>
      <c r="J79" s="441">
        <f>SUMIF('Diags Raw Data'!$A$6:$A$3690,"*"&amp;$A79&amp;"*",'Diags Raw Data'!$L$6:$L$3690)</f>
        <v>0</v>
      </c>
      <c r="K79" s="487" cm="1">
        <f t="array" ref="K79">IF(D79="",0, SUMPRODUCT(--(ISNUMBER(SEARCH($A79,'Diags Raw Data'!$A$6:$A$3690))),'Diags Raw Data'!$L$6:$L$3690,'Diags Raw Data'!$N$6:$N$3690)/J79)</f>
        <v>0</v>
      </c>
      <c r="L79" s="488" cm="1">
        <f t="array" ref="L79">IF(D79="",0, SUMPRODUCT(--(ISNUMBER(SEARCH($A79,'Diags Raw Data'!$A$6:$A$3690))),'Diags Raw Data'!$L$6:$L$3690,'Diags Raw Data'!$P$6:$P$3690)/J79)</f>
        <v>0</v>
      </c>
      <c r="M79" s="489" cm="1">
        <f t="array" ref="M79">SUMPRODUCT(--(ISNUMBER(SEARCH($A79,'Diags Raw Data'!$A$6:$A$3690))),--('Diags Raw Data'!$Q$6:$Q$3690&lt;&gt;"N/A"),'Diags Raw Data'!$R$6:$R$3690)</f>
        <v>0</v>
      </c>
      <c r="N79" s="490" cm="1">
        <f t="array" ref="N79">SUMPRODUCT(--(ISNUMBER(SEARCH($A79,'Diags Raw Data'!$A$6:$A$3690))),--('Diags Raw Data'!$Q$6:$Q$3690&lt;&gt;"N/A"),'Diags Raw Data'!$T$6:$T$3690)+SUMPRODUCT(--(ISNUMBER(SEARCH($A79,'Diags Raw Data'!$A$6:$A$3690))),--('Diags Raw Data'!$Q$6:$Q$3690&lt;&gt;"N/A"),'Diags Raw Data'!$U$6:$U$3690)</f>
        <v>0</v>
      </c>
      <c r="O79" s="491">
        <f t="shared" si="11"/>
        <v>0</v>
      </c>
      <c r="P79" s="492">
        <f>SUMIF('Diags Raw Data'!$A$6:$A$3690,"*"&amp;$A79&amp;"*",'Diags Raw Data'!$Z$6:$Z$3690)</f>
        <v>0</v>
      </c>
      <c r="Q79" s="493">
        <f>SUM(SUMIF('Diags Raw Data'!$A$6:$A$3690,"*"&amp;$A79&amp;"*",'Diags Raw Data'!$AA$6:$AA$3690),SUMIF('Diags Raw Data'!$A$6:$A$3690,"*"&amp;$A79&amp;"*",'Diags Raw Data'!$AB$6:$AB$3690))</f>
        <v>0</v>
      </c>
      <c r="R79" s="494">
        <f t="shared" si="8"/>
        <v>0</v>
      </c>
      <c r="S79" s="494">
        <f t="shared" si="9"/>
        <v>0</v>
      </c>
      <c r="T79" s="495">
        <f t="shared" si="10"/>
        <v>0</v>
      </c>
      <c r="U79" s="436" t="e">
        <f>VLOOKUP(A79,'Diags Raw Data'!$A$6:$AH$3690,33,FALSE)</f>
        <v>#N/A</v>
      </c>
      <c r="V79" s="181"/>
    </row>
    <row r="80" spans="1:22" ht="30.75" thickBot="1" x14ac:dyDescent="0.3">
      <c r="A80" s="549">
        <v>12.138999999999999</v>
      </c>
      <c r="B80" s="438" t="str">
        <f>VLOOKUP(A80,'Feature Raw Data'!$A$3:$B$3922,2,FALSE)</f>
        <v xml:space="preserve">Simplify software debugger register change process </v>
      </c>
      <c r="C80" s="439" t="str">
        <f>VLOOKUP(A80,'Feature Raw Data'!$A$3:$C$3922,3,FALSE)</f>
        <v>P1</v>
      </c>
      <c r="D80" s="440" t="str" cm="1">
        <f t="array" ref="D80">_xlfn.TEXTJOIN("",TRUE,IF(ISNUMBER(SEARCH($A80,'Diags Raw Data'!$A$6:$A$3690)),CONCATENATE('Diags Raw Data'!$H$6:$H$3690,", "),""))</f>
        <v/>
      </c>
      <c r="E80" s="340" t="e">
        <f>VLOOKUP(A80,'Diags Raw Data'!$A$6:$D$3690,4,FALSE)</f>
        <v>#N/A</v>
      </c>
      <c r="F80" s="340" t="str">
        <f>VLOOKUP(A80,'Feature Raw Data'!$A$3:$E$3922,5,FALSE)</f>
        <v>New</v>
      </c>
      <c r="G80" s="340" t="str">
        <f t="shared" si="6"/>
        <v>Yes</v>
      </c>
      <c r="H80" s="340" t="str">
        <f t="shared" si="7"/>
        <v>Yes</v>
      </c>
      <c r="I80" s="439">
        <f>SUMIF('Diags Raw Data'!$A$6:$A$3690,"*"&amp;$A80&amp;"*",'Diags Raw Data'!$K$6:$K$3690)</f>
        <v>0</v>
      </c>
      <c r="J80" s="441">
        <f>SUMIF('Diags Raw Data'!$A$6:$A$3690,"*"&amp;$A80&amp;"*",'Diags Raw Data'!$L$6:$L$3690)</f>
        <v>0</v>
      </c>
      <c r="K80" s="487" cm="1">
        <f t="array" ref="K80">IF(D80="",0, SUMPRODUCT(--(ISNUMBER(SEARCH($A80,'Diags Raw Data'!$A$6:$A$3690))),'Diags Raw Data'!$L$6:$L$3690,'Diags Raw Data'!$N$6:$N$3690)/J80)</f>
        <v>0</v>
      </c>
      <c r="L80" s="488" cm="1">
        <f t="array" ref="L80">IF(D80="",0, SUMPRODUCT(--(ISNUMBER(SEARCH($A80,'Diags Raw Data'!$A$6:$A$3690))),'Diags Raw Data'!$L$6:$L$3690,'Diags Raw Data'!$P$6:$P$3690)/J80)</f>
        <v>0</v>
      </c>
      <c r="M80" s="489" cm="1">
        <f t="array" ref="M80">SUMPRODUCT(--(ISNUMBER(SEARCH($A80,'Diags Raw Data'!$A$6:$A$3690))),--('Diags Raw Data'!$Q$6:$Q$3690&lt;&gt;"N/A"),'Diags Raw Data'!$R$6:$R$3690)</f>
        <v>0</v>
      </c>
      <c r="N80" s="490" cm="1">
        <f t="array" ref="N80">SUMPRODUCT(--(ISNUMBER(SEARCH($A80,'Diags Raw Data'!$A$6:$A$3690))),--('Diags Raw Data'!$Q$6:$Q$3690&lt;&gt;"N/A"),'Diags Raw Data'!$T$6:$T$3690)+SUMPRODUCT(--(ISNUMBER(SEARCH($A80,'Diags Raw Data'!$A$6:$A$3690))),--('Diags Raw Data'!$Q$6:$Q$3690&lt;&gt;"N/A"),'Diags Raw Data'!$U$6:$U$3690)</f>
        <v>0</v>
      </c>
      <c r="O80" s="491">
        <f t="shared" si="11"/>
        <v>0</v>
      </c>
      <c r="P80" s="492">
        <f>SUMIF('Diags Raw Data'!$A$6:$A$3690,"*"&amp;$A80&amp;"*",'Diags Raw Data'!$Z$6:$Z$3690)</f>
        <v>0</v>
      </c>
      <c r="Q80" s="493">
        <f>SUM(SUMIF('Diags Raw Data'!$A$6:$A$3690,"*"&amp;$A80&amp;"*",'Diags Raw Data'!$AA$6:$AA$3690),SUMIF('Diags Raw Data'!$A$6:$A$3690,"*"&amp;$A80&amp;"*",'Diags Raw Data'!$AB$6:$AB$3690))</f>
        <v>0</v>
      </c>
      <c r="R80" s="494">
        <f t="shared" si="8"/>
        <v>0</v>
      </c>
      <c r="S80" s="494">
        <f t="shared" si="9"/>
        <v>0</v>
      </c>
      <c r="T80" s="495">
        <f t="shared" si="10"/>
        <v>0</v>
      </c>
      <c r="U80" s="436" t="e">
        <f>VLOOKUP(A80,'Diags Raw Data'!$A$6:$AH$3690,33,FALSE)</f>
        <v>#N/A</v>
      </c>
      <c r="V80" s="181"/>
    </row>
    <row r="81" spans="1:22" ht="105.75" thickBot="1" x14ac:dyDescent="0.3">
      <c r="A81" s="549">
        <v>12.141999999999999</v>
      </c>
      <c r="B81" s="438" t="str">
        <f>VLOOKUP(A81,'Feature Raw Data'!$A$3:$B$3922,2,FALSE)</f>
        <v xml:space="preserve">Double shader DOT Int4 and Int8 rates </v>
      </c>
      <c r="C81" s="439" t="str">
        <f>VLOOKUP(A81,'Feature Raw Data'!$A$3:$C$3922,3,FALSE)</f>
        <v>P1</v>
      </c>
      <c r="D81" s="440" t="str" cm="1">
        <f t="array" ref="D81">_xlfn.TEXTJOIN("",TRUE,IF(ISNUMBER(SEARCH($A81,'Diags Raw Data'!$A$6:$A$3690)),CONCATENATE('Diags Raw Data'!$H$6:$H$3690,", "),""))</f>
        <v/>
      </c>
      <c r="E81" s="340" t="e">
        <f>VLOOKUP(A81,'Diags Raw Data'!$A$6:$D$3690,4,FALSE)</f>
        <v>#N/A</v>
      </c>
      <c r="F81" s="340" t="str">
        <f>VLOOKUP(A81,'Feature Raw Data'!$A$3:$E$3922,5,FALSE)</f>
        <v>Delta</v>
      </c>
      <c r="G81" s="340" t="str">
        <f t="shared" si="6"/>
        <v>Yes</v>
      </c>
      <c r="H81" s="340" t="str">
        <f t="shared" si="7"/>
        <v>Yes</v>
      </c>
      <c r="I81" s="439">
        <f>SUMIF('Diags Raw Data'!$A$6:$A$3690,"*"&amp;$A81&amp;"*",'Diags Raw Data'!$K$6:$K$3690)</f>
        <v>0</v>
      </c>
      <c r="J81" s="441">
        <f>SUMIF('Diags Raw Data'!$A$6:$A$3690,"*"&amp;$A81&amp;"*",'Diags Raw Data'!$L$6:$L$3690)</f>
        <v>0</v>
      </c>
      <c r="K81" s="487" cm="1">
        <f t="array" ref="K81">IF(D81="",0, SUMPRODUCT(--(ISNUMBER(SEARCH($A81,'Diags Raw Data'!$A$6:$A$3690))),'Diags Raw Data'!$L$6:$L$3690,'Diags Raw Data'!$N$6:$N$3690)/J81)</f>
        <v>0</v>
      </c>
      <c r="L81" s="488" cm="1">
        <f t="array" ref="L81">IF(D81="",0, SUMPRODUCT(--(ISNUMBER(SEARCH($A81,'Diags Raw Data'!$A$6:$A$3690))),'Diags Raw Data'!$L$6:$L$3690,'Diags Raw Data'!$P$6:$P$3690)/J81)</f>
        <v>0</v>
      </c>
      <c r="M81" s="489" cm="1">
        <f t="array" ref="M81">SUMPRODUCT(--(ISNUMBER(SEARCH($A81,'Diags Raw Data'!$A$6:$A$3690))),--('Diags Raw Data'!$Q$6:$Q$3690&lt;&gt;"N/A"),'Diags Raw Data'!$R$6:$R$3690)</f>
        <v>0</v>
      </c>
      <c r="N81" s="490" cm="1">
        <f t="array" ref="N81">SUMPRODUCT(--(ISNUMBER(SEARCH($A81,'Diags Raw Data'!$A$6:$A$3690))),--('Diags Raw Data'!$Q$6:$Q$3690&lt;&gt;"N/A"),'Diags Raw Data'!$T$6:$T$3690)+SUMPRODUCT(--(ISNUMBER(SEARCH($A81,'Diags Raw Data'!$A$6:$A$3690))),--('Diags Raw Data'!$Q$6:$Q$3690&lt;&gt;"N/A"),'Diags Raw Data'!$U$6:$U$3690)</f>
        <v>0</v>
      </c>
      <c r="O81" s="491">
        <f t="shared" si="11"/>
        <v>0</v>
      </c>
      <c r="P81" s="492">
        <f>SUMIF('Diags Raw Data'!$A$6:$A$3690,"*"&amp;$A81&amp;"*",'Diags Raw Data'!$Z$6:$Z$3690)</f>
        <v>0</v>
      </c>
      <c r="Q81" s="493">
        <f>SUM(SUMIF('Diags Raw Data'!$A$6:$A$3690,"*"&amp;$A81&amp;"*",'Diags Raw Data'!$AA$6:$AA$3690),SUMIF('Diags Raw Data'!$A$6:$A$3690,"*"&amp;$A81&amp;"*",'Diags Raw Data'!$AB$6:$AB$3690))</f>
        <v>0</v>
      </c>
      <c r="R81" s="494">
        <f t="shared" si="8"/>
        <v>0</v>
      </c>
      <c r="S81" s="494">
        <f t="shared" si="9"/>
        <v>0</v>
      </c>
      <c r="T81" s="495">
        <f t="shared" si="10"/>
        <v>0</v>
      </c>
      <c r="U81" s="436" t="e">
        <f>VLOOKUP(A81,'Diags Raw Data'!$A$6:$AH$3690,33,FALSE)</f>
        <v>#N/A</v>
      </c>
      <c r="V81" s="181"/>
    </row>
    <row r="82" spans="1:22" ht="30.75" thickBot="1" x14ac:dyDescent="0.3">
      <c r="A82" s="549">
        <v>12.143000000000001</v>
      </c>
      <c r="B82" s="438" t="str">
        <f>VLOOKUP(A82,'Feature Raw Data'!$A$3:$B$3922,2,FALSE)</f>
        <v xml:space="preserve">Remove SA Affinity for Pixel Shaders </v>
      </c>
      <c r="C82" s="439" t="str">
        <f>VLOOKUP(A82,'Feature Raw Data'!$A$3:$C$3922,3,FALSE)</f>
        <v>P1</v>
      </c>
      <c r="D82" s="440" t="str" cm="1">
        <f t="array" ref="D82">_xlfn.TEXTJOIN("",TRUE,IF(ISNUMBER(SEARCH($A82,'Diags Raw Data'!$A$6:$A$3690)),CONCATENATE('Diags Raw Data'!$H$6:$H$3690,", "),""))</f>
        <v/>
      </c>
      <c r="E82" s="340" t="e">
        <f>VLOOKUP(A82,'Diags Raw Data'!$A$6:$D$3690,4,FALSE)</f>
        <v>#N/A</v>
      </c>
      <c r="F82" s="340" t="str">
        <f>VLOOKUP(A82,'Feature Raw Data'!$A$3:$E$3922,5,FALSE)</f>
        <v>New</v>
      </c>
      <c r="G82" s="340" t="str">
        <f t="shared" si="6"/>
        <v>Yes</v>
      </c>
      <c r="H82" s="340" t="str">
        <f t="shared" si="7"/>
        <v>Yes</v>
      </c>
      <c r="I82" s="439">
        <f>SUMIF('Diags Raw Data'!$A$6:$A$3690,"*"&amp;$A82&amp;"*",'Diags Raw Data'!$K$6:$K$3690)</f>
        <v>0</v>
      </c>
      <c r="J82" s="441">
        <f>SUMIF('Diags Raw Data'!$A$6:$A$3690,"*"&amp;$A82&amp;"*",'Diags Raw Data'!$L$6:$L$3690)</f>
        <v>0</v>
      </c>
      <c r="K82" s="487" cm="1">
        <f t="array" ref="K82">IF(D82="",0, SUMPRODUCT(--(ISNUMBER(SEARCH($A82,'Diags Raw Data'!$A$6:$A$3690))),'Diags Raw Data'!$L$6:$L$3690,'Diags Raw Data'!$N$6:$N$3690)/J82)</f>
        <v>0</v>
      </c>
      <c r="L82" s="488" cm="1">
        <f t="array" ref="L82">IF(D82="",0, SUMPRODUCT(--(ISNUMBER(SEARCH($A82,'Diags Raw Data'!$A$6:$A$3690))),'Diags Raw Data'!$L$6:$L$3690,'Diags Raw Data'!$P$6:$P$3690)/J82)</f>
        <v>0</v>
      </c>
      <c r="M82" s="489" cm="1">
        <f t="array" ref="M82">SUMPRODUCT(--(ISNUMBER(SEARCH($A82,'Diags Raw Data'!$A$6:$A$3690))),--('Diags Raw Data'!$Q$6:$Q$3690&lt;&gt;"N/A"),'Diags Raw Data'!$R$6:$R$3690)</f>
        <v>0</v>
      </c>
      <c r="N82" s="490" cm="1">
        <f t="array" ref="N82">SUMPRODUCT(--(ISNUMBER(SEARCH($A82,'Diags Raw Data'!$A$6:$A$3690))),--('Diags Raw Data'!$Q$6:$Q$3690&lt;&gt;"N/A"),'Diags Raw Data'!$T$6:$T$3690)+SUMPRODUCT(--(ISNUMBER(SEARCH($A82,'Diags Raw Data'!$A$6:$A$3690))),--('Diags Raw Data'!$Q$6:$Q$3690&lt;&gt;"N/A"),'Diags Raw Data'!$U$6:$U$3690)</f>
        <v>0</v>
      </c>
      <c r="O82" s="491">
        <f t="shared" si="11"/>
        <v>0</v>
      </c>
      <c r="P82" s="492">
        <f>SUMIF('Diags Raw Data'!$A$6:$A$3690,"*"&amp;$A82&amp;"*",'Diags Raw Data'!$Z$6:$Z$3690)</f>
        <v>0</v>
      </c>
      <c r="Q82" s="493">
        <f>SUM(SUMIF('Diags Raw Data'!$A$6:$A$3690,"*"&amp;$A82&amp;"*",'Diags Raw Data'!$AA$6:$AA$3690),SUMIF('Diags Raw Data'!$A$6:$A$3690,"*"&amp;$A82&amp;"*",'Diags Raw Data'!$AB$6:$AB$3690))</f>
        <v>0</v>
      </c>
      <c r="R82" s="494">
        <f t="shared" si="8"/>
        <v>0</v>
      </c>
      <c r="S82" s="494">
        <f t="shared" si="9"/>
        <v>0</v>
      </c>
      <c r="T82" s="495">
        <f t="shared" si="10"/>
        <v>0</v>
      </c>
      <c r="U82" s="436" t="e">
        <f>VLOOKUP(A82,'Diags Raw Data'!$A$6:$AH$3690,33,FALSE)</f>
        <v>#N/A</v>
      </c>
      <c r="V82" s="554" t="s">
        <v>332</v>
      </c>
    </row>
    <row r="83" spans="1:22" ht="15.75" thickBot="1" x14ac:dyDescent="0.3">
      <c r="A83" s="549">
        <v>12.146000000000001</v>
      </c>
      <c r="B83" s="438" t="str">
        <f>VLOOKUP(A83,'Feature Raw Data'!$A$3:$B$3922,2,FALSE)</f>
        <v xml:space="preserve">RS64 L0 Instr Cache </v>
      </c>
      <c r="C83" s="439" t="str">
        <f>VLOOKUP(A83,'Feature Raw Data'!$A$3:$C$3922,3,FALSE)</f>
        <v>P1</v>
      </c>
      <c r="D83" s="440" t="str" cm="1">
        <f t="array" ref="D83">_xlfn.TEXTJOIN("",TRUE,IF(ISNUMBER(SEARCH($A83,'Diags Raw Data'!$A$6:$A$3690)),CONCATENATE('Diags Raw Data'!$H$6:$H$3690,", "),""))</f>
        <v/>
      </c>
      <c r="E83" s="340" t="e">
        <f>VLOOKUP(A83,'Diags Raw Data'!$A$6:$D$3690,4,FALSE)</f>
        <v>#N/A</v>
      </c>
      <c r="F83" s="340" t="str">
        <f>VLOOKUP(A83,'Feature Raw Data'!$A$3:$E$3922,5,FALSE)</f>
        <v>New</v>
      </c>
      <c r="G83" s="340" t="str">
        <f t="shared" si="6"/>
        <v>Yes</v>
      </c>
      <c r="H83" s="340" t="str">
        <f t="shared" si="7"/>
        <v>Yes</v>
      </c>
      <c r="I83" s="439">
        <f>SUMIF('Diags Raw Data'!$A$6:$A$3690,"*"&amp;$A83&amp;"*",'Diags Raw Data'!$K$6:$K$3690)</f>
        <v>0</v>
      </c>
      <c r="J83" s="441">
        <f>SUMIF('Diags Raw Data'!$A$6:$A$3690,"*"&amp;$A83&amp;"*",'Diags Raw Data'!$L$6:$L$3690)</f>
        <v>0</v>
      </c>
      <c r="K83" s="487" cm="1">
        <f t="array" ref="K83">IF(D83="",0, SUMPRODUCT(--(ISNUMBER(SEARCH($A83,'Diags Raw Data'!$A$6:$A$3690))),'Diags Raw Data'!$L$6:$L$3690,'Diags Raw Data'!$N$6:$N$3690)/J83)</f>
        <v>0</v>
      </c>
      <c r="L83" s="488" cm="1">
        <f t="array" ref="L83">IF(D83="",0, SUMPRODUCT(--(ISNUMBER(SEARCH($A83,'Diags Raw Data'!$A$6:$A$3690))),'Diags Raw Data'!$L$6:$L$3690,'Diags Raw Data'!$P$6:$P$3690)/J83)</f>
        <v>0</v>
      </c>
      <c r="M83" s="489" cm="1">
        <f t="array" ref="M83">SUMPRODUCT(--(ISNUMBER(SEARCH($A83,'Diags Raw Data'!$A$6:$A$3690))),--('Diags Raw Data'!$Q$6:$Q$3690&lt;&gt;"N/A"),'Diags Raw Data'!$R$6:$R$3690)</f>
        <v>0</v>
      </c>
      <c r="N83" s="490" cm="1">
        <f t="array" ref="N83">SUMPRODUCT(--(ISNUMBER(SEARCH($A83,'Diags Raw Data'!$A$6:$A$3690))),--('Diags Raw Data'!$Q$6:$Q$3690&lt;&gt;"N/A"),'Diags Raw Data'!$T$6:$T$3690)+SUMPRODUCT(--(ISNUMBER(SEARCH($A83,'Diags Raw Data'!$A$6:$A$3690))),--('Diags Raw Data'!$Q$6:$Q$3690&lt;&gt;"N/A"),'Diags Raw Data'!$U$6:$U$3690)</f>
        <v>0</v>
      </c>
      <c r="O83" s="491">
        <f t="shared" si="11"/>
        <v>0</v>
      </c>
      <c r="P83" s="492">
        <f>SUMIF('Diags Raw Data'!$A$6:$A$3690,"*"&amp;$A83&amp;"*",'Diags Raw Data'!$Z$6:$Z$3690)</f>
        <v>0</v>
      </c>
      <c r="Q83" s="493">
        <f>SUM(SUMIF('Diags Raw Data'!$A$6:$A$3690,"*"&amp;$A83&amp;"*",'Diags Raw Data'!$AA$6:$AA$3690),SUMIF('Diags Raw Data'!$A$6:$A$3690,"*"&amp;$A83&amp;"*",'Diags Raw Data'!$AB$6:$AB$3690))</f>
        <v>0</v>
      </c>
      <c r="R83" s="494">
        <f t="shared" si="8"/>
        <v>0</v>
      </c>
      <c r="S83" s="494">
        <f t="shared" si="9"/>
        <v>0</v>
      </c>
      <c r="T83" s="495">
        <f t="shared" si="10"/>
        <v>0</v>
      </c>
      <c r="U83" s="436" t="e">
        <f>VLOOKUP(A83,'Diags Raw Data'!$A$6:$AH$3690,33,FALSE)</f>
        <v>#N/A</v>
      </c>
      <c r="V83" s="181"/>
    </row>
    <row r="84" spans="1:22" ht="15.75" thickBot="1" x14ac:dyDescent="0.3">
      <c r="A84" s="549">
        <v>12.148</v>
      </c>
      <c r="B84" s="438" t="str">
        <f>VLOOKUP(A84,'Feature Raw Data'!$A$3:$B$3922,2,FALSE)</f>
        <v xml:space="preserve">RS64 L0 Data Cache </v>
      </c>
      <c r="C84" s="439" t="str">
        <f>VLOOKUP(A84,'Feature Raw Data'!$A$3:$C$3922,3,FALSE)</f>
        <v>P1</v>
      </c>
      <c r="D84" s="440" t="str" cm="1">
        <f t="array" ref="D84">_xlfn.TEXTJOIN("",TRUE,IF(ISNUMBER(SEARCH($A84,'Diags Raw Data'!$A$6:$A$3690)),CONCATENATE('Diags Raw Data'!$H$6:$H$3690,", "),""))</f>
        <v/>
      </c>
      <c r="E84" s="340" t="e">
        <f>VLOOKUP(A84,'Diags Raw Data'!$A$6:$D$3690,4,FALSE)</f>
        <v>#N/A</v>
      </c>
      <c r="F84" s="340" t="str">
        <f>VLOOKUP(A84,'Feature Raw Data'!$A$3:$E$3922,5,FALSE)</f>
        <v>New</v>
      </c>
      <c r="G84" s="340" t="str">
        <f t="shared" si="6"/>
        <v>Yes</v>
      </c>
      <c r="H84" s="340" t="str">
        <f t="shared" si="7"/>
        <v>Yes</v>
      </c>
      <c r="I84" s="439">
        <f>SUMIF('Diags Raw Data'!$A$6:$A$3690,"*"&amp;$A84&amp;"*",'Diags Raw Data'!$K$6:$K$3690)</f>
        <v>0</v>
      </c>
      <c r="J84" s="441">
        <f>SUMIF('Diags Raw Data'!$A$6:$A$3690,"*"&amp;$A84&amp;"*",'Diags Raw Data'!$L$6:$L$3690)</f>
        <v>0</v>
      </c>
      <c r="K84" s="487" cm="1">
        <f t="array" ref="K84">IF(D84="",0, SUMPRODUCT(--(ISNUMBER(SEARCH($A84,'Diags Raw Data'!$A$6:$A$3690))),'Diags Raw Data'!$L$6:$L$3690,'Diags Raw Data'!$N$6:$N$3690)/J84)</f>
        <v>0</v>
      </c>
      <c r="L84" s="488" cm="1">
        <f t="array" ref="L84">IF(D84="",0, SUMPRODUCT(--(ISNUMBER(SEARCH($A84,'Diags Raw Data'!$A$6:$A$3690))),'Diags Raw Data'!$L$6:$L$3690,'Diags Raw Data'!$P$6:$P$3690)/J84)</f>
        <v>0</v>
      </c>
      <c r="M84" s="489" cm="1">
        <f t="array" ref="M84">SUMPRODUCT(--(ISNUMBER(SEARCH($A84,'Diags Raw Data'!$A$6:$A$3690))),--('Diags Raw Data'!$Q$6:$Q$3690&lt;&gt;"N/A"),'Diags Raw Data'!$R$6:$R$3690)</f>
        <v>0</v>
      </c>
      <c r="N84" s="490" cm="1">
        <f t="array" ref="N84">SUMPRODUCT(--(ISNUMBER(SEARCH($A84,'Diags Raw Data'!$A$6:$A$3690))),--('Diags Raw Data'!$Q$6:$Q$3690&lt;&gt;"N/A"),'Diags Raw Data'!$T$6:$T$3690)+SUMPRODUCT(--(ISNUMBER(SEARCH($A84,'Diags Raw Data'!$A$6:$A$3690))),--('Diags Raw Data'!$Q$6:$Q$3690&lt;&gt;"N/A"),'Diags Raw Data'!$U$6:$U$3690)</f>
        <v>0</v>
      </c>
      <c r="O84" s="491">
        <f t="shared" si="11"/>
        <v>0</v>
      </c>
      <c r="P84" s="492">
        <f>SUMIF('Diags Raw Data'!$A$6:$A$3690,"*"&amp;$A84&amp;"*",'Diags Raw Data'!$Z$6:$Z$3690)</f>
        <v>0</v>
      </c>
      <c r="Q84" s="493">
        <f>SUM(SUMIF('Diags Raw Data'!$A$6:$A$3690,"*"&amp;$A84&amp;"*",'Diags Raw Data'!$AA$6:$AA$3690),SUMIF('Diags Raw Data'!$A$6:$A$3690,"*"&amp;$A84&amp;"*",'Diags Raw Data'!$AB$6:$AB$3690))</f>
        <v>0</v>
      </c>
      <c r="R84" s="494">
        <f t="shared" si="8"/>
        <v>0</v>
      </c>
      <c r="S84" s="494">
        <f t="shared" si="9"/>
        <v>0</v>
      </c>
      <c r="T84" s="495">
        <f t="shared" si="10"/>
        <v>0</v>
      </c>
      <c r="U84" s="436" t="e">
        <f>VLOOKUP(A84,'Diags Raw Data'!$A$6:$AH$3690,33,FALSE)</f>
        <v>#N/A</v>
      </c>
      <c r="V84" s="181"/>
    </row>
    <row r="85" spans="1:22" ht="30.75" thickBot="1" x14ac:dyDescent="0.3">
      <c r="A85" s="549">
        <v>12.15</v>
      </c>
      <c r="B85" s="438" t="str">
        <f>VLOOKUP(A85,'Feature Raw Data'!$A$3:$B$3922,2,FALSE)</f>
        <v xml:space="preserve">RS64 Bit Manip Instructions </v>
      </c>
      <c r="C85" s="439" t="str">
        <f>VLOOKUP(A85,'Feature Raw Data'!$A$3:$C$3922,3,FALSE)</f>
        <v>P1</v>
      </c>
      <c r="D85" s="440" t="str" cm="1">
        <f t="array" ref="D85">_xlfn.TEXTJOIN("",TRUE,IF(ISNUMBER(SEARCH($A85,'Diags Raw Data'!$A$6:$A$3690)),CONCATENATE('Diags Raw Data'!$H$6:$H$3690,", "),""))</f>
        <v/>
      </c>
      <c r="E85" s="340" t="e">
        <f>VLOOKUP(A85,'Diags Raw Data'!$A$6:$D$3690,4,FALSE)</f>
        <v>#N/A</v>
      </c>
      <c r="F85" s="340" t="str">
        <f>VLOOKUP(A85,'Feature Raw Data'!$A$3:$E$3922,5,FALSE)</f>
        <v>New</v>
      </c>
      <c r="G85" s="340" t="str">
        <f t="shared" si="6"/>
        <v>Yes</v>
      </c>
      <c r="H85" s="340" t="str">
        <f t="shared" si="7"/>
        <v>Yes</v>
      </c>
      <c r="I85" s="439">
        <f>SUMIF('Diags Raw Data'!$A$6:$A$3690,"*"&amp;$A85&amp;"*",'Diags Raw Data'!$K$6:$K$3690)</f>
        <v>0</v>
      </c>
      <c r="J85" s="441">
        <f>SUMIF('Diags Raw Data'!$A$6:$A$3690,"*"&amp;$A85&amp;"*",'Diags Raw Data'!$L$6:$L$3690)</f>
        <v>0</v>
      </c>
      <c r="K85" s="487" cm="1">
        <f t="array" ref="K85">IF(D85="",0, SUMPRODUCT(--(ISNUMBER(SEARCH($A85,'Diags Raw Data'!$A$6:$A$3690))),'Diags Raw Data'!$L$6:$L$3690,'Diags Raw Data'!$N$6:$N$3690)/J85)</f>
        <v>0</v>
      </c>
      <c r="L85" s="488" cm="1">
        <f t="array" ref="L85">IF(D85="",0, SUMPRODUCT(--(ISNUMBER(SEARCH($A85,'Diags Raw Data'!$A$6:$A$3690))),'Diags Raw Data'!$L$6:$L$3690,'Diags Raw Data'!$P$6:$P$3690)/J85)</f>
        <v>0</v>
      </c>
      <c r="M85" s="489" cm="1">
        <f t="array" ref="M85">SUMPRODUCT(--(ISNUMBER(SEARCH($A85,'Diags Raw Data'!$A$6:$A$3690))),--('Diags Raw Data'!$Q$6:$Q$3690&lt;&gt;"N/A"),'Diags Raw Data'!$R$6:$R$3690)</f>
        <v>0</v>
      </c>
      <c r="N85" s="490" cm="1">
        <f t="array" ref="N85">SUMPRODUCT(--(ISNUMBER(SEARCH($A85,'Diags Raw Data'!$A$6:$A$3690))),--('Diags Raw Data'!$Q$6:$Q$3690&lt;&gt;"N/A"),'Diags Raw Data'!$T$6:$T$3690)+SUMPRODUCT(--(ISNUMBER(SEARCH($A85,'Diags Raw Data'!$A$6:$A$3690))),--('Diags Raw Data'!$Q$6:$Q$3690&lt;&gt;"N/A"),'Diags Raw Data'!$U$6:$U$3690)</f>
        <v>0</v>
      </c>
      <c r="O85" s="491">
        <f t="shared" si="11"/>
        <v>0</v>
      </c>
      <c r="P85" s="492">
        <f>SUMIF('Diags Raw Data'!$A$6:$A$3690,"*"&amp;$A85&amp;"*",'Diags Raw Data'!$Z$6:$Z$3690)</f>
        <v>0</v>
      </c>
      <c r="Q85" s="493">
        <f>SUM(SUMIF('Diags Raw Data'!$A$6:$A$3690,"*"&amp;$A85&amp;"*",'Diags Raw Data'!$AA$6:$AA$3690),SUMIF('Diags Raw Data'!$A$6:$A$3690,"*"&amp;$A85&amp;"*",'Diags Raw Data'!$AB$6:$AB$3690))</f>
        <v>0</v>
      </c>
      <c r="R85" s="494">
        <f t="shared" si="8"/>
        <v>0</v>
      </c>
      <c r="S85" s="494">
        <f t="shared" si="9"/>
        <v>0</v>
      </c>
      <c r="T85" s="495">
        <f t="shared" si="10"/>
        <v>0</v>
      </c>
      <c r="U85" s="436" t="e">
        <f>VLOOKUP(A85,'Diags Raw Data'!$A$6:$AH$3690,33,FALSE)</f>
        <v>#N/A</v>
      </c>
      <c r="V85" s="181"/>
    </row>
    <row r="86" spans="1:22" ht="15.75" thickBot="1" x14ac:dyDescent="0.3">
      <c r="A86" s="549">
        <v>12.151999999999999</v>
      </c>
      <c r="B86" s="438" t="str">
        <f>VLOOKUP(A86,'Feature Raw Data'!$A$3:$B$3922,2,FALSE)</f>
        <v>RS64 Dynamic TMR Loading</v>
      </c>
      <c r="C86" s="439" t="str">
        <f>VLOOKUP(A86,'Feature Raw Data'!$A$3:$C$3922,3,FALSE)</f>
        <v>P1</v>
      </c>
      <c r="D86" s="440" t="str" cm="1">
        <f t="array" ref="D86">_xlfn.TEXTJOIN("",TRUE,IF(ISNUMBER(SEARCH($A86,'Diags Raw Data'!$A$6:$A$3690)),CONCATENATE('Diags Raw Data'!$H$6:$H$3690,", "),""))</f>
        <v/>
      </c>
      <c r="E86" s="340" t="e">
        <f>VLOOKUP(A86,'Diags Raw Data'!$A$6:$D$3690,4,FALSE)</f>
        <v>#N/A</v>
      </c>
      <c r="F86" s="340" t="str">
        <f>VLOOKUP(A86,'Feature Raw Data'!$A$3:$E$3922,5,FALSE)</f>
        <v>New</v>
      </c>
      <c r="G86" s="340" t="str">
        <f t="shared" si="6"/>
        <v>Yes</v>
      </c>
      <c r="H86" s="340" t="str">
        <f t="shared" si="7"/>
        <v>Yes</v>
      </c>
      <c r="I86" s="439">
        <f>SUMIF('Diags Raw Data'!$A$6:$A$3690,"*"&amp;$A86&amp;"*",'Diags Raw Data'!$K$6:$K$3690)</f>
        <v>0</v>
      </c>
      <c r="J86" s="441">
        <f>SUMIF('Diags Raw Data'!$A$6:$A$3690,"*"&amp;$A86&amp;"*",'Diags Raw Data'!$L$6:$L$3690)</f>
        <v>0</v>
      </c>
      <c r="K86" s="487" cm="1">
        <f t="array" ref="K86">IF(D86="",0, SUMPRODUCT(--(ISNUMBER(SEARCH($A86,'Diags Raw Data'!$A$6:$A$3690))),'Diags Raw Data'!$L$6:$L$3690,'Diags Raw Data'!$N$6:$N$3690)/J86)</f>
        <v>0</v>
      </c>
      <c r="L86" s="488" cm="1">
        <f t="array" ref="L86">IF(D86="",0, SUMPRODUCT(--(ISNUMBER(SEARCH($A86,'Diags Raw Data'!$A$6:$A$3690))),'Diags Raw Data'!$L$6:$L$3690,'Diags Raw Data'!$P$6:$P$3690)/J86)</f>
        <v>0</v>
      </c>
      <c r="M86" s="489" cm="1">
        <f t="array" ref="M86">SUMPRODUCT(--(ISNUMBER(SEARCH($A86,'Diags Raw Data'!$A$6:$A$3690))),--('Diags Raw Data'!$Q$6:$Q$3690&lt;&gt;"N/A"),'Diags Raw Data'!$R$6:$R$3690)</f>
        <v>0</v>
      </c>
      <c r="N86" s="490" cm="1">
        <f t="array" ref="N86">SUMPRODUCT(--(ISNUMBER(SEARCH($A86,'Diags Raw Data'!$A$6:$A$3690))),--('Diags Raw Data'!$Q$6:$Q$3690&lt;&gt;"N/A"),'Diags Raw Data'!$T$6:$T$3690)+SUMPRODUCT(--(ISNUMBER(SEARCH($A86,'Diags Raw Data'!$A$6:$A$3690))),--('Diags Raw Data'!$Q$6:$Q$3690&lt;&gt;"N/A"),'Diags Raw Data'!$U$6:$U$3690)</f>
        <v>0</v>
      </c>
      <c r="O86" s="491">
        <f t="shared" si="11"/>
        <v>0</v>
      </c>
      <c r="P86" s="492">
        <f>SUMIF('Diags Raw Data'!$A$6:$A$3690,"*"&amp;$A86&amp;"*",'Diags Raw Data'!$Z$6:$Z$3690)</f>
        <v>0</v>
      </c>
      <c r="Q86" s="493">
        <f>SUM(SUMIF('Diags Raw Data'!$A$6:$A$3690,"*"&amp;$A86&amp;"*",'Diags Raw Data'!$AA$6:$AA$3690),SUMIF('Diags Raw Data'!$A$6:$A$3690,"*"&amp;$A86&amp;"*",'Diags Raw Data'!$AB$6:$AB$3690))</f>
        <v>0</v>
      </c>
      <c r="R86" s="494">
        <f t="shared" si="8"/>
        <v>0</v>
      </c>
      <c r="S86" s="494">
        <f t="shared" si="9"/>
        <v>0</v>
      </c>
      <c r="T86" s="495">
        <f t="shared" si="10"/>
        <v>0</v>
      </c>
      <c r="U86" s="436" t="e">
        <f>VLOOKUP(A86,'Diags Raw Data'!$A$6:$AH$3690,33,FALSE)</f>
        <v>#N/A</v>
      </c>
      <c r="V86" s="181"/>
    </row>
    <row r="87" spans="1:22" ht="30.75" thickBot="1" x14ac:dyDescent="0.3">
      <c r="A87" s="549">
        <v>12.157</v>
      </c>
      <c r="B87" s="438" t="str">
        <f>VLOOKUP(A87,'Feature Raw Data'!$A$3:$B$3922,2,FALSE)</f>
        <v>Shader pseudo-scalar trans ops (M2 item)</v>
      </c>
      <c r="C87" s="439" t="str">
        <f>VLOOKUP(A87,'Feature Raw Data'!$A$3:$C$3922,3,FALSE)</f>
        <v>P2</v>
      </c>
      <c r="D87" s="440" t="str" cm="1">
        <f t="array" ref="D87">_xlfn.TEXTJOIN("",TRUE,IF(ISNUMBER(SEARCH($A87,'Diags Raw Data'!$A$6:$A$3690)),CONCATENATE('Diags Raw Data'!$H$6:$H$3690,", "),""))</f>
        <v/>
      </c>
      <c r="E87" s="340" t="e">
        <f>VLOOKUP(A87,'Diags Raw Data'!$A$6:$D$3690,4,FALSE)</f>
        <v>#N/A</v>
      </c>
      <c r="F87" s="340" t="str">
        <f>VLOOKUP(A87,'Feature Raw Data'!$A$3:$E$3922,5,FALSE)</f>
        <v>New</v>
      </c>
      <c r="G87" s="340" t="str">
        <f t="shared" si="6"/>
        <v>Yes</v>
      </c>
      <c r="H87" s="340" t="str">
        <f t="shared" si="7"/>
        <v>Yes</v>
      </c>
      <c r="I87" s="439">
        <f>SUMIF('Diags Raw Data'!$A$6:$A$3690,"*"&amp;$A87&amp;"*",'Diags Raw Data'!$K$6:$K$3690)</f>
        <v>0</v>
      </c>
      <c r="J87" s="441">
        <f>SUMIF('Diags Raw Data'!$A$6:$A$3690,"*"&amp;$A87&amp;"*",'Diags Raw Data'!$L$6:$L$3690)</f>
        <v>0</v>
      </c>
      <c r="K87" s="487" cm="1">
        <f t="array" ref="K87">IF(D87="",0, SUMPRODUCT(--(ISNUMBER(SEARCH($A87,'Diags Raw Data'!$A$6:$A$3690))),'Diags Raw Data'!$L$6:$L$3690,'Diags Raw Data'!$N$6:$N$3690)/J87)</f>
        <v>0</v>
      </c>
      <c r="L87" s="488" cm="1">
        <f t="array" ref="L87">IF(D87="",0, SUMPRODUCT(--(ISNUMBER(SEARCH($A87,'Diags Raw Data'!$A$6:$A$3690))),'Diags Raw Data'!$L$6:$L$3690,'Diags Raw Data'!$P$6:$P$3690)/J87)</f>
        <v>0</v>
      </c>
      <c r="M87" s="489" cm="1">
        <f t="array" ref="M87">SUMPRODUCT(--(ISNUMBER(SEARCH($A87,'Diags Raw Data'!$A$6:$A$3690))),--('Diags Raw Data'!$Q$6:$Q$3690&lt;&gt;"N/A"),'Diags Raw Data'!$R$6:$R$3690)</f>
        <v>0</v>
      </c>
      <c r="N87" s="490" cm="1">
        <f t="array" ref="N87">SUMPRODUCT(--(ISNUMBER(SEARCH($A87,'Diags Raw Data'!$A$6:$A$3690))),--('Diags Raw Data'!$Q$6:$Q$3690&lt;&gt;"N/A"),'Diags Raw Data'!$T$6:$T$3690)+SUMPRODUCT(--(ISNUMBER(SEARCH($A87,'Diags Raw Data'!$A$6:$A$3690))),--('Diags Raw Data'!$Q$6:$Q$3690&lt;&gt;"N/A"),'Diags Raw Data'!$U$6:$U$3690)</f>
        <v>0</v>
      </c>
      <c r="O87" s="491">
        <f t="shared" si="11"/>
        <v>0</v>
      </c>
      <c r="P87" s="492">
        <f>SUMIF('Diags Raw Data'!$A$6:$A$3690,"*"&amp;$A87&amp;"*",'Diags Raw Data'!$Z$6:$Z$3690)</f>
        <v>0</v>
      </c>
      <c r="Q87" s="493">
        <f>SUM(SUMIF('Diags Raw Data'!$A$6:$A$3690,"*"&amp;$A87&amp;"*",'Diags Raw Data'!$AA$6:$AA$3690),SUMIF('Diags Raw Data'!$A$6:$A$3690,"*"&amp;$A87&amp;"*",'Diags Raw Data'!$AB$6:$AB$3690))</f>
        <v>0</v>
      </c>
      <c r="R87" s="494">
        <f t="shared" si="8"/>
        <v>0</v>
      </c>
      <c r="S87" s="494">
        <f t="shared" si="9"/>
        <v>0</v>
      </c>
      <c r="T87" s="495">
        <f t="shared" si="10"/>
        <v>0</v>
      </c>
      <c r="U87" s="436" t="e">
        <f>VLOOKUP(A87,'Diags Raw Data'!$A$6:$AH$3690,33,FALSE)</f>
        <v>#N/A</v>
      </c>
      <c r="V87" s="181"/>
    </row>
    <row r="88" spans="1:22" ht="45.75" thickBot="1" x14ac:dyDescent="0.3">
      <c r="A88" s="549">
        <v>12.159000000000001</v>
      </c>
      <c r="B88" s="438" t="str">
        <f>VLOOKUP(A88,'Feature Raw Data'!$A$3:$B$3922,2,FALSE)</f>
        <v>Shader reduce VGPR writes (M2 item, evaluate for gaming)</v>
      </c>
      <c r="C88" s="439" t="str">
        <f>VLOOKUP(A88,'Feature Raw Data'!$A$3:$C$3922,3,FALSE)</f>
        <v>P1</v>
      </c>
      <c r="D88" s="440" t="str" cm="1">
        <f t="array" ref="D88">_xlfn.TEXTJOIN("",TRUE,IF(ISNUMBER(SEARCH($A88,'Diags Raw Data'!$A$6:$A$3690)),CONCATENATE('Diags Raw Data'!$H$6:$H$3690,", "),""))</f>
        <v/>
      </c>
      <c r="E88" s="340" t="e">
        <f>VLOOKUP(A88,'Diags Raw Data'!$A$6:$D$3690,4,FALSE)</f>
        <v>#N/A</v>
      </c>
      <c r="F88" s="340" t="str">
        <f>VLOOKUP(A88,'Feature Raw Data'!$A$3:$E$3922,5,FALSE)</f>
        <v>New</v>
      </c>
      <c r="G88" s="340" t="str">
        <f t="shared" si="6"/>
        <v>Yes</v>
      </c>
      <c r="H88" s="340" t="str">
        <f t="shared" si="7"/>
        <v>Yes</v>
      </c>
      <c r="I88" s="439">
        <f>SUMIF('Diags Raw Data'!$A$6:$A$3690,"*"&amp;$A88&amp;"*",'Diags Raw Data'!$K$6:$K$3690)</f>
        <v>0</v>
      </c>
      <c r="J88" s="441">
        <f>SUMIF('Diags Raw Data'!$A$6:$A$3690,"*"&amp;$A88&amp;"*",'Diags Raw Data'!$L$6:$L$3690)</f>
        <v>0</v>
      </c>
      <c r="K88" s="487" cm="1">
        <f t="array" ref="K88">IF(D88="",0, SUMPRODUCT(--(ISNUMBER(SEARCH($A88,'Diags Raw Data'!$A$6:$A$3690))),'Diags Raw Data'!$L$6:$L$3690,'Diags Raw Data'!$N$6:$N$3690)/J88)</f>
        <v>0</v>
      </c>
      <c r="L88" s="488" cm="1">
        <f t="array" ref="L88">IF(D88="",0, SUMPRODUCT(--(ISNUMBER(SEARCH($A88,'Diags Raw Data'!$A$6:$A$3690))),'Diags Raw Data'!$L$6:$L$3690,'Diags Raw Data'!$P$6:$P$3690)/J88)</f>
        <v>0</v>
      </c>
      <c r="M88" s="489" cm="1">
        <f t="array" ref="M88">SUMPRODUCT(--(ISNUMBER(SEARCH($A88,'Diags Raw Data'!$A$6:$A$3690))),--('Diags Raw Data'!$Q$6:$Q$3690&lt;&gt;"N/A"),'Diags Raw Data'!$R$6:$R$3690)</f>
        <v>0</v>
      </c>
      <c r="N88" s="490" cm="1">
        <f t="array" ref="N88">SUMPRODUCT(--(ISNUMBER(SEARCH($A88,'Diags Raw Data'!$A$6:$A$3690))),--('Diags Raw Data'!$Q$6:$Q$3690&lt;&gt;"N/A"),'Diags Raw Data'!$T$6:$T$3690)+SUMPRODUCT(--(ISNUMBER(SEARCH($A88,'Diags Raw Data'!$A$6:$A$3690))),--('Diags Raw Data'!$Q$6:$Q$3690&lt;&gt;"N/A"),'Diags Raw Data'!$U$6:$U$3690)</f>
        <v>0</v>
      </c>
      <c r="O88" s="491">
        <f t="shared" si="11"/>
        <v>0</v>
      </c>
      <c r="P88" s="492">
        <f>SUMIF('Diags Raw Data'!$A$6:$A$3690,"*"&amp;$A88&amp;"*",'Diags Raw Data'!$Z$6:$Z$3690)</f>
        <v>0</v>
      </c>
      <c r="Q88" s="493">
        <f>SUM(SUMIF('Diags Raw Data'!$A$6:$A$3690,"*"&amp;$A88&amp;"*",'Diags Raw Data'!$AA$6:$AA$3690),SUMIF('Diags Raw Data'!$A$6:$A$3690,"*"&amp;$A88&amp;"*",'Diags Raw Data'!$AB$6:$AB$3690))</f>
        <v>0</v>
      </c>
      <c r="R88" s="494">
        <f t="shared" si="8"/>
        <v>0</v>
      </c>
      <c r="S88" s="494">
        <f t="shared" si="9"/>
        <v>0</v>
      </c>
      <c r="T88" s="495">
        <f t="shared" si="10"/>
        <v>0</v>
      </c>
      <c r="U88" s="436" t="e">
        <f>VLOOKUP(A88,'Diags Raw Data'!$A$6:$AH$3690,33,FALSE)</f>
        <v>#N/A</v>
      </c>
      <c r="V88" s="181"/>
    </row>
    <row r="89" spans="1:22" ht="105.75" thickBot="1" x14ac:dyDescent="0.3">
      <c r="A89" s="549">
        <v>12.16</v>
      </c>
      <c r="B89" s="438" t="str">
        <f>VLOOKUP(A89,'Feature Raw Data'!$A$3:$B$3922,2,FALSE)</f>
        <v>Shader double wave64 VINTERP rate (por gfx11.5, evaluate gaming)</v>
      </c>
      <c r="C89" s="439" t="str">
        <f>VLOOKUP(A89,'Feature Raw Data'!$A$3:$C$3922,3,FALSE)</f>
        <v>P2</v>
      </c>
      <c r="D89" s="440" t="str" cm="1">
        <f t="array" ref="D89">_xlfn.TEXTJOIN("",TRUE,IF(ISNUMBER(SEARCH($A89,'Diags Raw Data'!$A$6:$A$3690)),CONCATENATE('Diags Raw Data'!$H$6:$H$3690,", "),""))</f>
        <v/>
      </c>
      <c r="E89" s="340" t="e">
        <f>VLOOKUP(A89,'Diags Raw Data'!$A$6:$D$3690,4,FALSE)</f>
        <v>#N/A</v>
      </c>
      <c r="F89" s="340" t="str">
        <f>VLOOKUP(A89,'Feature Raw Data'!$A$3:$E$3922,5,FALSE)</f>
        <v>New</v>
      </c>
      <c r="G89" s="340" t="str">
        <f t="shared" si="6"/>
        <v>Yes</v>
      </c>
      <c r="H89" s="340" t="str">
        <f t="shared" si="7"/>
        <v>Yes</v>
      </c>
      <c r="I89" s="439">
        <f>SUMIF('Diags Raw Data'!$A$6:$A$3690,"*"&amp;$A89&amp;"*",'Diags Raw Data'!$K$6:$K$3690)</f>
        <v>0</v>
      </c>
      <c r="J89" s="441">
        <f>SUMIF('Diags Raw Data'!$A$6:$A$3690,"*"&amp;$A89&amp;"*",'Diags Raw Data'!$L$6:$L$3690)</f>
        <v>0</v>
      </c>
      <c r="K89" s="487" cm="1">
        <f t="array" ref="K89">IF(D89="",0, SUMPRODUCT(--(ISNUMBER(SEARCH($A89,'Diags Raw Data'!$A$6:$A$3690))),'Diags Raw Data'!$L$6:$L$3690,'Diags Raw Data'!$N$6:$N$3690)/J89)</f>
        <v>0</v>
      </c>
      <c r="L89" s="488" cm="1">
        <f t="array" ref="L89">IF(D89="",0, SUMPRODUCT(--(ISNUMBER(SEARCH($A89,'Diags Raw Data'!$A$6:$A$3690))),'Diags Raw Data'!$L$6:$L$3690,'Diags Raw Data'!$P$6:$P$3690)/J89)</f>
        <v>0</v>
      </c>
      <c r="M89" s="489" cm="1">
        <f t="array" ref="M89">SUMPRODUCT(--(ISNUMBER(SEARCH($A89,'Diags Raw Data'!$A$6:$A$3690))),--('Diags Raw Data'!$Q$6:$Q$3690&lt;&gt;"N/A"),'Diags Raw Data'!$R$6:$R$3690)</f>
        <v>0</v>
      </c>
      <c r="N89" s="490" cm="1">
        <f t="array" ref="N89">SUMPRODUCT(--(ISNUMBER(SEARCH($A89,'Diags Raw Data'!$A$6:$A$3690))),--('Diags Raw Data'!$Q$6:$Q$3690&lt;&gt;"N/A"),'Diags Raw Data'!$T$6:$T$3690)+SUMPRODUCT(--(ISNUMBER(SEARCH($A89,'Diags Raw Data'!$A$6:$A$3690))),--('Diags Raw Data'!$Q$6:$Q$3690&lt;&gt;"N/A"),'Diags Raw Data'!$U$6:$U$3690)</f>
        <v>0</v>
      </c>
      <c r="O89" s="491">
        <f t="shared" si="11"/>
        <v>0</v>
      </c>
      <c r="P89" s="492">
        <f>SUMIF('Diags Raw Data'!$A$6:$A$3690,"*"&amp;$A89&amp;"*",'Diags Raw Data'!$Z$6:$Z$3690)</f>
        <v>0</v>
      </c>
      <c r="Q89" s="493">
        <f>SUM(SUMIF('Diags Raw Data'!$A$6:$A$3690,"*"&amp;$A89&amp;"*",'Diags Raw Data'!$AA$6:$AA$3690),SUMIF('Diags Raw Data'!$A$6:$A$3690,"*"&amp;$A89&amp;"*",'Diags Raw Data'!$AB$6:$AB$3690))</f>
        <v>0</v>
      </c>
      <c r="R89" s="494">
        <f t="shared" si="8"/>
        <v>0</v>
      </c>
      <c r="S89" s="494">
        <f t="shared" si="9"/>
        <v>0</v>
      </c>
      <c r="T89" s="495">
        <f t="shared" si="10"/>
        <v>0</v>
      </c>
      <c r="U89" s="436" t="e">
        <f>VLOOKUP(A89,'Diags Raw Data'!$A$6:$AH$3690,33,FALSE)</f>
        <v>#N/A</v>
      </c>
      <c r="V89" s="181"/>
    </row>
    <row r="90" spans="1:22" ht="45.75" thickBot="1" x14ac:dyDescent="0.3">
      <c r="A90" s="549">
        <v>12.162000000000001</v>
      </c>
      <c r="B90" s="438" t="str">
        <f>VLOOKUP(A90,'Feature Raw Data'!$A$3:$B$3922,2,FALSE)</f>
        <v xml:space="preserve">Shader Performance Profiler Enablement </v>
      </c>
      <c r="C90" s="439" t="str">
        <f>VLOOKUP(A90,'Feature Raw Data'!$A$3:$C$3922,3,FALSE)</f>
        <v>P1</v>
      </c>
      <c r="D90" s="440" t="str" cm="1">
        <f t="array" ref="D90">_xlfn.TEXTJOIN("",TRUE,IF(ISNUMBER(SEARCH($A90,'Diags Raw Data'!$A$6:$A$3690)),CONCATENATE('Diags Raw Data'!$H$6:$H$3690,", "),""))</f>
        <v/>
      </c>
      <c r="E90" s="340" t="e">
        <f>VLOOKUP(A90,'Diags Raw Data'!$A$6:$D$3690,4,FALSE)</f>
        <v>#N/A</v>
      </c>
      <c r="F90" s="340" t="str">
        <f>VLOOKUP(A90,'Feature Raw Data'!$A$3:$E$3922,5,FALSE)</f>
        <v>Delta</v>
      </c>
      <c r="G90" s="340" t="str">
        <f t="shared" si="6"/>
        <v>Yes</v>
      </c>
      <c r="H90" s="340" t="str">
        <f t="shared" si="7"/>
        <v>Yes</v>
      </c>
      <c r="I90" s="439">
        <f>SUMIF('Diags Raw Data'!$A$6:$A$3690,"*"&amp;$A90&amp;"*",'Diags Raw Data'!$K$6:$K$3690)</f>
        <v>0</v>
      </c>
      <c r="J90" s="441">
        <f>SUMIF('Diags Raw Data'!$A$6:$A$3690,"*"&amp;$A90&amp;"*",'Diags Raw Data'!$L$6:$L$3690)</f>
        <v>0</v>
      </c>
      <c r="K90" s="487" cm="1">
        <f t="array" ref="K90">IF(D90="",0, SUMPRODUCT(--(ISNUMBER(SEARCH($A90,'Diags Raw Data'!$A$6:$A$3690))),'Diags Raw Data'!$L$6:$L$3690,'Diags Raw Data'!$N$6:$N$3690)/J90)</f>
        <v>0</v>
      </c>
      <c r="L90" s="488" cm="1">
        <f t="array" ref="L90">IF(D90="",0, SUMPRODUCT(--(ISNUMBER(SEARCH($A90,'Diags Raw Data'!$A$6:$A$3690))),'Diags Raw Data'!$L$6:$L$3690,'Diags Raw Data'!$P$6:$P$3690)/J90)</f>
        <v>0</v>
      </c>
      <c r="M90" s="489" cm="1">
        <f t="array" ref="M90">SUMPRODUCT(--(ISNUMBER(SEARCH($A90,'Diags Raw Data'!$A$6:$A$3690))),--('Diags Raw Data'!$Q$6:$Q$3690&lt;&gt;"N/A"),'Diags Raw Data'!$R$6:$R$3690)</f>
        <v>0</v>
      </c>
      <c r="N90" s="490" cm="1">
        <f t="array" ref="N90">SUMPRODUCT(--(ISNUMBER(SEARCH($A90,'Diags Raw Data'!$A$6:$A$3690))),--('Diags Raw Data'!$Q$6:$Q$3690&lt;&gt;"N/A"),'Diags Raw Data'!$T$6:$T$3690)+SUMPRODUCT(--(ISNUMBER(SEARCH($A90,'Diags Raw Data'!$A$6:$A$3690))),--('Diags Raw Data'!$Q$6:$Q$3690&lt;&gt;"N/A"),'Diags Raw Data'!$U$6:$U$3690)</f>
        <v>0</v>
      </c>
      <c r="O90" s="491">
        <f>IF((M90=0),0,N90/M90)</f>
        <v>0</v>
      </c>
      <c r="P90" s="492">
        <f>SUMIF('Diags Raw Data'!$A$6:$A$3690,"*"&amp;$A90&amp;"*",'Diags Raw Data'!$Z$6:$Z$3690)</f>
        <v>0</v>
      </c>
      <c r="Q90" s="493">
        <f>SUM(SUMIF('Diags Raw Data'!$A$6:$A$3690,"*"&amp;$A90&amp;"*",'Diags Raw Data'!$AA$6:$AA$3690),SUMIF('Diags Raw Data'!$A$6:$A$3690,"*"&amp;$A90&amp;"*",'Diags Raw Data'!$AB$6:$AB$3690))</f>
        <v>0</v>
      </c>
      <c r="R90" s="494">
        <f>IF((J90=0),0,P90/J90)</f>
        <v>0</v>
      </c>
      <c r="S90" s="494">
        <f>IF((P90=0),0,Q90/P90)</f>
        <v>0</v>
      </c>
      <c r="T90" s="495">
        <f>R90*S90</f>
        <v>0</v>
      </c>
      <c r="U90" s="436" t="e">
        <f>VLOOKUP(A90,'Diags Raw Data'!$A$6:$AH$3690,33,FALSE)</f>
        <v>#N/A</v>
      </c>
      <c r="V90" s="181"/>
    </row>
    <row r="91" spans="1:22" ht="15.75" thickBot="1" x14ac:dyDescent="0.3">
      <c r="A91" s="549">
        <v>12.163</v>
      </c>
      <c r="B91" s="438" t="str">
        <f>VLOOKUP(A91,'Feature Raw Data'!$A$3:$B$3922,2,FALSE)</f>
        <v xml:space="preserve">Architected SGPR Values </v>
      </c>
      <c r="C91" s="439" t="str">
        <f>VLOOKUP(A91,'Feature Raw Data'!$A$3:$C$3922,3,FALSE)</f>
        <v>P2</v>
      </c>
      <c r="D91" s="440" t="str" cm="1">
        <f t="array" ref="D91">_xlfn.TEXTJOIN("",TRUE,IF(ISNUMBER(SEARCH($A91,'Diags Raw Data'!$A$6:$A$3690)),CONCATENATE('Diags Raw Data'!$H$6:$H$3690,", "),""))</f>
        <v/>
      </c>
      <c r="E91" s="340" t="e">
        <f>VLOOKUP(A91,'Diags Raw Data'!$A$6:$D$3690,4,FALSE)</f>
        <v>#N/A</v>
      </c>
      <c r="F91" s="340" t="str">
        <f>VLOOKUP(A91,'Feature Raw Data'!$A$3:$E$3922,5,FALSE)</f>
        <v>New</v>
      </c>
      <c r="G91" s="340" t="str">
        <f t="shared" si="6"/>
        <v>Yes</v>
      </c>
      <c r="H91" s="340" t="str">
        <f t="shared" si="7"/>
        <v>Yes</v>
      </c>
      <c r="I91" s="439">
        <f>SUMIF('Diags Raw Data'!$A$6:$A$3690,"*"&amp;$A91&amp;"*",'Diags Raw Data'!$K$6:$K$3690)</f>
        <v>0</v>
      </c>
      <c r="J91" s="441">
        <f>SUMIF('Diags Raw Data'!$A$6:$A$3690,"*"&amp;$A91&amp;"*",'Diags Raw Data'!$L$6:$L$3690)</f>
        <v>0</v>
      </c>
      <c r="K91" s="487" cm="1">
        <f t="array" ref="K91">IF(D91="",0, SUMPRODUCT(--(ISNUMBER(SEARCH($A91,'Diags Raw Data'!$A$6:$A$3690))),'Diags Raw Data'!$L$6:$L$3690,'Diags Raw Data'!$N$6:$N$3690)/J91)</f>
        <v>0</v>
      </c>
      <c r="L91" s="488" cm="1">
        <f t="array" ref="L91">IF(D91="",0, SUMPRODUCT(--(ISNUMBER(SEARCH($A91,'Diags Raw Data'!$A$6:$A$3690))),'Diags Raw Data'!$L$6:$L$3690,'Diags Raw Data'!$P$6:$P$3690)/J91)</f>
        <v>0</v>
      </c>
      <c r="M91" s="489" cm="1">
        <f t="array" ref="M91">SUMPRODUCT(--(ISNUMBER(SEARCH($A91,'Diags Raw Data'!$A$6:$A$3690))),--('Diags Raw Data'!$Q$6:$Q$3690&lt;&gt;"N/A"),'Diags Raw Data'!$R$6:$R$3690)</f>
        <v>0</v>
      </c>
      <c r="N91" s="490" cm="1">
        <f t="array" ref="N91">SUMPRODUCT(--(ISNUMBER(SEARCH($A91,'Diags Raw Data'!$A$6:$A$3690))),--('Diags Raw Data'!$Q$6:$Q$3690&lt;&gt;"N/A"),'Diags Raw Data'!$T$6:$T$3690)+SUMPRODUCT(--(ISNUMBER(SEARCH($A91,'Diags Raw Data'!$A$6:$A$3690))),--('Diags Raw Data'!$Q$6:$Q$3690&lt;&gt;"N/A"),'Diags Raw Data'!$U$6:$U$3690)</f>
        <v>0</v>
      </c>
      <c r="O91" s="491">
        <f>IF((M91=0),0,N91/M91)</f>
        <v>0</v>
      </c>
      <c r="P91" s="492">
        <f>SUMIF('Diags Raw Data'!$A$6:$A$3690,"*"&amp;$A91&amp;"*",'Diags Raw Data'!$Z$6:$Z$3690)</f>
        <v>0</v>
      </c>
      <c r="Q91" s="493">
        <f>SUM(SUMIF('Diags Raw Data'!$A$6:$A$3690,"*"&amp;$A91&amp;"*",'Diags Raw Data'!$AA$6:$AA$3690),SUMIF('Diags Raw Data'!$A$6:$A$3690,"*"&amp;$A91&amp;"*",'Diags Raw Data'!$AB$6:$AB$3690))</f>
        <v>0</v>
      </c>
      <c r="R91" s="494">
        <f>IF((J91=0),0,P91/J91)</f>
        <v>0</v>
      </c>
      <c r="S91" s="494">
        <f>IF((P91=0),0,Q91/P91)</f>
        <v>0</v>
      </c>
      <c r="T91" s="495">
        <f>R91*S91</f>
        <v>0</v>
      </c>
      <c r="U91" s="436" t="e">
        <f>VLOOKUP(A91,'Diags Raw Data'!$A$6:$AH$3690,33,FALSE)</f>
        <v>#N/A</v>
      </c>
      <c r="V91" s="181"/>
    </row>
    <row r="92" spans="1:22" ht="30.75" thickBot="1" x14ac:dyDescent="0.3">
      <c r="A92" s="549">
        <v>12.164</v>
      </c>
      <c r="B92" s="438" t="str">
        <f>VLOOKUP(A92,'Feature Raw Data'!$A$3:$B$3922,2,FALSE)</f>
        <v xml:space="preserve">Hybrid Depth Compression </v>
      </c>
      <c r="C92" s="439" t="str">
        <f>VLOOKUP(A92,'Feature Raw Data'!$A$3:$C$3922,3,FALSE)</f>
        <v>P1</v>
      </c>
      <c r="D92" s="440" t="str" cm="1">
        <f t="array" ref="D92">_xlfn.TEXTJOIN("",TRUE,IF(ISNUMBER(SEARCH($A92,'Diags Raw Data'!$A$6:$A$3690)),CONCATENATE('Diags Raw Data'!$H$6:$H$3690,", "),""))</f>
        <v/>
      </c>
      <c r="E92" s="340" t="e">
        <f>VLOOKUP(A92,'Diags Raw Data'!$A$6:$D$3690,4,FALSE)</f>
        <v>#N/A</v>
      </c>
      <c r="F92" s="340" t="str">
        <f>VLOOKUP(A92,'Feature Raw Data'!$A$3:$E$3922,5,FALSE)</f>
        <v>New</v>
      </c>
      <c r="G92" s="340" t="str">
        <f t="shared" si="6"/>
        <v>Yes</v>
      </c>
      <c r="H92" s="340" t="str">
        <f t="shared" si="7"/>
        <v>Yes</v>
      </c>
      <c r="I92" s="439">
        <f>SUMIF('Diags Raw Data'!$A$6:$A$3690,"*"&amp;$A92&amp;"*",'Diags Raw Data'!$K$6:$K$3690)</f>
        <v>0</v>
      </c>
      <c r="J92" s="441">
        <f>SUMIF('Diags Raw Data'!$A$6:$A$3690,"*"&amp;$A92&amp;"*",'Diags Raw Data'!$L$6:$L$3690)</f>
        <v>0</v>
      </c>
      <c r="K92" s="487" cm="1">
        <f t="array" ref="K92">IF(D92="",0, SUMPRODUCT(--(ISNUMBER(SEARCH($A92,'Diags Raw Data'!$A$6:$A$3690))),'Diags Raw Data'!$L$6:$L$3690,'Diags Raw Data'!$N$6:$N$3690)/J92)</f>
        <v>0</v>
      </c>
      <c r="L92" s="488" cm="1">
        <f t="array" ref="L92">IF(D92="",0, SUMPRODUCT(--(ISNUMBER(SEARCH($A92,'Diags Raw Data'!$A$6:$A$3690))),'Diags Raw Data'!$L$6:$L$3690,'Diags Raw Data'!$P$6:$P$3690)/J92)</f>
        <v>0</v>
      </c>
      <c r="M92" s="489" cm="1">
        <f t="array" ref="M92">SUMPRODUCT(--(ISNUMBER(SEARCH($A92,'Diags Raw Data'!$A$6:$A$3690))),--('Diags Raw Data'!$Q$6:$Q$3690&lt;&gt;"N/A"),'Diags Raw Data'!$R$6:$R$3690)</f>
        <v>0</v>
      </c>
      <c r="N92" s="490" cm="1">
        <f t="array" ref="N92">SUMPRODUCT(--(ISNUMBER(SEARCH($A92,'Diags Raw Data'!$A$6:$A$3690))),--('Diags Raw Data'!$Q$6:$Q$3690&lt;&gt;"N/A"),'Diags Raw Data'!$T$6:$T$3690)+SUMPRODUCT(--(ISNUMBER(SEARCH($A92,'Diags Raw Data'!$A$6:$A$3690))),--('Diags Raw Data'!$Q$6:$Q$3690&lt;&gt;"N/A"),'Diags Raw Data'!$U$6:$U$3690)</f>
        <v>0</v>
      </c>
      <c r="O92" s="491">
        <f t="shared" si="11"/>
        <v>0</v>
      </c>
      <c r="P92" s="492">
        <f>SUMIF('Diags Raw Data'!$A$6:$A$3690,"*"&amp;$A92&amp;"*",'Diags Raw Data'!$Z$6:$Z$3690)</f>
        <v>0</v>
      </c>
      <c r="Q92" s="493">
        <f>SUM(SUMIF('Diags Raw Data'!$A$6:$A$3690,"*"&amp;$A92&amp;"*",'Diags Raw Data'!$AA$6:$AA$3690),SUMIF('Diags Raw Data'!$A$6:$A$3690,"*"&amp;$A92&amp;"*",'Diags Raw Data'!$AB$6:$AB$3690))</f>
        <v>0</v>
      </c>
      <c r="R92" s="494">
        <f t="shared" si="8"/>
        <v>0</v>
      </c>
      <c r="S92" s="494">
        <f t="shared" si="9"/>
        <v>0</v>
      </c>
      <c r="T92" s="495">
        <f t="shared" si="10"/>
        <v>0</v>
      </c>
      <c r="U92" s="436" t="e">
        <f>VLOOKUP(A92,'Diags Raw Data'!$A$6:$AH$3690,33,FALSE)</f>
        <v>#N/A</v>
      </c>
      <c r="V92" s="181"/>
    </row>
    <row r="93" spans="1:22" ht="15.75" thickBot="1" x14ac:dyDescent="0.3">
      <c r="A93" s="549">
        <v>12.164999999999999</v>
      </c>
      <c r="B93" s="438" t="str">
        <f>VLOOKUP(A93,'Feature Raw Data'!$A$3:$B$3922,2,FALSE)</f>
        <v xml:space="preserve">HiZ/S in SC </v>
      </c>
      <c r="C93" s="439" t="str">
        <f>VLOOKUP(A93,'Feature Raw Data'!$A$3:$C$3922,3,FALSE)</f>
        <v>P1</v>
      </c>
      <c r="D93" s="440" t="str" cm="1">
        <f t="array" ref="D93">_xlfn.TEXTJOIN("",TRUE,IF(ISNUMBER(SEARCH($A93,'Diags Raw Data'!$A$6:$A$3690)),CONCATENATE('Diags Raw Data'!$H$6:$H$3690,", "),""))</f>
        <v/>
      </c>
      <c r="E93" s="340" t="e">
        <f>VLOOKUP(A93,'Diags Raw Data'!$A$6:$D$3690,4,FALSE)</f>
        <v>#N/A</v>
      </c>
      <c r="F93" s="340" t="str">
        <f>VLOOKUP(A93,'Feature Raw Data'!$A$3:$E$3922,5,FALSE)</f>
        <v>New</v>
      </c>
      <c r="G93" s="340" t="str">
        <f t="shared" si="6"/>
        <v>Yes</v>
      </c>
      <c r="H93" s="340" t="str">
        <f t="shared" si="7"/>
        <v>Yes</v>
      </c>
      <c r="I93" s="439">
        <f>SUMIF('Diags Raw Data'!$A$6:$A$3690,"*"&amp;$A93&amp;"*",'Diags Raw Data'!$K$6:$K$3690)</f>
        <v>0</v>
      </c>
      <c r="J93" s="441">
        <f>SUMIF('Diags Raw Data'!$A$6:$A$3690,"*"&amp;$A93&amp;"*",'Diags Raw Data'!$L$6:$L$3690)</f>
        <v>0</v>
      </c>
      <c r="K93" s="487" cm="1">
        <f t="array" ref="K93">IF(D93="",0, SUMPRODUCT(--(ISNUMBER(SEARCH($A93,'Diags Raw Data'!$A$6:$A$3690))),'Diags Raw Data'!$L$6:$L$3690,'Diags Raw Data'!$N$6:$N$3690)/J93)</f>
        <v>0</v>
      </c>
      <c r="L93" s="488" cm="1">
        <f t="array" ref="L93">IF(D93="",0, SUMPRODUCT(--(ISNUMBER(SEARCH($A93,'Diags Raw Data'!$A$6:$A$3690))),'Diags Raw Data'!$L$6:$L$3690,'Diags Raw Data'!$P$6:$P$3690)/J93)</f>
        <v>0</v>
      </c>
      <c r="M93" s="489" cm="1">
        <f t="array" ref="M93">SUMPRODUCT(--(ISNUMBER(SEARCH($A93,'Diags Raw Data'!$A$6:$A$3690))),--('Diags Raw Data'!$Q$6:$Q$3690&lt;&gt;"N/A"),'Diags Raw Data'!$R$6:$R$3690)</f>
        <v>0</v>
      </c>
      <c r="N93" s="490" cm="1">
        <f t="array" ref="N93">SUMPRODUCT(--(ISNUMBER(SEARCH($A93,'Diags Raw Data'!$A$6:$A$3690))),--('Diags Raw Data'!$Q$6:$Q$3690&lt;&gt;"N/A"),'Diags Raw Data'!$T$6:$T$3690)+SUMPRODUCT(--(ISNUMBER(SEARCH($A93,'Diags Raw Data'!$A$6:$A$3690))),--('Diags Raw Data'!$Q$6:$Q$3690&lt;&gt;"N/A"),'Diags Raw Data'!$U$6:$U$3690)</f>
        <v>0</v>
      </c>
      <c r="O93" s="491">
        <f t="shared" si="11"/>
        <v>0</v>
      </c>
      <c r="P93" s="492">
        <f>SUMIF('Diags Raw Data'!$A$6:$A$3690,"*"&amp;$A93&amp;"*",'Diags Raw Data'!$Z$6:$Z$3690)</f>
        <v>0</v>
      </c>
      <c r="Q93" s="493">
        <f>SUM(SUMIF('Diags Raw Data'!$A$6:$A$3690,"*"&amp;$A93&amp;"*",'Diags Raw Data'!$AA$6:$AA$3690),SUMIF('Diags Raw Data'!$A$6:$A$3690,"*"&amp;$A93&amp;"*",'Diags Raw Data'!$AB$6:$AB$3690))</f>
        <v>0</v>
      </c>
      <c r="R93" s="494">
        <f t="shared" si="8"/>
        <v>0</v>
      </c>
      <c r="S93" s="494">
        <f>IF((P93=0),0,Q93/P93)</f>
        <v>0</v>
      </c>
      <c r="T93" s="495">
        <f>R93*S93</f>
        <v>0</v>
      </c>
      <c r="U93" s="436" t="e">
        <f>VLOOKUP(A93,'Diags Raw Data'!$A$6:$AH$3690,33,FALSE)</f>
        <v>#N/A</v>
      </c>
      <c r="V93" s="181"/>
    </row>
    <row r="94" spans="1:22" ht="30.75" thickBot="1" x14ac:dyDescent="0.3">
      <c r="A94" s="549">
        <v>12.167</v>
      </c>
      <c r="B94" s="438" t="str">
        <f>VLOOKUP(A94,'Feature Raw Data'!$A$3:$B$3922,2,FALSE)</f>
        <v xml:space="preserve">CB codec removal/simplifications </v>
      </c>
      <c r="C94" s="439" t="str">
        <f>VLOOKUP(A94,'Feature Raw Data'!$A$3:$C$3922,3,FALSE)</f>
        <v>P1</v>
      </c>
      <c r="D94" s="440" t="str" cm="1">
        <f t="array" ref="D94">_xlfn.TEXTJOIN("",TRUE,IF(ISNUMBER(SEARCH($A94,'Diags Raw Data'!$A$6:$A$3690)),CONCATENATE('Diags Raw Data'!$H$6:$H$3690,", "),""))</f>
        <v/>
      </c>
      <c r="E94" s="340" t="e">
        <f>VLOOKUP(A94,'Diags Raw Data'!$A$6:$D$3690,4,FALSE)</f>
        <v>#N/A</v>
      </c>
      <c r="F94" s="340" t="str">
        <f>VLOOKUP(A94,'Feature Raw Data'!$A$3:$E$3922,5,FALSE)</f>
        <v>New</v>
      </c>
      <c r="G94" s="340" t="str">
        <f t="shared" si="6"/>
        <v>Yes</v>
      </c>
      <c r="H94" s="340" t="str">
        <f t="shared" si="7"/>
        <v>Yes</v>
      </c>
      <c r="I94" s="439">
        <f>SUMIF('Diags Raw Data'!$A$6:$A$3690,"*"&amp;$A94&amp;"*",'Diags Raw Data'!$K$6:$K$3690)</f>
        <v>0</v>
      </c>
      <c r="J94" s="441">
        <f>SUMIF('Diags Raw Data'!$A$6:$A$3690,"*"&amp;$A94&amp;"*",'Diags Raw Data'!$L$6:$L$3690)</f>
        <v>0</v>
      </c>
      <c r="K94" s="487" cm="1">
        <f t="array" ref="K94">IF(D94="",0, SUMPRODUCT(--(ISNUMBER(SEARCH($A94,'Diags Raw Data'!$A$6:$A$3690))),'Diags Raw Data'!$L$6:$L$3690,'Diags Raw Data'!$N$6:$N$3690)/J94)</f>
        <v>0</v>
      </c>
      <c r="L94" s="488" cm="1">
        <f t="array" ref="L94">IF(D94="",0, SUMPRODUCT(--(ISNUMBER(SEARCH($A94,'Diags Raw Data'!$A$6:$A$3690))),'Diags Raw Data'!$L$6:$L$3690,'Diags Raw Data'!$P$6:$P$3690)/J94)</f>
        <v>0</v>
      </c>
      <c r="M94" s="489" cm="1">
        <f t="array" ref="M94">SUMPRODUCT(--(ISNUMBER(SEARCH($A94,'Diags Raw Data'!$A$6:$A$3690))),--('Diags Raw Data'!$Q$6:$Q$3690&lt;&gt;"N/A"),'Diags Raw Data'!$R$6:$R$3690)</f>
        <v>0</v>
      </c>
      <c r="N94" s="490" cm="1">
        <f t="array" ref="N94">SUMPRODUCT(--(ISNUMBER(SEARCH($A94,'Diags Raw Data'!$A$6:$A$3690))),--('Diags Raw Data'!$Q$6:$Q$3690&lt;&gt;"N/A"),'Diags Raw Data'!$T$6:$T$3690)+SUMPRODUCT(--(ISNUMBER(SEARCH($A94,'Diags Raw Data'!$A$6:$A$3690))),--('Diags Raw Data'!$Q$6:$Q$3690&lt;&gt;"N/A"),'Diags Raw Data'!$U$6:$U$3690)</f>
        <v>0</v>
      </c>
      <c r="O94" s="491">
        <f>IF((M94=0),0,N94/M94)</f>
        <v>0</v>
      </c>
      <c r="P94" s="492">
        <f>SUMIF('Diags Raw Data'!$A$6:$A$3690,"*"&amp;$A94&amp;"*",'Diags Raw Data'!$Z$6:$Z$3690)</f>
        <v>0</v>
      </c>
      <c r="Q94" s="493">
        <f>SUM(SUMIF('Diags Raw Data'!$A$6:$A$3690,"*"&amp;$A94&amp;"*",'Diags Raw Data'!$AA$6:$AA$3690),SUMIF('Diags Raw Data'!$A$6:$A$3690,"*"&amp;$A94&amp;"*",'Diags Raw Data'!$AB$6:$AB$3690))</f>
        <v>0</v>
      </c>
      <c r="R94" s="494">
        <f>IF((J94=0),0,P94/J94)</f>
        <v>0</v>
      </c>
      <c r="S94" s="494">
        <f t="shared" si="9"/>
        <v>0</v>
      </c>
      <c r="T94" s="495">
        <f t="shared" si="10"/>
        <v>0</v>
      </c>
      <c r="U94" s="436" t="e">
        <f>VLOOKUP(A94,'Diags Raw Data'!$A$6:$AH$3690,33,FALSE)</f>
        <v>#N/A</v>
      </c>
      <c r="V94" s="181"/>
    </row>
    <row r="95" spans="1:22" ht="15.75" thickBot="1" x14ac:dyDescent="0.3">
      <c r="A95" s="549">
        <v>12.167999999999999</v>
      </c>
      <c r="B95" s="438" t="str">
        <f>VLOOKUP(A95,'Feature Raw Data'!$A$3:$B$3922,2,FALSE)</f>
        <v xml:space="preserve">VRS fragment compression </v>
      </c>
      <c r="C95" s="439" t="str">
        <f>VLOOKUP(A95,'Feature Raw Data'!$A$3:$C$3922,3,FALSE)</f>
        <v>P1</v>
      </c>
      <c r="D95" s="440" t="str" cm="1">
        <f t="array" ref="D95">_xlfn.TEXTJOIN("",TRUE,IF(ISNUMBER(SEARCH($A95,'Diags Raw Data'!$A$6:$A$3690)),CONCATENATE('Diags Raw Data'!$H$6:$H$3690,", "),""))</f>
        <v/>
      </c>
      <c r="E95" s="340" t="e">
        <f>VLOOKUP(A95,'Diags Raw Data'!$A$6:$D$3690,4,FALSE)</f>
        <v>#N/A</v>
      </c>
      <c r="F95" s="340" t="str">
        <f>VLOOKUP(A95,'Feature Raw Data'!$A$3:$E$3922,5,FALSE)</f>
        <v>New</v>
      </c>
      <c r="G95" s="340" t="str">
        <f t="shared" si="6"/>
        <v>Yes</v>
      </c>
      <c r="H95" s="340" t="str">
        <f t="shared" si="7"/>
        <v>Yes</v>
      </c>
      <c r="I95" s="439">
        <f>SUMIF('Diags Raw Data'!$A$6:$A$3690,"*"&amp;$A95&amp;"*",'Diags Raw Data'!$K$6:$K$3690)</f>
        <v>0</v>
      </c>
      <c r="J95" s="441">
        <f>SUMIF('Diags Raw Data'!$A$6:$A$3690,"*"&amp;$A95&amp;"*",'Diags Raw Data'!$L$6:$L$3690)</f>
        <v>0</v>
      </c>
      <c r="K95" s="487" cm="1">
        <f t="array" ref="K95">IF(D95="",0, SUMPRODUCT(--(ISNUMBER(SEARCH($A95,'Diags Raw Data'!$A$6:$A$3690))),'Diags Raw Data'!$L$6:$L$3690,'Diags Raw Data'!$N$6:$N$3690)/J95)</f>
        <v>0</v>
      </c>
      <c r="L95" s="488" cm="1">
        <f t="array" ref="L95">IF(D95="",0, SUMPRODUCT(--(ISNUMBER(SEARCH($A95,'Diags Raw Data'!$A$6:$A$3690))),'Diags Raw Data'!$L$6:$L$3690,'Diags Raw Data'!$P$6:$P$3690)/J95)</f>
        <v>0</v>
      </c>
      <c r="M95" s="489" cm="1">
        <f t="array" ref="M95">SUMPRODUCT(--(ISNUMBER(SEARCH($A95,'Diags Raw Data'!$A$6:$A$3690))),--('Diags Raw Data'!$Q$6:$Q$3690&lt;&gt;"N/A"),'Diags Raw Data'!$R$6:$R$3690)</f>
        <v>0</v>
      </c>
      <c r="N95" s="490" cm="1">
        <f t="array" ref="N95">SUMPRODUCT(--(ISNUMBER(SEARCH($A95,'Diags Raw Data'!$A$6:$A$3690))),--('Diags Raw Data'!$Q$6:$Q$3690&lt;&gt;"N/A"),'Diags Raw Data'!$T$6:$T$3690)+SUMPRODUCT(--(ISNUMBER(SEARCH($A95,'Diags Raw Data'!$A$6:$A$3690))),--('Diags Raw Data'!$Q$6:$Q$3690&lt;&gt;"N/A"),'Diags Raw Data'!$U$6:$U$3690)</f>
        <v>0</v>
      </c>
      <c r="O95" s="491">
        <f>IF((M95=0),0,N95/M95)</f>
        <v>0</v>
      </c>
      <c r="P95" s="492">
        <f>SUMIF('Diags Raw Data'!$A$6:$A$3690,"*"&amp;$A95&amp;"*",'Diags Raw Data'!$Z$6:$Z$3690)</f>
        <v>0</v>
      </c>
      <c r="Q95" s="493">
        <f>SUM(SUMIF('Diags Raw Data'!$A$6:$A$3690,"*"&amp;$A95&amp;"*",'Diags Raw Data'!$AA$6:$AA$3690),SUMIF('Diags Raw Data'!$A$6:$A$3690,"*"&amp;$A95&amp;"*",'Diags Raw Data'!$AB$6:$AB$3690))</f>
        <v>0</v>
      </c>
      <c r="R95" s="494">
        <f t="shared" si="8"/>
        <v>0</v>
      </c>
      <c r="S95" s="494">
        <f t="shared" si="9"/>
        <v>0</v>
      </c>
      <c r="T95" s="495">
        <f t="shared" si="10"/>
        <v>0</v>
      </c>
      <c r="U95" s="436" t="e">
        <f>VLOOKUP(A95,'Diags Raw Data'!$A$6:$AH$3690,33,FALSE)</f>
        <v>#N/A</v>
      </c>
      <c r="V95" s="181"/>
    </row>
    <row r="96" spans="1:22" ht="15.75" thickBot="1" x14ac:dyDescent="0.3">
      <c r="A96" s="549">
        <v>12.173999999999999</v>
      </c>
      <c r="B96" s="438" t="str">
        <f>VLOOKUP(A96,'Feature Raw Data'!$A$3:$B$3922,2,FALSE)</f>
        <v>RS64 64bit Stream Input</v>
      </c>
      <c r="C96" s="439" t="str">
        <f>VLOOKUP(A96,'Feature Raw Data'!$A$3:$C$3922,3,FALSE)</f>
        <v>P1</v>
      </c>
      <c r="D96" s="440" t="str" cm="1">
        <f t="array" ref="D96">_xlfn.TEXTJOIN("",TRUE,IF(ISNUMBER(SEARCH($A96,'Diags Raw Data'!$A$6:$A$3690)),CONCATENATE('Diags Raw Data'!$H$6:$H$3690,", "),""))</f>
        <v/>
      </c>
      <c r="E96" s="340" t="e">
        <f>VLOOKUP(A96,'Diags Raw Data'!$A$6:$D$3690,4,FALSE)</f>
        <v>#N/A</v>
      </c>
      <c r="F96" s="340" t="str">
        <f>VLOOKUP(A96,'Feature Raw Data'!$A$3:$E$3922,5,FALSE)</f>
        <v>New</v>
      </c>
      <c r="G96" s="340" t="str">
        <f t="shared" si="6"/>
        <v>Yes</v>
      </c>
      <c r="H96" s="340" t="str">
        <f t="shared" si="7"/>
        <v>Yes</v>
      </c>
      <c r="I96" s="439">
        <f>SUMIF('Diags Raw Data'!$A$6:$A$3690,"*"&amp;$A96&amp;"*",'Diags Raw Data'!$K$6:$K$3690)</f>
        <v>0</v>
      </c>
      <c r="J96" s="441">
        <f>SUMIF('Diags Raw Data'!$A$6:$A$3690,"*"&amp;$A96&amp;"*",'Diags Raw Data'!$L$6:$L$3690)</f>
        <v>0</v>
      </c>
      <c r="K96" s="487" cm="1">
        <f t="array" ref="K96">IF(D96="",0, SUMPRODUCT(--(ISNUMBER(SEARCH($A96,'Diags Raw Data'!$A$6:$A$3690))),'Diags Raw Data'!$L$6:$L$3690,'Diags Raw Data'!$N$6:$N$3690)/J96)</f>
        <v>0</v>
      </c>
      <c r="L96" s="488" cm="1">
        <f t="array" ref="L96">IF(D96="",0, SUMPRODUCT(--(ISNUMBER(SEARCH($A96,'Diags Raw Data'!$A$6:$A$3690))),'Diags Raw Data'!$L$6:$L$3690,'Diags Raw Data'!$P$6:$P$3690)/J96)</f>
        <v>0</v>
      </c>
      <c r="M96" s="489" cm="1">
        <f t="array" ref="M96">SUMPRODUCT(--(ISNUMBER(SEARCH($A96,'Diags Raw Data'!$A$6:$A$3690))),--('Diags Raw Data'!$Q$6:$Q$3690&lt;&gt;"N/A"),'Diags Raw Data'!$R$6:$R$3690)</f>
        <v>0</v>
      </c>
      <c r="N96" s="490" cm="1">
        <f t="array" ref="N96">SUMPRODUCT(--(ISNUMBER(SEARCH($A96,'Diags Raw Data'!$A$6:$A$3690))),--('Diags Raw Data'!$Q$6:$Q$3690&lt;&gt;"N/A"),'Diags Raw Data'!$T$6:$T$3690)+SUMPRODUCT(--(ISNUMBER(SEARCH($A96,'Diags Raw Data'!$A$6:$A$3690))),--('Diags Raw Data'!$Q$6:$Q$3690&lt;&gt;"N/A"),'Diags Raw Data'!$U$6:$U$3690)</f>
        <v>0</v>
      </c>
      <c r="O96" s="491">
        <f>IF((M96=0),0,N96/M96)</f>
        <v>0</v>
      </c>
      <c r="P96" s="492">
        <f>SUMIF('Diags Raw Data'!$A$6:$A$3690,"*"&amp;$A96&amp;"*",'Diags Raw Data'!$Z$6:$Z$3690)</f>
        <v>0</v>
      </c>
      <c r="Q96" s="493">
        <f>SUM(SUMIF('Diags Raw Data'!$A$6:$A$3690,"*"&amp;$A96&amp;"*",'Diags Raw Data'!$AA$6:$AA$3690),SUMIF('Diags Raw Data'!$A$6:$A$3690,"*"&amp;$A96&amp;"*",'Diags Raw Data'!$AB$6:$AB$3690))</f>
        <v>0</v>
      </c>
      <c r="R96" s="494">
        <f t="shared" si="8"/>
        <v>0</v>
      </c>
      <c r="S96" s="494">
        <f t="shared" si="9"/>
        <v>0</v>
      </c>
      <c r="T96" s="495">
        <f t="shared" si="10"/>
        <v>0</v>
      </c>
      <c r="U96" s="436" t="e">
        <f>VLOOKUP(A96,'Diags Raw Data'!$A$6:$AH$3690,33,FALSE)</f>
        <v>#N/A</v>
      </c>
      <c r="V96" s="181"/>
    </row>
    <row r="97" spans="1:22" ht="15.75" thickBot="1" x14ac:dyDescent="0.3">
      <c r="A97" s="549">
        <v>12.175000000000001</v>
      </c>
      <c r="B97" s="438" t="str">
        <f>VLOOKUP(A97,'Feature Raw Data'!$A$3:$B$3922,2,FALSE)</f>
        <v>RS64 Atomic ISA Ext</v>
      </c>
      <c r="C97" s="439" t="str">
        <f>VLOOKUP(A97,'Feature Raw Data'!$A$3:$C$3922,3,FALSE)</f>
        <v>P1</v>
      </c>
      <c r="D97" s="440" t="str" cm="1">
        <f t="array" ref="D97">_xlfn.TEXTJOIN("",TRUE,IF(ISNUMBER(SEARCH($A97,'Diags Raw Data'!$A$6:$A$3690)),CONCATENATE('Diags Raw Data'!$H$6:$H$3690,", "),""))</f>
        <v/>
      </c>
      <c r="E97" s="340" t="e">
        <f>VLOOKUP(A97,'Diags Raw Data'!$A$6:$D$3690,4,FALSE)</f>
        <v>#N/A</v>
      </c>
      <c r="F97" s="340" t="str">
        <f>VLOOKUP(A97,'Feature Raw Data'!$A$3:$E$3922,5,FALSE)</f>
        <v>New</v>
      </c>
      <c r="G97" s="340" t="str">
        <f t="shared" si="6"/>
        <v>Yes</v>
      </c>
      <c r="H97" s="340" t="str">
        <f t="shared" si="7"/>
        <v>Yes</v>
      </c>
      <c r="I97" s="439">
        <f>SUMIF('Diags Raw Data'!$A$6:$A$3690,"*"&amp;$A97&amp;"*",'Diags Raw Data'!$K$6:$K$3690)</f>
        <v>0</v>
      </c>
      <c r="J97" s="441">
        <f>SUMIF('Diags Raw Data'!$A$6:$A$3690,"*"&amp;$A97&amp;"*",'Diags Raw Data'!$L$6:$L$3690)</f>
        <v>0</v>
      </c>
      <c r="K97" s="487" cm="1">
        <f t="array" ref="K97">IF(D97="",0, SUMPRODUCT(--(ISNUMBER(SEARCH($A97,'Diags Raw Data'!$A$6:$A$3690))),'Diags Raw Data'!$L$6:$L$3690,'Diags Raw Data'!$N$6:$N$3690)/J97)</f>
        <v>0</v>
      </c>
      <c r="L97" s="488" cm="1">
        <f t="array" ref="L97">IF(D97="",0, SUMPRODUCT(--(ISNUMBER(SEARCH($A97,'Diags Raw Data'!$A$6:$A$3690))),'Diags Raw Data'!$L$6:$L$3690,'Diags Raw Data'!$P$6:$P$3690)/J97)</f>
        <v>0</v>
      </c>
      <c r="M97" s="489" cm="1">
        <f t="array" ref="M97">SUMPRODUCT(--(ISNUMBER(SEARCH($A97,'Diags Raw Data'!$A$6:$A$3690))),--('Diags Raw Data'!$Q$6:$Q$3690&lt;&gt;"N/A"),'Diags Raw Data'!$R$6:$R$3690)</f>
        <v>0</v>
      </c>
      <c r="N97" s="490" cm="1">
        <f t="array" ref="N97">SUMPRODUCT(--(ISNUMBER(SEARCH($A97,'Diags Raw Data'!$A$6:$A$3690))),--('Diags Raw Data'!$Q$6:$Q$3690&lt;&gt;"N/A"),'Diags Raw Data'!$T$6:$T$3690)+SUMPRODUCT(--(ISNUMBER(SEARCH($A97,'Diags Raw Data'!$A$6:$A$3690))),--('Diags Raw Data'!$Q$6:$Q$3690&lt;&gt;"N/A"),'Diags Raw Data'!$U$6:$U$3690)</f>
        <v>0</v>
      </c>
      <c r="O97" s="491">
        <f>IF((M97=0),0,N97/M97)</f>
        <v>0</v>
      </c>
      <c r="P97" s="492">
        <f>SUMIF('Diags Raw Data'!$A$6:$A$3690,"*"&amp;$A97&amp;"*",'Diags Raw Data'!$Z$6:$Z$3690)</f>
        <v>0</v>
      </c>
      <c r="Q97" s="493">
        <f>SUM(SUMIF('Diags Raw Data'!$A$6:$A$3690,"*"&amp;$A97&amp;"*",'Diags Raw Data'!$AA$6:$AA$3690),SUMIF('Diags Raw Data'!$A$6:$A$3690,"*"&amp;$A97&amp;"*",'Diags Raw Data'!$AB$6:$AB$3690))</f>
        <v>0</v>
      </c>
      <c r="R97" s="494">
        <f>IF((J97=0),0,P97/J97)</f>
        <v>0</v>
      </c>
      <c r="S97" s="494">
        <f>IF((P97=0),0,Q97/P97)</f>
        <v>0</v>
      </c>
      <c r="T97" s="495">
        <f>R97*S97</f>
        <v>0</v>
      </c>
      <c r="U97" s="436" t="e">
        <f>VLOOKUP(A97,'Diags Raw Data'!$A$6:$AH$3690,33,FALSE)</f>
        <v>#N/A</v>
      </c>
      <c r="V97" s="181"/>
    </row>
    <row r="98" spans="1:22" ht="30.75" thickBot="1" x14ac:dyDescent="0.3">
      <c r="A98" s="549">
        <v>12.183999999999999</v>
      </c>
      <c r="B98" s="438" t="str">
        <f>VLOOKUP(A98,'Feature Raw Data'!$A$3:$B$3922,2,FALSE)</f>
        <v>GLx bus widths and configuration</v>
      </c>
      <c r="C98" s="439" t="str">
        <f>VLOOKUP(A98,'Feature Raw Data'!$A$3:$C$3922,3,FALSE)</f>
        <v>P1</v>
      </c>
      <c r="D98" s="440" t="str" cm="1">
        <f t="array" ref="D98">_xlfn.TEXTJOIN("",TRUE,IF(ISNUMBER(SEARCH($A98,'Diags Raw Data'!$A$6:$A$3690)),CONCATENATE('Diags Raw Data'!$H$6:$H$3690,", "),""))</f>
        <v/>
      </c>
      <c r="E98" s="340" t="e">
        <f>VLOOKUP(A98,'Diags Raw Data'!$A$6:$D$3690,4,FALSE)</f>
        <v>#N/A</v>
      </c>
      <c r="F98" s="340" t="str">
        <f>VLOOKUP(A98,'Feature Raw Data'!$A$3:$E$3922,5,FALSE)</f>
        <v>New</v>
      </c>
      <c r="G98" s="340" t="str">
        <f t="shared" si="6"/>
        <v>Yes</v>
      </c>
      <c r="H98" s="340" t="str">
        <f t="shared" si="7"/>
        <v>Yes</v>
      </c>
      <c r="I98" s="439">
        <f>SUMIF('Diags Raw Data'!$A$6:$A$3690,"*"&amp;$A98&amp;"*",'Diags Raw Data'!$K$6:$K$3690)</f>
        <v>0</v>
      </c>
      <c r="J98" s="441">
        <f>SUMIF('Diags Raw Data'!$A$6:$A$3690,"*"&amp;$A98&amp;"*",'Diags Raw Data'!$L$6:$L$3690)</f>
        <v>0</v>
      </c>
      <c r="K98" s="487" cm="1">
        <f t="array" ref="K98">IF(D98="",0, SUMPRODUCT(--(ISNUMBER(SEARCH($A98,'Diags Raw Data'!$A$6:$A$3690))),'Diags Raw Data'!$L$6:$L$3690,'Diags Raw Data'!$N$6:$N$3690)/J98)</f>
        <v>0</v>
      </c>
      <c r="L98" s="488" cm="1">
        <f t="array" ref="L98">IF(D98="",0, SUMPRODUCT(--(ISNUMBER(SEARCH($A98,'Diags Raw Data'!$A$6:$A$3690))),'Diags Raw Data'!$L$6:$L$3690,'Diags Raw Data'!$P$6:$P$3690)/J98)</f>
        <v>0</v>
      </c>
      <c r="M98" s="489" cm="1">
        <f t="array" ref="M98">SUMPRODUCT(--(ISNUMBER(SEARCH($A98,'Diags Raw Data'!$A$6:$A$3690))),--('Diags Raw Data'!$Q$6:$Q$3690&lt;&gt;"N/A"),'Diags Raw Data'!$R$6:$R$3690)</f>
        <v>0</v>
      </c>
      <c r="N98" s="490" cm="1">
        <f t="array" ref="N98">SUMPRODUCT(--(ISNUMBER(SEARCH($A98,'Diags Raw Data'!$A$6:$A$3690))),--('Diags Raw Data'!$Q$6:$Q$3690&lt;&gt;"N/A"),'Diags Raw Data'!$T$6:$T$3690)+SUMPRODUCT(--(ISNUMBER(SEARCH($A98,'Diags Raw Data'!$A$6:$A$3690))),--('Diags Raw Data'!$Q$6:$Q$3690&lt;&gt;"N/A"),'Diags Raw Data'!$U$6:$U$3690)</f>
        <v>0</v>
      </c>
      <c r="O98" s="491">
        <f t="shared" si="11"/>
        <v>0</v>
      </c>
      <c r="P98" s="492">
        <f>SUMIF('Diags Raw Data'!$A$6:$A$3690,"*"&amp;$A98&amp;"*",'Diags Raw Data'!$Z$6:$Z$3690)</f>
        <v>0</v>
      </c>
      <c r="Q98" s="493">
        <f>SUM(SUMIF('Diags Raw Data'!$A$6:$A$3690,"*"&amp;$A98&amp;"*",'Diags Raw Data'!$AA$6:$AA$3690),SUMIF('Diags Raw Data'!$A$6:$A$3690,"*"&amp;$A98&amp;"*",'Diags Raw Data'!$AB$6:$AB$3690))</f>
        <v>0</v>
      </c>
      <c r="R98" s="494">
        <f t="shared" si="8"/>
        <v>0</v>
      </c>
      <c r="S98" s="494">
        <f t="shared" si="9"/>
        <v>0</v>
      </c>
      <c r="T98" s="495">
        <f t="shared" si="10"/>
        <v>0</v>
      </c>
      <c r="U98" s="436" t="e">
        <f>VLOOKUP(A98,'Diags Raw Data'!$A$6:$AH$3690,33,FALSE)</f>
        <v>#N/A</v>
      </c>
      <c r="V98" s="181"/>
    </row>
    <row r="99" spans="1:22" ht="45.75" thickBot="1" x14ac:dyDescent="0.3">
      <c r="A99" s="549">
        <v>12.185</v>
      </c>
      <c r="B99" s="438" t="str">
        <f>VLOOKUP(A99,'Feature Raw Data'!$A$3:$B$3922,2,FALSE)</f>
        <v>CH 256B read/write support</v>
      </c>
      <c r="C99" s="439" t="str">
        <f>VLOOKUP(A99,'Feature Raw Data'!$A$3:$C$3922,3,FALSE)</f>
        <v>P1</v>
      </c>
      <c r="D99" s="440" t="str" cm="1">
        <f t="array" ref="D99">_xlfn.TEXTJOIN("",TRUE,IF(ISNUMBER(SEARCH($A99,'Diags Raw Data'!$A$6:$A$3690)),CONCATENATE('Diags Raw Data'!$H$6:$H$3690,", "),""))</f>
        <v/>
      </c>
      <c r="E99" s="340" t="e">
        <f>VLOOKUP(A99,'Diags Raw Data'!$A$6:$D$3690,4,FALSE)</f>
        <v>#N/A</v>
      </c>
      <c r="F99" s="340" t="str">
        <f>VLOOKUP(A99,'Feature Raw Data'!$A$3:$E$3922,5,FALSE)</f>
        <v>New</v>
      </c>
      <c r="G99" s="340" t="str">
        <f t="shared" si="6"/>
        <v>Yes</v>
      </c>
      <c r="H99" s="340" t="str">
        <f t="shared" si="7"/>
        <v>Yes</v>
      </c>
      <c r="I99" s="439">
        <f>SUMIF('Diags Raw Data'!$A$6:$A$3690,"*"&amp;$A99&amp;"*",'Diags Raw Data'!$K$6:$K$3690)</f>
        <v>0</v>
      </c>
      <c r="J99" s="441">
        <f>SUMIF('Diags Raw Data'!$A$6:$A$3690,"*"&amp;$A99&amp;"*",'Diags Raw Data'!$L$6:$L$3690)</f>
        <v>0</v>
      </c>
      <c r="K99" s="487" cm="1">
        <f t="array" ref="K99">IF(D99="",0, SUMPRODUCT(--(ISNUMBER(SEARCH($A99,'Diags Raw Data'!$A$6:$A$3690))),'Diags Raw Data'!$L$6:$L$3690,'Diags Raw Data'!$N$6:$N$3690)/J99)</f>
        <v>0</v>
      </c>
      <c r="L99" s="488" cm="1">
        <f t="array" ref="L99">IF(D99="",0, SUMPRODUCT(--(ISNUMBER(SEARCH($A99,'Diags Raw Data'!$A$6:$A$3690))),'Diags Raw Data'!$L$6:$L$3690,'Diags Raw Data'!$P$6:$P$3690)/J99)</f>
        <v>0</v>
      </c>
      <c r="M99" s="489" cm="1">
        <f t="array" ref="M99">SUMPRODUCT(--(ISNUMBER(SEARCH($A99,'Diags Raw Data'!$A$6:$A$3690))),--('Diags Raw Data'!$Q$6:$Q$3690&lt;&gt;"N/A"),'Diags Raw Data'!$R$6:$R$3690)</f>
        <v>0</v>
      </c>
      <c r="N99" s="490" cm="1">
        <f t="array" ref="N99">SUMPRODUCT(--(ISNUMBER(SEARCH($A99,'Diags Raw Data'!$A$6:$A$3690))),--('Diags Raw Data'!$Q$6:$Q$3690&lt;&gt;"N/A"),'Diags Raw Data'!$T$6:$T$3690)+SUMPRODUCT(--(ISNUMBER(SEARCH($A99,'Diags Raw Data'!$A$6:$A$3690))),--('Diags Raw Data'!$Q$6:$Q$3690&lt;&gt;"N/A"),'Diags Raw Data'!$U$6:$U$3690)</f>
        <v>0</v>
      </c>
      <c r="O99" s="491">
        <f t="shared" si="11"/>
        <v>0</v>
      </c>
      <c r="P99" s="492">
        <f>SUMIF('Diags Raw Data'!$A$6:$A$3690,"*"&amp;$A99&amp;"*",'Diags Raw Data'!$Z$6:$Z$3690)</f>
        <v>0</v>
      </c>
      <c r="Q99" s="493">
        <f>SUM(SUMIF('Diags Raw Data'!$A$6:$A$3690,"*"&amp;$A99&amp;"*",'Diags Raw Data'!$AA$6:$AA$3690),SUMIF('Diags Raw Data'!$A$6:$A$3690,"*"&amp;$A99&amp;"*",'Diags Raw Data'!$AB$6:$AB$3690))</f>
        <v>0</v>
      </c>
      <c r="R99" s="494">
        <f t="shared" si="8"/>
        <v>0</v>
      </c>
      <c r="S99" s="494">
        <f t="shared" si="9"/>
        <v>0</v>
      </c>
      <c r="T99" s="495">
        <f t="shared" si="10"/>
        <v>0</v>
      </c>
      <c r="U99" s="436" t="e">
        <f>VLOOKUP(A99,'Diags Raw Data'!$A$6:$AH$3690,33,FALSE)</f>
        <v>#N/A</v>
      </c>
      <c r="V99" s="181"/>
    </row>
    <row r="100" spans="1:22" ht="45.75" thickBot="1" x14ac:dyDescent="0.3">
      <c r="A100" s="549">
        <v>12.186</v>
      </c>
      <c r="B100" s="438" t="str">
        <f>VLOOKUP(A100,'Feature Raw Data'!$A$3:$B$3922,2,FALSE)</f>
        <v>Add SP support for float8 (fp8/bf8) dot products (ieee and/or non-ieee)</v>
      </c>
      <c r="C100" s="439" t="str">
        <f>VLOOKUP(A100,'Feature Raw Data'!$A$3:$C$3922,3,FALSE)</f>
        <v>P1</v>
      </c>
      <c r="D100" s="440" t="str" cm="1">
        <f t="array" ref="D100">_xlfn.TEXTJOIN("",TRUE,IF(ISNUMBER(SEARCH($A100,'Diags Raw Data'!$A$6:$A$3690)),CONCATENATE('Diags Raw Data'!$H$6:$H$3690,", "),""))</f>
        <v/>
      </c>
      <c r="E100" s="340" t="e">
        <f>VLOOKUP(A100,'Diags Raw Data'!$A$6:$D$3690,4,FALSE)</f>
        <v>#N/A</v>
      </c>
      <c r="F100" s="340" t="str">
        <f>VLOOKUP(A100,'Feature Raw Data'!$A$3:$E$3922,5,FALSE)</f>
        <v>New</v>
      </c>
      <c r="G100" s="340" t="str">
        <f t="shared" si="6"/>
        <v>Yes</v>
      </c>
      <c r="H100" s="340" t="str">
        <f t="shared" si="7"/>
        <v>Yes</v>
      </c>
      <c r="I100" s="439">
        <f>SUMIF('Diags Raw Data'!$A$6:$A$3690,"*"&amp;$A100&amp;"*",'Diags Raw Data'!$K$6:$K$3690)</f>
        <v>0</v>
      </c>
      <c r="J100" s="441">
        <f>SUMIF('Diags Raw Data'!$A$6:$A$3690,"*"&amp;$A100&amp;"*",'Diags Raw Data'!$L$6:$L$3690)</f>
        <v>0</v>
      </c>
      <c r="K100" s="487" cm="1">
        <f t="array" ref="K100">IF(D100="",0, SUMPRODUCT(--(ISNUMBER(SEARCH($A100,'Diags Raw Data'!$A$6:$A$3690))),'Diags Raw Data'!$L$6:$L$3690,'Diags Raw Data'!$N$6:$N$3690)/J100)</f>
        <v>0</v>
      </c>
      <c r="L100" s="488" cm="1">
        <f t="array" ref="L100">IF(D100="",0, SUMPRODUCT(--(ISNUMBER(SEARCH($A100,'Diags Raw Data'!$A$6:$A$3690))),'Diags Raw Data'!$L$6:$L$3690,'Diags Raw Data'!$P$6:$P$3690)/J100)</f>
        <v>0</v>
      </c>
      <c r="M100" s="489" cm="1">
        <f t="array" ref="M100">SUMPRODUCT(--(ISNUMBER(SEARCH($A100,'Diags Raw Data'!$A$6:$A$3690))),--('Diags Raw Data'!$Q$6:$Q$3690&lt;&gt;"N/A"),'Diags Raw Data'!$R$6:$R$3690)</f>
        <v>0</v>
      </c>
      <c r="N100" s="490" cm="1">
        <f t="array" ref="N100">SUMPRODUCT(--(ISNUMBER(SEARCH($A100,'Diags Raw Data'!$A$6:$A$3690))),--('Diags Raw Data'!$Q$6:$Q$3690&lt;&gt;"N/A"),'Diags Raw Data'!$T$6:$T$3690)+SUMPRODUCT(--(ISNUMBER(SEARCH($A100,'Diags Raw Data'!$A$6:$A$3690))),--('Diags Raw Data'!$Q$6:$Q$3690&lt;&gt;"N/A"),'Diags Raw Data'!$U$6:$U$3690)</f>
        <v>0</v>
      </c>
      <c r="O100" s="491">
        <f t="shared" si="11"/>
        <v>0</v>
      </c>
      <c r="P100" s="492">
        <f>SUMIF('Diags Raw Data'!$A$6:$A$3690,"*"&amp;$A100&amp;"*",'Diags Raw Data'!$Z$6:$Z$3690)</f>
        <v>0</v>
      </c>
      <c r="Q100" s="493">
        <f>SUM(SUMIF('Diags Raw Data'!$A$6:$A$3690,"*"&amp;$A100&amp;"*",'Diags Raw Data'!$AA$6:$AA$3690),SUMIF('Diags Raw Data'!$A$6:$A$3690,"*"&amp;$A100&amp;"*",'Diags Raw Data'!$AB$6:$AB$3690))</f>
        <v>0</v>
      </c>
      <c r="R100" s="494">
        <f t="shared" si="8"/>
        <v>0</v>
      </c>
      <c r="S100" s="494">
        <f t="shared" si="9"/>
        <v>0</v>
      </c>
      <c r="T100" s="495">
        <f t="shared" si="10"/>
        <v>0</v>
      </c>
      <c r="U100" s="436" t="e">
        <f>VLOOKUP(A100,'Diags Raw Data'!$A$6:$AH$3690,33,FALSE)</f>
        <v>#N/A</v>
      </c>
      <c r="V100" s="181"/>
    </row>
    <row r="101" spans="1:22" ht="30.75" thickBot="1" x14ac:dyDescent="0.3">
      <c r="A101" s="549">
        <v>12.188000000000001</v>
      </c>
      <c r="B101" s="438" t="str">
        <f>VLOOKUP(A101,'Feature Raw Data'!$A$3:$B$3922,2,FALSE)</f>
        <v>Make shader round-robin arb in workgroup usable by driver</v>
      </c>
      <c r="C101" s="439" t="str">
        <f>VLOOKUP(A101,'Feature Raw Data'!$A$3:$C$3922,3,FALSE)</f>
        <v>P1</v>
      </c>
      <c r="D101" s="440" t="str" cm="1">
        <f t="array" ref="D101">_xlfn.TEXTJOIN("",TRUE,IF(ISNUMBER(SEARCH($A101,'Diags Raw Data'!$A$6:$A$3690)),CONCATENATE('Diags Raw Data'!$H$6:$H$3690,", "),""))</f>
        <v/>
      </c>
      <c r="E101" s="340" t="e">
        <f>VLOOKUP(A101,'Diags Raw Data'!$A$6:$D$3690,4,FALSE)</f>
        <v>#N/A</v>
      </c>
      <c r="F101" s="340" t="str">
        <f>VLOOKUP(A101,'Feature Raw Data'!$A$3:$E$3922,5,FALSE)</f>
        <v>New</v>
      </c>
      <c r="G101" s="340" t="str">
        <f t="shared" si="6"/>
        <v>Yes</v>
      </c>
      <c r="H101" s="340" t="str">
        <f t="shared" si="7"/>
        <v>Yes</v>
      </c>
      <c r="I101" s="439">
        <f>SUMIF('Diags Raw Data'!$A$6:$A$3690,"*"&amp;$A101&amp;"*",'Diags Raw Data'!$K$6:$K$3690)</f>
        <v>0</v>
      </c>
      <c r="J101" s="441">
        <f>SUMIF('Diags Raw Data'!$A$6:$A$3690,"*"&amp;$A101&amp;"*",'Diags Raw Data'!$L$6:$L$3690)</f>
        <v>0</v>
      </c>
      <c r="K101" s="487" cm="1">
        <f t="array" ref="K101">IF(D101="",0, SUMPRODUCT(--(ISNUMBER(SEARCH($A101,'Diags Raw Data'!$A$6:$A$3690))),'Diags Raw Data'!$L$6:$L$3690,'Diags Raw Data'!$N$6:$N$3690)/J101)</f>
        <v>0</v>
      </c>
      <c r="L101" s="488" cm="1">
        <f t="array" ref="L101">IF(D101="",0, SUMPRODUCT(--(ISNUMBER(SEARCH($A101,'Diags Raw Data'!$A$6:$A$3690))),'Diags Raw Data'!$L$6:$L$3690,'Diags Raw Data'!$P$6:$P$3690)/J101)</f>
        <v>0</v>
      </c>
      <c r="M101" s="489" cm="1">
        <f t="array" ref="M101">SUMPRODUCT(--(ISNUMBER(SEARCH($A101,'Diags Raw Data'!$A$6:$A$3690))),--('Diags Raw Data'!$Q$6:$Q$3690&lt;&gt;"N/A"),'Diags Raw Data'!$R$6:$R$3690)</f>
        <v>0</v>
      </c>
      <c r="N101" s="490" cm="1">
        <f t="array" ref="N101">SUMPRODUCT(--(ISNUMBER(SEARCH($A101,'Diags Raw Data'!$A$6:$A$3690))),--('Diags Raw Data'!$Q$6:$Q$3690&lt;&gt;"N/A"),'Diags Raw Data'!$T$6:$T$3690)+SUMPRODUCT(--(ISNUMBER(SEARCH($A101,'Diags Raw Data'!$A$6:$A$3690))),--('Diags Raw Data'!$Q$6:$Q$3690&lt;&gt;"N/A"),'Diags Raw Data'!$U$6:$U$3690)</f>
        <v>0</v>
      </c>
      <c r="O101" s="491">
        <f>IF((M101=0),0,N101/M101)</f>
        <v>0</v>
      </c>
      <c r="P101" s="492">
        <f>SUMIF('Diags Raw Data'!$A$6:$A$3690,"*"&amp;$A101&amp;"*",'Diags Raw Data'!$Z$6:$Z$3690)</f>
        <v>0</v>
      </c>
      <c r="Q101" s="493">
        <f>SUM(SUMIF('Diags Raw Data'!$A$6:$A$3690,"*"&amp;$A101&amp;"*",'Diags Raw Data'!$AA$6:$AA$3690),SUMIF('Diags Raw Data'!$A$6:$A$3690,"*"&amp;$A101&amp;"*",'Diags Raw Data'!$AB$6:$AB$3690))</f>
        <v>0</v>
      </c>
      <c r="R101" s="494">
        <f>IF((J101=0),0,P101/J101)</f>
        <v>0</v>
      </c>
      <c r="S101" s="494">
        <f t="shared" si="9"/>
        <v>0</v>
      </c>
      <c r="T101" s="495">
        <f t="shared" si="10"/>
        <v>0</v>
      </c>
      <c r="U101" s="436" t="e">
        <f>VLOOKUP(A101,'Diags Raw Data'!$A$6:$AH$3690,33,FALSE)</f>
        <v>#N/A</v>
      </c>
      <c r="V101" s="181"/>
    </row>
    <row r="102" spans="1:22" ht="45.75" thickBot="1" x14ac:dyDescent="0.3">
      <c r="A102" s="549">
        <v>12.191000000000001</v>
      </c>
      <c r="B102" s="438" t="str">
        <f>VLOOKUP(A102,'Feature Raw Data'!$A$3:$B$3922,2,FALSE)</f>
        <v>Capture shader memviol source to speed up bringup debug</v>
      </c>
      <c r="C102" s="439" t="str">
        <f>VLOOKUP(A102,'Feature Raw Data'!$A$3:$C$3922,3,FALSE)</f>
        <v>P1</v>
      </c>
      <c r="D102" s="440" t="str" cm="1">
        <f t="array" ref="D102">_xlfn.TEXTJOIN("",TRUE,IF(ISNUMBER(SEARCH($A102,'Diags Raw Data'!$A$6:$A$3690)),CONCATENATE('Diags Raw Data'!$H$6:$H$3690,", "),""))</f>
        <v/>
      </c>
      <c r="E102" s="340" t="e">
        <f>VLOOKUP(A102,'Diags Raw Data'!$A$6:$D$3690,4,FALSE)</f>
        <v>#N/A</v>
      </c>
      <c r="F102" s="340" t="str">
        <f>VLOOKUP(A102,'Feature Raw Data'!$A$3:$E$3922,5,FALSE)</f>
        <v>New</v>
      </c>
      <c r="G102" s="340" t="str">
        <f t="shared" si="6"/>
        <v>Yes</v>
      </c>
      <c r="H102" s="340" t="str">
        <f t="shared" si="7"/>
        <v>Yes</v>
      </c>
      <c r="I102" s="439">
        <f>SUMIF('Diags Raw Data'!$A$6:$A$3690,"*"&amp;$A102&amp;"*",'Diags Raw Data'!$K$6:$K$3690)</f>
        <v>0</v>
      </c>
      <c r="J102" s="441">
        <f>SUMIF('Diags Raw Data'!$A$6:$A$3690,"*"&amp;$A102&amp;"*",'Diags Raw Data'!$L$6:$L$3690)</f>
        <v>0</v>
      </c>
      <c r="K102" s="487" cm="1">
        <f t="array" ref="K102">IF(D102="",0, SUMPRODUCT(--(ISNUMBER(SEARCH($A102,'Diags Raw Data'!$A$6:$A$3690))),'Diags Raw Data'!$L$6:$L$3690,'Diags Raw Data'!$N$6:$N$3690)/J102)</f>
        <v>0</v>
      </c>
      <c r="L102" s="488" cm="1">
        <f t="array" ref="L102">IF(D102="",0, SUMPRODUCT(--(ISNUMBER(SEARCH($A102,'Diags Raw Data'!$A$6:$A$3690))),'Diags Raw Data'!$L$6:$L$3690,'Diags Raw Data'!$P$6:$P$3690)/J102)</f>
        <v>0</v>
      </c>
      <c r="M102" s="489" cm="1">
        <f t="array" ref="M102">SUMPRODUCT(--(ISNUMBER(SEARCH($A102,'Diags Raw Data'!$A$6:$A$3690))),--('Diags Raw Data'!$Q$6:$Q$3690&lt;&gt;"N/A"),'Diags Raw Data'!$R$6:$R$3690)</f>
        <v>0</v>
      </c>
      <c r="N102" s="490" cm="1">
        <f t="array" ref="N102">SUMPRODUCT(--(ISNUMBER(SEARCH($A102,'Diags Raw Data'!$A$6:$A$3690))),--('Diags Raw Data'!$Q$6:$Q$3690&lt;&gt;"N/A"),'Diags Raw Data'!$T$6:$T$3690)+SUMPRODUCT(--(ISNUMBER(SEARCH($A102,'Diags Raw Data'!$A$6:$A$3690))),--('Diags Raw Data'!$Q$6:$Q$3690&lt;&gt;"N/A"),'Diags Raw Data'!$U$6:$U$3690)</f>
        <v>0</v>
      </c>
      <c r="O102" s="491">
        <f t="shared" si="11"/>
        <v>0</v>
      </c>
      <c r="P102" s="492">
        <f>SUMIF('Diags Raw Data'!$A$6:$A$3690,"*"&amp;$A102&amp;"*",'Diags Raw Data'!$Z$6:$Z$3690)</f>
        <v>0</v>
      </c>
      <c r="Q102" s="493">
        <f>SUM(SUMIF('Diags Raw Data'!$A$6:$A$3690,"*"&amp;$A102&amp;"*",'Diags Raw Data'!$AA$6:$AA$3690),SUMIF('Diags Raw Data'!$A$6:$A$3690,"*"&amp;$A102&amp;"*",'Diags Raw Data'!$AB$6:$AB$3690))</f>
        <v>0</v>
      </c>
      <c r="R102" s="494">
        <f>IF((J102=0),0,P102/J102)</f>
        <v>0</v>
      </c>
      <c r="S102" s="494">
        <f t="shared" si="9"/>
        <v>0</v>
      </c>
      <c r="T102" s="495">
        <f t="shared" si="10"/>
        <v>0</v>
      </c>
      <c r="U102" s="436" t="e">
        <f>VLOOKUP(A102,'Diags Raw Data'!$A$6:$AH$3690,33,FALSE)</f>
        <v>#N/A</v>
      </c>
      <c r="V102" s="181"/>
    </row>
    <row r="103" spans="1:22" ht="30.75" thickBot="1" x14ac:dyDescent="0.3">
      <c r="A103" s="549">
        <v>12.192</v>
      </c>
      <c r="B103" s="438" t="str">
        <f>VLOOKUP(A103,'Feature Raw Data'!$A$3:$B$3922,2,FALSE)</f>
        <v>UTCL2 UTCL1 Dummy INV interface removal</v>
      </c>
      <c r="C103" s="439" t="str">
        <f>VLOOKUP(A103,'Feature Raw Data'!$A$3:$C$3922,3,FALSE)</f>
        <v>P2</v>
      </c>
      <c r="D103" s="440" t="str" cm="1">
        <f t="array" ref="D103">_xlfn.TEXTJOIN("",TRUE,IF(ISNUMBER(SEARCH($A103,'Diags Raw Data'!$A$6:$A$3690)),CONCATENATE('Diags Raw Data'!$H$6:$H$3690,", "),""))</f>
        <v/>
      </c>
      <c r="E103" s="340" t="e">
        <f>VLOOKUP(A103,'Diags Raw Data'!$A$6:$D$3690,4,FALSE)</f>
        <v>#N/A</v>
      </c>
      <c r="F103" s="340" t="str">
        <f>VLOOKUP(A103,'Feature Raw Data'!$A$3:$E$3922,5,FALSE)</f>
        <v>New</v>
      </c>
      <c r="G103" s="340" t="str">
        <f t="shared" si="6"/>
        <v>Yes</v>
      </c>
      <c r="H103" s="340" t="str">
        <f t="shared" si="7"/>
        <v>Yes</v>
      </c>
      <c r="I103" s="439">
        <f>SUMIF('Diags Raw Data'!$A$6:$A$3690,"*"&amp;$A103&amp;"*",'Diags Raw Data'!$K$6:$K$3690)</f>
        <v>0</v>
      </c>
      <c r="J103" s="441">
        <f>SUMIF('Diags Raw Data'!$A$6:$A$3690,"*"&amp;$A103&amp;"*",'Diags Raw Data'!$L$6:$L$3690)</f>
        <v>0</v>
      </c>
      <c r="K103" s="487" cm="1">
        <f t="array" ref="K103">IF(D103="",0, SUMPRODUCT(--(ISNUMBER(SEARCH($A103,'Diags Raw Data'!$A$6:$A$3690))),'Diags Raw Data'!$L$6:$L$3690,'Diags Raw Data'!$N$6:$N$3690)/J103)</f>
        <v>0</v>
      </c>
      <c r="L103" s="488" cm="1">
        <f t="array" ref="L103">IF(D103="",0, SUMPRODUCT(--(ISNUMBER(SEARCH($A103,'Diags Raw Data'!$A$6:$A$3690))),'Diags Raw Data'!$L$6:$L$3690,'Diags Raw Data'!$P$6:$P$3690)/J103)</f>
        <v>0</v>
      </c>
      <c r="M103" s="489" cm="1">
        <f t="array" ref="M103">SUMPRODUCT(--(ISNUMBER(SEARCH($A103,'Diags Raw Data'!$A$6:$A$3690))),--('Diags Raw Data'!$Q$6:$Q$3690&lt;&gt;"N/A"),'Diags Raw Data'!$R$6:$R$3690)</f>
        <v>0</v>
      </c>
      <c r="N103" s="490" cm="1">
        <f t="array" ref="N103">SUMPRODUCT(--(ISNUMBER(SEARCH($A103,'Diags Raw Data'!$A$6:$A$3690))),--('Diags Raw Data'!$Q$6:$Q$3690&lt;&gt;"N/A"),'Diags Raw Data'!$T$6:$T$3690)+SUMPRODUCT(--(ISNUMBER(SEARCH($A103,'Diags Raw Data'!$A$6:$A$3690))),--('Diags Raw Data'!$Q$6:$Q$3690&lt;&gt;"N/A"),'Diags Raw Data'!$U$6:$U$3690)</f>
        <v>0</v>
      </c>
      <c r="O103" s="491">
        <f t="shared" si="11"/>
        <v>0</v>
      </c>
      <c r="P103" s="492">
        <f>SUMIF('Diags Raw Data'!$A$6:$A$3690,"*"&amp;$A103&amp;"*",'Diags Raw Data'!$Z$6:$Z$3690)</f>
        <v>0</v>
      </c>
      <c r="Q103" s="493">
        <f>SUM(SUMIF('Diags Raw Data'!$A$6:$A$3690,"*"&amp;$A103&amp;"*",'Diags Raw Data'!$AA$6:$AA$3690),SUMIF('Diags Raw Data'!$A$6:$A$3690,"*"&amp;$A103&amp;"*",'Diags Raw Data'!$AB$6:$AB$3690))</f>
        <v>0</v>
      </c>
      <c r="R103" s="494">
        <f>IF((J103=0),0,P103/J103)</f>
        <v>0</v>
      </c>
      <c r="S103" s="494">
        <f t="shared" si="9"/>
        <v>0</v>
      </c>
      <c r="T103" s="495">
        <f>R103*S103</f>
        <v>0</v>
      </c>
      <c r="U103" s="436" t="e">
        <f>VLOOKUP(A103,'Diags Raw Data'!$A$6:$AH$3690,33,FALSE)</f>
        <v>#N/A</v>
      </c>
      <c r="V103" s="554" t="s">
        <v>327</v>
      </c>
    </row>
    <row r="104" spans="1:22" ht="30.75" thickBot="1" x14ac:dyDescent="0.3">
      <c r="A104" s="549">
        <v>12.193</v>
      </c>
      <c r="B104" s="438" t="str">
        <f>VLOOKUP(A104,'Feature Raw Data'!$A$3:$B$3922,2,FALSE)</f>
        <v>Additional SAx client to UTCL1 (from 12.</v>
      </c>
      <c r="C104" s="439" t="str">
        <f>VLOOKUP(A104,'Feature Raw Data'!$A$3:$C$3922,3,FALSE)</f>
        <v>P1</v>
      </c>
      <c r="D104" s="440" t="str" cm="1">
        <f t="array" ref="D104">_xlfn.TEXTJOIN("",TRUE,IF(ISNUMBER(SEARCH($A104,'Diags Raw Data'!$A$6:$A$3690)),CONCATENATE('Diags Raw Data'!$H$6:$H$3690,", "),""))</f>
        <v/>
      </c>
      <c r="E104" s="340" t="e">
        <f>VLOOKUP(A104,'Diags Raw Data'!$A$6:$D$3690,4,FALSE)</f>
        <v>#N/A</v>
      </c>
      <c r="F104" s="340" t="str">
        <f>VLOOKUP(A104,'Feature Raw Data'!$A$3:$E$3922,5,FALSE)</f>
        <v>New</v>
      </c>
      <c r="G104" s="340" t="str">
        <f t="shared" si="6"/>
        <v>Yes</v>
      </c>
      <c r="H104" s="340" t="str">
        <f t="shared" si="7"/>
        <v>Yes</v>
      </c>
      <c r="I104" s="439">
        <f>SUMIF('Diags Raw Data'!$A$6:$A$3690,"*"&amp;$A104&amp;"*",'Diags Raw Data'!$K$6:$K$3690)</f>
        <v>0</v>
      </c>
      <c r="J104" s="441">
        <f>SUMIF('Diags Raw Data'!$A$6:$A$3690,"*"&amp;$A104&amp;"*",'Diags Raw Data'!$L$6:$L$3690)</f>
        <v>0</v>
      </c>
      <c r="K104" s="487" cm="1">
        <f t="array" ref="K104">IF(D104="",0, SUMPRODUCT(--(ISNUMBER(SEARCH($A104,'Diags Raw Data'!$A$6:$A$3690))),'Diags Raw Data'!$L$6:$L$3690,'Diags Raw Data'!$N$6:$N$3690)/J104)</f>
        <v>0</v>
      </c>
      <c r="L104" s="488" cm="1">
        <f t="array" ref="L104">IF(D104="",0, SUMPRODUCT(--(ISNUMBER(SEARCH($A104,'Diags Raw Data'!$A$6:$A$3690))),'Diags Raw Data'!$L$6:$L$3690,'Diags Raw Data'!$P$6:$P$3690)/J104)</f>
        <v>0</v>
      </c>
      <c r="M104" s="489" cm="1">
        <f t="array" ref="M104">SUMPRODUCT(--(ISNUMBER(SEARCH($A104,'Diags Raw Data'!$A$6:$A$3690))),--('Diags Raw Data'!$Q$6:$Q$3690&lt;&gt;"N/A"),'Diags Raw Data'!$R$6:$R$3690)</f>
        <v>0</v>
      </c>
      <c r="N104" s="490" cm="1">
        <f t="array" ref="N104">SUMPRODUCT(--(ISNUMBER(SEARCH($A104,'Diags Raw Data'!$A$6:$A$3690))),--('Diags Raw Data'!$Q$6:$Q$3690&lt;&gt;"N/A"),'Diags Raw Data'!$T$6:$T$3690)+SUMPRODUCT(--(ISNUMBER(SEARCH($A104,'Diags Raw Data'!$A$6:$A$3690))),--('Diags Raw Data'!$Q$6:$Q$3690&lt;&gt;"N/A"),'Diags Raw Data'!$U$6:$U$3690)</f>
        <v>0</v>
      </c>
      <c r="O104" s="491">
        <f>IF((M104=0),0,N104/M104)</f>
        <v>0</v>
      </c>
      <c r="P104" s="492">
        <f>SUMIF('Diags Raw Data'!$A$6:$A$3690,"*"&amp;$A104&amp;"*",'Diags Raw Data'!$Z$6:$Z$3690)</f>
        <v>0</v>
      </c>
      <c r="Q104" s="493">
        <f>SUM(SUMIF('Diags Raw Data'!$A$6:$A$3690,"*"&amp;$A104&amp;"*",'Diags Raw Data'!$AA$6:$AA$3690),SUMIF('Diags Raw Data'!$A$6:$A$3690,"*"&amp;$A104&amp;"*",'Diags Raw Data'!$AB$6:$AB$3690))</f>
        <v>0</v>
      </c>
      <c r="R104" s="494">
        <f>IF((J104=0),0,P104/J104)</f>
        <v>0</v>
      </c>
      <c r="S104" s="494">
        <f>IF((P104=0),0,Q104/P104)</f>
        <v>0</v>
      </c>
      <c r="T104" s="495">
        <f>R104*S104</f>
        <v>0</v>
      </c>
      <c r="U104" s="436" t="e">
        <f>VLOOKUP(A104,'Diags Raw Data'!$A$6:$AH$3690,33,FALSE)</f>
        <v>#N/A</v>
      </c>
      <c r="V104" s="181"/>
    </row>
    <row r="105" spans="1:22" ht="30.75" thickBot="1" x14ac:dyDescent="0.3">
      <c r="A105" s="549">
        <v>12.196999999999999</v>
      </c>
      <c r="B105" s="438" t="str">
        <f>VLOOKUP(A105,'Feature Raw Data'!$A$3:$B$3922,2,FALSE)</f>
        <v>Ping-Pong walking for dispatches</v>
      </c>
      <c r="C105" s="439" t="str">
        <f>VLOOKUP(A105,'Feature Raw Data'!$A$3:$C$3922,3,FALSE)</f>
        <v>P2</v>
      </c>
      <c r="D105" s="440" t="str" cm="1">
        <f t="array" ref="D105">_xlfn.TEXTJOIN("",TRUE,IF(ISNUMBER(SEARCH($A105,'Diags Raw Data'!$A$6:$A$3690)),CONCATENATE('Diags Raw Data'!$H$6:$H$3690,", "),""))</f>
        <v/>
      </c>
      <c r="E105" s="340" t="e">
        <f>VLOOKUP(A105,'Diags Raw Data'!$A$6:$D$3690,4,FALSE)</f>
        <v>#N/A</v>
      </c>
      <c r="F105" s="340" t="str">
        <f>VLOOKUP(A105,'Feature Raw Data'!$A$3:$E$3922,5,FALSE)</f>
        <v>New</v>
      </c>
      <c r="G105" s="340" t="str">
        <f t="shared" si="6"/>
        <v>Yes</v>
      </c>
      <c r="H105" s="340" t="str">
        <f t="shared" si="7"/>
        <v>Yes</v>
      </c>
      <c r="I105" s="439">
        <f>SUMIF('Diags Raw Data'!$A$6:$A$3690,"*"&amp;$A105&amp;"*",'Diags Raw Data'!$K$6:$K$3690)</f>
        <v>0</v>
      </c>
      <c r="J105" s="441">
        <f>SUMIF('Diags Raw Data'!$A$6:$A$3690,"*"&amp;$A105&amp;"*",'Diags Raw Data'!$L$6:$L$3690)</f>
        <v>0</v>
      </c>
      <c r="K105" s="487" cm="1">
        <f t="array" ref="K105">IF(D105="",0, SUMPRODUCT(--(ISNUMBER(SEARCH($A105,'Diags Raw Data'!$A$6:$A$3690))),'Diags Raw Data'!$L$6:$L$3690,'Diags Raw Data'!$N$6:$N$3690)/J105)</f>
        <v>0</v>
      </c>
      <c r="L105" s="488" cm="1">
        <f t="array" ref="L105">IF(D105="",0, SUMPRODUCT(--(ISNUMBER(SEARCH($A105,'Diags Raw Data'!$A$6:$A$3690))),'Diags Raw Data'!$L$6:$L$3690,'Diags Raw Data'!$P$6:$P$3690)/J105)</f>
        <v>0</v>
      </c>
      <c r="M105" s="489" cm="1">
        <f t="array" ref="M105">SUMPRODUCT(--(ISNUMBER(SEARCH($A105,'Diags Raw Data'!$A$6:$A$3690))),--('Diags Raw Data'!$Q$6:$Q$3690&lt;&gt;"N/A"),'Diags Raw Data'!$R$6:$R$3690)</f>
        <v>0</v>
      </c>
      <c r="N105" s="490" cm="1">
        <f t="array" ref="N105">SUMPRODUCT(--(ISNUMBER(SEARCH($A105,'Diags Raw Data'!$A$6:$A$3690))),--('Diags Raw Data'!$Q$6:$Q$3690&lt;&gt;"N/A"),'Diags Raw Data'!$T$6:$T$3690)+SUMPRODUCT(--(ISNUMBER(SEARCH($A105,'Diags Raw Data'!$A$6:$A$3690))),--('Diags Raw Data'!$Q$6:$Q$3690&lt;&gt;"N/A"),'Diags Raw Data'!$U$6:$U$3690)</f>
        <v>0</v>
      </c>
      <c r="O105" s="491">
        <f t="shared" ref="O105:O110" si="12">IF((M105=0),0,N105/M105)</f>
        <v>0</v>
      </c>
      <c r="P105" s="492">
        <f>SUMIF('Diags Raw Data'!$A$6:$A$3690,"*"&amp;$A105&amp;"*",'Diags Raw Data'!$Z$6:$Z$3690)</f>
        <v>0</v>
      </c>
      <c r="Q105" s="493">
        <f>SUM(SUMIF('Diags Raw Data'!$A$6:$A$3690,"*"&amp;$A105&amp;"*",'Diags Raw Data'!$AA$6:$AA$3690),SUMIF('Diags Raw Data'!$A$6:$A$3690,"*"&amp;$A105&amp;"*",'Diags Raw Data'!$AB$6:$AB$3690))</f>
        <v>0</v>
      </c>
      <c r="R105" s="494">
        <f t="shared" ref="R105:R127" si="13">IF((J105=0),0,P105/J105)</f>
        <v>0</v>
      </c>
      <c r="S105" s="494">
        <f t="shared" ref="S105:S127" si="14">IF((P105=0),0,Q105/P105)</f>
        <v>0</v>
      </c>
      <c r="T105" s="495">
        <f>R105*S105</f>
        <v>0</v>
      </c>
      <c r="U105" s="436" t="e">
        <f>VLOOKUP(A105,'Diags Raw Data'!$A$6:$AH$3690,33,FALSE)</f>
        <v>#N/A</v>
      </c>
      <c r="V105" s="181"/>
    </row>
    <row r="106" spans="1:22" ht="105.75" thickBot="1" x14ac:dyDescent="0.3">
      <c r="A106" s="549">
        <v>12.201000000000001</v>
      </c>
      <c r="B106" s="438" t="str">
        <f>VLOOKUP(A106,'Feature Raw Data'!$A$3:$B$3922,2,FALSE)</f>
        <v>Compute Grid Programmable Walk Order (cs_grid_walk_order).   If not doing morton'ish (ex. 2x2) then improving launch rate for existing typewriter (ex 4x1) is P1)</v>
      </c>
      <c r="C106" s="439" t="str">
        <f>VLOOKUP(A106,'Feature Raw Data'!$A$3:$C$3922,3,FALSE)</f>
        <v>P1</v>
      </c>
      <c r="D106" s="440" t="str" cm="1">
        <f t="array" ref="D106">_xlfn.TEXTJOIN("",TRUE,IF(ISNUMBER(SEARCH($A106,'Diags Raw Data'!$A$6:$A$3690)),CONCATENATE('Diags Raw Data'!$H$6:$H$3690,", "),""))</f>
        <v xml:space="preserve">spi2010,spi2011, </v>
      </c>
      <c r="E106" s="340" t="str">
        <f>VLOOKUP(A106,'Diags Raw Data'!$A$6:$D$3690,4,FALSE)</f>
        <v>SIO</v>
      </c>
      <c r="F106" s="340" t="str">
        <f>VLOOKUP(A106,'Feature Raw Data'!$A$3:$E$3922,5,FALSE)</f>
        <v>New</v>
      </c>
      <c r="G106" s="340" t="str">
        <f t="shared" si="6"/>
        <v>Yes</v>
      </c>
      <c r="H106" s="340" t="str">
        <f t="shared" si="7"/>
        <v>Yes</v>
      </c>
      <c r="I106" s="439">
        <f>SUMIF('Diags Raw Data'!$A$6:$A$3690,"*"&amp;$A106&amp;"*",'Diags Raw Data'!$K$6:$K$3690)</f>
        <v>0</v>
      </c>
      <c r="J106" s="441">
        <f>SUMIF('Diags Raw Data'!$A$6:$A$3690,"*"&amp;$A106&amp;"*",'Diags Raw Data'!$L$6:$L$3690)</f>
        <v>0</v>
      </c>
      <c r="K106" s="487" t="e" cm="1">
        <f t="array" ref="K106">IF(D106="",0, SUMPRODUCT(--(ISNUMBER(SEARCH($A106,'Diags Raw Data'!$A$6:$A$3690))),'Diags Raw Data'!$L$6:$L$3690,'Diags Raw Data'!$N$6:$N$3690)/J106)</f>
        <v>#DIV/0!</v>
      </c>
      <c r="L106" s="488" t="e" cm="1">
        <f t="array" ref="L106">IF(D106="",0, SUMPRODUCT(--(ISNUMBER(SEARCH($A106,'Diags Raw Data'!$A$6:$A$3690))),'Diags Raw Data'!$L$6:$L$3690,'Diags Raw Data'!$P$6:$P$3690)/J106)</f>
        <v>#DIV/0!</v>
      </c>
      <c r="M106" s="489" cm="1">
        <f t="array" ref="M106">SUMPRODUCT(--(ISNUMBER(SEARCH($A106,'Diags Raw Data'!$A$6:$A$3690))),--('Diags Raw Data'!$Q$6:$Q$3690&lt;&gt;"N/A"),'Diags Raw Data'!$R$6:$R$3690)</f>
        <v>2</v>
      </c>
      <c r="N106" s="490" cm="1">
        <f t="array" ref="N106">SUMPRODUCT(--(ISNUMBER(SEARCH($A106,'Diags Raw Data'!$A$6:$A$3690))),--('Diags Raw Data'!$Q$6:$Q$3690&lt;&gt;"N/A"),'Diags Raw Data'!$T$6:$T$3690)+SUMPRODUCT(--(ISNUMBER(SEARCH($A106,'Diags Raw Data'!$A$6:$A$3690))),--('Diags Raw Data'!$Q$6:$Q$3690&lt;&gt;"N/A"),'Diags Raw Data'!$U$6:$U$3690)</f>
        <v>2</v>
      </c>
      <c r="O106" s="491">
        <f t="shared" si="12"/>
        <v>1</v>
      </c>
      <c r="P106" s="492">
        <f>SUMIF('Diags Raw Data'!$A$6:$A$3690,"*"&amp;$A106&amp;"*",'Diags Raw Data'!$Z$6:$Z$3690)</f>
        <v>0</v>
      </c>
      <c r="Q106" s="493">
        <f>SUM(SUMIF('Diags Raw Data'!$A$6:$A$3690,"*"&amp;$A106&amp;"*",'Diags Raw Data'!$AA$6:$AA$3690),SUMIF('Diags Raw Data'!$A$6:$A$3690,"*"&amp;$A106&amp;"*",'Diags Raw Data'!$AB$6:$AB$3690))</f>
        <v>0</v>
      </c>
      <c r="R106" s="494">
        <f t="shared" si="13"/>
        <v>0</v>
      </c>
      <c r="S106" s="494">
        <f t="shared" si="14"/>
        <v>0</v>
      </c>
      <c r="T106" s="495">
        <f t="shared" ref="T106:T127" si="15">R106*S106</f>
        <v>0</v>
      </c>
      <c r="U106" s="436" t="str">
        <f>VLOOKUP(A106,'Diags Raw Data'!$A$6:$AH$3690,33,FALSE)</f>
        <v>WK5</v>
      </c>
      <c r="V106" s="181"/>
    </row>
    <row r="107" spans="1:22" ht="30.75" thickBot="1" x14ac:dyDescent="0.3">
      <c r="A107" s="549">
        <v>12.202</v>
      </c>
      <c r="B107" s="438" t="str">
        <f>VLOOKUP(A107,'Feature Raw Data'!$A$3:$B$3922,2,FALSE)</f>
        <v>Compute Thread Walk Order (cs_thread_walk_order)</v>
      </c>
      <c r="C107" s="439" t="str">
        <f>VLOOKUP(A107,'Feature Raw Data'!$A$3:$C$3922,3,FALSE)</f>
        <v>P1</v>
      </c>
      <c r="D107" s="440" t="str" cm="1">
        <f t="array" ref="D107">_xlfn.TEXTJOIN("",TRUE,IF(ISNUMBER(SEARCH($A107,'Diags Raw Data'!$A$6:$A$3690)),CONCATENATE('Diags Raw Data'!$H$6:$H$3690,", "),""))</f>
        <v xml:space="preserve">spi2020,spi2021, </v>
      </c>
      <c r="E107" s="340" t="str">
        <f>VLOOKUP(A107,'Diags Raw Data'!$A$6:$D$3690,4,FALSE)</f>
        <v>SIO</v>
      </c>
      <c r="F107" s="340" t="str">
        <f>VLOOKUP(A107,'Feature Raw Data'!$A$3:$E$3922,5,FALSE)</f>
        <v>New</v>
      </c>
      <c r="G107" s="340" t="str">
        <f t="shared" si="6"/>
        <v>Yes</v>
      </c>
      <c r="H107" s="340" t="str">
        <f t="shared" si="7"/>
        <v>Yes</v>
      </c>
      <c r="I107" s="439">
        <f>SUMIF('Diags Raw Data'!$A$6:$A$3690,"*"&amp;$A107&amp;"*",'Diags Raw Data'!$K$6:$K$3690)</f>
        <v>0</v>
      </c>
      <c r="J107" s="441">
        <f>SUMIF('Diags Raw Data'!$A$6:$A$3690,"*"&amp;$A107&amp;"*",'Diags Raw Data'!$L$6:$L$3690)</f>
        <v>0</v>
      </c>
      <c r="K107" s="487" t="e" cm="1">
        <f t="array" ref="K107">IF(D107="",0, SUMPRODUCT(--(ISNUMBER(SEARCH($A107,'Diags Raw Data'!$A$6:$A$3690))),'Diags Raw Data'!$L$6:$L$3690,'Diags Raw Data'!$N$6:$N$3690)/J107)</f>
        <v>#DIV/0!</v>
      </c>
      <c r="L107" s="488" t="e" cm="1">
        <f t="array" ref="L107">IF(D107="",0, SUMPRODUCT(--(ISNUMBER(SEARCH($A107,'Diags Raw Data'!$A$6:$A$3690))),'Diags Raw Data'!$L$6:$L$3690,'Diags Raw Data'!$P$6:$P$3690)/J107)</f>
        <v>#DIV/0!</v>
      </c>
      <c r="M107" s="489" cm="1">
        <f t="array" ref="M107">SUMPRODUCT(--(ISNUMBER(SEARCH($A107,'Diags Raw Data'!$A$6:$A$3690))),--('Diags Raw Data'!$Q$6:$Q$3690&lt;&gt;"N/A"),'Diags Raw Data'!$R$6:$R$3690)</f>
        <v>2</v>
      </c>
      <c r="N107" s="490" cm="1">
        <f t="array" ref="N107">SUMPRODUCT(--(ISNUMBER(SEARCH($A107,'Diags Raw Data'!$A$6:$A$3690))),--('Diags Raw Data'!$Q$6:$Q$3690&lt;&gt;"N/A"),'Diags Raw Data'!$T$6:$T$3690)+SUMPRODUCT(--(ISNUMBER(SEARCH($A107,'Diags Raw Data'!$A$6:$A$3690))),--('Diags Raw Data'!$Q$6:$Q$3690&lt;&gt;"N/A"),'Diags Raw Data'!$U$6:$U$3690)</f>
        <v>2</v>
      </c>
      <c r="O107" s="491">
        <f t="shared" si="12"/>
        <v>1</v>
      </c>
      <c r="P107" s="492">
        <f>SUMIF('Diags Raw Data'!$A$6:$A$3690,"*"&amp;$A107&amp;"*",'Diags Raw Data'!$Z$6:$Z$3690)</f>
        <v>0</v>
      </c>
      <c r="Q107" s="493">
        <f>SUM(SUMIF('Diags Raw Data'!$A$6:$A$3690,"*"&amp;$A107&amp;"*",'Diags Raw Data'!$AA$6:$AA$3690),SUMIF('Diags Raw Data'!$A$6:$A$3690,"*"&amp;$A107&amp;"*",'Diags Raw Data'!$AB$6:$AB$3690))</f>
        <v>0</v>
      </c>
      <c r="R107" s="494">
        <f t="shared" si="13"/>
        <v>0</v>
      </c>
      <c r="S107" s="494">
        <f t="shared" si="14"/>
        <v>0</v>
      </c>
      <c r="T107" s="495">
        <f t="shared" si="15"/>
        <v>0</v>
      </c>
      <c r="U107" s="436" t="str">
        <f>VLOOKUP(A107,'Diags Raw Data'!$A$6:$AH$3690,33,FALSE)</f>
        <v>WK4</v>
      </c>
      <c r="V107" s="181"/>
    </row>
    <row r="108" spans="1:22" ht="15.75" thickBot="1" x14ac:dyDescent="0.3">
      <c r="A108" s="549">
        <v>12.206</v>
      </c>
      <c r="B108" s="438" t="str">
        <f>VLOOKUP(A108,'Feature Raw Data'!$A$3:$B$3922,2,FALSE)</f>
        <v>DC-&gt;SPI wire reduction</v>
      </c>
      <c r="C108" s="439" t="str">
        <f>VLOOKUP(A108,'Feature Raw Data'!$A$3:$C$3922,3,FALSE)</f>
        <v>P1</v>
      </c>
      <c r="D108" s="440" t="str" cm="1">
        <f t="array" ref="D108">_xlfn.TEXTJOIN("",TRUE,IF(ISNUMBER(SEARCH($A108,'Diags Raw Data'!$A$6:$A$3690)),CONCATENATE('Diags Raw Data'!$H$6:$H$3690,", "),""))</f>
        <v/>
      </c>
      <c r="E108" s="340" t="e">
        <f>VLOOKUP(A108,'Diags Raw Data'!$A$6:$D$3690,4,FALSE)</f>
        <v>#N/A</v>
      </c>
      <c r="F108" s="340" t="str">
        <f>VLOOKUP(A108,'Feature Raw Data'!$A$3:$E$3922,5,FALSE)</f>
        <v>New</v>
      </c>
      <c r="G108" s="340" t="str">
        <f t="shared" si="6"/>
        <v>Yes</v>
      </c>
      <c r="H108" s="340" t="str">
        <f t="shared" si="7"/>
        <v>Yes</v>
      </c>
      <c r="I108" s="439">
        <f>SUMIF('Diags Raw Data'!$A$6:$A$3690,"*"&amp;$A108&amp;"*",'Diags Raw Data'!$K$6:$K$3690)</f>
        <v>0</v>
      </c>
      <c r="J108" s="441">
        <f>SUMIF('Diags Raw Data'!$A$6:$A$3690,"*"&amp;$A108&amp;"*",'Diags Raw Data'!$L$6:$L$3690)</f>
        <v>0</v>
      </c>
      <c r="K108" s="487" cm="1">
        <f t="array" ref="K108">IF(D108="",0, SUMPRODUCT(--(ISNUMBER(SEARCH($A108,'Diags Raw Data'!$A$6:$A$3690))),'Diags Raw Data'!$L$6:$L$3690,'Diags Raw Data'!$N$6:$N$3690)/J108)</f>
        <v>0</v>
      </c>
      <c r="L108" s="488" cm="1">
        <f t="array" ref="L108">IF(D108="",0, SUMPRODUCT(--(ISNUMBER(SEARCH($A108,'Diags Raw Data'!$A$6:$A$3690))),'Diags Raw Data'!$L$6:$L$3690,'Diags Raw Data'!$P$6:$P$3690)/J108)</f>
        <v>0</v>
      </c>
      <c r="M108" s="489" cm="1">
        <f t="array" ref="M108">SUMPRODUCT(--(ISNUMBER(SEARCH($A108,'Diags Raw Data'!$A$6:$A$3690))),--('Diags Raw Data'!$Q$6:$Q$3690&lt;&gt;"N/A"),'Diags Raw Data'!$R$6:$R$3690)</f>
        <v>0</v>
      </c>
      <c r="N108" s="490" cm="1">
        <f t="array" ref="N108">SUMPRODUCT(--(ISNUMBER(SEARCH($A108,'Diags Raw Data'!$A$6:$A$3690))),--('Diags Raw Data'!$Q$6:$Q$3690&lt;&gt;"N/A"),'Diags Raw Data'!$T$6:$T$3690)+SUMPRODUCT(--(ISNUMBER(SEARCH($A108,'Diags Raw Data'!$A$6:$A$3690))),--('Diags Raw Data'!$Q$6:$Q$3690&lt;&gt;"N/A"),'Diags Raw Data'!$U$6:$U$3690)</f>
        <v>0</v>
      </c>
      <c r="O108" s="491">
        <f t="shared" si="12"/>
        <v>0</v>
      </c>
      <c r="P108" s="492">
        <f>SUMIF('Diags Raw Data'!$A$6:$A$3690,"*"&amp;$A108&amp;"*",'Diags Raw Data'!$Z$6:$Z$3690)</f>
        <v>0</v>
      </c>
      <c r="Q108" s="493">
        <f>SUM(SUMIF('Diags Raw Data'!$A$6:$A$3690,"*"&amp;$A108&amp;"*",'Diags Raw Data'!$AA$6:$AA$3690),SUMIF('Diags Raw Data'!$A$6:$A$3690,"*"&amp;$A108&amp;"*",'Diags Raw Data'!$AB$6:$AB$3690))</f>
        <v>0</v>
      </c>
      <c r="R108" s="494">
        <f t="shared" si="13"/>
        <v>0</v>
      </c>
      <c r="S108" s="494">
        <f t="shared" si="14"/>
        <v>0</v>
      </c>
      <c r="T108" s="495">
        <f t="shared" si="15"/>
        <v>0</v>
      </c>
      <c r="U108" s="436" t="e">
        <f>VLOOKUP(A108,'Diags Raw Data'!$A$6:$AH$3690,33,FALSE)</f>
        <v>#N/A</v>
      </c>
      <c r="V108" s="181"/>
    </row>
    <row r="109" spans="1:22" ht="240.75" thickBot="1" x14ac:dyDescent="0.3">
      <c r="A109" s="549">
        <v>12.208</v>
      </c>
      <c r="B109" s="438" t="str">
        <f>VLOOKUP(A109,'Feature Raw Data'!$A$3:$B$3922,2,FALSE)</f>
        <v>wave64 FMAF32 power reduction (M2 item) -&gt; large area</v>
      </c>
      <c r="C109" s="439" t="str">
        <f>VLOOKUP(A109,'Feature Raw Data'!$A$3:$C$3922,3,FALSE)</f>
        <v>P2</v>
      </c>
      <c r="D109" s="440" t="str" cm="1">
        <f t="array" ref="D109">_xlfn.TEXTJOIN("",TRUE,IF(ISNUMBER(SEARCH($A109,'Diags Raw Data'!$A$6:$A$3690)),CONCATENATE('Diags Raw Data'!$H$6:$H$3690,", "),""))</f>
        <v xml:space="preserve">gfx.inst_perf/v_sad.*,gfx.inst_perf/v_swap.*,gfx.inst_perf/v_perm.*,gfx.inst_perf/v_sat_pk_u8_i16,gfx.inst_perf/v_max.*,gfx.inst_perf/v_sub_co_ci_u32.*,gfx.inst_perf/v_med.*,gfx.inst_perf/v_min.*,gfx.inst_perf/v_qsad.*,gfx.inst_perf/v_mqsad.*,gfx.inst_perf/v_mad.*,gfx.inst_perf/v_lerp.*,gfx.inst_perf/v_and.*,gfx.inst_perf/v_.*cndmask_b16,gfx.inst_perf/v_dual.*,gfx.inst_perf/v_frexp.*,gfx.inst_perf/v_alignb.*,gfx.inst_perf/v_div.*,gfx.inst_perf/v_interp.*,gfx.inst_perf/ldexp.*,gfx.inst_perf/v_div.*,gfx.inst_perf/v_fract_f16,gfx.inst_perf/v_add.*, </v>
      </c>
      <c r="E109" s="340" t="str">
        <f>VLOOKUP(A109,'Diags Raw Data'!$A$6:$D$3690,4,FALSE)</f>
        <v>SH</v>
      </c>
      <c r="F109" s="340" t="str">
        <f>VLOOKUP(A109,'Feature Raw Data'!$A$3:$E$3922,5,FALSE)</f>
        <v>New</v>
      </c>
      <c r="G109" s="340" t="str">
        <f t="shared" si="6"/>
        <v>Yes</v>
      </c>
      <c r="H109" s="340" t="str">
        <f t="shared" si="7"/>
        <v>Yes</v>
      </c>
      <c r="I109" s="439">
        <f>SUMIF('Diags Raw Data'!$A$6:$A$3690,"*"&amp;$A109&amp;"*",'Diags Raw Data'!$K$6:$K$3690)</f>
        <v>0</v>
      </c>
      <c r="J109" s="441">
        <f>SUMIF('Diags Raw Data'!$A$6:$A$3690,"*"&amp;$A109&amp;"*",'Diags Raw Data'!$L$6:$L$3690)</f>
        <v>0</v>
      </c>
      <c r="K109" s="487" t="e" cm="1">
        <f t="array" ref="K109">IF(D109="",0, SUMPRODUCT(--(ISNUMBER(SEARCH($A109,'Diags Raw Data'!$A$6:$A$3690))),'Diags Raw Data'!$L$6:$L$3690,'Diags Raw Data'!$N$6:$N$3690)/J109)</f>
        <v>#DIV/0!</v>
      </c>
      <c r="L109" s="488" t="e" cm="1">
        <f t="array" ref="L109">IF(D109="",0, SUMPRODUCT(--(ISNUMBER(SEARCH($A109,'Diags Raw Data'!$A$6:$A$3690))),'Diags Raw Data'!$L$6:$L$3690,'Diags Raw Data'!$P$6:$P$3690)/J109)</f>
        <v>#DIV/0!</v>
      </c>
      <c r="M109" s="489" cm="1">
        <f t="array" ref="M109">SUMPRODUCT(--(ISNUMBER(SEARCH($A109,'Diags Raw Data'!$A$6:$A$3690))),--('Diags Raw Data'!$Q$6:$Q$3690&lt;&gt;"N/A"),'Diags Raw Data'!$R$6:$R$3690)</f>
        <v>64</v>
      </c>
      <c r="N109" s="490" cm="1">
        <f t="array" ref="N109">SUMPRODUCT(--(ISNUMBER(SEARCH($A109,'Diags Raw Data'!$A$6:$A$3690))),--('Diags Raw Data'!$Q$6:$Q$3690&lt;&gt;"N/A"),'Diags Raw Data'!$T$6:$T$3690)+SUMPRODUCT(--(ISNUMBER(SEARCH($A109,'Diags Raw Data'!$A$6:$A$3690))),--('Diags Raw Data'!$Q$6:$Q$3690&lt;&gt;"N/A"),'Diags Raw Data'!$U$6:$U$3690)</f>
        <v>64</v>
      </c>
      <c r="O109" s="491">
        <f t="shared" si="12"/>
        <v>1</v>
      </c>
      <c r="P109" s="492">
        <f>SUMIF('Diags Raw Data'!$A$6:$A$3690,"*"&amp;$A109&amp;"*",'Diags Raw Data'!$Z$6:$Z$3690)</f>
        <v>0</v>
      </c>
      <c r="Q109" s="493">
        <f>SUM(SUMIF('Diags Raw Data'!$A$6:$A$3690,"*"&amp;$A109&amp;"*",'Diags Raw Data'!$AA$6:$AA$3690),SUMIF('Diags Raw Data'!$A$6:$A$3690,"*"&amp;$A109&amp;"*",'Diags Raw Data'!$AB$6:$AB$3690))</f>
        <v>0</v>
      </c>
      <c r="R109" s="494">
        <f t="shared" si="13"/>
        <v>0</v>
      </c>
      <c r="S109" s="494">
        <f t="shared" si="14"/>
        <v>0</v>
      </c>
      <c r="T109" s="495">
        <f t="shared" si="15"/>
        <v>0</v>
      </c>
      <c r="U109" s="436" t="str">
        <f>VLOOKUP(A109,'Diags Raw Data'!$A$6:$AH$3690,33,FALSE)</f>
        <v>WK8</v>
      </c>
      <c r="V109" s="181"/>
    </row>
    <row r="110" spans="1:22" ht="30.75" thickBot="1" x14ac:dyDescent="0.3">
      <c r="A110" s="549">
        <v>12.209</v>
      </c>
      <c r="B110" s="438" t="str">
        <f>VLOOKUP(A110,'Feature Raw Data'!$A$3:$B$3922,2,FALSE)</f>
        <v>Add Structured Sparsity Support</v>
      </c>
      <c r="C110" s="439" t="str">
        <f>VLOOKUP(A110,'Feature Raw Data'!$A$3:$C$3922,3,FALSE)</f>
        <v>P1</v>
      </c>
      <c r="D110" s="440" t="str" cm="1">
        <f t="array" ref="D110">_xlfn.TEXTJOIN("",TRUE,IF(ISNUMBER(SEARCH($A110,'Diags Raw Data'!$A$6:$A$3690)),CONCATENATE('Diags Raw Data'!$H$6:$H$3690,", "),""))</f>
        <v xml:space="preserve">gci950-960.0,for,wave32,.1,for,wave64, </v>
      </c>
      <c r="E110" s="340" t="str">
        <f>VLOOKUP(A110,'Diags Raw Data'!$A$6:$D$3690,4,FALSE)</f>
        <v>SH</v>
      </c>
      <c r="F110" s="340" t="str">
        <f>VLOOKUP(A110,'Feature Raw Data'!$A$3:$E$3922,5,FALSE)</f>
        <v>New</v>
      </c>
      <c r="G110" s="340" t="str">
        <f t="shared" si="6"/>
        <v>Yes</v>
      </c>
      <c r="H110" s="340" t="str">
        <f t="shared" si="7"/>
        <v>Yes</v>
      </c>
      <c r="I110" s="439">
        <f>SUMIF('Diags Raw Data'!$A$6:$A$3690,"*"&amp;$A110&amp;"*",'Diags Raw Data'!$K$6:$K$3690)</f>
        <v>0</v>
      </c>
      <c r="J110" s="441">
        <f>SUMIF('Diags Raw Data'!$A$6:$A$3690,"*"&amp;$A110&amp;"*",'Diags Raw Data'!$L$6:$L$3690)</f>
        <v>0</v>
      </c>
      <c r="K110" s="487" t="e" cm="1">
        <f t="array" ref="K110">IF(D110="",0, SUMPRODUCT(--(ISNUMBER(SEARCH($A110,'Diags Raw Data'!$A$6:$A$3690))),'Diags Raw Data'!$L$6:$L$3690,'Diags Raw Data'!$N$6:$N$3690)/J110)</f>
        <v>#DIV/0!</v>
      </c>
      <c r="L110" s="488" t="e" cm="1">
        <f t="array" ref="L110">IF(D110="",0, SUMPRODUCT(--(ISNUMBER(SEARCH($A110,'Diags Raw Data'!$A$6:$A$3690))),'Diags Raw Data'!$L$6:$L$3690,'Diags Raw Data'!$P$6:$P$3690)/J110)</f>
        <v>#DIV/0!</v>
      </c>
      <c r="M110" s="489" cm="1">
        <f t="array" ref="M110">SUMPRODUCT(--(ISNUMBER(SEARCH($A110,'Diags Raw Data'!$A$6:$A$3690))),--('Diags Raw Data'!$Q$6:$Q$3690&lt;&gt;"N/A"),'Diags Raw Data'!$R$6:$R$3690)</f>
        <v>22</v>
      </c>
      <c r="N110" s="490" cm="1">
        <f t="array" ref="N110">SUMPRODUCT(--(ISNUMBER(SEARCH($A110,'Diags Raw Data'!$A$6:$A$3690))),--('Diags Raw Data'!$Q$6:$Q$3690&lt;&gt;"N/A"),'Diags Raw Data'!$T$6:$T$3690)+SUMPRODUCT(--(ISNUMBER(SEARCH($A110,'Diags Raw Data'!$A$6:$A$3690))),--('Diags Raw Data'!$Q$6:$Q$3690&lt;&gt;"N/A"),'Diags Raw Data'!$U$6:$U$3690)</f>
        <v>2</v>
      </c>
      <c r="O110" s="491">
        <f t="shared" si="12"/>
        <v>9.0909090909090912E-2</v>
      </c>
      <c r="P110" s="492">
        <f>SUMIF('Diags Raw Data'!$A$6:$A$3690,"*"&amp;$A110&amp;"*",'Diags Raw Data'!$Z$6:$Z$3690)</f>
        <v>0</v>
      </c>
      <c r="Q110" s="493">
        <f>SUM(SUMIF('Diags Raw Data'!$A$6:$A$3690,"*"&amp;$A110&amp;"*",'Diags Raw Data'!$AA$6:$AA$3690),SUMIF('Diags Raw Data'!$A$6:$A$3690,"*"&amp;$A110&amp;"*",'Diags Raw Data'!$AB$6:$AB$3690))</f>
        <v>0</v>
      </c>
      <c r="R110" s="494">
        <f t="shared" si="13"/>
        <v>0</v>
      </c>
      <c r="S110" s="494">
        <f t="shared" si="14"/>
        <v>0</v>
      </c>
      <c r="T110" s="495">
        <f t="shared" si="15"/>
        <v>0</v>
      </c>
      <c r="U110" s="436" t="str">
        <f>VLOOKUP(A110,'Diags Raw Data'!$A$6:$AH$3690,33,FALSE)</f>
        <v>WK3</v>
      </c>
      <c r="V110" s="181"/>
    </row>
    <row r="111" spans="1:22" ht="45.75" thickBot="1" x14ac:dyDescent="0.3">
      <c r="A111" s="549">
        <v>12.21</v>
      </c>
      <c r="B111" s="438" t="str">
        <f>VLOOKUP(A111,'Feature Raw Data'!$A$3:$B$3922,2,FALSE)</f>
        <v>Fully connect capability to use high and normal MALL reuse hint (child of 12.027/12.041)</v>
      </c>
      <c r="C111" s="439" t="str">
        <f>VLOOKUP(A111,'Feature Raw Data'!$A$3:$C$3922,3,FALSE)</f>
        <v>P1</v>
      </c>
      <c r="D111" s="440" t="str" cm="1">
        <f t="array" ref="D111">_xlfn.TEXTJOIN("",TRUE,IF(ISNUMBER(SEARCH($A111,'Diags Raw Data'!$A$6:$A$3690)),CONCATENATE('Diags Raw Data'!$H$6:$H$3690,", "),""))</f>
        <v xml:space="preserve">gci669.1-12, gfx.red_triangle_draw_composite, </v>
      </c>
      <c r="E111" s="340" t="str">
        <f>VLOOKUP(A111,'Diags Raw Data'!$A$6:$D$3690,4,FALSE)</f>
        <v>CMM</v>
      </c>
      <c r="F111" s="340" t="str">
        <f>VLOOKUP(A111,'Feature Raw Data'!$A$3:$E$3922,5,FALSE)</f>
        <v>New</v>
      </c>
      <c r="G111" s="340" t="str">
        <f t="shared" si="6"/>
        <v>Yes</v>
      </c>
      <c r="H111" s="340" t="str">
        <f t="shared" si="7"/>
        <v>Yes</v>
      </c>
      <c r="I111" s="439">
        <f>SUMIF('Diags Raw Data'!$A$6:$A$3690,"*"&amp;$A111&amp;"*",'Diags Raw Data'!$K$6:$K$3690)</f>
        <v>0</v>
      </c>
      <c r="J111" s="441">
        <f>SUMIF('Diags Raw Data'!$A$6:$A$3690,"*"&amp;$A111&amp;"*",'Diags Raw Data'!$L$6:$L$3690)</f>
        <v>0</v>
      </c>
      <c r="K111" s="487" t="e" cm="1">
        <f t="array" ref="K111">IF(D111="",0, SUMPRODUCT(--(ISNUMBER(SEARCH($A111,'Diags Raw Data'!$A$6:$A$3690))),'Diags Raw Data'!$L$6:$L$3690,'Diags Raw Data'!$N$6:$N$3690)/J111)</f>
        <v>#DIV/0!</v>
      </c>
      <c r="L111" s="488" t="e" cm="1">
        <f t="array" ref="L111">IF(D111="",0, SUMPRODUCT(--(ISNUMBER(SEARCH($A111,'Diags Raw Data'!$A$6:$A$3690))),'Diags Raw Data'!$L$6:$L$3690,'Diags Raw Data'!$P$6:$P$3690)/J111)</f>
        <v>#DIV/0!</v>
      </c>
      <c r="M111" s="489" cm="1">
        <f t="array" ref="M111">SUMPRODUCT(--(ISNUMBER(SEARCH($A111,'Diags Raw Data'!$A$6:$A$3690))),--('Diags Raw Data'!$Q$6:$Q$3690&lt;&gt;"N/A"),'Diags Raw Data'!$R$6:$R$3690)</f>
        <v>2</v>
      </c>
      <c r="N111" s="490" cm="1">
        <f t="array" ref="N111">SUMPRODUCT(--(ISNUMBER(SEARCH($A111,'Diags Raw Data'!$A$6:$A$3690))),--('Diags Raw Data'!$Q$6:$Q$3690&lt;&gt;"N/A"),'Diags Raw Data'!$T$6:$T$3690)+SUMPRODUCT(--(ISNUMBER(SEARCH($A111,'Diags Raw Data'!$A$6:$A$3690))),--('Diags Raw Data'!$Q$6:$Q$3690&lt;&gt;"N/A"),'Diags Raw Data'!$U$6:$U$3690)</f>
        <v>0</v>
      </c>
      <c r="O111" s="491">
        <f>IF((M111=0),0,N111/M111)</f>
        <v>0</v>
      </c>
      <c r="P111" s="492">
        <f>SUMIF('Diags Raw Data'!$A$6:$A$3690,"*"&amp;$A111&amp;"*",'Diags Raw Data'!$Z$6:$Z$3690)</f>
        <v>0</v>
      </c>
      <c r="Q111" s="493">
        <f>SUM(SUMIF('Diags Raw Data'!$A$6:$A$3690,"*"&amp;$A111&amp;"*",'Diags Raw Data'!$AA$6:$AA$3690),SUMIF('Diags Raw Data'!$A$6:$A$3690,"*"&amp;$A111&amp;"*",'Diags Raw Data'!$AB$6:$AB$3690))</f>
        <v>0</v>
      </c>
      <c r="R111" s="494">
        <f t="shared" si="13"/>
        <v>0</v>
      </c>
      <c r="S111" s="494">
        <f t="shared" si="14"/>
        <v>0</v>
      </c>
      <c r="T111" s="495">
        <f t="shared" si="15"/>
        <v>0</v>
      </c>
      <c r="U111" s="436" t="str">
        <f>VLOOKUP(A111,'Diags Raw Data'!$A$6:$AH$3690,33,FALSE)</f>
        <v>WK4</v>
      </c>
      <c r="V111" s="181"/>
    </row>
    <row r="112" spans="1:22" ht="30.75" thickBot="1" x14ac:dyDescent="0.3">
      <c r="A112" s="549">
        <v>12.211</v>
      </c>
      <c r="B112" s="438" t="str">
        <f>VLOOKUP(A112,'Feature Raw Data'!$A$3:$B$3922,2,FALSE)</f>
        <v>UTCL1_identity_mode  (SED Crest)</v>
      </c>
      <c r="C112" s="439" t="str">
        <f>VLOOKUP(A112,'Feature Raw Data'!$A$3:$C$3922,3,FALSE)</f>
        <v>P1</v>
      </c>
      <c r="D112" s="440" t="str" cm="1">
        <f t="array" ref="D112">_xlfn.TEXTJOIN("",TRUE,IF(ISNUMBER(SEARCH($A112,'Diags Raw Data'!$A$6:$A$3690)),CONCATENATE('Diags Raw Data'!$H$6:$H$3690,", "),""))</f>
        <v/>
      </c>
      <c r="E112" s="340" t="e">
        <f>VLOOKUP(A112,'Diags Raw Data'!$A$6:$D$3690,4,FALSE)</f>
        <v>#N/A</v>
      </c>
      <c r="F112" s="340" t="str">
        <f>VLOOKUP(A112,'Feature Raw Data'!$A$3:$E$3922,5,FALSE)</f>
        <v>New</v>
      </c>
      <c r="G112" s="340" t="str">
        <f t="shared" si="6"/>
        <v>Yes</v>
      </c>
      <c r="H112" s="340" t="str">
        <f t="shared" si="7"/>
        <v>Yes</v>
      </c>
      <c r="I112" s="439">
        <f>SUMIF('Diags Raw Data'!$A$6:$A$3690,"*"&amp;$A112&amp;"*",'Diags Raw Data'!$K$6:$K$3690)</f>
        <v>0</v>
      </c>
      <c r="J112" s="441">
        <f>SUMIF('Diags Raw Data'!$A$6:$A$3690,"*"&amp;$A112&amp;"*",'Diags Raw Data'!$L$6:$L$3690)</f>
        <v>0</v>
      </c>
      <c r="K112" s="487" cm="1">
        <f t="array" ref="K112">IF(D112="",0, SUMPRODUCT(--(ISNUMBER(SEARCH($A112,'Diags Raw Data'!$A$6:$A$3690))),'Diags Raw Data'!$L$6:$L$3690,'Diags Raw Data'!$N$6:$N$3690)/J112)</f>
        <v>0</v>
      </c>
      <c r="L112" s="488" cm="1">
        <f t="array" ref="L112">IF(D112="",0, SUMPRODUCT(--(ISNUMBER(SEARCH($A112,'Diags Raw Data'!$A$6:$A$3690))),'Diags Raw Data'!$L$6:$L$3690,'Diags Raw Data'!$P$6:$P$3690)/J112)</f>
        <v>0</v>
      </c>
      <c r="M112" s="489" cm="1">
        <f t="array" ref="M112">SUMPRODUCT(--(ISNUMBER(SEARCH($A112,'Diags Raw Data'!$A$6:$A$3690))),--('Diags Raw Data'!$Q$6:$Q$3690&lt;&gt;"N/A"),'Diags Raw Data'!$R$6:$R$3690)</f>
        <v>0</v>
      </c>
      <c r="N112" s="490" cm="1">
        <f t="array" ref="N112">SUMPRODUCT(--(ISNUMBER(SEARCH($A112,'Diags Raw Data'!$A$6:$A$3690))),--('Diags Raw Data'!$Q$6:$Q$3690&lt;&gt;"N/A"),'Diags Raw Data'!$T$6:$T$3690)+SUMPRODUCT(--(ISNUMBER(SEARCH($A112,'Diags Raw Data'!$A$6:$A$3690))),--('Diags Raw Data'!$Q$6:$Q$3690&lt;&gt;"N/A"),'Diags Raw Data'!$U$6:$U$3690)</f>
        <v>0</v>
      </c>
      <c r="O112" s="491">
        <f t="shared" ref="O112:O127" si="16">IF((M112=0),0,N112/M112)</f>
        <v>0</v>
      </c>
      <c r="P112" s="492">
        <f>SUMIF('Diags Raw Data'!$A$6:$A$3690,"*"&amp;$A112&amp;"*",'Diags Raw Data'!$Z$6:$Z$3690)</f>
        <v>0</v>
      </c>
      <c r="Q112" s="493">
        <f>SUM(SUMIF('Diags Raw Data'!$A$6:$A$3690,"*"&amp;$A112&amp;"*",'Diags Raw Data'!$AA$6:$AA$3690),SUMIF('Diags Raw Data'!$A$6:$A$3690,"*"&amp;$A112&amp;"*",'Diags Raw Data'!$AB$6:$AB$3690))</f>
        <v>0</v>
      </c>
      <c r="R112" s="494">
        <f t="shared" si="13"/>
        <v>0</v>
      </c>
      <c r="S112" s="494">
        <f t="shared" si="14"/>
        <v>0</v>
      </c>
      <c r="T112" s="495">
        <f t="shared" si="15"/>
        <v>0</v>
      </c>
      <c r="U112" s="436" t="e">
        <f>VLOOKUP(A112,'Diags Raw Data'!$A$6:$AH$3690,33,FALSE)</f>
        <v>#N/A</v>
      </c>
      <c r="V112" s="181"/>
    </row>
    <row r="113" spans="1:22" ht="15.75" thickBot="1" x14ac:dyDescent="0.3">
      <c r="A113" s="549">
        <v>12.212999999999999</v>
      </c>
      <c r="B113" s="438" t="str">
        <f>VLOOKUP(A113,'Feature Raw Data'!$A$3:$B$3922,2,FALSE)</f>
        <v>deprecate HPG</v>
      </c>
      <c r="C113" s="439" t="str">
        <f>VLOOKUP(A113,'Feature Raw Data'!$A$3:$C$3922,3,FALSE)</f>
        <v>P1</v>
      </c>
      <c r="D113" s="440" t="str" cm="1">
        <f t="array" ref="D113">_xlfn.TEXTJOIN("",TRUE,IF(ISNUMBER(SEARCH($A113,'Diags Raw Data'!$A$6:$A$3690)),CONCATENATE('Diags Raw Data'!$H$6:$H$3690,", "),""))</f>
        <v/>
      </c>
      <c r="E113" s="340" t="e">
        <f>VLOOKUP(A113,'Diags Raw Data'!$A$6:$D$3690,4,FALSE)</f>
        <v>#N/A</v>
      </c>
      <c r="F113" s="340" t="str">
        <f>VLOOKUP(A113,'Feature Raw Data'!$A$3:$E$3922,5,FALSE)</f>
        <v>New</v>
      </c>
      <c r="G113" s="340" t="str">
        <f t="shared" si="6"/>
        <v>Yes</v>
      </c>
      <c r="H113" s="340" t="str">
        <f t="shared" si="7"/>
        <v>Yes</v>
      </c>
      <c r="I113" s="439">
        <f>SUMIF('Diags Raw Data'!$A$6:$A$3690,"*"&amp;$A113&amp;"*",'Diags Raw Data'!$K$6:$K$3690)</f>
        <v>0</v>
      </c>
      <c r="J113" s="441">
        <f>SUMIF('Diags Raw Data'!$A$6:$A$3690,"*"&amp;$A113&amp;"*",'Diags Raw Data'!$L$6:$L$3690)</f>
        <v>0</v>
      </c>
      <c r="K113" s="487" cm="1">
        <f t="array" ref="K113">IF(D113="",0, SUMPRODUCT(--(ISNUMBER(SEARCH($A113,'Diags Raw Data'!$A$6:$A$3690))),'Diags Raw Data'!$L$6:$L$3690,'Diags Raw Data'!$N$6:$N$3690)/J113)</f>
        <v>0</v>
      </c>
      <c r="L113" s="488" cm="1">
        <f t="array" ref="L113">IF(D113="",0, SUMPRODUCT(--(ISNUMBER(SEARCH($A113,'Diags Raw Data'!$A$6:$A$3690))),'Diags Raw Data'!$L$6:$L$3690,'Diags Raw Data'!$P$6:$P$3690)/J113)</f>
        <v>0</v>
      </c>
      <c r="M113" s="489" cm="1">
        <f t="array" ref="M113">SUMPRODUCT(--(ISNUMBER(SEARCH($A113,'Diags Raw Data'!$A$6:$A$3690))),--('Diags Raw Data'!$Q$6:$Q$3690&lt;&gt;"N/A"),'Diags Raw Data'!$R$6:$R$3690)</f>
        <v>0</v>
      </c>
      <c r="N113" s="490" cm="1">
        <f t="array" ref="N113">SUMPRODUCT(--(ISNUMBER(SEARCH($A113,'Diags Raw Data'!$A$6:$A$3690))),--('Diags Raw Data'!$Q$6:$Q$3690&lt;&gt;"N/A"),'Diags Raw Data'!$T$6:$T$3690)+SUMPRODUCT(--(ISNUMBER(SEARCH($A113,'Diags Raw Data'!$A$6:$A$3690))),--('Diags Raw Data'!$Q$6:$Q$3690&lt;&gt;"N/A"),'Diags Raw Data'!$U$6:$U$3690)</f>
        <v>0</v>
      </c>
      <c r="O113" s="491">
        <f t="shared" si="16"/>
        <v>0</v>
      </c>
      <c r="P113" s="492">
        <f>SUMIF('Diags Raw Data'!$A$6:$A$3690,"*"&amp;$A113&amp;"*",'Diags Raw Data'!$Z$6:$Z$3690)</f>
        <v>0</v>
      </c>
      <c r="Q113" s="493">
        <f>SUM(SUMIF('Diags Raw Data'!$A$6:$A$3690,"*"&amp;$A113&amp;"*",'Diags Raw Data'!$AA$6:$AA$3690),SUMIF('Diags Raw Data'!$A$6:$A$3690,"*"&amp;$A113&amp;"*",'Diags Raw Data'!$AB$6:$AB$3690))</f>
        <v>0</v>
      </c>
      <c r="R113" s="494">
        <f t="shared" si="13"/>
        <v>0</v>
      </c>
      <c r="S113" s="494">
        <f t="shared" si="14"/>
        <v>0</v>
      </c>
      <c r="T113" s="495">
        <f t="shared" si="15"/>
        <v>0</v>
      </c>
      <c r="U113" s="436" t="e">
        <f>VLOOKUP(A113,'Diags Raw Data'!$A$6:$AH$3690,33,FALSE)</f>
        <v>#N/A</v>
      </c>
      <c r="V113" s="554" t="s">
        <v>340</v>
      </c>
    </row>
    <row r="114" spans="1:22" ht="30.75" thickBot="1" x14ac:dyDescent="0.3">
      <c r="A114" s="549">
        <v>12.214</v>
      </c>
      <c r="B114" s="438" t="str">
        <f>VLOOKUP(A114,'Feature Raw Data'!$A$3:$B$3922,2,FALSE)</f>
        <v>reduce GE_DIST to GE_SE wire count</v>
      </c>
      <c r="C114" s="439" t="str">
        <f>VLOOKUP(A114,'Feature Raw Data'!$A$3:$C$3922,3,FALSE)</f>
        <v>P1</v>
      </c>
      <c r="D114" s="440" t="str" cm="1">
        <f t="array" ref="D114">_xlfn.TEXTJOIN("",TRUE,IF(ISNUMBER(SEARCH($A114,'Diags Raw Data'!$A$6:$A$3690)),CONCATENATE('Diags Raw Data'!$H$6:$H$3690,", "),""))</f>
        <v/>
      </c>
      <c r="E114" s="340" t="e">
        <f>VLOOKUP(A114,'Diags Raw Data'!$A$6:$D$3690,4,FALSE)</f>
        <v>#N/A</v>
      </c>
      <c r="F114" s="340" t="str">
        <f>VLOOKUP(A114,'Feature Raw Data'!$A$3:$E$3922,5,FALSE)</f>
        <v>New</v>
      </c>
      <c r="G114" s="340" t="str">
        <f t="shared" si="6"/>
        <v>Yes</v>
      </c>
      <c r="H114" s="340" t="str">
        <f t="shared" si="7"/>
        <v>Yes</v>
      </c>
      <c r="I114" s="439">
        <f>SUMIF('Diags Raw Data'!$A$6:$A$3690,"*"&amp;$A114&amp;"*",'Diags Raw Data'!$K$6:$K$3690)</f>
        <v>0</v>
      </c>
      <c r="J114" s="441">
        <f>SUMIF('Diags Raw Data'!$A$6:$A$3690,"*"&amp;$A114&amp;"*",'Diags Raw Data'!$L$6:$L$3690)</f>
        <v>0</v>
      </c>
      <c r="K114" s="487" cm="1">
        <f t="array" ref="K114">IF(D114="",0, SUMPRODUCT(--(ISNUMBER(SEARCH($A114,'Diags Raw Data'!$A$6:$A$3690))),'Diags Raw Data'!$L$6:$L$3690,'Diags Raw Data'!$N$6:$N$3690)/J114)</f>
        <v>0</v>
      </c>
      <c r="L114" s="488" cm="1">
        <f t="array" ref="L114">IF(D114="",0, SUMPRODUCT(--(ISNUMBER(SEARCH($A114,'Diags Raw Data'!$A$6:$A$3690))),'Diags Raw Data'!$L$6:$L$3690,'Diags Raw Data'!$P$6:$P$3690)/J114)</f>
        <v>0</v>
      </c>
      <c r="M114" s="489" cm="1">
        <f t="array" ref="M114">SUMPRODUCT(--(ISNUMBER(SEARCH($A114,'Diags Raw Data'!$A$6:$A$3690))),--('Diags Raw Data'!$Q$6:$Q$3690&lt;&gt;"N/A"),'Diags Raw Data'!$R$6:$R$3690)</f>
        <v>0</v>
      </c>
      <c r="N114" s="490" cm="1">
        <f t="array" ref="N114">SUMPRODUCT(--(ISNUMBER(SEARCH($A114,'Diags Raw Data'!$A$6:$A$3690))),--('Diags Raw Data'!$Q$6:$Q$3690&lt;&gt;"N/A"),'Diags Raw Data'!$T$6:$T$3690)+SUMPRODUCT(--(ISNUMBER(SEARCH($A114,'Diags Raw Data'!$A$6:$A$3690))),--('Diags Raw Data'!$Q$6:$Q$3690&lt;&gt;"N/A"),'Diags Raw Data'!$U$6:$U$3690)</f>
        <v>0</v>
      </c>
      <c r="O114" s="491">
        <f t="shared" si="16"/>
        <v>0</v>
      </c>
      <c r="P114" s="492">
        <f>SUMIF('Diags Raw Data'!$A$6:$A$3690,"*"&amp;$A114&amp;"*",'Diags Raw Data'!$Z$6:$Z$3690)</f>
        <v>0</v>
      </c>
      <c r="Q114" s="493">
        <f>SUM(SUMIF('Diags Raw Data'!$A$6:$A$3690,"*"&amp;$A114&amp;"*",'Diags Raw Data'!$AA$6:$AA$3690),SUMIF('Diags Raw Data'!$A$6:$A$3690,"*"&amp;$A114&amp;"*",'Diags Raw Data'!$AB$6:$AB$3690))</f>
        <v>0</v>
      </c>
      <c r="R114" s="494">
        <f t="shared" si="13"/>
        <v>0</v>
      </c>
      <c r="S114" s="494">
        <f t="shared" si="14"/>
        <v>0</v>
      </c>
      <c r="T114" s="495">
        <f t="shared" si="15"/>
        <v>0</v>
      </c>
      <c r="U114" s="436" t="e">
        <f>VLOOKUP(A114,'Diags Raw Data'!$A$6:$AH$3690,33,FALSE)</f>
        <v>#N/A</v>
      </c>
      <c r="V114" s="181"/>
    </row>
    <row r="115" spans="1:22" s="184" customFormat="1" ht="30.75" thickBot="1" x14ac:dyDescent="0.3">
      <c r="A115" s="549">
        <v>12.215999999999999</v>
      </c>
      <c r="B115" s="438" t="str">
        <f>VLOOKUP(A115,'Feature Raw Data'!$A$3:$B$3922,2,FALSE)</f>
        <v>All debug bus buffers to 4K size</v>
      </c>
      <c r="C115" s="439" t="str">
        <f>VLOOKUP(A115,'Feature Raw Data'!$A$3:$C$3922,3,FALSE)</f>
        <v>P1</v>
      </c>
      <c r="D115" s="440" t="str" cm="1">
        <f t="array" ref="D115">_xlfn.TEXTJOIN("",TRUE,IF(ISNUMBER(SEARCH($A115,'Diags Raw Data'!$A$6:$A$3690)),CONCATENATE('Diags Raw Data'!$H$6:$H$3690,", "),""))</f>
        <v/>
      </c>
      <c r="E115" s="340" t="e">
        <f>VLOOKUP(A115,'Diags Raw Data'!$A$6:$D$3690,4,FALSE)</f>
        <v>#N/A</v>
      </c>
      <c r="F115" s="340" t="str">
        <f>VLOOKUP(A115,'Feature Raw Data'!$A$3:$E$3922,5,FALSE)</f>
        <v>New</v>
      </c>
      <c r="G115" s="340" t="str">
        <f t="shared" si="6"/>
        <v>Yes</v>
      </c>
      <c r="H115" s="340" t="str">
        <f t="shared" si="7"/>
        <v>Yes</v>
      </c>
      <c r="I115" s="439">
        <f>SUMIF('Diags Raw Data'!$A$6:$A$3690,"*"&amp;$A115&amp;"*",'Diags Raw Data'!$K$6:$K$3690)</f>
        <v>0</v>
      </c>
      <c r="J115" s="441">
        <f>SUMIF('Diags Raw Data'!$A$6:$A$3690,"*"&amp;$A115&amp;"*",'Diags Raw Data'!$L$6:$L$3690)</f>
        <v>0</v>
      </c>
      <c r="K115" s="487" cm="1">
        <f t="array" ref="K115">IF(D115="",0, SUMPRODUCT(--(ISNUMBER(SEARCH($A115,'Diags Raw Data'!$A$6:$A$3690))),'Diags Raw Data'!$L$6:$L$3690,'Diags Raw Data'!$N$6:$N$3690)/J115)</f>
        <v>0</v>
      </c>
      <c r="L115" s="488" cm="1">
        <f t="array" ref="L115">IF(D115="",0, SUMPRODUCT(--(ISNUMBER(SEARCH($A115,'Diags Raw Data'!$A$6:$A$3690))),'Diags Raw Data'!$L$6:$L$3690,'Diags Raw Data'!$P$6:$P$3690)/J115)</f>
        <v>0</v>
      </c>
      <c r="M115" s="489" cm="1">
        <f t="array" ref="M115">SUMPRODUCT(--(ISNUMBER(SEARCH($A115,'Diags Raw Data'!$A$6:$A$3690))),--('Diags Raw Data'!$Q$6:$Q$3690&lt;&gt;"N/A"),'Diags Raw Data'!$R$6:$R$3690)</f>
        <v>0</v>
      </c>
      <c r="N115" s="490" cm="1">
        <f t="array" ref="N115">SUMPRODUCT(--(ISNUMBER(SEARCH($A115,'Diags Raw Data'!$A$6:$A$3690))),--('Diags Raw Data'!$Q$6:$Q$3690&lt;&gt;"N/A"),'Diags Raw Data'!$T$6:$T$3690)+SUMPRODUCT(--(ISNUMBER(SEARCH($A115,'Diags Raw Data'!$A$6:$A$3690))),--('Diags Raw Data'!$Q$6:$Q$3690&lt;&gt;"N/A"),'Diags Raw Data'!$U$6:$U$3690)</f>
        <v>0</v>
      </c>
      <c r="O115" s="491">
        <f t="shared" si="16"/>
        <v>0</v>
      </c>
      <c r="P115" s="492">
        <f>SUMIF('Diags Raw Data'!$A$6:$A$3690,"*"&amp;$A115&amp;"*",'Diags Raw Data'!$Z$6:$Z$3690)</f>
        <v>0</v>
      </c>
      <c r="Q115" s="493">
        <f>SUM(SUMIF('Diags Raw Data'!$A$6:$A$3690,"*"&amp;$A115&amp;"*",'Diags Raw Data'!$AA$6:$AA$3690),SUMIF('Diags Raw Data'!$A$6:$A$3690,"*"&amp;$A115&amp;"*",'Diags Raw Data'!$AB$6:$AB$3690))</f>
        <v>0</v>
      </c>
      <c r="R115" s="494">
        <f t="shared" si="13"/>
        <v>0</v>
      </c>
      <c r="S115" s="494">
        <f t="shared" si="14"/>
        <v>0</v>
      </c>
      <c r="T115" s="495">
        <f t="shared" si="15"/>
        <v>0</v>
      </c>
      <c r="U115" s="436" t="e">
        <f>VLOOKUP(A115,'Diags Raw Data'!$A$6:$AH$3690,33,FALSE)</f>
        <v>#N/A</v>
      </c>
      <c r="V115" s="183"/>
    </row>
    <row r="116" spans="1:22" ht="30.75" thickBot="1" x14ac:dyDescent="0.3">
      <c r="A116" s="549">
        <v>12.218999999999999</v>
      </c>
      <c r="B116" s="438" t="str">
        <f>VLOOKUP(A116,'Feature Raw Data'!$A$3:$B$3922,2,FALSE)</f>
        <v>ge_se in sed.  Sub item under basic configuration</v>
      </c>
      <c r="C116" s="439" t="str">
        <f>VLOOKUP(A116,'Feature Raw Data'!$A$3:$C$3922,3,FALSE)</f>
        <v>P1</v>
      </c>
      <c r="D116" s="440" t="str" cm="1">
        <f t="array" ref="D116">_xlfn.TEXTJOIN("",TRUE,IF(ISNUMBER(SEARCH($A116,'Diags Raw Data'!$A$6:$A$3690)),CONCATENATE('Diags Raw Data'!$H$6:$H$3690,", "),""))</f>
        <v xml:space="preserve">gfx.red_triangle_draw_composite, </v>
      </c>
      <c r="E116" s="340" t="str">
        <f>VLOOKUP(A116,'Diags Raw Data'!$A$6:$D$3690,4,FALSE)</f>
        <v>GEO</v>
      </c>
      <c r="F116" s="340" t="str">
        <f>VLOOKUP(A116,'Feature Raw Data'!$A$3:$E$3922,5,FALSE)</f>
        <v>New</v>
      </c>
      <c r="G116" s="340" t="str">
        <f t="shared" si="6"/>
        <v>Yes</v>
      </c>
      <c r="H116" s="340" t="str">
        <f t="shared" si="7"/>
        <v>Yes</v>
      </c>
      <c r="I116" s="439">
        <f>SUMIF('Diags Raw Data'!$A$6:$A$3690,"*"&amp;$A116&amp;"*",'Diags Raw Data'!$K$6:$K$3690)</f>
        <v>0</v>
      </c>
      <c r="J116" s="441">
        <f>SUMIF('Diags Raw Data'!$A$6:$A$3690,"*"&amp;$A116&amp;"*",'Diags Raw Data'!$L$6:$L$3690)</f>
        <v>0</v>
      </c>
      <c r="K116" s="487" t="e" cm="1">
        <f t="array" ref="K116">IF(D116="",0, SUMPRODUCT(--(ISNUMBER(SEARCH($A116,'Diags Raw Data'!$A$6:$A$3690))),'Diags Raw Data'!$L$6:$L$3690,'Diags Raw Data'!$N$6:$N$3690)/J116)</f>
        <v>#DIV/0!</v>
      </c>
      <c r="L116" s="488" t="e" cm="1">
        <f t="array" ref="L116">IF(D116="",0, SUMPRODUCT(--(ISNUMBER(SEARCH($A116,'Diags Raw Data'!$A$6:$A$3690))),'Diags Raw Data'!$L$6:$L$3690,'Diags Raw Data'!$P$6:$P$3690)/J116)</f>
        <v>#DIV/0!</v>
      </c>
      <c r="M116" s="489" cm="1">
        <f t="array" ref="M116">SUMPRODUCT(--(ISNUMBER(SEARCH($A116,'Diags Raw Data'!$A$6:$A$3690))),--('Diags Raw Data'!$Q$6:$Q$3690&lt;&gt;"N/A"),'Diags Raw Data'!$R$6:$R$3690)</f>
        <v>1</v>
      </c>
      <c r="N116" s="490" cm="1">
        <f t="array" ref="N116">SUMPRODUCT(--(ISNUMBER(SEARCH($A116,'Diags Raw Data'!$A$6:$A$3690))),--('Diags Raw Data'!$Q$6:$Q$3690&lt;&gt;"N/A"),'Diags Raw Data'!$T$6:$T$3690)+SUMPRODUCT(--(ISNUMBER(SEARCH($A116,'Diags Raw Data'!$A$6:$A$3690))),--('Diags Raw Data'!$Q$6:$Q$3690&lt;&gt;"N/A"),'Diags Raw Data'!$U$6:$U$3690)</f>
        <v>0</v>
      </c>
      <c r="O116" s="491">
        <f t="shared" si="16"/>
        <v>0</v>
      </c>
      <c r="P116" s="492">
        <f>SUMIF('Diags Raw Data'!$A$6:$A$3690,"*"&amp;$A116&amp;"*",'Diags Raw Data'!$Z$6:$Z$3690)</f>
        <v>0</v>
      </c>
      <c r="Q116" s="493">
        <f>SUM(SUMIF('Diags Raw Data'!$A$6:$A$3690,"*"&amp;$A116&amp;"*",'Diags Raw Data'!$AA$6:$AA$3690),SUMIF('Diags Raw Data'!$A$6:$A$3690,"*"&amp;$A116&amp;"*",'Diags Raw Data'!$AB$6:$AB$3690))</f>
        <v>0</v>
      </c>
      <c r="R116" s="494">
        <f t="shared" si="13"/>
        <v>0</v>
      </c>
      <c r="S116" s="494">
        <f t="shared" si="14"/>
        <v>0</v>
      </c>
      <c r="T116" s="495">
        <f t="shared" si="15"/>
        <v>0</v>
      </c>
      <c r="U116" s="436" t="str">
        <f>VLOOKUP(A116,'Diags Raw Data'!$A$6:$AH$3690,33,FALSE)</f>
        <v>WK4</v>
      </c>
      <c r="V116" s="181"/>
    </row>
    <row r="117" spans="1:22" ht="30.75" thickBot="1" x14ac:dyDescent="0.3">
      <c r="A117" s="549">
        <v>12.22</v>
      </c>
      <c r="B117" s="438" t="str">
        <f>VLOOKUP(A117,'Feature Raw Data'!$A$3:$B$3922,2,FALSE)</f>
        <v>register cleanup</v>
      </c>
      <c r="C117" s="439" t="str">
        <f>VLOOKUP(A117,'Feature Raw Data'!$A$3:$C$3922,3,FALSE)</f>
        <v>P1</v>
      </c>
      <c r="D117" s="440" t="str" cm="1">
        <f t="array" ref="D117">_xlfn.TEXTJOIN("",TRUE,IF(ISNUMBER(SEARCH($A117,'Diags Raw Data'!$A$6:$A$3690)),CONCATENATE('Diags Raw Data'!$H$6:$H$3690,", "),""))</f>
        <v xml:space="preserve">navi48.gfx.ge.register_access, STD1.6,GCI30.3, Same,to,12.164, </v>
      </c>
      <c r="E117" s="340" t="str">
        <f>VLOOKUP(A117,'Diags Raw Data'!$A$6:$D$3690,4,FALSE)</f>
        <v>GEO</v>
      </c>
      <c r="F117" s="340" t="str">
        <f>VLOOKUP(A117,'Feature Raw Data'!$A$3:$E$3922,5,FALSE)</f>
        <v>New</v>
      </c>
      <c r="G117" s="340" t="str">
        <f t="shared" si="6"/>
        <v>Yes</v>
      </c>
      <c r="H117" s="340" t="str">
        <f t="shared" si="7"/>
        <v>Yes</v>
      </c>
      <c r="I117" s="439">
        <f>SUMIF('Diags Raw Data'!$A$6:$A$3690,"*"&amp;$A117&amp;"*",'Diags Raw Data'!$K$6:$K$3690)</f>
        <v>0</v>
      </c>
      <c r="J117" s="441">
        <f>SUMIF('Diags Raw Data'!$A$6:$A$3690,"*"&amp;$A117&amp;"*",'Diags Raw Data'!$L$6:$L$3690)</f>
        <v>0</v>
      </c>
      <c r="K117" s="487" t="e" cm="1">
        <f t="array" ref="K117">IF(D117="",0, SUMPRODUCT(--(ISNUMBER(SEARCH($A117,'Diags Raw Data'!$A$6:$A$3690))),'Diags Raw Data'!$L$6:$L$3690,'Diags Raw Data'!$N$6:$N$3690)/J117)</f>
        <v>#DIV/0!</v>
      </c>
      <c r="L117" s="488" t="e" cm="1">
        <f t="array" ref="L117">IF(D117="",0, SUMPRODUCT(--(ISNUMBER(SEARCH($A117,'Diags Raw Data'!$A$6:$A$3690))),'Diags Raw Data'!$L$6:$L$3690,'Diags Raw Data'!$P$6:$P$3690)/J117)</f>
        <v>#DIV/0!</v>
      </c>
      <c r="M117" s="489" cm="1">
        <f t="array" ref="M117">SUMPRODUCT(--(ISNUMBER(SEARCH($A117,'Diags Raw Data'!$A$6:$A$3690))),--('Diags Raw Data'!$Q$6:$Q$3690&lt;&gt;"N/A"),'Diags Raw Data'!$R$6:$R$3690)</f>
        <v>3</v>
      </c>
      <c r="N117" s="490" cm="1">
        <f t="array" ref="N117">SUMPRODUCT(--(ISNUMBER(SEARCH($A117,'Diags Raw Data'!$A$6:$A$3690))),--('Diags Raw Data'!$Q$6:$Q$3690&lt;&gt;"N/A"),'Diags Raw Data'!$T$6:$T$3690)+SUMPRODUCT(--(ISNUMBER(SEARCH($A117,'Diags Raw Data'!$A$6:$A$3690))),--('Diags Raw Data'!$Q$6:$Q$3690&lt;&gt;"N/A"),'Diags Raw Data'!$U$6:$U$3690)</f>
        <v>2</v>
      </c>
      <c r="O117" s="491">
        <f t="shared" si="16"/>
        <v>0.66666666666666663</v>
      </c>
      <c r="P117" s="492">
        <f>SUMIF('Diags Raw Data'!$A$6:$A$3690,"*"&amp;$A117&amp;"*",'Diags Raw Data'!$Z$6:$Z$3690)</f>
        <v>0</v>
      </c>
      <c r="Q117" s="493">
        <f>SUM(SUMIF('Diags Raw Data'!$A$6:$A$3690,"*"&amp;$A117&amp;"*",'Diags Raw Data'!$AA$6:$AA$3690),SUMIF('Diags Raw Data'!$A$6:$A$3690,"*"&amp;$A117&amp;"*",'Diags Raw Data'!$AB$6:$AB$3690))</f>
        <v>0</v>
      </c>
      <c r="R117" s="494">
        <f t="shared" si="13"/>
        <v>0</v>
      </c>
      <c r="S117" s="494">
        <f t="shared" si="14"/>
        <v>0</v>
      </c>
      <c r="T117" s="495">
        <f t="shared" si="15"/>
        <v>0</v>
      </c>
      <c r="U117" s="436" t="str">
        <f>VLOOKUP(A117,'Diags Raw Data'!$A$6:$AH$3690,33,FALSE)</f>
        <v>WK4</v>
      </c>
      <c r="V117" s="181"/>
    </row>
    <row r="118" spans="1:22" ht="45.75" thickBot="1" x14ac:dyDescent="0.3">
      <c r="A118" s="549">
        <v>12.221</v>
      </c>
      <c r="B118" s="438" t="str">
        <f>VLOOKUP(A118,'Feature Raw Data'!$A$3:$B$3922,2,FALSE)</f>
        <v>Add support to the SDMA to dequeue similar to the way the CP does</v>
      </c>
      <c r="C118" s="439" t="str">
        <f>VLOOKUP(A118,'Feature Raw Data'!$A$3:$C$3922,3,FALSE)</f>
        <v>P1</v>
      </c>
      <c r="D118" s="440" t="str" cm="1">
        <f t="array" ref="D118">_xlfn.TEXTJOIN("",TRUE,IF(ISNUMBER(SEARCH($A118,'Diags Raw Data'!$A$6:$A$3690)),CONCATENATE('Diags Raw Data'!$H$6:$H$3690,", "),""))</f>
        <v/>
      </c>
      <c r="E118" s="340" t="e">
        <f>VLOOKUP(A118,'Diags Raw Data'!$A$6:$D$3690,4,FALSE)</f>
        <v>#N/A</v>
      </c>
      <c r="F118" s="340" t="str">
        <f>VLOOKUP(A118,'Feature Raw Data'!$A$3:$E$3922,5,FALSE)</f>
        <v>New</v>
      </c>
      <c r="G118" s="340" t="str">
        <f t="shared" si="6"/>
        <v>Yes</v>
      </c>
      <c r="H118" s="340" t="str">
        <f t="shared" si="7"/>
        <v>Yes</v>
      </c>
      <c r="I118" s="439">
        <f>SUMIF('Diags Raw Data'!$A$6:$A$3690,"*"&amp;$A118&amp;"*",'Diags Raw Data'!$K$6:$K$3690)</f>
        <v>0</v>
      </c>
      <c r="J118" s="441">
        <f>SUMIF('Diags Raw Data'!$A$6:$A$3690,"*"&amp;$A118&amp;"*",'Diags Raw Data'!$L$6:$L$3690)</f>
        <v>0</v>
      </c>
      <c r="K118" s="487" cm="1">
        <f t="array" ref="K118">IF(D118="",0, SUMPRODUCT(--(ISNUMBER(SEARCH($A118,'Diags Raw Data'!$A$6:$A$3690))),'Diags Raw Data'!$L$6:$L$3690,'Diags Raw Data'!$N$6:$N$3690)/J118)</f>
        <v>0</v>
      </c>
      <c r="L118" s="488" cm="1">
        <f t="array" ref="L118">IF(D118="",0, SUMPRODUCT(--(ISNUMBER(SEARCH($A118,'Diags Raw Data'!$A$6:$A$3690))),'Diags Raw Data'!$L$6:$L$3690,'Diags Raw Data'!$P$6:$P$3690)/J118)</f>
        <v>0</v>
      </c>
      <c r="M118" s="489" cm="1">
        <f t="array" ref="M118">SUMPRODUCT(--(ISNUMBER(SEARCH($A118,'Diags Raw Data'!$A$6:$A$3690))),--('Diags Raw Data'!$Q$6:$Q$3690&lt;&gt;"N/A"),'Diags Raw Data'!$R$6:$R$3690)</f>
        <v>0</v>
      </c>
      <c r="N118" s="490" cm="1">
        <f t="array" ref="N118">SUMPRODUCT(--(ISNUMBER(SEARCH($A118,'Diags Raw Data'!$A$6:$A$3690))),--('Diags Raw Data'!$Q$6:$Q$3690&lt;&gt;"N/A"),'Diags Raw Data'!$T$6:$T$3690)+SUMPRODUCT(--(ISNUMBER(SEARCH($A118,'Diags Raw Data'!$A$6:$A$3690))),--('Diags Raw Data'!$Q$6:$Q$3690&lt;&gt;"N/A"),'Diags Raw Data'!$U$6:$U$3690)</f>
        <v>0</v>
      </c>
      <c r="O118" s="491">
        <f t="shared" si="16"/>
        <v>0</v>
      </c>
      <c r="P118" s="492">
        <f>SUMIF('Diags Raw Data'!$A$6:$A$3690,"*"&amp;$A118&amp;"*",'Diags Raw Data'!$Z$6:$Z$3690)</f>
        <v>0</v>
      </c>
      <c r="Q118" s="493">
        <f>SUM(SUMIF('Diags Raw Data'!$A$6:$A$3690,"*"&amp;$A118&amp;"*",'Diags Raw Data'!$AA$6:$AA$3690),SUMIF('Diags Raw Data'!$A$6:$A$3690,"*"&amp;$A118&amp;"*",'Diags Raw Data'!$AB$6:$AB$3690))</f>
        <v>0</v>
      </c>
      <c r="R118" s="494">
        <f t="shared" si="13"/>
        <v>0</v>
      </c>
      <c r="S118" s="494">
        <f t="shared" si="14"/>
        <v>0</v>
      </c>
      <c r="T118" s="495">
        <f t="shared" si="15"/>
        <v>0</v>
      </c>
      <c r="U118" s="436" t="e">
        <f>VLOOKUP(A118,'Diags Raw Data'!$A$6:$AH$3690,33,FALSE)</f>
        <v>#N/A</v>
      </c>
      <c r="V118" s="181"/>
    </row>
    <row r="119" spans="1:22" ht="45.75" thickBot="1" x14ac:dyDescent="0.3">
      <c r="A119" s="549">
        <v>12.223000000000001</v>
      </c>
      <c r="B119" s="438" t="str">
        <f>VLOOKUP(A119,'Feature Raw Data'!$A$3:$B$3922,2,FALSE)</f>
        <v>Update PA/SC support for 1 to 9SE and updated pix distribution algorithm</v>
      </c>
      <c r="C119" s="439" t="str">
        <f>VLOOKUP(A119,'Feature Raw Data'!$A$3:$C$3922,3,FALSE)</f>
        <v>P1</v>
      </c>
      <c r="D119" s="440" t="str" cm="1">
        <f t="array" ref="D119">_xlfn.TEXTJOIN("",TRUE,IF(ISNUMBER(SEARCH($A119,'Diags Raw Data'!$A$6:$A$3690)),CONCATENATE('Diags Raw Data'!$H$6:$H$3690,", "),""))</f>
        <v xml:space="preserve">STD1.6,GCI30.3, </v>
      </c>
      <c r="E119" s="340" t="str">
        <f>VLOOKUP(A119,'Diags Raw Data'!$A$6:$D$3690,4,FALSE)</f>
        <v>PP</v>
      </c>
      <c r="F119" s="340" t="str">
        <f>VLOOKUP(A119,'Feature Raw Data'!$A$3:$E$3922,5,FALSE)</f>
        <v>New</v>
      </c>
      <c r="G119" s="340" t="str">
        <f t="shared" si="6"/>
        <v>Yes</v>
      </c>
      <c r="H119" s="340" t="str">
        <f t="shared" si="7"/>
        <v>Yes</v>
      </c>
      <c r="I119" s="439">
        <f>SUMIF('Diags Raw Data'!$A$6:$A$3690,"*"&amp;$A119&amp;"*",'Diags Raw Data'!$K$6:$K$3690)</f>
        <v>0</v>
      </c>
      <c r="J119" s="441">
        <f>SUMIF('Diags Raw Data'!$A$6:$A$3690,"*"&amp;$A119&amp;"*",'Diags Raw Data'!$L$6:$L$3690)</f>
        <v>0</v>
      </c>
      <c r="K119" s="487" t="e" cm="1">
        <f t="array" ref="K119">IF(D119="",0, SUMPRODUCT(--(ISNUMBER(SEARCH($A119,'Diags Raw Data'!$A$6:$A$3690))),'Diags Raw Data'!$L$6:$L$3690,'Diags Raw Data'!$N$6:$N$3690)/J119)</f>
        <v>#DIV/0!</v>
      </c>
      <c r="L119" s="488" t="e" cm="1">
        <f t="array" ref="L119">IF(D119="",0, SUMPRODUCT(--(ISNUMBER(SEARCH($A119,'Diags Raw Data'!$A$6:$A$3690))),'Diags Raw Data'!$L$6:$L$3690,'Diags Raw Data'!$P$6:$P$3690)/J119)</f>
        <v>#DIV/0!</v>
      </c>
      <c r="M119" s="489" cm="1">
        <f t="array" ref="M119">SUMPRODUCT(--(ISNUMBER(SEARCH($A119,'Diags Raw Data'!$A$6:$A$3690))),--('Diags Raw Data'!$Q$6:$Q$3690&lt;&gt;"N/A"),'Diags Raw Data'!$R$6:$R$3690)</f>
        <v>1</v>
      </c>
      <c r="N119" s="490" cm="1">
        <f t="array" ref="N119">SUMPRODUCT(--(ISNUMBER(SEARCH($A119,'Diags Raw Data'!$A$6:$A$3690))),--('Diags Raw Data'!$Q$6:$Q$3690&lt;&gt;"N/A"),'Diags Raw Data'!$T$6:$T$3690)+SUMPRODUCT(--(ISNUMBER(SEARCH($A119,'Diags Raw Data'!$A$6:$A$3690))),--('Diags Raw Data'!$Q$6:$Q$3690&lt;&gt;"N/A"),'Diags Raw Data'!$U$6:$U$3690)</f>
        <v>1</v>
      </c>
      <c r="O119" s="491">
        <f t="shared" si="16"/>
        <v>1</v>
      </c>
      <c r="P119" s="492">
        <f>SUMIF('Diags Raw Data'!$A$6:$A$3690,"*"&amp;$A119&amp;"*",'Diags Raw Data'!$Z$6:$Z$3690)</f>
        <v>0</v>
      </c>
      <c r="Q119" s="493">
        <f>SUM(SUMIF('Diags Raw Data'!$A$6:$A$3690,"*"&amp;$A119&amp;"*",'Diags Raw Data'!$AA$6:$AA$3690),SUMIF('Diags Raw Data'!$A$6:$A$3690,"*"&amp;$A119&amp;"*",'Diags Raw Data'!$AB$6:$AB$3690))</f>
        <v>0</v>
      </c>
      <c r="R119" s="494">
        <f t="shared" si="13"/>
        <v>0</v>
      </c>
      <c r="S119" s="494">
        <f t="shared" si="14"/>
        <v>0</v>
      </c>
      <c r="T119" s="495">
        <f t="shared" si="15"/>
        <v>0</v>
      </c>
      <c r="U119" s="436" t="str">
        <f>VLOOKUP(A119,'Diags Raw Data'!$A$6:$AH$3690,33,FALSE)</f>
        <v>WK5</v>
      </c>
      <c r="V119" s="181"/>
    </row>
    <row r="120" spans="1:22" ht="30.75" thickBot="1" x14ac:dyDescent="0.3">
      <c r="A120" s="549">
        <v>12.224</v>
      </c>
      <c r="B120" s="438" t="str">
        <f>VLOOKUP(A120,'Feature Raw Data'!$A$3:$B$3922,2,FALSE)</f>
        <v>Drop the FSR support from SC PBB implementation</v>
      </c>
      <c r="C120" s="439" t="str">
        <f>VLOOKUP(A120,'Feature Raw Data'!$A$3:$C$3922,3,FALSE)</f>
        <v>P1</v>
      </c>
      <c r="D120" s="440" t="str" cm="1">
        <f t="array" ref="D120">_xlfn.TEXTJOIN("",TRUE,IF(ISNUMBER(SEARCH($A120,'Diags Raw Data'!$A$6:$A$3690)),CONCATENATE('Diags Raw Data'!$H$6:$H$3690,", "),""))</f>
        <v/>
      </c>
      <c r="E120" s="340" t="e">
        <f>VLOOKUP(A120,'Diags Raw Data'!$A$6:$D$3690,4,FALSE)</f>
        <v>#N/A</v>
      </c>
      <c r="F120" s="340" t="str">
        <f>VLOOKUP(A120,'Feature Raw Data'!$A$3:$E$3922,5,FALSE)</f>
        <v>New</v>
      </c>
      <c r="G120" s="340" t="str">
        <f t="shared" si="6"/>
        <v>Yes</v>
      </c>
      <c r="H120" s="340" t="str">
        <f t="shared" si="7"/>
        <v>Yes</v>
      </c>
      <c r="I120" s="439">
        <f>SUMIF('Diags Raw Data'!$A$6:$A$3690,"*"&amp;$A120&amp;"*",'Diags Raw Data'!$K$6:$K$3690)</f>
        <v>0</v>
      </c>
      <c r="J120" s="441">
        <f>SUMIF('Diags Raw Data'!$A$6:$A$3690,"*"&amp;$A120&amp;"*",'Diags Raw Data'!$L$6:$L$3690)</f>
        <v>0</v>
      </c>
      <c r="K120" s="487" cm="1">
        <f t="array" ref="K120">IF(D120="",0, SUMPRODUCT(--(ISNUMBER(SEARCH($A120,'Diags Raw Data'!$A$6:$A$3690))),'Diags Raw Data'!$L$6:$L$3690,'Diags Raw Data'!$N$6:$N$3690)/J120)</f>
        <v>0</v>
      </c>
      <c r="L120" s="488" cm="1">
        <f t="array" ref="L120">IF(D120="",0, SUMPRODUCT(--(ISNUMBER(SEARCH($A120,'Diags Raw Data'!$A$6:$A$3690))),'Diags Raw Data'!$L$6:$L$3690,'Diags Raw Data'!$P$6:$P$3690)/J120)</f>
        <v>0</v>
      </c>
      <c r="M120" s="489" cm="1">
        <f t="array" ref="M120">SUMPRODUCT(--(ISNUMBER(SEARCH($A120,'Diags Raw Data'!$A$6:$A$3690))),--('Diags Raw Data'!$Q$6:$Q$3690&lt;&gt;"N/A"),'Diags Raw Data'!$R$6:$R$3690)</f>
        <v>0</v>
      </c>
      <c r="N120" s="490" cm="1">
        <f t="array" ref="N120">SUMPRODUCT(--(ISNUMBER(SEARCH($A120,'Diags Raw Data'!$A$6:$A$3690))),--('Diags Raw Data'!$Q$6:$Q$3690&lt;&gt;"N/A"),'Diags Raw Data'!$T$6:$T$3690)+SUMPRODUCT(--(ISNUMBER(SEARCH($A120,'Diags Raw Data'!$A$6:$A$3690))),--('Diags Raw Data'!$Q$6:$Q$3690&lt;&gt;"N/A"),'Diags Raw Data'!$U$6:$U$3690)</f>
        <v>0</v>
      </c>
      <c r="O120" s="491">
        <f t="shared" si="16"/>
        <v>0</v>
      </c>
      <c r="P120" s="492">
        <f>SUMIF('Diags Raw Data'!$A$6:$A$3690,"*"&amp;$A120&amp;"*",'Diags Raw Data'!$Z$6:$Z$3690)</f>
        <v>0</v>
      </c>
      <c r="Q120" s="493">
        <f>SUM(SUMIF('Diags Raw Data'!$A$6:$A$3690,"*"&amp;$A120&amp;"*",'Diags Raw Data'!$AA$6:$AA$3690),SUMIF('Diags Raw Data'!$A$6:$A$3690,"*"&amp;$A120&amp;"*",'Diags Raw Data'!$AB$6:$AB$3690))</f>
        <v>0</v>
      </c>
      <c r="R120" s="494">
        <f t="shared" si="13"/>
        <v>0</v>
      </c>
      <c r="S120" s="494">
        <f t="shared" si="14"/>
        <v>0</v>
      </c>
      <c r="T120" s="495">
        <f t="shared" si="15"/>
        <v>0</v>
      </c>
      <c r="U120" s="436" t="e">
        <f>VLOOKUP(A120,'Diags Raw Data'!$A$6:$AH$3690,33,FALSE)</f>
        <v>#N/A</v>
      </c>
      <c r="V120" s="181"/>
    </row>
    <row r="121" spans="1:22" ht="45.75" thickBot="1" x14ac:dyDescent="0.3">
      <c r="A121" s="549">
        <v>12.225</v>
      </c>
      <c r="B121" s="438" t="str">
        <f>VLOOKUP(A121,'Feature Raw Data'!$A$3:$B$3922,2,FALSE)</f>
        <v>DB design simplificaitons while updating for hybrid depth compression</v>
      </c>
      <c r="C121" s="439" t="str">
        <f>VLOOKUP(A121,'Feature Raw Data'!$A$3:$C$3922,3,FALSE)</f>
        <v>P1</v>
      </c>
      <c r="D121" s="440" t="str" cm="1">
        <f t="array" ref="D121">_xlfn.TEXTJOIN("",TRUE,IF(ISNUMBER(SEARCH($A121,'Diags Raw Data'!$A$6:$A$3690)),CONCATENATE('Diags Raw Data'!$H$6:$H$3690,", "),""))</f>
        <v xml:space="preserve">Same,to,12.164, </v>
      </c>
      <c r="E121" s="340" t="str">
        <f>VLOOKUP(A121,'Diags Raw Data'!$A$6:$D$3690,4,FALSE)</f>
        <v>PP</v>
      </c>
      <c r="F121" s="340" t="str">
        <f>VLOOKUP(A121,'Feature Raw Data'!$A$3:$E$3922,5,FALSE)</f>
        <v>New</v>
      </c>
      <c r="G121" s="340" t="str">
        <f t="shared" si="6"/>
        <v>Yes</v>
      </c>
      <c r="H121" s="340" t="str">
        <f t="shared" si="7"/>
        <v>Yes</v>
      </c>
      <c r="I121" s="439">
        <f>SUMIF('Diags Raw Data'!$A$6:$A$3690,"*"&amp;$A121&amp;"*",'Diags Raw Data'!$K$6:$K$3690)</f>
        <v>0</v>
      </c>
      <c r="J121" s="441">
        <f>SUMIF('Diags Raw Data'!$A$6:$A$3690,"*"&amp;$A121&amp;"*",'Diags Raw Data'!$L$6:$L$3690)</f>
        <v>0</v>
      </c>
      <c r="K121" s="487" t="e" cm="1">
        <f t="array" ref="K121">IF(D121="",0, SUMPRODUCT(--(ISNUMBER(SEARCH($A121,'Diags Raw Data'!$A$6:$A$3690))),'Diags Raw Data'!$L$6:$L$3690,'Diags Raw Data'!$N$6:$N$3690)/J121)</f>
        <v>#DIV/0!</v>
      </c>
      <c r="L121" s="488" t="e" cm="1">
        <f t="array" ref="L121">IF(D121="",0, SUMPRODUCT(--(ISNUMBER(SEARCH($A121,'Diags Raw Data'!$A$6:$A$3690))),'Diags Raw Data'!$L$6:$L$3690,'Diags Raw Data'!$P$6:$P$3690)/J121)</f>
        <v>#DIV/0!</v>
      </c>
      <c r="M121" s="489" cm="1">
        <f t="array" ref="M121">SUMPRODUCT(--(ISNUMBER(SEARCH($A121,'Diags Raw Data'!$A$6:$A$3690))),--('Diags Raw Data'!$Q$6:$Q$3690&lt;&gt;"N/A"),'Diags Raw Data'!$R$6:$R$3690)</f>
        <v>1</v>
      </c>
      <c r="N121" s="490" cm="1">
        <f t="array" ref="N121">SUMPRODUCT(--(ISNUMBER(SEARCH($A121,'Diags Raw Data'!$A$6:$A$3690))),--('Diags Raw Data'!$Q$6:$Q$3690&lt;&gt;"N/A"),'Diags Raw Data'!$T$6:$T$3690)+SUMPRODUCT(--(ISNUMBER(SEARCH($A121,'Diags Raw Data'!$A$6:$A$3690))),--('Diags Raw Data'!$Q$6:$Q$3690&lt;&gt;"N/A"),'Diags Raw Data'!$U$6:$U$3690)</f>
        <v>0</v>
      </c>
      <c r="O121" s="491">
        <f t="shared" si="16"/>
        <v>0</v>
      </c>
      <c r="P121" s="492">
        <f>SUMIF('Diags Raw Data'!$A$6:$A$3690,"*"&amp;$A121&amp;"*",'Diags Raw Data'!$Z$6:$Z$3690)</f>
        <v>0</v>
      </c>
      <c r="Q121" s="493">
        <f>SUM(SUMIF('Diags Raw Data'!$A$6:$A$3690,"*"&amp;$A121&amp;"*",'Diags Raw Data'!$AA$6:$AA$3690),SUMIF('Diags Raw Data'!$A$6:$A$3690,"*"&amp;$A121&amp;"*",'Diags Raw Data'!$AB$6:$AB$3690))</f>
        <v>0</v>
      </c>
      <c r="R121" s="494">
        <f t="shared" si="13"/>
        <v>0</v>
      </c>
      <c r="S121" s="494">
        <f t="shared" si="14"/>
        <v>0</v>
      </c>
      <c r="T121" s="495">
        <f t="shared" si="15"/>
        <v>0</v>
      </c>
      <c r="U121" s="436" t="str">
        <f>VLOOKUP(A121,'Diags Raw Data'!$A$6:$AH$3690,33,FALSE)</f>
        <v>WK5</v>
      </c>
      <c r="V121" s="181"/>
    </row>
    <row r="122" spans="1:22" ht="30.75" thickBot="1" x14ac:dyDescent="0.3">
      <c r="A122" s="549">
        <v>12.233000000000001</v>
      </c>
      <c r="B122" s="438" t="str">
        <f>VLOOKUP(A122,'Feature Raw Data'!$A$3:$B$3922,2,FALSE)</f>
        <v>add DRAM logging support for RLC</v>
      </c>
      <c r="C122" s="439" t="str">
        <f>VLOOKUP(A122,'Feature Raw Data'!$A$3:$C$3922,3,FALSE)</f>
        <v>P2</v>
      </c>
      <c r="D122" s="440" t="str" cm="1">
        <f t="array" ref="D122">_xlfn.TEXTJOIN("",TRUE,IF(ISNUMBER(SEARCH($A122,'Diags Raw Data'!$A$6:$A$3690)),CONCATENATE('Diags Raw Data'!$H$6:$H$3690,", "),""))</f>
        <v/>
      </c>
      <c r="E122" s="340" t="e">
        <f>VLOOKUP(A122,'Diags Raw Data'!$A$6:$D$3690,4,FALSE)</f>
        <v>#N/A</v>
      </c>
      <c r="F122" s="340" t="str">
        <f>VLOOKUP(A122,'Feature Raw Data'!$A$3:$E$3922,5,FALSE)</f>
        <v>New</v>
      </c>
      <c r="G122" s="340" t="str">
        <f t="shared" si="6"/>
        <v>Yes</v>
      </c>
      <c r="H122" s="340" t="str">
        <f t="shared" si="7"/>
        <v>Yes</v>
      </c>
      <c r="I122" s="439">
        <f>SUMIF('Diags Raw Data'!$A$6:$A$3690,"*"&amp;$A122&amp;"*",'Diags Raw Data'!$K$6:$K$3690)</f>
        <v>0</v>
      </c>
      <c r="J122" s="441">
        <f>SUMIF('Diags Raw Data'!$A$6:$A$3690,"*"&amp;$A122&amp;"*",'Diags Raw Data'!$L$6:$L$3690)</f>
        <v>0</v>
      </c>
      <c r="K122" s="487" cm="1">
        <f t="array" ref="K122">IF(D122="",0, SUMPRODUCT(--(ISNUMBER(SEARCH($A122,'Diags Raw Data'!$A$6:$A$3690))),'Diags Raw Data'!$L$6:$L$3690,'Diags Raw Data'!$N$6:$N$3690)/J122)</f>
        <v>0</v>
      </c>
      <c r="L122" s="488" cm="1">
        <f t="array" ref="L122">IF(D122="",0, SUMPRODUCT(--(ISNUMBER(SEARCH($A122,'Diags Raw Data'!$A$6:$A$3690))),'Diags Raw Data'!$L$6:$L$3690,'Diags Raw Data'!$P$6:$P$3690)/J122)</f>
        <v>0</v>
      </c>
      <c r="M122" s="489" cm="1">
        <f t="array" ref="M122">SUMPRODUCT(--(ISNUMBER(SEARCH($A122,'Diags Raw Data'!$A$6:$A$3690))),--('Diags Raw Data'!$Q$6:$Q$3690&lt;&gt;"N/A"),'Diags Raw Data'!$R$6:$R$3690)</f>
        <v>0</v>
      </c>
      <c r="N122" s="490" cm="1">
        <f t="array" ref="N122">SUMPRODUCT(--(ISNUMBER(SEARCH($A122,'Diags Raw Data'!$A$6:$A$3690))),--('Diags Raw Data'!$Q$6:$Q$3690&lt;&gt;"N/A"),'Diags Raw Data'!$T$6:$T$3690)+SUMPRODUCT(--(ISNUMBER(SEARCH($A122,'Diags Raw Data'!$A$6:$A$3690))),--('Diags Raw Data'!$Q$6:$Q$3690&lt;&gt;"N/A"),'Diags Raw Data'!$U$6:$U$3690)</f>
        <v>0</v>
      </c>
      <c r="O122" s="491">
        <f t="shared" si="16"/>
        <v>0</v>
      </c>
      <c r="P122" s="492">
        <f>SUMIF('Diags Raw Data'!$A$6:$A$3690,"*"&amp;$A122&amp;"*",'Diags Raw Data'!$Z$6:$Z$3690)</f>
        <v>0</v>
      </c>
      <c r="Q122" s="493">
        <f>SUM(SUMIF('Diags Raw Data'!$A$6:$A$3690,"*"&amp;$A122&amp;"*",'Diags Raw Data'!$AA$6:$AA$3690),SUMIF('Diags Raw Data'!$A$6:$A$3690,"*"&amp;$A122&amp;"*",'Diags Raw Data'!$AB$6:$AB$3690))</f>
        <v>0</v>
      </c>
      <c r="R122" s="494">
        <f t="shared" si="13"/>
        <v>0</v>
      </c>
      <c r="S122" s="494">
        <f t="shared" si="14"/>
        <v>0</v>
      </c>
      <c r="T122" s="495">
        <f t="shared" si="15"/>
        <v>0</v>
      </c>
      <c r="U122" s="436" t="e">
        <f>VLOOKUP(A122,'Diags Raw Data'!$A$6:$AH$3690,33,FALSE)</f>
        <v>#N/A</v>
      </c>
      <c r="V122" s="181"/>
    </row>
    <row r="123" spans="1:22" ht="30.75" thickBot="1" x14ac:dyDescent="0.3">
      <c r="A123" s="549">
        <v>12.234999999999999</v>
      </c>
      <c r="B123" s="438" t="str">
        <f>VLOOKUP(A123,'Feature Raw Data'!$A$3:$B$3922,2,FALSE)</f>
        <v>Add RLC SRM as an RLC_CH client</v>
      </c>
      <c r="C123" s="439" t="str">
        <f>VLOOKUP(A123,'Feature Raw Data'!$A$3:$C$3922,3,FALSE)</f>
        <v>P2</v>
      </c>
      <c r="D123" s="440" t="str" cm="1">
        <f t="array" ref="D123">_xlfn.TEXTJOIN("",TRUE,IF(ISNUMBER(SEARCH($A123,'Diags Raw Data'!$A$6:$A$3690)),CONCATENATE('Diags Raw Data'!$H$6:$H$3690,", "),""))</f>
        <v/>
      </c>
      <c r="E123" s="340" t="e">
        <f>VLOOKUP(A123,'Diags Raw Data'!$A$6:$D$3690,4,FALSE)</f>
        <v>#N/A</v>
      </c>
      <c r="F123" s="340" t="str">
        <f>VLOOKUP(A123,'Feature Raw Data'!$A$3:$E$3922,5,FALSE)</f>
        <v>New</v>
      </c>
      <c r="G123" s="340" t="str">
        <f t="shared" si="6"/>
        <v>Yes</v>
      </c>
      <c r="H123" s="340" t="str">
        <f t="shared" si="7"/>
        <v>Yes</v>
      </c>
      <c r="I123" s="439">
        <f>SUMIF('Diags Raw Data'!$A$6:$A$3690,"*"&amp;$A123&amp;"*",'Diags Raw Data'!$K$6:$K$3690)</f>
        <v>0</v>
      </c>
      <c r="J123" s="441">
        <f>SUMIF('Diags Raw Data'!$A$6:$A$3690,"*"&amp;$A123&amp;"*",'Diags Raw Data'!$L$6:$L$3690)</f>
        <v>0</v>
      </c>
      <c r="K123" s="487" cm="1">
        <f t="array" ref="K123">IF(D123="",0, SUMPRODUCT(--(ISNUMBER(SEARCH($A123,'Diags Raw Data'!$A$6:$A$3690))),'Diags Raw Data'!$L$6:$L$3690,'Diags Raw Data'!$N$6:$N$3690)/J123)</f>
        <v>0</v>
      </c>
      <c r="L123" s="488" cm="1">
        <f t="array" ref="L123">IF(D123="",0, SUMPRODUCT(--(ISNUMBER(SEARCH($A123,'Diags Raw Data'!$A$6:$A$3690))),'Diags Raw Data'!$L$6:$L$3690,'Diags Raw Data'!$P$6:$P$3690)/J123)</f>
        <v>0</v>
      </c>
      <c r="M123" s="489" cm="1">
        <f t="array" ref="M123">SUMPRODUCT(--(ISNUMBER(SEARCH($A123,'Diags Raw Data'!$A$6:$A$3690))),--('Diags Raw Data'!$Q$6:$Q$3690&lt;&gt;"N/A"),'Diags Raw Data'!$R$6:$R$3690)</f>
        <v>0</v>
      </c>
      <c r="N123" s="490" cm="1">
        <f t="array" ref="N123">SUMPRODUCT(--(ISNUMBER(SEARCH($A123,'Diags Raw Data'!$A$6:$A$3690))),--('Diags Raw Data'!$Q$6:$Q$3690&lt;&gt;"N/A"),'Diags Raw Data'!$T$6:$T$3690)+SUMPRODUCT(--(ISNUMBER(SEARCH($A123,'Diags Raw Data'!$A$6:$A$3690))),--('Diags Raw Data'!$Q$6:$Q$3690&lt;&gt;"N/A"),'Diags Raw Data'!$U$6:$U$3690)</f>
        <v>0</v>
      </c>
      <c r="O123" s="491">
        <f t="shared" si="16"/>
        <v>0</v>
      </c>
      <c r="P123" s="492">
        <f>SUMIF('Diags Raw Data'!$A$6:$A$3690,"*"&amp;$A123&amp;"*",'Diags Raw Data'!$Z$6:$Z$3690)</f>
        <v>0</v>
      </c>
      <c r="Q123" s="493">
        <f>SUM(SUMIF('Diags Raw Data'!$A$6:$A$3690,"*"&amp;$A123&amp;"*",'Diags Raw Data'!$AA$6:$AA$3690),SUMIF('Diags Raw Data'!$A$6:$A$3690,"*"&amp;$A123&amp;"*",'Diags Raw Data'!$AB$6:$AB$3690))</f>
        <v>0</v>
      </c>
      <c r="R123" s="494">
        <f t="shared" si="13"/>
        <v>0</v>
      </c>
      <c r="S123" s="494">
        <f t="shared" si="14"/>
        <v>0</v>
      </c>
      <c r="T123" s="495">
        <f t="shared" si="15"/>
        <v>0</v>
      </c>
      <c r="U123" s="436" t="e">
        <f>VLOOKUP(A123,'Diags Raw Data'!$A$6:$AH$3690,33,FALSE)</f>
        <v>#N/A</v>
      </c>
      <c r="V123" s="181"/>
    </row>
    <row r="124" spans="1:22" ht="30.75" thickBot="1" x14ac:dyDescent="0.3">
      <c r="A124" s="549">
        <v>12.236000000000001</v>
      </c>
      <c r="B124" s="438" t="str">
        <f>VLOOKUP(A124,'Feature Raw Data'!$A$3:$B$3922,2,FALSE)</f>
        <v>change RLC LX7 config used for power management</v>
      </c>
      <c r="C124" s="439" t="str">
        <f>VLOOKUP(A124,'Feature Raw Data'!$A$3:$C$3922,3,FALSE)</f>
        <v>P1</v>
      </c>
      <c r="D124" s="440" t="str" cm="1">
        <f t="array" ref="D124">_xlfn.TEXTJOIN("",TRUE,IF(ISNUMBER(SEARCH($A124,'Diags Raw Data'!$A$6:$A$3690)),CONCATENATE('Diags Raw Data'!$H$6:$H$3690,", "),""))</f>
        <v/>
      </c>
      <c r="E124" s="340" t="e">
        <f>VLOOKUP(A124,'Diags Raw Data'!$A$6:$D$3690,4,FALSE)</f>
        <v>#N/A</v>
      </c>
      <c r="F124" s="340" t="str">
        <f>VLOOKUP(A124,'Feature Raw Data'!$A$3:$E$3922,5,FALSE)</f>
        <v>New</v>
      </c>
      <c r="G124" s="340" t="str">
        <f t="shared" si="6"/>
        <v>Yes</v>
      </c>
      <c r="H124" s="340" t="str">
        <f t="shared" si="7"/>
        <v>Yes</v>
      </c>
      <c r="I124" s="439">
        <f>SUMIF('Diags Raw Data'!$A$6:$A$3690,"*"&amp;$A124&amp;"*",'Diags Raw Data'!$K$6:$K$3690)</f>
        <v>0</v>
      </c>
      <c r="J124" s="441">
        <f>SUMIF('Diags Raw Data'!$A$6:$A$3690,"*"&amp;$A124&amp;"*",'Diags Raw Data'!$L$6:$L$3690)</f>
        <v>0</v>
      </c>
      <c r="K124" s="487" cm="1">
        <f t="array" ref="K124">IF(D124="",0, SUMPRODUCT(--(ISNUMBER(SEARCH($A124,'Diags Raw Data'!$A$6:$A$3690))),'Diags Raw Data'!$L$6:$L$3690,'Diags Raw Data'!$N$6:$N$3690)/J124)</f>
        <v>0</v>
      </c>
      <c r="L124" s="488" cm="1">
        <f t="array" ref="L124">IF(D124="",0, SUMPRODUCT(--(ISNUMBER(SEARCH($A124,'Diags Raw Data'!$A$6:$A$3690))),'Diags Raw Data'!$L$6:$L$3690,'Diags Raw Data'!$P$6:$P$3690)/J124)</f>
        <v>0</v>
      </c>
      <c r="M124" s="489" cm="1">
        <f t="array" ref="M124">SUMPRODUCT(--(ISNUMBER(SEARCH($A124,'Diags Raw Data'!$A$6:$A$3690))),--('Diags Raw Data'!$Q$6:$Q$3690&lt;&gt;"N/A"),'Diags Raw Data'!$R$6:$R$3690)</f>
        <v>0</v>
      </c>
      <c r="N124" s="490" cm="1">
        <f t="array" ref="N124">SUMPRODUCT(--(ISNUMBER(SEARCH($A124,'Diags Raw Data'!$A$6:$A$3690))),--('Diags Raw Data'!$Q$6:$Q$3690&lt;&gt;"N/A"),'Diags Raw Data'!$T$6:$T$3690)+SUMPRODUCT(--(ISNUMBER(SEARCH($A124,'Diags Raw Data'!$A$6:$A$3690))),--('Diags Raw Data'!$Q$6:$Q$3690&lt;&gt;"N/A"),'Diags Raw Data'!$U$6:$U$3690)</f>
        <v>0</v>
      </c>
      <c r="O124" s="491">
        <f t="shared" si="16"/>
        <v>0</v>
      </c>
      <c r="P124" s="492">
        <f>SUMIF('Diags Raw Data'!$A$6:$A$3690,"*"&amp;$A124&amp;"*",'Diags Raw Data'!$Z$6:$Z$3690)</f>
        <v>0</v>
      </c>
      <c r="Q124" s="493">
        <f>SUM(SUMIF('Diags Raw Data'!$A$6:$A$3690,"*"&amp;$A124&amp;"*",'Diags Raw Data'!$AA$6:$AA$3690),SUMIF('Diags Raw Data'!$A$6:$A$3690,"*"&amp;$A124&amp;"*",'Diags Raw Data'!$AB$6:$AB$3690))</f>
        <v>0</v>
      </c>
      <c r="R124" s="494">
        <f t="shared" si="13"/>
        <v>0</v>
      </c>
      <c r="S124" s="494">
        <f t="shared" si="14"/>
        <v>0</v>
      </c>
      <c r="T124" s="495">
        <f t="shared" si="15"/>
        <v>0</v>
      </c>
      <c r="U124" s="436" t="e">
        <f>VLOOKUP(A124,'Diags Raw Data'!$A$6:$AH$3690,33,FALSE)</f>
        <v>#N/A</v>
      </c>
      <c r="V124" s="181"/>
    </row>
    <row r="125" spans="1:22" ht="30.75" thickBot="1" x14ac:dyDescent="0.3">
      <c r="A125" s="549">
        <v>12.239000000000001</v>
      </c>
      <c r="B125" s="438" t="str">
        <f>VLOOKUP(A125,'Feature Raw Data'!$A$3:$B$3922,2,FALSE)</f>
        <v>increase adaptive stretch response of GDFLL</v>
      </c>
      <c r="C125" s="439" t="str">
        <f>VLOOKUP(A125,'Feature Raw Data'!$A$3:$C$3922,3,FALSE)</f>
        <v>P2</v>
      </c>
      <c r="D125" s="440" t="str" cm="1">
        <f t="array" ref="D125">_xlfn.TEXTJOIN("",TRUE,IF(ISNUMBER(SEARCH($A125,'Diags Raw Data'!$A$6:$A$3690)),CONCATENATE('Diags Raw Data'!$H$6:$H$3690,", "),""))</f>
        <v/>
      </c>
      <c r="E125" s="340" t="e">
        <f>VLOOKUP(A125,'Diags Raw Data'!$A$6:$D$3690,4,FALSE)</f>
        <v>#N/A</v>
      </c>
      <c r="F125" s="340" t="str">
        <f>VLOOKUP(A125,'Feature Raw Data'!$A$3:$E$3922,5,FALSE)</f>
        <v>New</v>
      </c>
      <c r="G125" s="340" t="str">
        <f t="shared" si="6"/>
        <v>Yes</v>
      </c>
      <c r="H125" s="340" t="str">
        <f t="shared" si="7"/>
        <v>Yes</v>
      </c>
      <c r="I125" s="439">
        <f>SUMIF('Diags Raw Data'!$A$6:$A$3690,"*"&amp;$A125&amp;"*",'Diags Raw Data'!$K$6:$K$3690)</f>
        <v>0</v>
      </c>
      <c r="J125" s="441">
        <f>SUMIF('Diags Raw Data'!$A$6:$A$3690,"*"&amp;$A125&amp;"*",'Diags Raw Data'!$L$6:$L$3690)</f>
        <v>0</v>
      </c>
      <c r="K125" s="487" cm="1">
        <f t="array" ref="K125">IF(D125="",0, SUMPRODUCT(--(ISNUMBER(SEARCH($A125,'Diags Raw Data'!$A$6:$A$3690))),'Diags Raw Data'!$L$6:$L$3690,'Diags Raw Data'!$N$6:$N$3690)/J125)</f>
        <v>0</v>
      </c>
      <c r="L125" s="488" cm="1">
        <f t="array" ref="L125">IF(D125="",0, SUMPRODUCT(--(ISNUMBER(SEARCH($A125,'Diags Raw Data'!$A$6:$A$3690))),'Diags Raw Data'!$L$6:$L$3690,'Diags Raw Data'!$P$6:$P$3690)/J125)</f>
        <v>0</v>
      </c>
      <c r="M125" s="489" cm="1">
        <f t="array" ref="M125">SUMPRODUCT(--(ISNUMBER(SEARCH($A125,'Diags Raw Data'!$A$6:$A$3690))),--('Diags Raw Data'!$Q$6:$Q$3690&lt;&gt;"N/A"),'Diags Raw Data'!$R$6:$R$3690)</f>
        <v>0</v>
      </c>
      <c r="N125" s="490" cm="1">
        <f t="array" ref="N125">SUMPRODUCT(--(ISNUMBER(SEARCH($A125,'Diags Raw Data'!$A$6:$A$3690))),--('Diags Raw Data'!$Q$6:$Q$3690&lt;&gt;"N/A"),'Diags Raw Data'!$T$6:$T$3690)+SUMPRODUCT(--(ISNUMBER(SEARCH($A125,'Diags Raw Data'!$A$6:$A$3690))),--('Diags Raw Data'!$Q$6:$Q$3690&lt;&gt;"N/A"),'Diags Raw Data'!$U$6:$U$3690)</f>
        <v>0</v>
      </c>
      <c r="O125" s="491">
        <f t="shared" si="16"/>
        <v>0</v>
      </c>
      <c r="P125" s="492">
        <f>SUMIF('Diags Raw Data'!$A$6:$A$3690,"*"&amp;$A125&amp;"*",'Diags Raw Data'!$Z$6:$Z$3690)</f>
        <v>0</v>
      </c>
      <c r="Q125" s="493">
        <f>SUM(SUMIF('Diags Raw Data'!$A$6:$A$3690,"*"&amp;$A125&amp;"*",'Diags Raw Data'!$AA$6:$AA$3690),SUMIF('Diags Raw Data'!$A$6:$A$3690,"*"&amp;$A125&amp;"*",'Diags Raw Data'!$AB$6:$AB$3690))</f>
        <v>0</v>
      </c>
      <c r="R125" s="494">
        <f t="shared" si="13"/>
        <v>0</v>
      </c>
      <c r="S125" s="494">
        <f t="shared" si="14"/>
        <v>0</v>
      </c>
      <c r="T125" s="495">
        <f t="shared" si="15"/>
        <v>0</v>
      </c>
      <c r="U125" s="436" t="e">
        <f>VLOOKUP(A125,'Diags Raw Data'!$A$6:$AH$3690,33,FALSE)</f>
        <v>#N/A</v>
      </c>
      <c r="V125" s="181"/>
    </row>
    <row r="126" spans="1:22" ht="30.75" thickBot="1" x14ac:dyDescent="0.3">
      <c r="A126" s="549">
        <v>12.247</v>
      </c>
      <c r="B126" s="438" t="str">
        <f>VLOOKUP(A126,'Feature Raw Data'!$A$3:$B$3922,2,FALSE)</f>
        <v>Register remap to match M1</v>
      </c>
      <c r="C126" s="439" t="str">
        <f>VLOOKUP(A126,'Feature Raw Data'!$A$3:$C$3922,3,FALSE)</f>
        <v>P1</v>
      </c>
      <c r="D126" s="440" t="str" cm="1">
        <f t="array" ref="D126">_xlfn.TEXTJOIN("",TRUE,IF(ISNUMBER(SEARCH($A126,'Diags Raw Data'!$A$6:$A$3690)),CONCATENATE('Diags Raw Data'!$H$6:$H$3690,", "),""))</f>
        <v xml:space="preserve">food_store,mountain_range,navi48.gfx.ge.register_access, </v>
      </c>
      <c r="E126" s="340" t="str">
        <f>VLOOKUP(A126,'Diags Raw Data'!$A$6:$D$3690,4,FALSE)</f>
        <v>GEO</v>
      </c>
      <c r="F126" s="340" t="str">
        <f>VLOOKUP(A126,'Feature Raw Data'!$A$3:$E$3922,5,FALSE)</f>
        <v>New</v>
      </c>
      <c r="G126" s="340" t="str">
        <f t="shared" ref="G126:G189" si="17">IF(D126="N/A, ","No","Yes")</f>
        <v>Yes</v>
      </c>
      <c r="H126" s="340" t="str">
        <f t="shared" si="7"/>
        <v>Yes</v>
      </c>
      <c r="I126" s="439">
        <f>SUMIF('Diags Raw Data'!$A$6:$A$3690,"*"&amp;$A126&amp;"*",'Diags Raw Data'!$K$6:$K$3690)</f>
        <v>0</v>
      </c>
      <c r="J126" s="441">
        <f>SUMIF('Diags Raw Data'!$A$6:$A$3690,"*"&amp;$A126&amp;"*",'Diags Raw Data'!$L$6:$L$3690)</f>
        <v>0</v>
      </c>
      <c r="K126" s="487" t="e" cm="1">
        <f t="array" ref="K126">IF(D126="",0, SUMPRODUCT(--(ISNUMBER(SEARCH($A126,'Diags Raw Data'!$A$6:$A$3690))),'Diags Raw Data'!$L$6:$L$3690,'Diags Raw Data'!$N$6:$N$3690)/J126)</f>
        <v>#DIV/0!</v>
      </c>
      <c r="L126" s="488" t="e" cm="1">
        <f t="array" ref="L126">IF(D126="",0, SUMPRODUCT(--(ISNUMBER(SEARCH($A126,'Diags Raw Data'!$A$6:$A$3690))),'Diags Raw Data'!$L$6:$L$3690,'Diags Raw Data'!$P$6:$P$3690)/J126)</f>
        <v>#DIV/0!</v>
      </c>
      <c r="M126" s="489" cm="1">
        <f t="array" ref="M126">SUMPRODUCT(--(ISNUMBER(SEARCH($A126,'Diags Raw Data'!$A$6:$A$3690))),--('Diags Raw Data'!$Q$6:$Q$3690&lt;&gt;"N/A"),'Diags Raw Data'!$R$6:$R$3690)</f>
        <v>1</v>
      </c>
      <c r="N126" s="490" cm="1">
        <f t="array" ref="N126">SUMPRODUCT(--(ISNUMBER(SEARCH($A126,'Diags Raw Data'!$A$6:$A$3690))),--('Diags Raw Data'!$Q$6:$Q$3690&lt;&gt;"N/A"),'Diags Raw Data'!$T$6:$T$3690)+SUMPRODUCT(--(ISNUMBER(SEARCH($A126,'Diags Raw Data'!$A$6:$A$3690))),--('Diags Raw Data'!$Q$6:$Q$3690&lt;&gt;"N/A"),'Diags Raw Data'!$U$6:$U$3690)</f>
        <v>1</v>
      </c>
      <c r="O126" s="491">
        <f t="shared" si="16"/>
        <v>1</v>
      </c>
      <c r="P126" s="492">
        <f>SUMIF('Diags Raw Data'!$A$6:$A$3690,"*"&amp;$A126&amp;"*",'Diags Raw Data'!$Z$6:$Z$3690)</f>
        <v>0</v>
      </c>
      <c r="Q126" s="493">
        <f>SUM(SUMIF('Diags Raw Data'!$A$6:$A$3690,"*"&amp;$A126&amp;"*",'Diags Raw Data'!$AA$6:$AA$3690),SUMIF('Diags Raw Data'!$A$6:$A$3690,"*"&amp;$A126&amp;"*",'Diags Raw Data'!$AB$6:$AB$3690))</f>
        <v>0</v>
      </c>
      <c r="R126" s="494">
        <f t="shared" si="13"/>
        <v>0</v>
      </c>
      <c r="S126" s="494">
        <f t="shared" si="14"/>
        <v>0</v>
      </c>
      <c r="T126" s="495">
        <f t="shared" si="15"/>
        <v>0</v>
      </c>
      <c r="U126" s="436" t="str">
        <f>VLOOKUP(A126,'Diags Raw Data'!$A$6:$AH$3690,33,FALSE)</f>
        <v>WK4</v>
      </c>
      <c r="V126" s="181"/>
    </row>
    <row r="127" spans="1:22" ht="45.75" thickBot="1" x14ac:dyDescent="0.3">
      <c r="A127" s="549">
        <v>12.253</v>
      </c>
      <c r="B127" s="438" t="str">
        <f>VLOOKUP(A127,'Feature Raw Data'!$A$3:$B$3922,2,FALSE)</f>
        <v>GFX12 IMU - Remove CPAXI and send doorbells directly to CP/RLC/SDMA</v>
      </c>
      <c r="C127" s="439" t="str">
        <f>VLOOKUP(A127,'Feature Raw Data'!$A$3:$C$3922,3,FALSE)</f>
        <v>P1</v>
      </c>
      <c r="D127" s="440" t="str" cm="1">
        <f t="array" ref="D127">_xlfn.TEXTJOIN("",TRUE,IF(ISNUMBER(SEARCH($A127,'Diags Raw Data'!$A$6:$A$3690)),CONCATENATE('Diags Raw Data'!$H$6:$H$3690,", "),""))</f>
        <v/>
      </c>
      <c r="E127" s="340" t="e">
        <f>VLOOKUP(A127,'Diags Raw Data'!$A$6:$D$3690,4,FALSE)</f>
        <v>#N/A</v>
      </c>
      <c r="F127" s="340" t="str">
        <f>VLOOKUP(A127,'Feature Raw Data'!$A$3:$E$3922,5,FALSE)</f>
        <v>New</v>
      </c>
      <c r="G127" s="340" t="str">
        <f t="shared" si="17"/>
        <v>Yes</v>
      </c>
      <c r="H127" s="340" t="str">
        <f t="shared" si="7"/>
        <v>Yes</v>
      </c>
      <c r="I127" s="439">
        <f>SUMIF('Diags Raw Data'!$A$6:$A$3690,"*"&amp;$A127&amp;"*",'Diags Raw Data'!$K$6:$K$3690)</f>
        <v>0</v>
      </c>
      <c r="J127" s="441">
        <f>SUMIF('Diags Raw Data'!$A$6:$A$3690,"*"&amp;$A127&amp;"*",'Diags Raw Data'!$L$6:$L$3690)</f>
        <v>0</v>
      </c>
      <c r="K127" s="487" cm="1">
        <f t="array" ref="K127">IF(D127="",0, SUMPRODUCT(--(ISNUMBER(SEARCH($A127,'Diags Raw Data'!$A$6:$A$3690))),'Diags Raw Data'!$L$6:$L$3690,'Diags Raw Data'!$N$6:$N$3690)/J127)</f>
        <v>0</v>
      </c>
      <c r="L127" s="488" cm="1">
        <f t="array" ref="L127">IF(D127="",0, SUMPRODUCT(--(ISNUMBER(SEARCH($A127,'Diags Raw Data'!$A$6:$A$3690))),'Diags Raw Data'!$L$6:$L$3690,'Diags Raw Data'!$P$6:$P$3690)/J127)</f>
        <v>0</v>
      </c>
      <c r="M127" s="489" cm="1">
        <f t="array" ref="M127">SUMPRODUCT(--(ISNUMBER(SEARCH($A127,'Diags Raw Data'!$A$6:$A$3690))),--('Diags Raw Data'!$Q$6:$Q$3690&lt;&gt;"N/A"),'Diags Raw Data'!$R$6:$R$3690)</f>
        <v>0</v>
      </c>
      <c r="N127" s="490" cm="1">
        <f t="array" ref="N127">SUMPRODUCT(--(ISNUMBER(SEARCH($A127,'Diags Raw Data'!$A$6:$A$3690))),--('Diags Raw Data'!$Q$6:$Q$3690&lt;&gt;"N/A"),'Diags Raw Data'!$T$6:$T$3690)+SUMPRODUCT(--(ISNUMBER(SEARCH($A127,'Diags Raw Data'!$A$6:$A$3690))),--('Diags Raw Data'!$Q$6:$Q$3690&lt;&gt;"N/A"),'Diags Raw Data'!$U$6:$U$3690)</f>
        <v>0</v>
      </c>
      <c r="O127" s="491">
        <f t="shared" si="16"/>
        <v>0</v>
      </c>
      <c r="P127" s="492">
        <f>SUMIF('Diags Raw Data'!$A$6:$A$3690,"*"&amp;$A127&amp;"*",'Diags Raw Data'!$Z$6:$Z$3690)</f>
        <v>0</v>
      </c>
      <c r="Q127" s="493">
        <f>SUM(SUMIF('Diags Raw Data'!$A$6:$A$3690,"*"&amp;$A127&amp;"*",'Diags Raw Data'!$AA$6:$AA$3690),SUMIF('Diags Raw Data'!$A$6:$A$3690,"*"&amp;$A127&amp;"*",'Diags Raw Data'!$AB$6:$AB$3690))</f>
        <v>0</v>
      </c>
      <c r="R127" s="494">
        <f t="shared" si="13"/>
        <v>0</v>
      </c>
      <c r="S127" s="494">
        <f t="shared" si="14"/>
        <v>0</v>
      </c>
      <c r="T127" s="495">
        <f t="shared" si="15"/>
        <v>0</v>
      </c>
      <c r="U127" s="436" t="e">
        <f>VLOOKUP(A127,'Diags Raw Data'!$A$6:$AH$3690,33,FALSE)</f>
        <v>#N/A</v>
      </c>
      <c r="V127" s="181"/>
    </row>
    <row r="128" spans="1:22" ht="30.75" thickBot="1" x14ac:dyDescent="0.3">
      <c r="A128" s="549">
        <v>12.255000000000001</v>
      </c>
      <c r="B128" s="438" t="str">
        <f>VLOOKUP(A128,'Feature Raw Data'!$A$3:$B$3922,2,FALSE)</f>
        <v>GFX12 IMU - Modify doorbell interface from Syshub to IMU</v>
      </c>
      <c r="C128" s="439" t="str">
        <f>VLOOKUP(A128,'Feature Raw Data'!$A$3:$C$3922,3,FALSE)</f>
        <v>P1</v>
      </c>
      <c r="D128" s="440" t="str" cm="1">
        <f t="array" ref="D128">_xlfn.TEXTJOIN("",TRUE,IF(ISNUMBER(SEARCH($A128,'Diags Raw Data'!$A$6:$A$3690)),CONCATENATE('Diags Raw Data'!$H$6:$H$3690,", "),""))</f>
        <v/>
      </c>
      <c r="E128" s="340" t="e">
        <f>VLOOKUP(A128,'Diags Raw Data'!$A$6:$D$3690,4,FALSE)</f>
        <v>#N/A</v>
      </c>
      <c r="F128" s="340" t="str">
        <f>VLOOKUP(A128,'Feature Raw Data'!$A$3:$E$3922,5,FALSE)</f>
        <v>New</v>
      </c>
      <c r="G128" s="340" t="str">
        <f t="shared" si="17"/>
        <v>Yes</v>
      </c>
      <c r="H128" s="340" t="str">
        <f t="shared" ref="H128:H191" si="18">IF(D128="N/A, ","No","Yes")</f>
        <v>Yes</v>
      </c>
      <c r="I128" s="439">
        <f>SUMIF('Diags Raw Data'!$A$6:$A$3690,"*"&amp;$A128&amp;"*",'Diags Raw Data'!$K$6:$K$3690)</f>
        <v>0</v>
      </c>
      <c r="J128" s="441">
        <f>SUMIF('Diags Raw Data'!$A$6:$A$3690,"*"&amp;$A128&amp;"*",'Diags Raw Data'!$L$6:$L$3690)</f>
        <v>0</v>
      </c>
      <c r="K128" s="487" cm="1">
        <f t="array" ref="K128">IF(D128="",0, SUMPRODUCT(--(ISNUMBER(SEARCH($A128,'Diags Raw Data'!$A$6:$A$3690))),'Diags Raw Data'!$L$6:$L$3690,'Diags Raw Data'!$N$6:$N$3690)/J128)</f>
        <v>0</v>
      </c>
      <c r="L128" s="488" cm="1">
        <f t="array" ref="L128">IF(D128="",0, SUMPRODUCT(--(ISNUMBER(SEARCH($A128,'Diags Raw Data'!$A$6:$A$3690))),'Diags Raw Data'!$L$6:$L$3690,'Diags Raw Data'!$P$6:$P$3690)/J128)</f>
        <v>0</v>
      </c>
      <c r="M128" s="489" cm="1">
        <f t="array" ref="M128">SUMPRODUCT(--(ISNUMBER(SEARCH($A128,'Diags Raw Data'!$A$6:$A$3690))),--('Diags Raw Data'!$Q$6:$Q$3690&lt;&gt;"N/A"),'Diags Raw Data'!$R$6:$R$3690)</f>
        <v>0</v>
      </c>
      <c r="N128" s="490" cm="1">
        <f t="array" ref="N128">SUMPRODUCT(--(ISNUMBER(SEARCH($A128,'Diags Raw Data'!$A$6:$A$3690))),--('Diags Raw Data'!$Q$6:$Q$3690&lt;&gt;"N/A"),'Diags Raw Data'!$T$6:$T$3690)+SUMPRODUCT(--(ISNUMBER(SEARCH($A128,'Diags Raw Data'!$A$6:$A$3690))),--('Diags Raw Data'!$Q$6:$Q$3690&lt;&gt;"N/A"),'Diags Raw Data'!$U$6:$U$3690)</f>
        <v>0</v>
      </c>
      <c r="O128" s="491">
        <f>IF((M128=0),0,N128/M128)</f>
        <v>0</v>
      </c>
      <c r="P128" s="492">
        <f>SUMIF('Diags Raw Data'!$A$6:$A$3690,"*"&amp;$A128&amp;"*",'Diags Raw Data'!$Z$6:$Z$3690)</f>
        <v>0</v>
      </c>
      <c r="Q128" s="493">
        <f>SUM(SUMIF('Diags Raw Data'!$A$6:$A$3690,"*"&amp;$A128&amp;"*",'Diags Raw Data'!$AA$6:$AA$3690),SUMIF('Diags Raw Data'!$A$6:$A$3690,"*"&amp;$A128&amp;"*",'Diags Raw Data'!$AB$6:$AB$3690))</f>
        <v>0</v>
      </c>
      <c r="R128" s="494">
        <f>IF((J128=0),0,P128/J128)</f>
        <v>0</v>
      </c>
      <c r="S128" s="494">
        <f>IF((P128=0),0,Q128/P128)</f>
        <v>0</v>
      </c>
      <c r="T128" s="495">
        <f>R128*S128</f>
        <v>0</v>
      </c>
      <c r="U128" s="436" t="e">
        <f>VLOOKUP(A128,'Diags Raw Data'!$A$6:$AH$3690,33,FALSE)</f>
        <v>#N/A</v>
      </c>
      <c r="V128" s="181"/>
    </row>
    <row r="129" spans="1:22" ht="30.75" thickBot="1" x14ac:dyDescent="0.3">
      <c r="A129" s="549">
        <v>12.263</v>
      </c>
      <c r="B129" s="438" t="str">
        <f>VLOOKUP(A129,'Feature Raw Data'!$A$3:$B$3922,2,FALSE)</f>
        <v>GFX12 IMU - Add Resets and idle sidebands</v>
      </c>
      <c r="C129" s="439" t="str">
        <f>VLOOKUP(A129,'Feature Raw Data'!$A$3:$C$3922,3,FALSE)</f>
        <v>P1</v>
      </c>
      <c r="D129" s="440" t="str" cm="1">
        <f t="array" ref="D129">_xlfn.TEXTJOIN("",TRUE,IF(ISNUMBER(SEARCH($A129,'Diags Raw Data'!$A$6:$A$3690)),CONCATENATE('Diags Raw Data'!$H$6:$H$3690,", "),""))</f>
        <v/>
      </c>
      <c r="E129" s="340" t="e">
        <f>VLOOKUP(A129,'Diags Raw Data'!$A$6:$D$3690,4,FALSE)</f>
        <v>#N/A</v>
      </c>
      <c r="F129" s="340" t="str">
        <f>VLOOKUP(A129,'Feature Raw Data'!$A$3:$E$3922,5,FALSE)</f>
        <v>New</v>
      </c>
      <c r="G129" s="340" t="str">
        <f t="shared" si="17"/>
        <v>Yes</v>
      </c>
      <c r="H129" s="340" t="str">
        <f t="shared" si="18"/>
        <v>Yes</v>
      </c>
      <c r="I129" s="439">
        <f>SUMIF('Diags Raw Data'!$A$6:$A$3690,"*"&amp;$A129&amp;"*",'Diags Raw Data'!$K$6:$K$3690)</f>
        <v>0</v>
      </c>
      <c r="J129" s="441">
        <f>SUMIF('Diags Raw Data'!$A$6:$A$3690,"*"&amp;$A129&amp;"*",'Diags Raw Data'!$L$6:$L$3690)</f>
        <v>0</v>
      </c>
      <c r="K129" s="487" cm="1">
        <f t="array" ref="K129">IF(D129="",0, SUMPRODUCT(--(ISNUMBER(SEARCH($A129,'Diags Raw Data'!$A$6:$A$3690))),'Diags Raw Data'!$L$6:$L$3690,'Diags Raw Data'!$N$6:$N$3690)/J129)</f>
        <v>0</v>
      </c>
      <c r="L129" s="488" cm="1">
        <f t="array" ref="L129">IF(D129="",0, SUMPRODUCT(--(ISNUMBER(SEARCH($A129,'Diags Raw Data'!$A$6:$A$3690))),'Diags Raw Data'!$L$6:$L$3690,'Diags Raw Data'!$P$6:$P$3690)/J129)</f>
        <v>0</v>
      </c>
      <c r="M129" s="489" cm="1">
        <f t="array" ref="M129">SUMPRODUCT(--(ISNUMBER(SEARCH($A129,'Diags Raw Data'!$A$6:$A$3690))),--('Diags Raw Data'!$Q$6:$Q$3690&lt;&gt;"N/A"),'Diags Raw Data'!$R$6:$R$3690)</f>
        <v>0</v>
      </c>
      <c r="N129" s="490" cm="1">
        <f t="array" ref="N129">SUMPRODUCT(--(ISNUMBER(SEARCH($A129,'Diags Raw Data'!$A$6:$A$3690))),--('Diags Raw Data'!$Q$6:$Q$3690&lt;&gt;"N/A"),'Diags Raw Data'!$T$6:$T$3690)+SUMPRODUCT(--(ISNUMBER(SEARCH($A129,'Diags Raw Data'!$A$6:$A$3690))),--('Diags Raw Data'!$Q$6:$Q$3690&lt;&gt;"N/A"),'Diags Raw Data'!$U$6:$U$3690)</f>
        <v>0</v>
      </c>
      <c r="O129" s="491">
        <f t="shared" ref="O129:O187" si="19">IF((M129=0),0,N129/M129)</f>
        <v>0</v>
      </c>
      <c r="P129" s="492">
        <f>SUMIF('Diags Raw Data'!$A$6:$A$3690,"*"&amp;$A129&amp;"*",'Diags Raw Data'!$Z$6:$Z$3690)</f>
        <v>0</v>
      </c>
      <c r="Q129" s="493">
        <f>SUM(SUMIF('Diags Raw Data'!$A$6:$A$3690,"*"&amp;$A129&amp;"*",'Diags Raw Data'!$AA$6:$AA$3690),SUMIF('Diags Raw Data'!$A$6:$A$3690,"*"&amp;$A129&amp;"*",'Diags Raw Data'!$AB$6:$AB$3690))</f>
        <v>0</v>
      </c>
      <c r="R129" s="494">
        <f t="shared" ref="R129:R187" si="20">IF((J129=0),0,P129/J129)</f>
        <v>0</v>
      </c>
      <c r="S129" s="494">
        <f t="shared" ref="S129:S187" si="21">IF((P129=0),0,Q129/P129)</f>
        <v>0</v>
      </c>
      <c r="T129" s="495">
        <f t="shared" ref="T129:T187" si="22">R129*S129</f>
        <v>0</v>
      </c>
      <c r="U129" s="436" t="e">
        <f>VLOOKUP(A129,'Diags Raw Data'!$A$6:$AH$3690,33,FALSE)</f>
        <v>#N/A</v>
      </c>
      <c r="V129" s="181"/>
    </row>
    <row r="130" spans="1:22" ht="30.75" thickBot="1" x14ac:dyDescent="0.3">
      <c r="A130" s="549">
        <v>12.266</v>
      </c>
      <c r="B130" s="438" t="str">
        <f>VLOOKUP(A130,'Feature Raw Data'!$A$3:$B$3922,2,FALSE)</f>
        <v>GFX12 Firewall update for 40 bit address</v>
      </c>
      <c r="C130" s="439" t="str">
        <f>VLOOKUP(A130,'Feature Raw Data'!$A$3:$C$3922,3,FALSE)</f>
        <v>P1</v>
      </c>
      <c r="D130" s="440" t="str" cm="1">
        <f t="array" ref="D130">_xlfn.TEXTJOIN("",TRUE,IF(ISNUMBER(SEARCH($A130,'Diags Raw Data'!$A$6:$A$3690)),CONCATENATE('Diags Raw Data'!$H$6:$H$3690,", "),""))</f>
        <v xml:space="preserve">rlci9.1,::,rlc_firewall_40bit_address,rlci10.1,::,cp_firewall_40bit_address, </v>
      </c>
      <c r="E130" s="340" t="str">
        <f>VLOOKUP(A130,'Diags Raw Data'!$A$6:$D$3690,4,FALSE)</f>
        <v>CTL</v>
      </c>
      <c r="F130" s="340" t="str">
        <f>VLOOKUP(A130,'Feature Raw Data'!$A$3:$E$3922,5,FALSE)</f>
        <v>New</v>
      </c>
      <c r="G130" s="340" t="str">
        <f t="shared" si="17"/>
        <v>Yes</v>
      </c>
      <c r="H130" s="340" t="str">
        <f t="shared" si="18"/>
        <v>Yes</v>
      </c>
      <c r="I130" s="439">
        <f>SUMIF('Diags Raw Data'!$A$6:$A$3690,"*"&amp;$A130&amp;"*",'Diags Raw Data'!$K$6:$K$3690)</f>
        <v>0</v>
      </c>
      <c r="J130" s="441">
        <f>SUMIF('Diags Raw Data'!$A$6:$A$3690,"*"&amp;$A130&amp;"*",'Diags Raw Data'!$L$6:$L$3690)</f>
        <v>0</v>
      </c>
      <c r="K130" s="487" t="e" cm="1">
        <f t="array" ref="K130">IF(D130="",0, SUMPRODUCT(--(ISNUMBER(SEARCH($A130,'Diags Raw Data'!$A$6:$A$3690))),'Diags Raw Data'!$L$6:$L$3690,'Diags Raw Data'!$N$6:$N$3690)/J130)</f>
        <v>#DIV/0!</v>
      </c>
      <c r="L130" s="488" t="e" cm="1">
        <f t="array" ref="L130">IF(D130="",0, SUMPRODUCT(--(ISNUMBER(SEARCH($A130,'Diags Raw Data'!$A$6:$A$3690))),'Diags Raw Data'!$L$6:$L$3690,'Diags Raw Data'!$P$6:$P$3690)/J130)</f>
        <v>#DIV/0!</v>
      </c>
      <c r="M130" s="489" cm="1">
        <f t="array" ref="M130">SUMPRODUCT(--(ISNUMBER(SEARCH($A130,'Diags Raw Data'!$A$6:$A$3690))),--('Diags Raw Data'!$Q$6:$Q$3690&lt;&gt;"N/A"),'Diags Raw Data'!$R$6:$R$3690)</f>
        <v>1</v>
      </c>
      <c r="N130" s="490" cm="1">
        <f t="array" ref="N130">SUMPRODUCT(--(ISNUMBER(SEARCH($A130,'Diags Raw Data'!$A$6:$A$3690))),--('Diags Raw Data'!$Q$6:$Q$3690&lt;&gt;"N/A"),'Diags Raw Data'!$T$6:$T$3690)+SUMPRODUCT(--(ISNUMBER(SEARCH($A130,'Diags Raw Data'!$A$6:$A$3690))),--('Diags Raw Data'!$Q$6:$Q$3690&lt;&gt;"N/A"),'Diags Raw Data'!$U$6:$U$3690)</f>
        <v>0</v>
      </c>
      <c r="O130" s="491">
        <f t="shared" si="19"/>
        <v>0</v>
      </c>
      <c r="P130" s="492">
        <f>SUMIF('Diags Raw Data'!$A$6:$A$3690,"*"&amp;$A130&amp;"*",'Diags Raw Data'!$Z$6:$Z$3690)</f>
        <v>0</v>
      </c>
      <c r="Q130" s="493">
        <f>SUM(SUMIF('Diags Raw Data'!$A$6:$A$3690,"*"&amp;$A130&amp;"*",'Diags Raw Data'!$AA$6:$AA$3690),SUMIF('Diags Raw Data'!$A$6:$A$3690,"*"&amp;$A130&amp;"*",'Diags Raw Data'!$AB$6:$AB$3690))</f>
        <v>0</v>
      </c>
      <c r="R130" s="494">
        <f t="shared" si="20"/>
        <v>0</v>
      </c>
      <c r="S130" s="494">
        <f t="shared" si="21"/>
        <v>0</v>
      </c>
      <c r="T130" s="495">
        <f t="shared" si="22"/>
        <v>0</v>
      </c>
      <c r="U130" s="436" t="str">
        <f>VLOOKUP(A130,'Diags Raw Data'!$A$6:$AH$3690,33,FALSE)</f>
        <v>WK4</v>
      </c>
      <c r="V130" s="181"/>
    </row>
    <row r="131" spans="1:22" ht="210.75" thickBot="1" x14ac:dyDescent="0.3">
      <c r="A131" s="549">
        <v>12.27</v>
      </c>
      <c r="B131" s="438" t="str">
        <f>VLOOKUP(A131,'Feature Raw Data'!$A$3:$B$3922,2,FALSE)</f>
        <v>Work Graph Scheduler</v>
      </c>
      <c r="C131" s="439" t="str">
        <f>VLOOKUP(A131,'Feature Raw Data'!$A$3:$C$3922,3,FALSE)</f>
        <v>P1</v>
      </c>
      <c r="D131" s="440" t="str" cm="1">
        <f t="array" ref="D131">_xlfn.TEXTJOIN("",TRUE,IF(ISNUMBER(SEARCH($A131,'Diags Raw Data'!$A$6:$A$3690)),CONCATENATE('Diags Raw Data'!$H$6:$H$3690,", "),""))</f>
        <v xml:space="preserve">wgs.6,::,wgs_dispatch_sanity_pm4_01,wgs.8,::,wgs_dispatch_two_pipes_pm4_01,wgs.1,::,wgs_ace_cwsr_pm4_01,wgs.100,::,wgs_dispatch_sanity_tacl_01,wgs.12,::,wgs_gl1_ret_xnack_pm4_01,gci30.3,::linpack_wgs,wgs_interrrupt_tacl,gci22.11,::,shader_memory_copy, gci820.0, gfx.inst_perf/flat_atomic_cond_sub_u32_global,gfx.inst_perf/flat_atomic_sub_clamp_u32_global,gfx.inst_perf/ds_cond_sub_rtn_u32,gfx.inst_perf/ds_sub_clamp_rtn_u32,gci1307.0-3, glxi60.7, </v>
      </c>
      <c r="E131" s="340" t="str">
        <f>VLOOKUP(A131,'Diags Raw Data'!$A$6:$D$3690,4,FALSE)</f>
        <v>CTL</v>
      </c>
      <c r="F131" s="340" t="str">
        <f>VLOOKUP(A131,'Feature Raw Data'!$A$3:$E$3922,5,FALSE)</f>
        <v>New</v>
      </c>
      <c r="G131" s="340" t="str">
        <f t="shared" si="17"/>
        <v>Yes</v>
      </c>
      <c r="H131" s="340" t="str">
        <f t="shared" si="18"/>
        <v>Yes</v>
      </c>
      <c r="I131" s="439">
        <f>SUMIF('Diags Raw Data'!$A$6:$A$3690,"*"&amp;$A131&amp;"*",'Diags Raw Data'!$K$6:$K$3690)</f>
        <v>0</v>
      </c>
      <c r="J131" s="441">
        <f>SUMIF('Diags Raw Data'!$A$6:$A$3690,"*"&amp;$A131&amp;"*",'Diags Raw Data'!$L$6:$L$3690)</f>
        <v>0</v>
      </c>
      <c r="K131" s="487" t="e" cm="1">
        <f t="array" ref="K131">IF(D131="",0, SUMPRODUCT(--(ISNUMBER(SEARCH($A131,'Diags Raw Data'!$A$6:$A$3690))),'Diags Raw Data'!$L$6:$L$3690,'Diags Raw Data'!$N$6:$N$3690)/J131)</f>
        <v>#DIV/0!</v>
      </c>
      <c r="L131" s="488" t="e" cm="1">
        <f t="array" ref="L131">IF(D131="",0, SUMPRODUCT(--(ISNUMBER(SEARCH($A131,'Diags Raw Data'!$A$6:$A$3690))),'Diags Raw Data'!$L$6:$L$3690,'Diags Raw Data'!$P$6:$P$3690)/J131)</f>
        <v>#DIV/0!</v>
      </c>
      <c r="M131" s="489" cm="1">
        <f t="array" ref="M131">SUMPRODUCT(--(ISNUMBER(SEARCH($A131,'Diags Raw Data'!$A$6:$A$3690))),--('Diags Raw Data'!$Q$6:$Q$3690&lt;&gt;"N/A"),'Diags Raw Data'!$R$6:$R$3690)</f>
        <v>29</v>
      </c>
      <c r="N131" s="490" cm="1">
        <f t="array" ref="N131">SUMPRODUCT(--(ISNUMBER(SEARCH($A131,'Diags Raw Data'!$A$6:$A$3690))),--('Diags Raw Data'!$Q$6:$Q$3690&lt;&gt;"N/A"),'Diags Raw Data'!$T$6:$T$3690)+SUMPRODUCT(--(ISNUMBER(SEARCH($A131,'Diags Raw Data'!$A$6:$A$3690))),--('Diags Raw Data'!$Q$6:$Q$3690&lt;&gt;"N/A"),'Diags Raw Data'!$U$6:$U$3690)</f>
        <v>15</v>
      </c>
      <c r="O131" s="491">
        <f t="shared" si="19"/>
        <v>0.51724137931034486</v>
      </c>
      <c r="P131" s="492">
        <f>SUMIF('Diags Raw Data'!$A$6:$A$3690,"*"&amp;$A131&amp;"*",'Diags Raw Data'!$Z$6:$Z$3690)</f>
        <v>0</v>
      </c>
      <c r="Q131" s="493">
        <f>SUM(SUMIF('Diags Raw Data'!$A$6:$A$3690,"*"&amp;$A131&amp;"*",'Diags Raw Data'!$AA$6:$AA$3690),SUMIF('Diags Raw Data'!$A$6:$A$3690,"*"&amp;$A131&amp;"*",'Diags Raw Data'!$AB$6:$AB$3690))</f>
        <v>0</v>
      </c>
      <c r="R131" s="494">
        <f t="shared" si="20"/>
        <v>0</v>
      </c>
      <c r="S131" s="494">
        <f t="shared" si="21"/>
        <v>0</v>
      </c>
      <c r="T131" s="495">
        <f t="shared" si="22"/>
        <v>0</v>
      </c>
      <c r="U131" s="436" t="str">
        <f>VLOOKUP(A131,'Diags Raw Data'!$A$6:$AH$3690,33,FALSE)</f>
        <v>WK5</v>
      </c>
      <c r="V131" s="181"/>
    </row>
    <row r="132" spans="1:22" ht="30.75" thickBot="1" x14ac:dyDescent="0.3">
      <c r="A132" s="549">
        <v>12.276</v>
      </c>
      <c r="B132" s="438" t="str">
        <f>VLOOKUP(A132,'Feature Raw Data'!$A$3:$B$3922,2,FALSE)</f>
        <v xml:space="preserve">Remove the data duplication for MLOPS </v>
      </c>
      <c r="C132" s="439" t="str">
        <f>VLOOKUP(A132,'Feature Raw Data'!$A$3:$C$3922,3,FALSE)</f>
        <v>P1</v>
      </c>
      <c r="D132" s="440" t="str" cm="1">
        <f t="array" ref="D132">_xlfn.TEXTJOIN("",TRUE,IF(ISNUMBER(SEARCH($A132,'Diags Raw Data'!$A$6:$A$3690)),CONCATENATE('Diags Raw Data'!$H$6:$H$3690,", "),""))</f>
        <v xml:space="preserve">gci820.0, </v>
      </c>
      <c r="E132" s="340" t="str">
        <f>VLOOKUP(A132,'Diags Raw Data'!$A$6:$D$3690,4,FALSE)</f>
        <v>SH</v>
      </c>
      <c r="F132" s="340" t="str">
        <f>VLOOKUP(A132,'Feature Raw Data'!$A$3:$E$3922,5,FALSE)</f>
        <v>New</v>
      </c>
      <c r="G132" s="340" t="str">
        <f t="shared" si="17"/>
        <v>Yes</v>
      </c>
      <c r="H132" s="340" t="str">
        <f t="shared" si="18"/>
        <v>Yes</v>
      </c>
      <c r="I132" s="439">
        <f>SUMIF('Diags Raw Data'!$A$6:$A$3690,"*"&amp;$A132&amp;"*",'Diags Raw Data'!$K$6:$K$3690)</f>
        <v>0</v>
      </c>
      <c r="J132" s="441">
        <f>SUMIF('Diags Raw Data'!$A$6:$A$3690,"*"&amp;$A132&amp;"*",'Diags Raw Data'!$L$6:$L$3690)</f>
        <v>0</v>
      </c>
      <c r="K132" s="487" t="e" cm="1">
        <f t="array" ref="K132">IF(D132="",0, SUMPRODUCT(--(ISNUMBER(SEARCH($A132,'Diags Raw Data'!$A$6:$A$3690))),'Diags Raw Data'!$L$6:$L$3690,'Diags Raw Data'!$N$6:$N$3690)/J132)</f>
        <v>#DIV/0!</v>
      </c>
      <c r="L132" s="488" t="e" cm="1">
        <f t="array" ref="L132">IF(D132="",0, SUMPRODUCT(--(ISNUMBER(SEARCH($A132,'Diags Raw Data'!$A$6:$A$3690))),'Diags Raw Data'!$L$6:$L$3690,'Diags Raw Data'!$P$6:$P$3690)/J132)</f>
        <v>#DIV/0!</v>
      </c>
      <c r="M132" s="489" cm="1">
        <f t="array" ref="M132">SUMPRODUCT(--(ISNUMBER(SEARCH($A132,'Diags Raw Data'!$A$6:$A$3690))),--('Diags Raw Data'!$Q$6:$Q$3690&lt;&gt;"N/A"),'Diags Raw Data'!$R$6:$R$3690)</f>
        <v>14</v>
      </c>
      <c r="N132" s="490" cm="1">
        <f t="array" ref="N132">SUMPRODUCT(--(ISNUMBER(SEARCH($A132,'Diags Raw Data'!$A$6:$A$3690))),--('Diags Raw Data'!$Q$6:$Q$3690&lt;&gt;"N/A"),'Diags Raw Data'!$T$6:$T$3690)+SUMPRODUCT(--(ISNUMBER(SEARCH($A132,'Diags Raw Data'!$A$6:$A$3690))),--('Diags Raw Data'!$Q$6:$Q$3690&lt;&gt;"N/A"),'Diags Raw Data'!$U$6:$U$3690)</f>
        <v>0</v>
      </c>
      <c r="O132" s="491">
        <f t="shared" si="19"/>
        <v>0</v>
      </c>
      <c r="P132" s="492">
        <f>SUMIF('Diags Raw Data'!$A$6:$A$3690,"*"&amp;$A132&amp;"*",'Diags Raw Data'!$Z$6:$Z$3690)</f>
        <v>0</v>
      </c>
      <c r="Q132" s="493">
        <f>SUM(SUMIF('Diags Raw Data'!$A$6:$A$3690,"*"&amp;$A132&amp;"*",'Diags Raw Data'!$AA$6:$AA$3690),SUMIF('Diags Raw Data'!$A$6:$A$3690,"*"&amp;$A132&amp;"*",'Diags Raw Data'!$AB$6:$AB$3690))</f>
        <v>0</v>
      </c>
      <c r="R132" s="494">
        <f t="shared" si="20"/>
        <v>0</v>
      </c>
      <c r="S132" s="494">
        <f t="shared" si="21"/>
        <v>0</v>
      </c>
      <c r="T132" s="495">
        <f t="shared" si="22"/>
        <v>0</v>
      </c>
      <c r="U132" s="436" t="str">
        <f>VLOOKUP(A132,'Diags Raw Data'!$A$6:$AH$3690,33,FALSE)</f>
        <v>WK5</v>
      </c>
      <c r="V132" s="181"/>
    </row>
    <row r="133" spans="1:22" ht="90.75" thickBot="1" x14ac:dyDescent="0.3">
      <c r="A133" s="549">
        <v>12.276999999999999</v>
      </c>
      <c r="B133" s="438" t="str">
        <f>VLOOKUP(A133,'Feature Raw Data'!$A$3:$B$3922,2,FALSE)</f>
        <v>Add Conditional-subtract memory atomic for locks</v>
      </c>
      <c r="C133" s="439" t="str">
        <f>VLOOKUP(A133,'Feature Raw Data'!$A$3:$C$3922,3,FALSE)</f>
        <v>P2</v>
      </c>
      <c r="D133" s="440" t="str" cm="1">
        <f t="array" ref="D133">_xlfn.TEXTJOIN("",TRUE,IF(ISNUMBER(SEARCH($A133,'Diags Raw Data'!$A$6:$A$3690)),CONCATENATE('Diags Raw Data'!$H$6:$H$3690,", "),""))</f>
        <v xml:space="preserve">gfx.inst_perf/flat_atomic_cond_sub_u32_global,gfx.inst_perf/flat_atomic_sub_clamp_u32_global,gfx.inst_perf/ds_cond_sub_rtn_u32,gfx.inst_perf/ds_sub_clamp_rtn_u32,gci1307.0-3, </v>
      </c>
      <c r="E133" s="340" t="str">
        <f>VLOOKUP(A133,'Diags Raw Data'!$A$6:$D$3690,4,FALSE)</f>
        <v>SH</v>
      </c>
      <c r="F133" s="340" t="str">
        <f>VLOOKUP(A133,'Feature Raw Data'!$A$3:$E$3922,5,FALSE)</f>
        <v>New</v>
      </c>
      <c r="G133" s="340" t="str">
        <f t="shared" si="17"/>
        <v>Yes</v>
      </c>
      <c r="H133" s="340" t="str">
        <f t="shared" si="18"/>
        <v>Yes</v>
      </c>
      <c r="I133" s="439">
        <f>SUMIF('Diags Raw Data'!$A$6:$A$3690,"*"&amp;$A133&amp;"*",'Diags Raw Data'!$K$6:$K$3690)</f>
        <v>0</v>
      </c>
      <c r="J133" s="441">
        <f>SUMIF('Diags Raw Data'!$A$6:$A$3690,"*"&amp;$A133&amp;"*",'Diags Raw Data'!$L$6:$L$3690)</f>
        <v>0</v>
      </c>
      <c r="K133" s="487" t="e" cm="1">
        <f t="array" ref="K133">IF(D133="",0, SUMPRODUCT(--(ISNUMBER(SEARCH($A133,'Diags Raw Data'!$A$6:$A$3690))),'Diags Raw Data'!$L$6:$L$3690,'Diags Raw Data'!$N$6:$N$3690)/J133)</f>
        <v>#DIV/0!</v>
      </c>
      <c r="L133" s="488" t="e" cm="1">
        <f t="array" ref="L133">IF(D133="",0, SUMPRODUCT(--(ISNUMBER(SEARCH($A133,'Diags Raw Data'!$A$6:$A$3690))),'Diags Raw Data'!$L$6:$L$3690,'Diags Raw Data'!$P$6:$P$3690)/J133)</f>
        <v>#DIV/0!</v>
      </c>
      <c r="M133" s="489" cm="1">
        <f t="array" ref="M133">SUMPRODUCT(--(ISNUMBER(SEARCH($A133,'Diags Raw Data'!$A$6:$A$3690))),--('Diags Raw Data'!$Q$6:$Q$3690&lt;&gt;"N/A"),'Diags Raw Data'!$R$6:$R$3690)</f>
        <v>8</v>
      </c>
      <c r="N133" s="490" cm="1">
        <f t="array" ref="N133">SUMPRODUCT(--(ISNUMBER(SEARCH($A133,'Diags Raw Data'!$A$6:$A$3690))),--('Diags Raw Data'!$Q$6:$Q$3690&lt;&gt;"N/A"),'Diags Raw Data'!$T$6:$T$3690)+SUMPRODUCT(--(ISNUMBER(SEARCH($A133,'Diags Raw Data'!$A$6:$A$3690))),--('Diags Raw Data'!$Q$6:$Q$3690&lt;&gt;"N/A"),'Diags Raw Data'!$U$6:$U$3690)</f>
        <v>8</v>
      </c>
      <c r="O133" s="491">
        <f t="shared" si="19"/>
        <v>1</v>
      </c>
      <c r="P133" s="492">
        <f>SUMIF('Diags Raw Data'!$A$6:$A$3690,"*"&amp;$A133&amp;"*",'Diags Raw Data'!$Z$6:$Z$3690)</f>
        <v>0</v>
      </c>
      <c r="Q133" s="493">
        <f>SUM(SUMIF('Diags Raw Data'!$A$6:$A$3690,"*"&amp;$A133&amp;"*",'Diags Raw Data'!$AA$6:$AA$3690),SUMIF('Diags Raw Data'!$A$6:$A$3690,"*"&amp;$A133&amp;"*",'Diags Raw Data'!$AB$6:$AB$3690))</f>
        <v>0</v>
      </c>
      <c r="R133" s="494">
        <f t="shared" si="20"/>
        <v>0</v>
      </c>
      <c r="S133" s="494">
        <f t="shared" si="21"/>
        <v>0</v>
      </c>
      <c r="T133" s="495">
        <f t="shared" si="22"/>
        <v>0</v>
      </c>
      <c r="U133" s="436" t="str">
        <f>VLOOKUP(A133,'Diags Raw Data'!$A$6:$AH$3690,33,FALSE)</f>
        <v>WK8</v>
      </c>
      <c r="V133" s="181"/>
    </row>
    <row r="134" spans="1:22" ht="30.75" thickBot="1" x14ac:dyDescent="0.3">
      <c r="A134" s="549">
        <v>12.278</v>
      </c>
      <c r="B134" s="438" t="str">
        <f>VLOOKUP(A134,'Feature Raw Data'!$A$3:$B$3922,2,FALSE)</f>
        <v>DCC sector size to increase to 128B</v>
      </c>
      <c r="C134" s="439" t="str">
        <f>VLOOKUP(A134,'Feature Raw Data'!$A$3:$C$3922,3,FALSE)</f>
        <v>P1</v>
      </c>
      <c r="D134" s="440" t="str" cm="1">
        <f t="array" ref="D134">_xlfn.TEXTJOIN("",TRUE,IF(ISNUMBER(SEARCH($A134,'Diags Raw Data'!$A$6:$A$3690)),CONCATENATE('Diags Raw Data'!$H$6:$H$3690,", "),""))</f>
        <v xml:space="preserve">glxi60.7, </v>
      </c>
      <c r="E134" s="340" t="str">
        <f>VLOOKUP(A134,'Diags Raw Data'!$A$6:$D$3690,4,FALSE)</f>
        <v>CMM</v>
      </c>
      <c r="F134" s="340" t="str">
        <f>VLOOKUP(A134,'Feature Raw Data'!$A$3:$E$3922,5,FALSE)</f>
        <v>New</v>
      </c>
      <c r="G134" s="340" t="str">
        <f t="shared" si="17"/>
        <v>Yes</v>
      </c>
      <c r="H134" s="340" t="str">
        <f t="shared" si="18"/>
        <v>Yes</v>
      </c>
      <c r="I134" s="439">
        <f>SUMIF('Diags Raw Data'!$A$6:$A$3690,"*"&amp;$A134&amp;"*",'Diags Raw Data'!$K$6:$K$3690)</f>
        <v>0</v>
      </c>
      <c r="J134" s="441">
        <f>SUMIF('Diags Raw Data'!$A$6:$A$3690,"*"&amp;$A134&amp;"*",'Diags Raw Data'!$L$6:$L$3690)</f>
        <v>0</v>
      </c>
      <c r="K134" s="487" t="e" cm="1">
        <f t="array" ref="K134">IF(D134="",0, SUMPRODUCT(--(ISNUMBER(SEARCH($A134,'Diags Raw Data'!$A$6:$A$3690))),'Diags Raw Data'!$L$6:$L$3690,'Diags Raw Data'!$N$6:$N$3690)/J134)</f>
        <v>#DIV/0!</v>
      </c>
      <c r="L134" s="488" t="e" cm="1">
        <f t="array" ref="L134">IF(D134="",0, SUMPRODUCT(--(ISNUMBER(SEARCH($A134,'Diags Raw Data'!$A$6:$A$3690))),'Diags Raw Data'!$L$6:$L$3690,'Diags Raw Data'!$P$6:$P$3690)/J134)</f>
        <v>#DIV/0!</v>
      </c>
      <c r="M134" s="489" cm="1">
        <f t="array" ref="M134">SUMPRODUCT(--(ISNUMBER(SEARCH($A134,'Diags Raw Data'!$A$6:$A$3690))),--('Diags Raw Data'!$Q$6:$Q$3690&lt;&gt;"N/A"),'Diags Raw Data'!$R$6:$R$3690)</f>
        <v>1</v>
      </c>
      <c r="N134" s="490" cm="1">
        <f t="array" ref="N134">SUMPRODUCT(--(ISNUMBER(SEARCH($A134,'Diags Raw Data'!$A$6:$A$3690))),--('Diags Raw Data'!$Q$6:$Q$3690&lt;&gt;"N/A"),'Diags Raw Data'!$T$6:$T$3690)+SUMPRODUCT(--(ISNUMBER(SEARCH($A134,'Diags Raw Data'!$A$6:$A$3690))),--('Diags Raw Data'!$Q$6:$Q$3690&lt;&gt;"N/A"),'Diags Raw Data'!$U$6:$U$3690)</f>
        <v>1</v>
      </c>
      <c r="O134" s="491">
        <f t="shared" si="19"/>
        <v>1</v>
      </c>
      <c r="P134" s="492">
        <f>SUMIF('Diags Raw Data'!$A$6:$A$3690,"*"&amp;$A134&amp;"*",'Diags Raw Data'!$Z$6:$Z$3690)</f>
        <v>0</v>
      </c>
      <c r="Q134" s="493">
        <f>SUM(SUMIF('Diags Raw Data'!$A$6:$A$3690,"*"&amp;$A134&amp;"*",'Diags Raw Data'!$AA$6:$AA$3690),SUMIF('Diags Raw Data'!$A$6:$A$3690,"*"&amp;$A134&amp;"*",'Diags Raw Data'!$AB$6:$AB$3690))</f>
        <v>0</v>
      </c>
      <c r="R134" s="494">
        <f t="shared" si="20"/>
        <v>0</v>
      </c>
      <c r="S134" s="494">
        <f t="shared" si="21"/>
        <v>0</v>
      </c>
      <c r="T134" s="495">
        <f t="shared" si="22"/>
        <v>0</v>
      </c>
      <c r="U134" s="436" t="str">
        <f>VLOOKUP(A134,'Diags Raw Data'!$A$6:$AH$3690,33,FALSE)</f>
        <v>WK5</v>
      </c>
      <c r="V134" s="181"/>
    </row>
    <row r="135" spans="1:22" ht="30.75" thickBot="1" x14ac:dyDescent="0.3">
      <c r="A135" s="549">
        <v>12.28</v>
      </c>
      <c r="B135" s="438" t="str">
        <f>VLOOKUP(A135,'Feature Raw Data'!$A$3:$B$3922,2,FALSE)</f>
        <v>DCC auto-CT detection</v>
      </c>
      <c r="C135" s="439" t="str">
        <f>VLOOKUP(A135,'Feature Raw Data'!$A$3:$C$3922,3,FALSE)</f>
        <v>P1</v>
      </c>
      <c r="D135" s="440" t="str" cm="1">
        <f t="array" ref="D135">_xlfn.TEXTJOIN("",TRUE,IF(ISNUMBER(SEARCH($A135,'Diags Raw Data'!$A$6:$A$3690)),CONCATENATE('Diags Raw Data'!$H$6:$H$3690,", "),""))</f>
        <v xml:space="preserve">glxi60.5, glxi60.6, navi48.gfx.ge.register_access, </v>
      </c>
      <c r="E135" s="340" t="str">
        <f>VLOOKUP(A135,'Diags Raw Data'!$A$6:$D$3690,4,FALSE)</f>
        <v>CMM</v>
      </c>
      <c r="F135" s="340" t="str">
        <f>VLOOKUP(A135,'Feature Raw Data'!$A$3:$E$3922,5,FALSE)</f>
        <v>New</v>
      </c>
      <c r="G135" s="340" t="str">
        <f t="shared" si="17"/>
        <v>Yes</v>
      </c>
      <c r="H135" s="340" t="str">
        <f t="shared" si="18"/>
        <v>Yes</v>
      </c>
      <c r="I135" s="439">
        <f>SUMIF('Diags Raw Data'!$A$6:$A$3690,"*"&amp;$A135&amp;"*",'Diags Raw Data'!$K$6:$K$3690)</f>
        <v>0</v>
      </c>
      <c r="J135" s="441">
        <f>SUMIF('Diags Raw Data'!$A$6:$A$3690,"*"&amp;$A135&amp;"*",'Diags Raw Data'!$L$6:$L$3690)</f>
        <v>0</v>
      </c>
      <c r="K135" s="487" t="e" cm="1">
        <f t="array" ref="K135">IF(D135="",0, SUMPRODUCT(--(ISNUMBER(SEARCH($A135,'Diags Raw Data'!$A$6:$A$3690))),'Diags Raw Data'!$L$6:$L$3690,'Diags Raw Data'!$N$6:$N$3690)/J135)</f>
        <v>#DIV/0!</v>
      </c>
      <c r="L135" s="488" t="e" cm="1">
        <f t="array" ref="L135">IF(D135="",0, SUMPRODUCT(--(ISNUMBER(SEARCH($A135,'Diags Raw Data'!$A$6:$A$3690))),'Diags Raw Data'!$L$6:$L$3690,'Diags Raw Data'!$P$6:$P$3690)/J135)</f>
        <v>#DIV/0!</v>
      </c>
      <c r="M135" s="489" cm="1">
        <f t="array" ref="M135">SUMPRODUCT(--(ISNUMBER(SEARCH($A135,'Diags Raw Data'!$A$6:$A$3690))),--('Diags Raw Data'!$Q$6:$Q$3690&lt;&gt;"N/A"),'Diags Raw Data'!$R$6:$R$3690)</f>
        <v>4</v>
      </c>
      <c r="N135" s="490" cm="1">
        <f t="array" ref="N135">SUMPRODUCT(--(ISNUMBER(SEARCH($A135,'Diags Raw Data'!$A$6:$A$3690))),--('Diags Raw Data'!$Q$6:$Q$3690&lt;&gt;"N/A"),'Diags Raw Data'!$T$6:$T$3690)+SUMPRODUCT(--(ISNUMBER(SEARCH($A135,'Diags Raw Data'!$A$6:$A$3690))),--('Diags Raw Data'!$Q$6:$Q$3690&lt;&gt;"N/A"),'Diags Raw Data'!$U$6:$U$3690)</f>
        <v>4</v>
      </c>
      <c r="O135" s="491">
        <f t="shared" si="19"/>
        <v>1</v>
      </c>
      <c r="P135" s="492">
        <f>SUMIF('Diags Raw Data'!$A$6:$A$3690,"*"&amp;$A135&amp;"*",'Diags Raw Data'!$Z$6:$Z$3690)</f>
        <v>0</v>
      </c>
      <c r="Q135" s="493">
        <f>SUM(SUMIF('Diags Raw Data'!$A$6:$A$3690,"*"&amp;$A135&amp;"*",'Diags Raw Data'!$AA$6:$AA$3690),SUMIF('Diags Raw Data'!$A$6:$A$3690,"*"&amp;$A135&amp;"*",'Diags Raw Data'!$AB$6:$AB$3690))</f>
        <v>0</v>
      </c>
      <c r="R135" s="494">
        <f t="shared" si="20"/>
        <v>0</v>
      </c>
      <c r="S135" s="494">
        <f t="shared" si="21"/>
        <v>0</v>
      </c>
      <c r="T135" s="495">
        <f t="shared" si="22"/>
        <v>0</v>
      </c>
      <c r="U135" s="436" t="str">
        <f>VLOOKUP(A135,'Diags Raw Data'!$A$6:$AH$3690,33,FALSE)</f>
        <v>WK5</v>
      </c>
      <c r="V135" s="181"/>
    </row>
    <row r="136" spans="1:22" s="186" customFormat="1" ht="30.75" thickBot="1" x14ac:dyDescent="0.3">
      <c r="A136" s="549">
        <v>12.281000000000001</v>
      </c>
      <c r="B136" s="438" t="str">
        <f>VLOOKUP(A136,'Feature Raw Data'!$A$3:$B$3922,2,FALSE)</f>
        <v>Sector-separated DCC compressed data layout</v>
      </c>
      <c r="C136" s="439" t="str">
        <f>VLOOKUP(A136,'Feature Raw Data'!$A$3:$C$3922,3,FALSE)</f>
        <v>P1</v>
      </c>
      <c r="D136" s="440" t="str" cm="1">
        <f t="array" ref="D136">_xlfn.TEXTJOIN("",TRUE,IF(ISNUMBER(SEARCH($A136,'Diags Raw Data'!$A$6:$A$3690)),CONCATENATE('Diags Raw Data'!$H$6:$H$3690,", "),""))</f>
        <v xml:space="preserve">glxi60.6, </v>
      </c>
      <c r="E136" s="340" t="str">
        <f>VLOOKUP(A136,'Diags Raw Data'!$A$6:$D$3690,4,FALSE)</f>
        <v>CMM</v>
      </c>
      <c r="F136" s="340" t="str">
        <f>VLOOKUP(A136,'Feature Raw Data'!$A$3:$E$3922,5,FALSE)</f>
        <v>New</v>
      </c>
      <c r="G136" s="340" t="str">
        <f t="shared" si="17"/>
        <v>Yes</v>
      </c>
      <c r="H136" s="340" t="str">
        <f t="shared" si="18"/>
        <v>Yes</v>
      </c>
      <c r="I136" s="439">
        <f>SUMIF('Diags Raw Data'!$A$6:$A$3690,"*"&amp;$A136&amp;"*",'Diags Raw Data'!$K$6:$K$3690)</f>
        <v>0</v>
      </c>
      <c r="J136" s="441">
        <f>SUMIF('Diags Raw Data'!$A$6:$A$3690,"*"&amp;$A136&amp;"*",'Diags Raw Data'!$L$6:$L$3690)</f>
        <v>0</v>
      </c>
      <c r="K136" s="487" t="e" cm="1">
        <f t="array" ref="K136">IF(D136="",0, SUMPRODUCT(--(ISNUMBER(SEARCH($A136,'Diags Raw Data'!$A$6:$A$3690))),'Diags Raw Data'!$L$6:$L$3690,'Diags Raw Data'!$N$6:$N$3690)/J136)</f>
        <v>#DIV/0!</v>
      </c>
      <c r="L136" s="488" t="e" cm="1">
        <f t="array" ref="L136">IF(D136="",0, SUMPRODUCT(--(ISNUMBER(SEARCH($A136,'Diags Raw Data'!$A$6:$A$3690))),'Diags Raw Data'!$L$6:$L$3690,'Diags Raw Data'!$P$6:$P$3690)/J136)</f>
        <v>#DIV/0!</v>
      </c>
      <c r="M136" s="489" cm="1">
        <f t="array" ref="M136">SUMPRODUCT(--(ISNUMBER(SEARCH($A136,'Diags Raw Data'!$A$6:$A$3690))),--('Diags Raw Data'!$Q$6:$Q$3690&lt;&gt;"N/A"),'Diags Raw Data'!$R$6:$R$3690)</f>
        <v>1</v>
      </c>
      <c r="N136" s="490" cm="1">
        <f t="array" ref="N136">SUMPRODUCT(--(ISNUMBER(SEARCH($A136,'Diags Raw Data'!$A$6:$A$3690))),--('Diags Raw Data'!$Q$6:$Q$3690&lt;&gt;"N/A"),'Diags Raw Data'!$T$6:$T$3690)+SUMPRODUCT(--(ISNUMBER(SEARCH($A136,'Diags Raw Data'!$A$6:$A$3690))),--('Diags Raw Data'!$Q$6:$Q$3690&lt;&gt;"N/A"),'Diags Raw Data'!$U$6:$U$3690)</f>
        <v>1</v>
      </c>
      <c r="O136" s="491">
        <f t="shared" si="19"/>
        <v>1</v>
      </c>
      <c r="P136" s="492">
        <f>SUMIF('Diags Raw Data'!$A$6:$A$3690,"*"&amp;$A136&amp;"*",'Diags Raw Data'!$Z$6:$Z$3690)</f>
        <v>0</v>
      </c>
      <c r="Q136" s="493">
        <f>SUM(SUMIF('Diags Raw Data'!$A$6:$A$3690,"*"&amp;$A136&amp;"*",'Diags Raw Data'!$AA$6:$AA$3690),SUMIF('Diags Raw Data'!$A$6:$A$3690,"*"&amp;$A136&amp;"*",'Diags Raw Data'!$AB$6:$AB$3690))</f>
        <v>0</v>
      </c>
      <c r="R136" s="494">
        <f t="shared" si="20"/>
        <v>0</v>
      </c>
      <c r="S136" s="494">
        <f t="shared" si="21"/>
        <v>0</v>
      </c>
      <c r="T136" s="495">
        <f t="shared" si="22"/>
        <v>0</v>
      </c>
      <c r="U136" s="436" t="str">
        <f>VLOOKUP(A136,'Diags Raw Data'!$A$6:$AH$3690,33,FALSE)</f>
        <v>WK5</v>
      </c>
      <c r="V136" s="185"/>
    </row>
    <row r="137" spans="1:22" ht="15.75" thickBot="1" x14ac:dyDescent="0.3">
      <c r="A137" s="549">
        <v>12.282</v>
      </c>
      <c r="B137" s="438" t="str">
        <f>VLOOKUP(A137,'Feature Raw Data'!$A$3:$B$3922,2,FALSE)</f>
        <v>rename GE BIA containers</v>
      </c>
      <c r="C137" s="439" t="str">
        <f>VLOOKUP(A137,'Feature Raw Data'!$A$3:$C$3922,3,FALSE)</f>
        <v>P1</v>
      </c>
      <c r="D137" s="440" t="str" cm="1">
        <f t="array" ref="D137">_xlfn.TEXTJOIN("",TRUE,IF(ISNUMBER(SEARCH($A137,'Diags Raw Data'!$A$6:$A$3690)),CONCATENATE('Diags Raw Data'!$H$6:$H$3690,", "),""))</f>
        <v xml:space="preserve">navi48.gfx.ge.register_access, </v>
      </c>
      <c r="E137" s="340" t="str">
        <f>VLOOKUP(A137,'Diags Raw Data'!$A$6:$D$3690,4,FALSE)</f>
        <v>GEO</v>
      </c>
      <c r="F137" s="340" t="str">
        <f>VLOOKUP(A137,'Feature Raw Data'!$A$3:$E$3922,5,FALSE)</f>
        <v>New</v>
      </c>
      <c r="G137" s="340" t="str">
        <f t="shared" si="17"/>
        <v>Yes</v>
      </c>
      <c r="H137" s="340" t="str">
        <f t="shared" si="18"/>
        <v>Yes</v>
      </c>
      <c r="I137" s="439">
        <f>SUMIF('Diags Raw Data'!$A$6:$A$3690,"*"&amp;$A137&amp;"*",'Diags Raw Data'!$K$6:$K$3690)</f>
        <v>0</v>
      </c>
      <c r="J137" s="441">
        <f>SUMIF('Diags Raw Data'!$A$6:$A$3690,"*"&amp;$A137&amp;"*",'Diags Raw Data'!$L$6:$L$3690)</f>
        <v>0</v>
      </c>
      <c r="K137" s="487" t="e" cm="1">
        <f t="array" ref="K137">IF(D137="",0, SUMPRODUCT(--(ISNUMBER(SEARCH($A137,'Diags Raw Data'!$A$6:$A$3690))),'Diags Raw Data'!$L$6:$L$3690,'Diags Raw Data'!$N$6:$N$3690)/J137)</f>
        <v>#DIV/0!</v>
      </c>
      <c r="L137" s="488" t="e" cm="1">
        <f t="array" ref="L137">IF(D137="",0, SUMPRODUCT(--(ISNUMBER(SEARCH($A137,'Diags Raw Data'!$A$6:$A$3690))),'Diags Raw Data'!$L$6:$L$3690,'Diags Raw Data'!$P$6:$P$3690)/J137)</f>
        <v>#DIV/0!</v>
      </c>
      <c r="M137" s="489" cm="1">
        <f t="array" ref="M137">SUMPRODUCT(--(ISNUMBER(SEARCH($A137,'Diags Raw Data'!$A$6:$A$3690))),--('Diags Raw Data'!$Q$6:$Q$3690&lt;&gt;"N/A"),'Diags Raw Data'!$R$6:$R$3690)</f>
        <v>1</v>
      </c>
      <c r="N137" s="490" cm="1">
        <f t="array" ref="N137">SUMPRODUCT(--(ISNUMBER(SEARCH($A137,'Diags Raw Data'!$A$6:$A$3690))),--('Diags Raw Data'!$Q$6:$Q$3690&lt;&gt;"N/A"),'Diags Raw Data'!$T$6:$T$3690)+SUMPRODUCT(--(ISNUMBER(SEARCH($A137,'Diags Raw Data'!$A$6:$A$3690))),--('Diags Raw Data'!$Q$6:$Q$3690&lt;&gt;"N/A"),'Diags Raw Data'!$U$6:$U$3690)</f>
        <v>1</v>
      </c>
      <c r="O137" s="491">
        <f t="shared" si="19"/>
        <v>1</v>
      </c>
      <c r="P137" s="492">
        <f>SUMIF('Diags Raw Data'!$A$6:$A$3690,"*"&amp;$A137&amp;"*",'Diags Raw Data'!$Z$6:$Z$3690)</f>
        <v>0</v>
      </c>
      <c r="Q137" s="493">
        <f>SUM(SUMIF('Diags Raw Data'!$A$6:$A$3690,"*"&amp;$A137&amp;"*",'Diags Raw Data'!$AA$6:$AA$3690),SUMIF('Diags Raw Data'!$A$6:$A$3690,"*"&amp;$A137&amp;"*",'Diags Raw Data'!$AB$6:$AB$3690))</f>
        <v>0</v>
      </c>
      <c r="R137" s="494">
        <f t="shared" si="20"/>
        <v>0</v>
      </c>
      <c r="S137" s="494">
        <f t="shared" si="21"/>
        <v>0</v>
      </c>
      <c r="T137" s="495">
        <f t="shared" si="22"/>
        <v>0</v>
      </c>
      <c r="U137" s="436" t="str">
        <f>VLOOKUP(A137,'Diags Raw Data'!$A$6:$AH$3690,33,FALSE)</f>
        <v>WK3</v>
      </c>
      <c r="V137" s="181"/>
    </row>
    <row r="138" spans="1:22" ht="45.75" thickBot="1" x14ac:dyDescent="0.3">
      <c r="A138" s="549">
        <v>12.284000000000001</v>
      </c>
      <c r="B138" s="438" t="str">
        <f>VLOOKUP(A138,'Feature Raw Data'!$A$3:$B$3922,2,FALSE)</f>
        <v>Data return for clamped PRT is "0" only (no longer needs to be programable)</v>
      </c>
      <c r="C138" s="439" t="str">
        <f>VLOOKUP(A138,'Feature Raw Data'!$A$3:$C$3922,3,FALSE)</f>
        <v>P2</v>
      </c>
      <c r="D138" s="440" t="str" cm="1">
        <f t="array" ref="D138">_xlfn.TEXTJOIN("",TRUE,IF(ISNUMBER(SEARCH($A138,'Diags Raw Data'!$A$6:$A$3690)),CONCATENATE('Diags Raw Data'!$H$6:$H$3690,", "),""))</f>
        <v/>
      </c>
      <c r="E138" s="340" t="e">
        <f>VLOOKUP(A138,'Diags Raw Data'!$A$6:$D$3690,4,FALSE)</f>
        <v>#N/A</v>
      </c>
      <c r="F138" s="340" t="str">
        <f>VLOOKUP(A138,'Feature Raw Data'!$A$3:$E$3922,5,FALSE)</f>
        <v>New</v>
      </c>
      <c r="G138" s="340" t="str">
        <f t="shared" si="17"/>
        <v>Yes</v>
      </c>
      <c r="H138" s="340" t="str">
        <f t="shared" si="18"/>
        <v>Yes</v>
      </c>
      <c r="I138" s="439">
        <f>SUMIF('Diags Raw Data'!$A$6:$A$3690,"*"&amp;$A138&amp;"*",'Diags Raw Data'!$K$6:$K$3690)</f>
        <v>0</v>
      </c>
      <c r="J138" s="441">
        <f>SUMIF('Diags Raw Data'!$A$6:$A$3690,"*"&amp;$A138&amp;"*",'Diags Raw Data'!$L$6:$L$3690)</f>
        <v>0</v>
      </c>
      <c r="K138" s="487" cm="1">
        <f t="array" ref="K138">IF(D138="",0, SUMPRODUCT(--(ISNUMBER(SEARCH($A138,'Diags Raw Data'!$A$6:$A$3690))),'Diags Raw Data'!$L$6:$L$3690,'Diags Raw Data'!$N$6:$N$3690)/J138)</f>
        <v>0</v>
      </c>
      <c r="L138" s="488" cm="1">
        <f t="array" ref="L138">IF(D138="",0, SUMPRODUCT(--(ISNUMBER(SEARCH($A138,'Diags Raw Data'!$A$6:$A$3690))),'Diags Raw Data'!$L$6:$L$3690,'Diags Raw Data'!$P$6:$P$3690)/J138)</f>
        <v>0</v>
      </c>
      <c r="M138" s="489" cm="1">
        <f t="array" ref="M138">SUMPRODUCT(--(ISNUMBER(SEARCH($A138,'Diags Raw Data'!$A$6:$A$3690))),--('Diags Raw Data'!$Q$6:$Q$3690&lt;&gt;"N/A"),'Diags Raw Data'!$R$6:$R$3690)</f>
        <v>0</v>
      </c>
      <c r="N138" s="490" cm="1">
        <f t="array" ref="N138">SUMPRODUCT(--(ISNUMBER(SEARCH($A138,'Diags Raw Data'!$A$6:$A$3690))),--('Diags Raw Data'!$Q$6:$Q$3690&lt;&gt;"N/A"),'Diags Raw Data'!$T$6:$T$3690)+SUMPRODUCT(--(ISNUMBER(SEARCH($A138,'Diags Raw Data'!$A$6:$A$3690))),--('Diags Raw Data'!$Q$6:$Q$3690&lt;&gt;"N/A"),'Diags Raw Data'!$U$6:$U$3690)</f>
        <v>0</v>
      </c>
      <c r="O138" s="491">
        <f t="shared" si="19"/>
        <v>0</v>
      </c>
      <c r="P138" s="492">
        <f>SUMIF('Diags Raw Data'!$A$6:$A$3690,"*"&amp;$A138&amp;"*",'Diags Raw Data'!$Z$6:$Z$3690)</f>
        <v>0</v>
      </c>
      <c r="Q138" s="493">
        <f>SUM(SUMIF('Diags Raw Data'!$A$6:$A$3690,"*"&amp;$A138&amp;"*",'Diags Raw Data'!$AA$6:$AA$3690),SUMIF('Diags Raw Data'!$A$6:$A$3690,"*"&amp;$A138&amp;"*",'Diags Raw Data'!$AB$6:$AB$3690))</f>
        <v>0</v>
      </c>
      <c r="R138" s="494">
        <f t="shared" si="20"/>
        <v>0</v>
      </c>
      <c r="S138" s="494">
        <f t="shared" si="21"/>
        <v>0</v>
      </c>
      <c r="T138" s="495">
        <f t="shared" si="22"/>
        <v>0</v>
      </c>
      <c r="U138" s="436" t="e">
        <f>VLOOKUP(A138,'Diags Raw Data'!$A$6:$AH$3690,33,FALSE)</f>
        <v>#N/A</v>
      </c>
      <c r="V138" s="554" t="s">
        <v>356</v>
      </c>
    </row>
    <row r="139" spans="1:22" ht="30.75" thickBot="1" x14ac:dyDescent="0.3">
      <c r="A139" s="549">
        <v>12.285</v>
      </c>
      <c r="B139" s="438" t="str">
        <f>VLOOKUP(A139,'Feature Raw Data'!$A$3:$B$3922,2,FALSE)</f>
        <v>Remove BIG_PAGE control for UTC probing</v>
      </c>
      <c r="C139" s="439" t="str">
        <f>VLOOKUP(A139,'Feature Raw Data'!$A$3:$C$3922,3,FALSE)</f>
        <v>P2</v>
      </c>
      <c r="D139" s="440" t="str" cm="1">
        <f t="array" ref="D139">_xlfn.TEXTJOIN("",TRUE,IF(ISNUMBER(SEARCH($A139,'Diags Raw Data'!$A$6:$A$3690)),CONCATENATE('Diags Raw Data'!$H$6:$H$3690,", "),""))</f>
        <v/>
      </c>
      <c r="E139" s="340" t="e">
        <f>VLOOKUP(A139,'Diags Raw Data'!$A$6:$D$3690,4,FALSE)</f>
        <v>#N/A</v>
      </c>
      <c r="F139" s="340" t="str">
        <f>VLOOKUP(A139,'Feature Raw Data'!$A$3:$E$3922,5,FALSE)</f>
        <v>New</v>
      </c>
      <c r="G139" s="340" t="str">
        <f t="shared" si="17"/>
        <v>Yes</v>
      </c>
      <c r="H139" s="340" t="str">
        <f t="shared" si="18"/>
        <v>Yes</v>
      </c>
      <c r="I139" s="439">
        <f>SUMIF('Diags Raw Data'!$A$6:$A$3690,"*"&amp;$A139&amp;"*",'Diags Raw Data'!$K$6:$K$3690)</f>
        <v>0</v>
      </c>
      <c r="J139" s="441">
        <f>SUMIF('Diags Raw Data'!$A$6:$A$3690,"*"&amp;$A139&amp;"*",'Diags Raw Data'!$L$6:$L$3690)</f>
        <v>0</v>
      </c>
      <c r="K139" s="487" cm="1">
        <f t="array" ref="K139">IF(D139="",0, SUMPRODUCT(--(ISNUMBER(SEARCH($A139,'Diags Raw Data'!$A$6:$A$3690))),'Diags Raw Data'!$L$6:$L$3690,'Diags Raw Data'!$N$6:$N$3690)/J139)</f>
        <v>0</v>
      </c>
      <c r="L139" s="488" cm="1">
        <f t="array" ref="L139">IF(D139="",0, SUMPRODUCT(--(ISNUMBER(SEARCH($A139,'Diags Raw Data'!$A$6:$A$3690))),'Diags Raw Data'!$L$6:$L$3690,'Diags Raw Data'!$P$6:$P$3690)/J139)</f>
        <v>0</v>
      </c>
      <c r="M139" s="489" cm="1">
        <f t="array" ref="M139">SUMPRODUCT(--(ISNUMBER(SEARCH($A139,'Diags Raw Data'!$A$6:$A$3690))),--('Diags Raw Data'!$Q$6:$Q$3690&lt;&gt;"N/A"),'Diags Raw Data'!$R$6:$R$3690)</f>
        <v>0</v>
      </c>
      <c r="N139" s="490" cm="1">
        <f t="array" ref="N139">SUMPRODUCT(--(ISNUMBER(SEARCH($A139,'Diags Raw Data'!$A$6:$A$3690))),--('Diags Raw Data'!$Q$6:$Q$3690&lt;&gt;"N/A"),'Diags Raw Data'!$T$6:$T$3690)+SUMPRODUCT(--(ISNUMBER(SEARCH($A139,'Diags Raw Data'!$A$6:$A$3690))),--('Diags Raw Data'!$Q$6:$Q$3690&lt;&gt;"N/A"),'Diags Raw Data'!$U$6:$U$3690)</f>
        <v>0</v>
      </c>
      <c r="O139" s="491">
        <f t="shared" si="19"/>
        <v>0</v>
      </c>
      <c r="P139" s="492">
        <f>SUMIF('Diags Raw Data'!$A$6:$A$3690,"*"&amp;$A139&amp;"*",'Diags Raw Data'!$Z$6:$Z$3690)</f>
        <v>0</v>
      </c>
      <c r="Q139" s="493">
        <f>SUM(SUMIF('Diags Raw Data'!$A$6:$A$3690,"*"&amp;$A139&amp;"*",'Diags Raw Data'!$AA$6:$AA$3690),SUMIF('Diags Raw Data'!$A$6:$A$3690,"*"&amp;$A139&amp;"*",'Diags Raw Data'!$AB$6:$AB$3690))</f>
        <v>0</v>
      </c>
      <c r="R139" s="494">
        <f t="shared" si="20"/>
        <v>0</v>
      </c>
      <c r="S139" s="494">
        <f t="shared" si="21"/>
        <v>0</v>
      </c>
      <c r="T139" s="495">
        <f t="shared" si="22"/>
        <v>0</v>
      </c>
      <c r="U139" s="436" t="e">
        <f>VLOOKUP(A139,'Diags Raw Data'!$A$6:$AH$3690,33,FALSE)</f>
        <v>#N/A</v>
      </c>
      <c r="V139" s="554" t="s">
        <v>327</v>
      </c>
    </row>
    <row r="140" spans="1:22" ht="45.75" thickBot="1" x14ac:dyDescent="0.3">
      <c r="A140" s="549">
        <v>12.286</v>
      </c>
      <c r="B140" s="438" t="str">
        <f>VLOOKUP(A140,'Feature Raw Data'!$A$3:$B$3922,2,FALSE)</f>
        <v>Remove passthru_en/esgs_ring_itemsize/old gs fastlaunch</v>
      </c>
      <c r="C140" s="439" t="str">
        <f>VLOOKUP(A140,'Feature Raw Data'!$A$3:$C$3922,3,FALSE)</f>
        <v>P1</v>
      </c>
      <c r="D140" s="440" t="str" cm="1">
        <f t="array" ref="D140">_xlfn.TEXTJOIN("",TRUE,IF(ISNUMBER(SEARCH($A140,'Diags Raw Data'!$A$6:$A$3690)),CONCATENATE('Diags Raw Data'!$H$6:$H$3690,", "),""))</f>
        <v/>
      </c>
      <c r="E140" s="340" t="e">
        <f>VLOOKUP(A140,'Diags Raw Data'!$A$6:$D$3690,4,FALSE)</f>
        <v>#N/A</v>
      </c>
      <c r="F140" s="340" t="str">
        <f>VLOOKUP(A140,'Feature Raw Data'!$A$3:$E$3922,5,FALSE)</f>
        <v>New</v>
      </c>
      <c r="G140" s="340" t="str">
        <f t="shared" si="17"/>
        <v>Yes</v>
      </c>
      <c r="H140" s="340" t="str">
        <f t="shared" si="18"/>
        <v>Yes</v>
      </c>
      <c r="I140" s="439">
        <f>SUMIF('Diags Raw Data'!$A$6:$A$3690,"*"&amp;$A140&amp;"*",'Diags Raw Data'!$K$6:$K$3690)</f>
        <v>0</v>
      </c>
      <c r="J140" s="441">
        <f>SUMIF('Diags Raw Data'!$A$6:$A$3690,"*"&amp;$A140&amp;"*",'Diags Raw Data'!$L$6:$L$3690)</f>
        <v>0</v>
      </c>
      <c r="K140" s="487" cm="1">
        <f t="array" ref="K140">IF(D140="",0, SUMPRODUCT(--(ISNUMBER(SEARCH($A140,'Diags Raw Data'!$A$6:$A$3690))),'Diags Raw Data'!$L$6:$L$3690,'Diags Raw Data'!$N$6:$N$3690)/J140)</f>
        <v>0</v>
      </c>
      <c r="L140" s="488" cm="1">
        <f t="array" ref="L140">IF(D140="",0, SUMPRODUCT(--(ISNUMBER(SEARCH($A140,'Diags Raw Data'!$A$6:$A$3690))),'Diags Raw Data'!$L$6:$L$3690,'Diags Raw Data'!$P$6:$P$3690)/J140)</f>
        <v>0</v>
      </c>
      <c r="M140" s="489" cm="1">
        <f t="array" ref="M140">SUMPRODUCT(--(ISNUMBER(SEARCH($A140,'Diags Raw Data'!$A$6:$A$3690))),--('Diags Raw Data'!$Q$6:$Q$3690&lt;&gt;"N/A"),'Diags Raw Data'!$R$6:$R$3690)</f>
        <v>0</v>
      </c>
      <c r="N140" s="490" cm="1">
        <f t="array" ref="N140">SUMPRODUCT(--(ISNUMBER(SEARCH($A140,'Diags Raw Data'!$A$6:$A$3690))),--('Diags Raw Data'!$Q$6:$Q$3690&lt;&gt;"N/A"),'Diags Raw Data'!$T$6:$T$3690)+SUMPRODUCT(--(ISNUMBER(SEARCH($A140,'Diags Raw Data'!$A$6:$A$3690))),--('Diags Raw Data'!$Q$6:$Q$3690&lt;&gt;"N/A"),'Diags Raw Data'!$U$6:$U$3690)</f>
        <v>0</v>
      </c>
      <c r="O140" s="491">
        <f t="shared" si="19"/>
        <v>0</v>
      </c>
      <c r="P140" s="492">
        <f>SUMIF('Diags Raw Data'!$A$6:$A$3690,"*"&amp;$A140&amp;"*",'Diags Raw Data'!$Z$6:$Z$3690)</f>
        <v>0</v>
      </c>
      <c r="Q140" s="493">
        <f>SUM(SUMIF('Diags Raw Data'!$A$6:$A$3690,"*"&amp;$A140&amp;"*",'Diags Raw Data'!$AA$6:$AA$3690),SUMIF('Diags Raw Data'!$A$6:$A$3690,"*"&amp;$A140&amp;"*",'Diags Raw Data'!$AB$6:$AB$3690))</f>
        <v>0</v>
      </c>
      <c r="R140" s="494">
        <f t="shared" si="20"/>
        <v>0</v>
      </c>
      <c r="S140" s="494">
        <f t="shared" si="21"/>
        <v>0</v>
      </c>
      <c r="T140" s="495">
        <f t="shared" si="22"/>
        <v>0</v>
      </c>
      <c r="U140" s="436" t="e">
        <f>VLOOKUP(A140,'Diags Raw Data'!$A$6:$AH$3690,33,FALSE)</f>
        <v>#N/A</v>
      </c>
      <c r="V140" s="554" t="s">
        <v>327</v>
      </c>
    </row>
    <row r="141" spans="1:22" ht="15.75" thickBot="1" x14ac:dyDescent="0.3">
      <c r="A141" s="549">
        <v>12.287000000000001</v>
      </c>
      <c r="B141" s="438" t="str">
        <f>VLOOKUP(A141,'Feature Raw Data'!$A$3:$B$3922,2,FALSE)</f>
        <v>VRS removal in DCC</v>
      </c>
      <c r="C141" s="439" t="str">
        <f>VLOOKUP(A141,'Feature Raw Data'!$A$3:$C$3922,3,FALSE)</f>
        <v>P1</v>
      </c>
      <c r="D141" s="440" t="str" cm="1">
        <f t="array" ref="D141">_xlfn.TEXTJOIN("",TRUE,IF(ISNUMBER(SEARCH($A141,'Diags Raw Data'!$A$6:$A$3690)),CONCATENATE('Diags Raw Data'!$H$6:$H$3690,", "),""))</f>
        <v/>
      </c>
      <c r="E141" s="340" t="e">
        <f>VLOOKUP(A141,'Diags Raw Data'!$A$6:$D$3690,4,FALSE)</f>
        <v>#N/A</v>
      </c>
      <c r="F141" s="340" t="str">
        <f>VLOOKUP(A141,'Feature Raw Data'!$A$3:$E$3922,5,FALSE)</f>
        <v>New</v>
      </c>
      <c r="G141" s="340" t="str">
        <f t="shared" si="17"/>
        <v>Yes</v>
      </c>
      <c r="H141" s="340" t="str">
        <f t="shared" si="18"/>
        <v>Yes</v>
      </c>
      <c r="I141" s="439">
        <f>SUMIF('Diags Raw Data'!$A$6:$A$3690,"*"&amp;$A141&amp;"*",'Diags Raw Data'!$K$6:$K$3690)</f>
        <v>0</v>
      </c>
      <c r="J141" s="441">
        <f>SUMIF('Diags Raw Data'!$A$6:$A$3690,"*"&amp;$A141&amp;"*",'Diags Raw Data'!$L$6:$L$3690)</f>
        <v>0</v>
      </c>
      <c r="K141" s="487" cm="1">
        <f t="array" ref="K141">IF(D141="",0, SUMPRODUCT(--(ISNUMBER(SEARCH($A141,'Diags Raw Data'!$A$6:$A$3690))),'Diags Raw Data'!$L$6:$L$3690,'Diags Raw Data'!$N$6:$N$3690)/J141)</f>
        <v>0</v>
      </c>
      <c r="L141" s="488" cm="1">
        <f t="array" ref="L141">IF(D141="",0, SUMPRODUCT(--(ISNUMBER(SEARCH($A141,'Diags Raw Data'!$A$6:$A$3690))),'Diags Raw Data'!$L$6:$L$3690,'Diags Raw Data'!$P$6:$P$3690)/J141)</f>
        <v>0</v>
      </c>
      <c r="M141" s="489" cm="1">
        <f t="array" ref="M141">SUMPRODUCT(--(ISNUMBER(SEARCH($A141,'Diags Raw Data'!$A$6:$A$3690))),--('Diags Raw Data'!$Q$6:$Q$3690&lt;&gt;"N/A"),'Diags Raw Data'!$R$6:$R$3690)</f>
        <v>0</v>
      </c>
      <c r="N141" s="490" cm="1">
        <f t="array" ref="N141">SUMPRODUCT(--(ISNUMBER(SEARCH($A141,'Diags Raw Data'!$A$6:$A$3690))),--('Diags Raw Data'!$Q$6:$Q$3690&lt;&gt;"N/A"),'Diags Raw Data'!$T$6:$T$3690)+SUMPRODUCT(--(ISNUMBER(SEARCH($A141,'Diags Raw Data'!$A$6:$A$3690))),--('Diags Raw Data'!$Q$6:$Q$3690&lt;&gt;"N/A"),'Diags Raw Data'!$U$6:$U$3690)</f>
        <v>0</v>
      </c>
      <c r="O141" s="491">
        <f t="shared" si="19"/>
        <v>0</v>
      </c>
      <c r="P141" s="492">
        <f>SUMIF('Diags Raw Data'!$A$6:$A$3690,"*"&amp;$A141&amp;"*",'Diags Raw Data'!$Z$6:$Z$3690)</f>
        <v>0</v>
      </c>
      <c r="Q141" s="493">
        <f>SUM(SUMIF('Diags Raw Data'!$A$6:$A$3690,"*"&amp;$A141&amp;"*",'Diags Raw Data'!$AA$6:$AA$3690),SUMIF('Diags Raw Data'!$A$6:$A$3690,"*"&amp;$A141&amp;"*",'Diags Raw Data'!$AB$6:$AB$3690))</f>
        <v>0</v>
      </c>
      <c r="R141" s="494">
        <f t="shared" si="20"/>
        <v>0</v>
      </c>
      <c r="S141" s="494">
        <f t="shared" si="21"/>
        <v>0</v>
      </c>
      <c r="T141" s="495">
        <f t="shared" si="22"/>
        <v>0</v>
      </c>
      <c r="U141" s="436" t="e">
        <f>VLOOKUP(A141,'Diags Raw Data'!$A$6:$AH$3690,33,FALSE)</f>
        <v>#N/A</v>
      </c>
      <c r="V141" s="554" t="s">
        <v>327</v>
      </c>
    </row>
    <row r="142" spans="1:22" ht="45.75" thickBot="1" x14ac:dyDescent="0.3">
      <c r="A142" s="549">
        <v>12.291</v>
      </c>
      <c r="B142" s="438" t="str">
        <f>VLOOKUP(A142,'Feature Raw Data'!$A$3:$B$3922,2,FALSE)</f>
        <v>Remove F32 from CPG and CPC; No BC support in PM4 parsers</v>
      </c>
      <c r="C142" s="439" t="str">
        <f>VLOOKUP(A142,'Feature Raw Data'!$A$3:$C$3922,3,FALSE)</f>
        <v>P2</v>
      </c>
      <c r="D142" s="440" t="str" cm="1">
        <f t="array" ref="D142">_xlfn.TEXTJOIN("",TRUE,IF(ISNUMBER(SEARCH($A142,'Diags Raw Data'!$A$6:$A$3690)),CONCATENATE('Diags Raw Data'!$H$6:$H$3690,", "),""))</f>
        <v/>
      </c>
      <c r="E142" s="340" t="e">
        <f>VLOOKUP(A142,'Diags Raw Data'!$A$6:$D$3690,4,FALSE)</f>
        <v>#N/A</v>
      </c>
      <c r="F142" s="340" t="str">
        <f>VLOOKUP(A142,'Feature Raw Data'!$A$3:$E$3922,5,FALSE)</f>
        <v>New</v>
      </c>
      <c r="G142" s="340" t="str">
        <f t="shared" si="17"/>
        <v>Yes</v>
      </c>
      <c r="H142" s="340" t="str">
        <f t="shared" si="18"/>
        <v>Yes</v>
      </c>
      <c r="I142" s="439">
        <f>SUMIF('Diags Raw Data'!$A$6:$A$3690,"*"&amp;$A142&amp;"*",'Diags Raw Data'!$K$6:$K$3690)</f>
        <v>0</v>
      </c>
      <c r="J142" s="441">
        <f>SUMIF('Diags Raw Data'!$A$6:$A$3690,"*"&amp;$A142&amp;"*",'Diags Raw Data'!$L$6:$L$3690)</f>
        <v>0</v>
      </c>
      <c r="K142" s="487" cm="1">
        <f t="array" ref="K142">IF(D142="",0, SUMPRODUCT(--(ISNUMBER(SEARCH($A142,'Diags Raw Data'!$A$6:$A$3690))),'Diags Raw Data'!$L$6:$L$3690,'Diags Raw Data'!$N$6:$N$3690)/J142)</f>
        <v>0</v>
      </c>
      <c r="L142" s="488" cm="1">
        <f t="array" ref="L142">IF(D142="",0, SUMPRODUCT(--(ISNUMBER(SEARCH($A142,'Diags Raw Data'!$A$6:$A$3690))),'Diags Raw Data'!$L$6:$L$3690,'Diags Raw Data'!$P$6:$P$3690)/J142)</f>
        <v>0</v>
      </c>
      <c r="M142" s="489" cm="1">
        <f t="array" ref="M142">SUMPRODUCT(--(ISNUMBER(SEARCH($A142,'Diags Raw Data'!$A$6:$A$3690))),--('Diags Raw Data'!$Q$6:$Q$3690&lt;&gt;"N/A"),'Diags Raw Data'!$R$6:$R$3690)</f>
        <v>0</v>
      </c>
      <c r="N142" s="490" cm="1">
        <f t="array" ref="N142">SUMPRODUCT(--(ISNUMBER(SEARCH($A142,'Diags Raw Data'!$A$6:$A$3690))),--('Diags Raw Data'!$Q$6:$Q$3690&lt;&gt;"N/A"),'Diags Raw Data'!$T$6:$T$3690)+SUMPRODUCT(--(ISNUMBER(SEARCH($A142,'Diags Raw Data'!$A$6:$A$3690))),--('Diags Raw Data'!$Q$6:$Q$3690&lt;&gt;"N/A"),'Diags Raw Data'!$U$6:$U$3690)</f>
        <v>0</v>
      </c>
      <c r="O142" s="491">
        <f t="shared" si="19"/>
        <v>0</v>
      </c>
      <c r="P142" s="492">
        <f>SUMIF('Diags Raw Data'!$A$6:$A$3690,"*"&amp;$A142&amp;"*",'Diags Raw Data'!$Z$6:$Z$3690)</f>
        <v>0</v>
      </c>
      <c r="Q142" s="493">
        <f>SUM(SUMIF('Diags Raw Data'!$A$6:$A$3690,"*"&amp;$A142&amp;"*",'Diags Raw Data'!$AA$6:$AA$3690),SUMIF('Diags Raw Data'!$A$6:$A$3690,"*"&amp;$A142&amp;"*",'Diags Raw Data'!$AB$6:$AB$3690))</f>
        <v>0</v>
      </c>
      <c r="R142" s="494">
        <f t="shared" si="20"/>
        <v>0</v>
      </c>
      <c r="S142" s="494">
        <f t="shared" si="21"/>
        <v>0</v>
      </c>
      <c r="T142" s="495">
        <f t="shared" si="22"/>
        <v>0</v>
      </c>
      <c r="U142" s="436" t="e">
        <f>VLOOKUP(A142,'Diags Raw Data'!$A$6:$AH$3690,33,FALSE)</f>
        <v>#N/A</v>
      </c>
      <c r="V142" s="554" t="s">
        <v>327</v>
      </c>
    </row>
    <row r="143" spans="1:22" ht="30.75" thickBot="1" x14ac:dyDescent="0.3">
      <c r="A143" s="549">
        <v>12.292</v>
      </c>
      <c r="B143" s="438" t="str">
        <f>VLOOKUP(A143,'Feature Raw Data'!$A$3:$B$3922,2,FALSE)</f>
        <v>move offchip lds manager to GE</v>
      </c>
      <c r="C143" s="439" t="str">
        <f>VLOOKUP(A143,'Feature Raw Data'!$A$3:$C$3922,3,FALSE)</f>
        <v>P1</v>
      </c>
      <c r="D143" s="440" t="str" cm="1">
        <f t="array" ref="D143">_xlfn.TEXTJOIN("",TRUE,IF(ISNUMBER(SEARCH($A143,'Diags Raw Data'!$A$6:$A$3690)),CONCATENATE('Diags Raw Data'!$H$6:$H$3690,", "),""))</f>
        <v xml:space="preserve">ge3.0,std4.34, </v>
      </c>
      <c r="E143" s="340" t="str">
        <f>VLOOKUP(A143,'Diags Raw Data'!$A$6:$D$3690,4,FALSE)</f>
        <v>GEO</v>
      </c>
      <c r="F143" s="340" t="str">
        <f>VLOOKUP(A143,'Feature Raw Data'!$A$3:$E$3922,5,FALSE)</f>
        <v>New</v>
      </c>
      <c r="G143" s="340" t="str">
        <f t="shared" si="17"/>
        <v>Yes</v>
      </c>
      <c r="H143" s="340" t="str">
        <f t="shared" si="18"/>
        <v>Yes</v>
      </c>
      <c r="I143" s="439">
        <f>SUMIF('Diags Raw Data'!$A$6:$A$3690,"*"&amp;$A143&amp;"*",'Diags Raw Data'!$K$6:$K$3690)</f>
        <v>0</v>
      </c>
      <c r="J143" s="441">
        <f>SUMIF('Diags Raw Data'!$A$6:$A$3690,"*"&amp;$A143&amp;"*",'Diags Raw Data'!$L$6:$L$3690)</f>
        <v>0</v>
      </c>
      <c r="K143" s="487" t="e" cm="1">
        <f t="array" ref="K143">IF(D143="",0, SUMPRODUCT(--(ISNUMBER(SEARCH($A143,'Diags Raw Data'!$A$6:$A$3690))),'Diags Raw Data'!$L$6:$L$3690,'Diags Raw Data'!$N$6:$N$3690)/J143)</f>
        <v>#DIV/0!</v>
      </c>
      <c r="L143" s="488" t="e" cm="1">
        <f t="array" ref="L143">IF(D143="",0, SUMPRODUCT(--(ISNUMBER(SEARCH($A143,'Diags Raw Data'!$A$6:$A$3690))),'Diags Raw Data'!$L$6:$L$3690,'Diags Raw Data'!$P$6:$P$3690)/J143)</f>
        <v>#DIV/0!</v>
      </c>
      <c r="M143" s="489" cm="1">
        <f t="array" ref="M143">SUMPRODUCT(--(ISNUMBER(SEARCH($A143,'Diags Raw Data'!$A$6:$A$3690))),--('Diags Raw Data'!$Q$6:$Q$3690&lt;&gt;"N/A"),'Diags Raw Data'!$R$6:$R$3690)</f>
        <v>2</v>
      </c>
      <c r="N143" s="490" cm="1">
        <f t="array" ref="N143">SUMPRODUCT(--(ISNUMBER(SEARCH($A143,'Diags Raw Data'!$A$6:$A$3690))),--('Diags Raw Data'!$Q$6:$Q$3690&lt;&gt;"N/A"),'Diags Raw Data'!$T$6:$T$3690)+SUMPRODUCT(--(ISNUMBER(SEARCH($A143,'Diags Raw Data'!$A$6:$A$3690))),--('Diags Raw Data'!$Q$6:$Q$3690&lt;&gt;"N/A"),'Diags Raw Data'!$U$6:$U$3690)</f>
        <v>1</v>
      </c>
      <c r="O143" s="491">
        <f t="shared" si="19"/>
        <v>0.5</v>
      </c>
      <c r="P143" s="492">
        <f>SUMIF('Diags Raw Data'!$A$6:$A$3690,"*"&amp;$A143&amp;"*",'Diags Raw Data'!$Z$6:$Z$3690)</f>
        <v>0</v>
      </c>
      <c r="Q143" s="493">
        <f>SUM(SUMIF('Diags Raw Data'!$A$6:$A$3690,"*"&amp;$A143&amp;"*",'Diags Raw Data'!$AA$6:$AA$3690),SUMIF('Diags Raw Data'!$A$6:$A$3690,"*"&amp;$A143&amp;"*",'Diags Raw Data'!$AB$6:$AB$3690))</f>
        <v>0</v>
      </c>
      <c r="R143" s="494">
        <f t="shared" si="20"/>
        <v>0</v>
      </c>
      <c r="S143" s="494">
        <f t="shared" si="21"/>
        <v>0</v>
      </c>
      <c r="T143" s="495">
        <f t="shared" si="22"/>
        <v>0</v>
      </c>
      <c r="U143" s="436" t="str">
        <f>VLOOKUP(A143,'Diags Raw Data'!$A$6:$AH$3690,33,FALSE)</f>
        <v>WK5</v>
      </c>
      <c r="V143" s="181"/>
    </row>
    <row r="144" spans="1:22" ht="30.75" thickBot="1" x14ac:dyDescent="0.3">
      <c r="A144" s="549">
        <v>12.294</v>
      </c>
      <c r="B144" s="438" t="str">
        <f>VLOOKUP(A144,'Feature Raw Data'!$A$3:$B$3922,2,FALSE)</f>
        <v>Improve SPI work limiting controls (spi_work_limit_ctrl)</v>
      </c>
      <c r="C144" s="439" t="str">
        <f>VLOOKUP(A144,'Feature Raw Data'!$A$3:$C$3922,3,FALSE)</f>
        <v>P1</v>
      </c>
      <c r="D144" s="440" t="str" cm="1">
        <f t="array" ref="D144">_xlfn.TEXTJOIN("",TRUE,IF(ISNUMBER(SEARCH($A144,'Diags Raw Data'!$A$6:$A$3690)),CONCATENATE('Diags Raw Data'!$H$6:$H$3690,", "),""))</f>
        <v xml:space="preserve">spi2940,spi2941, </v>
      </c>
      <c r="E144" s="340" t="str">
        <f>VLOOKUP(A144,'Diags Raw Data'!$A$6:$D$3690,4,FALSE)</f>
        <v>SIO</v>
      </c>
      <c r="F144" s="340" t="str">
        <f>VLOOKUP(A144,'Feature Raw Data'!$A$3:$E$3922,5,FALSE)</f>
        <v>New</v>
      </c>
      <c r="G144" s="340" t="str">
        <f t="shared" si="17"/>
        <v>Yes</v>
      </c>
      <c r="H144" s="340" t="str">
        <f t="shared" si="18"/>
        <v>Yes</v>
      </c>
      <c r="I144" s="439">
        <f>SUMIF('Diags Raw Data'!$A$6:$A$3690,"*"&amp;$A144&amp;"*",'Diags Raw Data'!$K$6:$K$3690)</f>
        <v>0</v>
      </c>
      <c r="J144" s="441">
        <f>SUMIF('Diags Raw Data'!$A$6:$A$3690,"*"&amp;$A144&amp;"*",'Diags Raw Data'!$L$6:$L$3690)</f>
        <v>0</v>
      </c>
      <c r="K144" s="487" t="e" cm="1">
        <f t="array" ref="K144">IF(D144="",0, SUMPRODUCT(--(ISNUMBER(SEARCH($A144,'Diags Raw Data'!$A$6:$A$3690))),'Diags Raw Data'!$L$6:$L$3690,'Diags Raw Data'!$N$6:$N$3690)/J144)</f>
        <v>#DIV/0!</v>
      </c>
      <c r="L144" s="488" t="e" cm="1">
        <f t="array" ref="L144">IF(D144="",0, SUMPRODUCT(--(ISNUMBER(SEARCH($A144,'Diags Raw Data'!$A$6:$A$3690))),'Diags Raw Data'!$L$6:$L$3690,'Diags Raw Data'!$P$6:$P$3690)/J144)</f>
        <v>#DIV/0!</v>
      </c>
      <c r="M144" s="489" cm="1">
        <f t="array" ref="M144">SUMPRODUCT(--(ISNUMBER(SEARCH($A144,'Diags Raw Data'!$A$6:$A$3690))),--('Diags Raw Data'!$Q$6:$Q$3690&lt;&gt;"N/A"),'Diags Raw Data'!$R$6:$R$3690)</f>
        <v>2</v>
      </c>
      <c r="N144" s="490" cm="1">
        <f t="array" ref="N144">SUMPRODUCT(--(ISNUMBER(SEARCH($A144,'Diags Raw Data'!$A$6:$A$3690))),--('Diags Raw Data'!$Q$6:$Q$3690&lt;&gt;"N/A"),'Diags Raw Data'!$T$6:$T$3690)+SUMPRODUCT(--(ISNUMBER(SEARCH($A144,'Diags Raw Data'!$A$6:$A$3690))),--('Diags Raw Data'!$Q$6:$Q$3690&lt;&gt;"N/A"),'Diags Raw Data'!$U$6:$U$3690)</f>
        <v>2</v>
      </c>
      <c r="O144" s="491">
        <f t="shared" si="19"/>
        <v>1</v>
      </c>
      <c r="P144" s="492">
        <f>SUMIF('Diags Raw Data'!$A$6:$A$3690,"*"&amp;$A144&amp;"*",'Diags Raw Data'!$Z$6:$Z$3690)</f>
        <v>0</v>
      </c>
      <c r="Q144" s="493">
        <f>SUM(SUMIF('Diags Raw Data'!$A$6:$A$3690,"*"&amp;$A144&amp;"*",'Diags Raw Data'!$AA$6:$AA$3690),SUMIF('Diags Raw Data'!$A$6:$A$3690,"*"&amp;$A144&amp;"*",'Diags Raw Data'!$AB$6:$AB$3690))</f>
        <v>0</v>
      </c>
      <c r="R144" s="494">
        <f t="shared" si="20"/>
        <v>0</v>
      </c>
      <c r="S144" s="494">
        <f t="shared" si="21"/>
        <v>0</v>
      </c>
      <c r="T144" s="495">
        <f t="shared" si="22"/>
        <v>0</v>
      </c>
      <c r="U144" s="436" t="str">
        <f>VLOOKUP(A144,'Diags Raw Data'!$A$6:$AH$3690,33,FALSE)</f>
        <v>WK4</v>
      </c>
      <c r="V144" s="181"/>
    </row>
    <row r="145" spans="1:22" ht="60.75" thickBot="1" x14ac:dyDescent="0.3">
      <c r="A145" s="549">
        <v>12.298999999999999</v>
      </c>
      <c r="B145" s="438" t="str">
        <f>VLOOKUP(A145,'Feature Raw Data'!$A$3:$B$3922,2,FALSE)</f>
        <v>[Navi4x] Move RTAVFS/DLDO/DFLL initialization to after CP is running workloads</v>
      </c>
      <c r="C145" s="439" t="str">
        <f>VLOOKUP(A145,'Feature Raw Data'!$A$3:$C$3922,3,FALSE)</f>
        <v>P2</v>
      </c>
      <c r="D145" s="440" t="str" cm="1">
        <f t="array" ref="D145">_xlfn.TEXTJOIN("",TRUE,IF(ISNUMBER(SEARCH($A145,'Diags Raw Data'!$A$6:$A$3690)),CONCATENATE('Diags Raw Data'!$H$6:$H$3690,", "),""))</f>
        <v/>
      </c>
      <c r="E145" s="340" t="e">
        <f>VLOOKUP(A145,'Diags Raw Data'!$A$6:$D$3690,4,FALSE)</f>
        <v>#N/A</v>
      </c>
      <c r="F145" s="340" t="str">
        <f>VLOOKUP(A145,'Feature Raw Data'!$A$3:$E$3922,5,FALSE)</f>
        <v>New</v>
      </c>
      <c r="G145" s="340" t="str">
        <f t="shared" si="17"/>
        <v>Yes</v>
      </c>
      <c r="H145" s="340" t="str">
        <f t="shared" si="18"/>
        <v>Yes</v>
      </c>
      <c r="I145" s="439">
        <f>SUMIF('Diags Raw Data'!$A$6:$A$3690,"*"&amp;$A145&amp;"*",'Diags Raw Data'!$K$6:$K$3690)</f>
        <v>0</v>
      </c>
      <c r="J145" s="441">
        <f>SUMIF('Diags Raw Data'!$A$6:$A$3690,"*"&amp;$A145&amp;"*",'Diags Raw Data'!$L$6:$L$3690)</f>
        <v>0</v>
      </c>
      <c r="K145" s="487" cm="1">
        <f t="array" ref="K145">IF(D145="",0, SUMPRODUCT(--(ISNUMBER(SEARCH($A145,'Diags Raw Data'!$A$6:$A$3690))),'Diags Raw Data'!$L$6:$L$3690,'Diags Raw Data'!$N$6:$N$3690)/J145)</f>
        <v>0</v>
      </c>
      <c r="L145" s="488" cm="1">
        <f t="array" ref="L145">IF(D145="",0, SUMPRODUCT(--(ISNUMBER(SEARCH($A145,'Diags Raw Data'!$A$6:$A$3690))),'Diags Raw Data'!$L$6:$L$3690,'Diags Raw Data'!$P$6:$P$3690)/J145)</f>
        <v>0</v>
      </c>
      <c r="M145" s="489" cm="1">
        <f t="array" ref="M145">SUMPRODUCT(--(ISNUMBER(SEARCH($A145,'Diags Raw Data'!$A$6:$A$3690))),--('Diags Raw Data'!$Q$6:$Q$3690&lt;&gt;"N/A"),'Diags Raw Data'!$R$6:$R$3690)</f>
        <v>0</v>
      </c>
      <c r="N145" s="490" cm="1">
        <f t="array" ref="N145">SUMPRODUCT(--(ISNUMBER(SEARCH($A145,'Diags Raw Data'!$A$6:$A$3690))),--('Diags Raw Data'!$Q$6:$Q$3690&lt;&gt;"N/A"),'Diags Raw Data'!$T$6:$T$3690)+SUMPRODUCT(--(ISNUMBER(SEARCH($A145,'Diags Raw Data'!$A$6:$A$3690))),--('Diags Raw Data'!$Q$6:$Q$3690&lt;&gt;"N/A"),'Diags Raw Data'!$U$6:$U$3690)</f>
        <v>0</v>
      </c>
      <c r="O145" s="491">
        <f t="shared" si="19"/>
        <v>0</v>
      </c>
      <c r="P145" s="492">
        <f>SUMIF('Diags Raw Data'!$A$6:$A$3690,"*"&amp;$A145&amp;"*",'Diags Raw Data'!$Z$6:$Z$3690)</f>
        <v>0</v>
      </c>
      <c r="Q145" s="493">
        <f>SUM(SUMIF('Diags Raw Data'!$A$6:$A$3690,"*"&amp;$A145&amp;"*",'Diags Raw Data'!$AA$6:$AA$3690),SUMIF('Diags Raw Data'!$A$6:$A$3690,"*"&amp;$A145&amp;"*",'Diags Raw Data'!$AB$6:$AB$3690))</f>
        <v>0</v>
      </c>
      <c r="R145" s="494">
        <f t="shared" si="20"/>
        <v>0</v>
      </c>
      <c r="S145" s="494">
        <f t="shared" si="21"/>
        <v>0</v>
      </c>
      <c r="T145" s="495">
        <f t="shared" si="22"/>
        <v>0</v>
      </c>
      <c r="U145" s="436" t="e">
        <f>VLOOKUP(A145,'Diags Raw Data'!$A$6:$AH$3690,33,FALSE)</f>
        <v>#N/A</v>
      </c>
      <c r="V145" s="181"/>
    </row>
    <row r="146" spans="1:22" ht="240.75" thickBot="1" x14ac:dyDescent="0.3">
      <c r="A146" s="549">
        <v>12.3</v>
      </c>
      <c r="B146" s="438" t="str">
        <f>VLOOKUP(A146,'Feature Raw Data'!$A$3:$B$3922,2,FALSE)</f>
        <v>[Navi4x] SDMA ucode caching</v>
      </c>
      <c r="C146" s="439" t="str">
        <f>VLOOKUP(A146,'Feature Raw Data'!$A$3:$C$3922,3,FALSE)</f>
        <v>P2</v>
      </c>
      <c r="D146" s="440" t="str" cm="1">
        <f t="array" ref="D146">_xlfn.TEXTJOIN("",TRUE,IF(ISNUMBER(SEARCH($A146,'Diags Raw Data'!$A$6:$A$3690)),CONCATENATE('Diags Raw Data'!$H$6:$H$3690,", "),""))</f>
        <v xml:space="preserve">placeholder_s.1, placeholder_h.1, gfx.ieee_min_max, glxi29.8, gfx.cmm_sax_utcl0_invalidation_monolithic/utcl0_enable, STD1.6,GCI30.3, placeholder_t.1, GCI28.3, std1.6,with,tgre,spm,&amp;,sqtt, glxi86.1-2, std1.6,with,tgre,spm,cp,test,with,spm, rlc1.0, std1.1,with,legacy,pv_proxy, rlc1.0,rlc1.1, gfx.inst_perf/global_load_tr.*, shci2039.4,shci2039.5, gfx.inst_perf/v_dual_mov_b32, std1.6,2.6,3.6,4.6, </v>
      </c>
      <c r="E146" s="340" t="e">
        <f>VLOOKUP(A146,'Diags Raw Data'!$A$6:$D$3690,4,FALSE)</f>
        <v>#N/A</v>
      </c>
      <c r="F146" s="340" t="str">
        <f>VLOOKUP(A146,'Feature Raw Data'!$A$3:$E$3922,5,FALSE)</f>
        <v>New</v>
      </c>
      <c r="G146" s="340" t="str">
        <f t="shared" si="17"/>
        <v>Yes</v>
      </c>
      <c r="H146" s="340" t="str">
        <f t="shared" si="18"/>
        <v>Yes</v>
      </c>
      <c r="I146" s="439">
        <f>SUMIF('Diags Raw Data'!$A$6:$A$3690,"*"&amp;$A146&amp;"*",'Diags Raw Data'!$K$6:$K$3690)</f>
        <v>0</v>
      </c>
      <c r="J146" s="441">
        <f>SUMIF('Diags Raw Data'!$A$6:$A$3690,"*"&amp;$A146&amp;"*",'Diags Raw Data'!$L$6:$L$3690)</f>
        <v>0</v>
      </c>
      <c r="K146" s="487" t="e" cm="1">
        <f t="array" ref="K146">IF(D146="",0, SUMPRODUCT(--(ISNUMBER(SEARCH($A146,'Diags Raw Data'!$A$6:$A$3690))),'Diags Raw Data'!$L$6:$L$3690,'Diags Raw Data'!$N$6:$N$3690)/J146)</f>
        <v>#DIV/0!</v>
      </c>
      <c r="L146" s="488" t="e" cm="1">
        <f t="array" ref="L146">IF(D146="",0, SUMPRODUCT(--(ISNUMBER(SEARCH($A146,'Diags Raw Data'!$A$6:$A$3690))),'Diags Raw Data'!$L$6:$L$3690,'Diags Raw Data'!$P$6:$P$3690)/J146)</f>
        <v>#DIV/0!</v>
      </c>
      <c r="M146" s="489" cm="1">
        <f t="array" ref="M146">SUMPRODUCT(--(ISNUMBER(SEARCH($A146,'Diags Raw Data'!$A$6:$A$3690))),--('Diags Raw Data'!$Q$6:$Q$3690&lt;&gt;"N/A"),'Diags Raw Data'!$R$6:$R$3690)</f>
        <v>26</v>
      </c>
      <c r="N146" s="490" cm="1">
        <f t="array" ref="N146">SUMPRODUCT(--(ISNUMBER(SEARCH($A146,'Diags Raw Data'!$A$6:$A$3690))),--('Diags Raw Data'!$Q$6:$Q$3690&lt;&gt;"N/A"),'Diags Raw Data'!$T$6:$T$3690)+SUMPRODUCT(--(ISNUMBER(SEARCH($A146,'Diags Raw Data'!$A$6:$A$3690))),--('Diags Raw Data'!$Q$6:$Q$3690&lt;&gt;"N/A"),'Diags Raw Data'!$U$6:$U$3690)</f>
        <v>17</v>
      </c>
      <c r="O146" s="491">
        <f t="shared" si="19"/>
        <v>0.65384615384615385</v>
      </c>
      <c r="P146" s="492">
        <f>SUMIF('Diags Raw Data'!$A$6:$A$3690,"*"&amp;$A146&amp;"*",'Diags Raw Data'!$Z$6:$Z$3690)</f>
        <v>0</v>
      </c>
      <c r="Q146" s="493">
        <f>SUM(SUMIF('Diags Raw Data'!$A$6:$A$3690,"*"&amp;$A146&amp;"*",'Diags Raw Data'!$AA$6:$AA$3690),SUMIF('Diags Raw Data'!$A$6:$A$3690,"*"&amp;$A146&amp;"*",'Diags Raw Data'!$AB$6:$AB$3690))</f>
        <v>0</v>
      </c>
      <c r="R146" s="494">
        <f t="shared" si="20"/>
        <v>0</v>
      </c>
      <c r="S146" s="494">
        <f t="shared" si="21"/>
        <v>0</v>
      </c>
      <c r="T146" s="495">
        <f t="shared" si="22"/>
        <v>0</v>
      </c>
      <c r="U146" s="436" t="e">
        <f>VLOOKUP(A146,'Diags Raw Data'!$A$6:$AH$3690,33,FALSE)</f>
        <v>#N/A</v>
      </c>
      <c r="V146" s="181"/>
    </row>
    <row r="147" spans="1:22" ht="45.75" thickBot="1" x14ac:dyDescent="0.3">
      <c r="A147" s="549">
        <v>12.301</v>
      </c>
      <c r="B147" s="438" t="str">
        <f>VLOOKUP(A147,'Feature Raw Data'!$A$3:$B$3922,2,FALSE)</f>
        <v>[Navi4x] CP ucode firmware execution speed-up via cache priming</v>
      </c>
      <c r="C147" s="439" t="str">
        <f>VLOOKUP(A147,'Feature Raw Data'!$A$3:$C$3922,3,FALSE)</f>
        <v>P2</v>
      </c>
      <c r="D147" s="440" t="str" cm="1">
        <f t="array" ref="D147">_xlfn.TEXTJOIN("",TRUE,IF(ISNUMBER(SEARCH($A147,'Diags Raw Data'!$A$6:$A$3690)),CONCATENATE('Diags Raw Data'!$H$6:$H$3690,", "),""))</f>
        <v xml:space="preserve">placeholder_s.1, </v>
      </c>
      <c r="E147" s="340" t="str">
        <f>VLOOKUP(A147,'Diags Raw Data'!$A$6:$D$3690,4,FALSE)</f>
        <v>CTL</v>
      </c>
      <c r="F147" s="340" t="str">
        <f>VLOOKUP(A147,'Feature Raw Data'!$A$3:$E$3922,5,FALSE)</f>
        <v>New</v>
      </c>
      <c r="G147" s="340" t="str">
        <f t="shared" si="17"/>
        <v>Yes</v>
      </c>
      <c r="H147" s="340" t="str">
        <f t="shared" si="18"/>
        <v>Yes</v>
      </c>
      <c r="I147" s="439">
        <f>SUMIF('Diags Raw Data'!$A$6:$A$3690,"*"&amp;$A147&amp;"*",'Diags Raw Data'!$K$6:$K$3690)</f>
        <v>0</v>
      </c>
      <c r="J147" s="441">
        <f>SUMIF('Diags Raw Data'!$A$6:$A$3690,"*"&amp;$A147&amp;"*",'Diags Raw Data'!$L$6:$L$3690)</f>
        <v>0</v>
      </c>
      <c r="K147" s="487" t="e" cm="1">
        <f t="array" ref="K147">IF(D147="",0, SUMPRODUCT(--(ISNUMBER(SEARCH($A147,'Diags Raw Data'!$A$6:$A$3690))),'Diags Raw Data'!$L$6:$L$3690,'Diags Raw Data'!$N$6:$N$3690)/J147)</f>
        <v>#DIV/0!</v>
      </c>
      <c r="L147" s="488" t="e" cm="1">
        <f t="array" ref="L147">IF(D147="",0, SUMPRODUCT(--(ISNUMBER(SEARCH($A147,'Diags Raw Data'!$A$6:$A$3690))),'Diags Raw Data'!$L$6:$L$3690,'Diags Raw Data'!$P$6:$P$3690)/J147)</f>
        <v>#DIV/0!</v>
      </c>
      <c r="M147" s="489" cm="1">
        <f t="array" ref="M147">SUMPRODUCT(--(ISNUMBER(SEARCH($A147,'Diags Raw Data'!$A$6:$A$3690))),--('Diags Raw Data'!$Q$6:$Q$3690&lt;&gt;"N/A"),'Diags Raw Data'!$R$6:$R$3690)</f>
        <v>1</v>
      </c>
      <c r="N147" s="490" cm="1">
        <f t="array" ref="N147">SUMPRODUCT(--(ISNUMBER(SEARCH($A147,'Diags Raw Data'!$A$6:$A$3690))),--('Diags Raw Data'!$Q$6:$Q$3690&lt;&gt;"N/A"),'Diags Raw Data'!$T$6:$T$3690)+SUMPRODUCT(--(ISNUMBER(SEARCH($A147,'Diags Raw Data'!$A$6:$A$3690))),--('Diags Raw Data'!$Q$6:$Q$3690&lt;&gt;"N/A"),'Diags Raw Data'!$U$6:$U$3690)</f>
        <v>0</v>
      </c>
      <c r="O147" s="491">
        <f t="shared" si="19"/>
        <v>0</v>
      </c>
      <c r="P147" s="492">
        <f>SUMIF('Diags Raw Data'!$A$6:$A$3690,"*"&amp;$A147&amp;"*",'Diags Raw Data'!$Z$6:$Z$3690)</f>
        <v>0</v>
      </c>
      <c r="Q147" s="493">
        <f>SUM(SUMIF('Diags Raw Data'!$A$6:$A$3690,"*"&amp;$A147&amp;"*",'Diags Raw Data'!$AA$6:$AA$3690),SUMIF('Diags Raw Data'!$A$6:$A$3690,"*"&amp;$A147&amp;"*",'Diags Raw Data'!$AB$6:$AB$3690))</f>
        <v>0</v>
      </c>
      <c r="R147" s="494">
        <f t="shared" si="20"/>
        <v>0</v>
      </c>
      <c r="S147" s="494">
        <f t="shared" si="21"/>
        <v>0</v>
      </c>
      <c r="T147" s="495">
        <f t="shared" si="22"/>
        <v>0</v>
      </c>
      <c r="U147" s="436" t="str">
        <f>VLOOKUP(A147,'Diags Raw Data'!$A$6:$AH$3690,33,FALSE)</f>
        <v>WK7</v>
      </c>
      <c r="V147" s="181"/>
    </row>
    <row r="148" spans="1:22" ht="60.75" thickBot="1" x14ac:dyDescent="0.3">
      <c r="A148" s="549">
        <v>12.302</v>
      </c>
      <c r="B148" s="438" t="str">
        <f>VLOOKUP(A148,'Feature Raw Data'!$A$3:$B$3922,2,FALSE)</f>
        <v>[Navi4x] Remove SDMA load/run commands or disallow DRAM access allowed for load/run commands</v>
      </c>
      <c r="C148" s="439" t="str">
        <f>VLOOKUP(A148,'Feature Raw Data'!$A$3:$C$3922,3,FALSE)</f>
        <v>P2</v>
      </c>
      <c r="D148" s="440" t="str" cm="1">
        <f t="array" ref="D148">_xlfn.TEXTJOIN("",TRUE,IF(ISNUMBER(SEARCH($A148,'Diags Raw Data'!$A$6:$A$3690)),CONCATENATE('Diags Raw Data'!$H$6:$H$3690,", "),""))</f>
        <v/>
      </c>
      <c r="E148" s="340" t="e">
        <f>VLOOKUP(A148,'Diags Raw Data'!$A$6:$D$3690,4,FALSE)</f>
        <v>#N/A</v>
      </c>
      <c r="F148" s="340" t="str">
        <f>VLOOKUP(A148,'Feature Raw Data'!$A$3:$E$3922,5,FALSE)</f>
        <v>New</v>
      </c>
      <c r="G148" s="340" t="str">
        <f t="shared" si="17"/>
        <v>Yes</v>
      </c>
      <c r="H148" s="340" t="str">
        <f t="shared" si="18"/>
        <v>Yes</v>
      </c>
      <c r="I148" s="439">
        <f>SUMIF('Diags Raw Data'!$A$6:$A$3690,"*"&amp;$A148&amp;"*",'Diags Raw Data'!$K$6:$K$3690)</f>
        <v>0</v>
      </c>
      <c r="J148" s="441">
        <f>SUMIF('Diags Raw Data'!$A$6:$A$3690,"*"&amp;$A148&amp;"*",'Diags Raw Data'!$L$6:$L$3690)</f>
        <v>0</v>
      </c>
      <c r="K148" s="487" cm="1">
        <f t="array" ref="K148">IF(D148="",0, SUMPRODUCT(--(ISNUMBER(SEARCH($A148,'Diags Raw Data'!$A$6:$A$3690))),'Diags Raw Data'!$L$6:$L$3690,'Diags Raw Data'!$N$6:$N$3690)/J148)</f>
        <v>0</v>
      </c>
      <c r="L148" s="488" cm="1">
        <f t="array" ref="L148">IF(D148="",0, SUMPRODUCT(--(ISNUMBER(SEARCH($A148,'Diags Raw Data'!$A$6:$A$3690))),'Diags Raw Data'!$L$6:$L$3690,'Diags Raw Data'!$P$6:$P$3690)/J148)</f>
        <v>0</v>
      </c>
      <c r="M148" s="489" cm="1">
        <f t="array" ref="M148">SUMPRODUCT(--(ISNUMBER(SEARCH($A148,'Diags Raw Data'!$A$6:$A$3690))),--('Diags Raw Data'!$Q$6:$Q$3690&lt;&gt;"N/A"),'Diags Raw Data'!$R$6:$R$3690)</f>
        <v>0</v>
      </c>
      <c r="N148" s="490" cm="1">
        <f t="array" ref="N148">SUMPRODUCT(--(ISNUMBER(SEARCH($A148,'Diags Raw Data'!$A$6:$A$3690))),--('Diags Raw Data'!$Q$6:$Q$3690&lt;&gt;"N/A"),'Diags Raw Data'!$T$6:$T$3690)+SUMPRODUCT(--(ISNUMBER(SEARCH($A148,'Diags Raw Data'!$A$6:$A$3690))),--('Diags Raw Data'!$Q$6:$Q$3690&lt;&gt;"N/A"),'Diags Raw Data'!$U$6:$U$3690)</f>
        <v>0</v>
      </c>
      <c r="O148" s="491">
        <f t="shared" si="19"/>
        <v>0</v>
      </c>
      <c r="P148" s="492">
        <f>SUMIF('Diags Raw Data'!$A$6:$A$3690,"*"&amp;$A148&amp;"*",'Diags Raw Data'!$Z$6:$Z$3690)</f>
        <v>0</v>
      </c>
      <c r="Q148" s="493">
        <f>SUM(SUMIF('Diags Raw Data'!$A$6:$A$3690,"*"&amp;$A148&amp;"*",'Diags Raw Data'!$AA$6:$AA$3690),SUMIF('Diags Raw Data'!$A$6:$A$3690,"*"&amp;$A148&amp;"*",'Diags Raw Data'!$AB$6:$AB$3690))</f>
        <v>0</v>
      </c>
      <c r="R148" s="494">
        <f t="shared" si="20"/>
        <v>0</v>
      </c>
      <c r="S148" s="494">
        <f t="shared" si="21"/>
        <v>0</v>
      </c>
      <c r="T148" s="495">
        <f t="shared" si="22"/>
        <v>0</v>
      </c>
      <c r="U148" s="436" t="e">
        <f>VLOOKUP(A148,'Diags Raw Data'!$A$6:$AH$3690,33,FALSE)</f>
        <v>#N/A</v>
      </c>
      <c r="V148" s="554" t="s">
        <v>327</v>
      </c>
    </row>
    <row r="149" spans="1:22" ht="15.75" thickBot="1" x14ac:dyDescent="0.3">
      <c r="A149" s="549">
        <v>12.308</v>
      </c>
      <c r="B149" s="438" t="str">
        <f>VLOOKUP(A149,'Feature Raw Data'!$A$3:$B$3922,2,FALSE)</f>
        <v>RS64 Debug Enablement</v>
      </c>
      <c r="C149" s="439" t="str">
        <f>VLOOKUP(A149,'Feature Raw Data'!$A$3:$C$3922,3,FALSE)</f>
        <v>P1</v>
      </c>
      <c r="D149" s="440" t="str" cm="1">
        <f t="array" ref="D149">_xlfn.TEXTJOIN("",TRUE,IF(ISNUMBER(SEARCH($A149,'Diags Raw Data'!$A$6:$A$3690)),CONCATENATE('Diags Raw Data'!$H$6:$H$3690,", "),""))</f>
        <v/>
      </c>
      <c r="E149" s="340" t="e">
        <f>VLOOKUP(A149,'Diags Raw Data'!$A$6:$D$3690,4,FALSE)</f>
        <v>#N/A</v>
      </c>
      <c r="F149" s="340" t="str">
        <f>VLOOKUP(A149,'Feature Raw Data'!$A$3:$E$3922,5,FALSE)</f>
        <v>New</v>
      </c>
      <c r="G149" s="340" t="str">
        <f t="shared" si="17"/>
        <v>Yes</v>
      </c>
      <c r="H149" s="340" t="str">
        <f t="shared" si="18"/>
        <v>Yes</v>
      </c>
      <c r="I149" s="439">
        <f>SUMIF('Diags Raw Data'!$A$6:$A$3690,"*"&amp;$A149&amp;"*",'Diags Raw Data'!$K$6:$K$3690)</f>
        <v>0</v>
      </c>
      <c r="J149" s="441">
        <f>SUMIF('Diags Raw Data'!$A$6:$A$3690,"*"&amp;$A149&amp;"*",'Diags Raw Data'!$L$6:$L$3690)</f>
        <v>0</v>
      </c>
      <c r="K149" s="487" cm="1">
        <f t="array" ref="K149">IF(D149="",0, SUMPRODUCT(--(ISNUMBER(SEARCH($A149,'Diags Raw Data'!$A$6:$A$3690))),'Diags Raw Data'!$L$6:$L$3690,'Diags Raw Data'!$N$6:$N$3690)/J149)</f>
        <v>0</v>
      </c>
      <c r="L149" s="488" cm="1">
        <f t="array" ref="L149">IF(D149="",0, SUMPRODUCT(--(ISNUMBER(SEARCH($A149,'Diags Raw Data'!$A$6:$A$3690))),'Diags Raw Data'!$L$6:$L$3690,'Diags Raw Data'!$P$6:$P$3690)/J149)</f>
        <v>0</v>
      </c>
      <c r="M149" s="489" cm="1">
        <f t="array" ref="M149">SUMPRODUCT(--(ISNUMBER(SEARCH($A149,'Diags Raw Data'!$A$6:$A$3690))),--('Diags Raw Data'!$Q$6:$Q$3690&lt;&gt;"N/A"),'Diags Raw Data'!$R$6:$R$3690)</f>
        <v>0</v>
      </c>
      <c r="N149" s="490" cm="1">
        <f t="array" ref="N149">SUMPRODUCT(--(ISNUMBER(SEARCH($A149,'Diags Raw Data'!$A$6:$A$3690))),--('Diags Raw Data'!$Q$6:$Q$3690&lt;&gt;"N/A"),'Diags Raw Data'!$T$6:$T$3690)+SUMPRODUCT(--(ISNUMBER(SEARCH($A149,'Diags Raw Data'!$A$6:$A$3690))),--('Diags Raw Data'!$Q$6:$Q$3690&lt;&gt;"N/A"),'Diags Raw Data'!$U$6:$U$3690)</f>
        <v>0</v>
      </c>
      <c r="O149" s="491">
        <f t="shared" si="19"/>
        <v>0</v>
      </c>
      <c r="P149" s="492">
        <f>SUMIF('Diags Raw Data'!$A$6:$A$3690,"*"&amp;$A149&amp;"*",'Diags Raw Data'!$Z$6:$Z$3690)</f>
        <v>0</v>
      </c>
      <c r="Q149" s="493">
        <f>SUM(SUMIF('Diags Raw Data'!$A$6:$A$3690,"*"&amp;$A149&amp;"*",'Diags Raw Data'!$AA$6:$AA$3690),SUMIF('Diags Raw Data'!$A$6:$A$3690,"*"&amp;$A149&amp;"*",'Diags Raw Data'!$AB$6:$AB$3690))</f>
        <v>0</v>
      </c>
      <c r="R149" s="494">
        <f t="shared" si="20"/>
        <v>0</v>
      </c>
      <c r="S149" s="494">
        <f t="shared" si="21"/>
        <v>0</v>
      </c>
      <c r="T149" s="495">
        <f t="shared" si="22"/>
        <v>0</v>
      </c>
      <c r="U149" s="436" t="e">
        <f>VLOOKUP(A149,'Diags Raw Data'!$A$6:$AH$3690,33,FALSE)</f>
        <v>#N/A</v>
      </c>
      <c r="V149" s="181"/>
    </row>
    <row r="150" spans="1:22" ht="30.75" thickBot="1" x14ac:dyDescent="0.3">
      <c r="A150" s="549">
        <v>12.31</v>
      </c>
      <c r="B150" s="438" t="str">
        <f>VLOOKUP(A150,'Feature Raw Data'!$A$3:$B$3922,2,FALSE)</f>
        <v>SED client to 256B reads</v>
      </c>
      <c r="C150" s="439" t="str">
        <f>VLOOKUP(A150,'Feature Raw Data'!$A$3:$C$3922,3,FALSE)</f>
        <v>P1</v>
      </c>
      <c r="D150" s="440" t="str" cm="1">
        <f t="array" ref="D150">_xlfn.TEXTJOIN("",TRUE,IF(ISNUMBER(SEARCH($A150,'Diags Raw Data'!$A$6:$A$3690)),CONCATENATE('Diags Raw Data'!$H$6:$H$3690,", "),""))</f>
        <v xml:space="preserve">placeholder_h.1, gfx.ieee_min_max, glxi29.8, </v>
      </c>
      <c r="E150" s="340" t="str">
        <f>VLOOKUP(A150,'Diags Raw Data'!$A$6:$D$3690,4,FALSE)</f>
        <v>CMM</v>
      </c>
      <c r="F150" s="340" t="str">
        <f>VLOOKUP(A150,'Feature Raw Data'!$A$3:$E$3922,5,FALSE)</f>
        <v>New</v>
      </c>
      <c r="G150" s="340" t="str">
        <f t="shared" si="17"/>
        <v>Yes</v>
      </c>
      <c r="H150" s="340" t="str">
        <f t="shared" si="18"/>
        <v>Yes</v>
      </c>
      <c r="I150" s="439">
        <f>SUMIF('Diags Raw Data'!$A$6:$A$3690,"*"&amp;$A150&amp;"*",'Diags Raw Data'!$K$6:$K$3690)</f>
        <v>0</v>
      </c>
      <c r="J150" s="441">
        <f>SUMIF('Diags Raw Data'!$A$6:$A$3690,"*"&amp;$A150&amp;"*",'Diags Raw Data'!$L$6:$L$3690)</f>
        <v>0</v>
      </c>
      <c r="K150" s="487" t="e" cm="1">
        <f t="array" ref="K150">IF(D150="",0, SUMPRODUCT(--(ISNUMBER(SEARCH($A150,'Diags Raw Data'!$A$6:$A$3690))),'Diags Raw Data'!$L$6:$L$3690,'Diags Raw Data'!$N$6:$N$3690)/J150)</f>
        <v>#DIV/0!</v>
      </c>
      <c r="L150" s="488" t="e" cm="1">
        <f t="array" ref="L150">IF(D150="",0, SUMPRODUCT(--(ISNUMBER(SEARCH($A150,'Diags Raw Data'!$A$6:$A$3690))),'Diags Raw Data'!$L$6:$L$3690,'Diags Raw Data'!$P$6:$P$3690)/J150)</f>
        <v>#DIV/0!</v>
      </c>
      <c r="M150" s="489" cm="1">
        <f t="array" ref="M150">SUMPRODUCT(--(ISNUMBER(SEARCH($A150,'Diags Raw Data'!$A$6:$A$3690))),--('Diags Raw Data'!$Q$6:$Q$3690&lt;&gt;"N/A"),'Diags Raw Data'!$R$6:$R$3690)</f>
        <v>3</v>
      </c>
      <c r="N150" s="490" cm="1">
        <f t="array" ref="N150">SUMPRODUCT(--(ISNUMBER(SEARCH($A150,'Diags Raw Data'!$A$6:$A$3690))),--('Diags Raw Data'!$Q$6:$Q$3690&lt;&gt;"N/A"),'Diags Raw Data'!$T$6:$T$3690)+SUMPRODUCT(--(ISNUMBER(SEARCH($A150,'Diags Raw Data'!$A$6:$A$3690))),--('Diags Raw Data'!$Q$6:$Q$3690&lt;&gt;"N/A"),'Diags Raw Data'!$U$6:$U$3690)</f>
        <v>2</v>
      </c>
      <c r="O150" s="491">
        <f t="shared" si="19"/>
        <v>0.66666666666666663</v>
      </c>
      <c r="P150" s="492">
        <f>SUMIF('Diags Raw Data'!$A$6:$A$3690,"*"&amp;$A150&amp;"*",'Diags Raw Data'!$Z$6:$Z$3690)</f>
        <v>0</v>
      </c>
      <c r="Q150" s="493">
        <f>SUM(SUMIF('Diags Raw Data'!$A$6:$A$3690,"*"&amp;$A150&amp;"*",'Diags Raw Data'!$AA$6:$AA$3690),SUMIF('Diags Raw Data'!$A$6:$A$3690,"*"&amp;$A150&amp;"*",'Diags Raw Data'!$AB$6:$AB$3690))</f>
        <v>0</v>
      </c>
      <c r="R150" s="494">
        <f t="shared" si="20"/>
        <v>0</v>
      </c>
      <c r="S150" s="494">
        <f t="shared" si="21"/>
        <v>0</v>
      </c>
      <c r="T150" s="495">
        <f t="shared" si="22"/>
        <v>0</v>
      </c>
      <c r="U150" s="436" t="str">
        <f>VLOOKUP(A150,'Diags Raw Data'!$A$6:$AH$3690,33,FALSE)</f>
        <v>WK2</v>
      </c>
      <c r="V150" s="181"/>
    </row>
    <row r="151" spans="1:22" ht="30.75" thickBot="1" x14ac:dyDescent="0.3">
      <c r="A151" s="549">
        <v>12.311</v>
      </c>
      <c r="B151" s="438" t="str">
        <f>VLOOKUP(A151,'Feature Raw Data'!$A$3:$B$3922,2,FALSE)</f>
        <v>Shader VALU min/max IEEE compliant</v>
      </c>
      <c r="C151" s="439" t="str">
        <f>VLOOKUP(A151,'Feature Raw Data'!$A$3:$C$3922,3,FALSE)</f>
        <v>P1</v>
      </c>
      <c r="D151" s="440" t="str" cm="1">
        <f t="array" ref="D151">_xlfn.TEXTJOIN("",TRUE,IF(ISNUMBER(SEARCH($A151,'Diags Raw Data'!$A$6:$A$3690)),CONCATENATE('Diags Raw Data'!$H$6:$H$3690,", "),""))</f>
        <v xml:space="preserve">gfx.ieee_min_max, </v>
      </c>
      <c r="E151" s="340" t="str">
        <f>VLOOKUP(A151,'Diags Raw Data'!$A$6:$D$3690,4,FALSE)</f>
        <v>SH</v>
      </c>
      <c r="F151" s="340" t="str">
        <f>VLOOKUP(A151,'Feature Raw Data'!$A$3:$E$3922,5,FALSE)</f>
        <v>New</v>
      </c>
      <c r="G151" s="340" t="str">
        <f t="shared" si="17"/>
        <v>Yes</v>
      </c>
      <c r="H151" s="340" t="str">
        <f t="shared" si="18"/>
        <v>Yes</v>
      </c>
      <c r="I151" s="439">
        <f>SUMIF('Diags Raw Data'!$A$6:$A$3690,"*"&amp;$A151&amp;"*",'Diags Raw Data'!$K$6:$K$3690)</f>
        <v>0</v>
      </c>
      <c r="J151" s="441">
        <f>SUMIF('Diags Raw Data'!$A$6:$A$3690,"*"&amp;$A151&amp;"*",'Diags Raw Data'!$L$6:$L$3690)</f>
        <v>0</v>
      </c>
      <c r="K151" s="487" t="e" cm="1">
        <f t="array" ref="K151">IF(D151="",0, SUMPRODUCT(--(ISNUMBER(SEARCH($A151,'Diags Raw Data'!$A$6:$A$3690))),'Diags Raw Data'!$L$6:$L$3690,'Diags Raw Data'!$N$6:$N$3690)/J151)</f>
        <v>#DIV/0!</v>
      </c>
      <c r="L151" s="488" t="e" cm="1">
        <f t="array" ref="L151">IF(D151="",0, SUMPRODUCT(--(ISNUMBER(SEARCH($A151,'Diags Raw Data'!$A$6:$A$3690))),'Diags Raw Data'!$L$6:$L$3690,'Diags Raw Data'!$P$6:$P$3690)/J151)</f>
        <v>#DIV/0!</v>
      </c>
      <c r="M151" s="489" cm="1">
        <f t="array" ref="M151">SUMPRODUCT(--(ISNUMBER(SEARCH($A151,'Diags Raw Data'!$A$6:$A$3690))),--('Diags Raw Data'!$Q$6:$Q$3690&lt;&gt;"N/A"),'Diags Raw Data'!$R$6:$R$3690)</f>
        <v>1</v>
      </c>
      <c r="N151" s="490" cm="1">
        <f t="array" ref="N151">SUMPRODUCT(--(ISNUMBER(SEARCH($A151,'Diags Raw Data'!$A$6:$A$3690))),--('Diags Raw Data'!$Q$6:$Q$3690&lt;&gt;"N/A"),'Diags Raw Data'!$T$6:$T$3690)+SUMPRODUCT(--(ISNUMBER(SEARCH($A151,'Diags Raw Data'!$A$6:$A$3690))),--('Diags Raw Data'!$Q$6:$Q$3690&lt;&gt;"N/A"),'Diags Raw Data'!$U$6:$U$3690)</f>
        <v>1</v>
      </c>
      <c r="O151" s="491">
        <f t="shared" si="19"/>
        <v>1</v>
      </c>
      <c r="P151" s="492">
        <f>SUMIF('Diags Raw Data'!$A$6:$A$3690,"*"&amp;$A151&amp;"*",'Diags Raw Data'!$Z$6:$Z$3690)</f>
        <v>0</v>
      </c>
      <c r="Q151" s="493">
        <f>SUM(SUMIF('Diags Raw Data'!$A$6:$A$3690,"*"&amp;$A151&amp;"*",'Diags Raw Data'!$AA$6:$AA$3690),SUMIF('Diags Raw Data'!$A$6:$A$3690,"*"&amp;$A151&amp;"*",'Diags Raw Data'!$AB$6:$AB$3690))</f>
        <v>0</v>
      </c>
      <c r="R151" s="494">
        <f t="shared" si="20"/>
        <v>0</v>
      </c>
      <c r="S151" s="494">
        <f t="shared" si="21"/>
        <v>0</v>
      </c>
      <c r="T151" s="495">
        <f t="shared" si="22"/>
        <v>0</v>
      </c>
      <c r="U151" s="436" t="str">
        <f>VLOOKUP(A151,'Diags Raw Data'!$A$6:$AH$3690,33,FALSE)</f>
        <v>WK1</v>
      </c>
      <c r="V151" s="181"/>
    </row>
    <row r="152" spans="1:22" ht="45.75" thickBot="1" x14ac:dyDescent="0.3">
      <c r="A152" s="549">
        <v>12.311999999999999</v>
      </c>
      <c r="B152" s="438" t="str">
        <f>VLOOKUP(A152,'Feature Raw Data'!$A$3:$B$3922,2,FALSE)</f>
        <v>Convert PAL implementation of streamout to sw solution enables GDS removal</v>
      </c>
      <c r="C152" s="439" t="str">
        <f>VLOOKUP(A152,'Feature Raw Data'!$A$3:$C$3922,3,FALSE)</f>
        <v>P1</v>
      </c>
      <c r="D152" s="440" t="str" cm="1">
        <f t="array" ref="D152">_xlfn.TEXTJOIN("",TRUE,IF(ISNUMBER(SEARCH($A152,'Diags Raw Data'!$A$6:$A$3690)),CONCATENATE('Diags Raw Data'!$H$6:$H$3690,", "),""))</f>
        <v/>
      </c>
      <c r="E152" s="340" t="e">
        <f>VLOOKUP(A152,'Diags Raw Data'!$A$6:$D$3690,4,FALSE)</f>
        <v>#N/A</v>
      </c>
      <c r="F152" s="340" t="str">
        <f>VLOOKUP(A152,'Feature Raw Data'!$A$3:$E$3922,5,FALSE)</f>
        <v>New</v>
      </c>
      <c r="G152" s="340" t="str">
        <f t="shared" si="17"/>
        <v>Yes</v>
      </c>
      <c r="H152" s="340" t="str">
        <f t="shared" si="18"/>
        <v>Yes</v>
      </c>
      <c r="I152" s="439">
        <f>SUMIF('Diags Raw Data'!$A$6:$A$3690,"*"&amp;$A152&amp;"*",'Diags Raw Data'!$K$6:$K$3690)</f>
        <v>0</v>
      </c>
      <c r="J152" s="441">
        <f>SUMIF('Diags Raw Data'!$A$6:$A$3690,"*"&amp;$A152&amp;"*",'Diags Raw Data'!$L$6:$L$3690)</f>
        <v>0</v>
      </c>
      <c r="K152" s="487" cm="1">
        <f t="array" ref="K152">IF(D152="",0, SUMPRODUCT(--(ISNUMBER(SEARCH($A152,'Diags Raw Data'!$A$6:$A$3690))),'Diags Raw Data'!$L$6:$L$3690,'Diags Raw Data'!$N$6:$N$3690)/J152)</f>
        <v>0</v>
      </c>
      <c r="L152" s="488" cm="1">
        <f t="array" ref="L152">IF(D152="",0, SUMPRODUCT(--(ISNUMBER(SEARCH($A152,'Diags Raw Data'!$A$6:$A$3690))),'Diags Raw Data'!$L$6:$L$3690,'Diags Raw Data'!$P$6:$P$3690)/J152)</f>
        <v>0</v>
      </c>
      <c r="M152" s="489" cm="1">
        <f t="array" ref="M152">SUMPRODUCT(--(ISNUMBER(SEARCH($A152,'Diags Raw Data'!$A$6:$A$3690))),--('Diags Raw Data'!$Q$6:$Q$3690&lt;&gt;"N/A"),'Diags Raw Data'!$R$6:$R$3690)</f>
        <v>0</v>
      </c>
      <c r="N152" s="490" cm="1">
        <f t="array" ref="N152">SUMPRODUCT(--(ISNUMBER(SEARCH($A152,'Diags Raw Data'!$A$6:$A$3690))),--('Diags Raw Data'!$Q$6:$Q$3690&lt;&gt;"N/A"),'Diags Raw Data'!$T$6:$T$3690)+SUMPRODUCT(--(ISNUMBER(SEARCH($A152,'Diags Raw Data'!$A$6:$A$3690))),--('Diags Raw Data'!$Q$6:$Q$3690&lt;&gt;"N/A"),'Diags Raw Data'!$U$6:$U$3690)</f>
        <v>0</v>
      </c>
      <c r="O152" s="491">
        <f t="shared" si="19"/>
        <v>0</v>
      </c>
      <c r="P152" s="492">
        <f>SUMIF('Diags Raw Data'!$A$6:$A$3690,"*"&amp;$A152&amp;"*",'Diags Raw Data'!$Z$6:$Z$3690)</f>
        <v>0</v>
      </c>
      <c r="Q152" s="493">
        <f>SUM(SUMIF('Diags Raw Data'!$A$6:$A$3690,"*"&amp;$A152&amp;"*",'Diags Raw Data'!$AA$6:$AA$3690),SUMIF('Diags Raw Data'!$A$6:$A$3690,"*"&amp;$A152&amp;"*",'Diags Raw Data'!$AB$6:$AB$3690))</f>
        <v>0</v>
      </c>
      <c r="R152" s="494">
        <f t="shared" si="20"/>
        <v>0</v>
      </c>
      <c r="S152" s="494">
        <f t="shared" si="21"/>
        <v>0</v>
      </c>
      <c r="T152" s="495">
        <f t="shared" si="22"/>
        <v>0</v>
      </c>
      <c r="U152" s="436" t="e">
        <f>VLOOKUP(A152,'Diags Raw Data'!$A$6:$AH$3690,33,FALSE)</f>
        <v>#N/A</v>
      </c>
      <c r="V152" s="554" t="s">
        <v>327</v>
      </c>
    </row>
    <row r="153" spans="1:22" ht="75.75" thickBot="1" x14ac:dyDescent="0.3">
      <c r="A153" s="549">
        <v>12.318</v>
      </c>
      <c r="B153" s="438" t="str">
        <f>VLOOKUP(A153,'Feature Raw Data'!$A$3:$B$3922,2,FALSE)</f>
        <v>SED&lt;&gt;AID and AID&lt;&gt;AID interfaces must support arbitrary clk deviation, so protocols like valid-only need to be converted.</v>
      </c>
      <c r="C153" s="439" t="str">
        <f>VLOOKUP(A153,'Feature Raw Data'!$A$3:$C$3922,3,FALSE)</f>
        <v>P1</v>
      </c>
      <c r="D153" s="440" t="str" cm="1">
        <f t="array" ref="D153">_xlfn.TEXTJOIN("",TRUE,IF(ISNUMBER(SEARCH($A153,'Diags Raw Data'!$A$6:$A$3690)),CONCATENATE('Diags Raw Data'!$H$6:$H$3690,", "),""))</f>
        <v/>
      </c>
      <c r="E153" s="340" t="e">
        <f>VLOOKUP(A153,'Diags Raw Data'!$A$6:$D$3690,4,FALSE)</f>
        <v>#N/A</v>
      </c>
      <c r="F153" s="340" t="str">
        <f>VLOOKUP(A153,'Feature Raw Data'!$A$3:$E$3922,5,FALSE)</f>
        <v>New</v>
      </c>
      <c r="G153" s="340" t="str">
        <f t="shared" si="17"/>
        <v>Yes</v>
      </c>
      <c r="H153" s="340" t="str">
        <f t="shared" si="18"/>
        <v>Yes</v>
      </c>
      <c r="I153" s="439">
        <f>SUMIF('Diags Raw Data'!$A$6:$A$3690,"*"&amp;$A153&amp;"*",'Diags Raw Data'!$K$6:$K$3690)</f>
        <v>0</v>
      </c>
      <c r="J153" s="441">
        <f>SUMIF('Diags Raw Data'!$A$6:$A$3690,"*"&amp;$A153&amp;"*",'Diags Raw Data'!$L$6:$L$3690)</f>
        <v>0</v>
      </c>
      <c r="K153" s="487" cm="1">
        <f t="array" ref="K153">IF(D153="",0, SUMPRODUCT(--(ISNUMBER(SEARCH($A153,'Diags Raw Data'!$A$6:$A$3690))),'Diags Raw Data'!$L$6:$L$3690,'Diags Raw Data'!$N$6:$N$3690)/J153)</f>
        <v>0</v>
      </c>
      <c r="L153" s="488" cm="1">
        <f t="array" ref="L153">IF(D153="",0, SUMPRODUCT(--(ISNUMBER(SEARCH($A153,'Diags Raw Data'!$A$6:$A$3690))),'Diags Raw Data'!$L$6:$L$3690,'Diags Raw Data'!$P$6:$P$3690)/J153)</f>
        <v>0</v>
      </c>
      <c r="M153" s="489" cm="1">
        <f t="array" ref="M153">SUMPRODUCT(--(ISNUMBER(SEARCH($A153,'Diags Raw Data'!$A$6:$A$3690))),--('Diags Raw Data'!$Q$6:$Q$3690&lt;&gt;"N/A"),'Diags Raw Data'!$R$6:$R$3690)</f>
        <v>0</v>
      </c>
      <c r="N153" s="490" cm="1">
        <f t="array" ref="N153">SUMPRODUCT(--(ISNUMBER(SEARCH($A153,'Diags Raw Data'!$A$6:$A$3690))),--('Diags Raw Data'!$Q$6:$Q$3690&lt;&gt;"N/A"),'Diags Raw Data'!$T$6:$T$3690)+SUMPRODUCT(--(ISNUMBER(SEARCH($A153,'Diags Raw Data'!$A$6:$A$3690))),--('Diags Raw Data'!$Q$6:$Q$3690&lt;&gt;"N/A"),'Diags Raw Data'!$U$6:$U$3690)</f>
        <v>0</v>
      </c>
      <c r="O153" s="491">
        <f t="shared" si="19"/>
        <v>0</v>
      </c>
      <c r="P153" s="492">
        <f>SUMIF('Diags Raw Data'!$A$6:$A$3690,"*"&amp;$A153&amp;"*",'Diags Raw Data'!$Z$6:$Z$3690)</f>
        <v>0</v>
      </c>
      <c r="Q153" s="493">
        <f>SUM(SUMIF('Diags Raw Data'!$A$6:$A$3690,"*"&amp;$A153&amp;"*",'Diags Raw Data'!$AA$6:$AA$3690),SUMIF('Diags Raw Data'!$A$6:$A$3690,"*"&amp;$A153&amp;"*",'Diags Raw Data'!$AB$6:$AB$3690))</f>
        <v>0</v>
      </c>
      <c r="R153" s="494">
        <f t="shared" si="20"/>
        <v>0</v>
      </c>
      <c r="S153" s="494">
        <f t="shared" si="21"/>
        <v>0</v>
      </c>
      <c r="T153" s="495">
        <f t="shared" si="22"/>
        <v>0</v>
      </c>
      <c r="U153" s="436" t="e">
        <f>VLOOKUP(A153,'Diags Raw Data'!$A$6:$AH$3690,33,FALSE)</f>
        <v>#N/A</v>
      </c>
      <c r="V153" s="181"/>
    </row>
    <row r="154" spans="1:22" ht="30.75" thickBot="1" x14ac:dyDescent="0.3">
      <c r="A154" s="549">
        <v>12.319000000000001</v>
      </c>
      <c r="B154" s="438" t="str">
        <f>VLOOKUP(A154,'Feature Raw Data'!$A$3:$B$3922,2,FALSE)</f>
        <v>GCRD-&gt;GCR response interface to credit/debit</v>
      </c>
      <c r="C154" s="439" t="str">
        <f>VLOOKUP(A154,'Feature Raw Data'!$A$3:$C$3922,3,FALSE)</f>
        <v>P1</v>
      </c>
      <c r="D154" s="440" t="str" cm="1">
        <f t="array" ref="D154">_xlfn.TEXTJOIN("",TRUE,IF(ISNUMBER(SEARCH($A154,'Diags Raw Data'!$A$6:$A$3690)),CONCATENATE('Diags Raw Data'!$H$6:$H$3690,", "),""))</f>
        <v xml:space="preserve">glxi29.8, </v>
      </c>
      <c r="E154" s="340" t="str">
        <f>VLOOKUP(A154,'Diags Raw Data'!$A$6:$D$3690,4,FALSE)</f>
        <v>CMM</v>
      </c>
      <c r="F154" s="340" t="str">
        <f>VLOOKUP(A154,'Feature Raw Data'!$A$3:$E$3922,5,FALSE)</f>
        <v>New</v>
      </c>
      <c r="G154" s="340" t="str">
        <f t="shared" si="17"/>
        <v>Yes</v>
      </c>
      <c r="H154" s="340" t="str">
        <f t="shared" si="18"/>
        <v>Yes</v>
      </c>
      <c r="I154" s="439">
        <f>SUMIF('Diags Raw Data'!$A$6:$A$3690,"*"&amp;$A154&amp;"*",'Diags Raw Data'!$K$6:$K$3690)</f>
        <v>0</v>
      </c>
      <c r="J154" s="441">
        <f>SUMIF('Diags Raw Data'!$A$6:$A$3690,"*"&amp;$A154&amp;"*",'Diags Raw Data'!$L$6:$L$3690)</f>
        <v>0</v>
      </c>
      <c r="K154" s="487" t="e" cm="1">
        <f t="array" ref="K154">IF(D154="",0, SUMPRODUCT(--(ISNUMBER(SEARCH($A154,'Diags Raw Data'!$A$6:$A$3690))),'Diags Raw Data'!$L$6:$L$3690,'Diags Raw Data'!$N$6:$N$3690)/J154)</f>
        <v>#DIV/0!</v>
      </c>
      <c r="L154" s="488" t="e" cm="1">
        <f t="array" ref="L154">IF(D154="",0, SUMPRODUCT(--(ISNUMBER(SEARCH($A154,'Diags Raw Data'!$A$6:$A$3690))),'Diags Raw Data'!$L$6:$L$3690,'Diags Raw Data'!$P$6:$P$3690)/J154)</f>
        <v>#DIV/0!</v>
      </c>
      <c r="M154" s="489" cm="1">
        <f t="array" ref="M154">SUMPRODUCT(--(ISNUMBER(SEARCH($A154,'Diags Raw Data'!$A$6:$A$3690))),--('Diags Raw Data'!$Q$6:$Q$3690&lt;&gt;"N/A"),'Diags Raw Data'!$R$6:$R$3690)</f>
        <v>1</v>
      </c>
      <c r="N154" s="490" cm="1">
        <f t="array" ref="N154">SUMPRODUCT(--(ISNUMBER(SEARCH($A154,'Diags Raw Data'!$A$6:$A$3690))),--('Diags Raw Data'!$Q$6:$Q$3690&lt;&gt;"N/A"),'Diags Raw Data'!$T$6:$T$3690)+SUMPRODUCT(--(ISNUMBER(SEARCH($A154,'Diags Raw Data'!$A$6:$A$3690))),--('Diags Raw Data'!$Q$6:$Q$3690&lt;&gt;"N/A"),'Diags Raw Data'!$U$6:$U$3690)</f>
        <v>0</v>
      </c>
      <c r="O154" s="491">
        <f t="shared" si="19"/>
        <v>0</v>
      </c>
      <c r="P154" s="492">
        <f>SUMIF('Diags Raw Data'!$A$6:$A$3690,"*"&amp;$A154&amp;"*",'Diags Raw Data'!$Z$6:$Z$3690)</f>
        <v>0</v>
      </c>
      <c r="Q154" s="493">
        <f>SUM(SUMIF('Diags Raw Data'!$A$6:$A$3690,"*"&amp;$A154&amp;"*",'Diags Raw Data'!$AA$6:$AA$3690),SUMIF('Diags Raw Data'!$A$6:$A$3690,"*"&amp;$A154&amp;"*",'Diags Raw Data'!$AB$6:$AB$3690))</f>
        <v>0</v>
      </c>
      <c r="R154" s="494">
        <f t="shared" si="20"/>
        <v>0</v>
      </c>
      <c r="S154" s="494">
        <f t="shared" si="21"/>
        <v>0</v>
      </c>
      <c r="T154" s="495">
        <f t="shared" si="22"/>
        <v>0</v>
      </c>
      <c r="U154" s="436" t="str">
        <f>VLOOKUP(A154,'Diags Raw Data'!$A$6:$AH$3690,33,FALSE)</f>
        <v>WK5</v>
      </c>
      <c r="V154" s="181"/>
    </row>
    <row r="155" spans="1:22" ht="30.75" thickBot="1" x14ac:dyDescent="0.3">
      <c r="A155" s="549">
        <v>12.32</v>
      </c>
      <c r="B155" s="438" t="str">
        <f>VLOOKUP(A155,'Feature Raw Data'!$A$3:$B$3922,2,FALSE)</f>
        <v>GCRD_SE SAX client</v>
      </c>
      <c r="C155" s="439" t="str">
        <f>VLOOKUP(A155,'Feature Raw Data'!$A$3:$C$3922,3,FALSE)</f>
        <v>P1</v>
      </c>
      <c r="D155" s="440" t="str" cm="1">
        <f t="array" ref="D155">_xlfn.TEXTJOIN("",TRUE,IF(ISNUMBER(SEARCH($A155,'Diags Raw Data'!$A$6:$A$3690)),CONCATENATE('Diags Raw Data'!$H$6:$H$3690,", "),""))</f>
        <v xml:space="preserve">gfx.cmm_sax_utcl0_invalidation_monolithic/utcl0_enable, </v>
      </c>
      <c r="E155" s="340" t="str">
        <f>VLOOKUP(A155,'Diags Raw Data'!$A$6:$D$3690,4,FALSE)</f>
        <v>CMM</v>
      </c>
      <c r="F155" s="340" t="str">
        <f>VLOOKUP(A155,'Feature Raw Data'!$A$3:$E$3922,5,FALSE)</f>
        <v>New</v>
      </c>
      <c r="G155" s="340" t="str">
        <f t="shared" si="17"/>
        <v>Yes</v>
      </c>
      <c r="H155" s="340" t="str">
        <f t="shared" si="18"/>
        <v>Yes</v>
      </c>
      <c r="I155" s="439">
        <f>SUMIF('Diags Raw Data'!$A$6:$A$3690,"*"&amp;$A155&amp;"*",'Diags Raw Data'!$K$6:$K$3690)</f>
        <v>0</v>
      </c>
      <c r="J155" s="441">
        <f>SUMIF('Diags Raw Data'!$A$6:$A$3690,"*"&amp;$A155&amp;"*",'Diags Raw Data'!$L$6:$L$3690)</f>
        <v>0</v>
      </c>
      <c r="K155" s="487" t="e" cm="1">
        <f t="array" ref="K155">IF(D155="",0, SUMPRODUCT(--(ISNUMBER(SEARCH($A155,'Diags Raw Data'!$A$6:$A$3690))),'Diags Raw Data'!$L$6:$L$3690,'Diags Raw Data'!$N$6:$N$3690)/J155)</f>
        <v>#DIV/0!</v>
      </c>
      <c r="L155" s="488" t="e" cm="1">
        <f t="array" ref="L155">IF(D155="",0, SUMPRODUCT(--(ISNUMBER(SEARCH($A155,'Diags Raw Data'!$A$6:$A$3690))),'Diags Raw Data'!$L$6:$L$3690,'Diags Raw Data'!$P$6:$P$3690)/J155)</f>
        <v>#DIV/0!</v>
      </c>
      <c r="M155" s="489" cm="1">
        <f t="array" ref="M155">SUMPRODUCT(--(ISNUMBER(SEARCH($A155,'Diags Raw Data'!$A$6:$A$3690))),--('Diags Raw Data'!$Q$6:$Q$3690&lt;&gt;"N/A"),'Diags Raw Data'!$R$6:$R$3690)</f>
        <v>1</v>
      </c>
      <c r="N155" s="490" cm="1">
        <f t="array" ref="N155">SUMPRODUCT(--(ISNUMBER(SEARCH($A155,'Diags Raw Data'!$A$6:$A$3690))),--('Diags Raw Data'!$Q$6:$Q$3690&lt;&gt;"N/A"),'Diags Raw Data'!$T$6:$T$3690)+SUMPRODUCT(--(ISNUMBER(SEARCH($A155,'Diags Raw Data'!$A$6:$A$3690))),--('Diags Raw Data'!$Q$6:$Q$3690&lt;&gt;"N/A"),'Diags Raw Data'!$U$6:$U$3690)</f>
        <v>0</v>
      </c>
      <c r="O155" s="491">
        <f t="shared" si="19"/>
        <v>0</v>
      </c>
      <c r="P155" s="492">
        <f>SUMIF('Diags Raw Data'!$A$6:$A$3690,"*"&amp;$A155&amp;"*",'Diags Raw Data'!$Z$6:$Z$3690)</f>
        <v>0</v>
      </c>
      <c r="Q155" s="493">
        <f>SUM(SUMIF('Diags Raw Data'!$A$6:$A$3690,"*"&amp;$A155&amp;"*",'Diags Raw Data'!$AA$6:$AA$3690),SUMIF('Diags Raw Data'!$A$6:$A$3690,"*"&amp;$A155&amp;"*",'Diags Raw Data'!$AB$6:$AB$3690))</f>
        <v>0</v>
      </c>
      <c r="R155" s="494">
        <f t="shared" si="20"/>
        <v>0</v>
      </c>
      <c r="S155" s="494">
        <f t="shared" si="21"/>
        <v>0</v>
      </c>
      <c r="T155" s="495">
        <f t="shared" si="22"/>
        <v>0</v>
      </c>
      <c r="U155" s="436" t="str">
        <f>VLOOKUP(A155,'Diags Raw Data'!$A$6:$AH$3690,33,FALSE)</f>
        <v>WK6</v>
      </c>
      <c r="V155" s="181"/>
    </row>
    <row r="156" spans="1:22" ht="30.75" thickBot="1" x14ac:dyDescent="0.3">
      <c r="A156" s="549">
        <v>12.321</v>
      </c>
      <c r="B156" s="438" t="str">
        <f>VLOOKUP(A156,'Feature Raw Data'!$A$3:$B$3922,2,FALSE)</f>
        <v>Limit wires SED&lt;-&gt;AID for PMM Ips</v>
      </c>
      <c r="C156" s="439" t="str">
        <f>VLOOKUP(A156,'Feature Raw Data'!$A$3:$C$3922,3,FALSE)</f>
        <v>P1</v>
      </c>
      <c r="D156" s="440" t="str" cm="1">
        <f t="array" ref="D156">_xlfn.TEXTJOIN("",TRUE,IF(ISNUMBER(SEARCH($A156,'Diags Raw Data'!$A$6:$A$3690)),CONCATENATE('Diags Raw Data'!$H$6:$H$3690,", "),""))</f>
        <v/>
      </c>
      <c r="E156" s="340" t="e">
        <f>VLOOKUP(A156,'Diags Raw Data'!$A$6:$D$3690,4,FALSE)</f>
        <v>#N/A</v>
      </c>
      <c r="F156" s="340" t="str">
        <f>VLOOKUP(A156,'Feature Raw Data'!$A$3:$E$3922,5,FALSE)</f>
        <v>New</v>
      </c>
      <c r="G156" s="340" t="str">
        <f t="shared" si="17"/>
        <v>Yes</v>
      </c>
      <c r="H156" s="340" t="str">
        <f t="shared" si="18"/>
        <v>Yes</v>
      </c>
      <c r="I156" s="439">
        <f>SUMIF('Diags Raw Data'!$A$6:$A$3690,"*"&amp;$A156&amp;"*",'Diags Raw Data'!$K$6:$K$3690)</f>
        <v>0</v>
      </c>
      <c r="J156" s="441">
        <f>SUMIF('Diags Raw Data'!$A$6:$A$3690,"*"&amp;$A156&amp;"*",'Diags Raw Data'!$L$6:$L$3690)</f>
        <v>0</v>
      </c>
      <c r="K156" s="487" cm="1">
        <f t="array" ref="K156">IF(D156="",0, SUMPRODUCT(--(ISNUMBER(SEARCH($A156,'Diags Raw Data'!$A$6:$A$3690))),'Diags Raw Data'!$L$6:$L$3690,'Diags Raw Data'!$N$6:$N$3690)/J156)</f>
        <v>0</v>
      </c>
      <c r="L156" s="488" cm="1">
        <f t="array" ref="L156">IF(D156="",0, SUMPRODUCT(--(ISNUMBER(SEARCH($A156,'Diags Raw Data'!$A$6:$A$3690))),'Diags Raw Data'!$L$6:$L$3690,'Diags Raw Data'!$P$6:$P$3690)/J156)</f>
        <v>0</v>
      </c>
      <c r="M156" s="489" cm="1">
        <f t="array" ref="M156">SUMPRODUCT(--(ISNUMBER(SEARCH($A156,'Diags Raw Data'!$A$6:$A$3690))),--('Diags Raw Data'!$Q$6:$Q$3690&lt;&gt;"N/A"),'Diags Raw Data'!$R$6:$R$3690)</f>
        <v>0</v>
      </c>
      <c r="N156" s="490" cm="1">
        <f t="array" ref="N156">SUMPRODUCT(--(ISNUMBER(SEARCH($A156,'Diags Raw Data'!$A$6:$A$3690))),--('Diags Raw Data'!$Q$6:$Q$3690&lt;&gt;"N/A"),'Diags Raw Data'!$T$6:$T$3690)+SUMPRODUCT(--(ISNUMBER(SEARCH($A156,'Diags Raw Data'!$A$6:$A$3690))),--('Diags Raw Data'!$Q$6:$Q$3690&lt;&gt;"N/A"),'Diags Raw Data'!$U$6:$U$3690)</f>
        <v>0</v>
      </c>
      <c r="O156" s="491">
        <f t="shared" si="19"/>
        <v>0</v>
      </c>
      <c r="P156" s="492">
        <f>SUMIF('Diags Raw Data'!$A$6:$A$3690,"*"&amp;$A156&amp;"*",'Diags Raw Data'!$Z$6:$Z$3690)</f>
        <v>0</v>
      </c>
      <c r="Q156" s="493">
        <f>SUM(SUMIF('Diags Raw Data'!$A$6:$A$3690,"*"&amp;$A156&amp;"*",'Diags Raw Data'!$AA$6:$AA$3690),SUMIF('Diags Raw Data'!$A$6:$A$3690,"*"&amp;$A156&amp;"*",'Diags Raw Data'!$AB$6:$AB$3690))</f>
        <v>0</v>
      </c>
      <c r="R156" s="494">
        <f t="shared" si="20"/>
        <v>0</v>
      </c>
      <c r="S156" s="494">
        <f t="shared" si="21"/>
        <v>0</v>
      </c>
      <c r="T156" s="495">
        <f t="shared" si="22"/>
        <v>0</v>
      </c>
      <c r="U156" s="436" t="e">
        <f>VLOOKUP(A156,'Diags Raw Data'!$A$6:$AH$3690,33,FALSE)</f>
        <v>#N/A</v>
      </c>
      <c r="V156" s="554" t="s">
        <v>356</v>
      </c>
    </row>
    <row r="157" spans="1:22" ht="30.75" thickBot="1" x14ac:dyDescent="0.3">
      <c r="A157" s="549">
        <v>12.321999999999999</v>
      </c>
      <c r="B157" s="438" t="str">
        <f>VLOOKUP(A157,'Feature Raw Data'!$A$3:$B$3922,2,FALSE)</f>
        <v>GFX12 UTLC2 - Add idle sidebands</v>
      </c>
      <c r="C157" s="439" t="str">
        <f>VLOOKUP(A157,'Feature Raw Data'!$A$3:$C$3922,3,FALSE)</f>
        <v>P2</v>
      </c>
      <c r="D157" s="440" t="str" cm="1">
        <f t="array" ref="D157">_xlfn.TEXTJOIN("",TRUE,IF(ISNUMBER(SEARCH($A157,'Diags Raw Data'!$A$6:$A$3690)),CONCATENATE('Diags Raw Data'!$H$6:$H$3690,", "),""))</f>
        <v/>
      </c>
      <c r="E157" s="340" t="e">
        <f>VLOOKUP(A157,'Diags Raw Data'!$A$6:$D$3690,4,FALSE)</f>
        <v>#N/A</v>
      </c>
      <c r="F157" s="340" t="str">
        <f>VLOOKUP(A157,'Feature Raw Data'!$A$3:$E$3922,5,FALSE)</f>
        <v>New</v>
      </c>
      <c r="G157" s="340" t="str">
        <f t="shared" si="17"/>
        <v>Yes</v>
      </c>
      <c r="H157" s="340" t="str">
        <f t="shared" si="18"/>
        <v>Yes</v>
      </c>
      <c r="I157" s="439">
        <f>SUMIF('Diags Raw Data'!$A$6:$A$3690,"*"&amp;$A157&amp;"*",'Diags Raw Data'!$K$6:$K$3690)</f>
        <v>0</v>
      </c>
      <c r="J157" s="441">
        <f>SUMIF('Diags Raw Data'!$A$6:$A$3690,"*"&amp;$A157&amp;"*",'Diags Raw Data'!$L$6:$L$3690)</f>
        <v>0</v>
      </c>
      <c r="K157" s="487" cm="1">
        <f t="array" ref="K157">IF(D157="",0, SUMPRODUCT(--(ISNUMBER(SEARCH($A157,'Diags Raw Data'!$A$6:$A$3690))),'Diags Raw Data'!$L$6:$L$3690,'Diags Raw Data'!$N$6:$N$3690)/J157)</f>
        <v>0</v>
      </c>
      <c r="L157" s="488" cm="1">
        <f t="array" ref="L157">IF(D157="",0, SUMPRODUCT(--(ISNUMBER(SEARCH($A157,'Diags Raw Data'!$A$6:$A$3690))),'Diags Raw Data'!$L$6:$L$3690,'Diags Raw Data'!$P$6:$P$3690)/J157)</f>
        <v>0</v>
      </c>
      <c r="M157" s="489" cm="1">
        <f t="array" ref="M157">SUMPRODUCT(--(ISNUMBER(SEARCH($A157,'Diags Raw Data'!$A$6:$A$3690))),--('Diags Raw Data'!$Q$6:$Q$3690&lt;&gt;"N/A"),'Diags Raw Data'!$R$6:$R$3690)</f>
        <v>0</v>
      </c>
      <c r="N157" s="490" cm="1">
        <f t="array" ref="N157">SUMPRODUCT(--(ISNUMBER(SEARCH($A157,'Diags Raw Data'!$A$6:$A$3690))),--('Diags Raw Data'!$Q$6:$Q$3690&lt;&gt;"N/A"),'Diags Raw Data'!$T$6:$T$3690)+SUMPRODUCT(--(ISNUMBER(SEARCH($A157,'Diags Raw Data'!$A$6:$A$3690))),--('Diags Raw Data'!$Q$6:$Q$3690&lt;&gt;"N/A"),'Diags Raw Data'!$U$6:$U$3690)</f>
        <v>0</v>
      </c>
      <c r="O157" s="491">
        <f t="shared" si="19"/>
        <v>0</v>
      </c>
      <c r="P157" s="492">
        <f>SUMIF('Diags Raw Data'!$A$6:$A$3690,"*"&amp;$A157&amp;"*",'Diags Raw Data'!$Z$6:$Z$3690)</f>
        <v>0</v>
      </c>
      <c r="Q157" s="493">
        <f>SUM(SUMIF('Diags Raw Data'!$A$6:$A$3690,"*"&amp;$A157&amp;"*",'Diags Raw Data'!$AA$6:$AA$3690),SUMIF('Diags Raw Data'!$A$6:$A$3690,"*"&amp;$A157&amp;"*",'Diags Raw Data'!$AB$6:$AB$3690))</f>
        <v>0</v>
      </c>
      <c r="R157" s="494">
        <f t="shared" si="20"/>
        <v>0</v>
      </c>
      <c r="S157" s="494">
        <f t="shared" si="21"/>
        <v>0</v>
      </c>
      <c r="T157" s="495">
        <f t="shared" si="22"/>
        <v>0</v>
      </c>
      <c r="U157" s="436" t="e">
        <f>VLOOKUP(A157,'Diags Raw Data'!$A$6:$AH$3690,33,FALSE)</f>
        <v>#N/A</v>
      </c>
      <c r="V157" s="181"/>
    </row>
    <row r="158" spans="1:22" ht="30.75" thickBot="1" x14ac:dyDescent="0.3">
      <c r="A158" s="549">
        <v>12.327999999999999</v>
      </c>
      <c r="B158" s="438" t="str">
        <f>VLOOKUP(A158,'Feature Raw Data'!$A$3:$B$3922,2,FALSE)</f>
        <v>GFX12 SDMA - Add sidebands to control Idle request</v>
      </c>
      <c r="C158" s="439" t="str">
        <f>VLOOKUP(A158,'Feature Raw Data'!$A$3:$C$3922,3,FALSE)</f>
        <v>P1</v>
      </c>
      <c r="D158" s="440" t="str" cm="1">
        <f t="array" ref="D158">_xlfn.TEXTJOIN("",TRUE,IF(ISNUMBER(SEARCH($A158,'Diags Raw Data'!$A$6:$A$3690)),CONCATENATE('Diags Raw Data'!$H$6:$H$3690,", "),""))</f>
        <v/>
      </c>
      <c r="E158" s="340" t="e">
        <f>VLOOKUP(A158,'Diags Raw Data'!$A$6:$D$3690,4,FALSE)</f>
        <v>#N/A</v>
      </c>
      <c r="F158" s="340" t="str">
        <f>VLOOKUP(A158,'Feature Raw Data'!$A$3:$E$3922,5,FALSE)</f>
        <v>New</v>
      </c>
      <c r="G158" s="340" t="str">
        <f t="shared" si="17"/>
        <v>Yes</v>
      </c>
      <c r="H158" s="340" t="str">
        <f t="shared" si="18"/>
        <v>Yes</v>
      </c>
      <c r="I158" s="439">
        <f>SUMIF('Diags Raw Data'!$A$6:$A$3690,"*"&amp;$A158&amp;"*",'Diags Raw Data'!$K$6:$K$3690)</f>
        <v>0</v>
      </c>
      <c r="J158" s="441">
        <f>SUMIF('Diags Raw Data'!$A$6:$A$3690,"*"&amp;$A158&amp;"*",'Diags Raw Data'!$L$6:$L$3690)</f>
        <v>0</v>
      </c>
      <c r="K158" s="487" cm="1">
        <f t="array" ref="K158">IF(D158="",0, SUMPRODUCT(--(ISNUMBER(SEARCH($A158,'Diags Raw Data'!$A$6:$A$3690))),'Diags Raw Data'!$L$6:$L$3690,'Diags Raw Data'!$N$6:$N$3690)/J158)</f>
        <v>0</v>
      </c>
      <c r="L158" s="488" cm="1">
        <f t="array" ref="L158">IF(D158="",0, SUMPRODUCT(--(ISNUMBER(SEARCH($A158,'Diags Raw Data'!$A$6:$A$3690))),'Diags Raw Data'!$L$6:$L$3690,'Diags Raw Data'!$P$6:$P$3690)/J158)</f>
        <v>0</v>
      </c>
      <c r="M158" s="489" cm="1">
        <f t="array" ref="M158">SUMPRODUCT(--(ISNUMBER(SEARCH($A158,'Diags Raw Data'!$A$6:$A$3690))),--('Diags Raw Data'!$Q$6:$Q$3690&lt;&gt;"N/A"),'Diags Raw Data'!$R$6:$R$3690)</f>
        <v>0</v>
      </c>
      <c r="N158" s="490" cm="1">
        <f t="array" ref="N158">SUMPRODUCT(--(ISNUMBER(SEARCH($A158,'Diags Raw Data'!$A$6:$A$3690))),--('Diags Raw Data'!$Q$6:$Q$3690&lt;&gt;"N/A"),'Diags Raw Data'!$T$6:$T$3690)+SUMPRODUCT(--(ISNUMBER(SEARCH($A158,'Diags Raw Data'!$A$6:$A$3690))),--('Diags Raw Data'!$Q$6:$Q$3690&lt;&gt;"N/A"),'Diags Raw Data'!$U$6:$U$3690)</f>
        <v>0</v>
      </c>
      <c r="O158" s="491">
        <f t="shared" si="19"/>
        <v>0</v>
      </c>
      <c r="P158" s="492">
        <f>SUMIF('Diags Raw Data'!$A$6:$A$3690,"*"&amp;$A158&amp;"*",'Diags Raw Data'!$Z$6:$Z$3690)</f>
        <v>0</v>
      </c>
      <c r="Q158" s="493">
        <f>SUM(SUMIF('Diags Raw Data'!$A$6:$A$3690,"*"&amp;$A158&amp;"*",'Diags Raw Data'!$AA$6:$AA$3690),SUMIF('Diags Raw Data'!$A$6:$A$3690,"*"&amp;$A158&amp;"*",'Diags Raw Data'!$AB$6:$AB$3690))</f>
        <v>0</v>
      </c>
      <c r="R158" s="494">
        <f t="shared" si="20"/>
        <v>0</v>
      </c>
      <c r="S158" s="494">
        <f t="shared" si="21"/>
        <v>0</v>
      </c>
      <c r="T158" s="495">
        <f t="shared" si="22"/>
        <v>0</v>
      </c>
      <c r="U158" s="436" t="e">
        <f>VLOOKUP(A158,'Diags Raw Data'!$A$6:$AH$3690,33,FALSE)</f>
        <v>#N/A</v>
      </c>
      <c r="V158" s="181"/>
    </row>
    <row r="159" spans="1:22" ht="30.75" thickBot="1" x14ac:dyDescent="0.3">
      <c r="A159" s="549">
        <v>12.329000000000001</v>
      </c>
      <c r="B159" s="438" t="str">
        <f>VLOOKUP(A159,'Feature Raw Data'!$A$3:$B$3922,2,FALSE)</f>
        <v>remove GCR dummy UTCL2 invalidation interface</v>
      </c>
      <c r="C159" s="439" t="str">
        <f>VLOOKUP(A159,'Feature Raw Data'!$A$3:$C$3922,3,FALSE)</f>
        <v>P2</v>
      </c>
      <c r="D159" s="440" t="str" cm="1">
        <f t="array" ref="D159">_xlfn.TEXTJOIN("",TRUE,IF(ISNUMBER(SEARCH($A159,'Diags Raw Data'!$A$6:$A$3690)),CONCATENATE('Diags Raw Data'!$H$6:$H$3690,", "),""))</f>
        <v/>
      </c>
      <c r="E159" s="340" t="e">
        <f>VLOOKUP(A159,'Diags Raw Data'!$A$6:$D$3690,4,FALSE)</f>
        <v>#N/A</v>
      </c>
      <c r="F159" s="340" t="str">
        <f>VLOOKUP(A159,'Feature Raw Data'!$A$3:$E$3922,5,FALSE)</f>
        <v>New</v>
      </c>
      <c r="G159" s="340" t="str">
        <f t="shared" si="17"/>
        <v>Yes</v>
      </c>
      <c r="H159" s="340" t="str">
        <f t="shared" si="18"/>
        <v>Yes</v>
      </c>
      <c r="I159" s="439">
        <f>SUMIF('Diags Raw Data'!$A$6:$A$3690,"*"&amp;$A159&amp;"*",'Diags Raw Data'!$K$6:$K$3690)</f>
        <v>0</v>
      </c>
      <c r="J159" s="441">
        <f>SUMIF('Diags Raw Data'!$A$6:$A$3690,"*"&amp;$A159&amp;"*",'Diags Raw Data'!$L$6:$L$3690)</f>
        <v>0</v>
      </c>
      <c r="K159" s="487" cm="1">
        <f t="array" ref="K159">IF(D159="",0, SUMPRODUCT(--(ISNUMBER(SEARCH($A159,'Diags Raw Data'!$A$6:$A$3690))),'Diags Raw Data'!$L$6:$L$3690,'Diags Raw Data'!$N$6:$N$3690)/J159)</f>
        <v>0</v>
      </c>
      <c r="L159" s="488" cm="1">
        <f t="array" ref="L159">IF(D159="",0, SUMPRODUCT(--(ISNUMBER(SEARCH($A159,'Diags Raw Data'!$A$6:$A$3690))),'Diags Raw Data'!$L$6:$L$3690,'Diags Raw Data'!$P$6:$P$3690)/J159)</f>
        <v>0</v>
      </c>
      <c r="M159" s="489" cm="1">
        <f t="array" ref="M159">SUMPRODUCT(--(ISNUMBER(SEARCH($A159,'Diags Raw Data'!$A$6:$A$3690))),--('Diags Raw Data'!$Q$6:$Q$3690&lt;&gt;"N/A"),'Diags Raw Data'!$R$6:$R$3690)</f>
        <v>0</v>
      </c>
      <c r="N159" s="490" cm="1">
        <f t="array" ref="N159">SUMPRODUCT(--(ISNUMBER(SEARCH($A159,'Diags Raw Data'!$A$6:$A$3690))),--('Diags Raw Data'!$Q$6:$Q$3690&lt;&gt;"N/A"),'Diags Raw Data'!$T$6:$T$3690)+SUMPRODUCT(--(ISNUMBER(SEARCH($A159,'Diags Raw Data'!$A$6:$A$3690))),--('Diags Raw Data'!$Q$6:$Q$3690&lt;&gt;"N/A"),'Diags Raw Data'!$U$6:$U$3690)</f>
        <v>0</v>
      </c>
      <c r="O159" s="491">
        <f t="shared" si="19"/>
        <v>0</v>
      </c>
      <c r="P159" s="492">
        <f>SUMIF('Diags Raw Data'!$A$6:$A$3690,"*"&amp;$A159&amp;"*",'Diags Raw Data'!$Z$6:$Z$3690)</f>
        <v>0</v>
      </c>
      <c r="Q159" s="493">
        <f>SUM(SUMIF('Diags Raw Data'!$A$6:$A$3690,"*"&amp;$A159&amp;"*",'Diags Raw Data'!$AA$6:$AA$3690),SUMIF('Diags Raw Data'!$A$6:$A$3690,"*"&amp;$A159&amp;"*",'Diags Raw Data'!$AB$6:$AB$3690))</f>
        <v>0</v>
      </c>
      <c r="R159" s="494">
        <f t="shared" si="20"/>
        <v>0</v>
      </c>
      <c r="S159" s="494">
        <f t="shared" si="21"/>
        <v>0</v>
      </c>
      <c r="T159" s="495">
        <f t="shared" si="22"/>
        <v>0</v>
      </c>
      <c r="U159" s="436" t="e">
        <f>VLOOKUP(A159,'Diags Raw Data'!$A$6:$AH$3690,33,FALSE)</f>
        <v>#N/A</v>
      </c>
      <c r="V159" s="554" t="s">
        <v>327</v>
      </c>
    </row>
    <row r="160" spans="1:22" ht="15.75" thickBot="1" x14ac:dyDescent="0.3">
      <c r="A160" s="549">
        <v>12.332000000000001</v>
      </c>
      <c r="B160" s="438" t="str">
        <f>VLOOKUP(A160,'Feature Raw Data'!$A$3:$B$3922,2,FALSE)</f>
        <v>GFX12 EA - Add idle sidebands</v>
      </c>
      <c r="C160" s="439" t="str">
        <f>VLOOKUP(A160,'Feature Raw Data'!$A$3:$C$3922,3,FALSE)</f>
        <v>P2</v>
      </c>
      <c r="D160" s="440" t="str" cm="1">
        <f t="array" ref="D160">_xlfn.TEXTJOIN("",TRUE,IF(ISNUMBER(SEARCH($A160,'Diags Raw Data'!$A$6:$A$3690)),CONCATENATE('Diags Raw Data'!$H$6:$H$3690,", "),""))</f>
        <v/>
      </c>
      <c r="E160" s="340" t="e">
        <f>VLOOKUP(A160,'Diags Raw Data'!$A$6:$D$3690,4,FALSE)</f>
        <v>#N/A</v>
      </c>
      <c r="F160" s="340" t="str">
        <f>VLOOKUP(A160,'Feature Raw Data'!$A$3:$E$3922,5,FALSE)</f>
        <v>New</v>
      </c>
      <c r="G160" s="340" t="str">
        <f t="shared" si="17"/>
        <v>Yes</v>
      </c>
      <c r="H160" s="340" t="str">
        <f t="shared" si="18"/>
        <v>Yes</v>
      </c>
      <c r="I160" s="439">
        <f>SUMIF('Diags Raw Data'!$A$6:$A$3690,"*"&amp;$A160&amp;"*",'Diags Raw Data'!$K$6:$K$3690)</f>
        <v>0</v>
      </c>
      <c r="J160" s="441">
        <f>SUMIF('Diags Raw Data'!$A$6:$A$3690,"*"&amp;$A160&amp;"*",'Diags Raw Data'!$L$6:$L$3690)</f>
        <v>0</v>
      </c>
      <c r="K160" s="487" cm="1">
        <f t="array" ref="K160">IF(D160="",0, SUMPRODUCT(--(ISNUMBER(SEARCH($A160,'Diags Raw Data'!$A$6:$A$3690))),'Diags Raw Data'!$L$6:$L$3690,'Diags Raw Data'!$N$6:$N$3690)/J160)</f>
        <v>0</v>
      </c>
      <c r="L160" s="488" cm="1">
        <f t="array" ref="L160">IF(D160="",0, SUMPRODUCT(--(ISNUMBER(SEARCH($A160,'Diags Raw Data'!$A$6:$A$3690))),'Diags Raw Data'!$L$6:$L$3690,'Diags Raw Data'!$P$6:$P$3690)/J160)</f>
        <v>0</v>
      </c>
      <c r="M160" s="489" cm="1">
        <f t="array" ref="M160">SUMPRODUCT(--(ISNUMBER(SEARCH($A160,'Diags Raw Data'!$A$6:$A$3690))),--('Diags Raw Data'!$Q$6:$Q$3690&lt;&gt;"N/A"),'Diags Raw Data'!$R$6:$R$3690)</f>
        <v>0</v>
      </c>
      <c r="N160" s="490" cm="1">
        <f t="array" ref="N160">SUMPRODUCT(--(ISNUMBER(SEARCH($A160,'Diags Raw Data'!$A$6:$A$3690))),--('Diags Raw Data'!$Q$6:$Q$3690&lt;&gt;"N/A"),'Diags Raw Data'!$T$6:$T$3690)+SUMPRODUCT(--(ISNUMBER(SEARCH($A160,'Diags Raw Data'!$A$6:$A$3690))),--('Diags Raw Data'!$Q$6:$Q$3690&lt;&gt;"N/A"),'Diags Raw Data'!$U$6:$U$3690)</f>
        <v>0</v>
      </c>
      <c r="O160" s="491">
        <f t="shared" si="19"/>
        <v>0</v>
      </c>
      <c r="P160" s="492">
        <f>SUMIF('Diags Raw Data'!$A$6:$A$3690,"*"&amp;$A160&amp;"*",'Diags Raw Data'!$Z$6:$Z$3690)</f>
        <v>0</v>
      </c>
      <c r="Q160" s="493">
        <f>SUM(SUMIF('Diags Raw Data'!$A$6:$A$3690,"*"&amp;$A160&amp;"*",'Diags Raw Data'!$AA$6:$AA$3690),SUMIF('Diags Raw Data'!$A$6:$A$3690,"*"&amp;$A160&amp;"*",'Diags Raw Data'!$AB$6:$AB$3690))</f>
        <v>0</v>
      </c>
      <c r="R160" s="494">
        <f t="shared" si="20"/>
        <v>0</v>
      </c>
      <c r="S160" s="494">
        <f t="shared" si="21"/>
        <v>0</v>
      </c>
      <c r="T160" s="495">
        <f t="shared" si="22"/>
        <v>0</v>
      </c>
      <c r="U160" s="436" t="e">
        <f>VLOOKUP(A160,'Diags Raw Data'!$A$6:$AH$3690,33,FALSE)</f>
        <v>#N/A</v>
      </c>
      <c r="V160" s="181"/>
    </row>
    <row r="161" spans="1:22" ht="30.75" thickBot="1" x14ac:dyDescent="0.3">
      <c r="A161" s="549">
        <v>12.333</v>
      </c>
      <c r="B161" s="438" t="str">
        <f>VLOOKUP(A161,'Feature Raw Data'!$A$3:$B$3922,2,FALSE)</f>
        <v>Swap PRIM_CONFIG register to SA_UNIT_DISABLE register</v>
      </c>
      <c r="C161" s="439" t="str">
        <f>VLOOKUP(A161,'Feature Raw Data'!$A$3:$C$3922,3,FALSE)</f>
        <v>P2</v>
      </c>
      <c r="D161" s="440" t="str" cm="1">
        <f t="array" ref="D161">_xlfn.TEXTJOIN("",TRUE,IF(ISNUMBER(SEARCH($A161,'Diags Raw Data'!$A$6:$A$3690)),CONCATENATE('Diags Raw Data'!$H$6:$H$3690,", "),""))</f>
        <v xml:space="preserve">STD1.6,GCI30.3, </v>
      </c>
      <c r="E161" s="340" t="str">
        <f>VLOOKUP(A161,'Diags Raw Data'!$A$6:$D$3690,4,FALSE)</f>
        <v>GC</v>
      </c>
      <c r="F161" s="340" t="str">
        <f>VLOOKUP(A161,'Feature Raw Data'!$A$3:$E$3922,5,FALSE)</f>
        <v>New</v>
      </c>
      <c r="G161" s="340" t="str">
        <f t="shared" si="17"/>
        <v>Yes</v>
      </c>
      <c r="H161" s="340" t="str">
        <f t="shared" si="18"/>
        <v>Yes</v>
      </c>
      <c r="I161" s="439">
        <f>SUMIF('Diags Raw Data'!$A$6:$A$3690,"*"&amp;$A161&amp;"*",'Diags Raw Data'!$K$6:$K$3690)</f>
        <v>0</v>
      </c>
      <c r="J161" s="441">
        <f>SUMIF('Diags Raw Data'!$A$6:$A$3690,"*"&amp;$A161&amp;"*",'Diags Raw Data'!$L$6:$L$3690)</f>
        <v>0</v>
      </c>
      <c r="K161" s="487" t="e" cm="1">
        <f t="array" ref="K161">IF(D161="",0, SUMPRODUCT(--(ISNUMBER(SEARCH($A161,'Diags Raw Data'!$A$6:$A$3690))),'Diags Raw Data'!$L$6:$L$3690,'Diags Raw Data'!$N$6:$N$3690)/J161)</f>
        <v>#DIV/0!</v>
      </c>
      <c r="L161" s="488" t="e" cm="1">
        <f t="array" ref="L161">IF(D161="",0, SUMPRODUCT(--(ISNUMBER(SEARCH($A161,'Diags Raw Data'!$A$6:$A$3690))),'Diags Raw Data'!$L$6:$L$3690,'Diags Raw Data'!$P$6:$P$3690)/J161)</f>
        <v>#DIV/0!</v>
      </c>
      <c r="M161" s="489" cm="1">
        <f t="array" ref="M161">SUMPRODUCT(--(ISNUMBER(SEARCH($A161,'Diags Raw Data'!$A$6:$A$3690))),--('Diags Raw Data'!$Q$6:$Q$3690&lt;&gt;"N/A"),'Diags Raw Data'!$R$6:$R$3690)</f>
        <v>4</v>
      </c>
      <c r="N161" s="490" cm="1">
        <f t="array" ref="N161">SUMPRODUCT(--(ISNUMBER(SEARCH($A161,'Diags Raw Data'!$A$6:$A$3690))),--('Diags Raw Data'!$Q$6:$Q$3690&lt;&gt;"N/A"),'Diags Raw Data'!$T$6:$T$3690)+SUMPRODUCT(--(ISNUMBER(SEARCH($A161,'Diags Raw Data'!$A$6:$A$3690))),--('Diags Raw Data'!$Q$6:$Q$3690&lt;&gt;"N/A"),'Diags Raw Data'!$U$6:$U$3690)</f>
        <v>4</v>
      </c>
      <c r="O161" s="491">
        <f t="shared" si="19"/>
        <v>1</v>
      </c>
      <c r="P161" s="492">
        <f>SUMIF('Diags Raw Data'!$A$6:$A$3690,"*"&amp;$A161&amp;"*",'Diags Raw Data'!$Z$6:$Z$3690)</f>
        <v>0</v>
      </c>
      <c r="Q161" s="493">
        <f>SUM(SUMIF('Diags Raw Data'!$A$6:$A$3690,"*"&amp;$A161&amp;"*",'Diags Raw Data'!$AA$6:$AA$3690),SUMIF('Diags Raw Data'!$A$6:$A$3690,"*"&amp;$A161&amp;"*",'Diags Raw Data'!$AB$6:$AB$3690))</f>
        <v>0</v>
      </c>
      <c r="R161" s="494">
        <f t="shared" si="20"/>
        <v>0</v>
      </c>
      <c r="S161" s="494">
        <f t="shared" si="21"/>
        <v>0</v>
      </c>
      <c r="T161" s="495">
        <f t="shared" si="22"/>
        <v>0</v>
      </c>
      <c r="U161" s="436" t="str">
        <f>VLOOKUP(A161,'Diags Raw Data'!$A$6:$AH$3690,33,FALSE)</f>
        <v>WK6</v>
      </c>
      <c r="V161" s="181"/>
    </row>
    <row r="162" spans="1:22" ht="15.75" thickBot="1" x14ac:dyDescent="0.3">
      <c r="A162" s="549">
        <v>12.334</v>
      </c>
      <c r="B162" s="438" t="str">
        <f>VLOOKUP(A162,'Feature Raw Data'!$A$3:$B$3922,2,FALSE)</f>
        <v>GTS support in GFX12</v>
      </c>
      <c r="C162" s="439" t="str">
        <f>VLOOKUP(A162,'Feature Raw Data'!$A$3:$C$3922,3,FALSE)</f>
        <v>P1</v>
      </c>
      <c r="D162" s="440" t="str" cm="1">
        <f t="array" ref="D162">_xlfn.TEXTJOIN("",TRUE,IF(ISNUMBER(SEARCH($A162,'Diags Raw Data'!$A$6:$A$3690)),CONCATENATE('Diags Raw Data'!$H$6:$H$3690,", "),""))</f>
        <v xml:space="preserve">placeholder_t.1, </v>
      </c>
      <c r="E162" s="340" t="str">
        <f>VLOOKUP(A162,'Diags Raw Data'!$A$6:$D$3690,4,FALSE)</f>
        <v>CTL</v>
      </c>
      <c r="F162" s="340" t="str">
        <f>VLOOKUP(A162,'Feature Raw Data'!$A$3:$E$3922,5,FALSE)</f>
        <v>New</v>
      </c>
      <c r="G162" s="340" t="str">
        <f t="shared" si="17"/>
        <v>Yes</v>
      </c>
      <c r="H162" s="340" t="str">
        <f t="shared" si="18"/>
        <v>Yes</v>
      </c>
      <c r="I162" s="439">
        <f>SUMIF('Diags Raw Data'!$A$6:$A$3690,"*"&amp;$A162&amp;"*",'Diags Raw Data'!$K$6:$K$3690)</f>
        <v>0</v>
      </c>
      <c r="J162" s="441">
        <f>SUMIF('Diags Raw Data'!$A$6:$A$3690,"*"&amp;$A162&amp;"*",'Diags Raw Data'!$L$6:$L$3690)</f>
        <v>0</v>
      </c>
      <c r="K162" s="487" t="e" cm="1">
        <f t="array" ref="K162">IF(D162="",0, SUMPRODUCT(--(ISNUMBER(SEARCH($A162,'Diags Raw Data'!$A$6:$A$3690))),'Diags Raw Data'!$L$6:$L$3690,'Diags Raw Data'!$N$6:$N$3690)/J162)</f>
        <v>#DIV/0!</v>
      </c>
      <c r="L162" s="488" t="e" cm="1">
        <f t="array" ref="L162">IF(D162="",0, SUMPRODUCT(--(ISNUMBER(SEARCH($A162,'Diags Raw Data'!$A$6:$A$3690))),'Diags Raw Data'!$L$6:$L$3690,'Diags Raw Data'!$P$6:$P$3690)/J162)</f>
        <v>#DIV/0!</v>
      </c>
      <c r="M162" s="489" cm="1">
        <f t="array" ref="M162">SUMPRODUCT(--(ISNUMBER(SEARCH($A162,'Diags Raw Data'!$A$6:$A$3690))),--('Diags Raw Data'!$Q$6:$Q$3690&lt;&gt;"N/A"),'Diags Raw Data'!$R$6:$R$3690)</f>
        <v>2</v>
      </c>
      <c r="N162" s="490" cm="1">
        <f t="array" ref="N162">SUMPRODUCT(--(ISNUMBER(SEARCH($A162,'Diags Raw Data'!$A$6:$A$3690))),--('Diags Raw Data'!$Q$6:$Q$3690&lt;&gt;"N/A"),'Diags Raw Data'!$T$6:$T$3690)+SUMPRODUCT(--(ISNUMBER(SEARCH($A162,'Diags Raw Data'!$A$6:$A$3690))),--('Diags Raw Data'!$Q$6:$Q$3690&lt;&gt;"N/A"),'Diags Raw Data'!$U$6:$U$3690)</f>
        <v>0</v>
      </c>
      <c r="O162" s="491">
        <f t="shared" si="19"/>
        <v>0</v>
      </c>
      <c r="P162" s="492">
        <f>SUMIF('Diags Raw Data'!$A$6:$A$3690,"*"&amp;$A162&amp;"*",'Diags Raw Data'!$Z$6:$Z$3690)</f>
        <v>0</v>
      </c>
      <c r="Q162" s="493">
        <f>SUM(SUMIF('Diags Raw Data'!$A$6:$A$3690,"*"&amp;$A162&amp;"*",'Diags Raw Data'!$AA$6:$AA$3690),SUMIF('Diags Raw Data'!$A$6:$A$3690,"*"&amp;$A162&amp;"*",'Diags Raw Data'!$AB$6:$AB$3690))</f>
        <v>0</v>
      </c>
      <c r="R162" s="494">
        <f t="shared" si="20"/>
        <v>0</v>
      </c>
      <c r="S162" s="494">
        <f t="shared" si="21"/>
        <v>0</v>
      </c>
      <c r="T162" s="495">
        <f t="shared" si="22"/>
        <v>0</v>
      </c>
      <c r="U162" s="436" t="str">
        <f>VLOOKUP(A162,'Diags Raw Data'!$A$6:$AH$3690,33,FALSE)</f>
        <v>WK4</v>
      </c>
      <c r="V162" s="181"/>
    </row>
    <row r="163" spans="1:22" ht="30.75" thickBot="1" x14ac:dyDescent="0.3">
      <c r="A163" s="549">
        <v>12.336</v>
      </c>
      <c r="B163" s="438" t="str">
        <f>VLOOKUP(A163,'Feature Raw Data'!$A$3:$B$3922,2,FALSE)</f>
        <v>Remove harvesting connectivity/RTL mux in SP</v>
      </c>
      <c r="C163" s="439" t="str">
        <f>VLOOKUP(A163,'Feature Raw Data'!$A$3:$C$3922,3,FALSE)</f>
        <v>P2</v>
      </c>
      <c r="D163" s="440" t="str" cm="1">
        <f t="array" ref="D163">_xlfn.TEXTJOIN("",TRUE,IF(ISNUMBER(SEARCH($A163,'Diags Raw Data'!$A$6:$A$3690)),CONCATENATE('Diags Raw Data'!$H$6:$H$3690,", "),""))</f>
        <v/>
      </c>
      <c r="E163" s="340" t="e">
        <f>VLOOKUP(A163,'Diags Raw Data'!$A$6:$D$3690,4,FALSE)</f>
        <v>#N/A</v>
      </c>
      <c r="F163" s="340" t="str">
        <f>VLOOKUP(A163,'Feature Raw Data'!$A$3:$E$3922,5,FALSE)</f>
        <v>New</v>
      </c>
      <c r="G163" s="340" t="str">
        <f t="shared" si="17"/>
        <v>Yes</v>
      </c>
      <c r="H163" s="340" t="str">
        <f t="shared" si="18"/>
        <v>Yes</v>
      </c>
      <c r="I163" s="439">
        <f>SUMIF('Diags Raw Data'!$A$6:$A$3690,"*"&amp;$A163&amp;"*",'Diags Raw Data'!$K$6:$K$3690)</f>
        <v>0</v>
      </c>
      <c r="J163" s="441">
        <f>SUMIF('Diags Raw Data'!$A$6:$A$3690,"*"&amp;$A163&amp;"*",'Diags Raw Data'!$L$6:$L$3690)</f>
        <v>0</v>
      </c>
      <c r="K163" s="487" cm="1">
        <f t="array" ref="K163">IF(D163="",0, SUMPRODUCT(--(ISNUMBER(SEARCH($A163,'Diags Raw Data'!$A$6:$A$3690))),'Diags Raw Data'!$L$6:$L$3690,'Diags Raw Data'!$N$6:$N$3690)/J163)</f>
        <v>0</v>
      </c>
      <c r="L163" s="488" cm="1">
        <f t="array" ref="L163">IF(D163="",0, SUMPRODUCT(--(ISNUMBER(SEARCH($A163,'Diags Raw Data'!$A$6:$A$3690))),'Diags Raw Data'!$L$6:$L$3690,'Diags Raw Data'!$P$6:$P$3690)/J163)</f>
        <v>0</v>
      </c>
      <c r="M163" s="489" cm="1">
        <f t="array" ref="M163">SUMPRODUCT(--(ISNUMBER(SEARCH($A163,'Diags Raw Data'!$A$6:$A$3690))),--('Diags Raw Data'!$Q$6:$Q$3690&lt;&gt;"N/A"),'Diags Raw Data'!$R$6:$R$3690)</f>
        <v>0</v>
      </c>
      <c r="N163" s="490" cm="1">
        <f t="array" ref="N163">SUMPRODUCT(--(ISNUMBER(SEARCH($A163,'Diags Raw Data'!$A$6:$A$3690))),--('Diags Raw Data'!$Q$6:$Q$3690&lt;&gt;"N/A"),'Diags Raw Data'!$T$6:$T$3690)+SUMPRODUCT(--(ISNUMBER(SEARCH($A163,'Diags Raw Data'!$A$6:$A$3690))),--('Diags Raw Data'!$Q$6:$Q$3690&lt;&gt;"N/A"),'Diags Raw Data'!$U$6:$U$3690)</f>
        <v>0</v>
      </c>
      <c r="O163" s="491">
        <f t="shared" si="19"/>
        <v>0</v>
      </c>
      <c r="P163" s="492">
        <f>SUMIF('Diags Raw Data'!$A$6:$A$3690,"*"&amp;$A163&amp;"*",'Diags Raw Data'!$Z$6:$Z$3690)</f>
        <v>0</v>
      </c>
      <c r="Q163" s="493">
        <f>SUM(SUMIF('Diags Raw Data'!$A$6:$A$3690,"*"&amp;$A163&amp;"*",'Diags Raw Data'!$AA$6:$AA$3690),SUMIF('Diags Raw Data'!$A$6:$A$3690,"*"&amp;$A163&amp;"*",'Diags Raw Data'!$AB$6:$AB$3690))</f>
        <v>0</v>
      </c>
      <c r="R163" s="494">
        <f t="shared" si="20"/>
        <v>0</v>
      </c>
      <c r="S163" s="494">
        <f t="shared" si="21"/>
        <v>0</v>
      </c>
      <c r="T163" s="495">
        <f t="shared" si="22"/>
        <v>0</v>
      </c>
      <c r="U163" s="436" t="e">
        <f>VLOOKUP(A163,'Diags Raw Data'!$A$6:$AH$3690,33,FALSE)</f>
        <v>#N/A</v>
      </c>
      <c r="V163" s="554" t="s">
        <v>356</v>
      </c>
    </row>
    <row r="164" spans="1:22" ht="30.75" thickBot="1" x14ac:dyDescent="0.3">
      <c r="A164" s="549">
        <v>12.339</v>
      </c>
      <c r="B164" s="438" t="str">
        <f>VLOOKUP(A164,'Feature Raw Data'!$A$3:$B$3922,2,FALSE)</f>
        <v>GFX12 IH Gasket update for chiplet design</v>
      </c>
      <c r="C164" s="439" t="str">
        <f>VLOOKUP(A164,'Feature Raw Data'!$A$3:$C$3922,3,FALSE)</f>
        <v>P1</v>
      </c>
      <c r="D164" s="440" t="str" cm="1">
        <f t="array" ref="D164">_xlfn.TEXTJOIN("",TRUE,IF(ISNUMBER(SEARCH($A164,'Diags Raw Data'!$A$6:$A$3690)),CONCATENATE('Diags Raw Data'!$H$6:$H$3690,", "),""))</f>
        <v xml:space="preserve">GCI28.3, </v>
      </c>
      <c r="E164" s="340" t="str">
        <f>VLOOKUP(A164,'Diags Raw Data'!$A$6:$D$3690,4,FALSE)</f>
        <v>CTL</v>
      </c>
      <c r="F164" s="340" t="str">
        <f>VLOOKUP(A164,'Feature Raw Data'!$A$3:$E$3922,5,FALSE)</f>
        <v>New</v>
      </c>
      <c r="G164" s="340" t="str">
        <f t="shared" si="17"/>
        <v>Yes</v>
      </c>
      <c r="H164" s="340" t="str">
        <f t="shared" si="18"/>
        <v>Yes</v>
      </c>
      <c r="I164" s="439">
        <f>SUMIF('Diags Raw Data'!$A$6:$A$3690,"*"&amp;$A164&amp;"*",'Diags Raw Data'!$K$6:$K$3690)</f>
        <v>0</v>
      </c>
      <c r="J164" s="441">
        <f>SUMIF('Diags Raw Data'!$A$6:$A$3690,"*"&amp;$A164&amp;"*",'Diags Raw Data'!$L$6:$L$3690)</f>
        <v>0</v>
      </c>
      <c r="K164" s="487" t="e" cm="1">
        <f t="array" ref="K164">IF(D164="",0, SUMPRODUCT(--(ISNUMBER(SEARCH($A164,'Diags Raw Data'!$A$6:$A$3690))),'Diags Raw Data'!$L$6:$L$3690,'Diags Raw Data'!$N$6:$N$3690)/J164)</f>
        <v>#DIV/0!</v>
      </c>
      <c r="L164" s="488" t="e" cm="1">
        <f t="array" ref="L164">IF(D164="",0, SUMPRODUCT(--(ISNUMBER(SEARCH($A164,'Diags Raw Data'!$A$6:$A$3690))),'Diags Raw Data'!$L$6:$L$3690,'Diags Raw Data'!$P$6:$P$3690)/J164)</f>
        <v>#DIV/0!</v>
      </c>
      <c r="M164" s="489" cm="1">
        <f t="array" ref="M164">SUMPRODUCT(--(ISNUMBER(SEARCH($A164,'Diags Raw Data'!$A$6:$A$3690))),--('Diags Raw Data'!$Q$6:$Q$3690&lt;&gt;"N/A"),'Diags Raw Data'!$R$6:$R$3690)</f>
        <v>1</v>
      </c>
      <c r="N164" s="490" cm="1">
        <f t="array" ref="N164">SUMPRODUCT(--(ISNUMBER(SEARCH($A164,'Diags Raw Data'!$A$6:$A$3690))),--('Diags Raw Data'!$Q$6:$Q$3690&lt;&gt;"N/A"),'Diags Raw Data'!$T$6:$T$3690)+SUMPRODUCT(--(ISNUMBER(SEARCH($A164,'Diags Raw Data'!$A$6:$A$3690))),--('Diags Raw Data'!$Q$6:$Q$3690&lt;&gt;"N/A"),'Diags Raw Data'!$U$6:$U$3690)</f>
        <v>1</v>
      </c>
      <c r="O164" s="491">
        <f t="shared" si="19"/>
        <v>1</v>
      </c>
      <c r="P164" s="492">
        <f>SUMIF('Diags Raw Data'!$A$6:$A$3690,"*"&amp;$A164&amp;"*",'Diags Raw Data'!$Z$6:$Z$3690)</f>
        <v>0</v>
      </c>
      <c r="Q164" s="493">
        <f>SUM(SUMIF('Diags Raw Data'!$A$6:$A$3690,"*"&amp;$A164&amp;"*",'Diags Raw Data'!$AA$6:$AA$3690),SUMIF('Diags Raw Data'!$A$6:$A$3690,"*"&amp;$A164&amp;"*",'Diags Raw Data'!$AB$6:$AB$3690))</f>
        <v>0</v>
      </c>
      <c r="R164" s="494">
        <f t="shared" si="20"/>
        <v>0</v>
      </c>
      <c r="S164" s="494">
        <f t="shared" si="21"/>
        <v>0</v>
      </c>
      <c r="T164" s="495">
        <f t="shared" si="22"/>
        <v>0</v>
      </c>
      <c r="U164" s="436" t="str">
        <f>VLOOKUP(A164,'Diags Raw Data'!$A$6:$AH$3690,33,FALSE)</f>
        <v>WK5</v>
      </c>
      <c r="V164" s="181"/>
    </row>
    <row r="165" spans="1:22" ht="45.75" thickBot="1" x14ac:dyDescent="0.3">
      <c r="A165" s="549">
        <v>12.342000000000001</v>
      </c>
      <c r="B165" s="438" t="str">
        <f>VLOOKUP(A165,'Feature Raw Data'!$A$3:$B$3922,2,FALSE)</f>
        <v>GFX12 IMU - Add FIFO for blocked RSMU writes and keep read outstanding</v>
      </c>
      <c r="C165" s="439" t="str">
        <f>VLOOKUP(A165,'Feature Raw Data'!$A$3:$C$3922,3,FALSE)</f>
        <v>P1</v>
      </c>
      <c r="D165" s="440" t="str" cm="1">
        <f t="array" ref="D165">_xlfn.TEXTJOIN("",TRUE,IF(ISNUMBER(SEARCH($A165,'Diags Raw Data'!$A$6:$A$3690)),CONCATENATE('Diags Raw Data'!$H$6:$H$3690,", "),""))</f>
        <v/>
      </c>
      <c r="E165" s="340" t="e">
        <f>VLOOKUP(A165,'Diags Raw Data'!$A$6:$D$3690,4,FALSE)</f>
        <v>#N/A</v>
      </c>
      <c r="F165" s="340" t="str">
        <f>VLOOKUP(A165,'Feature Raw Data'!$A$3:$E$3922,5,FALSE)</f>
        <v>New</v>
      </c>
      <c r="G165" s="340" t="str">
        <f t="shared" si="17"/>
        <v>Yes</v>
      </c>
      <c r="H165" s="340" t="str">
        <f t="shared" si="18"/>
        <v>Yes</v>
      </c>
      <c r="I165" s="439">
        <f>SUMIF('Diags Raw Data'!$A$6:$A$3690,"*"&amp;$A165&amp;"*",'Diags Raw Data'!$K$6:$K$3690)</f>
        <v>0</v>
      </c>
      <c r="J165" s="441">
        <f>SUMIF('Diags Raw Data'!$A$6:$A$3690,"*"&amp;$A165&amp;"*",'Diags Raw Data'!$L$6:$L$3690)</f>
        <v>0</v>
      </c>
      <c r="K165" s="487" cm="1">
        <f t="array" ref="K165">IF(D165="",0, SUMPRODUCT(--(ISNUMBER(SEARCH($A165,'Diags Raw Data'!$A$6:$A$3690))),'Diags Raw Data'!$L$6:$L$3690,'Diags Raw Data'!$N$6:$N$3690)/J165)</f>
        <v>0</v>
      </c>
      <c r="L165" s="488" cm="1">
        <f t="array" ref="L165">IF(D165="",0, SUMPRODUCT(--(ISNUMBER(SEARCH($A165,'Diags Raw Data'!$A$6:$A$3690))),'Diags Raw Data'!$L$6:$L$3690,'Diags Raw Data'!$P$6:$P$3690)/J165)</f>
        <v>0</v>
      </c>
      <c r="M165" s="489" cm="1">
        <f t="array" ref="M165">SUMPRODUCT(--(ISNUMBER(SEARCH($A165,'Diags Raw Data'!$A$6:$A$3690))),--('Diags Raw Data'!$Q$6:$Q$3690&lt;&gt;"N/A"),'Diags Raw Data'!$R$6:$R$3690)</f>
        <v>0</v>
      </c>
      <c r="N165" s="490" cm="1">
        <f t="array" ref="N165">SUMPRODUCT(--(ISNUMBER(SEARCH($A165,'Diags Raw Data'!$A$6:$A$3690))),--('Diags Raw Data'!$Q$6:$Q$3690&lt;&gt;"N/A"),'Diags Raw Data'!$T$6:$T$3690)+SUMPRODUCT(--(ISNUMBER(SEARCH($A165,'Diags Raw Data'!$A$6:$A$3690))),--('Diags Raw Data'!$Q$6:$Q$3690&lt;&gt;"N/A"),'Diags Raw Data'!$U$6:$U$3690)</f>
        <v>0</v>
      </c>
      <c r="O165" s="491">
        <f t="shared" si="19"/>
        <v>0</v>
      </c>
      <c r="P165" s="492">
        <f>SUMIF('Diags Raw Data'!$A$6:$A$3690,"*"&amp;$A165&amp;"*",'Diags Raw Data'!$Z$6:$Z$3690)</f>
        <v>0</v>
      </c>
      <c r="Q165" s="493">
        <f>SUM(SUMIF('Diags Raw Data'!$A$6:$A$3690,"*"&amp;$A165&amp;"*",'Diags Raw Data'!$AA$6:$AA$3690),SUMIF('Diags Raw Data'!$A$6:$A$3690,"*"&amp;$A165&amp;"*",'Diags Raw Data'!$AB$6:$AB$3690))</f>
        <v>0</v>
      </c>
      <c r="R165" s="494">
        <f t="shared" si="20"/>
        <v>0</v>
      </c>
      <c r="S165" s="494">
        <f t="shared" si="21"/>
        <v>0</v>
      </c>
      <c r="T165" s="495">
        <f t="shared" si="22"/>
        <v>0</v>
      </c>
      <c r="U165" s="436" t="e">
        <f>VLOOKUP(A165,'Diags Raw Data'!$A$6:$AH$3690,33,FALSE)</f>
        <v>#N/A</v>
      </c>
      <c r="V165" s="181"/>
    </row>
    <row r="166" spans="1:22" ht="30.75" thickBot="1" x14ac:dyDescent="0.3">
      <c r="A166" s="549">
        <v>12.343</v>
      </c>
      <c r="B166" s="438" t="str">
        <f>VLOOKUP(A166,'Feature Raw Data'!$A$3:$B$3922,2,FALSE)</f>
        <v>SPM sample sync across AID and GFX to DF</v>
      </c>
      <c r="C166" s="439" t="str">
        <f>VLOOKUP(A166,'Feature Raw Data'!$A$3:$C$3922,3,FALSE)</f>
        <v>P1</v>
      </c>
      <c r="D166" s="440" t="str" cm="1">
        <f t="array" ref="D166">_xlfn.TEXTJOIN("",TRUE,IF(ISNUMBER(SEARCH($A166,'Diags Raw Data'!$A$6:$A$3690)),CONCATENATE('Diags Raw Data'!$H$6:$H$3690,", "),""))</f>
        <v xml:space="preserve">std1.6,with,tgre,spm,&amp;,sqtt, </v>
      </c>
      <c r="E166" s="340" t="str">
        <f>VLOOKUP(A166,'Diags Raw Data'!$A$6:$D$3690,4,FALSE)</f>
        <v>CTL</v>
      </c>
      <c r="F166" s="340" t="str">
        <f>VLOOKUP(A166,'Feature Raw Data'!$A$3:$E$3922,5,FALSE)</f>
        <v>New</v>
      </c>
      <c r="G166" s="340" t="str">
        <f t="shared" si="17"/>
        <v>Yes</v>
      </c>
      <c r="H166" s="340" t="str">
        <f t="shared" si="18"/>
        <v>Yes</v>
      </c>
      <c r="I166" s="439">
        <f>SUMIF('Diags Raw Data'!$A$6:$A$3690,"*"&amp;$A166&amp;"*",'Diags Raw Data'!$K$6:$K$3690)</f>
        <v>0</v>
      </c>
      <c r="J166" s="441">
        <f>SUMIF('Diags Raw Data'!$A$6:$A$3690,"*"&amp;$A166&amp;"*",'Diags Raw Data'!$L$6:$L$3690)</f>
        <v>0</v>
      </c>
      <c r="K166" s="487" t="e" cm="1">
        <f t="array" ref="K166">IF(D166="",0, SUMPRODUCT(--(ISNUMBER(SEARCH($A166,'Diags Raw Data'!$A$6:$A$3690))),'Diags Raw Data'!$L$6:$L$3690,'Diags Raw Data'!$N$6:$N$3690)/J166)</f>
        <v>#DIV/0!</v>
      </c>
      <c r="L166" s="488" t="e" cm="1">
        <f t="array" ref="L166">IF(D166="",0, SUMPRODUCT(--(ISNUMBER(SEARCH($A166,'Diags Raw Data'!$A$6:$A$3690))),'Diags Raw Data'!$L$6:$L$3690,'Diags Raw Data'!$P$6:$P$3690)/J166)</f>
        <v>#DIV/0!</v>
      </c>
      <c r="M166" s="489" cm="1">
        <f t="array" ref="M166">SUMPRODUCT(--(ISNUMBER(SEARCH($A166,'Diags Raw Data'!$A$6:$A$3690))),--('Diags Raw Data'!$Q$6:$Q$3690&lt;&gt;"N/A"),'Diags Raw Data'!$R$6:$R$3690)</f>
        <v>1</v>
      </c>
      <c r="N166" s="490" cm="1">
        <f t="array" ref="N166">SUMPRODUCT(--(ISNUMBER(SEARCH($A166,'Diags Raw Data'!$A$6:$A$3690))),--('Diags Raw Data'!$Q$6:$Q$3690&lt;&gt;"N/A"),'Diags Raw Data'!$T$6:$T$3690)+SUMPRODUCT(--(ISNUMBER(SEARCH($A166,'Diags Raw Data'!$A$6:$A$3690))),--('Diags Raw Data'!$Q$6:$Q$3690&lt;&gt;"N/A"),'Diags Raw Data'!$U$6:$U$3690)</f>
        <v>0</v>
      </c>
      <c r="O166" s="491">
        <f t="shared" si="19"/>
        <v>0</v>
      </c>
      <c r="P166" s="492">
        <f>SUMIF('Diags Raw Data'!$A$6:$A$3690,"*"&amp;$A166&amp;"*",'Diags Raw Data'!$Z$6:$Z$3690)</f>
        <v>0</v>
      </c>
      <c r="Q166" s="493">
        <f>SUM(SUMIF('Diags Raw Data'!$A$6:$A$3690,"*"&amp;$A166&amp;"*",'Diags Raw Data'!$AA$6:$AA$3690),SUMIF('Diags Raw Data'!$A$6:$A$3690,"*"&amp;$A166&amp;"*",'Diags Raw Data'!$AB$6:$AB$3690))</f>
        <v>0</v>
      </c>
      <c r="R166" s="494">
        <f t="shared" si="20"/>
        <v>0</v>
      </c>
      <c r="S166" s="494">
        <f t="shared" si="21"/>
        <v>0</v>
      </c>
      <c r="T166" s="495">
        <f t="shared" si="22"/>
        <v>0</v>
      </c>
      <c r="U166" s="436" t="str">
        <f>VLOOKUP(A166,'Diags Raw Data'!$A$6:$AH$3690,33,FALSE)</f>
        <v>WK5</v>
      </c>
      <c r="V166" s="181"/>
    </row>
    <row r="167" spans="1:22" ht="15.75" thickBot="1" x14ac:dyDescent="0.3">
      <c r="A167" s="549">
        <v>12.343999999999999</v>
      </c>
      <c r="B167" s="438" t="str">
        <f>VLOOKUP(A167,'Feature Raw Data'!$A$3:$B$3922,2,FALSE)</f>
        <v>Faulting illegal ops to PCIE</v>
      </c>
      <c r="C167" s="439" t="str">
        <f>VLOOKUP(A167,'Feature Raw Data'!$A$3:$C$3922,3,FALSE)</f>
        <v>P1</v>
      </c>
      <c r="D167" s="440" t="str" cm="1">
        <f t="array" ref="D167">_xlfn.TEXTJOIN("",TRUE,IF(ISNUMBER(SEARCH($A167,'Diags Raw Data'!$A$6:$A$3690)),CONCATENATE('Diags Raw Data'!$H$6:$H$3690,", "),""))</f>
        <v xml:space="preserve">glxi86.1-2, </v>
      </c>
      <c r="E167" s="340" t="str">
        <f>VLOOKUP(A167,'Diags Raw Data'!$A$6:$D$3690,4,FALSE)</f>
        <v>CMM</v>
      </c>
      <c r="F167" s="340" t="str">
        <f>VLOOKUP(A167,'Feature Raw Data'!$A$3:$E$3922,5,FALSE)</f>
        <v>New</v>
      </c>
      <c r="G167" s="340" t="str">
        <f t="shared" si="17"/>
        <v>Yes</v>
      </c>
      <c r="H167" s="340" t="str">
        <f t="shared" si="18"/>
        <v>Yes</v>
      </c>
      <c r="I167" s="439">
        <f>SUMIF('Diags Raw Data'!$A$6:$A$3690,"*"&amp;$A167&amp;"*",'Diags Raw Data'!$K$6:$K$3690)</f>
        <v>0</v>
      </c>
      <c r="J167" s="441">
        <f>SUMIF('Diags Raw Data'!$A$6:$A$3690,"*"&amp;$A167&amp;"*",'Diags Raw Data'!$L$6:$L$3690)</f>
        <v>0</v>
      </c>
      <c r="K167" s="487" t="e" cm="1">
        <f t="array" ref="K167">IF(D167="",0, SUMPRODUCT(--(ISNUMBER(SEARCH($A167,'Diags Raw Data'!$A$6:$A$3690))),'Diags Raw Data'!$L$6:$L$3690,'Diags Raw Data'!$N$6:$N$3690)/J167)</f>
        <v>#DIV/0!</v>
      </c>
      <c r="L167" s="488" t="e" cm="1">
        <f t="array" ref="L167">IF(D167="",0, SUMPRODUCT(--(ISNUMBER(SEARCH($A167,'Diags Raw Data'!$A$6:$A$3690))),'Diags Raw Data'!$L$6:$L$3690,'Diags Raw Data'!$P$6:$P$3690)/J167)</f>
        <v>#DIV/0!</v>
      </c>
      <c r="M167" s="489" cm="1">
        <f t="array" ref="M167">SUMPRODUCT(--(ISNUMBER(SEARCH($A167,'Diags Raw Data'!$A$6:$A$3690))),--('Diags Raw Data'!$Q$6:$Q$3690&lt;&gt;"N/A"),'Diags Raw Data'!$R$6:$R$3690)</f>
        <v>1</v>
      </c>
      <c r="N167" s="490" cm="1">
        <f t="array" ref="N167">SUMPRODUCT(--(ISNUMBER(SEARCH($A167,'Diags Raw Data'!$A$6:$A$3690))),--('Diags Raw Data'!$Q$6:$Q$3690&lt;&gt;"N/A"),'Diags Raw Data'!$T$6:$T$3690)+SUMPRODUCT(--(ISNUMBER(SEARCH($A167,'Diags Raw Data'!$A$6:$A$3690))),--('Diags Raw Data'!$Q$6:$Q$3690&lt;&gt;"N/A"),'Diags Raw Data'!$U$6:$U$3690)</f>
        <v>0</v>
      </c>
      <c r="O167" s="491">
        <f t="shared" si="19"/>
        <v>0</v>
      </c>
      <c r="P167" s="492">
        <f>SUMIF('Diags Raw Data'!$A$6:$A$3690,"*"&amp;$A167&amp;"*",'Diags Raw Data'!$Z$6:$Z$3690)</f>
        <v>0</v>
      </c>
      <c r="Q167" s="493">
        <f>SUM(SUMIF('Diags Raw Data'!$A$6:$A$3690,"*"&amp;$A167&amp;"*",'Diags Raw Data'!$AA$6:$AA$3690),SUMIF('Diags Raw Data'!$A$6:$A$3690,"*"&amp;$A167&amp;"*",'Diags Raw Data'!$AB$6:$AB$3690))</f>
        <v>0</v>
      </c>
      <c r="R167" s="494">
        <f t="shared" si="20"/>
        <v>0</v>
      </c>
      <c r="S167" s="494">
        <f t="shared" si="21"/>
        <v>0</v>
      </c>
      <c r="T167" s="495">
        <f t="shared" si="22"/>
        <v>0</v>
      </c>
      <c r="U167" s="436" t="str">
        <f>VLOOKUP(A167,'Diags Raw Data'!$A$6:$AH$3690,33,FALSE)</f>
        <v>WK6</v>
      </c>
      <c r="V167" s="181"/>
    </row>
    <row r="168" spans="1:22" ht="45.75" thickBot="1" x14ac:dyDescent="0.3">
      <c r="A168" s="549">
        <v>12.349</v>
      </c>
      <c r="B168" s="438" t="str">
        <f>VLOOKUP(A168,'Feature Raw Data'!$A$3:$B$3922,2,FALSE)</f>
        <v>Perfmon: GFX - Convert all counter modules to SPM-only mode</v>
      </c>
      <c r="C168" s="439" t="str">
        <f>VLOOKUP(A168,'Feature Raw Data'!$A$3:$C$3922,3,FALSE)</f>
        <v>P2</v>
      </c>
      <c r="D168" s="440" t="str" cm="1">
        <f t="array" ref="D168">_xlfn.TEXTJOIN("",TRUE,IF(ISNUMBER(SEARCH($A168,'Diags Raw Data'!$A$6:$A$3690)),CONCATENATE('Diags Raw Data'!$H$6:$H$3690,", "),""))</f>
        <v xml:space="preserve">std1.6,with,tgre,spm,cp,test,with,spm, </v>
      </c>
      <c r="E168" s="340" t="str">
        <f>VLOOKUP(A168,'Diags Raw Data'!$A$6:$D$3690,4,FALSE)</f>
        <v>GC</v>
      </c>
      <c r="F168" s="340" t="str">
        <f>VLOOKUP(A168,'Feature Raw Data'!$A$3:$E$3922,5,FALSE)</f>
        <v>New</v>
      </c>
      <c r="G168" s="340" t="str">
        <f t="shared" si="17"/>
        <v>Yes</v>
      </c>
      <c r="H168" s="340" t="str">
        <f t="shared" si="18"/>
        <v>Yes</v>
      </c>
      <c r="I168" s="439">
        <f>SUMIF('Diags Raw Data'!$A$6:$A$3690,"*"&amp;$A168&amp;"*",'Diags Raw Data'!$K$6:$K$3690)</f>
        <v>0</v>
      </c>
      <c r="J168" s="441">
        <f>SUMIF('Diags Raw Data'!$A$6:$A$3690,"*"&amp;$A168&amp;"*",'Diags Raw Data'!$L$6:$L$3690)</f>
        <v>0</v>
      </c>
      <c r="K168" s="487" t="e" cm="1">
        <f t="array" ref="K168">IF(D168="",0, SUMPRODUCT(--(ISNUMBER(SEARCH($A168,'Diags Raw Data'!$A$6:$A$3690))),'Diags Raw Data'!$L$6:$L$3690,'Diags Raw Data'!$N$6:$N$3690)/J168)</f>
        <v>#DIV/0!</v>
      </c>
      <c r="L168" s="488" t="e" cm="1">
        <f t="array" ref="L168">IF(D168="",0, SUMPRODUCT(--(ISNUMBER(SEARCH($A168,'Diags Raw Data'!$A$6:$A$3690))),'Diags Raw Data'!$L$6:$L$3690,'Diags Raw Data'!$P$6:$P$3690)/J168)</f>
        <v>#DIV/0!</v>
      </c>
      <c r="M168" s="489" cm="1">
        <f t="array" ref="M168">SUMPRODUCT(--(ISNUMBER(SEARCH($A168,'Diags Raw Data'!$A$6:$A$3690))),--('Diags Raw Data'!$Q$6:$Q$3690&lt;&gt;"N/A"),'Diags Raw Data'!$R$6:$R$3690)</f>
        <v>1</v>
      </c>
      <c r="N168" s="490" cm="1">
        <f t="array" ref="N168">SUMPRODUCT(--(ISNUMBER(SEARCH($A168,'Diags Raw Data'!$A$6:$A$3690))),--('Diags Raw Data'!$Q$6:$Q$3690&lt;&gt;"N/A"),'Diags Raw Data'!$T$6:$T$3690)+SUMPRODUCT(--(ISNUMBER(SEARCH($A168,'Diags Raw Data'!$A$6:$A$3690))),--('Diags Raw Data'!$Q$6:$Q$3690&lt;&gt;"N/A"),'Diags Raw Data'!$U$6:$U$3690)</f>
        <v>0</v>
      </c>
      <c r="O168" s="491">
        <f t="shared" si="19"/>
        <v>0</v>
      </c>
      <c r="P168" s="492">
        <f>SUMIF('Diags Raw Data'!$A$6:$A$3690,"*"&amp;$A168&amp;"*",'Diags Raw Data'!$Z$6:$Z$3690)</f>
        <v>0</v>
      </c>
      <c r="Q168" s="493">
        <f>SUM(SUMIF('Diags Raw Data'!$A$6:$A$3690,"*"&amp;$A168&amp;"*",'Diags Raw Data'!$AA$6:$AA$3690),SUMIF('Diags Raw Data'!$A$6:$A$3690,"*"&amp;$A168&amp;"*",'Diags Raw Data'!$AB$6:$AB$3690))</f>
        <v>0</v>
      </c>
      <c r="R168" s="494">
        <f t="shared" si="20"/>
        <v>0</v>
      </c>
      <c r="S168" s="494">
        <f t="shared" si="21"/>
        <v>0</v>
      </c>
      <c r="T168" s="495">
        <f t="shared" si="22"/>
        <v>0</v>
      </c>
      <c r="U168" s="436" t="str">
        <f>VLOOKUP(A168,'Diags Raw Data'!$A$6:$AH$3690,33,FALSE)</f>
        <v>WK8</v>
      </c>
      <c r="V168" s="181"/>
    </row>
    <row r="169" spans="1:22" ht="45.75" thickBot="1" x14ac:dyDescent="0.3">
      <c r="A169" s="549">
        <v>12.356</v>
      </c>
      <c r="B169" s="438" t="str">
        <f>VLOOKUP(A169,'Feature Raw Data'!$A$3:$B$3922,2,FALSE)</f>
        <v>Perfmon: GFX - GFX SPM sampling window to be driven by REFCLK</v>
      </c>
      <c r="C169" s="439" t="str">
        <f>VLOOKUP(A169,'Feature Raw Data'!$A$3:$C$3922,3,FALSE)</f>
        <v>P1</v>
      </c>
      <c r="D169" s="440" t="str" cm="1">
        <f t="array" ref="D169">_xlfn.TEXTJOIN("",TRUE,IF(ISNUMBER(SEARCH($A169,'Diags Raw Data'!$A$6:$A$3690)),CONCATENATE('Diags Raw Data'!$H$6:$H$3690,", "),""))</f>
        <v xml:space="preserve">rlc1.0, </v>
      </c>
      <c r="E169" s="340" t="str">
        <f>VLOOKUP(A169,'Diags Raw Data'!$A$6:$D$3690,4,FALSE)</f>
        <v>GC</v>
      </c>
      <c r="F169" s="340" t="str">
        <f>VLOOKUP(A169,'Feature Raw Data'!$A$3:$E$3922,5,FALSE)</f>
        <v>New</v>
      </c>
      <c r="G169" s="340" t="str">
        <f t="shared" si="17"/>
        <v>Yes</v>
      </c>
      <c r="H169" s="340" t="str">
        <f t="shared" si="18"/>
        <v>Yes</v>
      </c>
      <c r="I169" s="439">
        <f>SUMIF('Diags Raw Data'!$A$6:$A$3690,"*"&amp;$A169&amp;"*",'Diags Raw Data'!$K$6:$K$3690)</f>
        <v>0</v>
      </c>
      <c r="J169" s="441">
        <f>SUMIF('Diags Raw Data'!$A$6:$A$3690,"*"&amp;$A169&amp;"*",'Diags Raw Data'!$L$6:$L$3690)</f>
        <v>0</v>
      </c>
      <c r="K169" s="487" t="e" cm="1">
        <f t="array" ref="K169">IF(D169="",0, SUMPRODUCT(--(ISNUMBER(SEARCH($A169,'Diags Raw Data'!$A$6:$A$3690))),'Diags Raw Data'!$L$6:$L$3690,'Diags Raw Data'!$N$6:$N$3690)/J169)</f>
        <v>#DIV/0!</v>
      </c>
      <c r="L169" s="488" t="e" cm="1">
        <f t="array" ref="L169">IF(D169="",0, SUMPRODUCT(--(ISNUMBER(SEARCH($A169,'Diags Raw Data'!$A$6:$A$3690))),'Diags Raw Data'!$L$6:$L$3690,'Diags Raw Data'!$P$6:$P$3690)/J169)</f>
        <v>#DIV/0!</v>
      </c>
      <c r="M169" s="489" cm="1">
        <f t="array" ref="M169">SUMPRODUCT(--(ISNUMBER(SEARCH($A169,'Diags Raw Data'!$A$6:$A$3690))),--('Diags Raw Data'!$Q$6:$Q$3690&lt;&gt;"N/A"),'Diags Raw Data'!$R$6:$R$3690)</f>
        <v>1</v>
      </c>
      <c r="N169" s="490" cm="1">
        <f t="array" ref="N169">SUMPRODUCT(--(ISNUMBER(SEARCH($A169,'Diags Raw Data'!$A$6:$A$3690))),--('Diags Raw Data'!$Q$6:$Q$3690&lt;&gt;"N/A"),'Diags Raw Data'!$T$6:$T$3690)+SUMPRODUCT(--(ISNUMBER(SEARCH($A169,'Diags Raw Data'!$A$6:$A$3690))),--('Diags Raw Data'!$Q$6:$Q$3690&lt;&gt;"N/A"),'Diags Raw Data'!$U$6:$U$3690)</f>
        <v>1</v>
      </c>
      <c r="O169" s="491">
        <f t="shared" si="19"/>
        <v>1</v>
      </c>
      <c r="P169" s="492">
        <f>SUMIF('Diags Raw Data'!$A$6:$A$3690,"*"&amp;$A169&amp;"*",'Diags Raw Data'!$Z$6:$Z$3690)</f>
        <v>0</v>
      </c>
      <c r="Q169" s="493">
        <f>SUM(SUMIF('Diags Raw Data'!$A$6:$A$3690,"*"&amp;$A169&amp;"*",'Diags Raw Data'!$AA$6:$AA$3690),SUMIF('Diags Raw Data'!$A$6:$A$3690,"*"&amp;$A169&amp;"*",'Diags Raw Data'!$AB$6:$AB$3690))</f>
        <v>0</v>
      </c>
      <c r="R169" s="494">
        <f t="shared" si="20"/>
        <v>0</v>
      </c>
      <c r="S169" s="494">
        <f t="shared" si="21"/>
        <v>0</v>
      </c>
      <c r="T169" s="495">
        <f t="shared" si="22"/>
        <v>0</v>
      </c>
      <c r="U169" s="436" t="str">
        <f>VLOOKUP(A169,'Diags Raw Data'!$A$6:$AH$3690,33,FALSE)</f>
        <v>WK5</v>
      </c>
      <c r="V169" s="181"/>
    </row>
    <row r="170" spans="1:22" ht="45.75" thickBot="1" x14ac:dyDescent="0.3">
      <c r="A170" s="549">
        <v>12.356999999999999</v>
      </c>
      <c r="B170" s="438" t="str">
        <f>VLOOKUP(A170,'Feature Raw Data'!$A$3:$B$3922,2,FALSE)</f>
        <v>Perfmon: GFX - SQ counters to support shader type filters per individual counter</v>
      </c>
      <c r="C170" s="439" t="str">
        <f>VLOOKUP(A170,'Feature Raw Data'!$A$3:$C$3922,3,FALSE)</f>
        <v>P1</v>
      </c>
      <c r="D170" s="440" t="str" cm="1">
        <f t="array" ref="D170">_xlfn.TEXTJOIN("",TRUE,IF(ISNUMBER(SEARCH($A170,'Diags Raw Data'!$A$6:$A$3690)),CONCATENATE('Diags Raw Data'!$H$6:$H$3690,", "),""))</f>
        <v xml:space="preserve">std1.1,with,legacy,pv_proxy, </v>
      </c>
      <c r="E170" s="340" t="str">
        <f>VLOOKUP(A170,'Diags Raw Data'!$A$6:$D$3690,4,FALSE)</f>
        <v>GC</v>
      </c>
      <c r="F170" s="340" t="str">
        <f>VLOOKUP(A170,'Feature Raw Data'!$A$3:$E$3922,5,FALSE)</f>
        <v>New</v>
      </c>
      <c r="G170" s="340" t="str">
        <f t="shared" si="17"/>
        <v>Yes</v>
      </c>
      <c r="H170" s="340" t="str">
        <f t="shared" si="18"/>
        <v>Yes</v>
      </c>
      <c r="I170" s="439">
        <f>SUMIF('Diags Raw Data'!$A$6:$A$3690,"*"&amp;$A170&amp;"*",'Diags Raw Data'!$K$6:$K$3690)</f>
        <v>0</v>
      </c>
      <c r="J170" s="441">
        <f>SUMIF('Diags Raw Data'!$A$6:$A$3690,"*"&amp;$A170&amp;"*",'Diags Raw Data'!$L$6:$L$3690)</f>
        <v>0</v>
      </c>
      <c r="K170" s="487" t="e" cm="1">
        <f t="array" ref="K170">IF(D170="",0, SUMPRODUCT(--(ISNUMBER(SEARCH($A170,'Diags Raw Data'!$A$6:$A$3690))),'Diags Raw Data'!$L$6:$L$3690,'Diags Raw Data'!$N$6:$N$3690)/J170)</f>
        <v>#DIV/0!</v>
      </c>
      <c r="L170" s="488" t="e" cm="1">
        <f t="array" ref="L170">IF(D170="",0, SUMPRODUCT(--(ISNUMBER(SEARCH($A170,'Diags Raw Data'!$A$6:$A$3690))),'Diags Raw Data'!$L$6:$L$3690,'Diags Raw Data'!$P$6:$P$3690)/J170)</f>
        <v>#DIV/0!</v>
      </c>
      <c r="M170" s="489" cm="1">
        <f t="array" ref="M170">SUMPRODUCT(--(ISNUMBER(SEARCH($A170,'Diags Raw Data'!$A$6:$A$3690))),--('Diags Raw Data'!$Q$6:$Q$3690&lt;&gt;"N/A"),'Diags Raw Data'!$R$6:$R$3690)</f>
        <v>1</v>
      </c>
      <c r="N170" s="490" cm="1">
        <f t="array" ref="N170">SUMPRODUCT(--(ISNUMBER(SEARCH($A170,'Diags Raw Data'!$A$6:$A$3690))),--('Diags Raw Data'!$Q$6:$Q$3690&lt;&gt;"N/A"),'Diags Raw Data'!$T$6:$T$3690)+SUMPRODUCT(--(ISNUMBER(SEARCH($A170,'Diags Raw Data'!$A$6:$A$3690))),--('Diags Raw Data'!$Q$6:$Q$3690&lt;&gt;"N/A"),'Diags Raw Data'!$U$6:$U$3690)</f>
        <v>1</v>
      </c>
      <c r="O170" s="491">
        <f t="shared" si="19"/>
        <v>1</v>
      </c>
      <c r="P170" s="492">
        <f>SUMIF('Diags Raw Data'!$A$6:$A$3690,"*"&amp;$A170&amp;"*",'Diags Raw Data'!$Z$6:$Z$3690)</f>
        <v>0</v>
      </c>
      <c r="Q170" s="493">
        <f>SUM(SUMIF('Diags Raw Data'!$A$6:$A$3690,"*"&amp;$A170&amp;"*",'Diags Raw Data'!$AA$6:$AA$3690),SUMIF('Diags Raw Data'!$A$6:$A$3690,"*"&amp;$A170&amp;"*",'Diags Raw Data'!$AB$6:$AB$3690))</f>
        <v>0</v>
      </c>
      <c r="R170" s="494">
        <f t="shared" si="20"/>
        <v>0</v>
      </c>
      <c r="S170" s="494">
        <f t="shared" si="21"/>
        <v>0</v>
      </c>
      <c r="T170" s="495">
        <f t="shared" si="22"/>
        <v>0</v>
      </c>
      <c r="U170" s="436" t="str">
        <f>VLOOKUP(A170,'Diags Raw Data'!$A$6:$AH$3690,33,FALSE)</f>
        <v>WK5</v>
      </c>
      <c r="V170" s="181"/>
    </row>
    <row r="171" spans="1:22" ht="45.75" thickBot="1" x14ac:dyDescent="0.3">
      <c r="A171" s="549">
        <v>12.358000000000001</v>
      </c>
      <c r="B171" s="438" t="str">
        <f>VLOOKUP(A171,'Feature Raw Data'!$A$3:$B$3922,2,FALSE)</f>
        <v>Perfmon: GFX - Custom data injection from CP into SPM with delta counters</v>
      </c>
      <c r="C171" s="439" t="str">
        <f>VLOOKUP(A171,'Feature Raw Data'!$A$3:$C$3922,3,FALSE)</f>
        <v>P2</v>
      </c>
      <c r="D171" s="440" t="str" cm="1">
        <f t="array" ref="D171">_xlfn.TEXTJOIN("",TRUE,IF(ISNUMBER(SEARCH($A171,'Diags Raw Data'!$A$6:$A$3690)),CONCATENATE('Diags Raw Data'!$H$6:$H$3690,", "),""))</f>
        <v xml:space="preserve">rlc1.0,rlc1.1, </v>
      </c>
      <c r="E171" s="340" t="str">
        <f>VLOOKUP(A171,'Diags Raw Data'!$A$6:$D$3690,4,FALSE)</f>
        <v>GC</v>
      </c>
      <c r="F171" s="340" t="str">
        <f>VLOOKUP(A171,'Feature Raw Data'!$A$3:$E$3922,5,FALSE)</f>
        <v>New</v>
      </c>
      <c r="G171" s="340" t="str">
        <f t="shared" si="17"/>
        <v>Yes</v>
      </c>
      <c r="H171" s="340" t="str">
        <f t="shared" si="18"/>
        <v>Yes</v>
      </c>
      <c r="I171" s="439">
        <f>SUMIF('Diags Raw Data'!$A$6:$A$3690,"*"&amp;$A171&amp;"*",'Diags Raw Data'!$K$6:$K$3690)</f>
        <v>0</v>
      </c>
      <c r="J171" s="441">
        <f>SUMIF('Diags Raw Data'!$A$6:$A$3690,"*"&amp;$A171&amp;"*",'Diags Raw Data'!$L$6:$L$3690)</f>
        <v>0</v>
      </c>
      <c r="K171" s="487" t="e" cm="1">
        <f t="array" ref="K171">IF(D171="",0, SUMPRODUCT(--(ISNUMBER(SEARCH($A171,'Diags Raw Data'!$A$6:$A$3690))),'Diags Raw Data'!$L$6:$L$3690,'Diags Raw Data'!$N$6:$N$3690)/J171)</f>
        <v>#DIV/0!</v>
      </c>
      <c r="L171" s="488" t="e" cm="1">
        <f t="array" ref="L171">IF(D171="",0, SUMPRODUCT(--(ISNUMBER(SEARCH($A171,'Diags Raw Data'!$A$6:$A$3690))),'Diags Raw Data'!$L$6:$L$3690,'Diags Raw Data'!$P$6:$P$3690)/J171)</f>
        <v>#DIV/0!</v>
      </c>
      <c r="M171" s="489" cm="1">
        <f t="array" ref="M171">SUMPRODUCT(--(ISNUMBER(SEARCH($A171,'Diags Raw Data'!$A$6:$A$3690))),--('Diags Raw Data'!$Q$6:$Q$3690&lt;&gt;"N/A"),'Diags Raw Data'!$R$6:$R$3690)</f>
        <v>1</v>
      </c>
      <c r="N171" s="490" cm="1">
        <f t="array" ref="N171">SUMPRODUCT(--(ISNUMBER(SEARCH($A171,'Diags Raw Data'!$A$6:$A$3690))),--('Diags Raw Data'!$Q$6:$Q$3690&lt;&gt;"N/A"),'Diags Raw Data'!$T$6:$T$3690)+SUMPRODUCT(--(ISNUMBER(SEARCH($A171,'Diags Raw Data'!$A$6:$A$3690))),--('Diags Raw Data'!$Q$6:$Q$3690&lt;&gt;"N/A"),'Diags Raw Data'!$U$6:$U$3690)</f>
        <v>1</v>
      </c>
      <c r="O171" s="491">
        <f t="shared" si="19"/>
        <v>1</v>
      </c>
      <c r="P171" s="492">
        <f>SUMIF('Diags Raw Data'!$A$6:$A$3690,"*"&amp;$A171&amp;"*",'Diags Raw Data'!$Z$6:$Z$3690)</f>
        <v>0</v>
      </c>
      <c r="Q171" s="493">
        <f>SUM(SUMIF('Diags Raw Data'!$A$6:$A$3690,"*"&amp;$A171&amp;"*",'Diags Raw Data'!$AA$6:$AA$3690),SUMIF('Diags Raw Data'!$A$6:$A$3690,"*"&amp;$A171&amp;"*",'Diags Raw Data'!$AB$6:$AB$3690))</f>
        <v>0</v>
      </c>
      <c r="R171" s="494">
        <f t="shared" si="20"/>
        <v>0</v>
      </c>
      <c r="S171" s="494">
        <f t="shared" si="21"/>
        <v>0</v>
      </c>
      <c r="T171" s="495">
        <f t="shared" si="22"/>
        <v>0</v>
      </c>
      <c r="U171" s="436" t="str">
        <f>VLOOKUP(A171,'Diags Raw Data'!$A$6:$AH$3690,33,FALSE)</f>
        <v>WK8</v>
      </c>
      <c r="V171" s="181"/>
    </row>
    <row r="172" spans="1:22" ht="30.75" thickBot="1" x14ac:dyDescent="0.3">
      <c r="A172" s="549">
        <v>12.36</v>
      </c>
      <c r="B172" s="438" t="str">
        <f>VLOOKUP(A172,'Feature Raw Data'!$A$3:$B$3922,2,FALSE)</f>
        <v>WMMA wave level matrix load Instruction</v>
      </c>
      <c r="C172" s="439" t="str">
        <f>VLOOKUP(A172,'Feature Raw Data'!$A$3:$C$3922,3,FALSE)</f>
        <v>P2</v>
      </c>
      <c r="D172" s="440" t="str" cm="1">
        <f t="array" ref="D172">_xlfn.TEXTJOIN("",TRUE,IF(ISNUMBER(SEARCH($A172,'Diags Raw Data'!$A$6:$A$3690)),CONCATENATE('Diags Raw Data'!$H$6:$H$3690,", "),""))</f>
        <v xml:space="preserve">gfx.inst_perf/global_load_tr.*, shci2039.4,shci2039.5, </v>
      </c>
      <c r="E172" s="340" t="str">
        <f>VLOOKUP(A172,'Diags Raw Data'!$A$6:$D$3690,4,FALSE)</f>
        <v>SH</v>
      </c>
      <c r="F172" s="340" t="str">
        <f>VLOOKUP(A172,'Feature Raw Data'!$A$3:$E$3922,5,FALSE)</f>
        <v>New</v>
      </c>
      <c r="G172" s="340" t="str">
        <f t="shared" si="17"/>
        <v>Yes</v>
      </c>
      <c r="H172" s="340" t="str">
        <f t="shared" si="18"/>
        <v>Yes</v>
      </c>
      <c r="I172" s="439">
        <f>SUMIF('Diags Raw Data'!$A$6:$A$3690,"*"&amp;$A172&amp;"*",'Diags Raw Data'!$K$6:$K$3690)</f>
        <v>0</v>
      </c>
      <c r="J172" s="441">
        <f>SUMIF('Diags Raw Data'!$A$6:$A$3690,"*"&amp;$A172&amp;"*",'Diags Raw Data'!$L$6:$L$3690)</f>
        <v>0</v>
      </c>
      <c r="K172" s="487" t="e" cm="1">
        <f t="array" ref="K172">IF(D172="",0, SUMPRODUCT(--(ISNUMBER(SEARCH($A172,'Diags Raw Data'!$A$6:$A$3690))),'Diags Raw Data'!$L$6:$L$3690,'Diags Raw Data'!$N$6:$N$3690)/J172)</f>
        <v>#DIV/0!</v>
      </c>
      <c r="L172" s="488" t="e" cm="1">
        <f t="array" ref="L172">IF(D172="",0, SUMPRODUCT(--(ISNUMBER(SEARCH($A172,'Diags Raw Data'!$A$6:$A$3690))),'Diags Raw Data'!$L$6:$L$3690,'Diags Raw Data'!$P$6:$P$3690)/J172)</f>
        <v>#DIV/0!</v>
      </c>
      <c r="M172" s="489" cm="1">
        <f t="array" ref="M172">SUMPRODUCT(--(ISNUMBER(SEARCH($A172,'Diags Raw Data'!$A$6:$A$3690))),--('Diags Raw Data'!$Q$6:$Q$3690&lt;&gt;"N/A"),'Diags Raw Data'!$R$6:$R$3690)</f>
        <v>3</v>
      </c>
      <c r="N172" s="490" cm="1">
        <f t="array" ref="N172">SUMPRODUCT(--(ISNUMBER(SEARCH($A172,'Diags Raw Data'!$A$6:$A$3690))),--('Diags Raw Data'!$Q$6:$Q$3690&lt;&gt;"N/A"),'Diags Raw Data'!$T$6:$T$3690)+SUMPRODUCT(--(ISNUMBER(SEARCH($A172,'Diags Raw Data'!$A$6:$A$3690))),--('Diags Raw Data'!$Q$6:$Q$3690&lt;&gt;"N/A"),'Diags Raw Data'!$U$6:$U$3690)</f>
        <v>3</v>
      </c>
      <c r="O172" s="491">
        <f t="shared" si="19"/>
        <v>1</v>
      </c>
      <c r="P172" s="492">
        <f>SUMIF('Diags Raw Data'!$A$6:$A$3690,"*"&amp;$A172&amp;"*",'Diags Raw Data'!$Z$6:$Z$3690)</f>
        <v>0</v>
      </c>
      <c r="Q172" s="493">
        <f>SUM(SUMIF('Diags Raw Data'!$A$6:$A$3690,"*"&amp;$A172&amp;"*",'Diags Raw Data'!$AA$6:$AA$3690),SUMIF('Diags Raw Data'!$A$6:$A$3690,"*"&amp;$A172&amp;"*",'Diags Raw Data'!$AB$6:$AB$3690))</f>
        <v>0</v>
      </c>
      <c r="R172" s="494">
        <f t="shared" si="20"/>
        <v>0</v>
      </c>
      <c r="S172" s="494">
        <f t="shared" si="21"/>
        <v>0</v>
      </c>
      <c r="T172" s="495">
        <f t="shared" si="22"/>
        <v>0</v>
      </c>
      <c r="U172" s="436" t="str">
        <f>VLOOKUP(A172,'Diags Raw Data'!$A$6:$AH$3690,33,FALSE)</f>
        <v>WK6</v>
      </c>
      <c r="V172" s="181"/>
    </row>
    <row r="173" spans="1:22" ht="30.75" thickBot="1" x14ac:dyDescent="0.3">
      <c r="A173" s="549">
        <v>12.361000000000001</v>
      </c>
      <c r="B173" s="438" t="str">
        <f>VLOOKUP(A173,'Feature Raw Data'!$A$3:$B$3922,2,FALSE)</f>
        <v>Perfmon: GFX - VMID Specific Profiling/Debugging</v>
      </c>
      <c r="C173" s="439" t="str">
        <f>VLOOKUP(A173,'Feature Raw Data'!$A$3:$C$3922,3,FALSE)</f>
        <v>P2</v>
      </c>
      <c r="D173" s="440" t="str" cm="1">
        <f t="array" ref="D173">_xlfn.TEXTJOIN("",TRUE,IF(ISNUMBER(SEARCH($A173,'Diags Raw Data'!$A$6:$A$3690)),CONCATENATE('Diags Raw Data'!$H$6:$H$3690,", "),""))</f>
        <v xml:space="preserve">shci2039.4,shci2039.5, </v>
      </c>
      <c r="E173" s="340" t="str">
        <f>VLOOKUP(A173,'Diags Raw Data'!$A$6:$D$3690,4,FALSE)</f>
        <v>SH</v>
      </c>
      <c r="F173" s="340" t="str">
        <f>VLOOKUP(A173,'Feature Raw Data'!$A$3:$E$3922,5,FALSE)</f>
        <v>New</v>
      </c>
      <c r="G173" s="340" t="str">
        <f t="shared" si="17"/>
        <v>Yes</v>
      </c>
      <c r="H173" s="340" t="str">
        <f t="shared" si="18"/>
        <v>Yes</v>
      </c>
      <c r="I173" s="439">
        <f>SUMIF('Diags Raw Data'!$A$6:$A$3690,"*"&amp;$A173&amp;"*",'Diags Raw Data'!$K$6:$K$3690)</f>
        <v>0</v>
      </c>
      <c r="J173" s="441">
        <f>SUMIF('Diags Raw Data'!$A$6:$A$3690,"*"&amp;$A173&amp;"*",'Diags Raw Data'!$L$6:$L$3690)</f>
        <v>0</v>
      </c>
      <c r="K173" s="487" t="e" cm="1">
        <f t="array" ref="K173">IF(D173="",0, SUMPRODUCT(--(ISNUMBER(SEARCH($A173,'Diags Raw Data'!$A$6:$A$3690))),'Diags Raw Data'!$L$6:$L$3690,'Diags Raw Data'!$N$6:$N$3690)/J173)</f>
        <v>#DIV/0!</v>
      </c>
      <c r="L173" s="488" t="e" cm="1">
        <f t="array" ref="L173">IF(D173="",0, SUMPRODUCT(--(ISNUMBER(SEARCH($A173,'Diags Raw Data'!$A$6:$A$3690))),'Diags Raw Data'!$L$6:$L$3690,'Diags Raw Data'!$P$6:$P$3690)/J173)</f>
        <v>#DIV/0!</v>
      </c>
      <c r="M173" s="489" cm="1">
        <f t="array" ref="M173">SUMPRODUCT(--(ISNUMBER(SEARCH($A173,'Diags Raw Data'!$A$6:$A$3690))),--('Diags Raw Data'!$Q$6:$Q$3690&lt;&gt;"N/A"),'Diags Raw Data'!$R$6:$R$3690)</f>
        <v>1</v>
      </c>
      <c r="N173" s="490" cm="1">
        <f t="array" ref="N173">SUMPRODUCT(--(ISNUMBER(SEARCH($A173,'Diags Raw Data'!$A$6:$A$3690))),--('Diags Raw Data'!$Q$6:$Q$3690&lt;&gt;"N/A"),'Diags Raw Data'!$T$6:$T$3690)+SUMPRODUCT(--(ISNUMBER(SEARCH($A173,'Diags Raw Data'!$A$6:$A$3690))),--('Diags Raw Data'!$Q$6:$Q$3690&lt;&gt;"N/A"),'Diags Raw Data'!$U$6:$U$3690)</f>
        <v>1</v>
      </c>
      <c r="O173" s="491">
        <f t="shared" si="19"/>
        <v>1</v>
      </c>
      <c r="P173" s="492">
        <f>SUMIF('Diags Raw Data'!$A$6:$A$3690,"*"&amp;$A173&amp;"*",'Diags Raw Data'!$Z$6:$Z$3690)</f>
        <v>0</v>
      </c>
      <c r="Q173" s="493">
        <f>SUM(SUMIF('Diags Raw Data'!$A$6:$A$3690,"*"&amp;$A173&amp;"*",'Diags Raw Data'!$AA$6:$AA$3690),SUMIF('Diags Raw Data'!$A$6:$A$3690,"*"&amp;$A173&amp;"*",'Diags Raw Data'!$AB$6:$AB$3690))</f>
        <v>0</v>
      </c>
      <c r="R173" s="494">
        <f t="shared" si="20"/>
        <v>0</v>
      </c>
      <c r="S173" s="494">
        <f t="shared" si="21"/>
        <v>0</v>
      </c>
      <c r="T173" s="495">
        <f t="shared" si="22"/>
        <v>0</v>
      </c>
      <c r="U173" s="436" t="str">
        <f>VLOOKUP(A173,'Diags Raw Data'!$A$6:$AH$3690,33,FALSE)</f>
        <v>WK8</v>
      </c>
      <c r="V173" s="181"/>
    </row>
    <row r="174" spans="1:22" ht="45.75" thickBot="1" x14ac:dyDescent="0.3">
      <c r="A174" s="549">
        <v>12.366</v>
      </c>
      <c r="B174" s="438" t="str">
        <f>VLOOKUP(A174,'Feature Raw Data'!$A$3:$B$3922,2,FALSE)</f>
        <v>NV4x: Perfmon: Review and refinement of available perf counter events for GC and DF</v>
      </c>
      <c r="C174" s="439" t="str">
        <f>VLOOKUP(A174,'Feature Raw Data'!$A$3:$C$3922,3,FALSE)</f>
        <v>P2</v>
      </c>
      <c r="D174" s="440" t="str" cm="1">
        <f t="array" ref="D174">_xlfn.TEXTJOIN("",TRUE,IF(ISNUMBER(SEARCH($A174,'Diags Raw Data'!$A$6:$A$3690)),CONCATENATE('Diags Raw Data'!$H$6:$H$3690,", "),""))</f>
        <v/>
      </c>
      <c r="E174" s="340" t="e">
        <f>VLOOKUP(A174,'Diags Raw Data'!$A$6:$D$3690,4,FALSE)</f>
        <v>#N/A</v>
      </c>
      <c r="F174" s="340" t="str">
        <f>VLOOKUP(A174,'Feature Raw Data'!$A$3:$E$3922,5,FALSE)</f>
        <v>New</v>
      </c>
      <c r="G174" s="340" t="str">
        <f t="shared" si="17"/>
        <v>Yes</v>
      </c>
      <c r="H174" s="340" t="str">
        <f t="shared" si="18"/>
        <v>Yes</v>
      </c>
      <c r="I174" s="439">
        <f>SUMIF('Diags Raw Data'!$A$6:$A$3690,"*"&amp;$A174&amp;"*",'Diags Raw Data'!$K$6:$K$3690)</f>
        <v>0</v>
      </c>
      <c r="J174" s="441">
        <f>SUMIF('Diags Raw Data'!$A$6:$A$3690,"*"&amp;$A174&amp;"*",'Diags Raw Data'!$L$6:$L$3690)</f>
        <v>0</v>
      </c>
      <c r="K174" s="487" cm="1">
        <f t="array" ref="K174">IF(D174="",0, SUMPRODUCT(--(ISNUMBER(SEARCH($A174,'Diags Raw Data'!$A$6:$A$3690))),'Diags Raw Data'!$L$6:$L$3690,'Diags Raw Data'!$N$6:$N$3690)/J174)</f>
        <v>0</v>
      </c>
      <c r="L174" s="488" cm="1">
        <f t="array" ref="L174">IF(D174="",0, SUMPRODUCT(--(ISNUMBER(SEARCH($A174,'Diags Raw Data'!$A$6:$A$3690))),'Diags Raw Data'!$L$6:$L$3690,'Diags Raw Data'!$P$6:$P$3690)/J174)</f>
        <v>0</v>
      </c>
      <c r="M174" s="489" cm="1">
        <f t="array" ref="M174">SUMPRODUCT(--(ISNUMBER(SEARCH($A174,'Diags Raw Data'!$A$6:$A$3690))),--('Diags Raw Data'!$Q$6:$Q$3690&lt;&gt;"N/A"),'Diags Raw Data'!$R$6:$R$3690)</f>
        <v>0</v>
      </c>
      <c r="N174" s="490" cm="1">
        <f t="array" ref="N174">SUMPRODUCT(--(ISNUMBER(SEARCH($A174,'Diags Raw Data'!$A$6:$A$3690))),--('Diags Raw Data'!$Q$6:$Q$3690&lt;&gt;"N/A"),'Diags Raw Data'!$T$6:$T$3690)+SUMPRODUCT(--(ISNUMBER(SEARCH($A174,'Diags Raw Data'!$A$6:$A$3690))),--('Diags Raw Data'!$Q$6:$Q$3690&lt;&gt;"N/A"),'Diags Raw Data'!$U$6:$U$3690)</f>
        <v>0</v>
      </c>
      <c r="O174" s="491">
        <f t="shared" si="19"/>
        <v>0</v>
      </c>
      <c r="P174" s="492">
        <f>SUMIF('Diags Raw Data'!$A$6:$A$3690,"*"&amp;$A174&amp;"*",'Diags Raw Data'!$Z$6:$Z$3690)</f>
        <v>0</v>
      </c>
      <c r="Q174" s="493">
        <f>SUM(SUMIF('Diags Raw Data'!$A$6:$A$3690,"*"&amp;$A174&amp;"*",'Diags Raw Data'!$AA$6:$AA$3690),SUMIF('Diags Raw Data'!$A$6:$A$3690,"*"&amp;$A174&amp;"*",'Diags Raw Data'!$AB$6:$AB$3690))</f>
        <v>0</v>
      </c>
      <c r="R174" s="494">
        <f t="shared" si="20"/>
        <v>0</v>
      </c>
      <c r="S174" s="494">
        <f t="shared" si="21"/>
        <v>0</v>
      </c>
      <c r="T174" s="495">
        <f t="shared" si="22"/>
        <v>0</v>
      </c>
      <c r="U174" s="436" t="e">
        <f>VLOOKUP(A174,'Diags Raw Data'!$A$6:$AH$3690,33,FALSE)</f>
        <v>#N/A</v>
      </c>
      <c r="V174" s="181"/>
    </row>
    <row r="175" spans="1:22" ht="30.75" thickBot="1" x14ac:dyDescent="0.3">
      <c r="A175" s="549">
        <v>12.37</v>
      </c>
      <c r="B175" s="438" t="str">
        <f>VLOOKUP(A175,'Feature Raw Data'!$A$3:$B$3922,2,FALSE)</f>
        <v xml:space="preserve">Fix VOPD dual V_MOV </v>
      </c>
      <c r="C175" s="439" t="str">
        <f>VLOOKUP(A175,'Feature Raw Data'!$A$3:$C$3922,3,FALSE)</f>
        <v>P2</v>
      </c>
      <c r="D175" s="440" t="str" cm="1">
        <f t="array" ref="D175">_xlfn.TEXTJOIN("",TRUE,IF(ISNUMBER(SEARCH($A175,'Diags Raw Data'!$A$6:$A$3690)),CONCATENATE('Diags Raw Data'!$H$6:$H$3690,", "),""))</f>
        <v xml:space="preserve">gfx.inst_perf/v_dual_mov_b32, std1.6,2.6,3.6,4.6, </v>
      </c>
      <c r="E175" s="340" t="str">
        <f>VLOOKUP(A175,'Diags Raw Data'!$A$6:$D$3690,4,FALSE)</f>
        <v>SH</v>
      </c>
      <c r="F175" s="340" t="str">
        <f>VLOOKUP(A175,'Feature Raw Data'!$A$3:$E$3922,5,FALSE)</f>
        <v>New</v>
      </c>
      <c r="G175" s="340" t="str">
        <f t="shared" si="17"/>
        <v>Yes</v>
      </c>
      <c r="H175" s="340" t="str">
        <f t="shared" si="18"/>
        <v>Yes</v>
      </c>
      <c r="I175" s="439">
        <f>SUMIF('Diags Raw Data'!$A$6:$A$3690,"*"&amp;$A175&amp;"*",'Diags Raw Data'!$K$6:$K$3690)</f>
        <v>0</v>
      </c>
      <c r="J175" s="441">
        <f>SUMIF('Diags Raw Data'!$A$6:$A$3690,"*"&amp;$A175&amp;"*",'Diags Raw Data'!$L$6:$L$3690)</f>
        <v>0</v>
      </c>
      <c r="K175" s="487" t="e" cm="1">
        <f t="array" ref="K175">IF(D175="",0, SUMPRODUCT(--(ISNUMBER(SEARCH($A175,'Diags Raw Data'!$A$6:$A$3690))),'Diags Raw Data'!$L$6:$L$3690,'Diags Raw Data'!$N$6:$N$3690)/J175)</f>
        <v>#DIV/0!</v>
      </c>
      <c r="L175" s="488" t="e" cm="1">
        <f t="array" ref="L175">IF(D175="",0, SUMPRODUCT(--(ISNUMBER(SEARCH($A175,'Diags Raw Data'!$A$6:$A$3690))),'Diags Raw Data'!$L$6:$L$3690,'Diags Raw Data'!$P$6:$P$3690)/J175)</f>
        <v>#DIV/0!</v>
      </c>
      <c r="M175" s="489" cm="1">
        <f t="array" ref="M175">SUMPRODUCT(--(ISNUMBER(SEARCH($A175,'Diags Raw Data'!$A$6:$A$3690))),--('Diags Raw Data'!$Q$6:$Q$3690&lt;&gt;"N/A"),'Diags Raw Data'!$R$6:$R$3690)</f>
        <v>5</v>
      </c>
      <c r="N175" s="490" cm="1">
        <f t="array" ref="N175">SUMPRODUCT(--(ISNUMBER(SEARCH($A175,'Diags Raw Data'!$A$6:$A$3690))),--('Diags Raw Data'!$Q$6:$Q$3690&lt;&gt;"N/A"),'Diags Raw Data'!$T$6:$T$3690)+SUMPRODUCT(--(ISNUMBER(SEARCH($A175,'Diags Raw Data'!$A$6:$A$3690))),--('Diags Raw Data'!$Q$6:$Q$3690&lt;&gt;"N/A"),'Diags Raw Data'!$U$6:$U$3690)</f>
        <v>4</v>
      </c>
      <c r="O175" s="491">
        <f t="shared" si="19"/>
        <v>0.8</v>
      </c>
      <c r="P175" s="492">
        <f>SUMIF('Diags Raw Data'!$A$6:$A$3690,"*"&amp;$A175&amp;"*",'Diags Raw Data'!$Z$6:$Z$3690)</f>
        <v>0</v>
      </c>
      <c r="Q175" s="493">
        <f>SUM(SUMIF('Diags Raw Data'!$A$6:$A$3690,"*"&amp;$A175&amp;"*",'Diags Raw Data'!$AA$6:$AA$3690),SUMIF('Diags Raw Data'!$A$6:$A$3690,"*"&amp;$A175&amp;"*",'Diags Raw Data'!$AB$6:$AB$3690))</f>
        <v>0</v>
      </c>
      <c r="R175" s="494">
        <f t="shared" si="20"/>
        <v>0</v>
      </c>
      <c r="S175" s="494">
        <f t="shared" si="21"/>
        <v>0</v>
      </c>
      <c r="T175" s="495">
        <f t="shared" si="22"/>
        <v>0</v>
      </c>
      <c r="U175" s="436" t="str">
        <f>VLOOKUP(A175,'Diags Raw Data'!$A$6:$AH$3690,33,FALSE)</f>
        <v>WK6</v>
      </c>
      <c r="V175" s="181"/>
    </row>
    <row r="176" spans="1:22" ht="45.75" thickBot="1" x14ac:dyDescent="0.3">
      <c r="A176" s="549">
        <v>12.372999999999999</v>
      </c>
      <c r="B176" s="438" t="str">
        <f>VLOOKUP(A176,'Feature Raw Data'!$A$3:$B$3922,2,FALSE)</f>
        <v>Modification of GS throttle (due to 12.118 ph_memory_queues)</v>
      </c>
      <c r="C176" s="439" t="str">
        <f>VLOOKUP(A176,'Feature Raw Data'!$A$3:$C$3922,3,FALSE)</f>
        <v>P1</v>
      </c>
      <c r="D176" s="440" t="str" cm="1">
        <f t="array" ref="D176">_xlfn.TEXTJOIN("",TRUE,IF(ISNUMBER(SEARCH($A176,'Diags Raw Data'!$A$6:$A$3690)),CONCATENATE('Diags Raw Data'!$H$6:$H$3690,", "),""))</f>
        <v xml:space="preserve">std1.6,2.6,3.6,4.6, </v>
      </c>
      <c r="E176" s="340" t="str">
        <f>VLOOKUP(A176,'Diags Raw Data'!$A$6:$D$3690,4,FALSE)</f>
        <v>GEO</v>
      </c>
      <c r="F176" s="340" t="str">
        <f>VLOOKUP(A176,'Feature Raw Data'!$A$3:$E$3922,5,FALSE)</f>
        <v>New</v>
      </c>
      <c r="G176" s="340" t="str">
        <f t="shared" si="17"/>
        <v>Yes</v>
      </c>
      <c r="H176" s="340" t="str">
        <f t="shared" si="18"/>
        <v>Yes</v>
      </c>
      <c r="I176" s="439">
        <f>SUMIF('Diags Raw Data'!$A$6:$A$3690,"*"&amp;$A176&amp;"*",'Diags Raw Data'!$K$6:$K$3690)</f>
        <v>0</v>
      </c>
      <c r="J176" s="441">
        <f>SUMIF('Diags Raw Data'!$A$6:$A$3690,"*"&amp;$A176&amp;"*",'Diags Raw Data'!$L$6:$L$3690)</f>
        <v>0</v>
      </c>
      <c r="K176" s="487" t="e" cm="1">
        <f t="array" ref="K176">IF(D176="",0, SUMPRODUCT(--(ISNUMBER(SEARCH($A176,'Diags Raw Data'!$A$6:$A$3690))),'Diags Raw Data'!$L$6:$L$3690,'Diags Raw Data'!$N$6:$N$3690)/J176)</f>
        <v>#DIV/0!</v>
      </c>
      <c r="L176" s="488" t="e" cm="1">
        <f t="array" ref="L176">IF(D176="",0, SUMPRODUCT(--(ISNUMBER(SEARCH($A176,'Diags Raw Data'!$A$6:$A$3690))),'Diags Raw Data'!$L$6:$L$3690,'Diags Raw Data'!$P$6:$P$3690)/J176)</f>
        <v>#DIV/0!</v>
      </c>
      <c r="M176" s="489" cm="1">
        <f t="array" ref="M176">SUMPRODUCT(--(ISNUMBER(SEARCH($A176,'Diags Raw Data'!$A$6:$A$3690))),--('Diags Raw Data'!$Q$6:$Q$3690&lt;&gt;"N/A"),'Diags Raw Data'!$R$6:$R$3690)</f>
        <v>4</v>
      </c>
      <c r="N176" s="490" cm="1">
        <f t="array" ref="N176">SUMPRODUCT(--(ISNUMBER(SEARCH($A176,'Diags Raw Data'!$A$6:$A$3690))),--('Diags Raw Data'!$Q$6:$Q$3690&lt;&gt;"N/A"),'Diags Raw Data'!$T$6:$T$3690)+SUMPRODUCT(--(ISNUMBER(SEARCH($A176,'Diags Raw Data'!$A$6:$A$3690))),--('Diags Raw Data'!$Q$6:$Q$3690&lt;&gt;"N/A"),'Diags Raw Data'!$U$6:$U$3690)</f>
        <v>3</v>
      </c>
      <c r="O176" s="491">
        <f t="shared" si="19"/>
        <v>0.75</v>
      </c>
      <c r="P176" s="492">
        <f>SUMIF('Diags Raw Data'!$A$6:$A$3690,"*"&amp;$A176&amp;"*",'Diags Raw Data'!$Z$6:$Z$3690)</f>
        <v>0</v>
      </c>
      <c r="Q176" s="493">
        <f>SUM(SUMIF('Diags Raw Data'!$A$6:$A$3690,"*"&amp;$A176&amp;"*",'Diags Raw Data'!$AA$6:$AA$3690),SUMIF('Diags Raw Data'!$A$6:$A$3690,"*"&amp;$A176&amp;"*",'Diags Raw Data'!$AB$6:$AB$3690))</f>
        <v>0</v>
      </c>
      <c r="R176" s="494">
        <f t="shared" si="20"/>
        <v>0</v>
      </c>
      <c r="S176" s="494">
        <f t="shared" si="21"/>
        <v>0</v>
      </c>
      <c r="T176" s="495">
        <f t="shared" si="22"/>
        <v>0</v>
      </c>
      <c r="U176" s="436" t="str">
        <f>VLOOKUP(A176,'Diags Raw Data'!$A$6:$AH$3690,33,FALSE)</f>
        <v>WK4</v>
      </c>
      <c r="V176" s="181"/>
    </row>
    <row r="177" spans="1:22" ht="30.75" thickBot="1" x14ac:dyDescent="0.3">
      <c r="A177" s="549">
        <v>12.374000000000001</v>
      </c>
      <c r="B177" s="438" t="str">
        <f>VLOOKUP(A177,'Feature Raw Data'!$A$3:$B$3922,2,FALSE)</f>
        <v>MEM_PWR_CTRL Bus increase to support FGCG</v>
      </c>
      <c r="C177" s="439" t="str">
        <f>VLOOKUP(A177,'Feature Raw Data'!$A$3:$C$3922,3,FALSE)</f>
        <v>P1</v>
      </c>
      <c r="D177" s="440" t="str" cm="1">
        <f t="array" ref="D177">_xlfn.TEXTJOIN("",TRUE,IF(ISNUMBER(SEARCH($A177,'Diags Raw Data'!$A$6:$A$3690)),CONCATENATE('Diags Raw Data'!$H$6:$H$3690,", "),""))</f>
        <v/>
      </c>
      <c r="E177" s="340" t="e">
        <f>VLOOKUP(A177,'Diags Raw Data'!$A$6:$D$3690,4,FALSE)</f>
        <v>#N/A</v>
      </c>
      <c r="F177" s="340" t="str">
        <f>VLOOKUP(A177,'Feature Raw Data'!$A$3:$E$3922,5,FALSE)</f>
        <v>New</v>
      </c>
      <c r="G177" s="340" t="str">
        <f t="shared" si="17"/>
        <v>Yes</v>
      </c>
      <c r="H177" s="340" t="str">
        <f t="shared" si="18"/>
        <v>Yes</v>
      </c>
      <c r="I177" s="439">
        <f>SUMIF('Diags Raw Data'!$A$6:$A$3690,"*"&amp;$A177&amp;"*",'Diags Raw Data'!$K$6:$K$3690)</f>
        <v>0</v>
      </c>
      <c r="J177" s="441">
        <f>SUMIF('Diags Raw Data'!$A$6:$A$3690,"*"&amp;$A177&amp;"*",'Diags Raw Data'!$L$6:$L$3690)</f>
        <v>0</v>
      </c>
      <c r="K177" s="487" cm="1">
        <f t="array" ref="K177">IF(D177="",0, SUMPRODUCT(--(ISNUMBER(SEARCH($A177,'Diags Raw Data'!$A$6:$A$3690))),'Diags Raw Data'!$L$6:$L$3690,'Diags Raw Data'!$N$6:$N$3690)/J177)</f>
        <v>0</v>
      </c>
      <c r="L177" s="488" cm="1">
        <f t="array" ref="L177">IF(D177="",0, SUMPRODUCT(--(ISNUMBER(SEARCH($A177,'Diags Raw Data'!$A$6:$A$3690))),'Diags Raw Data'!$L$6:$L$3690,'Diags Raw Data'!$P$6:$P$3690)/J177)</f>
        <v>0</v>
      </c>
      <c r="M177" s="489" cm="1">
        <f t="array" ref="M177">SUMPRODUCT(--(ISNUMBER(SEARCH($A177,'Diags Raw Data'!$A$6:$A$3690))),--('Diags Raw Data'!$Q$6:$Q$3690&lt;&gt;"N/A"),'Diags Raw Data'!$R$6:$R$3690)</f>
        <v>0</v>
      </c>
      <c r="N177" s="490" cm="1">
        <f t="array" ref="N177">SUMPRODUCT(--(ISNUMBER(SEARCH($A177,'Diags Raw Data'!$A$6:$A$3690))),--('Diags Raw Data'!$Q$6:$Q$3690&lt;&gt;"N/A"),'Diags Raw Data'!$T$6:$T$3690)+SUMPRODUCT(--(ISNUMBER(SEARCH($A177,'Diags Raw Data'!$A$6:$A$3690))),--('Diags Raw Data'!$Q$6:$Q$3690&lt;&gt;"N/A"),'Diags Raw Data'!$U$6:$U$3690)</f>
        <v>0</v>
      </c>
      <c r="O177" s="491">
        <f t="shared" si="19"/>
        <v>0</v>
      </c>
      <c r="P177" s="492">
        <f>SUMIF('Diags Raw Data'!$A$6:$A$3690,"*"&amp;$A177&amp;"*",'Diags Raw Data'!$Z$6:$Z$3690)</f>
        <v>0</v>
      </c>
      <c r="Q177" s="493">
        <f>SUM(SUMIF('Diags Raw Data'!$A$6:$A$3690,"*"&amp;$A177&amp;"*",'Diags Raw Data'!$AA$6:$AA$3690),SUMIF('Diags Raw Data'!$A$6:$A$3690,"*"&amp;$A177&amp;"*",'Diags Raw Data'!$AB$6:$AB$3690))</f>
        <v>0</v>
      </c>
      <c r="R177" s="494">
        <f t="shared" si="20"/>
        <v>0</v>
      </c>
      <c r="S177" s="494">
        <f t="shared" si="21"/>
        <v>0</v>
      </c>
      <c r="T177" s="495">
        <f t="shared" si="22"/>
        <v>0</v>
      </c>
      <c r="U177" s="436" t="e">
        <f>VLOOKUP(A177,'Diags Raw Data'!$A$6:$AH$3690,33,FALSE)</f>
        <v>#N/A</v>
      </c>
      <c r="V177" s="181"/>
    </row>
    <row r="178" spans="1:22" ht="30.75" thickBot="1" x14ac:dyDescent="0.3">
      <c r="A178" s="549">
        <v>12.382</v>
      </c>
      <c r="B178" s="438" t="str">
        <f>VLOOKUP(A178,'Feature Raw Data'!$A$3:$B$3922,2,FALSE)</f>
        <v>[Strix] pbb_tile_order_rev -- from BRP:11.5.017</v>
      </c>
      <c r="C178" s="439" t="str">
        <f>VLOOKUP(A178,'Feature Raw Data'!$A$3:$C$3922,3,FALSE)</f>
        <v>P2</v>
      </c>
      <c r="D178" s="440" t="str" cm="1">
        <f t="array" ref="D178">_xlfn.TEXTJOIN("",TRUE,IF(ISNUMBER(SEARCH($A178,'Diags Raw Data'!$A$6:$A$3690)),CONCATENATE('Diags Raw Data'!$H$6:$H$3690,", "),""))</f>
        <v/>
      </c>
      <c r="E178" s="340" t="e">
        <f>VLOOKUP(A178,'Diags Raw Data'!$A$6:$D$3690,4,FALSE)</f>
        <v>#N/A</v>
      </c>
      <c r="F178" s="340" t="str">
        <f>VLOOKUP(A178,'Feature Raw Data'!$A$3:$E$3922,5,FALSE)</f>
        <v>Legacy</v>
      </c>
      <c r="G178" s="340" t="str">
        <f t="shared" si="17"/>
        <v>Yes</v>
      </c>
      <c r="H178" s="340" t="str">
        <f t="shared" si="18"/>
        <v>Yes</v>
      </c>
      <c r="I178" s="439">
        <f>SUMIF('Diags Raw Data'!$A$6:$A$3690,"*"&amp;$A178&amp;"*",'Diags Raw Data'!$K$6:$K$3690)</f>
        <v>0</v>
      </c>
      <c r="J178" s="441">
        <f>SUMIF('Diags Raw Data'!$A$6:$A$3690,"*"&amp;$A178&amp;"*",'Diags Raw Data'!$L$6:$L$3690)</f>
        <v>0</v>
      </c>
      <c r="K178" s="487" cm="1">
        <f t="array" ref="K178">IF(D178="",0, SUMPRODUCT(--(ISNUMBER(SEARCH($A178,'Diags Raw Data'!$A$6:$A$3690))),'Diags Raw Data'!$L$6:$L$3690,'Diags Raw Data'!$N$6:$N$3690)/J178)</f>
        <v>0</v>
      </c>
      <c r="L178" s="488" cm="1">
        <f t="array" ref="L178">IF(D178="",0, SUMPRODUCT(--(ISNUMBER(SEARCH($A178,'Diags Raw Data'!$A$6:$A$3690))),'Diags Raw Data'!$L$6:$L$3690,'Diags Raw Data'!$P$6:$P$3690)/J178)</f>
        <v>0</v>
      </c>
      <c r="M178" s="489" cm="1">
        <f t="array" ref="M178">SUMPRODUCT(--(ISNUMBER(SEARCH($A178,'Diags Raw Data'!$A$6:$A$3690))),--('Diags Raw Data'!$Q$6:$Q$3690&lt;&gt;"N/A"),'Diags Raw Data'!$R$6:$R$3690)</f>
        <v>0</v>
      </c>
      <c r="N178" s="490" cm="1">
        <f t="array" ref="N178">SUMPRODUCT(--(ISNUMBER(SEARCH($A178,'Diags Raw Data'!$A$6:$A$3690))),--('Diags Raw Data'!$Q$6:$Q$3690&lt;&gt;"N/A"),'Diags Raw Data'!$T$6:$T$3690)+SUMPRODUCT(--(ISNUMBER(SEARCH($A178,'Diags Raw Data'!$A$6:$A$3690))),--('Diags Raw Data'!$Q$6:$Q$3690&lt;&gt;"N/A"),'Diags Raw Data'!$U$6:$U$3690)</f>
        <v>0</v>
      </c>
      <c r="O178" s="491">
        <f t="shared" si="19"/>
        <v>0</v>
      </c>
      <c r="P178" s="492">
        <f>SUMIF('Diags Raw Data'!$A$6:$A$3690,"*"&amp;$A178&amp;"*",'Diags Raw Data'!$Z$6:$Z$3690)</f>
        <v>0</v>
      </c>
      <c r="Q178" s="493">
        <f>SUM(SUMIF('Diags Raw Data'!$A$6:$A$3690,"*"&amp;$A178&amp;"*",'Diags Raw Data'!$AA$6:$AA$3690),SUMIF('Diags Raw Data'!$A$6:$A$3690,"*"&amp;$A178&amp;"*",'Diags Raw Data'!$AB$6:$AB$3690))</f>
        <v>0</v>
      </c>
      <c r="R178" s="494">
        <f t="shared" si="20"/>
        <v>0</v>
      </c>
      <c r="S178" s="494">
        <f t="shared" si="21"/>
        <v>0</v>
      </c>
      <c r="T178" s="495">
        <f t="shared" si="22"/>
        <v>0</v>
      </c>
      <c r="U178" s="436" t="e">
        <f>VLOOKUP(A178,'Diags Raw Data'!$A$6:$AH$3690,33,FALSE)</f>
        <v>#N/A</v>
      </c>
      <c r="V178" s="554" t="s">
        <v>332</v>
      </c>
    </row>
    <row r="179" spans="1:22" ht="15.75" thickBot="1" x14ac:dyDescent="0.3">
      <c r="A179" s="549">
        <v>12.387</v>
      </c>
      <c r="B179" s="438" t="str">
        <f>VLOOKUP(A179,'Feature Raw Data'!$A$3:$B$3922,2,FALSE)</f>
        <v>Block Initiatives</v>
      </c>
      <c r="C179" s="439" t="str">
        <f>VLOOKUP(A179,'Feature Raw Data'!$A$3:$C$3922,3,FALSE)</f>
        <v>P1</v>
      </c>
      <c r="D179" s="440" t="str" cm="1">
        <f t="array" ref="D179">_xlfn.TEXTJOIN("",TRUE,IF(ISNUMBER(SEARCH($A179,'Diags Raw Data'!$A$6:$A$3690)),CONCATENATE('Diags Raw Data'!$H$6:$H$3690,", "),""))</f>
        <v/>
      </c>
      <c r="E179" s="340" t="e">
        <f>VLOOKUP(A179,'Diags Raw Data'!$A$6:$D$3690,4,FALSE)</f>
        <v>#N/A</v>
      </c>
      <c r="F179" s="340" t="str">
        <f>VLOOKUP(A179,'Feature Raw Data'!$A$3:$E$3922,5,FALSE)</f>
        <v>New</v>
      </c>
      <c r="G179" s="340" t="str">
        <f t="shared" si="17"/>
        <v>Yes</v>
      </c>
      <c r="H179" s="340" t="str">
        <f t="shared" si="18"/>
        <v>Yes</v>
      </c>
      <c r="I179" s="439">
        <f>SUMIF('Diags Raw Data'!$A$6:$A$3690,"*"&amp;$A179&amp;"*",'Diags Raw Data'!$K$6:$K$3690)</f>
        <v>0</v>
      </c>
      <c r="J179" s="441">
        <f>SUMIF('Diags Raw Data'!$A$6:$A$3690,"*"&amp;$A179&amp;"*",'Diags Raw Data'!$L$6:$L$3690)</f>
        <v>0</v>
      </c>
      <c r="K179" s="487" cm="1">
        <f t="array" ref="K179">IF(D179="",0, SUMPRODUCT(--(ISNUMBER(SEARCH($A179,'Diags Raw Data'!$A$6:$A$3690))),'Diags Raw Data'!$L$6:$L$3690,'Diags Raw Data'!$N$6:$N$3690)/J179)</f>
        <v>0</v>
      </c>
      <c r="L179" s="488" cm="1">
        <f t="array" ref="L179">IF(D179="",0, SUMPRODUCT(--(ISNUMBER(SEARCH($A179,'Diags Raw Data'!$A$6:$A$3690))),'Diags Raw Data'!$L$6:$L$3690,'Diags Raw Data'!$P$6:$P$3690)/J179)</f>
        <v>0</v>
      </c>
      <c r="M179" s="489" cm="1">
        <f t="array" ref="M179">SUMPRODUCT(--(ISNUMBER(SEARCH($A179,'Diags Raw Data'!$A$6:$A$3690))),--('Diags Raw Data'!$Q$6:$Q$3690&lt;&gt;"N/A"),'Diags Raw Data'!$R$6:$R$3690)</f>
        <v>0</v>
      </c>
      <c r="N179" s="490" cm="1">
        <f t="array" ref="N179">SUMPRODUCT(--(ISNUMBER(SEARCH($A179,'Diags Raw Data'!$A$6:$A$3690))),--('Diags Raw Data'!$Q$6:$Q$3690&lt;&gt;"N/A"),'Diags Raw Data'!$T$6:$T$3690)+SUMPRODUCT(--(ISNUMBER(SEARCH($A179,'Diags Raw Data'!$A$6:$A$3690))),--('Diags Raw Data'!$Q$6:$Q$3690&lt;&gt;"N/A"),'Diags Raw Data'!$U$6:$U$3690)</f>
        <v>0</v>
      </c>
      <c r="O179" s="491">
        <f t="shared" si="19"/>
        <v>0</v>
      </c>
      <c r="P179" s="492">
        <f>SUMIF('Diags Raw Data'!$A$6:$A$3690,"*"&amp;$A179&amp;"*",'Diags Raw Data'!$Z$6:$Z$3690)</f>
        <v>0</v>
      </c>
      <c r="Q179" s="493">
        <f>SUM(SUMIF('Diags Raw Data'!$A$6:$A$3690,"*"&amp;$A179&amp;"*",'Diags Raw Data'!$AA$6:$AA$3690),SUMIF('Diags Raw Data'!$A$6:$A$3690,"*"&amp;$A179&amp;"*",'Diags Raw Data'!$AB$6:$AB$3690))</f>
        <v>0</v>
      </c>
      <c r="R179" s="494">
        <f t="shared" si="20"/>
        <v>0</v>
      </c>
      <c r="S179" s="494">
        <f t="shared" si="21"/>
        <v>0</v>
      </c>
      <c r="T179" s="495">
        <f t="shared" si="22"/>
        <v>0</v>
      </c>
      <c r="U179" s="436" t="e">
        <f>VLOOKUP(A179,'Diags Raw Data'!$A$6:$AH$3690,33,FALSE)</f>
        <v>#N/A</v>
      </c>
      <c r="V179" s="554" t="s">
        <v>374</v>
      </c>
    </row>
    <row r="180" spans="1:22" ht="30.75" thickBot="1" x14ac:dyDescent="0.3">
      <c r="A180" s="549">
        <v>12.388999999999999</v>
      </c>
      <c r="B180" s="438" t="str">
        <f>VLOOKUP(A180,'Feature Raw Data'!$A$3:$B$3922,2,FALSE)</f>
        <v>GFX EDC Controller using XVmin/Mafdd</v>
      </c>
      <c r="C180" s="439" t="str">
        <f>VLOOKUP(A180,'Feature Raw Data'!$A$3:$C$3922,3,FALSE)</f>
        <v>P1</v>
      </c>
      <c r="D180" s="440" t="str" cm="1">
        <f t="array" ref="D180">_xlfn.TEXTJOIN("",TRUE,IF(ISNUMBER(SEARCH($A180,'Diags Raw Data'!$A$6:$A$3690)),CONCATENATE('Diags Raw Data'!$H$6:$H$3690,", "),""))</f>
        <v/>
      </c>
      <c r="E180" s="340" t="e">
        <f>VLOOKUP(A180,'Diags Raw Data'!$A$6:$D$3690,4,FALSE)</f>
        <v>#N/A</v>
      </c>
      <c r="F180" s="340" t="str">
        <f>VLOOKUP(A180,'Feature Raw Data'!$A$3:$E$3922,5,FALSE)</f>
        <v>New</v>
      </c>
      <c r="G180" s="340" t="str">
        <f t="shared" si="17"/>
        <v>Yes</v>
      </c>
      <c r="H180" s="340" t="str">
        <f t="shared" si="18"/>
        <v>Yes</v>
      </c>
      <c r="I180" s="439">
        <f>SUMIF('Diags Raw Data'!$A$6:$A$3690,"*"&amp;$A180&amp;"*",'Diags Raw Data'!$K$6:$K$3690)</f>
        <v>0</v>
      </c>
      <c r="J180" s="441">
        <f>SUMIF('Diags Raw Data'!$A$6:$A$3690,"*"&amp;$A180&amp;"*",'Diags Raw Data'!$L$6:$L$3690)</f>
        <v>0</v>
      </c>
      <c r="K180" s="487" cm="1">
        <f t="array" ref="K180">IF(D180="",0, SUMPRODUCT(--(ISNUMBER(SEARCH($A180,'Diags Raw Data'!$A$6:$A$3690))),'Diags Raw Data'!$L$6:$L$3690,'Diags Raw Data'!$N$6:$N$3690)/J180)</f>
        <v>0</v>
      </c>
      <c r="L180" s="488" cm="1">
        <f t="array" ref="L180">IF(D180="",0, SUMPRODUCT(--(ISNUMBER(SEARCH($A180,'Diags Raw Data'!$A$6:$A$3690))),'Diags Raw Data'!$L$6:$L$3690,'Diags Raw Data'!$P$6:$P$3690)/J180)</f>
        <v>0</v>
      </c>
      <c r="M180" s="489" cm="1">
        <f t="array" ref="M180">SUMPRODUCT(--(ISNUMBER(SEARCH($A180,'Diags Raw Data'!$A$6:$A$3690))),--('Diags Raw Data'!$Q$6:$Q$3690&lt;&gt;"N/A"),'Diags Raw Data'!$R$6:$R$3690)</f>
        <v>0</v>
      </c>
      <c r="N180" s="490" cm="1">
        <f t="array" ref="N180">SUMPRODUCT(--(ISNUMBER(SEARCH($A180,'Diags Raw Data'!$A$6:$A$3690))),--('Diags Raw Data'!$Q$6:$Q$3690&lt;&gt;"N/A"),'Diags Raw Data'!$T$6:$T$3690)+SUMPRODUCT(--(ISNUMBER(SEARCH($A180,'Diags Raw Data'!$A$6:$A$3690))),--('Diags Raw Data'!$Q$6:$Q$3690&lt;&gt;"N/A"),'Diags Raw Data'!$U$6:$U$3690)</f>
        <v>0</v>
      </c>
      <c r="O180" s="491">
        <f t="shared" si="19"/>
        <v>0</v>
      </c>
      <c r="P180" s="492">
        <f>SUMIF('Diags Raw Data'!$A$6:$A$3690,"*"&amp;$A180&amp;"*",'Diags Raw Data'!$Z$6:$Z$3690)</f>
        <v>0</v>
      </c>
      <c r="Q180" s="493">
        <f>SUM(SUMIF('Diags Raw Data'!$A$6:$A$3690,"*"&amp;$A180&amp;"*",'Diags Raw Data'!$AA$6:$AA$3690),SUMIF('Diags Raw Data'!$A$6:$A$3690,"*"&amp;$A180&amp;"*",'Diags Raw Data'!$AB$6:$AB$3690))</f>
        <v>0</v>
      </c>
      <c r="R180" s="494">
        <f t="shared" si="20"/>
        <v>0</v>
      </c>
      <c r="S180" s="494">
        <f t="shared" si="21"/>
        <v>0</v>
      </c>
      <c r="T180" s="495">
        <f t="shared" si="22"/>
        <v>0</v>
      </c>
      <c r="U180" s="436" t="e">
        <f>VLOOKUP(A180,'Diags Raw Data'!$A$6:$AH$3690,33,FALSE)</f>
        <v>#N/A</v>
      </c>
      <c r="V180" s="554" t="s">
        <v>356</v>
      </c>
    </row>
    <row r="181" spans="1:22" ht="30.75" thickBot="1" x14ac:dyDescent="0.3">
      <c r="A181" s="549">
        <v>12.391999999999999</v>
      </c>
      <c r="B181" s="438" t="str">
        <f>VLOOKUP(A181,'Feature Raw Data'!$A$3:$B$3922,2,FALSE)</f>
        <v>NV4x: GFX Cac Events selection enhancement</v>
      </c>
      <c r="C181" s="439" t="str">
        <f>VLOOKUP(A181,'Feature Raw Data'!$A$3:$C$3922,3,FALSE)</f>
        <v>P2</v>
      </c>
      <c r="D181" s="440" t="str" cm="1">
        <f t="array" ref="D181">_xlfn.TEXTJOIN("",TRUE,IF(ISNUMBER(SEARCH($A181,'Diags Raw Data'!$A$6:$A$3690)),CONCATENATE('Diags Raw Data'!$H$6:$H$3690,", "),""))</f>
        <v/>
      </c>
      <c r="E181" s="340" t="e">
        <f>VLOOKUP(A181,'Diags Raw Data'!$A$6:$D$3690,4,FALSE)</f>
        <v>#N/A</v>
      </c>
      <c r="F181" s="340" t="str">
        <f>VLOOKUP(A181,'Feature Raw Data'!$A$3:$E$3922,5,FALSE)</f>
        <v>New</v>
      </c>
      <c r="G181" s="340" t="str">
        <f t="shared" si="17"/>
        <v>Yes</v>
      </c>
      <c r="H181" s="340" t="str">
        <f t="shared" si="18"/>
        <v>Yes</v>
      </c>
      <c r="I181" s="439">
        <f>SUMIF('Diags Raw Data'!$A$6:$A$3690,"*"&amp;$A181&amp;"*",'Diags Raw Data'!$K$6:$K$3690)</f>
        <v>0</v>
      </c>
      <c r="J181" s="441">
        <f>SUMIF('Diags Raw Data'!$A$6:$A$3690,"*"&amp;$A181&amp;"*",'Diags Raw Data'!$L$6:$L$3690)</f>
        <v>0</v>
      </c>
      <c r="K181" s="487" cm="1">
        <f t="array" ref="K181">IF(D181="",0, SUMPRODUCT(--(ISNUMBER(SEARCH($A181,'Diags Raw Data'!$A$6:$A$3690))),'Diags Raw Data'!$L$6:$L$3690,'Diags Raw Data'!$N$6:$N$3690)/J181)</f>
        <v>0</v>
      </c>
      <c r="L181" s="488" cm="1">
        <f t="array" ref="L181">IF(D181="",0, SUMPRODUCT(--(ISNUMBER(SEARCH($A181,'Diags Raw Data'!$A$6:$A$3690))),'Diags Raw Data'!$L$6:$L$3690,'Diags Raw Data'!$P$6:$P$3690)/J181)</f>
        <v>0</v>
      </c>
      <c r="M181" s="489" cm="1">
        <f t="array" ref="M181">SUMPRODUCT(--(ISNUMBER(SEARCH($A181,'Diags Raw Data'!$A$6:$A$3690))),--('Diags Raw Data'!$Q$6:$Q$3690&lt;&gt;"N/A"),'Diags Raw Data'!$R$6:$R$3690)</f>
        <v>0</v>
      </c>
      <c r="N181" s="490" cm="1">
        <f t="array" ref="N181">SUMPRODUCT(--(ISNUMBER(SEARCH($A181,'Diags Raw Data'!$A$6:$A$3690))),--('Diags Raw Data'!$Q$6:$Q$3690&lt;&gt;"N/A"),'Diags Raw Data'!$T$6:$T$3690)+SUMPRODUCT(--(ISNUMBER(SEARCH($A181,'Diags Raw Data'!$A$6:$A$3690))),--('Diags Raw Data'!$Q$6:$Q$3690&lt;&gt;"N/A"),'Diags Raw Data'!$U$6:$U$3690)</f>
        <v>0</v>
      </c>
      <c r="O181" s="491">
        <f t="shared" si="19"/>
        <v>0</v>
      </c>
      <c r="P181" s="492">
        <f>SUMIF('Diags Raw Data'!$A$6:$A$3690,"*"&amp;$A181&amp;"*",'Diags Raw Data'!$Z$6:$Z$3690)</f>
        <v>0</v>
      </c>
      <c r="Q181" s="493">
        <f>SUM(SUMIF('Diags Raw Data'!$A$6:$A$3690,"*"&amp;$A181&amp;"*",'Diags Raw Data'!$AA$6:$AA$3690),SUMIF('Diags Raw Data'!$A$6:$A$3690,"*"&amp;$A181&amp;"*",'Diags Raw Data'!$AB$6:$AB$3690))</f>
        <v>0</v>
      </c>
      <c r="R181" s="494">
        <f t="shared" si="20"/>
        <v>0</v>
      </c>
      <c r="S181" s="494">
        <f t="shared" si="21"/>
        <v>0</v>
      </c>
      <c r="T181" s="495">
        <f t="shared" si="22"/>
        <v>0</v>
      </c>
      <c r="U181" s="436" t="e">
        <f>VLOOKUP(A181,'Diags Raw Data'!$A$6:$AH$3690,33,FALSE)</f>
        <v>#N/A</v>
      </c>
      <c r="V181" s="554" t="s">
        <v>356</v>
      </c>
    </row>
    <row r="182" spans="1:22" ht="15.75" thickBot="1" x14ac:dyDescent="0.3">
      <c r="A182" s="549">
        <v>12.393000000000001</v>
      </c>
      <c r="B182" s="438" t="str">
        <f>VLOOKUP(A182,'Feature Raw Data'!$A$3:$B$3922,2,FALSE)</f>
        <v>GFX PCC latency optimization</v>
      </c>
      <c r="C182" s="439" t="str">
        <f>VLOOKUP(A182,'Feature Raw Data'!$A$3:$C$3922,3,FALSE)</f>
        <v>P1</v>
      </c>
      <c r="D182" s="440" t="str" cm="1">
        <f t="array" ref="D182">_xlfn.TEXTJOIN("",TRUE,IF(ISNUMBER(SEARCH($A182,'Diags Raw Data'!$A$6:$A$3690)),CONCATENATE('Diags Raw Data'!$H$6:$H$3690,", "),""))</f>
        <v/>
      </c>
      <c r="E182" s="340" t="e">
        <f>VLOOKUP(A182,'Diags Raw Data'!$A$6:$D$3690,4,FALSE)</f>
        <v>#N/A</v>
      </c>
      <c r="F182" s="340" t="str">
        <f>VLOOKUP(A182,'Feature Raw Data'!$A$3:$E$3922,5,FALSE)</f>
        <v>New</v>
      </c>
      <c r="G182" s="340" t="str">
        <f t="shared" si="17"/>
        <v>Yes</v>
      </c>
      <c r="H182" s="340" t="str">
        <f t="shared" si="18"/>
        <v>Yes</v>
      </c>
      <c r="I182" s="439">
        <f>SUMIF('Diags Raw Data'!$A$6:$A$3690,"*"&amp;$A182&amp;"*",'Diags Raw Data'!$K$6:$K$3690)</f>
        <v>0</v>
      </c>
      <c r="J182" s="441">
        <f>SUMIF('Diags Raw Data'!$A$6:$A$3690,"*"&amp;$A182&amp;"*",'Diags Raw Data'!$L$6:$L$3690)</f>
        <v>0</v>
      </c>
      <c r="K182" s="487" cm="1">
        <f t="array" ref="K182">IF(D182="",0, SUMPRODUCT(--(ISNUMBER(SEARCH($A182,'Diags Raw Data'!$A$6:$A$3690))),'Diags Raw Data'!$L$6:$L$3690,'Diags Raw Data'!$N$6:$N$3690)/J182)</f>
        <v>0</v>
      </c>
      <c r="L182" s="488" cm="1">
        <f t="array" ref="L182">IF(D182="",0, SUMPRODUCT(--(ISNUMBER(SEARCH($A182,'Diags Raw Data'!$A$6:$A$3690))),'Diags Raw Data'!$L$6:$L$3690,'Diags Raw Data'!$P$6:$P$3690)/J182)</f>
        <v>0</v>
      </c>
      <c r="M182" s="489" cm="1">
        <f t="array" ref="M182">SUMPRODUCT(--(ISNUMBER(SEARCH($A182,'Diags Raw Data'!$A$6:$A$3690))),--('Diags Raw Data'!$Q$6:$Q$3690&lt;&gt;"N/A"),'Diags Raw Data'!$R$6:$R$3690)</f>
        <v>0</v>
      </c>
      <c r="N182" s="490" cm="1">
        <f t="array" ref="N182">SUMPRODUCT(--(ISNUMBER(SEARCH($A182,'Diags Raw Data'!$A$6:$A$3690))),--('Diags Raw Data'!$Q$6:$Q$3690&lt;&gt;"N/A"),'Diags Raw Data'!$T$6:$T$3690)+SUMPRODUCT(--(ISNUMBER(SEARCH($A182,'Diags Raw Data'!$A$6:$A$3690))),--('Diags Raw Data'!$Q$6:$Q$3690&lt;&gt;"N/A"),'Diags Raw Data'!$U$6:$U$3690)</f>
        <v>0</v>
      </c>
      <c r="O182" s="491">
        <f t="shared" si="19"/>
        <v>0</v>
      </c>
      <c r="P182" s="492">
        <f>SUMIF('Diags Raw Data'!$A$6:$A$3690,"*"&amp;$A182&amp;"*",'Diags Raw Data'!$Z$6:$Z$3690)</f>
        <v>0</v>
      </c>
      <c r="Q182" s="493">
        <f>SUM(SUMIF('Diags Raw Data'!$A$6:$A$3690,"*"&amp;$A182&amp;"*",'Diags Raw Data'!$AA$6:$AA$3690),SUMIF('Diags Raw Data'!$A$6:$A$3690,"*"&amp;$A182&amp;"*",'Diags Raw Data'!$AB$6:$AB$3690))</f>
        <v>0</v>
      </c>
      <c r="R182" s="494">
        <f t="shared" si="20"/>
        <v>0</v>
      </c>
      <c r="S182" s="494">
        <f t="shared" si="21"/>
        <v>0</v>
      </c>
      <c r="T182" s="495">
        <f t="shared" si="22"/>
        <v>0</v>
      </c>
      <c r="U182" s="436" t="e">
        <f>VLOOKUP(A182,'Diags Raw Data'!$A$6:$AH$3690,33,FALSE)</f>
        <v>#N/A</v>
      </c>
      <c r="V182" s="554" t="s">
        <v>356</v>
      </c>
    </row>
    <row r="183" spans="1:22" ht="30.75" thickBot="1" x14ac:dyDescent="0.3">
      <c r="A183" s="549">
        <v>12.396000000000001</v>
      </c>
      <c r="B183" s="438" t="str">
        <f>VLOOKUP(A183,'Feature Raw Data'!$A$3:$B$3922,2,FALSE)</f>
        <v>Airtight FIFO Design Robustness</v>
      </c>
      <c r="C183" s="439" t="str">
        <f>VLOOKUP(A183,'Feature Raw Data'!$A$3:$C$3922,3,FALSE)</f>
        <v>P1</v>
      </c>
      <c r="D183" s="440" t="str" cm="1">
        <f t="array" ref="D183">_xlfn.TEXTJOIN("",TRUE,IF(ISNUMBER(SEARCH($A183,'Diags Raw Data'!$A$6:$A$3690)),CONCATENATE('Diags Raw Data'!$H$6:$H$3690,", "),""))</f>
        <v/>
      </c>
      <c r="E183" s="340" t="e">
        <f>VLOOKUP(A183,'Diags Raw Data'!$A$6:$D$3690,4,FALSE)</f>
        <v>#N/A</v>
      </c>
      <c r="F183" s="340" t="str">
        <f>VLOOKUP(A183,'Feature Raw Data'!$A$3:$E$3922,5,FALSE)</f>
        <v>New</v>
      </c>
      <c r="G183" s="340" t="str">
        <f t="shared" si="17"/>
        <v>Yes</v>
      </c>
      <c r="H183" s="340" t="str">
        <f t="shared" si="18"/>
        <v>Yes</v>
      </c>
      <c r="I183" s="439">
        <f>SUMIF('Diags Raw Data'!$A$6:$A$3690,"*"&amp;$A183&amp;"*",'Diags Raw Data'!$K$6:$K$3690)</f>
        <v>0</v>
      </c>
      <c r="J183" s="441">
        <f>SUMIF('Diags Raw Data'!$A$6:$A$3690,"*"&amp;$A183&amp;"*",'Diags Raw Data'!$L$6:$L$3690)</f>
        <v>0</v>
      </c>
      <c r="K183" s="487" cm="1">
        <f t="array" ref="K183">IF(D183="",0, SUMPRODUCT(--(ISNUMBER(SEARCH($A183,'Diags Raw Data'!$A$6:$A$3690))),'Diags Raw Data'!$L$6:$L$3690,'Diags Raw Data'!$N$6:$N$3690)/J183)</f>
        <v>0</v>
      </c>
      <c r="L183" s="488" cm="1">
        <f t="array" ref="L183">IF(D183="",0, SUMPRODUCT(--(ISNUMBER(SEARCH($A183,'Diags Raw Data'!$A$6:$A$3690))),'Diags Raw Data'!$L$6:$L$3690,'Diags Raw Data'!$P$6:$P$3690)/J183)</f>
        <v>0</v>
      </c>
      <c r="M183" s="489" cm="1">
        <f t="array" ref="M183">SUMPRODUCT(--(ISNUMBER(SEARCH($A183,'Diags Raw Data'!$A$6:$A$3690))),--('Diags Raw Data'!$Q$6:$Q$3690&lt;&gt;"N/A"),'Diags Raw Data'!$R$6:$R$3690)</f>
        <v>0</v>
      </c>
      <c r="N183" s="490" cm="1">
        <f t="array" ref="N183">SUMPRODUCT(--(ISNUMBER(SEARCH($A183,'Diags Raw Data'!$A$6:$A$3690))),--('Diags Raw Data'!$Q$6:$Q$3690&lt;&gt;"N/A"),'Diags Raw Data'!$T$6:$T$3690)+SUMPRODUCT(--(ISNUMBER(SEARCH($A183,'Diags Raw Data'!$A$6:$A$3690))),--('Diags Raw Data'!$Q$6:$Q$3690&lt;&gt;"N/A"),'Diags Raw Data'!$U$6:$U$3690)</f>
        <v>0</v>
      </c>
      <c r="O183" s="491">
        <f t="shared" si="19"/>
        <v>0</v>
      </c>
      <c r="P183" s="492">
        <f>SUMIF('Diags Raw Data'!$A$6:$A$3690,"*"&amp;$A183&amp;"*",'Diags Raw Data'!$Z$6:$Z$3690)</f>
        <v>0</v>
      </c>
      <c r="Q183" s="493">
        <f>SUM(SUMIF('Diags Raw Data'!$A$6:$A$3690,"*"&amp;$A183&amp;"*",'Diags Raw Data'!$AA$6:$AA$3690),SUMIF('Diags Raw Data'!$A$6:$A$3690,"*"&amp;$A183&amp;"*",'Diags Raw Data'!$AB$6:$AB$3690))</f>
        <v>0</v>
      </c>
      <c r="R183" s="494">
        <f t="shared" si="20"/>
        <v>0</v>
      </c>
      <c r="S183" s="494">
        <f t="shared" si="21"/>
        <v>0</v>
      </c>
      <c r="T183" s="495">
        <f t="shared" si="22"/>
        <v>0</v>
      </c>
      <c r="U183" s="436" t="e">
        <f>VLOOKUP(A183,'Diags Raw Data'!$A$6:$AH$3690,33,FALSE)</f>
        <v>#N/A</v>
      </c>
      <c r="V183" s="181"/>
    </row>
    <row r="184" spans="1:22" ht="30.75" thickBot="1" x14ac:dyDescent="0.3">
      <c r="A184" s="549">
        <v>12.397</v>
      </c>
      <c r="B184" s="438" t="str">
        <f>VLOOKUP(A184,'Feature Raw Data'!$A$3:$B$3922,2,FALSE)</f>
        <v>Benchmark Stimulus Replay at Block</v>
      </c>
      <c r="C184" s="439" t="str">
        <f>VLOOKUP(A184,'Feature Raw Data'!$A$3:$C$3922,3,FALSE)</f>
        <v>P2</v>
      </c>
      <c r="D184" s="440" t="str" cm="1">
        <f t="array" ref="D184">_xlfn.TEXTJOIN("",TRUE,IF(ISNUMBER(SEARCH($A184,'Diags Raw Data'!$A$6:$A$3690)),CONCATENATE('Diags Raw Data'!$H$6:$H$3690,", "),""))</f>
        <v/>
      </c>
      <c r="E184" s="340" t="e">
        <f>VLOOKUP(A184,'Diags Raw Data'!$A$6:$D$3690,4,FALSE)</f>
        <v>#N/A</v>
      </c>
      <c r="F184" s="340" t="str">
        <f>VLOOKUP(A184,'Feature Raw Data'!$A$3:$E$3922,5,FALSE)</f>
        <v>New</v>
      </c>
      <c r="G184" s="340" t="str">
        <f t="shared" si="17"/>
        <v>Yes</v>
      </c>
      <c r="H184" s="340" t="str">
        <f t="shared" si="18"/>
        <v>Yes</v>
      </c>
      <c r="I184" s="439">
        <f>SUMIF('Diags Raw Data'!$A$6:$A$3690,"*"&amp;$A184&amp;"*",'Diags Raw Data'!$K$6:$K$3690)</f>
        <v>0</v>
      </c>
      <c r="J184" s="441">
        <f>SUMIF('Diags Raw Data'!$A$6:$A$3690,"*"&amp;$A184&amp;"*",'Diags Raw Data'!$L$6:$L$3690)</f>
        <v>0</v>
      </c>
      <c r="K184" s="487" cm="1">
        <f t="array" ref="K184">IF(D184="",0, SUMPRODUCT(--(ISNUMBER(SEARCH($A184,'Diags Raw Data'!$A$6:$A$3690))),'Diags Raw Data'!$L$6:$L$3690,'Diags Raw Data'!$N$6:$N$3690)/J184)</f>
        <v>0</v>
      </c>
      <c r="L184" s="488" cm="1">
        <f t="array" ref="L184">IF(D184="",0, SUMPRODUCT(--(ISNUMBER(SEARCH($A184,'Diags Raw Data'!$A$6:$A$3690))),'Diags Raw Data'!$L$6:$L$3690,'Diags Raw Data'!$P$6:$P$3690)/J184)</f>
        <v>0</v>
      </c>
      <c r="M184" s="489" cm="1">
        <f t="array" ref="M184">SUMPRODUCT(--(ISNUMBER(SEARCH($A184,'Diags Raw Data'!$A$6:$A$3690))),--('Diags Raw Data'!$Q$6:$Q$3690&lt;&gt;"N/A"),'Diags Raw Data'!$R$6:$R$3690)</f>
        <v>0</v>
      </c>
      <c r="N184" s="490" cm="1">
        <f t="array" ref="N184">SUMPRODUCT(--(ISNUMBER(SEARCH($A184,'Diags Raw Data'!$A$6:$A$3690))),--('Diags Raw Data'!$Q$6:$Q$3690&lt;&gt;"N/A"),'Diags Raw Data'!$T$6:$T$3690)+SUMPRODUCT(--(ISNUMBER(SEARCH($A184,'Diags Raw Data'!$A$6:$A$3690))),--('Diags Raw Data'!$Q$6:$Q$3690&lt;&gt;"N/A"),'Diags Raw Data'!$U$6:$U$3690)</f>
        <v>0</v>
      </c>
      <c r="O184" s="491">
        <f t="shared" si="19"/>
        <v>0</v>
      </c>
      <c r="P184" s="492">
        <f>SUMIF('Diags Raw Data'!$A$6:$A$3690,"*"&amp;$A184&amp;"*",'Diags Raw Data'!$Z$6:$Z$3690)</f>
        <v>0</v>
      </c>
      <c r="Q184" s="493">
        <f>SUM(SUMIF('Diags Raw Data'!$A$6:$A$3690,"*"&amp;$A184&amp;"*",'Diags Raw Data'!$AA$6:$AA$3690),SUMIF('Diags Raw Data'!$A$6:$A$3690,"*"&amp;$A184&amp;"*",'Diags Raw Data'!$AB$6:$AB$3690))</f>
        <v>0</v>
      </c>
      <c r="R184" s="494">
        <f t="shared" si="20"/>
        <v>0</v>
      </c>
      <c r="S184" s="494">
        <f t="shared" si="21"/>
        <v>0</v>
      </c>
      <c r="T184" s="495">
        <f t="shared" si="22"/>
        <v>0</v>
      </c>
      <c r="U184" s="436" t="e">
        <f>VLOOKUP(A184,'Diags Raw Data'!$A$6:$AH$3690,33,FALSE)</f>
        <v>#N/A</v>
      </c>
      <c r="V184" s="181"/>
    </row>
    <row r="185" spans="1:22" ht="15.75" thickBot="1" x14ac:dyDescent="0.3">
      <c r="A185" s="549">
        <v>12.398</v>
      </c>
      <c r="B185" s="438" t="str">
        <f>VLOOKUP(A185,'Feature Raw Data'!$A$3:$B$3922,2,FALSE)</f>
        <v xml:space="preserve">Adoption of RDL2RTL </v>
      </c>
      <c r="C185" s="439" t="str">
        <f>VLOOKUP(A185,'Feature Raw Data'!$A$3:$C$3922,3,FALSE)</f>
        <v>P2</v>
      </c>
      <c r="D185" s="440" t="str" cm="1">
        <f t="array" ref="D185">_xlfn.TEXTJOIN("",TRUE,IF(ISNUMBER(SEARCH($A185,'Diags Raw Data'!$A$6:$A$3690)),CONCATENATE('Diags Raw Data'!$H$6:$H$3690,", "),""))</f>
        <v/>
      </c>
      <c r="E185" s="340" t="e">
        <f>VLOOKUP(A185,'Diags Raw Data'!$A$6:$D$3690,4,FALSE)</f>
        <v>#N/A</v>
      </c>
      <c r="F185" s="340" t="str">
        <f>VLOOKUP(A185,'Feature Raw Data'!$A$3:$E$3922,5,FALSE)</f>
        <v>New</v>
      </c>
      <c r="G185" s="340" t="str">
        <f t="shared" si="17"/>
        <v>Yes</v>
      </c>
      <c r="H185" s="340" t="str">
        <f t="shared" si="18"/>
        <v>Yes</v>
      </c>
      <c r="I185" s="439">
        <f>SUMIF('Diags Raw Data'!$A$6:$A$3690,"*"&amp;$A185&amp;"*",'Diags Raw Data'!$K$6:$K$3690)</f>
        <v>0</v>
      </c>
      <c r="J185" s="441">
        <f>SUMIF('Diags Raw Data'!$A$6:$A$3690,"*"&amp;$A185&amp;"*",'Diags Raw Data'!$L$6:$L$3690)</f>
        <v>0</v>
      </c>
      <c r="K185" s="487" cm="1">
        <f t="array" ref="K185">IF(D185="",0, SUMPRODUCT(--(ISNUMBER(SEARCH($A185,'Diags Raw Data'!$A$6:$A$3690))),'Diags Raw Data'!$L$6:$L$3690,'Diags Raw Data'!$N$6:$N$3690)/J185)</f>
        <v>0</v>
      </c>
      <c r="L185" s="488" cm="1">
        <f t="array" ref="L185">IF(D185="",0, SUMPRODUCT(--(ISNUMBER(SEARCH($A185,'Diags Raw Data'!$A$6:$A$3690))),'Diags Raw Data'!$L$6:$L$3690,'Diags Raw Data'!$P$6:$P$3690)/J185)</f>
        <v>0</v>
      </c>
      <c r="M185" s="489" cm="1">
        <f t="array" ref="M185">SUMPRODUCT(--(ISNUMBER(SEARCH($A185,'Diags Raw Data'!$A$6:$A$3690))),--('Diags Raw Data'!$Q$6:$Q$3690&lt;&gt;"N/A"),'Diags Raw Data'!$R$6:$R$3690)</f>
        <v>0</v>
      </c>
      <c r="N185" s="490" cm="1">
        <f t="array" ref="N185">SUMPRODUCT(--(ISNUMBER(SEARCH($A185,'Diags Raw Data'!$A$6:$A$3690))),--('Diags Raw Data'!$Q$6:$Q$3690&lt;&gt;"N/A"),'Diags Raw Data'!$T$6:$T$3690)+SUMPRODUCT(--(ISNUMBER(SEARCH($A185,'Diags Raw Data'!$A$6:$A$3690))),--('Diags Raw Data'!$Q$6:$Q$3690&lt;&gt;"N/A"),'Diags Raw Data'!$U$6:$U$3690)</f>
        <v>0</v>
      </c>
      <c r="O185" s="491">
        <f t="shared" si="19"/>
        <v>0</v>
      </c>
      <c r="P185" s="492">
        <f>SUMIF('Diags Raw Data'!$A$6:$A$3690,"*"&amp;$A185&amp;"*",'Diags Raw Data'!$Z$6:$Z$3690)</f>
        <v>0</v>
      </c>
      <c r="Q185" s="493">
        <f>SUM(SUMIF('Diags Raw Data'!$A$6:$A$3690,"*"&amp;$A185&amp;"*",'Diags Raw Data'!$AA$6:$AA$3690),SUMIF('Diags Raw Data'!$A$6:$A$3690,"*"&amp;$A185&amp;"*",'Diags Raw Data'!$AB$6:$AB$3690))</f>
        <v>0</v>
      </c>
      <c r="R185" s="494">
        <f t="shared" si="20"/>
        <v>0</v>
      </c>
      <c r="S185" s="494">
        <f t="shared" si="21"/>
        <v>0</v>
      </c>
      <c r="T185" s="495">
        <f t="shared" si="22"/>
        <v>0</v>
      </c>
      <c r="U185" s="436" t="e">
        <f>VLOOKUP(A185,'Diags Raw Data'!$A$6:$AH$3690,33,FALSE)</f>
        <v>#N/A</v>
      </c>
      <c r="V185" s="181"/>
    </row>
    <row r="186" spans="1:22" ht="30.75" thickBot="1" x14ac:dyDescent="0.3">
      <c r="A186" s="549">
        <v>12.398999999999999</v>
      </c>
      <c r="B186" s="438" t="str">
        <f>VLOOKUP(A186,'Feature Raw Data'!$A$3:$B$3922,2,FALSE)</f>
        <v>Remove Coverage into Render Targets</v>
      </c>
      <c r="C186" s="439" t="str">
        <f>VLOOKUP(A186,'Feature Raw Data'!$A$3:$C$3922,3,FALSE)</f>
        <v>P1</v>
      </c>
      <c r="D186" s="440" t="str" cm="1">
        <f t="array" ref="D186">_xlfn.TEXTJOIN("",TRUE,IF(ISNUMBER(SEARCH($A186,'Diags Raw Data'!$A$6:$A$3690)),CONCATENATE('Diags Raw Data'!$H$6:$H$3690,", "),""))</f>
        <v/>
      </c>
      <c r="E186" s="340" t="e">
        <f>VLOOKUP(A186,'Diags Raw Data'!$A$6:$D$3690,4,FALSE)</f>
        <v>#N/A</v>
      </c>
      <c r="F186" s="340" t="str">
        <f>VLOOKUP(A186,'Feature Raw Data'!$A$3:$E$3922,5,FALSE)</f>
        <v>New</v>
      </c>
      <c r="G186" s="340" t="str">
        <f t="shared" si="17"/>
        <v>Yes</v>
      </c>
      <c r="H186" s="340" t="str">
        <f t="shared" si="18"/>
        <v>Yes</v>
      </c>
      <c r="I186" s="439">
        <f>SUMIF('Diags Raw Data'!$A$6:$A$3690,"*"&amp;$A186&amp;"*",'Diags Raw Data'!$K$6:$K$3690)</f>
        <v>0</v>
      </c>
      <c r="J186" s="441">
        <f>SUMIF('Diags Raw Data'!$A$6:$A$3690,"*"&amp;$A186&amp;"*",'Diags Raw Data'!$L$6:$L$3690)</f>
        <v>0</v>
      </c>
      <c r="K186" s="487" cm="1">
        <f t="array" ref="K186">IF(D186="",0, SUMPRODUCT(--(ISNUMBER(SEARCH($A186,'Diags Raw Data'!$A$6:$A$3690))),'Diags Raw Data'!$L$6:$L$3690,'Diags Raw Data'!$N$6:$N$3690)/J186)</f>
        <v>0</v>
      </c>
      <c r="L186" s="488" cm="1">
        <f t="array" ref="L186">IF(D186="",0, SUMPRODUCT(--(ISNUMBER(SEARCH($A186,'Diags Raw Data'!$A$6:$A$3690))),'Diags Raw Data'!$L$6:$L$3690,'Diags Raw Data'!$P$6:$P$3690)/J186)</f>
        <v>0</v>
      </c>
      <c r="M186" s="489" cm="1">
        <f t="array" ref="M186">SUMPRODUCT(--(ISNUMBER(SEARCH($A186,'Diags Raw Data'!$A$6:$A$3690))),--('Diags Raw Data'!$Q$6:$Q$3690&lt;&gt;"N/A"),'Diags Raw Data'!$R$6:$R$3690)</f>
        <v>0</v>
      </c>
      <c r="N186" s="490" cm="1">
        <f t="array" ref="N186">SUMPRODUCT(--(ISNUMBER(SEARCH($A186,'Diags Raw Data'!$A$6:$A$3690))),--('Diags Raw Data'!$Q$6:$Q$3690&lt;&gt;"N/A"),'Diags Raw Data'!$T$6:$T$3690)+SUMPRODUCT(--(ISNUMBER(SEARCH($A186,'Diags Raw Data'!$A$6:$A$3690))),--('Diags Raw Data'!$Q$6:$Q$3690&lt;&gt;"N/A"),'Diags Raw Data'!$U$6:$U$3690)</f>
        <v>0</v>
      </c>
      <c r="O186" s="491">
        <f t="shared" si="19"/>
        <v>0</v>
      </c>
      <c r="P186" s="492">
        <f>SUMIF('Diags Raw Data'!$A$6:$A$3690,"*"&amp;$A186&amp;"*",'Diags Raw Data'!$Z$6:$Z$3690)</f>
        <v>0</v>
      </c>
      <c r="Q186" s="493">
        <f>SUM(SUMIF('Diags Raw Data'!$A$6:$A$3690,"*"&amp;$A186&amp;"*",'Diags Raw Data'!$AA$6:$AA$3690),SUMIF('Diags Raw Data'!$A$6:$A$3690,"*"&amp;$A186&amp;"*",'Diags Raw Data'!$AB$6:$AB$3690))</f>
        <v>0</v>
      </c>
      <c r="R186" s="494">
        <f t="shared" si="20"/>
        <v>0</v>
      </c>
      <c r="S186" s="494">
        <f t="shared" si="21"/>
        <v>0</v>
      </c>
      <c r="T186" s="495">
        <f t="shared" si="22"/>
        <v>0</v>
      </c>
      <c r="U186" s="436" t="e">
        <f>VLOOKUP(A186,'Diags Raw Data'!$A$6:$AH$3690,33,FALSE)</f>
        <v>#N/A</v>
      </c>
      <c r="V186" s="181"/>
    </row>
    <row r="187" spans="1:22" ht="225.75" thickBot="1" x14ac:dyDescent="0.3">
      <c r="A187" s="549">
        <v>12.4</v>
      </c>
      <c r="B187" s="438" t="str">
        <f>VLOOKUP(A187,'Feature Raw Data'!$A$3:$B$3922,2,FALSE)</f>
        <v>SRAM Bit/byte write enable</v>
      </c>
      <c r="C187" s="439" t="str">
        <f>VLOOKUP(A187,'Feature Raw Data'!$A$3:$C$3922,3,FALSE)</f>
        <v>P1</v>
      </c>
      <c r="D187" s="440" t="str" cm="1">
        <f t="array" ref="D187">_xlfn.TEXTJOIN("",TRUE,IF(ISNUMBER(SEARCH($A187,'Diags Raw Data'!$A$6:$A$3690)),CONCATENATE('Diags Raw Data'!$H$6:$H$3690,", "),""))</f>
        <v xml:space="preserve">cs16.0,wgs_gpa3_disable_dispatch_pm4_01, gci1311, placeholder_i.1, rt1.400-401, utci16.1, placeholder_j.1, shci2039.0-3, rt33.0, rt33.1-2, gci1307.4-7, placeholder_k.1-2, spi453, glxi61.1-2, gfx.linpack_gfx_compute, placeholder_l.1-8, placeholder_a.1-108, gci1310, cpi415, gci1309.0-3, gmhub.athub_raw_monolithic_test/CPWD, gfx.sr_stat, gfx.inst_perf/v_wmma_f32_16x16x.*,gfx.inst_perf/v_wmma_i32_16x16x32_iu4,gci39.1-6, placeholder_b.1, txi83, STD1.6, placeholder_c.1, </v>
      </c>
      <c r="E187" s="340" t="e">
        <f>VLOOKUP(A187,'Diags Raw Data'!$A$6:$D$3690,4,FALSE)</f>
        <v>#N/A</v>
      </c>
      <c r="F187" s="340" t="str">
        <f>VLOOKUP(A187,'Feature Raw Data'!$A$3:$E$3922,5,FALSE)</f>
        <v>New</v>
      </c>
      <c r="G187" s="340" t="str">
        <f t="shared" si="17"/>
        <v>Yes</v>
      </c>
      <c r="H187" s="340" t="str">
        <f t="shared" si="18"/>
        <v>Yes</v>
      </c>
      <c r="I187" s="439">
        <f>SUMIF('Diags Raw Data'!$A$6:$A$3690,"*"&amp;$A187&amp;"*",'Diags Raw Data'!$K$6:$K$3690)</f>
        <v>0</v>
      </c>
      <c r="J187" s="441">
        <f>SUMIF('Diags Raw Data'!$A$6:$A$3690,"*"&amp;$A187&amp;"*",'Diags Raw Data'!$L$6:$L$3690)</f>
        <v>0</v>
      </c>
      <c r="K187" s="487" t="e" cm="1">
        <f t="array" ref="K187">IF(D187="",0, SUMPRODUCT(--(ISNUMBER(SEARCH($A187,'Diags Raw Data'!$A$6:$A$3690))),'Diags Raw Data'!$L$6:$L$3690,'Diags Raw Data'!$N$6:$N$3690)/J187)</f>
        <v>#DIV/0!</v>
      </c>
      <c r="L187" s="488" t="e" cm="1">
        <f t="array" ref="L187">IF(D187="",0, SUMPRODUCT(--(ISNUMBER(SEARCH($A187,'Diags Raw Data'!$A$6:$A$3690))),'Diags Raw Data'!$L$6:$L$3690,'Diags Raw Data'!$P$6:$P$3690)/J187)</f>
        <v>#DIV/0!</v>
      </c>
      <c r="M187" s="489" cm="1">
        <f t="array" ref="M187">SUMPRODUCT(--(ISNUMBER(SEARCH($A187,'Diags Raw Data'!$A$6:$A$3690))),--('Diags Raw Data'!$Q$6:$Q$3690&lt;&gt;"N/A"),'Diags Raw Data'!$R$6:$R$3690)</f>
        <v>76</v>
      </c>
      <c r="N187" s="490" cm="1">
        <f t="array" ref="N187">SUMPRODUCT(--(ISNUMBER(SEARCH($A187,'Diags Raw Data'!$A$6:$A$3690))),--('Diags Raw Data'!$Q$6:$Q$3690&lt;&gt;"N/A"),'Diags Raw Data'!$T$6:$T$3690)+SUMPRODUCT(--(ISNUMBER(SEARCH($A187,'Diags Raw Data'!$A$6:$A$3690))),--('Diags Raw Data'!$Q$6:$Q$3690&lt;&gt;"N/A"),'Diags Raw Data'!$U$6:$U$3690)</f>
        <v>65</v>
      </c>
      <c r="O187" s="491">
        <f t="shared" si="19"/>
        <v>0.85526315789473684</v>
      </c>
      <c r="P187" s="492">
        <f>SUMIF('Diags Raw Data'!$A$6:$A$3690,"*"&amp;$A187&amp;"*",'Diags Raw Data'!$Z$6:$Z$3690)</f>
        <v>0</v>
      </c>
      <c r="Q187" s="493">
        <f>SUM(SUMIF('Diags Raw Data'!$A$6:$A$3690,"*"&amp;$A187&amp;"*",'Diags Raw Data'!$AA$6:$AA$3690),SUMIF('Diags Raw Data'!$A$6:$A$3690,"*"&amp;$A187&amp;"*",'Diags Raw Data'!$AB$6:$AB$3690))</f>
        <v>0</v>
      </c>
      <c r="R187" s="494">
        <f t="shared" si="20"/>
        <v>0</v>
      </c>
      <c r="S187" s="494">
        <f t="shared" si="21"/>
        <v>0</v>
      </c>
      <c r="T187" s="495">
        <f t="shared" si="22"/>
        <v>0</v>
      </c>
      <c r="U187" s="436" t="e">
        <f>VLOOKUP(A187,'Diags Raw Data'!$A$6:$AH$3690,33,FALSE)</f>
        <v>#N/A</v>
      </c>
      <c r="V187" s="181"/>
    </row>
    <row r="188" spans="1:22" ht="30.75" thickBot="1" x14ac:dyDescent="0.3">
      <c r="A188" s="549">
        <v>12.401</v>
      </c>
      <c r="B188" s="438" t="str">
        <f>VLOOKUP(A188,'Feature Raw Data'!$A$3:$B$3922,2,FALSE)</f>
        <v>Improving MBFF ratio (Octa/Hexa Flops)</v>
      </c>
      <c r="C188" s="439" t="str">
        <f>VLOOKUP(A188,'Feature Raw Data'!$A$3:$C$3922,3,FALSE)</f>
        <v>P2</v>
      </c>
      <c r="D188" s="440" t="str" cm="1">
        <f t="array" ref="D188">_xlfn.TEXTJOIN("",TRUE,IF(ISNUMBER(SEARCH($A188,'Diags Raw Data'!$A$6:$A$3690)),CONCATENATE('Diags Raw Data'!$H$6:$H$3690,", "),""))</f>
        <v/>
      </c>
      <c r="E188" s="340" t="e">
        <f>VLOOKUP(A188,'Diags Raw Data'!$A$6:$D$3690,4,FALSE)</f>
        <v>#N/A</v>
      </c>
      <c r="F188" s="340" t="str">
        <f>VLOOKUP(A188,'Feature Raw Data'!$A$3:$E$3922,5,FALSE)</f>
        <v>New</v>
      </c>
      <c r="G188" s="340" t="str">
        <f t="shared" si="17"/>
        <v>Yes</v>
      </c>
      <c r="H188" s="340" t="str">
        <f t="shared" si="18"/>
        <v>Yes</v>
      </c>
      <c r="I188" s="439">
        <f>SUMIF('Diags Raw Data'!$A$6:$A$3690,"*"&amp;$A188&amp;"*",'Diags Raw Data'!$K$6:$K$3690)</f>
        <v>0</v>
      </c>
      <c r="J188" s="441">
        <f>SUMIF('Diags Raw Data'!$A$6:$A$3690,"*"&amp;$A188&amp;"*",'Diags Raw Data'!$L$6:$L$3690)</f>
        <v>0</v>
      </c>
      <c r="K188" s="487" cm="1">
        <f t="array" ref="K188">IF(D188="",0, SUMPRODUCT(--(ISNUMBER(SEARCH($A188,'Diags Raw Data'!$A$6:$A$3690))),'Diags Raw Data'!$L$6:$L$3690,'Diags Raw Data'!$N$6:$N$3690)/J188)</f>
        <v>0</v>
      </c>
      <c r="L188" s="488" cm="1">
        <f t="array" ref="L188">IF(D188="",0, SUMPRODUCT(--(ISNUMBER(SEARCH($A188,'Diags Raw Data'!$A$6:$A$3690))),'Diags Raw Data'!$L$6:$L$3690,'Diags Raw Data'!$P$6:$P$3690)/J188)</f>
        <v>0</v>
      </c>
      <c r="M188" s="489" cm="1">
        <f t="array" ref="M188">SUMPRODUCT(--(ISNUMBER(SEARCH($A188,'Diags Raw Data'!$A$6:$A$3690))),--('Diags Raw Data'!$Q$6:$Q$3690&lt;&gt;"N/A"),'Diags Raw Data'!$R$6:$R$3690)</f>
        <v>0</v>
      </c>
      <c r="N188" s="490" cm="1">
        <f t="array" ref="N188">SUMPRODUCT(--(ISNUMBER(SEARCH($A188,'Diags Raw Data'!$A$6:$A$3690))),--('Diags Raw Data'!$Q$6:$Q$3690&lt;&gt;"N/A"),'Diags Raw Data'!$T$6:$T$3690)+SUMPRODUCT(--(ISNUMBER(SEARCH($A188,'Diags Raw Data'!$A$6:$A$3690))),--('Diags Raw Data'!$Q$6:$Q$3690&lt;&gt;"N/A"),'Diags Raw Data'!$U$6:$U$3690)</f>
        <v>0</v>
      </c>
      <c r="O188" s="491">
        <f>IF((M188=0),0,N188/M188)</f>
        <v>0</v>
      </c>
      <c r="P188" s="492">
        <f>SUMIF('Diags Raw Data'!$A$6:$A$3690,"*"&amp;$A188&amp;"*",'Diags Raw Data'!$Z$6:$Z$3690)</f>
        <v>0</v>
      </c>
      <c r="Q188" s="493">
        <f>SUM(SUMIF('Diags Raw Data'!$A$6:$A$3690,"*"&amp;$A188&amp;"*",'Diags Raw Data'!$AA$6:$AA$3690),SUMIF('Diags Raw Data'!$A$6:$A$3690,"*"&amp;$A188&amp;"*",'Diags Raw Data'!$AB$6:$AB$3690))</f>
        <v>0</v>
      </c>
      <c r="R188" s="494">
        <f>IF((J188=0),0,P188/J188)</f>
        <v>0</v>
      </c>
      <c r="S188" s="494">
        <f>IF((P188=0),0,Q188/P188)</f>
        <v>0</v>
      </c>
      <c r="T188" s="495">
        <f>R188*S188</f>
        <v>0</v>
      </c>
      <c r="U188" s="436" t="e">
        <f>VLOOKUP(A188,'Diags Raw Data'!$A$6:$AH$3690,33,FALSE)</f>
        <v>#N/A</v>
      </c>
      <c r="V188" s="181"/>
    </row>
    <row r="189" spans="1:22" ht="30.75" thickBot="1" x14ac:dyDescent="0.3">
      <c r="A189" s="549">
        <v>12.401999999999999</v>
      </c>
      <c r="B189" s="438" t="str">
        <f>VLOOKUP(A189,'Feature Raw Data'!$A$3:$B$3922,2,FALSE)</f>
        <v>Repeater Clock Gating (Clock Gating Efficiency focus)</v>
      </c>
      <c r="C189" s="439" t="str">
        <f>VLOOKUP(A189,'Feature Raw Data'!$A$3:$C$3922,3,FALSE)</f>
        <v>P1</v>
      </c>
      <c r="D189" s="440" t="str" cm="1">
        <f t="array" ref="D189">_xlfn.TEXTJOIN("",TRUE,IF(ISNUMBER(SEARCH($A189,'Diags Raw Data'!$A$6:$A$3690)),CONCATENATE('Diags Raw Data'!$H$6:$H$3690,", "),""))</f>
        <v/>
      </c>
      <c r="E189" s="340" t="e">
        <f>VLOOKUP(A189,'Diags Raw Data'!$A$6:$D$3690,4,FALSE)</f>
        <v>#N/A</v>
      </c>
      <c r="F189" s="340" t="str">
        <f>VLOOKUP(A189,'Feature Raw Data'!$A$3:$E$3922,5,FALSE)</f>
        <v>New</v>
      </c>
      <c r="G189" s="340" t="str">
        <f t="shared" si="17"/>
        <v>Yes</v>
      </c>
      <c r="H189" s="340" t="str">
        <f t="shared" si="18"/>
        <v>Yes</v>
      </c>
      <c r="I189" s="439">
        <f>SUMIF('Diags Raw Data'!$A$6:$A$3690,"*"&amp;$A189&amp;"*",'Diags Raw Data'!$K$6:$K$3690)</f>
        <v>0</v>
      </c>
      <c r="J189" s="441">
        <f>SUMIF('Diags Raw Data'!$A$6:$A$3690,"*"&amp;$A189&amp;"*",'Diags Raw Data'!$L$6:$L$3690)</f>
        <v>0</v>
      </c>
      <c r="K189" s="487" cm="1">
        <f t="array" ref="K189">IF(D189="",0, SUMPRODUCT(--(ISNUMBER(SEARCH($A189,'Diags Raw Data'!$A$6:$A$3690))),'Diags Raw Data'!$L$6:$L$3690,'Diags Raw Data'!$N$6:$N$3690)/J189)</f>
        <v>0</v>
      </c>
      <c r="L189" s="488" cm="1">
        <f t="array" ref="L189">IF(D189="",0, SUMPRODUCT(--(ISNUMBER(SEARCH($A189,'Diags Raw Data'!$A$6:$A$3690))),'Diags Raw Data'!$L$6:$L$3690,'Diags Raw Data'!$P$6:$P$3690)/J189)</f>
        <v>0</v>
      </c>
      <c r="M189" s="489" cm="1">
        <f t="array" ref="M189">SUMPRODUCT(--(ISNUMBER(SEARCH($A189,'Diags Raw Data'!$A$6:$A$3690))),--('Diags Raw Data'!$Q$6:$Q$3690&lt;&gt;"N/A"),'Diags Raw Data'!$R$6:$R$3690)</f>
        <v>0</v>
      </c>
      <c r="N189" s="490" cm="1">
        <f t="array" ref="N189">SUMPRODUCT(--(ISNUMBER(SEARCH($A189,'Diags Raw Data'!$A$6:$A$3690))),--('Diags Raw Data'!$Q$6:$Q$3690&lt;&gt;"N/A"),'Diags Raw Data'!$T$6:$T$3690)+SUMPRODUCT(--(ISNUMBER(SEARCH($A189,'Diags Raw Data'!$A$6:$A$3690))),--('Diags Raw Data'!$Q$6:$Q$3690&lt;&gt;"N/A"),'Diags Raw Data'!$U$6:$U$3690)</f>
        <v>0</v>
      </c>
      <c r="O189" s="491">
        <f>IF((M189=0),0,N189/M189)</f>
        <v>0</v>
      </c>
      <c r="P189" s="492">
        <f>SUMIF('Diags Raw Data'!$A$6:$A$3690,"*"&amp;$A189&amp;"*",'Diags Raw Data'!$Z$6:$Z$3690)</f>
        <v>0</v>
      </c>
      <c r="Q189" s="493">
        <f>SUM(SUMIF('Diags Raw Data'!$A$6:$A$3690,"*"&amp;$A189&amp;"*",'Diags Raw Data'!$AA$6:$AA$3690),SUMIF('Diags Raw Data'!$A$6:$A$3690,"*"&amp;$A189&amp;"*",'Diags Raw Data'!$AB$6:$AB$3690))</f>
        <v>0</v>
      </c>
      <c r="R189" s="494">
        <f>IF((J189=0),0,P189/J189)</f>
        <v>0</v>
      </c>
      <c r="S189" s="494">
        <f>IF((P189=0),0,Q189/P189)</f>
        <v>0</v>
      </c>
      <c r="T189" s="495">
        <f>R189*S189</f>
        <v>0</v>
      </c>
      <c r="U189" s="436" t="e">
        <f>VLOOKUP(A189,'Diags Raw Data'!$A$6:$AH$3690,33,FALSE)</f>
        <v>#N/A</v>
      </c>
      <c r="V189" s="181"/>
    </row>
    <row r="190" spans="1:22" ht="150.75" thickBot="1" x14ac:dyDescent="0.3">
      <c r="A190" s="549">
        <v>12.403</v>
      </c>
      <c r="B190" s="438" t="str">
        <f>VLOOKUP(A190,'Feature Raw Data'!$A$3:$B$3922,2,FALSE)</f>
        <v>MGCG partitioning (Goal is to reduce gating residency of MGCG domains. Power saved is function of reduction in MGCG domain clock residency, and physical partitioning of domain (size of domain, clones, ICG placement, pre MGCG power).  </v>
      </c>
      <c r="C190" s="439" t="str">
        <f>VLOOKUP(A190,'Feature Raw Data'!$A$3:$C$3922,3,FALSE)</f>
        <v>P1</v>
      </c>
      <c r="D190" s="440" t="str" cm="1">
        <f t="array" ref="D190">_xlfn.TEXTJOIN("",TRUE,IF(ISNUMBER(SEARCH($A190,'Diags Raw Data'!$A$6:$A$3690)),CONCATENATE('Diags Raw Data'!$H$6:$H$3690,", "),""))</f>
        <v/>
      </c>
      <c r="E190" s="340" t="e">
        <f>VLOOKUP(A190,'Diags Raw Data'!$A$6:$D$3690,4,FALSE)</f>
        <v>#N/A</v>
      </c>
      <c r="F190" s="340" t="str">
        <f>VLOOKUP(A190,'Feature Raw Data'!$A$3:$E$3922,5,FALSE)</f>
        <v>New</v>
      </c>
      <c r="G190" s="340" t="str">
        <f t="shared" ref="G190:G237" si="23">IF(D190="N/A, ","No","Yes")</f>
        <v>Yes</v>
      </c>
      <c r="H190" s="340" t="str">
        <f t="shared" si="18"/>
        <v>Yes</v>
      </c>
      <c r="I190" s="439">
        <f>SUMIF('Diags Raw Data'!$A$6:$A$3690,"*"&amp;$A190&amp;"*",'Diags Raw Data'!$K$6:$K$3690)</f>
        <v>0</v>
      </c>
      <c r="J190" s="441">
        <f>SUMIF('Diags Raw Data'!$A$6:$A$3690,"*"&amp;$A190&amp;"*",'Diags Raw Data'!$L$6:$L$3690)</f>
        <v>0</v>
      </c>
      <c r="K190" s="487" cm="1">
        <f t="array" ref="K190">IF(D190="",0, SUMPRODUCT(--(ISNUMBER(SEARCH($A190,'Diags Raw Data'!$A$6:$A$3690))),'Diags Raw Data'!$L$6:$L$3690,'Diags Raw Data'!$N$6:$N$3690)/J190)</f>
        <v>0</v>
      </c>
      <c r="L190" s="488" cm="1">
        <f t="array" ref="L190">IF(D190="",0, SUMPRODUCT(--(ISNUMBER(SEARCH($A190,'Diags Raw Data'!$A$6:$A$3690))),'Diags Raw Data'!$L$6:$L$3690,'Diags Raw Data'!$P$6:$P$3690)/J190)</f>
        <v>0</v>
      </c>
      <c r="M190" s="489" cm="1">
        <f t="array" ref="M190">SUMPRODUCT(--(ISNUMBER(SEARCH($A190,'Diags Raw Data'!$A$6:$A$3690))),--('Diags Raw Data'!$Q$6:$Q$3690&lt;&gt;"N/A"),'Diags Raw Data'!$R$6:$R$3690)</f>
        <v>0</v>
      </c>
      <c r="N190" s="490" cm="1">
        <f t="array" ref="N190">SUMPRODUCT(--(ISNUMBER(SEARCH($A190,'Diags Raw Data'!$A$6:$A$3690))),--('Diags Raw Data'!$Q$6:$Q$3690&lt;&gt;"N/A"),'Diags Raw Data'!$T$6:$T$3690)+SUMPRODUCT(--(ISNUMBER(SEARCH($A190,'Diags Raw Data'!$A$6:$A$3690))),--('Diags Raw Data'!$Q$6:$Q$3690&lt;&gt;"N/A"),'Diags Raw Data'!$U$6:$U$3690)</f>
        <v>0</v>
      </c>
      <c r="O190" s="491">
        <f t="shared" ref="O190:O191" si="24">IF((M190=0),0,N190/M190)</f>
        <v>0</v>
      </c>
      <c r="P190" s="492">
        <f>SUMIF('Diags Raw Data'!$A$6:$A$3690,"*"&amp;$A190&amp;"*",'Diags Raw Data'!$Z$6:$Z$3690)</f>
        <v>0</v>
      </c>
      <c r="Q190" s="493">
        <f>SUM(SUMIF('Diags Raw Data'!$A$6:$A$3690,"*"&amp;$A190&amp;"*",'Diags Raw Data'!$AA$6:$AA$3690),SUMIF('Diags Raw Data'!$A$6:$A$3690,"*"&amp;$A190&amp;"*",'Diags Raw Data'!$AB$6:$AB$3690))</f>
        <v>0</v>
      </c>
      <c r="R190" s="494">
        <f t="shared" ref="R190:R191" si="25">IF((J190=0),0,P190/J190)</f>
        <v>0</v>
      </c>
      <c r="S190" s="494">
        <f t="shared" ref="S190" si="26">IF((P190=0),0,Q190/P190)</f>
        <v>0</v>
      </c>
      <c r="T190" s="495">
        <f t="shared" ref="T190" si="27">R190*S190</f>
        <v>0</v>
      </c>
      <c r="U190" s="436" t="e">
        <f>VLOOKUP(A190,'Diags Raw Data'!$A$6:$AH$3690,33,FALSE)</f>
        <v>#N/A</v>
      </c>
      <c r="V190" s="181"/>
    </row>
    <row r="191" spans="1:22" ht="105.75" thickBot="1" x14ac:dyDescent="0.3">
      <c r="A191" s="549">
        <v>12.406000000000001</v>
      </c>
      <c r="B191" s="438" t="str">
        <f>VLOOKUP(A191,'Feature Raw Data'!$A$3:$B$3922,2,FALSE)</f>
        <v>With GPO enabled, perfmon clock and flops connected to it are currently not gated. Proposal is to improve clock gating of “event” flops and counters used in performance monitor logic</v>
      </c>
      <c r="C191" s="439" t="str">
        <f>VLOOKUP(A191,'Feature Raw Data'!$A$3:$C$3922,3,FALSE)</f>
        <v>P1</v>
      </c>
      <c r="D191" s="440" t="str" cm="1">
        <f t="array" ref="D191">_xlfn.TEXTJOIN("",TRUE,IF(ISNUMBER(SEARCH($A191,'Diags Raw Data'!$A$6:$A$3690)),CONCATENATE('Diags Raw Data'!$H$6:$H$3690,", "),""))</f>
        <v/>
      </c>
      <c r="E191" s="340" t="e">
        <f>VLOOKUP(A191,'Diags Raw Data'!$A$6:$D$3690,4,FALSE)</f>
        <v>#N/A</v>
      </c>
      <c r="F191" s="340" t="str">
        <f>VLOOKUP(A191,'Feature Raw Data'!$A$3:$E$3922,5,FALSE)</f>
        <v>New</v>
      </c>
      <c r="G191" s="340" t="str">
        <f t="shared" si="23"/>
        <v>Yes</v>
      </c>
      <c r="H191" s="340" t="str">
        <f t="shared" si="18"/>
        <v>Yes</v>
      </c>
      <c r="I191" s="439">
        <f>SUMIF('Diags Raw Data'!$A$6:$A$3690,"*"&amp;$A191&amp;"*",'Diags Raw Data'!$K$6:$K$3690)</f>
        <v>0</v>
      </c>
      <c r="J191" s="441">
        <f>SUMIF('Diags Raw Data'!$A$6:$A$3690,"*"&amp;$A191&amp;"*",'Diags Raw Data'!$L$6:$L$3690)</f>
        <v>0</v>
      </c>
      <c r="K191" s="487" cm="1">
        <f t="array" ref="K191">IF(D191="",0, SUMPRODUCT(--(ISNUMBER(SEARCH($A191,'Diags Raw Data'!$A$6:$A$3690))),'Diags Raw Data'!$L$6:$L$3690,'Diags Raw Data'!$N$6:$N$3690)/J191)</f>
        <v>0</v>
      </c>
      <c r="L191" s="488" cm="1">
        <f t="array" ref="L191">IF(D191="",0, SUMPRODUCT(--(ISNUMBER(SEARCH($A191,'Diags Raw Data'!$A$6:$A$3690))),'Diags Raw Data'!$L$6:$L$3690,'Diags Raw Data'!$P$6:$P$3690)/J191)</f>
        <v>0</v>
      </c>
      <c r="M191" s="489" cm="1">
        <f t="array" ref="M191">SUMPRODUCT(--(ISNUMBER(SEARCH($A191,'Diags Raw Data'!$A$6:$A$3690))),--('Diags Raw Data'!$Q$6:$Q$3690&lt;&gt;"N/A"),'Diags Raw Data'!$R$6:$R$3690)</f>
        <v>0</v>
      </c>
      <c r="N191" s="490" cm="1">
        <f t="array" ref="N191">SUMPRODUCT(--(ISNUMBER(SEARCH($A191,'Diags Raw Data'!$A$6:$A$3690))),--('Diags Raw Data'!$Q$6:$Q$3690&lt;&gt;"N/A"),'Diags Raw Data'!$T$6:$T$3690)+SUMPRODUCT(--(ISNUMBER(SEARCH($A191,'Diags Raw Data'!$A$6:$A$3690))),--('Diags Raw Data'!$Q$6:$Q$3690&lt;&gt;"N/A"),'Diags Raw Data'!$U$6:$U$3690)</f>
        <v>0</v>
      </c>
      <c r="O191" s="491">
        <f t="shared" si="24"/>
        <v>0</v>
      </c>
      <c r="P191" s="492">
        <f>SUMIF('Diags Raw Data'!$A$6:$A$3690,"*"&amp;$A191&amp;"*",'Diags Raw Data'!$Z$6:$Z$3690)</f>
        <v>0</v>
      </c>
      <c r="Q191" s="493">
        <f>SUM(SUMIF('Diags Raw Data'!$A$6:$A$3690,"*"&amp;$A191&amp;"*",'Diags Raw Data'!$AA$6:$AA$3690),SUMIF('Diags Raw Data'!$A$6:$A$3690,"*"&amp;$A191&amp;"*",'Diags Raw Data'!$AB$6:$AB$3690))</f>
        <v>0</v>
      </c>
      <c r="R191" s="494">
        <f t="shared" si="25"/>
        <v>0</v>
      </c>
      <c r="S191" s="494">
        <f>IF((P191=0),0,Q191/P191)</f>
        <v>0</v>
      </c>
      <c r="T191" s="495">
        <f>R191*S191</f>
        <v>0</v>
      </c>
      <c r="U191" s="436" t="e">
        <f>VLOOKUP(A191,'Diags Raw Data'!$A$6:$AH$3690,33,FALSE)</f>
        <v>#N/A</v>
      </c>
      <c r="V191" s="181"/>
    </row>
    <row r="192" spans="1:22" ht="30.75" thickBot="1" x14ac:dyDescent="0.3">
      <c r="A192" s="549">
        <v>12.41</v>
      </c>
      <c r="B192" s="438" t="str">
        <f>VLOOKUP(A192,'Feature Raw Data'!$A$3:$B$3922,2,FALSE)</f>
        <v>User Data Scatter Engine (RS64)</v>
      </c>
      <c r="C192" s="439" t="str">
        <f>VLOOKUP(A192,'Feature Raw Data'!$A$3:$C$3922,3,FALSE)</f>
        <v>P1</v>
      </c>
      <c r="D192" s="440" t="str" cm="1">
        <f t="array" ref="D192">_xlfn.TEXTJOIN("",TRUE,IF(ISNUMBER(SEARCH($A192,'Diags Raw Data'!$A$6:$A$3690)),CONCATENATE('Diags Raw Data'!$H$6:$H$3690,", "),""))</f>
        <v xml:space="preserve">cs16.0,wgs_gpa3_disable_dispatch_pm4_01, </v>
      </c>
      <c r="E192" s="340" t="e">
        <f>VLOOKUP(A192,'Diags Raw Data'!$A$6:$D$3690,4,FALSE)</f>
        <v>#N/A</v>
      </c>
      <c r="F192" s="340" t="str">
        <f>VLOOKUP(A192,'Feature Raw Data'!$A$3:$E$3922,5,FALSE)</f>
        <v>New</v>
      </c>
      <c r="G192" s="340" t="str">
        <f t="shared" si="23"/>
        <v>Yes</v>
      </c>
      <c r="H192" s="340" t="str">
        <f t="shared" ref="H192:H237" si="28">IF(D192="N/A, ","No","Yes")</f>
        <v>Yes</v>
      </c>
      <c r="I192" s="439">
        <f>SUMIF('Diags Raw Data'!$A$6:$A$3690,"*"&amp;$A192&amp;"*",'Diags Raw Data'!$K$6:$K$3690)</f>
        <v>0</v>
      </c>
      <c r="J192" s="441">
        <f>SUMIF('Diags Raw Data'!$A$6:$A$3690,"*"&amp;$A192&amp;"*",'Diags Raw Data'!$L$6:$L$3690)</f>
        <v>0</v>
      </c>
      <c r="K192" s="487" t="e" cm="1">
        <f t="array" ref="K192">IF(D192="",0, SUMPRODUCT(--(ISNUMBER(SEARCH($A192,'Diags Raw Data'!$A$6:$A$3690))),'Diags Raw Data'!$L$6:$L$3690,'Diags Raw Data'!$N$6:$N$3690)/J192)</f>
        <v>#DIV/0!</v>
      </c>
      <c r="L192" s="488" t="e" cm="1">
        <f t="array" ref="L192">IF(D192="",0, SUMPRODUCT(--(ISNUMBER(SEARCH($A192,'Diags Raw Data'!$A$6:$A$3690))),'Diags Raw Data'!$L$6:$L$3690,'Diags Raw Data'!$P$6:$P$3690)/J192)</f>
        <v>#DIV/0!</v>
      </c>
      <c r="M192" s="489" cm="1">
        <f t="array" ref="M192">SUMPRODUCT(--(ISNUMBER(SEARCH($A192,'Diags Raw Data'!$A$6:$A$3690))),--('Diags Raw Data'!$Q$6:$Q$3690&lt;&gt;"N/A"),'Diags Raw Data'!$R$6:$R$3690)</f>
        <v>2</v>
      </c>
      <c r="N192" s="490" cm="1">
        <f t="array" ref="N192">SUMPRODUCT(--(ISNUMBER(SEARCH($A192,'Diags Raw Data'!$A$6:$A$3690))),--('Diags Raw Data'!$Q$6:$Q$3690&lt;&gt;"N/A"),'Diags Raw Data'!$T$6:$T$3690)+SUMPRODUCT(--(ISNUMBER(SEARCH($A192,'Diags Raw Data'!$A$6:$A$3690))),--('Diags Raw Data'!$Q$6:$Q$3690&lt;&gt;"N/A"),'Diags Raw Data'!$U$6:$U$3690)</f>
        <v>2</v>
      </c>
      <c r="O192" s="491">
        <f>IF((M192=0),0,N192/M192)</f>
        <v>1</v>
      </c>
      <c r="P192" s="492">
        <f>SUMIF('Diags Raw Data'!$A$6:$A$3690,"*"&amp;$A192&amp;"*",'Diags Raw Data'!$Z$6:$Z$3690)</f>
        <v>0</v>
      </c>
      <c r="Q192" s="493">
        <f>SUM(SUMIF('Diags Raw Data'!$A$6:$A$3690,"*"&amp;$A192&amp;"*",'Diags Raw Data'!$AA$6:$AA$3690),SUMIF('Diags Raw Data'!$A$6:$A$3690,"*"&amp;$A192&amp;"*",'Diags Raw Data'!$AB$6:$AB$3690))</f>
        <v>0</v>
      </c>
      <c r="R192" s="494">
        <f>IF((J192=0),0,P192/J192)</f>
        <v>0</v>
      </c>
      <c r="S192" s="494">
        <f t="shared" ref="S192:S194" si="29">IF((P192=0),0,Q192/P192)</f>
        <v>0</v>
      </c>
      <c r="T192" s="495">
        <f t="shared" ref="T192:T194" si="30">R192*S192</f>
        <v>0</v>
      </c>
      <c r="U192" s="436" t="e">
        <f>VLOOKUP(A192,'Diags Raw Data'!$A$6:$AH$3690,33,FALSE)</f>
        <v>#N/A</v>
      </c>
      <c r="V192" s="181"/>
    </row>
    <row r="193" spans="1:22" ht="15.75" thickBot="1" x14ac:dyDescent="0.3">
      <c r="A193" s="549">
        <v>12.411</v>
      </c>
      <c r="B193" s="438" t="str">
        <f>VLOOKUP(A193,'Feature Raw Data'!$A$3:$B$3922,2,FALSE)</f>
        <v>Replace SDMA F32 with RS64</v>
      </c>
      <c r="C193" s="439" t="str">
        <f>VLOOKUP(A193,'Feature Raw Data'!$A$3:$C$3922,3,FALSE)</f>
        <v>P2</v>
      </c>
      <c r="D193" s="440" t="str" cm="1">
        <f t="array" ref="D193">_xlfn.TEXTJOIN("",TRUE,IF(ISNUMBER(SEARCH($A193,'Diags Raw Data'!$A$6:$A$3690)),CONCATENATE('Diags Raw Data'!$H$6:$H$3690,", "),""))</f>
        <v/>
      </c>
      <c r="E193" s="340" t="e">
        <f>VLOOKUP(A193,'Diags Raw Data'!$A$6:$D$3690,4,FALSE)</f>
        <v>#N/A</v>
      </c>
      <c r="F193" s="340" t="str">
        <f>VLOOKUP(A193,'Feature Raw Data'!$A$3:$E$3922,5,FALSE)</f>
        <v>New</v>
      </c>
      <c r="G193" s="340" t="str">
        <f t="shared" si="23"/>
        <v>Yes</v>
      </c>
      <c r="H193" s="340" t="str">
        <f t="shared" si="28"/>
        <v>Yes</v>
      </c>
      <c r="I193" s="439">
        <f>SUMIF('Diags Raw Data'!$A$6:$A$3690,"*"&amp;$A193&amp;"*",'Diags Raw Data'!$K$6:$K$3690)</f>
        <v>0</v>
      </c>
      <c r="J193" s="441">
        <f>SUMIF('Diags Raw Data'!$A$6:$A$3690,"*"&amp;$A193&amp;"*",'Diags Raw Data'!$L$6:$L$3690)</f>
        <v>0</v>
      </c>
      <c r="K193" s="487" cm="1">
        <f t="array" ref="K193">IF(D193="",0, SUMPRODUCT(--(ISNUMBER(SEARCH($A193,'Diags Raw Data'!$A$6:$A$3690))),'Diags Raw Data'!$L$6:$L$3690,'Diags Raw Data'!$N$6:$N$3690)/J193)</f>
        <v>0</v>
      </c>
      <c r="L193" s="488" cm="1">
        <f t="array" ref="L193">IF(D193="",0, SUMPRODUCT(--(ISNUMBER(SEARCH($A193,'Diags Raw Data'!$A$6:$A$3690))),'Diags Raw Data'!$L$6:$L$3690,'Diags Raw Data'!$P$6:$P$3690)/J193)</f>
        <v>0</v>
      </c>
      <c r="M193" s="489" cm="1">
        <f t="array" ref="M193">SUMPRODUCT(--(ISNUMBER(SEARCH($A193,'Diags Raw Data'!$A$6:$A$3690))),--('Diags Raw Data'!$Q$6:$Q$3690&lt;&gt;"N/A"),'Diags Raw Data'!$R$6:$R$3690)</f>
        <v>0</v>
      </c>
      <c r="N193" s="490" cm="1">
        <f t="array" ref="N193">SUMPRODUCT(--(ISNUMBER(SEARCH($A193,'Diags Raw Data'!$A$6:$A$3690))),--('Diags Raw Data'!$Q$6:$Q$3690&lt;&gt;"N/A"),'Diags Raw Data'!$T$6:$T$3690)+SUMPRODUCT(--(ISNUMBER(SEARCH($A193,'Diags Raw Data'!$A$6:$A$3690))),--('Diags Raw Data'!$Q$6:$Q$3690&lt;&gt;"N/A"),'Diags Raw Data'!$U$6:$U$3690)</f>
        <v>0</v>
      </c>
      <c r="O193" s="491">
        <f>IF((M193=0),0,N193/M193)</f>
        <v>0</v>
      </c>
      <c r="P193" s="492">
        <f>SUMIF('Diags Raw Data'!$A$6:$A$3690,"*"&amp;$A193&amp;"*",'Diags Raw Data'!$Z$6:$Z$3690)</f>
        <v>0</v>
      </c>
      <c r="Q193" s="493">
        <f>SUM(SUMIF('Diags Raw Data'!$A$6:$A$3690,"*"&amp;$A193&amp;"*",'Diags Raw Data'!$AA$6:$AA$3690),SUMIF('Diags Raw Data'!$A$6:$A$3690,"*"&amp;$A193&amp;"*",'Diags Raw Data'!$AB$6:$AB$3690))</f>
        <v>0</v>
      </c>
      <c r="R193" s="494">
        <f t="shared" ref="R193:R194" si="31">IF((J193=0),0,P193/J193)</f>
        <v>0</v>
      </c>
      <c r="S193" s="494">
        <f t="shared" si="29"/>
        <v>0</v>
      </c>
      <c r="T193" s="495">
        <f t="shared" si="30"/>
        <v>0</v>
      </c>
      <c r="U193" s="436" t="e">
        <f>VLOOKUP(A193,'Diags Raw Data'!$A$6:$AH$3690,33,FALSE)</f>
        <v>#N/A</v>
      </c>
      <c r="V193" s="181"/>
    </row>
    <row r="194" spans="1:22" ht="30.75" thickBot="1" x14ac:dyDescent="0.3">
      <c r="A194" s="549">
        <v>12.412000000000001</v>
      </c>
      <c r="B194" s="438" t="str">
        <f>VLOOKUP(A194,'Feature Raw Data'!$A$3:$B$3922,2,FALSE)</f>
        <v>Enable GPA in UTCL0 of SAx GL1C</v>
      </c>
      <c r="C194" s="439" t="str">
        <f>VLOOKUP(A194,'Feature Raw Data'!$A$3:$C$3922,3,FALSE)</f>
        <v>P1</v>
      </c>
      <c r="D194" s="440" t="str" cm="1">
        <f t="array" ref="D194">_xlfn.TEXTJOIN("",TRUE,IF(ISNUMBER(SEARCH($A194,'Diags Raw Data'!$A$6:$A$3690)),CONCATENATE('Diags Raw Data'!$H$6:$H$3690,", "),""))</f>
        <v xml:space="preserve">cs16.0,wgs_gpa3_disable_dispatch_pm4_01, </v>
      </c>
      <c r="E194" s="340" t="str">
        <f>VLOOKUP(A194,'Diags Raw Data'!$A$6:$D$3690,4,FALSE)</f>
        <v>CMM</v>
      </c>
      <c r="F194" s="340" t="str">
        <f>VLOOKUP(A194,'Feature Raw Data'!$A$3:$E$3922,5,FALSE)</f>
        <v>New</v>
      </c>
      <c r="G194" s="340" t="str">
        <f t="shared" si="23"/>
        <v>Yes</v>
      </c>
      <c r="H194" s="340" t="str">
        <f t="shared" si="28"/>
        <v>Yes</v>
      </c>
      <c r="I194" s="439">
        <f>SUMIF('Diags Raw Data'!$A$6:$A$3690,"*"&amp;$A194&amp;"*",'Diags Raw Data'!$K$6:$K$3690)</f>
        <v>0</v>
      </c>
      <c r="J194" s="441">
        <f>SUMIF('Diags Raw Data'!$A$6:$A$3690,"*"&amp;$A194&amp;"*",'Diags Raw Data'!$L$6:$L$3690)</f>
        <v>0</v>
      </c>
      <c r="K194" s="487" t="e" cm="1">
        <f t="array" ref="K194">IF(D194="",0, SUMPRODUCT(--(ISNUMBER(SEARCH($A194,'Diags Raw Data'!$A$6:$A$3690))),'Diags Raw Data'!$L$6:$L$3690,'Diags Raw Data'!$N$6:$N$3690)/J194)</f>
        <v>#DIV/0!</v>
      </c>
      <c r="L194" s="488" t="e" cm="1">
        <f t="array" ref="L194">IF(D194="",0, SUMPRODUCT(--(ISNUMBER(SEARCH($A194,'Diags Raw Data'!$A$6:$A$3690))),'Diags Raw Data'!$L$6:$L$3690,'Diags Raw Data'!$P$6:$P$3690)/J194)</f>
        <v>#DIV/0!</v>
      </c>
      <c r="M194" s="489" cm="1">
        <f t="array" ref="M194">SUMPRODUCT(--(ISNUMBER(SEARCH($A194,'Diags Raw Data'!$A$6:$A$3690))),--('Diags Raw Data'!$Q$6:$Q$3690&lt;&gt;"N/A"),'Diags Raw Data'!$R$6:$R$3690)</f>
        <v>2</v>
      </c>
      <c r="N194" s="490" cm="1">
        <f t="array" ref="N194">SUMPRODUCT(--(ISNUMBER(SEARCH($A194,'Diags Raw Data'!$A$6:$A$3690))),--('Diags Raw Data'!$Q$6:$Q$3690&lt;&gt;"N/A"),'Diags Raw Data'!$T$6:$T$3690)+SUMPRODUCT(--(ISNUMBER(SEARCH($A194,'Diags Raw Data'!$A$6:$A$3690))),--('Diags Raw Data'!$Q$6:$Q$3690&lt;&gt;"N/A"),'Diags Raw Data'!$U$6:$U$3690)</f>
        <v>2</v>
      </c>
      <c r="O194" s="491">
        <f>IF((M194=0),0,N194/M194)</f>
        <v>1</v>
      </c>
      <c r="P194" s="492">
        <f>SUMIF('Diags Raw Data'!$A$6:$A$3690,"*"&amp;$A194&amp;"*",'Diags Raw Data'!$Z$6:$Z$3690)</f>
        <v>0</v>
      </c>
      <c r="Q194" s="493">
        <f>SUM(SUMIF('Diags Raw Data'!$A$6:$A$3690,"*"&amp;$A194&amp;"*",'Diags Raw Data'!$AA$6:$AA$3690),SUMIF('Diags Raw Data'!$A$6:$A$3690,"*"&amp;$A194&amp;"*",'Diags Raw Data'!$AB$6:$AB$3690))</f>
        <v>0</v>
      </c>
      <c r="R194" s="494">
        <f t="shared" si="31"/>
        <v>0</v>
      </c>
      <c r="S194" s="494">
        <f t="shared" si="29"/>
        <v>0</v>
      </c>
      <c r="T194" s="495">
        <f t="shared" si="30"/>
        <v>0</v>
      </c>
      <c r="U194" s="436" t="str">
        <f>VLOOKUP(A194,'Diags Raw Data'!$A$6:$AH$3690,33,FALSE)</f>
        <v>WK5</v>
      </c>
      <c r="V194" s="181"/>
    </row>
    <row r="195" spans="1:22" ht="30.75" thickBot="1" x14ac:dyDescent="0.3">
      <c r="A195" s="549">
        <v>12.413</v>
      </c>
      <c r="B195" s="438" t="str">
        <f>VLOOKUP(A195,'Feature Raw Data'!$A$3:$B$3922,2,FALSE)</f>
        <v>Switch GFX to Memgen-based SRAM FGCG</v>
      </c>
      <c r="C195" s="439" t="str">
        <f>VLOOKUP(A195,'Feature Raw Data'!$A$3:$C$3922,3,FALSE)</f>
        <v>P1</v>
      </c>
      <c r="D195" s="440" t="str" cm="1">
        <f t="array" ref="D195">_xlfn.TEXTJOIN("",TRUE,IF(ISNUMBER(SEARCH($A195,'Diags Raw Data'!$A$6:$A$3690)),CONCATENATE('Diags Raw Data'!$H$6:$H$3690,", "),""))</f>
        <v/>
      </c>
      <c r="E195" s="340" t="e">
        <f>VLOOKUP(A195,'Diags Raw Data'!$A$6:$D$3690,4,FALSE)</f>
        <v>#N/A</v>
      </c>
      <c r="F195" s="340" t="str">
        <f>VLOOKUP(A195,'Feature Raw Data'!$A$3:$E$3922,5,FALSE)</f>
        <v>New</v>
      </c>
      <c r="G195" s="340" t="str">
        <f t="shared" si="23"/>
        <v>Yes</v>
      </c>
      <c r="H195" s="340" t="str">
        <f t="shared" si="28"/>
        <v>Yes</v>
      </c>
      <c r="I195" s="439">
        <f>SUMIF('Diags Raw Data'!$A$6:$A$3690,"*"&amp;$A195&amp;"*",'Diags Raw Data'!$K$6:$K$3690)</f>
        <v>0</v>
      </c>
      <c r="J195" s="441">
        <f>SUMIF('Diags Raw Data'!$A$6:$A$3690,"*"&amp;$A195&amp;"*",'Diags Raw Data'!$L$6:$L$3690)</f>
        <v>0</v>
      </c>
      <c r="K195" s="487" cm="1">
        <f t="array" ref="K195">IF(D195="",0, SUMPRODUCT(--(ISNUMBER(SEARCH($A195,'Diags Raw Data'!$A$6:$A$3690))),'Diags Raw Data'!$L$6:$L$3690,'Diags Raw Data'!$N$6:$N$3690)/J195)</f>
        <v>0</v>
      </c>
      <c r="L195" s="488" cm="1">
        <f t="array" ref="L195">IF(D195="",0, SUMPRODUCT(--(ISNUMBER(SEARCH($A195,'Diags Raw Data'!$A$6:$A$3690))),'Diags Raw Data'!$L$6:$L$3690,'Diags Raw Data'!$P$6:$P$3690)/J195)</f>
        <v>0</v>
      </c>
      <c r="M195" s="489" cm="1">
        <f t="array" ref="M195">SUMPRODUCT(--(ISNUMBER(SEARCH($A195,'Diags Raw Data'!$A$6:$A$3690))),--('Diags Raw Data'!$Q$6:$Q$3690&lt;&gt;"N/A"),'Diags Raw Data'!$R$6:$R$3690)</f>
        <v>0</v>
      </c>
      <c r="N195" s="490" cm="1">
        <f t="array" ref="N195">SUMPRODUCT(--(ISNUMBER(SEARCH($A195,'Diags Raw Data'!$A$6:$A$3690))),--('Diags Raw Data'!$Q$6:$Q$3690&lt;&gt;"N/A"),'Diags Raw Data'!$T$6:$T$3690)+SUMPRODUCT(--(ISNUMBER(SEARCH($A195,'Diags Raw Data'!$A$6:$A$3690))),--('Diags Raw Data'!$Q$6:$Q$3690&lt;&gt;"N/A"),'Diags Raw Data'!$U$6:$U$3690)</f>
        <v>0</v>
      </c>
      <c r="O195" s="491">
        <f>IF((M195=0),0,N195/M195)</f>
        <v>0</v>
      </c>
      <c r="P195" s="492">
        <f>SUMIF('Diags Raw Data'!$A$6:$A$3690,"*"&amp;$A195&amp;"*",'Diags Raw Data'!$Z$6:$Z$3690)</f>
        <v>0</v>
      </c>
      <c r="Q195" s="493">
        <f>SUM(SUMIF('Diags Raw Data'!$A$6:$A$3690,"*"&amp;$A195&amp;"*",'Diags Raw Data'!$AA$6:$AA$3690),SUMIF('Diags Raw Data'!$A$6:$A$3690,"*"&amp;$A195&amp;"*",'Diags Raw Data'!$AB$6:$AB$3690))</f>
        <v>0</v>
      </c>
      <c r="R195" s="494">
        <f>IF((J195=0),0,P195/J195)</f>
        <v>0</v>
      </c>
      <c r="S195" s="494">
        <f>IF((P195=0),0,Q195/P195)</f>
        <v>0</v>
      </c>
      <c r="T195" s="495">
        <f>R195*S195</f>
        <v>0</v>
      </c>
      <c r="U195" s="436" t="e">
        <f>VLOOKUP(A195,'Diags Raw Data'!$A$6:$AH$3690,33,FALSE)</f>
        <v>#N/A</v>
      </c>
      <c r="V195" s="181"/>
    </row>
    <row r="196" spans="1:22" ht="30.75" thickBot="1" x14ac:dyDescent="0.3">
      <c r="A196" s="549">
        <v>12.414</v>
      </c>
      <c r="B196" s="438" t="str">
        <f>VLOOKUP(A196,'Feature Raw Data'!$A$3:$B$3922,2,FALSE)</f>
        <v>Add an L1 TLB into the SDMA front-end</v>
      </c>
      <c r="C196" s="439" t="str">
        <f>VLOOKUP(A196,'Feature Raw Data'!$A$3:$C$3922,3,FALSE)</f>
        <v>P1</v>
      </c>
      <c r="D196" s="440" t="str" cm="1">
        <f t="array" ref="D196">_xlfn.TEXTJOIN("",TRUE,IF(ISNUMBER(SEARCH($A196,'Diags Raw Data'!$A$6:$A$3690)),CONCATENATE('Diags Raw Data'!$H$6:$H$3690,", "),""))</f>
        <v/>
      </c>
      <c r="E196" s="340" t="e">
        <f>VLOOKUP(A196,'Diags Raw Data'!$A$6:$D$3690,4,FALSE)</f>
        <v>#N/A</v>
      </c>
      <c r="F196" s="340" t="str">
        <f>VLOOKUP(A196,'Feature Raw Data'!$A$3:$E$3922,5,FALSE)</f>
        <v>New</v>
      </c>
      <c r="G196" s="340" t="str">
        <f t="shared" si="23"/>
        <v>Yes</v>
      </c>
      <c r="H196" s="340" t="str">
        <f t="shared" si="28"/>
        <v>Yes</v>
      </c>
      <c r="I196" s="439">
        <f>SUMIF('Diags Raw Data'!$A$6:$A$3690,"*"&amp;$A196&amp;"*",'Diags Raw Data'!$K$6:$K$3690)</f>
        <v>0</v>
      </c>
      <c r="J196" s="441">
        <f>SUMIF('Diags Raw Data'!$A$6:$A$3690,"*"&amp;$A196&amp;"*",'Diags Raw Data'!$L$6:$L$3690)</f>
        <v>0</v>
      </c>
      <c r="K196" s="487" cm="1">
        <f t="array" ref="K196">IF(D196="",0, SUMPRODUCT(--(ISNUMBER(SEARCH($A196,'Diags Raw Data'!$A$6:$A$3690))),'Diags Raw Data'!$L$6:$L$3690,'Diags Raw Data'!$N$6:$N$3690)/J196)</f>
        <v>0</v>
      </c>
      <c r="L196" s="488" cm="1">
        <f t="array" ref="L196">IF(D196="",0, SUMPRODUCT(--(ISNUMBER(SEARCH($A196,'Diags Raw Data'!$A$6:$A$3690))),'Diags Raw Data'!$L$6:$L$3690,'Diags Raw Data'!$P$6:$P$3690)/J196)</f>
        <v>0</v>
      </c>
      <c r="M196" s="489" cm="1">
        <f t="array" ref="M196">SUMPRODUCT(--(ISNUMBER(SEARCH($A196,'Diags Raw Data'!$A$6:$A$3690))),--('Diags Raw Data'!$Q$6:$Q$3690&lt;&gt;"N/A"),'Diags Raw Data'!$R$6:$R$3690)</f>
        <v>0</v>
      </c>
      <c r="N196" s="490" cm="1">
        <f t="array" ref="N196">SUMPRODUCT(--(ISNUMBER(SEARCH($A196,'Diags Raw Data'!$A$6:$A$3690))),--('Diags Raw Data'!$Q$6:$Q$3690&lt;&gt;"N/A"),'Diags Raw Data'!$T$6:$T$3690)+SUMPRODUCT(--(ISNUMBER(SEARCH($A196,'Diags Raw Data'!$A$6:$A$3690))),--('Diags Raw Data'!$Q$6:$Q$3690&lt;&gt;"N/A"),'Diags Raw Data'!$U$6:$U$3690)</f>
        <v>0</v>
      </c>
      <c r="O196" s="491">
        <f t="shared" ref="O196:O198" si="32">IF((M196=0),0,N196/M196)</f>
        <v>0</v>
      </c>
      <c r="P196" s="492">
        <f>SUMIF('Diags Raw Data'!$A$6:$A$3690,"*"&amp;$A196&amp;"*",'Diags Raw Data'!$Z$6:$Z$3690)</f>
        <v>0</v>
      </c>
      <c r="Q196" s="493">
        <f>SUM(SUMIF('Diags Raw Data'!$A$6:$A$3690,"*"&amp;$A196&amp;"*",'Diags Raw Data'!$AA$6:$AA$3690),SUMIF('Diags Raw Data'!$A$6:$A$3690,"*"&amp;$A196&amp;"*",'Diags Raw Data'!$AB$6:$AB$3690))</f>
        <v>0</v>
      </c>
      <c r="R196" s="494">
        <f t="shared" ref="R196:R198" si="33">IF((J196=0),0,P196/J196)</f>
        <v>0</v>
      </c>
      <c r="S196" s="494">
        <f t="shared" ref="S196:S201" si="34">IF((P196=0),0,Q196/P196)</f>
        <v>0</v>
      </c>
      <c r="T196" s="495">
        <f t="shared" ref="T196:T200" si="35">R196*S196</f>
        <v>0</v>
      </c>
      <c r="U196" s="436" t="e">
        <f>VLOOKUP(A196,'Diags Raw Data'!$A$6:$AH$3690,33,FALSE)</f>
        <v>#N/A</v>
      </c>
      <c r="V196" s="181"/>
    </row>
    <row r="197" spans="1:22" ht="30.75" thickBot="1" x14ac:dyDescent="0.3">
      <c r="A197" s="549">
        <v>12.417</v>
      </c>
      <c r="B197" s="438" t="str">
        <f>VLOOKUP(A197,'Feature Raw Data'!$A$3:$B$3922,2,FALSE)</f>
        <v>GFX12 IMU - Add light sleep and deep sleep to SRAMs</v>
      </c>
      <c r="C197" s="439" t="str">
        <f>VLOOKUP(A197,'Feature Raw Data'!$A$3:$C$3922,3,FALSE)</f>
        <v>P1</v>
      </c>
      <c r="D197" s="440" t="str" cm="1">
        <f t="array" ref="D197">_xlfn.TEXTJOIN("",TRUE,IF(ISNUMBER(SEARCH($A197,'Diags Raw Data'!$A$6:$A$3690)),CONCATENATE('Diags Raw Data'!$H$6:$H$3690,", "),""))</f>
        <v/>
      </c>
      <c r="E197" s="340" t="e">
        <f>VLOOKUP(A197,'Diags Raw Data'!$A$6:$D$3690,4,FALSE)</f>
        <v>#N/A</v>
      </c>
      <c r="F197" s="340" t="str">
        <f>VLOOKUP(A197,'Feature Raw Data'!$A$3:$E$3922,5,FALSE)</f>
        <v>New</v>
      </c>
      <c r="G197" s="340" t="str">
        <f t="shared" si="23"/>
        <v>Yes</v>
      </c>
      <c r="H197" s="340" t="str">
        <f t="shared" si="28"/>
        <v>Yes</v>
      </c>
      <c r="I197" s="439">
        <f>SUMIF('Diags Raw Data'!$A$6:$A$3690,"*"&amp;$A197&amp;"*",'Diags Raw Data'!$K$6:$K$3690)</f>
        <v>0</v>
      </c>
      <c r="J197" s="441">
        <f>SUMIF('Diags Raw Data'!$A$6:$A$3690,"*"&amp;$A197&amp;"*",'Diags Raw Data'!$L$6:$L$3690)</f>
        <v>0</v>
      </c>
      <c r="K197" s="487" cm="1">
        <f t="array" ref="K197">IF(D197="",0, SUMPRODUCT(--(ISNUMBER(SEARCH($A197,'Diags Raw Data'!$A$6:$A$3690))),'Diags Raw Data'!$L$6:$L$3690,'Diags Raw Data'!$N$6:$N$3690)/J197)</f>
        <v>0</v>
      </c>
      <c r="L197" s="488" cm="1">
        <f t="array" ref="L197">IF(D197="",0, SUMPRODUCT(--(ISNUMBER(SEARCH($A197,'Diags Raw Data'!$A$6:$A$3690))),'Diags Raw Data'!$L$6:$L$3690,'Diags Raw Data'!$P$6:$P$3690)/J197)</f>
        <v>0</v>
      </c>
      <c r="M197" s="489" cm="1">
        <f t="array" ref="M197">SUMPRODUCT(--(ISNUMBER(SEARCH($A197,'Diags Raw Data'!$A$6:$A$3690))),--('Diags Raw Data'!$Q$6:$Q$3690&lt;&gt;"N/A"),'Diags Raw Data'!$R$6:$R$3690)</f>
        <v>0</v>
      </c>
      <c r="N197" s="490" cm="1">
        <f t="array" ref="N197">SUMPRODUCT(--(ISNUMBER(SEARCH($A197,'Diags Raw Data'!$A$6:$A$3690))),--('Diags Raw Data'!$Q$6:$Q$3690&lt;&gt;"N/A"),'Diags Raw Data'!$T$6:$T$3690)+SUMPRODUCT(--(ISNUMBER(SEARCH($A197,'Diags Raw Data'!$A$6:$A$3690))),--('Diags Raw Data'!$Q$6:$Q$3690&lt;&gt;"N/A"),'Diags Raw Data'!$U$6:$U$3690)</f>
        <v>0</v>
      </c>
      <c r="O197" s="491">
        <f t="shared" si="32"/>
        <v>0</v>
      </c>
      <c r="P197" s="492">
        <f>SUMIF('Diags Raw Data'!$A$6:$A$3690,"*"&amp;$A197&amp;"*",'Diags Raw Data'!$Z$6:$Z$3690)</f>
        <v>0</v>
      </c>
      <c r="Q197" s="493">
        <f>SUM(SUMIF('Diags Raw Data'!$A$6:$A$3690,"*"&amp;$A197&amp;"*",'Diags Raw Data'!$AA$6:$AA$3690),SUMIF('Diags Raw Data'!$A$6:$A$3690,"*"&amp;$A197&amp;"*",'Diags Raw Data'!$AB$6:$AB$3690))</f>
        <v>0</v>
      </c>
      <c r="R197" s="494">
        <f t="shared" si="33"/>
        <v>0</v>
      </c>
      <c r="S197" s="494">
        <f t="shared" si="34"/>
        <v>0</v>
      </c>
      <c r="T197" s="495">
        <f t="shared" si="35"/>
        <v>0</v>
      </c>
      <c r="U197" s="436" t="e">
        <f>VLOOKUP(A197,'Diags Raw Data'!$A$6:$AH$3690,33,FALSE)</f>
        <v>#N/A</v>
      </c>
      <c r="V197" s="181"/>
    </row>
    <row r="198" spans="1:22" ht="45.75" thickBot="1" x14ac:dyDescent="0.3">
      <c r="A198" s="549">
        <v>12.417999999999999</v>
      </c>
      <c r="B198" s="438" t="str">
        <f>VLOOKUP(A198,'Feature Raw Data'!$A$3:$B$3922,2,FALSE)</f>
        <v>GFX12 IMU - Add deep sleep support and sideband for IMUCLK</v>
      </c>
      <c r="C198" s="439" t="str">
        <f>VLOOKUP(A198,'Feature Raw Data'!$A$3:$C$3922,3,FALSE)</f>
        <v>P1</v>
      </c>
      <c r="D198" s="440" t="str" cm="1">
        <f t="array" ref="D198">_xlfn.TEXTJOIN("",TRUE,IF(ISNUMBER(SEARCH($A198,'Diags Raw Data'!$A$6:$A$3690)),CONCATENATE('Diags Raw Data'!$H$6:$H$3690,", "),""))</f>
        <v/>
      </c>
      <c r="E198" s="340" t="e">
        <f>VLOOKUP(A198,'Diags Raw Data'!$A$6:$D$3690,4,FALSE)</f>
        <v>#N/A</v>
      </c>
      <c r="F198" s="340" t="str">
        <f>VLOOKUP(A198,'Feature Raw Data'!$A$3:$E$3922,5,FALSE)</f>
        <v>New</v>
      </c>
      <c r="G198" s="340" t="str">
        <f t="shared" si="23"/>
        <v>Yes</v>
      </c>
      <c r="H198" s="340" t="str">
        <f t="shared" si="28"/>
        <v>Yes</v>
      </c>
      <c r="I198" s="439">
        <f>SUMIF('Diags Raw Data'!$A$6:$A$3690,"*"&amp;$A198&amp;"*",'Diags Raw Data'!$K$6:$K$3690)</f>
        <v>0</v>
      </c>
      <c r="J198" s="441">
        <f>SUMIF('Diags Raw Data'!$A$6:$A$3690,"*"&amp;$A198&amp;"*",'Diags Raw Data'!$L$6:$L$3690)</f>
        <v>0</v>
      </c>
      <c r="K198" s="487" cm="1">
        <f t="array" ref="K198">IF(D198="",0, SUMPRODUCT(--(ISNUMBER(SEARCH($A198,'Diags Raw Data'!$A$6:$A$3690))),'Diags Raw Data'!$L$6:$L$3690,'Diags Raw Data'!$N$6:$N$3690)/J198)</f>
        <v>0</v>
      </c>
      <c r="L198" s="488" cm="1">
        <f t="array" ref="L198">IF(D198="",0, SUMPRODUCT(--(ISNUMBER(SEARCH($A198,'Diags Raw Data'!$A$6:$A$3690))),'Diags Raw Data'!$L$6:$L$3690,'Diags Raw Data'!$P$6:$P$3690)/J198)</f>
        <v>0</v>
      </c>
      <c r="M198" s="489" cm="1">
        <f t="array" ref="M198">SUMPRODUCT(--(ISNUMBER(SEARCH($A198,'Diags Raw Data'!$A$6:$A$3690))),--('Diags Raw Data'!$Q$6:$Q$3690&lt;&gt;"N/A"),'Diags Raw Data'!$R$6:$R$3690)</f>
        <v>0</v>
      </c>
      <c r="N198" s="490" cm="1">
        <f t="array" ref="N198">SUMPRODUCT(--(ISNUMBER(SEARCH($A198,'Diags Raw Data'!$A$6:$A$3690))),--('Diags Raw Data'!$Q$6:$Q$3690&lt;&gt;"N/A"),'Diags Raw Data'!$T$6:$T$3690)+SUMPRODUCT(--(ISNUMBER(SEARCH($A198,'Diags Raw Data'!$A$6:$A$3690))),--('Diags Raw Data'!$Q$6:$Q$3690&lt;&gt;"N/A"),'Diags Raw Data'!$U$6:$U$3690)</f>
        <v>0</v>
      </c>
      <c r="O198" s="491">
        <f t="shared" si="32"/>
        <v>0</v>
      </c>
      <c r="P198" s="492">
        <f>SUMIF('Diags Raw Data'!$A$6:$A$3690,"*"&amp;$A198&amp;"*",'Diags Raw Data'!$Z$6:$Z$3690)</f>
        <v>0</v>
      </c>
      <c r="Q198" s="493">
        <f>SUM(SUMIF('Diags Raw Data'!$A$6:$A$3690,"*"&amp;$A198&amp;"*",'Diags Raw Data'!$AA$6:$AA$3690),SUMIF('Diags Raw Data'!$A$6:$A$3690,"*"&amp;$A198&amp;"*",'Diags Raw Data'!$AB$6:$AB$3690))</f>
        <v>0</v>
      </c>
      <c r="R198" s="494">
        <f t="shared" si="33"/>
        <v>0</v>
      </c>
      <c r="S198" s="494">
        <f t="shared" si="34"/>
        <v>0</v>
      </c>
      <c r="T198" s="495">
        <f t="shared" si="35"/>
        <v>0</v>
      </c>
      <c r="U198" s="436" t="e">
        <f>VLOOKUP(A198,'Diags Raw Data'!$A$6:$AH$3690,33,FALSE)</f>
        <v>#N/A</v>
      </c>
      <c r="V198" s="181"/>
    </row>
    <row r="199" spans="1:22" ht="30.75" thickBot="1" x14ac:dyDescent="0.3">
      <c r="A199" s="549">
        <v>12.42</v>
      </c>
      <c r="B199" s="438" t="str">
        <f>VLOOKUP(A199,'Feature Raw Data'!$A$3:$B$3922,2,FALSE)</f>
        <v xml:space="preserve">Increase max scratch allocation </v>
      </c>
      <c r="C199" s="439" t="str">
        <f>VLOOKUP(A199,'Feature Raw Data'!$A$3:$C$3922,3,FALSE)</f>
        <v>P2</v>
      </c>
      <c r="D199" s="440" t="str" cm="1">
        <f t="array" ref="D199">_xlfn.TEXTJOIN("",TRUE,IF(ISNUMBER(SEARCH($A199,'Diags Raw Data'!$A$6:$A$3690)),CONCATENATE('Diags Raw Data'!$H$6:$H$3690,", "),""))</f>
        <v xml:space="preserve">gci1311, placeholder_i.1, </v>
      </c>
      <c r="E199" s="340" t="str">
        <f>VLOOKUP(A199,'Diags Raw Data'!$A$6:$D$3690,4,FALSE)</f>
        <v>SIO</v>
      </c>
      <c r="F199" s="340" t="str">
        <f>VLOOKUP(A199,'Feature Raw Data'!$A$3:$E$3922,5,FALSE)</f>
        <v>New</v>
      </c>
      <c r="G199" s="340" t="str">
        <f t="shared" si="23"/>
        <v>Yes</v>
      </c>
      <c r="H199" s="340" t="str">
        <f t="shared" si="28"/>
        <v>Yes</v>
      </c>
      <c r="I199" s="439">
        <f>SUMIF('Diags Raw Data'!$A$6:$A$3690,"*"&amp;$A199&amp;"*",'Diags Raw Data'!$K$6:$K$3690)</f>
        <v>0</v>
      </c>
      <c r="J199" s="441">
        <f>SUMIF('Diags Raw Data'!$A$6:$A$3690,"*"&amp;$A199&amp;"*",'Diags Raw Data'!$L$6:$L$3690)</f>
        <v>0</v>
      </c>
      <c r="K199" s="487" t="e" cm="1">
        <f t="array" ref="K199">IF(D199="",0, SUMPRODUCT(--(ISNUMBER(SEARCH($A199,'Diags Raw Data'!$A$6:$A$3690))),'Diags Raw Data'!$L$6:$L$3690,'Diags Raw Data'!$N$6:$N$3690)/J199)</f>
        <v>#DIV/0!</v>
      </c>
      <c r="L199" s="488" t="e" cm="1">
        <f t="array" ref="L199">IF(D199="",0, SUMPRODUCT(--(ISNUMBER(SEARCH($A199,'Diags Raw Data'!$A$6:$A$3690))),'Diags Raw Data'!$L$6:$L$3690,'Diags Raw Data'!$P$6:$P$3690)/J199)</f>
        <v>#DIV/0!</v>
      </c>
      <c r="M199" s="489" cm="1">
        <f t="array" ref="M199">SUMPRODUCT(--(ISNUMBER(SEARCH($A199,'Diags Raw Data'!$A$6:$A$3690))),--('Diags Raw Data'!$Q$6:$Q$3690&lt;&gt;"N/A"),'Diags Raw Data'!$R$6:$R$3690)</f>
        <v>2</v>
      </c>
      <c r="N199" s="490" cm="1">
        <f t="array" ref="N199">SUMPRODUCT(--(ISNUMBER(SEARCH($A199,'Diags Raw Data'!$A$6:$A$3690))),--('Diags Raw Data'!$Q$6:$Q$3690&lt;&gt;"N/A"),'Diags Raw Data'!$T$6:$T$3690)+SUMPRODUCT(--(ISNUMBER(SEARCH($A199,'Diags Raw Data'!$A$6:$A$3690))),--('Diags Raw Data'!$Q$6:$Q$3690&lt;&gt;"N/A"),'Diags Raw Data'!$U$6:$U$3690)</f>
        <v>1</v>
      </c>
      <c r="O199" s="491">
        <f>IF((M199=0),0,N199/M199)</f>
        <v>0.5</v>
      </c>
      <c r="P199" s="492">
        <f>SUMIF('Diags Raw Data'!$A$6:$A$3690,"*"&amp;$A199&amp;"*",'Diags Raw Data'!$Z$6:$Z$3690)</f>
        <v>0</v>
      </c>
      <c r="Q199" s="493">
        <f>SUM(SUMIF('Diags Raw Data'!$A$6:$A$3690,"*"&amp;$A199&amp;"*",'Diags Raw Data'!$AA$6:$AA$3690),SUMIF('Diags Raw Data'!$A$6:$A$3690,"*"&amp;$A199&amp;"*",'Diags Raw Data'!$AB$6:$AB$3690))</f>
        <v>0</v>
      </c>
      <c r="R199" s="494">
        <f>IF((J199=0),0,P199/J199)</f>
        <v>0</v>
      </c>
      <c r="S199" s="494">
        <f t="shared" si="34"/>
        <v>0</v>
      </c>
      <c r="T199" s="495">
        <f t="shared" si="35"/>
        <v>0</v>
      </c>
      <c r="U199" s="436" t="str">
        <f>VLOOKUP(A199,'Diags Raw Data'!$A$6:$AH$3690,33,FALSE)</f>
        <v>WK7</v>
      </c>
      <c r="V199" s="181"/>
    </row>
    <row r="200" spans="1:22" ht="15.75" thickBot="1" x14ac:dyDescent="0.3">
      <c r="A200" s="549">
        <v>12.420999999999999</v>
      </c>
      <c r="B200" s="438" t="str">
        <f>VLOOKUP(A200,'Feature Raw Data'!$A$3:$B$3922,2,FALSE)</f>
        <v>TOC updates for RLC FW</v>
      </c>
      <c r="C200" s="439" t="str">
        <f>VLOOKUP(A200,'Feature Raw Data'!$A$3:$C$3922,3,FALSE)</f>
        <v>P1</v>
      </c>
      <c r="D200" s="440" t="str" cm="1">
        <f t="array" ref="D200">_xlfn.TEXTJOIN("",TRUE,IF(ISNUMBER(SEARCH($A200,'Diags Raw Data'!$A$6:$A$3690)),CONCATENATE('Diags Raw Data'!$H$6:$H$3690,", "),""))</f>
        <v/>
      </c>
      <c r="E200" s="340" t="e">
        <f>VLOOKUP(A200,'Diags Raw Data'!$A$6:$D$3690,4,FALSE)</f>
        <v>#N/A</v>
      </c>
      <c r="F200" s="340" t="str">
        <f>VLOOKUP(A200,'Feature Raw Data'!$A$3:$E$3922,5,FALSE)</f>
        <v>New</v>
      </c>
      <c r="G200" s="340" t="str">
        <f t="shared" si="23"/>
        <v>Yes</v>
      </c>
      <c r="H200" s="340" t="str">
        <f t="shared" si="28"/>
        <v>Yes</v>
      </c>
      <c r="I200" s="439">
        <f>SUMIF('Diags Raw Data'!$A$6:$A$3690,"*"&amp;$A200&amp;"*",'Diags Raw Data'!$K$6:$K$3690)</f>
        <v>0</v>
      </c>
      <c r="J200" s="441">
        <f>SUMIF('Diags Raw Data'!$A$6:$A$3690,"*"&amp;$A200&amp;"*",'Diags Raw Data'!$L$6:$L$3690)</f>
        <v>0</v>
      </c>
      <c r="K200" s="487" cm="1">
        <f t="array" ref="K200">IF(D200="",0, SUMPRODUCT(--(ISNUMBER(SEARCH($A200,'Diags Raw Data'!$A$6:$A$3690))),'Diags Raw Data'!$L$6:$L$3690,'Diags Raw Data'!$N$6:$N$3690)/J200)</f>
        <v>0</v>
      </c>
      <c r="L200" s="488" cm="1">
        <f t="array" ref="L200">IF(D200="",0, SUMPRODUCT(--(ISNUMBER(SEARCH($A200,'Diags Raw Data'!$A$6:$A$3690))),'Diags Raw Data'!$L$6:$L$3690,'Diags Raw Data'!$P$6:$P$3690)/J200)</f>
        <v>0</v>
      </c>
      <c r="M200" s="489" cm="1">
        <f t="array" ref="M200">SUMPRODUCT(--(ISNUMBER(SEARCH($A200,'Diags Raw Data'!$A$6:$A$3690))),--('Diags Raw Data'!$Q$6:$Q$3690&lt;&gt;"N/A"),'Diags Raw Data'!$R$6:$R$3690)</f>
        <v>0</v>
      </c>
      <c r="N200" s="490" cm="1">
        <f t="array" ref="N200">SUMPRODUCT(--(ISNUMBER(SEARCH($A200,'Diags Raw Data'!$A$6:$A$3690))),--('Diags Raw Data'!$Q$6:$Q$3690&lt;&gt;"N/A"),'Diags Raw Data'!$T$6:$T$3690)+SUMPRODUCT(--(ISNUMBER(SEARCH($A200,'Diags Raw Data'!$A$6:$A$3690))),--('Diags Raw Data'!$Q$6:$Q$3690&lt;&gt;"N/A"),'Diags Raw Data'!$U$6:$U$3690)</f>
        <v>0</v>
      </c>
      <c r="O200" s="491">
        <f t="shared" ref="O200:O201" si="36">IF((M200=0),0,N200/M200)</f>
        <v>0</v>
      </c>
      <c r="P200" s="492">
        <f>SUMIF('Diags Raw Data'!$A$6:$A$3690,"*"&amp;$A200&amp;"*",'Diags Raw Data'!$Z$6:$Z$3690)</f>
        <v>0</v>
      </c>
      <c r="Q200" s="493">
        <f>SUM(SUMIF('Diags Raw Data'!$A$6:$A$3690,"*"&amp;$A200&amp;"*",'Diags Raw Data'!$AA$6:$AA$3690),SUMIF('Diags Raw Data'!$A$6:$A$3690,"*"&amp;$A200&amp;"*",'Diags Raw Data'!$AB$6:$AB$3690))</f>
        <v>0</v>
      </c>
      <c r="R200" s="494">
        <f>IF((J200=0),0,P200/J200)</f>
        <v>0</v>
      </c>
      <c r="S200" s="494">
        <f t="shared" si="34"/>
        <v>0</v>
      </c>
      <c r="T200" s="495">
        <f t="shared" si="35"/>
        <v>0</v>
      </c>
      <c r="U200" s="436" t="e">
        <f>VLOOKUP(A200,'Diags Raw Data'!$A$6:$AH$3690,33,FALSE)</f>
        <v>#N/A</v>
      </c>
      <c r="V200" s="181"/>
    </row>
    <row r="201" spans="1:22" ht="30.75" thickBot="1" x14ac:dyDescent="0.3">
      <c r="A201" s="549">
        <v>12.422000000000001</v>
      </c>
      <c r="B201" s="438" t="str">
        <f>VLOOKUP(A201,'Feature Raw Data'!$A$3:$B$3922,2,FALSE)</f>
        <v>Navi4c (chiplet) GFXIP STA Targets</v>
      </c>
      <c r="C201" s="439" t="str">
        <f>VLOOKUP(A201,'Feature Raw Data'!$A$3:$C$3922,3,FALSE)</f>
        <v>P1</v>
      </c>
      <c r="D201" s="440" t="str" cm="1">
        <f t="array" ref="D201">_xlfn.TEXTJOIN("",TRUE,IF(ISNUMBER(SEARCH($A201,'Diags Raw Data'!$A$6:$A$3690)),CONCATENATE('Diags Raw Data'!$H$6:$H$3690,", "),""))</f>
        <v/>
      </c>
      <c r="E201" s="340" t="e">
        <f>VLOOKUP(A201,'Diags Raw Data'!$A$6:$D$3690,4,FALSE)</f>
        <v>#N/A</v>
      </c>
      <c r="F201" s="340" t="str">
        <f>VLOOKUP(A201,'Feature Raw Data'!$A$3:$E$3922,5,FALSE)</f>
        <v>New</v>
      </c>
      <c r="G201" s="340" t="str">
        <f t="shared" si="23"/>
        <v>Yes</v>
      </c>
      <c r="H201" s="340" t="str">
        <f t="shared" si="28"/>
        <v>Yes</v>
      </c>
      <c r="I201" s="439">
        <f>SUMIF('Diags Raw Data'!$A$6:$A$3690,"*"&amp;$A201&amp;"*",'Diags Raw Data'!$K$6:$K$3690)</f>
        <v>0</v>
      </c>
      <c r="J201" s="441">
        <f>SUMIF('Diags Raw Data'!$A$6:$A$3690,"*"&amp;$A201&amp;"*",'Diags Raw Data'!$L$6:$L$3690)</f>
        <v>0</v>
      </c>
      <c r="K201" s="487" cm="1">
        <f t="array" ref="K201">IF(D201="",0, SUMPRODUCT(--(ISNUMBER(SEARCH($A201,'Diags Raw Data'!$A$6:$A$3690))),'Diags Raw Data'!$L$6:$L$3690,'Diags Raw Data'!$N$6:$N$3690)/J201)</f>
        <v>0</v>
      </c>
      <c r="L201" s="488" cm="1">
        <f t="array" ref="L201">IF(D201="",0, SUMPRODUCT(--(ISNUMBER(SEARCH($A201,'Diags Raw Data'!$A$6:$A$3690))),'Diags Raw Data'!$L$6:$L$3690,'Diags Raw Data'!$P$6:$P$3690)/J201)</f>
        <v>0</v>
      </c>
      <c r="M201" s="489" cm="1">
        <f t="array" ref="M201">SUMPRODUCT(--(ISNUMBER(SEARCH($A201,'Diags Raw Data'!$A$6:$A$3690))),--('Diags Raw Data'!$Q$6:$Q$3690&lt;&gt;"N/A"),'Diags Raw Data'!$R$6:$R$3690)</f>
        <v>0</v>
      </c>
      <c r="N201" s="490" cm="1">
        <f t="array" ref="N201">SUMPRODUCT(--(ISNUMBER(SEARCH($A201,'Diags Raw Data'!$A$6:$A$3690))),--('Diags Raw Data'!$Q$6:$Q$3690&lt;&gt;"N/A"),'Diags Raw Data'!$T$6:$T$3690)+SUMPRODUCT(--(ISNUMBER(SEARCH($A201,'Diags Raw Data'!$A$6:$A$3690))),--('Diags Raw Data'!$Q$6:$Q$3690&lt;&gt;"N/A"),'Diags Raw Data'!$U$6:$U$3690)</f>
        <v>0</v>
      </c>
      <c r="O201" s="491">
        <f t="shared" si="36"/>
        <v>0</v>
      </c>
      <c r="P201" s="492">
        <f>SUMIF('Diags Raw Data'!$A$6:$A$3690,"*"&amp;$A201&amp;"*",'Diags Raw Data'!$Z$6:$Z$3690)</f>
        <v>0</v>
      </c>
      <c r="Q201" s="493">
        <f>SUM(SUMIF('Diags Raw Data'!$A$6:$A$3690,"*"&amp;$A201&amp;"*",'Diags Raw Data'!$AA$6:$AA$3690),SUMIF('Diags Raw Data'!$A$6:$A$3690,"*"&amp;$A201&amp;"*",'Diags Raw Data'!$AB$6:$AB$3690))</f>
        <v>0</v>
      </c>
      <c r="R201" s="494">
        <f>IF((J201=0),0,P201/J201)</f>
        <v>0</v>
      </c>
      <c r="S201" s="494">
        <f t="shared" si="34"/>
        <v>0</v>
      </c>
      <c r="T201" s="495">
        <f>R201*S201</f>
        <v>0</v>
      </c>
      <c r="U201" s="436" t="e">
        <f>VLOOKUP(A201,'Diags Raw Data'!$A$6:$AH$3690,33,FALSE)</f>
        <v>#N/A</v>
      </c>
      <c r="V201" s="181"/>
    </row>
    <row r="202" spans="1:22" ht="30.75" thickBot="1" x14ac:dyDescent="0.3">
      <c r="A202" s="549">
        <v>12.425000000000001</v>
      </c>
      <c r="B202" s="438" t="str">
        <f>VLOOKUP(A202,'Feature Raw Data'!$A$3:$B$3922,2,FALSE)</f>
        <v>GE WD_QOS.DRAW_STALL behavior</v>
      </c>
      <c r="C202" s="439" t="str">
        <f>VLOOKUP(A202,'Feature Raw Data'!$A$3:$C$3922,3,FALSE)</f>
        <v>P2</v>
      </c>
      <c r="D202" s="440" t="str" cm="1">
        <f t="array" ref="D202">_xlfn.TEXTJOIN("",TRUE,IF(ISNUMBER(SEARCH($A202,'Diags Raw Data'!$A$6:$A$3690)),CONCATENATE('Diags Raw Data'!$H$6:$H$3690,", "),""))</f>
        <v/>
      </c>
      <c r="E202" s="340" t="e">
        <f>VLOOKUP(A202,'Diags Raw Data'!$A$6:$D$3690,4,FALSE)</f>
        <v>#N/A</v>
      </c>
      <c r="F202" s="340" t="str">
        <f>VLOOKUP(A202,'Feature Raw Data'!$A$3:$E$3922,5,FALSE)</f>
        <v>New</v>
      </c>
      <c r="G202" s="340" t="str">
        <f t="shared" si="23"/>
        <v>Yes</v>
      </c>
      <c r="H202" s="340" t="str">
        <f t="shared" si="28"/>
        <v>Yes</v>
      </c>
      <c r="I202" s="439">
        <f>SUMIF('Diags Raw Data'!$A$6:$A$3690,"*"&amp;$A202&amp;"*",'Diags Raw Data'!$K$6:$K$3690)</f>
        <v>0</v>
      </c>
      <c r="J202" s="441">
        <f>SUMIF('Diags Raw Data'!$A$6:$A$3690,"*"&amp;$A202&amp;"*",'Diags Raw Data'!$L$6:$L$3690)</f>
        <v>0</v>
      </c>
      <c r="K202" s="487" cm="1">
        <f t="array" ref="K202">IF(D202="",0, SUMPRODUCT(--(ISNUMBER(SEARCH($A202,'Diags Raw Data'!$A$6:$A$3690))),'Diags Raw Data'!$L$6:$L$3690,'Diags Raw Data'!$N$6:$N$3690)/J202)</f>
        <v>0</v>
      </c>
      <c r="L202" s="488" cm="1">
        <f t="array" ref="L202">IF(D202="",0, SUMPRODUCT(--(ISNUMBER(SEARCH($A202,'Diags Raw Data'!$A$6:$A$3690))),'Diags Raw Data'!$L$6:$L$3690,'Diags Raw Data'!$P$6:$P$3690)/J202)</f>
        <v>0</v>
      </c>
      <c r="M202" s="489" cm="1">
        <f t="array" ref="M202">SUMPRODUCT(--(ISNUMBER(SEARCH($A202,'Diags Raw Data'!$A$6:$A$3690))),--('Diags Raw Data'!$Q$6:$Q$3690&lt;&gt;"N/A"),'Diags Raw Data'!$R$6:$R$3690)</f>
        <v>0</v>
      </c>
      <c r="N202" s="490" cm="1">
        <f t="array" ref="N202">SUMPRODUCT(--(ISNUMBER(SEARCH($A202,'Diags Raw Data'!$A$6:$A$3690))),--('Diags Raw Data'!$Q$6:$Q$3690&lt;&gt;"N/A"),'Diags Raw Data'!$T$6:$T$3690)+SUMPRODUCT(--(ISNUMBER(SEARCH($A202,'Diags Raw Data'!$A$6:$A$3690))),--('Diags Raw Data'!$Q$6:$Q$3690&lt;&gt;"N/A"),'Diags Raw Data'!$U$6:$U$3690)</f>
        <v>0</v>
      </c>
      <c r="O202" s="491">
        <f>IF((M202=0),0,N202/M202)</f>
        <v>0</v>
      </c>
      <c r="P202" s="492">
        <f>SUMIF('Diags Raw Data'!$A$6:$A$3690,"*"&amp;$A202&amp;"*",'Diags Raw Data'!$Z$6:$Z$3690)</f>
        <v>0</v>
      </c>
      <c r="Q202" s="493">
        <f>SUM(SUMIF('Diags Raw Data'!$A$6:$A$3690,"*"&amp;$A202&amp;"*",'Diags Raw Data'!$AA$6:$AA$3690),SUMIF('Diags Raw Data'!$A$6:$A$3690,"*"&amp;$A202&amp;"*",'Diags Raw Data'!$AB$6:$AB$3690))</f>
        <v>0</v>
      </c>
      <c r="R202" s="494">
        <f>IF((J202=0),0,P202/J202)</f>
        <v>0</v>
      </c>
      <c r="S202" s="494">
        <f>IF((P202=0),0,Q202/P202)</f>
        <v>0</v>
      </c>
      <c r="T202" s="495">
        <f>R202*S202</f>
        <v>0</v>
      </c>
      <c r="U202" s="436" t="e">
        <f>VLOOKUP(A202,'Diags Raw Data'!$A$6:$AH$3690,33,FALSE)</f>
        <v>#N/A</v>
      </c>
      <c r="V202" s="181"/>
    </row>
    <row r="203" spans="1:22" ht="15.75" thickBot="1" x14ac:dyDescent="0.3">
      <c r="A203" s="549">
        <v>12.429</v>
      </c>
      <c r="B203" s="438" t="str">
        <f>VLOOKUP(A203,'Feature Raw Data'!$A$3:$B$3922,2,FALSE)</f>
        <v>HP64 child reuse</v>
      </c>
      <c r="C203" s="439" t="str">
        <f>VLOOKUP(A203,'Feature Raw Data'!$A$3:$C$3922,3,FALSE)</f>
        <v>P1</v>
      </c>
      <c r="D203" s="440" t="str" cm="1">
        <f t="array" ref="D203">_xlfn.TEXTJOIN("",TRUE,IF(ISNUMBER(SEARCH($A203,'Diags Raw Data'!$A$6:$A$3690)),CONCATENATE('Diags Raw Data'!$H$6:$H$3690,", "),""))</f>
        <v xml:space="preserve">placeholder_i.1, </v>
      </c>
      <c r="E203" s="340" t="str">
        <f>VLOOKUP(A203,'Diags Raw Data'!$A$6:$D$3690,4,FALSE)</f>
        <v>TEX</v>
      </c>
      <c r="F203" s="340" t="str">
        <f>VLOOKUP(A203,'Feature Raw Data'!$A$3:$E$3922,5,FALSE)</f>
        <v>New</v>
      </c>
      <c r="G203" s="340" t="str">
        <f t="shared" si="23"/>
        <v>Yes</v>
      </c>
      <c r="H203" s="340" t="str">
        <f t="shared" si="28"/>
        <v>Yes</v>
      </c>
      <c r="I203" s="439">
        <f>SUMIF('Diags Raw Data'!$A$6:$A$3690,"*"&amp;$A203&amp;"*",'Diags Raw Data'!$K$6:$K$3690)</f>
        <v>0</v>
      </c>
      <c r="J203" s="441">
        <f>SUMIF('Diags Raw Data'!$A$6:$A$3690,"*"&amp;$A203&amp;"*",'Diags Raw Data'!$L$6:$L$3690)</f>
        <v>0</v>
      </c>
      <c r="K203" s="487" t="e" cm="1">
        <f t="array" ref="K203">IF(D203="",0, SUMPRODUCT(--(ISNUMBER(SEARCH($A203,'Diags Raw Data'!$A$6:$A$3690))),'Diags Raw Data'!$L$6:$L$3690,'Diags Raw Data'!$N$6:$N$3690)/J203)</f>
        <v>#DIV/0!</v>
      </c>
      <c r="L203" s="488" t="e" cm="1">
        <f t="array" ref="L203">IF(D203="",0, SUMPRODUCT(--(ISNUMBER(SEARCH($A203,'Diags Raw Data'!$A$6:$A$3690))),'Diags Raw Data'!$L$6:$L$3690,'Diags Raw Data'!$P$6:$P$3690)/J203)</f>
        <v>#DIV/0!</v>
      </c>
      <c r="M203" s="489" cm="1">
        <f t="array" ref="M203">SUMPRODUCT(--(ISNUMBER(SEARCH($A203,'Diags Raw Data'!$A$6:$A$3690))),--('Diags Raw Data'!$Q$6:$Q$3690&lt;&gt;"N/A"),'Diags Raw Data'!$R$6:$R$3690)</f>
        <v>1</v>
      </c>
      <c r="N203" s="490" cm="1">
        <f t="array" ref="N203">SUMPRODUCT(--(ISNUMBER(SEARCH($A203,'Diags Raw Data'!$A$6:$A$3690))),--('Diags Raw Data'!$Q$6:$Q$3690&lt;&gt;"N/A"),'Diags Raw Data'!$T$6:$T$3690)+SUMPRODUCT(--(ISNUMBER(SEARCH($A203,'Diags Raw Data'!$A$6:$A$3690))),--('Diags Raw Data'!$Q$6:$Q$3690&lt;&gt;"N/A"),'Diags Raw Data'!$U$6:$U$3690)</f>
        <v>1</v>
      </c>
      <c r="O203" s="491">
        <f t="shared" ref="O203:O237" si="37">IF((M203=0),0,N203/M203)</f>
        <v>1</v>
      </c>
      <c r="P203" s="492">
        <f>SUMIF('Diags Raw Data'!$A$6:$A$3690,"*"&amp;$A203&amp;"*",'Diags Raw Data'!$Z$6:$Z$3690)</f>
        <v>0</v>
      </c>
      <c r="Q203" s="493">
        <f>SUM(SUMIF('Diags Raw Data'!$A$6:$A$3690,"*"&amp;$A203&amp;"*",'Diags Raw Data'!$AA$6:$AA$3690),SUMIF('Diags Raw Data'!$A$6:$A$3690,"*"&amp;$A203&amp;"*",'Diags Raw Data'!$AB$6:$AB$3690))</f>
        <v>0</v>
      </c>
      <c r="R203" s="494">
        <f t="shared" ref="R203:R237" si="38">IF((J203=0),0,P203/J203)</f>
        <v>0</v>
      </c>
      <c r="S203" s="494">
        <f t="shared" ref="S203:S237" si="39">IF((P203=0),0,Q203/P203)</f>
        <v>0</v>
      </c>
      <c r="T203" s="495">
        <f t="shared" ref="T203:T237" si="40">R203*S203</f>
        <v>0</v>
      </c>
      <c r="U203" s="436" t="str">
        <f>VLOOKUP(A203,'Diags Raw Data'!$A$6:$AH$3690,33,FALSE)</f>
        <v>WK5</v>
      </c>
      <c r="V203" s="181"/>
    </row>
    <row r="204" spans="1:22" ht="30.75" thickBot="1" x14ac:dyDescent="0.3">
      <c r="A204" s="549">
        <v>12.43</v>
      </c>
      <c r="B204" s="438" t="str">
        <f>VLOOKUP(A204,'Feature Raw Data'!$A$3:$B$3922,2,FALSE)</f>
        <v>Ray Tracing Tri Pair optimization</v>
      </c>
      <c r="C204" s="439" t="str">
        <f>VLOOKUP(A204,'Feature Raw Data'!$A$3:$C$3922,3,FALSE)</f>
        <v>P1</v>
      </c>
      <c r="D204" s="440" t="str" cm="1">
        <f t="array" ref="D204">_xlfn.TEXTJOIN("",TRUE,IF(ISNUMBER(SEARCH($A204,'Diags Raw Data'!$A$6:$A$3690)),CONCATENATE('Diags Raw Data'!$H$6:$H$3690,", "),""))</f>
        <v xml:space="preserve">rt1.400-401, utci16.1, </v>
      </c>
      <c r="E204" s="340" t="str">
        <f>VLOOKUP(A204,'Diags Raw Data'!$A$6:$D$3690,4,FALSE)</f>
        <v>TEX</v>
      </c>
      <c r="F204" s="340" t="str">
        <f>VLOOKUP(A204,'Feature Raw Data'!$A$3:$E$3922,5,FALSE)</f>
        <v>New</v>
      </c>
      <c r="G204" s="340" t="str">
        <f t="shared" si="23"/>
        <v>Yes</v>
      </c>
      <c r="H204" s="340" t="str">
        <f t="shared" si="28"/>
        <v>Yes</v>
      </c>
      <c r="I204" s="439">
        <f>SUMIF('Diags Raw Data'!$A$6:$A$3690,"*"&amp;$A204&amp;"*",'Diags Raw Data'!$K$6:$K$3690)</f>
        <v>0</v>
      </c>
      <c r="J204" s="441">
        <f>SUMIF('Diags Raw Data'!$A$6:$A$3690,"*"&amp;$A204&amp;"*",'Diags Raw Data'!$L$6:$L$3690)</f>
        <v>0</v>
      </c>
      <c r="K204" s="487" t="e" cm="1">
        <f t="array" ref="K204">IF(D204="",0, SUMPRODUCT(--(ISNUMBER(SEARCH($A204,'Diags Raw Data'!$A$6:$A$3690))),'Diags Raw Data'!$L$6:$L$3690,'Diags Raw Data'!$N$6:$N$3690)/J204)</f>
        <v>#DIV/0!</v>
      </c>
      <c r="L204" s="488" t="e" cm="1">
        <f t="array" ref="L204">IF(D204="",0, SUMPRODUCT(--(ISNUMBER(SEARCH($A204,'Diags Raw Data'!$A$6:$A$3690))),'Diags Raw Data'!$L$6:$L$3690,'Diags Raw Data'!$P$6:$P$3690)/J204)</f>
        <v>#DIV/0!</v>
      </c>
      <c r="M204" s="489" cm="1">
        <f t="array" ref="M204">SUMPRODUCT(--(ISNUMBER(SEARCH($A204,'Diags Raw Data'!$A$6:$A$3690))),--('Diags Raw Data'!$Q$6:$Q$3690&lt;&gt;"N/A"),'Diags Raw Data'!$R$6:$R$3690)</f>
        <v>3</v>
      </c>
      <c r="N204" s="490" cm="1">
        <f t="array" ref="N204">SUMPRODUCT(--(ISNUMBER(SEARCH($A204,'Diags Raw Data'!$A$6:$A$3690))),--('Diags Raw Data'!$Q$6:$Q$3690&lt;&gt;"N/A"),'Diags Raw Data'!$T$6:$T$3690)+SUMPRODUCT(--(ISNUMBER(SEARCH($A204,'Diags Raw Data'!$A$6:$A$3690))),--('Diags Raw Data'!$Q$6:$Q$3690&lt;&gt;"N/A"),'Diags Raw Data'!$U$6:$U$3690)</f>
        <v>2</v>
      </c>
      <c r="O204" s="491">
        <f t="shared" si="37"/>
        <v>0.66666666666666663</v>
      </c>
      <c r="P204" s="492">
        <f>SUMIF('Diags Raw Data'!$A$6:$A$3690,"*"&amp;$A204&amp;"*",'Diags Raw Data'!$Z$6:$Z$3690)</f>
        <v>0</v>
      </c>
      <c r="Q204" s="493">
        <f>SUM(SUMIF('Diags Raw Data'!$A$6:$A$3690,"*"&amp;$A204&amp;"*",'Diags Raw Data'!$AA$6:$AA$3690),SUMIF('Diags Raw Data'!$A$6:$A$3690,"*"&amp;$A204&amp;"*",'Diags Raw Data'!$AB$6:$AB$3690))</f>
        <v>0</v>
      </c>
      <c r="R204" s="494">
        <f t="shared" si="38"/>
        <v>0</v>
      </c>
      <c r="S204" s="494">
        <f t="shared" si="39"/>
        <v>0</v>
      </c>
      <c r="T204" s="495">
        <f t="shared" si="40"/>
        <v>0</v>
      </c>
      <c r="U204" s="436" t="str">
        <f>VLOOKUP(A204,'Diags Raw Data'!$A$6:$AH$3690,33,FALSE)</f>
        <v>WK4</v>
      </c>
      <c r="V204" s="181"/>
    </row>
    <row r="205" spans="1:22" ht="15.75" thickBot="1" x14ac:dyDescent="0.3">
      <c r="A205" s="549">
        <v>12.438000000000001</v>
      </c>
      <c r="B205" s="438" t="str">
        <f>VLOOKUP(A205,'Feature Raw Data'!$A$3:$B$3922,2,FALSE)</f>
        <v>Remove Soft Lock feature</v>
      </c>
      <c r="C205" s="439" t="str">
        <f>VLOOKUP(A205,'Feature Raw Data'!$A$3:$C$3922,3,FALSE)</f>
        <v>P2</v>
      </c>
      <c r="D205" s="440" t="str" cm="1">
        <f t="array" ref="D205">_xlfn.TEXTJOIN("",TRUE,IF(ISNUMBER(SEARCH($A205,'Diags Raw Data'!$A$6:$A$3690)),CONCATENATE('Diags Raw Data'!$H$6:$H$3690,", "),""))</f>
        <v/>
      </c>
      <c r="E205" s="340" t="e">
        <f>VLOOKUP(A205,'Diags Raw Data'!$A$6:$D$3690,4,FALSE)</f>
        <v>#N/A</v>
      </c>
      <c r="F205" s="340" t="str">
        <f>VLOOKUP(A205,'Feature Raw Data'!$A$3:$E$3922,5,FALSE)</f>
        <v>New</v>
      </c>
      <c r="G205" s="340" t="str">
        <f t="shared" si="23"/>
        <v>Yes</v>
      </c>
      <c r="H205" s="340" t="str">
        <f t="shared" si="28"/>
        <v>Yes</v>
      </c>
      <c r="I205" s="439">
        <f>SUMIF('Diags Raw Data'!$A$6:$A$3690,"*"&amp;$A205&amp;"*",'Diags Raw Data'!$K$6:$K$3690)</f>
        <v>0</v>
      </c>
      <c r="J205" s="441">
        <f>SUMIF('Diags Raw Data'!$A$6:$A$3690,"*"&amp;$A205&amp;"*",'Diags Raw Data'!$L$6:$L$3690)</f>
        <v>0</v>
      </c>
      <c r="K205" s="487" cm="1">
        <f t="array" ref="K205">IF(D205="",0, SUMPRODUCT(--(ISNUMBER(SEARCH($A205,'Diags Raw Data'!$A$6:$A$3690))),'Diags Raw Data'!$L$6:$L$3690,'Diags Raw Data'!$N$6:$N$3690)/J205)</f>
        <v>0</v>
      </c>
      <c r="L205" s="488" cm="1">
        <f t="array" ref="L205">IF(D205="",0, SUMPRODUCT(--(ISNUMBER(SEARCH($A205,'Diags Raw Data'!$A$6:$A$3690))),'Diags Raw Data'!$L$6:$L$3690,'Diags Raw Data'!$P$6:$P$3690)/J205)</f>
        <v>0</v>
      </c>
      <c r="M205" s="489" cm="1">
        <f t="array" ref="M205">SUMPRODUCT(--(ISNUMBER(SEARCH($A205,'Diags Raw Data'!$A$6:$A$3690))),--('Diags Raw Data'!$Q$6:$Q$3690&lt;&gt;"N/A"),'Diags Raw Data'!$R$6:$R$3690)</f>
        <v>0</v>
      </c>
      <c r="N205" s="490" cm="1">
        <f t="array" ref="N205">SUMPRODUCT(--(ISNUMBER(SEARCH($A205,'Diags Raw Data'!$A$6:$A$3690))),--('Diags Raw Data'!$Q$6:$Q$3690&lt;&gt;"N/A"),'Diags Raw Data'!$T$6:$T$3690)+SUMPRODUCT(--(ISNUMBER(SEARCH($A205,'Diags Raw Data'!$A$6:$A$3690))),--('Diags Raw Data'!$Q$6:$Q$3690&lt;&gt;"N/A"),'Diags Raw Data'!$U$6:$U$3690)</f>
        <v>0</v>
      </c>
      <c r="O205" s="491">
        <f t="shared" si="37"/>
        <v>0</v>
      </c>
      <c r="P205" s="492">
        <f>SUMIF('Diags Raw Data'!$A$6:$A$3690,"*"&amp;$A205&amp;"*",'Diags Raw Data'!$Z$6:$Z$3690)</f>
        <v>0</v>
      </c>
      <c r="Q205" s="493">
        <f>SUM(SUMIF('Diags Raw Data'!$A$6:$A$3690,"*"&amp;$A205&amp;"*",'Diags Raw Data'!$AA$6:$AA$3690),SUMIF('Diags Raw Data'!$A$6:$A$3690,"*"&amp;$A205&amp;"*",'Diags Raw Data'!$AB$6:$AB$3690))</f>
        <v>0</v>
      </c>
      <c r="R205" s="494">
        <f t="shared" si="38"/>
        <v>0</v>
      </c>
      <c r="S205" s="494">
        <f t="shared" si="39"/>
        <v>0</v>
      </c>
      <c r="T205" s="495">
        <f t="shared" si="40"/>
        <v>0</v>
      </c>
      <c r="U205" s="436" t="e">
        <f>VLOOKUP(A205,'Diags Raw Data'!$A$6:$AH$3690,33,FALSE)</f>
        <v>#N/A</v>
      </c>
      <c r="V205" s="181"/>
    </row>
    <row r="206" spans="1:22" ht="30.75" thickBot="1" x14ac:dyDescent="0.3">
      <c r="A206" s="549">
        <v>12.439</v>
      </c>
      <c r="B206" s="438" t="str">
        <f>VLOOKUP(A206,'Feature Raw Data'!$A$3:$B$3922,2,FALSE)</f>
        <v>Improve register based invalidation</v>
      </c>
      <c r="C206" s="439" t="str">
        <f>VLOOKUP(A206,'Feature Raw Data'!$A$3:$C$3922,3,FALSE)</f>
        <v>P2</v>
      </c>
      <c r="D206" s="440" t="str" cm="1">
        <f t="array" ref="D206">_xlfn.TEXTJOIN("",TRUE,IF(ISNUMBER(SEARCH($A206,'Diags Raw Data'!$A$6:$A$3690)),CONCATENATE('Diags Raw Data'!$H$6:$H$3690,", "),""))</f>
        <v xml:space="preserve">utci16.1, </v>
      </c>
      <c r="E206" s="340" t="str">
        <f>VLOOKUP(A206,'Diags Raw Data'!$A$6:$D$3690,4,FALSE)</f>
        <v>CTL</v>
      </c>
      <c r="F206" s="340" t="str">
        <f>VLOOKUP(A206,'Feature Raw Data'!$A$3:$E$3922,5,FALSE)</f>
        <v>New</v>
      </c>
      <c r="G206" s="340" t="str">
        <f t="shared" si="23"/>
        <v>Yes</v>
      </c>
      <c r="H206" s="340" t="str">
        <f t="shared" si="28"/>
        <v>Yes</v>
      </c>
      <c r="I206" s="439">
        <f>SUMIF('Diags Raw Data'!$A$6:$A$3690,"*"&amp;$A206&amp;"*",'Diags Raw Data'!$K$6:$K$3690)</f>
        <v>0</v>
      </c>
      <c r="J206" s="441">
        <f>SUMIF('Diags Raw Data'!$A$6:$A$3690,"*"&amp;$A206&amp;"*",'Diags Raw Data'!$L$6:$L$3690)</f>
        <v>0</v>
      </c>
      <c r="K206" s="487" t="e" cm="1">
        <f t="array" ref="K206">IF(D206="",0, SUMPRODUCT(--(ISNUMBER(SEARCH($A206,'Diags Raw Data'!$A$6:$A$3690))),'Diags Raw Data'!$L$6:$L$3690,'Diags Raw Data'!$N$6:$N$3690)/J206)</f>
        <v>#DIV/0!</v>
      </c>
      <c r="L206" s="488" t="e" cm="1">
        <f t="array" ref="L206">IF(D206="",0, SUMPRODUCT(--(ISNUMBER(SEARCH($A206,'Diags Raw Data'!$A$6:$A$3690))),'Diags Raw Data'!$L$6:$L$3690,'Diags Raw Data'!$P$6:$P$3690)/J206)</f>
        <v>#DIV/0!</v>
      </c>
      <c r="M206" s="489" cm="1">
        <f t="array" ref="M206">SUMPRODUCT(--(ISNUMBER(SEARCH($A206,'Diags Raw Data'!$A$6:$A$3690))),--('Diags Raw Data'!$Q$6:$Q$3690&lt;&gt;"N/A"),'Diags Raw Data'!$R$6:$R$3690)</f>
        <v>1</v>
      </c>
      <c r="N206" s="490" cm="1">
        <f t="array" ref="N206">SUMPRODUCT(--(ISNUMBER(SEARCH($A206,'Diags Raw Data'!$A$6:$A$3690))),--('Diags Raw Data'!$Q$6:$Q$3690&lt;&gt;"N/A"),'Diags Raw Data'!$T$6:$T$3690)+SUMPRODUCT(--(ISNUMBER(SEARCH($A206,'Diags Raw Data'!$A$6:$A$3690))),--('Diags Raw Data'!$Q$6:$Q$3690&lt;&gt;"N/A"),'Diags Raw Data'!$U$6:$U$3690)</f>
        <v>0</v>
      </c>
      <c r="O206" s="491">
        <f t="shared" si="37"/>
        <v>0</v>
      </c>
      <c r="P206" s="492">
        <f>SUMIF('Diags Raw Data'!$A$6:$A$3690,"*"&amp;$A206&amp;"*",'Diags Raw Data'!$Z$6:$Z$3690)</f>
        <v>0</v>
      </c>
      <c r="Q206" s="493">
        <f>SUM(SUMIF('Diags Raw Data'!$A$6:$A$3690,"*"&amp;$A206&amp;"*",'Diags Raw Data'!$AA$6:$AA$3690),SUMIF('Diags Raw Data'!$A$6:$A$3690,"*"&amp;$A206&amp;"*",'Diags Raw Data'!$AB$6:$AB$3690))</f>
        <v>0</v>
      </c>
      <c r="R206" s="494">
        <f t="shared" si="38"/>
        <v>0</v>
      </c>
      <c r="S206" s="494">
        <f t="shared" si="39"/>
        <v>0</v>
      </c>
      <c r="T206" s="495">
        <f t="shared" si="40"/>
        <v>0</v>
      </c>
      <c r="U206" s="436" t="str">
        <f>VLOOKUP(A206,'Diags Raw Data'!$A$6:$AH$3690,33,FALSE)</f>
        <v>WK8</v>
      </c>
      <c r="V206" s="181"/>
    </row>
    <row r="207" spans="1:22" ht="30.75" thickBot="1" x14ac:dyDescent="0.3">
      <c r="A207" s="549">
        <v>12.44</v>
      </c>
      <c r="B207" s="438" t="str">
        <f>VLOOKUP(A207,'Feature Raw Data'!$A$3:$B$3922,2,FALSE)</f>
        <v>Make SE CAC Counters accessible over Debug Bus</v>
      </c>
      <c r="C207" s="439" t="str">
        <f>VLOOKUP(A207,'Feature Raw Data'!$A$3:$C$3922,3,FALSE)</f>
        <v>P2</v>
      </c>
      <c r="D207" s="440" t="str" cm="1">
        <f t="array" ref="D207">_xlfn.TEXTJOIN("",TRUE,IF(ISNUMBER(SEARCH($A207,'Diags Raw Data'!$A$6:$A$3690)),CONCATENATE('Diags Raw Data'!$H$6:$H$3690,", "),""))</f>
        <v xml:space="preserve">placeholder_j.1, shci2039.0-3, rt33.0, rt33.1-2, </v>
      </c>
      <c r="E207" s="340" t="e">
        <f>VLOOKUP(A207,'Diags Raw Data'!$A$6:$D$3690,4,FALSE)</f>
        <v>#N/A</v>
      </c>
      <c r="F207" s="340" t="str">
        <f>VLOOKUP(A207,'Feature Raw Data'!$A$3:$E$3922,5,FALSE)</f>
        <v>New</v>
      </c>
      <c r="G207" s="340" t="str">
        <f>IF(D207="N/A, , , , , , , , , ","No","Yes")</f>
        <v>Yes</v>
      </c>
      <c r="H207" s="340" t="str">
        <f>IF(D207="N/A, , , , , , , , , ","No","Yes")</f>
        <v>Yes</v>
      </c>
      <c r="I207" s="439">
        <f>SUMIF('Diags Raw Data'!$A$6:$A$3690,"*"&amp;$A207&amp;"*",'Diags Raw Data'!$K$6:$K$3690)</f>
        <v>0</v>
      </c>
      <c r="J207" s="441">
        <f>SUMIF('Diags Raw Data'!$A$6:$A$3690,"*"&amp;$A207&amp;"*",'Diags Raw Data'!$L$6:$L$3690)</f>
        <v>0</v>
      </c>
      <c r="K207" s="487" t="e" cm="1">
        <f t="array" ref="K207">IF(D207="",0, SUMPRODUCT(--(ISNUMBER(SEARCH($A207,'Diags Raw Data'!$A$6:$A$3690))),'Diags Raw Data'!$L$6:$L$3690,'Diags Raw Data'!$N$6:$N$3690)/J207)</f>
        <v>#DIV/0!</v>
      </c>
      <c r="L207" s="488" t="e" cm="1">
        <f t="array" ref="L207">IF(D207="",0, SUMPRODUCT(--(ISNUMBER(SEARCH($A207,'Diags Raw Data'!$A$6:$A$3690))),'Diags Raw Data'!$L$6:$L$3690,'Diags Raw Data'!$P$6:$P$3690)/J207)</f>
        <v>#DIV/0!</v>
      </c>
      <c r="M207" s="489" cm="1">
        <f t="array" ref="M207">SUMPRODUCT(--(ISNUMBER(SEARCH($A207,'Diags Raw Data'!$A$6:$A$3690))),--('Diags Raw Data'!$Q$6:$Q$3690&lt;&gt;"N/A"),'Diags Raw Data'!$R$6:$R$3690)</f>
        <v>11</v>
      </c>
      <c r="N207" s="490" cm="1">
        <f t="array" ref="N207">SUMPRODUCT(--(ISNUMBER(SEARCH($A207,'Diags Raw Data'!$A$6:$A$3690))),--('Diags Raw Data'!$Q$6:$Q$3690&lt;&gt;"N/A"),'Diags Raw Data'!$T$6:$T$3690)+SUMPRODUCT(--(ISNUMBER(SEARCH($A207,'Diags Raw Data'!$A$6:$A$3690))),--('Diags Raw Data'!$Q$6:$Q$3690&lt;&gt;"N/A"),'Diags Raw Data'!$U$6:$U$3690)</f>
        <v>11</v>
      </c>
      <c r="O207" s="491">
        <f t="shared" si="37"/>
        <v>1</v>
      </c>
      <c r="P207" s="492">
        <f>SUMIF('Diags Raw Data'!$A$6:$A$3690,"*"&amp;$A207&amp;"*",'Diags Raw Data'!$Z$6:$Z$3690)</f>
        <v>0</v>
      </c>
      <c r="Q207" s="493">
        <f>SUM(SUMIF('Diags Raw Data'!$A$6:$A$3690,"*"&amp;$A207&amp;"*",'Diags Raw Data'!$AA$6:$AA$3690),SUMIF('Diags Raw Data'!$A$6:$A$3690,"*"&amp;$A207&amp;"*",'Diags Raw Data'!$AB$6:$AB$3690))</f>
        <v>0</v>
      </c>
      <c r="R207" s="494">
        <f t="shared" si="38"/>
        <v>0</v>
      </c>
      <c r="S207" s="494">
        <f t="shared" si="39"/>
        <v>0</v>
      </c>
      <c r="T207" s="495">
        <f t="shared" si="40"/>
        <v>0</v>
      </c>
      <c r="U207" s="436" t="e">
        <f>VLOOKUP(A207,'Diags Raw Data'!$A$6:$AH$3690,33,FALSE)</f>
        <v>#N/A</v>
      </c>
      <c r="V207" s="554" t="s">
        <v>341</v>
      </c>
    </row>
    <row r="208" spans="1:22" ht="30.75" thickBot="1" x14ac:dyDescent="0.3">
      <c r="A208" s="549">
        <v>12.441000000000001</v>
      </c>
      <c r="B208" s="438" t="str">
        <f>VLOOKUP(A208,'Feature Raw Data'!$A$3:$B$3922,2,FALSE)</f>
        <v>reduce VGPRs for LS and ES stages</v>
      </c>
      <c r="C208" s="439" t="str">
        <f>VLOOKUP(A208,'Feature Raw Data'!$A$3:$C$3922,3,FALSE)</f>
        <v>P2</v>
      </c>
      <c r="D208" s="440" t="str" cm="1">
        <f t="array" ref="D208">_xlfn.TEXTJOIN("",TRUE,IF(ISNUMBER(SEARCH($A208,'Diags Raw Data'!$A$6:$A$3690)),CONCATENATE('Diags Raw Data'!$H$6:$H$3690,", "),""))</f>
        <v/>
      </c>
      <c r="E208" s="340" t="e">
        <f>VLOOKUP(A208,'Diags Raw Data'!$A$6:$D$3690,4,FALSE)</f>
        <v>#N/A</v>
      </c>
      <c r="F208" s="340" t="str">
        <f>VLOOKUP(A208,'Feature Raw Data'!$A$3:$E$3922,5,FALSE)</f>
        <v>New</v>
      </c>
      <c r="G208" s="340" t="str">
        <f t="shared" si="23"/>
        <v>Yes</v>
      </c>
      <c r="H208" s="340" t="str">
        <f t="shared" si="28"/>
        <v>Yes</v>
      </c>
      <c r="I208" s="439">
        <f>SUMIF('Diags Raw Data'!$A$6:$A$3690,"*"&amp;$A208&amp;"*",'Diags Raw Data'!$K$6:$K$3690)</f>
        <v>0</v>
      </c>
      <c r="J208" s="441">
        <f>SUMIF('Diags Raw Data'!$A$6:$A$3690,"*"&amp;$A208&amp;"*",'Diags Raw Data'!$L$6:$L$3690)</f>
        <v>0</v>
      </c>
      <c r="K208" s="487" cm="1">
        <f t="array" ref="K208">IF(D208="",0, SUMPRODUCT(--(ISNUMBER(SEARCH($A208,'Diags Raw Data'!$A$6:$A$3690))),'Diags Raw Data'!$L$6:$L$3690,'Diags Raw Data'!$N$6:$N$3690)/J208)</f>
        <v>0</v>
      </c>
      <c r="L208" s="488" cm="1">
        <f t="array" ref="L208">IF(D208="",0, SUMPRODUCT(--(ISNUMBER(SEARCH($A208,'Diags Raw Data'!$A$6:$A$3690))),'Diags Raw Data'!$L$6:$L$3690,'Diags Raw Data'!$P$6:$P$3690)/J208)</f>
        <v>0</v>
      </c>
      <c r="M208" s="489" cm="1">
        <f t="array" ref="M208">SUMPRODUCT(--(ISNUMBER(SEARCH($A208,'Diags Raw Data'!$A$6:$A$3690))),--('Diags Raw Data'!$Q$6:$Q$3690&lt;&gt;"N/A"),'Diags Raw Data'!$R$6:$R$3690)</f>
        <v>0</v>
      </c>
      <c r="N208" s="490" cm="1">
        <f t="array" ref="N208">SUMPRODUCT(--(ISNUMBER(SEARCH($A208,'Diags Raw Data'!$A$6:$A$3690))),--('Diags Raw Data'!$Q$6:$Q$3690&lt;&gt;"N/A"),'Diags Raw Data'!$T$6:$T$3690)+SUMPRODUCT(--(ISNUMBER(SEARCH($A208,'Diags Raw Data'!$A$6:$A$3690))),--('Diags Raw Data'!$Q$6:$Q$3690&lt;&gt;"N/A"),'Diags Raw Data'!$U$6:$U$3690)</f>
        <v>0</v>
      </c>
      <c r="O208" s="491">
        <f t="shared" si="37"/>
        <v>0</v>
      </c>
      <c r="P208" s="492">
        <f>SUMIF('Diags Raw Data'!$A$6:$A$3690,"*"&amp;$A208&amp;"*",'Diags Raw Data'!$Z$6:$Z$3690)</f>
        <v>0</v>
      </c>
      <c r="Q208" s="493">
        <f>SUM(SUMIF('Diags Raw Data'!$A$6:$A$3690,"*"&amp;$A208&amp;"*",'Diags Raw Data'!$AA$6:$AA$3690),SUMIF('Diags Raw Data'!$A$6:$A$3690,"*"&amp;$A208&amp;"*",'Diags Raw Data'!$AB$6:$AB$3690))</f>
        <v>0</v>
      </c>
      <c r="R208" s="494">
        <f t="shared" si="38"/>
        <v>0</v>
      </c>
      <c r="S208" s="494">
        <f t="shared" si="39"/>
        <v>0</v>
      </c>
      <c r="T208" s="495">
        <f t="shared" si="40"/>
        <v>0</v>
      </c>
      <c r="U208" s="436" t="e">
        <f>VLOOKUP(A208,'Diags Raw Data'!$A$6:$AH$3690,33,FALSE)</f>
        <v>#N/A</v>
      </c>
      <c r="V208" s="181"/>
    </row>
    <row r="209" spans="1:22" ht="30.75" thickBot="1" x14ac:dyDescent="0.3">
      <c r="A209" s="549">
        <v>12.442</v>
      </c>
      <c r="B209" s="438" t="str">
        <f>VLOOKUP(A209,'Feature Raw Data'!$A$3:$B$3922,2,FALSE)</f>
        <v>EA and GL2CC move from GRBM to GRBMH</v>
      </c>
      <c r="C209" s="439" t="str">
        <f>VLOOKUP(A209,'Feature Raw Data'!$A$3:$C$3922,3,FALSE)</f>
        <v>P2</v>
      </c>
      <c r="D209" s="440" t="str" cm="1">
        <f t="array" ref="D209">_xlfn.TEXTJOIN("",TRUE,IF(ISNUMBER(SEARCH($A209,'Diags Raw Data'!$A$6:$A$3690)),CONCATENATE('Diags Raw Data'!$H$6:$H$3690,", "),""))</f>
        <v/>
      </c>
      <c r="E209" s="340" t="e">
        <f>VLOOKUP(A209,'Diags Raw Data'!$A$6:$D$3690,4,FALSE)</f>
        <v>#N/A</v>
      </c>
      <c r="F209" s="340" t="str">
        <f>VLOOKUP(A209,'Feature Raw Data'!$A$3:$E$3922,5,FALSE)</f>
        <v>New</v>
      </c>
      <c r="G209" s="340" t="str">
        <f t="shared" si="23"/>
        <v>Yes</v>
      </c>
      <c r="H209" s="340" t="str">
        <f t="shared" si="28"/>
        <v>Yes</v>
      </c>
      <c r="I209" s="439">
        <f>SUMIF('Diags Raw Data'!$A$6:$A$3690,"*"&amp;$A209&amp;"*",'Diags Raw Data'!$K$6:$K$3690)</f>
        <v>0</v>
      </c>
      <c r="J209" s="441">
        <f>SUMIF('Diags Raw Data'!$A$6:$A$3690,"*"&amp;$A209&amp;"*",'Diags Raw Data'!$L$6:$L$3690)</f>
        <v>0</v>
      </c>
      <c r="K209" s="487" cm="1">
        <f t="array" ref="K209">IF(D209="",0, SUMPRODUCT(--(ISNUMBER(SEARCH($A209,'Diags Raw Data'!$A$6:$A$3690))),'Diags Raw Data'!$L$6:$L$3690,'Diags Raw Data'!$N$6:$N$3690)/J209)</f>
        <v>0</v>
      </c>
      <c r="L209" s="488" cm="1">
        <f t="array" ref="L209">IF(D209="",0, SUMPRODUCT(--(ISNUMBER(SEARCH($A209,'Diags Raw Data'!$A$6:$A$3690))),'Diags Raw Data'!$L$6:$L$3690,'Diags Raw Data'!$P$6:$P$3690)/J209)</f>
        <v>0</v>
      </c>
      <c r="M209" s="489" cm="1">
        <f t="array" ref="M209">SUMPRODUCT(--(ISNUMBER(SEARCH($A209,'Diags Raw Data'!$A$6:$A$3690))),--('Diags Raw Data'!$Q$6:$Q$3690&lt;&gt;"N/A"),'Diags Raw Data'!$R$6:$R$3690)</f>
        <v>0</v>
      </c>
      <c r="N209" s="490" cm="1">
        <f t="array" ref="N209">SUMPRODUCT(--(ISNUMBER(SEARCH($A209,'Diags Raw Data'!$A$6:$A$3690))),--('Diags Raw Data'!$Q$6:$Q$3690&lt;&gt;"N/A"),'Diags Raw Data'!$T$6:$T$3690)+SUMPRODUCT(--(ISNUMBER(SEARCH($A209,'Diags Raw Data'!$A$6:$A$3690))),--('Diags Raw Data'!$Q$6:$Q$3690&lt;&gt;"N/A"),'Diags Raw Data'!$U$6:$U$3690)</f>
        <v>0</v>
      </c>
      <c r="O209" s="491">
        <f t="shared" si="37"/>
        <v>0</v>
      </c>
      <c r="P209" s="492">
        <f>SUMIF('Diags Raw Data'!$A$6:$A$3690,"*"&amp;$A209&amp;"*",'Diags Raw Data'!$Z$6:$Z$3690)</f>
        <v>0</v>
      </c>
      <c r="Q209" s="493">
        <f>SUM(SUMIF('Diags Raw Data'!$A$6:$A$3690,"*"&amp;$A209&amp;"*",'Diags Raw Data'!$AA$6:$AA$3690),SUMIF('Diags Raw Data'!$A$6:$A$3690,"*"&amp;$A209&amp;"*",'Diags Raw Data'!$AB$6:$AB$3690))</f>
        <v>0</v>
      </c>
      <c r="R209" s="494">
        <f t="shared" si="38"/>
        <v>0</v>
      </c>
      <c r="S209" s="494">
        <f t="shared" si="39"/>
        <v>0</v>
      </c>
      <c r="T209" s="495">
        <f t="shared" si="40"/>
        <v>0</v>
      </c>
      <c r="U209" s="436" t="e">
        <f>VLOOKUP(A209,'Diags Raw Data'!$A$6:$AH$3690,33,FALSE)</f>
        <v>#N/A</v>
      </c>
      <c r="V209" s="181"/>
    </row>
    <row r="210" spans="1:22" ht="30.75" thickBot="1" x14ac:dyDescent="0.3">
      <c r="A210" s="549">
        <v>12.444000000000001</v>
      </c>
      <c r="B210" s="438" t="str">
        <f>VLOOKUP(A210,'Feature Raw Data'!$A$3:$B$3922,2,FALSE)</f>
        <v>Expand V# const_stride from 14 to 17 bit width</v>
      </c>
      <c r="C210" s="439" t="str">
        <f>VLOOKUP(A210,'Feature Raw Data'!$A$3:$C$3922,3,FALSE)</f>
        <v>P2</v>
      </c>
      <c r="D210" s="440" t="str" cm="1">
        <f t="array" ref="D210">_xlfn.TEXTJOIN("",TRUE,IF(ISNUMBER(SEARCH($A210,'Diags Raw Data'!$A$6:$A$3690)),CONCATENATE('Diags Raw Data'!$H$6:$H$3690,", "),""))</f>
        <v xml:space="preserve">placeholder_j.1, </v>
      </c>
      <c r="E210" s="340" t="str">
        <f>VLOOKUP(A210,'Diags Raw Data'!$A$6:$D$3690,4,FALSE)</f>
        <v>TEX</v>
      </c>
      <c r="F210" s="340" t="str">
        <f>VLOOKUP(A210,'Feature Raw Data'!$A$3:$E$3922,5,FALSE)</f>
        <v>New</v>
      </c>
      <c r="G210" s="340" t="str">
        <f t="shared" si="23"/>
        <v>Yes</v>
      </c>
      <c r="H210" s="340" t="str">
        <f t="shared" si="28"/>
        <v>Yes</v>
      </c>
      <c r="I210" s="439">
        <f>SUMIF('Diags Raw Data'!$A$6:$A$3690,"*"&amp;$A210&amp;"*",'Diags Raw Data'!$K$6:$K$3690)</f>
        <v>0</v>
      </c>
      <c r="J210" s="441">
        <f>SUMIF('Diags Raw Data'!$A$6:$A$3690,"*"&amp;$A210&amp;"*",'Diags Raw Data'!$L$6:$L$3690)</f>
        <v>0</v>
      </c>
      <c r="K210" s="487" t="e" cm="1">
        <f t="array" ref="K210">IF(D210="",0, SUMPRODUCT(--(ISNUMBER(SEARCH($A210,'Diags Raw Data'!$A$6:$A$3690))),'Diags Raw Data'!$L$6:$L$3690,'Diags Raw Data'!$N$6:$N$3690)/J210)</f>
        <v>#DIV/0!</v>
      </c>
      <c r="L210" s="488" t="e" cm="1">
        <f t="array" ref="L210">IF(D210="",0, SUMPRODUCT(--(ISNUMBER(SEARCH($A210,'Diags Raw Data'!$A$6:$A$3690))),'Diags Raw Data'!$L$6:$L$3690,'Diags Raw Data'!$P$6:$P$3690)/J210)</f>
        <v>#DIV/0!</v>
      </c>
      <c r="M210" s="489" cm="1">
        <f t="array" ref="M210">SUMPRODUCT(--(ISNUMBER(SEARCH($A210,'Diags Raw Data'!$A$6:$A$3690))),--('Diags Raw Data'!$Q$6:$Q$3690&lt;&gt;"N/A"),'Diags Raw Data'!$R$6:$R$3690)</f>
        <v>4</v>
      </c>
      <c r="N210" s="490" cm="1">
        <f t="array" ref="N210">SUMPRODUCT(--(ISNUMBER(SEARCH($A210,'Diags Raw Data'!$A$6:$A$3690))),--('Diags Raw Data'!$Q$6:$Q$3690&lt;&gt;"N/A"),'Diags Raw Data'!$T$6:$T$3690)+SUMPRODUCT(--(ISNUMBER(SEARCH($A210,'Diags Raw Data'!$A$6:$A$3690))),--('Diags Raw Data'!$Q$6:$Q$3690&lt;&gt;"N/A"),'Diags Raw Data'!$U$6:$U$3690)</f>
        <v>4</v>
      </c>
      <c r="O210" s="491">
        <f t="shared" si="37"/>
        <v>1</v>
      </c>
      <c r="P210" s="492">
        <f>SUMIF('Diags Raw Data'!$A$6:$A$3690,"*"&amp;$A210&amp;"*",'Diags Raw Data'!$Z$6:$Z$3690)</f>
        <v>0</v>
      </c>
      <c r="Q210" s="493">
        <f>SUM(SUMIF('Diags Raw Data'!$A$6:$A$3690,"*"&amp;$A210&amp;"*",'Diags Raw Data'!$AA$6:$AA$3690),SUMIF('Diags Raw Data'!$A$6:$A$3690,"*"&amp;$A210&amp;"*",'Diags Raw Data'!$AB$6:$AB$3690))</f>
        <v>0</v>
      </c>
      <c r="R210" s="494">
        <f t="shared" si="38"/>
        <v>0</v>
      </c>
      <c r="S210" s="494">
        <f t="shared" si="39"/>
        <v>0</v>
      </c>
      <c r="T210" s="495">
        <f t="shared" si="40"/>
        <v>0</v>
      </c>
      <c r="U210" s="436" t="str">
        <f>VLOOKUP(A210,'Diags Raw Data'!$A$6:$AH$3690,33,FALSE)</f>
        <v>WK8</v>
      </c>
      <c r="V210" s="181"/>
    </row>
    <row r="211" spans="1:22" ht="30.75" thickBot="1" x14ac:dyDescent="0.3">
      <c r="A211" s="549">
        <v>12.445</v>
      </c>
      <c r="B211" s="438" t="str">
        <f>VLOOKUP(A211,'Feature Raw Data'!$A$3:$B$3922,2,FALSE)</f>
        <v>Improve Thread Trace ExecPopCount bandwidth</v>
      </c>
      <c r="C211" s="439" t="str">
        <f>VLOOKUP(A211,'Feature Raw Data'!$A$3:$C$3922,3,FALSE)</f>
        <v>P2</v>
      </c>
      <c r="D211" s="440" t="str" cm="1">
        <f t="array" ref="D211">_xlfn.TEXTJOIN("",TRUE,IF(ISNUMBER(SEARCH($A211,'Diags Raw Data'!$A$6:$A$3690)),CONCATENATE('Diags Raw Data'!$H$6:$H$3690,", "),""))</f>
        <v xml:space="preserve">shci2039.0-3, </v>
      </c>
      <c r="E211" s="340" t="str">
        <f>VLOOKUP(A211,'Diags Raw Data'!$A$6:$D$3690,4,FALSE)</f>
        <v>SH</v>
      </c>
      <c r="F211" s="340" t="str">
        <f>VLOOKUP(A211,'Feature Raw Data'!$A$3:$E$3922,5,FALSE)</f>
        <v>New</v>
      </c>
      <c r="G211" s="340" t="str">
        <f t="shared" si="23"/>
        <v>Yes</v>
      </c>
      <c r="H211" s="340" t="str">
        <f t="shared" si="28"/>
        <v>Yes</v>
      </c>
      <c r="I211" s="439">
        <f>SUMIF('Diags Raw Data'!$A$6:$A$3690,"*"&amp;$A211&amp;"*",'Diags Raw Data'!$K$6:$K$3690)</f>
        <v>0</v>
      </c>
      <c r="J211" s="441">
        <f>SUMIF('Diags Raw Data'!$A$6:$A$3690,"*"&amp;$A211&amp;"*",'Diags Raw Data'!$L$6:$L$3690)</f>
        <v>0</v>
      </c>
      <c r="K211" s="487" t="e" cm="1">
        <f t="array" ref="K211">IF(D211="",0, SUMPRODUCT(--(ISNUMBER(SEARCH($A211,'Diags Raw Data'!$A$6:$A$3690))),'Diags Raw Data'!$L$6:$L$3690,'Diags Raw Data'!$N$6:$N$3690)/J211)</f>
        <v>#DIV/0!</v>
      </c>
      <c r="L211" s="488" t="e" cm="1">
        <f t="array" ref="L211">IF(D211="",0, SUMPRODUCT(--(ISNUMBER(SEARCH($A211,'Diags Raw Data'!$A$6:$A$3690))),'Diags Raw Data'!$L$6:$L$3690,'Diags Raw Data'!$P$6:$P$3690)/J211)</f>
        <v>#DIV/0!</v>
      </c>
      <c r="M211" s="489" cm="1">
        <f t="array" ref="M211">SUMPRODUCT(--(ISNUMBER(SEARCH($A211,'Diags Raw Data'!$A$6:$A$3690))),--('Diags Raw Data'!$Q$6:$Q$3690&lt;&gt;"N/A"),'Diags Raw Data'!$R$6:$R$3690)</f>
        <v>4</v>
      </c>
      <c r="N211" s="490" cm="1">
        <f t="array" ref="N211">SUMPRODUCT(--(ISNUMBER(SEARCH($A211,'Diags Raw Data'!$A$6:$A$3690))),--('Diags Raw Data'!$Q$6:$Q$3690&lt;&gt;"N/A"),'Diags Raw Data'!$T$6:$T$3690)+SUMPRODUCT(--(ISNUMBER(SEARCH($A211,'Diags Raw Data'!$A$6:$A$3690))),--('Diags Raw Data'!$Q$6:$Q$3690&lt;&gt;"N/A"),'Diags Raw Data'!$U$6:$U$3690)</f>
        <v>4</v>
      </c>
      <c r="O211" s="491">
        <f t="shared" si="37"/>
        <v>1</v>
      </c>
      <c r="P211" s="492">
        <f>SUMIF('Diags Raw Data'!$A$6:$A$3690,"*"&amp;$A211&amp;"*",'Diags Raw Data'!$Z$6:$Z$3690)</f>
        <v>0</v>
      </c>
      <c r="Q211" s="493">
        <f>SUM(SUMIF('Diags Raw Data'!$A$6:$A$3690,"*"&amp;$A211&amp;"*",'Diags Raw Data'!$AA$6:$AA$3690),SUMIF('Diags Raw Data'!$A$6:$A$3690,"*"&amp;$A211&amp;"*",'Diags Raw Data'!$AB$6:$AB$3690))</f>
        <v>0</v>
      </c>
      <c r="R211" s="494">
        <f t="shared" si="38"/>
        <v>0</v>
      </c>
      <c r="S211" s="494">
        <f t="shared" si="39"/>
        <v>0</v>
      </c>
      <c r="T211" s="495">
        <f t="shared" si="40"/>
        <v>0</v>
      </c>
      <c r="U211" s="436" t="str">
        <f>VLOOKUP(A211,'Diags Raw Data'!$A$6:$AH$3690,33,FALSE)</f>
        <v>WK8</v>
      </c>
      <c r="V211" s="181"/>
    </row>
    <row r="212" spans="1:22" ht="30.75" thickBot="1" x14ac:dyDescent="0.3">
      <c r="A212" s="549">
        <v>12.446</v>
      </c>
      <c r="B212" s="438" t="str">
        <f>VLOOKUP(A212,'Feature Raw Data'!$A$3:$B$3922,2,FALSE)</f>
        <v>Load_reserved/store_conditional support in SE$</v>
      </c>
      <c r="C212" s="439" t="str">
        <f>VLOOKUP(A212,'Feature Raw Data'!$A$3:$C$3922,3,FALSE)</f>
        <v>P2</v>
      </c>
      <c r="D212" s="440" t="str" cm="1">
        <f t="array" ref="D212">_xlfn.TEXTJOIN("",TRUE,IF(ISNUMBER(SEARCH($A212,'Diags Raw Data'!$A$6:$A$3690)),CONCATENATE('Diags Raw Data'!$H$6:$H$3690,", "),""))</f>
        <v/>
      </c>
      <c r="E212" s="340" t="e">
        <f>VLOOKUP(A212,'Diags Raw Data'!$A$6:$D$3690,4,FALSE)</f>
        <v>#N/A</v>
      </c>
      <c r="F212" s="340" t="str">
        <f>VLOOKUP(A212,'Feature Raw Data'!$A$3:$E$3922,5,FALSE)</f>
        <v>New</v>
      </c>
      <c r="G212" s="340" t="str">
        <f t="shared" si="23"/>
        <v>Yes</v>
      </c>
      <c r="H212" s="340" t="str">
        <f t="shared" si="28"/>
        <v>Yes</v>
      </c>
      <c r="I212" s="439">
        <f>SUMIF('Diags Raw Data'!$A$6:$A$3690,"*"&amp;$A212&amp;"*",'Diags Raw Data'!$K$6:$K$3690)</f>
        <v>0</v>
      </c>
      <c r="J212" s="441">
        <f>SUMIF('Diags Raw Data'!$A$6:$A$3690,"*"&amp;$A212&amp;"*",'Diags Raw Data'!$L$6:$L$3690)</f>
        <v>0</v>
      </c>
      <c r="K212" s="487" cm="1">
        <f t="array" ref="K212">IF(D212="",0, SUMPRODUCT(--(ISNUMBER(SEARCH($A212,'Diags Raw Data'!$A$6:$A$3690))),'Diags Raw Data'!$L$6:$L$3690,'Diags Raw Data'!$N$6:$N$3690)/J212)</f>
        <v>0</v>
      </c>
      <c r="L212" s="488" cm="1">
        <f t="array" ref="L212">IF(D212="",0, SUMPRODUCT(--(ISNUMBER(SEARCH($A212,'Diags Raw Data'!$A$6:$A$3690))),'Diags Raw Data'!$L$6:$L$3690,'Diags Raw Data'!$P$6:$P$3690)/J212)</f>
        <v>0</v>
      </c>
      <c r="M212" s="489" cm="1">
        <f t="array" ref="M212">SUMPRODUCT(--(ISNUMBER(SEARCH($A212,'Diags Raw Data'!$A$6:$A$3690))),--('Diags Raw Data'!$Q$6:$Q$3690&lt;&gt;"N/A"),'Diags Raw Data'!$R$6:$R$3690)</f>
        <v>0</v>
      </c>
      <c r="N212" s="490" cm="1">
        <f t="array" ref="N212">SUMPRODUCT(--(ISNUMBER(SEARCH($A212,'Diags Raw Data'!$A$6:$A$3690))),--('Diags Raw Data'!$Q$6:$Q$3690&lt;&gt;"N/A"),'Diags Raw Data'!$T$6:$T$3690)+SUMPRODUCT(--(ISNUMBER(SEARCH($A212,'Diags Raw Data'!$A$6:$A$3690))),--('Diags Raw Data'!$Q$6:$Q$3690&lt;&gt;"N/A"),'Diags Raw Data'!$U$6:$U$3690)</f>
        <v>0</v>
      </c>
      <c r="O212" s="491">
        <f t="shared" si="37"/>
        <v>0</v>
      </c>
      <c r="P212" s="492">
        <f>SUMIF('Diags Raw Data'!$A$6:$A$3690,"*"&amp;$A212&amp;"*",'Diags Raw Data'!$Z$6:$Z$3690)</f>
        <v>0</v>
      </c>
      <c r="Q212" s="493">
        <f>SUM(SUMIF('Diags Raw Data'!$A$6:$A$3690,"*"&amp;$A212&amp;"*",'Diags Raw Data'!$AA$6:$AA$3690),SUMIF('Diags Raw Data'!$A$6:$A$3690,"*"&amp;$A212&amp;"*",'Diags Raw Data'!$AB$6:$AB$3690))</f>
        <v>0</v>
      </c>
      <c r="R212" s="494">
        <f t="shared" si="38"/>
        <v>0</v>
      </c>
      <c r="S212" s="494">
        <f t="shared" si="39"/>
        <v>0</v>
      </c>
      <c r="T212" s="495">
        <f t="shared" si="40"/>
        <v>0</v>
      </c>
      <c r="U212" s="436" t="e">
        <f>VLOOKUP(A212,'Diags Raw Data'!$A$6:$AH$3690,33,FALSE)</f>
        <v>#N/A</v>
      </c>
      <c r="V212" s="181"/>
    </row>
    <row r="213" spans="1:22" ht="30.75" thickBot="1" x14ac:dyDescent="0.3">
      <c r="A213" s="549">
        <v>12.446999999999999</v>
      </c>
      <c r="B213" s="438" t="str">
        <f>VLOOKUP(A213,'Feature Raw Data'!$A$3:$B$3922,2,FALSE)</f>
        <v>Load_reserved/store_conditional support in DF</v>
      </c>
      <c r="C213" s="439" t="str">
        <f>VLOOKUP(A213,'Feature Raw Data'!$A$3:$C$3922,3,FALSE)</f>
        <v>P2</v>
      </c>
      <c r="D213" s="440" t="str" cm="1">
        <f t="array" ref="D213">_xlfn.TEXTJOIN("",TRUE,IF(ISNUMBER(SEARCH($A213,'Diags Raw Data'!$A$6:$A$3690)),CONCATENATE('Diags Raw Data'!$H$6:$H$3690,", "),""))</f>
        <v/>
      </c>
      <c r="E213" s="340" t="e">
        <f>VLOOKUP(A213,'Diags Raw Data'!$A$6:$D$3690,4,FALSE)</f>
        <v>#N/A</v>
      </c>
      <c r="F213" s="340" t="str">
        <f>VLOOKUP(A213,'Feature Raw Data'!$A$3:$E$3922,5,FALSE)</f>
        <v>New</v>
      </c>
      <c r="G213" s="340" t="str">
        <f t="shared" si="23"/>
        <v>Yes</v>
      </c>
      <c r="H213" s="340" t="str">
        <f t="shared" si="28"/>
        <v>Yes</v>
      </c>
      <c r="I213" s="439">
        <f>SUMIF('Diags Raw Data'!$A$6:$A$3690,"*"&amp;$A213&amp;"*",'Diags Raw Data'!$K$6:$K$3690)</f>
        <v>0</v>
      </c>
      <c r="J213" s="441">
        <f>SUMIF('Diags Raw Data'!$A$6:$A$3690,"*"&amp;$A213&amp;"*",'Diags Raw Data'!$L$6:$L$3690)</f>
        <v>0</v>
      </c>
      <c r="K213" s="487" cm="1">
        <f t="array" ref="K213">IF(D213="",0, SUMPRODUCT(--(ISNUMBER(SEARCH($A213,'Diags Raw Data'!$A$6:$A$3690))),'Diags Raw Data'!$L$6:$L$3690,'Diags Raw Data'!$N$6:$N$3690)/J213)</f>
        <v>0</v>
      </c>
      <c r="L213" s="488" cm="1">
        <f t="array" ref="L213">IF(D213="",0, SUMPRODUCT(--(ISNUMBER(SEARCH($A213,'Diags Raw Data'!$A$6:$A$3690))),'Diags Raw Data'!$L$6:$L$3690,'Diags Raw Data'!$P$6:$P$3690)/J213)</f>
        <v>0</v>
      </c>
      <c r="M213" s="489" cm="1">
        <f t="array" ref="M213">SUMPRODUCT(--(ISNUMBER(SEARCH($A213,'Diags Raw Data'!$A$6:$A$3690))),--('Diags Raw Data'!$Q$6:$Q$3690&lt;&gt;"N/A"),'Diags Raw Data'!$R$6:$R$3690)</f>
        <v>0</v>
      </c>
      <c r="N213" s="490" cm="1">
        <f t="array" ref="N213">SUMPRODUCT(--(ISNUMBER(SEARCH($A213,'Diags Raw Data'!$A$6:$A$3690))),--('Diags Raw Data'!$Q$6:$Q$3690&lt;&gt;"N/A"),'Diags Raw Data'!$T$6:$T$3690)+SUMPRODUCT(--(ISNUMBER(SEARCH($A213,'Diags Raw Data'!$A$6:$A$3690))),--('Diags Raw Data'!$Q$6:$Q$3690&lt;&gt;"N/A"),'Diags Raw Data'!$U$6:$U$3690)</f>
        <v>0</v>
      </c>
      <c r="O213" s="491">
        <f t="shared" si="37"/>
        <v>0</v>
      </c>
      <c r="P213" s="492">
        <f>SUMIF('Diags Raw Data'!$A$6:$A$3690,"*"&amp;$A213&amp;"*",'Diags Raw Data'!$Z$6:$Z$3690)</f>
        <v>0</v>
      </c>
      <c r="Q213" s="493">
        <f>SUM(SUMIF('Diags Raw Data'!$A$6:$A$3690,"*"&amp;$A213&amp;"*",'Diags Raw Data'!$AA$6:$AA$3690),SUMIF('Diags Raw Data'!$A$6:$A$3690,"*"&amp;$A213&amp;"*",'Diags Raw Data'!$AB$6:$AB$3690))</f>
        <v>0</v>
      </c>
      <c r="R213" s="494">
        <f t="shared" si="38"/>
        <v>0</v>
      </c>
      <c r="S213" s="494">
        <f t="shared" si="39"/>
        <v>0</v>
      </c>
      <c r="T213" s="495">
        <f t="shared" si="40"/>
        <v>0</v>
      </c>
      <c r="U213" s="436" t="e">
        <f>VLOOKUP(A213,'Diags Raw Data'!$A$6:$AH$3690,33,FALSE)</f>
        <v>#N/A</v>
      </c>
      <c r="V213" s="181"/>
    </row>
    <row r="214" spans="1:22" ht="45.75" thickBot="1" x14ac:dyDescent="0.3">
      <c r="A214" s="549">
        <v>12.448</v>
      </c>
      <c r="B214" s="438" t="str">
        <f>VLOOKUP(A214,'Feature Raw Data'!$A$3:$B$3922,2,FALSE)</f>
        <v>Change flags encoded in barycentrics to simplify detection of procedural nodes</v>
      </c>
      <c r="C214" s="439" t="str">
        <f>VLOOKUP(A214,'Feature Raw Data'!$A$3:$C$3922,3,FALSE)</f>
        <v>P2</v>
      </c>
      <c r="D214" s="440" t="str" cm="1">
        <f t="array" ref="D214">_xlfn.TEXTJOIN("",TRUE,IF(ISNUMBER(SEARCH($A214,'Diags Raw Data'!$A$6:$A$3690)),CONCATENATE('Diags Raw Data'!$H$6:$H$3690,", "),""))</f>
        <v xml:space="preserve">rt33.0, </v>
      </c>
      <c r="E214" s="340" t="str">
        <f>VLOOKUP(A214,'Diags Raw Data'!$A$6:$D$3690,4,FALSE)</f>
        <v>TEX</v>
      </c>
      <c r="F214" s="340" t="str">
        <f>VLOOKUP(A214,'Feature Raw Data'!$A$3:$E$3922,5,FALSE)</f>
        <v>New</v>
      </c>
      <c r="G214" s="340" t="str">
        <f t="shared" si="23"/>
        <v>Yes</v>
      </c>
      <c r="H214" s="340" t="str">
        <f t="shared" si="28"/>
        <v>Yes</v>
      </c>
      <c r="I214" s="439">
        <f>SUMIF('Diags Raw Data'!$A$6:$A$3690,"*"&amp;$A214&amp;"*",'Diags Raw Data'!$K$6:$K$3690)</f>
        <v>0</v>
      </c>
      <c r="J214" s="441">
        <f>SUMIF('Diags Raw Data'!$A$6:$A$3690,"*"&amp;$A214&amp;"*",'Diags Raw Data'!$L$6:$L$3690)</f>
        <v>0</v>
      </c>
      <c r="K214" s="487" t="e" cm="1">
        <f t="array" ref="K214">IF(D214="",0, SUMPRODUCT(--(ISNUMBER(SEARCH($A214,'Diags Raw Data'!$A$6:$A$3690))),'Diags Raw Data'!$L$6:$L$3690,'Diags Raw Data'!$N$6:$N$3690)/J214)</f>
        <v>#DIV/0!</v>
      </c>
      <c r="L214" s="488" t="e" cm="1">
        <f t="array" ref="L214">IF(D214="",0, SUMPRODUCT(--(ISNUMBER(SEARCH($A214,'Diags Raw Data'!$A$6:$A$3690))),'Diags Raw Data'!$L$6:$L$3690,'Diags Raw Data'!$P$6:$P$3690)/J214)</f>
        <v>#DIV/0!</v>
      </c>
      <c r="M214" s="489" cm="1">
        <f t="array" ref="M214">SUMPRODUCT(--(ISNUMBER(SEARCH($A214,'Diags Raw Data'!$A$6:$A$3690))),--('Diags Raw Data'!$Q$6:$Q$3690&lt;&gt;"N/A"),'Diags Raw Data'!$R$6:$R$3690)</f>
        <v>1</v>
      </c>
      <c r="N214" s="490" cm="1">
        <f t="array" ref="N214">SUMPRODUCT(--(ISNUMBER(SEARCH($A214,'Diags Raw Data'!$A$6:$A$3690))),--('Diags Raw Data'!$Q$6:$Q$3690&lt;&gt;"N/A"),'Diags Raw Data'!$T$6:$T$3690)+SUMPRODUCT(--(ISNUMBER(SEARCH($A214,'Diags Raw Data'!$A$6:$A$3690))),--('Diags Raw Data'!$Q$6:$Q$3690&lt;&gt;"N/A"),'Diags Raw Data'!$U$6:$U$3690)</f>
        <v>1</v>
      </c>
      <c r="O214" s="491">
        <f t="shared" si="37"/>
        <v>1</v>
      </c>
      <c r="P214" s="492">
        <f>SUMIF('Diags Raw Data'!$A$6:$A$3690,"*"&amp;$A214&amp;"*",'Diags Raw Data'!$Z$6:$Z$3690)</f>
        <v>0</v>
      </c>
      <c r="Q214" s="493">
        <f>SUM(SUMIF('Diags Raw Data'!$A$6:$A$3690,"*"&amp;$A214&amp;"*",'Diags Raw Data'!$AA$6:$AA$3690),SUMIF('Diags Raw Data'!$A$6:$A$3690,"*"&amp;$A214&amp;"*",'Diags Raw Data'!$AB$6:$AB$3690))</f>
        <v>0</v>
      </c>
      <c r="R214" s="494">
        <f t="shared" si="38"/>
        <v>0</v>
      </c>
      <c r="S214" s="494">
        <f t="shared" si="39"/>
        <v>0</v>
      </c>
      <c r="T214" s="495">
        <f t="shared" si="40"/>
        <v>0</v>
      </c>
      <c r="U214" s="436" t="str">
        <f>VLOOKUP(A214,'Diags Raw Data'!$A$6:$AH$3690,33,FALSE)</f>
        <v>WK8</v>
      </c>
      <c r="V214" s="181"/>
    </row>
    <row r="215" spans="1:22" ht="30.75" thickBot="1" x14ac:dyDescent="0.3">
      <c r="A215" s="549">
        <v>12.449</v>
      </c>
      <c r="B215" s="438" t="str">
        <f>VLOOKUP(A215,'Feature Raw Data'!$A$3:$B$3922,2,FALSE)</f>
        <v>Remove culling with skip_triangles in TA</v>
      </c>
      <c r="C215" s="439" t="str">
        <f>VLOOKUP(A215,'Feature Raw Data'!$A$3:$C$3922,3,FALSE)</f>
        <v>P1</v>
      </c>
      <c r="D215" s="440" t="str" cm="1">
        <f t="array" ref="D215">_xlfn.TEXTJOIN("",TRUE,IF(ISNUMBER(SEARCH($A215,'Diags Raw Data'!$A$6:$A$3690)),CONCATENATE('Diags Raw Data'!$H$6:$H$3690,", "),""))</f>
        <v xml:space="preserve">rt33.1-2, </v>
      </c>
      <c r="E215" s="340" t="str">
        <f>VLOOKUP(A215,'Diags Raw Data'!$A$6:$D$3690,4,FALSE)</f>
        <v>TEX</v>
      </c>
      <c r="F215" s="340" t="str">
        <f>VLOOKUP(A215,'Feature Raw Data'!$A$3:$E$3922,5,FALSE)</f>
        <v>New</v>
      </c>
      <c r="G215" s="340" t="str">
        <f t="shared" si="23"/>
        <v>Yes</v>
      </c>
      <c r="H215" s="340" t="str">
        <f t="shared" si="28"/>
        <v>Yes</v>
      </c>
      <c r="I215" s="439">
        <f>SUMIF('Diags Raw Data'!$A$6:$A$3690,"*"&amp;$A215&amp;"*",'Diags Raw Data'!$K$6:$K$3690)</f>
        <v>0</v>
      </c>
      <c r="J215" s="441">
        <f>SUMIF('Diags Raw Data'!$A$6:$A$3690,"*"&amp;$A215&amp;"*",'Diags Raw Data'!$L$6:$L$3690)</f>
        <v>0</v>
      </c>
      <c r="K215" s="487" t="e" cm="1">
        <f t="array" ref="K215">IF(D215="",0, SUMPRODUCT(--(ISNUMBER(SEARCH($A215,'Diags Raw Data'!$A$6:$A$3690))),'Diags Raw Data'!$L$6:$L$3690,'Diags Raw Data'!$N$6:$N$3690)/J215)</f>
        <v>#DIV/0!</v>
      </c>
      <c r="L215" s="488" t="e" cm="1">
        <f t="array" ref="L215">IF(D215="",0, SUMPRODUCT(--(ISNUMBER(SEARCH($A215,'Diags Raw Data'!$A$6:$A$3690))),'Diags Raw Data'!$L$6:$L$3690,'Diags Raw Data'!$P$6:$P$3690)/J215)</f>
        <v>#DIV/0!</v>
      </c>
      <c r="M215" s="489" cm="1">
        <f t="array" ref="M215">SUMPRODUCT(--(ISNUMBER(SEARCH($A215,'Diags Raw Data'!$A$6:$A$3690))),--('Diags Raw Data'!$Q$6:$Q$3690&lt;&gt;"N/A"),'Diags Raw Data'!$R$6:$R$3690)</f>
        <v>2</v>
      </c>
      <c r="N215" s="490" cm="1">
        <f t="array" ref="N215">SUMPRODUCT(--(ISNUMBER(SEARCH($A215,'Diags Raw Data'!$A$6:$A$3690))),--('Diags Raw Data'!$Q$6:$Q$3690&lt;&gt;"N/A"),'Diags Raw Data'!$T$6:$T$3690)+SUMPRODUCT(--(ISNUMBER(SEARCH($A215,'Diags Raw Data'!$A$6:$A$3690))),--('Diags Raw Data'!$Q$6:$Q$3690&lt;&gt;"N/A"),'Diags Raw Data'!$U$6:$U$3690)</f>
        <v>2</v>
      </c>
      <c r="O215" s="491">
        <f t="shared" si="37"/>
        <v>1</v>
      </c>
      <c r="P215" s="492">
        <f>SUMIF('Diags Raw Data'!$A$6:$A$3690,"*"&amp;$A215&amp;"*",'Diags Raw Data'!$Z$6:$Z$3690)</f>
        <v>0</v>
      </c>
      <c r="Q215" s="493">
        <f>SUM(SUMIF('Diags Raw Data'!$A$6:$A$3690,"*"&amp;$A215&amp;"*",'Diags Raw Data'!$AA$6:$AA$3690),SUMIF('Diags Raw Data'!$A$6:$A$3690,"*"&amp;$A215&amp;"*",'Diags Raw Data'!$AB$6:$AB$3690))</f>
        <v>0</v>
      </c>
      <c r="R215" s="494">
        <f t="shared" si="38"/>
        <v>0</v>
      </c>
      <c r="S215" s="494">
        <f t="shared" si="39"/>
        <v>0</v>
      </c>
      <c r="T215" s="495">
        <f t="shared" si="40"/>
        <v>0</v>
      </c>
      <c r="U215" s="436" t="str">
        <f>VLOOKUP(A215,'Diags Raw Data'!$A$6:$AH$3690,33,FALSE)</f>
        <v>WK6</v>
      </c>
      <c r="V215" s="181"/>
    </row>
    <row r="216" spans="1:22" ht="45.75" thickBot="1" x14ac:dyDescent="0.3">
      <c r="A216" s="549">
        <v>12.45</v>
      </c>
      <c r="B216" s="438" t="str">
        <f>VLOOKUP(A216,'Feature Raw Data'!$A$3:$B$3922,2,FALSE)</f>
        <v>Add AtomicAdd packed math for F16</v>
      </c>
      <c r="C216" s="439" t="str">
        <f>VLOOKUP(A216,'Feature Raw Data'!$A$3:$C$3922,3,FALSE)</f>
        <v>P2</v>
      </c>
      <c r="D216" s="440" t="str" cm="1">
        <f t="array" ref="D216">_xlfn.TEXTJOIN("",TRUE,IF(ISNUMBER(SEARCH($A216,'Diags Raw Data'!$A$6:$A$3690)),CONCATENATE('Diags Raw Data'!$H$6:$H$3690,", "),""))</f>
        <v xml:space="preserve">gci1307.4-7, placeholder_k.1-2, spi453, glxi61.1-2, gfx.linpack_gfx_compute, </v>
      </c>
      <c r="E216" s="340" t="str">
        <f>VLOOKUP(A216,'Diags Raw Data'!$A$6:$D$3690,4,FALSE)</f>
        <v>SH</v>
      </c>
      <c r="F216" s="340" t="str">
        <f>VLOOKUP(A216,'Feature Raw Data'!$A$3:$E$3922,5,FALSE)</f>
        <v>New</v>
      </c>
      <c r="G216" s="340" t="str">
        <f t="shared" si="23"/>
        <v>Yes</v>
      </c>
      <c r="H216" s="340" t="str">
        <f t="shared" si="28"/>
        <v>Yes</v>
      </c>
      <c r="I216" s="439">
        <f>SUMIF('Diags Raw Data'!$A$6:$A$3690,"*"&amp;$A216&amp;"*",'Diags Raw Data'!$K$6:$K$3690)</f>
        <v>0</v>
      </c>
      <c r="J216" s="441">
        <f>SUMIF('Diags Raw Data'!$A$6:$A$3690,"*"&amp;$A216&amp;"*",'Diags Raw Data'!$L$6:$L$3690)</f>
        <v>0</v>
      </c>
      <c r="K216" s="487" t="e" cm="1">
        <f t="array" ref="K216">IF(D216="",0, SUMPRODUCT(--(ISNUMBER(SEARCH($A216,'Diags Raw Data'!$A$6:$A$3690))),'Diags Raw Data'!$L$6:$L$3690,'Diags Raw Data'!$N$6:$N$3690)/J216)</f>
        <v>#DIV/0!</v>
      </c>
      <c r="L216" s="488" t="e" cm="1">
        <f t="array" ref="L216">IF(D216="",0, SUMPRODUCT(--(ISNUMBER(SEARCH($A216,'Diags Raw Data'!$A$6:$A$3690))),'Diags Raw Data'!$L$6:$L$3690,'Diags Raw Data'!$P$6:$P$3690)/J216)</f>
        <v>#DIV/0!</v>
      </c>
      <c r="M216" s="489" cm="1">
        <f t="array" ref="M216">SUMPRODUCT(--(ISNUMBER(SEARCH($A216,'Diags Raw Data'!$A$6:$A$3690))),--('Diags Raw Data'!$Q$6:$Q$3690&lt;&gt;"N/A"),'Diags Raw Data'!$R$6:$R$3690)</f>
        <v>10</v>
      </c>
      <c r="N216" s="490" cm="1">
        <f t="array" ref="N216">SUMPRODUCT(--(ISNUMBER(SEARCH($A216,'Diags Raw Data'!$A$6:$A$3690))),--('Diags Raw Data'!$Q$6:$Q$3690&lt;&gt;"N/A"),'Diags Raw Data'!$T$6:$T$3690)+SUMPRODUCT(--(ISNUMBER(SEARCH($A216,'Diags Raw Data'!$A$6:$A$3690))),--('Diags Raw Data'!$Q$6:$Q$3690&lt;&gt;"N/A"),'Diags Raw Data'!$U$6:$U$3690)</f>
        <v>9</v>
      </c>
      <c r="O216" s="491">
        <f t="shared" si="37"/>
        <v>0.9</v>
      </c>
      <c r="P216" s="492">
        <f>SUMIF('Diags Raw Data'!$A$6:$A$3690,"*"&amp;$A216&amp;"*",'Diags Raw Data'!$Z$6:$Z$3690)</f>
        <v>0</v>
      </c>
      <c r="Q216" s="493">
        <f>SUM(SUMIF('Diags Raw Data'!$A$6:$A$3690,"*"&amp;$A216&amp;"*",'Diags Raw Data'!$AA$6:$AA$3690),SUMIF('Diags Raw Data'!$A$6:$A$3690,"*"&amp;$A216&amp;"*",'Diags Raw Data'!$AB$6:$AB$3690))</f>
        <v>0</v>
      </c>
      <c r="R216" s="494">
        <f t="shared" si="38"/>
        <v>0</v>
      </c>
      <c r="S216" s="494">
        <f t="shared" si="39"/>
        <v>0</v>
      </c>
      <c r="T216" s="495">
        <f t="shared" si="40"/>
        <v>0</v>
      </c>
      <c r="U216" s="436" t="str">
        <f>VLOOKUP(A216,'Diags Raw Data'!$A$6:$AH$3690,33,FALSE)</f>
        <v>WK7</v>
      </c>
      <c r="V216" s="181"/>
    </row>
    <row r="217" spans="1:22" ht="30.75" thickBot="1" x14ac:dyDescent="0.3">
      <c r="A217" s="549">
        <v>12.451000000000001</v>
      </c>
      <c r="B217" s="438" t="str">
        <f>VLOOKUP(A217,'Feature Raw Data'!$A$3:$B$3922,2,FALSE)</f>
        <v>Extend compression control support in Texture</v>
      </c>
      <c r="C217" s="439" t="str">
        <f>VLOOKUP(A217,'Feature Raw Data'!$A$3:$C$3922,3,FALSE)</f>
        <v>P1</v>
      </c>
      <c r="D217" s="440" t="str" cm="1">
        <f t="array" ref="D217">_xlfn.TEXTJOIN("",TRUE,IF(ISNUMBER(SEARCH($A217,'Diags Raw Data'!$A$6:$A$3690)),CONCATENATE('Diags Raw Data'!$H$6:$H$3690,", "),""))</f>
        <v xml:space="preserve">placeholder_k.1-2, </v>
      </c>
      <c r="E217" s="340" t="str">
        <f>VLOOKUP(A217,'Diags Raw Data'!$A$6:$D$3690,4,FALSE)</f>
        <v>TEX</v>
      </c>
      <c r="F217" s="340" t="str">
        <f>VLOOKUP(A217,'Feature Raw Data'!$A$3:$E$3922,5,FALSE)</f>
        <v>New</v>
      </c>
      <c r="G217" s="340" t="str">
        <f t="shared" si="23"/>
        <v>Yes</v>
      </c>
      <c r="H217" s="340" t="str">
        <f t="shared" si="28"/>
        <v>Yes</v>
      </c>
      <c r="I217" s="439">
        <f>SUMIF('Diags Raw Data'!$A$6:$A$3690,"*"&amp;$A217&amp;"*",'Diags Raw Data'!$K$6:$K$3690)</f>
        <v>0</v>
      </c>
      <c r="J217" s="441">
        <f>SUMIF('Diags Raw Data'!$A$6:$A$3690,"*"&amp;$A217&amp;"*",'Diags Raw Data'!$L$6:$L$3690)</f>
        <v>0</v>
      </c>
      <c r="K217" s="487" t="e" cm="1">
        <f t="array" ref="K217">IF(D217="",0, SUMPRODUCT(--(ISNUMBER(SEARCH($A217,'Diags Raw Data'!$A$6:$A$3690))),'Diags Raw Data'!$L$6:$L$3690,'Diags Raw Data'!$N$6:$N$3690)/J217)</f>
        <v>#DIV/0!</v>
      </c>
      <c r="L217" s="488" t="e" cm="1">
        <f t="array" ref="L217">IF(D217="",0, SUMPRODUCT(--(ISNUMBER(SEARCH($A217,'Diags Raw Data'!$A$6:$A$3690))),'Diags Raw Data'!$L$6:$L$3690,'Diags Raw Data'!$P$6:$P$3690)/J217)</f>
        <v>#DIV/0!</v>
      </c>
      <c r="M217" s="489" cm="1">
        <f t="array" ref="M217">SUMPRODUCT(--(ISNUMBER(SEARCH($A217,'Diags Raw Data'!$A$6:$A$3690))),--('Diags Raw Data'!$Q$6:$Q$3690&lt;&gt;"N/A"),'Diags Raw Data'!$R$6:$R$3690)</f>
        <v>2</v>
      </c>
      <c r="N217" s="490" cm="1">
        <f t="array" ref="N217">SUMPRODUCT(--(ISNUMBER(SEARCH($A217,'Diags Raw Data'!$A$6:$A$3690))),--('Diags Raw Data'!$Q$6:$Q$3690&lt;&gt;"N/A"),'Diags Raw Data'!$T$6:$T$3690)+SUMPRODUCT(--(ISNUMBER(SEARCH($A217,'Diags Raw Data'!$A$6:$A$3690))),--('Diags Raw Data'!$Q$6:$Q$3690&lt;&gt;"N/A"),'Diags Raw Data'!$U$6:$U$3690)</f>
        <v>2</v>
      </c>
      <c r="O217" s="491">
        <f t="shared" si="37"/>
        <v>1</v>
      </c>
      <c r="P217" s="492">
        <f>SUMIF('Diags Raw Data'!$A$6:$A$3690,"*"&amp;$A217&amp;"*",'Diags Raw Data'!$Z$6:$Z$3690)</f>
        <v>0</v>
      </c>
      <c r="Q217" s="493">
        <f>SUM(SUMIF('Diags Raw Data'!$A$6:$A$3690,"*"&amp;$A217&amp;"*",'Diags Raw Data'!$AA$6:$AA$3690),SUMIF('Diags Raw Data'!$A$6:$A$3690,"*"&amp;$A217&amp;"*",'Diags Raw Data'!$AB$6:$AB$3690))</f>
        <v>0</v>
      </c>
      <c r="R217" s="494">
        <f t="shared" si="38"/>
        <v>0</v>
      </c>
      <c r="S217" s="494">
        <f t="shared" si="39"/>
        <v>0</v>
      </c>
      <c r="T217" s="495">
        <f t="shared" si="40"/>
        <v>0</v>
      </c>
      <c r="U217" s="436" t="str">
        <f>VLOOKUP(A217,'Diags Raw Data'!$A$6:$AH$3690,33,FALSE)</f>
        <v>WK6</v>
      </c>
      <c r="V217" s="181"/>
    </row>
    <row r="218" spans="1:22" ht="15.75" thickBot="1" x14ac:dyDescent="0.3">
      <c r="A218" s="549">
        <v>12.452</v>
      </c>
      <c r="B218" s="438" t="str">
        <f>VLOOKUP(A218,'Feature Raw Data'!$A$3:$B$3922,2,FALSE)</f>
        <v>Breaking SE reuse in Navi48</v>
      </c>
      <c r="C218" s="439" t="str">
        <f>VLOOKUP(A218,'Feature Raw Data'!$A$3:$C$3922,3,FALSE)</f>
        <v>P2</v>
      </c>
      <c r="D218" s="440" t="str" cm="1">
        <f t="array" ref="D218">_xlfn.TEXTJOIN("",TRUE,IF(ISNUMBER(SEARCH($A218,'Diags Raw Data'!$A$6:$A$3690)),CONCATENATE('Diags Raw Data'!$H$6:$H$3690,", "),""))</f>
        <v/>
      </c>
      <c r="E218" s="340" t="e">
        <f>VLOOKUP(A218,'Diags Raw Data'!$A$6:$D$3690,4,FALSE)</f>
        <v>#N/A</v>
      </c>
      <c r="F218" s="340" t="str">
        <f>VLOOKUP(A218,'Feature Raw Data'!$A$3:$E$3922,5,FALSE)</f>
        <v>New</v>
      </c>
      <c r="G218" s="340" t="str">
        <f t="shared" si="23"/>
        <v>Yes</v>
      </c>
      <c r="H218" s="340" t="str">
        <f t="shared" si="28"/>
        <v>Yes</v>
      </c>
      <c r="I218" s="439">
        <f>SUMIF('Diags Raw Data'!$A$6:$A$3690,"*"&amp;$A218&amp;"*",'Diags Raw Data'!$K$6:$K$3690)</f>
        <v>0</v>
      </c>
      <c r="J218" s="441">
        <f>SUMIF('Diags Raw Data'!$A$6:$A$3690,"*"&amp;$A218&amp;"*",'Diags Raw Data'!$L$6:$L$3690)</f>
        <v>0</v>
      </c>
      <c r="K218" s="487" cm="1">
        <f t="array" ref="K218">IF(D218="",0, SUMPRODUCT(--(ISNUMBER(SEARCH($A218,'Diags Raw Data'!$A$6:$A$3690))),'Diags Raw Data'!$L$6:$L$3690,'Diags Raw Data'!$N$6:$N$3690)/J218)</f>
        <v>0</v>
      </c>
      <c r="L218" s="488" cm="1">
        <f t="array" ref="L218">IF(D218="",0, SUMPRODUCT(--(ISNUMBER(SEARCH($A218,'Diags Raw Data'!$A$6:$A$3690))),'Diags Raw Data'!$L$6:$L$3690,'Diags Raw Data'!$P$6:$P$3690)/J218)</f>
        <v>0</v>
      </c>
      <c r="M218" s="489" cm="1">
        <f t="array" ref="M218">SUMPRODUCT(--(ISNUMBER(SEARCH($A218,'Diags Raw Data'!$A$6:$A$3690))),--('Diags Raw Data'!$Q$6:$Q$3690&lt;&gt;"N/A"),'Diags Raw Data'!$R$6:$R$3690)</f>
        <v>0</v>
      </c>
      <c r="N218" s="490" cm="1">
        <f t="array" ref="N218">SUMPRODUCT(--(ISNUMBER(SEARCH($A218,'Diags Raw Data'!$A$6:$A$3690))),--('Diags Raw Data'!$Q$6:$Q$3690&lt;&gt;"N/A"),'Diags Raw Data'!$T$6:$T$3690)+SUMPRODUCT(--(ISNUMBER(SEARCH($A218,'Diags Raw Data'!$A$6:$A$3690))),--('Diags Raw Data'!$Q$6:$Q$3690&lt;&gt;"N/A"),'Diags Raw Data'!$U$6:$U$3690)</f>
        <v>0</v>
      </c>
      <c r="O218" s="491">
        <f t="shared" si="37"/>
        <v>0</v>
      </c>
      <c r="P218" s="492">
        <f>SUMIF('Diags Raw Data'!$A$6:$A$3690,"*"&amp;$A218&amp;"*",'Diags Raw Data'!$Z$6:$Z$3690)</f>
        <v>0</v>
      </c>
      <c r="Q218" s="493">
        <f>SUM(SUMIF('Diags Raw Data'!$A$6:$A$3690,"*"&amp;$A218&amp;"*",'Diags Raw Data'!$AA$6:$AA$3690),SUMIF('Diags Raw Data'!$A$6:$A$3690,"*"&amp;$A218&amp;"*",'Diags Raw Data'!$AB$6:$AB$3690))</f>
        <v>0</v>
      </c>
      <c r="R218" s="494">
        <f t="shared" si="38"/>
        <v>0</v>
      </c>
      <c r="S218" s="494">
        <f t="shared" si="39"/>
        <v>0</v>
      </c>
      <c r="T218" s="495">
        <f t="shared" si="40"/>
        <v>0</v>
      </c>
      <c r="U218" s="436" t="e">
        <f>VLOOKUP(A218,'Diags Raw Data'!$A$6:$AH$3690,33,FALSE)</f>
        <v>#N/A</v>
      </c>
      <c r="V218" s="181"/>
    </row>
    <row r="219" spans="1:22" ht="45.75" thickBot="1" x14ac:dyDescent="0.3">
      <c r="A219" s="549">
        <v>12.452999999999999</v>
      </c>
      <c r="B219" s="438" t="str">
        <f>VLOOKUP(A219,'Feature Raw Data'!$A$3:$B$3922,2,FALSE)</f>
        <v>Add HS and GS Stages to event collection for PS_DONE and PS_PARTIAL_FLUSH</v>
      </c>
      <c r="C219" s="439" t="str">
        <f>VLOOKUP(A219,'Feature Raw Data'!$A$3:$C$3922,3,FALSE)</f>
        <v>P2</v>
      </c>
      <c r="D219" s="440" t="str" cm="1">
        <f t="array" ref="D219">_xlfn.TEXTJOIN("",TRUE,IF(ISNUMBER(SEARCH($A219,'Diags Raw Data'!$A$6:$A$3690)),CONCATENATE('Diags Raw Data'!$H$6:$H$3690,", "),""))</f>
        <v xml:space="preserve">spi453, </v>
      </c>
      <c r="E219" s="340" t="str">
        <f>VLOOKUP(A219,'Diags Raw Data'!$A$6:$D$3690,4,FALSE)</f>
        <v>SIO</v>
      </c>
      <c r="F219" s="340" t="str">
        <f>VLOOKUP(A219,'Feature Raw Data'!$A$3:$E$3922,5,FALSE)</f>
        <v>New</v>
      </c>
      <c r="G219" s="340" t="str">
        <f t="shared" si="23"/>
        <v>Yes</v>
      </c>
      <c r="H219" s="340" t="str">
        <f t="shared" si="28"/>
        <v>Yes</v>
      </c>
      <c r="I219" s="439">
        <f>SUMIF('Diags Raw Data'!$A$6:$A$3690,"*"&amp;$A219&amp;"*",'Diags Raw Data'!$K$6:$K$3690)</f>
        <v>0</v>
      </c>
      <c r="J219" s="441">
        <f>SUMIF('Diags Raw Data'!$A$6:$A$3690,"*"&amp;$A219&amp;"*",'Diags Raw Data'!$L$6:$L$3690)</f>
        <v>0</v>
      </c>
      <c r="K219" s="487" t="e" cm="1">
        <f t="array" ref="K219">IF(D219="",0, SUMPRODUCT(--(ISNUMBER(SEARCH($A219,'Diags Raw Data'!$A$6:$A$3690))),'Diags Raw Data'!$L$6:$L$3690,'Diags Raw Data'!$N$6:$N$3690)/J219)</f>
        <v>#DIV/0!</v>
      </c>
      <c r="L219" s="488" t="e" cm="1">
        <f t="array" ref="L219">IF(D219="",0, SUMPRODUCT(--(ISNUMBER(SEARCH($A219,'Diags Raw Data'!$A$6:$A$3690))),'Diags Raw Data'!$L$6:$L$3690,'Diags Raw Data'!$P$6:$P$3690)/J219)</f>
        <v>#DIV/0!</v>
      </c>
      <c r="M219" s="489" cm="1">
        <f t="array" ref="M219">SUMPRODUCT(--(ISNUMBER(SEARCH($A219,'Diags Raw Data'!$A$6:$A$3690))),--('Diags Raw Data'!$Q$6:$Q$3690&lt;&gt;"N/A"),'Diags Raw Data'!$R$6:$R$3690)</f>
        <v>1</v>
      </c>
      <c r="N219" s="490" cm="1">
        <f t="array" ref="N219">SUMPRODUCT(--(ISNUMBER(SEARCH($A219,'Diags Raw Data'!$A$6:$A$3690))),--('Diags Raw Data'!$Q$6:$Q$3690&lt;&gt;"N/A"),'Diags Raw Data'!$T$6:$T$3690)+SUMPRODUCT(--(ISNUMBER(SEARCH($A219,'Diags Raw Data'!$A$6:$A$3690))),--('Diags Raw Data'!$Q$6:$Q$3690&lt;&gt;"N/A"),'Diags Raw Data'!$U$6:$U$3690)</f>
        <v>1</v>
      </c>
      <c r="O219" s="491">
        <f t="shared" si="37"/>
        <v>1</v>
      </c>
      <c r="P219" s="492">
        <f>SUMIF('Diags Raw Data'!$A$6:$A$3690,"*"&amp;$A219&amp;"*",'Diags Raw Data'!$Z$6:$Z$3690)</f>
        <v>0</v>
      </c>
      <c r="Q219" s="493">
        <f>SUM(SUMIF('Diags Raw Data'!$A$6:$A$3690,"*"&amp;$A219&amp;"*",'Diags Raw Data'!$AA$6:$AA$3690),SUMIF('Diags Raw Data'!$A$6:$A$3690,"*"&amp;$A219&amp;"*",'Diags Raw Data'!$AB$6:$AB$3690))</f>
        <v>0</v>
      </c>
      <c r="R219" s="494">
        <f t="shared" si="38"/>
        <v>0</v>
      </c>
      <c r="S219" s="494">
        <f t="shared" si="39"/>
        <v>0</v>
      </c>
      <c r="T219" s="495">
        <f t="shared" si="40"/>
        <v>0</v>
      </c>
      <c r="U219" s="436" t="str">
        <f>VLOOKUP(A219,'Diags Raw Data'!$A$6:$AH$3690,33,FALSE)</f>
        <v>WK6</v>
      </c>
      <c r="V219" s="181"/>
    </row>
    <row r="220" spans="1:22" ht="75.75" thickBot="1" x14ac:dyDescent="0.3">
      <c r="A220" s="549">
        <v>12.454000000000001</v>
      </c>
      <c r="B220" s="438" t="str">
        <f>VLOOKUP(A220,'Feature Raw Data'!$A$3:$B$3922,2,FALSE)</f>
        <v>Proper Handling of the Force Decompression and Comp Key Read Command on compression-bypassed resources</v>
      </c>
      <c r="C220" s="439" t="str">
        <f>VLOOKUP(A220,'Feature Raw Data'!$A$3:$C$3922,3,FALSE)</f>
        <v>P2</v>
      </c>
      <c r="D220" s="440" t="str" cm="1">
        <f t="array" ref="D220">_xlfn.TEXTJOIN("",TRUE,IF(ISNUMBER(SEARCH($A220,'Diags Raw Data'!$A$6:$A$3690)),CONCATENATE('Diags Raw Data'!$H$6:$H$3690,", "),""))</f>
        <v xml:space="preserve">glxi61.1-2, </v>
      </c>
      <c r="E220" s="340" t="str">
        <f>VLOOKUP(A220,'Diags Raw Data'!$A$6:$D$3690,4,FALSE)</f>
        <v>CMM</v>
      </c>
      <c r="F220" s="340" t="str">
        <f>VLOOKUP(A220,'Feature Raw Data'!$A$3:$E$3922,5,FALSE)</f>
        <v>New</v>
      </c>
      <c r="G220" s="340" t="str">
        <f t="shared" si="23"/>
        <v>Yes</v>
      </c>
      <c r="H220" s="340" t="str">
        <f t="shared" si="28"/>
        <v>Yes</v>
      </c>
      <c r="I220" s="439">
        <f>SUMIF('Diags Raw Data'!$A$6:$A$3690,"*"&amp;$A220&amp;"*",'Diags Raw Data'!$K$6:$K$3690)</f>
        <v>0</v>
      </c>
      <c r="J220" s="441">
        <f>SUMIF('Diags Raw Data'!$A$6:$A$3690,"*"&amp;$A220&amp;"*",'Diags Raw Data'!$L$6:$L$3690)</f>
        <v>0</v>
      </c>
      <c r="K220" s="487" t="e" cm="1">
        <f t="array" ref="K220">IF(D220="",0, SUMPRODUCT(--(ISNUMBER(SEARCH($A220,'Diags Raw Data'!$A$6:$A$3690))),'Diags Raw Data'!$L$6:$L$3690,'Diags Raw Data'!$N$6:$N$3690)/J220)</f>
        <v>#DIV/0!</v>
      </c>
      <c r="L220" s="488" t="e" cm="1">
        <f t="array" ref="L220">IF(D220="",0, SUMPRODUCT(--(ISNUMBER(SEARCH($A220,'Diags Raw Data'!$A$6:$A$3690))),'Diags Raw Data'!$L$6:$L$3690,'Diags Raw Data'!$P$6:$P$3690)/J220)</f>
        <v>#DIV/0!</v>
      </c>
      <c r="M220" s="489" cm="1">
        <f t="array" ref="M220">SUMPRODUCT(--(ISNUMBER(SEARCH($A220,'Diags Raw Data'!$A$6:$A$3690))),--('Diags Raw Data'!$Q$6:$Q$3690&lt;&gt;"N/A"),'Diags Raw Data'!$R$6:$R$3690)</f>
        <v>2</v>
      </c>
      <c r="N220" s="490" cm="1">
        <f t="array" ref="N220">SUMPRODUCT(--(ISNUMBER(SEARCH($A220,'Diags Raw Data'!$A$6:$A$3690))),--('Diags Raw Data'!$Q$6:$Q$3690&lt;&gt;"N/A"),'Diags Raw Data'!$T$6:$T$3690)+SUMPRODUCT(--(ISNUMBER(SEARCH($A220,'Diags Raw Data'!$A$6:$A$3690))),--('Diags Raw Data'!$Q$6:$Q$3690&lt;&gt;"N/A"),'Diags Raw Data'!$U$6:$U$3690)</f>
        <v>2</v>
      </c>
      <c r="O220" s="491">
        <f t="shared" si="37"/>
        <v>1</v>
      </c>
      <c r="P220" s="492">
        <f>SUMIF('Diags Raw Data'!$A$6:$A$3690,"*"&amp;$A220&amp;"*",'Diags Raw Data'!$Z$6:$Z$3690)</f>
        <v>0</v>
      </c>
      <c r="Q220" s="493">
        <f>SUM(SUMIF('Diags Raw Data'!$A$6:$A$3690,"*"&amp;$A220&amp;"*",'Diags Raw Data'!$AA$6:$AA$3690),SUMIF('Diags Raw Data'!$A$6:$A$3690,"*"&amp;$A220&amp;"*",'Diags Raw Data'!$AB$6:$AB$3690))</f>
        <v>0</v>
      </c>
      <c r="R220" s="494">
        <f t="shared" si="38"/>
        <v>0</v>
      </c>
      <c r="S220" s="494">
        <f t="shared" si="39"/>
        <v>0</v>
      </c>
      <c r="T220" s="495">
        <f t="shared" si="40"/>
        <v>0</v>
      </c>
      <c r="U220" s="436" t="str">
        <f>VLOOKUP(A220,'Diags Raw Data'!$A$6:$AH$3690,33,FALSE)</f>
        <v>WK8</v>
      </c>
      <c r="V220" s="181"/>
    </row>
    <row r="221" spans="1:22" ht="30.75" thickBot="1" x14ac:dyDescent="0.3">
      <c r="A221" s="549">
        <v>12.455</v>
      </c>
      <c r="B221" s="438" t="str">
        <f>VLOOKUP(A221,'Feature Raw Data'!$A$3:$B$3922,2,FALSE)</f>
        <v>Decrease CS max grid size support to X,Y,Z = 32b,16b,16b</v>
      </c>
      <c r="C221" s="439" t="str">
        <f>VLOOKUP(A221,'Feature Raw Data'!$A$3:$C$3922,3,FALSE)</f>
        <v>P2</v>
      </c>
      <c r="D221" s="440" t="str" cm="1">
        <f t="array" ref="D221">_xlfn.TEXTJOIN("",TRUE,IF(ISNUMBER(SEARCH($A221,'Diags Raw Data'!$A$6:$A$3690)),CONCATENATE('Diags Raw Data'!$H$6:$H$3690,", "),""))</f>
        <v xml:space="preserve">gfx.linpack_gfx_compute, </v>
      </c>
      <c r="E221" s="340" t="str">
        <f>VLOOKUP(A221,'Diags Raw Data'!$A$6:$D$3690,4,FALSE)</f>
        <v>SIO</v>
      </c>
      <c r="F221" s="340" t="str">
        <f>VLOOKUP(A221,'Feature Raw Data'!$A$3:$E$3922,5,FALSE)</f>
        <v>New</v>
      </c>
      <c r="G221" s="340" t="str">
        <f t="shared" si="23"/>
        <v>Yes</v>
      </c>
      <c r="H221" s="340" t="str">
        <f t="shared" si="28"/>
        <v>Yes</v>
      </c>
      <c r="I221" s="439">
        <f>SUMIF('Diags Raw Data'!$A$6:$A$3690,"*"&amp;$A221&amp;"*",'Diags Raw Data'!$K$6:$K$3690)</f>
        <v>0</v>
      </c>
      <c r="J221" s="441">
        <f>SUMIF('Diags Raw Data'!$A$6:$A$3690,"*"&amp;$A221&amp;"*",'Diags Raw Data'!$L$6:$L$3690)</f>
        <v>0</v>
      </c>
      <c r="K221" s="487" t="e" cm="1">
        <f t="array" ref="K221">IF(D221="",0, SUMPRODUCT(--(ISNUMBER(SEARCH($A221,'Diags Raw Data'!$A$6:$A$3690))),'Diags Raw Data'!$L$6:$L$3690,'Diags Raw Data'!$N$6:$N$3690)/J221)</f>
        <v>#DIV/0!</v>
      </c>
      <c r="L221" s="488" t="e" cm="1">
        <f t="array" ref="L221">IF(D221="",0, SUMPRODUCT(--(ISNUMBER(SEARCH($A221,'Diags Raw Data'!$A$6:$A$3690))),'Diags Raw Data'!$L$6:$L$3690,'Diags Raw Data'!$P$6:$P$3690)/J221)</f>
        <v>#DIV/0!</v>
      </c>
      <c r="M221" s="489" cm="1">
        <f t="array" ref="M221">SUMPRODUCT(--(ISNUMBER(SEARCH($A221,'Diags Raw Data'!$A$6:$A$3690))),--('Diags Raw Data'!$Q$6:$Q$3690&lt;&gt;"N/A"),'Diags Raw Data'!$R$6:$R$3690)</f>
        <v>1</v>
      </c>
      <c r="N221" s="490" cm="1">
        <f t="array" ref="N221">SUMPRODUCT(--(ISNUMBER(SEARCH($A221,'Diags Raw Data'!$A$6:$A$3690))),--('Diags Raw Data'!$Q$6:$Q$3690&lt;&gt;"N/A"),'Diags Raw Data'!$T$6:$T$3690)+SUMPRODUCT(--(ISNUMBER(SEARCH($A221,'Diags Raw Data'!$A$6:$A$3690))),--('Diags Raw Data'!$Q$6:$Q$3690&lt;&gt;"N/A"),'Diags Raw Data'!$U$6:$U$3690)</f>
        <v>0</v>
      </c>
      <c r="O221" s="491">
        <f t="shared" si="37"/>
        <v>0</v>
      </c>
      <c r="P221" s="492">
        <f>SUMIF('Diags Raw Data'!$A$6:$A$3690,"*"&amp;$A221&amp;"*",'Diags Raw Data'!$Z$6:$Z$3690)</f>
        <v>0</v>
      </c>
      <c r="Q221" s="493">
        <f>SUM(SUMIF('Diags Raw Data'!$A$6:$A$3690,"*"&amp;$A221&amp;"*",'Diags Raw Data'!$AA$6:$AA$3690),SUMIF('Diags Raw Data'!$A$6:$A$3690,"*"&amp;$A221&amp;"*",'Diags Raw Data'!$AB$6:$AB$3690))</f>
        <v>0</v>
      </c>
      <c r="R221" s="494">
        <f t="shared" si="38"/>
        <v>0</v>
      </c>
      <c r="S221" s="494">
        <f t="shared" si="39"/>
        <v>0</v>
      </c>
      <c r="T221" s="495">
        <f t="shared" si="40"/>
        <v>0</v>
      </c>
      <c r="U221" s="436" t="str">
        <f>VLOOKUP(A221,'Diags Raw Data'!$A$6:$AH$3690,33,FALSE)</f>
        <v>WK6</v>
      </c>
      <c r="V221" s="181"/>
    </row>
    <row r="222" spans="1:22" ht="15.75" thickBot="1" x14ac:dyDescent="0.3">
      <c r="A222" s="549">
        <v>12.457000000000001</v>
      </c>
      <c r="B222" s="438" t="str">
        <f>VLOOKUP(A222,'Feature Raw Data'!$A$3:$B$3922,2,FALSE)</f>
        <v>Decrompress BLTs via SDMA</v>
      </c>
      <c r="C222" s="439" t="str">
        <f>VLOOKUP(A222,'Feature Raw Data'!$A$3:$C$3922,3,FALSE)</f>
        <v>P2</v>
      </c>
      <c r="D222" s="440" t="str" cm="1">
        <f t="array" ref="D222">_xlfn.TEXTJOIN("",TRUE,IF(ISNUMBER(SEARCH($A222,'Diags Raw Data'!$A$6:$A$3690)),CONCATENATE('Diags Raw Data'!$H$6:$H$3690,", "),""))</f>
        <v/>
      </c>
      <c r="E222" s="340" t="e">
        <f>VLOOKUP(A222,'Diags Raw Data'!$A$6:$D$3690,4,FALSE)</f>
        <v>#N/A</v>
      </c>
      <c r="F222" s="340" t="str">
        <f>VLOOKUP(A222,'Feature Raw Data'!$A$3:$E$3922,5,FALSE)</f>
        <v>New</v>
      </c>
      <c r="G222" s="340" t="str">
        <f t="shared" si="23"/>
        <v>Yes</v>
      </c>
      <c r="H222" s="340" t="str">
        <f t="shared" si="28"/>
        <v>Yes</v>
      </c>
      <c r="I222" s="439">
        <f>SUMIF('Diags Raw Data'!$A$6:$A$3690,"*"&amp;$A222&amp;"*",'Diags Raw Data'!$K$6:$K$3690)</f>
        <v>0</v>
      </c>
      <c r="J222" s="441">
        <f>SUMIF('Diags Raw Data'!$A$6:$A$3690,"*"&amp;$A222&amp;"*",'Diags Raw Data'!$L$6:$L$3690)</f>
        <v>0</v>
      </c>
      <c r="K222" s="487" cm="1">
        <f t="array" ref="K222">IF(D222="",0, SUMPRODUCT(--(ISNUMBER(SEARCH($A222,'Diags Raw Data'!$A$6:$A$3690))),'Diags Raw Data'!$L$6:$L$3690,'Diags Raw Data'!$N$6:$N$3690)/J222)</f>
        <v>0</v>
      </c>
      <c r="L222" s="488" cm="1">
        <f t="array" ref="L222">IF(D222="",0, SUMPRODUCT(--(ISNUMBER(SEARCH($A222,'Diags Raw Data'!$A$6:$A$3690))),'Diags Raw Data'!$L$6:$L$3690,'Diags Raw Data'!$P$6:$P$3690)/J222)</f>
        <v>0</v>
      </c>
      <c r="M222" s="489" cm="1">
        <f t="array" ref="M222">SUMPRODUCT(--(ISNUMBER(SEARCH($A222,'Diags Raw Data'!$A$6:$A$3690))),--('Diags Raw Data'!$Q$6:$Q$3690&lt;&gt;"N/A"),'Diags Raw Data'!$R$6:$R$3690)</f>
        <v>0</v>
      </c>
      <c r="N222" s="490" cm="1">
        <f t="array" ref="N222">SUMPRODUCT(--(ISNUMBER(SEARCH($A222,'Diags Raw Data'!$A$6:$A$3690))),--('Diags Raw Data'!$Q$6:$Q$3690&lt;&gt;"N/A"),'Diags Raw Data'!$T$6:$T$3690)+SUMPRODUCT(--(ISNUMBER(SEARCH($A222,'Diags Raw Data'!$A$6:$A$3690))),--('Diags Raw Data'!$Q$6:$Q$3690&lt;&gt;"N/A"),'Diags Raw Data'!$U$6:$U$3690)</f>
        <v>0</v>
      </c>
      <c r="O222" s="491">
        <f t="shared" si="37"/>
        <v>0</v>
      </c>
      <c r="P222" s="492">
        <f>SUMIF('Diags Raw Data'!$A$6:$A$3690,"*"&amp;$A222&amp;"*",'Diags Raw Data'!$Z$6:$Z$3690)</f>
        <v>0</v>
      </c>
      <c r="Q222" s="493">
        <f>SUM(SUMIF('Diags Raw Data'!$A$6:$A$3690,"*"&amp;$A222&amp;"*",'Diags Raw Data'!$AA$6:$AA$3690),SUMIF('Diags Raw Data'!$A$6:$A$3690,"*"&amp;$A222&amp;"*",'Diags Raw Data'!$AB$6:$AB$3690))</f>
        <v>0</v>
      </c>
      <c r="R222" s="494">
        <f t="shared" si="38"/>
        <v>0</v>
      </c>
      <c r="S222" s="494">
        <f t="shared" si="39"/>
        <v>0</v>
      </c>
      <c r="T222" s="495">
        <f t="shared" si="40"/>
        <v>0</v>
      </c>
      <c r="U222" s="436" t="e">
        <f>VLOOKUP(A222,'Diags Raw Data'!$A$6:$AH$3690,33,FALSE)</f>
        <v>#N/A</v>
      </c>
      <c r="V222" s="181"/>
    </row>
    <row r="223" spans="1:22" ht="30.75" thickBot="1" x14ac:dyDescent="0.3">
      <c r="A223" s="549">
        <v>12.458</v>
      </c>
      <c r="B223" s="438" t="str">
        <f>VLOOKUP(A223,'Feature Raw Data'!$A$3:$B$3922,2,FALSE)</f>
        <v>Descope VRS Compression feature</v>
      </c>
      <c r="C223" s="439" t="str">
        <f>VLOOKUP(A223,'Feature Raw Data'!$A$3:$C$3922,3,FALSE)</f>
        <v>P2</v>
      </c>
      <c r="D223" s="440" t="str" cm="1">
        <f t="array" ref="D223">_xlfn.TEXTJOIN("",TRUE,IF(ISNUMBER(SEARCH($A223,'Diags Raw Data'!$A$6:$A$3690)),CONCATENATE('Diags Raw Data'!$H$6:$H$3690,", "),""))</f>
        <v/>
      </c>
      <c r="E223" s="340" t="e">
        <f>VLOOKUP(A223,'Diags Raw Data'!$A$6:$D$3690,4,FALSE)</f>
        <v>#N/A</v>
      </c>
      <c r="F223" s="340" t="str">
        <f>VLOOKUP(A223,'Feature Raw Data'!$A$3:$E$3922,5,FALSE)</f>
        <v>New</v>
      </c>
      <c r="G223" s="340" t="str">
        <f t="shared" si="23"/>
        <v>Yes</v>
      </c>
      <c r="H223" s="340" t="str">
        <f t="shared" si="28"/>
        <v>Yes</v>
      </c>
      <c r="I223" s="439">
        <f>SUMIF('Diags Raw Data'!$A$6:$A$3690,"*"&amp;$A223&amp;"*",'Diags Raw Data'!$K$6:$K$3690)</f>
        <v>0</v>
      </c>
      <c r="J223" s="441">
        <f>SUMIF('Diags Raw Data'!$A$6:$A$3690,"*"&amp;$A223&amp;"*",'Diags Raw Data'!$L$6:$L$3690)</f>
        <v>0</v>
      </c>
      <c r="K223" s="487" cm="1">
        <f t="array" ref="K223">IF(D223="",0, SUMPRODUCT(--(ISNUMBER(SEARCH($A223,'Diags Raw Data'!$A$6:$A$3690))),'Diags Raw Data'!$L$6:$L$3690,'Diags Raw Data'!$N$6:$N$3690)/J223)</f>
        <v>0</v>
      </c>
      <c r="L223" s="488" cm="1">
        <f t="array" ref="L223">IF(D223="",0, SUMPRODUCT(--(ISNUMBER(SEARCH($A223,'Diags Raw Data'!$A$6:$A$3690))),'Diags Raw Data'!$L$6:$L$3690,'Diags Raw Data'!$P$6:$P$3690)/J223)</f>
        <v>0</v>
      </c>
      <c r="M223" s="489" cm="1">
        <f t="array" ref="M223">SUMPRODUCT(--(ISNUMBER(SEARCH($A223,'Diags Raw Data'!$A$6:$A$3690))),--('Diags Raw Data'!$Q$6:$Q$3690&lt;&gt;"N/A"),'Diags Raw Data'!$R$6:$R$3690)</f>
        <v>0</v>
      </c>
      <c r="N223" s="490" cm="1">
        <f t="array" ref="N223">SUMPRODUCT(--(ISNUMBER(SEARCH($A223,'Diags Raw Data'!$A$6:$A$3690))),--('Diags Raw Data'!$Q$6:$Q$3690&lt;&gt;"N/A"),'Diags Raw Data'!$T$6:$T$3690)+SUMPRODUCT(--(ISNUMBER(SEARCH($A223,'Diags Raw Data'!$A$6:$A$3690))),--('Diags Raw Data'!$Q$6:$Q$3690&lt;&gt;"N/A"),'Diags Raw Data'!$U$6:$U$3690)</f>
        <v>0</v>
      </c>
      <c r="O223" s="491">
        <f t="shared" si="37"/>
        <v>0</v>
      </c>
      <c r="P223" s="492">
        <f>SUMIF('Diags Raw Data'!$A$6:$A$3690,"*"&amp;$A223&amp;"*",'Diags Raw Data'!$Z$6:$Z$3690)</f>
        <v>0</v>
      </c>
      <c r="Q223" s="493">
        <f>SUM(SUMIF('Diags Raw Data'!$A$6:$A$3690,"*"&amp;$A223&amp;"*",'Diags Raw Data'!$AA$6:$AA$3690),SUMIF('Diags Raw Data'!$A$6:$A$3690,"*"&amp;$A223&amp;"*",'Diags Raw Data'!$AB$6:$AB$3690))</f>
        <v>0</v>
      </c>
      <c r="R223" s="494">
        <f t="shared" si="38"/>
        <v>0</v>
      </c>
      <c r="S223" s="494">
        <f t="shared" si="39"/>
        <v>0</v>
      </c>
      <c r="T223" s="495">
        <f t="shared" si="40"/>
        <v>0</v>
      </c>
      <c r="U223" s="436" t="e">
        <f>VLOOKUP(A223,'Diags Raw Data'!$A$6:$AH$3690,33,FALSE)</f>
        <v>#N/A</v>
      </c>
      <c r="V223" s="554" t="s">
        <v>327</v>
      </c>
    </row>
    <row r="224" spans="1:22" ht="45.75" thickBot="1" x14ac:dyDescent="0.3">
      <c r="A224" s="549">
        <v>12.459</v>
      </c>
      <c r="B224" s="438" t="str">
        <f>VLOOKUP(A224,'Feature Raw Data'!$A$3:$B$3922,2,FALSE)</f>
        <v>Remove support for Shared VGPRs and Subvector Execution</v>
      </c>
      <c r="C224" s="439" t="str">
        <f>VLOOKUP(A224,'Feature Raw Data'!$A$3:$C$3922,3,FALSE)</f>
        <v>P2</v>
      </c>
      <c r="D224" s="440" t="str" cm="1">
        <f t="array" ref="D224">_xlfn.TEXTJOIN("",TRUE,IF(ISNUMBER(SEARCH($A224,'Diags Raw Data'!$A$6:$A$3690)),CONCATENATE('Diags Raw Data'!$H$6:$H$3690,", "),""))</f>
        <v/>
      </c>
      <c r="E224" s="340" t="e">
        <f>VLOOKUP(A224,'Diags Raw Data'!$A$6:$D$3690,4,FALSE)</f>
        <v>#N/A</v>
      </c>
      <c r="F224" s="340" t="str">
        <f>VLOOKUP(A224,'Feature Raw Data'!$A$3:$E$3922,5,FALSE)</f>
        <v>New</v>
      </c>
      <c r="G224" s="340" t="str">
        <f t="shared" si="23"/>
        <v>Yes</v>
      </c>
      <c r="H224" s="340" t="str">
        <f t="shared" si="28"/>
        <v>Yes</v>
      </c>
      <c r="I224" s="439">
        <f>SUMIF('Diags Raw Data'!$A$6:$A$3690,"*"&amp;$A224&amp;"*",'Diags Raw Data'!$K$6:$K$3690)</f>
        <v>0</v>
      </c>
      <c r="J224" s="441">
        <f>SUMIF('Diags Raw Data'!$A$6:$A$3690,"*"&amp;$A224&amp;"*",'Diags Raw Data'!$L$6:$L$3690)</f>
        <v>0</v>
      </c>
      <c r="K224" s="487" cm="1">
        <f t="array" ref="K224">IF(D224="",0, SUMPRODUCT(--(ISNUMBER(SEARCH($A224,'Diags Raw Data'!$A$6:$A$3690))),'Diags Raw Data'!$L$6:$L$3690,'Diags Raw Data'!$N$6:$N$3690)/J224)</f>
        <v>0</v>
      </c>
      <c r="L224" s="488" cm="1">
        <f t="array" ref="L224">IF(D224="",0, SUMPRODUCT(--(ISNUMBER(SEARCH($A224,'Diags Raw Data'!$A$6:$A$3690))),'Diags Raw Data'!$L$6:$L$3690,'Diags Raw Data'!$P$6:$P$3690)/J224)</f>
        <v>0</v>
      </c>
      <c r="M224" s="489" cm="1">
        <f t="array" ref="M224">SUMPRODUCT(--(ISNUMBER(SEARCH($A224,'Diags Raw Data'!$A$6:$A$3690))),--('Diags Raw Data'!$Q$6:$Q$3690&lt;&gt;"N/A"),'Diags Raw Data'!$R$6:$R$3690)</f>
        <v>0</v>
      </c>
      <c r="N224" s="490" cm="1">
        <f t="array" ref="N224">SUMPRODUCT(--(ISNUMBER(SEARCH($A224,'Diags Raw Data'!$A$6:$A$3690))),--('Diags Raw Data'!$Q$6:$Q$3690&lt;&gt;"N/A"),'Diags Raw Data'!$T$6:$T$3690)+SUMPRODUCT(--(ISNUMBER(SEARCH($A224,'Diags Raw Data'!$A$6:$A$3690))),--('Diags Raw Data'!$Q$6:$Q$3690&lt;&gt;"N/A"),'Diags Raw Data'!$U$6:$U$3690)</f>
        <v>0</v>
      </c>
      <c r="O224" s="491">
        <f t="shared" si="37"/>
        <v>0</v>
      </c>
      <c r="P224" s="492">
        <f>SUMIF('Diags Raw Data'!$A$6:$A$3690,"*"&amp;$A224&amp;"*",'Diags Raw Data'!$Z$6:$Z$3690)</f>
        <v>0</v>
      </c>
      <c r="Q224" s="493">
        <f>SUM(SUMIF('Diags Raw Data'!$A$6:$A$3690,"*"&amp;$A224&amp;"*",'Diags Raw Data'!$AA$6:$AA$3690),SUMIF('Diags Raw Data'!$A$6:$A$3690,"*"&amp;$A224&amp;"*",'Diags Raw Data'!$AB$6:$AB$3690))</f>
        <v>0</v>
      </c>
      <c r="R224" s="494">
        <f t="shared" si="38"/>
        <v>0</v>
      </c>
      <c r="S224" s="494">
        <f t="shared" si="39"/>
        <v>0</v>
      </c>
      <c r="T224" s="495">
        <f t="shared" si="40"/>
        <v>0</v>
      </c>
      <c r="U224" s="436" t="e">
        <f>VLOOKUP(A224,'Diags Raw Data'!$A$6:$AH$3690,33,FALSE)</f>
        <v>#N/A</v>
      </c>
      <c r="V224" s="554" t="s">
        <v>356</v>
      </c>
    </row>
    <row r="225" spans="1:22" ht="30.75" thickBot="1" x14ac:dyDescent="0.3">
      <c r="A225" s="549">
        <v>12.46</v>
      </c>
      <c r="B225" s="438" t="str">
        <f>VLOOKUP(A225,'Feature Raw Data'!$A$3:$B$3922,2,FALSE)</f>
        <v xml:space="preserve">BVH Footprint Improvement
</v>
      </c>
      <c r="C225" s="439" t="str">
        <f>VLOOKUP(A225,'Feature Raw Data'!$A$3:$C$3922,3,FALSE)</f>
        <v>P2</v>
      </c>
      <c r="D225" s="440" t="str" cm="1">
        <f t="array" ref="D225">_xlfn.TEXTJOIN("",TRUE,IF(ISNUMBER(SEARCH($A225,'Diags Raw Data'!$A$6:$A$3690)),CONCATENATE('Diags Raw Data'!$H$6:$H$3690,", "),""))</f>
        <v xml:space="preserve">placeholder_l.1-8, placeholder_a.1-108, gci1310, cpi415, gci1309.0-3, </v>
      </c>
      <c r="E225" s="340" t="str">
        <f>VLOOKUP(A225,'Diags Raw Data'!$A$6:$D$3690,4,FALSE)</f>
        <v>TEX</v>
      </c>
      <c r="F225" s="340" t="str">
        <f>VLOOKUP(A225,'Feature Raw Data'!$A$3:$E$3922,5,FALSE)</f>
        <v>New</v>
      </c>
      <c r="G225" s="340" t="str">
        <f t="shared" si="23"/>
        <v>Yes</v>
      </c>
      <c r="H225" s="340" t="str">
        <f t="shared" si="28"/>
        <v>Yes</v>
      </c>
      <c r="I225" s="439">
        <f>SUMIF('Diags Raw Data'!$A$6:$A$3690,"*"&amp;$A225&amp;"*",'Diags Raw Data'!$K$6:$K$3690)</f>
        <v>0</v>
      </c>
      <c r="J225" s="441">
        <f>SUMIF('Diags Raw Data'!$A$6:$A$3690,"*"&amp;$A225&amp;"*",'Diags Raw Data'!$L$6:$L$3690)</f>
        <v>0</v>
      </c>
      <c r="K225" s="487" t="e" cm="1">
        <f t="array" ref="K225">IF(D225="",0, SUMPRODUCT(--(ISNUMBER(SEARCH($A225,'Diags Raw Data'!$A$6:$A$3690))),'Diags Raw Data'!$L$6:$L$3690,'Diags Raw Data'!$N$6:$N$3690)/J225)</f>
        <v>#DIV/0!</v>
      </c>
      <c r="L225" s="488" t="e" cm="1">
        <f t="array" ref="L225">IF(D225="",0, SUMPRODUCT(--(ISNUMBER(SEARCH($A225,'Diags Raw Data'!$A$6:$A$3690))),'Diags Raw Data'!$L$6:$L$3690,'Diags Raw Data'!$P$6:$P$3690)/J225)</f>
        <v>#DIV/0!</v>
      </c>
      <c r="M225" s="489" cm="1">
        <f t="array" ref="M225">SUMPRODUCT(--(ISNUMBER(SEARCH($A225,'Diags Raw Data'!$A$6:$A$3690))),--('Diags Raw Data'!$Q$6:$Q$3690&lt;&gt;"N/A"),'Diags Raw Data'!$R$6:$R$3690)</f>
        <v>31</v>
      </c>
      <c r="N225" s="490" cm="1">
        <f t="array" ref="N225">SUMPRODUCT(--(ISNUMBER(SEARCH($A225,'Diags Raw Data'!$A$6:$A$3690))),--('Diags Raw Data'!$Q$6:$Q$3690&lt;&gt;"N/A"),'Diags Raw Data'!$T$6:$T$3690)+SUMPRODUCT(--(ISNUMBER(SEARCH($A225,'Diags Raw Data'!$A$6:$A$3690))),--('Diags Raw Data'!$Q$6:$Q$3690&lt;&gt;"N/A"),'Diags Raw Data'!$U$6:$U$3690)</f>
        <v>29</v>
      </c>
      <c r="O225" s="491">
        <f t="shared" si="37"/>
        <v>0.93548387096774188</v>
      </c>
      <c r="P225" s="492">
        <f>SUMIF('Diags Raw Data'!$A$6:$A$3690,"*"&amp;$A225&amp;"*",'Diags Raw Data'!$Z$6:$Z$3690)</f>
        <v>0</v>
      </c>
      <c r="Q225" s="493">
        <f>SUM(SUMIF('Diags Raw Data'!$A$6:$A$3690,"*"&amp;$A225&amp;"*",'Diags Raw Data'!$AA$6:$AA$3690),SUMIF('Diags Raw Data'!$A$6:$A$3690,"*"&amp;$A225&amp;"*",'Diags Raw Data'!$AB$6:$AB$3690))</f>
        <v>0</v>
      </c>
      <c r="R225" s="494">
        <f t="shared" si="38"/>
        <v>0</v>
      </c>
      <c r="S225" s="494">
        <f t="shared" si="39"/>
        <v>0</v>
      </c>
      <c r="T225" s="495">
        <f t="shared" si="40"/>
        <v>0</v>
      </c>
      <c r="U225" s="436" t="str">
        <f>VLOOKUP(A225,'Diags Raw Data'!$A$6:$AH$3690,33,FALSE)</f>
        <v>WK7</v>
      </c>
      <c r="V225" s="181"/>
    </row>
    <row r="226" spans="1:22" ht="45.75" thickBot="1" x14ac:dyDescent="0.3">
      <c r="A226" s="549">
        <v>12.461</v>
      </c>
      <c r="B226" s="438" t="str">
        <f>VLOOKUP(A226,'Feature Raw Data'!$A$3:$B$3922,2,FALSE)</f>
        <v xml:space="preserve">RT support for OBB and Instance Node Intersection
</v>
      </c>
      <c r="C226" s="439" t="str">
        <f>VLOOKUP(A226,'Feature Raw Data'!$A$3:$C$3922,3,FALSE)</f>
        <v>P2</v>
      </c>
      <c r="D226" s="440" t="str" cm="1">
        <f t="array" ref="D226">_xlfn.TEXTJOIN("",TRUE,IF(ISNUMBER(SEARCH($A226,'Diags Raw Data'!$A$6:$A$3690)),CONCATENATE('Diags Raw Data'!$H$6:$H$3690,", "),""))</f>
        <v xml:space="preserve">placeholder_a.1-108, </v>
      </c>
      <c r="E226" s="340" t="str">
        <f>VLOOKUP(A226,'Diags Raw Data'!$A$6:$D$3690,4,FALSE)</f>
        <v>TEX</v>
      </c>
      <c r="F226" s="340" t="str">
        <f>VLOOKUP(A226,'Feature Raw Data'!$A$3:$E$3922,5,FALSE)</f>
        <v>New</v>
      </c>
      <c r="G226" s="340" t="str">
        <f t="shared" si="23"/>
        <v>Yes</v>
      </c>
      <c r="H226" s="340" t="str">
        <f t="shared" si="28"/>
        <v>Yes</v>
      </c>
      <c r="I226" s="439">
        <f>SUMIF('Diags Raw Data'!$A$6:$A$3690,"*"&amp;$A226&amp;"*",'Diags Raw Data'!$K$6:$K$3690)</f>
        <v>0</v>
      </c>
      <c r="J226" s="441">
        <f>SUMIF('Diags Raw Data'!$A$6:$A$3690,"*"&amp;$A226&amp;"*",'Diags Raw Data'!$L$6:$L$3690)</f>
        <v>0</v>
      </c>
      <c r="K226" s="487" t="e" cm="1">
        <f t="array" ref="K226">IF(D226="",0, SUMPRODUCT(--(ISNUMBER(SEARCH($A226,'Diags Raw Data'!$A$6:$A$3690))),'Diags Raw Data'!$L$6:$L$3690,'Diags Raw Data'!$N$6:$N$3690)/J226)</f>
        <v>#DIV/0!</v>
      </c>
      <c r="L226" s="488" t="e" cm="1">
        <f t="array" ref="L226">IF(D226="",0, SUMPRODUCT(--(ISNUMBER(SEARCH($A226,'Diags Raw Data'!$A$6:$A$3690))),'Diags Raw Data'!$L$6:$L$3690,'Diags Raw Data'!$P$6:$P$3690)/J226)</f>
        <v>#DIV/0!</v>
      </c>
      <c r="M226" s="489" cm="1">
        <f t="array" ref="M226">SUMPRODUCT(--(ISNUMBER(SEARCH($A226,'Diags Raw Data'!$A$6:$A$3690))),--('Diags Raw Data'!$Q$6:$Q$3690&lt;&gt;"N/A"),'Diags Raw Data'!$R$6:$R$3690)</f>
        <v>20</v>
      </c>
      <c r="N226" s="490" cm="1">
        <f t="array" ref="N226">SUMPRODUCT(--(ISNUMBER(SEARCH($A226,'Diags Raw Data'!$A$6:$A$3690))),--('Diags Raw Data'!$Q$6:$Q$3690&lt;&gt;"N/A"),'Diags Raw Data'!$T$6:$T$3690)+SUMPRODUCT(--(ISNUMBER(SEARCH($A226,'Diags Raw Data'!$A$6:$A$3690))),--('Diags Raw Data'!$Q$6:$Q$3690&lt;&gt;"N/A"),'Diags Raw Data'!$U$6:$U$3690)</f>
        <v>20</v>
      </c>
      <c r="O226" s="491">
        <f t="shared" si="37"/>
        <v>1</v>
      </c>
      <c r="P226" s="492">
        <f>SUMIF('Diags Raw Data'!$A$6:$A$3690,"*"&amp;$A226&amp;"*",'Diags Raw Data'!$Z$6:$Z$3690)</f>
        <v>0</v>
      </c>
      <c r="Q226" s="493">
        <f>SUM(SUMIF('Diags Raw Data'!$A$6:$A$3690,"*"&amp;$A226&amp;"*",'Diags Raw Data'!$AA$6:$AA$3690),SUMIF('Diags Raw Data'!$A$6:$A$3690,"*"&amp;$A226&amp;"*",'Diags Raw Data'!$AB$6:$AB$3690))</f>
        <v>0</v>
      </c>
      <c r="R226" s="494">
        <f t="shared" si="38"/>
        <v>0</v>
      </c>
      <c r="S226" s="494">
        <f t="shared" si="39"/>
        <v>0</v>
      </c>
      <c r="T226" s="495">
        <f t="shared" si="40"/>
        <v>0</v>
      </c>
      <c r="U226" s="436" t="str">
        <f>VLOOKUP(A226,'Diags Raw Data'!$A$6:$AH$3690,33,FALSE)</f>
        <v>WK8</v>
      </c>
      <c r="V226" s="181"/>
    </row>
    <row r="227" spans="1:22" ht="60.75" thickBot="1" x14ac:dyDescent="0.3">
      <c r="A227" s="549">
        <v>12.462</v>
      </c>
      <c r="B227" s="438" t="str">
        <f>VLOOKUP(A227,'Feature Raw Data'!$A$3:$B$3922,2,FALSE)</f>
        <v xml:space="preserve">Descope Verification of 16xaa for VRS Coarse Rates (1x2, 2x2, 2x1)
</v>
      </c>
      <c r="C227" s="439" t="str">
        <f>VLOOKUP(A227,'Feature Raw Data'!$A$3:$C$3922,3,FALSE)</f>
        <v>P3</v>
      </c>
      <c r="D227" s="440" t="str" cm="1">
        <f t="array" ref="D227">_xlfn.TEXTJOIN("",TRUE,IF(ISNUMBER(SEARCH($A227,'Diags Raw Data'!$A$6:$A$3690)),CONCATENATE('Diags Raw Data'!$H$6:$H$3690,", "),""))</f>
        <v/>
      </c>
      <c r="E227" s="340" t="e">
        <f>VLOOKUP(A227,'Diags Raw Data'!$A$6:$D$3690,4,FALSE)</f>
        <v>#N/A</v>
      </c>
      <c r="F227" s="340" t="str">
        <f>VLOOKUP(A227,'Feature Raw Data'!$A$3:$E$3922,5,FALSE)</f>
        <v>New</v>
      </c>
      <c r="G227" s="340" t="str">
        <f t="shared" si="23"/>
        <v>Yes</v>
      </c>
      <c r="H227" s="340" t="str">
        <f t="shared" si="28"/>
        <v>Yes</v>
      </c>
      <c r="I227" s="439">
        <f>SUMIF('Diags Raw Data'!$A$6:$A$3690,"*"&amp;$A227&amp;"*",'Diags Raw Data'!$K$6:$K$3690)</f>
        <v>0</v>
      </c>
      <c r="J227" s="441">
        <f>SUMIF('Diags Raw Data'!$A$6:$A$3690,"*"&amp;$A227&amp;"*",'Diags Raw Data'!$L$6:$L$3690)</f>
        <v>0</v>
      </c>
      <c r="K227" s="487" cm="1">
        <f t="array" ref="K227">IF(D227="",0, SUMPRODUCT(--(ISNUMBER(SEARCH($A227,'Diags Raw Data'!$A$6:$A$3690))),'Diags Raw Data'!$L$6:$L$3690,'Diags Raw Data'!$N$6:$N$3690)/J227)</f>
        <v>0</v>
      </c>
      <c r="L227" s="488" cm="1">
        <f t="array" ref="L227">IF(D227="",0, SUMPRODUCT(--(ISNUMBER(SEARCH($A227,'Diags Raw Data'!$A$6:$A$3690))),'Diags Raw Data'!$L$6:$L$3690,'Diags Raw Data'!$P$6:$P$3690)/J227)</f>
        <v>0</v>
      </c>
      <c r="M227" s="489" cm="1">
        <f t="array" ref="M227">SUMPRODUCT(--(ISNUMBER(SEARCH($A227,'Diags Raw Data'!$A$6:$A$3690))),--('Diags Raw Data'!$Q$6:$Q$3690&lt;&gt;"N/A"),'Diags Raw Data'!$R$6:$R$3690)</f>
        <v>0</v>
      </c>
      <c r="N227" s="490" cm="1">
        <f t="array" ref="N227">SUMPRODUCT(--(ISNUMBER(SEARCH($A227,'Diags Raw Data'!$A$6:$A$3690))),--('Diags Raw Data'!$Q$6:$Q$3690&lt;&gt;"N/A"),'Diags Raw Data'!$T$6:$T$3690)+SUMPRODUCT(--(ISNUMBER(SEARCH($A227,'Diags Raw Data'!$A$6:$A$3690))),--('Diags Raw Data'!$Q$6:$Q$3690&lt;&gt;"N/A"),'Diags Raw Data'!$U$6:$U$3690)</f>
        <v>0</v>
      </c>
      <c r="O227" s="491">
        <f t="shared" si="37"/>
        <v>0</v>
      </c>
      <c r="P227" s="492">
        <f>SUMIF('Diags Raw Data'!$A$6:$A$3690,"*"&amp;$A227&amp;"*",'Diags Raw Data'!$Z$6:$Z$3690)</f>
        <v>0</v>
      </c>
      <c r="Q227" s="493">
        <f>SUM(SUMIF('Diags Raw Data'!$A$6:$A$3690,"*"&amp;$A227&amp;"*",'Diags Raw Data'!$AA$6:$AA$3690),SUMIF('Diags Raw Data'!$A$6:$A$3690,"*"&amp;$A227&amp;"*",'Diags Raw Data'!$AB$6:$AB$3690))</f>
        <v>0</v>
      </c>
      <c r="R227" s="494">
        <f t="shared" si="38"/>
        <v>0</v>
      </c>
      <c r="S227" s="494">
        <f t="shared" si="39"/>
        <v>0</v>
      </c>
      <c r="T227" s="495">
        <f t="shared" si="40"/>
        <v>0</v>
      </c>
      <c r="U227" s="436" t="e">
        <f>VLOOKUP(A227,'Diags Raw Data'!$A$6:$AH$3690,33,FALSE)</f>
        <v>#N/A</v>
      </c>
      <c r="V227" s="554" t="s">
        <v>327</v>
      </c>
    </row>
    <row r="228" spans="1:22" ht="30.75" thickBot="1" x14ac:dyDescent="0.3">
      <c r="A228" s="549">
        <v>12.462999999999999</v>
      </c>
      <c r="B228" s="438" t="str">
        <f>VLOOKUP(A228,'Feature Raw Data'!$A$3:$B$3922,2,FALSE)</f>
        <v>GFXCLK Deep Sleep trigger based on XVMIN</v>
      </c>
      <c r="C228" s="439" t="str">
        <f>VLOOKUP(A228,'Feature Raw Data'!$A$3:$C$3922,3,FALSE)</f>
        <v>P2</v>
      </c>
      <c r="D228" s="440" t="str" cm="1">
        <f t="array" ref="D228">_xlfn.TEXTJOIN("",TRUE,IF(ISNUMBER(SEARCH($A228,'Diags Raw Data'!$A$6:$A$3690)),CONCATENATE('Diags Raw Data'!$H$6:$H$3690,", "),""))</f>
        <v/>
      </c>
      <c r="E228" s="340" t="e">
        <f>VLOOKUP(A228,'Diags Raw Data'!$A$6:$D$3690,4,FALSE)</f>
        <v>#N/A</v>
      </c>
      <c r="F228" s="340" t="str">
        <f>VLOOKUP(A228,'Feature Raw Data'!$A$3:$E$3922,5,FALSE)</f>
        <v>New</v>
      </c>
      <c r="G228" s="340" t="str">
        <f t="shared" si="23"/>
        <v>Yes</v>
      </c>
      <c r="H228" s="340" t="str">
        <f t="shared" si="28"/>
        <v>Yes</v>
      </c>
      <c r="I228" s="439">
        <f>SUMIF('Diags Raw Data'!$A$6:$A$3690,"*"&amp;$A228&amp;"*",'Diags Raw Data'!$K$6:$K$3690)</f>
        <v>0</v>
      </c>
      <c r="J228" s="441">
        <f>SUMIF('Diags Raw Data'!$A$6:$A$3690,"*"&amp;$A228&amp;"*",'Diags Raw Data'!$L$6:$L$3690)</f>
        <v>0</v>
      </c>
      <c r="K228" s="487" cm="1">
        <f t="array" ref="K228">IF(D228="",0, SUMPRODUCT(--(ISNUMBER(SEARCH($A228,'Diags Raw Data'!$A$6:$A$3690))),'Diags Raw Data'!$L$6:$L$3690,'Diags Raw Data'!$N$6:$N$3690)/J228)</f>
        <v>0</v>
      </c>
      <c r="L228" s="488" cm="1">
        <f t="array" ref="L228">IF(D228="",0, SUMPRODUCT(--(ISNUMBER(SEARCH($A228,'Diags Raw Data'!$A$6:$A$3690))),'Diags Raw Data'!$L$6:$L$3690,'Diags Raw Data'!$P$6:$P$3690)/J228)</f>
        <v>0</v>
      </c>
      <c r="M228" s="489" cm="1">
        <f t="array" ref="M228">SUMPRODUCT(--(ISNUMBER(SEARCH($A228,'Diags Raw Data'!$A$6:$A$3690))),--('Diags Raw Data'!$Q$6:$Q$3690&lt;&gt;"N/A"),'Diags Raw Data'!$R$6:$R$3690)</f>
        <v>0</v>
      </c>
      <c r="N228" s="490" cm="1">
        <f t="array" ref="N228">SUMPRODUCT(--(ISNUMBER(SEARCH($A228,'Diags Raw Data'!$A$6:$A$3690))),--('Diags Raw Data'!$Q$6:$Q$3690&lt;&gt;"N/A"),'Diags Raw Data'!$T$6:$T$3690)+SUMPRODUCT(--(ISNUMBER(SEARCH($A228,'Diags Raw Data'!$A$6:$A$3690))),--('Diags Raw Data'!$Q$6:$Q$3690&lt;&gt;"N/A"),'Diags Raw Data'!$U$6:$U$3690)</f>
        <v>0</v>
      </c>
      <c r="O228" s="491">
        <f t="shared" si="37"/>
        <v>0</v>
      </c>
      <c r="P228" s="492">
        <f>SUMIF('Diags Raw Data'!$A$6:$A$3690,"*"&amp;$A228&amp;"*",'Diags Raw Data'!$Z$6:$Z$3690)</f>
        <v>0</v>
      </c>
      <c r="Q228" s="493">
        <f>SUM(SUMIF('Diags Raw Data'!$A$6:$A$3690,"*"&amp;$A228&amp;"*",'Diags Raw Data'!$AA$6:$AA$3690),SUMIF('Diags Raw Data'!$A$6:$A$3690,"*"&amp;$A228&amp;"*",'Diags Raw Data'!$AB$6:$AB$3690))</f>
        <v>0</v>
      </c>
      <c r="R228" s="494">
        <f t="shared" si="38"/>
        <v>0</v>
      </c>
      <c r="S228" s="494">
        <f t="shared" si="39"/>
        <v>0</v>
      </c>
      <c r="T228" s="495">
        <f t="shared" si="40"/>
        <v>0</v>
      </c>
      <c r="U228" s="436" t="e">
        <f>VLOOKUP(A228,'Diags Raw Data'!$A$6:$AH$3690,33,FALSE)</f>
        <v>#N/A</v>
      </c>
      <c r="V228" s="181"/>
    </row>
    <row r="229" spans="1:22" ht="30.75" thickBot="1" x14ac:dyDescent="0.3">
      <c r="A229" s="549">
        <v>12.464</v>
      </c>
      <c r="B229" s="438" t="str">
        <f>VLOOKUP(A229,'Feature Raw Data'!$A$3:$B$3922,2,FALSE)</f>
        <v>SP Throttling and the first DIDT droop</v>
      </c>
      <c r="C229" s="439" t="str">
        <f>VLOOKUP(A229,'Feature Raw Data'!$A$3:$C$3922,3,FALSE)</f>
        <v>P2</v>
      </c>
      <c r="D229" s="440" t="str" cm="1">
        <f t="array" ref="D229">_xlfn.TEXTJOIN("",TRUE,IF(ISNUMBER(SEARCH($A229,'Diags Raw Data'!$A$6:$A$3690)),CONCATENATE('Diags Raw Data'!$H$6:$H$3690,", "),""))</f>
        <v/>
      </c>
      <c r="E229" s="340" t="e">
        <f>VLOOKUP(A229,'Diags Raw Data'!$A$6:$D$3690,4,FALSE)</f>
        <v>#N/A</v>
      </c>
      <c r="F229" s="340" t="str">
        <f>VLOOKUP(A229,'Feature Raw Data'!$A$3:$E$3922,5,FALSE)</f>
        <v>New</v>
      </c>
      <c r="G229" s="340" t="str">
        <f t="shared" si="23"/>
        <v>Yes</v>
      </c>
      <c r="H229" s="340" t="str">
        <f t="shared" si="28"/>
        <v>Yes</v>
      </c>
      <c r="I229" s="439">
        <f>SUMIF('Diags Raw Data'!$A$6:$A$3690,"*"&amp;$A229&amp;"*",'Diags Raw Data'!$K$6:$K$3690)</f>
        <v>0</v>
      </c>
      <c r="J229" s="441">
        <f>SUMIF('Diags Raw Data'!$A$6:$A$3690,"*"&amp;$A229&amp;"*",'Diags Raw Data'!$L$6:$L$3690)</f>
        <v>0</v>
      </c>
      <c r="K229" s="487" cm="1">
        <f t="array" ref="K229">IF(D229="",0, SUMPRODUCT(--(ISNUMBER(SEARCH($A229,'Diags Raw Data'!$A$6:$A$3690))),'Diags Raw Data'!$L$6:$L$3690,'Diags Raw Data'!$N$6:$N$3690)/J229)</f>
        <v>0</v>
      </c>
      <c r="L229" s="488" cm="1">
        <f t="array" ref="L229">IF(D229="",0, SUMPRODUCT(--(ISNUMBER(SEARCH($A229,'Diags Raw Data'!$A$6:$A$3690))),'Diags Raw Data'!$L$6:$L$3690,'Diags Raw Data'!$P$6:$P$3690)/J229)</f>
        <v>0</v>
      </c>
      <c r="M229" s="489" cm="1">
        <f t="array" ref="M229">SUMPRODUCT(--(ISNUMBER(SEARCH($A229,'Diags Raw Data'!$A$6:$A$3690))),--('Diags Raw Data'!$Q$6:$Q$3690&lt;&gt;"N/A"),'Diags Raw Data'!$R$6:$R$3690)</f>
        <v>0</v>
      </c>
      <c r="N229" s="490" cm="1">
        <f t="array" ref="N229">SUMPRODUCT(--(ISNUMBER(SEARCH($A229,'Diags Raw Data'!$A$6:$A$3690))),--('Diags Raw Data'!$Q$6:$Q$3690&lt;&gt;"N/A"),'Diags Raw Data'!$T$6:$T$3690)+SUMPRODUCT(--(ISNUMBER(SEARCH($A229,'Diags Raw Data'!$A$6:$A$3690))),--('Diags Raw Data'!$Q$6:$Q$3690&lt;&gt;"N/A"),'Diags Raw Data'!$U$6:$U$3690)</f>
        <v>0</v>
      </c>
      <c r="O229" s="491">
        <f t="shared" si="37"/>
        <v>0</v>
      </c>
      <c r="P229" s="492">
        <f>SUMIF('Diags Raw Data'!$A$6:$A$3690,"*"&amp;$A229&amp;"*",'Diags Raw Data'!$Z$6:$Z$3690)</f>
        <v>0</v>
      </c>
      <c r="Q229" s="493">
        <f>SUM(SUMIF('Diags Raw Data'!$A$6:$A$3690,"*"&amp;$A229&amp;"*",'Diags Raw Data'!$AA$6:$AA$3690),SUMIF('Diags Raw Data'!$A$6:$A$3690,"*"&amp;$A229&amp;"*",'Diags Raw Data'!$AB$6:$AB$3690))</f>
        <v>0</v>
      </c>
      <c r="R229" s="494">
        <f t="shared" si="38"/>
        <v>0</v>
      </c>
      <c r="S229" s="494">
        <f t="shared" si="39"/>
        <v>0</v>
      </c>
      <c r="T229" s="495">
        <f t="shared" si="40"/>
        <v>0</v>
      </c>
      <c r="U229" s="436" t="e">
        <f>VLOOKUP(A229,'Diags Raw Data'!$A$6:$AH$3690,33,FALSE)</f>
        <v>#N/A</v>
      </c>
      <c r="V229" s="181"/>
    </row>
    <row r="230" spans="1:22" ht="30.75" thickBot="1" x14ac:dyDescent="0.3">
      <c r="A230" s="549">
        <v>12.465</v>
      </c>
      <c r="B230" s="438" t="str">
        <f>VLOOKUP(A230,'Feature Raw Data'!$A$3:$B$3922,2,FALSE)</f>
        <v>SP src operand invalidated by td/lds return</v>
      </c>
      <c r="C230" s="439" t="str">
        <f>VLOOKUP(A230,'Feature Raw Data'!$A$3:$C$3922,3,FALSE)</f>
        <v>P2</v>
      </c>
      <c r="D230" s="440" t="str" cm="1">
        <f t="array" ref="D230">_xlfn.TEXTJOIN("",TRUE,IF(ISNUMBER(SEARCH($A230,'Diags Raw Data'!$A$6:$A$3690)),CONCATENATE('Diags Raw Data'!$H$6:$H$3690,", "),""))</f>
        <v xml:space="preserve">gci1310, </v>
      </c>
      <c r="E230" s="340" t="str">
        <f>VLOOKUP(A230,'Diags Raw Data'!$A$6:$D$3690,4,FALSE)</f>
        <v>SH</v>
      </c>
      <c r="F230" s="340" t="str">
        <f>VLOOKUP(A230,'Feature Raw Data'!$A$3:$E$3922,5,FALSE)</f>
        <v>New</v>
      </c>
      <c r="G230" s="340" t="str">
        <f t="shared" si="23"/>
        <v>Yes</v>
      </c>
      <c r="H230" s="340" t="str">
        <f t="shared" si="28"/>
        <v>Yes</v>
      </c>
      <c r="I230" s="439">
        <f>SUMIF('Diags Raw Data'!$A$6:$A$3690,"*"&amp;$A230&amp;"*",'Diags Raw Data'!$K$6:$K$3690)</f>
        <v>0</v>
      </c>
      <c r="J230" s="441">
        <f>SUMIF('Diags Raw Data'!$A$6:$A$3690,"*"&amp;$A230&amp;"*",'Diags Raw Data'!$L$6:$L$3690)</f>
        <v>0</v>
      </c>
      <c r="K230" s="487" t="e" cm="1">
        <f t="array" ref="K230">IF(D230="",0, SUMPRODUCT(--(ISNUMBER(SEARCH($A230,'Diags Raw Data'!$A$6:$A$3690))),'Diags Raw Data'!$L$6:$L$3690,'Diags Raw Data'!$N$6:$N$3690)/J230)</f>
        <v>#DIV/0!</v>
      </c>
      <c r="L230" s="488" t="e" cm="1">
        <f t="array" ref="L230">IF(D230="",0, SUMPRODUCT(--(ISNUMBER(SEARCH($A230,'Diags Raw Data'!$A$6:$A$3690))),'Diags Raw Data'!$L$6:$L$3690,'Diags Raw Data'!$P$6:$P$3690)/J230)</f>
        <v>#DIV/0!</v>
      </c>
      <c r="M230" s="489" cm="1">
        <f t="array" ref="M230">SUMPRODUCT(--(ISNUMBER(SEARCH($A230,'Diags Raw Data'!$A$6:$A$3690))),--('Diags Raw Data'!$Q$6:$Q$3690&lt;&gt;"N/A"),'Diags Raw Data'!$R$6:$R$3690)</f>
        <v>1</v>
      </c>
      <c r="N230" s="490" cm="1">
        <f t="array" ref="N230">SUMPRODUCT(--(ISNUMBER(SEARCH($A230,'Diags Raw Data'!$A$6:$A$3690))),--('Diags Raw Data'!$Q$6:$Q$3690&lt;&gt;"N/A"),'Diags Raw Data'!$T$6:$T$3690)+SUMPRODUCT(--(ISNUMBER(SEARCH($A230,'Diags Raw Data'!$A$6:$A$3690))),--('Diags Raw Data'!$Q$6:$Q$3690&lt;&gt;"N/A"),'Diags Raw Data'!$U$6:$U$3690)</f>
        <v>1</v>
      </c>
      <c r="O230" s="491">
        <f t="shared" si="37"/>
        <v>1</v>
      </c>
      <c r="P230" s="492">
        <f>SUMIF('Diags Raw Data'!$A$6:$A$3690,"*"&amp;$A230&amp;"*",'Diags Raw Data'!$Z$6:$Z$3690)</f>
        <v>0</v>
      </c>
      <c r="Q230" s="493">
        <f>SUM(SUMIF('Diags Raw Data'!$A$6:$A$3690,"*"&amp;$A230&amp;"*",'Diags Raw Data'!$AA$6:$AA$3690),SUMIF('Diags Raw Data'!$A$6:$A$3690,"*"&amp;$A230&amp;"*",'Diags Raw Data'!$AB$6:$AB$3690))</f>
        <v>0</v>
      </c>
      <c r="R230" s="494">
        <f t="shared" si="38"/>
        <v>0</v>
      </c>
      <c r="S230" s="494">
        <f t="shared" si="39"/>
        <v>0</v>
      </c>
      <c r="T230" s="495">
        <f t="shared" si="40"/>
        <v>0</v>
      </c>
      <c r="U230" s="436" t="str">
        <f>VLOOKUP(A230,'Diags Raw Data'!$A$6:$AH$3690,33,FALSE)</f>
        <v>WK6</v>
      </c>
      <c r="V230" s="181"/>
    </row>
    <row r="231" spans="1:22" ht="15.75" thickBot="1" x14ac:dyDescent="0.3">
      <c r="A231" s="549">
        <v>12.465999999999999</v>
      </c>
      <c r="B231" s="438" t="str">
        <f>VLOOKUP(A231,'Feature Raw Data'!$A$3:$B$3922,2,FALSE)</f>
        <v>Distributed DIDT controller</v>
      </c>
      <c r="C231" s="439" t="str">
        <f>VLOOKUP(A231,'Feature Raw Data'!$A$3:$C$3922,3,FALSE)</f>
        <v>P2</v>
      </c>
      <c r="D231" s="440" t="str" cm="1">
        <f t="array" ref="D231">_xlfn.TEXTJOIN("",TRUE,IF(ISNUMBER(SEARCH($A231,'Diags Raw Data'!$A$6:$A$3690)),CONCATENATE('Diags Raw Data'!$H$6:$H$3690,", "),""))</f>
        <v/>
      </c>
      <c r="E231" s="340" t="e">
        <f>VLOOKUP(A231,'Diags Raw Data'!$A$6:$D$3690,4,FALSE)</f>
        <v>#N/A</v>
      </c>
      <c r="F231" s="340" t="str">
        <f>VLOOKUP(A231,'Feature Raw Data'!$A$3:$E$3922,5,FALSE)</f>
        <v>New</v>
      </c>
      <c r="G231" s="340" t="str">
        <f t="shared" si="23"/>
        <v>Yes</v>
      </c>
      <c r="H231" s="340" t="str">
        <f t="shared" si="28"/>
        <v>Yes</v>
      </c>
      <c r="I231" s="439">
        <f>SUMIF('Diags Raw Data'!$A$6:$A$3690,"*"&amp;$A231&amp;"*",'Diags Raw Data'!$K$6:$K$3690)</f>
        <v>0</v>
      </c>
      <c r="J231" s="441">
        <f>SUMIF('Diags Raw Data'!$A$6:$A$3690,"*"&amp;$A231&amp;"*",'Diags Raw Data'!$L$6:$L$3690)</f>
        <v>0</v>
      </c>
      <c r="K231" s="487" cm="1">
        <f t="array" ref="K231">IF(D231="",0, SUMPRODUCT(--(ISNUMBER(SEARCH($A231,'Diags Raw Data'!$A$6:$A$3690))),'Diags Raw Data'!$L$6:$L$3690,'Diags Raw Data'!$N$6:$N$3690)/J231)</f>
        <v>0</v>
      </c>
      <c r="L231" s="488" cm="1">
        <f t="array" ref="L231">IF(D231="",0, SUMPRODUCT(--(ISNUMBER(SEARCH($A231,'Diags Raw Data'!$A$6:$A$3690))),'Diags Raw Data'!$L$6:$L$3690,'Diags Raw Data'!$P$6:$P$3690)/J231)</f>
        <v>0</v>
      </c>
      <c r="M231" s="489" cm="1">
        <f t="array" ref="M231">SUMPRODUCT(--(ISNUMBER(SEARCH($A231,'Diags Raw Data'!$A$6:$A$3690))),--('Diags Raw Data'!$Q$6:$Q$3690&lt;&gt;"N/A"),'Diags Raw Data'!$R$6:$R$3690)</f>
        <v>0</v>
      </c>
      <c r="N231" s="490" cm="1">
        <f t="array" ref="N231">SUMPRODUCT(--(ISNUMBER(SEARCH($A231,'Diags Raw Data'!$A$6:$A$3690))),--('Diags Raw Data'!$Q$6:$Q$3690&lt;&gt;"N/A"),'Diags Raw Data'!$T$6:$T$3690)+SUMPRODUCT(--(ISNUMBER(SEARCH($A231,'Diags Raw Data'!$A$6:$A$3690))),--('Diags Raw Data'!$Q$6:$Q$3690&lt;&gt;"N/A"),'Diags Raw Data'!$U$6:$U$3690)</f>
        <v>0</v>
      </c>
      <c r="O231" s="491">
        <f t="shared" si="37"/>
        <v>0</v>
      </c>
      <c r="P231" s="492">
        <f>SUMIF('Diags Raw Data'!$A$6:$A$3690,"*"&amp;$A231&amp;"*",'Diags Raw Data'!$Z$6:$Z$3690)</f>
        <v>0</v>
      </c>
      <c r="Q231" s="493">
        <f>SUM(SUMIF('Diags Raw Data'!$A$6:$A$3690,"*"&amp;$A231&amp;"*",'Diags Raw Data'!$AA$6:$AA$3690),SUMIF('Diags Raw Data'!$A$6:$A$3690,"*"&amp;$A231&amp;"*",'Diags Raw Data'!$AB$6:$AB$3690))</f>
        <v>0</v>
      </c>
      <c r="R231" s="494">
        <f t="shared" si="38"/>
        <v>0</v>
      </c>
      <c r="S231" s="494">
        <f t="shared" si="39"/>
        <v>0</v>
      </c>
      <c r="T231" s="495">
        <f t="shared" si="40"/>
        <v>0</v>
      </c>
      <c r="U231" s="436" t="e">
        <f>VLOOKUP(A231,'Diags Raw Data'!$A$6:$AH$3690,33,FALSE)</f>
        <v>#N/A</v>
      </c>
      <c r="V231" s="181"/>
    </row>
    <row r="232" spans="1:22" ht="15.75" thickBot="1" x14ac:dyDescent="0.3">
      <c r="A232" s="549">
        <v>12.467000000000001</v>
      </c>
      <c r="B232" s="438" t="str">
        <f>VLOOKUP(A232,'Feature Raw Data'!$A$3:$B$3922,2,FALSE)</f>
        <v>GRBM/H SYNC registers</v>
      </c>
      <c r="C232" s="439" t="str">
        <f>VLOOKUP(A232,'Feature Raw Data'!$A$3:$C$3922,3,FALSE)</f>
        <v>P1</v>
      </c>
      <c r="D232" s="440" t="str" cm="1">
        <f t="array" ref="D232">_xlfn.TEXTJOIN("",TRUE,IF(ISNUMBER(SEARCH($A232,'Diags Raw Data'!$A$6:$A$3690)),CONCATENATE('Diags Raw Data'!$H$6:$H$3690,", "),""))</f>
        <v xml:space="preserve">cpi415, </v>
      </c>
      <c r="E232" s="340" t="str">
        <f>VLOOKUP(A232,'Diags Raw Data'!$A$6:$D$3690,4,FALSE)</f>
        <v>CTL</v>
      </c>
      <c r="F232" s="340" t="str">
        <f>VLOOKUP(A232,'Feature Raw Data'!$A$3:$E$3922,5,FALSE)</f>
        <v>New</v>
      </c>
      <c r="G232" s="340" t="str">
        <f t="shared" si="23"/>
        <v>Yes</v>
      </c>
      <c r="H232" s="340" t="str">
        <f t="shared" si="28"/>
        <v>Yes</v>
      </c>
      <c r="I232" s="439">
        <f>SUMIF('Diags Raw Data'!$A$6:$A$3690,"*"&amp;$A232&amp;"*",'Diags Raw Data'!$K$6:$K$3690)</f>
        <v>0</v>
      </c>
      <c r="J232" s="441">
        <f>SUMIF('Diags Raw Data'!$A$6:$A$3690,"*"&amp;$A232&amp;"*",'Diags Raw Data'!$L$6:$L$3690)</f>
        <v>0</v>
      </c>
      <c r="K232" s="487" t="e" cm="1">
        <f t="array" ref="K232">IF(D232="",0, SUMPRODUCT(--(ISNUMBER(SEARCH($A232,'Diags Raw Data'!$A$6:$A$3690))),'Diags Raw Data'!$L$6:$L$3690,'Diags Raw Data'!$N$6:$N$3690)/J232)</f>
        <v>#DIV/0!</v>
      </c>
      <c r="L232" s="488" t="e" cm="1">
        <f t="array" ref="L232">IF(D232="",0, SUMPRODUCT(--(ISNUMBER(SEARCH($A232,'Diags Raw Data'!$A$6:$A$3690))),'Diags Raw Data'!$L$6:$L$3690,'Diags Raw Data'!$P$6:$P$3690)/J232)</f>
        <v>#DIV/0!</v>
      </c>
      <c r="M232" s="489" cm="1">
        <f t="array" ref="M232">SUMPRODUCT(--(ISNUMBER(SEARCH($A232,'Diags Raw Data'!$A$6:$A$3690))),--('Diags Raw Data'!$Q$6:$Q$3690&lt;&gt;"N/A"),'Diags Raw Data'!$R$6:$R$3690)</f>
        <v>2</v>
      </c>
      <c r="N232" s="490" cm="1">
        <f t="array" ref="N232">SUMPRODUCT(--(ISNUMBER(SEARCH($A232,'Diags Raw Data'!$A$6:$A$3690))),--('Diags Raw Data'!$Q$6:$Q$3690&lt;&gt;"N/A"),'Diags Raw Data'!$T$6:$T$3690)+SUMPRODUCT(--(ISNUMBER(SEARCH($A232,'Diags Raw Data'!$A$6:$A$3690))),--('Diags Raw Data'!$Q$6:$Q$3690&lt;&gt;"N/A"),'Diags Raw Data'!$U$6:$U$3690)</f>
        <v>0</v>
      </c>
      <c r="O232" s="491">
        <f t="shared" si="37"/>
        <v>0</v>
      </c>
      <c r="P232" s="492">
        <f>SUMIF('Diags Raw Data'!$A$6:$A$3690,"*"&amp;$A232&amp;"*",'Diags Raw Data'!$Z$6:$Z$3690)</f>
        <v>0</v>
      </c>
      <c r="Q232" s="493">
        <f>SUM(SUMIF('Diags Raw Data'!$A$6:$A$3690,"*"&amp;$A232&amp;"*",'Diags Raw Data'!$AA$6:$AA$3690),SUMIF('Diags Raw Data'!$A$6:$A$3690,"*"&amp;$A232&amp;"*",'Diags Raw Data'!$AB$6:$AB$3690))</f>
        <v>0</v>
      </c>
      <c r="R232" s="494">
        <f t="shared" si="38"/>
        <v>0</v>
      </c>
      <c r="S232" s="494">
        <f t="shared" si="39"/>
        <v>0</v>
      </c>
      <c r="T232" s="495">
        <f t="shared" si="40"/>
        <v>0</v>
      </c>
      <c r="U232" s="436" t="str">
        <f>VLOOKUP(A232,'Diags Raw Data'!$A$6:$AH$3690,33,FALSE)</f>
        <v>WK3</v>
      </c>
      <c r="V232" s="181"/>
    </row>
    <row r="233" spans="1:22" ht="45.75" thickBot="1" x14ac:dyDescent="0.3">
      <c r="A233" s="549">
        <v>12.468</v>
      </c>
      <c r="B233" s="438" t="str">
        <f>VLOOKUP(A233,'Feature Raw Data'!$A$3:$B$3922,2,FALSE)</f>
        <v>RS64: Adding performance features for both Navi4x and MI400</v>
      </c>
      <c r="C233" s="439" t="str">
        <f>VLOOKUP(A233,'Feature Raw Data'!$A$3:$C$3922,3,FALSE)</f>
        <v>P2</v>
      </c>
      <c r="D233" s="440" t="str" cm="1">
        <f t="array" ref="D233">_xlfn.TEXTJOIN("",TRUE,IF(ISNUMBER(SEARCH($A233,'Diags Raw Data'!$A$6:$A$3690)),CONCATENATE('Diags Raw Data'!$H$6:$H$3690,", "),""))</f>
        <v/>
      </c>
      <c r="E233" s="340" t="e">
        <f>VLOOKUP(A233,'Diags Raw Data'!$A$6:$D$3690,4,FALSE)</f>
        <v>#N/A</v>
      </c>
      <c r="F233" s="340" t="str">
        <f>VLOOKUP(A233,'Feature Raw Data'!$A$3:$E$3922,5,FALSE)</f>
        <v>New</v>
      </c>
      <c r="G233" s="340" t="str">
        <f t="shared" si="23"/>
        <v>Yes</v>
      </c>
      <c r="H233" s="340" t="str">
        <f t="shared" si="28"/>
        <v>Yes</v>
      </c>
      <c r="I233" s="439">
        <f>SUMIF('Diags Raw Data'!$A$6:$A$3690,"*"&amp;$A233&amp;"*",'Diags Raw Data'!$K$6:$K$3690)</f>
        <v>0</v>
      </c>
      <c r="J233" s="441">
        <f>SUMIF('Diags Raw Data'!$A$6:$A$3690,"*"&amp;$A233&amp;"*",'Diags Raw Data'!$L$6:$L$3690)</f>
        <v>0</v>
      </c>
      <c r="K233" s="487" cm="1">
        <f t="array" ref="K233">IF(D233="",0, SUMPRODUCT(--(ISNUMBER(SEARCH($A233,'Diags Raw Data'!$A$6:$A$3690))),'Diags Raw Data'!$L$6:$L$3690,'Diags Raw Data'!$N$6:$N$3690)/J233)</f>
        <v>0</v>
      </c>
      <c r="L233" s="488" cm="1">
        <f t="array" ref="L233">IF(D233="",0, SUMPRODUCT(--(ISNUMBER(SEARCH($A233,'Diags Raw Data'!$A$6:$A$3690))),'Diags Raw Data'!$L$6:$L$3690,'Diags Raw Data'!$P$6:$P$3690)/J233)</f>
        <v>0</v>
      </c>
      <c r="M233" s="489" cm="1">
        <f t="array" ref="M233">SUMPRODUCT(--(ISNUMBER(SEARCH($A233,'Diags Raw Data'!$A$6:$A$3690))),--('Diags Raw Data'!$Q$6:$Q$3690&lt;&gt;"N/A"),'Diags Raw Data'!$R$6:$R$3690)</f>
        <v>0</v>
      </c>
      <c r="N233" s="490" cm="1">
        <f t="array" ref="N233">SUMPRODUCT(--(ISNUMBER(SEARCH($A233,'Diags Raw Data'!$A$6:$A$3690))),--('Diags Raw Data'!$Q$6:$Q$3690&lt;&gt;"N/A"),'Diags Raw Data'!$T$6:$T$3690)+SUMPRODUCT(--(ISNUMBER(SEARCH($A233,'Diags Raw Data'!$A$6:$A$3690))),--('Diags Raw Data'!$Q$6:$Q$3690&lt;&gt;"N/A"),'Diags Raw Data'!$U$6:$U$3690)</f>
        <v>0</v>
      </c>
      <c r="O233" s="491">
        <f t="shared" si="37"/>
        <v>0</v>
      </c>
      <c r="P233" s="492">
        <f>SUMIF('Diags Raw Data'!$A$6:$A$3690,"*"&amp;$A233&amp;"*",'Diags Raw Data'!$Z$6:$Z$3690)</f>
        <v>0</v>
      </c>
      <c r="Q233" s="493">
        <f>SUM(SUMIF('Diags Raw Data'!$A$6:$A$3690,"*"&amp;$A233&amp;"*",'Diags Raw Data'!$AA$6:$AA$3690),SUMIF('Diags Raw Data'!$A$6:$A$3690,"*"&amp;$A233&amp;"*",'Diags Raw Data'!$AB$6:$AB$3690))</f>
        <v>0</v>
      </c>
      <c r="R233" s="494">
        <f t="shared" si="38"/>
        <v>0</v>
      </c>
      <c r="S233" s="494">
        <f t="shared" si="39"/>
        <v>0</v>
      </c>
      <c r="T233" s="495">
        <f t="shared" si="40"/>
        <v>0</v>
      </c>
      <c r="U233" s="436" t="e">
        <f>VLOOKUP(A233,'Diags Raw Data'!$A$6:$AH$3690,33,FALSE)</f>
        <v>#N/A</v>
      </c>
      <c r="V233" s="181"/>
    </row>
    <row r="234" spans="1:22" ht="30.75" thickBot="1" x14ac:dyDescent="0.3">
      <c r="A234" s="549">
        <v>12.468999999999999</v>
      </c>
      <c r="B234" s="438" t="str">
        <f>VLOOKUP(A234,'Feature Raw Data'!$A$3:$B$3922,2,FALSE)</f>
        <v>F8 1.4.3 IEEE mode behavior change (match with NV)</v>
      </c>
      <c r="C234" s="439" t="str">
        <f>VLOOKUP(A234,'Feature Raw Data'!$A$3:$C$3922,3,FALSE)</f>
        <v>P2</v>
      </c>
      <c r="D234" s="440" t="str" cm="1">
        <f t="array" ref="D234">_xlfn.TEXTJOIN("",TRUE,IF(ISNUMBER(SEARCH($A234,'Diags Raw Data'!$A$6:$A$3690)),CONCATENATE('Diags Raw Data'!$H$6:$H$3690,", "),""))</f>
        <v xml:space="preserve">gci1309.0-3, </v>
      </c>
      <c r="E234" s="340" t="str">
        <f>VLOOKUP(A234,'Diags Raw Data'!$A$6:$D$3690,4,FALSE)</f>
        <v>SH</v>
      </c>
      <c r="F234" s="340" t="str">
        <f>VLOOKUP(A234,'Feature Raw Data'!$A$3:$E$3922,5,FALSE)</f>
        <v>New</v>
      </c>
      <c r="G234" s="340" t="str">
        <f t="shared" si="23"/>
        <v>Yes</v>
      </c>
      <c r="H234" s="340" t="str">
        <f t="shared" si="28"/>
        <v>Yes</v>
      </c>
      <c r="I234" s="439">
        <f>SUMIF('Diags Raw Data'!$A$6:$A$3690,"*"&amp;$A234&amp;"*",'Diags Raw Data'!$K$6:$K$3690)</f>
        <v>0</v>
      </c>
      <c r="J234" s="441">
        <f>SUMIF('Diags Raw Data'!$A$6:$A$3690,"*"&amp;$A234&amp;"*",'Diags Raw Data'!$L$6:$L$3690)</f>
        <v>0</v>
      </c>
      <c r="K234" s="487" t="e" cm="1">
        <f t="array" ref="K234">IF(D234="",0, SUMPRODUCT(--(ISNUMBER(SEARCH($A234,'Diags Raw Data'!$A$6:$A$3690))),'Diags Raw Data'!$L$6:$L$3690,'Diags Raw Data'!$N$6:$N$3690)/J234)</f>
        <v>#DIV/0!</v>
      </c>
      <c r="L234" s="488" t="e" cm="1">
        <f t="array" ref="L234">IF(D234="",0, SUMPRODUCT(--(ISNUMBER(SEARCH($A234,'Diags Raw Data'!$A$6:$A$3690))),'Diags Raw Data'!$L$6:$L$3690,'Diags Raw Data'!$P$6:$P$3690)/J234)</f>
        <v>#DIV/0!</v>
      </c>
      <c r="M234" s="489" cm="1">
        <f t="array" ref="M234">SUMPRODUCT(--(ISNUMBER(SEARCH($A234,'Diags Raw Data'!$A$6:$A$3690))),--('Diags Raw Data'!$Q$6:$Q$3690&lt;&gt;"N/A"),'Diags Raw Data'!$R$6:$R$3690)</f>
        <v>4</v>
      </c>
      <c r="N234" s="490" cm="1">
        <f t="array" ref="N234">SUMPRODUCT(--(ISNUMBER(SEARCH($A234,'Diags Raw Data'!$A$6:$A$3690))),--('Diags Raw Data'!$Q$6:$Q$3690&lt;&gt;"N/A"),'Diags Raw Data'!$T$6:$T$3690)+SUMPRODUCT(--(ISNUMBER(SEARCH($A234,'Diags Raw Data'!$A$6:$A$3690))),--('Diags Raw Data'!$Q$6:$Q$3690&lt;&gt;"N/A"),'Diags Raw Data'!$U$6:$U$3690)</f>
        <v>4</v>
      </c>
      <c r="O234" s="491">
        <f t="shared" si="37"/>
        <v>1</v>
      </c>
      <c r="P234" s="492">
        <f>SUMIF('Diags Raw Data'!$A$6:$A$3690,"*"&amp;$A234&amp;"*",'Diags Raw Data'!$Z$6:$Z$3690)</f>
        <v>0</v>
      </c>
      <c r="Q234" s="493">
        <f>SUM(SUMIF('Diags Raw Data'!$A$6:$A$3690,"*"&amp;$A234&amp;"*",'Diags Raw Data'!$AA$6:$AA$3690),SUMIF('Diags Raw Data'!$A$6:$A$3690,"*"&amp;$A234&amp;"*",'Diags Raw Data'!$AB$6:$AB$3690))</f>
        <v>0</v>
      </c>
      <c r="R234" s="494">
        <f t="shared" si="38"/>
        <v>0</v>
      </c>
      <c r="S234" s="494">
        <f t="shared" si="39"/>
        <v>0</v>
      </c>
      <c r="T234" s="495">
        <f t="shared" si="40"/>
        <v>0</v>
      </c>
      <c r="U234" s="436" t="str">
        <f>VLOOKUP(A234,'Diags Raw Data'!$A$6:$AH$3690,33,FALSE)</f>
        <v>WK7</v>
      </c>
      <c r="V234" s="181"/>
    </row>
    <row r="235" spans="1:22" ht="75.75" thickBot="1" x14ac:dyDescent="0.3">
      <c r="A235" s="549">
        <v>12.47</v>
      </c>
      <c r="B235" s="438" t="str">
        <f>VLOOKUP(A235,'Feature Raw Data'!$A$3:$B$3922,2,FALSE)</f>
        <v>RS64: No support for OOO IO read and write memory transactions</v>
      </c>
      <c r="C235" s="439" t="str">
        <f>VLOOKUP(A235,'Feature Raw Data'!$A$3:$C$3922,3,FALSE)</f>
        <v>P1</v>
      </c>
      <c r="D235" s="440" t="str" cm="1">
        <f t="array" ref="D235">_xlfn.TEXTJOIN("",TRUE,IF(ISNUMBER(SEARCH($A235,'Diags Raw Data'!$A$6:$A$3690)),CONCATENATE('Diags Raw Data'!$H$6:$H$3690,", "),""))</f>
        <v xml:space="preserve">gmhub.athub_raw_monolithic_test/CPWD, gfx.sr_stat, gfx.inst_perf/v_wmma_f32_16x16x.*,gfx.inst_perf/v_wmma_i32_16x16x32_iu4,gci39.1-6, placeholder_b.1, </v>
      </c>
      <c r="E235" s="340" t="str">
        <f>VLOOKUP(A235,'Diags Raw Data'!$A$6:$D$3690,4,FALSE)</f>
        <v>CMM</v>
      </c>
      <c r="F235" s="340" t="str">
        <f>VLOOKUP(A235,'Feature Raw Data'!$A$3:$E$3922,5,FALSE)</f>
        <v>New</v>
      </c>
      <c r="G235" s="340" t="str">
        <f t="shared" si="23"/>
        <v>Yes</v>
      </c>
      <c r="H235" s="340" t="str">
        <f t="shared" si="28"/>
        <v>Yes</v>
      </c>
      <c r="I235" s="439">
        <f>SUMIF('Diags Raw Data'!$A$6:$A$3690,"*"&amp;$A235&amp;"*",'Diags Raw Data'!$K$6:$K$3690)</f>
        <v>0</v>
      </c>
      <c r="J235" s="441">
        <f>SUMIF('Diags Raw Data'!$A$6:$A$3690,"*"&amp;$A235&amp;"*",'Diags Raw Data'!$L$6:$L$3690)</f>
        <v>0</v>
      </c>
      <c r="K235" s="487" t="e" cm="1">
        <f t="array" ref="K235">IF(D235="",0, SUMPRODUCT(--(ISNUMBER(SEARCH($A235,'Diags Raw Data'!$A$6:$A$3690))),'Diags Raw Data'!$L$6:$L$3690,'Diags Raw Data'!$N$6:$N$3690)/J235)</f>
        <v>#DIV/0!</v>
      </c>
      <c r="L235" s="488" t="e" cm="1">
        <f t="array" ref="L235">IF(D235="",0, SUMPRODUCT(--(ISNUMBER(SEARCH($A235,'Diags Raw Data'!$A$6:$A$3690))),'Diags Raw Data'!$L$6:$L$3690,'Diags Raw Data'!$P$6:$P$3690)/J235)</f>
        <v>#DIV/0!</v>
      </c>
      <c r="M235" s="489" cm="1">
        <f t="array" ref="M235">SUMPRODUCT(--(ISNUMBER(SEARCH($A235,'Diags Raw Data'!$A$6:$A$3690))),--('Diags Raw Data'!$Q$6:$Q$3690&lt;&gt;"N/A"),'Diags Raw Data'!$R$6:$R$3690)</f>
        <v>14</v>
      </c>
      <c r="N235" s="490" cm="1">
        <f t="array" ref="N235">SUMPRODUCT(--(ISNUMBER(SEARCH($A235,'Diags Raw Data'!$A$6:$A$3690))),--('Diags Raw Data'!$Q$6:$Q$3690&lt;&gt;"N/A"),'Diags Raw Data'!$T$6:$T$3690)+SUMPRODUCT(--(ISNUMBER(SEARCH($A235,'Diags Raw Data'!$A$6:$A$3690))),--('Diags Raw Data'!$Q$6:$Q$3690&lt;&gt;"N/A"),'Diags Raw Data'!$U$6:$U$3690)</f>
        <v>11</v>
      </c>
      <c r="O235" s="491">
        <f t="shared" si="37"/>
        <v>0.7857142857142857</v>
      </c>
      <c r="P235" s="492">
        <f>SUMIF('Diags Raw Data'!$A$6:$A$3690,"*"&amp;$A235&amp;"*",'Diags Raw Data'!$Z$6:$Z$3690)</f>
        <v>0</v>
      </c>
      <c r="Q235" s="493">
        <f>SUM(SUMIF('Diags Raw Data'!$A$6:$A$3690,"*"&amp;$A235&amp;"*",'Diags Raw Data'!$AA$6:$AA$3690),SUMIF('Diags Raw Data'!$A$6:$A$3690,"*"&amp;$A235&amp;"*",'Diags Raw Data'!$AB$6:$AB$3690))</f>
        <v>0</v>
      </c>
      <c r="R235" s="494">
        <f t="shared" si="38"/>
        <v>0</v>
      </c>
      <c r="S235" s="494">
        <f t="shared" si="39"/>
        <v>0</v>
      </c>
      <c r="T235" s="495">
        <f t="shared" si="40"/>
        <v>0</v>
      </c>
      <c r="U235" s="436" t="str">
        <f>VLOOKUP(A235,'Diags Raw Data'!$A$6:$AH$3690,33,FALSE)</f>
        <v>WK5</v>
      </c>
      <c r="V235" s="181"/>
    </row>
    <row r="236" spans="1:22" ht="45.75" thickBot="1" x14ac:dyDescent="0.3">
      <c r="A236" s="549">
        <v>12.471</v>
      </c>
      <c r="B236" s="438" t="str">
        <f>VLOOKUP(A236,'Feature Raw Data'!$A$3:$B$3922,2,FALSE)</f>
        <v>Save and Restore of perfcounter and ttrace enable for GFXOFF/SRIOV</v>
      </c>
      <c r="C236" s="439" t="str">
        <f>VLOOKUP(A236,'Feature Raw Data'!$A$3:$C$3922,3,FALSE)</f>
        <v>P2</v>
      </c>
      <c r="D236" s="440" t="str" cm="1">
        <f t="array" ref="D236">_xlfn.TEXTJOIN("",TRUE,IF(ISNUMBER(SEARCH($A236,'Diags Raw Data'!$A$6:$A$3690)),CONCATENATE('Diags Raw Data'!$H$6:$H$3690,", "),""))</f>
        <v xml:space="preserve">gfx.sr_stat, </v>
      </c>
      <c r="E236" s="340" t="str">
        <f>VLOOKUP(A236,'Diags Raw Data'!$A$6:$D$3690,4,FALSE)</f>
        <v>SIO</v>
      </c>
      <c r="F236" s="340" t="str">
        <f>VLOOKUP(A236,'Feature Raw Data'!$A$3:$E$3922,5,FALSE)</f>
        <v>New</v>
      </c>
      <c r="G236" s="340" t="str">
        <f t="shared" si="23"/>
        <v>Yes</v>
      </c>
      <c r="H236" s="340" t="str">
        <f t="shared" si="28"/>
        <v>Yes</v>
      </c>
      <c r="I236" s="439">
        <f>SUMIF('Diags Raw Data'!$A$6:$A$3690,"*"&amp;$A236&amp;"*",'Diags Raw Data'!$K$6:$K$3690)</f>
        <v>0</v>
      </c>
      <c r="J236" s="441">
        <f>SUMIF('Diags Raw Data'!$A$6:$A$3690,"*"&amp;$A236&amp;"*",'Diags Raw Data'!$L$6:$L$3690)</f>
        <v>0</v>
      </c>
      <c r="K236" s="487" t="e" cm="1">
        <f t="array" ref="K236">IF(D236="",0, SUMPRODUCT(--(ISNUMBER(SEARCH($A236,'Diags Raw Data'!$A$6:$A$3690))),'Diags Raw Data'!$L$6:$L$3690,'Diags Raw Data'!$N$6:$N$3690)/J236)</f>
        <v>#DIV/0!</v>
      </c>
      <c r="L236" s="488" t="e" cm="1">
        <f t="array" ref="L236">IF(D236="",0, SUMPRODUCT(--(ISNUMBER(SEARCH($A236,'Diags Raw Data'!$A$6:$A$3690))),'Diags Raw Data'!$L$6:$L$3690,'Diags Raw Data'!$P$6:$P$3690)/J236)</f>
        <v>#DIV/0!</v>
      </c>
      <c r="M236" s="489" cm="1">
        <f t="array" ref="M236">SUMPRODUCT(--(ISNUMBER(SEARCH($A236,'Diags Raw Data'!$A$6:$A$3690))),--('Diags Raw Data'!$Q$6:$Q$3690&lt;&gt;"N/A"),'Diags Raw Data'!$R$6:$R$3690)</f>
        <v>1</v>
      </c>
      <c r="N236" s="490" cm="1">
        <f t="array" ref="N236">SUMPRODUCT(--(ISNUMBER(SEARCH($A236,'Diags Raw Data'!$A$6:$A$3690))),--('Diags Raw Data'!$Q$6:$Q$3690&lt;&gt;"N/A"),'Diags Raw Data'!$T$6:$T$3690)+SUMPRODUCT(--(ISNUMBER(SEARCH($A236,'Diags Raw Data'!$A$6:$A$3690))),--('Diags Raw Data'!$Q$6:$Q$3690&lt;&gt;"N/A"),'Diags Raw Data'!$U$6:$U$3690)</f>
        <v>0</v>
      </c>
      <c r="O236" s="491">
        <f t="shared" si="37"/>
        <v>0</v>
      </c>
      <c r="P236" s="492">
        <f>SUMIF('Diags Raw Data'!$A$6:$A$3690,"*"&amp;$A236&amp;"*",'Diags Raw Data'!$Z$6:$Z$3690)</f>
        <v>0</v>
      </c>
      <c r="Q236" s="493">
        <f>SUM(SUMIF('Diags Raw Data'!$A$6:$A$3690,"*"&amp;$A236&amp;"*",'Diags Raw Data'!$AA$6:$AA$3690),SUMIF('Diags Raw Data'!$A$6:$A$3690,"*"&amp;$A236&amp;"*",'Diags Raw Data'!$AB$6:$AB$3690))</f>
        <v>0</v>
      </c>
      <c r="R236" s="494">
        <f t="shared" si="38"/>
        <v>0</v>
      </c>
      <c r="S236" s="494">
        <f t="shared" si="39"/>
        <v>0</v>
      </c>
      <c r="T236" s="495">
        <f t="shared" si="40"/>
        <v>0</v>
      </c>
      <c r="U236" s="436" t="str">
        <f>VLOOKUP(A236,'Diags Raw Data'!$A$6:$AH$3690,33,FALSE)</f>
        <v>WK8</v>
      </c>
      <c r="V236" s="181"/>
    </row>
    <row r="237" spans="1:22" ht="30.75" thickBot="1" x14ac:dyDescent="0.3">
      <c r="A237" s="549">
        <v>12.473000000000001</v>
      </c>
      <c r="B237" s="438" t="str">
        <f>VLOOKUP(A237,'Feature Raw Data'!$A$3:$B$3922,2,FALSE)</f>
        <v>GL2 shared across all SEs for Navi44/48</v>
      </c>
      <c r="C237" s="439" t="str">
        <f>VLOOKUP(A237,'Feature Raw Data'!$A$3:$C$3922,3,FALSE)</f>
        <v>P1</v>
      </c>
      <c r="D237" s="440" t="str" cm="1">
        <f t="array" ref="D237">_xlfn.TEXTJOIN("",TRUE,IF(ISNUMBER(SEARCH($A237,'Diags Raw Data'!$A$6:$A$3690)),CONCATENATE('Diags Raw Data'!$H$6:$H$3690,", "),""))</f>
        <v/>
      </c>
      <c r="E237" s="340" t="e">
        <f>VLOOKUP(A237,'Diags Raw Data'!$A$6:$D$3690,4,FALSE)</f>
        <v>#N/A</v>
      </c>
      <c r="F237" s="340" t="str">
        <f>VLOOKUP(A237,'Feature Raw Data'!$A$3:$E$3922,5,FALSE)</f>
        <v>New</v>
      </c>
      <c r="G237" s="340" t="str">
        <f t="shared" si="23"/>
        <v>Yes</v>
      </c>
      <c r="H237" s="340" t="str">
        <f t="shared" si="28"/>
        <v>Yes</v>
      </c>
      <c r="I237" s="439">
        <f>SUMIF('Diags Raw Data'!$A$6:$A$3690,"*"&amp;$A237&amp;"*",'Diags Raw Data'!$K$6:$K$3690)</f>
        <v>0</v>
      </c>
      <c r="J237" s="441">
        <f>SUMIF('Diags Raw Data'!$A$6:$A$3690,"*"&amp;$A237&amp;"*",'Diags Raw Data'!$L$6:$L$3690)</f>
        <v>0</v>
      </c>
      <c r="K237" s="487" cm="1">
        <f t="array" ref="K237">IF(D237="",0, SUMPRODUCT(--(ISNUMBER(SEARCH($A237,'Diags Raw Data'!$A$6:$A$3690))),'Diags Raw Data'!$L$6:$L$3690,'Diags Raw Data'!$N$6:$N$3690)/J237)</f>
        <v>0</v>
      </c>
      <c r="L237" s="488" cm="1">
        <f t="array" ref="L237">IF(D237="",0, SUMPRODUCT(--(ISNUMBER(SEARCH($A237,'Diags Raw Data'!$A$6:$A$3690))),'Diags Raw Data'!$L$6:$L$3690,'Diags Raw Data'!$P$6:$P$3690)/J237)</f>
        <v>0</v>
      </c>
      <c r="M237" s="489" cm="1">
        <f t="array" ref="M237">SUMPRODUCT(--(ISNUMBER(SEARCH($A237,'Diags Raw Data'!$A$6:$A$3690))),--('Diags Raw Data'!$Q$6:$Q$3690&lt;&gt;"N/A"),'Diags Raw Data'!$R$6:$R$3690)</f>
        <v>0</v>
      </c>
      <c r="N237" s="490" cm="1">
        <f t="array" ref="N237">SUMPRODUCT(--(ISNUMBER(SEARCH($A237,'Diags Raw Data'!$A$6:$A$3690))),--('Diags Raw Data'!$Q$6:$Q$3690&lt;&gt;"N/A"),'Diags Raw Data'!$T$6:$T$3690)+SUMPRODUCT(--(ISNUMBER(SEARCH($A237,'Diags Raw Data'!$A$6:$A$3690))),--('Diags Raw Data'!$Q$6:$Q$3690&lt;&gt;"N/A"),'Diags Raw Data'!$U$6:$U$3690)</f>
        <v>0</v>
      </c>
      <c r="O237" s="491">
        <f t="shared" si="37"/>
        <v>0</v>
      </c>
      <c r="P237" s="492">
        <f>SUMIF('Diags Raw Data'!$A$6:$A$3690,"*"&amp;$A237&amp;"*",'Diags Raw Data'!$Z$6:$Z$3690)</f>
        <v>0</v>
      </c>
      <c r="Q237" s="493">
        <f>SUM(SUMIF('Diags Raw Data'!$A$6:$A$3690,"*"&amp;$A237&amp;"*",'Diags Raw Data'!$AA$6:$AA$3690),SUMIF('Diags Raw Data'!$A$6:$A$3690,"*"&amp;$A237&amp;"*",'Diags Raw Data'!$AB$6:$AB$3690))</f>
        <v>0</v>
      </c>
      <c r="R237" s="494">
        <f t="shared" si="38"/>
        <v>0</v>
      </c>
      <c r="S237" s="494">
        <f t="shared" si="39"/>
        <v>0</v>
      </c>
      <c r="T237" s="495">
        <f t="shared" si="40"/>
        <v>0</v>
      </c>
      <c r="U237" s="436" t="e">
        <f>VLOOKUP(A237,'Diags Raw Data'!$A$6:$AH$3690,33,FALSE)</f>
        <v>#N/A</v>
      </c>
      <c r="V237" s="181"/>
    </row>
    <row r="238" spans="1:22" ht="45.75" thickBot="1" x14ac:dyDescent="0.3">
      <c r="A238" s="549">
        <v>12.474</v>
      </c>
      <c r="B238" s="438" t="str">
        <f>VLOOKUP(A238,'Feature Raw Data'!$A$3:$B$3922,2,FALSE)</f>
        <v>2x MLOPs performance</v>
      </c>
      <c r="C238" s="439" t="str">
        <f>VLOOKUP(A238,'Feature Raw Data'!$A$3:$C$3922,3,FALSE)</f>
        <v>P2</v>
      </c>
      <c r="D238" s="440" t="str" cm="1">
        <f t="array" ref="D238">_xlfn.TEXTJOIN("",TRUE,IF(ISNUMBER(SEARCH($A238,'Diags Raw Data'!$A$6:$A$3690)),CONCATENATE('Diags Raw Data'!$H$6:$H$3690,", "),""))</f>
        <v xml:space="preserve">gfx.inst_perf/v_wmma_f32_16x16x.*,gfx.inst_perf/v_wmma_i32_16x16x32_iu4,gci39.1-6, </v>
      </c>
      <c r="E238" s="340" t="str">
        <f>VLOOKUP(A238,'Diags Raw Data'!$A$6:$D$3690,4,FALSE)</f>
        <v>SH</v>
      </c>
      <c r="F238" s="340" t="str">
        <f>VLOOKUP(A238,'Feature Raw Data'!$A$3:$E$3922,5,FALSE)</f>
        <v>New</v>
      </c>
      <c r="G238" s="340" t="str">
        <f t="shared" ref="G238:G258" si="41">IF(D238="N/A, ","No","Yes")</f>
        <v>Yes</v>
      </c>
      <c r="H238" s="340" t="str">
        <f t="shared" ref="H238:H258" si="42">IF(D238="N/A, ","No","Yes")</f>
        <v>Yes</v>
      </c>
      <c r="I238" s="439">
        <f>SUMIF('Diags Raw Data'!$A$6:$A$3690,"*"&amp;$A238&amp;"*",'Diags Raw Data'!$K$6:$K$3690)</f>
        <v>0</v>
      </c>
      <c r="J238" s="441">
        <f>SUMIF('Diags Raw Data'!$A$6:$A$3690,"*"&amp;$A238&amp;"*",'Diags Raw Data'!$L$6:$L$3690)</f>
        <v>0</v>
      </c>
      <c r="K238" s="487" t="e" cm="1">
        <f t="array" ref="K238">IF(D238="",0, SUMPRODUCT(--(ISNUMBER(SEARCH($A238,'Diags Raw Data'!$A$6:$A$3690))),'Diags Raw Data'!$L$6:$L$3690,'Diags Raw Data'!$N$6:$N$3690)/J238)</f>
        <v>#DIV/0!</v>
      </c>
      <c r="L238" s="488" t="e" cm="1">
        <f t="array" ref="L238">IF(D238="",0, SUMPRODUCT(--(ISNUMBER(SEARCH($A238,'Diags Raw Data'!$A$6:$A$3690))),'Diags Raw Data'!$L$6:$L$3690,'Diags Raw Data'!$P$6:$P$3690)/J238)</f>
        <v>#DIV/0!</v>
      </c>
      <c r="M238" s="489" cm="1">
        <f t="array" ref="M238">SUMPRODUCT(--(ISNUMBER(SEARCH($A238,'Diags Raw Data'!$A$6:$A$3690))),--('Diags Raw Data'!$Q$6:$Q$3690&lt;&gt;"N/A"),'Diags Raw Data'!$R$6:$R$3690)</f>
        <v>11</v>
      </c>
      <c r="N238" s="490" cm="1">
        <f t="array" ref="N238">SUMPRODUCT(--(ISNUMBER(SEARCH($A238,'Diags Raw Data'!$A$6:$A$3690))),--('Diags Raw Data'!$Q$6:$Q$3690&lt;&gt;"N/A"),'Diags Raw Data'!$T$6:$T$3690)+SUMPRODUCT(--(ISNUMBER(SEARCH($A238,'Diags Raw Data'!$A$6:$A$3690))),--('Diags Raw Data'!$Q$6:$Q$3690&lt;&gt;"N/A"),'Diags Raw Data'!$U$6:$U$3690)</f>
        <v>11</v>
      </c>
      <c r="O238" s="491">
        <f t="shared" ref="O238:O258" si="43">IF((M238=0),0,N238/M238)</f>
        <v>1</v>
      </c>
      <c r="P238" s="492">
        <f>SUMIF('Diags Raw Data'!$A$6:$A$3690,"*"&amp;$A238&amp;"*",'Diags Raw Data'!$Z$6:$Z$3690)</f>
        <v>0</v>
      </c>
      <c r="Q238" s="493">
        <f>SUM(SUMIF('Diags Raw Data'!$A$6:$A$3690,"*"&amp;$A238&amp;"*",'Diags Raw Data'!$AA$6:$AA$3690),SUMIF('Diags Raw Data'!$A$6:$A$3690,"*"&amp;$A238&amp;"*",'Diags Raw Data'!$AB$6:$AB$3690))</f>
        <v>0</v>
      </c>
      <c r="R238" s="494">
        <f t="shared" ref="R238:R258" si="44">IF((J238=0),0,P238/J238)</f>
        <v>0</v>
      </c>
      <c r="S238" s="494">
        <f t="shared" ref="S238:S258" si="45">IF((P238=0),0,Q238/P238)</f>
        <v>0</v>
      </c>
      <c r="T238" s="495">
        <f t="shared" ref="T238:T258" si="46">R238*S238</f>
        <v>0</v>
      </c>
      <c r="U238" s="436" t="str">
        <f>VLOOKUP(A238,'Diags Raw Data'!$A$6:$AH$3690,33,FALSE)</f>
        <v>WK6</v>
      </c>
      <c r="V238" s="181"/>
    </row>
    <row r="239" spans="1:22" ht="30.75" thickBot="1" x14ac:dyDescent="0.3">
      <c r="A239" s="549">
        <v>12.475</v>
      </c>
      <c r="B239" s="438" t="str">
        <f>VLOOKUP(A239,'Feature Raw Data'!$A$3:$B$3922,2,FALSE)</f>
        <v>IO traffic can potentially block DRAM traffic</v>
      </c>
      <c r="C239" s="439" t="str">
        <f>VLOOKUP(A239,'Feature Raw Data'!$A$3:$C$3922,3,FALSE)</f>
        <v>P1</v>
      </c>
      <c r="D239" s="440" t="str" cm="1">
        <f t="array" ref="D239">_xlfn.TEXTJOIN("",TRUE,IF(ISNUMBER(SEARCH($A239,'Diags Raw Data'!$A$6:$A$3690)),CONCATENATE('Diags Raw Data'!$H$6:$H$3690,", "),""))</f>
        <v/>
      </c>
      <c r="E239" s="340" t="e">
        <f>VLOOKUP(A239,'Diags Raw Data'!$A$6:$D$3690,4,FALSE)</f>
        <v>#N/A</v>
      </c>
      <c r="F239" s="340" t="str">
        <f>VLOOKUP(A239,'Feature Raw Data'!$A$3:$E$3922,5,FALSE)</f>
        <v>New</v>
      </c>
      <c r="G239" s="340" t="str">
        <f t="shared" si="41"/>
        <v>Yes</v>
      </c>
      <c r="H239" s="340" t="str">
        <f t="shared" si="42"/>
        <v>Yes</v>
      </c>
      <c r="I239" s="439">
        <f>SUMIF('Diags Raw Data'!$A$6:$A$3690,"*"&amp;$A239&amp;"*",'Diags Raw Data'!$K$6:$K$3690)</f>
        <v>0</v>
      </c>
      <c r="J239" s="441">
        <f>SUMIF('Diags Raw Data'!$A$6:$A$3690,"*"&amp;$A239&amp;"*",'Diags Raw Data'!$L$6:$L$3690)</f>
        <v>0</v>
      </c>
      <c r="K239" s="487" cm="1">
        <f t="array" ref="K239">IF(D239="",0, SUMPRODUCT(--(ISNUMBER(SEARCH($A239,'Diags Raw Data'!$A$6:$A$3690))),'Diags Raw Data'!$L$6:$L$3690,'Diags Raw Data'!$N$6:$N$3690)/J239)</f>
        <v>0</v>
      </c>
      <c r="L239" s="488" cm="1">
        <f t="array" ref="L239">IF(D239="",0, SUMPRODUCT(--(ISNUMBER(SEARCH($A239,'Diags Raw Data'!$A$6:$A$3690))),'Diags Raw Data'!$L$6:$L$3690,'Diags Raw Data'!$P$6:$P$3690)/J239)</f>
        <v>0</v>
      </c>
      <c r="M239" s="489" cm="1">
        <f t="array" ref="M239">SUMPRODUCT(--(ISNUMBER(SEARCH($A239,'Diags Raw Data'!$A$6:$A$3690))),--('Diags Raw Data'!$Q$6:$Q$3690&lt;&gt;"N/A"),'Diags Raw Data'!$R$6:$R$3690)</f>
        <v>0</v>
      </c>
      <c r="N239" s="490" cm="1">
        <f t="array" ref="N239">SUMPRODUCT(--(ISNUMBER(SEARCH($A239,'Diags Raw Data'!$A$6:$A$3690))),--('Diags Raw Data'!$Q$6:$Q$3690&lt;&gt;"N/A"),'Diags Raw Data'!$T$6:$T$3690)+SUMPRODUCT(--(ISNUMBER(SEARCH($A239,'Diags Raw Data'!$A$6:$A$3690))),--('Diags Raw Data'!$Q$6:$Q$3690&lt;&gt;"N/A"),'Diags Raw Data'!$U$6:$U$3690)</f>
        <v>0</v>
      </c>
      <c r="O239" s="491">
        <f t="shared" si="43"/>
        <v>0</v>
      </c>
      <c r="P239" s="492">
        <f>SUMIF('Diags Raw Data'!$A$6:$A$3690,"*"&amp;$A239&amp;"*",'Diags Raw Data'!$Z$6:$Z$3690)</f>
        <v>0</v>
      </c>
      <c r="Q239" s="493">
        <f>SUM(SUMIF('Diags Raw Data'!$A$6:$A$3690,"*"&amp;$A239&amp;"*",'Diags Raw Data'!$AA$6:$AA$3690),SUMIF('Diags Raw Data'!$A$6:$A$3690,"*"&amp;$A239&amp;"*",'Diags Raw Data'!$AB$6:$AB$3690))</f>
        <v>0</v>
      </c>
      <c r="R239" s="494">
        <f t="shared" si="44"/>
        <v>0</v>
      </c>
      <c r="S239" s="494">
        <f t="shared" si="45"/>
        <v>0</v>
      </c>
      <c r="T239" s="495">
        <f t="shared" si="46"/>
        <v>0</v>
      </c>
      <c r="U239" s="436" t="e">
        <f>VLOOKUP(A239,'Diags Raw Data'!$A$6:$AH$3690,33,FALSE)</f>
        <v>#N/A</v>
      </c>
      <c r="V239" s="181"/>
    </row>
    <row r="240" spans="1:22" ht="30.75" thickBot="1" x14ac:dyDescent="0.3">
      <c r="A240" s="549">
        <v>12.476000000000001</v>
      </c>
      <c r="B240" s="438" t="str">
        <f>VLOOKUP(A240,'Feature Raw Data'!$A$3:$B$3922,2,FALSE)</f>
        <v>Descope 8xaa for VRS coarse rates (1x2, 2x2, 2x1)</v>
      </c>
      <c r="C240" s="439" t="str">
        <f>VLOOKUP(A240,'Feature Raw Data'!$A$3:$C$3922,3,FALSE)</f>
        <v>P3</v>
      </c>
      <c r="D240" s="440" t="str" cm="1">
        <f t="array" ref="D240">_xlfn.TEXTJOIN("",TRUE,IF(ISNUMBER(SEARCH($A240,'Diags Raw Data'!$A$6:$A$3690)),CONCATENATE('Diags Raw Data'!$H$6:$H$3690,", "),""))</f>
        <v/>
      </c>
      <c r="E240" s="340" t="e">
        <f>VLOOKUP(A240,'Diags Raw Data'!$A$6:$D$3690,4,FALSE)</f>
        <v>#N/A</v>
      </c>
      <c r="F240" s="340" t="str">
        <f>VLOOKUP(A240,'Feature Raw Data'!$A$3:$E$3922,5,FALSE)</f>
        <v>New</v>
      </c>
      <c r="G240" s="340" t="str">
        <f t="shared" si="41"/>
        <v>Yes</v>
      </c>
      <c r="H240" s="340" t="str">
        <f t="shared" si="42"/>
        <v>Yes</v>
      </c>
      <c r="I240" s="439">
        <f>SUMIF('Diags Raw Data'!$A$6:$A$3690,"*"&amp;$A240&amp;"*",'Diags Raw Data'!$K$6:$K$3690)</f>
        <v>0</v>
      </c>
      <c r="J240" s="441">
        <f>SUMIF('Diags Raw Data'!$A$6:$A$3690,"*"&amp;$A240&amp;"*",'Diags Raw Data'!$L$6:$L$3690)</f>
        <v>0</v>
      </c>
      <c r="K240" s="487" cm="1">
        <f t="array" ref="K240">IF(D240="",0, SUMPRODUCT(--(ISNUMBER(SEARCH($A240,'Diags Raw Data'!$A$6:$A$3690))),'Diags Raw Data'!$L$6:$L$3690,'Diags Raw Data'!$N$6:$N$3690)/J240)</f>
        <v>0</v>
      </c>
      <c r="L240" s="488" cm="1">
        <f t="array" ref="L240">IF(D240="",0, SUMPRODUCT(--(ISNUMBER(SEARCH($A240,'Diags Raw Data'!$A$6:$A$3690))),'Diags Raw Data'!$L$6:$L$3690,'Diags Raw Data'!$P$6:$P$3690)/J240)</f>
        <v>0</v>
      </c>
      <c r="M240" s="489" cm="1">
        <f t="array" ref="M240">SUMPRODUCT(--(ISNUMBER(SEARCH($A240,'Diags Raw Data'!$A$6:$A$3690))),--('Diags Raw Data'!$Q$6:$Q$3690&lt;&gt;"N/A"),'Diags Raw Data'!$R$6:$R$3690)</f>
        <v>0</v>
      </c>
      <c r="N240" s="490" cm="1">
        <f t="array" ref="N240">SUMPRODUCT(--(ISNUMBER(SEARCH($A240,'Diags Raw Data'!$A$6:$A$3690))),--('Diags Raw Data'!$Q$6:$Q$3690&lt;&gt;"N/A"),'Diags Raw Data'!$T$6:$T$3690)+SUMPRODUCT(--(ISNUMBER(SEARCH($A240,'Diags Raw Data'!$A$6:$A$3690))),--('Diags Raw Data'!$Q$6:$Q$3690&lt;&gt;"N/A"),'Diags Raw Data'!$U$6:$U$3690)</f>
        <v>0</v>
      </c>
      <c r="O240" s="491">
        <f t="shared" si="43"/>
        <v>0</v>
      </c>
      <c r="P240" s="492">
        <f>SUMIF('Diags Raw Data'!$A$6:$A$3690,"*"&amp;$A240&amp;"*",'Diags Raw Data'!$Z$6:$Z$3690)</f>
        <v>0</v>
      </c>
      <c r="Q240" s="493">
        <f>SUM(SUMIF('Diags Raw Data'!$A$6:$A$3690,"*"&amp;$A240&amp;"*",'Diags Raw Data'!$AA$6:$AA$3690),SUMIF('Diags Raw Data'!$A$6:$A$3690,"*"&amp;$A240&amp;"*",'Diags Raw Data'!$AB$6:$AB$3690))</f>
        <v>0</v>
      </c>
      <c r="R240" s="494">
        <f t="shared" si="44"/>
        <v>0</v>
      </c>
      <c r="S240" s="494">
        <f t="shared" si="45"/>
        <v>0</v>
      </c>
      <c r="T240" s="495">
        <f t="shared" si="46"/>
        <v>0</v>
      </c>
      <c r="U240" s="436" t="e">
        <f>VLOOKUP(A240,'Diags Raw Data'!$A$6:$AH$3690,33,FALSE)</f>
        <v>#N/A</v>
      </c>
      <c r="V240" s="181"/>
    </row>
    <row r="241" spans="1:22" ht="45.75" thickBot="1" x14ac:dyDescent="0.3">
      <c r="A241" s="549">
        <v>12.477</v>
      </c>
      <c r="B241" s="438" t="str">
        <f>VLOOKUP(A241,'Feature Raw Data'!$A$3:$B$3922,2,FALSE)</f>
        <v>Hook up AVFS debug bus to debug bus chains in 4 gc_2gl2c_1_tiles</v>
      </c>
      <c r="C241" s="439" t="str">
        <f>VLOOKUP(A241,'Feature Raw Data'!$A$3:$C$3922,3,FALSE)</f>
        <v>P3</v>
      </c>
      <c r="D241" s="440" t="str" cm="1">
        <f t="array" ref="D241">_xlfn.TEXTJOIN("",TRUE,IF(ISNUMBER(SEARCH($A241,'Diags Raw Data'!$A$6:$A$3690)),CONCATENATE('Diags Raw Data'!$H$6:$H$3690,", "),""))</f>
        <v/>
      </c>
      <c r="E241" s="340" t="e">
        <f>VLOOKUP(A241,'Diags Raw Data'!$A$6:$D$3690,4,FALSE)</f>
        <v>#N/A</v>
      </c>
      <c r="F241" s="340" t="str">
        <f>VLOOKUP(A241,'Feature Raw Data'!$A$3:$E$3922,5,FALSE)</f>
        <v>New</v>
      </c>
      <c r="G241" s="340" t="str">
        <f t="shared" si="41"/>
        <v>Yes</v>
      </c>
      <c r="H241" s="340" t="str">
        <f t="shared" si="42"/>
        <v>Yes</v>
      </c>
      <c r="I241" s="439">
        <f>SUMIF('Diags Raw Data'!$A$6:$A$3690,"*"&amp;$A241&amp;"*",'Diags Raw Data'!$K$6:$K$3690)</f>
        <v>0</v>
      </c>
      <c r="J241" s="441">
        <f>SUMIF('Diags Raw Data'!$A$6:$A$3690,"*"&amp;$A241&amp;"*",'Diags Raw Data'!$L$6:$L$3690)</f>
        <v>0</v>
      </c>
      <c r="K241" s="487" cm="1">
        <f t="array" ref="K241">IF(D241="",0, SUMPRODUCT(--(ISNUMBER(SEARCH($A241,'Diags Raw Data'!$A$6:$A$3690))),'Diags Raw Data'!$L$6:$L$3690,'Diags Raw Data'!$N$6:$N$3690)/J241)</f>
        <v>0</v>
      </c>
      <c r="L241" s="488" cm="1">
        <f t="array" ref="L241">IF(D241="",0, SUMPRODUCT(--(ISNUMBER(SEARCH($A241,'Diags Raw Data'!$A$6:$A$3690))),'Diags Raw Data'!$L$6:$L$3690,'Diags Raw Data'!$P$6:$P$3690)/J241)</f>
        <v>0</v>
      </c>
      <c r="M241" s="489" cm="1">
        <f t="array" ref="M241">SUMPRODUCT(--(ISNUMBER(SEARCH($A241,'Diags Raw Data'!$A$6:$A$3690))),--('Diags Raw Data'!$Q$6:$Q$3690&lt;&gt;"N/A"),'Diags Raw Data'!$R$6:$R$3690)</f>
        <v>0</v>
      </c>
      <c r="N241" s="490" cm="1">
        <f t="array" ref="N241">SUMPRODUCT(--(ISNUMBER(SEARCH($A241,'Diags Raw Data'!$A$6:$A$3690))),--('Diags Raw Data'!$Q$6:$Q$3690&lt;&gt;"N/A"),'Diags Raw Data'!$T$6:$T$3690)+SUMPRODUCT(--(ISNUMBER(SEARCH($A241,'Diags Raw Data'!$A$6:$A$3690))),--('Diags Raw Data'!$Q$6:$Q$3690&lt;&gt;"N/A"),'Diags Raw Data'!$U$6:$U$3690)</f>
        <v>0</v>
      </c>
      <c r="O241" s="491">
        <f t="shared" si="43"/>
        <v>0</v>
      </c>
      <c r="P241" s="492">
        <f>SUMIF('Diags Raw Data'!$A$6:$A$3690,"*"&amp;$A241&amp;"*",'Diags Raw Data'!$Z$6:$Z$3690)</f>
        <v>0</v>
      </c>
      <c r="Q241" s="493">
        <f>SUM(SUMIF('Diags Raw Data'!$A$6:$A$3690,"*"&amp;$A241&amp;"*",'Diags Raw Data'!$AA$6:$AA$3690),SUMIF('Diags Raw Data'!$A$6:$A$3690,"*"&amp;$A241&amp;"*",'Diags Raw Data'!$AB$6:$AB$3690))</f>
        <v>0</v>
      </c>
      <c r="R241" s="494">
        <f t="shared" si="44"/>
        <v>0</v>
      </c>
      <c r="S241" s="494">
        <f t="shared" si="45"/>
        <v>0</v>
      </c>
      <c r="T241" s="495">
        <f t="shared" si="46"/>
        <v>0</v>
      </c>
      <c r="U241" s="436" t="e">
        <f>VLOOKUP(A241,'Diags Raw Data'!$A$6:$AH$3690,33,FALSE)</f>
        <v>#N/A</v>
      </c>
      <c r="V241" s="181"/>
    </row>
    <row r="242" spans="1:22" ht="75.75" thickBot="1" x14ac:dyDescent="0.3">
      <c r="A242" s="549">
        <v>12.478999999999999</v>
      </c>
      <c r="B242" s="438" t="str">
        <f>VLOOKUP(A242,'Feature Raw Data'!$A$3:$B$3922,2,FALSE)</f>
        <v>Add Ordered-Add memory atomic for faster SW Streamout (global_atomic_ordered_add_b64)</v>
      </c>
      <c r="C242" s="439" t="str">
        <f>VLOOKUP(A242,'Feature Raw Data'!$A$3:$C$3922,3,FALSE)</f>
        <v>P2</v>
      </c>
      <c r="D242" s="440" t="str" cm="1">
        <f t="array" ref="D242">_xlfn.TEXTJOIN("",TRUE,IF(ISNUMBER(SEARCH($A242,'Diags Raw Data'!$A$6:$A$3690)),CONCATENATE('Diags Raw Data'!$H$6:$H$3690,", "),""))</f>
        <v xml:space="preserve">placeholder_b.1, </v>
      </c>
      <c r="E242" s="340" t="str">
        <f>VLOOKUP(A242,'Diags Raw Data'!$A$6:$D$3690,4,FALSE)</f>
        <v>CMM</v>
      </c>
      <c r="F242" s="340" t="str">
        <f>VLOOKUP(A242,'Feature Raw Data'!$A$3:$E$3922,5,FALSE)</f>
        <v>New</v>
      </c>
      <c r="G242" s="340" t="str">
        <f t="shared" si="41"/>
        <v>Yes</v>
      </c>
      <c r="H242" s="340" t="str">
        <f t="shared" si="42"/>
        <v>Yes</v>
      </c>
      <c r="I242" s="439">
        <f>SUMIF('Diags Raw Data'!$A$6:$A$3690,"*"&amp;$A242&amp;"*",'Diags Raw Data'!$K$6:$K$3690)</f>
        <v>0</v>
      </c>
      <c r="J242" s="441">
        <f>SUMIF('Diags Raw Data'!$A$6:$A$3690,"*"&amp;$A242&amp;"*",'Diags Raw Data'!$L$6:$L$3690)</f>
        <v>0</v>
      </c>
      <c r="K242" s="487" t="e" cm="1">
        <f t="array" ref="K242">IF(D242="",0, SUMPRODUCT(--(ISNUMBER(SEARCH($A242,'Diags Raw Data'!$A$6:$A$3690))),'Diags Raw Data'!$L$6:$L$3690,'Diags Raw Data'!$N$6:$N$3690)/J242)</f>
        <v>#DIV/0!</v>
      </c>
      <c r="L242" s="488" t="e" cm="1">
        <f t="array" ref="L242">IF(D242="",0, SUMPRODUCT(--(ISNUMBER(SEARCH($A242,'Diags Raw Data'!$A$6:$A$3690))),'Diags Raw Data'!$L$6:$L$3690,'Diags Raw Data'!$P$6:$P$3690)/J242)</f>
        <v>#DIV/0!</v>
      </c>
      <c r="M242" s="489" cm="1">
        <f t="array" ref="M242">SUMPRODUCT(--(ISNUMBER(SEARCH($A242,'Diags Raw Data'!$A$6:$A$3690))),--('Diags Raw Data'!$Q$6:$Q$3690&lt;&gt;"N/A"),'Diags Raw Data'!$R$6:$R$3690)</f>
        <v>1</v>
      </c>
      <c r="N242" s="490" cm="1">
        <f t="array" ref="N242">SUMPRODUCT(--(ISNUMBER(SEARCH($A242,'Diags Raw Data'!$A$6:$A$3690))),--('Diags Raw Data'!$Q$6:$Q$3690&lt;&gt;"N/A"),'Diags Raw Data'!$T$6:$T$3690)+SUMPRODUCT(--(ISNUMBER(SEARCH($A242,'Diags Raw Data'!$A$6:$A$3690))),--('Diags Raw Data'!$Q$6:$Q$3690&lt;&gt;"N/A"),'Diags Raw Data'!$U$6:$U$3690)</f>
        <v>0</v>
      </c>
      <c r="O242" s="491">
        <f t="shared" si="43"/>
        <v>0</v>
      </c>
      <c r="P242" s="492">
        <f>SUMIF('Diags Raw Data'!$A$6:$A$3690,"*"&amp;$A242&amp;"*",'Diags Raw Data'!$Z$6:$Z$3690)</f>
        <v>0</v>
      </c>
      <c r="Q242" s="493">
        <f>SUM(SUMIF('Diags Raw Data'!$A$6:$A$3690,"*"&amp;$A242&amp;"*",'Diags Raw Data'!$AA$6:$AA$3690),SUMIF('Diags Raw Data'!$A$6:$A$3690,"*"&amp;$A242&amp;"*",'Diags Raw Data'!$AB$6:$AB$3690))</f>
        <v>0</v>
      </c>
      <c r="R242" s="494">
        <f t="shared" si="44"/>
        <v>0</v>
      </c>
      <c r="S242" s="494">
        <f t="shared" si="45"/>
        <v>0</v>
      </c>
      <c r="T242" s="495">
        <f t="shared" si="46"/>
        <v>0</v>
      </c>
      <c r="U242" s="436" t="str">
        <f>VLOOKUP(A242,'Diags Raw Data'!$A$6:$AH$3690,33,FALSE)</f>
        <v>WK8</v>
      </c>
      <c r="V242" s="181"/>
    </row>
    <row r="243" spans="1:22" ht="45.75" thickBot="1" x14ac:dyDescent="0.3">
      <c r="A243" s="549">
        <v>12.48</v>
      </c>
      <c r="B243" s="438" t="str">
        <f>VLOOKUP(A243,'Feature Raw Data'!$A$3:$B$3922,2,FALSE)</f>
        <v>Move GFX PSMs to faster clock for faster DIDT controller response</v>
      </c>
      <c r="C243" s="439" t="str">
        <f>VLOOKUP(A243,'Feature Raw Data'!$A$3:$C$3922,3,FALSE)</f>
        <v>P3</v>
      </c>
      <c r="D243" s="440" t="str" cm="1">
        <f t="array" ref="D243">_xlfn.TEXTJOIN("",TRUE,IF(ISNUMBER(SEARCH($A243,'Diags Raw Data'!$A$6:$A$3690)),CONCATENATE('Diags Raw Data'!$H$6:$H$3690,", "),""))</f>
        <v xml:space="preserve">txi83, STD1.6, </v>
      </c>
      <c r="E243" s="340" t="e">
        <f>VLOOKUP(A243,'Diags Raw Data'!$A$6:$D$3690,4,FALSE)</f>
        <v>#N/A</v>
      </c>
      <c r="F243" s="340" t="str">
        <f>VLOOKUP(A243,'Feature Raw Data'!$A$3:$E$3922,5,FALSE)</f>
        <v>New</v>
      </c>
      <c r="G243" s="340" t="str">
        <f t="shared" si="41"/>
        <v>Yes</v>
      </c>
      <c r="H243" s="340" t="str">
        <f t="shared" si="42"/>
        <v>Yes</v>
      </c>
      <c r="I243" s="439">
        <f>SUMIF('Diags Raw Data'!$A$6:$A$3690,"*"&amp;$A243&amp;"*",'Diags Raw Data'!$K$6:$K$3690)</f>
        <v>0</v>
      </c>
      <c r="J243" s="441">
        <f>SUMIF('Diags Raw Data'!$A$6:$A$3690,"*"&amp;$A243&amp;"*",'Diags Raw Data'!$L$6:$L$3690)</f>
        <v>0</v>
      </c>
      <c r="K243" s="487" t="e" cm="1">
        <f t="array" ref="K243">IF(D243="",0, SUMPRODUCT(--(ISNUMBER(SEARCH($A243,'Diags Raw Data'!$A$6:$A$3690))),'Diags Raw Data'!$L$6:$L$3690,'Diags Raw Data'!$N$6:$N$3690)/J243)</f>
        <v>#DIV/0!</v>
      </c>
      <c r="L243" s="488" t="e" cm="1">
        <f t="array" ref="L243">IF(D243="",0, SUMPRODUCT(--(ISNUMBER(SEARCH($A243,'Diags Raw Data'!$A$6:$A$3690))),'Diags Raw Data'!$L$6:$L$3690,'Diags Raw Data'!$P$6:$P$3690)/J243)</f>
        <v>#DIV/0!</v>
      </c>
      <c r="M243" s="489" cm="1">
        <f t="array" ref="M243">SUMPRODUCT(--(ISNUMBER(SEARCH($A243,'Diags Raw Data'!$A$6:$A$3690))),--('Diags Raw Data'!$Q$6:$Q$3690&lt;&gt;"N/A"),'Diags Raw Data'!$R$6:$R$3690)</f>
        <v>2</v>
      </c>
      <c r="N243" s="490" cm="1">
        <f t="array" ref="N243">SUMPRODUCT(--(ISNUMBER(SEARCH($A243,'Diags Raw Data'!$A$6:$A$3690))),--('Diags Raw Data'!$Q$6:$Q$3690&lt;&gt;"N/A"),'Diags Raw Data'!$T$6:$T$3690)+SUMPRODUCT(--(ISNUMBER(SEARCH($A243,'Diags Raw Data'!$A$6:$A$3690))),--('Diags Raw Data'!$Q$6:$Q$3690&lt;&gt;"N/A"),'Diags Raw Data'!$U$6:$U$3690)</f>
        <v>0</v>
      </c>
      <c r="O243" s="491">
        <f t="shared" si="43"/>
        <v>0</v>
      </c>
      <c r="P243" s="492">
        <f>SUMIF('Diags Raw Data'!$A$6:$A$3690,"*"&amp;$A243&amp;"*",'Diags Raw Data'!$Z$6:$Z$3690)</f>
        <v>0</v>
      </c>
      <c r="Q243" s="493">
        <f>SUM(SUMIF('Diags Raw Data'!$A$6:$A$3690,"*"&amp;$A243&amp;"*",'Diags Raw Data'!$AA$6:$AA$3690),SUMIF('Diags Raw Data'!$A$6:$A$3690,"*"&amp;$A243&amp;"*",'Diags Raw Data'!$AB$6:$AB$3690))</f>
        <v>0</v>
      </c>
      <c r="R243" s="494">
        <f t="shared" si="44"/>
        <v>0</v>
      </c>
      <c r="S243" s="494">
        <f t="shared" si="45"/>
        <v>0</v>
      </c>
      <c r="T243" s="495">
        <f t="shared" si="46"/>
        <v>0</v>
      </c>
      <c r="U243" s="436" t="e">
        <f>VLOOKUP(A243,'Diags Raw Data'!$A$6:$AH$3690,33,FALSE)</f>
        <v>#N/A</v>
      </c>
      <c r="V243" s="181"/>
    </row>
    <row r="244" spans="1:22" ht="45.75" thickBot="1" x14ac:dyDescent="0.3">
      <c r="A244" s="549">
        <v>12.483000000000001</v>
      </c>
      <c r="B244" s="438" t="str">
        <f>VLOOKUP(A244,'Feature Raw Data'!$A$3:$B$3922,2,FALSE)</f>
        <v>Processor controllable performance counters for CP Bottleneck profiling</v>
      </c>
      <c r="C244" s="439" t="str">
        <f>VLOOKUP(A244,'Feature Raw Data'!$A$3:$C$3922,3,FALSE)</f>
        <v>P3</v>
      </c>
      <c r="D244" s="440" t="str" cm="1">
        <f t="array" ref="D244">_xlfn.TEXTJOIN("",TRUE,IF(ISNUMBER(SEARCH($A244,'Diags Raw Data'!$A$6:$A$3690)),CONCATENATE('Diags Raw Data'!$H$6:$H$3690,", "),""))</f>
        <v/>
      </c>
      <c r="E244" s="340" t="e">
        <f>VLOOKUP(A244,'Diags Raw Data'!$A$6:$D$3690,4,FALSE)</f>
        <v>#N/A</v>
      </c>
      <c r="F244" s="340" t="str">
        <f>VLOOKUP(A244,'Feature Raw Data'!$A$3:$E$3922,5,FALSE)</f>
        <v>New</v>
      </c>
      <c r="G244" s="340" t="str">
        <f t="shared" si="41"/>
        <v>Yes</v>
      </c>
      <c r="H244" s="340" t="str">
        <f t="shared" si="42"/>
        <v>Yes</v>
      </c>
      <c r="I244" s="439">
        <f>SUMIF('Diags Raw Data'!$A$6:$A$3690,"*"&amp;$A244&amp;"*",'Diags Raw Data'!$K$6:$K$3690)</f>
        <v>0</v>
      </c>
      <c r="J244" s="441">
        <f>SUMIF('Diags Raw Data'!$A$6:$A$3690,"*"&amp;$A244&amp;"*",'Diags Raw Data'!$L$6:$L$3690)</f>
        <v>0</v>
      </c>
      <c r="K244" s="487" cm="1">
        <f t="array" ref="K244">IF(D244="",0, SUMPRODUCT(--(ISNUMBER(SEARCH($A244,'Diags Raw Data'!$A$6:$A$3690))),'Diags Raw Data'!$L$6:$L$3690,'Diags Raw Data'!$N$6:$N$3690)/J244)</f>
        <v>0</v>
      </c>
      <c r="L244" s="488" cm="1">
        <f t="array" ref="L244">IF(D244="",0, SUMPRODUCT(--(ISNUMBER(SEARCH($A244,'Diags Raw Data'!$A$6:$A$3690))),'Diags Raw Data'!$L$6:$L$3690,'Diags Raw Data'!$P$6:$P$3690)/J244)</f>
        <v>0</v>
      </c>
      <c r="M244" s="489" cm="1">
        <f t="array" ref="M244">SUMPRODUCT(--(ISNUMBER(SEARCH($A244,'Diags Raw Data'!$A$6:$A$3690))),--('Diags Raw Data'!$Q$6:$Q$3690&lt;&gt;"N/A"),'Diags Raw Data'!$R$6:$R$3690)</f>
        <v>0</v>
      </c>
      <c r="N244" s="490" cm="1">
        <f t="array" ref="N244">SUMPRODUCT(--(ISNUMBER(SEARCH($A244,'Diags Raw Data'!$A$6:$A$3690))),--('Diags Raw Data'!$Q$6:$Q$3690&lt;&gt;"N/A"),'Diags Raw Data'!$T$6:$T$3690)+SUMPRODUCT(--(ISNUMBER(SEARCH($A244,'Diags Raw Data'!$A$6:$A$3690))),--('Diags Raw Data'!$Q$6:$Q$3690&lt;&gt;"N/A"),'Diags Raw Data'!$U$6:$U$3690)</f>
        <v>0</v>
      </c>
      <c r="O244" s="491">
        <f t="shared" si="43"/>
        <v>0</v>
      </c>
      <c r="P244" s="492">
        <f>SUMIF('Diags Raw Data'!$A$6:$A$3690,"*"&amp;$A244&amp;"*",'Diags Raw Data'!$Z$6:$Z$3690)</f>
        <v>0</v>
      </c>
      <c r="Q244" s="493">
        <f>SUM(SUMIF('Diags Raw Data'!$A$6:$A$3690,"*"&amp;$A244&amp;"*",'Diags Raw Data'!$AA$6:$AA$3690),SUMIF('Diags Raw Data'!$A$6:$A$3690,"*"&amp;$A244&amp;"*",'Diags Raw Data'!$AB$6:$AB$3690))</f>
        <v>0</v>
      </c>
      <c r="R244" s="494">
        <f t="shared" si="44"/>
        <v>0</v>
      </c>
      <c r="S244" s="494">
        <f t="shared" si="45"/>
        <v>0</v>
      </c>
      <c r="T244" s="495">
        <f t="shared" si="46"/>
        <v>0</v>
      </c>
      <c r="U244" s="436" t="e">
        <f>VLOOKUP(A244,'Diags Raw Data'!$A$6:$AH$3690,33,FALSE)</f>
        <v>#N/A</v>
      </c>
      <c r="V244" s="181"/>
    </row>
    <row r="245" spans="1:22" ht="60.75" thickBot="1" x14ac:dyDescent="0.3">
      <c r="A245" s="549">
        <v>12.484</v>
      </c>
      <c r="B245" s="438" t="str">
        <f>VLOOKUP(A245,'Feature Raw Data'!$A$3:$B$3922,2,FALSE)</f>
        <v>decoding of op ATOMIC_UMAX_8_NO_RTN from EA to SDP is not expected</v>
      </c>
      <c r="C245" s="439" t="str">
        <f>VLOOKUP(A245,'Feature Raw Data'!$A$3:$C$3922,3,FALSE)</f>
        <v>P1</v>
      </c>
      <c r="D245" s="440" t="str" cm="1">
        <f t="array" ref="D245">_xlfn.TEXTJOIN("",TRUE,IF(ISNUMBER(SEARCH($A245,'Diags Raw Data'!$A$6:$A$3690)),CONCATENATE('Diags Raw Data'!$H$6:$H$3690,", "),""))</f>
        <v xml:space="preserve">txi83, </v>
      </c>
      <c r="E245" s="340" t="str">
        <f>VLOOKUP(A245,'Diags Raw Data'!$A$6:$D$3690,4,FALSE)</f>
        <v>CMM</v>
      </c>
      <c r="F245" s="340" t="str">
        <f>VLOOKUP(A245,'Feature Raw Data'!$A$3:$E$3922,5,FALSE)</f>
        <v>New</v>
      </c>
      <c r="G245" s="340" t="str">
        <f t="shared" si="41"/>
        <v>Yes</v>
      </c>
      <c r="H245" s="340" t="str">
        <f t="shared" si="42"/>
        <v>Yes</v>
      </c>
      <c r="I245" s="439">
        <f>SUMIF('Diags Raw Data'!$A$6:$A$3690,"*"&amp;$A245&amp;"*",'Diags Raw Data'!$K$6:$K$3690)</f>
        <v>0</v>
      </c>
      <c r="J245" s="441">
        <f>SUMIF('Diags Raw Data'!$A$6:$A$3690,"*"&amp;$A245&amp;"*",'Diags Raw Data'!$L$6:$L$3690)</f>
        <v>0</v>
      </c>
      <c r="K245" s="487" t="e" cm="1">
        <f t="array" ref="K245">IF(D245="",0, SUMPRODUCT(--(ISNUMBER(SEARCH($A245,'Diags Raw Data'!$A$6:$A$3690))),'Diags Raw Data'!$L$6:$L$3690,'Diags Raw Data'!$N$6:$N$3690)/J245)</f>
        <v>#DIV/0!</v>
      </c>
      <c r="L245" s="488" t="e" cm="1">
        <f t="array" ref="L245">IF(D245="",0, SUMPRODUCT(--(ISNUMBER(SEARCH($A245,'Diags Raw Data'!$A$6:$A$3690))),'Diags Raw Data'!$L$6:$L$3690,'Diags Raw Data'!$P$6:$P$3690)/J245)</f>
        <v>#DIV/0!</v>
      </c>
      <c r="M245" s="489" cm="1">
        <f t="array" ref="M245">SUMPRODUCT(--(ISNUMBER(SEARCH($A245,'Diags Raw Data'!$A$6:$A$3690))),--('Diags Raw Data'!$Q$6:$Q$3690&lt;&gt;"N/A"),'Diags Raw Data'!$R$6:$R$3690)</f>
        <v>1</v>
      </c>
      <c r="N245" s="490" cm="1">
        <f t="array" ref="N245">SUMPRODUCT(--(ISNUMBER(SEARCH($A245,'Diags Raw Data'!$A$6:$A$3690))),--('Diags Raw Data'!$Q$6:$Q$3690&lt;&gt;"N/A"),'Diags Raw Data'!$T$6:$T$3690)+SUMPRODUCT(--(ISNUMBER(SEARCH($A245,'Diags Raw Data'!$A$6:$A$3690))),--('Diags Raw Data'!$Q$6:$Q$3690&lt;&gt;"N/A"),'Diags Raw Data'!$U$6:$U$3690)</f>
        <v>0</v>
      </c>
      <c r="O245" s="491">
        <f t="shared" si="43"/>
        <v>0</v>
      </c>
      <c r="P245" s="492">
        <f>SUMIF('Diags Raw Data'!$A$6:$A$3690,"*"&amp;$A245&amp;"*",'Diags Raw Data'!$Z$6:$Z$3690)</f>
        <v>0</v>
      </c>
      <c r="Q245" s="493">
        <f>SUM(SUMIF('Diags Raw Data'!$A$6:$A$3690,"*"&amp;$A245&amp;"*",'Diags Raw Data'!$AA$6:$AA$3690),SUMIF('Diags Raw Data'!$A$6:$A$3690,"*"&amp;$A245&amp;"*",'Diags Raw Data'!$AB$6:$AB$3690))</f>
        <v>0</v>
      </c>
      <c r="R245" s="494">
        <f t="shared" si="44"/>
        <v>0</v>
      </c>
      <c r="S245" s="494">
        <f t="shared" si="45"/>
        <v>0</v>
      </c>
      <c r="T245" s="495">
        <f t="shared" si="46"/>
        <v>0</v>
      </c>
      <c r="U245" s="436" t="str">
        <f>VLOOKUP(A245,'Diags Raw Data'!$A$6:$AH$3690,33,FALSE)</f>
        <v>WK7</v>
      </c>
      <c r="V245" s="181"/>
    </row>
    <row r="246" spans="1:22" ht="30.75" thickBot="1" x14ac:dyDescent="0.3">
      <c r="A246" s="549">
        <v>12.484999999999999</v>
      </c>
      <c r="B246" s="438" t="str">
        <f>VLOOKUP(A246,'Feature Raw Data'!$A$3:$B$3922,2,FALSE)</f>
        <v>Navi4 GFXIMU Interrupt Capability</v>
      </c>
      <c r="C246" s="439" t="str">
        <f>VLOOKUP(A246,'Feature Raw Data'!$A$3:$C$3922,3,FALSE)</f>
        <v>P3</v>
      </c>
      <c r="D246" s="440" t="str" cm="1">
        <f t="array" ref="D246">_xlfn.TEXTJOIN("",TRUE,IF(ISNUMBER(SEARCH($A246,'Diags Raw Data'!$A$6:$A$3690)),CONCATENATE('Diags Raw Data'!$H$6:$H$3690,", "),""))</f>
        <v/>
      </c>
      <c r="E246" s="340" t="e">
        <f>VLOOKUP(A246,'Diags Raw Data'!$A$6:$D$3690,4,FALSE)</f>
        <v>#N/A</v>
      </c>
      <c r="F246" s="340" t="str">
        <f>VLOOKUP(A246,'Feature Raw Data'!$A$3:$E$3922,5,FALSE)</f>
        <v>New</v>
      </c>
      <c r="G246" s="340" t="str">
        <f t="shared" si="41"/>
        <v>Yes</v>
      </c>
      <c r="H246" s="340" t="str">
        <f t="shared" si="42"/>
        <v>Yes</v>
      </c>
      <c r="I246" s="439">
        <f>SUMIF('Diags Raw Data'!$A$6:$A$3690,"*"&amp;$A246&amp;"*",'Diags Raw Data'!$K$6:$K$3690)</f>
        <v>0</v>
      </c>
      <c r="J246" s="441">
        <f>SUMIF('Diags Raw Data'!$A$6:$A$3690,"*"&amp;$A246&amp;"*",'Diags Raw Data'!$L$6:$L$3690)</f>
        <v>0</v>
      </c>
      <c r="K246" s="487" cm="1">
        <f t="array" ref="K246">IF(D246="",0, SUMPRODUCT(--(ISNUMBER(SEARCH($A246,'Diags Raw Data'!$A$6:$A$3690))),'Diags Raw Data'!$L$6:$L$3690,'Diags Raw Data'!$N$6:$N$3690)/J246)</f>
        <v>0</v>
      </c>
      <c r="L246" s="488" cm="1">
        <f t="array" ref="L246">IF(D246="",0, SUMPRODUCT(--(ISNUMBER(SEARCH($A246,'Diags Raw Data'!$A$6:$A$3690))),'Diags Raw Data'!$L$6:$L$3690,'Diags Raw Data'!$P$6:$P$3690)/J246)</f>
        <v>0</v>
      </c>
      <c r="M246" s="489" cm="1">
        <f t="array" ref="M246">SUMPRODUCT(--(ISNUMBER(SEARCH($A246,'Diags Raw Data'!$A$6:$A$3690))),--('Diags Raw Data'!$Q$6:$Q$3690&lt;&gt;"N/A"),'Diags Raw Data'!$R$6:$R$3690)</f>
        <v>0</v>
      </c>
      <c r="N246" s="490" cm="1">
        <f t="array" ref="N246">SUMPRODUCT(--(ISNUMBER(SEARCH($A246,'Diags Raw Data'!$A$6:$A$3690))),--('Diags Raw Data'!$Q$6:$Q$3690&lt;&gt;"N/A"),'Diags Raw Data'!$T$6:$T$3690)+SUMPRODUCT(--(ISNUMBER(SEARCH($A246,'Diags Raw Data'!$A$6:$A$3690))),--('Diags Raw Data'!$Q$6:$Q$3690&lt;&gt;"N/A"),'Diags Raw Data'!$U$6:$U$3690)</f>
        <v>0</v>
      </c>
      <c r="O246" s="491">
        <f t="shared" si="43"/>
        <v>0</v>
      </c>
      <c r="P246" s="492">
        <f>SUMIF('Diags Raw Data'!$A$6:$A$3690,"*"&amp;$A246&amp;"*",'Diags Raw Data'!$Z$6:$Z$3690)</f>
        <v>0</v>
      </c>
      <c r="Q246" s="493">
        <f>SUM(SUMIF('Diags Raw Data'!$A$6:$A$3690,"*"&amp;$A246&amp;"*",'Diags Raw Data'!$AA$6:$AA$3690),SUMIF('Diags Raw Data'!$A$6:$A$3690,"*"&amp;$A246&amp;"*",'Diags Raw Data'!$AB$6:$AB$3690))</f>
        <v>0</v>
      </c>
      <c r="R246" s="494">
        <f t="shared" si="44"/>
        <v>0</v>
      </c>
      <c r="S246" s="494">
        <f t="shared" si="45"/>
        <v>0</v>
      </c>
      <c r="T246" s="495">
        <f t="shared" si="46"/>
        <v>0</v>
      </c>
      <c r="U246" s="436" t="e">
        <f>VLOOKUP(A246,'Diags Raw Data'!$A$6:$AH$3690,33,FALSE)</f>
        <v>#N/A</v>
      </c>
      <c r="V246" s="181"/>
    </row>
    <row r="247" spans="1:22" ht="30.75" thickBot="1" x14ac:dyDescent="0.3">
      <c r="A247" s="549">
        <v>12.486000000000001</v>
      </c>
      <c r="B247" s="438" t="str">
        <f>VLOOKUP(A247,'Feature Raw Data'!$A$3:$B$3922,2,FALSE)</f>
        <v>Allow GFX doorbells through IMU doorbell fence</v>
      </c>
      <c r="C247" s="439" t="str">
        <f>VLOOKUP(A247,'Feature Raw Data'!$A$3:$C$3922,3,FALSE)</f>
        <v>P1</v>
      </c>
      <c r="D247" s="440" t="str" cm="1">
        <f t="array" ref="D247">_xlfn.TEXTJOIN("",TRUE,IF(ISNUMBER(SEARCH($A247,'Diags Raw Data'!$A$6:$A$3690)),CONCATENATE('Diags Raw Data'!$H$6:$H$3690,", "),""))</f>
        <v/>
      </c>
      <c r="E247" s="340" t="e">
        <f>VLOOKUP(A247,'Diags Raw Data'!$A$6:$D$3690,4,FALSE)</f>
        <v>#N/A</v>
      </c>
      <c r="F247" s="340" t="str">
        <f>VLOOKUP(A247,'Feature Raw Data'!$A$3:$E$3922,5,FALSE)</f>
        <v>New</v>
      </c>
      <c r="G247" s="340" t="str">
        <f t="shared" si="41"/>
        <v>Yes</v>
      </c>
      <c r="H247" s="340" t="str">
        <f t="shared" si="42"/>
        <v>Yes</v>
      </c>
      <c r="I247" s="439">
        <f>SUMIF('Diags Raw Data'!$A$6:$A$3690,"*"&amp;$A247&amp;"*",'Diags Raw Data'!$K$6:$K$3690)</f>
        <v>0</v>
      </c>
      <c r="J247" s="441">
        <f>SUMIF('Diags Raw Data'!$A$6:$A$3690,"*"&amp;$A247&amp;"*",'Diags Raw Data'!$L$6:$L$3690)</f>
        <v>0</v>
      </c>
      <c r="K247" s="487" cm="1">
        <f t="array" ref="K247">IF(D247="",0, SUMPRODUCT(--(ISNUMBER(SEARCH($A247,'Diags Raw Data'!$A$6:$A$3690))),'Diags Raw Data'!$L$6:$L$3690,'Diags Raw Data'!$N$6:$N$3690)/J247)</f>
        <v>0</v>
      </c>
      <c r="L247" s="488" cm="1">
        <f t="array" ref="L247">IF(D247="",0, SUMPRODUCT(--(ISNUMBER(SEARCH($A247,'Diags Raw Data'!$A$6:$A$3690))),'Diags Raw Data'!$L$6:$L$3690,'Diags Raw Data'!$P$6:$P$3690)/J247)</f>
        <v>0</v>
      </c>
      <c r="M247" s="489" cm="1">
        <f t="array" ref="M247">SUMPRODUCT(--(ISNUMBER(SEARCH($A247,'Diags Raw Data'!$A$6:$A$3690))),--('Diags Raw Data'!$Q$6:$Q$3690&lt;&gt;"N/A"),'Diags Raw Data'!$R$6:$R$3690)</f>
        <v>0</v>
      </c>
      <c r="N247" s="490" cm="1">
        <f t="array" ref="N247">SUMPRODUCT(--(ISNUMBER(SEARCH($A247,'Diags Raw Data'!$A$6:$A$3690))),--('Diags Raw Data'!$Q$6:$Q$3690&lt;&gt;"N/A"),'Diags Raw Data'!$T$6:$T$3690)+SUMPRODUCT(--(ISNUMBER(SEARCH($A247,'Diags Raw Data'!$A$6:$A$3690))),--('Diags Raw Data'!$Q$6:$Q$3690&lt;&gt;"N/A"),'Diags Raw Data'!$U$6:$U$3690)</f>
        <v>0</v>
      </c>
      <c r="O247" s="491">
        <f t="shared" si="43"/>
        <v>0</v>
      </c>
      <c r="P247" s="492">
        <f>SUMIF('Diags Raw Data'!$A$6:$A$3690,"*"&amp;$A247&amp;"*",'Diags Raw Data'!$Z$6:$Z$3690)</f>
        <v>0</v>
      </c>
      <c r="Q247" s="493">
        <f>SUM(SUMIF('Diags Raw Data'!$A$6:$A$3690,"*"&amp;$A247&amp;"*",'Diags Raw Data'!$AA$6:$AA$3690),SUMIF('Diags Raw Data'!$A$6:$A$3690,"*"&amp;$A247&amp;"*",'Diags Raw Data'!$AB$6:$AB$3690))</f>
        <v>0</v>
      </c>
      <c r="R247" s="494">
        <f t="shared" si="44"/>
        <v>0</v>
      </c>
      <c r="S247" s="494">
        <f t="shared" si="45"/>
        <v>0</v>
      </c>
      <c r="T247" s="495">
        <f t="shared" si="46"/>
        <v>0</v>
      </c>
      <c r="U247" s="436" t="e">
        <f>VLOOKUP(A247,'Diags Raw Data'!$A$6:$AH$3690,33,FALSE)</f>
        <v>#N/A</v>
      </c>
      <c r="V247" s="181"/>
    </row>
    <row r="248" spans="1:22" ht="30.75" thickBot="1" x14ac:dyDescent="0.3">
      <c r="A248" s="549">
        <v>12.487</v>
      </c>
      <c r="B248" s="438" t="str">
        <f>VLOOKUP(A248,'Feature Raw Data'!$A$3:$B$3922,2,FALSE)</f>
        <v>Increase DB Z cache size for performance</v>
      </c>
      <c r="C248" s="439" t="str">
        <f>VLOOKUP(A248,'Feature Raw Data'!$A$3:$C$3922,3,FALSE)</f>
        <v>P3</v>
      </c>
      <c r="D248" s="440" t="str" cm="1">
        <f t="array" ref="D248">_xlfn.TEXTJOIN("",TRUE,IF(ISNUMBER(SEARCH($A248,'Diags Raw Data'!$A$6:$A$3690)),CONCATENATE('Diags Raw Data'!$H$6:$H$3690,", "),""))</f>
        <v/>
      </c>
      <c r="E248" s="340" t="e">
        <f>VLOOKUP(A248,'Diags Raw Data'!$A$6:$D$3690,4,FALSE)</f>
        <v>#N/A</v>
      </c>
      <c r="F248" s="340" t="str">
        <f>VLOOKUP(A248,'Feature Raw Data'!$A$3:$E$3922,5,FALSE)</f>
        <v>New</v>
      </c>
      <c r="G248" s="340" t="str">
        <f t="shared" si="41"/>
        <v>Yes</v>
      </c>
      <c r="H248" s="340" t="str">
        <f t="shared" si="42"/>
        <v>Yes</v>
      </c>
      <c r="I248" s="439">
        <f>SUMIF('Diags Raw Data'!$A$6:$A$3690,"*"&amp;$A248&amp;"*",'Diags Raw Data'!$K$6:$K$3690)</f>
        <v>0</v>
      </c>
      <c r="J248" s="441">
        <f>SUMIF('Diags Raw Data'!$A$6:$A$3690,"*"&amp;$A248&amp;"*",'Diags Raw Data'!$L$6:$L$3690)</f>
        <v>0</v>
      </c>
      <c r="K248" s="487" cm="1">
        <f t="array" ref="K248">IF(D248="",0, SUMPRODUCT(--(ISNUMBER(SEARCH($A248,'Diags Raw Data'!$A$6:$A$3690))),'Diags Raw Data'!$L$6:$L$3690,'Diags Raw Data'!$N$6:$N$3690)/J248)</f>
        <v>0</v>
      </c>
      <c r="L248" s="488" cm="1">
        <f t="array" ref="L248">IF(D248="",0, SUMPRODUCT(--(ISNUMBER(SEARCH($A248,'Diags Raw Data'!$A$6:$A$3690))),'Diags Raw Data'!$L$6:$L$3690,'Diags Raw Data'!$P$6:$P$3690)/J248)</f>
        <v>0</v>
      </c>
      <c r="M248" s="489" cm="1">
        <f t="array" ref="M248">SUMPRODUCT(--(ISNUMBER(SEARCH($A248,'Diags Raw Data'!$A$6:$A$3690))),--('Diags Raw Data'!$Q$6:$Q$3690&lt;&gt;"N/A"),'Diags Raw Data'!$R$6:$R$3690)</f>
        <v>0</v>
      </c>
      <c r="N248" s="490" cm="1">
        <f t="array" ref="N248">SUMPRODUCT(--(ISNUMBER(SEARCH($A248,'Diags Raw Data'!$A$6:$A$3690))),--('Diags Raw Data'!$Q$6:$Q$3690&lt;&gt;"N/A"),'Diags Raw Data'!$T$6:$T$3690)+SUMPRODUCT(--(ISNUMBER(SEARCH($A248,'Diags Raw Data'!$A$6:$A$3690))),--('Diags Raw Data'!$Q$6:$Q$3690&lt;&gt;"N/A"),'Diags Raw Data'!$U$6:$U$3690)</f>
        <v>0</v>
      </c>
      <c r="O248" s="491">
        <f t="shared" si="43"/>
        <v>0</v>
      </c>
      <c r="P248" s="492">
        <f>SUMIF('Diags Raw Data'!$A$6:$A$3690,"*"&amp;$A248&amp;"*",'Diags Raw Data'!$Z$6:$Z$3690)</f>
        <v>0</v>
      </c>
      <c r="Q248" s="493">
        <f>SUM(SUMIF('Diags Raw Data'!$A$6:$A$3690,"*"&amp;$A248&amp;"*",'Diags Raw Data'!$AA$6:$AA$3690),SUMIF('Diags Raw Data'!$A$6:$A$3690,"*"&amp;$A248&amp;"*",'Diags Raw Data'!$AB$6:$AB$3690))</f>
        <v>0</v>
      </c>
      <c r="R248" s="494">
        <f t="shared" si="44"/>
        <v>0</v>
      </c>
      <c r="S248" s="494">
        <f t="shared" si="45"/>
        <v>0</v>
      </c>
      <c r="T248" s="495">
        <f t="shared" si="46"/>
        <v>0</v>
      </c>
      <c r="U248" s="436" t="e">
        <f>VLOOKUP(A248,'Diags Raw Data'!$A$6:$AH$3690,33,FALSE)</f>
        <v>#N/A</v>
      </c>
      <c r="V248" s="181"/>
    </row>
    <row r="249" spans="1:22" ht="60.75" thickBot="1" x14ac:dyDescent="0.3">
      <c r="A249" s="549">
        <v>12.488</v>
      </c>
      <c r="B249" s="438" t="str">
        <f>VLOOKUP(A249,'Feature Raw Data'!$A$3:$B$3922,2,FALSE)</f>
        <v>Reduce PBB maximum batch size from 1024 to 512 and constrain the minimum bin size in the PBB to 128 pixels</v>
      </c>
      <c r="C249" s="439" t="str">
        <f>VLOOKUP(A249,'Feature Raw Data'!$A$3:$C$3922,3,FALSE)</f>
        <v>P3</v>
      </c>
      <c r="D249" s="440" t="str" cm="1">
        <f t="array" ref="D249">_xlfn.TEXTJOIN("",TRUE,IF(ISNUMBER(SEARCH($A249,'Diags Raw Data'!$A$6:$A$3690)),CONCATENATE('Diags Raw Data'!$H$6:$H$3690,", "),""))</f>
        <v xml:space="preserve">STD1.6, </v>
      </c>
      <c r="E249" s="340" t="str">
        <f>VLOOKUP(A249,'Diags Raw Data'!$A$6:$D$3690,4,FALSE)</f>
        <v>PP</v>
      </c>
      <c r="F249" s="340" t="str">
        <f>VLOOKUP(A249,'Feature Raw Data'!$A$3:$E$3922,5,FALSE)</f>
        <v>New</v>
      </c>
      <c r="G249" s="340" t="str">
        <f t="shared" si="41"/>
        <v>Yes</v>
      </c>
      <c r="H249" s="340" t="str">
        <f t="shared" si="42"/>
        <v>Yes</v>
      </c>
      <c r="I249" s="439">
        <f>SUMIF('Diags Raw Data'!$A$6:$A$3690,"*"&amp;$A249&amp;"*",'Diags Raw Data'!$K$6:$K$3690)</f>
        <v>0</v>
      </c>
      <c r="J249" s="441">
        <f>SUMIF('Diags Raw Data'!$A$6:$A$3690,"*"&amp;$A249&amp;"*",'Diags Raw Data'!$L$6:$L$3690)</f>
        <v>0</v>
      </c>
      <c r="K249" s="487" t="e" cm="1">
        <f t="array" ref="K249">IF(D249="",0, SUMPRODUCT(--(ISNUMBER(SEARCH($A249,'Diags Raw Data'!$A$6:$A$3690))),'Diags Raw Data'!$L$6:$L$3690,'Diags Raw Data'!$N$6:$N$3690)/J249)</f>
        <v>#DIV/0!</v>
      </c>
      <c r="L249" s="488" t="e" cm="1">
        <f t="array" ref="L249">IF(D249="",0, SUMPRODUCT(--(ISNUMBER(SEARCH($A249,'Diags Raw Data'!$A$6:$A$3690))),'Diags Raw Data'!$L$6:$L$3690,'Diags Raw Data'!$P$6:$P$3690)/J249)</f>
        <v>#DIV/0!</v>
      </c>
      <c r="M249" s="489" cm="1">
        <f t="array" ref="M249">SUMPRODUCT(--(ISNUMBER(SEARCH($A249,'Diags Raw Data'!$A$6:$A$3690))),--('Diags Raw Data'!$Q$6:$Q$3690&lt;&gt;"N/A"),'Diags Raw Data'!$R$6:$R$3690)</f>
        <v>1</v>
      </c>
      <c r="N249" s="490" cm="1">
        <f t="array" ref="N249">SUMPRODUCT(--(ISNUMBER(SEARCH($A249,'Diags Raw Data'!$A$6:$A$3690))),--('Diags Raw Data'!$Q$6:$Q$3690&lt;&gt;"N/A"),'Diags Raw Data'!$T$6:$T$3690)+SUMPRODUCT(--(ISNUMBER(SEARCH($A249,'Diags Raw Data'!$A$6:$A$3690))),--('Diags Raw Data'!$Q$6:$Q$3690&lt;&gt;"N/A"),'Diags Raw Data'!$U$6:$U$3690)</f>
        <v>0</v>
      </c>
      <c r="O249" s="491">
        <f t="shared" si="43"/>
        <v>0</v>
      </c>
      <c r="P249" s="492">
        <f>SUMIF('Diags Raw Data'!$A$6:$A$3690,"*"&amp;$A249&amp;"*",'Diags Raw Data'!$Z$6:$Z$3690)</f>
        <v>0</v>
      </c>
      <c r="Q249" s="493">
        <f>SUM(SUMIF('Diags Raw Data'!$A$6:$A$3690,"*"&amp;$A249&amp;"*",'Diags Raw Data'!$AA$6:$AA$3690),SUMIF('Diags Raw Data'!$A$6:$A$3690,"*"&amp;$A249&amp;"*",'Diags Raw Data'!$AB$6:$AB$3690))</f>
        <v>0</v>
      </c>
      <c r="R249" s="494">
        <f t="shared" si="44"/>
        <v>0</v>
      </c>
      <c r="S249" s="494">
        <f t="shared" si="45"/>
        <v>0</v>
      </c>
      <c r="T249" s="495">
        <f t="shared" si="46"/>
        <v>0</v>
      </c>
      <c r="U249" s="436" t="str">
        <f>VLOOKUP(A249,'Diags Raw Data'!$A$6:$AH$3690,33,FALSE)</f>
        <v>WK8</v>
      </c>
      <c r="V249" s="181"/>
    </row>
    <row r="250" spans="1:22" ht="30.75" thickBot="1" x14ac:dyDescent="0.3">
      <c r="A250" s="549">
        <v>12.489000000000001</v>
      </c>
      <c r="B250" s="438" t="str">
        <f>VLOOKUP(A250,'Feature Raw Data'!$A$3:$B$3922,2,FALSE)</f>
        <v>Deprioritize NOT_EOP=1 mode</v>
      </c>
      <c r="C250" s="439" t="str">
        <f>VLOOKUP(A250,'Feature Raw Data'!$A$3:$C$3922,3,FALSE)</f>
        <v>P3</v>
      </c>
      <c r="D250" s="440" t="str" cm="1">
        <f t="array" ref="D250">_xlfn.TEXTJOIN("",TRUE,IF(ISNUMBER(SEARCH($A250,'Diags Raw Data'!$A$6:$A$3690)),CONCATENATE('Diags Raw Data'!$H$6:$H$3690,", "),""))</f>
        <v/>
      </c>
      <c r="E250" s="340" t="e">
        <f>VLOOKUP(A250,'Diags Raw Data'!$A$6:$D$3690,4,FALSE)</f>
        <v>#N/A</v>
      </c>
      <c r="F250" s="340" t="str">
        <f>VLOOKUP(A250,'Feature Raw Data'!$A$3:$E$3922,5,FALSE)</f>
        <v>New</v>
      </c>
      <c r="G250" s="340" t="str">
        <f t="shared" si="41"/>
        <v>Yes</v>
      </c>
      <c r="H250" s="340" t="str">
        <f t="shared" si="42"/>
        <v>Yes</v>
      </c>
      <c r="I250" s="439">
        <f>SUMIF('Diags Raw Data'!$A$6:$A$3690,"*"&amp;$A250&amp;"*",'Diags Raw Data'!$K$6:$K$3690)</f>
        <v>0</v>
      </c>
      <c r="J250" s="441">
        <f>SUMIF('Diags Raw Data'!$A$6:$A$3690,"*"&amp;$A250&amp;"*",'Diags Raw Data'!$L$6:$L$3690)</f>
        <v>0</v>
      </c>
      <c r="K250" s="487" cm="1">
        <f t="array" ref="K250">IF(D250="",0, SUMPRODUCT(--(ISNUMBER(SEARCH($A250,'Diags Raw Data'!$A$6:$A$3690))),'Diags Raw Data'!$L$6:$L$3690,'Diags Raw Data'!$N$6:$N$3690)/J250)</f>
        <v>0</v>
      </c>
      <c r="L250" s="488" cm="1">
        <f t="array" ref="L250">IF(D250="",0, SUMPRODUCT(--(ISNUMBER(SEARCH($A250,'Diags Raw Data'!$A$6:$A$3690))),'Diags Raw Data'!$L$6:$L$3690,'Diags Raw Data'!$P$6:$P$3690)/J250)</f>
        <v>0</v>
      </c>
      <c r="M250" s="489" cm="1">
        <f t="array" ref="M250">SUMPRODUCT(--(ISNUMBER(SEARCH($A250,'Diags Raw Data'!$A$6:$A$3690))),--('Diags Raw Data'!$Q$6:$Q$3690&lt;&gt;"N/A"),'Diags Raw Data'!$R$6:$R$3690)</f>
        <v>0</v>
      </c>
      <c r="N250" s="490" cm="1">
        <f t="array" ref="N250">SUMPRODUCT(--(ISNUMBER(SEARCH($A250,'Diags Raw Data'!$A$6:$A$3690))),--('Diags Raw Data'!$Q$6:$Q$3690&lt;&gt;"N/A"),'Diags Raw Data'!$T$6:$T$3690)+SUMPRODUCT(--(ISNUMBER(SEARCH($A250,'Diags Raw Data'!$A$6:$A$3690))),--('Diags Raw Data'!$Q$6:$Q$3690&lt;&gt;"N/A"),'Diags Raw Data'!$U$6:$U$3690)</f>
        <v>0</v>
      </c>
      <c r="O250" s="491">
        <f t="shared" si="43"/>
        <v>0</v>
      </c>
      <c r="P250" s="492">
        <f>SUMIF('Diags Raw Data'!$A$6:$A$3690,"*"&amp;$A250&amp;"*",'Diags Raw Data'!$Z$6:$Z$3690)</f>
        <v>0</v>
      </c>
      <c r="Q250" s="493">
        <f>SUM(SUMIF('Diags Raw Data'!$A$6:$A$3690,"*"&amp;$A250&amp;"*",'Diags Raw Data'!$AA$6:$AA$3690),SUMIF('Diags Raw Data'!$A$6:$A$3690,"*"&amp;$A250&amp;"*",'Diags Raw Data'!$AB$6:$AB$3690))</f>
        <v>0</v>
      </c>
      <c r="R250" s="494">
        <f t="shared" si="44"/>
        <v>0</v>
      </c>
      <c r="S250" s="494">
        <f t="shared" si="45"/>
        <v>0</v>
      </c>
      <c r="T250" s="495">
        <f t="shared" si="46"/>
        <v>0</v>
      </c>
      <c r="U250" s="436" t="e">
        <f>VLOOKUP(A250,'Diags Raw Data'!$A$6:$AH$3690,33,FALSE)</f>
        <v>#N/A</v>
      </c>
      <c r="V250" s="181"/>
    </row>
    <row r="251" spans="1:22" ht="30.75" thickBot="1" x14ac:dyDescent="0.3">
      <c r="A251" s="549">
        <v>12.49</v>
      </c>
      <c r="B251" s="438" t="str">
        <f>VLOOKUP(A251,'Feature Raw Data'!$A$3:$B$3922,2,FALSE)</f>
        <v xml:space="preserve">GFXCLK has risk to achieve 3.46GHz due to AR change </v>
      </c>
      <c r="C251" s="439" t="str">
        <f>VLOOKUP(A251,'Feature Raw Data'!$A$3:$C$3922,3,FALSE)</f>
        <v>P2</v>
      </c>
      <c r="D251" s="440" t="str" cm="1">
        <f t="array" ref="D251">_xlfn.TEXTJOIN("",TRUE,IF(ISNUMBER(SEARCH($A251,'Diags Raw Data'!$A$6:$A$3690)),CONCATENATE('Diags Raw Data'!$H$6:$H$3690,", "),""))</f>
        <v xml:space="preserve">placeholder_c.1, </v>
      </c>
      <c r="E251" s="340" t="e">
        <f>VLOOKUP(A251,'Diags Raw Data'!$A$6:$D$3690,4,FALSE)</f>
        <v>#N/A</v>
      </c>
      <c r="F251" s="340" t="str">
        <f>VLOOKUP(A251,'Feature Raw Data'!$A$3:$E$3922,5,FALSE)</f>
        <v>New</v>
      </c>
      <c r="G251" s="340" t="str">
        <f t="shared" si="41"/>
        <v>Yes</v>
      </c>
      <c r="H251" s="340" t="str">
        <f t="shared" si="42"/>
        <v>Yes</v>
      </c>
      <c r="I251" s="439">
        <f>SUMIF('Diags Raw Data'!$A$6:$A$3690,"*"&amp;$A251&amp;"*",'Diags Raw Data'!$K$6:$K$3690)</f>
        <v>0</v>
      </c>
      <c r="J251" s="441">
        <f>SUMIF('Diags Raw Data'!$A$6:$A$3690,"*"&amp;$A251&amp;"*",'Diags Raw Data'!$L$6:$L$3690)</f>
        <v>0</v>
      </c>
      <c r="K251" s="487" t="e" cm="1">
        <f t="array" ref="K251">IF(D251="",0, SUMPRODUCT(--(ISNUMBER(SEARCH($A251,'Diags Raw Data'!$A$6:$A$3690))),'Diags Raw Data'!$L$6:$L$3690,'Diags Raw Data'!$N$6:$N$3690)/J251)</f>
        <v>#DIV/0!</v>
      </c>
      <c r="L251" s="488" t="e" cm="1">
        <f t="array" ref="L251">IF(D251="",0, SUMPRODUCT(--(ISNUMBER(SEARCH($A251,'Diags Raw Data'!$A$6:$A$3690))),'Diags Raw Data'!$L$6:$L$3690,'Diags Raw Data'!$P$6:$P$3690)/J251)</f>
        <v>#DIV/0!</v>
      </c>
      <c r="M251" s="489" cm="1">
        <f t="array" ref="M251">SUMPRODUCT(--(ISNUMBER(SEARCH($A251,'Diags Raw Data'!$A$6:$A$3690))),--('Diags Raw Data'!$Q$6:$Q$3690&lt;&gt;"N/A"),'Diags Raw Data'!$R$6:$R$3690)</f>
        <v>1</v>
      </c>
      <c r="N251" s="490" cm="1">
        <f t="array" ref="N251">SUMPRODUCT(--(ISNUMBER(SEARCH($A251,'Diags Raw Data'!$A$6:$A$3690))),--('Diags Raw Data'!$Q$6:$Q$3690&lt;&gt;"N/A"),'Diags Raw Data'!$T$6:$T$3690)+SUMPRODUCT(--(ISNUMBER(SEARCH($A251,'Diags Raw Data'!$A$6:$A$3690))),--('Diags Raw Data'!$Q$6:$Q$3690&lt;&gt;"N/A"),'Diags Raw Data'!$U$6:$U$3690)</f>
        <v>0</v>
      </c>
      <c r="O251" s="491">
        <f t="shared" si="43"/>
        <v>0</v>
      </c>
      <c r="P251" s="492">
        <f>SUMIF('Diags Raw Data'!$A$6:$A$3690,"*"&amp;$A251&amp;"*",'Diags Raw Data'!$Z$6:$Z$3690)</f>
        <v>0</v>
      </c>
      <c r="Q251" s="493">
        <f>SUM(SUMIF('Diags Raw Data'!$A$6:$A$3690,"*"&amp;$A251&amp;"*",'Diags Raw Data'!$AA$6:$AA$3690),SUMIF('Diags Raw Data'!$A$6:$A$3690,"*"&amp;$A251&amp;"*",'Diags Raw Data'!$AB$6:$AB$3690))</f>
        <v>0</v>
      </c>
      <c r="R251" s="494">
        <f t="shared" si="44"/>
        <v>0</v>
      </c>
      <c r="S251" s="494">
        <f t="shared" si="45"/>
        <v>0</v>
      </c>
      <c r="T251" s="495">
        <f t="shared" si="46"/>
        <v>0</v>
      </c>
      <c r="U251" s="436" t="e">
        <f>VLOOKUP(A251,'Diags Raw Data'!$A$6:$AH$3690,33,FALSE)</f>
        <v>#N/A</v>
      </c>
      <c r="V251" s="181"/>
    </row>
    <row r="252" spans="1:22" ht="75.75" thickBot="1" x14ac:dyDescent="0.3">
      <c r="A252" s="549">
        <v>12.493</v>
      </c>
      <c r="B252" s="438" t="str">
        <f>VLOOKUP(A252,'Feature Raw Data'!$A$3:$B$3922,2,FALSE)</f>
        <v>Add new jump table for SET_SH_REG and SET_SH_REG_PAIRS when packet count=1 and state is clean</v>
      </c>
      <c r="C252" s="439" t="str">
        <f>VLOOKUP(A252,'Feature Raw Data'!$A$3:$C$3922,3,FALSE)</f>
        <v>P3</v>
      </c>
      <c r="D252" s="440" t="str" cm="1">
        <f t="array" ref="D252">_xlfn.TEXTJOIN("",TRUE,IF(ISNUMBER(SEARCH($A252,'Diags Raw Data'!$A$6:$A$3690)),CONCATENATE('Diags Raw Data'!$H$6:$H$3690,", "),""))</f>
        <v/>
      </c>
      <c r="E252" s="340" t="e">
        <f>VLOOKUP(A252,'Diags Raw Data'!$A$6:$D$3690,4,FALSE)</f>
        <v>#N/A</v>
      </c>
      <c r="F252" s="340" t="str">
        <f>VLOOKUP(A252,'Feature Raw Data'!$A$3:$E$3922,5,FALSE)</f>
        <v>New</v>
      </c>
      <c r="G252" s="340" t="str">
        <f t="shared" si="41"/>
        <v>Yes</v>
      </c>
      <c r="H252" s="340" t="str">
        <f t="shared" si="42"/>
        <v>Yes</v>
      </c>
      <c r="I252" s="439">
        <f>SUMIF('Diags Raw Data'!$A$6:$A$3690,"*"&amp;$A252&amp;"*",'Diags Raw Data'!$K$6:$K$3690)</f>
        <v>0</v>
      </c>
      <c r="J252" s="441">
        <f>SUMIF('Diags Raw Data'!$A$6:$A$3690,"*"&amp;$A252&amp;"*",'Diags Raw Data'!$L$6:$L$3690)</f>
        <v>0</v>
      </c>
      <c r="K252" s="487" cm="1">
        <f t="array" ref="K252">IF(D252="",0, SUMPRODUCT(--(ISNUMBER(SEARCH($A252,'Diags Raw Data'!$A$6:$A$3690))),'Diags Raw Data'!$L$6:$L$3690,'Diags Raw Data'!$N$6:$N$3690)/J252)</f>
        <v>0</v>
      </c>
      <c r="L252" s="488" cm="1">
        <f t="array" ref="L252">IF(D252="",0, SUMPRODUCT(--(ISNUMBER(SEARCH($A252,'Diags Raw Data'!$A$6:$A$3690))),'Diags Raw Data'!$L$6:$L$3690,'Diags Raw Data'!$P$6:$P$3690)/J252)</f>
        <v>0</v>
      </c>
      <c r="M252" s="489" cm="1">
        <f t="array" ref="M252">SUMPRODUCT(--(ISNUMBER(SEARCH($A252,'Diags Raw Data'!$A$6:$A$3690))),--('Diags Raw Data'!$Q$6:$Q$3690&lt;&gt;"N/A"),'Diags Raw Data'!$R$6:$R$3690)</f>
        <v>0</v>
      </c>
      <c r="N252" s="490" cm="1">
        <f t="array" ref="N252">SUMPRODUCT(--(ISNUMBER(SEARCH($A252,'Diags Raw Data'!$A$6:$A$3690))),--('Diags Raw Data'!$Q$6:$Q$3690&lt;&gt;"N/A"),'Diags Raw Data'!$T$6:$T$3690)+SUMPRODUCT(--(ISNUMBER(SEARCH($A252,'Diags Raw Data'!$A$6:$A$3690))),--('Diags Raw Data'!$Q$6:$Q$3690&lt;&gt;"N/A"),'Diags Raw Data'!$U$6:$U$3690)</f>
        <v>0</v>
      </c>
      <c r="O252" s="491">
        <f t="shared" si="43"/>
        <v>0</v>
      </c>
      <c r="P252" s="492">
        <f>SUMIF('Diags Raw Data'!$A$6:$A$3690,"*"&amp;$A252&amp;"*",'Diags Raw Data'!$Z$6:$Z$3690)</f>
        <v>0</v>
      </c>
      <c r="Q252" s="493">
        <f>SUM(SUMIF('Diags Raw Data'!$A$6:$A$3690,"*"&amp;$A252&amp;"*",'Diags Raw Data'!$AA$6:$AA$3690),SUMIF('Diags Raw Data'!$A$6:$A$3690,"*"&amp;$A252&amp;"*",'Diags Raw Data'!$AB$6:$AB$3690))</f>
        <v>0</v>
      </c>
      <c r="R252" s="494">
        <f t="shared" si="44"/>
        <v>0</v>
      </c>
      <c r="S252" s="494">
        <f t="shared" si="45"/>
        <v>0</v>
      </c>
      <c r="T252" s="495">
        <f t="shared" si="46"/>
        <v>0</v>
      </c>
      <c r="U252" s="436" t="e">
        <f>VLOOKUP(A252,'Diags Raw Data'!$A$6:$AH$3690,33,FALSE)</f>
        <v>#N/A</v>
      </c>
      <c r="V252" s="181"/>
    </row>
    <row r="253" spans="1:22" ht="45.75" thickBot="1" x14ac:dyDescent="0.3">
      <c r="A253" s="549">
        <v>12.494</v>
      </c>
      <c r="B253" s="438" t="str">
        <f>VLOOKUP(A253,'Feature Raw Data'!$A$3:$B$3922,2,FALSE)</f>
        <v>[Navi4m] GRBM Queue to optimize CP processor performance</v>
      </c>
      <c r="C253" s="439" t="str">
        <f>VLOOKUP(A253,'Feature Raw Data'!$A$3:$C$3922,3,FALSE)</f>
        <v>P3</v>
      </c>
      <c r="D253" s="440" t="str" cm="1">
        <f t="array" ref="D253">_xlfn.TEXTJOIN("",TRUE,IF(ISNUMBER(SEARCH($A253,'Diags Raw Data'!$A$6:$A$3690)),CONCATENATE('Diags Raw Data'!$H$6:$H$3690,", "),""))</f>
        <v/>
      </c>
      <c r="E253" s="340" t="e">
        <f>VLOOKUP(A253,'Diags Raw Data'!$A$6:$D$3690,4,FALSE)</f>
        <v>#N/A</v>
      </c>
      <c r="F253" s="340" t="str">
        <f>VLOOKUP(A253,'Feature Raw Data'!$A$3:$E$3922,5,FALSE)</f>
        <v>New</v>
      </c>
      <c r="G253" s="340" t="str">
        <f t="shared" si="41"/>
        <v>Yes</v>
      </c>
      <c r="H253" s="340" t="str">
        <f t="shared" si="42"/>
        <v>Yes</v>
      </c>
      <c r="I253" s="439">
        <f>SUMIF('Diags Raw Data'!$A$6:$A$3690,"*"&amp;$A253&amp;"*",'Diags Raw Data'!$K$6:$K$3690)</f>
        <v>0</v>
      </c>
      <c r="J253" s="441">
        <f>SUMIF('Diags Raw Data'!$A$6:$A$3690,"*"&amp;$A253&amp;"*",'Diags Raw Data'!$L$6:$L$3690)</f>
        <v>0</v>
      </c>
      <c r="K253" s="487" cm="1">
        <f t="array" ref="K253">IF(D253="",0, SUMPRODUCT(--(ISNUMBER(SEARCH($A253,'Diags Raw Data'!$A$6:$A$3690))),'Diags Raw Data'!$L$6:$L$3690,'Diags Raw Data'!$N$6:$N$3690)/J253)</f>
        <v>0</v>
      </c>
      <c r="L253" s="488" cm="1">
        <f t="array" ref="L253">IF(D253="",0, SUMPRODUCT(--(ISNUMBER(SEARCH($A253,'Diags Raw Data'!$A$6:$A$3690))),'Diags Raw Data'!$L$6:$L$3690,'Diags Raw Data'!$P$6:$P$3690)/J253)</f>
        <v>0</v>
      </c>
      <c r="M253" s="489" cm="1">
        <f t="array" ref="M253">SUMPRODUCT(--(ISNUMBER(SEARCH($A253,'Diags Raw Data'!$A$6:$A$3690))),--('Diags Raw Data'!$Q$6:$Q$3690&lt;&gt;"N/A"),'Diags Raw Data'!$R$6:$R$3690)</f>
        <v>0</v>
      </c>
      <c r="N253" s="490" cm="1">
        <f t="array" ref="N253">SUMPRODUCT(--(ISNUMBER(SEARCH($A253,'Diags Raw Data'!$A$6:$A$3690))),--('Diags Raw Data'!$Q$6:$Q$3690&lt;&gt;"N/A"),'Diags Raw Data'!$T$6:$T$3690)+SUMPRODUCT(--(ISNUMBER(SEARCH($A253,'Diags Raw Data'!$A$6:$A$3690))),--('Diags Raw Data'!$Q$6:$Q$3690&lt;&gt;"N/A"),'Diags Raw Data'!$U$6:$U$3690)</f>
        <v>0</v>
      </c>
      <c r="O253" s="491">
        <f t="shared" si="43"/>
        <v>0</v>
      </c>
      <c r="P253" s="492">
        <f>SUMIF('Diags Raw Data'!$A$6:$A$3690,"*"&amp;$A253&amp;"*",'Diags Raw Data'!$Z$6:$Z$3690)</f>
        <v>0</v>
      </c>
      <c r="Q253" s="493">
        <f>SUM(SUMIF('Diags Raw Data'!$A$6:$A$3690,"*"&amp;$A253&amp;"*",'Diags Raw Data'!$AA$6:$AA$3690),SUMIF('Diags Raw Data'!$A$6:$A$3690,"*"&amp;$A253&amp;"*",'Diags Raw Data'!$AB$6:$AB$3690))</f>
        <v>0</v>
      </c>
      <c r="R253" s="494">
        <f t="shared" si="44"/>
        <v>0</v>
      </c>
      <c r="S253" s="494">
        <f t="shared" si="45"/>
        <v>0</v>
      </c>
      <c r="T253" s="495">
        <f t="shared" si="46"/>
        <v>0</v>
      </c>
      <c r="U253" s="436" t="e">
        <f>VLOOKUP(A253,'Diags Raw Data'!$A$6:$AH$3690,33,FALSE)</f>
        <v>#N/A</v>
      </c>
      <c r="V253" s="181"/>
    </row>
    <row r="254" spans="1:22" ht="30.75" thickBot="1" x14ac:dyDescent="0.3">
      <c r="A254" s="549">
        <v>12.494999999999999</v>
      </c>
      <c r="B254" s="438" t="str">
        <f>VLOOKUP(A254,'Feature Raw Data'!$A$3:$B$3922,2,FALSE)</f>
        <v>[RS64] Add Load-IO Custom instruction w/16 CSRs</v>
      </c>
      <c r="C254" s="439" t="str">
        <f>VLOOKUP(A254,'Feature Raw Data'!$A$3:$C$3922,3,FALSE)</f>
        <v>P2</v>
      </c>
      <c r="D254" s="440" t="str" cm="1">
        <f t="array" ref="D254">_xlfn.TEXTJOIN("",TRUE,IF(ISNUMBER(SEARCH($A254,'Diags Raw Data'!$A$6:$A$3690)),CONCATENATE('Diags Raw Data'!$H$6:$H$3690,", "),""))</f>
        <v/>
      </c>
      <c r="E254" s="340" t="e">
        <f>VLOOKUP(A254,'Diags Raw Data'!$A$6:$D$3690,4,FALSE)</f>
        <v>#N/A</v>
      </c>
      <c r="F254" s="340" t="str">
        <f>VLOOKUP(A254,'Feature Raw Data'!$A$3:$E$3922,5,FALSE)</f>
        <v>New</v>
      </c>
      <c r="G254" s="340" t="str">
        <f t="shared" si="41"/>
        <v>Yes</v>
      </c>
      <c r="H254" s="340" t="str">
        <f t="shared" si="42"/>
        <v>Yes</v>
      </c>
      <c r="I254" s="439">
        <f>SUMIF('Diags Raw Data'!$A$6:$A$3690,"*"&amp;$A254&amp;"*",'Diags Raw Data'!$K$6:$K$3690)</f>
        <v>0</v>
      </c>
      <c r="J254" s="441">
        <f>SUMIF('Diags Raw Data'!$A$6:$A$3690,"*"&amp;$A254&amp;"*",'Diags Raw Data'!$L$6:$L$3690)</f>
        <v>0</v>
      </c>
      <c r="K254" s="487" cm="1">
        <f t="array" ref="K254">IF(D254="",0, SUMPRODUCT(--(ISNUMBER(SEARCH($A254,'Diags Raw Data'!$A$6:$A$3690))),'Diags Raw Data'!$L$6:$L$3690,'Diags Raw Data'!$N$6:$N$3690)/J254)</f>
        <v>0</v>
      </c>
      <c r="L254" s="488" cm="1">
        <f t="array" ref="L254">IF(D254="",0, SUMPRODUCT(--(ISNUMBER(SEARCH($A254,'Diags Raw Data'!$A$6:$A$3690))),'Diags Raw Data'!$L$6:$L$3690,'Diags Raw Data'!$P$6:$P$3690)/J254)</f>
        <v>0</v>
      </c>
      <c r="M254" s="489" cm="1">
        <f t="array" ref="M254">SUMPRODUCT(--(ISNUMBER(SEARCH($A254,'Diags Raw Data'!$A$6:$A$3690))),--('Diags Raw Data'!$Q$6:$Q$3690&lt;&gt;"N/A"),'Diags Raw Data'!$R$6:$R$3690)</f>
        <v>0</v>
      </c>
      <c r="N254" s="490" cm="1">
        <f t="array" ref="N254">SUMPRODUCT(--(ISNUMBER(SEARCH($A254,'Diags Raw Data'!$A$6:$A$3690))),--('Diags Raw Data'!$Q$6:$Q$3690&lt;&gt;"N/A"),'Diags Raw Data'!$T$6:$T$3690)+SUMPRODUCT(--(ISNUMBER(SEARCH($A254,'Diags Raw Data'!$A$6:$A$3690))),--('Diags Raw Data'!$Q$6:$Q$3690&lt;&gt;"N/A"),'Diags Raw Data'!$U$6:$U$3690)</f>
        <v>0</v>
      </c>
      <c r="O254" s="491">
        <f t="shared" si="43"/>
        <v>0</v>
      </c>
      <c r="P254" s="492">
        <f>SUMIF('Diags Raw Data'!$A$6:$A$3690,"*"&amp;$A254&amp;"*",'Diags Raw Data'!$Z$6:$Z$3690)</f>
        <v>0</v>
      </c>
      <c r="Q254" s="493">
        <f>SUM(SUMIF('Diags Raw Data'!$A$6:$A$3690,"*"&amp;$A254&amp;"*",'Diags Raw Data'!$AA$6:$AA$3690),SUMIF('Diags Raw Data'!$A$6:$A$3690,"*"&amp;$A254&amp;"*",'Diags Raw Data'!$AB$6:$AB$3690))</f>
        <v>0</v>
      </c>
      <c r="R254" s="494">
        <f t="shared" si="44"/>
        <v>0</v>
      </c>
      <c r="S254" s="494">
        <f t="shared" si="45"/>
        <v>0</v>
      </c>
      <c r="T254" s="495">
        <f t="shared" si="46"/>
        <v>0</v>
      </c>
      <c r="U254" s="436" t="e">
        <f>VLOOKUP(A254,'Diags Raw Data'!$A$6:$AH$3690,33,FALSE)</f>
        <v>#N/A</v>
      </c>
      <c r="V254" s="181"/>
    </row>
    <row r="255" spans="1:22" ht="60.75" thickBot="1" x14ac:dyDescent="0.3">
      <c r="A255" s="549">
        <v>12.497</v>
      </c>
      <c r="B255" s="438" t="str">
        <f>VLOOKUP(A255,'Feature Raw Data'!$A$3:$B$3922,2,FALSE)</f>
        <v>load_reserved store_conditional unitID aliasing requires a change in GFX client unitID values</v>
      </c>
      <c r="C255" s="439" t="str">
        <f>VLOOKUP(A255,'Feature Raw Data'!$A$3:$C$3922,3,FALSE)</f>
        <v>P1</v>
      </c>
      <c r="D255" s="440" t="str" cm="1">
        <f t="array" ref="D255">_xlfn.TEXTJOIN("",TRUE,IF(ISNUMBER(SEARCH($A255,'Diags Raw Data'!$A$6:$A$3690)),CONCATENATE('Diags Raw Data'!$H$6:$H$3690,", "),""))</f>
        <v/>
      </c>
      <c r="E255" s="340" t="e">
        <f>VLOOKUP(A255,'Diags Raw Data'!$A$6:$D$3690,4,FALSE)</f>
        <v>#N/A</v>
      </c>
      <c r="F255" s="340" t="str">
        <f>VLOOKUP(A255,'Feature Raw Data'!$A$3:$E$3922,5,FALSE)</f>
        <v>New</v>
      </c>
      <c r="G255" s="340" t="str">
        <f t="shared" si="41"/>
        <v>Yes</v>
      </c>
      <c r="H255" s="340" t="str">
        <f t="shared" si="42"/>
        <v>Yes</v>
      </c>
      <c r="I255" s="439">
        <f>SUMIF('Diags Raw Data'!$A$6:$A$3690,"*"&amp;$A255&amp;"*",'Diags Raw Data'!$K$6:$K$3690)</f>
        <v>0</v>
      </c>
      <c r="J255" s="441">
        <f>SUMIF('Diags Raw Data'!$A$6:$A$3690,"*"&amp;$A255&amp;"*",'Diags Raw Data'!$L$6:$L$3690)</f>
        <v>0</v>
      </c>
      <c r="K255" s="487" cm="1">
        <f t="array" ref="K255">IF(D255="",0, SUMPRODUCT(--(ISNUMBER(SEARCH($A255,'Diags Raw Data'!$A$6:$A$3690))),'Diags Raw Data'!$L$6:$L$3690,'Diags Raw Data'!$N$6:$N$3690)/J255)</f>
        <v>0</v>
      </c>
      <c r="L255" s="488" cm="1">
        <f t="array" ref="L255">IF(D255="",0, SUMPRODUCT(--(ISNUMBER(SEARCH($A255,'Diags Raw Data'!$A$6:$A$3690))),'Diags Raw Data'!$L$6:$L$3690,'Diags Raw Data'!$P$6:$P$3690)/J255)</f>
        <v>0</v>
      </c>
      <c r="M255" s="489" cm="1">
        <f t="array" ref="M255">SUMPRODUCT(--(ISNUMBER(SEARCH($A255,'Diags Raw Data'!$A$6:$A$3690))),--('Diags Raw Data'!$Q$6:$Q$3690&lt;&gt;"N/A"),'Diags Raw Data'!$R$6:$R$3690)</f>
        <v>0</v>
      </c>
      <c r="N255" s="490" cm="1">
        <f t="array" ref="N255">SUMPRODUCT(--(ISNUMBER(SEARCH($A255,'Diags Raw Data'!$A$6:$A$3690))),--('Diags Raw Data'!$Q$6:$Q$3690&lt;&gt;"N/A"),'Diags Raw Data'!$T$6:$T$3690)+SUMPRODUCT(--(ISNUMBER(SEARCH($A255,'Diags Raw Data'!$A$6:$A$3690))),--('Diags Raw Data'!$Q$6:$Q$3690&lt;&gt;"N/A"),'Diags Raw Data'!$U$6:$U$3690)</f>
        <v>0</v>
      </c>
      <c r="O255" s="491">
        <f t="shared" si="43"/>
        <v>0</v>
      </c>
      <c r="P255" s="492">
        <f>SUMIF('Diags Raw Data'!$A$6:$A$3690,"*"&amp;$A255&amp;"*",'Diags Raw Data'!$Z$6:$Z$3690)</f>
        <v>0</v>
      </c>
      <c r="Q255" s="493">
        <f>SUM(SUMIF('Diags Raw Data'!$A$6:$A$3690,"*"&amp;$A255&amp;"*",'Diags Raw Data'!$AA$6:$AA$3690),SUMIF('Diags Raw Data'!$A$6:$A$3690,"*"&amp;$A255&amp;"*",'Diags Raw Data'!$AB$6:$AB$3690))</f>
        <v>0</v>
      </c>
      <c r="R255" s="494">
        <f t="shared" si="44"/>
        <v>0</v>
      </c>
      <c r="S255" s="494">
        <f t="shared" si="45"/>
        <v>0</v>
      </c>
      <c r="T255" s="495">
        <f t="shared" si="46"/>
        <v>0</v>
      </c>
      <c r="U255" s="436" t="e">
        <f>VLOOKUP(A255,'Diags Raw Data'!$A$6:$AH$3690,33,FALSE)</f>
        <v>#N/A</v>
      </c>
      <c r="V255" s="181"/>
    </row>
    <row r="256" spans="1:22" ht="30.75" thickBot="1" x14ac:dyDescent="0.3">
      <c r="A256" s="549">
        <v>12.497999999999999</v>
      </c>
      <c r="B256" s="438" t="str">
        <f>VLOOKUP(A256,'Feature Raw Data'!$A$3:$B$3922,2,FALSE)</f>
        <v>Increase in DB FIFOs for Write-Only Performance</v>
      </c>
      <c r="C256" s="439" t="str">
        <f>VLOOKUP(A256,'Feature Raw Data'!$A$3:$C$3922,3,FALSE)</f>
        <v>P1</v>
      </c>
      <c r="D256" s="440" t="str" cm="1">
        <f t="array" ref="D256">_xlfn.TEXTJOIN("",TRUE,IF(ISNUMBER(SEARCH($A256,'Diags Raw Data'!$A$6:$A$3690)),CONCATENATE('Diags Raw Data'!$H$6:$H$3690,", "),""))</f>
        <v/>
      </c>
      <c r="E256" s="340" t="e">
        <f>VLOOKUP(A256,'Diags Raw Data'!$A$6:$D$3690,4,FALSE)</f>
        <v>#N/A</v>
      </c>
      <c r="F256" s="340" t="str">
        <f>VLOOKUP(A256,'Feature Raw Data'!$A$3:$E$3922,5,FALSE)</f>
        <v>New</v>
      </c>
      <c r="G256" s="340" t="str">
        <f t="shared" si="41"/>
        <v>Yes</v>
      </c>
      <c r="H256" s="340" t="str">
        <f t="shared" si="42"/>
        <v>Yes</v>
      </c>
      <c r="I256" s="439">
        <f>SUMIF('Diags Raw Data'!$A$6:$A$3690,"*"&amp;$A256&amp;"*",'Diags Raw Data'!$K$6:$K$3690)</f>
        <v>0</v>
      </c>
      <c r="J256" s="441">
        <f>SUMIF('Diags Raw Data'!$A$6:$A$3690,"*"&amp;$A256&amp;"*",'Diags Raw Data'!$L$6:$L$3690)</f>
        <v>0</v>
      </c>
      <c r="K256" s="487" cm="1">
        <f t="array" ref="K256">IF(D256="",0, SUMPRODUCT(--(ISNUMBER(SEARCH($A256,'Diags Raw Data'!$A$6:$A$3690))),'Diags Raw Data'!$L$6:$L$3690,'Diags Raw Data'!$N$6:$N$3690)/J256)</f>
        <v>0</v>
      </c>
      <c r="L256" s="488" cm="1">
        <f t="array" ref="L256">IF(D256="",0, SUMPRODUCT(--(ISNUMBER(SEARCH($A256,'Diags Raw Data'!$A$6:$A$3690))),'Diags Raw Data'!$L$6:$L$3690,'Diags Raw Data'!$P$6:$P$3690)/J256)</f>
        <v>0</v>
      </c>
      <c r="M256" s="489" cm="1">
        <f t="array" ref="M256">SUMPRODUCT(--(ISNUMBER(SEARCH($A256,'Diags Raw Data'!$A$6:$A$3690))),--('Diags Raw Data'!$Q$6:$Q$3690&lt;&gt;"N/A"),'Diags Raw Data'!$R$6:$R$3690)</f>
        <v>0</v>
      </c>
      <c r="N256" s="490" cm="1">
        <f t="array" ref="N256">SUMPRODUCT(--(ISNUMBER(SEARCH($A256,'Diags Raw Data'!$A$6:$A$3690))),--('Diags Raw Data'!$Q$6:$Q$3690&lt;&gt;"N/A"),'Diags Raw Data'!$T$6:$T$3690)+SUMPRODUCT(--(ISNUMBER(SEARCH($A256,'Diags Raw Data'!$A$6:$A$3690))),--('Diags Raw Data'!$Q$6:$Q$3690&lt;&gt;"N/A"),'Diags Raw Data'!$U$6:$U$3690)</f>
        <v>0</v>
      </c>
      <c r="O256" s="491">
        <f t="shared" si="43"/>
        <v>0</v>
      </c>
      <c r="P256" s="492">
        <f>SUMIF('Diags Raw Data'!$A$6:$A$3690,"*"&amp;$A256&amp;"*",'Diags Raw Data'!$Z$6:$Z$3690)</f>
        <v>0</v>
      </c>
      <c r="Q256" s="493">
        <f>SUM(SUMIF('Diags Raw Data'!$A$6:$A$3690,"*"&amp;$A256&amp;"*",'Diags Raw Data'!$AA$6:$AA$3690),SUMIF('Diags Raw Data'!$A$6:$A$3690,"*"&amp;$A256&amp;"*",'Diags Raw Data'!$AB$6:$AB$3690))</f>
        <v>0</v>
      </c>
      <c r="R256" s="494">
        <f t="shared" si="44"/>
        <v>0</v>
      </c>
      <c r="S256" s="494">
        <f t="shared" si="45"/>
        <v>0</v>
      </c>
      <c r="T256" s="495">
        <f t="shared" si="46"/>
        <v>0</v>
      </c>
      <c r="U256" s="436" t="e">
        <f>VLOOKUP(A256,'Diags Raw Data'!$A$6:$AH$3690,33,FALSE)</f>
        <v>#N/A</v>
      </c>
      <c r="V256" s="181"/>
    </row>
    <row r="257" spans="1:22" ht="45.75" thickBot="1" x14ac:dyDescent="0.3">
      <c r="A257" s="549">
        <v>12.499000000000001</v>
      </c>
      <c r="B257" s="438" t="str">
        <f>VLOOKUP(A257,'Feature Raw Data'!$A$3:$B$3922,2,FALSE)</f>
        <v>CB/DB compress to clear/single before sending to GLx</v>
      </c>
      <c r="C257" s="439" t="str">
        <f>VLOOKUP(A257,'Feature Raw Data'!$A$3:$C$3922,3,FALSE)</f>
        <v>P2</v>
      </c>
      <c r="D257" s="440" t="str" cm="1">
        <f t="array" ref="D257">_xlfn.TEXTJOIN("",TRUE,IF(ISNUMBER(SEARCH($A257,'Diags Raw Data'!$A$6:$A$3690)),CONCATENATE('Diags Raw Data'!$H$6:$H$3690,", "),""))</f>
        <v xml:space="preserve">placeholder_c.1, </v>
      </c>
      <c r="E257" s="340" t="str">
        <f>VLOOKUP(A257,'Diags Raw Data'!$A$6:$D$3690,4,FALSE)</f>
        <v>CMM</v>
      </c>
      <c r="F257" s="340" t="str">
        <f>VLOOKUP(A257,'Feature Raw Data'!$A$3:$E$3922,5,FALSE)</f>
        <v>New</v>
      </c>
      <c r="G257" s="340" t="str">
        <f t="shared" si="41"/>
        <v>Yes</v>
      </c>
      <c r="H257" s="340" t="str">
        <f t="shared" si="42"/>
        <v>Yes</v>
      </c>
      <c r="I257" s="439">
        <f>SUMIF('Diags Raw Data'!$A$6:$A$3690,"*"&amp;$A257&amp;"*",'Diags Raw Data'!$K$6:$K$3690)</f>
        <v>0</v>
      </c>
      <c r="J257" s="441">
        <f>SUMIF('Diags Raw Data'!$A$6:$A$3690,"*"&amp;$A257&amp;"*",'Diags Raw Data'!$L$6:$L$3690)</f>
        <v>0</v>
      </c>
      <c r="K257" s="487" t="e" cm="1">
        <f t="array" ref="K257">IF(D257="",0, SUMPRODUCT(--(ISNUMBER(SEARCH($A257,'Diags Raw Data'!$A$6:$A$3690))),'Diags Raw Data'!$L$6:$L$3690,'Diags Raw Data'!$N$6:$N$3690)/J257)</f>
        <v>#DIV/0!</v>
      </c>
      <c r="L257" s="488" t="e" cm="1">
        <f t="array" ref="L257">IF(D257="",0, SUMPRODUCT(--(ISNUMBER(SEARCH($A257,'Diags Raw Data'!$A$6:$A$3690))),'Diags Raw Data'!$L$6:$L$3690,'Diags Raw Data'!$P$6:$P$3690)/J257)</f>
        <v>#DIV/0!</v>
      </c>
      <c r="M257" s="489" cm="1">
        <f t="array" ref="M257">SUMPRODUCT(--(ISNUMBER(SEARCH($A257,'Diags Raw Data'!$A$6:$A$3690))),--('Diags Raw Data'!$Q$6:$Q$3690&lt;&gt;"N/A"),'Diags Raw Data'!$R$6:$R$3690)</f>
        <v>1</v>
      </c>
      <c r="N257" s="490" cm="1">
        <f t="array" ref="N257">SUMPRODUCT(--(ISNUMBER(SEARCH($A257,'Diags Raw Data'!$A$6:$A$3690))),--('Diags Raw Data'!$Q$6:$Q$3690&lt;&gt;"N/A"),'Diags Raw Data'!$T$6:$T$3690)+SUMPRODUCT(--(ISNUMBER(SEARCH($A257,'Diags Raw Data'!$A$6:$A$3690))),--('Diags Raw Data'!$Q$6:$Q$3690&lt;&gt;"N/A"),'Diags Raw Data'!$U$6:$U$3690)</f>
        <v>0</v>
      </c>
      <c r="O257" s="491">
        <f t="shared" si="43"/>
        <v>0</v>
      </c>
      <c r="P257" s="492">
        <f>SUMIF('Diags Raw Data'!$A$6:$A$3690,"*"&amp;$A257&amp;"*",'Diags Raw Data'!$Z$6:$Z$3690)</f>
        <v>0</v>
      </c>
      <c r="Q257" s="493">
        <f>SUM(SUMIF('Diags Raw Data'!$A$6:$A$3690,"*"&amp;$A257&amp;"*",'Diags Raw Data'!$AA$6:$AA$3690),SUMIF('Diags Raw Data'!$A$6:$A$3690,"*"&amp;$A257&amp;"*",'Diags Raw Data'!$AB$6:$AB$3690))</f>
        <v>0</v>
      </c>
      <c r="R257" s="494">
        <f t="shared" si="44"/>
        <v>0</v>
      </c>
      <c r="S257" s="494">
        <f t="shared" si="45"/>
        <v>0</v>
      </c>
      <c r="T257" s="495">
        <f t="shared" si="46"/>
        <v>0</v>
      </c>
      <c r="U257" s="436" t="str">
        <f>VLOOKUP(A257,'Diags Raw Data'!$A$6:$AH$3690,33,FALSE)</f>
        <v>WK8</v>
      </c>
      <c r="V257" s="181"/>
    </row>
    <row r="258" spans="1:22" x14ac:dyDescent="0.25">
      <c r="A258" s="549">
        <v>12.5</v>
      </c>
      <c r="B258" s="438" t="str">
        <f>VLOOKUP(A258,'Feature Raw Data'!$A$3:$B$3922,2,FALSE)</f>
        <v>2ch_cant_saturate_pcie_rdBW</v>
      </c>
      <c r="C258" s="439" t="str">
        <f>VLOOKUP(A258,'Feature Raw Data'!$A$3:$C$3922,3,FALSE)</f>
        <v>P2</v>
      </c>
      <c r="D258" s="440" t="str" cm="1">
        <f t="array" ref="D258">_xlfn.TEXTJOIN("",TRUE,IF(ISNUMBER(SEARCH($A258,'Diags Raw Data'!$A$6:$A$3690)),CONCATENATE('Diags Raw Data'!$H$6:$H$3690,", "),""))</f>
        <v/>
      </c>
      <c r="E258" s="340" t="e">
        <f>VLOOKUP(A258,'Diags Raw Data'!$A$6:$D$3690,4,FALSE)</f>
        <v>#N/A</v>
      </c>
      <c r="F258" s="340" t="str">
        <f>VLOOKUP(A258,'Feature Raw Data'!$A$3:$E$3922,5,FALSE)</f>
        <v>New</v>
      </c>
      <c r="G258" s="340" t="str">
        <f t="shared" si="41"/>
        <v>Yes</v>
      </c>
      <c r="H258" s="340" t="str">
        <f t="shared" si="42"/>
        <v>Yes</v>
      </c>
      <c r="I258" s="439">
        <f>SUMIF('Diags Raw Data'!$A$6:$A$3690,"*"&amp;$A258&amp;"*",'Diags Raw Data'!$K$6:$K$3690)</f>
        <v>0</v>
      </c>
      <c r="J258" s="441">
        <f>SUMIF('Diags Raw Data'!$A$6:$A$3690,"*"&amp;$A258&amp;"*",'Diags Raw Data'!$L$6:$L$3690)</f>
        <v>0</v>
      </c>
      <c r="K258" s="487" cm="1">
        <f t="array" ref="K258">IF(D258="",0, SUMPRODUCT(--(ISNUMBER(SEARCH($A258,'Diags Raw Data'!$A$6:$A$3690))),'Diags Raw Data'!$L$6:$L$3690,'Diags Raw Data'!$N$6:$N$3690)/J258)</f>
        <v>0</v>
      </c>
      <c r="L258" s="488" cm="1">
        <f t="array" ref="L258">IF(D258="",0, SUMPRODUCT(--(ISNUMBER(SEARCH($A258,'Diags Raw Data'!$A$6:$A$3690))),'Diags Raw Data'!$L$6:$L$3690,'Diags Raw Data'!$P$6:$P$3690)/J258)</f>
        <v>0</v>
      </c>
      <c r="M258" s="489" cm="1">
        <f t="array" ref="M258">SUMPRODUCT(--(ISNUMBER(SEARCH($A258,'Diags Raw Data'!$A$6:$A$3690))),--('Diags Raw Data'!$Q$6:$Q$3690&lt;&gt;"N/A"),'Diags Raw Data'!$R$6:$R$3690)</f>
        <v>0</v>
      </c>
      <c r="N258" s="490" cm="1">
        <f t="array" ref="N258">SUMPRODUCT(--(ISNUMBER(SEARCH($A258,'Diags Raw Data'!$A$6:$A$3690))),--('Diags Raw Data'!$Q$6:$Q$3690&lt;&gt;"N/A"),'Diags Raw Data'!$T$6:$T$3690)+SUMPRODUCT(--(ISNUMBER(SEARCH($A258,'Diags Raw Data'!$A$6:$A$3690))),--('Diags Raw Data'!$Q$6:$Q$3690&lt;&gt;"N/A"),'Diags Raw Data'!$U$6:$U$3690)</f>
        <v>0</v>
      </c>
      <c r="O258" s="491">
        <f t="shared" si="43"/>
        <v>0</v>
      </c>
      <c r="P258" s="492">
        <f>SUMIF('Diags Raw Data'!$A$6:$A$3690,"*"&amp;$A258&amp;"*",'Diags Raw Data'!$Z$6:$Z$3690)</f>
        <v>0</v>
      </c>
      <c r="Q258" s="493">
        <f>SUM(SUMIF('Diags Raw Data'!$A$6:$A$3690,"*"&amp;$A258&amp;"*",'Diags Raw Data'!$AA$6:$AA$3690),SUMIF('Diags Raw Data'!$A$6:$A$3690,"*"&amp;$A258&amp;"*",'Diags Raw Data'!$AB$6:$AB$3690))</f>
        <v>0</v>
      </c>
      <c r="R258" s="494">
        <f t="shared" si="44"/>
        <v>0</v>
      </c>
      <c r="S258" s="494">
        <f t="shared" si="45"/>
        <v>0</v>
      </c>
      <c r="T258" s="495">
        <f t="shared" si="46"/>
        <v>0</v>
      </c>
      <c r="U258" s="436" t="e">
        <f>VLOOKUP(A258,'Diags Raw Data'!$A$6:$AH$3690,33,FALSE)</f>
        <v>#N/A</v>
      </c>
      <c r="V258" s="181"/>
    </row>
    <row r="259" spans="1:22" x14ac:dyDescent="0.25">
      <c r="A259" s="549"/>
      <c r="B259" s="438"/>
      <c r="C259" s="439"/>
      <c r="D259" s="440"/>
      <c r="E259" s="340"/>
      <c r="F259" s="340"/>
      <c r="G259" s="340"/>
      <c r="H259" s="340"/>
      <c r="I259" s="439"/>
      <c r="J259" s="441"/>
      <c r="K259" s="487"/>
      <c r="L259" s="488"/>
      <c r="M259" s="489"/>
      <c r="N259" s="490"/>
      <c r="O259" s="491"/>
      <c r="P259" s="492"/>
      <c r="Q259" s="493"/>
      <c r="R259" s="494"/>
      <c r="S259" s="494"/>
      <c r="T259" s="495"/>
      <c r="U259" s="442"/>
      <c r="V259" s="181"/>
    </row>
    <row r="260" spans="1:22" x14ac:dyDescent="0.25">
      <c r="A260" s="549"/>
      <c r="B260" s="438"/>
      <c r="C260" s="439"/>
      <c r="D260" s="440"/>
      <c r="E260" s="340"/>
      <c r="F260" s="340"/>
      <c r="G260" s="340"/>
      <c r="H260" s="340"/>
      <c r="I260" s="439"/>
      <c r="J260" s="441"/>
      <c r="K260" s="487"/>
      <c r="L260" s="488"/>
      <c r="M260" s="489"/>
      <c r="N260" s="490"/>
      <c r="O260" s="491"/>
      <c r="P260" s="492"/>
      <c r="Q260" s="493"/>
      <c r="R260" s="494"/>
      <c r="S260" s="494"/>
      <c r="T260" s="495"/>
      <c r="U260" s="442"/>
      <c r="V260" s="181"/>
    </row>
    <row r="261" spans="1:22" x14ac:dyDescent="0.25">
      <c r="A261" s="549"/>
      <c r="B261" s="438"/>
      <c r="C261" s="439"/>
      <c r="D261" s="440"/>
      <c r="E261" s="340"/>
      <c r="F261" s="340"/>
      <c r="G261" s="340"/>
      <c r="H261" s="340"/>
      <c r="I261" s="439"/>
      <c r="J261" s="441"/>
      <c r="K261" s="487"/>
      <c r="L261" s="488"/>
      <c r="M261" s="489"/>
      <c r="N261" s="490"/>
      <c r="O261" s="491"/>
      <c r="P261" s="492"/>
      <c r="Q261" s="493"/>
      <c r="R261" s="494"/>
      <c r="S261" s="494"/>
      <c r="T261" s="495"/>
      <c r="U261" s="442"/>
      <c r="V261" s="181"/>
    </row>
    <row r="262" spans="1:22" x14ac:dyDescent="0.25">
      <c r="A262" s="549"/>
      <c r="B262" s="438"/>
      <c r="C262" s="439"/>
      <c r="D262" s="440"/>
      <c r="E262" s="340"/>
      <c r="F262" s="340"/>
      <c r="G262" s="340"/>
      <c r="H262" s="340"/>
      <c r="I262" s="439"/>
      <c r="J262" s="441"/>
      <c r="K262" s="487"/>
      <c r="L262" s="488"/>
      <c r="M262" s="489"/>
      <c r="N262" s="490"/>
      <c r="O262" s="491"/>
      <c r="P262" s="492"/>
      <c r="Q262" s="493"/>
      <c r="R262" s="494"/>
      <c r="S262" s="494"/>
      <c r="T262" s="495"/>
      <c r="U262" s="442"/>
      <c r="V262" s="181"/>
    </row>
    <row r="263" spans="1:22" x14ac:dyDescent="0.25">
      <c r="A263" s="549"/>
      <c r="B263" s="438"/>
      <c r="C263" s="439"/>
      <c r="D263" s="440"/>
      <c r="E263" s="340"/>
      <c r="F263" s="340"/>
      <c r="G263" s="340"/>
      <c r="H263" s="340"/>
      <c r="I263" s="439"/>
      <c r="J263" s="441"/>
      <c r="K263" s="487"/>
      <c r="L263" s="488"/>
      <c r="M263" s="489"/>
      <c r="N263" s="490"/>
      <c r="O263" s="491"/>
      <c r="P263" s="492"/>
      <c r="Q263" s="493"/>
      <c r="R263" s="494"/>
      <c r="S263" s="494"/>
      <c r="T263" s="495"/>
      <c r="U263" s="442"/>
      <c r="V263" s="181"/>
    </row>
    <row r="264" spans="1:22" x14ac:dyDescent="0.25">
      <c r="A264" s="549"/>
      <c r="B264" s="438"/>
      <c r="C264" s="439"/>
      <c r="D264" s="440"/>
      <c r="E264" s="340"/>
      <c r="F264" s="340"/>
      <c r="G264" s="340"/>
      <c r="H264" s="340"/>
      <c r="I264" s="439"/>
      <c r="J264" s="441"/>
      <c r="K264" s="487"/>
      <c r="L264" s="488"/>
      <c r="M264" s="489"/>
      <c r="N264" s="490"/>
      <c r="O264" s="491"/>
      <c r="P264" s="492"/>
      <c r="Q264" s="493"/>
      <c r="R264" s="494"/>
      <c r="S264" s="494"/>
      <c r="T264" s="495"/>
      <c r="U264" s="442"/>
      <c r="V264" s="181"/>
    </row>
    <row r="265" spans="1:22" x14ac:dyDescent="0.25">
      <c r="A265" s="549"/>
      <c r="B265" s="438"/>
      <c r="C265" s="439"/>
      <c r="D265" s="440"/>
      <c r="E265" s="340"/>
      <c r="F265" s="340"/>
      <c r="G265" s="340"/>
      <c r="H265" s="340"/>
      <c r="I265" s="439"/>
      <c r="J265" s="441"/>
      <c r="K265" s="487"/>
      <c r="L265" s="488"/>
      <c r="M265" s="489"/>
      <c r="N265" s="490"/>
      <c r="O265" s="491"/>
      <c r="P265" s="492"/>
      <c r="Q265" s="493"/>
      <c r="R265" s="494"/>
      <c r="S265" s="494"/>
      <c r="T265" s="495"/>
      <c r="U265" s="442"/>
      <c r="V265" s="181"/>
    </row>
    <row r="266" spans="1:22" x14ac:dyDescent="0.25">
      <c r="A266" s="549"/>
      <c r="B266" s="438"/>
      <c r="C266" s="439"/>
      <c r="D266" s="440"/>
      <c r="E266" s="340"/>
      <c r="F266" s="340"/>
      <c r="G266" s="340"/>
      <c r="H266" s="340"/>
      <c r="I266" s="439"/>
      <c r="J266" s="441"/>
      <c r="K266" s="487"/>
      <c r="L266" s="488"/>
      <c r="M266" s="489"/>
      <c r="N266" s="490"/>
      <c r="O266" s="491"/>
      <c r="P266" s="492"/>
      <c r="Q266" s="493"/>
      <c r="R266" s="494"/>
      <c r="S266" s="494"/>
      <c r="T266" s="495"/>
      <c r="U266" s="442"/>
      <c r="V266" s="181"/>
    </row>
    <row r="267" spans="1:22" x14ac:dyDescent="0.25">
      <c r="A267" s="549"/>
      <c r="B267" s="438"/>
      <c r="C267" s="439"/>
      <c r="D267" s="440"/>
      <c r="E267" s="340"/>
      <c r="F267" s="340"/>
      <c r="G267" s="340"/>
      <c r="H267" s="340"/>
      <c r="I267" s="439"/>
      <c r="J267" s="441"/>
      <c r="K267" s="487"/>
      <c r="L267" s="488"/>
      <c r="M267" s="489"/>
      <c r="N267" s="490"/>
      <c r="O267" s="491"/>
      <c r="P267" s="492"/>
      <c r="Q267" s="493"/>
      <c r="R267" s="494"/>
      <c r="S267" s="494"/>
      <c r="T267" s="495"/>
      <c r="U267" s="442"/>
      <c r="V267" s="181"/>
    </row>
    <row r="268" spans="1:22" x14ac:dyDescent="0.25">
      <c r="A268" s="549"/>
      <c r="B268" s="438"/>
      <c r="C268" s="439"/>
      <c r="D268" s="440"/>
      <c r="E268" s="340"/>
      <c r="F268" s="340"/>
      <c r="G268" s="340"/>
      <c r="H268" s="340"/>
      <c r="I268" s="439"/>
      <c r="J268" s="441"/>
      <c r="K268" s="487"/>
      <c r="L268" s="488"/>
      <c r="M268" s="489"/>
      <c r="N268" s="490"/>
      <c r="O268" s="491"/>
      <c r="P268" s="492"/>
      <c r="Q268" s="493"/>
      <c r="R268" s="494"/>
      <c r="S268" s="494"/>
      <c r="T268" s="495"/>
      <c r="U268" s="442"/>
      <c r="V268" s="181"/>
    </row>
    <row r="269" spans="1:22" x14ac:dyDescent="0.25">
      <c r="A269" s="549"/>
      <c r="B269" s="438"/>
      <c r="C269" s="439"/>
      <c r="D269" s="440"/>
      <c r="E269" s="340"/>
      <c r="F269" s="340"/>
      <c r="G269" s="340"/>
      <c r="H269" s="340"/>
      <c r="I269" s="439"/>
      <c r="J269" s="441"/>
      <c r="K269" s="487"/>
      <c r="L269" s="488"/>
      <c r="M269" s="489"/>
      <c r="N269" s="490"/>
      <c r="O269" s="491"/>
      <c r="P269" s="492"/>
      <c r="Q269" s="493"/>
      <c r="R269" s="494"/>
      <c r="S269" s="494"/>
      <c r="T269" s="495"/>
      <c r="U269" s="442"/>
      <c r="V269" s="181"/>
    </row>
    <row r="270" spans="1:22" x14ac:dyDescent="0.25">
      <c r="A270" s="437"/>
      <c r="B270" s="438"/>
      <c r="C270" s="439"/>
      <c r="D270" s="440"/>
      <c r="E270" s="340"/>
      <c r="F270" s="340"/>
      <c r="G270" s="340"/>
      <c r="H270" s="340"/>
      <c r="I270" s="439"/>
      <c r="J270" s="441"/>
      <c r="K270" s="487"/>
      <c r="L270" s="488"/>
      <c r="M270" s="489"/>
      <c r="N270" s="490"/>
      <c r="O270" s="491"/>
      <c r="P270" s="492"/>
      <c r="Q270" s="493"/>
      <c r="R270" s="494"/>
      <c r="S270" s="494"/>
      <c r="T270" s="495"/>
      <c r="U270" s="442"/>
      <c r="V270" s="181"/>
    </row>
    <row r="271" spans="1:22" x14ac:dyDescent="0.25">
      <c r="A271" s="437"/>
      <c r="B271" s="438"/>
      <c r="C271" s="439"/>
      <c r="D271" s="440"/>
      <c r="E271" s="340"/>
      <c r="F271" s="340"/>
      <c r="G271" s="340"/>
      <c r="H271" s="340"/>
      <c r="I271" s="439"/>
      <c r="J271" s="441"/>
      <c r="K271" s="487"/>
      <c r="L271" s="488"/>
      <c r="M271" s="489"/>
      <c r="N271" s="490"/>
      <c r="O271" s="491"/>
      <c r="P271" s="492"/>
      <c r="Q271" s="493"/>
      <c r="R271" s="494"/>
      <c r="S271" s="494"/>
      <c r="T271" s="495"/>
      <c r="U271" s="442"/>
      <c r="V271" s="181"/>
    </row>
    <row r="272" spans="1:22" x14ac:dyDescent="0.25">
      <c r="A272" s="372"/>
      <c r="B272" s="407"/>
      <c r="C272" s="339"/>
      <c r="D272" s="82"/>
      <c r="E272" s="180"/>
      <c r="F272" s="180"/>
      <c r="G272" s="180"/>
      <c r="H272" s="180"/>
      <c r="I272" s="339"/>
      <c r="J272" s="194"/>
      <c r="K272" s="496"/>
      <c r="L272" s="497"/>
      <c r="M272" s="498"/>
      <c r="N272" s="499"/>
      <c r="O272" s="500"/>
      <c r="P272" s="501"/>
      <c r="Q272" s="502"/>
      <c r="R272" s="503"/>
      <c r="S272" s="503"/>
      <c r="T272" s="504"/>
      <c r="U272" s="373"/>
      <c r="V272" s="181"/>
    </row>
    <row r="273" spans="1:22" x14ac:dyDescent="0.25">
      <c r="A273" s="372"/>
      <c r="B273" s="407"/>
      <c r="C273" s="339"/>
      <c r="D273" s="82"/>
      <c r="E273" s="180"/>
      <c r="F273" s="180"/>
      <c r="G273" s="180"/>
      <c r="H273" s="180"/>
      <c r="I273" s="339"/>
      <c r="J273" s="194"/>
      <c r="K273" s="496"/>
      <c r="L273" s="497"/>
      <c r="M273" s="498"/>
      <c r="N273" s="499"/>
      <c r="O273" s="500"/>
      <c r="P273" s="501"/>
      <c r="Q273" s="502"/>
      <c r="R273" s="503"/>
      <c r="S273" s="503"/>
      <c r="T273" s="504"/>
      <c r="U273" s="373"/>
      <c r="V273" s="181"/>
    </row>
    <row r="274" spans="1:22" ht="15.75" thickBot="1" x14ac:dyDescent="0.3">
      <c r="A274" s="380"/>
      <c r="B274" s="408"/>
      <c r="C274" s="381"/>
      <c r="D274" s="382"/>
      <c r="E274" s="383"/>
      <c r="F274" s="383"/>
      <c r="G274" s="383"/>
      <c r="H274" s="383"/>
      <c r="I274" s="381"/>
      <c r="J274" s="384"/>
      <c r="K274" s="505"/>
      <c r="L274" s="506"/>
      <c r="M274" s="507"/>
      <c r="N274" s="508"/>
      <c r="O274" s="509"/>
      <c r="P274" s="510"/>
      <c r="Q274" s="511"/>
      <c r="R274" s="512"/>
      <c r="S274" s="512"/>
      <c r="T274" s="513"/>
      <c r="U274" s="385"/>
      <c r="V274" s="181"/>
    </row>
    <row r="275" spans="1:22" x14ac:dyDescent="0.25">
      <c r="A275" s="613" t="s">
        <v>720</v>
      </c>
      <c r="B275" s="677"/>
      <c r="C275" s="677"/>
      <c r="D275" s="677"/>
      <c r="E275" s="677"/>
      <c r="F275" s="677"/>
      <c r="G275" s="677"/>
      <c r="H275" s="677"/>
      <c r="I275" s="677"/>
      <c r="J275" s="677"/>
      <c r="K275" s="677"/>
      <c r="L275" s="677"/>
      <c r="M275" s="677"/>
      <c r="N275" s="677"/>
      <c r="O275" s="677"/>
      <c r="P275" s="677"/>
      <c r="Q275" s="677"/>
      <c r="R275" s="677"/>
      <c r="S275" s="677"/>
      <c r="T275" s="677"/>
      <c r="U275" s="678"/>
      <c r="V275" s="181"/>
    </row>
    <row r="276" spans="1:22" ht="15.75" thickBot="1" x14ac:dyDescent="0.3">
      <c r="A276" s="679"/>
      <c r="B276" s="680"/>
      <c r="C276" s="680"/>
      <c r="D276" s="680"/>
      <c r="E276" s="680"/>
      <c r="F276" s="680"/>
      <c r="G276" s="680"/>
      <c r="H276" s="680"/>
      <c r="I276" s="680"/>
      <c r="J276" s="680"/>
      <c r="K276" s="680"/>
      <c r="L276" s="680"/>
      <c r="M276" s="680"/>
      <c r="N276" s="680"/>
      <c r="O276" s="680"/>
      <c r="P276" s="680"/>
      <c r="Q276" s="680"/>
      <c r="R276" s="680"/>
      <c r="S276" s="680"/>
      <c r="T276" s="680"/>
      <c r="U276" s="681"/>
      <c r="V276" s="181"/>
    </row>
    <row r="277" spans="1:22" s="188" customFormat="1" ht="18.75" x14ac:dyDescent="0.25">
      <c r="A277" s="671" t="s">
        <v>302</v>
      </c>
      <c r="B277" s="672"/>
      <c r="C277" s="672"/>
      <c r="D277" s="672"/>
      <c r="E277" s="672"/>
      <c r="F277" s="673"/>
      <c r="G277" s="394">
        <f>COUNTIF(G7:G274,"Yes")</f>
        <v>252</v>
      </c>
      <c r="H277" s="394">
        <f>COUNTIF(H7:H274,"Yes")</f>
        <v>252</v>
      </c>
      <c r="I277" s="702">
        <f>'Diags Raw Data'!K80</f>
        <v>65</v>
      </c>
      <c r="J277" s="704">
        <f>'Diags Raw Data'!L80</f>
        <v>349</v>
      </c>
      <c r="K277" s="690">
        <f>'Diags Raw Data'!N80</f>
        <v>1</v>
      </c>
      <c r="L277" s="692">
        <f>'Diags Raw Data'!P80</f>
        <v>0.94692307692307687</v>
      </c>
      <c r="M277" s="694">
        <f>'Diags Raw Data'!R80</f>
        <v>236</v>
      </c>
      <c r="N277" s="686">
        <f>SUM('Diags Raw Data'!T80+'Diags Raw Data'!U80)</f>
        <v>177</v>
      </c>
      <c r="O277" s="682">
        <f>IF((M277=0),0,N277/M277)</f>
        <v>0.75</v>
      </c>
      <c r="P277" s="684">
        <f>'Diags Raw Data'!Z80</f>
        <v>57</v>
      </c>
      <c r="Q277" s="700">
        <f>SUM('Diags Raw Data'!AA80+'Diags Raw Data'!AB80)</f>
        <v>55</v>
      </c>
      <c r="R277" s="696">
        <f>IF((J277=0),0,P277/J277)</f>
        <v>0.16332378223495703</v>
      </c>
      <c r="S277" s="696">
        <f>IF((P277=0),0,Q277/P277)</f>
        <v>0.96491228070175439</v>
      </c>
      <c r="T277" s="696">
        <f>R277*S277</f>
        <v>0.15759312320916907</v>
      </c>
      <c r="U277" s="698"/>
      <c r="V277" s="187"/>
    </row>
    <row r="278" spans="1:22" ht="19.5" thickBot="1" x14ac:dyDescent="0.3">
      <c r="A278" s="674"/>
      <c r="B278" s="675"/>
      <c r="C278" s="675"/>
      <c r="D278" s="675"/>
      <c r="E278" s="675"/>
      <c r="F278" s="676"/>
      <c r="G278" s="395">
        <f>COUNTIF(G7:G274,"Yes")/COUNTA(A7:A274)</f>
        <v>1</v>
      </c>
      <c r="H278" s="395">
        <f>(COUNTIF(H7:H274,"Yes")/G277)</f>
        <v>1</v>
      </c>
      <c r="I278" s="703"/>
      <c r="J278" s="705"/>
      <c r="K278" s="691"/>
      <c r="L278" s="693"/>
      <c r="M278" s="695"/>
      <c r="N278" s="687"/>
      <c r="O278" s="683"/>
      <c r="P278" s="685"/>
      <c r="Q278" s="701"/>
      <c r="R278" s="697"/>
      <c r="S278" s="697"/>
      <c r="T278" s="697"/>
      <c r="U278" s="699"/>
      <c r="V278" s="181"/>
    </row>
    <row r="279" spans="1:22" x14ac:dyDescent="0.25">
      <c r="A279" s="189"/>
      <c r="B279" s="190"/>
      <c r="C279" s="190"/>
      <c r="D279" s="189"/>
      <c r="E279" s="190"/>
      <c r="F279" s="190"/>
      <c r="G279" s="376"/>
      <c r="H279" s="190"/>
      <c r="I279" s="386"/>
      <c r="J279" s="386"/>
      <c r="K279" s="195"/>
      <c r="L279" s="195"/>
      <c r="M279" s="196"/>
      <c r="N279" s="196"/>
      <c r="O279" s="195"/>
      <c r="P279" s="192"/>
      <c r="Q279" s="192"/>
      <c r="R279" s="199"/>
      <c r="S279" s="199"/>
      <c r="T279" s="200"/>
      <c r="U279" s="189"/>
    </row>
  </sheetData>
  <sheetProtection insertColumns="0" insertRows="0" deleteRows="0" sort="0"/>
  <autoFilter ref="A6:U278" xr:uid="{00000000-0009-0000-0000-000004000000}"/>
  <mergeCells count="36">
    <mergeCell ref="A1:U1"/>
    <mergeCell ref="I2:I3"/>
    <mergeCell ref="A2:F3"/>
    <mergeCell ref="O2:O3"/>
    <mergeCell ref="P2:P3"/>
    <mergeCell ref="Q2:Q3"/>
    <mergeCell ref="J2:J3"/>
    <mergeCell ref="K2:K3"/>
    <mergeCell ref="L2:L3"/>
    <mergeCell ref="M2:M3"/>
    <mergeCell ref="N2:N3"/>
    <mergeCell ref="V2:V3"/>
    <mergeCell ref="A4:U4"/>
    <mergeCell ref="K277:K278"/>
    <mergeCell ref="L277:L278"/>
    <mergeCell ref="M277:M278"/>
    <mergeCell ref="T2:T3"/>
    <mergeCell ref="U2:U3"/>
    <mergeCell ref="R2:R3"/>
    <mergeCell ref="S2:S3"/>
    <mergeCell ref="S277:S278"/>
    <mergeCell ref="T277:T278"/>
    <mergeCell ref="U277:U278"/>
    <mergeCell ref="Q277:Q278"/>
    <mergeCell ref="R277:R278"/>
    <mergeCell ref="I277:I278"/>
    <mergeCell ref="J277:J278"/>
    <mergeCell ref="K5:L5"/>
    <mergeCell ref="A5:J5"/>
    <mergeCell ref="M5:O5"/>
    <mergeCell ref="P5:U5"/>
    <mergeCell ref="A277:F278"/>
    <mergeCell ref="A275:U276"/>
    <mergeCell ref="O277:O278"/>
    <mergeCell ref="P277:P278"/>
    <mergeCell ref="N277:N278"/>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75" customHeight="1" x14ac:dyDescent="0.2">
      <c r="A1" s="34"/>
      <c r="B1" s="36" t="s">
        <v>721</v>
      </c>
      <c r="C1" s="36" t="s">
        <v>722</v>
      </c>
      <c r="D1" s="36" t="s">
        <v>723</v>
      </c>
      <c r="E1" s="36" t="s">
        <v>724</v>
      </c>
      <c r="F1" s="36" t="s">
        <v>725</v>
      </c>
      <c r="G1" s="37" t="s">
        <v>726</v>
      </c>
      <c r="H1" s="12"/>
      <c r="I1" s="12"/>
      <c r="J1" s="12"/>
      <c r="K1" s="12"/>
      <c r="L1" s="13"/>
      <c r="M1" s="1"/>
      <c r="N1" s="11"/>
      <c r="X1" s="11"/>
      <c r="AB1" s="718" t="s">
        <v>727</v>
      </c>
      <c r="AM1" s="718" t="s">
        <v>728</v>
      </c>
    </row>
    <row r="2" spans="1:40" s="14" customFormat="1" ht="12" x14ac:dyDescent="0.2">
      <c r="A2" s="35" t="s">
        <v>729</v>
      </c>
      <c r="B2" s="15">
        <v>42994</v>
      </c>
      <c r="C2" s="15">
        <v>43190</v>
      </c>
      <c r="D2" s="16" t="e">
        <f>#REF!</f>
        <v>#REF!</v>
      </c>
      <c r="E2" s="16" t="e">
        <f>#REF!</f>
        <v>#REF!</v>
      </c>
      <c r="F2" s="16">
        <f>(C2-B2)/7</f>
        <v>28</v>
      </c>
      <c r="G2" s="17" t="e">
        <f>E2/F2</f>
        <v>#REF!</v>
      </c>
      <c r="H2" s="18"/>
      <c r="I2" s="18"/>
      <c r="J2" s="18"/>
      <c r="K2" s="18"/>
      <c r="L2" s="19"/>
      <c r="M2" s="20"/>
      <c r="N2" s="21"/>
      <c r="X2" s="21"/>
      <c r="AB2" s="719"/>
      <c r="AM2" s="719"/>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20" t="s">
        <v>730</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21"/>
      <c r="B5" s="47" t="s">
        <v>731</v>
      </c>
      <c r="C5" s="47" t="s">
        <v>732</v>
      </c>
      <c r="D5" s="47" t="s">
        <v>733</v>
      </c>
      <c r="E5" s="47" t="s">
        <v>734</v>
      </c>
      <c r="F5" s="47" t="s">
        <v>735</v>
      </c>
      <c r="G5" s="47" t="s">
        <v>736</v>
      </c>
      <c r="H5" s="47" t="s">
        <v>737</v>
      </c>
      <c r="I5" s="47" t="s">
        <v>738</v>
      </c>
      <c r="J5" s="47" t="s">
        <v>739</v>
      </c>
      <c r="K5" s="47" t="s">
        <v>740</v>
      </c>
      <c r="L5" s="47" t="s">
        <v>741</v>
      </c>
      <c r="M5" s="47" t="s">
        <v>742</v>
      </c>
      <c r="N5" s="47" t="s">
        <v>743</v>
      </c>
      <c r="O5" s="47" t="s">
        <v>744</v>
      </c>
      <c r="P5" s="47" t="s">
        <v>745</v>
      </c>
      <c r="Q5" s="47" t="s">
        <v>746</v>
      </c>
      <c r="R5" s="47" t="s">
        <v>747</v>
      </c>
      <c r="S5" s="47" t="s">
        <v>748</v>
      </c>
      <c r="T5" s="47" t="s">
        <v>749</v>
      </c>
      <c r="U5" s="47" t="s">
        <v>750</v>
      </c>
      <c r="V5" s="47" t="s">
        <v>751</v>
      </c>
      <c r="W5" s="47" t="s">
        <v>752</v>
      </c>
      <c r="X5" s="47" t="s">
        <v>753</v>
      </c>
      <c r="Y5" s="47" t="s">
        <v>754</v>
      </c>
      <c r="Z5" s="47" t="s">
        <v>755</v>
      </c>
      <c r="AA5" s="47" t="s">
        <v>756</v>
      </c>
      <c r="AB5" s="47" t="s">
        <v>757</v>
      </c>
      <c r="AC5" s="47" t="s">
        <v>758</v>
      </c>
      <c r="AD5" s="47" t="s">
        <v>759</v>
      </c>
      <c r="AE5" s="47" t="s">
        <v>760</v>
      </c>
      <c r="AF5" s="47" t="s">
        <v>761</v>
      </c>
      <c r="AG5" s="47" t="s">
        <v>762</v>
      </c>
      <c r="AH5" s="47" t="s">
        <v>763</v>
      </c>
      <c r="AI5" s="47" t="s">
        <v>764</v>
      </c>
      <c r="AJ5" s="47" t="s">
        <v>765</v>
      </c>
      <c r="AK5" s="47" t="s">
        <v>766</v>
      </c>
      <c r="AL5" s="66" t="s">
        <v>767</v>
      </c>
      <c r="AM5" s="65" t="s">
        <v>768</v>
      </c>
      <c r="AN5" s="50"/>
    </row>
    <row r="6" spans="1:40" ht="12" x14ac:dyDescent="0.2">
      <c r="A6" s="48" t="s">
        <v>769</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770</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20" t="s">
        <v>771</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22"/>
      <c r="B10" s="32" t="s">
        <v>731</v>
      </c>
      <c r="C10" s="32" t="s">
        <v>732</v>
      </c>
      <c r="D10" s="32" t="s">
        <v>733</v>
      </c>
      <c r="E10" s="32" t="s">
        <v>734</v>
      </c>
      <c r="F10" s="32" t="s">
        <v>735</v>
      </c>
      <c r="G10" s="32" t="s">
        <v>736</v>
      </c>
      <c r="H10" s="32" t="s">
        <v>737</v>
      </c>
      <c r="I10" s="32" t="s">
        <v>738</v>
      </c>
      <c r="J10" s="32" t="s">
        <v>739</v>
      </c>
      <c r="K10" s="32" t="s">
        <v>740</v>
      </c>
      <c r="L10" s="32" t="s">
        <v>741</v>
      </c>
      <c r="M10" s="32" t="s">
        <v>742</v>
      </c>
      <c r="N10" s="32" t="s">
        <v>743</v>
      </c>
      <c r="O10" s="32" t="s">
        <v>744</v>
      </c>
      <c r="P10" s="32" t="s">
        <v>745</v>
      </c>
      <c r="Q10" s="32" t="s">
        <v>746</v>
      </c>
      <c r="R10" s="32" t="s">
        <v>747</v>
      </c>
      <c r="S10" s="32" t="s">
        <v>748</v>
      </c>
      <c r="T10" s="32" t="s">
        <v>749</v>
      </c>
      <c r="U10" s="32" t="s">
        <v>750</v>
      </c>
      <c r="V10" s="32" t="s">
        <v>751</v>
      </c>
      <c r="W10" s="32" t="s">
        <v>752</v>
      </c>
      <c r="X10" s="32" t="s">
        <v>753</v>
      </c>
      <c r="Y10" s="32" t="s">
        <v>754</v>
      </c>
      <c r="Z10" s="32" t="s">
        <v>755</v>
      </c>
      <c r="AA10" s="32" t="s">
        <v>756</v>
      </c>
      <c r="AB10" s="32" t="s">
        <v>757</v>
      </c>
      <c r="AC10" s="32" t="s">
        <v>758</v>
      </c>
      <c r="AD10" s="32" t="s">
        <v>759</v>
      </c>
      <c r="AE10" s="32" t="s">
        <v>760</v>
      </c>
      <c r="AF10" s="32" t="s">
        <v>761</v>
      </c>
      <c r="AG10" s="32" t="s">
        <v>762</v>
      </c>
      <c r="AH10" s="32" t="s">
        <v>763</v>
      </c>
      <c r="AI10" s="32" t="s">
        <v>764</v>
      </c>
      <c r="AJ10" s="64" t="s">
        <v>765</v>
      </c>
      <c r="AK10" s="63" t="s">
        <v>766</v>
      </c>
      <c r="AL10" s="47" t="s">
        <v>767</v>
      </c>
      <c r="AM10" s="72" t="s">
        <v>768</v>
      </c>
      <c r="AN10" s="68"/>
    </row>
    <row r="11" spans="1:40" x14ac:dyDescent="0.25">
      <c r="A11" s="42" t="s">
        <v>769</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770</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772</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773</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2.75" x14ac:dyDescent="0.2"/>
  <cols>
    <col min="1" max="1" width="10.42578125" style="136" bestFit="1" customWidth="1"/>
    <col min="2" max="27" width="5.5703125" style="134" bestFit="1" customWidth="1"/>
    <col min="28" max="28" width="5.42578125" style="134" bestFit="1" customWidth="1"/>
    <col min="29" max="54" width="6" style="134" bestFit="1" customWidth="1"/>
    <col min="55" max="16384" width="15" style="134"/>
  </cols>
  <sheetData>
    <row r="1" spans="1:54" ht="13.5" thickBot="1" x14ac:dyDescent="0.25">
      <c r="A1" s="156" t="s">
        <v>774</v>
      </c>
      <c r="B1" s="157" t="s">
        <v>775</v>
      </c>
      <c r="C1" s="158" t="s">
        <v>776</v>
      </c>
      <c r="D1" s="158" t="s">
        <v>777</v>
      </c>
      <c r="E1" s="158" t="s">
        <v>778</v>
      </c>
      <c r="F1" s="158" t="s">
        <v>779</v>
      </c>
      <c r="G1" s="158" t="s">
        <v>780</v>
      </c>
      <c r="H1" s="158" t="s">
        <v>781</v>
      </c>
      <c r="I1" s="158" t="s">
        <v>782</v>
      </c>
      <c r="J1" s="158" t="s">
        <v>783</v>
      </c>
      <c r="K1" s="158" t="s">
        <v>784</v>
      </c>
      <c r="L1" s="158" t="s">
        <v>785</v>
      </c>
      <c r="M1" s="158" t="s">
        <v>786</v>
      </c>
      <c r="N1" s="158" t="s">
        <v>787</v>
      </c>
      <c r="O1" s="158" t="s">
        <v>788</v>
      </c>
      <c r="P1" s="158" t="s">
        <v>789</v>
      </c>
      <c r="Q1" s="158" t="s">
        <v>790</v>
      </c>
      <c r="R1" s="158" t="s">
        <v>791</v>
      </c>
      <c r="S1" s="158" t="s">
        <v>792</v>
      </c>
      <c r="T1" s="158" t="s">
        <v>793</v>
      </c>
      <c r="U1" s="158" t="s">
        <v>794</v>
      </c>
      <c r="V1" s="158" t="s">
        <v>795</v>
      </c>
      <c r="W1" s="158" t="s">
        <v>796</v>
      </c>
      <c r="X1" s="158" t="s">
        <v>797</v>
      </c>
      <c r="Y1" s="158" t="s">
        <v>798</v>
      </c>
      <c r="Z1" s="158" t="s">
        <v>799</v>
      </c>
      <c r="AA1" s="158" t="s">
        <v>800</v>
      </c>
      <c r="AB1" s="158" t="s">
        <v>801</v>
      </c>
      <c r="AC1" s="158" t="s">
        <v>802</v>
      </c>
      <c r="AD1" s="158" t="s">
        <v>803</v>
      </c>
      <c r="AE1" s="158" t="s">
        <v>804</v>
      </c>
      <c r="AF1" s="158" t="s">
        <v>805</v>
      </c>
      <c r="AG1" s="158" t="s">
        <v>806</v>
      </c>
      <c r="AH1" s="158" t="s">
        <v>807</v>
      </c>
      <c r="AI1" s="158" t="s">
        <v>808</v>
      </c>
      <c r="AJ1" s="158" t="s">
        <v>809</v>
      </c>
      <c r="AK1" s="158" t="s">
        <v>810</v>
      </c>
      <c r="AL1" s="158" t="s">
        <v>811</v>
      </c>
      <c r="AM1" s="158" t="s">
        <v>812</v>
      </c>
      <c r="AN1" s="158" t="s">
        <v>813</v>
      </c>
      <c r="AO1" s="158" t="s">
        <v>814</v>
      </c>
      <c r="AP1" s="158" t="s">
        <v>815</v>
      </c>
      <c r="AQ1" s="158" t="s">
        <v>816</v>
      </c>
      <c r="AR1" s="158" t="s">
        <v>817</v>
      </c>
      <c r="AS1" s="158" t="s">
        <v>818</v>
      </c>
      <c r="AT1" s="158" t="s">
        <v>819</v>
      </c>
      <c r="AU1" s="158" t="s">
        <v>820</v>
      </c>
      <c r="AV1" s="158" t="s">
        <v>821</v>
      </c>
      <c r="AW1" s="158" t="s">
        <v>822</v>
      </c>
      <c r="AX1" s="158" t="s">
        <v>823</v>
      </c>
      <c r="AY1" s="158" t="s">
        <v>824</v>
      </c>
      <c r="AZ1" s="158" t="s">
        <v>825</v>
      </c>
      <c r="BA1" s="158" t="s">
        <v>826</v>
      </c>
      <c r="BB1" s="159" t="s">
        <v>827</v>
      </c>
    </row>
    <row r="2" spans="1:54" s="135" customFormat="1" x14ac:dyDescent="0.2">
      <c r="A2" s="151" t="s">
        <v>770</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773</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771</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770</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772</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ColWidth="8.5703125" defaultRowHeight="15" x14ac:dyDescent="0.25"/>
  <cols>
    <col min="1" max="2" width="13.42578125" bestFit="1" customWidth="1"/>
    <col min="4" max="4" width="9.42578125" style="130"/>
  </cols>
  <sheetData>
    <row r="3" spans="1:5" x14ac:dyDescent="0.25">
      <c r="A3" s="129" t="s">
        <v>828</v>
      </c>
      <c r="B3" s="129" t="s">
        <v>829</v>
      </c>
      <c r="C3" s="129"/>
      <c r="D3" s="219"/>
      <c r="E3" s="129"/>
    </row>
    <row r="4" spans="1:5" x14ac:dyDescent="0.25">
      <c r="A4" s="79" t="s">
        <v>47</v>
      </c>
      <c r="B4">
        <v>0</v>
      </c>
    </row>
    <row r="5" spans="1:5" x14ac:dyDescent="0.25">
      <c r="A5" s="79" t="s">
        <v>830</v>
      </c>
      <c r="B5">
        <v>85</v>
      </c>
      <c r="D5" s="130">
        <f>GETPIVOTDATA("#Tests",$A$3,"ETA","wk-1")/GETPIVOTDATA("#Tests",$A$3)</f>
        <v>0.17</v>
      </c>
      <c r="E5" s="131">
        <f>D5</f>
        <v>0.17</v>
      </c>
    </row>
    <row r="6" spans="1:5" x14ac:dyDescent="0.25">
      <c r="A6" s="79" t="s">
        <v>831</v>
      </c>
      <c r="B6">
        <v>48</v>
      </c>
      <c r="D6" s="130">
        <f>GETPIVOTDATA("#Tests",$A$3,"ETA","wk-2")/GETPIVOTDATA("#Tests",$A$3)</f>
        <v>9.6000000000000002E-2</v>
      </c>
      <c r="E6" s="131">
        <f t="shared" ref="E6:E12" si="0">E5+D6</f>
        <v>0.26600000000000001</v>
      </c>
    </row>
    <row r="7" spans="1:5" x14ac:dyDescent="0.25">
      <c r="A7" s="79" t="s">
        <v>832</v>
      </c>
      <c r="B7">
        <v>96</v>
      </c>
      <c r="D7" s="130">
        <f>GETPIVOTDATA("#Tests",$A$3,"ETA","wk-3")/GETPIVOTDATA("#Tests",$A$3)</f>
        <v>0.192</v>
      </c>
      <c r="E7" s="131">
        <f t="shared" si="0"/>
        <v>0.45800000000000002</v>
      </c>
    </row>
    <row r="8" spans="1:5" x14ac:dyDescent="0.25">
      <c r="A8" s="79" t="s">
        <v>833</v>
      </c>
      <c r="B8">
        <v>79</v>
      </c>
      <c r="D8" s="130">
        <f>GETPIVOTDATA("#Tests",$A$3,"ETA","wk-4")/GETPIVOTDATA("#Tests",$A$3)</f>
        <v>0.158</v>
      </c>
      <c r="E8" s="131">
        <f t="shared" si="0"/>
        <v>0.61599999999999999</v>
      </c>
    </row>
    <row r="9" spans="1:5" x14ac:dyDescent="0.25">
      <c r="A9" s="79" t="s">
        <v>834</v>
      </c>
      <c r="B9">
        <v>82</v>
      </c>
      <c r="D9" s="130">
        <f>GETPIVOTDATA("#Tests",$A$3,"ETA","wk-5")/GETPIVOTDATA("#Tests",$A$3)</f>
        <v>0.16400000000000001</v>
      </c>
      <c r="E9" s="131">
        <f t="shared" si="0"/>
        <v>0.78</v>
      </c>
    </row>
    <row r="10" spans="1:5" x14ac:dyDescent="0.25">
      <c r="A10" s="79" t="s">
        <v>835</v>
      </c>
      <c r="B10">
        <v>60</v>
      </c>
      <c r="D10" s="130">
        <f>GETPIVOTDATA("#Tests",$A$3,"ETA","wk-6")/GETPIVOTDATA("#Tests",$A$3)</f>
        <v>0.12</v>
      </c>
      <c r="E10" s="131">
        <f t="shared" si="0"/>
        <v>0.9</v>
      </c>
    </row>
    <row r="11" spans="1:5" x14ac:dyDescent="0.25">
      <c r="A11" s="79" t="s">
        <v>836</v>
      </c>
      <c r="B11">
        <v>30</v>
      </c>
      <c r="D11" s="130">
        <f>GETPIVOTDATA("#Tests",$A$3,"ETA","wk-7")/GETPIVOTDATA("#Tests",$A$3)</f>
        <v>0.06</v>
      </c>
      <c r="E11" s="131">
        <f t="shared" si="0"/>
        <v>0.96</v>
      </c>
    </row>
    <row r="12" spans="1:5" x14ac:dyDescent="0.25">
      <c r="A12" s="79" t="s">
        <v>837</v>
      </c>
      <c r="B12">
        <v>20</v>
      </c>
      <c r="D12" s="130">
        <f>GETPIVOTDATA("#Tests",$A$3,"ETA","wk-8")/GETPIVOTDATA("#Tests",$A$3)</f>
        <v>0.04</v>
      </c>
      <c r="E12" s="131">
        <f t="shared" si="0"/>
        <v>1</v>
      </c>
    </row>
    <row r="13" spans="1:5" x14ac:dyDescent="0.25">
      <c r="A13" s="79" t="s">
        <v>430</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McKinnon, Pierce</DisplayName>
        <AccountId>3130</AccountId>
        <AccountType/>
      </UserInfo>
      <UserInfo>
        <DisplayName>MonshiZadeh, Javad</DisplayName>
        <AccountId>3880</AccountId>
        <AccountType/>
      </UserInfo>
      <UserInfo>
        <DisplayName>BinShahlan, MohamedFaez (Mohamed Faez)</DisplayName>
        <AccountId>4548</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2.xml><?xml version="1.0" encoding="utf-8"?>
<ds:datastoreItem xmlns:ds="http://schemas.openxmlformats.org/officeDocument/2006/customXml" ds:itemID="{EE22A514-3872-4BC6-85FB-7D9D07F457A6}">
  <ds:schemaRefs>
    <ds:schemaRef ds:uri="http://schemas.microsoft.com/office/2006/metadata/properties"/>
    <ds:schemaRef ds:uri="http://schemas.microsoft.com/office/infopath/2007/PartnerControls"/>
    <ds:schemaRef ds:uri="http://schemas.microsoft.com/office/2006/documentManagement/types"/>
    <ds:schemaRef ds:uri="http://www.w3.org/XML/1998/namespace"/>
    <ds:schemaRef ds:uri="http://schemas.openxmlformats.org/package/2006/metadata/core-properties"/>
    <ds:schemaRef ds:uri="ec5a97c5-2653-49c6-b3a5-07f7dd96f613"/>
    <ds:schemaRef ds:uri="6d5e1dd9-3d6d-4d57-aaa4-c6398f910d60"/>
    <ds:schemaRef ds:uri="http://purl.org/dc/dcmitype/"/>
    <ds:schemaRef ds:uri="http://purl.org/dc/terms/"/>
    <ds:schemaRef ds:uri="http://purl.org/dc/elements/1.1/"/>
  </ds:schemaRefs>
</ds:datastoreItem>
</file>

<file path=customXml/itemProps3.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2024-03-19T22:20:29Z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