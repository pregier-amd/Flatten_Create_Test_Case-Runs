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5_Staged\"/>
    </mc:Choice>
  </mc:AlternateContent>
  <xr:revisionPtr revIDLastSave="0" documentId="8_{6CECC538-5A1A-49C9-8A52-5F2F2DE3878B}" xr6:coauthVersionLast="47" xr6:coauthVersionMax="47" xr10:uidLastSave="{00000000-0000-0000-0000-000000000000}"/>
  <bookViews>
    <workbookView xWindow="-28410" yWindow="255" windowWidth="26565" windowHeight="11835" firstSheet="8" activeTab="5" xr2:uid="{00000000-000D-0000-FFFF-FFFF00000000}"/>
  </bookViews>
  <sheets>
    <sheet name="Log" sheetId="47" state="hidden" r:id="rId1"/>
    <sheet name="List Options" sheetId="31" state="hidden" r:id="rId2"/>
    <sheet name="Cross-IP trackingHowTo" sheetId="63" r:id="rId3"/>
    <sheet name="Revision History" sheetId="64" r:id="rId4"/>
    <sheet name="Usage" sheetId="56" r:id="rId5"/>
    <sheet name="Diags Raw Data" sheetId="53" r:id="rId6"/>
    <sheet name="Feature Raw Data" sheetId="52" r:id="rId7"/>
    <sheet name="Sub-IP Block Summary" sheetId="59" r:id="rId8"/>
    <sheet name="Feature Summary" sheetId="55" r:id="rId9"/>
    <sheet name="Progress (WIP)" sheetId="26" state="hidden" r:id="rId10"/>
    <sheet name="FeatureSHR" sheetId="62" r:id="rId11"/>
    <sheet name="Progress" sheetId="51" r:id="rId12"/>
    <sheet name="Coverage Plan" sheetId="57" state="hidden" r:id="rId13"/>
  </sheets>
  <definedNames>
    <definedName name="_xlnm._FilterDatabase" localSheetId="5" hidden="1">'Diags Raw Data'!$A$5:$AH$93</definedName>
    <definedName name="_xlnm._FilterDatabase" localSheetId="6" hidden="1">'Feature Raw Data'!$A$2:$E$112</definedName>
    <definedName name="_xlnm._FilterDatabase" localSheetId="8" hidden="1">'Feature Summary'!$A$6:$U$123</definedName>
    <definedName name="DataRange1" localSheetId="2">OFFSET(#REF!,0,0,COUNTA(#REF!))</definedName>
    <definedName name="DataRange1">OFFSET(#REF!,0,0,COUNTA(#REF!))</definedName>
    <definedName name="DataRange2" localSheetId="3">OFFSET(#REF!,0,0,COUNTA(#REF!))</definedName>
    <definedName name="DataRange2">OFFSET(#REF!,0,0,COUNTA(#REF!))</definedName>
    <definedName name="DataRange3" localSheetId="3">OFFSET(#REF!,0,0,COUNTA(#REF!))</definedName>
    <definedName name="DataRange3">OFFSET(#REF!,0,0,COUNTA(#REF!))</definedName>
    <definedName name="DataRange4" localSheetId="3">OFFSET(#REF!,0,0,COUNTA(#REF!))</definedName>
    <definedName name="DataRange4">OFFSET(#REF!,0,0,COUNTA(#REF!))</definedName>
    <definedName name="DataRange5" localSheetId="3">OFFSET(#REF!,0,0,COUNTA(#REF!))</definedName>
    <definedName name="DataRange5">OFFSET(#REF!,0,0,COUNTA(#REF!))</definedName>
    <definedName name="DateRange" localSheetId="3">OFFSET(#REF!,0,0,COUNTA(#REF!))</definedName>
    <definedName name="DateRange">OFFSET(#REF!,0,0,COUNTA(#REF!))</definedName>
  </definedNames>
  <calcPr calcId="191029"/>
  <pivotCaches>
    <pivotCache cacheId="17" r:id="rId14"/>
    <pivotCache cacheId="18"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W2" i="53" l="1"/>
  <c r="AC2" i="53"/>
  <c r="AD2" i="53"/>
  <c r="AB2" i="53"/>
  <c r="AA2" i="53"/>
  <c r="V2" i="53"/>
  <c r="K2" i="53"/>
  <c r="L2" i="53"/>
  <c r="O2" i="53"/>
  <c r="R2" i="53"/>
  <c r="T2" i="53"/>
  <c r="U2" i="53"/>
  <c r="B116" i="55"/>
  <c r="J106" i="55"/>
  <c r="B88" i="55"/>
  <c r="B65" i="55"/>
  <c r="B23" i="55"/>
  <c r="C23" i="55"/>
  <c r="D23" i="55" a="1"/>
  <c r="D23" i="55" s="1"/>
  <c r="E23" i="55"/>
  <c r="F23" i="55"/>
  <c r="Q23" i="55"/>
  <c r="D116" i="55" a="1"/>
  <c r="D116" i="55" s="1"/>
  <c r="D108" i="55" a="1"/>
  <c r="D108" i="55" s="1"/>
  <c r="D106" i="55" a="1"/>
  <c r="D106" i="55" s="1"/>
  <c r="D101" i="55" a="1"/>
  <c r="D101" i="55" s="1"/>
  <c r="D98" i="55" a="1"/>
  <c r="D98" i="55" s="1"/>
  <c r="D97" i="55" a="1"/>
  <c r="D97" i="55" s="1"/>
  <c r="D96" i="55" a="1"/>
  <c r="D96" i="55" s="1"/>
  <c r="D92" i="55" a="1"/>
  <c r="D92" i="55" s="1"/>
  <c r="D91" i="55" a="1"/>
  <c r="D91" i="55" s="1"/>
  <c r="D90" i="55" a="1"/>
  <c r="D90" i="55" s="1"/>
  <c r="D88" i="55" a="1"/>
  <c r="D88" i="55" s="1"/>
  <c r="D81" i="55" a="1"/>
  <c r="D81" i="55" s="1"/>
  <c r="D80" i="55" a="1"/>
  <c r="D80" i="55" s="1"/>
  <c r="D79" i="55" a="1"/>
  <c r="D79" i="55" s="1"/>
  <c r="D76" i="55" a="1"/>
  <c r="D76" i="55" s="1"/>
  <c r="D72" i="55" a="1"/>
  <c r="D72" i="55" s="1"/>
  <c r="D71" i="55" a="1"/>
  <c r="D71" i="55" s="1"/>
  <c r="D70" i="55" a="1"/>
  <c r="D70" i="55" s="1"/>
  <c r="G70" i="55" s="1"/>
  <c r="D69" i="55" a="1"/>
  <c r="D69" i="55" s="1"/>
  <c r="G69" i="55" s="1"/>
  <c r="D68" i="55" a="1"/>
  <c r="D68" i="55" s="1"/>
  <c r="G68" i="55" s="1"/>
  <c r="D67" i="55" a="1"/>
  <c r="D67" i="55" s="1"/>
  <c r="D66" i="55" a="1"/>
  <c r="D66" i="55" s="1"/>
  <c r="D65" i="55" a="1"/>
  <c r="D65" i="55" s="1"/>
  <c r="D62" i="55" a="1"/>
  <c r="D62" i="55" s="1"/>
  <c r="D61" i="55" a="1"/>
  <c r="D61" i="55" s="1"/>
  <c r="G61" i="55" s="1"/>
  <c r="D58" i="55" a="1"/>
  <c r="D58" i="55" s="1"/>
  <c r="D57" i="55" a="1"/>
  <c r="D57" i="55" s="1"/>
  <c r="D56" i="55" a="1"/>
  <c r="D56" i="55" s="1"/>
  <c r="D55" i="55" a="1"/>
  <c r="D55" i="55" s="1"/>
  <c r="D54" i="55" a="1"/>
  <c r="D54" i="55" s="1"/>
  <c r="D52" i="55" a="1"/>
  <c r="D52" i="55" s="1"/>
  <c r="D50" i="55" a="1"/>
  <c r="D50" i="55" s="1"/>
  <c r="D46" i="55" a="1"/>
  <c r="D46" i="55" s="1"/>
  <c r="D41" i="55" a="1"/>
  <c r="D41" i="55" s="1"/>
  <c r="D40" i="55" a="1"/>
  <c r="D40" i="55" s="1"/>
  <c r="D36" i="55" a="1"/>
  <c r="D36" i="55" s="1"/>
  <c r="D32" i="55" a="1"/>
  <c r="D32" i="55" s="1"/>
  <c r="D31" i="55" a="1"/>
  <c r="D31" i="55" s="1"/>
  <c r="D28" i="55" a="1"/>
  <c r="D28" i="55" s="1"/>
  <c r="H28" i="55" s="1"/>
  <c r="D27" i="55" a="1"/>
  <c r="D27" i="55" s="1"/>
  <c r="D26" i="55" a="1"/>
  <c r="D26" i="55" s="1"/>
  <c r="D25" i="55" a="1"/>
  <c r="D25" i="55" s="1"/>
  <c r="D20" i="55" a="1"/>
  <c r="D20" i="55" s="1"/>
  <c r="D18" i="55" a="1"/>
  <c r="D18" i="55" s="1"/>
  <c r="D17" i="55" a="1"/>
  <c r="D17" i="55" s="1"/>
  <c r="D16" i="55" a="1"/>
  <c r="D16" i="55" s="1"/>
  <c r="D15" i="55" a="1"/>
  <c r="D15" i="55" s="1"/>
  <c r="D14" i="55" a="1"/>
  <c r="D14" i="55" s="1"/>
  <c r="D11" i="55" a="1"/>
  <c r="D11" i="55" s="1"/>
  <c r="D10" i="55" a="1"/>
  <c r="D10" i="55" s="1"/>
  <c r="D9" i="55" a="1"/>
  <c r="D9" i="55" s="1"/>
  <c r="D8" i="55" a="1"/>
  <c r="D8" i="55" s="1"/>
  <c r="Z121" i="55"/>
  <c r="AA121" i="55"/>
  <c r="Y121" i="55"/>
  <c r="X121" i="55"/>
  <c r="AD93" i="53"/>
  <c r="AC93" i="53"/>
  <c r="AB93" i="53"/>
  <c r="Q121" i="55" s="1"/>
  <c r="AA93" i="53"/>
  <c r="W93" i="53"/>
  <c r="V93" i="53"/>
  <c r="U93" i="53"/>
  <c r="T93" i="53"/>
  <c r="R93" i="53"/>
  <c r="M2" i="55" s="1"/>
  <c r="O93" i="53"/>
  <c r="L93" i="53"/>
  <c r="K93" i="53"/>
  <c r="N93" i="53" s="1"/>
  <c r="K121" i="55" s="1"/>
  <c r="P15" i="55"/>
  <c r="P62" i="55"/>
  <c r="P8" i="55"/>
  <c r="S8" i="55" s="1"/>
  <c r="P110" i="55"/>
  <c r="P101" i="55"/>
  <c r="C101" i="55"/>
  <c r="Q116" i="55"/>
  <c r="F116" i="55"/>
  <c r="E116" i="55"/>
  <c r="C116" i="55"/>
  <c r="Q115" i="55"/>
  <c r="P115" i="55"/>
  <c r="S115" i="55" s="1"/>
  <c r="J115" i="55"/>
  <c r="R115" i="55" s="1"/>
  <c r="I115" i="55"/>
  <c r="Q114" i="55"/>
  <c r="P114" i="55"/>
  <c r="S114" i="55" s="1"/>
  <c r="J114" i="55"/>
  <c r="R114" i="55" s="1"/>
  <c r="I114" i="55"/>
  <c r="Q113" i="55"/>
  <c r="P113" i="55"/>
  <c r="S113" i="55" s="1"/>
  <c r="J113" i="55"/>
  <c r="R113" i="55" s="1"/>
  <c r="I113" i="55"/>
  <c r="Q51" i="55"/>
  <c r="P51" i="55"/>
  <c r="S51" i="55" s="1"/>
  <c r="J51" i="55"/>
  <c r="R51" i="55" s="1"/>
  <c r="I51" i="55"/>
  <c r="Q44" i="55"/>
  <c r="P44" i="55"/>
  <c r="S44" i="55" s="1"/>
  <c r="J44" i="55"/>
  <c r="R44" i="55" s="1"/>
  <c r="I44" i="55"/>
  <c r="Q42" i="55"/>
  <c r="P42" i="55"/>
  <c r="S42" i="55" s="1"/>
  <c r="J42" i="55"/>
  <c r="R42" i="55" s="1"/>
  <c r="I42" i="55"/>
  <c r="Q39" i="55"/>
  <c r="P39" i="55"/>
  <c r="S39" i="55" s="1"/>
  <c r="J39" i="55"/>
  <c r="R39" i="55" s="1"/>
  <c r="I39" i="55"/>
  <c r="Q38" i="55"/>
  <c r="P38" i="55"/>
  <c r="S38" i="55" s="1"/>
  <c r="J38" i="55"/>
  <c r="R38" i="55" s="1"/>
  <c r="I38" i="55"/>
  <c r="W121" i="55"/>
  <c r="Q49" i="55"/>
  <c r="P49" i="55"/>
  <c r="S49" i="55" s="1"/>
  <c r="J49" i="55"/>
  <c r="R49" i="55"/>
  <c r="I49" i="55"/>
  <c r="F49" i="55"/>
  <c r="E49" i="55"/>
  <c r="D49" i="55" a="1"/>
  <c r="D49" i="55" s="1"/>
  <c r="K49" i="55" s="1" a="1"/>
  <c r="K49" i="55" s="1"/>
  <c r="C49" i="55"/>
  <c r="B49" i="55"/>
  <c r="F2" i="55"/>
  <c r="G123" i="55"/>
  <c r="C7" i="55"/>
  <c r="B54" i="55"/>
  <c r="P108" i="55"/>
  <c r="S108" i="55" s="1"/>
  <c r="B83" i="55"/>
  <c r="D83" i="55" a="1"/>
  <c r="D83" i="55" s="1"/>
  <c r="E83" i="55"/>
  <c r="F83" i="55"/>
  <c r="I83" i="55"/>
  <c r="J83" i="55"/>
  <c r="R83" i="55" s="1"/>
  <c r="P83" i="55"/>
  <c r="S83" i="55" s="1"/>
  <c r="Q83" i="55"/>
  <c r="Q53" i="55"/>
  <c r="P53" i="55"/>
  <c r="S53" i="55" s="1"/>
  <c r="J53" i="55"/>
  <c r="R53" i="55" s="1"/>
  <c r="I53" i="55"/>
  <c r="F53" i="55"/>
  <c r="E53" i="55"/>
  <c r="D53" i="55" a="1"/>
  <c r="D53" i="55" s="1"/>
  <c r="C53" i="55"/>
  <c r="B53" i="55"/>
  <c r="E39" i="55"/>
  <c r="P12" i="55"/>
  <c r="P88" i="55"/>
  <c r="P52" i="55"/>
  <c r="S52" i="55" s="1"/>
  <c r="P31" i="55"/>
  <c r="P32" i="55"/>
  <c r="S32" i="55" s="1"/>
  <c r="P76" i="55"/>
  <c r="S76" i="55" s="1"/>
  <c r="Z87" i="53"/>
  <c r="Z88" i="53"/>
  <c r="F115" i="55"/>
  <c r="E115" i="55"/>
  <c r="D115" i="55" a="1"/>
  <c r="D115" i="55" s="1"/>
  <c r="L115" i="55" s="1" a="1"/>
  <c r="L115" i="55" s="1"/>
  <c r="C115" i="55"/>
  <c r="B115" i="55"/>
  <c r="F114" i="55"/>
  <c r="E114" i="55"/>
  <c r="D114" i="55" a="1"/>
  <c r="D114" i="55" s="1"/>
  <c r="C114" i="55"/>
  <c r="B114" i="55"/>
  <c r="F113" i="55"/>
  <c r="E113" i="55"/>
  <c r="D113" i="55" a="1"/>
  <c r="D113" i="55" s="1"/>
  <c r="C113" i="55"/>
  <c r="B113" i="55"/>
  <c r="Q112" i="55"/>
  <c r="P112" i="55"/>
  <c r="S112" i="55" s="1"/>
  <c r="J112" i="55"/>
  <c r="R112" i="55" s="1"/>
  <c r="I112" i="55"/>
  <c r="F112" i="55"/>
  <c r="E112" i="55"/>
  <c r="D112" i="55" a="1"/>
  <c r="D112" i="55" s="1"/>
  <c r="K112" i="55" s="1" a="1"/>
  <c r="K112" i="55" s="1"/>
  <c r="C112" i="55"/>
  <c r="B112" i="55"/>
  <c r="Q111" i="55"/>
  <c r="P111" i="55"/>
  <c r="S111" i="55" s="1"/>
  <c r="J111" i="55"/>
  <c r="R111" i="55" s="1"/>
  <c r="I111" i="55"/>
  <c r="F111" i="55"/>
  <c r="E111" i="55"/>
  <c r="D111" i="55" a="1"/>
  <c r="D111" i="55" s="1"/>
  <c r="C111" i="55"/>
  <c r="B111" i="55"/>
  <c r="Q110" i="55"/>
  <c r="F110" i="55"/>
  <c r="E110" i="55"/>
  <c r="D110" i="55" a="1"/>
  <c r="D110" i="55" s="1"/>
  <c r="K110" i="55" s="1" a="1"/>
  <c r="K110" i="55" s="1"/>
  <c r="C110" i="55"/>
  <c r="B110" i="55"/>
  <c r="Q109" i="55"/>
  <c r="F109" i="55"/>
  <c r="E109" i="55"/>
  <c r="D109" i="55" a="1"/>
  <c r="D109" i="55" s="1"/>
  <c r="K109" i="55" s="1" a="1"/>
  <c r="C109" i="55"/>
  <c r="B109" i="55"/>
  <c r="Q108" i="55"/>
  <c r="J108" i="55"/>
  <c r="I108" i="55"/>
  <c r="F108" i="55"/>
  <c r="E108" i="55"/>
  <c r="C108" i="55"/>
  <c r="B108" i="55"/>
  <c r="Q106" i="55"/>
  <c r="I106" i="55"/>
  <c r="F106" i="55"/>
  <c r="E106" i="55"/>
  <c r="C106" i="55"/>
  <c r="B106" i="55"/>
  <c r="Q107" i="55"/>
  <c r="P107" i="55"/>
  <c r="S107" i="55" s="1"/>
  <c r="J107" i="55"/>
  <c r="R107" i="55" s="1"/>
  <c r="T107" i="55" s="1"/>
  <c r="I107" i="55"/>
  <c r="F107" i="55"/>
  <c r="E107" i="55"/>
  <c r="D107" i="55" a="1"/>
  <c r="D107" i="55" s="1"/>
  <c r="K107" i="55" s="1" a="1"/>
  <c r="K107" i="55" s="1"/>
  <c r="C107" i="55"/>
  <c r="B107" i="55"/>
  <c r="Q105" i="55"/>
  <c r="P105" i="55"/>
  <c r="S105" i="55" s="1"/>
  <c r="J105" i="55"/>
  <c r="R105" i="55" s="1"/>
  <c r="I105" i="55"/>
  <c r="F105" i="55"/>
  <c r="E105" i="55"/>
  <c r="D105" i="55" a="1"/>
  <c r="D105" i="55" s="1"/>
  <c r="C105" i="55"/>
  <c r="B105" i="55"/>
  <c r="Q100" i="55"/>
  <c r="P100" i="55"/>
  <c r="S100" i="55" s="1"/>
  <c r="J100" i="55"/>
  <c r="R100" i="55" s="1"/>
  <c r="T100" i="55" s="1"/>
  <c r="I100" i="55"/>
  <c r="F100" i="55"/>
  <c r="E100" i="55"/>
  <c r="D100" i="55" a="1"/>
  <c r="D100" i="55" s="1"/>
  <c r="C100" i="55"/>
  <c r="B100" i="55"/>
  <c r="Q99" i="55"/>
  <c r="P99" i="55"/>
  <c r="S99" i="55" s="1"/>
  <c r="J99" i="55"/>
  <c r="R99" i="55" s="1"/>
  <c r="I99" i="55"/>
  <c r="F99" i="55"/>
  <c r="E99" i="55"/>
  <c r="D99" i="55" a="1"/>
  <c r="D99" i="55" s="1"/>
  <c r="K99" i="55" s="1" a="1"/>
  <c r="K99" i="55" s="1"/>
  <c r="C99" i="55"/>
  <c r="B99" i="55"/>
  <c r="B101" i="55"/>
  <c r="E101" i="55"/>
  <c r="F101" i="55"/>
  <c r="Q101" i="55"/>
  <c r="B102" i="55"/>
  <c r="C102" i="55"/>
  <c r="D102" i="55" a="1"/>
  <c r="D102" i="55" s="1"/>
  <c r="E102" i="55"/>
  <c r="F102" i="55"/>
  <c r="I102" i="55"/>
  <c r="J102" i="55"/>
  <c r="R102" i="55" s="1"/>
  <c r="P102" i="55"/>
  <c r="S102" i="55" s="1"/>
  <c r="Q102" i="55"/>
  <c r="B103" i="55"/>
  <c r="C103" i="55"/>
  <c r="D103" i="55" a="1"/>
  <c r="D103" i="55" s="1"/>
  <c r="E103" i="55"/>
  <c r="F103" i="55"/>
  <c r="I103" i="55"/>
  <c r="J103" i="55"/>
  <c r="R103" i="55" s="1"/>
  <c r="P103" i="55"/>
  <c r="S103" i="55" s="1"/>
  <c r="T103" i="55" s="1"/>
  <c r="Q103" i="55"/>
  <c r="B104" i="55"/>
  <c r="C104" i="55"/>
  <c r="D104" i="55" a="1"/>
  <c r="D104" i="55" s="1"/>
  <c r="E104" i="55"/>
  <c r="F104" i="55"/>
  <c r="I104" i="55"/>
  <c r="J104" i="55"/>
  <c r="R104" i="55" s="1"/>
  <c r="P104" i="55"/>
  <c r="S104" i="55" s="1"/>
  <c r="Q104" i="55"/>
  <c r="Q73" i="55"/>
  <c r="P73" i="55"/>
  <c r="S73" i="55" s="1"/>
  <c r="J73" i="55"/>
  <c r="R73" i="55" s="1"/>
  <c r="I73" i="55"/>
  <c r="F73" i="55"/>
  <c r="E73" i="55"/>
  <c r="D73" i="55" a="1"/>
  <c r="D73" i="55" s="1"/>
  <c r="L73" i="55" s="1" a="1"/>
  <c r="L73" i="55" s="1"/>
  <c r="C73" i="55"/>
  <c r="B73" i="55"/>
  <c r="Q57" i="55"/>
  <c r="J57" i="55"/>
  <c r="I57" i="55"/>
  <c r="F57" i="55"/>
  <c r="E57" i="55"/>
  <c r="C57" i="55"/>
  <c r="B57" i="55"/>
  <c r="C8" i="55"/>
  <c r="C9" i="55"/>
  <c r="C10" i="55"/>
  <c r="C11" i="55"/>
  <c r="C12" i="55"/>
  <c r="C13" i="55"/>
  <c r="C14" i="55"/>
  <c r="C15" i="55"/>
  <c r="C16" i="55"/>
  <c r="C17" i="55"/>
  <c r="C18" i="55"/>
  <c r="C19" i="55"/>
  <c r="C20" i="55"/>
  <c r="C21" i="55"/>
  <c r="C22" i="55"/>
  <c r="C24" i="55"/>
  <c r="C25" i="55"/>
  <c r="C26" i="55"/>
  <c r="C27" i="55"/>
  <c r="C30" i="55"/>
  <c r="C31" i="55"/>
  <c r="C32" i="55"/>
  <c r="C33" i="55"/>
  <c r="C34" i="55"/>
  <c r="C35" i="55"/>
  <c r="C37" i="55"/>
  <c r="C38" i="55"/>
  <c r="C39" i="55"/>
  <c r="C40" i="55"/>
  <c r="C41" i="55"/>
  <c r="C42" i="55"/>
  <c r="C43" i="55"/>
  <c r="C44" i="55"/>
  <c r="C45" i="55"/>
  <c r="C46" i="55"/>
  <c r="C47" i="55"/>
  <c r="C48" i="55"/>
  <c r="C50" i="55"/>
  <c r="C51" i="55"/>
  <c r="C52" i="55"/>
  <c r="C54" i="55"/>
  <c r="C55" i="55"/>
  <c r="C56" i="55"/>
  <c r="C58" i="55"/>
  <c r="C59" i="55"/>
  <c r="C60" i="55"/>
  <c r="C61" i="55"/>
  <c r="C62" i="55"/>
  <c r="C63" i="55"/>
  <c r="C64" i="55"/>
  <c r="C65" i="55"/>
  <c r="C66" i="55"/>
  <c r="C67" i="55"/>
  <c r="C68" i="55"/>
  <c r="C69" i="55"/>
  <c r="C70" i="55"/>
  <c r="C71" i="55"/>
  <c r="C72" i="55"/>
  <c r="C74" i="55"/>
  <c r="C75" i="55"/>
  <c r="C76" i="55"/>
  <c r="C77" i="55"/>
  <c r="C78" i="55"/>
  <c r="C79" i="55"/>
  <c r="C80" i="55"/>
  <c r="C81" i="55"/>
  <c r="C82" i="55"/>
  <c r="C84" i="55"/>
  <c r="C85" i="55"/>
  <c r="C86" i="55"/>
  <c r="C87" i="55"/>
  <c r="C88" i="55"/>
  <c r="C89" i="55"/>
  <c r="C90" i="55"/>
  <c r="C91" i="55"/>
  <c r="C92" i="55"/>
  <c r="C93" i="55"/>
  <c r="C94" i="55"/>
  <c r="C95" i="55"/>
  <c r="C96" i="55"/>
  <c r="C97" i="55"/>
  <c r="C98" i="55"/>
  <c r="Q54" i="55"/>
  <c r="J54" i="55"/>
  <c r="I54" i="55"/>
  <c r="F54" i="55"/>
  <c r="E54" i="55"/>
  <c r="Q55" i="55"/>
  <c r="J55" i="55"/>
  <c r="I55" i="55"/>
  <c r="F55" i="55"/>
  <c r="E55" i="55"/>
  <c r="B55" i="55"/>
  <c r="Q56" i="55"/>
  <c r="J56" i="55"/>
  <c r="I56" i="55"/>
  <c r="F56" i="55"/>
  <c r="E56" i="55"/>
  <c r="B56" i="55"/>
  <c r="Q75" i="55"/>
  <c r="P75" i="55"/>
  <c r="S75" i="55" s="1"/>
  <c r="J75" i="55"/>
  <c r="R75" i="55" s="1"/>
  <c r="I75" i="55"/>
  <c r="F75" i="55"/>
  <c r="E75" i="55"/>
  <c r="D75" i="55" a="1"/>
  <c r="D75" i="55" s="1"/>
  <c r="L75" i="55" s="1" a="1"/>
  <c r="L75" i="55" s="1"/>
  <c r="B75" i="55"/>
  <c r="Q22" i="55"/>
  <c r="F22" i="55"/>
  <c r="E22" i="55"/>
  <c r="D22" i="55" a="1"/>
  <c r="D22" i="55" s="1"/>
  <c r="K22" i="55" s="1" a="1"/>
  <c r="B22" i="55"/>
  <c r="Q72" i="55"/>
  <c r="J72" i="55"/>
  <c r="I72" i="55"/>
  <c r="F72" i="55"/>
  <c r="E72" i="55"/>
  <c r="H72" i="55" s="1"/>
  <c r="B72" i="55"/>
  <c r="Q76" i="55"/>
  <c r="J76" i="55"/>
  <c r="I76" i="55"/>
  <c r="F76" i="55"/>
  <c r="E76" i="55"/>
  <c r="B76" i="55"/>
  <c r="Q20" i="55"/>
  <c r="J20" i="55"/>
  <c r="I20" i="55"/>
  <c r="F20" i="55"/>
  <c r="E20" i="55"/>
  <c r="B20" i="55"/>
  <c r="Q19" i="55"/>
  <c r="F19" i="55"/>
  <c r="E19" i="55"/>
  <c r="D19" i="55" a="1"/>
  <c r="D19" i="55" s="1"/>
  <c r="B19" i="55"/>
  <c r="Q78" i="55"/>
  <c r="P78" i="55"/>
  <c r="S78" i="55" s="1"/>
  <c r="J78" i="55"/>
  <c r="R78" i="55" s="1"/>
  <c r="T78" i="55" s="1"/>
  <c r="I78" i="55"/>
  <c r="F78" i="55"/>
  <c r="E78" i="55"/>
  <c r="D78" i="55" a="1"/>
  <c r="D78" i="55" s="1"/>
  <c r="B78" i="55"/>
  <c r="Q59" i="55"/>
  <c r="P59" i="55"/>
  <c r="S59" i="55" s="1"/>
  <c r="J59" i="55"/>
  <c r="R59" i="55" s="1"/>
  <c r="I59" i="55"/>
  <c r="F59" i="55"/>
  <c r="E59" i="55"/>
  <c r="D59" i="55" a="1"/>
  <c r="D59" i="55" s="1"/>
  <c r="B59" i="55"/>
  <c r="Q81" i="55"/>
  <c r="J81" i="55"/>
  <c r="I81" i="55"/>
  <c r="F81" i="55"/>
  <c r="E81" i="55"/>
  <c r="B81" i="55"/>
  <c r="Q65" i="55"/>
  <c r="J65" i="55"/>
  <c r="I65" i="55"/>
  <c r="F65" i="55"/>
  <c r="E65" i="55"/>
  <c r="Q87" i="55"/>
  <c r="P87" i="55"/>
  <c r="S87" i="55" s="1"/>
  <c r="T87" i="55" s="1"/>
  <c r="J87" i="55"/>
  <c r="R87" i="55" s="1"/>
  <c r="I87" i="55"/>
  <c r="F87" i="55"/>
  <c r="E87" i="55"/>
  <c r="D87" i="55" a="1"/>
  <c r="D87" i="55" s="1"/>
  <c r="B87" i="55"/>
  <c r="Q47" i="55"/>
  <c r="P47" i="55"/>
  <c r="S47" i="55" s="1"/>
  <c r="J47" i="55"/>
  <c r="R47" i="55" s="1"/>
  <c r="I47" i="55"/>
  <c r="F47" i="55"/>
  <c r="E47" i="55"/>
  <c r="D47" i="55" a="1"/>
  <c r="D47" i="55" s="1"/>
  <c r="L47" i="55" s="1" a="1"/>
  <c r="L47" i="55" s="1"/>
  <c r="B47" i="55"/>
  <c r="Q46" i="55"/>
  <c r="J46" i="55"/>
  <c r="I46" i="55"/>
  <c r="F46" i="55"/>
  <c r="E46" i="55"/>
  <c r="B46" i="55"/>
  <c r="B89" i="55"/>
  <c r="Q89" i="55"/>
  <c r="P89" i="55"/>
  <c r="S89" i="55" s="1"/>
  <c r="J89" i="55"/>
  <c r="R89" i="55" s="1"/>
  <c r="T89" i="55" s="1"/>
  <c r="I89" i="55"/>
  <c r="F89" i="55"/>
  <c r="E89" i="55"/>
  <c r="D89" i="55" a="1"/>
  <c r="D89" i="55" s="1"/>
  <c r="Q36" i="55"/>
  <c r="J36" i="55"/>
  <c r="I36" i="55"/>
  <c r="F36" i="55"/>
  <c r="E36" i="55"/>
  <c r="B36" i="55"/>
  <c r="B34" i="55"/>
  <c r="Q34" i="55"/>
  <c r="P34" i="55"/>
  <c r="S34" i="55" s="1"/>
  <c r="T34" i="55" s="1"/>
  <c r="J34" i="55"/>
  <c r="R34" i="55" s="1"/>
  <c r="I34" i="55"/>
  <c r="F34" i="55"/>
  <c r="E34" i="55"/>
  <c r="D34" i="55" a="1"/>
  <c r="D34" i="55" s="1"/>
  <c r="Q35" i="55"/>
  <c r="P35" i="55"/>
  <c r="S35" i="55" s="1"/>
  <c r="J35" i="55"/>
  <c r="R35" i="55" s="1"/>
  <c r="T35" i="55" s="1"/>
  <c r="I35" i="55"/>
  <c r="F35" i="55"/>
  <c r="E35" i="55"/>
  <c r="D35" i="55" a="1"/>
  <c r="D35" i="55" s="1"/>
  <c r="B35" i="55"/>
  <c r="F42" i="55"/>
  <c r="E42" i="55"/>
  <c r="D42" i="55" a="1"/>
  <c r="D42" i="55" s="1"/>
  <c r="L42" i="55" s="1" a="1"/>
  <c r="L42" i="55" s="1"/>
  <c r="B42" i="55"/>
  <c r="Q43" i="55"/>
  <c r="P43" i="55"/>
  <c r="S43" i="55" s="1"/>
  <c r="J43" i="55"/>
  <c r="R43" i="55" s="1"/>
  <c r="I43" i="55"/>
  <c r="F43" i="55"/>
  <c r="E43" i="55"/>
  <c r="D43" i="55" a="1"/>
  <c r="D43" i="55" s="1"/>
  <c r="B43" i="55"/>
  <c r="F39" i="55"/>
  <c r="D39" i="55" a="1"/>
  <c r="D39" i="55" s="1"/>
  <c r="B39" i="55"/>
  <c r="Q40" i="55"/>
  <c r="J40" i="55"/>
  <c r="I40" i="55"/>
  <c r="F40" i="55"/>
  <c r="E40" i="55"/>
  <c r="B40" i="55"/>
  <c r="Q12" i="55"/>
  <c r="F12" i="55"/>
  <c r="E12" i="55"/>
  <c r="D12" i="55" a="1"/>
  <c r="D12" i="55" s="1"/>
  <c r="B12" i="55"/>
  <c r="Q93" i="55"/>
  <c r="P93" i="55"/>
  <c r="S93" i="55" s="1"/>
  <c r="T93" i="55" s="1"/>
  <c r="J93" i="55"/>
  <c r="R93" i="55" s="1"/>
  <c r="I93" i="55"/>
  <c r="F93" i="55"/>
  <c r="E93" i="55"/>
  <c r="D93" i="55" a="1"/>
  <c r="D93" i="55" s="1"/>
  <c r="B93" i="55"/>
  <c r="B94" i="55"/>
  <c r="D94" i="55" a="1"/>
  <c r="D94" i="55" s="1"/>
  <c r="E94" i="55"/>
  <c r="F94" i="55"/>
  <c r="I94" i="55"/>
  <c r="J94" i="55"/>
  <c r="R94" i="55" s="1"/>
  <c r="P94" i="55"/>
  <c r="S94" i="55" s="1"/>
  <c r="Q94" i="55"/>
  <c r="Q7" i="55"/>
  <c r="P7" i="55"/>
  <c r="S7" i="55" s="1"/>
  <c r="J7" i="55"/>
  <c r="R7" i="55" s="1"/>
  <c r="I7" i="55"/>
  <c r="F7" i="55"/>
  <c r="E7" i="55"/>
  <c r="D7" i="55" a="1"/>
  <c r="D7" i="55" s="1"/>
  <c r="B7" i="55"/>
  <c r="B85" i="55"/>
  <c r="Q84" i="55"/>
  <c r="P84" i="55"/>
  <c r="S84" i="55" s="1"/>
  <c r="J84" i="55"/>
  <c r="R84" i="55" s="1"/>
  <c r="I84" i="55"/>
  <c r="F84" i="55"/>
  <c r="E84" i="55"/>
  <c r="D84" i="55" a="1"/>
  <c r="D84" i="55" s="1"/>
  <c r="B84" i="55"/>
  <c r="Q29" i="55"/>
  <c r="P29" i="55"/>
  <c r="S29" i="55" s="1"/>
  <c r="J29" i="55"/>
  <c r="R29" i="55" s="1"/>
  <c r="T29" i="55" s="1"/>
  <c r="I29" i="55"/>
  <c r="F29" i="55"/>
  <c r="E29" i="55"/>
  <c r="D29" i="55" a="1"/>
  <c r="D29" i="55" s="1"/>
  <c r="K29" i="55" s="1" a="1"/>
  <c r="K29" i="55" s="1"/>
  <c r="B29" i="55"/>
  <c r="Q30" i="55"/>
  <c r="P30" i="55"/>
  <c r="S30" i="55"/>
  <c r="J30" i="55"/>
  <c r="R30" i="55" s="1"/>
  <c r="I30" i="55"/>
  <c r="F30" i="55"/>
  <c r="E30" i="55"/>
  <c r="D30" i="55" a="1"/>
  <c r="D30" i="55" s="1"/>
  <c r="B30" i="55"/>
  <c r="F38" i="55"/>
  <c r="E38" i="55"/>
  <c r="D38" i="55" a="1"/>
  <c r="D38" i="55" s="1"/>
  <c r="B38" i="55"/>
  <c r="B52" i="55"/>
  <c r="B51" i="55"/>
  <c r="B45" i="55"/>
  <c r="B44" i="55"/>
  <c r="B33" i="55"/>
  <c r="B27" i="55"/>
  <c r="B25" i="55"/>
  <c r="B24" i="55"/>
  <c r="B13" i="55"/>
  <c r="B11" i="55"/>
  <c r="B10" i="55"/>
  <c r="B8" i="55"/>
  <c r="B9" i="55"/>
  <c r="B14" i="55"/>
  <c r="B15" i="55"/>
  <c r="B16" i="55"/>
  <c r="B17" i="55"/>
  <c r="B18" i="55"/>
  <c r="B21" i="55"/>
  <c r="B26" i="55"/>
  <c r="B28" i="55"/>
  <c r="B31" i="55"/>
  <c r="B32" i="55"/>
  <c r="B37" i="55"/>
  <c r="B41" i="55"/>
  <c r="B48" i="55"/>
  <c r="B50" i="55"/>
  <c r="B58" i="55"/>
  <c r="B60" i="55"/>
  <c r="B61" i="55"/>
  <c r="B62" i="55"/>
  <c r="B63" i="55"/>
  <c r="B64" i="55"/>
  <c r="B66" i="55"/>
  <c r="B67" i="55"/>
  <c r="B68" i="55"/>
  <c r="B69" i="55"/>
  <c r="B70" i="55"/>
  <c r="B71" i="55"/>
  <c r="B74" i="55"/>
  <c r="B77" i="55"/>
  <c r="B79" i="55"/>
  <c r="B80" i="55"/>
  <c r="B82" i="55"/>
  <c r="B86" i="55"/>
  <c r="B90" i="55"/>
  <c r="B91" i="55"/>
  <c r="B92" i="55"/>
  <c r="B95" i="55"/>
  <c r="B96" i="55"/>
  <c r="B97" i="55"/>
  <c r="B98" i="55"/>
  <c r="Q77" i="55"/>
  <c r="Q79" i="55"/>
  <c r="Q80" i="55"/>
  <c r="J95" i="55"/>
  <c r="R95" i="55" s="1"/>
  <c r="J92" i="55"/>
  <c r="J91" i="55"/>
  <c r="J90" i="55"/>
  <c r="J88" i="55"/>
  <c r="J86" i="55"/>
  <c r="R86" i="55" s="1"/>
  <c r="J85" i="55"/>
  <c r="R85" i="55" s="1"/>
  <c r="J82" i="55"/>
  <c r="R82" i="55" s="1"/>
  <c r="J80" i="55"/>
  <c r="J79" i="55"/>
  <c r="J74" i="55"/>
  <c r="R74" i="55" s="1"/>
  <c r="J71" i="55"/>
  <c r="J70" i="55"/>
  <c r="J68" i="55"/>
  <c r="J67" i="55"/>
  <c r="J64" i="55"/>
  <c r="R64" i="55" s="1"/>
  <c r="J63" i="55"/>
  <c r="R63" i="55" s="1"/>
  <c r="J62" i="55"/>
  <c r="J60" i="55"/>
  <c r="R60" i="55" s="1"/>
  <c r="J52" i="55"/>
  <c r="J45" i="55"/>
  <c r="R45" i="55" s="1"/>
  <c r="J33" i="55"/>
  <c r="R33" i="55" s="1"/>
  <c r="J24" i="55"/>
  <c r="R24" i="55" s="1"/>
  <c r="J13" i="55"/>
  <c r="R13" i="55" s="1"/>
  <c r="J11" i="55"/>
  <c r="J10" i="55"/>
  <c r="I95" i="55"/>
  <c r="I92" i="55"/>
  <c r="I91" i="55"/>
  <c r="I90" i="55"/>
  <c r="I88" i="55"/>
  <c r="I86" i="55"/>
  <c r="I85" i="55"/>
  <c r="I82" i="55"/>
  <c r="I80" i="55"/>
  <c r="I79" i="55"/>
  <c r="I74" i="55"/>
  <c r="I71" i="55"/>
  <c r="I70" i="55"/>
  <c r="I68" i="55"/>
  <c r="I67" i="55"/>
  <c r="I64" i="55"/>
  <c r="I63" i="55"/>
  <c r="I62" i="55"/>
  <c r="I60" i="55"/>
  <c r="I52" i="55"/>
  <c r="I45" i="55"/>
  <c r="I33" i="55"/>
  <c r="I24" i="55"/>
  <c r="I13" i="55"/>
  <c r="I11" i="55"/>
  <c r="I10" i="55"/>
  <c r="F11" i="55"/>
  <c r="F10" i="55"/>
  <c r="E98" i="55"/>
  <c r="F98" i="55"/>
  <c r="I98" i="55"/>
  <c r="J98" i="55"/>
  <c r="Q98" i="55"/>
  <c r="Q69" i="55"/>
  <c r="Q68" i="55"/>
  <c r="Q67" i="55"/>
  <c r="Q66" i="55"/>
  <c r="C49" i="62"/>
  <c r="B49" i="62"/>
  <c r="D49" i="62" s="1"/>
  <c r="D43" i="62"/>
  <c r="D44" i="62"/>
  <c r="D45" i="62"/>
  <c r="D46" i="62"/>
  <c r="D47" i="62"/>
  <c r="D48" i="62"/>
  <c r="M6" i="62"/>
  <c r="M7" i="62"/>
  <c r="M8" i="62"/>
  <c r="M9" i="62"/>
  <c r="M10" i="62"/>
  <c r="M11" i="62"/>
  <c r="M12" i="62"/>
  <c r="M13" i="62"/>
  <c r="M14" i="62"/>
  <c r="M15" i="62"/>
  <c r="M16" i="62"/>
  <c r="M17" i="62"/>
  <c r="M18" i="62"/>
  <c r="M19" i="62"/>
  <c r="M20" i="62"/>
  <c r="M21" i="62"/>
  <c r="M22" i="62"/>
  <c r="M23" i="62"/>
  <c r="M24" i="62"/>
  <c r="M25" i="62"/>
  <c r="D95" i="55" a="1"/>
  <c r="D95" i="55" s="1"/>
  <c r="L95" i="55" s="1" a="1"/>
  <c r="L95" i="55" s="1"/>
  <c r="D48" i="55" a="1"/>
  <c r="D48" i="55" s="1"/>
  <c r="D33" i="55" a="1"/>
  <c r="D33" i="55" s="1"/>
  <c r="D13" i="55" a="1"/>
  <c r="D13" i="55" s="1"/>
  <c r="K13" i="55" s="1" a="1"/>
  <c r="K13" i="55" s="1"/>
  <c r="D21" i="55" a="1"/>
  <c r="D21" i="55" s="1"/>
  <c r="K21" i="55" s="1" a="1"/>
  <c r="K21" i="55" s="1"/>
  <c r="D24" i="55" a="1"/>
  <c r="D24" i="55" s="1"/>
  <c r="D37" i="55" a="1"/>
  <c r="D37" i="55" s="1"/>
  <c r="D44" i="55" a="1"/>
  <c r="D44" i="55" s="1"/>
  <c r="D45" i="55" a="1"/>
  <c r="D45" i="55" s="1"/>
  <c r="D51" i="55" a="1"/>
  <c r="D51" i="55" s="1"/>
  <c r="D60" i="55" a="1"/>
  <c r="D60" i="55" s="1"/>
  <c r="D63" i="55" a="1"/>
  <c r="D63" i="55" s="1"/>
  <c r="D64" i="55" a="1"/>
  <c r="D64" i="55" s="1"/>
  <c r="D74" i="55" a="1"/>
  <c r="D74" i="55" s="1"/>
  <c r="L74" i="55" s="1" a="1"/>
  <c r="L74" i="55" s="1"/>
  <c r="D77" i="55" a="1"/>
  <c r="D77" i="55" s="1"/>
  <c r="K77" i="55" s="1" a="1"/>
  <c r="K77" i="55" s="1"/>
  <c r="D82" i="55" a="1"/>
  <c r="D82" i="55" s="1"/>
  <c r="D85" i="55" a="1"/>
  <c r="D85" i="55" s="1"/>
  <c r="L85" i="55" s="1" a="1"/>
  <c r="L85" i="55" s="1"/>
  <c r="D86" i="55" a="1"/>
  <c r="D86" i="55" s="1"/>
  <c r="F8" i="55"/>
  <c r="F9" i="55"/>
  <c r="F13" i="55"/>
  <c r="F14" i="55"/>
  <c r="F15" i="55"/>
  <c r="F16" i="55"/>
  <c r="F17" i="55"/>
  <c r="F18" i="55"/>
  <c r="F21" i="55"/>
  <c r="F24" i="55"/>
  <c r="F25" i="55"/>
  <c r="F26" i="55"/>
  <c r="F27" i="55"/>
  <c r="F28" i="55"/>
  <c r="F31" i="55"/>
  <c r="F32" i="55"/>
  <c r="F33" i="55"/>
  <c r="F37" i="55"/>
  <c r="F41" i="55"/>
  <c r="F44" i="55"/>
  <c r="F45" i="55"/>
  <c r="F48" i="55"/>
  <c r="F50" i="55"/>
  <c r="F51" i="55"/>
  <c r="F52" i="55"/>
  <c r="F58" i="55"/>
  <c r="F60" i="55"/>
  <c r="F61" i="55"/>
  <c r="F62" i="55"/>
  <c r="F63" i="55"/>
  <c r="F64" i="55"/>
  <c r="F66" i="55"/>
  <c r="F67" i="55"/>
  <c r="F68" i="55"/>
  <c r="F69" i="55"/>
  <c r="F70" i="55"/>
  <c r="F71" i="55"/>
  <c r="F74" i="55"/>
  <c r="F77" i="55"/>
  <c r="F79" i="55"/>
  <c r="F80" i="55"/>
  <c r="F82" i="55"/>
  <c r="F85" i="55"/>
  <c r="F86" i="55"/>
  <c r="F88" i="55"/>
  <c r="F90" i="55"/>
  <c r="F91" i="55"/>
  <c r="F92" i="55"/>
  <c r="F95" i="55"/>
  <c r="F96" i="55"/>
  <c r="F97" i="55"/>
  <c r="M5" i="62"/>
  <c r="N5" i="62" s="1"/>
  <c r="N6" i="62" s="1"/>
  <c r="N7" i="62" s="1"/>
  <c r="D29" i="62"/>
  <c r="D30" i="62"/>
  <c r="D31" i="62"/>
  <c r="D32" i="62"/>
  <c r="D33" i="62"/>
  <c r="D34" i="62"/>
  <c r="D35" i="62"/>
  <c r="D36" i="62"/>
  <c r="D37" i="62"/>
  <c r="D38" i="62"/>
  <c r="D39" i="62"/>
  <c r="D40" i="62"/>
  <c r="D41" i="62"/>
  <c r="D42" i="62"/>
  <c r="D28" i="62"/>
  <c r="E28" i="62" s="1"/>
  <c r="C107" i="62"/>
  <c r="D107" i="62"/>
  <c r="E107" i="62"/>
  <c r="B107" i="62"/>
  <c r="F86" i="62"/>
  <c r="G86" i="62"/>
  <c r="D55" i="62"/>
  <c r="E8" i="55"/>
  <c r="E9" i="55"/>
  <c r="J97" i="55"/>
  <c r="E97" i="55"/>
  <c r="I97" i="55"/>
  <c r="Q97" i="55"/>
  <c r="Q8" i="55"/>
  <c r="P91" i="55"/>
  <c r="S91" i="55" s="1"/>
  <c r="Q91" i="55"/>
  <c r="P92" i="55"/>
  <c r="S92" i="55" s="1"/>
  <c r="Q92" i="55"/>
  <c r="Q31" i="55"/>
  <c r="Q95" i="55"/>
  <c r="J96" i="55"/>
  <c r="Q96" i="55"/>
  <c r="I96" i="55"/>
  <c r="E91" i="55"/>
  <c r="E92" i="55"/>
  <c r="E95" i="55"/>
  <c r="E96" i="55"/>
  <c r="I13" i="52"/>
  <c r="I12" i="52"/>
  <c r="I11" i="52"/>
  <c r="I10" i="52"/>
  <c r="I9" i="52"/>
  <c r="I8" i="52"/>
  <c r="I7" i="52"/>
  <c r="I3" i="52"/>
  <c r="B4" i="59"/>
  <c r="B14" i="59" s="1"/>
  <c r="E4" i="59"/>
  <c r="E14" i="59" s="1"/>
  <c r="C18" i="59"/>
  <c r="D32" i="59"/>
  <c r="D42" i="59" s="1"/>
  <c r="D18" i="59"/>
  <c r="D28" i="59" s="1"/>
  <c r="D4" i="59"/>
  <c r="D14" i="59" s="1"/>
  <c r="I8" i="55"/>
  <c r="S4" i="59"/>
  <c r="S14" i="59" s="1"/>
  <c r="R4" i="59"/>
  <c r="R14" i="59" s="1"/>
  <c r="Q4" i="59"/>
  <c r="Q14" i="59" s="1"/>
  <c r="P4" i="59"/>
  <c r="P14" i="59" s="1"/>
  <c r="K4" i="59"/>
  <c r="K14" i="59" s="1"/>
  <c r="J4" i="59"/>
  <c r="I4" i="59"/>
  <c r="I14" i="59" s="1"/>
  <c r="H4" i="59"/>
  <c r="H14" i="59" s="1"/>
  <c r="C4" i="59"/>
  <c r="J16" i="55"/>
  <c r="J17" i="55"/>
  <c r="J50" i="55"/>
  <c r="Q88" i="55"/>
  <c r="I9" i="55"/>
  <c r="I14" i="55"/>
  <c r="I15" i="55"/>
  <c r="I16" i="55"/>
  <c r="I17" i="55"/>
  <c r="I18" i="55"/>
  <c r="I26" i="55"/>
  <c r="I28" i="55"/>
  <c r="I31" i="55"/>
  <c r="I32" i="55"/>
  <c r="I37" i="55"/>
  <c r="I41" i="55"/>
  <c r="I48" i="55"/>
  <c r="I50" i="55"/>
  <c r="I58" i="55"/>
  <c r="I61" i="55"/>
  <c r="I66" i="55"/>
  <c r="I69" i="55"/>
  <c r="Q9" i="55"/>
  <c r="Q10" i="55"/>
  <c r="Q11" i="55"/>
  <c r="Q13" i="55"/>
  <c r="Q14" i="55"/>
  <c r="Q15" i="55"/>
  <c r="Q16" i="55"/>
  <c r="Q17" i="55"/>
  <c r="Q18" i="55"/>
  <c r="Q21" i="55"/>
  <c r="Q24" i="55"/>
  <c r="Q25" i="55"/>
  <c r="Q26" i="55"/>
  <c r="Q27" i="55"/>
  <c r="Q28" i="55"/>
  <c r="Q32" i="55"/>
  <c r="Q33" i="55"/>
  <c r="Q37" i="55"/>
  <c r="Q41" i="55"/>
  <c r="Q45" i="55"/>
  <c r="Q48" i="55"/>
  <c r="Q50" i="55"/>
  <c r="Q52" i="55"/>
  <c r="Q58" i="55"/>
  <c r="Q60" i="55"/>
  <c r="Q61" i="55"/>
  <c r="Q62" i="55"/>
  <c r="Q63" i="55"/>
  <c r="Q64" i="55"/>
  <c r="Q70" i="55"/>
  <c r="Q71" i="55"/>
  <c r="Q74" i="55"/>
  <c r="Q82" i="55"/>
  <c r="Q85" i="55"/>
  <c r="Q86" i="55"/>
  <c r="Q90" i="55"/>
  <c r="J9" i="55"/>
  <c r="J14" i="55"/>
  <c r="J15" i="55"/>
  <c r="J18" i="55"/>
  <c r="K18" i="55" s="1" a="1"/>
  <c r="K18" i="55" s="1"/>
  <c r="J26" i="55"/>
  <c r="J28" i="55"/>
  <c r="J31" i="55"/>
  <c r="J32" i="55"/>
  <c r="J37" i="55"/>
  <c r="R37" i="55" s="1"/>
  <c r="J41" i="55"/>
  <c r="K41" i="55" s="1" a="1"/>
  <c r="K41" i="55" s="1"/>
  <c r="J48" i="55"/>
  <c r="R48" i="55" s="1"/>
  <c r="J58" i="55"/>
  <c r="J61" i="55"/>
  <c r="J66" i="55"/>
  <c r="J69" i="55"/>
  <c r="P77" i="55"/>
  <c r="R77" i="55" s="1"/>
  <c r="J8" i="55"/>
  <c r="K8" i="55" s="1" a="1"/>
  <c r="K8" i="55" s="1"/>
  <c r="E10" i="55"/>
  <c r="E11" i="55"/>
  <c r="E13" i="55"/>
  <c r="E14" i="55"/>
  <c r="E15" i="55"/>
  <c r="E16" i="55"/>
  <c r="E17" i="55"/>
  <c r="E18" i="55"/>
  <c r="E21" i="55"/>
  <c r="E24" i="55"/>
  <c r="E25" i="55"/>
  <c r="E26" i="55"/>
  <c r="E27" i="55"/>
  <c r="E28" i="55"/>
  <c r="E31" i="55"/>
  <c r="E32" i="55"/>
  <c r="E33" i="55"/>
  <c r="E37" i="55"/>
  <c r="E41" i="55"/>
  <c r="E44" i="55"/>
  <c r="E45" i="55"/>
  <c r="E48" i="55"/>
  <c r="E50" i="55"/>
  <c r="E51" i="55"/>
  <c r="E52" i="55"/>
  <c r="E58" i="55"/>
  <c r="E60" i="55"/>
  <c r="E61" i="55"/>
  <c r="E62" i="55"/>
  <c r="E63" i="55"/>
  <c r="E64" i="55"/>
  <c r="E66" i="55"/>
  <c r="E67" i="55"/>
  <c r="E68" i="55"/>
  <c r="E69" i="55"/>
  <c r="E70" i="55"/>
  <c r="E71" i="55"/>
  <c r="E74" i="55"/>
  <c r="E77" i="55"/>
  <c r="E79" i="55"/>
  <c r="E80" i="55"/>
  <c r="E82" i="55"/>
  <c r="E85" i="55"/>
  <c r="E86" i="55"/>
  <c r="E88" i="55"/>
  <c r="E90" i="55"/>
  <c r="I18" i="59"/>
  <c r="I28" i="59" s="1"/>
  <c r="K32" i="59"/>
  <c r="K42" i="59" s="1"/>
  <c r="J32" i="59"/>
  <c r="J42" i="59" s="1"/>
  <c r="K18" i="59"/>
  <c r="J18" i="59"/>
  <c r="S18" i="59"/>
  <c r="S28" i="59"/>
  <c r="S32" i="59"/>
  <c r="R32" i="59"/>
  <c r="R42" i="59" s="1"/>
  <c r="R18" i="59"/>
  <c r="H32" i="59"/>
  <c r="C32" i="59"/>
  <c r="I32" i="59"/>
  <c r="I42" i="59"/>
  <c r="B32" i="59"/>
  <c r="E32" i="59"/>
  <c r="E42" i="59" s="1"/>
  <c r="B18" i="59"/>
  <c r="B28" i="59" s="1"/>
  <c r="E18" i="59"/>
  <c r="E28" i="59" s="1"/>
  <c r="P18" i="59"/>
  <c r="Q18" i="59"/>
  <c r="Q28" i="59" s="1"/>
  <c r="H18" i="59"/>
  <c r="H28" i="59" s="1"/>
  <c r="Q32" i="59"/>
  <c r="P32" i="59"/>
  <c r="P42" i="59" s="1"/>
  <c r="P71" i="55"/>
  <c r="P46" i="55"/>
  <c r="S46" i="55" s="1"/>
  <c r="P33" i="55"/>
  <c r="S33" i="55" s="1"/>
  <c r="P27" i="55"/>
  <c r="S27" i="55" s="1"/>
  <c r="P25" i="55"/>
  <c r="R25" i="55" s="1"/>
  <c r="C7" i="26"/>
  <c r="D7" i="26"/>
  <c r="E7" i="26" s="1"/>
  <c r="C9" i="26"/>
  <c r="D9" i="26" s="1"/>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Z12" i="26" s="1"/>
  <c r="P13" i="55"/>
  <c r="S13" i="55" s="1"/>
  <c r="P60" i="55"/>
  <c r="S60" i="55" s="1"/>
  <c r="P63" i="55"/>
  <c r="S63" i="55" s="1"/>
  <c r="P80" i="55"/>
  <c r="P74" i="55"/>
  <c r="S74" i="55" s="1"/>
  <c r="T74" i="55" s="1"/>
  <c r="P37" i="55"/>
  <c r="S37" i="55" s="1"/>
  <c r="P64" i="55"/>
  <c r="S64" i="55" s="1"/>
  <c r="P95" i="55"/>
  <c r="S95" i="55" s="1"/>
  <c r="P82" i="55"/>
  <c r="S82" i="55" s="1"/>
  <c r="P45" i="55"/>
  <c r="S45" i="55" s="1"/>
  <c r="T45" i="55" s="1"/>
  <c r="P85" i="55"/>
  <c r="S85" i="55" s="1"/>
  <c r="P40" i="55"/>
  <c r="S40" i="55" s="1"/>
  <c r="P48" i="55"/>
  <c r="S48" i="55" s="1"/>
  <c r="P79" i="55"/>
  <c r="S79" i="55" s="1"/>
  <c r="P21" i="55"/>
  <c r="S21" i="55" s="1"/>
  <c r="R21" i="55"/>
  <c r="T21" i="55" s="1"/>
  <c r="P86" i="55"/>
  <c r="S86" i="55" s="1"/>
  <c r="P24" i="55"/>
  <c r="S24" i="55" s="1"/>
  <c r="AD14" i="26"/>
  <c r="O12" i="26"/>
  <c r="C28" i="55"/>
  <c r="C29" i="55"/>
  <c r="C83" i="55"/>
  <c r="C36" i="55"/>
  <c r="I4" i="52"/>
  <c r="I5" i="52"/>
  <c r="I6" i="52"/>
  <c r="P81" i="55"/>
  <c r="S81" i="55" s="1"/>
  <c r="P90" i="55"/>
  <c r="P67" i="55"/>
  <c r="M65" i="55" a="1"/>
  <c r="M65" i="55" s="1"/>
  <c r="M39" i="55" a="1"/>
  <c r="M39" i="55" s="1"/>
  <c r="O39" i="55" s="1"/>
  <c r="P50" i="55"/>
  <c r="S50" i="55" s="1"/>
  <c r="P9" i="55"/>
  <c r="P54" i="55"/>
  <c r="P61" i="55"/>
  <c r="S61" i="55" s="1"/>
  <c r="P10" i="55"/>
  <c r="S10" i="55" s="1"/>
  <c r="P69" i="55"/>
  <c r="S69" i="55" s="1"/>
  <c r="N113" i="55" a="1"/>
  <c r="N113" i="55" s="1"/>
  <c r="N53" i="55" a="1"/>
  <c r="N53" i="55" s="1"/>
  <c r="P58" i="55"/>
  <c r="S58" i="55" s="1"/>
  <c r="P97" i="55"/>
  <c r="S97" i="55" s="1"/>
  <c r="P65" i="55"/>
  <c r="P16" i="55"/>
  <c r="N79" i="55" a="1"/>
  <c r="N79" i="55" s="1"/>
  <c r="M69" i="55" a="1"/>
  <c r="M69" i="55" s="1"/>
  <c r="I2" i="55"/>
  <c r="M8" i="55" a="1"/>
  <c r="M8" i="55" s="1"/>
  <c r="N85" i="55" a="1"/>
  <c r="N85" i="55" s="1"/>
  <c r="M54" i="55" a="1"/>
  <c r="M54" i="55" s="1"/>
  <c r="M82" i="55" a="1"/>
  <c r="M82" i="55" s="1"/>
  <c r="O82" i="55" s="1"/>
  <c r="M94" i="55" a="1"/>
  <c r="M94" i="55" s="1"/>
  <c r="O94" i="55" s="1"/>
  <c r="M114" i="55" a="1"/>
  <c r="M114" i="55" s="1"/>
  <c r="O114" i="55" s="1"/>
  <c r="M59" i="55" a="1"/>
  <c r="M59" i="55" s="1"/>
  <c r="O59" i="55" s="1"/>
  <c r="M103" i="55" a="1"/>
  <c r="M103" i="55" s="1"/>
  <c r="O103" i="55" s="1"/>
  <c r="M42" i="55" a="1"/>
  <c r="M42" i="55" s="1"/>
  <c r="O42" i="55" s="1"/>
  <c r="M32" i="55" a="1"/>
  <c r="M32" i="55" s="1"/>
  <c r="N32" i="55" a="1"/>
  <c r="N32" i="55" s="1"/>
  <c r="M93" i="55" a="1"/>
  <c r="M93" i="55" s="1"/>
  <c r="O93" i="55" s="1"/>
  <c r="M83" i="55" a="1"/>
  <c r="M83" i="55" s="1"/>
  <c r="O83" i="55" s="1"/>
  <c r="P22" i="55"/>
  <c r="S22" i="55"/>
  <c r="M80" i="55" a="1"/>
  <c r="M80" i="55" s="1"/>
  <c r="M96" i="55" a="1"/>
  <c r="M96" i="55" s="1"/>
  <c r="M55" i="55" a="1"/>
  <c r="M55" i="55" s="1"/>
  <c r="O55" i="55" s="1"/>
  <c r="M16" i="55" a="1"/>
  <c r="M16" i="55" s="1"/>
  <c r="M97" i="55" a="1"/>
  <c r="M97" i="55" s="1"/>
  <c r="M56" i="55" a="1"/>
  <c r="M56" i="55" s="1"/>
  <c r="O56" i="55" s="1"/>
  <c r="M40" i="55" a="1"/>
  <c r="M40" i="55" s="1"/>
  <c r="M46" i="55" a="1"/>
  <c r="M46" i="55" s="1"/>
  <c r="M57" i="55" a="1"/>
  <c r="M57" i="55" s="1"/>
  <c r="N34" i="55" a="1"/>
  <c r="N34" i="55" s="1"/>
  <c r="N110" i="55" a="1"/>
  <c r="N110" i="55" s="1"/>
  <c r="N86" i="55" a="1"/>
  <c r="N86" i="55" s="1"/>
  <c r="P26" i="55"/>
  <c r="N78" i="55" a="1"/>
  <c r="N78" i="55" s="1"/>
  <c r="N27" i="55" a="1"/>
  <c r="N27" i="55" s="1"/>
  <c r="N61" i="55" a="1"/>
  <c r="N61" i="55" s="1"/>
  <c r="N9" i="55" a="1"/>
  <c r="N9" i="55" s="1"/>
  <c r="N2" i="55"/>
  <c r="N66" i="55" a="1"/>
  <c r="N66" i="55" s="1"/>
  <c r="N38" i="55" a="1"/>
  <c r="N38" i="55" s="1"/>
  <c r="N43" i="55" a="1"/>
  <c r="N43" i="55" s="1"/>
  <c r="N15" i="55" a="1"/>
  <c r="N15" i="55" s="1"/>
  <c r="N104" i="55" a="1"/>
  <c r="N104" i="55" s="1"/>
  <c r="N16" i="55" a="1"/>
  <c r="N16" i="55" s="1"/>
  <c r="N37" i="55" a="1"/>
  <c r="N37" i="55" s="1"/>
  <c r="N100" i="55" a="1"/>
  <c r="N100" i="55" s="1"/>
  <c r="N60" i="55" a="1"/>
  <c r="N60" i="55" s="1"/>
  <c r="N63" i="55" a="1"/>
  <c r="N63" i="55" s="1"/>
  <c r="N111" i="55" a="1"/>
  <c r="N111" i="55" s="1"/>
  <c r="N7" i="55" a="1"/>
  <c r="N7" i="55" s="1"/>
  <c r="N12" i="55" a="1"/>
  <c r="N12" i="55" s="1"/>
  <c r="N97" i="55" a="1"/>
  <c r="N97" i="55" s="1"/>
  <c r="N69" i="55" a="1"/>
  <c r="N69" i="55" s="1"/>
  <c r="N99" i="55" a="1"/>
  <c r="N99" i="55" s="1"/>
  <c r="N35" i="55" a="1"/>
  <c r="N35" i="55" s="1"/>
  <c r="N65" i="55" a="1"/>
  <c r="N65" i="55" s="1"/>
  <c r="N17" i="55" a="1"/>
  <c r="N17" i="55" s="1"/>
  <c r="N40" i="55" a="1"/>
  <c r="N40" i="55" s="1"/>
  <c r="N112" i="55" a="1"/>
  <c r="N112" i="55" s="1"/>
  <c r="N22" i="55" a="1"/>
  <c r="N22" i="55" s="1"/>
  <c r="N47" i="55" a="1"/>
  <c r="N47" i="55" s="1"/>
  <c r="N88" i="55" a="1"/>
  <c r="N88" i="55" s="1"/>
  <c r="N89" i="55" a="1"/>
  <c r="N89" i="55" s="1"/>
  <c r="N59" i="55" a="1"/>
  <c r="N59" i="55" s="1"/>
  <c r="N41" i="55" a="1"/>
  <c r="N41" i="55" s="1"/>
  <c r="N39" i="55" a="1"/>
  <c r="N39" i="55" s="1"/>
  <c r="N80" i="55" a="1"/>
  <c r="N80" i="55" s="1"/>
  <c r="O80" i="55" s="1"/>
  <c r="N25" i="55" a="1"/>
  <c r="N25" i="55" s="1"/>
  <c r="N95" i="55" a="1"/>
  <c r="N95" i="55" s="1"/>
  <c r="N56" i="55" a="1"/>
  <c r="N56" i="55" s="1"/>
  <c r="N82" i="55" a="1"/>
  <c r="N82" i="55" s="1"/>
  <c r="N51" i="55" a="1"/>
  <c r="N51" i="55" s="1"/>
  <c r="N46" i="55" a="1"/>
  <c r="N46" i="55" s="1"/>
  <c r="N91" i="55" a="1"/>
  <c r="N91" i="55" s="1"/>
  <c r="N55" i="55" a="1"/>
  <c r="N55" i="55" s="1"/>
  <c r="N81" i="55" a="1"/>
  <c r="N81" i="55" s="1"/>
  <c r="N26" i="55" a="1"/>
  <c r="N26" i="55" s="1"/>
  <c r="N21" i="55" a="1"/>
  <c r="N21" i="55" s="1"/>
  <c r="N77" i="55" a="1"/>
  <c r="N77" i="55" s="1"/>
  <c r="N20" i="55" a="1"/>
  <c r="N20" i="55" s="1"/>
  <c r="N114" i="55" a="1"/>
  <c r="N114" i="55" s="1"/>
  <c r="N75" i="55" a="1"/>
  <c r="N75" i="55" s="1"/>
  <c r="N102" i="55" a="1"/>
  <c r="N102" i="55" s="1"/>
  <c r="N54" i="55" a="1"/>
  <c r="N54" i="55" s="1"/>
  <c r="N49" i="55" a="1"/>
  <c r="N49" i="55" s="1"/>
  <c r="N36" i="55" a="1"/>
  <c r="N36" i="55" s="1"/>
  <c r="N74" i="55" a="1"/>
  <c r="N74" i="55" s="1"/>
  <c r="N108" i="55" a="1"/>
  <c r="N108" i="55" s="1"/>
  <c r="N103" i="55" a="1"/>
  <c r="N103" i="55" s="1"/>
  <c r="N93" i="55" a="1"/>
  <c r="N93" i="55" s="1"/>
  <c r="N52" i="55" a="1"/>
  <c r="N52" i="55" s="1"/>
  <c r="N33" i="55" a="1"/>
  <c r="N33" i="55" s="1"/>
  <c r="N96" i="55" a="1"/>
  <c r="N96" i="55" s="1"/>
  <c r="O96" i="55" s="1"/>
  <c r="N11" i="55" a="1"/>
  <c r="N11" i="55" s="1"/>
  <c r="N8" i="55" a="1"/>
  <c r="N8" i="55" s="1"/>
  <c r="O8" i="55" s="1"/>
  <c r="N73" i="55" a="1"/>
  <c r="N73" i="55" s="1"/>
  <c r="N58" i="55" a="1"/>
  <c r="N58" i="55" s="1"/>
  <c r="N83" i="55" a="1"/>
  <c r="N83" i="55" s="1"/>
  <c r="N76" i="55" a="1"/>
  <c r="N76" i="55" s="1"/>
  <c r="N45" i="55" a="1"/>
  <c r="N45" i="55" s="1"/>
  <c r="N109" i="55" a="1"/>
  <c r="N109" i="55" s="1"/>
  <c r="N31" i="55" a="1"/>
  <c r="N31" i="55" s="1"/>
  <c r="N115" i="55" a="1"/>
  <c r="N115" i="55" s="1"/>
  <c r="N105" i="55" a="1"/>
  <c r="N105" i="55" s="1"/>
  <c r="N87" i="55" a="1"/>
  <c r="N87" i="55" s="1"/>
  <c r="N29" i="55" a="1"/>
  <c r="N29" i="55" s="1"/>
  <c r="N98" i="55" a="1"/>
  <c r="N98" i="55" s="1"/>
  <c r="N14" i="55" a="1"/>
  <c r="N14" i="55" s="1"/>
  <c r="N67" i="55" a="1"/>
  <c r="N67" i="55" s="1"/>
  <c r="N71" i="55" a="1"/>
  <c r="N71" i="55" s="1"/>
  <c r="N10" i="55" a="1"/>
  <c r="N10" i="55" s="1"/>
  <c r="N101" i="55" a="1"/>
  <c r="N101" i="55" s="1"/>
  <c r="P68" i="55"/>
  <c r="S68" i="55" s="1"/>
  <c r="N107" i="55" a="1"/>
  <c r="N107" i="55" s="1"/>
  <c r="N24" i="55" a="1"/>
  <c r="N24" i="55" s="1"/>
  <c r="N44" i="55" a="1"/>
  <c r="N44" i="55" s="1"/>
  <c r="N48" i="55" a="1"/>
  <c r="N48" i="55" s="1"/>
  <c r="N68" i="55" a="1"/>
  <c r="N68" i="55" s="1"/>
  <c r="N116" i="55" a="1"/>
  <c r="N116" i="55" s="1"/>
  <c r="N19" i="55" a="1"/>
  <c r="N19" i="55" s="1"/>
  <c r="N106" i="55" a="1"/>
  <c r="N106" i="55" s="1"/>
  <c r="N18" i="55" a="1"/>
  <c r="N18" i="55" s="1"/>
  <c r="N62" i="55" a="1"/>
  <c r="N62" i="55" s="1"/>
  <c r="N50" i="55" a="1"/>
  <c r="N50" i="55" s="1"/>
  <c r="N13" i="55" a="1"/>
  <c r="N13" i="55" s="1"/>
  <c r="N57" i="55" a="1"/>
  <c r="N57" i="55" s="1"/>
  <c r="N90" i="55" a="1"/>
  <c r="N90" i="55" s="1"/>
  <c r="N28" i="55" a="1"/>
  <c r="N28" i="55" s="1"/>
  <c r="P19" i="55"/>
  <c r="S19" i="55" s="1"/>
  <c r="S110" i="55"/>
  <c r="T110" i="55" s="1"/>
  <c r="R110" i="55"/>
  <c r="M49" i="55" a="1"/>
  <c r="M49" i="55" s="1"/>
  <c r="O49" i="55" s="1"/>
  <c r="M27" i="55" a="1"/>
  <c r="M27" i="55" s="1"/>
  <c r="O27" i="55" s="1"/>
  <c r="M45" i="55" a="1"/>
  <c r="M45" i="55" s="1"/>
  <c r="O45" i="55" s="1"/>
  <c r="M15" i="55" a="1"/>
  <c r="M15" i="55" s="1"/>
  <c r="O15" i="55" s="1"/>
  <c r="M86" i="55" a="1"/>
  <c r="M86" i="55" s="1"/>
  <c r="O86" i="55" s="1"/>
  <c r="M85" i="55" a="1"/>
  <c r="M85" i="55" s="1"/>
  <c r="O85" i="55" s="1"/>
  <c r="M74" i="55" a="1"/>
  <c r="M74" i="55" s="1"/>
  <c r="O74" i="55" s="1"/>
  <c r="M28" i="55" a="1"/>
  <c r="M28" i="55" s="1"/>
  <c r="M14" i="55" a="1"/>
  <c r="M14" i="55" s="1"/>
  <c r="O14" i="55" s="1"/>
  <c r="M13" i="55" a="1"/>
  <c r="M13" i="55" s="1"/>
  <c r="O13" i="55" s="1"/>
  <c r="M35" i="55" a="1"/>
  <c r="M35" i="55" s="1"/>
  <c r="O35" i="55" s="1"/>
  <c r="M89" i="55" a="1"/>
  <c r="M89" i="55" s="1"/>
  <c r="O89" i="55" s="1"/>
  <c r="M107" i="55" a="1"/>
  <c r="M107" i="55" s="1"/>
  <c r="O107" i="55" s="1"/>
  <c r="M106" i="55" a="1"/>
  <c r="M106" i="55" s="1"/>
  <c r="M44" i="55" a="1"/>
  <c r="M44" i="55" s="1"/>
  <c r="O44" i="55" s="1"/>
  <c r="M41" i="55" a="1"/>
  <c r="M41" i="55" s="1"/>
  <c r="M11" i="55" a="1"/>
  <c r="M11" i="55" s="1"/>
  <c r="M48" i="55" a="1"/>
  <c r="M48" i="55" s="1"/>
  <c r="O48" i="55" s="1"/>
  <c r="M37" i="55" a="1"/>
  <c r="M37" i="55" s="1"/>
  <c r="O37" i="55" s="1"/>
  <c r="M12" i="55" a="1"/>
  <c r="M12" i="55" s="1"/>
  <c r="O12" i="55" s="1"/>
  <c r="M47" i="55" a="1"/>
  <c r="M47" i="55" s="1"/>
  <c r="O47" i="55" s="1"/>
  <c r="M87" i="55" a="1"/>
  <c r="M87" i="55" s="1"/>
  <c r="O87" i="55" s="1"/>
  <c r="M99" i="55" a="1"/>
  <c r="M99" i="55" s="1"/>
  <c r="O99" i="55" s="1"/>
  <c r="M53" i="55" a="1"/>
  <c r="M53" i="55" s="1"/>
  <c r="O53" i="55" s="1"/>
  <c r="M26" i="55" a="1"/>
  <c r="M26" i="55" s="1"/>
  <c r="M10" i="55" a="1"/>
  <c r="M10" i="55" s="1"/>
  <c r="O10" i="55" s="1"/>
  <c r="M61" i="55" a="1"/>
  <c r="M61" i="55" s="1"/>
  <c r="O61" i="55" s="1"/>
  <c r="M33" i="55" a="1"/>
  <c r="M33" i="55" s="1"/>
  <c r="O33" i="55" s="1"/>
  <c r="M81" i="55" a="1"/>
  <c r="M81" i="55" s="1"/>
  <c r="O81" i="55" s="1"/>
  <c r="M78" i="55" a="1"/>
  <c r="M78" i="55" s="1"/>
  <c r="O78" i="55" s="1"/>
  <c r="M110" i="55" a="1"/>
  <c r="M110" i="55" s="1"/>
  <c r="O110" i="55" s="1"/>
  <c r="M115" i="55" a="1"/>
  <c r="M115" i="55" s="1"/>
  <c r="O115" i="55" s="1"/>
  <c r="M21" i="55" a="1"/>
  <c r="M21" i="55" s="1"/>
  <c r="O21" i="55" s="1"/>
  <c r="M67" i="55" a="1"/>
  <c r="M67" i="55" s="1"/>
  <c r="M90" i="55" a="1"/>
  <c r="M90" i="55" s="1"/>
  <c r="M70" i="55" a="1"/>
  <c r="M70" i="55" s="1"/>
  <c r="M88" i="55" a="1"/>
  <c r="M88" i="55" s="1"/>
  <c r="M30" i="55" a="1"/>
  <c r="M30" i="55" s="1"/>
  <c r="O30" i="55" s="1"/>
  <c r="M76" i="55" a="1"/>
  <c r="M76" i="55" s="1"/>
  <c r="O76" i="55" s="1"/>
  <c r="M36" i="55" a="1"/>
  <c r="M36" i="55" s="1"/>
  <c r="M75" i="55" a="1"/>
  <c r="M75" i="55" s="1"/>
  <c r="O75" i="55" s="1"/>
  <c r="M104" i="55" a="1"/>
  <c r="M104" i="55" s="1"/>
  <c r="O104" i="55" s="1"/>
  <c r="M108" i="55" a="1"/>
  <c r="M108" i="55" s="1"/>
  <c r="M51" i="55" a="1"/>
  <c r="M51" i="55" s="1"/>
  <c r="O51" i="55" s="1"/>
  <c r="M95" i="55" a="1"/>
  <c r="M95" i="55" s="1"/>
  <c r="O95" i="55" s="1"/>
  <c r="M62" i="55" a="1"/>
  <c r="M62" i="55" s="1"/>
  <c r="O62" i="55" s="1"/>
  <c r="P116" i="55"/>
  <c r="S116" i="55" s="1"/>
  <c r="M92" i="55" a="1"/>
  <c r="M92" i="55" s="1"/>
  <c r="P109" i="55"/>
  <c r="R109" i="55" s="1"/>
  <c r="K95" i="55" a="1"/>
  <c r="K95" i="55" s="1"/>
  <c r="H32" i="55"/>
  <c r="K44" i="55" a="1"/>
  <c r="K44" i="55" s="1"/>
  <c r="L44" i="55" a="1"/>
  <c r="L44" i="55" s="1"/>
  <c r="K74" i="55" a="1"/>
  <c r="K74" i="55" s="1"/>
  <c r="N72" i="55" a="1"/>
  <c r="N72" i="55" s="1"/>
  <c r="H61" i="55"/>
  <c r="Q2" i="55"/>
  <c r="C42" i="59"/>
  <c r="S42" i="59"/>
  <c r="H42" i="59"/>
  <c r="P28" i="59"/>
  <c r="R28" i="59"/>
  <c r="J28" i="59"/>
  <c r="K28" i="59"/>
  <c r="C14" i="59"/>
  <c r="J14" i="59"/>
  <c r="V4" i="59"/>
  <c r="M14" i="26"/>
  <c r="S14" i="26"/>
  <c r="J14" i="26"/>
  <c r="I12" i="26"/>
  <c r="R12" i="26"/>
  <c r="O14" i="26"/>
  <c r="J12" i="26"/>
  <c r="B6" i="26"/>
  <c r="B12" i="26"/>
  <c r="H12" i="26"/>
  <c r="AL12" i="26"/>
  <c r="I14" i="26"/>
  <c r="AC14" i="26"/>
  <c r="D12" i="26"/>
  <c r="D56" i="62"/>
  <c r="E56" i="62" s="1"/>
  <c r="E55" i="62"/>
  <c r="C6" i="26"/>
  <c r="D6" i="26"/>
  <c r="P11" i="55"/>
  <c r="R11" i="55" s="1"/>
  <c r="P96" i="55"/>
  <c r="S96" i="55" s="1"/>
  <c r="K2" i="55"/>
  <c r="V18" i="59"/>
  <c r="R76" i="55"/>
  <c r="T76" i="55" s="1"/>
  <c r="S77" i="55"/>
  <c r="T77" i="55" s="1"/>
  <c r="G67" i="55"/>
  <c r="K67" i="55" a="1"/>
  <c r="K67" i="55" s="1"/>
  <c r="L63" i="55" a="1"/>
  <c r="L63" i="55" s="1"/>
  <c r="K63" i="55" a="1"/>
  <c r="K63" i="55" s="1"/>
  <c r="K82" i="55" a="1"/>
  <c r="K82" i="55" s="1"/>
  <c r="L82" i="55" a="1"/>
  <c r="L82" i="55" s="1"/>
  <c r="L102" i="55" a="1"/>
  <c r="L102" i="55" s="1"/>
  <c r="K102" i="55" a="1"/>
  <c r="K102" i="55" s="1"/>
  <c r="L29" i="55" a="1"/>
  <c r="L29" i="55" s="1"/>
  <c r="G72" i="55"/>
  <c r="L22" i="55" a="1"/>
  <c r="L22" i="55" s="1"/>
  <c r="K22" i="55"/>
  <c r="L109" i="55" a="1"/>
  <c r="L109" i="55" s="1"/>
  <c r="K109" i="55"/>
  <c r="K108" i="55" a="1"/>
  <c r="K108" i="55" s="1"/>
  <c r="H47" i="55"/>
  <c r="K47" i="55" a="1"/>
  <c r="K47" i="55" s="1"/>
  <c r="L105" i="55" a="1"/>
  <c r="L105" i="55" s="1"/>
  <c r="K105" i="55" a="1"/>
  <c r="K105" i="55" s="1"/>
  <c r="K116" i="55" a="1"/>
  <c r="K116" i="55" s="1"/>
  <c r="L60" i="55" a="1"/>
  <c r="L60" i="55" s="1"/>
  <c r="K60" i="55" a="1"/>
  <c r="K60" i="55" s="1"/>
  <c r="K81" i="55" a="1"/>
  <c r="K81" i="55" s="1"/>
  <c r="K101" i="55" a="1"/>
  <c r="K101" i="55" s="1"/>
  <c r="K17" i="55" a="1"/>
  <c r="K17" i="55" s="1"/>
  <c r="R97" i="55"/>
  <c r="R55" i="55"/>
  <c r="S12" i="55"/>
  <c r="R12" i="55"/>
  <c r="T12" i="55" s="1"/>
  <c r="K115" i="55" a="1"/>
  <c r="K115" i="55" s="1"/>
  <c r="F87" i="62"/>
  <c r="G87" i="62"/>
  <c r="F88" i="62"/>
  <c r="F89" i="62" s="1"/>
  <c r="R50" i="55"/>
  <c r="T50" i="55" s="1"/>
  <c r="B42" i="59"/>
  <c r="K98" i="55" a="1"/>
  <c r="K98" i="55" s="1"/>
  <c r="J2" i="55"/>
  <c r="K32" i="55" a="1"/>
  <c r="K32" i="55" s="1"/>
  <c r="J121" i="55"/>
  <c r="K79" i="55" a="1"/>
  <c r="K79" i="55" s="1"/>
  <c r="K70" i="55" a="1"/>
  <c r="K70" i="55" s="1"/>
  <c r="K92" i="55" a="1"/>
  <c r="K92" i="55" s="1"/>
  <c r="K28" i="55" a="1"/>
  <c r="K28" i="55" s="1"/>
  <c r="K76" i="55" a="1"/>
  <c r="K76" i="55" s="1"/>
  <c r="F7" i="26"/>
  <c r="G7" i="26" s="1"/>
  <c r="H7" i="26" s="1"/>
  <c r="I7" i="26" s="1"/>
  <c r="E6" i="26"/>
  <c r="K23" i="55" a="1"/>
  <c r="K23" i="55" s="1"/>
  <c r="M101" i="55" a="1"/>
  <c r="M101" i="55" s="1"/>
  <c r="M111" i="55" a="1"/>
  <c r="M111" i="55" s="1"/>
  <c r="O111" i="55" s="1"/>
  <c r="M113" i="55" a="1"/>
  <c r="M113" i="55" s="1"/>
  <c r="O113" i="55" s="1"/>
  <c r="N70" i="55" a="1"/>
  <c r="N70" i="55" s="1"/>
  <c r="M73" i="55" a="1"/>
  <c r="M73" i="55" s="1"/>
  <c r="O73" i="55" s="1"/>
  <c r="P98" i="55"/>
  <c r="S98" i="55" s="1"/>
  <c r="AF14" i="26"/>
  <c r="P72" i="55"/>
  <c r="R72" i="55" s="1"/>
  <c r="M23" i="55" a="1"/>
  <c r="M23" i="55" s="1"/>
  <c r="M20" i="55" a="1"/>
  <c r="M20" i="55" s="1"/>
  <c r="O20" i="55" s="1"/>
  <c r="M38" i="55" a="1"/>
  <c r="M38" i="55" s="1"/>
  <c r="O38" i="55" s="1"/>
  <c r="M19" i="55" a="1"/>
  <c r="M19" i="55" s="1"/>
  <c r="O19" i="55" s="1"/>
  <c r="P17" i="55"/>
  <c r="S17" i="55" s="1"/>
  <c r="M25" i="55" a="1"/>
  <c r="M25" i="55" s="1"/>
  <c r="M79" i="55" a="1"/>
  <c r="M79" i="55" s="1"/>
  <c r="M58" i="55" a="1"/>
  <c r="M58" i="55" s="1"/>
  <c r="M84" i="55" a="1"/>
  <c r="M84" i="55" s="1"/>
  <c r="O84" i="55" s="1"/>
  <c r="M66" i="55" a="1"/>
  <c r="M66" i="55" s="1"/>
  <c r="O66" i="55" s="1"/>
  <c r="M52" i="55" a="1"/>
  <c r="M52" i="55" s="1"/>
  <c r="O52" i="55" s="1"/>
  <c r="M63" i="55" a="1"/>
  <c r="M63" i="55" s="1"/>
  <c r="O63" i="55" s="1"/>
  <c r="M60" i="55" a="1"/>
  <c r="M60" i="55" s="1"/>
  <c r="O60" i="55" s="1"/>
  <c r="M72" i="55" a="1"/>
  <c r="M72" i="55" s="1"/>
  <c r="M91" i="55" a="1"/>
  <c r="M91" i="55" s="1"/>
  <c r="M50" i="55" a="1"/>
  <c r="M50" i="55" s="1"/>
  <c r="O50" i="55" s="1"/>
  <c r="M116" i="55" a="1"/>
  <c r="M116" i="55" s="1"/>
  <c r="O116" i="55" s="1"/>
  <c r="M29" i="55" a="1"/>
  <c r="M29" i="55" s="1"/>
  <c r="O29" i="55" s="1"/>
  <c r="M17" i="55" a="1"/>
  <c r="M17" i="55" s="1"/>
  <c r="M121" i="55"/>
  <c r="M68" i="55" a="1"/>
  <c r="M68" i="55" s="1"/>
  <c r="O68" i="55" s="1"/>
  <c r="M64" i="55" a="1"/>
  <c r="M64" i="55" s="1"/>
  <c r="O64" i="55" s="1"/>
  <c r="M31" i="55" a="1"/>
  <c r="M31" i="55" s="1"/>
  <c r="M102" i="55" a="1"/>
  <c r="M102" i="55" s="1"/>
  <c r="O102" i="55" s="1"/>
  <c r="M71" i="55" a="1"/>
  <c r="M71" i="55" s="1"/>
  <c r="M9" i="55" a="1"/>
  <c r="M9" i="55" s="1"/>
  <c r="M105" i="55" a="1"/>
  <c r="M105" i="55" s="1"/>
  <c r="O105" i="55" s="1"/>
  <c r="N30" i="55" a="1"/>
  <c r="N30" i="55" s="1"/>
  <c r="N92" i="55" a="1"/>
  <c r="N92" i="55" s="1"/>
  <c r="M22" i="55" a="1"/>
  <c r="M22" i="55" s="1"/>
  <c r="O22" i="55" s="1"/>
  <c r="M98" i="55" a="1"/>
  <c r="M98" i="55" s="1"/>
  <c r="M77" i="55" a="1"/>
  <c r="M77" i="55" s="1"/>
  <c r="O77" i="55" s="1"/>
  <c r="M24" i="55" a="1"/>
  <c r="M24" i="55" s="1"/>
  <c r="O24" i="55" s="1"/>
  <c r="S80" i="55"/>
  <c r="K75" i="55" a="1"/>
  <c r="K75" i="55" s="1"/>
  <c r="L87" i="55" a="1"/>
  <c r="L87" i="55" s="1"/>
  <c r="K87" i="55" a="1"/>
  <c r="K87" i="55" s="1"/>
  <c r="G91" i="55"/>
  <c r="K73" i="55" a="1"/>
  <c r="K73" i="55" s="1"/>
  <c r="T111" i="55"/>
  <c r="N12" i="26"/>
  <c r="AA12" i="26"/>
  <c r="AE14" i="26"/>
  <c r="AE12" i="26"/>
  <c r="AI12" i="26"/>
  <c r="P14" i="26"/>
  <c r="P41" i="55"/>
  <c r="V12" i="26"/>
  <c r="T12" i="26"/>
  <c r="AK14" i="26"/>
  <c r="K14" i="26"/>
  <c r="N23" i="55" a="1"/>
  <c r="N23" i="55" s="1"/>
  <c r="R32" i="55"/>
  <c r="T32" i="55" s="1"/>
  <c r="N2" i="53"/>
  <c r="P18" i="55"/>
  <c r="R18" i="55" s="1"/>
  <c r="K12" i="26"/>
  <c r="W14" i="26"/>
  <c r="R14" i="26"/>
  <c r="P66" i="55"/>
  <c r="S66" i="55" s="1"/>
  <c r="L12" i="26"/>
  <c r="C12" i="26"/>
  <c r="X14" i="26"/>
  <c r="G2" i="26"/>
  <c r="P36" i="55"/>
  <c r="S36" i="55" s="1"/>
  <c r="Q14" i="26"/>
  <c r="AH14" i="26"/>
  <c r="G12" i="26"/>
  <c r="E12" i="26"/>
  <c r="AL14" i="26"/>
  <c r="Z14" i="26"/>
  <c r="AB12" i="26"/>
  <c r="M12" i="26"/>
  <c r="O69" i="55"/>
  <c r="L49" i="55" a="1"/>
  <c r="L49" i="55" s="1"/>
  <c r="H49" i="55"/>
  <c r="L38" i="55" a="1"/>
  <c r="L38" i="55" s="1"/>
  <c r="K38" i="55" a="1"/>
  <c r="K38" i="55" s="1"/>
  <c r="F18" i="59"/>
  <c r="R101" i="55"/>
  <c r="S101" i="55"/>
  <c r="T101" i="55" s="1"/>
  <c r="S88" i="55"/>
  <c r="R88" i="55"/>
  <c r="R19" i="55"/>
  <c r="K61" i="55" a="1"/>
  <c r="K61" i="55" s="1"/>
  <c r="R16" i="55"/>
  <c r="R58" i="55"/>
  <c r="T58" i="55" s="1"/>
  <c r="H15" i="55"/>
  <c r="K15" i="55" a="1"/>
  <c r="K15" i="55" s="1"/>
  <c r="K97" i="55" a="1"/>
  <c r="K97" i="55" s="1"/>
  <c r="T39" i="55"/>
  <c r="R22" i="55"/>
  <c r="T22" i="55" s="1"/>
  <c r="F4" i="59"/>
  <c r="R9" i="55"/>
  <c r="T51" i="55"/>
  <c r="K48" i="55" a="1"/>
  <c r="K48" i="55" s="1"/>
  <c r="L48" i="55" a="1"/>
  <c r="L48" i="55" s="1"/>
  <c r="H48" i="55"/>
  <c r="H9" i="55"/>
  <c r="K9" i="55" a="1"/>
  <c r="K9" i="55" s="1"/>
  <c r="K78" i="55" a="1"/>
  <c r="K78" i="55" s="1"/>
  <c r="L78" i="55" a="1"/>
  <c r="L78" i="55" s="1"/>
  <c r="L51" i="55" a="1"/>
  <c r="L51" i="55" s="1"/>
  <c r="K51" i="55" a="1"/>
  <c r="K51" i="55" s="1"/>
  <c r="H58" i="55"/>
  <c r="K58" i="55" a="1"/>
  <c r="K58" i="55" s="1"/>
  <c r="T114" i="55"/>
  <c r="R36" i="55"/>
  <c r="T36" i="55" s="1"/>
  <c r="T30" i="55"/>
  <c r="T44" i="55"/>
  <c r="R56" i="55"/>
  <c r="R92" i="55"/>
  <c r="T92" i="55" s="1"/>
  <c r="T75" i="55"/>
  <c r="T38" i="55"/>
  <c r="R54" i="55"/>
  <c r="T113" i="55"/>
  <c r="L107" i="55" a="1"/>
  <c r="L107" i="55" s="1"/>
  <c r="H10" i="55"/>
  <c r="K10" i="55" a="1"/>
  <c r="K10" i="55" s="1"/>
  <c r="K103" i="55" a="1"/>
  <c r="K103" i="55" s="1"/>
  <c r="L103" i="55" a="1"/>
  <c r="L103" i="55" s="1"/>
  <c r="K68" i="55" a="1"/>
  <c r="K68" i="55" s="1"/>
  <c r="L19" i="55" a="1"/>
  <c r="L19" i="55"/>
  <c r="K19" i="55" a="1"/>
  <c r="K19" i="55" s="1"/>
  <c r="K111" i="55" a="1"/>
  <c r="K111" i="55" s="1"/>
  <c r="L111" i="55" a="1"/>
  <c r="L111" i="55" s="1"/>
  <c r="G71" i="55"/>
  <c r="K71" i="55" a="1"/>
  <c r="K71" i="55" s="1"/>
  <c r="K94" i="55" a="1"/>
  <c r="K94" i="55" s="1"/>
  <c r="L94" i="55" a="1"/>
  <c r="L94" i="55" s="1"/>
  <c r="S31" i="55"/>
  <c r="R31" i="55"/>
  <c r="K7" i="55" a="1"/>
  <c r="K7" i="55" s="1"/>
  <c r="L7" i="55" a="1"/>
  <c r="L7" i="55" s="1"/>
  <c r="K34" i="55" a="1"/>
  <c r="K34" i="55" s="1"/>
  <c r="L34" i="55" a="1"/>
  <c r="L34" i="55" s="1"/>
  <c r="L89" i="55" a="1"/>
  <c r="L89" i="55" s="1"/>
  <c r="K89" i="55" a="1"/>
  <c r="K89" i="55" s="1"/>
  <c r="H26" i="55"/>
  <c r="L27" i="55" a="1"/>
  <c r="L27" i="55" s="1"/>
  <c r="K27" i="55" a="1"/>
  <c r="K27" i="55" s="1"/>
  <c r="G90" i="55"/>
  <c r="K90" i="55" a="1"/>
  <c r="K90" i="55" s="1"/>
  <c r="H8" i="55"/>
  <c r="G62" i="55"/>
  <c r="K62" i="55" a="1"/>
  <c r="K62" i="55" s="1"/>
  <c r="R61" i="55"/>
  <c r="T61" i="55" s="1"/>
  <c r="L99" i="55" a="1"/>
  <c r="L99" i="55" s="1"/>
  <c r="R79" i="55"/>
  <c r="P70" i="55"/>
  <c r="S70" i="55" s="1"/>
  <c r="V32" i="59"/>
  <c r="R46" i="55"/>
  <c r="K106" i="55" a="1"/>
  <c r="K106" i="55" s="1"/>
  <c r="N32" i="59"/>
  <c r="S16" i="55"/>
  <c r="G18" i="59"/>
  <c r="G28" i="59" s="1"/>
  <c r="R71" i="55"/>
  <c r="G32" i="59"/>
  <c r="L32" i="59" s="1"/>
  <c r="Z93" i="53"/>
  <c r="AE93" i="53" s="1"/>
  <c r="P20" i="55"/>
  <c r="S20" i="55" s="1"/>
  <c r="N94" i="55" a="1"/>
  <c r="N94" i="55" s="1"/>
  <c r="R80" i="55"/>
  <c r="T47" i="55"/>
  <c r="G4" i="59"/>
  <c r="P57" i="55"/>
  <c r="S57" i="55" s="1"/>
  <c r="G6" i="26"/>
  <c r="D57" i="62"/>
  <c r="E57" i="62" s="1"/>
  <c r="R69" i="55"/>
  <c r="T69" i="55" s="1"/>
  <c r="R67" i="55"/>
  <c r="T84" i="55"/>
  <c r="T83" i="55"/>
  <c r="F6" i="26"/>
  <c r="R62" i="55"/>
  <c r="S62" i="55"/>
  <c r="T62" i="55" s="1"/>
  <c r="K88" i="55" a="1"/>
  <c r="K88" i="55" s="1"/>
  <c r="R66" i="55"/>
  <c r="S26" i="55"/>
  <c r="G66" i="55"/>
  <c r="K66" i="55" a="1"/>
  <c r="K66" i="55" s="1"/>
  <c r="Z2" i="53"/>
  <c r="AG12" i="26"/>
  <c r="G14" i="26"/>
  <c r="Q42" i="59"/>
  <c r="N42" i="55" a="1"/>
  <c r="N42" i="55" s="1"/>
  <c r="N121" i="55"/>
  <c r="N64" i="55" a="1"/>
  <c r="N64" i="55"/>
  <c r="V14" i="26"/>
  <c r="O32" i="59"/>
  <c r="T32" i="59" s="1"/>
  <c r="T14" i="26"/>
  <c r="AJ12" i="26"/>
  <c r="AG14" i="26"/>
  <c r="AC12" i="26"/>
  <c r="AJ14" i="26"/>
  <c r="AI14" i="26"/>
  <c r="U14" i="26"/>
  <c r="F14" i="26"/>
  <c r="Q12" i="26"/>
  <c r="P23" i="55"/>
  <c r="R23" i="55" s="1"/>
  <c r="Y14" i="26"/>
  <c r="H6" i="26"/>
  <c r="N8" i="62"/>
  <c r="D5" i="57"/>
  <c r="D8" i="57"/>
  <c r="D11" i="57"/>
  <c r="D10" i="57"/>
  <c r="D6" i="57"/>
  <c r="D7" i="57"/>
  <c r="D12" i="57"/>
  <c r="D9" i="57"/>
  <c r="K30" i="55" l="1" a="1"/>
  <c r="K30" i="55" s="1"/>
  <c r="L30" i="55" a="1"/>
  <c r="L30" i="55" s="1"/>
  <c r="K64" i="55" a="1"/>
  <c r="K64" i="55" s="1"/>
  <c r="L64" i="55" a="1"/>
  <c r="L64" i="55" s="1"/>
  <c r="O72" i="55"/>
  <c r="T7" i="55"/>
  <c r="T80" i="55"/>
  <c r="T94" i="55"/>
  <c r="T16" i="55"/>
  <c r="O46" i="55"/>
  <c r="O90" i="55"/>
  <c r="T63" i="55"/>
  <c r="O91" i="55"/>
  <c r="S23" i="55"/>
  <c r="K72" i="55" a="1"/>
  <c r="K72" i="55" s="1"/>
  <c r="K25" i="55" a="1"/>
  <c r="K25" i="55" s="1"/>
  <c r="M18" i="59"/>
  <c r="K85" i="55" a="1"/>
  <c r="K85" i="55" s="1"/>
  <c r="I121" i="55"/>
  <c r="T43" i="55"/>
  <c r="O97" i="55"/>
  <c r="T33" i="55"/>
  <c r="R20" i="55"/>
  <c r="S54" i="55"/>
  <c r="R65" i="55"/>
  <c r="T66" i="55"/>
  <c r="T102" i="55"/>
  <c r="T86" i="55"/>
  <c r="O36" i="55"/>
  <c r="T115" i="55"/>
  <c r="R116" i="55"/>
  <c r="T116" i="55" s="1"/>
  <c r="T82" i="55"/>
  <c r="T95" i="55"/>
  <c r="L24" i="55" a="1"/>
  <c r="L24" i="55" s="1"/>
  <c r="K24" i="55" a="1"/>
  <c r="K24" i="55" s="1"/>
  <c r="L93" i="55" a="1"/>
  <c r="L93" i="55" s="1"/>
  <c r="K93" i="55" a="1"/>
  <c r="K93" i="55" s="1"/>
  <c r="K83" i="55" a="1"/>
  <c r="K83" i="55" s="1"/>
  <c r="L83" i="55" a="1"/>
  <c r="L83" i="55" s="1"/>
  <c r="L35" i="55" a="1"/>
  <c r="L35" i="55" s="1"/>
  <c r="K35" i="55" a="1"/>
  <c r="K35" i="55" s="1"/>
  <c r="L39" i="55" a="1"/>
  <c r="L39" i="55" s="1"/>
  <c r="K39" i="55" a="1"/>
  <c r="K39" i="55" s="1"/>
  <c r="N42" i="59"/>
  <c r="O11" i="55"/>
  <c r="F32" i="59"/>
  <c r="T60" i="55"/>
  <c r="R40" i="55"/>
  <c r="T40" i="55" s="1"/>
  <c r="K26" i="55" a="1"/>
  <c r="K26" i="55" s="1"/>
  <c r="O54" i="55"/>
  <c r="O9" i="55"/>
  <c r="O26" i="55"/>
  <c r="T64" i="55"/>
  <c r="T53" i="55"/>
  <c r="T46" i="55"/>
  <c r="O65" i="55"/>
  <c r="S67" i="55"/>
  <c r="L18" i="59"/>
  <c r="T42" i="55"/>
  <c r="P121" i="55"/>
  <c r="R121" i="55" s="1"/>
  <c r="O58" i="55"/>
  <c r="R90" i="55"/>
  <c r="T13" i="55"/>
  <c r="T99" i="55"/>
  <c r="O121" i="55"/>
  <c r="T97" i="55"/>
  <c r="T49" i="55"/>
  <c r="N84" i="55" a="1"/>
  <c r="N84" i="55" s="1"/>
  <c r="O67" i="55"/>
  <c r="O57" i="55"/>
  <c r="R26" i="55"/>
  <c r="T26" i="55" s="1"/>
  <c r="T59" i="55"/>
  <c r="P2" i="53"/>
  <c r="K54" i="55" a="1"/>
  <c r="K54" i="55" s="1"/>
  <c r="T23" i="55"/>
  <c r="O98" i="55"/>
  <c r="T73" i="55"/>
  <c r="K55" i="55" a="1"/>
  <c r="K55" i="55" s="1"/>
  <c r="O17" i="55"/>
  <c r="T105" i="55"/>
  <c r="K56" i="55" a="1"/>
  <c r="K56" i="55" s="1"/>
  <c r="O108" i="55"/>
  <c r="K57" i="55" a="1"/>
  <c r="K57" i="55" s="1"/>
  <c r="K33" i="55" a="1"/>
  <c r="K33" i="55" s="1"/>
  <c r="L33" i="55" a="1"/>
  <c r="L33" i="55" s="1"/>
  <c r="K12" i="55" a="1"/>
  <c r="K12" i="55" s="1"/>
  <c r="L12" i="55" a="1"/>
  <c r="L12" i="55" s="1"/>
  <c r="L114" i="55" a="1"/>
  <c r="L114" i="55" s="1"/>
  <c r="K114" i="55" a="1"/>
  <c r="K114" i="55" s="1"/>
  <c r="H31" i="55"/>
  <c r="K31" i="55" a="1"/>
  <c r="K31" i="55" s="1"/>
  <c r="L53" i="55" a="1"/>
  <c r="L53" i="55" s="1"/>
  <c r="K53" i="55" a="1"/>
  <c r="K53" i="55" s="1"/>
  <c r="K36" i="55" a="1"/>
  <c r="K36" i="55" s="1"/>
  <c r="H36" i="55"/>
  <c r="L79" i="55" a="1"/>
  <c r="L79" i="55" s="1"/>
  <c r="L37" i="55" a="1"/>
  <c r="L37" i="55" s="1"/>
  <c r="K37" i="55" a="1"/>
  <c r="K37" i="55" s="1"/>
  <c r="T20" i="55"/>
  <c r="K43" i="55" a="1"/>
  <c r="K43" i="55" s="1"/>
  <c r="L43" i="55" a="1"/>
  <c r="L43" i="55" s="1"/>
  <c r="L59" i="55" a="1"/>
  <c r="L59" i="55" s="1"/>
  <c r="K59" i="55" a="1"/>
  <c r="K59" i="55" s="1"/>
  <c r="K104" i="55" a="1"/>
  <c r="K104" i="55" s="1"/>
  <c r="L104" i="55" a="1"/>
  <c r="L104" i="55" s="1"/>
  <c r="K40" i="55" a="1"/>
  <c r="K40" i="55" s="1"/>
  <c r="L40" i="55" a="1"/>
  <c r="L40" i="55" s="1"/>
  <c r="H16" i="55"/>
  <c r="K16" i="55" a="1"/>
  <c r="K16" i="55" s="1"/>
  <c r="S15" i="55"/>
  <c r="R15" i="55"/>
  <c r="H46" i="55"/>
  <c r="K46" i="55" a="1"/>
  <c r="K46" i="55" s="1"/>
  <c r="O79" i="55"/>
  <c r="L113" i="55" a="1"/>
  <c r="L113" i="55" s="1"/>
  <c r="K113" i="55" a="1"/>
  <c r="K113" i="55" s="1"/>
  <c r="K14" i="55" a="1"/>
  <c r="K14" i="55" s="1"/>
  <c r="K50" i="55" a="1"/>
  <c r="K50" i="55" s="1"/>
  <c r="H50" i="55"/>
  <c r="H52" i="55"/>
  <c r="K52" i="55" a="1"/>
  <c r="K52" i="55" s="1"/>
  <c r="T24" i="55"/>
  <c r="L100" i="55" a="1"/>
  <c r="L100" i="55" s="1"/>
  <c r="K100" i="55" a="1"/>
  <c r="K100" i="55" s="1"/>
  <c r="K20" i="55" a="1"/>
  <c r="K20" i="55" s="1"/>
  <c r="H20" i="55"/>
  <c r="O32" i="55"/>
  <c r="R52" i="55"/>
  <c r="T52" i="55" s="1"/>
  <c r="L84" i="55" a="1"/>
  <c r="L84" i="55" s="1"/>
  <c r="K84" i="55" a="1"/>
  <c r="K84" i="55" s="1"/>
  <c r="O71" i="55"/>
  <c r="L86" i="55" a="1"/>
  <c r="L86" i="55" s="1"/>
  <c r="K86" i="55" a="1"/>
  <c r="K86" i="55" s="1"/>
  <c r="R108" i="55"/>
  <c r="T108" i="55" s="1"/>
  <c r="R91" i="55"/>
  <c r="T91" i="55" s="1"/>
  <c r="S90" i="55"/>
  <c r="T90" i="55" s="1"/>
  <c r="S109" i="55"/>
  <c r="T109" i="55" s="1"/>
  <c r="O42" i="59"/>
  <c r="P2" i="55"/>
  <c r="T54" i="55"/>
  <c r="H69" i="55"/>
  <c r="S25" i="55"/>
  <c r="T25" i="55" s="1"/>
  <c r="N18" i="59"/>
  <c r="V14" i="59"/>
  <c r="K11" i="55" a="1"/>
  <c r="K11" i="55" s="1"/>
  <c r="K65" i="55" a="1"/>
  <c r="K65" i="55" s="1"/>
  <c r="G2" i="55"/>
  <c r="R96" i="55"/>
  <c r="T96" i="55" s="1"/>
  <c r="R10" i="55"/>
  <c r="T10" i="55" s="1"/>
  <c r="T31" i="55"/>
  <c r="R8" i="55"/>
  <c r="T8" i="55" s="1"/>
  <c r="C28" i="59"/>
  <c r="N28" i="59" s="1"/>
  <c r="O28" i="55"/>
  <c r="O40" i="55"/>
  <c r="P14" i="55"/>
  <c r="S71" i="55"/>
  <c r="T71" i="55" s="1"/>
  <c r="T19" i="55"/>
  <c r="AE2" i="53"/>
  <c r="O4" i="59"/>
  <c r="S93" i="53"/>
  <c r="O25" i="55"/>
  <c r="O88" i="55"/>
  <c r="P55" i="55"/>
  <c r="S55" i="55" s="1"/>
  <c r="T55" i="55" s="1"/>
  <c r="T48" i="55"/>
  <c r="R68" i="55"/>
  <c r="T68" i="55" s="1"/>
  <c r="P93" i="53"/>
  <c r="L2" i="55" s="1"/>
  <c r="K80" i="55" a="1"/>
  <c r="K80" i="55" s="1"/>
  <c r="R27" i="55"/>
  <c r="T27" i="55" s="1"/>
  <c r="L110" i="55" a="1"/>
  <c r="L110" i="55" s="1"/>
  <c r="K42" i="55" a="1"/>
  <c r="K42" i="55" s="1"/>
  <c r="S11" i="55"/>
  <c r="T11" i="55" s="1"/>
  <c r="N14" i="59"/>
  <c r="O16" i="55"/>
  <c r="S65" i="55"/>
  <c r="T65" i="55" s="1"/>
  <c r="T37" i="55"/>
  <c r="V42" i="59"/>
  <c r="S2" i="53"/>
  <c r="L13" i="55" a="1"/>
  <c r="L13" i="55" s="1"/>
  <c r="T88" i="55"/>
  <c r="T85" i="55"/>
  <c r="O2" i="55"/>
  <c r="L58" i="55" a="1"/>
  <c r="L58" i="55" s="1"/>
  <c r="L112" i="55" a="1"/>
  <c r="L112" i="55" s="1"/>
  <c r="R81" i="55"/>
  <c r="T81" i="55" s="1"/>
  <c r="O41" i="55"/>
  <c r="L77" i="55" a="1"/>
  <c r="L77" i="55" s="1"/>
  <c r="O31" i="55"/>
  <c r="M18" i="55" a="1"/>
  <c r="M18" i="55" s="1"/>
  <c r="O18" i="55" s="1"/>
  <c r="M112" i="55" a="1"/>
  <c r="M112" i="55" s="1"/>
  <c r="O112" i="55" s="1"/>
  <c r="K91" i="55" a="1"/>
  <c r="K91" i="55" s="1"/>
  <c r="T79" i="55"/>
  <c r="R17" i="55"/>
  <c r="T17" i="55" s="1"/>
  <c r="L21" i="55" a="1"/>
  <c r="L21" i="55" s="1"/>
  <c r="O18" i="59"/>
  <c r="O28" i="59" s="1"/>
  <c r="U28" i="59" s="1"/>
  <c r="O106" i="55"/>
  <c r="T104" i="55"/>
  <c r="K96" i="55" a="1"/>
  <c r="K96" i="55" s="1"/>
  <c r="O23" i="55"/>
  <c r="S18" i="55"/>
  <c r="T67" i="55"/>
  <c r="T18" i="55"/>
  <c r="S72" i="55"/>
  <c r="T72" i="55" s="1"/>
  <c r="V28" i="59"/>
  <c r="D13" i="57"/>
  <c r="E5" i="57"/>
  <c r="E6" i="57" s="1"/>
  <c r="E7" i="57" s="1"/>
  <c r="E8" i="57" s="1"/>
  <c r="E9" i="57" s="1"/>
  <c r="E10" i="57" s="1"/>
  <c r="E11" i="57" s="1"/>
  <c r="E12" i="57" s="1"/>
  <c r="T28" i="59"/>
  <c r="R57" i="55"/>
  <c r="T57" i="55" s="1"/>
  <c r="G3" i="55"/>
  <c r="G121" i="55"/>
  <c r="G122" i="55"/>
  <c r="G89" i="62"/>
  <c r="F90" i="62"/>
  <c r="O92" i="55"/>
  <c r="U32" i="59"/>
  <c r="G42" i="59"/>
  <c r="M32" i="59"/>
  <c r="O101" i="55"/>
  <c r="L25" i="55" a="1"/>
  <c r="L25" i="55" s="1"/>
  <c r="L9" i="55" a="1"/>
  <c r="L9" i="55" s="1"/>
  <c r="L61" i="55" a="1"/>
  <c r="L61" i="55" s="1"/>
  <c r="L16" i="55" a="1"/>
  <c r="L16" i="55" s="1"/>
  <c r="F28" i="59" a="1"/>
  <c r="F28" i="59" s="1"/>
  <c r="L8" i="55" a="1"/>
  <c r="L8" i="55" s="1"/>
  <c r="L88" i="55" a="1"/>
  <c r="L88" i="55" s="1"/>
  <c r="L76" i="55" a="1"/>
  <c r="L76" i="55" s="1"/>
  <c r="L92" i="55" a="1"/>
  <c r="L92" i="55" s="1"/>
  <c r="L106" i="55" a="1"/>
  <c r="L106" i="55" s="1"/>
  <c r="L81" i="55" a="1"/>
  <c r="L81" i="55" s="1"/>
  <c r="L57" i="55" a="1"/>
  <c r="L57" i="55" s="1"/>
  <c r="L72" i="55" a="1"/>
  <c r="L72" i="55" s="1"/>
  <c r="L121" i="55"/>
  <c r="L55" i="55" a="1"/>
  <c r="L55" i="55" s="1"/>
  <c r="L23" i="55" a="1"/>
  <c r="L23" i="55" s="1"/>
  <c r="L15" i="55" a="1"/>
  <c r="L15" i="55" s="1"/>
  <c r="L96" i="55" a="1"/>
  <c r="L96" i="55" s="1"/>
  <c r="L54" i="55" a="1"/>
  <c r="L54" i="55" s="1"/>
  <c r="L108" i="55" a="1"/>
  <c r="L108" i="55" s="1"/>
  <c r="L80" i="55" a="1"/>
  <c r="L80" i="55" s="1"/>
  <c r="F42" i="59" a="1"/>
  <c r="F42" i="59" s="1"/>
  <c r="L66" i="55" a="1"/>
  <c r="L66" i="55" s="1"/>
  <c r="L41" i="55" a="1"/>
  <c r="L41" i="55" s="1"/>
  <c r="L50" i="55" a="1"/>
  <c r="L50" i="55" s="1"/>
  <c r="L91" i="55" a="1"/>
  <c r="L91" i="55" s="1"/>
  <c r="L32" i="55" a="1"/>
  <c r="L32" i="55" s="1"/>
  <c r="L56" i="55" a="1"/>
  <c r="L56" i="55" s="1"/>
  <c r="L90" i="55" a="1"/>
  <c r="L90" i="55" s="1"/>
  <c r="L65" i="55" a="1"/>
  <c r="L65" i="55" s="1"/>
  <c r="L31" i="55" a="1"/>
  <c r="L31" i="55" s="1"/>
  <c r="L71" i="55" a="1"/>
  <c r="L71" i="55" s="1"/>
  <c r="L68" i="55" a="1"/>
  <c r="L68" i="55" s="1"/>
  <c r="L98" i="55" a="1"/>
  <c r="L98" i="55" s="1"/>
  <c r="L52" i="55" a="1"/>
  <c r="L52" i="55" s="1"/>
  <c r="O70" i="55"/>
  <c r="F28" i="62"/>
  <c r="E29" i="62"/>
  <c r="X93" i="53"/>
  <c r="X2" i="53"/>
  <c r="D58" i="62"/>
  <c r="K45" i="55" a="1"/>
  <c r="K45" i="55" s="1"/>
  <c r="L45" i="55" a="1"/>
  <c r="L45" i="55" s="1"/>
  <c r="G14" i="59"/>
  <c r="M14" i="59" s="1"/>
  <c r="L4" i="59"/>
  <c r="M4" i="59"/>
  <c r="L28" i="59"/>
  <c r="M28" i="59"/>
  <c r="U42" i="59"/>
  <c r="T42" i="59"/>
  <c r="S2" i="55"/>
  <c r="S121" i="55"/>
  <c r="R2" i="55"/>
  <c r="N9" i="62"/>
  <c r="S41" i="55"/>
  <c r="R41" i="55"/>
  <c r="U18" i="59"/>
  <c r="T18" i="59"/>
  <c r="J7" i="26"/>
  <c r="I6" i="26"/>
  <c r="R70" i="55"/>
  <c r="T70" i="55" s="1"/>
  <c r="P56" i="55"/>
  <c r="S56" i="55" s="1"/>
  <c r="T56" i="55" s="1"/>
  <c r="P28" i="55"/>
  <c r="G88" i="62"/>
  <c r="P106" i="55"/>
  <c r="L10" i="55" a="1"/>
  <c r="L10" i="55" s="1"/>
  <c r="L17" i="55" a="1"/>
  <c r="L17" i="55" s="1"/>
  <c r="T112" i="55"/>
  <c r="S12" i="26"/>
  <c r="X12" i="26"/>
  <c r="W12" i="26"/>
  <c r="N14" i="26"/>
  <c r="AF12" i="26"/>
  <c r="F12" i="26"/>
  <c r="AA14" i="26"/>
  <c r="P12" i="26"/>
  <c r="L14" i="26"/>
  <c r="Y12" i="26"/>
  <c r="AK12" i="26"/>
  <c r="AD12" i="26"/>
  <c r="H14" i="26"/>
  <c r="N4" i="59"/>
  <c r="U12" i="26"/>
  <c r="K69" i="55" a="1"/>
  <c r="K69" i="55" s="1"/>
  <c r="AB14" i="26"/>
  <c r="AH12" i="26"/>
  <c r="R98" i="55"/>
  <c r="T98" i="55" s="1"/>
  <c r="S9" i="55"/>
  <c r="T9" i="55" s="1"/>
  <c r="M100" i="55" a="1"/>
  <c r="M100" i="55" s="1"/>
  <c r="O100" i="55" s="1"/>
  <c r="M109" i="55" a="1"/>
  <c r="M109" i="55" s="1"/>
  <c r="O109" i="55" s="1"/>
  <c r="M43" i="55" a="1"/>
  <c r="M43" i="55" s="1"/>
  <c r="O43" i="55" s="1"/>
  <c r="M34" i="55" a="1"/>
  <c r="M34" i="55" s="1"/>
  <c r="O34" i="55" s="1"/>
  <c r="M7" i="55" a="1"/>
  <c r="M7" i="55" s="1"/>
  <c r="O7" i="55" s="1"/>
  <c r="L18" i="55" l="1" a="1"/>
  <c r="L18" i="55" s="1"/>
  <c r="L26" i="55" a="1"/>
  <c r="L26" i="55" s="1"/>
  <c r="L67" i="55" a="1"/>
  <c r="L67" i="55" s="1"/>
  <c r="L14" i="59"/>
  <c r="L28" i="55" a="1"/>
  <c r="L28" i="55" s="1"/>
  <c r="H121" i="55"/>
  <c r="F14" i="59" a="1"/>
  <c r="F14" i="59" s="1"/>
  <c r="T15" i="55"/>
  <c r="H2" i="55"/>
  <c r="L116" i="55" a="1"/>
  <c r="L116" i="55" s="1"/>
  <c r="L101" i="55" a="1"/>
  <c r="L101" i="55" s="1"/>
  <c r="L36" i="55" a="1"/>
  <c r="L36" i="55" s="1"/>
  <c r="L62" i="55" a="1"/>
  <c r="L62" i="55" s="1"/>
  <c r="T4" i="59"/>
  <c r="O14" i="59"/>
  <c r="U4" i="59"/>
  <c r="L14" i="55" a="1"/>
  <c r="L14" i="55" s="1"/>
  <c r="L69" i="55" a="1"/>
  <c r="L69" i="55" s="1"/>
  <c r="L46" i="55" a="1"/>
  <c r="L46" i="55" s="1"/>
  <c r="L11" i="55" a="1"/>
  <c r="L11" i="55" s="1"/>
  <c r="L20" i="55" a="1"/>
  <c r="L20" i="55" s="1"/>
  <c r="L97" i="55" a="1"/>
  <c r="L97" i="55" s="1"/>
  <c r="S14" i="55"/>
  <c r="R14" i="55"/>
  <c r="L70" i="55" a="1"/>
  <c r="L70" i="55" s="1"/>
  <c r="M42" i="59"/>
  <c r="L42" i="59"/>
  <c r="G90" i="62"/>
  <c r="F91" i="62"/>
  <c r="K7" i="26"/>
  <c r="J6" i="26"/>
  <c r="H3" i="55"/>
  <c r="H122" i="55"/>
  <c r="T41" i="55"/>
  <c r="E58" i="62"/>
  <c r="D59" i="62"/>
  <c r="S28" i="55"/>
  <c r="R28" i="55"/>
  <c r="T2" i="55"/>
  <c r="T121" i="55"/>
  <c r="N10" i="62"/>
  <c r="E30" i="62"/>
  <c r="F29" i="62"/>
  <c r="S106" i="55"/>
  <c r="R106" i="55"/>
  <c r="T106" i="55" s="1"/>
  <c r="U14" i="59" l="1"/>
  <c r="T14" i="59"/>
  <c r="T14" i="55"/>
  <c r="T28" i="55"/>
  <c r="L7" i="26"/>
  <c r="K6" i="26"/>
  <c r="F92" i="62"/>
  <c r="G91" i="62"/>
  <c r="E59" i="62"/>
  <c r="D60" i="62"/>
  <c r="F30" i="62"/>
  <c r="E31" i="62"/>
  <c r="N11" i="62"/>
  <c r="N12" i="62" l="1"/>
  <c r="F93" i="62"/>
  <c r="G92" i="62"/>
  <c r="E32" i="62"/>
  <c r="F31" i="62"/>
  <c r="E60" i="62"/>
  <c r="D61" i="62"/>
  <c r="L6" i="26"/>
  <c r="M7" i="26"/>
  <c r="N7" i="26" l="1"/>
  <c r="M6" i="26"/>
  <c r="D62" i="62"/>
  <c r="E61" i="62"/>
  <c r="N13" i="62"/>
  <c r="E33" i="62"/>
  <c r="F32" i="62"/>
  <c r="F94" i="62"/>
  <c r="G93" i="62"/>
  <c r="G94" i="62" l="1"/>
  <c r="F95" i="62"/>
  <c r="F33" i="62"/>
  <c r="E34" i="62"/>
  <c r="E62" i="62"/>
  <c r="D63" i="62"/>
  <c r="N14" i="62"/>
  <c r="O7" i="26"/>
  <c r="N6" i="26"/>
  <c r="N15" i="62" l="1"/>
  <c r="G95" i="62"/>
  <c r="F96" i="62"/>
  <c r="P7" i="26"/>
  <c r="O6" i="26"/>
  <c r="E63" i="62"/>
  <c r="D64" i="62"/>
  <c r="F34" i="62"/>
  <c r="E35" i="62"/>
  <c r="E64" i="62" l="1"/>
  <c r="D65" i="62"/>
  <c r="Q7" i="26"/>
  <c r="P6" i="26"/>
  <c r="F97" i="62"/>
  <c r="G96" i="62"/>
  <c r="E36" i="62"/>
  <c r="F35" i="62"/>
  <c r="N16" i="62"/>
  <c r="F98" i="62" l="1"/>
  <c r="G97" i="62"/>
  <c r="N17" i="62"/>
  <c r="F36" i="62"/>
  <c r="E37" i="62"/>
  <c r="Q6" i="26"/>
  <c r="R7" i="26"/>
  <c r="D66" i="62"/>
  <c r="E65" i="62"/>
  <c r="D67" i="62" l="1"/>
  <c r="E66" i="62"/>
  <c r="E38" i="62"/>
  <c r="F37" i="62"/>
  <c r="N18" i="62"/>
  <c r="R6" i="26"/>
  <c r="S7" i="26"/>
  <c r="F99" i="62"/>
  <c r="G98" i="62"/>
  <c r="G99" i="62" l="1"/>
  <c r="F100" i="62"/>
  <c r="G100" i="62" s="1"/>
  <c r="T7" i="26"/>
  <c r="S6" i="26"/>
  <c r="N19" i="62"/>
  <c r="F38" i="62"/>
  <c r="E39" i="62"/>
  <c r="D68" i="62"/>
  <c r="E67" i="62"/>
  <c r="E40" i="62" l="1"/>
  <c r="F39" i="62"/>
  <c r="E68" i="62"/>
  <c r="D69" i="62"/>
  <c r="N20" i="62"/>
  <c r="U7" i="26"/>
  <c r="T6" i="26"/>
  <c r="U6" i="26" l="1"/>
  <c r="V7" i="26"/>
  <c r="D70" i="62"/>
  <c r="E69" i="62"/>
  <c r="N21" i="62"/>
  <c r="E41" i="62"/>
  <c r="F40" i="62"/>
  <c r="F41" i="62" l="1"/>
  <c r="E42" i="62"/>
  <c r="E70" i="62"/>
  <c r="D71" i="62"/>
  <c r="V6" i="26"/>
  <c r="W7" i="26"/>
  <c r="N22" i="62"/>
  <c r="N23" i="62" l="1"/>
  <c r="W6" i="26"/>
  <c r="X7" i="26"/>
  <c r="E71" i="62"/>
  <c r="D72" i="62"/>
  <c r="F42" i="62"/>
  <c r="E43" i="62"/>
  <c r="E72" i="62" l="1"/>
  <c r="D73" i="62"/>
  <c r="F43" i="62"/>
  <c r="E44" i="62"/>
  <c r="Y7" i="26"/>
  <c r="X6" i="26"/>
  <c r="N24" i="62"/>
  <c r="N25" i="62" l="1"/>
  <c r="E45" i="62"/>
  <c r="F44" i="62"/>
  <c r="Y6" i="26"/>
  <c r="Z7" i="26"/>
  <c r="D74" i="62"/>
  <c r="E73" i="62"/>
  <c r="AA7" i="26" l="1"/>
  <c r="Z6" i="26"/>
  <c r="E74" i="62"/>
  <c r="D75" i="62"/>
  <c r="E75" i="62" s="1"/>
  <c r="E46" i="62"/>
  <c r="F45" i="62"/>
  <c r="O25" i="62"/>
  <c r="O5" i="62"/>
  <c r="O6" i="62"/>
  <c r="O7" i="62"/>
  <c r="O8" i="62"/>
  <c r="O9" i="62"/>
  <c r="O10" i="62"/>
  <c r="O11" i="62"/>
  <c r="O12" i="62"/>
  <c r="O13" i="62"/>
  <c r="O14" i="62"/>
  <c r="O15" i="62"/>
  <c r="O16" i="62"/>
  <c r="O17" i="62"/>
  <c r="O18" i="62"/>
  <c r="O19" i="62"/>
  <c r="O20" i="62"/>
  <c r="O21" i="62"/>
  <c r="O22" i="62"/>
  <c r="O23" i="62"/>
  <c r="O24" i="62"/>
  <c r="E47" i="62" l="1"/>
  <c r="F46" i="62"/>
  <c r="AA6" i="26"/>
  <c r="AB7" i="26"/>
  <c r="AC7" i="26" l="1"/>
  <c r="AB6" i="26"/>
  <c r="F47" i="62"/>
  <c r="E48" i="62"/>
  <c r="F48" i="62" s="1"/>
  <c r="AC6" i="26" l="1"/>
  <c r="AD7" i="26"/>
  <c r="AE7" i="26" l="1"/>
  <c r="AD6" i="26"/>
  <c r="AF7" i="26" l="1"/>
  <c r="AE6" i="26"/>
  <c r="AF6" i="26" l="1"/>
  <c r="AG7" i="26"/>
  <c r="AG6" i="26" l="1"/>
  <c r="AH7" i="26"/>
  <c r="AH6" i="26" l="1"/>
  <c r="AI7"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<sst xmlns="http://schemas.openxmlformats.org/spreadsheetml/2006/main" count="3887" uniqueCount="784">
  <si>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</si>
  <si>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</si>
  <si>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</si>
  <si>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</si>
  <si>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</si>
  <si>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</si>
  <si>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</si>
  <si>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</si>
  <si>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</si>
  <si>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</si>
  <si>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</si>
  <si>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</si>
  <si>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</si>
  <si>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</si>
  <si>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</si>
  <si>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</si>
  <si>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</si>
  <si>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</si>
  <si>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</si>
  <si>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</si>
  <si>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</si>
  <si>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</si>
  <si>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</si>
  <si>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</si>
  <si>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</si>
  <si>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</si>
  <si>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</si>
  <si>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</si>
  <si>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</si>
  <si>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</si>
  <si>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</si>
  <si>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</si>
  <si>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</si>
  <si>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</si>
  <si>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</si>
  <si>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</si>
  <si>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</si>
  <si>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</si>
  <si>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</si>
  <si>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</si>
  <si>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</si>
  <si>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</si>
  <si>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</si>
  <si>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</si>
  <si>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</si>
  <si>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</si>
  <si>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</si>
  <si>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</si>
  <si>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</si>
  <si>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</si>
  <si>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</si>
  <si>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</si>
  <si>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</si>
  <si>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</si>
  <si>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</si>
  <si>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</si>
  <si>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</si>
  <si>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</si>
  <si>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</si>
  <si>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</si>
  <si>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</si>
  <si>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</si>
  <si>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</si>
  <si>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Feature Task ID</t>
  </si>
  <si>
    <t>Feature Name / Description</t>
  </si>
  <si>
    <t>Owner</t>
  </si>
  <si>
    <t>Sub-IP Block</t>
  </si>
  <si>
    <t>Sub-Block Test Name</t>
  </si>
  <si>
    <t>Test Name / Description</t>
  </si>
  <si>
    <t>Priority</t>
  </si>
  <si>
    <t>Test Case ID</t>
  </si>
  <si>
    <t>Parameters</t>
  </si>
  <si>
    <t>Effort</t>
  </si>
  <si>
    <t>Total Variations</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</si>
  <si>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</si>
  <si>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</si>
  <si>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</si>
  <si>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</si>
  <si>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</si>
  <si>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</si>
  <si>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</si>
  <si>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</si>
  <si>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</si>
  <si>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</si>
  <si>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</si>
  <si>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</si>
  <si>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</si>
  <si>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</si>
  <si>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</si>
  <si>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</si>
  <si>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</si>
  <si>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 TP Done</t>
  </si>
  <si>
    <t># Written</t>
  </si>
  <si>
    <t>% Code Done</t>
  </si>
  <si>
    <t>P/S Env.</t>
  </si>
  <si>
    <t># of Planned Pre-Si Test Cases</t>
  </si>
  <si>
    <t>Total Run</t>
  </si>
  <si>
    <t>ETA</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</si>
  <si>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</si>
  <si>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</si>
  <si>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</si>
  <si>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</si>
  <si>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</si>
  <si>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</si>
  <si>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</si>
  <si>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</si>
  <si>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</si>
  <si>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</si>
  <si>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</si>
  <si>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</si>
  <si>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</si>
  <si>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</si>
  <si>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</si>
  <si>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</si>
  <si>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</si>
  <si>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</si>
  <si>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</si>
  <si>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</si>
  <si>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</si>
  <si>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</si>
  <si>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</si>
  <si>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</si>
  <si>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</si>
  <si>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</si>
  <si>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</si>
  <si>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</si>
  <si>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</si>
  <si>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</si>
  <si>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</si>
  <si>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</si>
  <si>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</si>
  <si>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</si>
  <si>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</si>
  <si>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</si>
  <si>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</si>
  <si>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</si>
  <si>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</si>
  <si>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</si>
  <si>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</si>
  <si>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</si>
  <si>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</si>
  <si>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</si>
  <si>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</si>
  <si>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</si>
  <si>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</si>
  <si>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</si>
  <si>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</si>
  <si>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</si>
  <si>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</si>
  <si>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</si>
  <si>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</si>
  <si>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</si>
  <si>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</si>
  <si>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</si>
  <si>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</si>
  <si>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</si>
  <si>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Diag owner for the given test/feature</t>
  </si>
  <si>
    <t>Diag Lead</t>
  </si>
  <si>
    <t>• This is informational only, and does not play any role in the rollup of status in the initial template. It can be used at discretion of Diag Lead and PM per specific needs of the IP and program</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</si>
  <si>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</si>
  <si>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</si>
  <si>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Diagnostics Sub-Block Test Name only if available or applicable. This column can be empty if no need to be used for certain IPs</t>
  </si>
  <si>
    <t>• This is an informational and optional field, and not used in any formulas of roll-up</t>
  </si>
  <si>
    <t>Name of the test as known in the Diag world, and used for communication with other teams</t>
  </si>
  <si>
    <t>Program priority for the given feature</t>
  </si>
  <si>
    <t>Automatically generated based on 'Priority' column in 'Feature Summary' tab</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</si>
  <si>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</si>
  <si>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</si>
  <si>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 needed to run the given test. Please indicate any parameters that are required to run the test properly</t>
  </si>
  <si>
    <t>• This can be such that it can be parsed from this table, and used in automation</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</si>
  <si>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</si>
  <si>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</si>
  <si>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</si>
  <si>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</si>
  <si>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</si>
  <si>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</si>
  <si>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</si>
  <si>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</si>
  <si>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</si>
  <si>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</si>
  <si>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Total number of test variations written for that row's given test out of what's indicated in 'Total Variations' column for the same row</t>
  </si>
  <si>
    <t>This is to identify how many test variations are written from the 'Total Variation' planned for the given row's test</t>
  </si>
  <si>
    <t>Percent complete for code asociated with this test</t>
  </si>
  <si>
    <t>For each row's test: # Written / Total Variations = % Code Done</t>
  </si>
  <si>
    <t>Pre-Silicon Plan / Status</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</si>
  <si>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</si>
  <si>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</si>
  <si>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</si>
  <si>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</si>
  <si>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</si>
  <si>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</si>
  <si>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</si>
  <si>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</si>
  <si>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</si>
  <si>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</si>
  <si>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</si>
  <si>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</si>
  <si>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</si>
  <si>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</si>
  <si>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</si>
  <si>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</si>
  <si>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</si>
  <si>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</si>
  <si>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</si>
  <si>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</si>
  <si>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</si>
  <si>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</si>
  <si>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</si>
  <si>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</si>
  <si>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</si>
  <si>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</si>
  <si>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</si>
  <si>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</si>
  <si>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</si>
  <si>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</si>
  <si>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</si>
  <si>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</si>
  <si>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</si>
  <si>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</si>
  <si>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</si>
  <si>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</si>
  <si>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</si>
  <si>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</si>
  <si>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</si>
  <si>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</si>
  <si>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</si>
  <si>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</si>
  <si>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</si>
  <si>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</si>
  <si>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</si>
  <si>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</si>
  <si>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</si>
  <si>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</si>
  <si>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</si>
  <si>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</si>
  <si>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</si>
  <si>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</si>
  <si>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</si>
  <si>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</si>
  <si>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</si>
  <si>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</si>
  <si>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</si>
  <si>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</si>
  <si>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</si>
  <si>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</si>
  <si>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</si>
  <si>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</si>
  <si>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</si>
  <si>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</si>
  <si>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</si>
  <si>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</si>
  <si>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</si>
  <si>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</si>
  <si>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</si>
  <si>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</si>
  <si>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</si>
  <si>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</si>
  <si>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</si>
  <si>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</si>
  <si>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</si>
  <si>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</si>
  <si>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</si>
  <si>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</si>
  <si>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</si>
  <si>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</si>
  <si>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</si>
  <si>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</si>
  <si>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</si>
  <si>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</si>
  <si>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</si>
  <si>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</si>
  <si>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</si>
  <si>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</si>
  <si>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</si>
  <si>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</si>
  <si>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</si>
  <si>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</si>
  <si>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</si>
  <si>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</si>
  <si>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</si>
  <si>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</si>
  <si>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</si>
  <si>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</si>
  <si>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</si>
  <si>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</si>
  <si>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</si>
  <si>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</si>
  <si>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</si>
  <si>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</si>
  <si>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</si>
  <si>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</si>
  <si>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</si>
  <si>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</si>
  <si>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</si>
  <si>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</si>
  <si>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</si>
  <si>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PLEASE CAREFULLY READ 'Usage' tab’s descriptions and instructions of all columns and tabs.   PINK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PLEASE DO NOT TOUCH or overwrite it</t>
  </si>
  <si>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</si>
  <si>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</si>
  <si>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</si>
  <si>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</si>
  <si>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</si>
  <si>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</si>
  <si>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EX-FEAT-002</t>
  </si>
  <si>
    <t>PMM</t>
  </si>
  <si>
    <t>CLK-DPM</t>
  </si>
  <si>
    <t>GFXCLK DFLL support; FW DPM Tester auto_dpm_tog=sclk</t>
  </si>
  <si>
    <t>TNG</t>
  </si>
  <si>
    <t>EX-FEAT-009</t>
  </si>
  <si>
    <t>EX-FEAT-075</t>
  </si>
  <si>
    <t>EX-FEAT-077</t>
  </si>
  <si>
    <t>EX-FEAT-102</t>
  </si>
  <si>
    <t>EX-FEAT-073</t>
  </si>
  <si>
    <t>EX-FEAT-108</t>
  </si>
  <si>
    <t>GFXCLK DPM naturedpm</t>
  </si>
  <si>
    <t>EX-FEAT-090</t>
  </si>
  <si>
    <t>EX-FEAT-008</t>
  </si>
  <si>
    <t>Data-Logging</t>
  </si>
  <si>
    <t>UMC counters;DRAM Temperature reading; Tmon/Tsense Configurability and Reading</t>
  </si>
  <si>
    <t>EX-FEAT-005</t>
  </si>
  <si>
    <t>EX-FEAT-042</t>
  </si>
  <si>
    <t>EX-FEAT-072</t>
  </si>
  <si>
    <t>EX-FEAT-004</t>
  </si>
  <si>
    <t>Throttling</t>
  </si>
  <si>
    <t>Power Configurability</t>
  </si>
  <si>
    <t>Tserver</t>
  </si>
  <si>
    <t>PPT_limit</t>
  </si>
  <si>
    <t>EX-FEAT-088</t>
  </si>
  <si>
    <t>EX-FEAT-010</t>
  </si>
  <si>
    <t>agmlog</t>
  </si>
  <si>
    <t>EX-FEAT-068</t>
  </si>
  <si>
    <t>EX-FEAT-003</t>
  </si>
  <si>
    <t>FCLK sweep</t>
  </si>
  <si>
    <t>EX-FEAT-011</t>
  </si>
  <si>
    <t>FCLK DPM naturedpm</t>
  </si>
  <si>
    <t>P-state</t>
  </si>
  <si>
    <t>UCLK force dpm</t>
  </si>
  <si>
    <t>PM23.1</t>
  </si>
  <si>
    <t>UCLK DPM sweep dpm</t>
  </si>
  <si>
    <t>autodpmtog=mclk</t>
  </si>
  <si>
    <t>EX-FEAT-012</t>
  </si>
  <si>
    <t>UCLK/MCLK DPM naturedpm</t>
  </si>
  <si>
    <t>nature=mclk</t>
  </si>
  <si>
    <t>EX-FEAT-100</t>
  </si>
  <si>
    <t>EX-FEAT-098</t>
  </si>
  <si>
    <t>EX-FEAT-014</t>
  </si>
  <si>
    <t>SOCCLK force dpm</t>
  </si>
  <si>
    <t>PM20.1</t>
  </si>
  <si>
    <t>SOCCLK sweep dpm</t>
  </si>
  <si>
    <t>autodpmtog=socclk</t>
  </si>
  <si>
    <t>SOCCLK nature dpm</t>
  </si>
  <si>
    <t>PM80.13</t>
  </si>
  <si>
    <t>nature=socclk</t>
  </si>
  <si>
    <t>EX-FEAT-017</t>
  </si>
  <si>
    <t>IMU</t>
  </si>
  <si>
    <t>GPO support</t>
  </si>
  <si>
    <t>PM80.12</t>
  </si>
  <si>
    <t>pmfeature=gpo</t>
  </si>
  <si>
    <t>EX-FEAT-022</t>
  </si>
  <si>
    <t>MM CLK DPM:force</t>
  </si>
  <si>
    <t>PM25.2-4</t>
  </si>
  <si>
    <t>MM CLK DPM:nature</t>
  </si>
  <si>
    <t>EX-FEAT-024</t>
  </si>
  <si>
    <t>FAN</t>
  </si>
  <si>
    <t>Fan Controller</t>
  </si>
  <si>
    <t>PM14.11</t>
  </si>
  <si>
    <t>EX-FEAT-067</t>
  </si>
  <si>
    <t>EX-FEAT-051</t>
  </si>
  <si>
    <t>EX-FEAT-053</t>
  </si>
  <si>
    <t>PM14.1</t>
  </si>
  <si>
    <t>EX-FEAT-029</t>
  </si>
  <si>
    <t>D-State</t>
  </si>
  <si>
    <t>BACO Support</t>
  </si>
  <si>
    <t>PM31.05</t>
  </si>
  <si>
    <t>EX-FEAT-030</t>
  </si>
  <si>
    <t>BAMACO</t>
  </si>
  <si>
    <t>PM31.06</t>
  </si>
  <si>
    <t>EX-FEAT-034</t>
  </si>
  <si>
    <t>PG</t>
  </si>
  <si>
    <t>VCN Off</t>
  </si>
  <si>
    <t>PM80.805</t>
  </si>
  <si>
    <t>EX-FEAT-041</t>
  </si>
  <si>
    <t>SOC ULV</t>
  </si>
  <si>
    <t>PM80.808</t>
  </si>
  <si>
    <t>EX-FEAT-047</t>
  </si>
  <si>
    <t>EX-FEAT-063</t>
  </si>
  <si>
    <t>OOB</t>
  </si>
  <si>
    <t>SMBUS Out-of-Band Management </t>
  </si>
  <si>
    <t>PM13.16</t>
  </si>
  <si>
    <t>EX-FEAT-074</t>
  </si>
  <si>
    <t>PPLIB</t>
  </si>
  <si>
    <t>Feature Enablement Arbiter</t>
  </si>
  <si>
    <t>EX-FEAT-076</t>
  </si>
  <si>
    <t>MP1-IMU</t>
  </si>
  <si>
    <t>MP1 &lt;-&gt; IMU Message Interface</t>
  </si>
  <si>
    <t>EX-FEAT-078</t>
  </si>
  <si>
    <t>SMN-IF</t>
  </si>
  <si>
    <t>Message Hub</t>
  </si>
  <si>
    <t>PM80.5</t>
  </si>
  <si>
    <t>EX-FEAT-079</t>
  </si>
  <si>
    <t>I2C</t>
  </si>
  <si>
    <t>PM80.993</t>
  </si>
  <si>
    <t>EX-FEAT-083</t>
  </si>
  <si>
    <t>reset</t>
  </si>
  <si>
    <t>Driver reset</t>
  </si>
  <si>
    <t>Pm36.1</t>
  </si>
  <si>
    <t>EX-FEAT-089</t>
  </si>
  <si>
    <t>Temperature tracking and Control/Thermal Throttling</t>
  </si>
  <si>
    <t>EX-FEAT-101</t>
  </si>
  <si>
    <t>GCD SOC AVFS</t>
  </si>
  <si>
    <t>EX-FEAT-062</t>
  </si>
  <si>
    <t>PSM</t>
  </si>
  <si>
    <t>GFXOFF</t>
  </si>
  <si>
    <t>EX-FEAT-122</t>
  </si>
  <si>
    <t>EX-FEAT-055</t>
  </si>
  <si>
    <t>GFX power up</t>
  </si>
  <si>
    <t>pm74.3</t>
  </si>
  <si>
    <t>EX-FEAT-109</t>
  </si>
  <si>
    <t>Acoustics</t>
  </si>
  <si>
    <t>Acoustics=sweep/force</t>
  </si>
  <si>
    <t>EX-FEAT-110</t>
  </si>
  <si>
    <t>SCPM</t>
  </si>
  <si>
    <t>scpm-security</t>
  </si>
  <si>
    <t>EX-FEAT-120</t>
  </si>
  <si>
    <t>RAS</t>
  </si>
  <si>
    <t>PMxx.xx.2</t>
  </si>
  <si>
    <t>EX-FEAT-020</t>
  </si>
  <si>
    <t>DCN DPM</t>
  </si>
  <si>
    <t>PMxx.xx.6</t>
  </si>
  <si>
    <t>EX-FEAT-115</t>
  </si>
  <si>
    <t>PPTable</t>
  </si>
  <si>
    <t>PMxx.xx.9</t>
  </si>
  <si>
    <t>EX-FEAT-130</t>
  </si>
  <si>
    <t>PPVMIN, RTAVFS, Smart Shift enablement status check</t>
  </si>
  <si>
    <t>PPVMIN,RTAVFS, Smart Shift enablement status check</t>
  </si>
  <si>
    <t>PMxx.xx.12</t>
  </si>
  <si>
    <t>EX-FEAT-057</t>
  </si>
  <si>
    <t>EX-FEAT-058</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</si>
  <si>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</si>
  <si>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</si>
  <si>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</si>
  <si>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EX-FEAT-001</t>
  </si>
  <si>
    <t>APCC+</t>
  </si>
  <si>
    <t>Total # of Features</t>
  </si>
  <si>
    <t>GFXCLK DFLL support</t>
  </si>
  <si>
    <t>Total # of P1</t>
  </si>
  <si>
    <t>Data Controller</t>
  </si>
  <si>
    <t>Total # of P2</t>
  </si>
  <si>
    <t>Total # of P3</t>
  </si>
  <si>
    <t>Tmon/Tsense Configurability and Reading</t>
  </si>
  <si>
    <t>Total # of Diagnostics</t>
  </si>
  <si>
    <t>EX-FEAT-006</t>
  </si>
  <si>
    <t>SVI3 VR Telemetry</t>
  </si>
  <si>
    <t>Total # of Driver</t>
  </si>
  <si>
    <t>EX-FEAT-007</t>
  </si>
  <si>
    <t>VDDSOC PCC</t>
  </si>
  <si>
    <t>Total # of IPSE</t>
  </si>
  <si>
    <t>DRAM Temperature reading</t>
  </si>
  <si>
    <t>Total # of N/A</t>
  </si>
  <si>
    <t>FW DPM Tester</t>
  </si>
  <si>
    <t>Total # of Legacy</t>
  </si>
  <si>
    <t>FW Logger</t>
  </si>
  <si>
    <t>Total # of Delta</t>
  </si>
  <si>
    <t>FCLK DPM</t>
  </si>
  <si>
    <t>Total # of New</t>
  </si>
  <si>
    <t>UCLK DPM</t>
  </si>
  <si>
    <t>EX-FEAT-013</t>
  </si>
  <si>
    <t>Link DPM</t>
  </si>
  <si>
    <t>SOCCLK DPM</t>
  </si>
  <si>
    <t>EX-FEAT-015</t>
  </si>
  <si>
    <t>ASPCLK DPM</t>
  </si>
  <si>
    <t xml:space="preserve"> P2</t>
  </si>
  <si>
    <t>EX-FEAT-016</t>
  </si>
  <si>
    <t>FW DPM Tester and Frequency Request Management</t>
  </si>
  <si>
    <t>Based on our current resource plan, hard to commit legacy features.  IPSEs don't reply on DIAG to validate them</t>
  </si>
  <si>
    <t>Prioritize SLT&amp;BP&amp; new features</t>
  </si>
  <si>
    <t>EX-FEAT-018</t>
  </si>
  <si>
    <t>FCLK Boost</t>
  </si>
  <si>
    <t>Prioritize features FET lead and PEO relies on DIAG</t>
  </si>
  <si>
    <t>Prioritize TNG tasks</t>
  </si>
  <si>
    <t>MM CLK DPM</t>
  </si>
  <si>
    <t>EX-FEAT-023</t>
  </si>
  <si>
    <t>Workload Based DPM Policy</t>
  </si>
  <si>
    <t>EX-FEAT-026</t>
  </si>
  <si>
    <t>Fan Abnormal Control</t>
  </si>
  <si>
    <t>EX-FEAT-027</t>
  </si>
  <si>
    <t>Boost Fan Speed Base On Intake Temperature</t>
  </si>
  <si>
    <t>EX-FEAT-031</t>
  </si>
  <si>
    <t>BOMACO</t>
  </si>
  <si>
    <t>EX-FEAT-032</t>
  </si>
  <si>
    <t>BOCO</t>
  </si>
  <si>
    <t>EX-FEAT-033</t>
  </si>
  <si>
    <t>ATHUB/MMHUB Power Gating</t>
  </si>
  <si>
    <t>EX-FEAT-035</t>
  </si>
  <si>
    <t>MACO SVI3 Register</t>
  </si>
  <si>
    <t>EX-FEAT-037</t>
  </si>
  <si>
    <t>SOCCLK Deep Sleep</t>
  </si>
  <si>
    <t>EX-FEAT-040</t>
  </si>
  <si>
    <t>SMN DS</t>
  </si>
  <si>
    <t>DRAM Temperature Controlling using UMC BW Throttling</t>
  </si>
  <si>
    <t>EX-FEAT-043</t>
  </si>
  <si>
    <t>MPIOCLK DS</t>
  </si>
  <si>
    <t>EX-FEAT-044</t>
  </si>
  <si>
    <t>LClK Deep Sleep</t>
  </si>
  <si>
    <t>EX-FEAT-045</t>
  </si>
  <si>
    <t>FCLK Deep Sleep</t>
  </si>
  <si>
    <t>EX-FEAT-046</t>
  </si>
  <si>
    <t>D0i3.1</t>
  </si>
  <si>
    <t>DF C-state</t>
  </si>
  <si>
    <t>EX-FEAT-048</t>
  </si>
  <si>
    <t>VDDSOC Dynamic Clock Gating</t>
  </si>
  <si>
    <t>EX-FEAT-049</t>
  </si>
  <si>
    <t>VDD_BACO Dynamic Clock Gating</t>
  </si>
  <si>
    <t>EX-FEAT-050</t>
  </si>
  <si>
    <t>GPIO Control for GFX Power Stage</t>
  </si>
  <si>
    <t>GPIO to turn off Fan</t>
  </si>
  <si>
    <t>EX-FEAT-052</t>
  </si>
  <si>
    <t>UCLK Deep Sleep</t>
  </si>
  <si>
    <t>Zero Fan control</t>
  </si>
  <si>
    <t>EX-FEAT-054</t>
  </si>
  <si>
    <t>D0i3.2</t>
  </si>
  <si>
    <t>GFX in OFF State at Boot</t>
  </si>
  <si>
    <t>PPVmin</t>
  </si>
  <si>
    <t>TDVmin</t>
  </si>
  <si>
    <t>PSM log</t>
  </si>
  <si>
    <t>Out Of Band Monitoring and Management</t>
  </si>
  <si>
    <t>EX-FEAT-065</t>
  </si>
  <si>
    <t>EDC Power Break</t>
  </si>
  <si>
    <t>EX-FEAT-066</t>
  </si>
  <si>
    <t>Interrupt Handler</t>
  </si>
  <si>
    <t>GPIO Handler</t>
  </si>
  <si>
    <t>DMA</t>
  </si>
  <si>
    <t>EX-FEAT-069</t>
  </si>
  <si>
    <t>IH</t>
  </si>
  <si>
    <t>EX-FEAT-071</t>
  </si>
  <si>
    <t>PD Throttling Controller</t>
  </si>
  <si>
    <t>FW Telemetry Reading</t>
  </si>
  <si>
    <t>DPM Controller/HUB</t>
  </si>
  <si>
    <t>Clock Management and Control</t>
  </si>
  <si>
    <t>Voltage Controller</t>
  </si>
  <si>
    <t>I2C Arbiter</t>
  </si>
  <si>
    <t>EX-FEAT-080</t>
  </si>
  <si>
    <t>LED display</t>
  </si>
  <si>
    <t>EX-FEAT-081</t>
  </si>
  <si>
    <t>GPU reset finish indication</t>
  </si>
  <si>
    <t>EX-FEAT-082</t>
  </si>
  <si>
    <t>APCC DFLL</t>
  </si>
  <si>
    <t>Mode 1 reset</t>
  </si>
  <si>
    <t>EX-FEAT-084</t>
  </si>
  <si>
    <t>DCN Power Gating</t>
  </si>
  <si>
    <t>EX-FEAT-087</t>
  </si>
  <si>
    <t>Dummy P-state</t>
  </si>
  <si>
    <t>PPT control</t>
  </si>
  <si>
    <t>GFX IMU Interaction</t>
  </si>
  <si>
    <t>EX-FEAT-091</t>
  </si>
  <si>
    <t>TDC control</t>
  </si>
  <si>
    <t>EX-FEAT-092</t>
  </si>
  <si>
    <t>GFX/SOC FIT</t>
  </si>
  <si>
    <t>EX-FEAT-093</t>
  </si>
  <si>
    <t>Firmware CTF</t>
  </si>
  <si>
    <t>EX-FEAT-094</t>
  </si>
  <si>
    <t>SW CTF</t>
  </si>
  <si>
    <t>EX-FEAT-095</t>
  </si>
  <si>
    <t>VRHOT</t>
  </si>
  <si>
    <t>EX-FEAT-097</t>
  </si>
  <si>
    <t>MP1 Whisper Mode</t>
  </si>
  <si>
    <t>SOC-AVFS on non-GFX Clocks(SOCCLK,MMCLK,DCN,VCN,UCLK)</t>
  </si>
  <si>
    <t>EX-FEAT-099</t>
  </si>
  <si>
    <t>MSR</t>
  </si>
  <si>
    <t>VDDCI DVS</t>
  </si>
  <si>
    <t>MEMIO/MVDD DVS</t>
  </si>
  <si>
    <t>GFX AVFS</t>
  </si>
  <si>
    <t>EX-FEAT-105</t>
  </si>
  <si>
    <t>AC/DC</t>
  </si>
  <si>
    <t>EX-FEAT-106</t>
  </si>
  <si>
    <t>APT</t>
  </si>
  <si>
    <t>EX-FEAT-107</t>
  </si>
  <si>
    <t>MPIO Support</t>
  </si>
  <si>
    <t>GFXCLK DPM</t>
  </si>
  <si>
    <t>Acoustics-CoilWhine</t>
  </si>
  <si>
    <t>EX-FEAT-111</t>
  </si>
  <si>
    <t>DCS</t>
  </si>
  <si>
    <t>EX-FEAT-114</t>
  </si>
  <si>
    <t>Metrix Table</t>
  </si>
  <si>
    <t>EX-FEAT-116</t>
  </si>
  <si>
    <t>Watermark Table</t>
  </si>
  <si>
    <t>EX-FEAT-117</t>
  </si>
  <si>
    <t>Active Monitor Control</t>
  </si>
  <si>
    <t>EX-FEAT-118</t>
  </si>
  <si>
    <t>ECC table</t>
  </si>
  <si>
    <t>EX-FEAT-119</t>
  </si>
  <si>
    <t>Smart Shift</t>
  </si>
  <si>
    <t>RAS support</t>
  </si>
  <si>
    <t>EX-FEAT-121</t>
  </si>
  <si>
    <t>GFX PCC based EDC Controller</t>
  </si>
  <si>
    <t>EX-FEAT-123</t>
  </si>
  <si>
    <t>GFXCLK DS</t>
  </si>
  <si>
    <t>EX-FEAT-124</t>
  </si>
  <si>
    <t>GFX ULV</t>
  </si>
  <si>
    <t>EX-FEAT-125</t>
  </si>
  <si>
    <t>GFXCLK Spread Spectrum</t>
  </si>
  <si>
    <t>EX-FEAT-126</t>
  </si>
  <si>
    <t>eL3 VDDM Rail Management</t>
  </si>
  <si>
    <t>EX-FEAT-127</t>
  </si>
  <si>
    <t>DCEFCLK Deep Sleep</t>
  </si>
  <si>
    <t>EX-FEAT-128</t>
  </si>
  <si>
    <t>MP0CLK Deep Sleep</t>
  </si>
  <si>
    <t>EX-FEAT-129</t>
  </si>
  <si>
    <t>MP1CLK Deep Sleep</t>
  </si>
  <si>
    <t>PPVMIN, SMS status check, RTAVFS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</si>
  <si>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</si>
  <si>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</si>
  <si>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</si>
  <si>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</si>
  <si>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</si>
  <si>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</si>
  <si>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</si>
  <si>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</si>
  <si>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code development efforts</t>
  </si>
  <si>
    <t>N-1 efforts</t>
  </si>
  <si>
    <t>code efforts for external team</t>
  </si>
  <si>
    <t>N-1 efforts for external team</t>
  </si>
  <si>
    <t>WK5</t>
  </si>
  <si>
    <t>WK9</t>
  </si>
  <si>
    <t xml:space="preserve">No </t>
  </si>
  <si>
    <t>WK10</t>
  </si>
  <si>
    <t>WK12</t>
  </si>
  <si>
    <t xml:space="preserve"> Yes</t>
  </si>
  <si>
    <t>WK8</t>
  </si>
  <si>
    <t>WK1</t>
  </si>
  <si>
    <t>WK13</t>
  </si>
  <si>
    <t>Have limitation to optimize PPVmin</t>
  </si>
  <si>
    <t>Have limitation to optimize TDVmin</t>
  </si>
  <si>
    <t>WK2</t>
  </si>
  <si>
    <t>WK11</t>
  </si>
  <si>
    <t>uclk DPM</t>
  </si>
  <si>
    <t>WK20</t>
  </si>
  <si>
    <t>TBD</t>
  </si>
  <si>
    <t>WK4</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</si>
  <si>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</si>
  <si>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</si>
  <si>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</si>
  <si>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</si>
  <si>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</si>
  <si>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</si>
  <si>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</si>
  <si>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</si>
  <si>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</si>
  <si>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</si>
  <si>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</si>
  <si>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</si>
  <si>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</si>
  <si>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</si>
  <si>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</si>
  <si>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</si>
  <si>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</si>
  <si>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</si>
  <si>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</si>
  <si>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</si>
  <si>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</si>
  <si>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</si>
  <si>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</si>
  <si>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</si>
  <si>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</si>
  <si>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</si>
  <si>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</si>
  <si>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</si>
  <si>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</si>
  <si>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</si>
  <si>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</si>
  <si>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</si>
  <si>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</si>
  <si>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</si>
  <si>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</si>
  <si>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</si>
  <si>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</si>
  <si>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</si>
  <si>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</si>
  <si>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</si>
  <si>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</si>
  <si>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</si>
  <si>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</si>
  <si>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</si>
  <si>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</si>
  <si>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</si>
  <si>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</si>
  <si>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</si>
  <si>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</si>
  <si>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</si>
  <si>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</si>
  <si>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</si>
  <si>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</si>
  <si>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</si>
  <si>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</si>
  <si>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</si>
  <si>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Row Labels</t>
  </si>
  <si>
    <t>#Accum</t>
  </si>
  <si>
    <t>%Coverage</t>
  </si>
  <si>
    <t>wk-1</t>
  </si>
  <si>
    <t>wk-2</t>
  </si>
  <si>
    <t>wk-10</t>
  </si>
  <si>
    <t>wk-3</t>
  </si>
  <si>
    <t>wk-11</t>
  </si>
  <si>
    <t>wk-4</t>
  </si>
  <si>
    <t>wk-14</t>
  </si>
  <si>
    <t>wk-5</t>
  </si>
  <si>
    <t>wk-15</t>
  </si>
  <si>
    <t>wk-6</t>
  </si>
  <si>
    <t>wk-7</t>
  </si>
  <si>
    <t>wk-8</t>
  </si>
  <si>
    <t>wk-9</t>
  </si>
  <si>
    <t>wk-12</t>
  </si>
  <si>
    <t>wk-13</t>
  </si>
  <si>
    <t>wk-19</t>
  </si>
  <si>
    <t>wk-16</t>
  </si>
  <si>
    <t>wk-21</t>
  </si>
  <si>
    <t>wk-17</t>
  </si>
  <si>
    <t>wk-18</t>
  </si>
  <si>
    <t>wk-20</t>
  </si>
  <si>
    <t># Accum</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</si>
  <si>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</si>
  <si>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</si>
  <si>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</si>
  <si>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</si>
  <si>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</si>
  <si>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</si>
  <si>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</si>
  <si>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</si>
  <si>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</si>
  <si>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</si>
  <si>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</si>
  <si>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</si>
  <si>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</si>
  <si>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</si>
  <si>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</si>
  <si>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</si>
  <si>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</si>
  <si>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</si>
  <si>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</si>
  <si>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</si>
  <si>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</si>
  <si>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</si>
  <si>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</si>
  <si>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</si>
  <si>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</si>
  <si>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</si>
  <si>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</si>
  <si>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</si>
  <si>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</si>
  <si>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</si>
  <si>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</si>
  <si>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</si>
  <si>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</si>
  <si>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</si>
  <si>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</si>
  <si>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</si>
  <si>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</si>
  <si>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</si>
  <si>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</si>
  <si>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</si>
  <si>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</si>
  <si>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</si>
  <si>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</si>
  <si>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</si>
  <si>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</si>
  <si>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</si>
  <si>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</si>
  <si>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</si>
  <si>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</si>
  <si>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</si>
  <si>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</si>
  <si>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</si>
  <si>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</si>
  <si>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</si>
  <si>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</si>
  <si>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Total Run.1</t>
  </si>
  <si>
    <t>Pass.1</t>
  </si>
  <si>
    <t>Waived.1</t>
  </si>
  <si>
    <t>Fail.1</t>
  </si>
  <si>
    <t>Skip.1</t>
  </si>
  <si>
    <t>% Pass Rate.1</t>
  </si>
  <si>
    <t/>
  </si>
  <si>
    <t>./agt,-ppmode=1</t>
  </si>
  <si>
    <t>pm80.12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</si>
</sst>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sz val="11"/>
      <color rgb="FF000000"/>
      <name val="Calibri"/>
      <family val="2"/>
    </font>
    <font>
      <sz val="11"/>
      <color rgb="FFFF0000"/>
      <name val="Calibri"/>
      <family val="2"/>
    </font>
    <font>
      <b/>
      <sz val="11"/>
      <name val="Calibri"/>
      <family val="2"/>
    </font>
    <font>
      <b/>
      <sz val="11"/>
      <color rgb="FF000000"/>
      <name val="Calibri"/>
      <family val="2"/>
    </font>
    <font>
      <b/>
      <sz val="11"/>
      <color theme="1"/>
      <name val="Calibri"/>
      <family val="2"/>
    </font>
    <font>
      <sz val="11"/>
      <color theme="1"/>
      <name val="Calibri"/>
      <family val="2"/>
    </font>
    <font>
      <sz val="11"/>
      <color theme="8" tint="-0.249977111117893"/>
      <name val="Calibri"/>
      <family val="2"/>
      <scheme val="minor"/>
    </font>
    <font>
      <sz val="11"/>
      <color theme="6" tint="-0.249977111117893"/>
      <name val="Calibri"/>
      <family val="2"/>
      <scheme val="minor"/>
    </font>
    <font>
      <b/>
      <sz val="11"/>
      <name val="Calibri"/>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theme="2"/>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bottom style="thin">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7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5" xfId="0" applyFill="1" applyBorder="1" applyAlignment="1">
      <alignmen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52" borderId="17"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1" borderId="10" xfId="0" applyNumberFormat="1"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0" fillId="53" borderId="25" xfId="0" applyFill="1" applyBorder="1" applyAlignment="1">
      <alignment vertical="center" wrapText="1"/>
    </xf>
    <xf numFmtId="0" fontId="0" fillId="54" borderId="0" xfId="0" applyFill="1" applyAlignment="1" applyProtection="1">
      <alignment vertical="center"/>
      <protection locked="0"/>
    </xf>
    <xf numFmtId="1" fontId="18" fillId="50" borderId="17" xfId="0" applyNumberFormat="1" applyFont="1" applyFill="1" applyBorder="1" applyAlignment="1">
      <alignment horizontal="center" vertical="center"/>
    </xf>
    <xf numFmtId="0" fontId="18" fillId="52" borderId="17" xfId="0" applyFont="1" applyFill="1" applyBorder="1" applyAlignment="1" applyProtection="1">
      <alignment horizontal="left" vertical="center"/>
      <protection locked="0"/>
    </xf>
    <xf numFmtId="9" fontId="18" fillId="55" borderId="14" xfId="42" applyFont="1" applyFill="1" applyBorder="1" applyAlignment="1">
      <alignment horizontal="center" vertical="center"/>
    </xf>
    <xf numFmtId="0" fontId="16" fillId="43" borderId="10" xfId="0" applyFont="1" applyFill="1" applyBorder="1" applyAlignment="1" applyProtection="1">
      <alignment horizontal="left" vertical="center" wrapText="1"/>
      <protection locked="0"/>
    </xf>
    <xf numFmtId="0" fontId="14" fillId="40" borderId="10" xfId="0" applyFont="1" applyFill="1" applyBorder="1" applyAlignment="1" applyProtection="1">
      <alignment horizontal="center" vertical="center" wrapText="1"/>
      <protection locked="0"/>
    </xf>
    <xf numFmtId="0" fontId="0" fillId="0" borderId="29" xfId="0" applyBorder="1"/>
    <xf numFmtId="166" fontId="0" fillId="0" borderId="10" xfId="0" applyNumberFormat="1" applyBorder="1"/>
    <xf numFmtId="0" fontId="41" fillId="40" borderId="73" xfId="0" applyFont="1" applyFill="1" applyBorder="1" applyAlignment="1">
      <alignment vertical="center" wrapText="1"/>
    </xf>
    <xf numFmtId="0" fontId="41" fillId="40" borderId="71" xfId="0" applyFont="1" applyFill="1" applyBorder="1" applyAlignment="1">
      <alignment vertical="center" wrapText="1"/>
    </xf>
    <xf numFmtId="0" fontId="14" fillId="40" borderId="17" xfId="0" applyFont="1" applyFill="1" applyBorder="1" applyAlignment="1" applyProtection="1">
      <alignment horizontal="center" vertical="center" wrapText="1"/>
      <protection locked="0"/>
    </xf>
    <xf numFmtId="0" fontId="18" fillId="51" borderId="14" xfId="0" applyFont="1" applyFill="1" applyBorder="1" applyAlignment="1" applyProtection="1">
      <alignment vertical="center" wrapText="1"/>
      <protection locked="0"/>
    </xf>
    <xf numFmtId="0" fontId="18" fillId="52" borderId="16" xfId="0" applyFont="1" applyFill="1" applyBorder="1" applyAlignment="1" applyProtection="1">
      <alignment horizontal="center" vertical="center"/>
      <protection locked="0"/>
    </xf>
    <xf numFmtId="0" fontId="18" fillId="52" borderId="45" xfId="0" applyFont="1" applyFill="1" applyBorder="1" applyAlignment="1" applyProtection="1">
      <alignment vertical="center"/>
      <protection locked="0"/>
    </xf>
    <xf numFmtId="0" fontId="18" fillId="52" borderId="68" xfId="0" applyFont="1" applyFill="1" applyBorder="1" applyAlignment="1" applyProtection="1">
      <alignment horizontal="center" vertical="center"/>
      <protection locked="0"/>
    </xf>
    <xf numFmtId="0" fontId="18" fillId="52" borderId="37" xfId="0" applyFont="1" applyFill="1" applyBorder="1" applyAlignment="1" applyProtection="1">
      <alignment horizontal="center" vertical="center"/>
      <protection locked="0"/>
    </xf>
    <xf numFmtId="0" fontId="18" fillId="52" borderId="68" xfId="0" applyFont="1" applyFill="1" applyBorder="1" applyAlignment="1" applyProtection="1">
      <alignment vertical="center"/>
      <protection locked="0"/>
    </xf>
    <xf numFmtId="0" fontId="18" fillId="52" borderId="37" xfId="0" applyFont="1" applyFill="1" applyBorder="1" applyAlignment="1" applyProtection="1">
      <alignment vertical="center"/>
      <protection locked="0"/>
    </xf>
    <xf numFmtId="0" fontId="0" fillId="0" borderId="0" xfId="0" applyAlignment="1" applyProtection="1">
      <alignment horizontal="center" vertical="center" wrapText="1"/>
      <protection locked="0"/>
    </xf>
    <xf numFmtId="0" fontId="44" fillId="0" borderId="10" xfId="0" applyFont="1" applyBorder="1" applyAlignment="1">
      <alignment vertical="center"/>
    </xf>
    <xf numFmtId="0" fontId="44" fillId="0" borderId="10" xfId="0" applyFont="1" applyBorder="1" applyAlignment="1">
      <alignment horizontal="center" vertical="center"/>
    </xf>
    <xf numFmtId="9" fontId="44" fillId="0" borderId="10" xfId="0" applyNumberFormat="1" applyFont="1" applyBorder="1" applyAlignment="1">
      <alignment horizontal="center" vertical="center"/>
    </xf>
    <xf numFmtId="0" fontId="44" fillId="0" borderId="10" xfId="0" applyFont="1" applyBorder="1" applyAlignment="1">
      <alignment vertical="center" wrapText="1"/>
    </xf>
    <xf numFmtId="0" fontId="45" fillId="0" borderId="10" xfId="0" applyFont="1" applyBorder="1" applyAlignment="1">
      <alignment vertical="center"/>
    </xf>
    <xf numFmtId="0" fontId="45" fillId="0" borderId="10" xfId="0" applyFont="1" applyBorder="1" applyAlignment="1">
      <alignment horizontal="center" vertical="center"/>
    </xf>
    <xf numFmtId="0" fontId="46" fillId="56" borderId="10" xfId="0" applyFont="1" applyFill="1" applyBorder="1" applyAlignment="1">
      <alignment vertical="center"/>
    </xf>
    <xf numFmtId="0" fontId="46" fillId="57" borderId="10" xfId="0" applyFont="1" applyFill="1" applyBorder="1" applyAlignment="1">
      <alignment vertical="center"/>
    </xf>
    <xf numFmtId="0" fontId="47" fillId="56" borderId="10" xfId="0" applyFont="1" applyFill="1" applyBorder="1" applyAlignment="1">
      <alignment vertical="center"/>
    </xf>
    <xf numFmtId="0" fontId="47" fillId="43" borderId="10" xfId="0" applyFont="1" applyFill="1" applyBorder="1" applyAlignment="1">
      <alignment vertical="center"/>
    </xf>
    <xf numFmtId="0" fontId="48" fillId="56" borderId="10" xfId="0" applyFont="1" applyFill="1" applyBorder="1" applyAlignment="1">
      <alignment vertical="center" wrapText="1"/>
    </xf>
    <xf numFmtId="0" fontId="16" fillId="52" borderId="0" xfId="0" applyFont="1" applyFill="1" applyAlignment="1">
      <alignment vertical="center"/>
    </xf>
    <xf numFmtId="0" fontId="49" fillId="0" borderId="10" xfId="0" applyFont="1" applyBorder="1" applyAlignment="1">
      <alignment vertical="center"/>
    </xf>
    <xf numFmtId="0" fontId="47" fillId="57" borderId="10" xfId="0" applyFont="1" applyFill="1" applyBorder="1" applyAlignment="1">
      <alignment vertical="center"/>
    </xf>
    <xf numFmtId="0" fontId="16" fillId="0" borderId="0" xfId="0" applyFont="1" applyAlignment="1">
      <alignment horizontal="left" vertical="center"/>
    </xf>
    <xf numFmtId="0" fontId="16" fillId="52" borderId="0" xfId="0" applyFont="1" applyFill="1" applyAlignment="1">
      <alignment horizontal="left" vertical="center" wrapText="1"/>
    </xf>
    <xf numFmtId="0" fontId="49" fillId="0" borderId="10" xfId="0" applyFont="1" applyBorder="1" applyAlignment="1">
      <alignment vertical="center" wrapText="1"/>
    </xf>
    <xf numFmtId="0" fontId="48" fillId="43" borderId="10" xfId="0" applyFont="1" applyFill="1" applyBorder="1" applyAlignment="1">
      <alignment vertical="center" wrapText="1"/>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0" fillId="52" borderId="10" xfId="0" applyFill="1" applyBorder="1" applyAlignment="1" applyProtection="1">
      <alignment horizontal="left"/>
      <protection locked="0"/>
    </xf>
    <xf numFmtId="0" fontId="18" fillId="40" borderId="19" xfId="0" applyFont="1" applyFill="1" applyBorder="1" applyAlignment="1">
      <alignment horizontal="center" vertical="center" wrapText="1"/>
    </xf>
    <xf numFmtId="0" fontId="18" fillId="40" borderId="19" xfId="0" applyFont="1" applyFill="1" applyBorder="1" applyAlignment="1" applyProtection="1">
      <alignment horizontal="center" vertical="center" wrapText="1"/>
      <protection locked="0"/>
    </xf>
    <xf numFmtId="0" fontId="18" fillId="40" borderId="20" xfId="0" applyFont="1" applyFill="1" applyBorder="1" applyAlignment="1">
      <alignment horizontal="center" vertical="center" wrapText="1"/>
    </xf>
    <xf numFmtId="166" fontId="18" fillId="42" borderId="43" xfId="42" applyNumberFormat="1" applyFont="1" applyFill="1" applyBorder="1" applyAlignment="1">
      <alignment horizontal="center" vertical="center" wrapText="1"/>
    </xf>
    <xf numFmtId="166" fontId="18" fillId="42" borderId="82" xfId="42" applyNumberFormat="1" applyFont="1" applyFill="1" applyBorder="1" applyAlignment="1">
      <alignment horizontal="center" vertical="center" wrapText="1"/>
    </xf>
    <xf numFmtId="1" fontId="18" fillId="41" borderId="37" xfId="42" applyNumberFormat="1" applyFont="1" applyFill="1" applyBorder="1" applyAlignment="1">
      <alignment horizontal="center" vertical="center" wrapText="1"/>
    </xf>
    <xf numFmtId="1" fontId="18" fillId="41" borderId="19" xfId="42" applyNumberFormat="1" applyFont="1" applyFill="1" applyBorder="1" applyAlignment="1">
      <alignment horizontal="center" vertical="center" wrapText="1"/>
    </xf>
    <xf numFmtId="166" fontId="18" fillId="41" borderId="82" xfId="42" applyNumberFormat="1" applyFont="1" applyFill="1" applyBorder="1" applyAlignment="1">
      <alignment horizontal="center" vertical="center" wrapText="1"/>
    </xf>
    <xf numFmtId="0" fontId="18" fillId="33" borderId="43" xfId="0" applyFont="1" applyFill="1" applyBorder="1" applyAlignment="1">
      <alignment horizontal="center" vertical="center" wrapText="1"/>
    </xf>
    <xf numFmtId="0" fontId="18" fillId="33" borderId="19" xfId="0" applyFont="1" applyFill="1" applyBorder="1" applyAlignment="1">
      <alignment horizontal="center" vertical="center" wrapText="1"/>
    </xf>
    <xf numFmtId="166" fontId="18" fillId="33" borderId="19" xfId="0" applyNumberFormat="1" applyFont="1" applyFill="1" applyBorder="1" applyAlignment="1">
      <alignment horizontal="center" vertical="center" wrapText="1"/>
    </xf>
    <xf numFmtId="166" fontId="18" fillId="33" borderId="19" xfId="42" applyNumberFormat="1" applyFont="1" applyFill="1" applyBorder="1" applyAlignment="1">
      <alignment horizontal="center" vertical="center" wrapText="1"/>
    </xf>
    <xf numFmtId="0" fontId="0" fillId="44" borderId="10" xfId="0" applyFill="1" applyBorder="1" applyAlignment="1" applyProtection="1">
      <alignment horizontal="left"/>
      <protection locked="0"/>
    </xf>
    <xf numFmtId="0" fontId="0" fillId="0" borderId="26" xfId="0" applyBorder="1" applyAlignment="1" applyProtection="1">
      <alignment vertical="center" wrapText="1"/>
      <protection locked="0"/>
    </xf>
    <xf numFmtId="0" fontId="18" fillId="51" borderId="17" xfId="0" applyFont="1" applyFill="1" applyBorder="1" applyAlignment="1" applyProtection="1">
      <alignment horizontal="center" vertical="center" wrapText="1"/>
      <protection locked="0"/>
    </xf>
    <xf numFmtId="0" fontId="50" fillId="51" borderId="17" xfId="0" applyFont="1" applyFill="1" applyBorder="1" applyAlignment="1" applyProtection="1">
      <alignment horizontal="center" vertical="center" wrapText="1"/>
      <protection locked="0"/>
    </xf>
    <xf numFmtId="0" fontId="51" fillId="51" borderId="17" xfId="0" applyFont="1" applyFill="1" applyBorder="1" applyAlignment="1" applyProtection="1">
      <alignment horizontal="center" vertical="center" wrapText="1"/>
      <protection locked="0"/>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1"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1"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80"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8"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8" xfId="0" applyFont="1" applyFill="1" applyBorder="1" applyAlignment="1">
      <alignment horizontal="center" vertical="center"/>
    </xf>
    <xf numFmtId="0" fontId="16" fillId="43" borderId="79" xfId="0" applyFont="1" applyFill="1" applyBorder="1" applyAlignment="1">
      <alignment horizontal="center" vertical="center"/>
    </xf>
    <xf numFmtId="0" fontId="0" fillId="52" borderId="66" xfId="0" applyFill="1" applyBorder="1" applyAlignment="1">
      <alignment horizontal="center" vertical="center"/>
    </xf>
    <xf numFmtId="0" fontId="0" fillId="52" borderId="67" xfId="0" applyFill="1" applyBorder="1" applyAlignment="1">
      <alignment horizontal="center" vertical="center"/>
    </xf>
    <xf numFmtId="0" fontId="39" fillId="51" borderId="66" xfId="0" applyFont="1" applyFill="1" applyBorder="1" applyAlignment="1">
      <alignment horizontal="center" wrapText="1"/>
    </xf>
    <xf numFmtId="0" fontId="40" fillId="51" borderId="62" xfId="0" applyFont="1" applyFill="1" applyBorder="1" applyAlignment="1">
      <alignment horizontal="center" wrapText="1"/>
    </xf>
    <xf numFmtId="0" fontId="40" fillId="51" borderId="67" xfId="0" applyFont="1" applyFill="1" applyBorder="1" applyAlignment="1">
      <alignment horizontal="center" wrapText="1"/>
    </xf>
    <xf numFmtId="0" fontId="37" fillId="51" borderId="66"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52" fillId="0" borderId="10" xfId="0" applyFont="1" applyBorder="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557.672512384263" createdVersion="7" refreshedVersion="7" minRefreshableVersion="3" recordCount="101" xr:uid="{659DCD1E-5145-4BBF-994C-B30D4F632A22}">
  <cacheSource type="worksheet">
    <worksheetSource ref="F6:U97" sheet="Feature Summary"/>
  </cacheSource>
  <cacheFields count="16">
    <cacheField name="Category" numFmtId="0">
      <sharedItems count="3">
        <s v="New"/>
        <s v="Delta"/>
        <s v="Legacy"/>
      </sharedItems>
    </cacheField>
    <cacheField name="Entitled?" numFmtId="0">
      <sharedItems containsBlank="1"/>
    </cacheField>
    <cacheField name="Committed?" numFmtId="0">
      <sharedItems containsBlank="1" count="3">
        <s v="NO"/>
        <s v="Yes"/>
        <m/>
      </sharedItems>
    </cacheField>
    <cacheField name="Effort" numFmtId="0">
      <sharedItems containsString="0" containsBlank="1" containsNumber="1" containsInteger="1" minValue="0" maxValue="7"/>
    </cacheField>
    <cacheField name="# Tests Per Feature" numFmtId="0">
      <sharedItems containsBlank="1" containsMixedTypes="1" containsNumber="1" containsInteger="1" minValue="0" maxValue="7"/>
    </cacheField>
    <cacheField name="% TP Done" numFmtId="166">
      <sharedItems containsBlank="1" containsMixedTypes="1" containsNumber="1" containsInteger="1" minValue="0" maxValue="1"/>
    </cacheField>
    <cacheField name="% Code Done" numFmtId="166">
      <sharedItems containsBlank="1" containsMixedTypes="1" containsNumber="1" minValue="0" maxValue="1"/>
    </cacheField>
    <cacheField name="# Planned" numFmtId="1">
      <sharedItems containsString="0" containsBlank="1" containsNumber="1" containsInteger="1" minValue="0" maxValue="7"/>
    </cacheField>
    <cacheField name="# Passed" numFmtId="1">
      <sharedItems containsString="0" containsBlank="1" containsNumber="1" containsInteger="1" minValue="0" maxValue="7"/>
    </cacheField>
    <cacheField name="% Validated" numFmtId="166">
      <sharedItems containsString="0" containsBlank="1" containsNumber="1" minValue="0" maxValue="1"/>
    </cacheField>
    <cacheField name="# Executed" numFmtId="0">
      <sharedItems containsBlank="1" containsMixedTypes="1" containsNumber="1" containsInteger="1" minValue="0" maxValue="0"/>
    </cacheField>
    <cacheField name="# Passed2" numFmtId="0">
      <sharedItems containsBlank="1" containsMixedTypes="1" containsNumber="1" containsInteger="1" minValue="0" maxValue="0"/>
    </cacheField>
    <cacheField name="% Coverage" numFmtId="166">
      <sharedItems containsBlank="1" containsMixedTypes="1" containsNumber="1" containsInteger="1" minValue="0" maxValue="0"/>
    </cacheField>
    <cacheField name="% Pass Rate" numFmtId="166">
      <sharedItems containsBlank="1" containsMixedTypes="1" containsNumber="1" containsInteger="1" minValue="0" maxValue="0"/>
    </cacheField>
    <cacheField name="% Validated2" numFmtId="166">
      <sharedItems containsBlank="1" containsMixedTypes="1" containsNumber="1" containsInteger="1" minValue="0" maxValue="0"/>
    </cacheField>
    <cacheField name="ETA" numFmtId="0">
      <sharedItems containsBlank="1" count="23">
        <s v="wk-7"/>
        <s v="wk-4"/>
        <s v="wk-5"/>
        <s v="wk-19"/>
        <s v="wk-9"/>
        <s v="wk-3"/>
        <s v="wk-10"/>
        <s v="wk-8"/>
        <s v="N/A"/>
        <s v="wk-15"/>
        <s v="wk-6"/>
        <s v="wk-16"/>
        <s v="wk-21"/>
        <m/>
        <s v="wk-12"/>
        <s v="wk-17"/>
        <s v="wk-14"/>
        <s v="wk-1"/>
        <s v="wk-2"/>
        <s v="wk-11"/>
        <s v="wk-20"/>
        <s v="TBD"/>
        <s v="wk-13"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x v="0"/>
    <s v="Yes"/>
    <x v="0"/>
    <n v="1"/>
    <n v="1"/>
    <n v="1"/>
    <n v="1"/>
    <n v="0"/>
    <n v="0"/>
    <n v="0"/>
    <n v="0"/>
    <n v="0"/>
    <n v="0"/>
    <n v="0"/>
    <n v="0"/>
    <x v="0"/>
  </r>
  <r>
    <x v="1"/>
    <s v="Yes"/>
    <x v="1"/>
    <n v="1"/>
    <n v="1"/>
    <n v="1"/>
    <n v="1"/>
    <n v="1"/>
    <n v="1"/>
    <n v="1"/>
    <n v="0"/>
    <n v="0"/>
    <n v="0"/>
    <n v="0"/>
    <n v="0"/>
    <x v="1"/>
  </r>
  <r>
    <x v="2"/>
    <s v="Yes"/>
    <x v="1"/>
    <n v="1"/>
    <n v="1"/>
    <n v="1"/>
    <n v="0.8"/>
    <n v="1"/>
    <n v="1"/>
    <n v="1"/>
    <n v="0"/>
    <n v="0"/>
    <n v="0"/>
    <n v="0"/>
    <n v="0"/>
    <x v="1"/>
  </r>
  <r>
    <x v="0"/>
    <s v="Yes"/>
    <x v="1"/>
    <n v="1"/>
    <n v="1"/>
    <n v="1"/>
    <n v="1"/>
    <n v="1"/>
    <n v="1"/>
    <n v="1"/>
    <n v="0"/>
    <n v="0"/>
    <n v="0"/>
    <n v="0"/>
    <n v="0"/>
    <x v="2"/>
  </r>
  <r>
    <x v="0"/>
    <s v="Yes"/>
    <x v="1"/>
    <n v="1"/>
    <n v="1"/>
    <n v="1"/>
    <n v="1"/>
    <n v="1"/>
    <n v="1"/>
    <n v="1"/>
    <n v="0"/>
    <n v="0"/>
    <n v="0"/>
    <n v="0"/>
    <n v="0"/>
    <x v="3"/>
  </r>
  <r>
    <x v="0"/>
    <s v="Yes"/>
    <x v="0"/>
    <n v="1"/>
    <n v="1"/>
    <n v="1"/>
    <n v="1"/>
    <n v="1"/>
    <n v="1"/>
    <n v="1"/>
    <n v="0"/>
    <n v="0"/>
    <n v="0"/>
    <n v="0"/>
    <n v="0"/>
    <x v="4"/>
  </r>
  <r>
    <x v="1"/>
    <s v="Yes"/>
    <x v="1"/>
    <n v="1"/>
    <n v="1"/>
    <n v="1"/>
    <n v="1"/>
    <n v="1"/>
    <n v="1"/>
    <n v="1"/>
    <n v="0"/>
    <n v="0"/>
    <n v="0"/>
    <n v="0"/>
    <n v="0"/>
    <x v="2"/>
  </r>
  <r>
    <x v="1"/>
    <s v="Yes"/>
    <x v="1"/>
    <n v="2"/>
    <n v="2"/>
    <n v="1"/>
    <n v="1"/>
    <n v="2"/>
    <n v="2"/>
    <n v="1"/>
    <n v="0"/>
    <n v="0"/>
    <n v="0"/>
    <n v="0"/>
    <n v="0"/>
    <x v="2"/>
  </r>
  <r>
    <x v="1"/>
    <s v="Yes"/>
    <x v="1"/>
    <n v="7"/>
    <n v="7"/>
    <n v="1"/>
    <n v="1"/>
    <n v="7"/>
    <n v="7"/>
    <n v="1"/>
    <n v="0"/>
    <n v="0"/>
    <n v="0"/>
    <n v="0"/>
    <n v="0"/>
    <x v="5"/>
  </r>
  <r>
    <x v="2"/>
    <s v="Yes"/>
    <x v="1"/>
    <n v="1"/>
    <n v="1"/>
    <n v="1"/>
    <n v="0.8"/>
    <n v="1"/>
    <n v="1"/>
    <n v="1"/>
    <n v="0"/>
    <n v="0"/>
    <n v="0"/>
    <n v="0"/>
    <n v="0"/>
    <x v="5"/>
  </r>
  <r>
    <x v="1"/>
    <s v="Yes"/>
    <x v="1"/>
    <n v="3"/>
    <n v="3"/>
    <n v="1"/>
    <n v="1"/>
    <n v="3"/>
    <n v="3"/>
    <n v="1"/>
    <n v="0"/>
    <n v="0"/>
    <n v="0"/>
    <n v="0"/>
    <n v="0"/>
    <x v="6"/>
  </r>
  <r>
    <x v="1"/>
    <s v="Yes"/>
    <x v="1"/>
    <n v="2"/>
    <n v="2"/>
    <n v="1"/>
    <n v="1"/>
    <n v="2"/>
    <n v="2"/>
    <n v="1"/>
    <n v="0"/>
    <n v="0"/>
    <n v="0"/>
    <n v="0"/>
    <n v="0"/>
    <x v="6"/>
  </r>
  <r>
    <x v="1"/>
    <s v="Yes"/>
    <x v="1"/>
    <n v="1"/>
    <n v="1"/>
    <n v="1"/>
    <n v="1"/>
    <n v="1"/>
    <n v="1"/>
    <n v="1"/>
    <n v="0"/>
    <n v="0"/>
    <n v="0"/>
    <n v="0"/>
    <n v="0"/>
    <x v="6"/>
  </r>
  <r>
    <x v="2"/>
    <s v="Yes"/>
    <x v="1"/>
    <n v="3"/>
    <n v="3"/>
    <n v="1"/>
    <n v="1"/>
    <n v="3"/>
    <n v="3"/>
    <n v="1"/>
    <n v="0"/>
    <n v="0"/>
    <n v="0"/>
    <n v="0"/>
    <n v="0"/>
    <x v="7"/>
  </r>
  <r>
    <x v="2"/>
    <s v="No"/>
    <x v="0"/>
    <n v="0"/>
    <n v="0"/>
    <n v="0"/>
    <n v="0"/>
    <n v="0"/>
    <n v="0"/>
    <n v="0"/>
    <n v="0"/>
    <n v="0"/>
    <n v="0"/>
    <n v="0"/>
    <n v="0"/>
    <x v="8"/>
  </r>
  <r>
    <x v="1"/>
    <s v="Yes"/>
    <x v="1"/>
    <n v="1"/>
    <n v="1"/>
    <n v="1"/>
    <n v="1"/>
    <n v="1"/>
    <n v="1"/>
    <n v="1"/>
    <n v="0"/>
    <n v="0"/>
    <n v="0"/>
    <n v="0"/>
    <n v="0"/>
    <x v="6"/>
  </r>
  <r>
    <x v="1"/>
    <s v="Yes"/>
    <x v="0"/>
    <n v="1"/>
    <n v="1"/>
    <n v="1"/>
    <n v="1"/>
    <n v="1"/>
    <n v="1"/>
    <n v="1"/>
    <n v="0"/>
    <n v="0"/>
    <n v="0"/>
    <n v="0"/>
    <n v="0"/>
    <x v="9"/>
  </r>
  <r>
    <x v="1"/>
    <s v="No"/>
    <x v="0"/>
    <n v="0"/>
    <n v="0"/>
    <n v="0"/>
    <n v="0"/>
    <n v="0"/>
    <n v="0"/>
    <n v="0"/>
    <n v="0"/>
    <n v="0"/>
    <n v="0"/>
    <n v="0"/>
    <n v="0"/>
    <x v="8"/>
  </r>
  <r>
    <x v="1"/>
    <s v="No"/>
    <x v="0"/>
    <n v="0"/>
    <n v="0"/>
    <n v="0"/>
    <n v="0"/>
    <n v="0"/>
    <n v="0"/>
    <n v="0"/>
    <n v="0"/>
    <n v="0"/>
    <n v="0"/>
    <n v="0"/>
    <n v="0"/>
    <x v="8"/>
  </r>
  <r>
    <x v="0"/>
    <s v="Yes"/>
    <x v="1"/>
    <n v="1"/>
    <n v="1"/>
    <n v="1"/>
    <n v="0.5"/>
    <n v="0"/>
    <n v="0"/>
    <n v="0"/>
    <n v="0"/>
    <n v="0"/>
    <n v="0"/>
    <n v="0"/>
    <n v="0"/>
    <x v="6"/>
  </r>
  <r>
    <x v="2"/>
    <s v="Yes"/>
    <x v="1"/>
    <n v="2"/>
    <n v="5"/>
    <n v="1"/>
    <n v="0.3"/>
    <n v="2"/>
    <n v="1"/>
    <n v="0.5"/>
    <n v="0"/>
    <n v="0"/>
    <n v="0"/>
    <n v="0"/>
    <n v="0"/>
    <x v="6"/>
  </r>
  <r>
    <x v="2"/>
    <s v="Yes"/>
    <x v="1"/>
    <n v="2"/>
    <n v="2"/>
    <n v="1"/>
    <n v="1"/>
    <n v="2"/>
    <n v="2"/>
    <n v="1"/>
    <n v="0"/>
    <n v="0"/>
    <n v="0"/>
    <n v="0"/>
    <n v="0"/>
    <x v="2"/>
  </r>
  <r>
    <x v="1"/>
    <s v="Yes"/>
    <x v="1"/>
    <n v="1"/>
    <n v="1"/>
    <n v="1"/>
    <n v="1"/>
    <n v="1"/>
    <n v="1"/>
    <n v="1"/>
    <n v="0"/>
    <n v="0"/>
    <n v="0"/>
    <n v="0"/>
    <n v="0"/>
    <x v="10"/>
  </r>
  <r>
    <x v="0"/>
    <s v="Yes"/>
    <x v="0"/>
    <n v="1"/>
    <n v="1"/>
    <n v="1"/>
    <n v="1"/>
    <n v="1"/>
    <n v="1"/>
    <n v="1"/>
    <n v="0"/>
    <n v="0"/>
    <n v="0"/>
    <n v="0"/>
    <n v="0"/>
    <x v="4"/>
  </r>
  <r>
    <x v="0"/>
    <s v="No"/>
    <x v="0"/>
    <n v="0"/>
    <n v="0"/>
    <n v="0"/>
    <n v="0"/>
    <n v="0"/>
    <n v="0"/>
    <n v="0"/>
    <n v="0"/>
    <n v="0"/>
    <n v="0"/>
    <n v="0"/>
    <n v="0"/>
    <x v="6"/>
  </r>
  <r>
    <x v="0"/>
    <s v="Yes"/>
    <x v="1"/>
    <n v="2"/>
    <n v="2"/>
    <n v="1"/>
    <n v="1"/>
    <n v="2"/>
    <n v="2"/>
    <n v="1"/>
    <n v="0"/>
    <n v="0"/>
    <n v="0"/>
    <n v="0"/>
    <n v="0"/>
    <x v="6"/>
  </r>
  <r>
    <x v="1"/>
    <s v="Yes"/>
    <x v="1"/>
    <n v="1"/>
    <n v="1"/>
    <n v="1"/>
    <n v="0.5"/>
    <n v="1"/>
    <n v="1"/>
    <n v="1"/>
    <n v="0"/>
    <n v="0"/>
    <n v="0"/>
    <n v="0"/>
    <n v="0"/>
    <x v="11"/>
  </r>
  <r>
    <x v="1"/>
    <s v="Yes"/>
    <x v="1"/>
    <n v="1"/>
    <n v="1"/>
    <n v="1"/>
    <n v="0.5"/>
    <n v="1"/>
    <n v="1"/>
    <n v="1"/>
    <n v="0"/>
    <n v="0"/>
    <n v="0"/>
    <n v="0"/>
    <n v="0"/>
    <x v="12"/>
  </r>
  <r>
    <x v="2"/>
    <s v="No"/>
    <x v="0"/>
    <n v="0"/>
    <n v="0"/>
    <n v="0"/>
    <n v="0"/>
    <n v="0"/>
    <n v="0"/>
    <n v="0"/>
    <n v="0"/>
    <n v="0"/>
    <n v="0"/>
    <n v="0"/>
    <n v="0"/>
    <x v="8"/>
  </r>
  <r>
    <x v="1"/>
    <s v="Yes"/>
    <x v="0"/>
    <n v="1"/>
    <n v="1"/>
    <n v="1"/>
    <n v="1"/>
    <n v="1"/>
    <n v="1"/>
    <n v="1"/>
    <n v="0"/>
    <n v="0"/>
    <n v="0"/>
    <n v="0"/>
    <n v="0"/>
    <x v="6"/>
  </r>
  <r>
    <x v="1"/>
    <s v="Yes"/>
    <x v="0"/>
    <n v="1"/>
    <n v="1"/>
    <n v="1"/>
    <n v="1"/>
    <n v="1"/>
    <n v="1"/>
    <n v="1"/>
    <n v="0"/>
    <n v="0"/>
    <n v="0"/>
    <n v="0"/>
    <n v="0"/>
    <x v="6"/>
  </r>
  <r>
    <x v="1"/>
    <s v="Yes"/>
    <x v="1"/>
    <n v="1"/>
    <n v="1"/>
    <n v="1"/>
    <n v="1"/>
    <n v="1"/>
    <n v="1"/>
    <n v="1"/>
    <n v="0"/>
    <n v="0"/>
    <n v="0"/>
    <n v="0"/>
    <n v="0"/>
    <x v="6"/>
  </r>
  <r>
    <x v="1"/>
    <s v="No"/>
    <x v="0"/>
    <n v="0"/>
    <n v="0"/>
    <n v="0"/>
    <n v="0"/>
    <n v="0"/>
    <n v="0"/>
    <n v="0"/>
    <n v="0"/>
    <n v="0"/>
    <n v="0"/>
    <n v="0"/>
    <n v="0"/>
    <x v="8"/>
  </r>
  <r>
    <x v="1"/>
    <s v="Yes"/>
    <x v="0"/>
    <n v="3"/>
    <n v="3"/>
    <n v="1"/>
    <n v="0.66666666666666663"/>
    <n v="2"/>
    <n v="2"/>
    <n v="1"/>
    <n v="0"/>
    <n v="0"/>
    <n v="0"/>
    <n v="0"/>
    <n v="0"/>
    <x v="7"/>
  </r>
  <r>
    <x v="2"/>
    <s v="No"/>
    <x v="0"/>
    <n v="1"/>
    <n v="1"/>
    <n v="1"/>
    <n v="0"/>
    <n v="0"/>
    <n v="0"/>
    <n v="0"/>
    <n v="0"/>
    <n v="0"/>
    <n v="0"/>
    <n v="0"/>
    <n v="0"/>
    <x v="8"/>
  </r>
  <r>
    <x v="0"/>
    <s v="No"/>
    <x v="2"/>
    <m/>
    <m/>
    <m/>
    <m/>
    <m/>
    <m/>
    <m/>
    <m/>
    <m/>
    <m/>
    <m/>
    <m/>
    <x v="13"/>
  </r>
  <r>
    <x v="2"/>
    <s v="No"/>
    <x v="0"/>
    <n v="0"/>
    <n v="0"/>
    <n v="0"/>
    <n v="0"/>
    <n v="0"/>
    <n v="0"/>
    <n v="0"/>
    <n v="0"/>
    <n v="0"/>
    <n v="0"/>
    <n v="0"/>
    <n v="0"/>
    <x v="8"/>
  </r>
  <r>
    <x v="1"/>
    <s v="Yes"/>
    <x v="1"/>
    <n v="1"/>
    <n v="1"/>
    <n v="1"/>
    <n v="1"/>
    <n v="1"/>
    <n v="1"/>
    <n v="1"/>
    <n v="0"/>
    <n v="0"/>
    <n v="0"/>
    <n v="0"/>
    <n v="0"/>
    <x v="11"/>
  </r>
  <r>
    <x v="2"/>
    <s v="No"/>
    <x v="0"/>
    <n v="0"/>
    <n v="0"/>
    <n v="0"/>
    <n v="0"/>
    <n v="0"/>
    <n v="0"/>
    <n v="0"/>
    <n v="0"/>
    <n v="0"/>
    <n v="0"/>
    <n v="0"/>
    <n v="0"/>
    <x v="8"/>
  </r>
  <r>
    <x v="2"/>
    <s v="Yes"/>
    <x v="0"/>
    <n v="1"/>
    <n v="1"/>
    <n v="1"/>
    <n v="0.5"/>
    <n v="1"/>
    <n v="1"/>
    <n v="1"/>
    <n v="0"/>
    <n v="0"/>
    <n v="0"/>
    <n v="0"/>
    <n v="0"/>
    <x v="14"/>
  </r>
  <r>
    <x v="2"/>
    <s v="No"/>
    <x v="0"/>
    <n v="0"/>
    <n v="0"/>
    <n v="0"/>
    <n v="0"/>
    <n v="0"/>
    <n v="0"/>
    <n v="0"/>
    <n v="0"/>
    <n v="0"/>
    <n v="0"/>
    <n v="0"/>
    <n v="0"/>
    <x v="8"/>
  </r>
  <r>
    <x v="1"/>
    <s v="Yes"/>
    <x v="0"/>
    <n v="1"/>
    <n v="1"/>
    <n v="1"/>
    <n v="1"/>
    <n v="1"/>
    <n v="1"/>
    <n v="1"/>
    <n v="0"/>
    <n v="0"/>
    <n v="0"/>
    <n v="0"/>
    <n v="0"/>
    <x v="7"/>
  </r>
  <r>
    <x v="1"/>
    <s v="Yes"/>
    <x v="1"/>
    <n v="1"/>
    <n v="1"/>
    <n v="1"/>
    <n v="1"/>
    <n v="1"/>
    <n v="1"/>
    <n v="1"/>
    <n v="0"/>
    <n v="0"/>
    <n v="0"/>
    <n v="0"/>
    <n v="0"/>
    <x v="11"/>
  </r>
  <r>
    <x v="1"/>
    <s v="Yes"/>
    <x v="1"/>
    <n v="1"/>
    <n v="1"/>
    <n v="1"/>
    <n v="1"/>
    <n v="1"/>
    <n v="1"/>
    <n v="1"/>
    <n v="0"/>
    <n v="0"/>
    <n v="0"/>
    <n v="0"/>
    <n v="0"/>
    <x v="11"/>
  </r>
  <r>
    <x v="2"/>
    <s v="Yes"/>
    <x v="1"/>
    <n v="1"/>
    <n v="1"/>
    <n v="1"/>
    <n v="0.5"/>
    <n v="1"/>
    <n v="1"/>
    <n v="1"/>
    <n v="0"/>
    <n v="0"/>
    <n v="0"/>
    <n v="0"/>
    <n v="0"/>
    <x v="15"/>
  </r>
  <r>
    <x v="2"/>
    <s v="No"/>
    <x v="0"/>
    <n v="0"/>
    <n v="0"/>
    <n v="0"/>
    <n v="0"/>
    <n v="0"/>
    <n v="0"/>
    <n v="0"/>
    <n v="0"/>
    <n v="0"/>
    <n v="0"/>
    <n v="0"/>
    <n v="0"/>
    <x v="16"/>
  </r>
  <r>
    <x v="1"/>
    <s v="Yes"/>
    <x v="1"/>
    <n v="1"/>
    <n v="1"/>
    <n v="1"/>
    <n v="1"/>
    <n v="1"/>
    <n v="1"/>
    <n v="1"/>
    <n v="0"/>
    <n v="0"/>
    <n v="0"/>
    <n v="0"/>
    <n v="0"/>
    <x v="0"/>
  </r>
  <r>
    <x v="1"/>
    <s v="Yes"/>
    <x v="0"/>
    <n v="1"/>
    <n v="1"/>
    <n v="1"/>
    <n v="1"/>
    <n v="1"/>
    <n v="1"/>
    <n v="1"/>
    <n v="0"/>
    <n v="0"/>
    <n v="0"/>
    <n v="0"/>
    <n v="0"/>
    <x v="2"/>
  </r>
  <r>
    <x v="1"/>
    <s v="Yes"/>
    <x v="0"/>
    <n v="1"/>
    <n v="1"/>
    <n v="1"/>
    <n v="1"/>
    <n v="0"/>
    <n v="0"/>
    <n v="0"/>
    <n v="0"/>
    <n v="0"/>
    <n v="0"/>
    <n v="0"/>
    <n v="0"/>
    <x v="8"/>
  </r>
  <r>
    <x v="2"/>
    <s v="No"/>
    <x v="0"/>
    <n v="0"/>
    <n v="0"/>
    <n v="0"/>
    <n v="0"/>
    <n v="0"/>
    <n v="0"/>
    <n v="0"/>
    <n v="0"/>
    <n v="0"/>
    <n v="0"/>
    <n v="0"/>
    <n v="0"/>
    <x v="8"/>
  </r>
  <r>
    <x v="0"/>
    <s v="Yes"/>
    <x v="1"/>
    <n v="1"/>
    <n v="1"/>
    <n v="1"/>
    <n v="0"/>
    <n v="1"/>
    <n v="1"/>
    <n v="1"/>
    <n v="0"/>
    <n v="0"/>
    <n v="0"/>
    <n v="0"/>
    <n v="0"/>
    <x v="17"/>
  </r>
  <r>
    <x v="0"/>
    <m/>
    <x v="2"/>
    <m/>
    <m/>
    <m/>
    <m/>
    <m/>
    <m/>
    <m/>
    <m/>
    <m/>
    <m/>
    <m/>
    <m/>
    <x v="13"/>
  </r>
  <r>
    <x v="1"/>
    <s v="Yes"/>
    <x v="0"/>
    <n v="1"/>
    <n v="1"/>
    <n v="1"/>
    <n v="1"/>
    <n v="1"/>
    <n v="1"/>
    <n v="1"/>
    <n v="0"/>
    <n v="0"/>
    <n v="0"/>
    <n v="0"/>
    <n v="0"/>
    <x v="17"/>
  </r>
  <r>
    <x v="1"/>
    <s v="No"/>
    <x v="0"/>
    <n v="0"/>
    <n v="0"/>
    <n v="0"/>
    <n v="0"/>
    <n v="0"/>
    <n v="0"/>
    <n v="0"/>
    <n v="0"/>
    <n v="0"/>
    <n v="0"/>
    <n v="0"/>
    <n v="0"/>
    <x v="8"/>
  </r>
  <r>
    <x v="2"/>
    <s v="Yes"/>
    <x v="0"/>
    <n v="1"/>
    <n v="1"/>
    <n v="1"/>
    <n v="1"/>
    <n v="1"/>
    <n v="1"/>
    <n v="1"/>
    <n v="0"/>
    <n v="0"/>
    <n v="0"/>
    <n v="0"/>
    <n v="0"/>
    <x v="10"/>
  </r>
  <r>
    <x v="2"/>
    <s v="Yes"/>
    <x v="1"/>
    <n v="1"/>
    <n v="1"/>
    <n v="1"/>
    <n v="1"/>
    <n v="1"/>
    <n v="1"/>
    <n v="1"/>
    <n v="0"/>
    <n v="0"/>
    <n v="0"/>
    <n v="0"/>
    <n v="0"/>
    <x v="18"/>
  </r>
  <r>
    <x v="2"/>
    <s v="Yes"/>
    <x v="1"/>
    <n v="1"/>
    <n v="1"/>
    <n v="1"/>
    <n v="1"/>
    <n v="1"/>
    <n v="1"/>
    <n v="1"/>
    <n v="0"/>
    <n v="0"/>
    <n v="0"/>
    <n v="0"/>
    <n v="0"/>
    <x v="0"/>
  </r>
  <r>
    <x v="0"/>
    <s v="Yes"/>
    <x v="0"/>
    <n v="1"/>
    <n v="1"/>
    <n v="1"/>
    <n v="1"/>
    <n v="0"/>
    <n v="0"/>
    <n v="0"/>
    <n v="0"/>
    <n v="0"/>
    <n v="0"/>
    <n v="0"/>
    <n v="0"/>
    <x v="5"/>
  </r>
  <r>
    <x v="0"/>
    <s v="Yes"/>
    <x v="1"/>
    <n v="1"/>
    <n v="1"/>
    <n v="1"/>
    <n v="1"/>
    <n v="1"/>
    <n v="1"/>
    <n v="1"/>
    <n v="0"/>
    <n v="0"/>
    <n v="0"/>
    <n v="0"/>
    <n v="0"/>
    <x v="0"/>
  </r>
  <r>
    <x v="0"/>
    <s v="Yes"/>
    <x v="0"/>
    <n v="1"/>
    <n v="1"/>
    <n v="1"/>
    <n v="0.5"/>
    <n v="1"/>
    <n v="0"/>
    <n v="0"/>
    <n v="0"/>
    <n v="0"/>
    <n v="0"/>
    <n v="0"/>
    <n v="0"/>
    <x v="19"/>
  </r>
  <r>
    <x v="2"/>
    <s v="No"/>
    <x v="0"/>
    <n v="0"/>
    <n v="0"/>
    <n v="0"/>
    <n v="0"/>
    <n v="0"/>
    <n v="0"/>
    <n v="0"/>
    <n v="0"/>
    <n v="0"/>
    <n v="0"/>
    <n v="0"/>
    <n v="0"/>
    <x v="8"/>
  </r>
  <r>
    <x v="0"/>
    <s v="Yes"/>
    <x v="1"/>
    <n v="1"/>
    <n v="1"/>
    <n v="1"/>
    <n v="1"/>
    <n v="1"/>
    <n v="1"/>
    <n v="1"/>
    <n v="0"/>
    <n v="0"/>
    <n v="0"/>
    <n v="0"/>
    <n v="0"/>
    <x v="5"/>
  </r>
  <r>
    <x v="2"/>
    <s v="Yes"/>
    <x v="1"/>
    <n v="2"/>
    <n v="2"/>
    <n v="1"/>
    <n v="1"/>
    <n v="1"/>
    <n v="1"/>
    <n v="1"/>
    <n v="0"/>
    <n v="0"/>
    <n v="0"/>
    <n v="0"/>
    <n v="0"/>
    <x v="0"/>
  </r>
  <r>
    <x v="0"/>
    <s v="Yes"/>
    <x v="1"/>
    <n v="1"/>
    <n v="1"/>
    <n v="1"/>
    <n v="0.8"/>
    <n v="1"/>
    <n v="1"/>
    <n v="1"/>
    <n v="0"/>
    <n v="0"/>
    <n v="0"/>
    <n v="0"/>
    <n v="0"/>
    <x v="1"/>
  </r>
  <r>
    <x v="2"/>
    <s v="Yes"/>
    <x v="0"/>
    <n v="1"/>
    <n v="1"/>
    <n v="1"/>
    <n v="1"/>
    <n v="1"/>
    <n v="1"/>
    <n v="1"/>
    <n v="0"/>
    <n v="0"/>
    <n v="0"/>
    <n v="0"/>
    <n v="0"/>
    <x v="5"/>
  </r>
  <r>
    <x v="1"/>
    <s v="Yes"/>
    <x v="1"/>
    <n v="1"/>
    <n v="1"/>
    <n v="1"/>
    <n v="1"/>
    <n v="1"/>
    <n v="1"/>
    <n v="1"/>
    <n v="0"/>
    <n v="0"/>
    <n v="0"/>
    <n v="0"/>
    <n v="0"/>
    <x v="19"/>
  </r>
  <r>
    <x v="2"/>
    <s v="No"/>
    <x v="0"/>
    <m/>
    <m/>
    <m/>
    <m/>
    <m/>
    <m/>
    <m/>
    <m/>
    <m/>
    <m/>
    <m/>
    <m/>
    <x v="13"/>
  </r>
  <r>
    <x v="1"/>
    <s v="Yes"/>
    <x v="1"/>
    <n v="5"/>
    <n v="5"/>
    <n v="1"/>
    <n v="0.8"/>
    <n v="4"/>
    <n v="3"/>
    <n v="0.75"/>
    <n v="0"/>
    <n v="0"/>
    <n v="0"/>
    <n v="0"/>
    <n v="0"/>
    <x v="6"/>
  </r>
  <r>
    <x v="2"/>
    <s v="Yes"/>
    <x v="1"/>
    <n v="1"/>
    <n v="1"/>
    <n v="1"/>
    <n v="1"/>
    <n v="1"/>
    <n v="1"/>
    <n v="1"/>
    <n v="0"/>
    <n v="0"/>
    <n v="0"/>
    <n v="0"/>
    <n v="0"/>
    <x v="5"/>
  </r>
  <r>
    <x v="1"/>
    <s v="Yes"/>
    <x v="1"/>
    <n v="4"/>
    <n v="4"/>
    <n v="1"/>
    <n v="1"/>
    <n v="4"/>
    <n v="4"/>
    <n v="1"/>
    <n v="0"/>
    <n v="0"/>
    <n v="0"/>
    <n v="0"/>
    <n v="0"/>
    <x v="6"/>
  </r>
  <r>
    <x v="0"/>
    <s v="Yes"/>
    <x v="1"/>
    <n v="1"/>
    <n v="1"/>
    <n v="1"/>
    <n v="1"/>
    <n v="1"/>
    <n v="1"/>
    <n v="1"/>
    <n v="0"/>
    <n v="0"/>
    <n v="0"/>
    <n v="0"/>
    <n v="0"/>
    <x v="5"/>
  </r>
  <r>
    <x v="0"/>
    <s v="Yes"/>
    <x v="0"/>
    <n v="1"/>
    <n v="1"/>
    <n v="1"/>
    <n v="1"/>
    <n v="1"/>
    <n v="1"/>
    <n v="1"/>
    <n v="0"/>
    <n v="0"/>
    <n v="0"/>
    <n v="0"/>
    <n v="0"/>
    <x v="4"/>
  </r>
  <r>
    <x v="2"/>
    <s v="Yes"/>
    <x v="1"/>
    <n v="1"/>
    <n v="1"/>
    <n v="1"/>
    <n v="1"/>
    <n v="1"/>
    <n v="1"/>
    <n v="1"/>
    <n v="0"/>
    <n v="0"/>
    <n v="0"/>
    <n v="0"/>
    <n v="0"/>
    <x v="18"/>
  </r>
  <r>
    <x v="1"/>
    <s v="Yes"/>
    <x v="1"/>
    <n v="1"/>
    <n v="1"/>
    <n v="1"/>
    <n v="1"/>
    <n v="1"/>
    <n v="1"/>
    <n v="1"/>
    <n v="0"/>
    <n v="0"/>
    <n v="0"/>
    <n v="0"/>
    <n v="0"/>
    <x v="16"/>
  </r>
  <r>
    <x v="1"/>
    <s v="No"/>
    <x v="0"/>
    <n v="1"/>
    <e v="#VALUE!"/>
    <e v="#VALUE!"/>
    <e v="#VALUE!"/>
    <n v="0"/>
    <n v="0"/>
    <n v="0"/>
    <e v="#VALUE!"/>
    <e v="#VALUE!"/>
    <e v="#VALUE!"/>
    <e v="#VALUE!"/>
    <e v="#VALUE!"/>
    <x v="20"/>
  </r>
  <r>
    <x v="1"/>
    <s v="Yes"/>
    <x v="0"/>
    <n v="1"/>
    <n v="1"/>
    <n v="1"/>
    <n v="0.5"/>
    <n v="1"/>
    <n v="1"/>
    <n v="1"/>
    <n v="0"/>
    <n v="0"/>
    <n v="0"/>
    <n v="0"/>
    <n v="0"/>
    <x v="14"/>
  </r>
  <r>
    <x v="2"/>
    <s v="No"/>
    <x v="0"/>
    <n v="0"/>
    <n v="0"/>
    <n v="0"/>
    <n v="0"/>
    <n v="0"/>
    <n v="0"/>
    <n v="0"/>
    <n v="0"/>
    <n v="0"/>
    <n v="0"/>
    <n v="0"/>
    <n v="0"/>
    <x v="8"/>
  </r>
  <r>
    <x v="2"/>
    <s v="Yes"/>
    <x v="1"/>
    <n v="0"/>
    <n v="0"/>
    <n v="0"/>
    <n v="0"/>
    <n v="0"/>
    <n v="0"/>
    <n v="0"/>
    <n v="0"/>
    <n v="0"/>
    <n v="0"/>
    <n v="0"/>
    <n v="0"/>
    <x v="11"/>
  </r>
  <r>
    <x v="2"/>
    <s v="No"/>
    <x v="2"/>
    <m/>
    <m/>
    <m/>
    <m/>
    <m/>
    <m/>
    <m/>
    <m/>
    <m/>
    <m/>
    <m/>
    <m/>
    <x v="13"/>
  </r>
  <r>
    <x v="1"/>
    <s v="Yes"/>
    <x v="2"/>
    <m/>
    <m/>
    <m/>
    <m/>
    <m/>
    <m/>
    <m/>
    <m/>
    <m/>
    <m/>
    <m/>
    <m/>
    <x v="13"/>
  </r>
  <r>
    <x v="2"/>
    <s v="No"/>
    <x v="2"/>
    <m/>
    <m/>
    <m/>
    <m/>
    <m/>
    <m/>
    <m/>
    <m/>
    <m/>
    <m/>
    <m/>
    <m/>
    <x v="13"/>
  </r>
  <r>
    <x v="2"/>
    <s v="No"/>
    <x v="0"/>
    <n v="0"/>
    <n v="0"/>
    <n v="0"/>
    <n v="0"/>
    <n v="0"/>
    <n v="0"/>
    <n v="0"/>
    <n v="0"/>
    <n v="0"/>
    <n v="0"/>
    <n v="0"/>
    <n v="0"/>
    <x v="8"/>
  </r>
  <r>
    <x v="1"/>
    <s v="Yes"/>
    <x v="1"/>
    <n v="1"/>
    <n v="1"/>
    <n v="1"/>
    <n v="1"/>
    <n v="1"/>
    <n v="1"/>
    <n v="1"/>
    <n v="0"/>
    <n v="0"/>
    <n v="0"/>
    <n v="0"/>
    <n v="0"/>
    <x v="9"/>
  </r>
  <r>
    <x v="1"/>
    <s v="Yes"/>
    <x v="1"/>
    <n v="1"/>
    <n v="1"/>
    <n v="1"/>
    <n v="0.7"/>
    <n v="1"/>
    <n v="1"/>
    <n v="1"/>
    <n v="0"/>
    <n v="0"/>
    <n v="0"/>
    <n v="0"/>
    <n v="0"/>
    <x v="11"/>
  </r>
  <r>
    <x v="2"/>
    <s v="Yes"/>
    <x v="0"/>
    <n v="1"/>
    <n v="1"/>
    <n v="1"/>
    <n v="1"/>
    <n v="1"/>
    <n v="1"/>
    <n v="1"/>
    <n v="0"/>
    <n v="0"/>
    <n v="0"/>
    <n v="0"/>
    <n v="0"/>
    <x v="19"/>
  </r>
  <r>
    <x v="2"/>
    <s v="Yes"/>
    <x v="0"/>
    <n v="1"/>
    <n v="1"/>
    <n v="1"/>
    <n v="1"/>
    <n v="1"/>
    <n v="1"/>
    <n v="1"/>
    <n v="0"/>
    <n v="0"/>
    <n v="0"/>
    <n v="0"/>
    <n v="0"/>
    <x v="19"/>
  </r>
  <r>
    <x v="1"/>
    <s v="Yes"/>
    <x v="1"/>
    <n v="1"/>
    <n v="1"/>
    <n v="1"/>
    <n v="1"/>
    <n v="1"/>
    <n v="1"/>
    <n v="1"/>
    <n v="0"/>
    <n v="0"/>
    <n v="0"/>
    <n v="0"/>
    <n v="0"/>
    <x v="21"/>
  </r>
  <r>
    <x v="2"/>
    <s v="Yes"/>
    <x v="0"/>
    <n v="1"/>
    <n v="1"/>
    <n v="1"/>
    <n v="1"/>
    <n v="1"/>
    <n v="1"/>
    <n v="1"/>
    <n v="0"/>
    <n v="0"/>
    <n v="0"/>
    <n v="0"/>
    <n v="0"/>
    <x v="8"/>
  </r>
  <r>
    <x v="2"/>
    <s v="Yes"/>
    <x v="0"/>
    <n v="1"/>
    <n v="1"/>
    <n v="1"/>
    <n v="1"/>
    <n v="1"/>
    <n v="1"/>
    <n v="1"/>
    <n v="0"/>
    <n v="0"/>
    <n v="0"/>
    <n v="0"/>
    <n v="0"/>
    <x v="2"/>
  </r>
  <r>
    <x v="2"/>
    <s v="Yes"/>
    <x v="0"/>
    <n v="1"/>
    <n v="1"/>
    <n v="1"/>
    <n v="1"/>
    <n v="1"/>
    <n v="1"/>
    <n v="1"/>
    <n v="0"/>
    <n v="0"/>
    <n v="0"/>
    <n v="0"/>
    <n v="0"/>
    <x v="8"/>
  </r>
  <r>
    <x v="0"/>
    <s v="Yes"/>
    <x v="1"/>
    <n v="1"/>
    <n v="1"/>
    <n v="1"/>
    <n v="0"/>
    <n v="1"/>
    <n v="1"/>
    <n v="1"/>
    <n v="0"/>
    <n v="0"/>
    <n v="0"/>
    <n v="0"/>
    <n v="0"/>
    <x v="6"/>
  </r>
  <r>
    <x v="0"/>
    <s v="Yes"/>
    <x v="0"/>
    <n v="1"/>
    <n v="1"/>
    <n v="1"/>
    <n v="1"/>
    <n v="1"/>
    <n v="1"/>
    <n v="1"/>
    <n v="0"/>
    <n v="0"/>
    <n v="0"/>
    <n v="0"/>
    <n v="0"/>
    <x v="17"/>
  </r>
  <r>
    <x v="0"/>
    <s v="Yes"/>
    <x v="1"/>
    <n v="1"/>
    <n v="1"/>
    <n v="1"/>
    <n v="1"/>
    <n v="1"/>
    <n v="1"/>
    <n v="1"/>
    <n v="0"/>
    <n v="0"/>
    <n v="0"/>
    <n v="0"/>
    <n v="0"/>
    <x v="6"/>
  </r>
  <r>
    <x v="0"/>
    <s v="Yes"/>
    <x v="1"/>
    <n v="1"/>
    <n v="1"/>
    <n v="1"/>
    <n v="1"/>
    <n v="1"/>
    <n v="1"/>
    <n v="1"/>
    <n v="0"/>
    <n v="0"/>
    <n v="0"/>
    <n v="0"/>
    <n v="0"/>
    <x v="6"/>
  </r>
  <r>
    <x v="1"/>
    <s v="Yes"/>
    <x v="1"/>
    <n v="1"/>
    <n v="1"/>
    <n v="1"/>
    <n v="0"/>
    <n v="1"/>
    <n v="1"/>
    <n v="1"/>
    <n v="0"/>
    <n v="0"/>
    <n v="0"/>
    <n v="0"/>
    <n v="0"/>
    <x v="7"/>
  </r>
  <r>
    <x v="0"/>
    <s v="Yes"/>
    <x v="0"/>
    <n v="1"/>
    <n v="0"/>
    <n v="0"/>
    <n v="0"/>
    <n v="0"/>
    <n v="0"/>
    <n v="0"/>
    <n v="0"/>
    <n v="0"/>
    <n v="0"/>
    <n v="0"/>
    <n v="0"/>
    <x v="8"/>
  </r>
  <r>
    <x v="0"/>
    <s v="Yes"/>
    <x v="1"/>
    <n v="1"/>
    <n v="1"/>
    <n v="1"/>
    <n v="0.5"/>
    <n v="1"/>
    <n v="1"/>
    <n v="1"/>
    <n v="0"/>
    <n v="0"/>
    <n v="0"/>
    <n v="0"/>
    <n v="0"/>
    <x v="11"/>
  </r>
  <r>
    <x v="1"/>
    <s v="Yes"/>
    <x v="2"/>
    <m/>
    <m/>
    <m/>
    <m/>
    <m/>
    <m/>
    <m/>
    <m/>
    <m/>
    <m/>
    <m/>
    <m/>
    <x v="13"/>
  </r>
  <r>
    <x v="1"/>
    <s v="Yes"/>
    <x v="1"/>
    <n v="1"/>
    <n v="1"/>
    <n v="1"/>
    <n v="1"/>
    <n v="1"/>
    <n v="1"/>
    <n v="1"/>
    <n v="0"/>
    <n v="0"/>
    <n v="0"/>
    <n v="0"/>
    <n v="0"/>
    <x v="1"/>
  </r>
  <r>
    <x v="0"/>
    <s v="Yes"/>
    <x v="1"/>
    <n v="1"/>
    <n v="1"/>
    <n v="1"/>
    <n v="0"/>
    <n v="0"/>
    <n v="0"/>
    <n v="0"/>
    <n v="0"/>
    <n v="0"/>
    <n v="0"/>
    <n v="0"/>
    <n v="0"/>
    <x v="8"/>
  </r>
  <r>
    <x v="0"/>
    <s v="Yes"/>
    <x v="1"/>
    <n v="1"/>
    <n v="1"/>
    <n v="1"/>
    <n v="1"/>
    <n v="1"/>
    <n v="1"/>
    <n v="1"/>
    <n v="0"/>
    <n v="0"/>
    <n v="0"/>
    <n v="0"/>
    <n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A7CB49-A9C9-4CC7-A5E2-8498141DD57B}" name="PivotTable2"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E23" firstHeaderRow="1" firstDataRow="2" firstDataCol="1" rowPageCount="1" colPageCount="1"/>
  <pivotFields count="16">
    <pivotField axis="axisCol" dataField="1" showAll="0">
      <items count="4">
        <item x="1"/>
        <item x="2"/>
        <item x="0"/>
        <item t="default"/>
      </items>
    </pivotField>
    <pivotField showAll="0"/>
    <pivotField axis="axisPage" showAll="0">
      <items count="4">
        <item x="0"/>
        <item x="1"/>
        <item x="2"/>
        <item t="default"/>
      </items>
    </pivotField>
    <pivotField showAll="0"/>
    <pivotField showAll="0"/>
    <pivotField numFmtId="166" showAll="0"/>
    <pivotField numFmtId="166"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24">
        <item x="8"/>
        <item x="17"/>
        <item x="6"/>
        <item x="19"/>
        <item x="14"/>
        <item m="1" x="22"/>
        <item x="16"/>
        <item x="9"/>
        <item x="18"/>
        <item x="5"/>
        <item x="1"/>
        <item x="2"/>
        <item x="10"/>
        <item x="0"/>
        <item x="7"/>
        <item x="4"/>
        <item x="3"/>
        <item x="11"/>
        <item x="12"/>
        <item x="15"/>
        <item x="20"/>
        <item x="21"/>
        <item x="13"/>
        <item t="default"/>
      </items>
    </pivotField>
  </pivotFields>
  <rowFields count="1">
    <field x="15"/>
  </rowFields>
  <rowItems count="19">
    <i>
      <x/>
    </i>
    <i>
      <x v="1"/>
    </i>
    <i>
      <x v="2"/>
    </i>
    <i>
      <x v="3"/>
    </i>
    <i>
      <x v="6"/>
    </i>
    <i>
      <x v="7"/>
    </i>
    <i>
      <x v="8"/>
    </i>
    <i>
      <x v="9"/>
    </i>
    <i>
      <x v="10"/>
    </i>
    <i>
      <x v="11"/>
    </i>
    <i>
      <x v="12"/>
    </i>
    <i>
      <x v="13"/>
    </i>
    <i>
      <x v="14"/>
    </i>
    <i>
      <x v="16"/>
    </i>
    <i>
      <x v="17"/>
    </i>
    <i>
      <x v="18"/>
    </i>
    <i>
      <x v="19"/>
    </i>
    <i>
      <x v="21"/>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9B56F-4B11-4BAC-B7CB-262AC1916855}">
  <dimension ref="A2:S18"/>
  <sheetViews>
    <sheetView topLeftCell="A13"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09" t="s">
        <v>48</v>
      </c>
      <c r="B2" s="509"/>
      <c r="C2" s="509"/>
      <c r="D2" s="509"/>
      <c r="E2" s="509"/>
      <c r="F2" s="89"/>
      <c r="G2" s="89"/>
      <c r="H2" s="89"/>
      <c r="I2" s="89"/>
      <c r="J2" s="89"/>
      <c r="K2" s="89"/>
      <c r="L2" s="89"/>
      <c r="M2" s="89"/>
      <c r="N2" s="89"/>
      <c r="O2" s="89"/>
      <c r="P2" s="89"/>
      <c r="Q2" s="89"/>
      <c r="R2" s="89"/>
    </row>
    <row r="3" spans="1:19" ht="45" x14ac:dyDescent="0.25">
      <c r="A3" s="486" t="s">
        <v>49</v>
      </c>
      <c r="B3" s="486" t="s">
        <v>50</v>
      </c>
      <c r="C3" s="486" t="s">
        <v>51</v>
      </c>
      <c r="D3" s="486" t="s">
        <v>52</v>
      </c>
      <c r="E3" s="486" t="s">
        <v>53</v>
      </c>
    </row>
    <row r="4" spans="1:19" x14ac:dyDescent="0.25">
      <c r="A4" s="485" t="s">
        <v>54</v>
      </c>
      <c r="B4" s="485" t="s">
        <v>55</v>
      </c>
      <c r="C4" s="485" t="s">
        <v>56</v>
      </c>
      <c r="D4" s="485" t="s">
        <v>57</v>
      </c>
      <c r="E4" s="485" t="s">
        <v>56</v>
      </c>
    </row>
    <row r="5" spans="1:19" x14ac:dyDescent="0.25">
      <c r="A5" s="485" t="s">
        <v>58</v>
      </c>
      <c r="B5" s="485" t="s">
        <v>59</v>
      </c>
      <c r="C5" s="485" t="s">
        <v>60</v>
      </c>
      <c r="D5" s="485" t="s">
        <v>57</v>
      </c>
      <c r="E5" s="485" t="s">
        <v>56</v>
      </c>
    </row>
    <row r="6" spans="1:19" x14ac:dyDescent="0.25">
      <c r="A6" s="81"/>
    </row>
    <row r="7" spans="1:19" ht="59.25" customHeight="1" x14ac:dyDescent="0.25">
      <c r="A7" s="509" t="s">
        <v>61</v>
      </c>
      <c r="B7" s="510"/>
      <c r="C7" s="510"/>
      <c r="D7" s="510"/>
      <c r="E7" s="510"/>
      <c r="F7" s="510"/>
      <c r="G7" s="510"/>
      <c r="H7" s="510"/>
      <c r="I7" s="510"/>
      <c r="J7" s="510"/>
      <c r="K7" s="510"/>
      <c r="L7" s="510"/>
      <c r="M7" s="89"/>
      <c r="N7" s="89"/>
      <c r="O7" s="89"/>
      <c r="P7" s="89"/>
      <c r="Q7" s="89"/>
      <c r="R7" s="89"/>
      <c r="S7" s="89"/>
    </row>
    <row r="8" spans="1:19" x14ac:dyDescent="0.25">
      <c r="A8" s="484" t="s">
        <v>62</v>
      </c>
      <c r="B8" s="483"/>
      <c r="C8" s="483"/>
      <c r="D8" s="483"/>
      <c r="E8" s="483"/>
      <c r="F8" s="483"/>
      <c r="G8" s="483"/>
      <c r="H8" s="483"/>
      <c r="I8" s="483"/>
      <c r="J8" s="483"/>
      <c r="K8" s="483"/>
      <c r="L8" s="483"/>
      <c r="M8" s="89"/>
      <c r="N8" s="89"/>
      <c r="O8" s="89"/>
      <c r="P8" s="89"/>
      <c r="Q8" s="89"/>
      <c r="R8" s="89"/>
      <c r="S8" s="89"/>
    </row>
    <row r="9" spans="1:19" x14ac:dyDescent="0.25">
      <c r="A9" s="479" t="s">
        <v>63</v>
      </c>
      <c r="B9" s="477" t="s">
        <v>64</v>
      </c>
      <c r="C9" s="477" t="s">
        <v>65</v>
      </c>
      <c r="D9" s="478" t="s">
        <v>66</v>
      </c>
      <c r="E9" s="477" t="s">
        <v>67</v>
      </c>
      <c r="F9" s="477" t="s">
        <v>68</v>
      </c>
      <c r="G9" s="477" t="s">
        <v>69</v>
      </c>
      <c r="H9" s="477" t="s">
        <v>70</v>
      </c>
      <c r="I9" s="477" t="s">
        <v>71</v>
      </c>
      <c r="J9" s="475" t="s">
        <v>72</v>
      </c>
      <c r="K9" s="475" t="s">
        <v>73</v>
      </c>
      <c r="L9" s="482" t="s">
        <v>1</v>
      </c>
    </row>
    <row r="10" spans="1:19" x14ac:dyDescent="0.25">
      <c r="A10" s="472" t="s">
        <v>74</v>
      </c>
      <c r="B10" s="469" t="s">
        <v>75</v>
      </c>
      <c r="C10" s="469"/>
      <c r="D10" s="470" t="s">
        <v>76</v>
      </c>
      <c r="E10" s="481"/>
      <c r="F10" s="469" t="s">
        <v>77</v>
      </c>
      <c r="G10" s="470" t="s">
        <v>78</v>
      </c>
      <c r="H10" s="469" t="s">
        <v>79</v>
      </c>
      <c r="I10" s="469"/>
      <c r="J10" s="470">
        <v>1</v>
      </c>
      <c r="K10" s="470">
        <v>1</v>
      </c>
      <c r="L10" s="470" t="s">
        <v>80</v>
      </c>
    </row>
    <row r="11" spans="1:19" x14ac:dyDescent="0.25">
      <c r="A11" s="472" t="s">
        <v>81</v>
      </c>
      <c r="B11" s="469" t="s">
        <v>82</v>
      </c>
      <c r="C11" s="469"/>
      <c r="D11" s="470" t="s">
        <v>83</v>
      </c>
      <c r="E11" s="481"/>
      <c r="F11" s="469" t="s">
        <v>84</v>
      </c>
      <c r="G11" s="470" t="s">
        <v>78</v>
      </c>
      <c r="H11" s="469" t="s">
        <v>85</v>
      </c>
      <c r="I11" s="469"/>
      <c r="J11" s="470">
        <v>1</v>
      </c>
      <c r="K11" s="470">
        <v>1</v>
      </c>
      <c r="L11" s="470" t="s">
        <v>86</v>
      </c>
    </row>
    <row r="12" spans="1:19" ht="30" x14ac:dyDescent="0.25">
      <c r="A12" s="472" t="s">
        <v>87</v>
      </c>
      <c r="B12" s="472" t="s">
        <v>88</v>
      </c>
      <c r="C12" s="469"/>
      <c r="D12" s="470" t="s">
        <v>55</v>
      </c>
      <c r="E12" s="481"/>
      <c r="F12" s="469" t="s">
        <v>89</v>
      </c>
      <c r="G12" s="470" t="e">
        <v>#N/A</v>
      </c>
      <c r="H12" s="469" t="s">
        <v>57</v>
      </c>
      <c r="I12" s="469"/>
      <c r="J12" s="470">
        <v>1</v>
      </c>
      <c r="K12" s="470">
        <v>1</v>
      </c>
      <c r="L12" s="470" t="s">
        <v>80</v>
      </c>
    </row>
    <row r="13" spans="1:19" x14ac:dyDescent="0.25">
      <c r="A13" s="480" t="s">
        <v>90</v>
      </c>
    </row>
    <row r="14" spans="1:19" x14ac:dyDescent="0.25">
      <c r="A14" s="479" t="s">
        <v>63</v>
      </c>
      <c r="B14" s="477" t="s">
        <v>64</v>
      </c>
      <c r="C14" s="477" t="s">
        <v>65</v>
      </c>
      <c r="D14" s="478" t="s">
        <v>66</v>
      </c>
      <c r="E14" s="477" t="s">
        <v>67</v>
      </c>
      <c r="F14" s="477" t="s">
        <v>68</v>
      </c>
      <c r="G14" s="477" t="s">
        <v>69</v>
      </c>
      <c r="H14" s="477" t="s">
        <v>70</v>
      </c>
      <c r="I14" s="477" t="s">
        <v>71</v>
      </c>
      <c r="J14" s="475" t="s">
        <v>72</v>
      </c>
      <c r="K14" s="475" t="s">
        <v>73</v>
      </c>
      <c r="L14" s="476" t="s">
        <v>1</v>
      </c>
      <c r="M14" s="475" t="s">
        <v>91</v>
      </c>
      <c r="N14" s="475" t="s">
        <v>92</v>
      </c>
      <c r="O14" s="475" t="s">
        <v>93</v>
      </c>
      <c r="P14" s="475" t="s">
        <v>94</v>
      </c>
      <c r="Q14" s="475" t="s">
        <v>95</v>
      </c>
      <c r="R14" s="475" t="s">
        <v>96</v>
      </c>
      <c r="S14" s="475" t="s">
        <v>97</v>
      </c>
    </row>
    <row r="15" spans="1:19" x14ac:dyDescent="0.25">
      <c r="A15" s="472" t="s">
        <v>98</v>
      </c>
      <c r="B15" s="469" t="s">
        <v>99</v>
      </c>
      <c r="C15" s="469"/>
      <c r="D15" s="470" t="s">
        <v>60</v>
      </c>
      <c r="E15" s="469"/>
      <c r="F15" s="469" t="s">
        <v>100</v>
      </c>
      <c r="G15" s="470" t="s">
        <v>78</v>
      </c>
      <c r="H15" s="469" t="s">
        <v>101</v>
      </c>
      <c r="I15" s="469"/>
      <c r="J15" s="470">
        <v>1</v>
      </c>
      <c r="K15" s="470">
        <v>1</v>
      </c>
      <c r="L15" s="470" t="s">
        <v>102</v>
      </c>
      <c r="M15" s="471">
        <v>0</v>
      </c>
      <c r="N15" s="470"/>
      <c r="O15" s="471">
        <v>0</v>
      </c>
      <c r="P15" s="469" t="s">
        <v>45</v>
      </c>
      <c r="Q15" s="470">
        <v>1</v>
      </c>
      <c r="R15" s="470">
        <v>0</v>
      </c>
      <c r="S15" s="469" t="s">
        <v>103</v>
      </c>
    </row>
    <row r="16" spans="1:19" x14ac:dyDescent="0.25">
      <c r="A16" s="472" t="s">
        <v>58</v>
      </c>
      <c r="B16" s="469" t="s">
        <v>104</v>
      </c>
      <c r="C16" s="469"/>
      <c r="D16" s="474" t="s">
        <v>55</v>
      </c>
      <c r="E16" s="469"/>
      <c r="F16" s="469" t="s">
        <v>105</v>
      </c>
      <c r="G16" s="470" t="s">
        <v>106</v>
      </c>
      <c r="H16" s="473" t="s">
        <v>57</v>
      </c>
      <c r="I16" s="469"/>
      <c r="J16" s="470">
        <v>1</v>
      </c>
      <c r="K16" s="470">
        <v>1</v>
      </c>
      <c r="L16" s="470" t="s">
        <v>80</v>
      </c>
      <c r="M16" s="471">
        <v>0</v>
      </c>
      <c r="N16" s="470"/>
      <c r="O16" s="471">
        <v>0</v>
      </c>
      <c r="P16" s="469" t="s">
        <v>45</v>
      </c>
      <c r="Q16" s="470">
        <v>1</v>
      </c>
      <c r="R16" s="470">
        <v>0</v>
      </c>
      <c r="S16" s="469" t="s">
        <v>103</v>
      </c>
    </row>
    <row r="17" spans="1:19" x14ac:dyDescent="0.25">
      <c r="A17" s="472" t="s">
        <v>107</v>
      </c>
      <c r="B17" s="469" t="s">
        <v>108</v>
      </c>
      <c r="C17" s="469"/>
      <c r="D17" s="470" t="s">
        <v>60</v>
      </c>
      <c r="E17" s="469"/>
      <c r="F17" s="469" t="s">
        <v>109</v>
      </c>
      <c r="G17" s="470" t="s">
        <v>110</v>
      </c>
      <c r="H17" s="469" t="s">
        <v>111</v>
      </c>
      <c r="I17" s="469"/>
      <c r="J17" s="470">
        <v>1</v>
      </c>
      <c r="K17" s="470">
        <v>1</v>
      </c>
      <c r="L17" s="470" t="s">
        <v>102</v>
      </c>
      <c r="M17" s="471">
        <v>0</v>
      </c>
      <c r="N17" s="470"/>
      <c r="O17" s="471">
        <v>0</v>
      </c>
      <c r="P17" s="469" t="s">
        <v>45</v>
      </c>
      <c r="Q17" s="470">
        <v>1</v>
      </c>
      <c r="R17" s="470">
        <v>0</v>
      </c>
      <c r="S17" s="469" t="s">
        <v>112</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FB428-B835-4D6A-94D7-731C48632503}">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487" t="s">
        <v>0</v>
      </c>
      <c r="B1" s="488" t="s">
        <v>113</v>
      </c>
      <c r="C1" s="488" t="s">
        <v>114</v>
      </c>
    </row>
    <row r="2" spans="1:3" x14ac:dyDescent="0.25">
      <c r="A2" s="489">
        <v>43807</v>
      </c>
      <c r="B2" s="490" t="s">
        <v>115</v>
      </c>
      <c r="C2" s="490" t="s">
        <v>11</v>
      </c>
    </row>
    <row r="3" spans="1:3" ht="30" x14ac:dyDescent="0.25">
      <c r="A3" s="489">
        <v>43937</v>
      </c>
      <c r="B3" s="80" t="s">
        <v>116</v>
      </c>
      <c r="C3" s="490" t="s">
        <v>11</v>
      </c>
    </row>
    <row r="4" spans="1:3" x14ac:dyDescent="0.25">
      <c r="A4" s="489">
        <v>43941</v>
      </c>
      <c r="B4" s="490" t="s">
        <v>117</v>
      </c>
      <c r="C4" s="490" t="s">
        <v>11</v>
      </c>
    </row>
    <row r="5" spans="1:3" x14ac:dyDescent="0.25">
      <c r="A5" s="489">
        <v>43942</v>
      </c>
      <c r="B5" s="490" t="s">
        <v>118</v>
      </c>
      <c r="C5" s="490" t="s">
        <v>11</v>
      </c>
    </row>
    <row r="6" spans="1:3" x14ac:dyDescent="0.25">
      <c r="A6" s="489">
        <v>43963</v>
      </c>
      <c r="B6" s="490" t="s">
        <v>119</v>
      </c>
      <c r="C6" s="490" t="s">
        <v>11</v>
      </c>
    </row>
    <row r="7" spans="1:3" x14ac:dyDescent="0.25">
      <c r="A7" s="489">
        <v>43990</v>
      </c>
      <c r="B7" s="490" t="s">
        <v>120</v>
      </c>
      <c r="C7" s="490" t="s">
        <v>11</v>
      </c>
    </row>
    <row r="8" spans="1:3" ht="30" x14ac:dyDescent="0.25">
      <c r="A8" s="489">
        <v>44104</v>
      </c>
      <c r="B8" s="80" t="s">
        <v>121</v>
      </c>
      <c r="C8" s="490" t="s">
        <v>122</v>
      </c>
    </row>
    <row r="9" spans="1:3" ht="150" x14ac:dyDescent="0.25">
      <c r="A9" s="489">
        <v>44128</v>
      </c>
      <c r="B9" s="80" t="s">
        <v>123</v>
      </c>
      <c r="C9" s="490" t="s">
        <v>122</v>
      </c>
    </row>
    <row r="10" spans="1:3" x14ac:dyDescent="0.25">
      <c r="A10" s="489">
        <v>44361</v>
      </c>
      <c r="B10" s="490" t="s">
        <v>124</v>
      </c>
      <c r="C10" s="490" t="s">
        <v>125</v>
      </c>
    </row>
    <row r="11" spans="1:3" x14ac:dyDescent="0.25">
      <c r="A11" s="489">
        <v>44813</v>
      </c>
      <c r="B11" s="490" t="s">
        <v>126</v>
      </c>
      <c r="C11" s="490" t="s">
        <v>122</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0"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127</v>
      </c>
      <c r="B1" s="537" t="s">
        <v>128</v>
      </c>
      <c r="C1" s="538"/>
      <c r="D1" s="538"/>
      <c r="E1" s="167" t="s">
        <v>129</v>
      </c>
      <c r="F1" s="167" t="s">
        <v>130</v>
      </c>
      <c r="G1" s="110" t="s">
        <v>131</v>
      </c>
    </row>
    <row r="2" spans="1:7" x14ac:dyDescent="0.25">
      <c r="A2" s="116" t="s">
        <v>132</v>
      </c>
      <c r="B2" s="539" t="s">
        <v>133</v>
      </c>
      <c r="C2" s="540"/>
      <c r="D2" s="540"/>
      <c r="E2" s="286" t="s">
        <v>134</v>
      </c>
      <c r="F2" s="286" t="s">
        <v>135</v>
      </c>
      <c r="G2" s="317" t="s">
        <v>136</v>
      </c>
    </row>
    <row r="3" spans="1:7" s="81" customFormat="1" x14ac:dyDescent="0.25">
      <c r="A3" s="194" t="s">
        <v>137</v>
      </c>
      <c r="B3" s="546" t="s">
        <v>138</v>
      </c>
      <c r="C3" s="547"/>
      <c r="D3" s="548"/>
      <c r="E3" s="80" t="s">
        <v>134</v>
      </c>
      <c r="F3" s="80" t="s">
        <v>135</v>
      </c>
      <c r="G3" s="318" t="s">
        <v>136</v>
      </c>
    </row>
    <row r="4" spans="1:7" x14ac:dyDescent="0.25">
      <c r="A4" s="194" t="s">
        <v>139</v>
      </c>
      <c r="B4" s="543" t="s">
        <v>140</v>
      </c>
      <c r="C4" s="544"/>
      <c r="D4" s="545"/>
      <c r="E4" s="80" t="s">
        <v>141</v>
      </c>
      <c r="F4" s="80" t="s">
        <v>135</v>
      </c>
      <c r="G4" s="318" t="s">
        <v>136</v>
      </c>
    </row>
    <row r="5" spans="1:7" x14ac:dyDescent="0.25">
      <c r="A5" s="117" t="s">
        <v>142</v>
      </c>
      <c r="B5" s="543" t="s">
        <v>143</v>
      </c>
      <c r="C5" s="544"/>
      <c r="D5" s="545"/>
      <c r="E5" s="80" t="s">
        <v>141</v>
      </c>
      <c r="F5" s="80" t="s">
        <v>135</v>
      </c>
      <c r="G5" s="318" t="s">
        <v>136</v>
      </c>
    </row>
    <row r="6" spans="1:7" x14ac:dyDescent="0.25">
      <c r="A6" s="117" t="s">
        <v>144</v>
      </c>
      <c r="B6" s="543" t="s">
        <v>145</v>
      </c>
      <c r="C6" s="544"/>
      <c r="D6" s="545"/>
      <c r="E6" s="80" t="s">
        <v>146</v>
      </c>
      <c r="F6" s="80" t="s">
        <v>135</v>
      </c>
      <c r="G6" s="85"/>
    </row>
    <row r="7" spans="1:7" ht="15.75" thickBot="1" x14ac:dyDescent="0.3">
      <c r="A7" s="118" t="s">
        <v>147</v>
      </c>
      <c r="B7" s="541" t="s">
        <v>148</v>
      </c>
      <c r="C7" s="542"/>
      <c r="D7" s="542"/>
      <c r="E7" s="86" t="s">
        <v>146</v>
      </c>
      <c r="F7" s="86"/>
      <c r="G7" s="87"/>
    </row>
    <row r="8" spans="1:7" s="84" customFormat="1" ht="15.75" thickBot="1" x14ac:dyDescent="0.3">
      <c r="A8" s="115" t="s">
        <v>127</v>
      </c>
      <c r="B8" s="378" t="s">
        <v>1</v>
      </c>
      <c r="C8" s="167" t="s">
        <v>149</v>
      </c>
      <c r="D8" s="167" t="s">
        <v>128</v>
      </c>
      <c r="E8" s="167" t="s">
        <v>129</v>
      </c>
      <c r="F8" s="167" t="s">
        <v>130</v>
      </c>
      <c r="G8" s="110" t="s">
        <v>131</v>
      </c>
    </row>
    <row r="9" spans="1:7" ht="105" x14ac:dyDescent="0.25">
      <c r="A9" s="514" t="s">
        <v>132</v>
      </c>
      <c r="B9" s="511" t="s">
        <v>150</v>
      </c>
      <c r="C9" s="324" t="s">
        <v>63</v>
      </c>
      <c r="D9" s="94" t="s">
        <v>151</v>
      </c>
      <c r="E9" s="94" t="s">
        <v>134</v>
      </c>
      <c r="F9" s="94" t="s">
        <v>152</v>
      </c>
      <c r="G9" s="379" t="s">
        <v>153</v>
      </c>
    </row>
    <row r="10" spans="1:7" ht="75" x14ac:dyDescent="0.25">
      <c r="A10" s="515"/>
      <c r="B10" s="512"/>
      <c r="C10" s="320" t="s">
        <v>64</v>
      </c>
      <c r="D10" s="82" t="s">
        <v>154</v>
      </c>
      <c r="E10" s="82" t="s">
        <v>134</v>
      </c>
      <c r="F10" s="82" t="s">
        <v>152</v>
      </c>
      <c r="G10" s="313" t="s">
        <v>155</v>
      </c>
    </row>
    <row r="11" spans="1:7" ht="45" x14ac:dyDescent="0.25">
      <c r="A11" s="515"/>
      <c r="B11" s="512"/>
      <c r="C11" s="320" t="s">
        <v>65</v>
      </c>
      <c r="D11" s="82" t="s">
        <v>156</v>
      </c>
      <c r="E11" s="82" t="s">
        <v>157</v>
      </c>
      <c r="F11" s="82" t="s">
        <v>152</v>
      </c>
      <c r="G11" s="95" t="s">
        <v>158</v>
      </c>
    </row>
    <row r="12" spans="1:7" ht="120" x14ac:dyDescent="0.25">
      <c r="A12" s="515"/>
      <c r="B12" s="512"/>
      <c r="C12" s="320" t="s">
        <v>66</v>
      </c>
      <c r="D12" s="336" t="s">
        <v>159</v>
      </c>
      <c r="E12" s="82" t="s">
        <v>157</v>
      </c>
      <c r="F12" s="82" t="s">
        <v>152</v>
      </c>
      <c r="G12" s="313" t="s">
        <v>160</v>
      </c>
    </row>
    <row r="13" spans="1:7" ht="30" x14ac:dyDescent="0.25">
      <c r="A13" s="515"/>
      <c r="B13" s="512"/>
      <c r="C13" s="320" t="s">
        <v>67</v>
      </c>
      <c r="D13" s="82" t="s">
        <v>161</v>
      </c>
      <c r="E13" s="82" t="s">
        <v>157</v>
      </c>
      <c r="F13" s="82" t="s">
        <v>152</v>
      </c>
      <c r="G13" s="95" t="s">
        <v>162</v>
      </c>
    </row>
    <row r="14" spans="1:7" ht="30" x14ac:dyDescent="0.25">
      <c r="A14" s="515"/>
      <c r="B14" s="512"/>
      <c r="C14" s="320" t="s">
        <v>68</v>
      </c>
      <c r="D14" s="82" t="s">
        <v>163</v>
      </c>
      <c r="E14" s="82" t="s">
        <v>157</v>
      </c>
      <c r="F14" s="82" t="s">
        <v>152</v>
      </c>
      <c r="G14" s="95" t="s">
        <v>162</v>
      </c>
    </row>
    <row r="15" spans="1:7" ht="30" x14ac:dyDescent="0.25">
      <c r="A15" s="515"/>
      <c r="B15" s="512"/>
      <c r="C15" s="121" t="s">
        <v>69</v>
      </c>
      <c r="D15" s="82" t="s">
        <v>164</v>
      </c>
      <c r="E15" s="82" t="s">
        <v>134</v>
      </c>
      <c r="F15" s="82" t="s">
        <v>152</v>
      </c>
      <c r="G15" s="95" t="s">
        <v>165</v>
      </c>
    </row>
    <row r="16" spans="1:7" ht="60" x14ac:dyDescent="0.25">
      <c r="A16" s="515"/>
      <c r="B16" s="512"/>
      <c r="C16" s="320" t="s">
        <v>70</v>
      </c>
      <c r="D16" s="336" t="s">
        <v>166</v>
      </c>
      <c r="E16" s="82" t="s">
        <v>157</v>
      </c>
      <c r="F16" s="82" t="s">
        <v>152</v>
      </c>
      <c r="G16" s="313" t="s">
        <v>167</v>
      </c>
    </row>
    <row r="17" spans="1:7" ht="30" x14ac:dyDescent="0.25">
      <c r="A17" s="515"/>
      <c r="B17" s="512"/>
      <c r="C17" s="320" t="s">
        <v>71</v>
      </c>
      <c r="D17" s="82" t="s">
        <v>168</v>
      </c>
      <c r="E17" s="82" t="s">
        <v>157</v>
      </c>
      <c r="F17" s="82" t="s">
        <v>152</v>
      </c>
      <c r="G17" s="95" t="s">
        <v>169</v>
      </c>
    </row>
    <row r="18" spans="1:7" ht="45" x14ac:dyDescent="0.25">
      <c r="A18" s="515"/>
      <c r="B18" s="512"/>
      <c r="C18" s="320" t="s">
        <v>72</v>
      </c>
      <c r="D18" s="82" t="s">
        <v>170</v>
      </c>
      <c r="E18" s="82" t="s">
        <v>157</v>
      </c>
      <c r="F18" s="82" t="s">
        <v>152</v>
      </c>
      <c r="G18" s="95" t="s">
        <v>171</v>
      </c>
    </row>
    <row r="19" spans="1:7" x14ac:dyDescent="0.25">
      <c r="A19" s="515"/>
      <c r="B19" s="512"/>
      <c r="C19" s="320" t="s">
        <v>73</v>
      </c>
      <c r="D19" s="82" t="s">
        <v>172</v>
      </c>
      <c r="E19" s="82" t="s">
        <v>157</v>
      </c>
      <c r="F19" s="82" t="s">
        <v>152</v>
      </c>
      <c r="G19" s="95" t="s">
        <v>173</v>
      </c>
    </row>
    <row r="20" spans="1:7" ht="105.75" thickBot="1" x14ac:dyDescent="0.3">
      <c r="A20" s="515"/>
      <c r="B20" s="513"/>
      <c r="C20" s="380" t="s">
        <v>1</v>
      </c>
      <c r="D20" s="449" t="s">
        <v>174</v>
      </c>
      <c r="E20" s="354" t="s">
        <v>157</v>
      </c>
      <c r="F20" s="354" t="s">
        <v>152</v>
      </c>
      <c r="G20" s="381" t="s">
        <v>175</v>
      </c>
    </row>
    <row r="21" spans="1:7" ht="45" x14ac:dyDescent="0.25">
      <c r="A21" s="515"/>
      <c r="B21" s="528" t="s">
        <v>176</v>
      </c>
      <c r="C21" s="321" t="s">
        <v>91</v>
      </c>
      <c r="D21" s="105" t="s">
        <v>177</v>
      </c>
      <c r="E21" s="105" t="s">
        <v>157</v>
      </c>
      <c r="F21" s="105" t="s">
        <v>178</v>
      </c>
      <c r="G21" s="168" t="s">
        <v>179</v>
      </c>
    </row>
    <row r="22" spans="1:7" ht="30" x14ac:dyDescent="0.25">
      <c r="A22" s="515"/>
      <c r="B22" s="529"/>
      <c r="C22" s="322" t="s">
        <v>92</v>
      </c>
      <c r="D22" s="385" t="s">
        <v>180</v>
      </c>
      <c r="E22" s="385" t="s">
        <v>157</v>
      </c>
      <c r="F22" s="385" t="s">
        <v>178</v>
      </c>
      <c r="G22" s="386" t="s">
        <v>181</v>
      </c>
    </row>
    <row r="23" spans="1:7" ht="15.75" thickBot="1" x14ac:dyDescent="0.3">
      <c r="A23" s="515"/>
      <c r="B23" s="530"/>
      <c r="C23" s="387" t="s">
        <v>93</v>
      </c>
      <c r="D23" s="107" t="s">
        <v>182</v>
      </c>
      <c r="E23" s="107" t="s">
        <v>157</v>
      </c>
      <c r="F23" s="107" t="s">
        <v>178</v>
      </c>
      <c r="G23" s="108" t="s">
        <v>183</v>
      </c>
    </row>
    <row r="24" spans="1:7" ht="30" customHeight="1" x14ac:dyDescent="0.25">
      <c r="A24" s="515"/>
      <c r="B24" s="531" t="s">
        <v>184</v>
      </c>
      <c r="C24" s="382" t="s">
        <v>94</v>
      </c>
      <c r="D24" s="383" t="s">
        <v>185</v>
      </c>
      <c r="E24" s="383" t="s">
        <v>157</v>
      </c>
      <c r="F24" s="383" t="s">
        <v>152</v>
      </c>
      <c r="G24" s="384" t="s">
        <v>186</v>
      </c>
    </row>
    <row r="25" spans="1:7" ht="30" customHeight="1" x14ac:dyDescent="0.25">
      <c r="A25" s="515"/>
      <c r="B25" s="532"/>
      <c r="C25" s="322" t="s">
        <v>95</v>
      </c>
      <c r="D25" s="109" t="s">
        <v>187</v>
      </c>
      <c r="E25" s="109" t="s">
        <v>157</v>
      </c>
      <c r="F25" s="109" t="s">
        <v>188</v>
      </c>
      <c r="G25" s="549" t="s">
        <v>189</v>
      </c>
    </row>
    <row r="26" spans="1:7" ht="30" x14ac:dyDescent="0.25">
      <c r="A26" s="515"/>
      <c r="B26" s="532"/>
      <c r="C26" s="267" t="s">
        <v>96</v>
      </c>
      <c r="D26" s="109" t="s">
        <v>190</v>
      </c>
      <c r="E26" s="109" t="s">
        <v>157</v>
      </c>
      <c r="F26" s="109" t="s">
        <v>188</v>
      </c>
      <c r="G26" s="550"/>
    </row>
    <row r="27" spans="1:7" x14ac:dyDescent="0.25">
      <c r="A27" s="515"/>
      <c r="B27" s="532"/>
      <c r="C27" s="322" t="s">
        <v>30</v>
      </c>
      <c r="D27" s="109" t="s">
        <v>191</v>
      </c>
      <c r="E27" s="109" t="s">
        <v>157</v>
      </c>
      <c r="F27" s="109" t="s">
        <v>188</v>
      </c>
      <c r="G27" s="550"/>
    </row>
    <row r="28" spans="1:7" x14ac:dyDescent="0.25">
      <c r="A28" s="515"/>
      <c r="B28" s="532"/>
      <c r="C28" s="322" t="s">
        <v>192</v>
      </c>
      <c r="D28" s="109" t="s">
        <v>193</v>
      </c>
      <c r="E28" s="109" t="s">
        <v>157</v>
      </c>
      <c r="F28" s="109" t="s">
        <v>188</v>
      </c>
      <c r="G28" s="550"/>
    </row>
    <row r="29" spans="1:7" x14ac:dyDescent="0.25">
      <c r="A29" s="515"/>
      <c r="B29" s="532"/>
      <c r="C29" s="322" t="s">
        <v>35</v>
      </c>
      <c r="D29" s="109" t="s">
        <v>194</v>
      </c>
      <c r="E29" s="109" t="s">
        <v>157</v>
      </c>
      <c r="F29" s="109" t="s">
        <v>188</v>
      </c>
      <c r="G29" s="550"/>
    </row>
    <row r="30" spans="1:7" x14ac:dyDescent="0.25">
      <c r="A30" s="515"/>
      <c r="B30" s="532"/>
      <c r="C30" s="322" t="s">
        <v>195</v>
      </c>
      <c r="D30" s="109" t="s">
        <v>196</v>
      </c>
      <c r="E30" s="109" t="s">
        <v>157</v>
      </c>
      <c r="F30" s="109" t="s">
        <v>188</v>
      </c>
      <c r="G30" s="550"/>
    </row>
    <row r="31" spans="1:7" x14ac:dyDescent="0.25">
      <c r="A31" s="515"/>
      <c r="B31" s="532"/>
      <c r="C31" s="267" t="s">
        <v>197</v>
      </c>
      <c r="D31" s="109" t="s">
        <v>198</v>
      </c>
      <c r="E31" s="109" t="s">
        <v>157</v>
      </c>
      <c r="F31" s="109" t="s">
        <v>188</v>
      </c>
      <c r="G31" s="550"/>
    </row>
    <row r="32" spans="1:7" ht="30.75" thickBot="1" x14ac:dyDescent="0.3">
      <c r="A32" s="515"/>
      <c r="B32" s="533"/>
      <c r="C32" s="323" t="s">
        <v>199</v>
      </c>
      <c r="D32" s="104" t="s">
        <v>200</v>
      </c>
      <c r="E32" s="104" t="s">
        <v>157</v>
      </c>
      <c r="F32" s="104" t="s">
        <v>188</v>
      </c>
      <c r="G32" s="551"/>
    </row>
    <row r="33" spans="1:7" ht="30" x14ac:dyDescent="0.25">
      <c r="A33" s="515"/>
      <c r="B33" s="534" t="s">
        <v>201</v>
      </c>
      <c r="C33" s="302" t="s">
        <v>96</v>
      </c>
      <c r="D33" s="265" t="s">
        <v>202</v>
      </c>
      <c r="E33" s="265" t="s">
        <v>157</v>
      </c>
      <c r="F33" s="265" t="s">
        <v>203</v>
      </c>
      <c r="G33" s="266" t="s">
        <v>204</v>
      </c>
    </row>
    <row r="34" spans="1:7" x14ac:dyDescent="0.25">
      <c r="A34" s="515"/>
      <c r="B34" s="535"/>
      <c r="C34" s="320" t="s">
        <v>30</v>
      </c>
      <c r="D34" s="83" t="s">
        <v>205</v>
      </c>
      <c r="E34" s="83" t="s">
        <v>157</v>
      </c>
      <c r="F34" s="83" t="s">
        <v>203</v>
      </c>
      <c r="G34" s="99"/>
    </row>
    <row r="35" spans="1:7" x14ac:dyDescent="0.25">
      <c r="A35" s="515"/>
      <c r="B35" s="535"/>
      <c r="C35" s="320" t="s">
        <v>192</v>
      </c>
      <c r="D35" s="83" t="s">
        <v>206</v>
      </c>
      <c r="E35" s="83" t="s">
        <v>157</v>
      </c>
      <c r="F35" s="83" t="s">
        <v>203</v>
      </c>
      <c r="G35" s="99" t="s">
        <v>207</v>
      </c>
    </row>
    <row r="36" spans="1:7" x14ac:dyDescent="0.25">
      <c r="A36" s="515"/>
      <c r="B36" s="535"/>
      <c r="C36" s="320" t="s">
        <v>35</v>
      </c>
      <c r="D36" s="83" t="s">
        <v>208</v>
      </c>
      <c r="E36" s="83" t="s">
        <v>157</v>
      </c>
      <c r="F36" s="83" t="s">
        <v>203</v>
      </c>
      <c r="G36" s="113"/>
    </row>
    <row r="37" spans="1:7" x14ac:dyDescent="0.25">
      <c r="A37" s="515"/>
      <c r="B37" s="535"/>
      <c r="C37" s="320" t="s">
        <v>195</v>
      </c>
      <c r="D37" s="83" t="s">
        <v>209</v>
      </c>
      <c r="E37" s="83" t="s">
        <v>157</v>
      </c>
      <c r="F37" s="83" t="s">
        <v>203</v>
      </c>
      <c r="G37" s="99" t="s">
        <v>210</v>
      </c>
    </row>
    <row r="38" spans="1:7" x14ac:dyDescent="0.25">
      <c r="A38" s="515"/>
      <c r="B38" s="535"/>
      <c r="C38" s="268" t="s">
        <v>197</v>
      </c>
      <c r="D38" s="83" t="s">
        <v>211</v>
      </c>
      <c r="E38" s="83" t="s">
        <v>157</v>
      </c>
      <c r="F38" s="83" t="s">
        <v>203</v>
      </c>
      <c r="G38" s="99"/>
    </row>
    <row r="39" spans="1:7" ht="30" x14ac:dyDescent="0.25">
      <c r="A39" s="515"/>
      <c r="B39" s="535"/>
      <c r="C39" s="322" t="s">
        <v>212</v>
      </c>
      <c r="D39" s="83" t="s">
        <v>213</v>
      </c>
      <c r="E39" s="83" t="s">
        <v>157</v>
      </c>
      <c r="F39" s="83" t="s">
        <v>203</v>
      </c>
      <c r="G39" s="99"/>
    </row>
    <row r="40" spans="1:7" ht="30" x14ac:dyDescent="0.25">
      <c r="A40" s="515"/>
      <c r="B40" s="535"/>
      <c r="C40" s="268" t="s">
        <v>97</v>
      </c>
      <c r="D40" s="83" t="s">
        <v>214</v>
      </c>
      <c r="E40" s="83" t="s">
        <v>134</v>
      </c>
      <c r="F40" s="83" t="s">
        <v>203</v>
      </c>
      <c r="G40" s="99" t="s">
        <v>215</v>
      </c>
    </row>
    <row r="41" spans="1:7" ht="45.75" thickBot="1" x14ac:dyDescent="0.3">
      <c r="A41" s="515"/>
      <c r="B41" s="536"/>
      <c r="C41" s="319" t="s">
        <v>216</v>
      </c>
      <c r="D41" s="100" t="s">
        <v>217</v>
      </c>
      <c r="E41" s="100" t="s">
        <v>157</v>
      </c>
      <c r="F41" s="100" t="s">
        <v>203</v>
      </c>
      <c r="G41" s="101" t="s">
        <v>218</v>
      </c>
    </row>
    <row r="42" spans="1:7" ht="135.75" thickBot="1" x14ac:dyDescent="0.3">
      <c r="A42" s="514" t="s">
        <v>137</v>
      </c>
      <c r="B42" s="388" t="s">
        <v>219</v>
      </c>
      <c r="C42" s="324" t="s">
        <v>66</v>
      </c>
      <c r="D42" s="389" t="s">
        <v>220</v>
      </c>
      <c r="E42" s="389" t="s">
        <v>157</v>
      </c>
      <c r="F42" s="389" t="s">
        <v>152</v>
      </c>
      <c r="G42" s="390" t="s">
        <v>221</v>
      </c>
    </row>
    <row r="43" spans="1:7" ht="15" customHeight="1" x14ac:dyDescent="0.25">
      <c r="A43" s="515"/>
      <c r="B43" s="519" t="s">
        <v>222</v>
      </c>
      <c r="C43" s="299" t="s">
        <v>223</v>
      </c>
      <c r="D43" s="287" t="s">
        <v>224</v>
      </c>
      <c r="E43" s="287" t="s">
        <v>141</v>
      </c>
      <c r="F43" s="287" t="s">
        <v>152</v>
      </c>
      <c r="G43" s="270" t="s">
        <v>225</v>
      </c>
    </row>
    <row r="44" spans="1:7" ht="30" x14ac:dyDescent="0.25">
      <c r="A44" s="515"/>
      <c r="B44" s="520"/>
      <c r="C44" s="300" t="s">
        <v>95</v>
      </c>
      <c r="D44" s="288" t="s">
        <v>226</v>
      </c>
      <c r="E44" s="288" t="s">
        <v>141</v>
      </c>
      <c r="F44" s="288" t="s">
        <v>152</v>
      </c>
      <c r="G44" s="271" t="s">
        <v>225</v>
      </c>
    </row>
    <row r="45" spans="1:7" ht="30" x14ac:dyDescent="0.25">
      <c r="A45" s="515"/>
      <c r="B45" s="520"/>
      <c r="C45" s="300" t="s">
        <v>72</v>
      </c>
      <c r="D45" s="288" t="s">
        <v>227</v>
      </c>
      <c r="E45" s="288" t="s">
        <v>141</v>
      </c>
      <c r="F45" s="288" t="s">
        <v>152</v>
      </c>
      <c r="G45" s="271" t="s">
        <v>228</v>
      </c>
    </row>
    <row r="46" spans="1:7" x14ac:dyDescent="0.25">
      <c r="A46" s="515"/>
      <c r="B46" s="520"/>
      <c r="C46" s="300" t="s">
        <v>229</v>
      </c>
      <c r="D46" s="288" t="s">
        <v>230</v>
      </c>
      <c r="E46" s="288" t="s">
        <v>141</v>
      </c>
      <c r="F46" s="288" t="s">
        <v>152</v>
      </c>
      <c r="G46" s="271" t="s">
        <v>225</v>
      </c>
    </row>
    <row r="47" spans="1:7" ht="15.75" thickBot="1" x14ac:dyDescent="0.3">
      <c r="A47" s="515"/>
      <c r="B47" s="521"/>
      <c r="C47" s="301" t="s">
        <v>231</v>
      </c>
      <c r="D47" s="289" t="s">
        <v>232</v>
      </c>
      <c r="E47" s="288" t="s">
        <v>141</v>
      </c>
      <c r="F47" s="289" t="s">
        <v>152</v>
      </c>
      <c r="G47" s="272" t="s">
        <v>225</v>
      </c>
    </row>
    <row r="48" spans="1:7" ht="30" x14ac:dyDescent="0.25">
      <c r="A48" s="515"/>
      <c r="B48" s="522" t="s">
        <v>233</v>
      </c>
      <c r="C48" s="296" t="s">
        <v>96</v>
      </c>
      <c r="D48" s="290" t="s">
        <v>234</v>
      </c>
      <c r="E48" s="290" t="s">
        <v>141</v>
      </c>
      <c r="F48" s="290" t="s">
        <v>188</v>
      </c>
      <c r="G48" s="552" t="s">
        <v>235</v>
      </c>
    </row>
    <row r="49" spans="1:7" ht="30" x14ac:dyDescent="0.25">
      <c r="A49" s="515"/>
      <c r="B49" s="522"/>
      <c r="C49" s="297" t="s">
        <v>30</v>
      </c>
      <c r="D49" s="273" t="s">
        <v>236</v>
      </c>
      <c r="E49" s="273" t="s">
        <v>141</v>
      </c>
      <c r="F49" s="273" t="s">
        <v>188</v>
      </c>
      <c r="G49" s="553"/>
    </row>
    <row r="50" spans="1:7" ht="30" x14ac:dyDescent="0.25">
      <c r="A50" s="515"/>
      <c r="B50" s="522"/>
      <c r="C50" s="297" t="s">
        <v>192</v>
      </c>
      <c r="D50" s="273" t="s">
        <v>237</v>
      </c>
      <c r="E50" s="273" t="s">
        <v>141</v>
      </c>
      <c r="F50" s="273" t="s">
        <v>188</v>
      </c>
      <c r="G50" s="553"/>
    </row>
    <row r="51" spans="1:7" ht="30" x14ac:dyDescent="0.25">
      <c r="A51" s="515"/>
      <c r="B51" s="522"/>
      <c r="C51" s="297" t="s">
        <v>35</v>
      </c>
      <c r="D51" s="273" t="s">
        <v>238</v>
      </c>
      <c r="E51" s="273" t="s">
        <v>141</v>
      </c>
      <c r="F51" s="273" t="s">
        <v>188</v>
      </c>
      <c r="G51" s="553"/>
    </row>
    <row r="52" spans="1:7" ht="30" x14ac:dyDescent="0.25">
      <c r="A52" s="515"/>
      <c r="B52" s="522"/>
      <c r="C52" s="297" t="s">
        <v>195</v>
      </c>
      <c r="D52" s="273" t="s">
        <v>239</v>
      </c>
      <c r="E52" s="273" t="s">
        <v>141</v>
      </c>
      <c r="F52" s="273" t="s">
        <v>188</v>
      </c>
      <c r="G52" s="553"/>
    </row>
    <row r="53" spans="1:7" ht="30" x14ac:dyDescent="0.25">
      <c r="A53" s="515"/>
      <c r="B53" s="522"/>
      <c r="C53" s="297" t="s">
        <v>240</v>
      </c>
      <c r="D53" s="273" t="s">
        <v>241</v>
      </c>
      <c r="E53" s="273" t="s">
        <v>141</v>
      </c>
      <c r="F53" s="273" t="s">
        <v>188</v>
      </c>
      <c r="G53" s="553"/>
    </row>
    <row r="54" spans="1:7" x14ac:dyDescent="0.25">
      <c r="A54" s="515"/>
      <c r="B54" s="522"/>
      <c r="C54" s="297" t="s">
        <v>197</v>
      </c>
      <c r="D54" s="273" t="s">
        <v>242</v>
      </c>
      <c r="E54" s="273" t="s">
        <v>141</v>
      </c>
      <c r="F54" s="273" t="s">
        <v>188</v>
      </c>
      <c r="G54" s="553"/>
    </row>
    <row r="55" spans="1:7" ht="30.75" thickBot="1" x14ac:dyDescent="0.3">
      <c r="A55" s="515"/>
      <c r="B55" s="523"/>
      <c r="C55" s="298" t="s">
        <v>243</v>
      </c>
      <c r="D55" s="291" t="s">
        <v>244</v>
      </c>
      <c r="E55" s="291" t="s">
        <v>141</v>
      </c>
      <c r="F55" s="291" t="s">
        <v>188</v>
      </c>
      <c r="G55" s="554"/>
    </row>
    <row r="56" spans="1:7" ht="30" x14ac:dyDescent="0.25">
      <c r="A56" s="515"/>
      <c r="B56" s="524" t="s">
        <v>201</v>
      </c>
      <c r="C56" s="375" t="s">
        <v>96</v>
      </c>
      <c r="D56" s="376" t="s">
        <v>245</v>
      </c>
      <c r="E56" s="376" t="s">
        <v>141</v>
      </c>
      <c r="F56" s="376" t="s">
        <v>203</v>
      </c>
      <c r="G56" s="377" t="s">
        <v>225</v>
      </c>
    </row>
    <row r="57" spans="1:7" ht="30" x14ac:dyDescent="0.25">
      <c r="A57" s="515"/>
      <c r="B57" s="525"/>
      <c r="C57" s="294" t="s">
        <v>30</v>
      </c>
      <c r="D57" s="292" t="s">
        <v>246</v>
      </c>
      <c r="E57" s="292" t="s">
        <v>141</v>
      </c>
      <c r="F57" s="292" t="s">
        <v>203</v>
      </c>
      <c r="G57" s="269" t="s">
        <v>225</v>
      </c>
    </row>
    <row r="58" spans="1:7" ht="30" x14ac:dyDescent="0.25">
      <c r="A58" s="515"/>
      <c r="B58" s="525"/>
      <c r="C58" s="294" t="s">
        <v>192</v>
      </c>
      <c r="D58" s="292" t="s">
        <v>247</v>
      </c>
      <c r="E58" s="292" t="s">
        <v>141</v>
      </c>
      <c r="F58" s="292" t="s">
        <v>203</v>
      </c>
      <c r="G58" s="269" t="s">
        <v>225</v>
      </c>
    </row>
    <row r="59" spans="1:7" x14ac:dyDescent="0.25">
      <c r="A59" s="515"/>
      <c r="B59" s="525"/>
      <c r="C59" s="294" t="s">
        <v>35</v>
      </c>
      <c r="D59" s="292" t="s">
        <v>248</v>
      </c>
      <c r="E59" s="292" t="s">
        <v>141</v>
      </c>
      <c r="F59" s="292" t="s">
        <v>203</v>
      </c>
      <c r="G59" s="269" t="s">
        <v>225</v>
      </c>
    </row>
    <row r="60" spans="1:7" ht="30" x14ac:dyDescent="0.25">
      <c r="A60" s="515"/>
      <c r="B60" s="525"/>
      <c r="C60" s="294" t="s">
        <v>195</v>
      </c>
      <c r="D60" s="292" t="s">
        <v>249</v>
      </c>
      <c r="E60" s="292" t="s">
        <v>141</v>
      </c>
      <c r="F60" s="292" t="s">
        <v>203</v>
      </c>
      <c r="G60" s="269" t="s">
        <v>225</v>
      </c>
    </row>
    <row r="61" spans="1:7" x14ac:dyDescent="0.25">
      <c r="A61" s="515"/>
      <c r="B61" s="525"/>
      <c r="C61" s="294" t="s">
        <v>240</v>
      </c>
      <c r="D61" s="292" t="s">
        <v>250</v>
      </c>
      <c r="E61" s="292" t="s">
        <v>141</v>
      </c>
      <c r="F61" s="292" t="s">
        <v>203</v>
      </c>
      <c r="G61" s="269" t="s">
        <v>225</v>
      </c>
    </row>
    <row r="62" spans="1:7" x14ac:dyDescent="0.25">
      <c r="A62" s="515"/>
      <c r="B62" s="525"/>
      <c r="C62" s="294" t="s">
        <v>197</v>
      </c>
      <c r="D62" s="292" t="s">
        <v>251</v>
      </c>
      <c r="E62" s="292" t="s">
        <v>141</v>
      </c>
      <c r="F62" s="292" t="s">
        <v>203</v>
      </c>
      <c r="G62" s="269" t="s">
        <v>225</v>
      </c>
    </row>
    <row r="63" spans="1:7" ht="15.75" thickBot="1" x14ac:dyDescent="0.3">
      <c r="A63" s="527"/>
      <c r="B63" s="526"/>
      <c r="C63" s="295" t="s">
        <v>243</v>
      </c>
      <c r="D63" s="293" t="s">
        <v>252</v>
      </c>
      <c r="E63" s="293" t="s">
        <v>141</v>
      </c>
      <c r="F63" s="293" t="s">
        <v>203</v>
      </c>
      <c r="G63" s="274" t="s">
        <v>225</v>
      </c>
    </row>
    <row r="64" spans="1:7" ht="120" x14ac:dyDescent="0.25">
      <c r="A64" s="515" t="s">
        <v>139</v>
      </c>
      <c r="B64" s="516" t="s">
        <v>253</v>
      </c>
      <c r="C64" s="321" t="s">
        <v>63</v>
      </c>
      <c r="D64" s="276" t="s">
        <v>254</v>
      </c>
      <c r="E64" s="276" t="s">
        <v>134</v>
      </c>
      <c r="F64" s="276" t="s">
        <v>152</v>
      </c>
      <c r="G64" s="391" t="s">
        <v>255</v>
      </c>
    </row>
    <row r="65" spans="1:7" ht="60" x14ac:dyDescent="0.25">
      <c r="A65" s="515"/>
      <c r="B65" s="517"/>
      <c r="C65" s="322" t="s">
        <v>64</v>
      </c>
      <c r="D65" s="277" t="s">
        <v>154</v>
      </c>
      <c r="E65" s="277" t="s">
        <v>134</v>
      </c>
      <c r="F65" s="277" t="s">
        <v>152</v>
      </c>
      <c r="G65" s="393" t="s">
        <v>256</v>
      </c>
    </row>
    <row r="66" spans="1:7" ht="30" x14ac:dyDescent="0.25">
      <c r="A66" s="515"/>
      <c r="B66" s="517"/>
      <c r="C66" s="322" t="s">
        <v>69</v>
      </c>
      <c r="D66" s="277" t="s">
        <v>164</v>
      </c>
      <c r="E66" s="277" t="s">
        <v>134</v>
      </c>
      <c r="F66" s="277" t="s">
        <v>152</v>
      </c>
      <c r="G66" s="278" t="s">
        <v>257</v>
      </c>
    </row>
    <row r="67" spans="1:7" ht="30" x14ac:dyDescent="0.25">
      <c r="A67" s="515"/>
      <c r="B67" s="517"/>
      <c r="C67" s="322" t="s">
        <v>258</v>
      </c>
      <c r="D67" s="277" t="s">
        <v>259</v>
      </c>
      <c r="E67" s="277" t="s">
        <v>134</v>
      </c>
      <c r="F67" s="277" t="s">
        <v>152</v>
      </c>
      <c r="G67" s="278" t="s">
        <v>260</v>
      </c>
    </row>
    <row r="68" spans="1:7" x14ac:dyDescent="0.25">
      <c r="A68" s="515"/>
      <c r="B68" s="517"/>
      <c r="C68" s="322" t="s">
        <v>1</v>
      </c>
      <c r="D68" s="277" t="s">
        <v>261</v>
      </c>
      <c r="E68" s="277" t="s">
        <v>134</v>
      </c>
      <c r="F68" s="277" t="s">
        <v>152</v>
      </c>
      <c r="G68" s="278" t="s">
        <v>262</v>
      </c>
    </row>
    <row r="69" spans="1:7" ht="15.75" thickBot="1" x14ac:dyDescent="0.3">
      <c r="A69" s="515"/>
      <c r="B69" s="518"/>
      <c r="C69" s="323" t="s">
        <v>263</v>
      </c>
      <c r="D69" s="279" t="s">
        <v>264</v>
      </c>
      <c r="E69" s="279" t="s">
        <v>134</v>
      </c>
      <c r="F69" s="279" t="s">
        <v>152</v>
      </c>
      <c r="G69" s="280"/>
    </row>
    <row r="70" spans="1:7" ht="150" x14ac:dyDescent="0.25">
      <c r="A70" s="514" t="s">
        <v>142</v>
      </c>
      <c r="B70" s="511" t="s">
        <v>150</v>
      </c>
      <c r="C70" s="328" t="s">
        <v>63</v>
      </c>
      <c r="D70" s="275" t="s">
        <v>265</v>
      </c>
      <c r="E70" s="275" t="s">
        <v>134</v>
      </c>
      <c r="F70" s="275" t="s">
        <v>152</v>
      </c>
      <c r="G70" s="392" t="s">
        <v>266</v>
      </c>
    </row>
    <row r="71" spans="1:7" x14ac:dyDescent="0.25">
      <c r="A71" s="515"/>
      <c r="B71" s="512"/>
      <c r="C71" s="121" t="s">
        <v>64</v>
      </c>
      <c r="D71" s="82" t="s">
        <v>154</v>
      </c>
      <c r="E71" s="82" t="s">
        <v>134</v>
      </c>
      <c r="F71" s="82" t="s">
        <v>152</v>
      </c>
      <c r="G71" s="95" t="s">
        <v>225</v>
      </c>
    </row>
    <row r="72" spans="1:7" ht="30" x14ac:dyDescent="0.25">
      <c r="A72" s="515"/>
      <c r="B72" s="512"/>
      <c r="C72" s="121" t="s">
        <v>69</v>
      </c>
      <c r="D72" s="82" t="s">
        <v>164</v>
      </c>
      <c r="E72" s="82" t="s">
        <v>134</v>
      </c>
      <c r="F72" s="82" t="s">
        <v>152</v>
      </c>
      <c r="G72" s="95" t="s">
        <v>267</v>
      </c>
    </row>
    <row r="73" spans="1:7" x14ac:dyDescent="0.25">
      <c r="A73" s="515"/>
      <c r="B73" s="512"/>
      <c r="C73" s="121" t="s">
        <v>268</v>
      </c>
      <c r="D73" s="82" t="s">
        <v>269</v>
      </c>
      <c r="E73" s="82" t="s">
        <v>157</v>
      </c>
      <c r="F73" s="82" t="s">
        <v>152</v>
      </c>
      <c r="G73" s="95" t="s">
        <v>225</v>
      </c>
    </row>
    <row r="74" spans="1:7" ht="60" customHeight="1" x14ac:dyDescent="0.25">
      <c r="A74" s="515"/>
      <c r="B74" s="512"/>
      <c r="C74" s="121" t="s">
        <v>66</v>
      </c>
      <c r="D74" s="82" t="s">
        <v>270</v>
      </c>
      <c r="E74" s="82" t="s">
        <v>157</v>
      </c>
      <c r="F74" s="82" t="s">
        <v>152</v>
      </c>
      <c r="G74" s="95" t="s">
        <v>225</v>
      </c>
    </row>
    <row r="75" spans="1:7" x14ac:dyDescent="0.25">
      <c r="A75" s="515"/>
      <c r="B75" s="512"/>
      <c r="C75" s="121" t="s">
        <v>1</v>
      </c>
      <c r="D75" s="82" t="s">
        <v>261</v>
      </c>
      <c r="E75" s="82" t="s">
        <v>157</v>
      </c>
      <c r="F75" s="82" t="s">
        <v>152</v>
      </c>
      <c r="G75" s="95" t="s">
        <v>225</v>
      </c>
    </row>
    <row r="76" spans="1:7" ht="90" x14ac:dyDescent="0.25">
      <c r="A76" s="515"/>
      <c r="B76" s="512"/>
      <c r="C76" s="121" t="s">
        <v>271</v>
      </c>
      <c r="D76" s="82" t="s">
        <v>272</v>
      </c>
      <c r="E76" s="82" t="s">
        <v>134</v>
      </c>
      <c r="F76" s="82" t="s">
        <v>152</v>
      </c>
      <c r="G76" s="313" t="s">
        <v>273</v>
      </c>
    </row>
    <row r="77" spans="1:7" ht="90" x14ac:dyDescent="0.25">
      <c r="A77" s="515"/>
      <c r="B77" s="512"/>
      <c r="C77" s="121" t="s">
        <v>274</v>
      </c>
      <c r="D77" s="82" t="s">
        <v>275</v>
      </c>
      <c r="E77" s="82" t="s">
        <v>134</v>
      </c>
      <c r="F77" s="82" t="s">
        <v>152</v>
      </c>
      <c r="G77" s="313" t="s">
        <v>276</v>
      </c>
    </row>
    <row r="78" spans="1:7" ht="30" x14ac:dyDescent="0.25">
      <c r="A78" s="515"/>
      <c r="B78" s="512"/>
      <c r="C78" s="121" t="s">
        <v>72</v>
      </c>
      <c r="D78" s="82" t="s">
        <v>227</v>
      </c>
      <c r="E78" s="82" t="s">
        <v>157</v>
      </c>
      <c r="F78" s="82" t="s">
        <v>152</v>
      </c>
      <c r="G78" s="95" t="s">
        <v>228</v>
      </c>
    </row>
    <row r="79" spans="1:7" ht="30.75" thickBot="1" x14ac:dyDescent="0.3">
      <c r="A79" s="515"/>
      <c r="B79" s="513"/>
      <c r="C79" s="122" t="s">
        <v>277</v>
      </c>
      <c r="D79" s="96" t="s">
        <v>278</v>
      </c>
      <c r="E79" s="96" t="s">
        <v>134</v>
      </c>
      <c r="F79" s="96" t="s">
        <v>152</v>
      </c>
      <c r="G79" s="97" t="s">
        <v>279</v>
      </c>
    </row>
    <row r="80" spans="1:7" ht="30" x14ac:dyDescent="0.25">
      <c r="A80" s="515"/>
      <c r="B80" s="555" t="s">
        <v>176</v>
      </c>
      <c r="C80" s="123" t="s">
        <v>91</v>
      </c>
      <c r="D80" s="105" t="s">
        <v>280</v>
      </c>
      <c r="E80" s="105" t="s">
        <v>134</v>
      </c>
      <c r="F80" s="105" t="s">
        <v>281</v>
      </c>
      <c r="G80" s="106" t="s">
        <v>279</v>
      </c>
    </row>
    <row r="81" spans="1:7" ht="30.75" thickBot="1" x14ac:dyDescent="0.3">
      <c r="A81" s="515"/>
      <c r="B81" s="556"/>
      <c r="C81" s="124" t="s">
        <v>93</v>
      </c>
      <c r="D81" s="107" t="s">
        <v>282</v>
      </c>
      <c r="E81" s="107" t="s">
        <v>134</v>
      </c>
      <c r="F81" s="107" t="s">
        <v>281</v>
      </c>
      <c r="G81" s="108" t="s">
        <v>279</v>
      </c>
    </row>
    <row r="82" spans="1:7" ht="30" x14ac:dyDescent="0.25">
      <c r="A82" s="515"/>
      <c r="B82" s="557" t="s">
        <v>184</v>
      </c>
      <c r="C82" s="125" t="s">
        <v>283</v>
      </c>
      <c r="D82" s="102" t="s">
        <v>284</v>
      </c>
      <c r="E82" s="102" t="s">
        <v>134</v>
      </c>
      <c r="F82" s="102" t="s">
        <v>152</v>
      </c>
      <c r="G82" s="103" t="s">
        <v>279</v>
      </c>
    </row>
    <row r="83" spans="1:7" ht="30" x14ac:dyDescent="0.25">
      <c r="A83" s="515"/>
      <c r="B83" s="558"/>
      <c r="C83" s="127" t="s">
        <v>285</v>
      </c>
      <c r="D83" s="109" t="s">
        <v>286</v>
      </c>
      <c r="E83" s="109" t="s">
        <v>134</v>
      </c>
      <c r="F83" s="109" t="s">
        <v>281</v>
      </c>
      <c r="G83" s="114" t="s">
        <v>279</v>
      </c>
    </row>
    <row r="84" spans="1:7" ht="30.75" thickBot="1" x14ac:dyDescent="0.3">
      <c r="A84" s="515"/>
      <c r="B84" s="559"/>
      <c r="C84" s="128" t="s">
        <v>243</v>
      </c>
      <c r="D84" s="119" t="s">
        <v>287</v>
      </c>
      <c r="E84" s="119" t="s">
        <v>134</v>
      </c>
      <c r="F84" s="119" t="s">
        <v>281</v>
      </c>
      <c r="G84" s="120" t="s">
        <v>279</v>
      </c>
    </row>
    <row r="85" spans="1:7" ht="30" x14ac:dyDescent="0.25">
      <c r="A85" s="515"/>
      <c r="B85" s="560" t="s">
        <v>201</v>
      </c>
      <c r="C85" s="126" t="s">
        <v>288</v>
      </c>
      <c r="D85" s="111" t="s">
        <v>289</v>
      </c>
      <c r="E85" s="111" t="s">
        <v>134</v>
      </c>
      <c r="F85" s="111" t="s">
        <v>281</v>
      </c>
      <c r="G85" s="112" t="s">
        <v>279</v>
      </c>
    </row>
    <row r="86" spans="1:7" ht="30" x14ac:dyDescent="0.25">
      <c r="A86" s="515"/>
      <c r="B86" s="561"/>
      <c r="C86" s="98" t="s">
        <v>285</v>
      </c>
      <c r="D86" s="83" t="s">
        <v>290</v>
      </c>
      <c r="E86" s="83" t="s">
        <v>134</v>
      </c>
      <c r="F86" s="83" t="s">
        <v>281</v>
      </c>
      <c r="G86" s="99" t="s">
        <v>279</v>
      </c>
    </row>
    <row r="87" spans="1:7" ht="30" x14ac:dyDescent="0.25">
      <c r="A87" s="515"/>
      <c r="B87" s="561"/>
      <c r="C87" s="98" t="s">
        <v>240</v>
      </c>
      <c r="D87" s="83" t="s">
        <v>291</v>
      </c>
      <c r="E87" s="83" t="s">
        <v>134</v>
      </c>
      <c r="F87" s="83" t="s">
        <v>281</v>
      </c>
      <c r="G87" s="99" t="s">
        <v>279</v>
      </c>
    </row>
    <row r="88" spans="1:7" ht="30" x14ac:dyDescent="0.25">
      <c r="A88" s="515"/>
      <c r="B88" s="561"/>
      <c r="C88" s="98" t="s">
        <v>197</v>
      </c>
      <c r="D88" s="83" t="s">
        <v>292</v>
      </c>
      <c r="E88" s="83" t="s">
        <v>134</v>
      </c>
      <c r="F88" s="83" t="s">
        <v>281</v>
      </c>
      <c r="G88" s="99" t="s">
        <v>279</v>
      </c>
    </row>
    <row r="89" spans="1:7" ht="45" customHeight="1" x14ac:dyDescent="0.25">
      <c r="A89" s="515"/>
      <c r="B89" s="561"/>
      <c r="C89" s="98" t="s">
        <v>243</v>
      </c>
      <c r="D89" s="83" t="s">
        <v>293</v>
      </c>
      <c r="E89" s="83" t="s">
        <v>134</v>
      </c>
      <c r="F89" s="83" t="s">
        <v>281</v>
      </c>
      <c r="G89" s="99" t="s">
        <v>279</v>
      </c>
    </row>
    <row r="90" spans="1:7" ht="30.75" thickBot="1" x14ac:dyDescent="0.3">
      <c r="A90" s="527"/>
      <c r="B90" s="562"/>
      <c r="C90" s="319" t="s">
        <v>97</v>
      </c>
      <c r="D90" s="100" t="s">
        <v>214</v>
      </c>
      <c r="E90" s="100" t="s">
        <v>134</v>
      </c>
      <c r="F90" s="100" t="s">
        <v>294</v>
      </c>
      <c r="G90" s="101" t="s">
        <v>295</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V95"/>
  <sheetViews>
    <sheetView tabSelected="1" workbookViewId="0">
      <pane xSplit="2" ySplit="5" topLeftCell="H84" activePane="bottomRight" state="frozen"/>
      <selection pane="topRight" activeCell="C1" sqref="C1"/>
      <selection pane="bottomLeft" activeCell="A4" sqref="A4"/>
      <selection pane="bottomRight" activeCell="B97" sqref="B97"/>
    </sheetView>
  </sheetViews>
  <sheetFormatPr defaultColWidth="9.140625" defaultRowHeight="15" x14ac:dyDescent="0.25"/>
  <cols>
    <col min="1" max="1" width="16.85546875" style="172" bestFit="1" customWidth="1"/>
    <col min="2" max="2" width="54.28515625" style="170" customWidth="1"/>
    <col min="3" max="3" width="9.28515625" style="170" bestFit="1" customWidth="1"/>
    <col min="4" max="4" width="14.140625" style="173" bestFit="1" customWidth="1"/>
    <col min="5" max="5" width="25.7109375" style="170" customWidth="1"/>
    <col min="6" max="6" width="50.7109375" style="170" customWidth="1"/>
    <col min="7" max="7" width="9.85546875" style="170" bestFit="1" customWidth="1"/>
    <col min="8" max="9" width="16.28515625" style="173" customWidth="1"/>
    <col min="10" max="10" width="13.42578125" style="170" bestFit="1" customWidth="1"/>
    <col min="11" max="11" width="8.28515625" style="170" bestFit="1" customWidth="1"/>
    <col min="12" max="12" width="36.7109375" style="170" customWidth="1"/>
    <col min="13" max="13" width="19.5703125" style="170" customWidth="1"/>
    <col min="14" max="14" width="12" style="170" bestFit="1" customWidth="1"/>
    <col min="15" max="15" width="11.140625" style="170" bestFit="1" customWidth="1"/>
    <col min="16" max="16" width="15" style="170" customWidth="1"/>
    <col min="17" max="17" width="10.140625" style="170" customWidth="1"/>
    <col min="18" max="18" width="10.7109375" style="175" customWidth="1"/>
    <col min="19" max="19" width="7.28515625" style="175" customWidth="1"/>
    <col min="20" max="20" width="9" style="174" customWidth="1"/>
    <col min="21" max="21" width="4.85546875" style="174" customWidth="1"/>
    <col min="22" max="22" width="6.85546875" style="174" customWidth="1"/>
    <col min="23" max="23" width="5.7109375" style="174" customWidth="1"/>
    <col min="24" max="24" width="13" style="174" bestFit="1" customWidth="1"/>
    <col min="25" max="25" width="36.42578125" style="175" bestFit="1"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74" ht="18.75" x14ac:dyDescent="0.25">
      <c r="A1" s="569" t="s">
        <v>296</v>
      </c>
      <c r="B1" s="570"/>
      <c r="C1" s="570"/>
      <c r="D1" s="570"/>
      <c r="E1" s="570"/>
      <c r="F1" s="570"/>
      <c r="G1" s="570"/>
      <c r="H1" s="570"/>
      <c r="I1" s="570"/>
      <c r="J1" s="570"/>
      <c r="K1" s="570"/>
      <c r="L1" s="570"/>
      <c r="M1" s="570"/>
      <c r="N1" s="570"/>
      <c r="O1" s="570"/>
      <c r="P1" s="570"/>
      <c r="Q1" s="570"/>
      <c r="R1" s="570"/>
      <c r="S1" s="570"/>
      <c r="T1" s="570"/>
      <c r="U1" s="570"/>
      <c r="V1" s="570"/>
      <c r="W1" s="570"/>
      <c r="X1" s="570"/>
      <c r="Y1" s="570"/>
      <c r="Z1" s="570"/>
      <c r="AA1" s="570"/>
      <c r="AB1" s="570"/>
      <c r="AC1" s="570"/>
      <c r="AD1" s="570"/>
      <c r="AE1" s="570"/>
      <c r="AF1" s="570"/>
      <c r="AG1" s="570"/>
      <c r="AH1" s="571"/>
    </row>
    <row r="2" spans="1:74" ht="18.75" x14ac:dyDescent="0.25">
      <c r="A2" s="572" t="s">
        <v>297</v>
      </c>
      <c r="B2" s="573"/>
      <c r="C2" s="573"/>
      <c r="D2" s="573"/>
      <c r="E2" s="573"/>
      <c r="F2" s="573"/>
      <c r="G2" s="573"/>
      <c r="H2" s="573"/>
      <c r="I2" s="573"/>
      <c r="J2" s="574"/>
      <c r="K2" s="356">
        <f>SUM(K6:K90)</f>
        <v>81</v>
      </c>
      <c r="L2" s="356">
        <f>SUM(L6:L90)</f>
        <v>81</v>
      </c>
      <c r="M2" s="357"/>
      <c r="N2" s="413">
        <f>SUMPRODUCT(K6:K90,N6:N90)/K93</f>
        <v>1</v>
      </c>
      <c r="O2" s="414">
        <f>SUM(O6:O90)</f>
        <v>81</v>
      </c>
      <c r="P2" s="415">
        <f>SUMPRODUCT(K6:K90,P6:P90)/K93</f>
        <v>1</v>
      </c>
      <c r="Q2" s="358"/>
      <c r="R2" s="359">
        <f>SUM(R6:R90)</f>
        <v>80</v>
      </c>
      <c r="S2" s="416">
        <f>SUM(S6:S90)</f>
        <v>80</v>
      </c>
      <c r="T2" s="416">
        <f>SUM(T6:T90)</f>
        <v>58</v>
      </c>
      <c r="U2" s="416">
        <f>SUM(U6:U90)</f>
        <v>22</v>
      </c>
      <c r="V2" s="416">
        <f>SUM(V6:V90)</f>
        <v>0</v>
      </c>
      <c r="W2" s="416">
        <f>SUM(W6:W90)</f>
        <v>0</v>
      </c>
      <c r="X2" s="417">
        <f>IF((S93=0),0,((T93+U93)/S93*100%))</f>
        <v>1</v>
      </c>
      <c r="Y2" s="360"/>
      <c r="Z2" s="426">
        <f>SUM(Z6:Z90)</f>
        <v>7</v>
      </c>
      <c r="AA2" s="427">
        <f>SUM(AA6:AA90)</f>
        <v>7</v>
      </c>
      <c r="AB2" s="427">
        <f>SUM(AB6:AB90)</f>
        <v>0</v>
      </c>
      <c r="AC2" s="427">
        <f>SUM(AC6:AC90)</f>
        <v>0</v>
      </c>
      <c r="AD2" s="427">
        <f>SUM(AD6:AD90)</f>
        <v>0</v>
      </c>
      <c r="AE2" s="418">
        <f>IF((Z93=0),0,((AA93+AB93)/Z93*100%))</f>
        <v>1</v>
      </c>
      <c r="AF2" s="361"/>
      <c r="AG2" s="361"/>
      <c r="AH2" s="362"/>
    </row>
    <row r="3" spans="1:74" ht="19.5" customHeight="1" thickBot="1" x14ac:dyDescent="0.3">
      <c r="A3" s="569" t="s">
        <v>298</v>
      </c>
      <c r="B3" s="570"/>
      <c r="C3" s="570"/>
      <c r="D3" s="570"/>
      <c r="E3" s="570"/>
      <c r="F3" s="570"/>
      <c r="G3" s="570"/>
      <c r="H3" s="570"/>
      <c r="I3" s="570"/>
      <c r="J3" s="570"/>
      <c r="K3" s="570"/>
      <c r="L3" s="570"/>
      <c r="M3" s="570"/>
      <c r="N3" s="570"/>
      <c r="O3" s="570"/>
      <c r="P3" s="570"/>
      <c r="Q3" s="570"/>
      <c r="R3" s="570"/>
      <c r="S3" s="570"/>
      <c r="T3" s="570"/>
      <c r="U3" s="570"/>
      <c r="V3" s="570"/>
      <c r="W3" s="570"/>
      <c r="X3" s="570"/>
      <c r="Y3" s="570"/>
      <c r="Z3" s="570"/>
      <c r="AA3" s="570"/>
      <c r="AB3" s="570"/>
      <c r="AC3" s="570"/>
      <c r="AD3" s="570"/>
      <c r="AE3" s="570"/>
      <c r="AF3" s="570"/>
      <c r="AG3" s="570"/>
      <c r="AH3" s="571"/>
    </row>
    <row r="4" spans="1:74" ht="31.5" customHeight="1" x14ac:dyDescent="0.25">
      <c r="A4" s="575" t="s">
        <v>150</v>
      </c>
      <c r="B4" s="576"/>
      <c r="C4" s="576"/>
      <c r="D4" s="576"/>
      <c r="E4" s="576"/>
      <c r="F4" s="576"/>
      <c r="G4" s="576"/>
      <c r="H4" s="576"/>
      <c r="I4" s="576"/>
      <c r="J4" s="576"/>
      <c r="K4" s="576"/>
      <c r="L4" s="576"/>
      <c r="M4" s="577"/>
      <c r="N4" s="578" t="s">
        <v>299</v>
      </c>
      <c r="O4" s="579"/>
      <c r="P4" s="580"/>
      <c r="Q4" s="585" t="s">
        <v>300</v>
      </c>
      <c r="R4" s="586"/>
      <c r="S4" s="586"/>
      <c r="T4" s="586"/>
      <c r="U4" s="586"/>
      <c r="V4" s="586"/>
      <c r="W4" s="586"/>
      <c r="X4" s="586"/>
      <c r="Y4" s="587"/>
      <c r="Z4" s="581" t="s">
        <v>301</v>
      </c>
      <c r="AA4" s="582"/>
      <c r="AB4" s="582"/>
      <c r="AC4" s="582"/>
      <c r="AD4" s="582"/>
      <c r="AE4" s="583"/>
      <c r="AF4" s="583"/>
      <c r="AG4" s="583"/>
      <c r="AH4" s="584"/>
    </row>
    <row r="5" spans="1:74" s="171" customFormat="1" x14ac:dyDescent="0.25">
      <c r="A5" s="670" t="s">
        <v>63</v>
      </c>
      <c r="B5" s="670" t="s">
        <v>64</v>
      </c>
      <c r="C5" s="670" t="s">
        <v>65</v>
      </c>
      <c r="D5" s="670" t="s">
        <v>66</v>
      </c>
      <c r="E5" s="670" t="s">
        <v>67</v>
      </c>
      <c r="F5" s="670" t="s">
        <v>68</v>
      </c>
      <c r="G5" s="670" t="s">
        <v>69</v>
      </c>
      <c r="H5" s="670" t="s">
        <v>70</v>
      </c>
      <c r="I5" s="670" t="s">
        <v>302</v>
      </c>
      <c r="J5" s="670" t="s">
        <v>71</v>
      </c>
      <c r="K5" s="670" t="s">
        <v>72</v>
      </c>
      <c r="L5" s="670" t="s">
        <v>73</v>
      </c>
      <c r="M5" s="670" t="s">
        <v>1</v>
      </c>
      <c r="N5" s="670" t="s">
        <v>91</v>
      </c>
      <c r="O5" s="670" t="s">
        <v>92</v>
      </c>
      <c r="P5" s="670" t="s">
        <v>93</v>
      </c>
      <c r="Q5" s="670" t="s">
        <v>94</v>
      </c>
      <c r="R5" s="670" t="s">
        <v>95</v>
      </c>
      <c r="S5" s="670" t="s">
        <v>96</v>
      </c>
      <c r="T5" s="670" t="s">
        <v>30</v>
      </c>
      <c r="U5" s="670" t="s">
        <v>192</v>
      </c>
      <c r="V5" s="670" t="s">
        <v>35</v>
      </c>
      <c r="W5" s="670" t="s">
        <v>195</v>
      </c>
      <c r="X5" s="670" t="s">
        <v>197</v>
      </c>
      <c r="Y5" s="670" t="s">
        <v>199</v>
      </c>
      <c r="Z5" s="670" t="s">
        <v>775</v>
      </c>
      <c r="AA5" s="670" t="s">
        <v>776</v>
      </c>
      <c r="AB5" s="670" t="s">
        <v>777</v>
      </c>
      <c r="AC5" s="670" t="s">
        <v>778</v>
      </c>
      <c r="AD5" s="670" t="s">
        <v>779</v>
      </c>
      <c r="AE5" s="670" t="s">
        <v>780</v>
      </c>
      <c r="AF5" s="670" t="s">
        <v>212</v>
      </c>
      <c r="AG5" s="670" t="s">
        <v>97</v>
      </c>
      <c r="AH5" s="670" t="s">
        <v>216</v>
      </c>
    </row>
    <row r="6" spans="1:74" s="450" customFormat="1" x14ac:dyDescent="0.25">
      <c r="A6" t="s">
        <v>303</v>
      </c>
      <c r="B6" t="s">
        <v>444</v>
      </c>
      <c r="C6" t="s">
        <v>781</v>
      </c>
      <c r="D6" t="s">
        <v>304</v>
      </c>
      <c r="E6" t="s">
        <v>305</v>
      </c>
      <c r="F6" t="s">
        <v>306</v>
      </c>
      <c r="G6" t="s">
        <v>78</v>
      </c>
      <c r="H6" t="s">
        <v>356</v>
      </c>
      <c r="I6" t="s">
        <v>307</v>
      </c>
      <c r="J6" t="s">
        <v>781</v>
      </c>
      <c r="K6">
        <v>1</v>
      </c>
      <c r="L6">
        <v>1</v>
      </c>
      <c r="M6" t="s">
        <v>42</v>
      </c>
      <c r="N6">
        <v>1</v>
      </c>
      <c r="O6">
        <v>1</v>
      </c>
      <c r="P6">
        <v>1</v>
      </c>
      <c r="Q6" t="s">
        <v>45</v>
      </c>
      <c r="R6">
        <v>1</v>
      </c>
      <c r="S6">
        <v>1</v>
      </c>
      <c r="T6">
        <v>1</v>
      </c>
      <c r="U6" t="s">
        <v>781</v>
      </c>
      <c r="V6" t="s">
        <v>781</v>
      </c>
      <c r="W6" t="s">
        <v>781</v>
      </c>
      <c r="X6">
        <v>1</v>
      </c>
      <c r="Y6" t="s">
        <v>781</v>
      </c>
      <c r="Z6">
        <v>0</v>
      </c>
      <c r="AA6" t="s">
        <v>781</v>
      </c>
      <c r="AB6" t="s">
        <v>781</v>
      </c>
      <c r="AC6" t="s">
        <v>781</v>
      </c>
      <c r="AD6" t="s">
        <v>781</v>
      </c>
      <c r="AE6">
        <v>0</v>
      </c>
      <c r="AF6" t="s">
        <v>781</v>
      </c>
      <c r="AG6" t="s">
        <v>622</v>
      </c>
      <c r="AH6" t="s">
        <v>781</v>
      </c>
      <c r="AI6" s="170"/>
      <c r="AJ6" s="170"/>
      <c r="AK6" s="170"/>
      <c r="AL6" s="170"/>
      <c r="AM6" s="170"/>
      <c r="AN6" s="170"/>
      <c r="AO6" s="170"/>
      <c r="AP6" s="170"/>
      <c r="AQ6" s="170"/>
      <c r="AR6" s="170"/>
      <c r="AS6" s="170"/>
      <c r="AT6" s="170"/>
      <c r="AU6" s="170"/>
      <c r="AV6" s="170"/>
      <c r="AW6" s="170"/>
      <c r="AX6" s="170"/>
      <c r="AY6" s="170"/>
      <c r="AZ6" s="170"/>
      <c r="BA6" s="170"/>
      <c r="BB6" s="170"/>
      <c r="BC6" s="170"/>
      <c r="BD6" s="170"/>
      <c r="BE6" s="170"/>
      <c r="BF6" s="170"/>
      <c r="BG6" s="170"/>
      <c r="BH6" s="170"/>
      <c r="BI6" s="170"/>
      <c r="BJ6" s="170"/>
      <c r="BK6" s="170"/>
      <c r="BL6" s="170"/>
      <c r="BM6" s="170"/>
      <c r="BN6" s="170"/>
      <c r="BO6" s="170"/>
      <c r="BP6" s="170"/>
      <c r="BQ6" s="170"/>
      <c r="BR6" s="170"/>
      <c r="BS6" s="170"/>
      <c r="BT6" s="170"/>
      <c r="BU6" s="170"/>
      <c r="BV6" s="170"/>
    </row>
    <row r="7" spans="1:74" s="450" customFormat="1" x14ac:dyDescent="0.25">
      <c r="A7" t="s">
        <v>308</v>
      </c>
      <c r="B7" t="s">
        <v>459</v>
      </c>
      <c r="C7" t="s">
        <v>781</v>
      </c>
      <c r="D7" t="s">
        <v>304</v>
      </c>
      <c r="E7" t="s">
        <v>305</v>
      </c>
      <c r="F7" t="s">
        <v>306</v>
      </c>
      <c r="G7" t="s">
        <v>78</v>
      </c>
      <c r="H7" t="s">
        <v>356</v>
      </c>
      <c r="I7" t="s">
        <v>307</v>
      </c>
      <c r="J7" t="s">
        <v>781</v>
      </c>
      <c r="K7">
        <v>1</v>
      </c>
      <c r="L7">
        <v>1</v>
      </c>
      <c r="M7" t="s">
        <v>42</v>
      </c>
      <c r="N7">
        <v>1</v>
      </c>
      <c r="O7">
        <v>1</v>
      </c>
      <c r="P7">
        <v>1</v>
      </c>
      <c r="Q7" t="s">
        <v>45</v>
      </c>
      <c r="R7">
        <v>1</v>
      </c>
      <c r="S7">
        <v>1</v>
      </c>
      <c r="T7">
        <v>1</v>
      </c>
      <c r="U7" t="s">
        <v>781</v>
      </c>
      <c r="V7" t="s">
        <v>781</v>
      </c>
      <c r="W7" t="s">
        <v>781</v>
      </c>
      <c r="X7">
        <v>1</v>
      </c>
      <c r="Y7" t="s">
        <v>781</v>
      </c>
      <c r="Z7">
        <v>0</v>
      </c>
      <c r="AA7" t="s">
        <v>781</v>
      </c>
      <c r="AB7" t="s">
        <v>781</v>
      </c>
      <c r="AC7" t="s">
        <v>781</v>
      </c>
      <c r="AD7" t="s">
        <v>781</v>
      </c>
      <c r="AE7">
        <v>0</v>
      </c>
      <c r="AF7" t="s">
        <v>781</v>
      </c>
      <c r="AG7" t="s">
        <v>622</v>
      </c>
      <c r="AH7" t="s">
        <v>781</v>
      </c>
      <c r="AI7" s="170"/>
      <c r="AJ7" s="170"/>
      <c r="AK7" s="170"/>
      <c r="AL7" s="170"/>
      <c r="AM7" s="170"/>
      <c r="AN7" s="170"/>
      <c r="AO7" s="170"/>
      <c r="AP7" s="170"/>
      <c r="AQ7" s="170"/>
      <c r="AR7" s="170"/>
      <c r="AS7" s="170"/>
      <c r="AT7" s="170"/>
      <c r="AU7" s="170"/>
      <c r="AV7" s="170"/>
      <c r="AW7" s="170"/>
      <c r="AX7" s="170"/>
      <c r="AY7" s="170"/>
      <c r="AZ7" s="170"/>
      <c r="BA7" s="170"/>
      <c r="BB7" s="170"/>
      <c r="BC7" s="170"/>
      <c r="BD7" s="170"/>
      <c r="BE7" s="170"/>
      <c r="BF7" s="170"/>
      <c r="BG7" s="170"/>
      <c r="BH7" s="170"/>
      <c r="BI7" s="170"/>
      <c r="BJ7" s="170"/>
      <c r="BK7" s="170"/>
      <c r="BL7" s="170"/>
      <c r="BM7" s="170"/>
      <c r="BN7" s="170"/>
      <c r="BO7" s="170"/>
      <c r="BP7" s="170"/>
      <c r="BQ7" s="170"/>
      <c r="BR7" s="170"/>
      <c r="BS7" s="170"/>
      <c r="BT7" s="170"/>
      <c r="BU7" s="170"/>
      <c r="BV7" s="170"/>
    </row>
    <row r="8" spans="1:74" s="450" customFormat="1" x14ac:dyDescent="0.25">
      <c r="A8" t="s">
        <v>309</v>
      </c>
      <c r="B8" t="s">
        <v>538</v>
      </c>
      <c r="C8" t="s">
        <v>781</v>
      </c>
      <c r="D8" t="s">
        <v>304</v>
      </c>
      <c r="E8" t="s">
        <v>305</v>
      </c>
      <c r="F8" t="s">
        <v>306</v>
      </c>
      <c r="G8" t="s">
        <v>78</v>
      </c>
      <c r="H8" t="s">
        <v>356</v>
      </c>
      <c r="I8" t="s">
        <v>307</v>
      </c>
      <c r="J8" t="s">
        <v>781</v>
      </c>
      <c r="K8">
        <v>1</v>
      </c>
      <c r="L8">
        <v>1</v>
      </c>
      <c r="M8" t="s">
        <v>42</v>
      </c>
      <c r="N8">
        <v>1</v>
      </c>
      <c r="O8">
        <v>1</v>
      </c>
      <c r="P8">
        <v>1</v>
      </c>
      <c r="Q8" t="s">
        <v>45</v>
      </c>
      <c r="R8">
        <v>1</v>
      </c>
      <c r="S8">
        <v>1</v>
      </c>
      <c r="T8">
        <v>1</v>
      </c>
      <c r="U8" t="s">
        <v>781</v>
      </c>
      <c r="V8" t="s">
        <v>781</v>
      </c>
      <c r="W8" t="s">
        <v>781</v>
      </c>
      <c r="X8">
        <v>1</v>
      </c>
      <c r="Y8" t="s">
        <v>781</v>
      </c>
      <c r="Z8">
        <v>0</v>
      </c>
      <c r="AA8" t="s">
        <v>781</v>
      </c>
      <c r="AB8" t="s">
        <v>781</v>
      </c>
      <c r="AC8" t="s">
        <v>781</v>
      </c>
      <c r="AD8" t="s">
        <v>781</v>
      </c>
      <c r="AE8">
        <v>0</v>
      </c>
      <c r="AF8" t="s">
        <v>781</v>
      </c>
      <c r="AG8" t="s">
        <v>626</v>
      </c>
      <c r="AH8" t="s">
        <v>781</v>
      </c>
      <c r="AI8" s="170"/>
      <c r="AJ8" s="170"/>
      <c r="AK8" s="170"/>
      <c r="AL8" s="170"/>
      <c r="AM8" s="170"/>
      <c r="AN8" s="170"/>
      <c r="AO8" s="170"/>
      <c r="AP8" s="170"/>
      <c r="AQ8" s="170"/>
      <c r="AR8" s="170"/>
      <c r="AS8" s="170"/>
      <c r="AT8" s="170"/>
      <c r="AU8" s="170"/>
      <c r="AV8" s="170"/>
      <c r="AW8" s="170"/>
      <c r="AX8" s="170"/>
      <c r="AY8" s="170"/>
      <c r="AZ8" s="170"/>
      <c r="BA8" s="170"/>
      <c r="BB8" s="170"/>
      <c r="BC8" s="170"/>
      <c r="BD8" s="170"/>
      <c r="BE8" s="170"/>
      <c r="BF8" s="170"/>
      <c r="BG8" s="170"/>
      <c r="BH8" s="170"/>
      <c r="BI8" s="170"/>
      <c r="BJ8" s="170"/>
      <c r="BK8" s="170"/>
      <c r="BL8" s="170"/>
      <c r="BM8" s="170"/>
      <c r="BN8" s="170"/>
      <c r="BO8" s="170"/>
      <c r="BP8" s="170"/>
      <c r="BQ8" s="170"/>
      <c r="BR8" s="170"/>
      <c r="BS8" s="170"/>
      <c r="BT8" s="170"/>
      <c r="BU8" s="170"/>
      <c r="BV8" s="170"/>
    </row>
    <row r="9" spans="1:74" s="450" customFormat="1" x14ac:dyDescent="0.25">
      <c r="A9" t="s">
        <v>310</v>
      </c>
      <c r="B9" t="s">
        <v>539</v>
      </c>
      <c r="C9" t="s">
        <v>781</v>
      </c>
      <c r="D9" t="s">
        <v>304</v>
      </c>
      <c r="E9" t="s">
        <v>305</v>
      </c>
      <c r="F9" t="s">
        <v>306</v>
      </c>
      <c r="G9" t="s">
        <v>78</v>
      </c>
      <c r="H9" t="s">
        <v>356</v>
      </c>
      <c r="I9" t="s">
        <v>307</v>
      </c>
      <c r="J9" t="s">
        <v>781</v>
      </c>
      <c r="K9">
        <v>1</v>
      </c>
      <c r="L9">
        <v>1</v>
      </c>
      <c r="M9" t="s">
        <v>42</v>
      </c>
      <c r="N9">
        <v>1</v>
      </c>
      <c r="O9">
        <v>1</v>
      </c>
      <c r="P9">
        <v>1</v>
      </c>
      <c r="Q9" t="s">
        <v>45</v>
      </c>
      <c r="R9">
        <v>1</v>
      </c>
      <c r="S9">
        <v>1</v>
      </c>
      <c r="T9">
        <v>1</v>
      </c>
      <c r="U9" t="s">
        <v>781</v>
      </c>
      <c r="V9" t="s">
        <v>781</v>
      </c>
      <c r="W9" t="s">
        <v>781</v>
      </c>
      <c r="X9">
        <v>1</v>
      </c>
      <c r="Y9" t="s">
        <v>781</v>
      </c>
      <c r="Z9">
        <v>0</v>
      </c>
      <c r="AA9" t="s">
        <v>781</v>
      </c>
      <c r="AB9" t="s">
        <v>781</v>
      </c>
      <c r="AC9" t="s">
        <v>781</v>
      </c>
      <c r="AD9" t="s">
        <v>781</v>
      </c>
      <c r="AE9">
        <v>0</v>
      </c>
      <c r="AF9" t="s">
        <v>781</v>
      </c>
      <c r="AG9" t="s">
        <v>626</v>
      </c>
      <c r="AH9" t="s">
        <v>781</v>
      </c>
      <c r="AI9" s="170"/>
      <c r="AJ9" s="170"/>
      <c r="AK9" s="170"/>
      <c r="AL9" s="170"/>
      <c r="AM9" s="170"/>
      <c r="AN9" s="170"/>
      <c r="AO9" s="170"/>
      <c r="AP9" s="170"/>
      <c r="AQ9" s="170"/>
      <c r="AR9" s="170"/>
      <c r="AS9" s="170"/>
      <c r="AT9" s="170"/>
      <c r="AU9" s="170"/>
      <c r="AV9" s="170"/>
      <c r="AW9" s="170"/>
      <c r="AX9" s="170"/>
      <c r="AY9" s="170"/>
      <c r="AZ9" s="170"/>
      <c r="BA9" s="170"/>
      <c r="BB9" s="170"/>
      <c r="BC9" s="170"/>
      <c r="BD9" s="170"/>
      <c r="BE9" s="170"/>
      <c r="BF9" s="170"/>
      <c r="BG9" s="170"/>
      <c r="BH9" s="170"/>
      <c r="BI9" s="170"/>
      <c r="BJ9" s="170"/>
      <c r="BK9" s="170"/>
      <c r="BL9" s="170"/>
      <c r="BM9" s="170"/>
      <c r="BN9" s="170"/>
      <c r="BO9" s="170"/>
      <c r="BP9" s="170"/>
      <c r="BQ9" s="170"/>
      <c r="BR9" s="170"/>
      <c r="BS9" s="170"/>
      <c r="BT9" s="170"/>
      <c r="BU9" s="170"/>
      <c r="BV9" s="170"/>
    </row>
    <row r="10" spans="1:74" s="450" customFormat="1" x14ac:dyDescent="0.25">
      <c r="A10" t="s">
        <v>311</v>
      </c>
      <c r="B10" t="s">
        <v>571</v>
      </c>
      <c r="C10" t="s">
        <v>781</v>
      </c>
      <c r="D10" t="s">
        <v>304</v>
      </c>
      <c r="E10" t="s">
        <v>305</v>
      </c>
      <c r="F10" t="s">
        <v>306</v>
      </c>
      <c r="G10" t="s">
        <v>78</v>
      </c>
      <c r="H10" t="s">
        <v>356</v>
      </c>
      <c r="I10" t="s">
        <v>307</v>
      </c>
      <c r="J10" t="s">
        <v>781</v>
      </c>
      <c r="K10">
        <v>1</v>
      </c>
      <c r="L10">
        <v>1</v>
      </c>
      <c r="M10" t="s">
        <v>42</v>
      </c>
      <c r="N10">
        <v>1</v>
      </c>
      <c r="O10">
        <v>1</v>
      </c>
      <c r="P10">
        <v>1</v>
      </c>
      <c r="Q10" t="s">
        <v>45</v>
      </c>
      <c r="R10">
        <v>1</v>
      </c>
      <c r="S10">
        <v>1</v>
      </c>
      <c r="T10">
        <v>1</v>
      </c>
      <c r="U10" t="s">
        <v>781</v>
      </c>
      <c r="V10" t="s">
        <v>781</v>
      </c>
      <c r="W10" t="s">
        <v>781</v>
      </c>
      <c r="X10">
        <v>1</v>
      </c>
      <c r="Y10" t="s">
        <v>781</v>
      </c>
      <c r="Z10">
        <v>0</v>
      </c>
      <c r="AA10" t="s">
        <v>781</v>
      </c>
      <c r="AB10" t="s">
        <v>781</v>
      </c>
      <c r="AC10" t="s">
        <v>781</v>
      </c>
      <c r="AD10" t="s">
        <v>781</v>
      </c>
      <c r="AE10">
        <v>0</v>
      </c>
      <c r="AF10" t="s">
        <v>781</v>
      </c>
      <c r="AG10" t="s">
        <v>630</v>
      </c>
      <c r="AH10" t="s">
        <v>781</v>
      </c>
      <c r="AI10" s="170"/>
      <c r="AJ10" s="170"/>
      <c r="AK10" s="170"/>
      <c r="AL10" s="170"/>
      <c r="AM10" s="170"/>
      <c r="AN10" s="170"/>
      <c r="AO10" s="170"/>
      <c r="AP10" s="170"/>
      <c r="AQ10" s="170"/>
      <c r="AR10" s="170"/>
      <c r="AS10" s="170"/>
      <c r="AT10" s="170"/>
      <c r="AU10" s="170"/>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c r="BR10" s="170"/>
      <c r="BS10" s="170"/>
      <c r="BT10" s="170"/>
      <c r="BU10" s="170"/>
      <c r="BV10" s="170"/>
    </row>
    <row r="11" spans="1:74" s="450" customFormat="1" x14ac:dyDescent="0.25">
      <c r="A11" t="s">
        <v>312</v>
      </c>
      <c r="B11" t="s">
        <v>537</v>
      </c>
      <c r="C11" t="s">
        <v>781</v>
      </c>
      <c r="D11" t="s">
        <v>304</v>
      </c>
      <c r="E11" t="s">
        <v>305</v>
      </c>
      <c r="F11" t="s">
        <v>306</v>
      </c>
      <c r="G11" t="s">
        <v>78</v>
      </c>
      <c r="H11" t="s">
        <v>356</v>
      </c>
      <c r="I11" t="s">
        <v>307</v>
      </c>
      <c r="J11" t="s">
        <v>781</v>
      </c>
      <c r="K11">
        <v>1</v>
      </c>
      <c r="L11">
        <v>1</v>
      </c>
      <c r="M11" t="s">
        <v>42</v>
      </c>
      <c r="N11">
        <v>1</v>
      </c>
      <c r="O11">
        <v>1</v>
      </c>
      <c r="P11">
        <v>1</v>
      </c>
      <c r="Q11" t="s">
        <v>45</v>
      </c>
      <c r="R11">
        <v>1</v>
      </c>
      <c r="S11">
        <v>1</v>
      </c>
      <c r="T11">
        <v>1</v>
      </c>
      <c r="U11" t="s">
        <v>781</v>
      </c>
      <c r="V11" t="s">
        <v>781</v>
      </c>
      <c r="W11" t="s">
        <v>781</v>
      </c>
      <c r="X11">
        <v>1</v>
      </c>
      <c r="Y11" t="s">
        <v>781</v>
      </c>
      <c r="Z11">
        <v>0</v>
      </c>
      <c r="AA11" t="s">
        <v>781</v>
      </c>
      <c r="AB11" t="s">
        <v>781</v>
      </c>
      <c r="AC11" t="s">
        <v>781</v>
      </c>
      <c r="AD11" t="s">
        <v>781</v>
      </c>
      <c r="AE11">
        <v>0</v>
      </c>
      <c r="AF11" t="s">
        <v>781</v>
      </c>
      <c r="AG11" t="s">
        <v>626</v>
      </c>
      <c r="AH11" t="s">
        <v>781</v>
      </c>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c r="BO11" s="170"/>
      <c r="BP11" s="170"/>
      <c r="BQ11" s="170"/>
      <c r="BR11" s="170"/>
      <c r="BS11" s="170"/>
      <c r="BT11" s="170"/>
      <c r="BU11" s="170"/>
      <c r="BV11" s="170"/>
    </row>
    <row r="12" spans="1:74" s="450" customFormat="1" x14ac:dyDescent="0.25">
      <c r="A12" t="s">
        <v>313</v>
      </c>
      <c r="B12" t="s">
        <v>578</v>
      </c>
      <c r="C12" t="s">
        <v>781</v>
      </c>
      <c r="D12" t="s">
        <v>304</v>
      </c>
      <c r="E12" t="s">
        <v>305</v>
      </c>
      <c r="F12" t="s">
        <v>306</v>
      </c>
      <c r="G12" t="s">
        <v>78</v>
      </c>
      <c r="H12" t="s">
        <v>356</v>
      </c>
      <c r="I12" t="s">
        <v>307</v>
      </c>
      <c r="J12" t="s">
        <v>781</v>
      </c>
      <c r="K12">
        <v>1</v>
      </c>
      <c r="L12">
        <v>1</v>
      </c>
      <c r="M12" t="s">
        <v>42</v>
      </c>
      <c r="N12">
        <v>1</v>
      </c>
      <c r="O12">
        <v>1</v>
      </c>
      <c r="P12">
        <v>1</v>
      </c>
      <c r="Q12" t="s">
        <v>45</v>
      </c>
      <c r="R12">
        <v>1</v>
      </c>
      <c r="S12">
        <v>1</v>
      </c>
      <c r="T12">
        <v>1</v>
      </c>
      <c r="U12" t="s">
        <v>781</v>
      </c>
      <c r="V12" t="s">
        <v>781</v>
      </c>
      <c r="W12" t="s">
        <v>781</v>
      </c>
      <c r="X12">
        <v>1</v>
      </c>
      <c r="Y12" t="s">
        <v>781</v>
      </c>
      <c r="Z12">
        <v>0</v>
      </c>
      <c r="AA12" t="s">
        <v>781</v>
      </c>
      <c r="AB12" t="s">
        <v>781</v>
      </c>
      <c r="AC12" t="s">
        <v>781</v>
      </c>
      <c r="AD12" t="s">
        <v>781</v>
      </c>
      <c r="AE12">
        <v>0</v>
      </c>
      <c r="AF12" t="s">
        <v>781</v>
      </c>
      <c r="AG12" t="s">
        <v>622</v>
      </c>
      <c r="AH12" t="s">
        <v>781</v>
      </c>
      <c r="AI12" s="170"/>
      <c r="AJ12" s="170"/>
      <c r="AK12" s="170"/>
      <c r="AL12" s="170"/>
      <c r="AM12" s="170"/>
      <c r="AN12" s="170"/>
      <c r="AO12" s="170"/>
      <c r="AP12" s="170"/>
      <c r="AQ12" s="170"/>
      <c r="AR12" s="170"/>
      <c r="AS12" s="170"/>
      <c r="AT12" s="170"/>
      <c r="AU12" s="170"/>
      <c r="AV12" s="170"/>
      <c r="AW12" s="170"/>
      <c r="AX12" s="170"/>
      <c r="AY12" s="170"/>
      <c r="AZ12" s="170"/>
      <c r="BA12" s="170"/>
      <c r="BB12" s="170"/>
      <c r="BC12" s="170"/>
      <c r="BD12" s="170"/>
      <c r="BE12" s="170"/>
      <c r="BF12" s="170"/>
      <c r="BG12" s="170"/>
      <c r="BH12" s="170"/>
      <c r="BI12" s="170"/>
      <c r="BJ12" s="170"/>
      <c r="BK12" s="170"/>
      <c r="BL12" s="170"/>
      <c r="BM12" s="170"/>
      <c r="BN12" s="170"/>
      <c r="BO12" s="170"/>
      <c r="BP12" s="170"/>
      <c r="BQ12" s="170"/>
      <c r="BR12" s="170"/>
      <c r="BS12" s="170"/>
      <c r="BT12" s="170"/>
      <c r="BU12" s="170"/>
      <c r="BV12" s="170"/>
    </row>
    <row r="13" spans="1:74" x14ac:dyDescent="0.25">
      <c r="A13" t="s">
        <v>303</v>
      </c>
      <c r="B13" t="s">
        <v>444</v>
      </c>
      <c r="C13" t="s">
        <v>781</v>
      </c>
      <c r="D13" t="s">
        <v>304</v>
      </c>
      <c r="E13" t="s">
        <v>305</v>
      </c>
      <c r="F13" t="s">
        <v>314</v>
      </c>
      <c r="G13" t="s">
        <v>78</v>
      </c>
      <c r="H13" t="s">
        <v>356</v>
      </c>
      <c r="I13" t="s">
        <v>307</v>
      </c>
      <c r="J13" t="s">
        <v>781</v>
      </c>
      <c r="K13">
        <v>1</v>
      </c>
      <c r="L13">
        <v>1</v>
      </c>
      <c r="M13" t="s">
        <v>33</v>
      </c>
      <c r="N13">
        <v>1</v>
      </c>
      <c r="O13">
        <v>1</v>
      </c>
      <c r="P13">
        <v>1</v>
      </c>
      <c r="Q13" t="s">
        <v>45</v>
      </c>
      <c r="R13">
        <v>1</v>
      </c>
      <c r="S13">
        <v>1</v>
      </c>
      <c r="T13">
        <v>1</v>
      </c>
      <c r="U13" t="s">
        <v>781</v>
      </c>
      <c r="V13" t="s">
        <v>781</v>
      </c>
      <c r="W13" t="s">
        <v>781</v>
      </c>
      <c r="X13">
        <v>1</v>
      </c>
      <c r="Y13" t="s">
        <v>781</v>
      </c>
      <c r="Z13">
        <v>0</v>
      </c>
      <c r="AA13" t="s">
        <v>781</v>
      </c>
      <c r="AB13" t="s">
        <v>781</v>
      </c>
      <c r="AC13" t="s">
        <v>781</v>
      </c>
      <c r="AD13" t="s">
        <v>781</v>
      </c>
      <c r="AE13">
        <v>0</v>
      </c>
      <c r="AF13" t="s">
        <v>781</v>
      </c>
      <c r="AG13" t="s">
        <v>622</v>
      </c>
      <c r="AH13" t="s">
        <v>781</v>
      </c>
    </row>
    <row r="14" spans="1:74" x14ac:dyDescent="0.25">
      <c r="A14" t="s">
        <v>308</v>
      </c>
      <c r="B14" t="s">
        <v>459</v>
      </c>
      <c r="C14" t="s">
        <v>781</v>
      </c>
      <c r="D14" t="s">
        <v>304</v>
      </c>
      <c r="E14" t="s">
        <v>305</v>
      </c>
      <c r="F14" t="s">
        <v>314</v>
      </c>
      <c r="G14" t="s">
        <v>78</v>
      </c>
      <c r="H14" t="s">
        <v>356</v>
      </c>
      <c r="I14" t="s">
        <v>307</v>
      </c>
      <c r="J14" t="s">
        <v>781</v>
      </c>
      <c r="K14">
        <v>1</v>
      </c>
      <c r="L14">
        <v>1</v>
      </c>
      <c r="M14" t="s">
        <v>33</v>
      </c>
      <c r="N14">
        <v>1</v>
      </c>
      <c r="O14">
        <v>1</v>
      </c>
      <c r="P14">
        <v>1</v>
      </c>
      <c r="Q14" t="s">
        <v>45</v>
      </c>
      <c r="R14">
        <v>1</v>
      </c>
      <c r="S14">
        <v>1</v>
      </c>
      <c r="T14">
        <v>1</v>
      </c>
      <c r="U14" t="s">
        <v>781</v>
      </c>
      <c r="V14" t="s">
        <v>781</v>
      </c>
      <c r="W14" t="s">
        <v>781</v>
      </c>
      <c r="X14">
        <v>1</v>
      </c>
      <c r="Y14" t="s">
        <v>781</v>
      </c>
      <c r="Z14">
        <v>0</v>
      </c>
      <c r="AA14" t="s">
        <v>781</v>
      </c>
      <c r="AB14" t="s">
        <v>781</v>
      </c>
      <c r="AC14" t="s">
        <v>781</v>
      </c>
      <c r="AD14" t="s">
        <v>781</v>
      </c>
      <c r="AE14">
        <v>0</v>
      </c>
      <c r="AF14" t="s">
        <v>781</v>
      </c>
      <c r="AG14" t="s">
        <v>622</v>
      </c>
      <c r="AH14" t="s">
        <v>781</v>
      </c>
    </row>
    <row r="15" spans="1:74" x14ac:dyDescent="0.25">
      <c r="A15" t="s">
        <v>309</v>
      </c>
      <c r="B15" t="s">
        <v>538</v>
      </c>
      <c r="C15" t="s">
        <v>781</v>
      </c>
      <c r="D15" t="s">
        <v>304</v>
      </c>
      <c r="E15" t="s">
        <v>305</v>
      </c>
      <c r="F15" t="s">
        <v>314</v>
      </c>
      <c r="G15" t="s">
        <v>78</v>
      </c>
      <c r="H15" t="s">
        <v>356</v>
      </c>
      <c r="I15" t="s">
        <v>307</v>
      </c>
      <c r="J15" t="s">
        <v>781</v>
      </c>
      <c r="K15">
        <v>1</v>
      </c>
      <c r="L15">
        <v>1</v>
      </c>
      <c r="M15" t="s">
        <v>33</v>
      </c>
      <c r="N15">
        <v>1</v>
      </c>
      <c r="O15">
        <v>1</v>
      </c>
      <c r="P15">
        <v>1</v>
      </c>
      <c r="Q15" t="s">
        <v>45</v>
      </c>
      <c r="R15">
        <v>1</v>
      </c>
      <c r="S15">
        <v>1</v>
      </c>
      <c r="T15">
        <v>1</v>
      </c>
      <c r="U15" t="s">
        <v>781</v>
      </c>
      <c r="V15" t="s">
        <v>781</v>
      </c>
      <c r="W15" t="s">
        <v>781</v>
      </c>
      <c r="X15">
        <v>1</v>
      </c>
      <c r="Y15" t="s">
        <v>781</v>
      </c>
      <c r="Z15">
        <v>0</v>
      </c>
      <c r="AA15" t="s">
        <v>781</v>
      </c>
      <c r="AB15" t="s">
        <v>781</v>
      </c>
      <c r="AC15" t="s">
        <v>781</v>
      </c>
      <c r="AD15" t="s">
        <v>781</v>
      </c>
      <c r="AE15">
        <v>0</v>
      </c>
      <c r="AF15" t="s">
        <v>781</v>
      </c>
      <c r="AG15" t="s">
        <v>626</v>
      </c>
      <c r="AH15" t="s">
        <v>781</v>
      </c>
    </row>
    <row r="16" spans="1:74" x14ac:dyDescent="0.25">
      <c r="A16" t="s">
        <v>310</v>
      </c>
      <c r="B16" t="s">
        <v>539</v>
      </c>
      <c r="C16" t="s">
        <v>781</v>
      </c>
      <c r="D16" t="s">
        <v>304</v>
      </c>
      <c r="E16" t="s">
        <v>305</v>
      </c>
      <c r="F16" t="s">
        <v>314</v>
      </c>
      <c r="G16" t="s">
        <v>78</v>
      </c>
      <c r="H16" t="s">
        <v>356</v>
      </c>
      <c r="I16" t="s">
        <v>307</v>
      </c>
      <c r="J16" t="s">
        <v>781</v>
      </c>
      <c r="K16">
        <v>1</v>
      </c>
      <c r="L16">
        <v>1</v>
      </c>
      <c r="M16" t="s">
        <v>33</v>
      </c>
      <c r="N16">
        <v>1</v>
      </c>
      <c r="O16">
        <v>1</v>
      </c>
      <c r="P16">
        <v>1</v>
      </c>
      <c r="Q16" t="s">
        <v>45</v>
      </c>
      <c r="R16">
        <v>1</v>
      </c>
      <c r="S16">
        <v>1</v>
      </c>
      <c r="T16">
        <v>1</v>
      </c>
      <c r="U16" t="s">
        <v>781</v>
      </c>
      <c r="V16" t="s">
        <v>781</v>
      </c>
      <c r="W16" t="s">
        <v>781</v>
      </c>
      <c r="X16">
        <v>1</v>
      </c>
      <c r="Y16" t="s">
        <v>781</v>
      </c>
      <c r="Z16">
        <v>0</v>
      </c>
      <c r="AA16" t="s">
        <v>781</v>
      </c>
      <c r="AB16" t="s">
        <v>781</v>
      </c>
      <c r="AC16" t="s">
        <v>781</v>
      </c>
      <c r="AD16" t="s">
        <v>781</v>
      </c>
      <c r="AE16">
        <v>0</v>
      </c>
      <c r="AF16" t="s">
        <v>781</v>
      </c>
      <c r="AG16" t="s">
        <v>626</v>
      </c>
      <c r="AH16" t="s">
        <v>781</v>
      </c>
    </row>
    <row r="17" spans="1:34" x14ac:dyDescent="0.25">
      <c r="A17" t="s">
        <v>311</v>
      </c>
      <c r="B17" t="s">
        <v>571</v>
      </c>
      <c r="C17" t="s">
        <v>781</v>
      </c>
      <c r="D17" t="s">
        <v>304</v>
      </c>
      <c r="E17" t="s">
        <v>305</v>
      </c>
      <c r="F17" t="s">
        <v>314</v>
      </c>
      <c r="G17" t="s">
        <v>78</v>
      </c>
      <c r="H17" t="s">
        <v>356</v>
      </c>
      <c r="I17" t="s">
        <v>307</v>
      </c>
      <c r="J17" t="s">
        <v>781</v>
      </c>
      <c r="K17">
        <v>1</v>
      </c>
      <c r="L17">
        <v>1</v>
      </c>
      <c r="M17" t="s">
        <v>33</v>
      </c>
      <c r="N17">
        <v>1</v>
      </c>
      <c r="O17">
        <v>1</v>
      </c>
      <c r="P17">
        <v>1</v>
      </c>
      <c r="Q17" t="s">
        <v>45</v>
      </c>
      <c r="R17">
        <v>1</v>
      </c>
      <c r="S17">
        <v>1</v>
      </c>
      <c r="T17">
        <v>1</v>
      </c>
      <c r="U17" t="s">
        <v>781</v>
      </c>
      <c r="V17" t="s">
        <v>781</v>
      </c>
      <c r="W17" t="s">
        <v>781</v>
      </c>
      <c r="X17">
        <v>1</v>
      </c>
      <c r="Y17" t="s">
        <v>781</v>
      </c>
      <c r="Z17">
        <v>0</v>
      </c>
      <c r="AA17" t="s">
        <v>781</v>
      </c>
      <c r="AB17" t="s">
        <v>781</v>
      </c>
      <c r="AC17" t="s">
        <v>781</v>
      </c>
      <c r="AD17" t="s">
        <v>781</v>
      </c>
      <c r="AE17">
        <v>0</v>
      </c>
      <c r="AF17" t="s">
        <v>781</v>
      </c>
      <c r="AG17" t="s">
        <v>630</v>
      </c>
      <c r="AH17" t="s">
        <v>781</v>
      </c>
    </row>
    <row r="18" spans="1:34" x14ac:dyDescent="0.25">
      <c r="A18" t="s">
        <v>312</v>
      </c>
      <c r="B18" t="s">
        <v>537</v>
      </c>
      <c r="C18" t="s">
        <v>781</v>
      </c>
      <c r="D18" t="s">
        <v>304</v>
      </c>
      <c r="E18" t="s">
        <v>305</v>
      </c>
      <c r="F18" t="s">
        <v>314</v>
      </c>
      <c r="G18" t="s">
        <v>78</v>
      </c>
      <c r="H18" t="s">
        <v>356</v>
      </c>
      <c r="I18" t="s">
        <v>307</v>
      </c>
      <c r="J18" t="s">
        <v>781</v>
      </c>
      <c r="K18">
        <v>1</v>
      </c>
      <c r="L18">
        <v>1</v>
      </c>
      <c r="M18" t="s">
        <v>33</v>
      </c>
      <c r="N18">
        <v>1</v>
      </c>
      <c r="O18">
        <v>1</v>
      </c>
      <c r="P18">
        <v>1</v>
      </c>
      <c r="Q18" t="s">
        <v>45</v>
      </c>
      <c r="R18">
        <v>1</v>
      </c>
      <c r="S18">
        <v>1</v>
      </c>
      <c r="T18">
        <v>1</v>
      </c>
      <c r="U18" t="s">
        <v>781</v>
      </c>
      <c r="V18" t="s">
        <v>781</v>
      </c>
      <c r="W18" t="s">
        <v>781</v>
      </c>
      <c r="X18">
        <v>1</v>
      </c>
      <c r="Y18" t="s">
        <v>781</v>
      </c>
      <c r="Z18">
        <v>0</v>
      </c>
      <c r="AA18" t="s">
        <v>781</v>
      </c>
      <c r="AB18" t="s">
        <v>781</v>
      </c>
      <c r="AC18" t="s">
        <v>781</v>
      </c>
      <c r="AD18" t="s">
        <v>781</v>
      </c>
      <c r="AE18">
        <v>0</v>
      </c>
      <c r="AF18" t="s">
        <v>781</v>
      </c>
      <c r="AG18" t="s">
        <v>626</v>
      </c>
      <c r="AH18" t="s">
        <v>781</v>
      </c>
    </row>
    <row r="19" spans="1:34" x14ac:dyDescent="0.25">
      <c r="A19" t="s">
        <v>313</v>
      </c>
      <c r="B19" t="s">
        <v>578</v>
      </c>
      <c r="C19" t="s">
        <v>781</v>
      </c>
      <c r="D19" t="s">
        <v>304</v>
      </c>
      <c r="E19" t="s">
        <v>305</v>
      </c>
      <c r="F19" t="s">
        <v>314</v>
      </c>
      <c r="G19" t="s">
        <v>78</v>
      </c>
      <c r="H19" t="s">
        <v>356</v>
      </c>
      <c r="I19" t="s">
        <v>307</v>
      </c>
      <c r="J19" t="s">
        <v>781</v>
      </c>
      <c r="K19">
        <v>1</v>
      </c>
      <c r="L19">
        <v>1</v>
      </c>
      <c r="M19" t="s">
        <v>33</v>
      </c>
      <c r="N19">
        <v>1</v>
      </c>
      <c r="O19">
        <v>1</v>
      </c>
      <c r="P19">
        <v>1</v>
      </c>
      <c r="Q19" t="s">
        <v>45</v>
      </c>
      <c r="R19">
        <v>1</v>
      </c>
      <c r="S19">
        <v>1</v>
      </c>
      <c r="T19">
        <v>1</v>
      </c>
      <c r="U19" t="s">
        <v>781</v>
      </c>
      <c r="V19" t="s">
        <v>781</v>
      </c>
      <c r="W19" t="s">
        <v>781</v>
      </c>
      <c r="X19">
        <v>1</v>
      </c>
      <c r="Y19" t="s">
        <v>781</v>
      </c>
      <c r="Z19">
        <v>0</v>
      </c>
      <c r="AA19" t="s">
        <v>781</v>
      </c>
      <c r="AB19" t="s">
        <v>781</v>
      </c>
      <c r="AC19" t="s">
        <v>781</v>
      </c>
      <c r="AD19" t="s">
        <v>781</v>
      </c>
      <c r="AE19">
        <v>0</v>
      </c>
      <c r="AF19" t="s">
        <v>781</v>
      </c>
      <c r="AG19" t="s">
        <v>622</v>
      </c>
      <c r="AH19" t="s">
        <v>781</v>
      </c>
    </row>
    <row r="20" spans="1:34" x14ac:dyDescent="0.25">
      <c r="A20" t="s">
        <v>315</v>
      </c>
      <c r="B20" t="s">
        <v>553</v>
      </c>
      <c r="C20" t="s">
        <v>781</v>
      </c>
      <c r="D20" t="s">
        <v>304</v>
      </c>
      <c r="E20" t="s">
        <v>305</v>
      </c>
      <c r="F20" t="s">
        <v>314</v>
      </c>
      <c r="G20" t="s">
        <v>78</v>
      </c>
      <c r="H20" t="s">
        <v>356</v>
      </c>
      <c r="I20" t="s">
        <v>307</v>
      </c>
      <c r="J20" t="s">
        <v>781</v>
      </c>
      <c r="K20">
        <v>1</v>
      </c>
      <c r="L20">
        <v>1</v>
      </c>
      <c r="M20" t="s">
        <v>33</v>
      </c>
      <c r="N20">
        <v>1</v>
      </c>
      <c r="O20">
        <v>1</v>
      </c>
      <c r="P20">
        <v>1</v>
      </c>
      <c r="Q20" t="s">
        <v>45</v>
      </c>
      <c r="R20">
        <v>1</v>
      </c>
      <c r="S20">
        <v>1</v>
      </c>
      <c r="T20">
        <v>1</v>
      </c>
      <c r="U20" t="s">
        <v>781</v>
      </c>
      <c r="V20" t="s">
        <v>781</v>
      </c>
      <c r="W20" t="s">
        <v>781</v>
      </c>
      <c r="X20">
        <v>1</v>
      </c>
      <c r="Y20" t="s">
        <v>781</v>
      </c>
      <c r="Z20">
        <v>0</v>
      </c>
      <c r="AA20" t="s">
        <v>781</v>
      </c>
      <c r="AB20" t="s">
        <v>781</v>
      </c>
      <c r="AC20" t="s">
        <v>781</v>
      </c>
      <c r="AD20" t="s">
        <v>781</v>
      </c>
      <c r="AE20">
        <v>0</v>
      </c>
      <c r="AF20" t="s">
        <v>781</v>
      </c>
      <c r="AG20" t="s">
        <v>622</v>
      </c>
      <c r="AH20" t="s">
        <v>781</v>
      </c>
    </row>
    <row r="21" spans="1:34" x14ac:dyDescent="0.25">
      <c r="A21" t="s">
        <v>316</v>
      </c>
      <c r="B21" t="s">
        <v>457</v>
      </c>
      <c r="C21" t="s">
        <v>781</v>
      </c>
      <c r="D21" t="s">
        <v>304</v>
      </c>
      <c r="E21" t="s">
        <v>317</v>
      </c>
      <c r="F21" t="s">
        <v>318</v>
      </c>
      <c r="G21" t="s">
        <v>78</v>
      </c>
      <c r="H21" t="s">
        <v>356</v>
      </c>
      <c r="I21" t="s">
        <v>307</v>
      </c>
      <c r="J21" t="s">
        <v>781</v>
      </c>
      <c r="K21">
        <v>1</v>
      </c>
      <c r="L21">
        <v>1</v>
      </c>
      <c r="M21" t="s">
        <v>38</v>
      </c>
      <c r="N21">
        <v>1</v>
      </c>
      <c r="O21">
        <v>1</v>
      </c>
      <c r="P21">
        <v>1</v>
      </c>
      <c r="Q21" t="s">
        <v>45</v>
      </c>
      <c r="R21">
        <v>1</v>
      </c>
      <c r="S21">
        <v>1</v>
      </c>
      <c r="T21">
        <v>1</v>
      </c>
      <c r="U21" t="s">
        <v>781</v>
      </c>
      <c r="V21" t="s">
        <v>781</v>
      </c>
      <c r="W21" t="s">
        <v>781</v>
      </c>
      <c r="X21">
        <v>1</v>
      </c>
      <c r="Y21" t="s">
        <v>781</v>
      </c>
      <c r="Z21">
        <v>0</v>
      </c>
      <c r="AA21" t="s">
        <v>781</v>
      </c>
      <c r="AB21" t="s">
        <v>781</v>
      </c>
      <c r="AC21" t="s">
        <v>781</v>
      </c>
      <c r="AD21" t="s">
        <v>781</v>
      </c>
      <c r="AE21">
        <v>0</v>
      </c>
      <c r="AF21" t="s">
        <v>781</v>
      </c>
      <c r="AG21" t="s">
        <v>625</v>
      </c>
      <c r="AH21" t="s">
        <v>781</v>
      </c>
    </row>
    <row r="22" spans="1:34" x14ac:dyDescent="0.25">
      <c r="A22" t="s">
        <v>319</v>
      </c>
      <c r="B22" t="s">
        <v>449</v>
      </c>
      <c r="C22" t="s">
        <v>781</v>
      </c>
      <c r="D22" t="s">
        <v>304</v>
      </c>
      <c r="E22" t="s">
        <v>317</v>
      </c>
      <c r="F22" t="s">
        <v>318</v>
      </c>
      <c r="G22" t="s">
        <v>78</v>
      </c>
      <c r="H22" t="s">
        <v>356</v>
      </c>
      <c r="I22" t="s">
        <v>307</v>
      </c>
      <c r="J22" t="s">
        <v>781</v>
      </c>
      <c r="K22">
        <v>1</v>
      </c>
      <c r="L22">
        <v>1</v>
      </c>
      <c r="M22" t="s">
        <v>38</v>
      </c>
      <c r="N22">
        <v>1</v>
      </c>
      <c r="O22">
        <v>1</v>
      </c>
      <c r="P22">
        <v>1</v>
      </c>
      <c r="Q22" t="s">
        <v>45</v>
      </c>
      <c r="R22">
        <v>1</v>
      </c>
      <c r="S22">
        <v>1</v>
      </c>
      <c r="T22">
        <v>1</v>
      </c>
      <c r="U22" t="s">
        <v>781</v>
      </c>
      <c r="V22" t="s">
        <v>781</v>
      </c>
      <c r="W22" t="s">
        <v>781</v>
      </c>
      <c r="X22">
        <v>1</v>
      </c>
      <c r="Y22" t="s">
        <v>781</v>
      </c>
      <c r="Z22">
        <v>0</v>
      </c>
      <c r="AA22" t="s">
        <v>781</v>
      </c>
      <c r="AB22" t="s">
        <v>781</v>
      </c>
      <c r="AC22" t="s">
        <v>781</v>
      </c>
      <c r="AD22" t="s">
        <v>781</v>
      </c>
      <c r="AE22">
        <v>0</v>
      </c>
      <c r="AF22" t="s">
        <v>781</v>
      </c>
      <c r="AG22" t="s">
        <v>623</v>
      </c>
      <c r="AH22" t="s">
        <v>781</v>
      </c>
    </row>
    <row r="23" spans="1:34" x14ac:dyDescent="0.25">
      <c r="A23" t="s">
        <v>320</v>
      </c>
      <c r="B23" t="s">
        <v>499</v>
      </c>
      <c r="C23" t="s">
        <v>781</v>
      </c>
      <c r="D23" t="s">
        <v>304</v>
      </c>
      <c r="E23" t="s">
        <v>317</v>
      </c>
      <c r="F23" t="s">
        <v>318</v>
      </c>
      <c r="G23" t="s">
        <v>78</v>
      </c>
      <c r="H23" t="s">
        <v>356</v>
      </c>
      <c r="I23" t="s">
        <v>307</v>
      </c>
      <c r="J23" t="s">
        <v>781</v>
      </c>
      <c r="K23">
        <v>1</v>
      </c>
      <c r="L23">
        <v>1</v>
      </c>
      <c r="M23" t="s">
        <v>38</v>
      </c>
      <c r="N23">
        <v>1</v>
      </c>
      <c r="O23">
        <v>1</v>
      </c>
      <c r="P23">
        <v>1</v>
      </c>
      <c r="Q23" t="s">
        <v>45</v>
      </c>
      <c r="R23">
        <v>1</v>
      </c>
      <c r="S23">
        <v>1</v>
      </c>
      <c r="T23">
        <v>1</v>
      </c>
      <c r="U23" t="s">
        <v>781</v>
      </c>
      <c r="V23" t="s">
        <v>781</v>
      </c>
      <c r="W23" t="s">
        <v>781</v>
      </c>
      <c r="X23">
        <v>1</v>
      </c>
      <c r="Y23" t="s">
        <v>781</v>
      </c>
      <c r="Z23">
        <v>0</v>
      </c>
      <c r="AA23" t="s">
        <v>781</v>
      </c>
      <c r="AB23" t="s">
        <v>781</v>
      </c>
      <c r="AC23" t="s">
        <v>781</v>
      </c>
      <c r="AD23" t="s">
        <v>781</v>
      </c>
      <c r="AE23">
        <v>0</v>
      </c>
      <c r="AF23" t="s">
        <v>781</v>
      </c>
      <c r="AG23" t="s">
        <v>623</v>
      </c>
      <c r="AH23" t="s">
        <v>781</v>
      </c>
    </row>
    <row r="24" spans="1:34" x14ac:dyDescent="0.25">
      <c r="A24" t="s">
        <v>321</v>
      </c>
      <c r="B24" t="s">
        <v>536</v>
      </c>
      <c r="C24" t="s">
        <v>781</v>
      </c>
      <c r="D24" t="s">
        <v>304</v>
      </c>
      <c r="E24" t="s">
        <v>317</v>
      </c>
      <c r="F24" t="s">
        <v>318</v>
      </c>
      <c r="G24" t="s">
        <v>78</v>
      </c>
      <c r="H24" t="s">
        <v>356</v>
      </c>
      <c r="I24" t="s">
        <v>307</v>
      </c>
      <c r="J24" t="s">
        <v>781</v>
      </c>
      <c r="K24">
        <v>1</v>
      </c>
      <c r="L24">
        <v>1</v>
      </c>
      <c r="M24" t="s">
        <v>38</v>
      </c>
      <c r="N24">
        <v>1</v>
      </c>
      <c r="O24">
        <v>1</v>
      </c>
      <c r="P24">
        <v>1</v>
      </c>
      <c r="Q24" t="s">
        <v>45</v>
      </c>
      <c r="R24">
        <v>1</v>
      </c>
      <c r="S24">
        <v>1</v>
      </c>
      <c r="T24">
        <v>1</v>
      </c>
      <c r="U24" t="s">
        <v>781</v>
      </c>
      <c r="V24" t="s">
        <v>781</v>
      </c>
      <c r="W24" t="s">
        <v>781</v>
      </c>
      <c r="X24">
        <v>1</v>
      </c>
      <c r="Y24" t="s">
        <v>781</v>
      </c>
      <c r="Z24">
        <v>0</v>
      </c>
      <c r="AA24" t="s">
        <v>781</v>
      </c>
      <c r="AB24" t="s">
        <v>781</v>
      </c>
      <c r="AC24" t="s">
        <v>781</v>
      </c>
      <c r="AD24" t="s">
        <v>781</v>
      </c>
      <c r="AE24">
        <v>0</v>
      </c>
      <c r="AF24" t="s">
        <v>781</v>
      </c>
      <c r="AG24" t="s">
        <v>112</v>
      </c>
      <c r="AH24" t="s">
        <v>781</v>
      </c>
    </row>
    <row r="25" spans="1:34" x14ac:dyDescent="0.25">
      <c r="A25" t="s">
        <v>322</v>
      </c>
      <c r="B25" t="s">
        <v>324</v>
      </c>
      <c r="C25" t="s">
        <v>781</v>
      </c>
      <c r="D25" t="s">
        <v>304</v>
      </c>
      <c r="E25" t="s">
        <v>323</v>
      </c>
      <c r="F25" t="s">
        <v>324</v>
      </c>
      <c r="G25" t="s">
        <v>106</v>
      </c>
      <c r="H25" t="s">
        <v>356</v>
      </c>
      <c r="I25" t="s">
        <v>325</v>
      </c>
      <c r="J25" t="s">
        <v>326</v>
      </c>
      <c r="K25">
        <v>1</v>
      </c>
      <c r="L25">
        <v>1</v>
      </c>
      <c r="M25" t="s">
        <v>38</v>
      </c>
      <c r="N25">
        <v>1</v>
      </c>
      <c r="O25">
        <v>1</v>
      </c>
      <c r="P25">
        <v>1</v>
      </c>
      <c r="Q25" t="s">
        <v>45</v>
      </c>
      <c r="R25">
        <v>1</v>
      </c>
      <c r="S25">
        <v>1</v>
      </c>
      <c r="T25">
        <v>1</v>
      </c>
      <c r="U25" t="s">
        <v>781</v>
      </c>
      <c r="V25" t="s">
        <v>781</v>
      </c>
      <c r="W25" t="s">
        <v>781</v>
      </c>
      <c r="X25">
        <v>1</v>
      </c>
      <c r="Y25" t="s">
        <v>781</v>
      </c>
      <c r="Z25">
        <v>0</v>
      </c>
      <c r="AA25" t="s">
        <v>781</v>
      </c>
      <c r="AB25" t="s">
        <v>781</v>
      </c>
      <c r="AC25" t="s">
        <v>781</v>
      </c>
      <c r="AD25" t="s">
        <v>781</v>
      </c>
      <c r="AE25">
        <v>0</v>
      </c>
      <c r="AF25" t="s">
        <v>781</v>
      </c>
      <c r="AG25" t="s">
        <v>103</v>
      </c>
      <c r="AH25" t="s">
        <v>781</v>
      </c>
    </row>
    <row r="26" spans="1:34" x14ac:dyDescent="0.25">
      <c r="A26" t="s">
        <v>327</v>
      </c>
      <c r="B26" t="s">
        <v>552</v>
      </c>
      <c r="C26" t="s">
        <v>781</v>
      </c>
      <c r="D26" t="s">
        <v>304</v>
      </c>
      <c r="E26" t="s">
        <v>323</v>
      </c>
      <c r="F26" t="s">
        <v>324</v>
      </c>
      <c r="G26" t="s">
        <v>78</v>
      </c>
      <c r="H26" t="s">
        <v>356</v>
      </c>
      <c r="I26" t="s">
        <v>325</v>
      </c>
      <c r="J26" t="s">
        <v>326</v>
      </c>
      <c r="K26">
        <v>1</v>
      </c>
      <c r="L26">
        <v>1</v>
      </c>
      <c r="M26" t="s">
        <v>38</v>
      </c>
      <c r="N26">
        <v>1</v>
      </c>
      <c r="O26">
        <v>1</v>
      </c>
      <c r="P26">
        <v>1</v>
      </c>
      <c r="Q26" t="s">
        <v>45</v>
      </c>
      <c r="R26">
        <v>1</v>
      </c>
      <c r="S26">
        <v>1</v>
      </c>
      <c r="T26">
        <v>1</v>
      </c>
      <c r="U26" t="s">
        <v>781</v>
      </c>
      <c r="V26" t="s">
        <v>781</v>
      </c>
      <c r="W26" t="s">
        <v>781</v>
      </c>
      <c r="X26">
        <v>1</v>
      </c>
      <c r="Y26" t="s">
        <v>781</v>
      </c>
      <c r="Z26">
        <v>0</v>
      </c>
      <c r="AA26" t="s">
        <v>781</v>
      </c>
      <c r="AB26" t="s">
        <v>781</v>
      </c>
      <c r="AC26" t="s">
        <v>781</v>
      </c>
      <c r="AD26" t="s">
        <v>781</v>
      </c>
      <c r="AE26">
        <v>0</v>
      </c>
      <c r="AF26" t="s">
        <v>781</v>
      </c>
      <c r="AG26" t="s">
        <v>103</v>
      </c>
      <c r="AH26" t="s">
        <v>781</v>
      </c>
    </row>
    <row r="27" spans="1:34" x14ac:dyDescent="0.25">
      <c r="A27" t="s">
        <v>328</v>
      </c>
      <c r="B27" t="s">
        <v>461</v>
      </c>
      <c r="C27" t="s">
        <v>781</v>
      </c>
      <c r="D27" t="s">
        <v>304</v>
      </c>
      <c r="E27" t="s">
        <v>317</v>
      </c>
      <c r="F27" t="s">
        <v>329</v>
      </c>
      <c r="G27" t="s">
        <v>78</v>
      </c>
      <c r="H27" t="s">
        <v>356</v>
      </c>
      <c r="I27" t="s">
        <v>307</v>
      </c>
      <c r="J27" t="s">
        <v>781</v>
      </c>
      <c r="K27">
        <v>1</v>
      </c>
      <c r="L27">
        <v>1</v>
      </c>
      <c r="M27" t="s">
        <v>33</v>
      </c>
      <c r="N27">
        <v>1</v>
      </c>
      <c r="O27">
        <v>1</v>
      </c>
      <c r="P27">
        <v>1</v>
      </c>
      <c r="Q27" t="s">
        <v>45</v>
      </c>
      <c r="R27">
        <v>1</v>
      </c>
      <c r="S27">
        <v>1</v>
      </c>
      <c r="T27">
        <v>1</v>
      </c>
      <c r="U27" t="s">
        <v>781</v>
      </c>
      <c r="V27" t="s">
        <v>781</v>
      </c>
      <c r="W27" t="s">
        <v>781</v>
      </c>
      <c r="X27">
        <v>1</v>
      </c>
      <c r="Y27" t="s">
        <v>781</v>
      </c>
      <c r="Z27">
        <v>1</v>
      </c>
      <c r="AA27">
        <v>1</v>
      </c>
      <c r="AB27" t="s">
        <v>781</v>
      </c>
      <c r="AC27" t="s">
        <v>781</v>
      </c>
      <c r="AD27" t="s">
        <v>781</v>
      </c>
      <c r="AE27">
        <v>1</v>
      </c>
      <c r="AF27" t="s">
        <v>781</v>
      </c>
      <c r="AG27" t="s">
        <v>112</v>
      </c>
      <c r="AH27" t="s">
        <v>781</v>
      </c>
    </row>
    <row r="28" spans="1:34" x14ac:dyDescent="0.25">
      <c r="A28" t="s">
        <v>330</v>
      </c>
      <c r="B28" t="s">
        <v>531</v>
      </c>
      <c r="C28" t="s">
        <v>781</v>
      </c>
      <c r="D28" t="s">
        <v>304</v>
      </c>
      <c r="E28" t="s">
        <v>317</v>
      </c>
      <c r="F28" t="s">
        <v>329</v>
      </c>
      <c r="G28" t="s">
        <v>78</v>
      </c>
      <c r="H28" t="s">
        <v>356</v>
      </c>
      <c r="I28" t="s">
        <v>307</v>
      </c>
      <c r="J28" t="s">
        <v>781</v>
      </c>
      <c r="K28">
        <v>1</v>
      </c>
      <c r="L28">
        <v>1</v>
      </c>
      <c r="M28" t="s">
        <v>33</v>
      </c>
      <c r="N28">
        <v>1</v>
      </c>
      <c r="O28">
        <v>1</v>
      </c>
      <c r="P28">
        <v>1</v>
      </c>
      <c r="Q28" t="s">
        <v>45</v>
      </c>
      <c r="R28">
        <v>1</v>
      </c>
      <c r="S28">
        <v>1</v>
      </c>
      <c r="T28">
        <v>1</v>
      </c>
      <c r="U28" t="s">
        <v>781</v>
      </c>
      <c r="V28" t="s">
        <v>781</v>
      </c>
      <c r="W28" t="s">
        <v>781</v>
      </c>
      <c r="X28">
        <v>1</v>
      </c>
      <c r="Y28" t="s">
        <v>781</v>
      </c>
      <c r="Z28">
        <v>1</v>
      </c>
      <c r="AA28">
        <v>1</v>
      </c>
      <c r="AB28" t="s">
        <v>781</v>
      </c>
      <c r="AC28" t="s">
        <v>781</v>
      </c>
      <c r="AD28" t="s">
        <v>781</v>
      </c>
      <c r="AE28">
        <v>1</v>
      </c>
      <c r="AF28" t="s">
        <v>781</v>
      </c>
      <c r="AG28" t="s">
        <v>112</v>
      </c>
      <c r="AH28" t="s">
        <v>781</v>
      </c>
    </row>
    <row r="29" spans="1:34" x14ac:dyDescent="0.25">
      <c r="A29" t="s">
        <v>331</v>
      </c>
      <c r="B29" t="s">
        <v>446</v>
      </c>
      <c r="C29" t="s">
        <v>781</v>
      </c>
      <c r="D29" t="s">
        <v>304</v>
      </c>
      <c r="E29" t="s">
        <v>317</v>
      </c>
      <c r="F29" t="s">
        <v>329</v>
      </c>
      <c r="G29" t="s">
        <v>78</v>
      </c>
      <c r="H29" t="s">
        <v>356</v>
      </c>
      <c r="I29" t="s">
        <v>307</v>
      </c>
      <c r="J29" t="s">
        <v>781</v>
      </c>
      <c r="K29">
        <v>1</v>
      </c>
      <c r="L29">
        <v>1</v>
      </c>
      <c r="M29" t="s">
        <v>33</v>
      </c>
      <c r="N29">
        <v>1</v>
      </c>
      <c r="O29">
        <v>1</v>
      </c>
      <c r="P29">
        <v>1</v>
      </c>
      <c r="Q29" t="s">
        <v>45</v>
      </c>
      <c r="R29">
        <v>1</v>
      </c>
      <c r="S29">
        <v>1</v>
      </c>
      <c r="T29">
        <v>1</v>
      </c>
      <c r="U29" t="s">
        <v>781</v>
      </c>
      <c r="V29" t="s">
        <v>781</v>
      </c>
      <c r="W29" t="s">
        <v>781</v>
      </c>
      <c r="X29">
        <v>1</v>
      </c>
      <c r="Y29" t="s">
        <v>781</v>
      </c>
      <c r="Z29">
        <v>1</v>
      </c>
      <c r="AA29">
        <v>1</v>
      </c>
      <c r="AB29" t="s">
        <v>781</v>
      </c>
      <c r="AC29" t="s">
        <v>781</v>
      </c>
      <c r="AD29" t="s">
        <v>781</v>
      </c>
      <c r="AE29">
        <v>1</v>
      </c>
      <c r="AF29" t="s">
        <v>781</v>
      </c>
      <c r="AG29" t="s">
        <v>112</v>
      </c>
      <c r="AH29" t="s">
        <v>781</v>
      </c>
    </row>
    <row r="30" spans="1:34" x14ac:dyDescent="0.25">
      <c r="A30" t="s">
        <v>321</v>
      </c>
      <c r="B30" t="s">
        <v>536</v>
      </c>
      <c r="C30" t="s">
        <v>781</v>
      </c>
      <c r="D30" t="s">
        <v>304</v>
      </c>
      <c r="E30" t="s">
        <v>317</v>
      </c>
      <c r="F30" t="s">
        <v>329</v>
      </c>
      <c r="G30" t="s">
        <v>78</v>
      </c>
      <c r="H30" t="s">
        <v>356</v>
      </c>
      <c r="I30" t="s">
        <v>307</v>
      </c>
      <c r="J30" t="s">
        <v>781</v>
      </c>
      <c r="K30">
        <v>1</v>
      </c>
      <c r="L30">
        <v>1</v>
      </c>
      <c r="M30" t="s">
        <v>33</v>
      </c>
      <c r="N30">
        <v>1</v>
      </c>
      <c r="O30">
        <v>1</v>
      </c>
      <c r="P30">
        <v>1</v>
      </c>
      <c r="Q30" t="s">
        <v>45</v>
      </c>
      <c r="R30">
        <v>1</v>
      </c>
      <c r="S30">
        <v>1</v>
      </c>
      <c r="T30">
        <v>1</v>
      </c>
      <c r="U30" t="s">
        <v>781</v>
      </c>
      <c r="V30" t="s">
        <v>781</v>
      </c>
      <c r="W30" t="s">
        <v>781</v>
      </c>
      <c r="X30">
        <v>1</v>
      </c>
      <c r="Y30" t="s">
        <v>781</v>
      </c>
      <c r="Z30">
        <v>1</v>
      </c>
      <c r="AA30">
        <v>1</v>
      </c>
      <c r="AB30" t="s">
        <v>781</v>
      </c>
      <c r="AC30" t="s">
        <v>781</v>
      </c>
      <c r="AD30" t="s">
        <v>781</v>
      </c>
      <c r="AE30">
        <v>1</v>
      </c>
      <c r="AF30" t="s">
        <v>781</v>
      </c>
      <c r="AG30" t="s">
        <v>112</v>
      </c>
      <c r="AH30" t="s">
        <v>781</v>
      </c>
    </row>
    <row r="31" spans="1:34" x14ac:dyDescent="0.25">
      <c r="A31" t="s">
        <v>308</v>
      </c>
      <c r="B31" t="s">
        <v>459</v>
      </c>
      <c r="C31" t="s">
        <v>781</v>
      </c>
      <c r="D31" t="s">
        <v>304</v>
      </c>
      <c r="E31" t="s">
        <v>305</v>
      </c>
      <c r="F31" t="s">
        <v>332</v>
      </c>
      <c r="G31" t="s">
        <v>78</v>
      </c>
      <c r="H31" t="s">
        <v>356</v>
      </c>
      <c r="I31" t="s">
        <v>307</v>
      </c>
      <c r="J31" t="s">
        <v>781</v>
      </c>
      <c r="K31">
        <v>1</v>
      </c>
      <c r="L31">
        <v>1</v>
      </c>
      <c r="M31" t="s">
        <v>33</v>
      </c>
      <c r="N31">
        <v>1</v>
      </c>
      <c r="O31">
        <v>1</v>
      </c>
      <c r="P31">
        <v>1</v>
      </c>
      <c r="Q31" t="s">
        <v>45</v>
      </c>
      <c r="R31">
        <v>1</v>
      </c>
      <c r="S31">
        <v>1</v>
      </c>
      <c r="T31">
        <v>1</v>
      </c>
      <c r="U31" t="s">
        <v>781</v>
      </c>
      <c r="V31" t="s">
        <v>781</v>
      </c>
      <c r="W31" t="s">
        <v>781</v>
      </c>
      <c r="X31">
        <v>1</v>
      </c>
      <c r="Y31" t="s">
        <v>781</v>
      </c>
      <c r="Z31">
        <v>0</v>
      </c>
      <c r="AA31" t="s">
        <v>781</v>
      </c>
      <c r="AB31" t="s">
        <v>781</v>
      </c>
      <c r="AC31" t="s">
        <v>781</v>
      </c>
      <c r="AD31" t="s">
        <v>781</v>
      </c>
      <c r="AE31">
        <v>0</v>
      </c>
      <c r="AF31" t="s">
        <v>781</v>
      </c>
      <c r="AG31" t="s">
        <v>622</v>
      </c>
      <c r="AH31" t="s">
        <v>781</v>
      </c>
    </row>
    <row r="32" spans="1:34" x14ac:dyDescent="0.25">
      <c r="A32" t="s">
        <v>333</v>
      </c>
      <c r="B32" t="s">
        <v>463</v>
      </c>
      <c r="C32" t="s">
        <v>781</v>
      </c>
      <c r="D32" t="s">
        <v>304</v>
      </c>
      <c r="E32" t="s">
        <v>305</v>
      </c>
      <c r="F32" t="s">
        <v>332</v>
      </c>
      <c r="G32" t="s">
        <v>78</v>
      </c>
      <c r="H32" t="s">
        <v>356</v>
      </c>
      <c r="I32" t="s">
        <v>307</v>
      </c>
      <c r="J32" t="s">
        <v>781</v>
      </c>
      <c r="K32">
        <v>1</v>
      </c>
      <c r="L32">
        <v>1</v>
      </c>
      <c r="M32" t="s">
        <v>33</v>
      </c>
      <c r="N32">
        <v>1</v>
      </c>
      <c r="O32">
        <v>1</v>
      </c>
      <c r="P32">
        <v>1</v>
      </c>
      <c r="Q32" t="s">
        <v>45</v>
      </c>
      <c r="R32">
        <v>1</v>
      </c>
      <c r="S32">
        <v>1</v>
      </c>
      <c r="T32">
        <v>1</v>
      </c>
      <c r="U32" t="s">
        <v>781</v>
      </c>
      <c r="V32" t="s">
        <v>781</v>
      </c>
      <c r="W32" t="s">
        <v>781</v>
      </c>
      <c r="X32">
        <v>1</v>
      </c>
      <c r="Y32" t="s">
        <v>781</v>
      </c>
      <c r="Z32">
        <v>0</v>
      </c>
      <c r="AA32" t="s">
        <v>781</v>
      </c>
      <c r="AB32" t="s">
        <v>781</v>
      </c>
      <c r="AC32" t="s">
        <v>781</v>
      </c>
      <c r="AD32" t="s">
        <v>781</v>
      </c>
      <c r="AE32">
        <v>0</v>
      </c>
      <c r="AF32" t="s">
        <v>781</v>
      </c>
      <c r="AG32" t="s">
        <v>103</v>
      </c>
      <c r="AH32" t="s">
        <v>781</v>
      </c>
    </row>
    <row r="33" spans="1:34" x14ac:dyDescent="0.25">
      <c r="A33" t="s">
        <v>333</v>
      </c>
      <c r="B33" t="s">
        <v>463</v>
      </c>
      <c r="C33" t="s">
        <v>781</v>
      </c>
      <c r="D33" t="s">
        <v>304</v>
      </c>
      <c r="E33" t="s">
        <v>305</v>
      </c>
      <c r="F33" t="s">
        <v>334</v>
      </c>
      <c r="G33" t="s">
        <v>78</v>
      </c>
      <c r="H33" t="s">
        <v>356</v>
      </c>
      <c r="I33" t="s">
        <v>325</v>
      </c>
      <c r="J33" t="s">
        <v>781</v>
      </c>
      <c r="K33">
        <v>1</v>
      </c>
      <c r="L33">
        <v>1</v>
      </c>
      <c r="M33" t="s">
        <v>33</v>
      </c>
      <c r="N33">
        <v>1</v>
      </c>
      <c r="O33">
        <v>1</v>
      </c>
      <c r="P33">
        <v>1</v>
      </c>
      <c r="Q33" t="s">
        <v>45</v>
      </c>
      <c r="R33">
        <v>1</v>
      </c>
      <c r="S33">
        <v>1</v>
      </c>
      <c r="T33" t="s">
        <v>781</v>
      </c>
      <c r="U33">
        <v>1</v>
      </c>
      <c r="V33" t="s">
        <v>781</v>
      </c>
      <c r="W33" t="s">
        <v>781</v>
      </c>
      <c r="X33">
        <v>1</v>
      </c>
      <c r="Y33" t="s">
        <v>781</v>
      </c>
      <c r="Z33">
        <v>0</v>
      </c>
      <c r="AA33" t="s">
        <v>781</v>
      </c>
      <c r="AB33" t="s">
        <v>781</v>
      </c>
      <c r="AC33" t="s">
        <v>781</v>
      </c>
      <c r="AD33" t="s">
        <v>781</v>
      </c>
      <c r="AE33">
        <v>0</v>
      </c>
      <c r="AF33" t="s">
        <v>781</v>
      </c>
      <c r="AG33" t="s">
        <v>103</v>
      </c>
      <c r="AH33" t="s">
        <v>781</v>
      </c>
    </row>
    <row r="34" spans="1:34" x14ac:dyDescent="0.25">
      <c r="A34" t="s">
        <v>308</v>
      </c>
      <c r="B34" t="s">
        <v>459</v>
      </c>
      <c r="C34" t="s">
        <v>781</v>
      </c>
      <c r="D34" t="s">
        <v>304</v>
      </c>
      <c r="E34" t="s">
        <v>305</v>
      </c>
      <c r="F34" t="s">
        <v>334</v>
      </c>
      <c r="G34" t="s">
        <v>78</v>
      </c>
      <c r="H34" t="s">
        <v>356</v>
      </c>
      <c r="I34" t="s">
        <v>325</v>
      </c>
      <c r="J34" t="s">
        <v>781</v>
      </c>
      <c r="K34">
        <v>1</v>
      </c>
      <c r="L34">
        <v>1</v>
      </c>
      <c r="M34" t="s">
        <v>33</v>
      </c>
      <c r="N34">
        <v>1</v>
      </c>
      <c r="O34">
        <v>1</v>
      </c>
      <c r="P34">
        <v>1</v>
      </c>
      <c r="Q34" t="s">
        <v>45</v>
      </c>
      <c r="R34">
        <v>1</v>
      </c>
      <c r="S34">
        <v>1</v>
      </c>
      <c r="T34" t="s">
        <v>781</v>
      </c>
      <c r="U34">
        <v>1</v>
      </c>
      <c r="V34" t="s">
        <v>781</v>
      </c>
      <c r="W34" t="s">
        <v>781</v>
      </c>
      <c r="X34">
        <v>1</v>
      </c>
      <c r="Y34" t="s">
        <v>781</v>
      </c>
      <c r="Z34">
        <v>0</v>
      </c>
      <c r="AA34" t="s">
        <v>781</v>
      </c>
      <c r="AB34" t="s">
        <v>781</v>
      </c>
      <c r="AC34" t="s">
        <v>781</v>
      </c>
      <c r="AD34" t="s">
        <v>781</v>
      </c>
      <c r="AE34">
        <v>0</v>
      </c>
      <c r="AF34" t="s">
        <v>781</v>
      </c>
      <c r="AG34" t="s">
        <v>622</v>
      </c>
      <c r="AH34" t="s">
        <v>781</v>
      </c>
    </row>
    <row r="35" spans="1:34" x14ac:dyDescent="0.25">
      <c r="A35" t="s">
        <v>309</v>
      </c>
      <c r="B35" t="s">
        <v>538</v>
      </c>
      <c r="C35" t="s">
        <v>781</v>
      </c>
      <c r="D35" t="s">
        <v>304</v>
      </c>
      <c r="E35" t="s">
        <v>305</v>
      </c>
      <c r="F35" t="s">
        <v>334</v>
      </c>
      <c r="G35" t="s">
        <v>78</v>
      </c>
      <c r="H35" t="s">
        <v>356</v>
      </c>
      <c r="I35" t="s">
        <v>325</v>
      </c>
      <c r="J35" t="s">
        <v>781</v>
      </c>
      <c r="K35">
        <v>1</v>
      </c>
      <c r="L35">
        <v>1</v>
      </c>
      <c r="M35" t="s">
        <v>33</v>
      </c>
      <c r="N35">
        <v>1</v>
      </c>
      <c r="O35">
        <v>1</v>
      </c>
      <c r="P35">
        <v>1</v>
      </c>
      <c r="Q35" t="s">
        <v>45</v>
      </c>
      <c r="R35">
        <v>1</v>
      </c>
      <c r="S35">
        <v>1</v>
      </c>
      <c r="T35" t="s">
        <v>781</v>
      </c>
      <c r="U35">
        <v>1</v>
      </c>
      <c r="V35" t="s">
        <v>781</v>
      </c>
      <c r="W35" t="s">
        <v>781</v>
      </c>
      <c r="X35">
        <v>1</v>
      </c>
      <c r="Y35" t="s">
        <v>781</v>
      </c>
      <c r="Z35">
        <v>0</v>
      </c>
      <c r="AA35" t="s">
        <v>781</v>
      </c>
      <c r="AB35" t="s">
        <v>781</v>
      </c>
      <c r="AC35" t="s">
        <v>781</v>
      </c>
      <c r="AD35" t="s">
        <v>781</v>
      </c>
      <c r="AE35">
        <v>0</v>
      </c>
      <c r="AF35" t="s">
        <v>781</v>
      </c>
      <c r="AG35" t="s">
        <v>626</v>
      </c>
      <c r="AH35" t="s">
        <v>781</v>
      </c>
    </row>
    <row r="36" spans="1:34" x14ac:dyDescent="0.25">
      <c r="A36" t="s">
        <v>308</v>
      </c>
      <c r="B36" t="s">
        <v>459</v>
      </c>
      <c r="C36" t="s">
        <v>781</v>
      </c>
      <c r="D36" t="s">
        <v>304</v>
      </c>
      <c r="E36" t="s">
        <v>335</v>
      </c>
      <c r="F36" t="s">
        <v>336</v>
      </c>
      <c r="G36" t="s">
        <v>78</v>
      </c>
      <c r="H36" t="s">
        <v>337</v>
      </c>
      <c r="I36" t="s">
        <v>325</v>
      </c>
      <c r="J36" t="s">
        <v>781</v>
      </c>
      <c r="K36">
        <v>1</v>
      </c>
      <c r="L36">
        <v>1</v>
      </c>
      <c r="M36" t="s">
        <v>42</v>
      </c>
      <c r="N36">
        <v>1</v>
      </c>
      <c r="O36">
        <v>1</v>
      </c>
      <c r="P36">
        <v>1</v>
      </c>
      <c r="Q36" t="s">
        <v>45</v>
      </c>
      <c r="R36">
        <v>1</v>
      </c>
      <c r="S36">
        <v>1</v>
      </c>
      <c r="T36" t="s">
        <v>781</v>
      </c>
      <c r="U36">
        <v>1</v>
      </c>
      <c r="V36" t="s">
        <v>781</v>
      </c>
      <c r="W36" t="s">
        <v>781</v>
      </c>
      <c r="X36">
        <v>1</v>
      </c>
      <c r="Y36" t="s">
        <v>781</v>
      </c>
      <c r="Z36">
        <v>0</v>
      </c>
      <c r="AA36" t="s">
        <v>781</v>
      </c>
      <c r="AB36" t="s">
        <v>781</v>
      </c>
      <c r="AC36" t="s">
        <v>781</v>
      </c>
      <c r="AD36" t="s">
        <v>781</v>
      </c>
      <c r="AE36">
        <v>0</v>
      </c>
      <c r="AF36" t="s">
        <v>781</v>
      </c>
      <c r="AG36" t="s">
        <v>622</v>
      </c>
      <c r="AH36" t="s">
        <v>781</v>
      </c>
    </row>
    <row r="37" spans="1:34" x14ac:dyDescent="0.25">
      <c r="A37" t="s">
        <v>310</v>
      </c>
      <c r="B37" t="s">
        <v>539</v>
      </c>
      <c r="C37" t="s">
        <v>781</v>
      </c>
      <c r="D37" t="s">
        <v>304</v>
      </c>
      <c r="E37" t="s">
        <v>335</v>
      </c>
      <c r="F37" t="s">
        <v>336</v>
      </c>
      <c r="G37" t="s">
        <v>78</v>
      </c>
      <c r="H37" t="s">
        <v>337</v>
      </c>
      <c r="I37" t="s">
        <v>325</v>
      </c>
      <c r="J37" t="s">
        <v>781</v>
      </c>
      <c r="K37">
        <v>1</v>
      </c>
      <c r="L37">
        <v>1</v>
      </c>
      <c r="M37" t="s">
        <v>42</v>
      </c>
      <c r="N37">
        <v>1</v>
      </c>
      <c r="O37">
        <v>1</v>
      </c>
      <c r="P37">
        <v>1</v>
      </c>
      <c r="Q37" t="s">
        <v>45</v>
      </c>
      <c r="R37">
        <v>1</v>
      </c>
      <c r="S37">
        <v>1</v>
      </c>
      <c r="T37" t="s">
        <v>781</v>
      </c>
      <c r="U37">
        <v>1</v>
      </c>
      <c r="V37" t="s">
        <v>781</v>
      </c>
      <c r="W37" t="s">
        <v>781</v>
      </c>
      <c r="X37">
        <v>1</v>
      </c>
      <c r="Y37" t="s">
        <v>781</v>
      </c>
      <c r="Z37">
        <v>0</v>
      </c>
      <c r="AA37" t="s">
        <v>781</v>
      </c>
      <c r="AB37" t="s">
        <v>781</v>
      </c>
      <c r="AC37" t="s">
        <v>781</v>
      </c>
      <c r="AD37" t="s">
        <v>781</v>
      </c>
      <c r="AE37">
        <v>0</v>
      </c>
      <c r="AF37" t="s">
        <v>781</v>
      </c>
      <c r="AG37" t="s">
        <v>626</v>
      </c>
      <c r="AH37" t="s">
        <v>781</v>
      </c>
    </row>
    <row r="38" spans="1:34" x14ac:dyDescent="0.25">
      <c r="A38" t="s">
        <v>308</v>
      </c>
      <c r="B38" t="s">
        <v>459</v>
      </c>
      <c r="C38" t="s">
        <v>781</v>
      </c>
      <c r="D38" t="s">
        <v>304</v>
      </c>
      <c r="E38" t="s">
        <v>335</v>
      </c>
      <c r="F38" t="s">
        <v>338</v>
      </c>
      <c r="G38" t="s">
        <v>78</v>
      </c>
      <c r="H38" t="s">
        <v>356</v>
      </c>
      <c r="I38" t="s">
        <v>307</v>
      </c>
      <c r="J38" t="s">
        <v>339</v>
      </c>
      <c r="K38">
        <v>1</v>
      </c>
      <c r="L38">
        <v>1</v>
      </c>
      <c r="M38" t="s">
        <v>42</v>
      </c>
      <c r="N38">
        <v>1</v>
      </c>
      <c r="O38">
        <v>1</v>
      </c>
      <c r="P38">
        <v>1</v>
      </c>
      <c r="Q38" t="s">
        <v>45</v>
      </c>
      <c r="R38">
        <v>1</v>
      </c>
      <c r="S38">
        <v>1</v>
      </c>
      <c r="T38">
        <v>1</v>
      </c>
      <c r="U38" t="s">
        <v>781</v>
      </c>
      <c r="V38" t="s">
        <v>781</v>
      </c>
      <c r="W38" t="s">
        <v>781</v>
      </c>
      <c r="X38">
        <v>1</v>
      </c>
      <c r="Y38" t="s">
        <v>781</v>
      </c>
      <c r="Z38">
        <v>0</v>
      </c>
      <c r="AA38" t="s">
        <v>781</v>
      </c>
      <c r="AB38" t="s">
        <v>781</v>
      </c>
      <c r="AC38" t="s">
        <v>781</v>
      </c>
      <c r="AD38" t="s">
        <v>781</v>
      </c>
      <c r="AE38">
        <v>0</v>
      </c>
      <c r="AF38" t="s">
        <v>781</v>
      </c>
      <c r="AG38" t="s">
        <v>622</v>
      </c>
      <c r="AH38" t="s">
        <v>781</v>
      </c>
    </row>
    <row r="39" spans="1:34" x14ac:dyDescent="0.25">
      <c r="A39" t="s">
        <v>340</v>
      </c>
      <c r="B39" t="s">
        <v>465</v>
      </c>
      <c r="C39" t="s">
        <v>781</v>
      </c>
      <c r="D39" t="s">
        <v>304</v>
      </c>
      <c r="E39" t="s">
        <v>335</v>
      </c>
      <c r="F39" t="s">
        <v>338</v>
      </c>
      <c r="G39" t="s">
        <v>78</v>
      </c>
      <c r="H39" t="s">
        <v>356</v>
      </c>
      <c r="I39" t="s">
        <v>307</v>
      </c>
      <c r="J39" t="s">
        <v>339</v>
      </c>
      <c r="K39">
        <v>1</v>
      </c>
      <c r="L39">
        <v>1</v>
      </c>
      <c r="M39" t="s">
        <v>42</v>
      </c>
      <c r="N39">
        <v>1</v>
      </c>
      <c r="O39">
        <v>1</v>
      </c>
      <c r="P39">
        <v>1</v>
      </c>
      <c r="Q39" t="s">
        <v>45</v>
      </c>
      <c r="R39">
        <v>1</v>
      </c>
      <c r="S39">
        <v>1</v>
      </c>
      <c r="T39">
        <v>1</v>
      </c>
      <c r="U39" t="s">
        <v>781</v>
      </c>
      <c r="V39" t="s">
        <v>781</v>
      </c>
      <c r="W39" t="s">
        <v>781</v>
      </c>
      <c r="X39">
        <v>1</v>
      </c>
      <c r="Y39" t="s">
        <v>781</v>
      </c>
      <c r="Z39">
        <v>0</v>
      </c>
      <c r="AA39" t="s">
        <v>781</v>
      </c>
      <c r="AB39" t="s">
        <v>781</v>
      </c>
      <c r="AC39" t="s">
        <v>781</v>
      </c>
      <c r="AD39" t="s">
        <v>781</v>
      </c>
      <c r="AE39">
        <v>0</v>
      </c>
      <c r="AF39" t="s">
        <v>781</v>
      </c>
      <c r="AG39" t="s">
        <v>626</v>
      </c>
      <c r="AH39" t="s">
        <v>781</v>
      </c>
    </row>
    <row r="40" spans="1:34" x14ac:dyDescent="0.25">
      <c r="A40" t="s">
        <v>310</v>
      </c>
      <c r="B40" t="s">
        <v>539</v>
      </c>
      <c r="C40" t="s">
        <v>781</v>
      </c>
      <c r="D40" t="s">
        <v>304</v>
      </c>
      <c r="E40" t="s">
        <v>335</v>
      </c>
      <c r="F40" t="s">
        <v>338</v>
      </c>
      <c r="G40" t="s">
        <v>78</v>
      </c>
      <c r="H40" t="s">
        <v>356</v>
      </c>
      <c r="I40" t="s">
        <v>307</v>
      </c>
      <c r="J40" t="s">
        <v>339</v>
      </c>
      <c r="K40">
        <v>1</v>
      </c>
      <c r="L40">
        <v>1</v>
      </c>
      <c r="M40" t="s">
        <v>42</v>
      </c>
      <c r="N40">
        <v>1</v>
      </c>
      <c r="O40">
        <v>1</v>
      </c>
      <c r="P40">
        <v>1</v>
      </c>
      <c r="Q40" t="s">
        <v>45</v>
      </c>
      <c r="R40">
        <v>1</v>
      </c>
      <c r="S40">
        <v>1</v>
      </c>
      <c r="T40">
        <v>1</v>
      </c>
      <c r="U40" t="s">
        <v>781</v>
      </c>
      <c r="V40" t="s">
        <v>781</v>
      </c>
      <c r="W40" t="s">
        <v>781</v>
      </c>
      <c r="X40">
        <v>1</v>
      </c>
      <c r="Y40" t="s">
        <v>781</v>
      </c>
      <c r="Z40">
        <v>0</v>
      </c>
      <c r="AA40" t="s">
        <v>781</v>
      </c>
      <c r="AB40" t="s">
        <v>781</v>
      </c>
      <c r="AC40" t="s">
        <v>781</v>
      </c>
      <c r="AD40" t="s">
        <v>781</v>
      </c>
      <c r="AE40">
        <v>0</v>
      </c>
      <c r="AF40" t="s">
        <v>781</v>
      </c>
      <c r="AG40" t="s">
        <v>626</v>
      </c>
      <c r="AH40" t="s">
        <v>781</v>
      </c>
    </row>
    <row r="41" spans="1:34" x14ac:dyDescent="0.25">
      <c r="A41" t="s">
        <v>340</v>
      </c>
      <c r="B41" t="s">
        <v>465</v>
      </c>
      <c r="C41" t="s">
        <v>781</v>
      </c>
      <c r="D41" t="s">
        <v>304</v>
      </c>
      <c r="E41" t="s">
        <v>305</v>
      </c>
      <c r="F41" t="s">
        <v>341</v>
      </c>
      <c r="G41" t="s">
        <v>78</v>
      </c>
      <c r="H41" t="s">
        <v>356</v>
      </c>
      <c r="I41" t="s">
        <v>307</v>
      </c>
      <c r="J41" t="s">
        <v>342</v>
      </c>
      <c r="K41">
        <v>1</v>
      </c>
      <c r="L41">
        <v>1</v>
      </c>
      <c r="M41" t="s">
        <v>42</v>
      </c>
      <c r="N41">
        <v>1</v>
      </c>
      <c r="O41">
        <v>1</v>
      </c>
      <c r="P41">
        <v>1</v>
      </c>
      <c r="Q41" t="s">
        <v>45</v>
      </c>
      <c r="R41">
        <v>1</v>
      </c>
      <c r="S41">
        <v>1</v>
      </c>
      <c r="T41">
        <v>1</v>
      </c>
      <c r="U41" t="s">
        <v>781</v>
      </c>
      <c r="V41" t="s">
        <v>781</v>
      </c>
      <c r="W41" t="s">
        <v>781</v>
      </c>
      <c r="X41">
        <v>1</v>
      </c>
      <c r="Y41" t="s">
        <v>781</v>
      </c>
      <c r="Z41">
        <v>0</v>
      </c>
      <c r="AA41" t="s">
        <v>781</v>
      </c>
      <c r="AB41" t="s">
        <v>781</v>
      </c>
      <c r="AC41" t="s">
        <v>781</v>
      </c>
      <c r="AD41" t="s">
        <v>781</v>
      </c>
      <c r="AE41">
        <v>0</v>
      </c>
      <c r="AF41" t="s">
        <v>781</v>
      </c>
      <c r="AG41" t="s">
        <v>626</v>
      </c>
      <c r="AH41" t="s">
        <v>781</v>
      </c>
    </row>
    <row r="42" spans="1:34" x14ac:dyDescent="0.25">
      <c r="A42" t="s">
        <v>312</v>
      </c>
      <c r="B42" t="s">
        <v>537</v>
      </c>
      <c r="C42" t="s">
        <v>781</v>
      </c>
      <c r="D42" t="s">
        <v>304</v>
      </c>
      <c r="E42" t="s">
        <v>305</v>
      </c>
      <c r="F42" t="s">
        <v>341</v>
      </c>
      <c r="G42" t="s">
        <v>78</v>
      </c>
      <c r="H42" t="s">
        <v>356</v>
      </c>
      <c r="I42" t="s">
        <v>307</v>
      </c>
      <c r="J42" t="s">
        <v>342</v>
      </c>
      <c r="K42">
        <v>1</v>
      </c>
      <c r="L42">
        <v>1</v>
      </c>
      <c r="M42" t="s">
        <v>42</v>
      </c>
      <c r="N42">
        <v>1</v>
      </c>
      <c r="O42">
        <v>1</v>
      </c>
      <c r="P42">
        <v>1</v>
      </c>
      <c r="Q42" t="s">
        <v>45</v>
      </c>
      <c r="R42">
        <v>1</v>
      </c>
      <c r="S42">
        <v>1</v>
      </c>
      <c r="T42">
        <v>1</v>
      </c>
      <c r="U42" t="s">
        <v>781</v>
      </c>
      <c r="V42" t="s">
        <v>781</v>
      </c>
      <c r="W42" t="s">
        <v>781</v>
      </c>
      <c r="X42">
        <v>1</v>
      </c>
      <c r="Y42" t="s">
        <v>781</v>
      </c>
      <c r="Z42">
        <v>0</v>
      </c>
      <c r="AA42" t="s">
        <v>781</v>
      </c>
      <c r="AB42" t="s">
        <v>781</v>
      </c>
      <c r="AC42" t="s">
        <v>781</v>
      </c>
      <c r="AD42" t="s">
        <v>781</v>
      </c>
      <c r="AE42">
        <v>0</v>
      </c>
      <c r="AF42" t="s">
        <v>781</v>
      </c>
      <c r="AG42" t="s">
        <v>626</v>
      </c>
      <c r="AH42" t="s">
        <v>781</v>
      </c>
    </row>
    <row r="43" spans="1:34" x14ac:dyDescent="0.25">
      <c r="A43" t="s">
        <v>343</v>
      </c>
      <c r="B43" t="s">
        <v>569</v>
      </c>
      <c r="C43" t="s">
        <v>781</v>
      </c>
      <c r="D43" t="s">
        <v>304</v>
      </c>
      <c r="E43" t="s">
        <v>305</v>
      </c>
      <c r="F43" t="s">
        <v>341</v>
      </c>
      <c r="G43" t="s">
        <v>78</v>
      </c>
      <c r="H43" t="s">
        <v>356</v>
      </c>
      <c r="I43" t="s">
        <v>307</v>
      </c>
      <c r="J43" t="s">
        <v>342</v>
      </c>
      <c r="K43">
        <v>1</v>
      </c>
      <c r="L43">
        <v>1</v>
      </c>
      <c r="M43" t="s">
        <v>42</v>
      </c>
      <c r="N43">
        <v>1</v>
      </c>
      <c r="O43">
        <v>1</v>
      </c>
      <c r="P43">
        <v>1</v>
      </c>
      <c r="Q43" t="s">
        <v>45</v>
      </c>
      <c r="R43">
        <v>1</v>
      </c>
      <c r="S43">
        <v>1</v>
      </c>
      <c r="T43">
        <v>1</v>
      </c>
      <c r="U43" t="s">
        <v>781</v>
      </c>
      <c r="V43" t="s">
        <v>781</v>
      </c>
      <c r="W43" t="s">
        <v>781</v>
      </c>
      <c r="X43">
        <v>1</v>
      </c>
      <c r="Y43" t="s">
        <v>781</v>
      </c>
      <c r="Z43">
        <v>0</v>
      </c>
      <c r="AA43" t="s">
        <v>781</v>
      </c>
      <c r="AB43" t="s">
        <v>781</v>
      </c>
      <c r="AC43" t="s">
        <v>781</v>
      </c>
      <c r="AD43" t="s">
        <v>781</v>
      </c>
      <c r="AE43">
        <v>0</v>
      </c>
      <c r="AF43" t="s">
        <v>781</v>
      </c>
      <c r="AG43" t="s">
        <v>626</v>
      </c>
      <c r="AH43" t="s">
        <v>781</v>
      </c>
    </row>
    <row r="44" spans="1:34" x14ac:dyDescent="0.25">
      <c r="A44" t="s">
        <v>309</v>
      </c>
      <c r="B44" t="s">
        <v>538</v>
      </c>
      <c r="C44" t="s">
        <v>781</v>
      </c>
      <c r="D44" t="s">
        <v>304</v>
      </c>
      <c r="E44" t="s">
        <v>305</v>
      </c>
      <c r="F44" t="s">
        <v>341</v>
      </c>
      <c r="G44" t="s">
        <v>78</v>
      </c>
      <c r="H44" t="s">
        <v>356</v>
      </c>
      <c r="I44" t="s">
        <v>307</v>
      </c>
      <c r="J44" t="s">
        <v>342</v>
      </c>
      <c r="K44">
        <v>1</v>
      </c>
      <c r="L44">
        <v>1</v>
      </c>
      <c r="M44" t="s">
        <v>42</v>
      </c>
      <c r="N44">
        <v>1</v>
      </c>
      <c r="O44">
        <v>1</v>
      </c>
      <c r="P44">
        <v>1</v>
      </c>
      <c r="Q44" t="s">
        <v>45</v>
      </c>
      <c r="R44">
        <v>1</v>
      </c>
      <c r="S44">
        <v>1</v>
      </c>
      <c r="T44">
        <v>1</v>
      </c>
      <c r="U44" t="s">
        <v>781</v>
      </c>
      <c r="V44" t="s">
        <v>781</v>
      </c>
      <c r="W44" t="s">
        <v>781</v>
      </c>
      <c r="X44">
        <v>1</v>
      </c>
      <c r="Y44" t="s">
        <v>781</v>
      </c>
      <c r="Z44">
        <v>0</v>
      </c>
      <c r="AA44" t="s">
        <v>781</v>
      </c>
      <c r="AB44" t="s">
        <v>781</v>
      </c>
      <c r="AC44" t="s">
        <v>781</v>
      </c>
      <c r="AD44" t="s">
        <v>781</v>
      </c>
      <c r="AE44">
        <v>0</v>
      </c>
      <c r="AF44" t="s">
        <v>781</v>
      </c>
      <c r="AG44" t="s">
        <v>626</v>
      </c>
      <c r="AH44" t="s">
        <v>781</v>
      </c>
    </row>
    <row r="45" spans="1:34" x14ac:dyDescent="0.25">
      <c r="A45" t="s">
        <v>308</v>
      </c>
      <c r="B45" t="s">
        <v>459</v>
      </c>
      <c r="C45" t="s">
        <v>781</v>
      </c>
      <c r="D45" t="s">
        <v>304</v>
      </c>
      <c r="E45" t="s">
        <v>305</v>
      </c>
      <c r="F45" t="s">
        <v>341</v>
      </c>
      <c r="G45" t="s">
        <v>78</v>
      </c>
      <c r="H45" t="s">
        <v>356</v>
      </c>
      <c r="I45" t="s">
        <v>307</v>
      </c>
      <c r="J45" t="s">
        <v>342</v>
      </c>
      <c r="K45">
        <v>1</v>
      </c>
      <c r="L45">
        <v>1</v>
      </c>
      <c r="M45" t="s">
        <v>42</v>
      </c>
      <c r="N45">
        <v>1</v>
      </c>
      <c r="O45">
        <v>1</v>
      </c>
      <c r="P45">
        <v>1</v>
      </c>
      <c r="Q45" t="s">
        <v>45</v>
      </c>
      <c r="R45">
        <v>1</v>
      </c>
      <c r="S45">
        <v>1</v>
      </c>
      <c r="T45">
        <v>1</v>
      </c>
      <c r="U45" t="s">
        <v>781</v>
      </c>
      <c r="V45" t="s">
        <v>781</v>
      </c>
      <c r="W45" t="s">
        <v>781</v>
      </c>
      <c r="X45">
        <v>1</v>
      </c>
      <c r="Y45" t="s">
        <v>781</v>
      </c>
      <c r="Z45">
        <v>0</v>
      </c>
      <c r="AA45" t="s">
        <v>781</v>
      </c>
      <c r="AB45" t="s">
        <v>781</v>
      </c>
      <c r="AC45" t="s">
        <v>781</v>
      </c>
      <c r="AD45" t="s">
        <v>781</v>
      </c>
      <c r="AE45">
        <v>0</v>
      </c>
      <c r="AF45" t="s">
        <v>781</v>
      </c>
      <c r="AG45" t="s">
        <v>622</v>
      </c>
      <c r="AH45" t="s">
        <v>781</v>
      </c>
    </row>
    <row r="46" spans="1:34" x14ac:dyDescent="0.25">
      <c r="A46" t="s">
        <v>344</v>
      </c>
      <c r="B46" t="s">
        <v>566</v>
      </c>
      <c r="C46" t="s">
        <v>781</v>
      </c>
      <c r="D46" t="s">
        <v>304</v>
      </c>
      <c r="E46" t="s">
        <v>305</v>
      </c>
      <c r="F46" t="s">
        <v>341</v>
      </c>
      <c r="G46" t="s">
        <v>78</v>
      </c>
      <c r="H46" t="s">
        <v>356</v>
      </c>
      <c r="I46" t="s">
        <v>307</v>
      </c>
      <c r="J46" t="s">
        <v>342</v>
      </c>
      <c r="K46">
        <v>1</v>
      </c>
      <c r="L46">
        <v>1</v>
      </c>
      <c r="M46" t="s">
        <v>42</v>
      </c>
      <c r="N46">
        <v>1</v>
      </c>
      <c r="O46">
        <v>1</v>
      </c>
      <c r="P46">
        <v>1</v>
      </c>
      <c r="Q46" t="s">
        <v>45</v>
      </c>
      <c r="R46">
        <v>1</v>
      </c>
      <c r="S46">
        <v>1</v>
      </c>
      <c r="T46">
        <v>1</v>
      </c>
      <c r="U46" t="s">
        <v>781</v>
      </c>
      <c r="V46" t="s">
        <v>781</v>
      </c>
      <c r="W46" t="s">
        <v>781</v>
      </c>
      <c r="X46">
        <v>1</v>
      </c>
      <c r="Y46" t="s">
        <v>781</v>
      </c>
      <c r="Z46">
        <v>0</v>
      </c>
      <c r="AA46" t="s">
        <v>781</v>
      </c>
      <c r="AB46" t="s">
        <v>781</v>
      </c>
      <c r="AC46" t="s">
        <v>781</v>
      </c>
      <c r="AD46" t="s">
        <v>781</v>
      </c>
      <c r="AE46">
        <v>0</v>
      </c>
      <c r="AF46" t="s">
        <v>781</v>
      </c>
      <c r="AG46" t="s">
        <v>630</v>
      </c>
      <c r="AH46" t="s">
        <v>781</v>
      </c>
    </row>
    <row r="47" spans="1:34" x14ac:dyDescent="0.25">
      <c r="A47" t="s">
        <v>345</v>
      </c>
      <c r="B47" t="s">
        <v>468</v>
      </c>
      <c r="C47" t="s">
        <v>781</v>
      </c>
      <c r="D47" t="s">
        <v>304</v>
      </c>
      <c r="E47" t="s">
        <v>305</v>
      </c>
      <c r="F47" t="s">
        <v>346</v>
      </c>
      <c r="G47" t="s">
        <v>78</v>
      </c>
      <c r="H47" t="s">
        <v>347</v>
      </c>
      <c r="I47" t="s">
        <v>307</v>
      </c>
      <c r="J47" t="s">
        <v>781</v>
      </c>
      <c r="K47">
        <v>1</v>
      </c>
      <c r="L47">
        <v>1</v>
      </c>
      <c r="M47" t="s">
        <v>33</v>
      </c>
      <c r="N47">
        <v>1</v>
      </c>
      <c r="O47">
        <v>1</v>
      </c>
      <c r="P47">
        <v>1</v>
      </c>
      <c r="Q47" t="s">
        <v>45</v>
      </c>
      <c r="R47">
        <v>1</v>
      </c>
      <c r="S47">
        <v>1</v>
      </c>
      <c r="T47" t="s">
        <v>781</v>
      </c>
      <c r="U47">
        <v>1</v>
      </c>
      <c r="V47" t="s">
        <v>781</v>
      </c>
      <c r="W47" t="s">
        <v>781</v>
      </c>
      <c r="X47">
        <v>1</v>
      </c>
      <c r="Y47" t="s">
        <v>781</v>
      </c>
      <c r="Z47">
        <v>0</v>
      </c>
      <c r="AA47" t="s">
        <v>781</v>
      </c>
      <c r="AB47" t="s">
        <v>781</v>
      </c>
      <c r="AC47" t="s">
        <v>781</v>
      </c>
      <c r="AD47" t="s">
        <v>781</v>
      </c>
      <c r="AE47">
        <v>0</v>
      </c>
      <c r="AF47" t="s">
        <v>781</v>
      </c>
      <c r="AG47" t="s">
        <v>623</v>
      </c>
      <c r="AH47" t="s">
        <v>781</v>
      </c>
    </row>
    <row r="48" spans="1:34" x14ac:dyDescent="0.25">
      <c r="A48" t="s">
        <v>310</v>
      </c>
      <c r="B48" t="s">
        <v>539</v>
      </c>
      <c r="C48" t="s">
        <v>781</v>
      </c>
      <c r="D48" t="s">
        <v>304</v>
      </c>
      <c r="E48" t="s">
        <v>305</v>
      </c>
      <c r="F48" t="s">
        <v>346</v>
      </c>
      <c r="G48" t="s">
        <v>78</v>
      </c>
      <c r="H48" t="s">
        <v>347</v>
      </c>
      <c r="I48" t="s">
        <v>307</v>
      </c>
      <c r="J48" t="s">
        <v>781</v>
      </c>
      <c r="K48">
        <v>1</v>
      </c>
      <c r="L48">
        <v>1</v>
      </c>
      <c r="M48" t="s">
        <v>33</v>
      </c>
      <c r="N48">
        <v>1</v>
      </c>
      <c r="O48">
        <v>1</v>
      </c>
      <c r="P48">
        <v>1</v>
      </c>
      <c r="Q48" t="s">
        <v>45</v>
      </c>
      <c r="R48">
        <v>1</v>
      </c>
      <c r="S48">
        <v>1</v>
      </c>
      <c r="T48" t="s">
        <v>781</v>
      </c>
      <c r="U48">
        <v>1</v>
      </c>
      <c r="V48" t="s">
        <v>781</v>
      </c>
      <c r="W48" t="s">
        <v>781</v>
      </c>
      <c r="X48">
        <v>1</v>
      </c>
      <c r="Y48" t="s">
        <v>781</v>
      </c>
      <c r="Z48">
        <v>0</v>
      </c>
      <c r="AA48" t="s">
        <v>781</v>
      </c>
      <c r="AB48" t="s">
        <v>781</v>
      </c>
      <c r="AC48" t="s">
        <v>781</v>
      </c>
      <c r="AD48" t="s">
        <v>781</v>
      </c>
      <c r="AE48">
        <v>0</v>
      </c>
      <c r="AF48" t="s">
        <v>781</v>
      </c>
      <c r="AG48" t="s">
        <v>626</v>
      </c>
      <c r="AH48" t="s">
        <v>781</v>
      </c>
    </row>
    <row r="49" spans="1:74" x14ac:dyDescent="0.25">
      <c r="A49" t="s">
        <v>345</v>
      </c>
      <c r="B49" t="s">
        <v>468</v>
      </c>
      <c r="C49" t="s">
        <v>781</v>
      </c>
      <c r="D49" t="s">
        <v>304</v>
      </c>
      <c r="E49" t="s">
        <v>305</v>
      </c>
      <c r="F49" t="s">
        <v>348</v>
      </c>
      <c r="G49" t="s">
        <v>78</v>
      </c>
      <c r="H49" t="s">
        <v>356</v>
      </c>
      <c r="I49" t="s">
        <v>307</v>
      </c>
      <c r="J49" t="s">
        <v>349</v>
      </c>
      <c r="K49">
        <v>1</v>
      </c>
      <c r="L49">
        <v>1</v>
      </c>
      <c r="M49" t="s">
        <v>33</v>
      </c>
      <c r="N49">
        <v>1</v>
      </c>
      <c r="O49">
        <v>1</v>
      </c>
      <c r="P49">
        <v>1</v>
      </c>
      <c r="Q49" t="s">
        <v>45</v>
      </c>
      <c r="R49">
        <v>1</v>
      </c>
      <c r="S49">
        <v>1</v>
      </c>
      <c r="T49">
        <v>1</v>
      </c>
      <c r="U49" t="s">
        <v>781</v>
      </c>
      <c r="V49" t="s">
        <v>781</v>
      </c>
      <c r="W49" t="s">
        <v>781</v>
      </c>
      <c r="X49">
        <v>1</v>
      </c>
      <c r="Y49" t="s">
        <v>781</v>
      </c>
      <c r="Z49">
        <v>0</v>
      </c>
      <c r="AA49" t="s">
        <v>781</v>
      </c>
      <c r="AB49" t="s">
        <v>781</v>
      </c>
      <c r="AC49" t="s">
        <v>781</v>
      </c>
      <c r="AD49" t="s">
        <v>781</v>
      </c>
      <c r="AE49">
        <v>0</v>
      </c>
      <c r="AF49" t="s">
        <v>781</v>
      </c>
      <c r="AG49" t="s">
        <v>623</v>
      </c>
      <c r="AH49" t="s">
        <v>781</v>
      </c>
    </row>
    <row r="50" spans="1:74" x14ac:dyDescent="0.25">
      <c r="A50" t="s">
        <v>310</v>
      </c>
      <c r="B50" t="s">
        <v>539</v>
      </c>
      <c r="C50" t="s">
        <v>781</v>
      </c>
      <c r="D50" t="s">
        <v>304</v>
      </c>
      <c r="E50" t="s">
        <v>305</v>
      </c>
      <c r="F50" t="s">
        <v>348</v>
      </c>
      <c r="G50" t="s">
        <v>78</v>
      </c>
      <c r="H50" t="s">
        <v>356</v>
      </c>
      <c r="I50" t="s">
        <v>307</v>
      </c>
      <c r="J50" t="s">
        <v>349</v>
      </c>
      <c r="K50">
        <v>1</v>
      </c>
      <c r="L50">
        <v>1</v>
      </c>
      <c r="M50" t="s">
        <v>33</v>
      </c>
      <c r="N50">
        <v>1</v>
      </c>
      <c r="O50">
        <v>1</v>
      </c>
      <c r="P50">
        <v>1</v>
      </c>
      <c r="Q50" t="s">
        <v>45</v>
      </c>
      <c r="R50">
        <v>1</v>
      </c>
      <c r="S50">
        <v>1</v>
      </c>
      <c r="T50">
        <v>1</v>
      </c>
      <c r="U50" t="s">
        <v>781</v>
      </c>
      <c r="V50" t="s">
        <v>781</v>
      </c>
      <c r="W50" t="s">
        <v>781</v>
      </c>
      <c r="X50">
        <v>1</v>
      </c>
      <c r="Y50" t="s">
        <v>781</v>
      </c>
      <c r="Z50">
        <v>0</v>
      </c>
      <c r="AA50" t="s">
        <v>781</v>
      </c>
      <c r="AB50" t="s">
        <v>781</v>
      </c>
      <c r="AC50" t="s">
        <v>781</v>
      </c>
      <c r="AD50" t="s">
        <v>781</v>
      </c>
      <c r="AE50">
        <v>0</v>
      </c>
      <c r="AF50" t="s">
        <v>781</v>
      </c>
      <c r="AG50" t="s">
        <v>626</v>
      </c>
      <c r="AH50" t="s">
        <v>781</v>
      </c>
    </row>
    <row r="51" spans="1:74" x14ac:dyDescent="0.25">
      <c r="A51" t="s">
        <v>345</v>
      </c>
      <c r="B51" t="s">
        <v>468</v>
      </c>
      <c r="C51" t="s">
        <v>781</v>
      </c>
      <c r="D51" t="s">
        <v>304</v>
      </c>
      <c r="E51" t="s">
        <v>305</v>
      </c>
      <c r="F51" t="s">
        <v>350</v>
      </c>
      <c r="G51" t="s">
        <v>78</v>
      </c>
      <c r="H51" t="s">
        <v>351</v>
      </c>
      <c r="I51" t="s">
        <v>307</v>
      </c>
      <c r="J51" t="s">
        <v>352</v>
      </c>
      <c r="K51">
        <v>1</v>
      </c>
      <c r="L51">
        <v>1</v>
      </c>
      <c r="M51" t="s">
        <v>33</v>
      </c>
      <c r="N51">
        <v>1</v>
      </c>
      <c r="O51">
        <v>1</v>
      </c>
      <c r="P51">
        <v>1</v>
      </c>
      <c r="Q51" t="s">
        <v>45</v>
      </c>
      <c r="R51">
        <v>1</v>
      </c>
      <c r="S51">
        <v>1</v>
      </c>
      <c r="T51" t="s">
        <v>781</v>
      </c>
      <c r="U51">
        <v>1</v>
      </c>
      <c r="V51" t="s">
        <v>781</v>
      </c>
      <c r="W51" t="s">
        <v>781</v>
      </c>
      <c r="X51">
        <v>1</v>
      </c>
      <c r="Y51" t="s">
        <v>781</v>
      </c>
      <c r="Z51">
        <v>0</v>
      </c>
      <c r="AA51" t="s">
        <v>781</v>
      </c>
      <c r="AB51" t="s">
        <v>781</v>
      </c>
      <c r="AC51" t="s">
        <v>781</v>
      </c>
      <c r="AD51" t="s">
        <v>781</v>
      </c>
      <c r="AE51">
        <v>0</v>
      </c>
      <c r="AF51" t="s">
        <v>781</v>
      </c>
      <c r="AG51" t="s">
        <v>623</v>
      </c>
      <c r="AH51" t="s">
        <v>781</v>
      </c>
    </row>
    <row r="52" spans="1:74" x14ac:dyDescent="0.25">
      <c r="A52" t="s">
        <v>312</v>
      </c>
      <c r="B52" t="s">
        <v>537</v>
      </c>
      <c r="C52" t="s">
        <v>781</v>
      </c>
      <c r="D52" t="s">
        <v>304</v>
      </c>
      <c r="E52" t="s">
        <v>305</v>
      </c>
      <c r="F52" t="s">
        <v>350</v>
      </c>
      <c r="G52" t="s">
        <v>78</v>
      </c>
      <c r="H52" t="s">
        <v>351</v>
      </c>
      <c r="I52" t="s">
        <v>307</v>
      </c>
      <c r="J52" t="s">
        <v>352</v>
      </c>
      <c r="K52">
        <v>1</v>
      </c>
      <c r="L52">
        <v>1</v>
      </c>
      <c r="M52" t="s">
        <v>33</v>
      </c>
      <c r="N52">
        <v>1</v>
      </c>
      <c r="O52">
        <v>1</v>
      </c>
      <c r="P52">
        <v>1</v>
      </c>
      <c r="Q52" t="s">
        <v>45</v>
      </c>
      <c r="R52">
        <v>1</v>
      </c>
      <c r="S52">
        <v>1</v>
      </c>
      <c r="T52" t="s">
        <v>781</v>
      </c>
      <c r="U52">
        <v>1</v>
      </c>
      <c r="V52" t="s">
        <v>781</v>
      </c>
      <c r="W52" t="s">
        <v>781</v>
      </c>
      <c r="X52">
        <v>1</v>
      </c>
      <c r="Y52" t="s">
        <v>781</v>
      </c>
      <c r="Z52">
        <v>0</v>
      </c>
      <c r="AA52" t="s">
        <v>781</v>
      </c>
      <c r="AB52" t="s">
        <v>781</v>
      </c>
      <c r="AC52" t="s">
        <v>781</v>
      </c>
      <c r="AD52" t="s">
        <v>781</v>
      </c>
      <c r="AE52">
        <v>0</v>
      </c>
      <c r="AF52" t="s">
        <v>781</v>
      </c>
      <c r="AG52" t="s">
        <v>626</v>
      </c>
      <c r="AH52" t="s">
        <v>781</v>
      </c>
    </row>
    <row r="53" spans="1:74" x14ac:dyDescent="0.25">
      <c r="A53" t="s">
        <v>309</v>
      </c>
      <c r="B53" t="s">
        <v>538</v>
      </c>
      <c r="C53" t="s">
        <v>781</v>
      </c>
      <c r="D53" t="s">
        <v>304</v>
      </c>
      <c r="E53" t="s">
        <v>305</v>
      </c>
      <c r="F53" t="s">
        <v>350</v>
      </c>
      <c r="G53" t="s">
        <v>78</v>
      </c>
      <c r="H53" t="s">
        <v>351</v>
      </c>
      <c r="I53" t="s">
        <v>307</v>
      </c>
      <c r="J53" t="s">
        <v>352</v>
      </c>
      <c r="K53">
        <v>1</v>
      </c>
      <c r="L53">
        <v>1</v>
      </c>
      <c r="M53" t="s">
        <v>33</v>
      </c>
      <c r="N53">
        <v>1</v>
      </c>
      <c r="O53">
        <v>1</v>
      </c>
      <c r="P53">
        <v>1</v>
      </c>
      <c r="Q53" t="s">
        <v>45</v>
      </c>
      <c r="R53">
        <v>1</v>
      </c>
      <c r="S53">
        <v>1</v>
      </c>
      <c r="T53" t="s">
        <v>781</v>
      </c>
      <c r="U53">
        <v>1</v>
      </c>
      <c r="V53" t="s">
        <v>781</v>
      </c>
      <c r="W53" t="s">
        <v>781</v>
      </c>
      <c r="X53">
        <v>1</v>
      </c>
      <c r="Y53" t="s">
        <v>781</v>
      </c>
      <c r="Z53">
        <v>0</v>
      </c>
      <c r="AA53" t="s">
        <v>781</v>
      </c>
      <c r="AB53" t="s">
        <v>781</v>
      </c>
      <c r="AC53" t="s">
        <v>781</v>
      </c>
      <c r="AD53" t="s">
        <v>781</v>
      </c>
      <c r="AE53">
        <v>0</v>
      </c>
      <c r="AF53" t="s">
        <v>781</v>
      </c>
      <c r="AG53" t="s">
        <v>626</v>
      </c>
      <c r="AH53" t="s">
        <v>781</v>
      </c>
    </row>
    <row r="54" spans="1:74" s="450" customFormat="1" x14ac:dyDescent="0.25">
      <c r="A54" t="s">
        <v>353</v>
      </c>
      <c r="B54" t="s">
        <v>355</v>
      </c>
      <c r="C54" t="s">
        <v>781</v>
      </c>
      <c r="D54" t="s">
        <v>304</v>
      </c>
      <c r="E54" t="s">
        <v>354</v>
      </c>
      <c r="F54" t="s">
        <v>355</v>
      </c>
      <c r="G54" t="s">
        <v>106</v>
      </c>
      <c r="H54" t="s">
        <v>356</v>
      </c>
      <c r="I54" t="s">
        <v>307</v>
      </c>
      <c r="J54" t="s">
        <v>357</v>
      </c>
      <c r="K54">
        <v>1</v>
      </c>
      <c r="L54">
        <v>1</v>
      </c>
      <c r="M54" t="s">
        <v>38</v>
      </c>
      <c r="N54">
        <v>1</v>
      </c>
      <c r="O54">
        <v>1</v>
      </c>
      <c r="P54">
        <v>1</v>
      </c>
      <c r="Q54" t="s">
        <v>45</v>
      </c>
      <c r="R54">
        <v>1</v>
      </c>
      <c r="S54">
        <v>1</v>
      </c>
      <c r="T54" t="s">
        <v>781</v>
      </c>
      <c r="U54">
        <v>1</v>
      </c>
      <c r="V54" t="s">
        <v>781</v>
      </c>
      <c r="W54" t="s">
        <v>781</v>
      </c>
      <c r="X54">
        <v>1</v>
      </c>
      <c r="Y54" t="s">
        <v>781</v>
      </c>
      <c r="Z54">
        <v>0</v>
      </c>
      <c r="AA54" t="s">
        <v>781</v>
      </c>
      <c r="AB54" t="s">
        <v>781</v>
      </c>
      <c r="AC54" t="s">
        <v>781</v>
      </c>
      <c r="AD54" t="s">
        <v>781</v>
      </c>
      <c r="AE54">
        <v>0</v>
      </c>
      <c r="AF54" t="s">
        <v>781</v>
      </c>
      <c r="AG54">
        <v>0</v>
      </c>
      <c r="AH54" t="s">
        <v>781</v>
      </c>
      <c r="AI54" s="170"/>
      <c r="AJ54" s="170"/>
      <c r="AK54" s="170"/>
      <c r="AL54" s="170"/>
      <c r="AM54" s="170"/>
      <c r="AN54" s="170"/>
      <c r="AO54" s="170"/>
      <c r="AP54" s="170"/>
      <c r="AQ54" s="170"/>
      <c r="AR54" s="170"/>
      <c r="AS54" s="170"/>
      <c r="AT54" s="170"/>
      <c r="AU54" s="170"/>
      <c r="AV54" s="170"/>
      <c r="AW54" s="170"/>
      <c r="AX54" s="170"/>
      <c r="AY54" s="170"/>
      <c r="AZ54" s="170"/>
      <c r="BA54" s="170"/>
      <c r="BB54" s="170"/>
      <c r="BC54" s="170"/>
      <c r="BD54" s="170"/>
      <c r="BE54" s="170"/>
      <c r="BF54" s="170"/>
      <c r="BG54" s="170"/>
      <c r="BH54" s="170"/>
      <c r="BI54" s="170"/>
      <c r="BJ54" s="170"/>
      <c r="BK54" s="170"/>
      <c r="BL54" s="170"/>
      <c r="BM54" s="170"/>
      <c r="BN54" s="170"/>
      <c r="BO54" s="170"/>
      <c r="BP54" s="170"/>
      <c r="BQ54" s="170"/>
      <c r="BR54" s="170"/>
      <c r="BS54" s="170"/>
      <c r="BT54" s="170"/>
      <c r="BU54" s="170"/>
      <c r="BV54" s="170"/>
    </row>
    <row r="55" spans="1:74" x14ac:dyDescent="0.25">
      <c r="A55" t="s">
        <v>358</v>
      </c>
      <c r="B55" t="s">
        <v>480</v>
      </c>
      <c r="C55" t="s">
        <v>781</v>
      </c>
      <c r="D55" t="s">
        <v>304</v>
      </c>
      <c r="E55" t="s">
        <v>305</v>
      </c>
      <c r="F55" t="s">
        <v>359</v>
      </c>
      <c r="G55" t="s">
        <v>78</v>
      </c>
      <c r="H55" t="s">
        <v>360</v>
      </c>
      <c r="I55" t="s">
        <v>307</v>
      </c>
      <c r="J55" t="s">
        <v>781</v>
      </c>
      <c r="K55">
        <v>1</v>
      </c>
      <c r="L55">
        <v>1</v>
      </c>
      <c r="M55" t="s">
        <v>42</v>
      </c>
      <c r="N55">
        <v>1</v>
      </c>
      <c r="O55">
        <v>1</v>
      </c>
      <c r="P55">
        <v>1</v>
      </c>
      <c r="Q55" t="s">
        <v>45</v>
      </c>
      <c r="R55">
        <v>1</v>
      </c>
      <c r="S55">
        <v>1</v>
      </c>
      <c r="T55" t="s">
        <v>781</v>
      </c>
      <c r="U55">
        <v>1</v>
      </c>
      <c r="V55" t="s">
        <v>781</v>
      </c>
      <c r="W55" t="s">
        <v>781</v>
      </c>
      <c r="X55">
        <v>1</v>
      </c>
      <c r="Y55" t="s">
        <v>781</v>
      </c>
      <c r="Z55">
        <v>0</v>
      </c>
      <c r="AA55" t="s">
        <v>781</v>
      </c>
      <c r="AB55" t="s">
        <v>781</v>
      </c>
      <c r="AC55" t="s">
        <v>781</v>
      </c>
      <c r="AD55" t="s">
        <v>781</v>
      </c>
      <c r="AE55">
        <v>0</v>
      </c>
      <c r="AF55" t="s">
        <v>781</v>
      </c>
      <c r="AG55" t="s">
        <v>625</v>
      </c>
      <c r="AH55" t="s">
        <v>781</v>
      </c>
    </row>
    <row r="56" spans="1:74" x14ac:dyDescent="0.25">
      <c r="A56" t="s">
        <v>310</v>
      </c>
      <c r="B56" t="s">
        <v>539</v>
      </c>
      <c r="C56" t="s">
        <v>781</v>
      </c>
      <c r="D56" t="s">
        <v>304</v>
      </c>
      <c r="E56" t="s">
        <v>305</v>
      </c>
      <c r="F56" t="s">
        <v>359</v>
      </c>
      <c r="G56" t="s">
        <v>78</v>
      </c>
      <c r="H56" t="s">
        <v>360</v>
      </c>
      <c r="I56" t="s">
        <v>307</v>
      </c>
      <c r="J56" t="s">
        <v>781</v>
      </c>
      <c r="K56">
        <v>1</v>
      </c>
      <c r="L56">
        <v>1</v>
      </c>
      <c r="M56" t="s">
        <v>42</v>
      </c>
      <c r="N56">
        <v>1</v>
      </c>
      <c r="O56">
        <v>1</v>
      </c>
      <c r="P56">
        <v>1</v>
      </c>
      <c r="Q56" t="s">
        <v>45</v>
      </c>
      <c r="R56">
        <v>1</v>
      </c>
      <c r="S56">
        <v>1</v>
      </c>
      <c r="T56" t="s">
        <v>781</v>
      </c>
      <c r="U56">
        <v>1</v>
      </c>
      <c r="V56" t="s">
        <v>781</v>
      </c>
      <c r="W56" t="s">
        <v>781</v>
      </c>
      <c r="X56">
        <v>1</v>
      </c>
      <c r="Y56" t="s">
        <v>781</v>
      </c>
      <c r="Z56">
        <v>0</v>
      </c>
      <c r="AA56" t="s">
        <v>781</v>
      </c>
      <c r="AB56" t="s">
        <v>781</v>
      </c>
      <c r="AC56" t="s">
        <v>781</v>
      </c>
      <c r="AD56" t="s">
        <v>781</v>
      </c>
      <c r="AE56">
        <v>0</v>
      </c>
      <c r="AF56" t="s">
        <v>781</v>
      </c>
      <c r="AG56" t="s">
        <v>626</v>
      </c>
      <c r="AH56" t="s">
        <v>781</v>
      </c>
    </row>
    <row r="57" spans="1:74" x14ac:dyDescent="0.25">
      <c r="A57" t="s">
        <v>358</v>
      </c>
      <c r="B57" t="s">
        <v>480</v>
      </c>
      <c r="C57" t="s">
        <v>781</v>
      </c>
      <c r="D57" t="s">
        <v>304</v>
      </c>
      <c r="E57" t="s">
        <v>305</v>
      </c>
      <c r="F57" t="s">
        <v>361</v>
      </c>
      <c r="G57" t="s">
        <v>78</v>
      </c>
      <c r="H57" t="s">
        <v>356</v>
      </c>
      <c r="I57" t="s">
        <v>307</v>
      </c>
      <c r="J57" t="s">
        <v>781</v>
      </c>
      <c r="K57">
        <v>1</v>
      </c>
      <c r="L57">
        <v>1</v>
      </c>
      <c r="M57" t="s">
        <v>42</v>
      </c>
      <c r="N57">
        <v>1</v>
      </c>
      <c r="O57">
        <v>1</v>
      </c>
      <c r="P57">
        <v>1</v>
      </c>
      <c r="Q57" t="s">
        <v>45</v>
      </c>
      <c r="R57">
        <v>1</v>
      </c>
      <c r="S57">
        <v>1</v>
      </c>
      <c r="T57">
        <v>1</v>
      </c>
      <c r="U57" t="s">
        <v>781</v>
      </c>
      <c r="V57" t="s">
        <v>781</v>
      </c>
      <c r="W57" t="s">
        <v>781</v>
      </c>
      <c r="X57">
        <v>1</v>
      </c>
      <c r="Y57" t="s">
        <v>781</v>
      </c>
      <c r="Z57">
        <v>0</v>
      </c>
      <c r="AA57" t="s">
        <v>781</v>
      </c>
      <c r="AB57" t="s">
        <v>781</v>
      </c>
      <c r="AC57" t="s">
        <v>781</v>
      </c>
      <c r="AD57" t="s">
        <v>781</v>
      </c>
      <c r="AE57">
        <v>0</v>
      </c>
      <c r="AF57" t="s">
        <v>781</v>
      </c>
      <c r="AG57" t="s">
        <v>625</v>
      </c>
      <c r="AH57" t="s">
        <v>781</v>
      </c>
    </row>
    <row r="58" spans="1:74" x14ac:dyDescent="0.25">
      <c r="A58" t="s">
        <v>312</v>
      </c>
      <c r="B58" t="s">
        <v>537</v>
      </c>
      <c r="C58" t="s">
        <v>781</v>
      </c>
      <c r="D58" t="s">
        <v>304</v>
      </c>
      <c r="E58" t="s">
        <v>305</v>
      </c>
      <c r="F58" t="s">
        <v>361</v>
      </c>
      <c r="G58" t="s">
        <v>78</v>
      </c>
      <c r="H58" t="s">
        <v>356</v>
      </c>
      <c r="I58" t="s">
        <v>307</v>
      </c>
      <c r="J58" t="s">
        <v>781</v>
      </c>
      <c r="K58">
        <v>1</v>
      </c>
      <c r="L58">
        <v>1</v>
      </c>
      <c r="M58" t="s">
        <v>42</v>
      </c>
      <c r="N58">
        <v>1</v>
      </c>
      <c r="O58">
        <v>1</v>
      </c>
      <c r="P58">
        <v>1</v>
      </c>
      <c r="Q58" t="s">
        <v>45</v>
      </c>
      <c r="R58">
        <v>1</v>
      </c>
      <c r="S58">
        <v>1</v>
      </c>
      <c r="T58">
        <v>1</v>
      </c>
      <c r="U58" t="s">
        <v>781</v>
      </c>
      <c r="V58" t="s">
        <v>781</v>
      </c>
      <c r="W58" t="s">
        <v>781</v>
      </c>
      <c r="X58">
        <v>1</v>
      </c>
      <c r="Y58" t="s">
        <v>781</v>
      </c>
      <c r="Z58">
        <v>0</v>
      </c>
      <c r="AA58" t="s">
        <v>781</v>
      </c>
      <c r="AB58" t="s">
        <v>781</v>
      </c>
      <c r="AC58" t="s">
        <v>781</v>
      </c>
      <c r="AD58" t="s">
        <v>781</v>
      </c>
      <c r="AE58">
        <v>0</v>
      </c>
      <c r="AF58" t="s">
        <v>781</v>
      </c>
      <c r="AG58" t="s">
        <v>626</v>
      </c>
      <c r="AH58" t="s">
        <v>781</v>
      </c>
    </row>
    <row r="59" spans="1:74" x14ac:dyDescent="0.25">
      <c r="A59" t="s">
        <v>362</v>
      </c>
      <c r="B59" t="s">
        <v>364</v>
      </c>
      <c r="C59" t="s">
        <v>781</v>
      </c>
      <c r="D59" t="s">
        <v>304</v>
      </c>
      <c r="E59" t="s">
        <v>363</v>
      </c>
      <c r="F59" t="s">
        <v>364</v>
      </c>
      <c r="G59" t="s">
        <v>78</v>
      </c>
      <c r="H59" t="s">
        <v>365</v>
      </c>
      <c r="I59" t="s">
        <v>325</v>
      </c>
      <c r="J59" t="s">
        <v>781</v>
      </c>
      <c r="K59">
        <v>1</v>
      </c>
      <c r="L59">
        <v>1</v>
      </c>
      <c r="M59" t="s">
        <v>33</v>
      </c>
      <c r="N59">
        <v>1</v>
      </c>
      <c r="O59">
        <v>1</v>
      </c>
      <c r="P59">
        <v>1</v>
      </c>
      <c r="Q59" t="s">
        <v>45</v>
      </c>
      <c r="R59">
        <v>1</v>
      </c>
      <c r="S59">
        <v>1</v>
      </c>
      <c r="T59">
        <v>1</v>
      </c>
      <c r="U59" t="s">
        <v>781</v>
      </c>
      <c r="V59" t="s">
        <v>781</v>
      </c>
      <c r="W59" t="s">
        <v>781</v>
      </c>
      <c r="X59">
        <v>1</v>
      </c>
      <c r="Y59" t="s">
        <v>781</v>
      </c>
      <c r="Z59">
        <v>0</v>
      </c>
      <c r="AA59" t="s">
        <v>781</v>
      </c>
      <c r="AB59" t="s">
        <v>781</v>
      </c>
      <c r="AC59" t="s">
        <v>781</v>
      </c>
      <c r="AD59" t="s">
        <v>781</v>
      </c>
      <c r="AE59">
        <v>0</v>
      </c>
      <c r="AF59" t="s">
        <v>781</v>
      </c>
      <c r="AG59" t="s">
        <v>103</v>
      </c>
      <c r="AH59" t="s">
        <v>781</v>
      </c>
    </row>
    <row r="60" spans="1:74" x14ac:dyDescent="0.25">
      <c r="A60" t="s">
        <v>366</v>
      </c>
      <c r="B60" t="s">
        <v>530</v>
      </c>
      <c r="C60" t="s">
        <v>781</v>
      </c>
      <c r="D60" t="s">
        <v>304</v>
      </c>
      <c r="E60" t="s">
        <v>363</v>
      </c>
      <c r="F60" t="s">
        <v>364</v>
      </c>
      <c r="G60" t="s">
        <v>78</v>
      </c>
      <c r="H60" t="s">
        <v>365</v>
      </c>
      <c r="I60" t="s">
        <v>325</v>
      </c>
      <c r="J60" t="s">
        <v>781</v>
      </c>
      <c r="K60">
        <v>1</v>
      </c>
      <c r="L60">
        <v>1</v>
      </c>
      <c r="M60" t="s">
        <v>33</v>
      </c>
      <c r="N60">
        <v>1</v>
      </c>
      <c r="O60">
        <v>1</v>
      </c>
      <c r="P60">
        <v>1</v>
      </c>
      <c r="Q60" t="s">
        <v>45</v>
      </c>
      <c r="R60">
        <v>1</v>
      </c>
      <c r="S60">
        <v>1</v>
      </c>
      <c r="T60">
        <v>1</v>
      </c>
      <c r="U60" t="s">
        <v>781</v>
      </c>
      <c r="V60" t="s">
        <v>781</v>
      </c>
      <c r="W60" t="s">
        <v>781</v>
      </c>
      <c r="X60">
        <v>1</v>
      </c>
      <c r="Y60" t="s">
        <v>781</v>
      </c>
      <c r="Z60">
        <v>0</v>
      </c>
      <c r="AA60" t="s">
        <v>781</v>
      </c>
      <c r="AB60" t="s">
        <v>781</v>
      </c>
      <c r="AC60" t="s">
        <v>781</v>
      </c>
      <c r="AD60" t="s">
        <v>781</v>
      </c>
      <c r="AE60">
        <v>0</v>
      </c>
      <c r="AF60" t="s">
        <v>781</v>
      </c>
      <c r="AG60" t="s">
        <v>112</v>
      </c>
      <c r="AH60" t="s">
        <v>781</v>
      </c>
    </row>
    <row r="61" spans="1:74" x14ac:dyDescent="0.25">
      <c r="A61" t="s">
        <v>367</v>
      </c>
      <c r="B61" t="s">
        <v>515</v>
      </c>
      <c r="C61" t="s">
        <v>781</v>
      </c>
      <c r="D61" t="s">
        <v>304</v>
      </c>
      <c r="E61" t="s">
        <v>363</v>
      </c>
      <c r="F61" t="s">
        <v>364</v>
      </c>
      <c r="G61" t="s">
        <v>78</v>
      </c>
      <c r="H61" t="s">
        <v>365</v>
      </c>
      <c r="I61" t="s">
        <v>325</v>
      </c>
      <c r="J61" t="s">
        <v>781</v>
      </c>
      <c r="K61">
        <v>1</v>
      </c>
      <c r="L61">
        <v>1</v>
      </c>
      <c r="M61" t="s">
        <v>33</v>
      </c>
      <c r="N61">
        <v>1</v>
      </c>
      <c r="O61">
        <v>1</v>
      </c>
      <c r="P61">
        <v>1</v>
      </c>
      <c r="Q61" t="s">
        <v>45</v>
      </c>
      <c r="R61">
        <v>1</v>
      </c>
      <c r="S61">
        <v>1</v>
      </c>
      <c r="T61">
        <v>1</v>
      </c>
      <c r="U61" t="s">
        <v>781</v>
      </c>
      <c r="V61" t="s">
        <v>781</v>
      </c>
      <c r="W61" t="s">
        <v>781</v>
      </c>
      <c r="X61">
        <v>1</v>
      </c>
      <c r="Y61" t="s">
        <v>781</v>
      </c>
      <c r="Z61">
        <v>0</v>
      </c>
      <c r="AA61" t="s">
        <v>781</v>
      </c>
      <c r="AB61" t="s">
        <v>781</v>
      </c>
      <c r="AC61" t="s">
        <v>781</v>
      </c>
      <c r="AD61" t="s">
        <v>781</v>
      </c>
      <c r="AE61">
        <v>0</v>
      </c>
      <c r="AF61" t="s">
        <v>781</v>
      </c>
      <c r="AG61" t="s">
        <v>626</v>
      </c>
      <c r="AH61" t="s">
        <v>781</v>
      </c>
    </row>
    <row r="62" spans="1:74" x14ac:dyDescent="0.25">
      <c r="A62" t="s">
        <v>368</v>
      </c>
      <c r="B62" t="s">
        <v>518</v>
      </c>
      <c r="C62" t="s">
        <v>781</v>
      </c>
      <c r="D62" t="s">
        <v>304</v>
      </c>
      <c r="E62" t="s">
        <v>363</v>
      </c>
      <c r="F62" t="s">
        <v>364</v>
      </c>
      <c r="G62" t="s">
        <v>78</v>
      </c>
      <c r="H62" t="s">
        <v>365</v>
      </c>
      <c r="I62" t="s">
        <v>325</v>
      </c>
      <c r="J62" t="s">
        <v>781</v>
      </c>
      <c r="K62">
        <v>1</v>
      </c>
      <c r="L62">
        <v>1</v>
      </c>
      <c r="M62" t="s">
        <v>33</v>
      </c>
      <c r="N62">
        <v>1</v>
      </c>
      <c r="O62">
        <v>1</v>
      </c>
      <c r="P62">
        <v>1</v>
      </c>
      <c r="Q62" t="s">
        <v>45</v>
      </c>
      <c r="R62">
        <v>1</v>
      </c>
      <c r="S62">
        <v>1</v>
      </c>
      <c r="T62">
        <v>1</v>
      </c>
      <c r="U62" t="s">
        <v>781</v>
      </c>
      <c r="V62" t="s">
        <v>781</v>
      </c>
      <c r="W62" t="s">
        <v>781</v>
      </c>
      <c r="X62">
        <v>1</v>
      </c>
      <c r="Y62" t="s">
        <v>781</v>
      </c>
      <c r="Z62">
        <v>0</v>
      </c>
      <c r="AA62" t="s">
        <v>781</v>
      </c>
      <c r="AB62" t="s">
        <v>781</v>
      </c>
      <c r="AC62" t="s">
        <v>781</v>
      </c>
      <c r="AD62" t="s">
        <v>781</v>
      </c>
      <c r="AE62">
        <v>0</v>
      </c>
      <c r="AF62" t="s">
        <v>781</v>
      </c>
      <c r="AG62" t="s">
        <v>628</v>
      </c>
      <c r="AH62" t="s">
        <v>781</v>
      </c>
    </row>
    <row r="63" spans="1:74" x14ac:dyDescent="0.25">
      <c r="A63" t="s">
        <v>362</v>
      </c>
      <c r="B63" t="s">
        <v>364</v>
      </c>
      <c r="C63" t="s">
        <v>781</v>
      </c>
      <c r="D63" t="s">
        <v>304</v>
      </c>
      <c r="E63" t="s">
        <v>363</v>
      </c>
      <c r="F63" t="s">
        <v>364</v>
      </c>
      <c r="G63" t="s">
        <v>78</v>
      </c>
      <c r="H63" t="s">
        <v>369</v>
      </c>
      <c r="I63" t="s">
        <v>325</v>
      </c>
      <c r="J63" t="s">
        <v>781</v>
      </c>
      <c r="K63">
        <v>1</v>
      </c>
      <c r="L63">
        <v>1</v>
      </c>
      <c r="M63" t="s">
        <v>33</v>
      </c>
      <c r="N63">
        <v>1</v>
      </c>
      <c r="O63">
        <v>1</v>
      </c>
      <c r="P63">
        <v>1</v>
      </c>
      <c r="Q63" t="s">
        <v>45</v>
      </c>
      <c r="R63">
        <v>1</v>
      </c>
      <c r="S63">
        <v>1</v>
      </c>
      <c r="T63">
        <v>1</v>
      </c>
      <c r="U63" t="s">
        <v>781</v>
      </c>
      <c r="V63" t="s">
        <v>781</v>
      </c>
      <c r="W63" t="s">
        <v>781</v>
      </c>
      <c r="X63">
        <v>1</v>
      </c>
      <c r="Y63" t="s">
        <v>781</v>
      </c>
      <c r="Z63">
        <v>0</v>
      </c>
      <c r="AA63" t="s">
        <v>781</v>
      </c>
      <c r="AB63" t="s">
        <v>781</v>
      </c>
      <c r="AC63" t="s">
        <v>781</v>
      </c>
      <c r="AD63" t="s">
        <v>781</v>
      </c>
      <c r="AE63">
        <v>0</v>
      </c>
      <c r="AF63" t="s">
        <v>781</v>
      </c>
      <c r="AG63" t="s">
        <v>103</v>
      </c>
      <c r="AH63" t="s">
        <v>781</v>
      </c>
    </row>
    <row r="64" spans="1:74" x14ac:dyDescent="0.25">
      <c r="A64" t="s">
        <v>370</v>
      </c>
      <c r="B64" t="s">
        <v>372</v>
      </c>
      <c r="C64" t="s">
        <v>781</v>
      </c>
      <c r="D64" t="s">
        <v>304</v>
      </c>
      <c r="E64" t="s">
        <v>371</v>
      </c>
      <c r="F64" t="s">
        <v>372</v>
      </c>
      <c r="G64" t="s">
        <v>78</v>
      </c>
      <c r="H64" t="s">
        <v>373</v>
      </c>
      <c r="I64" t="s">
        <v>307</v>
      </c>
      <c r="J64" t="s">
        <v>781</v>
      </c>
      <c r="K64">
        <v>1</v>
      </c>
      <c r="L64">
        <v>1</v>
      </c>
      <c r="M64" t="s">
        <v>38</v>
      </c>
      <c r="N64">
        <v>1</v>
      </c>
      <c r="O64">
        <v>1</v>
      </c>
      <c r="P64">
        <v>1</v>
      </c>
      <c r="Q64" t="s">
        <v>46</v>
      </c>
      <c r="R64">
        <v>1</v>
      </c>
      <c r="S64">
        <v>1</v>
      </c>
      <c r="T64">
        <v>1</v>
      </c>
      <c r="U64" t="s">
        <v>781</v>
      </c>
      <c r="V64" t="s">
        <v>781</v>
      </c>
      <c r="W64" t="s">
        <v>781</v>
      </c>
      <c r="X64">
        <v>1</v>
      </c>
      <c r="Y64" t="s">
        <v>781</v>
      </c>
      <c r="Z64">
        <v>0</v>
      </c>
      <c r="AA64" t="s">
        <v>781</v>
      </c>
      <c r="AB64" t="s">
        <v>781</v>
      </c>
      <c r="AC64" t="s">
        <v>781</v>
      </c>
      <c r="AD64" t="s">
        <v>781</v>
      </c>
      <c r="AE64">
        <v>0</v>
      </c>
      <c r="AF64" t="s">
        <v>781</v>
      </c>
      <c r="AG64" t="s">
        <v>625</v>
      </c>
      <c r="AH64" t="s">
        <v>781</v>
      </c>
    </row>
    <row r="65" spans="1:34" x14ac:dyDescent="0.25">
      <c r="A65" t="s">
        <v>374</v>
      </c>
      <c r="B65" t="s">
        <v>375</v>
      </c>
      <c r="C65" t="s">
        <v>781</v>
      </c>
      <c r="D65" t="s">
        <v>304</v>
      </c>
      <c r="E65" t="s">
        <v>371</v>
      </c>
      <c r="F65" t="s">
        <v>375</v>
      </c>
      <c r="G65" t="s">
        <v>78</v>
      </c>
      <c r="H65" t="s">
        <v>376</v>
      </c>
      <c r="I65" t="s">
        <v>307</v>
      </c>
      <c r="J65" t="s">
        <v>781</v>
      </c>
      <c r="K65">
        <v>1</v>
      </c>
      <c r="L65">
        <v>1</v>
      </c>
      <c r="M65" t="s">
        <v>38</v>
      </c>
      <c r="N65">
        <v>1</v>
      </c>
      <c r="O65">
        <v>1</v>
      </c>
      <c r="P65">
        <v>1</v>
      </c>
      <c r="Q65" t="s">
        <v>45</v>
      </c>
      <c r="R65">
        <v>1</v>
      </c>
      <c r="S65">
        <v>1</v>
      </c>
      <c r="T65">
        <v>1</v>
      </c>
      <c r="U65" t="s">
        <v>781</v>
      </c>
      <c r="V65" t="s">
        <v>781</v>
      </c>
      <c r="W65" t="s">
        <v>781</v>
      </c>
      <c r="X65">
        <v>1</v>
      </c>
      <c r="Y65" t="s">
        <v>781</v>
      </c>
      <c r="Z65">
        <v>0</v>
      </c>
      <c r="AA65" t="s">
        <v>781</v>
      </c>
      <c r="AB65" t="s">
        <v>781</v>
      </c>
      <c r="AC65" t="s">
        <v>781</v>
      </c>
      <c r="AD65" t="s">
        <v>781</v>
      </c>
      <c r="AE65">
        <v>0</v>
      </c>
      <c r="AF65" t="s">
        <v>781</v>
      </c>
      <c r="AG65" t="s">
        <v>625</v>
      </c>
      <c r="AH65" t="s">
        <v>781</v>
      </c>
    </row>
    <row r="66" spans="1:34" x14ac:dyDescent="0.25">
      <c r="A66" t="s">
        <v>377</v>
      </c>
      <c r="B66" t="s">
        <v>379</v>
      </c>
      <c r="C66" t="s">
        <v>781</v>
      </c>
      <c r="D66" t="s">
        <v>304</v>
      </c>
      <c r="E66" t="s">
        <v>378</v>
      </c>
      <c r="F66" t="s">
        <v>379</v>
      </c>
      <c r="G66" t="s">
        <v>78</v>
      </c>
      <c r="H66" t="s">
        <v>380</v>
      </c>
      <c r="I66" t="s">
        <v>307</v>
      </c>
      <c r="J66" t="s">
        <v>781</v>
      </c>
      <c r="K66">
        <v>1</v>
      </c>
      <c r="L66">
        <v>1</v>
      </c>
      <c r="M66" t="s">
        <v>38</v>
      </c>
      <c r="N66">
        <v>1</v>
      </c>
      <c r="O66">
        <v>1</v>
      </c>
      <c r="P66">
        <v>1</v>
      </c>
      <c r="Q66" t="s">
        <v>45</v>
      </c>
      <c r="R66">
        <v>1</v>
      </c>
      <c r="S66">
        <v>1</v>
      </c>
      <c r="T66">
        <v>1</v>
      </c>
      <c r="U66" t="s">
        <v>781</v>
      </c>
      <c r="V66" t="s">
        <v>781</v>
      </c>
      <c r="W66" t="s">
        <v>781</v>
      </c>
      <c r="X66">
        <v>1</v>
      </c>
      <c r="Y66" t="s">
        <v>781</v>
      </c>
      <c r="Z66">
        <v>0</v>
      </c>
      <c r="AA66" t="s">
        <v>781</v>
      </c>
      <c r="AB66" t="s">
        <v>781</v>
      </c>
      <c r="AC66" t="s">
        <v>781</v>
      </c>
      <c r="AD66" t="s">
        <v>781</v>
      </c>
      <c r="AE66">
        <v>0</v>
      </c>
      <c r="AF66" t="s">
        <v>781</v>
      </c>
      <c r="AG66" t="s">
        <v>625</v>
      </c>
      <c r="AH66" t="s">
        <v>781</v>
      </c>
    </row>
    <row r="67" spans="1:34" x14ac:dyDescent="0.25">
      <c r="A67" t="s">
        <v>381</v>
      </c>
      <c r="B67" t="s">
        <v>382</v>
      </c>
      <c r="C67" t="s">
        <v>781</v>
      </c>
      <c r="D67" t="s">
        <v>304</v>
      </c>
      <c r="E67" t="s">
        <v>371</v>
      </c>
      <c r="F67" t="s">
        <v>382</v>
      </c>
      <c r="G67" t="s">
        <v>78</v>
      </c>
      <c r="H67" t="s">
        <v>383</v>
      </c>
      <c r="I67" t="s">
        <v>307</v>
      </c>
      <c r="J67" t="s">
        <v>781</v>
      </c>
      <c r="K67">
        <v>1</v>
      </c>
      <c r="L67">
        <v>1</v>
      </c>
      <c r="M67" t="s">
        <v>38</v>
      </c>
      <c r="N67">
        <v>1</v>
      </c>
      <c r="O67">
        <v>1</v>
      </c>
      <c r="P67">
        <v>1</v>
      </c>
      <c r="Q67" t="s">
        <v>45</v>
      </c>
      <c r="R67">
        <v>1</v>
      </c>
      <c r="S67">
        <v>1</v>
      </c>
      <c r="T67">
        <v>1</v>
      </c>
      <c r="U67" t="s">
        <v>781</v>
      </c>
      <c r="V67" t="s">
        <v>781</v>
      </c>
      <c r="W67" t="s">
        <v>781</v>
      </c>
      <c r="X67">
        <v>1</v>
      </c>
      <c r="Y67" t="s">
        <v>781</v>
      </c>
      <c r="Z67">
        <v>0</v>
      </c>
      <c r="AA67" t="s">
        <v>781</v>
      </c>
      <c r="AB67" t="s">
        <v>781</v>
      </c>
      <c r="AC67" t="s">
        <v>781</v>
      </c>
      <c r="AD67" t="s">
        <v>781</v>
      </c>
      <c r="AE67">
        <v>0</v>
      </c>
      <c r="AF67" t="s">
        <v>781</v>
      </c>
      <c r="AG67" t="s">
        <v>623</v>
      </c>
      <c r="AH67" t="s">
        <v>781</v>
      </c>
    </row>
    <row r="68" spans="1:34" x14ac:dyDescent="0.25">
      <c r="A68" t="s">
        <v>384</v>
      </c>
      <c r="B68" t="s">
        <v>508</v>
      </c>
      <c r="C68" t="s">
        <v>781</v>
      </c>
      <c r="D68" t="s">
        <v>304</v>
      </c>
      <c r="E68" t="s">
        <v>371</v>
      </c>
      <c r="F68" t="s">
        <v>382</v>
      </c>
      <c r="G68" t="s">
        <v>78</v>
      </c>
      <c r="H68" t="s">
        <v>383</v>
      </c>
      <c r="I68" t="s">
        <v>307</v>
      </c>
      <c r="J68" t="s">
        <v>781</v>
      </c>
      <c r="K68">
        <v>1</v>
      </c>
      <c r="L68">
        <v>1</v>
      </c>
      <c r="M68" t="s">
        <v>38</v>
      </c>
      <c r="N68">
        <v>1</v>
      </c>
      <c r="O68">
        <v>1</v>
      </c>
      <c r="P68">
        <v>1</v>
      </c>
      <c r="Q68" t="s">
        <v>45</v>
      </c>
      <c r="R68">
        <v>1</v>
      </c>
      <c r="S68">
        <v>1</v>
      </c>
      <c r="T68">
        <v>1</v>
      </c>
      <c r="U68" t="s">
        <v>781</v>
      </c>
      <c r="V68" t="s">
        <v>781</v>
      </c>
      <c r="W68" t="s">
        <v>781</v>
      </c>
      <c r="X68">
        <v>1</v>
      </c>
      <c r="Y68" t="s">
        <v>781</v>
      </c>
      <c r="Z68">
        <v>0</v>
      </c>
      <c r="AA68" t="s">
        <v>781</v>
      </c>
      <c r="AB68" t="s">
        <v>781</v>
      </c>
      <c r="AC68" t="s">
        <v>781</v>
      </c>
      <c r="AD68" t="s">
        <v>781</v>
      </c>
      <c r="AE68">
        <v>0</v>
      </c>
      <c r="AF68" t="s">
        <v>781</v>
      </c>
      <c r="AG68" t="s">
        <v>623</v>
      </c>
      <c r="AH68" t="s">
        <v>781</v>
      </c>
    </row>
    <row r="69" spans="1:34" x14ac:dyDescent="0.25">
      <c r="A69" t="s">
        <v>385</v>
      </c>
      <c r="B69" t="s">
        <v>525</v>
      </c>
      <c r="C69" t="s">
        <v>781</v>
      </c>
      <c r="D69" t="s">
        <v>304</v>
      </c>
      <c r="E69" t="s">
        <v>386</v>
      </c>
      <c r="F69" t="s">
        <v>387</v>
      </c>
      <c r="G69" t="s">
        <v>78</v>
      </c>
      <c r="H69" t="s">
        <v>388</v>
      </c>
      <c r="I69" t="s">
        <v>325</v>
      </c>
      <c r="J69" t="s">
        <v>781</v>
      </c>
      <c r="K69">
        <v>1</v>
      </c>
      <c r="L69">
        <v>1</v>
      </c>
      <c r="M69" t="s">
        <v>33</v>
      </c>
      <c r="N69">
        <v>1</v>
      </c>
      <c r="O69">
        <v>1</v>
      </c>
      <c r="P69">
        <v>1</v>
      </c>
      <c r="Q69" t="s">
        <v>45</v>
      </c>
      <c r="R69">
        <v>1</v>
      </c>
      <c r="S69">
        <v>1</v>
      </c>
      <c r="T69" t="s">
        <v>781</v>
      </c>
      <c r="U69">
        <v>1</v>
      </c>
      <c r="V69" t="s">
        <v>781</v>
      </c>
      <c r="W69" t="s">
        <v>781</v>
      </c>
      <c r="X69">
        <v>1</v>
      </c>
      <c r="Y69" t="s">
        <v>781</v>
      </c>
      <c r="Z69">
        <v>0</v>
      </c>
      <c r="AA69" t="s">
        <v>781</v>
      </c>
      <c r="AB69" t="s">
        <v>781</v>
      </c>
      <c r="AC69" t="s">
        <v>781</v>
      </c>
      <c r="AD69" t="s">
        <v>781</v>
      </c>
      <c r="AE69">
        <v>0</v>
      </c>
      <c r="AF69" t="s">
        <v>781</v>
      </c>
      <c r="AG69" t="s">
        <v>633</v>
      </c>
      <c r="AH69" t="s">
        <v>781</v>
      </c>
    </row>
    <row r="70" spans="1:34" x14ac:dyDescent="0.25">
      <c r="A70" t="s">
        <v>389</v>
      </c>
      <c r="B70" t="s">
        <v>391</v>
      </c>
      <c r="C70" t="s">
        <v>781</v>
      </c>
      <c r="D70" t="s">
        <v>304</v>
      </c>
      <c r="E70" t="s">
        <v>390</v>
      </c>
      <c r="F70" t="s">
        <v>391</v>
      </c>
      <c r="G70" t="s">
        <v>78</v>
      </c>
      <c r="H70" t="s">
        <v>782</v>
      </c>
      <c r="I70" t="s">
        <v>325</v>
      </c>
      <c r="J70" t="s">
        <v>781</v>
      </c>
      <c r="K70">
        <v>1</v>
      </c>
      <c r="L70">
        <v>1</v>
      </c>
      <c r="M70" t="s">
        <v>33</v>
      </c>
      <c r="N70">
        <v>1</v>
      </c>
      <c r="O70">
        <v>1</v>
      </c>
      <c r="P70">
        <v>1</v>
      </c>
      <c r="Q70" t="s">
        <v>45</v>
      </c>
      <c r="R70">
        <v>1</v>
      </c>
      <c r="S70">
        <v>1</v>
      </c>
      <c r="T70" t="s">
        <v>781</v>
      </c>
      <c r="U70">
        <v>1</v>
      </c>
      <c r="V70" t="s">
        <v>781</v>
      </c>
      <c r="W70" t="s">
        <v>781</v>
      </c>
      <c r="X70">
        <v>1</v>
      </c>
      <c r="Y70" t="s">
        <v>781</v>
      </c>
      <c r="Z70">
        <v>1</v>
      </c>
      <c r="AA70">
        <v>1</v>
      </c>
      <c r="AB70" t="s">
        <v>781</v>
      </c>
      <c r="AC70" t="s">
        <v>781</v>
      </c>
      <c r="AD70" t="s">
        <v>781</v>
      </c>
      <c r="AE70">
        <v>1</v>
      </c>
      <c r="AF70" t="s">
        <v>781</v>
      </c>
      <c r="AG70" t="s">
        <v>633</v>
      </c>
      <c r="AH70" t="s">
        <v>781</v>
      </c>
    </row>
    <row r="71" spans="1:34" x14ac:dyDescent="0.25">
      <c r="A71" t="s">
        <v>392</v>
      </c>
      <c r="B71" t="s">
        <v>394</v>
      </c>
      <c r="C71" t="s">
        <v>781</v>
      </c>
      <c r="D71" t="s">
        <v>304</v>
      </c>
      <c r="E71" t="s">
        <v>393</v>
      </c>
      <c r="F71" t="s">
        <v>394</v>
      </c>
      <c r="G71" t="s">
        <v>78</v>
      </c>
      <c r="H71" t="s">
        <v>356</v>
      </c>
      <c r="I71" t="s">
        <v>325</v>
      </c>
      <c r="J71" t="s">
        <v>781</v>
      </c>
      <c r="K71">
        <v>1</v>
      </c>
      <c r="L71">
        <v>1</v>
      </c>
      <c r="M71" t="s">
        <v>33</v>
      </c>
      <c r="N71">
        <v>1</v>
      </c>
      <c r="O71">
        <v>1</v>
      </c>
      <c r="P71">
        <v>1</v>
      </c>
      <c r="Q71" t="s">
        <v>45</v>
      </c>
      <c r="R71">
        <v>1</v>
      </c>
      <c r="S71">
        <v>1</v>
      </c>
      <c r="T71" t="s">
        <v>781</v>
      </c>
      <c r="U71">
        <v>1</v>
      </c>
      <c r="V71" t="s">
        <v>781</v>
      </c>
      <c r="W71" t="s">
        <v>781</v>
      </c>
      <c r="X71">
        <v>1</v>
      </c>
      <c r="Y71" t="s">
        <v>781</v>
      </c>
      <c r="Z71">
        <v>0</v>
      </c>
      <c r="AA71" t="s">
        <v>781</v>
      </c>
      <c r="AB71" t="s">
        <v>781</v>
      </c>
      <c r="AC71" t="s">
        <v>781</v>
      </c>
      <c r="AD71" t="s">
        <v>781</v>
      </c>
      <c r="AE71">
        <v>0</v>
      </c>
      <c r="AF71" t="s">
        <v>781</v>
      </c>
      <c r="AG71" t="s">
        <v>622</v>
      </c>
      <c r="AH71" t="s">
        <v>781</v>
      </c>
    </row>
    <row r="72" spans="1:34" x14ac:dyDescent="0.25">
      <c r="A72" t="s">
        <v>395</v>
      </c>
      <c r="B72" t="s">
        <v>397</v>
      </c>
      <c r="C72" t="s">
        <v>781</v>
      </c>
      <c r="D72" t="s">
        <v>304</v>
      </c>
      <c r="E72" t="s">
        <v>396</v>
      </c>
      <c r="F72" t="s">
        <v>397</v>
      </c>
      <c r="G72" t="s">
        <v>78</v>
      </c>
      <c r="H72" t="s">
        <v>398</v>
      </c>
      <c r="I72" t="s">
        <v>325</v>
      </c>
      <c r="J72" t="s">
        <v>781</v>
      </c>
      <c r="K72">
        <v>1</v>
      </c>
      <c r="L72">
        <v>1</v>
      </c>
      <c r="M72" t="s">
        <v>33</v>
      </c>
      <c r="N72">
        <v>1</v>
      </c>
      <c r="O72">
        <v>1</v>
      </c>
      <c r="P72">
        <v>1</v>
      </c>
      <c r="Q72" t="s">
        <v>46</v>
      </c>
      <c r="R72">
        <v>1</v>
      </c>
      <c r="S72">
        <v>1</v>
      </c>
      <c r="T72">
        <v>1</v>
      </c>
      <c r="U72" t="s">
        <v>781</v>
      </c>
      <c r="V72" t="s">
        <v>781</v>
      </c>
      <c r="W72" t="s">
        <v>781</v>
      </c>
      <c r="X72">
        <v>1</v>
      </c>
      <c r="Y72" t="s">
        <v>781</v>
      </c>
      <c r="Z72">
        <v>1</v>
      </c>
      <c r="AA72">
        <v>1</v>
      </c>
      <c r="AB72" t="s">
        <v>781</v>
      </c>
      <c r="AC72" t="s">
        <v>781</v>
      </c>
      <c r="AD72" t="s">
        <v>781</v>
      </c>
      <c r="AE72">
        <v>1</v>
      </c>
      <c r="AF72" t="s">
        <v>781</v>
      </c>
      <c r="AG72" t="s">
        <v>633</v>
      </c>
      <c r="AH72" t="s">
        <v>781</v>
      </c>
    </row>
    <row r="73" spans="1:34" x14ac:dyDescent="0.25">
      <c r="A73" t="s">
        <v>399</v>
      </c>
      <c r="B73" t="s">
        <v>540</v>
      </c>
      <c r="C73" t="s">
        <v>781</v>
      </c>
      <c r="D73" t="s">
        <v>304</v>
      </c>
      <c r="E73" t="s">
        <v>400</v>
      </c>
      <c r="F73" t="s">
        <v>400</v>
      </c>
      <c r="G73" t="s">
        <v>78</v>
      </c>
      <c r="H73" t="s">
        <v>401</v>
      </c>
      <c r="I73" t="s">
        <v>325</v>
      </c>
      <c r="J73" t="s">
        <v>781</v>
      </c>
      <c r="K73">
        <v>1</v>
      </c>
      <c r="L73">
        <v>1</v>
      </c>
      <c r="M73" t="s">
        <v>33</v>
      </c>
      <c r="N73">
        <v>1</v>
      </c>
      <c r="O73">
        <v>1</v>
      </c>
      <c r="P73">
        <v>1</v>
      </c>
      <c r="Q73" t="s">
        <v>45</v>
      </c>
      <c r="R73">
        <v>1</v>
      </c>
      <c r="S73">
        <v>1</v>
      </c>
      <c r="T73">
        <v>1</v>
      </c>
      <c r="U73" t="s">
        <v>781</v>
      </c>
      <c r="V73" t="s">
        <v>781</v>
      </c>
      <c r="W73" t="s">
        <v>781</v>
      </c>
      <c r="X73">
        <v>1</v>
      </c>
      <c r="Y73" t="s">
        <v>781</v>
      </c>
      <c r="Z73">
        <v>0</v>
      </c>
      <c r="AA73" t="s">
        <v>781</v>
      </c>
      <c r="AB73" t="s">
        <v>781</v>
      </c>
      <c r="AC73" t="s">
        <v>781</v>
      </c>
      <c r="AD73" t="s">
        <v>781</v>
      </c>
      <c r="AE73">
        <v>0</v>
      </c>
      <c r="AF73" t="s">
        <v>781</v>
      </c>
      <c r="AG73" t="s">
        <v>628</v>
      </c>
      <c r="AH73" t="s">
        <v>781</v>
      </c>
    </row>
    <row r="74" spans="1:34" x14ac:dyDescent="0.25">
      <c r="A74" t="s">
        <v>402</v>
      </c>
      <c r="B74" t="s">
        <v>547</v>
      </c>
      <c r="C74" t="s">
        <v>781</v>
      </c>
      <c r="D74" t="s">
        <v>304</v>
      </c>
      <c r="E74" t="s">
        <v>403</v>
      </c>
      <c r="F74" t="s">
        <v>404</v>
      </c>
      <c r="G74" t="s">
        <v>78</v>
      </c>
      <c r="H74" t="s">
        <v>405</v>
      </c>
      <c r="I74" t="s">
        <v>307</v>
      </c>
      <c r="J74" t="s">
        <v>781</v>
      </c>
      <c r="K74">
        <v>1</v>
      </c>
      <c r="L74">
        <v>1</v>
      </c>
      <c r="M74" t="s">
        <v>33</v>
      </c>
      <c r="N74">
        <v>1</v>
      </c>
      <c r="O74">
        <v>1</v>
      </c>
      <c r="P74">
        <v>1</v>
      </c>
      <c r="Q74" t="s">
        <v>45</v>
      </c>
      <c r="R74">
        <v>1</v>
      </c>
      <c r="S74">
        <v>1</v>
      </c>
      <c r="T74">
        <v>1</v>
      </c>
      <c r="U74" t="s">
        <v>781</v>
      </c>
      <c r="V74" t="s">
        <v>781</v>
      </c>
      <c r="W74" t="s">
        <v>781</v>
      </c>
      <c r="X74" t="s">
        <v>781</v>
      </c>
      <c r="Y74" t="s">
        <v>781</v>
      </c>
      <c r="Z74">
        <v>0</v>
      </c>
      <c r="AA74" t="s">
        <v>781</v>
      </c>
      <c r="AB74" t="s">
        <v>781</v>
      </c>
      <c r="AC74" t="s">
        <v>781</v>
      </c>
      <c r="AD74" t="s">
        <v>781</v>
      </c>
      <c r="AE74" t="s">
        <v>781</v>
      </c>
      <c r="AF74" t="s">
        <v>781</v>
      </c>
      <c r="AG74" t="s">
        <v>781</v>
      </c>
      <c r="AH74" t="s">
        <v>781</v>
      </c>
    </row>
    <row r="75" spans="1:34" x14ac:dyDescent="0.25">
      <c r="A75" t="s">
        <v>406</v>
      </c>
      <c r="B75" t="s">
        <v>407</v>
      </c>
      <c r="C75" t="s">
        <v>781</v>
      </c>
      <c r="D75" t="s">
        <v>304</v>
      </c>
      <c r="E75" t="s">
        <v>323</v>
      </c>
      <c r="F75" t="s">
        <v>407</v>
      </c>
      <c r="G75" t="s">
        <v>78</v>
      </c>
      <c r="H75" t="s">
        <v>356</v>
      </c>
      <c r="I75" t="s">
        <v>325</v>
      </c>
      <c r="J75" t="s">
        <v>781</v>
      </c>
      <c r="K75">
        <v>1</v>
      </c>
      <c r="L75">
        <v>1</v>
      </c>
      <c r="M75" t="s">
        <v>33</v>
      </c>
      <c r="N75">
        <v>1</v>
      </c>
      <c r="O75">
        <v>1</v>
      </c>
      <c r="P75">
        <v>1</v>
      </c>
      <c r="Q75" t="s">
        <v>45</v>
      </c>
      <c r="R75">
        <v>1</v>
      </c>
      <c r="S75">
        <v>1</v>
      </c>
      <c r="T75" t="s">
        <v>781</v>
      </c>
      <c r="U75">
        <v>1</v>
      </c>
      <c r="V75" t="s">
        <v>781</v>
      </c>
      <c r="W75" t="s">
        <v>781</v>
      </c>
      <c r="X75">
        <v>1</v>
      </c>
      <c r="Y75" t="s">
        <v>781</v>
      </c>
      <c r="Z75">
        <v>0</v>
      </c>
      <c r="AA75" t="s">
        <v>781</v>
      </c>
      <c r="AB75" t="s">
        <v>781</v>
      </c>
      <c r="AC75" t="s">
        <v>781</v>
      </c>
      <c r="AD75" t="s">
        <v>781</v>
      </c>
      <c r="AE75">
        <v>0</v>
      </c>
      <c r="AF75" t="s">
        <v>781</v>
      </c>
      <c r="AG75" t="s">
        <v>623</v>
      </c>
      <c r="AH75" t="s">
        <v>781</v>
      </c>
    </row>
    <row r="76" spans="1:34" x14ac:dyDescent="0.25">
      <c r="A76" t="s">
        <v>408</v>
      </c>
      <c r="B76" t="s">
        <v>570</v>
      </c>
      <c r="C76" t="s">
        <v>781</v>
      </c>
      <c r="D76" t="s">
        <v>304</v>
      </c>
      <c r="E76" t="s">
        <v>305</v>
      </c>
      <c r="F76" t="s">
        <v>409</v>
      </c>
      <c r="G76" t="s">
        <v>78</v>
      </c>
      <c r="H76" t="s">
        <v>356</v>
      </c>
      <c r="I76" t="s">
        <v>325</v>
      </c>
      <c r="J76" t="s">
        <v>781</v>
      </c>
      <c r="K76">
        <v>1</v>
      </c>
      <c r="L76">
        <v>1</v>
      </c>
      <c r="M76" t="s">
        <v>33</v>
      </c>
      <c r="N76">
        <v>1</v>
      </c>
      <c r="O76">
        <v>1</v>
      </c>
      <c r="P76">
        <v>1</v>
      </c>
      <c r="Q76" t="s">
        <v>45</v>
      </c>
      <c r="R76">
        <v>1</v>
      </c>
      <c r="S76">
        <v>1</v>
      </c>
      <c r="T76" t="s">
        <v>781</v>
      </c>
      <c r="U76">
        <v>1</v>
      </c>
      <c r="V76" t="s">
        <v>781</v>
      </c>
      <c r="W76" t="s">
        <v>781</v>
      </c>
      <c r="X76">
        <v>1</v>
      </c>
      <c r="Y76" t="s">
        <v>781</v>
      </c>
      <c r="Z76">
        <v>0</v>
      </c>
      <c r="AA76" t="s">
        <v>781</v>
      </c>
      <c r="AB76" t="s">
        <v>781</v>
      </c>
      <c r="AC76" t="s">
        <v>781</v>
      </c>
      <c r="AD76" t="s">
        <v>781</v>
      </c>
      <c r="AE76">
        <v>0</v>
      </c>
      <c r="AF76" t="s">
        <v>781</v>
      </c>
      <c r="AG76" t="s">
        <v>626</v>
      </c>
      <c r="AH76" t="s">
        <v>781</v>
      </c>
    </row>
    <row r="77" spans="1:34" x14ac:dyDescent="0.25">
      <c r="A77" t="s">
        <v>410</v>
      </c>
      <c r="B77" t="s">
        <v>524</v>
      </c>
      <c r="C77" t="s">
        <v>781</v>
      </c>
      <c r="D77" t="s">
        <v>304</v>
      </c>
      <c r="E77" t="s">
        <v>411</v>
      </c>
      <c r="F77" t="s">
        <v>411</v>
      </c>
      <c r="G77" t="s">
        <v>78</v>
      </c>
      <c r="H77" t="s">
        <v>783</v>
      </c>
      <c r="I77" t="s">
        <v>307</v>
      </c>
      <c r="J77" t="s">
        <v>781</v>
      </c>
      <c r="K77">
        <v>1</v>
      </c>
      <c r="L77">
        <v>1</v>
      </c>
      <c r="M77" t="s">
        <v>33</v>
      </c>
      <c r="N77">
        <v>1</v>
      </c>
      <c r="O77">
        <v>1</v>
      </c>
      <c r="P77">
        <v>1</v>
      </c>
      <c r="Q77" t="s">
        <v>45</v>
      </c>
      <c r="R77">
        <v>1</v>
      </c>
      <c r="S77">
        <v>1</v>
      </c>
      <c r="T77">
        <v>1</v>
      </c>
      <c r="U77" t="s">
        <v>781</v>
      </c>
      <c r="V77" t="s">
        <v>781</v>
      </c>
      <c r="W77" t="s">
        <v>781</v>
      </c>
      <c r="X77">
        <v>1</v>
      </c>
      <c r="Y77" t="s">
        <v>781</v>
      </c>
      <c r="Z77">
        <v>0</v>
      </c>
      <c r="AA77" t="s">
        <v>781</v>
      </c>
      <c r="AB77" t="s">
        <v>781</v>
      </c>
      <c r="AC77" t="s">
        <v>781</v>
      </c>
      <c r="AD77" t="s">
        <v>781</v>
      </c>
      <c r="AE77">
        <v>0</v>
      </c>
      <c r="AF77" t="s">
        <v>781</v>
      </c>
      <c r="AG77" t="s">
        <v>112</v>
      </c>
      <c r="AH77" t="s">
        <v>781</v>
      </c>
    </row>
    <row r="78" spans="1:34" x14ac:dyDescent="0.25">
      <c r="A78" t="s">
        <v>315</v>
      </c>
      <c r="B78" t="s">
        <v>553</v>
      </c>
      <c r="C78" t="s">
        <v>781</v>
      </c>
      <c r="D78" t="s">
        <v>304</v>
      </c>
      <c r="E78" t="s">
        <v>412</v>
      </c>
      <c r="F78" t="s">
        <v>412</v>
      </c>
      <c r="G78" t="s">
        <v>78</v>
      </c>
      <c r="H78" t="s">
        <v>783</v>
      </c>
      <c r="I78" t="s">
        <v>307</v>
      </c>
      <c r="J78" t="s">
        <v>781</v>
      </c>
      <c r="K78">
        <v>1</v>
      </c>
      <c r="L78">
        <v>1</v>
      </c>
      <c r="M78" t="s">
        <v>33</v>
      </c>
      <c r="N78">
        <v>1</v>
      </c>
      <c r="O78">
        <v>1</v>
      </c>
      <c r="P78">
        <v>1</v>
      </c>
      <c r="Q78" t="s">
        <v>45</v>
      </c>
      <c r="R78">
        <v>1</v>
      </c>
      <c r="S78">
        <v>1</v>
      </c>
      <c r="T78">
        <v>1</v>
      </c>
      <c r="U78" t="s">
        <v>781</v>
      </c>
      <c r="V78" t="s">
        <v>781</v>
      </c>
      <c r="W78" t="s">
        <v>781</v>
      </c>
      <c r="X78">
        <v>1</v>
      </c>
      <c r="Y78" t="s">
        <v>781</v>
      </c>
      <c r="Z78">
        <v>0</v>
      </c>
      <c r="AA78" t="s">
        <v>781</v>
      </c>
      <c r="AB78" t="s">
        <v>781</v>
      </c>
      <c r="AC78" t="s">
        <v>781</v>
      </c>
      <c r="AD78" t="s">
        <v>781</v>
      </c>
      <c r="AE78">
        <v>0</v>
      </c>
      <c r="AF78" t="s">
        <v>781</v>
      </c>
      <c r="AG78" t="s">
        <v>622</v>
      </c>
      <c r="AH78" t="s">
        <v>781</v>
      </c>
    </row>
    <row r="79" spans="1:34" x14ac:dyDescent="0.25">
      <c r="A79" t="s">
        <v>413</v>
      </c>
      <c r="B79" t="s">
        <v>412</v>
      </c>
      <c r="C79" t="s">
        <v>781</v>
      </c>
      <c r="D79" t="s">
        <v>304</v>
      </c>
      <c r="E79" t="s">
        <v>412</v>
      </c>
      <c r="F79" t="s">
        <v>412</v>
      </c>
      <c r="G79" t="s">
        <v>78</v>
      </c>
      <c r="H79" t="s">
        <v>783</v>
      </c>
      <c r="I79" t="s">
        <v>307</v>
      </c>
      <c r="J79" t="s">
        <v>781</v>
      </c>
      <c r="K79">
        <v>1</v>
      </c>
      <c r="L79">
        <v>1</v>
      </c>
      <c r="M79" t="s">
        <v>33</v>
      </c>
      <c r="N79">
        <v>1</v>
      </c>
      <c r="O79">
        <v>1</v>
      </c>
      <c r="P79">
        <v>1</v>
      </c>
      <c r="Q79" t="s">
        <v>45</v>
      </c>
      <c r="R79">
        <v>1</v>
      </c>
      <c r="S79">
        <v>1</v>
      </c>
      <c r="T79">
        <v>1</v>
      </c>
      <c r="U79" t="s">
        <v>781</v>
      </c>
      <c r="V79" t="s">
        <v>781</v>
      </c>
      <c r="W79" t="s">
        <v>781</v>
      </c>
      <c r="X79">
        <v>1</v>
      </c>
      <c r="Y79" t="s">
        <v>781</v>
      </c>
      <c r="Z79">
        <v>0</v>
      </c>
      <c r="AA79" t="s">
        <v>781</v>
      </c>
      <c r="AB79" t="s">
        <v>781</v>
      </c>
      <c r="AC79" t="s">
        <v>781</v>
      </c>
      <c r="AD79" t="s">
        <v>781</v>
      </c>
      <c r="AE79">
        <v>0</v>
      </c>
      <c r="AF79" t="s">
        <v>781</v>
      </c>
      <c r="AG79" t="s">
        <v>634</v>
      </c>
      <c r="AH79" t="s">
        <v>781</v>
      </c>
    </row>
    <row r="80" spans="1:34" x14ac:dyDescent="0.25">
      <c r="A80" t="s">
        <v>414</v>
      </c>
      <c r="B80" t="s">
        <v>521</v>
      </c>
      <c r="C80" t="s">
        <v>781</v>
      </c>
      <c r="D80" t="s">
        <v>304</v>
      </c>
      <c r="E80" t="s">
        <v>415</v>
      </c>
      <c r="F80" t="s">
        <v>415</v>
      </c>
      <c r="G80" t="s">
        <v>78</v>
      </c>
      <c r="H80" t="s">
        <v>416</v>
      </c>
      <c r="I80" t="s">
        <v>325</v>
      </c>
      <c r="J80" t="s">
        <v>781</v>
      </c>
      <c r="K80">
        <v>1</v>
      </c>
      <c r="L80">
        <v>1</v>
      </c>
      <c r="M80" t="s">
        <v>33</v>
      </c>
      <c r="N80">
        <v>1</v>
      </c>
      <c r="O80">
        <v>1</v>
      </c>
      <c r="P80">
        <v>1</v>
      </c>
      <c r="Q80" t="s">
        <v>46</v>
      </c>
      <c r="R80">
        <v>1</v>
      </c>
      <c r="S80">
        <v>1</v>
      </c>
      <c r="T80">
        <v>1</v>
      </c>
      <c r="U80" t="s">
        <v>781</v>
      </c>
      <c r="V80" t="s">
        <v>781</v>
      </c>
      <c r="W80" t="s">
        <v>781</v>
      </c>
      <c r="X80">
        <v>1</v>
      </c>
      <c r="Y80" t="s">
        <v>781</v>
      </c>
      <c r="Z80">
        <v>1</v>
      </c>
      <c r="AA80">
        <v>1</v>
      </c>
      <c r="AB80" t="s">
        <v>781</v>
      </c>
      <c r="AC80" t="s">
        <v>781</v>
      </c>
      <c r="AD80" t="s">
        <v>781</v>
      </c>
      <c r="AE80">
        <v>1</v>
      </c>
      <c r="AF80" t="s">
        <v>781</v>
      </c>
      <c r="AG80" t="s">
        <v>629</v>
      </c>
      <c r="AH80" t="s">
        <v>781</v>
      </c>
    </row>
    <row r="81" spans="1:34" x14ac:dyDescent="0.25">
      <c r="A81" t="s">
        <v>417</v>
      </c>
      <c r="B81" t="s">
        <v>579</v>
      </c>
      <c r="C81" t="s">
        <v>781</v>
      </c>
      <c r="D81" t="s">
        <v>304</v>
      </c>
      <c r="E81" t="s">
        <v>418</v>
      </c>
      <c r="F81" t="s">
        <v>418</v>
      </c>
      <c r="G81" t="s">
        <v>78</v>
      </c>
      <c r="H81" t="s">
        <v>419</v>
      </c>
      <c r="I81" t="s">
        <v>325</v>
      </c>
      <c r="J81" t="s">
        <v>781</v>
      </c>
      <c r="K81">
        <v>1</v>
      </c>
      <c r="L81">
        <v>1</v>
      </c>
      <c r="M81" t="s">
        <v>42</v>
      </c>
      <c r="N81">
        <v>1</v>
      </c>
      <c r="O81">
        <v>1</v>
      </c>
      <c r="P81">
        <v>1</v>
      </c>
      <c r="Q81" t="s">
        <v>45</v>
      </c>
      <c r="R81">
        <v>1</v>
      </c>
      <c r="S81">
        <v>1</v>
      </c>
      <c r="T81" t="s">
        <v>781</v>
      </c>
      <c r="U81">
        <v>1</v>
      </c>
      <c r="V81" t="s">
        <v>781</v>
      </c>
      <c r="W81" t="s">
        <v>781</v>
      </c>
      <c r="X81">
        <v>1</v>
      </c>
      <c r="Y81" t="s">
        <v>781</v>
      </c>
      <c r="Z81">
        <v>0</v>
      </c>
      <c r="AA81" t="s">
        <v>781</v>
      </c>
      <c r="AB81" t="s">
        <v>781</v>
      </c>
      <c r="AC81" t="s">
        <v>781</v>
      </c>
      <c r="AD81" t="s">
        <v>781</v>
      </c>
      <c r="AE81">
        <v>0</v>
      </c>
      <c r="AF81" t="s">
        <v>781</v>
      </c>
      <c r="AG81" t="s">
        <v>636</v>
      </c>
      <c r="AH81" t="s">
        <v>781</v>
      </c>
    </row>
    <row r="82" spans="1:34" x14ac:dyDescent="0.25">
      <c r="A82" t="s">
        <v>420</v>
      </c>
      <c r="B82" t="s">
        <v>421</v>
      </c>
      <c r="C82" t="s">
        <v>781</v>
      </c>
      <c r="D82" t="s">
        <v>304</v>
      </c>
      <c r="E82" t="s">
        <v>418</v>
      </c>
      <c r="F82" t="s">
        <v>421</v>
      </c>
      <c r="G82" t="s">
        <v>78</v>
      </c>
      <c r="H82" t="s">
        <v>422</v>
      </c>
      <c r="I82" t="s">
        <v>325</v>
      </c>
      <c r="J82" t="s">
        <v>781</v>
      </c>
      <c r="K82">
        <v>1</v>
      </c>
      <c r="L82">
        <v>1</v>
      </c>
      <c r="M82" t="s">
        <v>42</v>
      </c>
      <c r="N82">
        <v>1</v>
      </c>
      <c r="O82">
        <v>1</v>
      </c>
      <c r="P82">
        <v>1</v>
      </c>
      <c r="Q82" t="s">
        <v>45</v>
      </c>
      <c r="R82">
        <v>1</v>
      </c>
      <c r="S82">
        <v>1</v>
      </c>
      <c r="T82" t="s">
        <v>781</v>
      </c>
      <c r="U82">
        <v>1</v>
      </c>
      <c r="V82" t="s">
        <v>781</v>
      </c>
      <c r="W82" t="s">
        <v>781</v>
      </c>
      <c r="X82">
        <v>1</v>
      </c>
      <c r="Y82" t="s">
        <v>781</v>
      </c>
      <c r="Z82">
        <v>0</v>
      </c>
      <c r="AA82" t="s">
        <v>781</v>
      </c>
      <c r="AB82" t="s">
        <v>781</v>
      </c>
      <c r="AC82" t="s">
        <v>781</v>
      </c>
      <c r="AD82" t="s">
        <v>781</v>
      </c>
      <c r="AE82">
        <v>0</v>
      </c>
      <c r="AF82" t="s">
        <v>781</v>
      </c>
      <c r="AG82" t="s">
        <v>638</v>
      </c>
      <c r="AH82" t="s">
        <v>781</v>
      </c>
    </row>
    <row r="83" spans="1:34" x14ac:dyDescent="0.25">
      <c r="A83" t="s">
        <v>423</v>
      </c>
      <c r="B83" t="s">
        <v>592</v>
      </c>
      <c r="C83" t="s">
        <v>781</v>
      </c>
      <c r="D83" t="s">
        <v>304</v>
      </c>
      <c r="E83" t="s">
        <v>424</v>
      </c>
      <c r="F83" t="s">
        <v>424</v>
      </c>
      <c r="G83" t="s">
        <v>78</v>
      </c>
      <c r="H83" t="s">
        <v>425</v>
      </c>
      <c r="I83" t="s">
        <v>325</v>
      </c>
      <c r="J83" t="s">
        <v>781</v>
      </c>
      <c r="K83">
        <v>1</v>
      </c>
      <c r="L83">
        <v>1</v>
      </c>
      <c r="M83" t="s">
        <v>33</v>
      </c>
      <c r="N83">
        <v>1</v>
      </c>
      <c r="O83">
        <v>1</v>
      </c>
      <c r="P83">
        <v>1</v>
      </c>
      <c r="Q83" t="s">
        <v>45</v>
      </c>
      <c r="R83">
        <v>1</v>
      </c>
      <c r="S83">
        <v>1</v>
      </c>
      <c r="T83" t="s">
        <v>781</v>
      </c>
      <c r="U83">
        <v>1</v>
      </c>
      <c r="V83" t="s">
        <v>781</v>
      </c>
      <c r="W83" t="s">
        <v>781</v>
      </c>
      <c r="X83">
        <v>1</v>
      </c>
      <c r="Y83" t="s">
        <v>781</v>
      </c>
      <c r="Z83">
        <v>0</v>
      </c>
      <c r="AA83" t="s">
        <v>781</v>
      </c>
      <c r="AB83" t="s">
        <v>781</v>
      </c>
      <c r="AC83" t="s">
        <v>781</v>
      </c>
      <c r="AD83" t="s">
        <v>781</v>
      </c>
      <c r="AE83">
        <v>0</v>
      </c>
      <c r="AF83" t="s">
        <v>781</v>
      </c>
      <c r="AG83">
        <v>0</v>
      </c>
      <c r="AH83" t="s">
        <v>781</v>
      </c>
    </row>
    <row r="84" spans="1:34" x14ac:dyDescent="0.25">
      <c r="A84" t="s">
        <v>426</v>
      </c>
      <c r="B84" t="s">
        <v>427</v>
      </c>
      <c r="C84" t="s">
        <v>781</v>
      </c>
      <c r="D84" t="s">
        <v>304</v>
      </c>
      <c r="E84" t="s">
        <v>305</v>
      </c>
      <c r="F84" t="s">
        <v>427</v>
      </c>
      <c r="G84" t="s">
        <v>471</v>
      </c>
      <c r="H84" t="s">
        <v>428</v>
      </c>
      <c r="I84" t="s">
        <v>325</v>
      </c>
      <c r="J84" t="s">
        <v>781</v>
      </c>
      <c r="K84">
        <v>1</v>
      </c>
      <c r="L84">
        <v>1</v>
      </c>
      <c r="M84" t="s">
        <v>33</v>
      </c>
      <c r="N84">
        <v>1</v>
      </c>
      <c r="O84">
        <v>1</v>
      </c>
      <c r="P84">
        <v>1</v>
      </c>
      <c r="Q84" t="s">
        <v>45</v>
      </c>
      <c r="R84">
        <v>1</v>
      </c>
      <c r="S84">
        <v>1</v>
      </c>
      <c r="T84" t="s">
        <v>781</v>
      </c>
      <c r="U84">
        <v>1</v>
      </c>
      <c r="V84" t="s">
        <v>781</v>
      </c>
      <c r="W84" t="s">
        <v>781</v>
      </c>
      <c r="X84">
        <v>1</v>
      </c>
      <c r="Y84" t="s">
        <v>781</v>
      </c>
      <c r="Z84">
        <v>0</v>
      </c>
      <c r="AA84" t="s">
        <v>781</v>
      </c>
      <c r="AB84" t="s">
        <v>781</v>
      </c>
      <c r="AC84" t="s">
        <v>781</v>
      </c>
      <c r="AD84" t="s">
        <v>781</v>
      </c>
      <c r="AE84">
        <v>0</v>
      </c>
      <c r="AF84" t="s">
        <v>781</v>
      </c>
      <c r="AG84" t="s">
        <v>622</v>
      </c>
      <c r="AH84" t="s">
        <v>781</v>
      </c>
    </row>
    <row r="85" spans="1:34" x14ac:dyDescent="0.25">
      <c r="A85" t="s">
        <v>429</v>
      </c>
      <c r="B85" t="s">
        <v>430</v>
      </c>
      <c r="C85" t="s">
        <v>781</v>
      </c>
      <c r="D85" t="s">
        <v>304</v>
      </c>
      <c r="E85" t="s">
        <v>430</v>
      </c>
      <c r="F85" t="s">
        <v>430</v>
      </c>
      <c r="G85" t="s">
        <v>106</v>
      </c>
      <c r="H85" t="s">
        <v>431</v>
      </c>
      <c r="I85" t="s">
        <v>325</v>
      </c>
      <c r="J85" t="s">
        <v>781</v>
      </c>
      <c r="K85">
        <v>1</v>
      </c>
      <c r="L85">
        <v>1</v>
      </c>
      <c r="M85" t="s">
        <v>33</v>
      </c>
      <c r="N85">
        <v>1</v>
      </c>
      <c r="O85">
        <v>1</v>
      </c>
      <c r="P85">
        <v>1</v>
      </c>
      <c r="Q85" t="s">
        <v>45</v>
      </c>
      <c r="R85">
        <v>1</v>
      </c>
      <c r="S85">
        <v>1</v>
      </c>
      <c r="T85">
        <v>1</v>
      </c>
      <c r="U85" t="s">
        <v>781</v>
      </c>
      <c r="V85" t="s">
        <v>781</v>
      </c>
      <c r="W85" t="s">
        <v>781</v>
      </c>
      <c r="X85">
        <v>1</v>
      </c>
      <c r="Y85" t="s">
        <v>781</v>
      </c>
      <c r="Z85">
        <v>0</v>
      </c>
      <c r="AA85" t="s">
        <v>781</v>
      </c>
      <c r="AB85" t="s">
        <v>781</v>
      </c>
      <c r="AC85" t="s">
        <v>781</v>
      </c>
      <c r="AD85" t="s">
        <v>781</v>
      </c>
      <c r="AE85">
        <v>0</v>
      </c>
      <c r="AF85" t="s">
        <v>781</v>
      </c>
      <c r="AG85" t="s">
        <v>636</v>
      </c>
      <c r="AH85" t="s">
        <v>781</v>
      </c>
    </row>
    <row r="86" spans="1:34" ht="15.75" thickBot="1" x14ac:dyDescent="0.3">
      <c r="A86" t="s">
        <v>432</v>
      </c>
      <c r="B86" t="s">
        <v>609</v>
      </c>
      <c r="C86" t="s">
        <v>781</v>
      </c>
      <c r="D86" t="s">
        <v>304</v>
      </c>
      <c r="E86" t="s">
        <v>433</v>
      </c>
      <c r="F86" t="s">
        <v>434</v>
      </c>
      <c r="G86" t="s">
        <v>78</v>
      </c>
      <c r="H86" t="s">
        <v>435</v>
      </c>
      <c r="I86" t="s">
        <v>307</v>
      </c>
      <c r="J86" t="s">
        <v>781</v>
      </c>
      <c r="K86">
        <v>1</v>
      </c>
      <c r="L86">
        <v>1</v>
      </c>
      <c r="M86" t="s">
        <v>33</v>
      </c>
      <c r="N86">
        <v>1</v>
      </c>
      <c r="O86">
        <v>1</v>
      </c>
      <c r="P86">
        <v>1</v>
      </c>
      <c r="Q86" t="s">
        <v>781</v>
      </c>
      <c r="R86">
        <v>0</v>
      </c>
      <c r="S86">
        <v>0</v>
      </c>
      <c r="T86" t="s">
        <v>781</v>
      </c>
      <c r="U86" t="s">
        <v>781</v>
      </c>
      <c r="V86" t="s">
        <v>781</v>
      </c>
      <c r="W86" t="s">
        <v>781</v>
      </c>
      <c r="X86">
        <v>0</v>
      </c>
      <c r="Y86" t="s">
        <v>781</v>
      </c>
      <c r="Z86">
        <v>0</v>
      </c>
      <c r="AA86" t="s">
        <v>781</v>
      </c>
      <c r="AB86" t="s">
        <v>781</v>
      </c>
      <c r="AC86" t="s">
        <v>781</v>
      </c>
      <c r="AD86" t="s">
        <v>781</v>
      </c>
      <c r="AE86">
        <v>0</v>
      </c>
      <c r="AF86" t="s">
        <v>781</v>
      </c>
      <c r="AG86" t="s">
        <v>634</v>
      </c>
      <c r="AH86" t="s">
        <v>781</v>
      </c>
    </row>
    <row r="87" spans="1:34" ht="15.75" thickBot="1" x14ac:dyDescent="0.3">
      <c r="A87" s="394"/>
      <c r="B87" s="395"/>
      <c r="C87" s="314"/>
      <c r="D87" s="315"/>
      <c r="E87" s="314"/>
      <c r="F87" s="314"/>
      <c r="G87" s="233"/>
      <c r="H87" s="314"/>
      <c r="I87" s="452"/>
      <c r="J87" s="314"/>
      <c r="K87" s="315"/>
      <c r="L87" s="315"/>
      <c r="M87" s="374"/>
      <c r="N87" s="408"/>
      <c r="O87" s="409"/>
      <c r="P87" s="453"/>
      <c r="Q87" s="396"/>
      <c r="R87" s="315"/>
      <c r="S87" s="451"/>
      <c r="T87" s="419"/>
      <c r="U87" s="419"/>
      <c r="V87" s="419"/>
      <c r="W87" s="419"/>
      <c r="X87" s="428"/>
      <c r="Y87" s="397"/>
      <c r="Z87" s="420">
        <f t="shared" ref="Z87:Z88" si="0">SUM(AA87:AD87)</f>
        <v>0</v>
      </c>
      <c r="AA87" s="421"/>
      <c r="AB87" s="421"/>
      <c r="AC87" s="421"/>
      <c r="AD87" s="421"/>
      <c r="AE87" s="422"/>
      <c r="AF87" s="314"/>
      <c r="AG87" s="398"/>
      <c r="AH87" s="316"/>
    </row>
    <row r="88" spans="1:34" x14ac:dyDescent="0.25">
      <c r="A88" s="394"/>
      <c r="B88" s="395"/>
      <c r="C88" s="314"/>
      <c r="D88" s="315"/>
      <c r="E88" s="314"/>
      <c r="F88" s="314"/>
      <c r="G88" s="233"/>
      <c r="H88" s="372"/>
      <c r="I88" s="452"/>
      <c r="J88" s="314"/>
      <c r="K88" s="315"/>
      <c r="L88" s="315"/>
      <c r="M88" s="374"/>
      <c r="N88" s="408"/>
      <c r="O88" s="409"/>
      <c r="P88" s="453"/>
      <c r="Q88" s="396"/>
      <c r="R88" s="315"/>
      <c r="S88" s="451"/>
      <c r="T88" s="419"/>
      <c r="U88" s="419"/>
      <c r="V88" s="419"/>
      <c r="W88" s="419"/>
      <c r="X88" s="428"/>
      <c r="Y88" s="397"/>
      <c r="Z88" s="420">
        <f t="shared" si="0"/>
        <v>0</v>
      </c>
      <c r="AA88" s="421"/>
      <c r="AB88" s="421"/>
      <c r="AC88" s="421"/>
      <c r="AD88" s="421"/>
      <c r="AE88" s="422"/>
      <c r="AF88" s="314"/>
      <c r="AG88" s="398"/>
      <c r="AH88" s="316"/>
    </row>
    <row r="90" spans="1:34" ht="15.75" thickBot="1" x14ac:dyDescent="0.3">
      <c r="A90" s="341"/>
      <c r="B90" s="342"/>
      <c r="C90" s="342"/>
      <c r="D90" s="343"/>
      <c r="E90" s="342"/>
      <c r="F90" s="342"/>
      <c r="G90" s="343"/>
      <c r="H90" s="373"/>
      <c r="I90" s="373"/>
      <c r="J90" s="342"/>
      <c r="K90" s="342"/>
      <c r="L90" s="344"/>
      <c r="M90" s="345"/>
      <c r="N90" s="410"/>
      <c r="O90" s="411"/>
      <c r="P90" s="412"/>
      <c r="Q90" s="346"/>
      <c r="R90" s="347"/>
      <c r="S90" s="429"/>
      <c r="T90" s="430"/>
      <c r="U90" s="430"/>
      <c r="V90" s="430"/>
      <c r="W90" s="430"/>
      <c r="X90" s="431"/>
      <c r="Y90" s="348"/>
      <c r="Z90" s="423"/>
      <c r="AA90" s="424"/>
      <c r="AB90" s="424"/>
      <c r="AC90" s="424"/>
      <c r="AD90" s="424"/>
      <c r="AE90" s="425"/>
      <c r="AF90" s="349"/>
      <c r="AG90" s="349"/>
      <c r="AH90" s="350"/>
    </row>
    <row r="91" spans="1:34" x14ac:dyDescent="0.25">
      <c r="A91" s="563" t="s">
        <v>438</v>
      </c>
      <c r="B91" s="564"/>
      <c r="C91" s="564"/>
      <c r="D91" s="564"/>
      <c r="E91" s="564"/>
      <c r="F91" s="564"/>
      <c r="G91" s="564"/>
      <c r="H91" s="564"/>
      <c r="I91" s="564"/>
      <c r="J91" s="564"/>
      <c r="K91" s="564"/>
      <c r="L91" s="564"/>
      <c r="M91" s="564"/>
      <c r="N91" s="564"/>
      <c r="O91" s="564"/>
      <c r="P91" s="564"/>
      <c r="Q91" s="564"/>
      <c r="R91" s="564"/>
      <c r="S91" s="564"/>
      <c r="T91" s="564"/>
      <c r="U91" s="564"/>
      <c r="V91" s="564"/>
      <c r="W91" s="564"/>
      <c r="X91" s="564"/>
      <c r="Y91" s="564"/>
      <c r="Z91" s="564"/>
      <c r="AA91" s="564"/>
      <c r="AB91" s="564"/>
      <c r="AC91" s="564"/>
      <c r="AD91" s="564"/>
      <c r="AE91" s="564"/>
      <c r="AF91" s="564"/>
      <c r="AG91" s="564"/>
      <c r="AH91" s="565"/>
    </row>
    <row r="92" spans="1:34" ht="15.75" thickBot="1" x14ac:dyDescent="0.3">
      <c r="A92" s="566"/>
      <c r="B92" s="567"/>
      <c r="C92" s="567"/>
      <c r="D92" s="567"/>
      <c r="E92" s="567"/>
      <c r="F92" s="567"/>
      <c r="G92" s="567"/>
      <c r="H92" s="567"/>
      <c r="I92" s="567"/>
      <c r="J92" s="567"/>
      <c r="K92" s="567"/>
      <c r="L92" s="567"/>
      <c r="M92" s="567"/>
      <c r="N92" s="567"/>
      <c r="O92" s="567"/>
      <c r="P92" s="567"/>
      <c r="Q92" s="567"/>
      <c r="R92" s="567"/>
      <c r="S92" s="567"/>
      <c r="T92" s="567"/>
      <c r="U92" s="567"/>
      <c r="V92" s="567"/>
      <c r="W92" s="567"/>
      <c r="X92" s="567"/>
      <c r="Y92" s="567"/>
      <c r="Z92" s="567"/>
      <c r="AA92" s="567"/>
      <c r="AB92" s="567"/>
      <c r="AC92" s="567"/>
      <c r="AD92" s="567"/>
      <c r="AE92" s="567"/>
      <c r="AF92" s="567"/>
      <c r="AG92" s="567"/>
      <c r="AH92" s="568"/>
    </row>
    <row r="93" spans="1:34" ht="19.5" thickBot="1" x14ac:dyDescent="0.3">
      <c r="A93" s="572" t="s">
        <v>297</v>
      </c>
      <c r="B93" s="573"/>
      <c r="C93" s="573"/>
      <c r="D93" s="573"/>
      <c r="E93" s="573"/>
      <c r="F93" s="573"/>
      <c r="G93" s="573"/>
      <c r="H93" s="573"/>
      <c r="I93" s="573"/>
      <c r="J93" s="574"/>
      <c r="K93" s="356">
        <f>SUM(K6:K88)</f>
        <v>81</v>
      </c>
      <c r="L93" s="356">
        <f>SUM(L6:L88)</f>
        <v>81</v>
      </c>
      <c r="M93" s="357"/>
      <c r="N93" s="413">
        <f>SUMPRODUCT(K6:K88,N6:N88)/K93</f>
        <v>1</v>
      </c>
      <c r="O93" s="414">
        <f>SUM(O6:O88)</f>
        <v>81</v>
      </c>
      <c r="P93" s="415">
        <f>SUMPRODUCT(K6:K88,P6:P88)/K93</f>
        <v>1</v>
      </c>
      <c r="Q93" s="358"/>
      <c r="R93" s="359">
        <f t="shared" ref="R93:W93" si="1">SUM(R6:R88)</f>
        <v>80</v>
      </c>
      <c r="S93" s="416">
        <f t="shared" si="1"/>
        <v>80</v>
      </c>
      <c r="T93" s="416">
        <f t="shared" si="1"/>
        <v>58</v>
      </c>
      <c r="U93" s="416">
        <f t="shared" si="1"/>
        <v>22</v>
      </c>
      <c r="V93" s="416">
        <f t="shared" si="1"/>
        <v>0</v>
      </c>
      <c r="W93" s="416">
        <f t="shared" si="1"/>
        <v>0</v>
      </c>
      <c r="X93" s="417">
        <f>IF((S93=0),0,((T93+U93)/S93*100%))</f>
        <v>1</v>
      </c>
      <c r="Y93" s="360"/>
      <c r="Z93" s="426">
        <f>SUM(Z6:Z88)</f>
        <v>7</v>
      </c>
      <c r="AA93" s="427">
        <f>SUM(AA6:AA88)</f>
        <v>7</v>
      </c>
      <c r="AB93" s="427">
        <f>SUM(AB6:AB88)</f>
        <v>0</v>
      </c>
      <c r="AC93" s="427">
        <f>SUM(AC6:AC88)</f>
        <v>0</v>
      </c>
      <c r="AD93" s="427">
        <f>SUM(AD6:AD88)</f>
        <v>0</v>
      </c>
      <c r="AE93" s="418">
        <f>IF((Z93=0),0,((AA93+AB93)/Z93*100%))</f>
        <v>1</v>
      </c>
      <c r="AF93" s="361"/>
      <c r="AG93" s="361"/>
      <c r="AH93" s="362"/>
    </row>
    <row r="95" spans="1:34" x14ac:dyDescent="0.25">
      <c r="L95" s="170" t="s">
        <v>439</v>
      </c>
    </row>
  </sheetData>
  <sheetProtection insertColumns="0" insertRows="0" deleteRows="0" sort="0"/>
  <autoFilter ref="A5:AH93" xr:uid="{00000000-0009-0000-0000-000002000000}"/>
  <mergeCells count="9">
    <mergeCell ref="A91:AH92"/>
    <mergeCell ref="A1:AH1"/>
    <mergeCell ref="A3:AH3"/>
    <mergeCell ref="A2:J2"/>
    <mergeCell ref="A93:J93"/>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Q90</xm:sqref>
        </x14:dataValidation>
        <x14:dataValidation type="list" allowBlank="1" showInputMessage="1" showErrorMessage="1" xr:uid="{5513F172-4253-4807-A8CE-34D720193895}">
          <x14:formula1>
            <xm:f>'List Options'!$G$1:$G$3</xm:f>
          </x14:formula1>
          <xm:sqref>M90 M6:M88</xm:sqref>
        </x14:dataValidation>
        <x14:dataValidation type="list" allowBlank="1" showInputMessage="1" showErrorMessage="1" xr:uid="{237AC15D-702E-46B4-89E7-DAB1EF5DAEB1}">
          <x14:formula1>
            <xm:f>'List Options'!$E$1:$E$7</xm:f>
          </x14:formula1>
          <xm:sqref>Q6:Q88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12"/>
  <sheetViews>
    <sheetView workbookViewId="0">
      <pane ySplit="2" topLeftCell="A79" activePane="bottomLeft" state="frozen"/>
      <selection pane="bottomLeft" activeCell="A35" sqref="A35:XFD35"/>
    </sheetView>
  </sheetViews>
  <sheetFormatPr defaultRowHeight="15" x14ac:dyDescent="0.25"/>
  <cols>
    <col min="1" max="1" width="16.85546875" bestFit="1" customWidth="1"/>
    <col min="2" max="2" width="56.5703125" customWidth="1"/>
    <col min="3" max="3" width="10" bestFit="1" customWidth="1"/>
    <col min="4" max="4" width="15.5703125" bestFit="1" customWidth="1"/>
    <col min="5" max="5" width="11.140625" bestFit="1" customWidth="1"/>
    <col min="7" max="7" width="15.85546875" customWidth="1"/>
    <col min="8" max="8" width="20.5703125" customWidth="1"/>
  </cols>
  <sheetData>
    <row r="1" spans="1:9" ht="19.5" thickBot="1" x14ac:dyDescent="0.35">
      <c r="A1" s="596" t="s">
        <v>440</v>
      </c>
      <c r="B1" s="597"/>
      <c r="C1" s="597"/>
      <c r="D1" s="597"/>
      <c r="E1" s="597"/>
      <c r="F1" s="597"/>
      <c r="G1" s="597"/>
      <c r="H1" s="597"/>
      <c r="I1" s="598"/>
    </row>
    <row r="2" spans="1:9" s="79" customFormat="1" ht="15.75" thickBot="1" x14ac:dyDescent="0.3">
      <c r="A2" s="365" t="s">
        <v>63</v>
      </c>
      <c r="B2" s="366" t="s">
        <v>64</v>
      </c>
      <c r="C2" s="367" t="s">
        <v>69</v>
      </c>
      <c r="D2" s="367" t="s">
        <v>258</v>
      </c>
      <c r="E2" s="368" t="s">
        <v>1</v>
      </c>
    </row>
    <row r="3" spans="1:9" ht="15.75" thickBot="1" x14ac:dyDescent="0.3">
      <c r="A3" s="399" t="s">
        <v>441</v>
      </c>
      <c r="B3" s="504" t="s">
        <v>442</v>
      </c>
      <c r="C3" s="462" t="s">
        <v>110</v>
      </c>
      <c r="D3" s="445" t="s">
        <v>34</v>
      </c>
      <c r="E3" s="447" t="s">
        <v>33</v>
      </c>
      <c r="G3" s="281" t="s">
        <v>63</v>
      </c>
      <c r="H3" s="282" t="s">
        <v>443</v>
      </c>
      <c r="I3" s="441">
        <f>COUNTA(A3:A4000)</f>
        <v>110</v>
      </c>
    </row>
    <row r="4" spans="1:9" ht="15.75" thickBot="1" x14ac:dyDescent="0.3">
      <c r="A4" s="399" t="s">
        <v>303</v>
      </c>
      <c r="B4" s="491" t="s">
        <v>444</v>
      </c>
      <c r="C4" s="462" t="s">
        <v>78</v>
      </c>
      <c r="D4" s="445" t="s">
        <v>34</v>
      </c>
      <c r="E4" s="446" t="s">
        <v>38</v>
      </c>
      <c r="G4" s="588" t="s">
        <v>69</v>
      </c>
      <c r="H4" s="283" t="s">
        <v>445</v>
      </c>
      <c r="I4" s="442">
        <f>COUNTIFS($C3:$C4000,"P1")</f>
        <v>52</v>
      </c>
    </row>
    <row r="5" spans="1:9" ht="15.75" thickBot="1" x14ac:dyDescent="0.3">
      <c r="A5" s="399" t="s">
        <v>331</v>
      </c>
      <c r="B5" s="491" t="s">
        <v>446</v>
      </c>
      <c r="C5" s="462" t="s">
        <v>78</v>
      </c>
      <c r="D5" s="445" t="s">
        <v>34</v>
      </c>
      <c r="E5" s="447" t="s">
        <v>33</v>
      </c>
      <c r="G5" s="589"/>
      <c r="H5" s="284" t="s">
        <v>447</v>
      </c>
      <c r="I5" s="443">
        <f>COUNTIFS($C3:$C4000,"P2")</f>
        <v>16</v>
      </c>
    </row>
    <row r="6" spans="1:9" ht="15.75" thickBot="1" x14ac:dyDescent="0.3">
      <c r="A6" s="399" t="s">
        <v>322</v>
      </c>
      <c r="B6" s="491" t="s">
        <v>324</v>
      </c>
      <c r="C6" s="462" t="s">
        <v>106</v>
      </c>
      <c r="D6" s="445" t="s">
        <v>34</v>
      </c>
      <c r="E6" s="447" t="s">
        <v>38</v>
      </c>
      <c r="G6" s="590"/>
      <c r="H6" s="285" t="s">
        <v>448</v>
      </c>
      <c r="I6" s="444">
        <f>COUNTIFS($C3:$C4000,"P3")</f>
        <v>40</v>
      </c>
    </row>
    <row r="7" spans="1:9" ht="15.75" thickBot="1" x14ac:dyDescent="0.3">
      <c r="A7" s="399" t="s">
        <v>319</v>
      </c>
      <c r="B7" s="491" t="s">
        <v>449</v>
      </c>
      <c r="C7" s="462" t="s">
        <v>78</v>
      </c>
      <c r="D7" s="445" t="s">
        <v>34</v>
      </c>
      <c r="E7" s="447" t="s">
        <v>33</v>
      </c>
      <c r="G7" s="591" t="s">
        <v>258</v>
      </c>
      <c r="H7" s="283" t="s">
        <v>450</v>
      </c>
      <c r="I7" s="442">
        <f>COUNTIFS($D3:$D4000,"Diagnostics")</f>
        <v>102</v>
      </c>
    </row>
    <row r="8" spans="1:9" ht="15.75" thickBot="1" x14ac:dyDescent="0.3">
      <c r="A8" s="399" t="s">
        <v>451</v>
      </c>
      <c r="B8" s="491" t="s">
        <v>452</v>
      </c>
      <c r="C8" s="462" t="s">
        <v>78</v>
      </c>
      <c r="D8" s="445" t="s">
        <v>34</v>
      </c>
      <c r="E8" s="447" t="s">
        <v>38</v>
      </c>
      <c r="G8" s="592"/>
      <c r="H8" s="284" t="s">
        <v>453</v>
      </c>
      <c r="I8" s="443">
        <f>COUNTIFS($D3:$D4000,"Driver")</f>
        <v>5</v>
      </c>
    </row>
    <row r="9" spans="1:9" ht="15.75" thickBot="1" x14ac:dyDescent="0.3">
      <c r="A9" s="399" t="s">
        <v>454</v>
      </c>
      <c r="B9" s="504" t="s">
        <v>455</v>
      </c>
      <c r="C9" s="462" t="s">
        <v>110</v>
      </c>
      <c r="D9" s="445" t="s">
        <v>34</v>
      </c>
      <c r="E9" s="447" t="s">
        <v>33</v>
      </c>
      <c r="G9" s="592"/>
      <c r="H9" s="284" t="s">
        <v>456</v>
      </c>
      <c r="I9" s="443">
        <f>COUNTIFS($D3:$D4000,"IPSE")</f>
        <v>3</v>
      </c>
    </row>
    <row r="10" spans="1:9" ht="15.75" thickBot="1" x14ac:dyDescent="0.3">
      <c r="A10" s="399" t="s">
        <v>316</v>
      </c>
      <c r="B10" s="491" t="s">
        <v>457</v>
      </c>
      <c r="C10" s="462" t="s">
        <v>78</v>
      </c>
      <c r="D10" s="445" t="s">
        <v>34</v>
      </c>
      <c r="E10" s="447" t="s">
        <v>38</v>
      </c>
      <c r="G10" s="593"/>
      <c r="H10" s="285" t="s">
        <v>458</v>
      </c>
      <c r="I10" s="444">
        <f>COUNTIFS($D3:$D4000,"N/A")</f>
        <v>0</v>
      </c>
    </row>
    <row r="11" spans="1:9" ht="15.75" thickBot="1" x14ac:dyDescent="0.3">
      <c r="A11" s="399" t="s">
        <v>308</v>
      </c>
      <c r="B11" s="491" t="s">
        <v>459</v>
      </c>
      <c r="C11" s="462" t="s">
        <v>78</v>
      </c>
      <c r="D11" s="445" t="s">
        <v>34</v>
      </c>
      <c r="E11" s="447" t="s">
        <v>38</v>
      </c>
      <c r="G11" s="591" t="s">
        <v>1</v>
      </c>
      <c r="H11" s="283" t="s">
        <v>460</v>
      </c>
      <c r="I11" s="442">
        <f>COUNTIFS($E3:$E4000,"Legacy")</f>
        <v>63</v>
      </c>
    </row>
    <row r="12" spans="1:9" ht="15.75" thickBot="1" x14ac:dyDescent="0.3">
      <c r="A12" s="399" t="s">
        <v>328</v>
      </c>
      <c r="B12" s="491" t="s">
        <v>461</v>
      </c>
      <c r="C12" s="462" t="s">
        <v>78</v>
      </c>
      <c r="D12" s="445" t="s">
        <v>34</v>
      </c>
      <c r="E12" s="447" t="s">
        <v>33</v>
      </c>
      <c r="G12" s="592"/>
      <c r="H12" s="284" t="s">
        <v>462</v>
      </c>
      <c r="I12" s="443">
        <f>COUNTIFS($E3:$E4000,"Delta")</f>
        <v>47</v>
      </c>
    </row>
    <row r="13" spans="1:9" ht="15.75" thickBot="1" x14ac:dyDescent="0.3">
      <c r="A13" s="399" t="s">
        <v>333</v>
      </c>
      <c r="B13" s="504" t="s">
        <v>463</v>
      </c>
      <c r="C13" s="462" t="s">
        <v>78</v>
      </c>
      <c r="D13" s="445" t="s">
        <v>34</v>
      </c>
      <c r="E13" s="447" t="s">
        <v>38</v>
      </c>
      <c r="G13" s="593"/>
      <c r="H13" s="285" t="s">
        <v>464</v>
      </c>
      <c r="I13" s="444">
        <f>COUNTIFS($E3:$E4000,"New")</f>
        <v>0</v>
      </c>
    </row>
    <row r="14" spans="1:9" ht="15.75" thickBot="1" x14ac:dyDescent="0.3">
      <c r="A14" s="399" t="s">
        <v>340</v>
      </c>
      <c r="B14" s="491" t="s">
        <v>465</v>
      </c>
      <c r="C14" s="462" t="s">
        <v>78</v>
      </c>
      <c r="D14" s="445" t="s">
        <v>34</v>
      </c>
      <c r="E14" s="447" t="s">
        <v>38</v>
      </c>
      <c r="G14" s="369" t="s">
        <v>263</v>
      </c>
      <c r="H14" s="594"/>
      <c r="I14" s="595"/>
    </row>
    <row r="15" spans="1:9" ht="15.75" thickBot="1" x14ac:dyDescent="0.3">
      <c r="A15" s="399" t="s">
        <v>466</v>
      </c>
      <c r="B15" s="504" t="s">
        <v>467</v>
      </c>
      <c r="C15" s="462" t="s">
        <v>106</v>
      </c>
      <c r="D15" s="445" t="s">
        <v>34</v>
      </c>
      <c r="E15" s="447" t="s">
        <v>38</v>
      </c>
    </row>
    <row r="16" spans="1:9" ht="15.75" thickBot="1" x14ac:dyDescent="0.3">
      <c r="A16" s="399" t="s">
        <v>345</v>
      </c>
      <c r="B16" s="491" t="s">
        <v>468</v>
      </c>
      <c r="C16" s="462" t="s">
        <v>78</v>
      </c>
      <c r="D16" s="445" t="s">
        <v>34</v>
      </c>
      <c r="E16" s="447" t="s">
        <v>33</v>
      </c>
    </row>
    <row r="17" spans="1:7" ht="15.75" thickBot="1" x14ac:dyDescent="0.3">
      <c r="A17" s="399" t="s">
        <v>469</v>
      </c>
      <c r="B17" s="504" t="s">
        <v>470</v>
      </c>
      <c r="C17" s="462" t="s">
        <v>471</v>
      </c>
      <c r="D17" s="445" t="s">
        <v>34</v>
      </c>
      <c r="E17" s="447" t="s">
        <v>38</v>
      </c>
    </row>
    <row r="18" spans="1:7" ht="15.75" thickBot="1" x14ac:dyDescent="0.3">
      <c r="A18" s="399" t="s">
        <v>472</v>
      </c>
      <c r="B18" s="504" t="s">
        <v>473</v>
      </c>
      <c r="C18" s="462" t="s">
        <v>78</v>
      </c>
      <c r="D18" s="445" t="s">
        <v>34</v>
      </c>
      <c r="E18" s="447" t="s">
        <v>33</v>
      </c>
      <c r="G18" t="s">
        <v>474</v>
      </c>
    </row>
    <row r="19" spans="1:7" ht="15.75" thickBot="1" x14ac:dyDescent="0.3">
      <c r="A19" s="399" t="s">
        <v>353</v>
      </c>
      <c r="B19" s="491" t="s">
        <v>355</v>
      </c>
      <c r="C19" s="462" t="s">
        <v>106</v>
      </c>
      <c r="D19" s="445" t="s">
        <v>34</v>
      </c>
      <c r="E19" s="447" t="s">
        <v>38</v>
      </c>
      <c r="G19" t="s">
        <v>475</v>
      </c>
    </row>
    <row r="20" spans="1:7" ht="15.75" thickBot="1" x14ac:dyDescent="0.3">
      <c r="A20" s="399" t="s">
        <v>476</v>
      </c>
      <c r="B20" s="504" t="s">
        <v>477</v>
      </c>
      <c r="C20" s="462" t="s">
        <v>110</v>
      </c>
      <c r="D20" s="445" t="s">
        <v>43</v>
      </c>
      <c r="E20" s="447" t="s">
        <v>33</v>
      </c>
      <c r="G20" t="s">
        <v>478</v>
      </c>
    </row>
    <row r="21" spans="1:7" ht="15.75" thickBot="1" x14ac:dyDescent="0.3">
      <c r="A21" s="399" t="s">
        <v>426</v>
      </c>
      <c r="B21" s="491" t="s">
        <v>427</v>
      </c>
      <c r="C21" s="462" t="s">
        <v>471</v>
      </c>
      <c r="D21" s="445" t="s">
        <v>34</v>
      </c>
      <c r="E21" s="447" t="s">
        <v>38</v>
      </c>
      <c r="G21" t="s">
        <v>479</v>
      </c>
    </row>
    <row r="22" spans="1:7" ht="15.75" thickBot="1" x14ac:dyDescent="0.3">
      <c r="A22" s="399" t="s">
        <v>358</v>
      </c>
      <c r="B22" s="491" t="s">
        <v>480</v>
      </c>
      <c r="C22" s="462" t="s">
        <v>78</v>
      </c>
      <c r="D22" s="445" t="s">
        <v>34</v>
      </c>
      <c r="E22" s="447" t="s">
        <v>33</v>
      </c>
    </row>
    <row r="23" spans="1:7" ht="15.75" thickBot="1" x14ac:dyDescent="0.3">
      <c r="A23" s="399" t="s">
        <v>481</v>
      </c>
      <c r="B23" s="491" t="s">
        <v>482</v>
      </c>
      <c r="C23" s="462" t="s">
        <v>78</v>
      </c>
      <c r="D23" s="445" t="s">
        <v>34</v>
      </c>
      <c r="E23" s="447" t="s">
        <v>33</v>
      </c>
    </row>
    <row r="24" spans="1:7" ht="15.75" thickBot="1" x14ac:dyDescent="0.3">
      <c r="A24" s="399" t="s">
        <v>362</v>
      </c>
      <c r="B24" s="491" t="s">
        <v>364</v>
      </c>
      <c r="C24" s="462" t="s">
        <v>78</v>
      </c>
      <c r="D24" s="445" t="s">
        <v>34</v>
      </c>
      <c r="E24" s="447" t="s">
        <v>33</v>
      </c>
    </row>
    <row r="25" spans="1:7" ht="15.75" thickBot="1" x14ac:dyDescent="0.3">
      <c r="A25" s="399" t="s">
        <v>483</v>
      </c>
      <c r="B25" s="504" t="s">
        <v>484</v>
      </c>
      <c r="C25" s="462" t="s">
        <v>110</v>
      </c>
      <c r="D25" s="445" t="s">
        <v>34</v>
      </c>
      <c r="E25" s="447" t="s">
        <v>33</v>
      </c>
    </row>
    <row r="26" spans="1:7" ht="15.75" thickBot="1" x14ac:dyDescent="0.3">
      <c r="A26" s="399" t="s">
        <v>485</v>
      </c>
      <c r="B26" s="504" t="s">
        <v>486</v>
      </c>
      <c r="C26" s="462" t="s">
        <v>110</v>
      </c>
      <c r="D26" s="445" t="s">
        <v>34</v>
      </c>
      <c r="E26" s="447" t="s">
        <v>33</v>
      </c>
    </row>
    <row r="27" spans="1:7" ht="15.75" thickBot="1" x14ac:dyDescent="0.3">
      <c r="A27" s="399" t="s">
        <v>370</v>
      </c>
      <c r="B27" s="491" t="s">
        <v>372</v>
      </c>
      <c r="C27" s="462" t="s">
        <v>78</v>
      </c>
      <c r="D27" s="445" t="s">
        <v>34</v>
      </c>
      <c r="E27" s="447" t="s">
        <v>38</v>
      </c>
    </row>
    <row r="28" spans="1:7" ht="15.75" thickBot="1" x14ac:dyDescent="0.3">
      <c r="A28" s="399" t="s">
        <v>374</v>
      </c>
      <c r="B28" s="399" t="s">
        <v>375</v>
      </c>
      <c r="C28" s="462" t="s">
        <v>78</v>
      </c>
      <c r="D28" s="445" t="s">
        <v>34</v>
      </c>
      <c r="E28" s="447" t="s">
        <v>38</v>
      </c>
    </row>
    <row r="29" spans="1:7" ht="15.75" thickBot="1" x14ac:dyDescent="0.3">
      <c r="A29" s="399" t="s">
        <v>487</v>
      </c>
      <c r="B29" s="399" t="s">
        <v>488</v>
      </c>
      <c r="C29" s="462" t="s">
        <v>106</v>
      </c>
      <c r="D29" s="445" t="s">
        <v>39</v>
      </c>
      <c r="E29" s="447" t="s">
        <v>38</v>
      </c>
    </row>
    <row r="30" spans="1:7" ht="15.75" thickBot="1" x14ac:dyDescent="0.3">
      <c r="A30" s="399" t="s">
        <v>489</v>
      </c>
      <c r="B30" s="399" t="s">
        <v>490</v>
      </c>
      <c r="C30" s="462" t="s">
        <v>106</v>
      </c>
      <c r="D30" s="445" t="s">
        <v>39</v>
      </c>
      <c r="E30" s="447" t="s">
        <v>38</v>
      </c>
    </row>
    <row r="31" spans="1:7" ht="15.75" thickBot="1" x14ac:dyDescent="0.3">
      <c r="A31" s="399" t="s">
        <v>491</v>
      </c>
      <c r="B31" s="504" t="s">
        <v>492</v>
      </c>
      <c r="C31" s="462" t="s">
        <v>106</v>
      </c>
      <c r="D31" s="445" t="s">
        <v>39</v>
      </c>
      <c r="E31" s="447" t="s">
        <v>38</v>
      </c>
    </row>
    <row r="32" spans="1:7" ht="15.75" thickBot="1" x14ac:dyDescent="0.3">
      <c r="A32" s="399" t="s">
        <v>377</v>
      </c>
      <c r="B32" s="466" t="s">
        <v>379</v>
      </c>
      <c r="C32" s="462" t="s">
        <v>78</v>
      </c>
      <c r="D32" s="445" t="s">
        <v>34</v>
      </c>
      <c r="E32" s="447" t="s">
        <v>38</v>
      </c>
    </row>
    <row r="33" spans="1:5" ht="15.75" thickBot="1" x14ac:dyDescent="0.3">
      <c r="A33" s="463" t="s">
        <v>493</v>
      </c>
      <c r="B33" s="504" t="s">
        <v>494</v>
      </c>
      <c r="C33" s="462" t="s">
        <v>78</v>
      </c>
      <c r="D33" s="445" t="s">
        <v>34</v>
      </c>
      <c r="E33" s="447" t="s">
        <v>38</v>
      </c>
    </row>
    <row r="34" spans="1:5" ht="15.75" thickBot="1" x14ac:dyDescent="0.3">
      <c r="A34" s="399" t="s">
        <v>495</v>
      </c>
      <c r="B34" s="467" t="s">
        <v>496</v>
      </c>
      <c r="C34" s="465" t="s">
        <v>110</v>
      </c>
      <c r="D34" s="445" t="s">
        <v>34</v>
      </c>
      <c r="E34" s="447" t="s">
        <v>33</v>
      </c>
    </row>
    <row r="35" spans="1:5" ht="15.75" thickBot="1" x14ac:dyDescent="0.3">
      <c r="A35" s="399" t="s">
        <v>497</v>
      </c>
      <c r="B35" s="504" t="s">
        <v>498</v>
      </c>
      <c r="C35" s="465" t="s">
        <v>110</v>
      </c>
      <c r="D35" s="445" t="s">
        <v>34</v>
      </c>
      <c r="E35" s="447" t="s">
        <v>33</v>
      </c>
    </row>
    <row r="36" spans="1:5" ht="15.75" thickBot="1" x14ac:dyDescent="0.3">
      <c r="A36" s="399" t="s">
        <v>381</v>
      </c>
      <c r="B36" s="399" t="s">
        <v>382</v>
      </c>
      <c r="C36" s="462" t="s">
        <v>78</v>
      </c>
      <c r="D36" s="445" t="s">
        <v>34</v>
      </c>
      <c r="E36" s="447" t="s">
        <v>38</v>
      </c>
    </row>
    <row r="37" spans="1:5" ht="15.75" thickBot="1" x14ac:dyDescent="0.3">
      <c r="A37" s="399" t="s">
        <v>320</v>
      </c>
      <c r="B37" s="504" t="s">
        <v>499</v>
      </c>
      <c r="C37" s="462" t="s">
        <v>78</v>
      </c>
      <c r="D37" s="445" t="s">
        <v>34</v>
      </c>
      <c r="E37" s="447" t="s">
        <v>33</v>
      </c>
    </row>
    <row r="38" spans="1:5" ht="15.75" thickBot="1" x14ac:dyDescent="0.3">
      <c r="A38" s="399" t="s">
        <v>500</v>
      </c>
      <c r="B38" s="504" t="s">
        <v>501</v>
      </c>
      <c r="C38" s="465" t="s">
        <v>110</v>
      </c>
      <c r="D38" s="445" t="s">
        <v>34</v>
      </c>
      <c r="E38" s="447" t="s">
        <v>33</v>
      </c>
    </row>
    <row r="39" spans="1:5" ht="15.75" thickBot="1" x14ac:dyDescent="0.3">
      <c r="A39" s="399" t="s">
        <v>502</v>
      </c>
      <c r="B39" s="504" t="s">
        <v>503</v>
      </c>
      <c r="C39" s="465" t="s">
        <v>110</v>
      </c>
      <c r="D39" s="445" t="s">
        <v>34</v>
      </c>
      <c r="E39" s="447" t="s">
        <v>33</v>
      </c>
    </row>
    <row r="40" spans="1:5" ht="15.75" thickBot="1" x14ac:dyDescent="0.3">
      <c r="A40" s="399" t="s">
        <v>504</v>
      </c>
      <c r="B40" s="399" t="s">
        <v>505</v>
      </c>
      <c r="C40" s="465" t="s">
        <v>110</v>
      </c>
      <c r="D40" s="445" t="s">
        <v>34</v>
      </c>
      <c r="E40" s="447" t="s">
        <v>33</v>
      </c>
    </row>
    <row r="41" spans="1:5" ht="15.75" thickBot="1" x14ac:dyDescent="0.3">
      <c r="A41" s="399" t="s">
        <v>506</v>
      </c>
      <c r="B41" s="399" t="s">
        <v>507</v>
      </c>
      <c r="C41" s="462" t="s">
        <v>106</v>
      </c>
      <c r="D41" s="445" t="s">
        <v>39</v>
      </c>
      <c r="E41" s="447" t="s">
        <v>38</v>
      </c>
    </row>
    <row r="42" spans="1:5" ht="15.75" thickBot="1" x14ac:dyDescent="0.3">
      <c r="A42" s="399" t="s">
        <v>384</v>
      </c>
      <c r="B42" s="399" t="s">
        <v>508</v>
      </c>
      <c r="C42" s="462" t="s">
        <v>78</v>
      </c>
      <c r="D42" s="445" t="s">
        <v>34</v>
      </c>
      <c r="E42" s="447" t="s">
        <v>38</v>
      </c>
    </row>
    <row r="43" spans="1:5" ht="15.75" thickBot="1" x14ac:dyDescent="0.3">
      <c r="A43" s="399" t="s">
        <v>509</v>
      </c>
      <c r="B43" s="504" t="s">
        <v>510</v>
      </c>
      <c r="C43" s="465" t="s">
        <v>110</v>
      </c>
      <c r="D43" s="445" t="s">
        <v>34</v>
      </c>
      <c r="E43" s="447" t="s">
        <v>33</v>
      </c>
    </row>
    <row r="44" spans="1:5" ht="15.75" thickBot="1" x14ac:dyDescent="0.3">
      <c r="A44" s="399" t="s">
        <v>511</v>
      </c>
      <c r="B44" s="504" t="s">
        <v>512</v>
      </c>
      <c r="C44" s="465" t="s">
        <v>110</v>
      </c>
      <c r="D44" s="445" t="s">
        <v>34</v>
      </c>
      <c r="E44" s="447" t="s">
        <v>33</v>
      </c>
    </row>
    <row r="45" spans="1:5" ht="15.75" thickBot="1" x14ac:dyDescent="0.3">
      <c r="A45" s="399" t="s">
        <v>513</v>
      </c>
      <c r="B45" s="504" t="s">
        <v>514</v>
      </c>
      <c r="C45" s="465" t="s">
        <v>110</v>
      </c>
      <c r="D45" s="445" t="s">
        <v>34</v>
      </c>
      <c r="E45" s="447" t="s">
        <v>33</v>
      </c>
    </row>
    <row r="46" spans="1:5" ht="15.75" thickBot="1" x14ac:dyDescent="0.3">
      <c r="A46" s="399" t="s">
        <v>367</v>
      </c>
      <c r="B46" s="399" t="s">
        <v>515</v>
      </c>
      <c r="C46" s="462" t="s">
        <v>78</v>
      </c>
      <c r="D46" s="445" t="s">
        <v>34</v>
      </c>
      <c r="E46" s="447" t="s">
        <v>38</v>
      </c>
    </row>
    <row r="47" spans="1:5" ht="15.75" thickBot="1" x14ac:dyDescent="0.3">
      <c r="A47" s="399" t="s">
        <v>516</v>
      </c>
      <c r="B47" s="399" t="s">
        <v>517</v>
      </c>
      <c r="C47" s="462" t="s">
        <v>106</v>
      </c>
      <c r="D47" s="445" t="s">
        <v>34</v>
      </c>
      <c r="E47" s="447" t="s">
        <v>38</v>
      </c>
    </row>
    <row r="48" spans="1:5" ht="15.75" thickBot="1" x14ac:dyDescent="0.3">
      <c r="A48" s="399" t="s">
        <v>368</v>
      </c>
      <c r="B48" s="399" t="s">
        <v>518</v>
      </c>
      <c r="C48" s="462" t="s">
        <v>78</v>
      </c>
      <c r="D48" s="445" t="s">
        <v>34</v>
      </c>
      <c r="E48" s="447" t="s">
        <v>38</v>
      </c>
    </row>
    <row r="49" spans="1:5" ht="15.75" thickBot="1" x14ac:dyDescent="0.3">
      <c r="A49" s="399" t="s">
        <v>519</v>
      </c>
      <c r="B49" s="399" t="s">
        <v>520</v>
      </c>
      <c r="C49" s="464" t="s">
        <v>106</v>
      </c>
      <c r="D49" s="445" t="s">
        <v>39</v>
      </c>
      <c r="E49" s="447" t="s">
        <v>38</v>
      </c>
    </row>
    <row r="50" spans="1:5" ht="15.75" thickBot="1" x14ac:dyDescent="0.3">
      <c r="A50" s="399" t="s">
        <v>414</v>
      </c>
      <c r="B50" s="399" t="s">
        <v>521</v>
      </c>
      <c r="C50" s="462" t="s">
        <v>78</v>
      </c>
      <c r="D50" s="445" t="s">
        <v>34</v>
      </c>
      <c r="E50" s="447" t="s">
        <v>38</v>
      </c>
    </row>
    <row r="51" spans="1:5" ht="15.75" thickBot="1" x14ac:dyDescent="0.3">
      <c r="A51" s="399" t="s">
        <v>436</v>
      </c>
      <c r="B51" s="504" t="s">
        <v>522</v>
      </c>
      <c r="C51" s="465" t="s">
        <v>110</v>
      </c>
      <c r="D51" s="445" t="s">
        <v>34</v>
      </c>
      <c r="E51" s="447" t="s">
        <v>33</v>
      </c>
    </row>
    <row r="52" spans="1:5" ht="15.75" thickBot="1" x14ac:dyDescent="0.3">
      <c r="A52" s="399" t="s">
        <v>437</v>
      </c>
      <c r="B52" s="504" t="s">
        <v>523</v>
      </c>
      <c r="C52" s="465" t="s">
        <v>110</v>
      </c>
      <c r="D52" s="445" t="s">
        <v>34</v>
      </c>
      <c r="E52" s="447" t="s">
        <v>33</v>
      </c>
    </row>
    <row r="53" spans="1:5" ht="15.75" thickBot="1" x14ac:dyDescent="0.3">
      <c r="A53" s="399" t="s">
        <v>410</v>
      </c>
      <c r="B53" s="504" t="s">
        <v>524</v>
      </c>
      <c r="C53" s="462" t="s">
        <v>78</v>
      </c>
      <c r="D53" s="445" t="s">
        <v>34</v>
      </c>
      <c r="E53" s="447" t="s">
        <v>33</v>
      </c>
    </row>
    <row r="54" spans="1:5" ht="15.75" thickBot="1" x14ac:dyDescent="0.3">
      <c r="A54" s="399" t="s">
        <v>385</v>
      </c>
      <c r="B54" s="399" t="s">
        <v>525</v>
      </c>
      <c r="C54" s="462" t="s">
        <v>78</v>
      </c>
      <c r="D54" s="445" t="s">
        <v>34</v>
      </c>
      <c r="E54" s="447" t="s">
        <v>38</v>
      </c>
    </row>
    <row r="55" spans="1:5" ht="15.75" thickBot="1" x14ac:dyDescent="0.3">
      <c r="A55" s="399" t="s">
        <v>526</v>
      </c>
      <c r="B55" s="504" t="s">
        <v>527</v>
      </c>
      <c r="C55" s="462" t="s">
        <v>110</v>
      </c>
      <c r="D55" s="445" t="s">
        <v>34</v>
      </c>
      <c r="E55" s="447" t="s">
        <v>33</v>
      </c>
    </row>
    <row r="56" spans="1:5" ht="15.75" thickBot="1" x14ac:dyDescent="0.3">
      <c r="A56" s="399" t="s">
        <v>528</v>
      </c>
      <c r="B56" s="399" t="s">
        <v>529</v>
      </c>
      <c r="C56" s="462" t="s">
        <v>78</v>
      </c>
      <c r="D56" s="445" t="s">
        <v>34</v>
      </c>
      <c r="E56" s="447" t="s">
        <v>33</v>
      </c>
    </row>
    <row r="57" spans="1:5" ht="15.75" thickBot="1" x14ac:dyDescent="0.3">
      <c r="A57" s="399" t="s">
        <v>366</v>
      </c>
      <c r="B57" s="399" t="s">
        <v>530</v>
      </c>
      <c r="C57" s="462" t="s">
        <v>78</v>
      </c>
      <c r="D57" s="445" t="s">
        <v>43</v>
      </c>
      <c r="E57" s="447" t="s">
        <v>33</v>
      </c>
    </row>
    <row r="58" spans="1:5" ht="15.75" thickBot="1" x14ac:dyDescent="0.3">
      <c r="A58" s="399" t="s">
        <v>330</v>
      </c>
      <c r="B58" s="399" t="s">
        <v>531</v>
      </c>
      <c r="C58" s="462" t="s">
        <v>78</v>
      </c>
      <c r="D58" s="445" t="s">
        <v>34</v>
      </c>
      <c r="E58" s="447" t="s">
        <v>38</v>
      </c>
    </row>
    <row r="59" spans="1:5" ht="15.75" thickBot="1" x14ac:dyDescent="0.3">
      <c r="A59" s="399" t="s">
        <v>532</v>
      </c>
      <c r="B59" s="399" t="s">
        <v>533</v>
      </c>
      <c r="C59" s="462" t="s">
        <v>110</v>
      </c>
      <c r="D59" s="445" t="s">
        <v>34</v>
      </c>
      <c r="E59" s="447" t="s">
        <v>33</v>
      </c>
    </row>
    <row r="60" spans="1:5" ht="15.75" thickBot="1" x14ac:dyDescent="0.3">
      <c r="A60" s="399" t="s">
        <v>534</v>
      </c>
      <c r="B60" s="399" t="s">
        <v>535</v>
      </c>
      <c r="C60" s="464" t="s">
        <v>110</v>
      </c>
      <c r="D60" s="445" t="s">
        <v>34</v>
      </c>
      <c r="E60" s="447" t="s">
        <v>33</v>
      </c>
    </row>
    <row r="61" spans="1:5" ht="15.75" thickBot="1" x14ac:dyDescent="0.3">
      <c r="A61" s="399" t="s">
        <v>321</v>
      </c>
      <c r="B61" s="504" t="s">
        <v>536</v>
      </c>
      <c r="C61" s="462" t="s">
        <v>78</v>
      </c>
      <c r="D61" s="445" t="s">
        <v>34</v>
      </c>
      <c r="E61" s="445" t="s">
        <v>38</v>
      </c>
    </row>
    <row r="62" spans="1:5" ht="15.75" thickBot="1" x14ac:dyDescent="0.3">
      <c r="A62" s="399" t="s">
        <v>312</v>
      </c>
      <c r="B62" s="399" t="s">
        <v>537</v>
      </c>
      <c r="C62" s="462" t="s">
        <v>78</v>
      </c>
      <c r="D62" s="445" t="s">
        <v>34</v>
      </c>
      <c r="E62" s="445" t="s">
        <v>38</v>
      </c>
    </row>
    <row r="63" spans="1:5" ht="15.75" thickBot="1" x14ac:dyDescent="0.3">
      <c r="A63" s="399" t="s">
        <v>389</v>
      </c>
      <c r="B63" s="399" t="s">
        <v>391</v>
      </c>
      <c r="C63" s="462" t="s">
        <v>78</v>
      </c>
      <c r="D63" s="445" t="s">
        <v>34</v>
      </c>
      <c r="E63" s="445" t="s">
        <v>33</v>
      </c>
    </row>
    <row r="64" spans="1:5" ht="15.75" thickBot="1" x14ac:dyDescent="0.3">
      <c r="A64" s="399" t="s">
        <v>309</v>
      </c>
      <c r="B64" s="399" t="s">
        <v>538</v>
      </c>
      <c r="C64" s="462" t="s">
        <v>78</v>
      </c>
      <c r="D64" s="445" t="s">
        <v>34</v>
      </c>
      <c r="E64" s="445" t="s">
        <v>38</v>
      </c>
    </row>
    <row r="65" spans="1:8" ht="15.75" thickBot="1" x14ac:dyDescent="0.3">
      <c r="A65" s="399" t="s">
        <v>392</v>
      </c>
      <c r="B65" s="399" t="s">
        <v>394</v>
      </c>
      <c r="C65" s="462" t="s">
        <v>78</v>
      </c>
      <c r="D65" s="445" t="s">
        <v>34</v>
      </c>
      <c r="E65" s="445" t="s">
        <v>38</v>
      </c>
    </row>
    <row r="66" spans="1:8" ht="15.75" thickBot="1" x14ac:dyDescent="0.3">
      <c r="A66" s="399" t="s">
        <v>310</v>
      </c>
      <c r="B66" s="399" t="s">
        <v>539</v>
      </c>
      <c r="C66" s="462" t="s">
        <v>78</v>
      </c>
      <c r="D66" s="445" t="s">
        <v>34</v>
      </c>
      <c r="E66" s="448" t="s">
        <v>38</v>
      </c>
    </row>
    <row r="67" spans="1:8" ht="15.75" thickBot="1" x14ac:dyDescent="0.3">
      <c r="A67" s="399" t="s">
        <v>395</v>
      </c>
      <c r="B67" s="399" t="s">
        <v>397</v>
      </c>
      <c r="C67" s="462" t="s">
        <v>78</v>
      </c>
      <c r="D67" s="445" t="s">
        <v>34</v>
      </c>
      <c r="E67" s="447" t="s">
        <v>33</v>
      </c>
    </row>
    <row r="68" spans="1:8" ht="15.75" thickBot="1" x14ac:dyDescent="0.3">
      <c r="A68" s="399" t="s">
        <v>399</v>
      </c>
      <c r="B68" s="399" t="s">
        <v>540</v>
      </c>
      <c r="C68" s="462" t="s">
        <v>78</v>
      </c>
      <c r="D68" s="445" t="s">
        <v>34</v>
      </c>
      <c r="E68" s="447" t="s">
        <v>38</v>
      </c>
    </row>
    <row r="69" spans="1:8" ht="15.75" thickBot="1" x14ac:dyDescent="0.3">
      <c r="A69" s="399" t="s">
        <v>541</v>
      </c>
      <c r="B69" s="504" t="s">
        <v>542</v>
      </c>
      <c r="C69" s="462" t="s">
        <v>110</v>
      </c>
      <c r="D69" s="445" t="s">
        <v>34</v>
      </c>
      <c r="E69" s="447" t="s">
        <v>33</v>
      </c>
    </row>
    <row r="70" spans="1:8" ht="15.75" thickBot="1" x14ac:dyDescent="0.3">
      <c r="A70" s="399" t="s">
        <v>543</v>
      </c>
      <c r="B70" s="504" t="s">
        <v>544</v>
      </c>
      <c r="C70" s="462" t="s">
        <v>110</v>
      </c>
      <c r="D70" s="445" t="s">
        <v>34</v>
      </c>
      <c r="E70" s="447" t="s">
        <v>33</v>
      </c>
    </row>
    <row r="71" spans="1:8" ht="15.75" thickBot="1" x14ac:dyDescent="0.3">
      <c r="A71" s="399" t="s">
        <v>545</v>
      </c>
      <c r="B71" s="504" t="s">
        <v>546</v>
      </c>
      <c r="C71" s="462" t="s">
        <v>110</v>
      </c>
      <c r="D71" s="445" t="s">
        <v>34</v>
      </c>
      <c r="E71" s="447" t="s">
        <v>33</v>
      </c>
    </row>
    <row r="72" spans="1:8" ht="15.75" thickBot="1" x14ac:dyDescent="0.3">
      <c r="A72" s="399" t="s">
        <v>402</v>
      </c>
      <c r="B72" s="399" t="s">
        <v>547</v>
      </c>
      <c r="C72" s="462" t="s">
        <v>78</v>
      </c>
      <c r="D72" s="445" t="s">
        <v>34</v>
      </c>
      <c r="E72" s="447" t="s">
        <v>33</v>
      </c>
    </row>
    <row r="73" spans="1:8" ht="15.75" thickBot="1" x14ac:dyDescent="0.3">
      <c r="A73" s="399" t="s">
        <v>548</v>
      </c>
      <c r="B73" s="504" t="s">
        <v>549</v>
      </c>
      <c r="C73" s="462" t="s">
        <v>110</v>
      </c>
      <c r="D73" s="445" t="s">
        <v>34</v>
      </c>
      <c r="E73" s="447" t="s">
        <v>33</v>
      </c>
    </row>
    <row r="74" spans="1:8" ht="15.75" thickBot="1" x14ac:dyDescent="0.3">
      <c r="A74" s="399" t="s">
        <v>550</v>
      </c>
      <c r="B74" s="504" t="s">
        <v>551</v>
      </c>
      <c r="C74" s="462" t="s">
        <v>110</v>
      </c>
      <c r="D74" s="445" t="s">
        <v>34</v>
      </c>
      <c r="E74" s="447" t="s">
        <v>33</v>
      </c>
    </row>
    <row r="75" spans="1:8" ht="15.75" thickBot="1" x14ac:dyDescent="0.3">
      <c r="A75" s="399" t="s">
        <v>327</v>
      </c>
      <c r="B75" s="399" t="s">
        <v>552</v>
      </c>
      <c r="C75" s="462" t="s">
        <v>78</v>
      </c>
      <c r="D75" s="445" t="s">
        <v>34</v>
      </c>
      <c r="E75" s="447" t="s">
        <v>38</v>
      </c>
    </row>
    <row r="76" spans="1:8" ht="15.75" thickBot="1" x14ac:dyDescent="0.3">
      <c r="A76" s="399" t="s">
        <v>406</v>
      </c>
      <c r="B76" s="399" t="s">
        <v>407</v>
      </c>
      <c r="C76" s="462" t="s">
        <v>78</v>
      </c>
      <c r="D76" s="445" t="s">
        <v>34</v>
      </c>
      <c r="E76" s="447" t="s">
        <v>33</v>
      </c>
    </row>
    <row r="77" spans="1:8" ht="15.75" thickBot="1" x14ac:dyDescent="0.3">
      <c r="A77" s="399" t="s">
        <v>315</v>
      </c>
      <c r="B77" s="504" t="s">
        <v>553</v>
      </c>
      <c r="C77" s="462" t="s">
        <v>78</v>
      </c>
      <c r="D77" s="445" t="s">
        <v>34</v>
      </c>
      <c r="E77" s="447" t="s">
        <v>33</v>
      </c>
    </row>
    <row r="78" spans="1:8" ht="15.75" thickBot="1" x14ac:dyDescent="0.3">
      <c r="A78" s="399" t="s">
        <v>554</v>
      </c>
      <c r="B78" s="399" t="s">
        <v>555</v>
      </c>
      <c r="C78" s="462" t="s">
        <v>110</v>
      </c>
      <c r="D78" s="445" t="s">
        <v>34</v>
      </c>
      <c r="E78" s="447" t="s">
        <v>33</v>
      </c>
    </row>
    <row r="79" spans="1:8" ht="15.75" thickBot="1" x14ac:dyDescent="0.3">
      <c r="A79" s="399" t="s">
        <v>556</v>
      </c>
      <c r="B79" s="504" t="s">
        <v>557</v>
      </c>
      <c r="C79" s="462" t="s">
        <v>78</v>
      </c>
      <c r="D79" s="445" t="s">
        <v>34</v>
      </c>
      <c r="E79" s="447" t="s">
        <v>38</v>
      </c>
      <c r="G79" s="468"/>
      <c r="H79" s="172"/>
    </row>
    <row r="80" spans="1:8" ht="15.75" thickBot="1" x14ac:dyDescent="0.3">
      <c r="A80" s="399" t="s">
        <v>558</v>
      </c>
      <c r="B80" s="399" t="s">
        <v>559</v>
      </c>
      <c r="C80" s="462" t="s">
        <v>110</v>
      </c>
      <c r="D80" s="445" t="s">
        <v>34</v>
      </c>
      <c r="E80" s="447" t="s">
        <v>33</v>
      </c>
      <c r="G80" s="468"/>
      <c r="H80" s="172"/>
    </row>
    <row r="81" spans="1:8" ht="15.75" thickBot="1" x14ac:dyDescent="0.3">
      <c r="A81" s="399" t="s">
        <v>560</v>
      </c>
      <c r="B81" s="504" t="s">
        <v>561</v>
      </c>
      <c r="C81" s="462" t="s">
        <v>110</v>
      </c>
      <c r="D81" s="445" t="s">
        <v>34</v>
      </c>
      <c r="E81" s="447" t="s">
        <v>33</v>
      </c>
      <c r="G81" s="468"/>
      <c r="H81" s="172"/>
    </row>
    <row r="82" spans="1:8" ht="15.75" thickBot="1" x14ac:dyDescent="0.3">
      <c r="A82" s="399" t="s">
        <v>562</v>
      </c>
      <c r="B82" s="399" t="s">
        <v>563</v>
      </c>
      <c r="C82" s="462" t="s">
        <v>110</v>
      </c>
      <c r="D82" s="445" t="s">
        <v>34</v>
      </c>
      <c r="E82" s="447" t="s">
        <v>33</v>
      </c>
      <c r="G82" s="468"/>
      <c r="H82" s="172"/>
    </row>
    <row r="83" spans="1:8" ht="15.75" thickBot="1" x14ac:dyDescent="0.3">
      <c r="A83" s="399" t="s">
        <v>564</v>
      </c>
      <c r="B83" s="504" t="s">
        <v>565</v>
      </c>
      <c r="C83" s="462" t="s">
        <v>110</v>
      </c>
      <c r="D83" s="445" t="s">
        <v>34</v>
      </c>
      <c r="E83" s="447" t="s">
        <v>33</v>
      </c>
    </row>
    <row r="84" spans="1:8" ht="15.75" thickBot="1" x14ac:dyDescent="0.3">
      <c r="A84" s="399" t="s">
        <v>344</v>
      </c>
      <c r="B84" s="399" t="s">
        <v>566</v>
      </c>
      <c r="C84" s="462" t="s">
        <v>78</v>
      </c>
      <c r="D84" s="445" t="s">
        <v>34</v>
      </c>
      <c r="E84" s="447" t="s">
        <v>38</v>
      </c>
    </row>
    <row r="85" spans="1:8" ht="15.75" thickBot="1" x14ac:dyDescent="0.3">
      <c r="A85" s="399" t="s">
        <v>567</v>
      </c>
      <c r="B85" s="504" t="s">
        <v>568</v>
      </c>
      <c r="C85" s="462" t="s">
        <v>106</v>
      </c>
      <c r="D85" s="445" t="s">
        <v>34</v>
      </c>
      <c r="E85" s="447" t="s">
        <v>38</v>
      </c>
    </row>
    <row r="86" spans="1:8" ht="15.75" thickBot="1" x14ac:dyDescent="0.3">
      <c r="A86" s="399" t="s">
        <v>343</v>
      </c>
      <c r="B86" s="399" t="s">
        <v>569</v>
      </c>
      <c r="C86" s="462" t="s">
        <v>78</v>
      </c>
      <c r="D86" s="445" t="s">
        <v>34</v>
      </c>
      <c r="E86" s="447" t="s">
        <v>33</v>
      </c>
    </row>
    <row r="87" spans="1:8" ht="15.75" thickBot="1" x14ac:dyDescent="0.3">
      <c r="A87" s="399" t="s">
        <v>408</v>
      </c>
      <c r="B87" s="399" t="s">
        <v>570</v>
      </c>
      <c r="C87" s="462" t="s">
        <v>78</v>
      </c>
      <c r="D87" s="445" t="s">
        <v>34</v>
      </c>
      <c r="E87" s="448" t="s">
        <v>38</v>
      </c>
    </row>
    <row r="88" spans="1:8" ht="15.75" thickBot="1" x14ac:dyDescent="0.3">
      <c r="A88" s="399" t="s">
        <v>311</v>
      </c>
      <c r="B88" s="399" t="s">
        <v>571</v>
      </c>
      <c r="C88" s="462" t="s">
        <v>78</v>
      </c>
      <c r="D88" s="445" t="s">
        <v>34</v>
      </c>
      <c r="E88" s="448" t="s">
        <v>38</v>
      </c>
    </row>
    <row r="89" spans="1:8" ht="15.75" thickBot="1" x14ac:dyDescent="0.3">
      <c r="A89" s="399" t="s">
        <v>572</v>
      </c>
      <c r="B89" s="504" t="s">
        <v>573</v>
      </c>
      <c r="C89" s="462" t="s">
        <v>110</v>
      </c>
      <c r="D89" s="445" t="s">
        <v>34</v>
      </c>
      <c r="E89" s="447" t="s">
        <v>33</v>
      </c>
    </row>
    <row r="90" spans="1:8" ht="15.75" thickBot="1" x14ac:dyDescent="0.3">
      <c r="A90" s="399" t="s">
        <v>574</v>
      </c>
      <c r="B90" s="504" t="s">
        <v>575</v>
      </c>
      <c r="C90" s="445" t="s">
        <v>106</v>
      </c>
      <c r="D90" s="445" t="s">
        <v>34</v>
      </c>
      <c r="E90" s="448" t="s">
        <v>38</v>
      </c>
    </row>
    <row r="91" spans="1:8" ht="15.75" thickBot="1" x14ac:dyDescent="0.3">
      <c r="A91" s="399" t="s">
        <v>576</v>
      </c>
      <c r="B91" s="399" t="s">
        <v>577</v>
      </c>
      <c r="C91" s="465" t="s">
        <v>106</v>
      </c>
      <c r="D91" s="445" t="s">
        <v>43</v>
      </c>
      <c r="E91" s="448" t="s">
        <v>38</v>
      </c>
    </row>
    <row r="92" spans="1:8" ht="15.75" thickBot="1" x14ac:dyDescent="0.3">
      <c r="A92" s="399" t="s">
        <v>313</v>
      </c>
      <c r="B92" s="399" t="s">
        <v>578</v>
      </c>
      <c r="C92" s="462" t="s">
        <v>78</v>
      </c>
      <c r="D92" s="445" t="s">
        <v>34</v>
      </c>
      <c r="E92" s="448" t="s">
        <v>38</v>
      </c>
    </row>
    <row r="93" spans="1:8" ht="15.75" thickBot="1" x14ac:dyDescent="0.3">
      <c r="A93" s="399" t="s">
        <v>417</v>
      </c>
      <c r="B93" s="399" t="s">
        <v>579</v>
      </c>
      <c r="C93" s="462" t="s">
        <v>78</v>
      </c>
      <c r="D93" s="445" t="s">
        <v>34</v>
      </c>
      <c r="E93" s="447" t="s">
        <v>33</v>
      </c>
    </row>
    <row r="94" spans="1:8" ht="15.75" thickBot="1" x14ac:dyDescent="0.3">
      <c r="A94" s="399" t="s">
        <v>420</v>
      </c>
      <c r="B94" s="399" t="s">
        <v>421</v>
      </c>
      <c r="C94" s="462" t="s">
        <v>78</v>
      </c>
      <c r="D94" s="445" t="s">
        <v>34</v>
      </c>
      <c r="E94" s="447" t="s">
        <v>33</v>
      </c>
    </row>
    <row r="95" spans="1:8" ht="15.75" thickBot="1" x14ac:dyDescent="0.3">
      <c r="A95" s="491" t="s">
        <v>580</v>
      </c>
      <c r="B95" s="504" t="s">
        <v>581</v>
      </c>
      <c r="C95" s="462" t="s">
        <v>106</v>
      </c>
      <c r="D95" s="445" t="s">
        <v>34</v>
      </c>
      <c r="E95" s="448" t="s">
        <v>38</v>
      </c>
    </row>
    <row r="96" spans="1:8" ht="15.75" thickBot="1" x14ac:dyDescent="0.3">
      <c r="A96" s="491" t="s">
        <v>582</v>
      </c>
      <c r="B96" s="504" t="s">
        <v>583</v>
      </c>
      <c r="C96" s="462" t="s">
        <v>110</v>
      </c>
      <c r="D96" s="445" t="s">
        <v>34</v>
      </c>
      <c r="E96" s="447" t="s">
        <v>33</v>
      </c>
    </row>
    <row r="97" spans="1:5" ht="15.75" thickBot="1" x14ac:dyDescent="0.3">
      <c r="A97" s="491" t="s">
        <v>429</v>
      </c>
      <c r="B97" s="504" t="s">
        <v>430</v>
      </c>
      <c r="C97" s="462" t="s">
        <v>106</v>
      </c>
      <c r="D97" s="445" t="s">
        <v>34</v>
      </c>
      <c r="E97" s="447" t="s">
        <v>38</v>
      </c>
    </row>
    <row r="98" spans="1:5" ht="15.75" thickBot="1" x14ac:dyDescent="0.3">
      <c r="A98" s="491" t="s">
        <v>584</v>
      </c>
      <c r="B98" s="504" t="s">
        <v>585</v>
      </c>
      <c r="C98" s="462" t="s">
        <v>110</v>
      </c>
      <c r="D98" s="445" t="s">
        <v>34</v>
      </c>
      <c r="E98" s="447" t="s">
        <v>33</v>
      </c>
    </row>
    <row r="99" spans="1:5" ht="15.75" thickBot="1" x14ac:dyDescent="0.3">
      <c r="A99" s="491" t="s">
        <v>586</v>
      </c>
      <c r="B99" s="504" t="s">
        <v>587</v>
      </c>
      <c r="C99" s="462" t="s">
        <v>110</v>
      </c>
      <c r="D99" s="445" t="s">
        <v>34</v>
      </c>
      <c r="E99" s="447" t="s">
        <v>33</v>
      </c>
    </row>
    <row r="100" spans="1:5" ht="15.75" thickBot="1" x14ac:dyDescent="0.3">
      <c r="A100" s="491" t="s">
        <v>588</v>
      </c>
      <c r="B100" s="504" t="s">
        <v>589</v>
      </c>
      <c r="C100" s="462" t="s">
        <v>110</v>
      </c>
      <c r="D100" s="445" t="s">
        <v>34</v>
      </c>
      <c r="E100" s="447" t="s">
        <v>33</v>
      </c>
    </row>
    <row r="101" spans="1:5" ht="15.75" thickBot="1" x14ac:dyDescent="0.3">
      <c r="A101" s="491" t="s">
        <v>590</v>
      </c>
      <c r="B101" s="504" t="s">
        <v>591</v>
      </c>
      <c r="C101" s="462" t="s">
        <v>110</v>
      </c>
      <c r="D101" s="445" t="s">
        <v>34</v>
      </c>
      <c r="E101" s="447" t="s">
        <v>33</v>
      </c>
    </row>
    <row r="102" spans="1:5" ht="15.75" thickBot="1" x14ac:dyDescent="0.3">
      <c r="A102" s="491" t="s">
        <v>423</v>
      </c>
      <c r="B102" s="504" t="s">
        <v>592</v>
      </c>
      <c r="C102" s="462" t="s">
        <v>78</v>
      </c>
      <c r="D102" s="445" t="s">
        <v>34</v>
      </c>
      <c r="E102" s="447" t="s">
        <v>33</v>
      </c>
    </row>
    <row r="103" spans="1:5" ht="15.75" thickBot="1" x14ac:dyDescent="0.3">
      <c r="A103" s="491" t="s">
        <v>593</v>
      </c>
      <c r="B103" s="504" t="s">
        <v>594</v>
      </c>
      <c r="C103" s="462" t="s">
        <v>110</v>
      </c>
      <c r="D103" s="445" t="s">
        <v>34</v>
      </c>
      <c r="E103" s="447" t="s">
        <v>33</v>
      </c>
    </row>
    <row r="104" spans="1:5" ht="15.75" thickBot="1" x14ac:dyDescent="0.3">
      <c r="A104" s="491" t="s">
        <v>413</v>
      </c>
      <c r="B104" s="504" t="s">
        <v>412</v>
      </c>
      <c r="C104" s="462" t="s">
        <v>78</v>
      </c>
      <c r="D104" s="445" t="s">
        <v>34</v>
      </c>
      <c r="E104" s="447" t="s">
        <v>33</v>
      </c>
    </row>
    <row r="105" spans="1:5" ht="15.75" thickBot="1" x14ac:dyDescent="0.3">
      <c r="A105" s="491" t="s">
        <v>595</v>
      </c>
      <c r="B105" s="504" t="s">
        <v>596</v>
      </c>
      <c r="C105" s="462" t="s">
        <v>106</v>
      </c>
      <c r="D105" s="445" t="s">
        <v>34</v>
      </c>
      <c r="E105" s="448" t="s">
        <v>38</v>
      </c>
    </row>
    <row r="106" spans="1:5" ht="15.75" thickBot="1" x14ac:dyDescent="0.3">
      <c r="A106" s="491" t="s">
        <v>597</v>
      </c>
      <c r="B106" s="504" t="s">
        <v>598</v>
      </c>
      <c r="C106" s="462" t="s">
        <v>106</v>
      </c>
      <c r="D106" s="445" t="s">
        <v>34</v>
      </c>
      <c r="E106" s="448" t="s">
        <v>38</v>
      </c>
    </row>
    <row r="107" spans="1:5" ht="15.75" thickBot="1" x14ac:dyDescent="0.3">
      <c r="A107" s="491" t="s">
        <v>599</v>
      </c>
      <c r="B107" s="504" t="s">
        <v>600</v>
      </c>
      <c r="C107" s="462" t="s">
        <v>110</v>
      </c>
      <c r="D107" s="445" t="s">
        <v>34</v>
      </c>
      <c r="E107" s="447" t="s">
        <v>33</v>
      </c>
    </row>
    <row r="108" spans="1:5" x14ac:dyDescent="0.25">
      <c r="A108" s="491" t="s">
        <v>601</v>
      </c>
      <c r="B108" s="504" t="s">
        <v>602</v>
      </c>
      <c r="C108" s="462" t="s">
        <v>110</v>
      </c>
      <c r="D108" s="445" t="s">
        <v>34</v>
      </c>
      <c r="E108" s="447" t="s">
        <v>33</v>
      </c>
    </row>
    <row r="109" spans="1:5" x14ac:dyDescent="0.25">
      <c r="A109" s="491" t="s">
        <v>603</v>
      </c>
      <c r="B109" s="467" t="s">
        <v>604</v>
      </c>
      <c r="C109" s="465" t="s">
        <v>110</v>
      </c>
      <c r="D109" s="445" t="s">
        <v>34</v>
      </c>
      <c r="E109" s="447" t="s">
        <v>33</v>
      </c>
    </row>
    <row r="110" spans="1:5" x14ac:dyDescent="0.25">
      <c r="A110" s="491" t="s">
        <v>605</v>
      </c>
      <c r="B110" s="467" t="s">
        <v>606</v>
      </c>
      <c r="C110" s="465" t="s">
        <v>110</v>
      </c>
      <c r="D110" s="445" t="s">
        <v>34</v>
      </c>
      <c r="E110" s="447" t="s">
        <v>33</v>
      </c>
    </row>
    <row r="111" spans="1:5" x14ac:dyDescent="0.25">
      <c r="A111" s="491" t="s">
        <v>607</v>
      </c>
      <c r="B111" s="467" t="s">
        <v>608</v>
      </c>
      <c r="C111" s="465" t="s">
        <v>110</v>
      </c>
      <c r="D111" s="445" t="s">
        <v>34</v>
      </c>
      <c r="E111" s="447" t="s">
        <v>33</v>
      </c>
    </row>
    <row r="112" spans="1:5" x14ac:dyDescent="0.25">
      <c r="A112" s="491" t="s">
        <v>432</v>
      </c>
      <c r="B112" s="467" t="s">
        <v>609</v>
      </c>
      <c r="C112" s="465" t="s">
        <v>78</v>
      </c>
      <c r="D112" s="445" t="s">
        <v>34</v>
      </c>
      <c r="E112" s="447" t="s">
        <v>33</v>
      </c>
    </row>
  </sheetData>
  <autoFilter ref="A2:E112"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A1AC074-A7B7-4C8D-9132-118B458773B2}">
          <x14:formula1>
            <xm:f>'List Options'!$G$1:$G$3</xm:f>
          </x14:formula1>
          <xm:sqref>E3:E112</xm:sqref>
        </x14:dataValidation>
        <x14:dataValidation type="list" allowBlank="1" showInputMessage="1" showErrorMessage="1" xr:uid="{45B06520-122E-474E-9887-7FC5D5F8E520}">
          <x14:formula1>
            <xm:f>'List Options'!$I$1:$I$4</xm:f>
          </x14:formula1>
          <xm:sqref>D3:D112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L18" sqref="L18"/>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99" t="s">
        <v>610</v>
      </c>
      <c r="B1" s="600"/>
      <c r="C1" s="600"/>
      <c r="D1" s="600"/>
      <c r="E1" s="600"/>
      <c r="F1" s="600"/>
      <c r="G1" s="600"/>
      <c r="H1" s="600"/>
      <c r="I1" s="600"/>
      <c r="J1" s="600"/>
      <c r="K1" s="600"/>
      <c r="L1" s="600"/>
      <c r="M1" s="600"/>
      <c r="N1" s="600"/>
      <c r="O1" s="600"/>
      <c r="P1" s="600"/>
      <c r="Q1" s="600"/>
      <c r="R1" s="600"/>
      <c r="S1" s="600"/>
      <c r="T1" s="600"/>
      <c r="U1" s="600"/>
      <c r="V1" s="601"/>
    </row>
    <row r="2" spans="1:22" ht="15.75" thickBot="1" x14ac:dyDescent="0.3">
      <c r="A2" s="209" t="s">
        <v>611</v>
      </c>
      <c r="B2" s="602" t="s">
        <v>222</v>
      </c>
      <c r="C2" s="602"/>
      <c r="D2" s="602"/>
      <c r="E2" s="602"/>
      <c r="F2" s="602"/>
      <c r="G2" s="603" t="s">
        <v>233</v>
      </c>
      <c r="H2" s="604"/>
      <c r="I2" s="604"/>
      <c r="J2" s="604"/>
      <c r="K2" s="604"/>
      <c r="L2" s="604"/>
      <c r="M2" s="604"/>
      <c r="N2" s="605"/>
      <c r="O2" s="606" t="s">
        <v>201</v>
      </c>
      <c r="P2" s="607"/>
      <c r="Q2" s="607"/>
      <c r="R2" s="607"/>
      <c r="S2" s="607"/>
      <c r="T2" s="607"/>
      <c r="U2" s="607"/>
      <c r="V2" s="608"/>
    </row>
    <row r="3" spans="1:22" s="242" customFormat="1" ht="15.75" thickBot="1" x14ac:dyDescent="0.3">
      <c r="A3" s="246" t="s">
        <v>66</v>
      </c>
      <c r="B3" s="303" t="s">
        <v>223</v>
      </c>
      <c r="C3" s="304" t="s">
        <v>95</v>
      </c>
      <c r="D3" s="305" t="s">
        <v>72</v>
      </c>
      <c r="E3" s="305" t="s">
        <v>229</v>
      </c>
      <c r="F3" s="306" t="s">
        <v>231</v>
      </c>
      <c r="G3" s="307" t="s">
        <v>96</v>
      </c>
      <c r="H3" s="308" t="s">
        <v>30</v>
      </c>
      <c r="I3" s="308" t="s">
        <v>192</v>
      </c>
      <c r="J3" s="308" t="s">
        <v>35</v>
      </c>
      <c r="K3" s="308" t="s">
        <v>195</v>
      </c>
      <c r="L3" s="308" t="s">
        <v>240</v>
      </c>
      <c r="M3" s="308" t="s">
        <v>197</v>
      </c>
      <c r="N3" s="309" t="s">
        <v>243</v>
      </c>
      <c r="O3" s="310" t="s">
        <v>96</v>
      </c>
      <c r="P3" s="311" t="s">
        <v>30</v>
      </c>
      <c r="Q3" s="311" t="s">
        <v>192</v>
      </c>
      <c r="R3" s="311" t="s">
        <v>35</v>
      </c>
      <c r="S3" s="311" t="s">
        <v>195</v>
      </c>
      <c r="T3" s="311" t="s">
        <v>240</v>
      </c>
      <c r="U3" s="311" t="s">
        <v>197</v>
      </c>
      <c r="V3" s="312" t="s">
        <v>243</v>
      </c>
    </row>
    <row r="4" spans="1:22" x14ac:dyDescent="0.25">
      <c r="A4" s="325" t="s">
        <v>304</v>
      </c>
      <c r="B4" s="243">
        <f>SUMIFS('Diags Raw Data'!$L$12:$L$4707,'Diags Raw Data'!$D$12:$D$4707,$A4)</f>
        <v>75</v>
      </c>
      <c r="C4" s="233">
        <f>SUMIFS('Diags Raw Data'!$R$12:$R$4707,'Diags Raw Data'!$D$12:$D$4707,$A4)</f>
        <v>74</v>
      </c>
      <c r="D4" s="233">
        <f>SUMIFS('Diags Raw Data'!$K$12:$K$4707,'Diags Raw Data'!$D$12:$D$4707,$A4)</f>
        <v>75</v>
      </c>
      <c r="E4" s="233">
        <f>SUMIFS('Diags Raw Data'!$O$12:$O$4707,'Diags Raw Data'!$D$12:$D$4707,$A4)</f>
        <v>75</v>
      </c>
      <c r="F4" s="239">
        <f>IF(NOT($B4=0), E4/$B4, "---")</f>
        <v>1</v>
      </c>
      <c r="G4" s="211">
        <f>SUMIFS('Diags Raw Data'!$S$12:$S$4707,'Diags Raw Data'!$D$12:$D$4707,$A4)</f>
        <v>74</v>
      </c>
      <c r="H4" s="212">
        <f>SUMIFS('Diags Raw Data'!$T$12:$T$4707,'Diags Raw Data'!$D$12:$D$4707,$A4)</f>
        <v>52</v>
      </c>
      <c r="I4" s="214">
        <f>SUMIFS('Diags Raw Data'!$U$12:$U$4707,'Diags Raw Data'!$D$12:$D$4707,$A4)</f>
        <v>22</v>
      </c>
      <c r="J4" s="212">
        <f>SUMIFS('Diags Raw Data'!$V$12:$V$4707,'Diags Raw Data'!$D$12:$D$4707,$A4)</f>
        <v>0</v>
      </c>
      <c r="K4" s="214">
        <f>SUMIFS('Diags Raw Data'!$W$12:$W$4707,'Diags Raw Data'!$D$12:$D$4707,$A4)</f>
        <v>0</v>
      </c>
      <c r="L4" s="213">
        <f>IF(NOT($C4=0), G4/$C4, "---")</f>
        <v>1</v>
      </c>
      <c r="M4" s="215">
        <f>IF(NOT($G4=0), (H4+I4)/$G4, "---")</f>
        <v>1</v>
      </c>
      <c r="N4" s="217">
        <f>IF(NOT($C4=0), (H4+I4)/$C4, "---")</f>
        <v>1</v>
      </c>
      <c r="O4" s="204">
        <f>SUMIFS('Diags Raw Data'!$Z$12:$Z$4707,'Diags Raw Data'!$D$12:$D$4707,$A4)</f>
        <v>7</v>
      </c>
      <c r="P4" s="201">
        <f>SUMIFS('Diags Raw Data'!$AA$12:$AA$4707,'Diags Raw Data'!$D$12:$D$4707,$A4)</f>
        <v>7</v>
      </c>
      <c r="Q4" s="203">
        <f>SUMIFS('Diags Raw Data'!$AB$12:$AB$4707,'Diags Raw Data'!$D$12:$D$4707,$A4)</f>
        <v>0</v>
      </c>
      <c r="R4" s="201">
        <f>SUMIFS('Diags Raw Data'!$AC$12:$AC$4707,'Diags Raw Data'!$D$12:$D$4707,$A4)</f>
        <v>0</v>
      </c>
      <c r="S4" s="203">
        <f>SUMIFS('Diags Raw Data'!$AD$12:$AD$4707,'Diags Raw Data'!$D$12:$D$4707,$A4)</f>
        <v>0</v>
      </c>
      <c r="T4" s="202">
        <f>IF(NOT($B4=0), O4/$B4, "---")</f>
        <v>9.3333333333333338E-2</v>
      </c>
      <c r="U4" s="216">
        <f>IF(NOT($O4=0), (P4+Q4)/$O4, "---")</f>
        <v>1</v>
      </c>
      <c r="V4" s="232">
        <f>IF(NOT($B4=0), (P4+Q4)/$B4, "---")</f>
        <v>9.3333333333333338E-2</v>
      </c>
    </row>
    <row r="5" spans="1:22" x14ac:dyDescent="0.25">
      <c r="A5" s="325"/>
      <c r="B5" s="244"/>
      <c r="C5" s="234"/>
      <c r="D5" s="234"/>
      <c r="E5" s="234"/>
      <c r="F5" s="240"/>
      <c r="G5" s="222"/>
      <c r="H5" s="218"/>
      <c r="I5" s="219"/>
      <c r="J5" s="218"/>
      <c r="K5" s="219"/>
      <c r="L5" s="235"/>
      <c r="M5" s="220"/>
      <c r="N5" s="229"/>
      <c r="O5" s="205"/>
      <c r="P5" s="195"/>
      <c r="Q5" s="197"/>
      <c r="R5" s="195"/>
      <c r="S5" s="197"/>
      <c r="T5" s="196"/>
      <c r="U5" s="221"/>
      <c r="V5" s="223"/>
    </row>
    <row r="6" spans="1:22" x14ac:dyDescent="0.25">
      <c r="A6" s="325"/>
      <c r="B6" s="244"/>
      <c r="C6" s="234"/>
      <c r="D6" s="234"/>
      <c r="E6" s="234"/>
      <c r="F6" s="240"/>
      <c r="G6" s="222"/>
      <c r="H6" s="218"/>
      <c r="I6" s="219"/>
      <c r="J6" s="218"/>
      <c r="K6" s="219"/>
      <c r="L6" s="235"/>
      <c r="M6" s="220"/>
      <c r="N6" s="229"/>
      <c r="O6" s="205"/>
      <c r="P6" s="195"/>
      <c r="Q6" s="197"/>
      <c r="R6" s="195"/>
      <c r="S6" s="197"/>
      <c r="T6" s="196"/>
      <c r="U6" s="221"/>
      <c r="V6" s="223"/>
    </row>
    <row r="7" spans="1:22" x14ac:dyDescent="0.25">
      <c r="A7" s="325"/>
      <c r="B7" s="244"/>
      <c r="C7" s="234"/>
      <c r="D7" s="234"/>
      <c r="E7" s="234"/>
      <c r="F7" s="240"/>
      <c r="G7" s="222"/>
      <c r="H7" s="218"/>
      <c r="I7" s="219"/>
      <c r="J7" s="218"/>
      <c r="K7" s="219"/>
      <c r="L7" s="235"/>
      <c r="M7" s="220"/>
      <c r="N7" s="229"/>
      <c r="O7" s="205"/>
      <c r="P7" s="195"/>
      <c r="Q7" s="197"/>
      <c r="R7" s="195"/>
      <c r="S7" s="197"/>
      <c r="T7" s="196"/>
      <c r="U7" s="221"/>
      <c r="V7" s="223"/>
    </row>
    <row r="8" spans="1:22" x14ac:dyDescent="0.25">
      <c r="A8" s="325"/>
      <c r="B8" s="244"/>
      <c r="C8" s="234"/>
      <c r="D8" s="234"/>
      <c r="E8" s="234"/>
      <c r="F8" s="240"/>
      <c r="G8" s="222"/>
      <c r="H8" s="218"/>
      <c r="I8" s="219"/>
      <c r="J8" s="218"/>
      <c r="K8" s="219"/>
      <c r="L8" s="235"/>
      <c r="M8" s="220"/>
      <c r="N8" s="229"/>
      <c r="O8" s="205"/>
      <c r="P8" s="195"/>
      <c r="Q8" s="197"/>
      <c r="R8" s="195"/>
      <c r="S8" s="197"/>
      <c r="T8" s="196"/>
      <c r="U8" s="221"/>
      <c r="V8" s="223"/>
    </row>
    <row r="9" spans="1:22" x14ac:dyDescent="0.25">
      <c r="A9" s="325"/>
      <c r="B9" s="244"/>
      <c r="C9" s="234"/>
      <c r="D9" s="234"/>
      <c r="E9" s="234"/>
      <c r="F9" s="240"/>
      <c r="G9" s="222"/>
      <c r="H9" s="218"/>
      <c r="I9" s="219"/>
      <c r="J9" s="218"/>
      <c r="K9" s="219"/>
      <c r="L9" s="235"/>
      <c r="M9" s="220"/>
      <c r="N9" s="229"/>
      <c r="O9" s="205"/>
      <c r="P9" s="195"/>
      <c r="Q9" s="197"/>
      <c r="R9" s="195"/>
      <c r="S9" s="197"/>
      <c r="T9" s="196"/>
      <c r="U9" s="221"/>
      <c r="V9" s="223"/>
    </row>
    <row r="10" spans="1:22" x14ac:dyDescent="0.25">
      <c r="A10" s="325"/>
      <c r="B10" s="244"/>
      <c r="C10" s="234"/>
      <c r="D10" s="234"/>
      <c r="E10" s="234"/>
      <c r="F10" s="240"/>
      <c r="G10" s="222"/>
      <c r="H10" s="218"/>
      <c r="I10" s="219"/>
      <c r="J10" s="218"/>
      <c r="K10" s="219"/>
      <c r="L10" s="235"/>
      <c r="M10" s="220"/>
      <c r="N10" s="229"/>
      <c r="O10" s="205"/>
      <c r="P10" s="195"/>
      <c r="Q10" s="197"/>
      <c r="R10" s="195"/>
      <c r="S10" s="197"/>
      <c r="T10" s="196"/>
      <c r="U10" s="221"/>
      <c r="V10" s="223"/>
    </row>
    <row r="11" spans="1:22" x14ac:dyDescent="0.25">
      <c r="A11" s="325"/>
      <c r="B11" s="244"/>
      <c r="C11" s="234"/>
      <c r="D11" s="234"/>
      <c r="E11" s="234"/>
      <c r="F11" s="240"/>
      <c r="G11" s="222"/>
      <c r="H11" s="218"/>
      <c r="I11" s="219"/>
      <c r="J11" s="218"/>
      <c r="K11" s="219"/>
      <c r="L11" s="235"/>
      <c r="M11" s="220"/>
      <c r="N11" s="229"/>
      <c r="O11" s="205"/>
      <c r="P11" s="195"/>
      <c r="Q11" s="197"/>
      <c r="R11" s="195"/>
      <c r="S11" s="197"/>
      <c r="T11" s="196"/>
      <c r="U11" s="221"/>
      <c r="V11" s="223"/>
    </row>
    <row r="12" spans="1:22" x14ac:dyDescent="0.25">
      <c r="A12" s="325"/>
      <c r="B12" s="244"/>
      <c r="C12" s="234"/>
      <c r="D12" s="234"/>
      <c r="E12" s="234"/>
      <c r="F12" s="240"/>
      <c r="G12" s="222"/>
      <c r="H12" s="218"/>
      <c r="I12" s="219"/>
      <c r="J12" s="218"/>
      <c r="K12" s="219"/>
      <c r="L12" s="235"/>
      <c r="M12" s="220"/>
      <c r="N12" s="229"/>
      <c r="O12" s="205"/>
      <c r="P12" s="195"/>
      <c r="Q12" s="197"/>
      <c r="R12" s="195"/>
      <c r="S12" s="197"/>
      <c r="T12" s="196"/>
      <c r="U12" s="221"/>
      <c r="V12" s="223"/>
    </row>
    <row r="13" spans="1:22" ht="15.75" thickBot="1" x14ac:dyDescent="0.3">
      <c r="A13" s="326"/>
      <c r="B13" s="245"/>
      <c r="C13" s="236"/>
      <c r="D13" s="236"/>
      <c r="E13" s="236"/>
      <c r="F13" s="241"/>
      <c r="G13" s="224"/>
      <c r="H13" s="225"/>
      <c r="I13" s="226"/>
      <c r="J13" s="225"/>
      <c r="K13" s="226"/>
      <c r="L13" s="237"/>
      <c r="M13" s="227"/>
      <c r="N13" s="230"/>
      <c r="O13" s="206"/>
      <c r="P13" s="198"/>
      <c r="Q13" s="200"/>
      <c r="R13" s="198"/>
      <c r="S13" s="200"/>
      <c r="T13" s="199"/>
      <c r="U13" s="231"/>
      <c r="V13" s="228"/>
    </row>
    <row r="14" spans="1:22" ht="16.5" thickBot="1" x14ac:dyDescent="0.3">
      <c r="A14" s="264" t="s">
        <v>612</v>
      </c>
      <c r="B14" s="248">
        <f>SUM(B4:B13)</f>
        <v>75</v>
      </c>
      <c r="C14" s="249">
        <f>SUM(C4:C13)</f>
        <v>74</v>
      </c>
      <c r="D14" s="249">
        <f>SUM(D4:D13)</f>
        <v>75</v>
      </c>
      <c r="E14" s="249">
        <f>SUM(E4:E13)</f>
        <v>75</v>
      </c>
      <c r="F14" s="250" cm="1">
        <f t="array" ref="F14">SUMPRODUCT(--(ISNUMBER(SEARCH("New",'Diags Raw Data'!$M$12:$M$4707))),'Diags Raw Data'!$K$12:$K$4707,'Diags Raw Data'!$P$12:$P$4707)/D14+SUMPRODUCT(--(ISNUMBER(SEARCH("Delta",'Diags Raw Data'!$M$12:$M$4707))),'Diags Raw Data'!$K$12:$K$4707,'Diags Raw Data'!$P$12:$P$4707)/D14+SUMPRODUCT(--(ISNUMBER(SEARCH("Legacy",'Diags Raw Data'!$M$12:$M$4707))),'Diags Raw Data'!$K$12:$K$4707,'Diags Raw Data'!$P$12:$P$4707)/D14</f>
        <v>1</v>
      </c>
      <c r="G14" s="251">
        <f>SUM(G4:G13)</f>
        <v>74</v>
      </c>
      <c r="H14" s="252">
        <f>SUM(H4:H13)</f>
        <v>52</v>
      </c>
      <c r="I14" s="253">
        <f>SUM(I4:I13)</f>
        <v>22</v>
      </c>
      <c r="J14" s="252">
        <f>SUM(J4:J13)</f>
        <v>0</v>
      </c>
      <c r="K14" s="253">
        <f>SUM(K4:K13)</f>
        <v>0</v>
      </c>
      <c r="L14" s="254">
        <f>IF(NOT($C14=0), G14/$C14, "---")</f>
        <v>1</v>
      </c>
      <c r="M14" s="255">
        <f>IF(NOT($G14=0), (H14+I14)/$G14, "---")</f>
        <v>1</v>
      </c>
      <c r="N14" s="256">
        <f>IF(NOT($C14=0), (H14+I14)/$C14, "---")</f>
        <v>1</v>
      </c>
      <c r="O14" s="257">
        <f>SUM(O4:O13)</f>
        <v>7</v>
      </c>
      <c r="P14" s="258">
        <f>SUM(P4:P13)</f>
        <v>7</v>
      </c>
      <c r="Q14" s="259">
        <f>SUM(Q4:Q13)</f>
        <v>0</v>
      </c>
      <c r="R14" s="258">
        <f>SUM(R4:R13)</f>
        <v>0</v>
      </c>
      <c r="S14" s="259">
        <f>SUM(S4:S13)</f>
        <v>0</v>
      </c>
      <c r="T14" s="260">
        <f>IF(NOT($B14=0), O14/$B14, "---")</f>
        <v>9.3333333333333338E-2</v>
      </c>
      <c r="U14" s="261">
        <f>IF(NOT($O14=0), (P14+Q14)/$O14, "---")</f>
        <v>1</v>
      </c>
      <c r="V14" s="262">
        <f>IF(NOT($B14=0), (P14+Q14)/$B14, "---")</f>
        <v>9.3333333333333338E-2</v>
      </c>
    </row>
    <row r="15" spans="1:22" ht="15.75" thickBot="1" x14ac:dyDescent="0.3"/>
    <row r="16" spans="1:22" ht="15.75" thickBot="1" x14ac:dyDescent="0.3">
      <c r="A16" s="207" t="s">
        <v>613</v>
      </c>
      <c r="B16" s="602" t="s">
        <v>222</v>
      </c>
      <c r="C16" s="602"/>
      <c r="D16" s="602"/>
      <c r="E16" s="602"/>
      <c r="F16" s="602"/>
      <c r="G16" s="603" t="s">
        <v>233</v>
      </c>
      <c r="H16" s="604"/>
      <c r="I16" s="604"/>
      <c r="J16" s="604"/>
      <c r="K16" s="604"/>
      <c r="L16" s="604"/>
      <c r="M16" s="604"/>
      <c r="N16" s="605"/>
      <c r="O16" s="606" t="s">
        <v>201</v>
      </c>
      <c r="P16" s="607"/>
      <c r="Q16" s="607"/>
      <c r="R16" s="607"/>
      <c r="S16" s="607"/>
      <c r="T16" s="607"/>
      <c r="U16" s="607"/>
      <c r="V16" s="608"/>
    </row>
    <row r="17" spans="1:22" s="242" customFormat="1" ht="15.75" thickBot="1" x14ac:dyDescent="0.3">
      <c r="A17" s="246" t="s">
        <v>66</v>
      </c>
      <c r="B17" s="303" t="s">
        <v>223</v>
      </c>
      <c r="C17" s="304" t="s">
        <v>95</v>
      </c>
      <c r="D17" s="305" t="s">
        <v>72</v>
      </c>
      <c r="E17" s="305" t="s">
        <v>229</v>
      </c>
      <c r="F17" s="306" t="s">
        <v>231</v>
      </c>
      <c r="G17" s="307" t="s">
        <v>96</v>
      </c>
      <c r="H17" s="308" t="s">
        <v>30</v>
      </c>
      <c r="I17" s="308" t="s">
        <v>192</v>
      </c>
      <c r="J17" s="308" t="s">
        <v>35</v>
      </c>
      <c r="K17" s="308" t="s">
        <v>195</v>
      </c>
      <c r="L17" s="308" t="s">
        <v>240</v>
      </c>
      <c r="M17" s="308" t="s">
        <v>197</v>
      </c>
      <c r="N17" s="309" t="s">
        <v>243</v>
      </c>
      <c r="O17" s="310" t="s">
        <v>96</v>
      </c>
      <c r="P17" s="311" t="s">
        <v>30</v>
      </c>
      <c r="Q17" s="311" t="s">
        <v>192</v>
      </c>
      <c r="R17" s="311" t="s">
        <v>35</v>
      </c>
      <c r="S17" s="311" t="s">
        <v>195</v>
      </c>
      <c r="T17" s="311" t="s">
        <v>240</v>
      </c>
      <c r="U17" s="311" t="s">
        <v>197</v>
      </c>
      <c r="V17" s="312" t="s">
        <v>243</v>
      </c>
    </row>
    <row r="18" spans="1:22" x14ac:dyDescent="0.25">
      <c r="A18" s="325" t="s">
        <v>304</v>
      </c>
      <c r="B18" s="243">
        <f>SUMIFS('Diags Raw Data'!$L$12:$L$4707,'Diags Raw Data'!$D$12:$D$4707,$A18,'Diags Raw Data'!$M$12:$M$4707,"New")+SUMIFS('Diags Raw Data'!$L$12:$L$4707,'Diags Raw Data'!$D$12:$D$4707,$A18,'Diags Raw Data'!$M$12:$M$4707,"Delta")</f>
        <v>30</v>
      </c>
      <c r="C18" s="233">
        <f>SUMIFS('Diags Raw Data'!$R$12:$R$4707,'Diags Raw Data'!$D$12:$D$4707,$A18,'Diags Raw Data'!$M$12:$M$4707,"New")+SUMIFS('Diags Raw Data'!$R$12:$R$4707,'Diags Raw Data'!$D$12:$D$4707,$A18,'Diags Raw Data'!$M$12:$M$4707,"Delta")</f>
        <v>30</v>
      </c>
      <c r="D18" s="233">
        <f>SUMIFS('Diags Raw Data'!$K$12:$K$4707,'Diags Raw Data'!$D$12:$D$4707,$A18,'Diags Raw Data'!$M$12:$M$4707,"New")+SUMIFS('Diags Raw Data'!$K$12:$K$4707,'Diags Raw Data'!$D$12:$D$4707,$A18,'Diags Raw Data'!$M$12:$M$4707,"Delta")</f>
        <v>30</v>
      </c>
      <c r="E18" s="233">
        <f>SUMIFS('Diags Raw Data'!$O$12:$O$4707,'Diags Raw Data'!$D$12:$D$4707,$A18,'Diags Raw Data'!$M$12:$M$4707,"New")+SUMIFS('Diags Raw Data'!$O$12:$O$4707,'Diags Raw Data'!$D$12:$D$4707,$A18,'Diags Raw Data'!$M$12:$M$4707,"Delta")</f>
        <v>30</v>
      </c>
      <c r="F18" s="239">
        <f t="shared" ref="F18" si="0">IF(NOT($B18=0), E18/$B18, "---")</f>
        <v>1</v>
      </c>
      <c r="G18" s="211">
        <f>SUMIFS('Diags Raw Data'!$S$12:$S$4707,'Diags Raw Data'!$D$12:$D$4707,$A18,'Diags Raw Data'!$M$12:$M$4707,"New")+SUMIFS('Diags Raw Data'!$S$12:$S$4707,'Diags Raw Data'!$D$12:$D$4707,$A18,'Diags Raw Data'!$M$12:$M$4707,"Delta")</f>
        <v>30</v>
      </c>
      <c r="H18" s="212">
        <f>SUMIFS('Diags Raw Data'!$T$12:$T$4707,'Diags Raw Data'!$D$12:$D$4707,$A18,'Diags Raw Data'!$M$12:$M$4707,"New")+SUMIFS('Diags Raw Data'!$T$12:$T$4707,'Diags Raw Data'!$D$12:$D$4707,$A18,'Diags Raw Data'!$M$12:$M$4707,"Delta")</f>
        <v>23</v>
      </c>
      <c r="I18" s="212">
        <f>SUMIFS('Diags Raw Data'!$U$12:$U$4707,'Diags Raw Data'!$D$12:$D$4707,$A18,'Diags Raw Data'!$M$12:$M$4707,"New")+SUMIFS('Diags Raw Data'!$U$12:$U$4707,'Diags Raw Data'!$D$12:$D$4707,$A18,'Diags Raw Data'!$M$12:$M$4707,"Delta")</f>
        <v>7</v>
      </c>
      <c r="J18" s="212">
        <f>SUMIFS('Diags Raw Data'!$V$12:$V$4707,'Diags Raw Data'!$D$12:$D$4707,$A18,'Diags Raw Data'!$M$12:$M$4707,"New")+SUMIFS('Diags Raw Data'!$V$12:$V$4707,'Diags Raw Data'!$D$12:$D$4707,$A18,'Diags Raw Data'!$M$12:$M$4707,"Delta")</f>
        <v>0</v>
      </c>
      <c r="K18" s="212">
        <f>SUMIFS('Diags Raw Data'!$W$12:$W$4707,'Diags Raw Data'!$D$12:$D$4707,$A18,'Diags Raw Data'!$M$12:$M$4707,"New")+SUMIFS('Diags Raw Data'!$W$12:$W$4707,'Diags Raw Data'!$D$12:$D$4707,$A18,'Diags Raw Data'!$M$12:$M$4707,"Delta")</f>
        <v>0</v>
      </c>
      <c r="L18" s="213">
        <f>IF(NOT($C18=0), G18/$C18, "---")</f>
        <v>1</v>
      </c>
      <c r="M18" s="215">
        <f>IF(NOT($G18=0), (H18+I18)/$G18, "---")</f>
        <v>1</v>
      </c>
      <c r="N18" s="217">
        <f>IF(NOT($C18=0), (H18+I18)/$C18, "---")</f>
        <v>1</v>
      </c>
      <c r="O18" s="204">
        <f>SUMIFS('Diags Raw Data'!$Z$12:$Z$4707,'Diags Raw Data'!$D$12:$D$4707,$A18,'Diags Raw Data'!$M$12:$M$4707,"New")+SUMIFS('Diags Raw Data'!$Z$12:$Z$4707,'Diags Raw Data'!$D$12:$D$4707,$A18,'Diags Raw Data'!$M$12:$M$4707,"Delta")</f>
        <v>0</v>
      </c>
      <c r="P18" s="201">
        <f>SUMIFS('Diags Raw Data'!$AA$12:$AA$4707,'Diags Raw Data'!$D$12:$D$4707,$A18,'Diags Raw Data'!$M$12:$M$4707,"New")+SUMIFS('Diags Raw Data'!$AA$12:$AA$4707,'Diags Raw Data'!$D$12:$D$4707,$A18,'Diags Raw Data'!$M$12:$M$4707,"Delta")</f>
        <v>0</v>
      </c>
      <c r="Q18" s="201">
        <f>SUMIFS('Diags Raw Data'!$AB$12:$AB$4707,'Diags Raw Data'!$D$12:$D$4707,$A18,'Diags Raw Data'!$M$12:$M$4707,"New")+SUMIFS('Diags Raw Data'!$AB$12:$AB$4707,'Diags Raw Data'!$D$12:$D$4707,$A18,'Diags Raw Data'!$M$12:$M$4707,"Delta")</f>
        <v>0</v>
      </c>
      <c r="R18" s="201">
        <f>SUMIFS('Diags Raw Data'!$AC$12:$AC$4707,'Diags Raw Data'!$D$12:$D$4707,$A18,'Diags Raw Data'!$M$12:$M$4707,"New")+SUMIFS('Diags Raw Data'!$AC$12:$AC$4707,'Diags Raw Data'!$D$12:$D$4707,$A18,'Diags Raw Data'!$M$12:$M$4707,"Delta")</f>
        <v>0</v>
      </c>
      <c r="S18" s="201">
        <f>SUMIFS('Diags Raw Data'!$AD$12:$AD$4707,'Diags Raw Data'!$D$12:$D$4707,$A18,'Diags Raw Data'!$M$12:$M$4707,"New")+SUMIFS('Diags Raw Data'!$AD$12:$AD$4707,'Diags Raw Data'!$D$12:$D$4707,$A18,'Diags Raw Data'!$M$12:$M$4707,"Delta")</f>
        <v>0</v>
      </c>
      <c r="T18" s="202">
        <f>IF(NOT($B18=0), O18/$B18, "---")</f>
        <v>0</v>
      </c>
      <c r="U18" s="216" t="str">
        <f>IF(NOT($O18=0), (P18+Q18)/$O18, "---")</f>
        <v>---</v>
      </c>
      <c r="V18" s="232">
        <f>IF(NOT($B18=0), (P18+Q18)/$B18, "---")</f>
        <v>0</v>
      </c>
    </row>
    <row r="19" spans="1:22" x14ac:dyDescent="0.25">
      <c r="A19" s="325"/>
      <c r="B19" s="244"/>
      <c r="C19" s="234"/>
      <c r="D19" s="234"/>
      <c r="E19" s="234"/>
      <c r="F19" s="240"/>
      <c r="G19" s="222"/>
      <c r="H19" s="218"/>
      <c r="I19" s="218"/>
      <c r="J19" s="218"/>
      <c r="K19" s="218"/>
      <c r="L19" s="235"/>
      <c r="M19" s="220"/>
      <c r="N19" s="229"/>
      <c r="O19" s="205"/>
      <c r="P19" s="195"/>
      <c r="Q19" s="195"/>
      <c r="R19" s="195"/>
      <c r="S19" s="195"/>
      <c r="T19" s="196"/>
      <c r="U19" s="221"/>
      <c r="V19" s="223"/>
    </row>
    <row r="20" spans="1:22" x14ac:dyDescent="0.25">
      <c r="A20" s="325"/>
      <c r="B20" s="244"/>
      <c r="C20" s="234"/>
      <c r="D20" s="234"/>
      <c r="E20" s="234"/>
      <c r="F20" s="240"/>
      <c r="G20" s="222"/>
      <c r="H20" s="218"/>
      <c r="I20" s="218"/>
      <c r="J20" s="218"/>
      <c r="K20" s="218"/>
      <c r="L20" s="235"/>
      <c r="M20" s="220"/>
      <c r="N20" s="229"/>
      <c r="O20" s="205"/>
      <c r="P20" s="195"/>
      <c r="Q20" s="195"/>
      <c r="R20" s="195"/>
      <c r="S20" s="195"/>
      <c r="T20" s="196"/>
      <c r="U20" s="221"/>
      <c r="V20" s="223"/>
    </row>
    <row r="21" spans="1:22" x14ac:dyDescent="0.25">
      <c r="A21" s="325"/>
      <c r="B21" s="244"/>
      <c r="C21" s="234"/>
      <c r="D21" s="234"/>
      <c r="E21" s="234"/>
      <c r="F21" s="240"/>
      <c r="G21" s="222"/>
      <c r="H21" s="218"/>
      <c r="I21" s="218"/>
      <c r="J21" s="218"/>
      <c r="K21" s="218"/>
      <c r="L21" s="235"/>
      <c r="M21" s="220"/>
      <c r="N21" s="229"/>
      <c r="O21" s="205"/>
      <c r="P21" s="195"/>
      <c r="Q21" s="195"/>
      <c r="R21" s="195"/>
      <c r="S21" s="195"/>
      <c r="T21" s="196"/>
      <c r="U21" s="221"/>
      <c r="V21" s="223"/>
    </row>
    <row r="22" spans="1:22" x14ac:dyDescent="0.25">
      <c r="A22" s="325"/>
      <c r="B22" s="244"/>
      <c r="C22" s="234"/>
      <c r="D22" s="234"/>
      <c r="E22" s="234"/>
      <c r="F22" s="240"/>
      <c r="G22" s="222"/>
      <c r="H22" s="218"/>
      <c r="I22" s="218"/>
      <c r="J22" s="218"/>
      <c r="K22" s="218"/>
      <c r="L22" s="235"/>
      <c r="M22" s="220"/>
      <c r="N22" s="229"/>
      <c r="O22" s="205"/>
      <c r="P22" s="195"/>
      <c r="Q22" s="195"/>
      <c r="R22" s="195"/>
      <c r="S22" s="195"/>
      <c r="T22" s="196"/>
      <c r="U22" s="221"/>
      <c r="V22" s="223"/>
    </row>
    <row r="23" spans="1:22" x14ac:dyDescent="0.25">
      <c r="A23" s="325"/>
      <c r="B23" s="244"/>
      <c r="C23" s="234"/>
      <c r="D23" s="234"/>
      <c r="E23" s="234"/>
      <c r="F23" s="240"/>
      <c r="G23" s="222"/>
      <c r="H23" s="218"/>
      <c r="I23" s="218"/>
      <c r="J23" s="218"/>
      <c r="K23" s="218"/>
      <c r="L23" s="235"/>
      <c r="M23" s="220"/>
      <c r="N23" s="229"/>
      <c r="O23" s="205"/>
      <c r="P23" s="195"/>
      <c r="Q23" s="195"/>
      <c r="R23" s="195"/>
      <c r="S23" s="195"/>
      <c r="T23" s="196"/>
      <c r="U23" s="221"/>
      <c r="V23" s="223"/>
    </row>
    <row r="24" spans="1:22" x14ac:dyDescent="0.25">
      <c r="A24" s="325"/>
      <c r="B24" s="244"/>
      <c r="C24" s="234"/>
      <c r="D24" s="234"/>
      <c r="E24" s="234"/>
      <c r="F24" s="240"/>
      <c r="G24" s="222"/>
      <c r="H24" s="218"/>
      <c r="I24" s="218"/>
      <c r="J24" s="218"/>
      <c r="K24" s="218"/>
      <c r="L24" s="235"/>
      <c r="M24" s="220"/>
      <c r="N24" s="229"/>
      <c r="O24" s="205"/>
      <c r="P24" s="195"/>
      <c r="Q24" s="195"/>
      <c r="R24" s="195"/>
      <c r="S24" s="195"/>
      <c r="T24" s="196"/>
      <c r="U24" s="221"/>
      <c r="V24" s="223"/>
    </row>
    <row r="25" spans="1:22" x14ac:dyDescent="0.25">
      <c r="A25" s="325"/>
      <c r="B25" s="244"/>
      <c r="C25" s="234"/>
      <c r="D25" s="234"/>
      <c r="E25" s="234"/>
      <c r="F25" s="240"/>
      <c r="G25" s="222"/>
      <c r="H25" s="218"/>
      <c r="I25" s="218"/>
      <c r="J25" s="218"/>
      <c r="K25" s="218"/>
      <c r="L25" s="235"/>
      <c r="M25" s="220"/>
      <c r="N25" s="229"/>
      <c r="O25" s="205"/>
      <c r="P25" s="195"/>
      <c r="Q25" s="195"/>
      <c r="R25" s="195"/>
      <c r="S25" s="195"/>
      <c r="T25" s="196"/>
      <c r="U25" s="221"/>
      <c r="V25" s="223"/>
    </row>
    <row r="26" spans="1:22" x14ac:dyDescent="0.25">
      <c r="A26" s="325"/>
      <c r="B26" s="244"/>
      <c r="C26" s="234"/>
      <c r="D26" s="234"/>
      <c r="E26" s="234"/>
      <c r="F26" s="240"/>
      <c r="G26" s="222"/>
      <c r="H26" s="218"/>
      <c r="I26" s="218"/>
      <c r="J26" s="218"/>
      <c r="K26" s="218"/>
      <c r="L26" s="235"/>
      <c r="M26" s="220"/>
      <c r="N26" s="229"/>
      <c r="O26" s="205"/>
      <c r="P26" s="195"/>
      <c r="Q26" s="195"/>
      <c r="R26" s="195"/>
      <c r="S26" s="195"/>
      <c r="T26" s="196"/>
      <c r="U26" s="221"/>
      <c r="V26" s="223"/>
    </row>
    <row r="27" spans="1:22" ht="15.75" thickBot="1" x14ac:dyDescent="0.3">
      <c r="A27" s="326"/>
      <c r="B27" s="245"/>
      <c r="C27" s="236"/>
      <c r="D27" s="236"/>
      <c r="E27" s="236"/>
      <c r="F27" s="241"/>
      <c r="G27" s="224"/>
      <c r="H27" s="225"/>
      <c r="I27" s="225"/>
      <c r="J27" s="225"/>
      <c r="K27" s="225"/>
      <c r="L27" s="237"/>
      <c r="M27" s="227"/>
      <c r="N27" s="230"/>
      <c r="O27" s="206"/>
      <c r="P27" s="198"/>
      <c r="Q27" s="198"/>
      <c r="R27" s="198"/>
      <c r="S27" s="198"/>
      <c r="T27" s="199"/>
      <c r="U27" s="231"/>
      <c r="V27" s="228"/>
    </row>
    <row r="28" spans="1:22" ht="16.5" thickBot="1" x14ac:dyDescent="0.3">
      <c r="A28" s="247" t="s">
        <v>614</v>
      </c>
      <c r="B28" s="248">
        <f>SUM(B18:B27)</f>
        <v>30</v>
      </c>
      <c r="C28" s="249">
        <f>SUM(C18:C27)</f>
        <v>30</v>
      </c>
      <c r="D28" s="249">
        <f>SUM(D18:D27)</f>
        <v>30</v>
      </c>
      <c r="E28" s="249">
        <f>SUM(E18:E27)</f>
        <v>30</v>
      </c>
      <c r="F28" s="250" cm="1">
        <f t="array" ref="F28">SUMPRODUCT(--(ISNUMBER(SEARCH("New",'Diags Raw Data'!$M$12:$M$4707))),'Diags Raw Data'!$K$12:$K$4707,'Diags Raw Data'!$P$12:$P$4707)/D28+SUMPRODUCT(--(ISNUMBER(SEARCH("Delta",'Diags Raw Data'!$M$12:$M$4707))),'Diags Raw Data'!$K$12:$K$4707,'Diags Raw Data'!$P$12:$P$4707)/D28</f>
        <v>1</v>
      </c>
      <c r="G28" s="251">
        <f>SUM(G18:G27)</f>
        <v>30</v>
      </c>
      <c r="H28" s="252">
        <f>SUM(H18:H27)</f>
        <v>23</v>
      </c>
      <c r="I28" s="253">
        <f>SUM(I18:I27)</f>
        <v>7</v>
      </c>
      <c r="J28" s="252">
        <f>SUM(J18:J27)</f>
        <v>0</v>
      </c>
      <c r="K28" s="253">
        <f>SUM(K18:K27)</f>
        <v>0</v>
      </c>
      <c r="L28" s="254">
        <f>IF(NOT($C28=0), G28/$C28, "---")</f>
        <v>1</v>
      </c>
      <c r="M28" s="255">
        <f t="shared" ref="M28" si="1">IF(NOT($G28=0), (H28+I28)/$G28, "---")</f>
        <v>1</v>
      </c>
      <c r="N28" s="256">
        <f>IF(NOT($C28=0), (H28+I28)/$C28, "---")</f>
        <v>1</v>
      </c>
      <c r="O28" s="257">
        <f>SUM(O18:O27)</f>
        <v>0</v>
      </c>
      <c r="P28" s="258">
        <f>SUM(P18:P27)</f>
        <v>0</v>
      </c>
      <c r="Q28" s="259">
        <f>SUM(Q18:Q27)</f>
        <v>0</v>
      </c>
      <c r="R28" s="258">
        <f>SUM(R18:R27)</f>
        <v>0</v>
      </c>
      <c r="S28" s="259">
        <f>SUM(S18:S27)</f>
        <v>0</v>
      </c>
      <c r="T28" s="260">
        <f>IF(NOT($B28=0), O28/$B28, "---")</f>
        <v>0</v>
      </c>
      <c r="U28" s="261" t="str">
        <f t="shared" ref="U28" si="2">IF(NOT($O28=0), (P28+Q28)/$O28, "---")</f>
        <v>---</v>
      </c>
      <c r="V28" s="262">
        <f t="shared" ref="V28" si="3">IF(NOT($B28=0), (P28+Q28)/$B28, "---")</f>
        <v>0</v>
      </c>
    </row>
    <row r="29" spans="1:22" ht="15.75" thickBot="1" x14ac:dyDescent="0.3">
      <c r="A29" s="238"/>
      <c r="B29" s="238"/>
      <c r="C29" s="238"/>
      <c r="D29" s="238"/>
      <c r="E29" s="238"/>
      <c r="F29" s="238"/>
      <c r="G29" s="238"/>
      <c r="H29" s="238"/>
      <c r="I29" s="238"/>
      <c r="J29" s="238"/>
      <c r="K29" s="238"/>
      <c r="L29" s="238"/>
      <c r="M29" s="238"/>
      <c r="N29" s="238"/>
      <c r="O29" s="238"/>
      <c r="P29" s="238"/>
      <c r="Q29" s="238"/>
      <c r="R29" s="238"/>
      <c r="S29" s="238"/>
      <c r="T29" s="238"/>
      <c r="U29" s="238"/>
      <c r="V29" s="238"/>
    </row>
    <row r="30" spans="1:22" ht="15.75" thickBot="1" x14ac:dyDescent="0.3">
      <c r="A30" s="208" t="s">
        <v>33</v>
      </c>
      <c r="B30" s="602" t="s">
        <v>222</v>
      </c>
      <c r="C30" s="602"/>
      <c r="D30" s="602"/>
      <c r="E30" s="602"/>
      <c r="F30" s="602"/>
      <c r="G30" s="603" t="s">
        <v>233</v>
      </c>
      <c r="H30" s="604"/>
      <c r="I30" s="604"/>
      <c r="J30" s="604"/>
      <c r="K30" s="604"/>
      <c r="L30" s="604"/>
      <c r="M30" s="604"/>
      <c r="N30" s="605"/>
      <c r="O30" s="606" t="s">
        <v>201</v>
      </c>
      <c r="P30" s="607"/>
      <c r="Q30" s="607"/>
      <c r="R30" s="607"/>
      <c r="S30" s="607"/>
      <c r="T30" s="607"/>
      <c r="U30" s="607"/>
      <c r="V30" s="608"/>
    </row>
    <row r="31" spans="1:22" s="242" customFormat="1" ht="15.75" thickBot="1" x14ac:dyDescent="0.3">
      <c r="A31" s="246" t="s">
        <v>66</v>
      </c>
      <c r="B31" s="303" t="s">
        <v>223</v>
      </c>
      <c r="C31" s="304" t="s">
        <v>95</v>
      </c>
      <c r="D31" s="305" t="s">
        <v>72</v>
      </c>
      <c r="E31" s="305" t="s">
        <v>229</v>
      </c>
      <c r="F31" s="306" t="s">
        <v>231</v>
      </c>
      <c r="G31" s="307" t="s">
        <v>96</v>
      </c>
      <c r="H31" s="308" t="s">
        <v>30</v>
      </c>
      <c r="I31" s="308" t="s">
        <v>192</v>
      </c>
      <c r="J31" s="308" t="s">
        <v>35</v>
      </c>
      <c r="K31" s="308" t="s">
        <v>195</v>
      </c>
      <c r="L31" s="308" t="s">
        <v>240</v>
      </c>
      <c r="M31" s="308" t="s">
        <v>197</v>
      </c>
      <c r="N31" s="309" t="s">
        <v>243</v>
      </c>
      <c r="O31" s="310" t="s">
        <v>96</v>
      </c>
      <c r="P31" s="311" t="s">
        <v>30</v>
      </c>
      <c r="Q31" s="311" t="s">
        <v>192</v>
      </c>
      <c r="R31" s="311" t="s">
        <v>35</v>
      </c>
      <c r="S31" s="311" t="s">
        <v>195</v>
      </c>
      <c r="T31" s="311" t="s">
        <v>240</v>
      </c>
      <c r="U31" s="311" t="s">
        <v>197</v>
      </c>
      <c r="V31" s="312" t="s">
        <v>243</v>
      </c>
    </row>
    <row r="32" spans="1:22" x14ac:dyDescent="0.25">
      <c r="A32" s="325" t="s">
        <v>304</v>
      </c>
      <c r="B32" s="243">
        <f>SUMIFS('Diags Raw Data'!$L$12:$L$4707,'Diags Raw Data'!$D$12:$D$4707,$A32,'Diags Raw Data'!$M$12:$M$4707,"Legacy")</f>
        <v>45</v>
      </c>
      <c r="C32" s="233">
        <f>SUMIFS('Diags Raw Data'!$R$12:$R$4707,'Diags Raw Data'!$D$12:$D$4707,$A32,'Diags Raw Data'!$M$12:$M$4707,"Legacy")</f>
        <v>44</v>
      </c>
      <c r="D32" s="233">
        <f>SUMIFS('Diags Raw Data'!$K$12:$K$4707,'Diags Raw Data'!$D$12:$D$4707,$A32,'Diags Raw Data'!$M$12:$M$4707,"Legacy")</f>
        <v>45</v>
      </c>
      <c r="E32" s="233">
        <f>SUMIFS('Diags Raw Data'!$O$12:$O$4707,'Diags Raw Data'!$D$12:$D$4707,$A32,'Diags Raw Data'!$M$12:$M$4707,"Legacy")</f>
        <v>45</v>
      </c>
      <c r="F32" s="239">
        <f>IF(NOT($B32=0), E32/$B32, "---")</f>
        <v>1</v>
      </c>
      <c r="G32" s="211">
        <f>SUMIFS('Diags Raw Data'!$S$12:$S$4707,'Diags Raw Data'!$D$12:$D$4707,$A32,'Diags Raw Data'!$M$12:$M$4707,"Legacy")</f>
        <v>44</v>
      </c>
      <c r="H32" s="212">
        <f>SUMIFS('Diags Raw Data'!$T$12:$T$4707,'Diags Raw Data'!$D$12:$D$4707,$A32,'Diags Raw Data'!$M$12:$M$4707,"Legacy")</f>
        <v>29</v>
      </c>
      <c r="I32" s="214">
        <f>SUMIFS('Diags Raw Data'!$U$12:$U$4707,'Diags Raw Data'!$D$12:$D$4707,$A32,'Diags Raw Data'!$M$12:$M$4707,"Legacy")</f>
        <v>15</v>
      </c>
      <c r="J32" s="212">
        <f>SUMIFS('Diags Raw Data'!$V$12:$V$4707,'Diags Raw Data'!$D$12:$D$4707,$A32,'Diags Raw Data'!$M$12:$M$4707,"Legacy")</f>
        <v>0</v>
      </c>
      <c r="K32" s="214">
        <f>SUMIFS('Diags Raw Data'!$W$12:$W$4707,'Diags Raw Data'!$D$12:$D$4707,$A32,'Diags Raw Data'!$M$12:$M$4707,"Legacy")</f>
        <v>0</v>
      </c>
      <c r="L32" s="213">
        <f>IF(NOT($C32=0), G32/$C32, "---")</f>
        <v>1</v>
      </c>
      <c r="M32" s="215">
        <f>IF(NOT($G32=0), (H32+I32)/$G32, "---")</f>
        <v>1</v>
      </c>
      <c r="N32" s="217">
        <f>IF(NOT($C32=0), (H32+I32)/$C32, "---")</f>
        <v>1</v>
      </c>
      <c r="O32" s="204">
        <f>SUMIFS('Diags Raw Data'!$Z$12:$Z$4707,'Diags Raw Data'!$D$12:$D$4707,$A32,'Diags Raw Data'!$M$12:$M$4707,"Legacy")</f>
        <v>7</v>
      </c>
      <c r="P32" s="201">
        <f>SUMIFS('Diags Raw Data'!$AA$12:$AA$4707,'Diags Raw Data'!$D$12:$D$4707,$A32,'Diags Raw Data'!$M$12:$M$4707,"Legacy")</f>
        <v>7</v>
      </c>
      <c r="Q32" s="203">
        <f>SUMIFS('Diags Raw Data'!$AB$12:$AB$4707,'Diags Raw Data'!$D$12:$D$4707,$A32,'Diags Raw Data'!$M$12:$M$4707,"Legacy")</f>
        <v>0</v>
      </c>
      <c r="R32" s="201">
        <f>SUMIFS('Diags Raw Data'!$AC$12:$AC$4707,'Diags Raw Data'!$D$12:$D$4707,$A32,'Diags Raw Data'!$M$12:$M$4707,"Legacy")</f>
        <v>0</v>
      </c>
      <c r="S32" s="203">
        <f>SUMIFS('Diags Raw Data'!$AD$12:$AD$4707,'Diags Raw Data'!$D$12:$D$4707,$A32,'Diags Raw Data'!$M$12:$M$4707,"Legacy")</f>
        <v>0</v>
      </c>
      <c r="T32" s="202">
        <f>IF(NOT($B32=0), O32/$B32, "---")</f>
        <v>0.15555555555555556</v>
      </c>
      <c r="U32" s="216">
        <f>IF(NOT($O32=0), (P32+Q32)/$O32, "---")</f>
        <v>1</v>
      </c>
      <c r="V32" s="232">
        <f>IF(NOT($B32=0), (P32+Q32)/$B32, "---")</f>
        <v>0.15555555555555556</v>
      </c>
    </row>
    <row r="33" spans="1:22" x14ac:dyDescent="0.25">
      <c r="A33" s="325"/>
      <c r="B33" s="244"/>
      <c r="C33" s="234"/>
      <c r="D33" s="234"/>
      <c r="E33" s="234"/>
      <c r="F33" s="240"/>
      <c r="G33" s="222"/>
      <c r="H33" s="218"/>
      <c r="I33" s="219"/>
      <c r="J33" s="218"/>
      <c r="K33" s="219"/>
      <c r="L33" s="235"/>
      <c r="M33" s="220"/>
      <c r="N33" s="229"/>
      <c r="O33" s="205"/>
      <c r="P33" s="195"/>
      <c r="Q33" s="197"/>
      <c r="R33" s="195"/>
      <c r="S33" s="197"/>
      <c r="T33" s="196"/>
      <c r="U33" s="221"/>
      <c r="V33" s="223"/>
    </row>
    <row r="34" spans="1:22" x14ac:dyDescent="0.25">
      <c r="A34" s="325"/>
      <c r="B34" s="244"/>
      <c r="C34" s="234"/>
      <c r="D34" s="234"/>
      <c r="E34" s="234"/>
      <c r="F34" s="240"/>
      <c r="G34" s="222"/>
      <c r="H34" s="218"/>
      <c r="I34" s="219"/>
      <c r="J34" s="218"/>
      <c r="K34" s="219"/>
      <c r="L34" s="235"/>
      <c r="M34" s="220"/>
      <c r="N34" s="229"/>
      <c r="O34" s="205"/>
      <c r="P34" s="195"/>
      <c r="Q34" s="197"/>
      <c r="R34" s="195"/>
      <c r="S34" s="197"/>
      <c r="T34" s="196"/>
      <c r="U34" s="221"/>
      <c r="V34" s="223"/>
    </row>
    <row r="35" spans="1:22" x14ac:dyDescent="0.25">
      <c r="A35" s="325"/>
      <c r="B35" s="244"/>
      <c r="C35" s="234"/>
      <c r="D35" s="234"/>
      <c r="E35" s="234"/>
      <c r="F35" s="240"/>
      <c r="G35" s="222"/>
      <c r="H35" s="218"/>
      <c r="I35" s="219"/>
      <c r="J35" s="218"/>
      <c r="K35" s="219"/>
      <c r="L35" s="235"/>
      <c r="M35" s="220"/>
      <c r="N35" s="229"/>
      <c r="O35" s="205"/>
      <c r="P35" s="195"/>
      <c r="Q35" s="197"/>
      <c r="R35" s="195"/>
      <c r="S35" s="197"/>
      <c r="T35" s="196"/>
      <c r="U35" s="221"/>
      <c r="V35" s="223"/>
    </row>
    <row r="36" spans="1:22" x14ac:dyDescent="0.25">
      <c r="A36" s="325"/>
      <c r="B36" s="244"/>
      <c r="C36" s="234"/>
      <c r="D36" s="234"/>
      <c r="E36" s="234"/>
      <c r="F36" s="240"/>
      <c r="G36" s="222"/>
      <c r="H36" s="218"/>
      <c r="I36" s="219"/>
      <c r="J36" s="218"/>
      <c r="K36" s="219"/>
      <c r="L36" s="235"/>
      <c r="M36" s="220"/>
      <c r="N36" s="229"/>
      <c r="O36" s="205"/>
      <c r="P36" s="195"/>
      <c r="Q36" s="197"/>
      <c r="R36" s="195"/>
      <c r="S36" s="197"/>
      <c r="T36" s="196"/>
      <c r="U36" s="221"/>
      <c r="V36" s="223"/>
    </row>
    <row r="37" spans="1:22" x14ac:dyDescent="0.25">
      <c r="A37" s="325"/>
      <c r="B37" s="244"/>
      <c r="C37" s="234"/>
      <c r="D37" s="234"/>
      <c r="E37" s="234"/>
      <c r="F37" s="240"/>
      <c r="G37" s="222"/>
      <c r="H37" s="218"/>
      <c r="I37" s="219"/>
      <c r="J37" s="218"/>
      <c r="K37" s="219"/>
      <c r="L37" s="235"/>
      <c r="M37" s="220"/>
      <c r="N37" s="229"/>
      <c r="O37" s="205"/>
      <c r="P37" s="195"/>
      <c r="Q37" s="197"/>
      <c r="R37" s="195"/>
      <c r="S37" s="197"/>
      <c r="T37" s="196"/>
      <c r="U37" s="221"/>
      <c r="V37" s="223"/>
    </row>
    <row r="38" spans="1:22" x14ac:dyDescent="0.25">
      <c r="A38" s="325"/>
      <c r="B38" s="244"/>
      <c r="C38" s="234"/>
      <c r="D38" s="234"/>
      <c r="E38" s="234"/>
      <c r="F38" s="240"/>
      <c r="G38" s="222"/>
      <c r="H38" s="218"/>
      <c r="I38" s="219"/>
      <c r="J38" s="218"/>
      <c r="K38" s="219"/>
      <c r="L38" s="235"/>
      <c r="M38" s="220"/>
      <c r="N38" s="229"/>
      <c r="O38" s="205"/>
      <c r="P38" s="195"/>
      <c r="Q38" s="197"/>
      <c r="R38" s="195"/>
      <c r="S38" s="197"/>
      <c r="T38" s="196"/>
      <c r="U38" s="221"/>
      <c r="V38" s="223"/>
    </row>
    <row r="39" spans="1:22" x14ac:dyDescent="0.25">
      <c r="A39" s="325"/>
      <c r="B39" s="244"/>
      <c r="C39" s="234"/>
      <c r="D39" s="234"/>
      <c r="E39" s="234"/>
      <c r="F39" s="240"/>
      <c r="G39" s="222"/>
      <c r="H39" s="218"/>
      <c r="I39" s="219"/>
      <c r="J39" s="218"/>
      <c r="K39" s="219"/>
      <c r="L39" s="235"/>
      <c r="M39" s="220"/>
      <c r="N39" s="229"/>
      <c r="O39" s="205"/>
      <c r="P39" s="195"/>
      <c r="Q39" s="197"/>
      <c r="R39" s="195"/>
      <c r="S39" s="197"/>
      <c r="T39" s="196"/>
      <c r="U39" s="221"/>
      <c r="V39" s="223"/>
    </row>
    <row r="40" spans="1:22" x14ac:dyDescent="0.25">
      <c r="A40" s="325"/>
      <c r="B40" s="244"/>
      <c r="C40" s="234"/>
      <c r="D40" s="234"/>
      <c r="E40" s="234"/>
      <c r="F40" s="240"/>
      <c r="G40" s="222"/>
      <c r="H40" s="218"/>
      <c r="I40" s="219"/>
      <c r="J40" s="218"/>
      <c r="K40" s="219"/>
      <c r="L40" s="235"/>
      <c r="M40" s="220"/>
      <c r="N40" s="229"/>
      <c r="O40" s="205"/>
      <c r="P40" s="195"/>
      <c r="Q40" s="197"/>
      <c r="R40" s="195"/>
      <c r="S40" s="197"/>
      <c r="T40" s="196"/>
      <c r="U40" s="221"/>
      <c r="V40" s="223"/>
    </row>
    <row r="41" spans="1:22" ht="15.75" thickBot="1" x14ac:dyDescent="0.3">
      <c r="A41" s="326"/>
      <c r="B41" s="245"/>
      <c r="C41" s="236"/>
      <c r="D41" s="236"/>
      <c r="E41" s="236"/>
      <c r="F41" s="241"/>
      <c r="G41" s="224"/>
      <c r="H41" s="225"/>
      <c r="I41" s="226"/>
      <c r="J41" s="225"/>
      <c r="K41" s="226"/>
      <c r="L41" s="237"/>
      <c r="M41" s="227"/>
      <c r="N41" s="230"/>
      <c r="O41" s="206"/>
      <c r="P41" s="198"/>
      <c r="Q41" s="200"/>
      <c r="R41" s="198"/>
      <c r="S41" s="200"/>
      <c r="T41" s="199"/>
      <c r="U41" s="231"/>
      <c r="V41" s="228"/>
    </row>
    <row r="42" spans="1:22" ht="16.5" thickBot="1" x14ac:dyDescent="0.3">
      <c r="A42" s="263" t="s">
        <v>615</v>
      </c>
      <c r="B42" s="248">
        <f>SUM(B32:B41)</f>
        <v>45</v>
      </c>
      <c r="C42" s="249">
        <f>SUM(C32:C41)</f>
        <v>44</v>
      </c>
      <c r="D42" s="249">
        <f>SUM(D32:D41)</f>
        <v>45</v>
      </c>
      <c r="E42" s="249">
        <f>SUM(E32:E41)</f>
        <v>45</v>
      </c>
      <c r="F42" s="250" cm="1">
        <f t="array" ref="F42">SUMPRODUCT(--(ISNUMBER(SEARCH("Legacy",'Diags Raw Data'!$M$12:$M$4707))),'Diags Raw Data'!$K$12:$K$4707,'Diags Raw Data'!$P$12:$P$4707)/D42</f>
        <v>1</v>
      </c>
      <c r="G42" s="251">
        <f>SUM(G32:G41)</f>
        <v>44</v>
      </c>
      <c r="H42" s="252">
        <f>SUM(H32:H41)</f>
        <v>29</v>
      </c>
      <c r="I42" s="253">
        <f>SUM(I32:I41)</f>
        <v>15</v>
      </c>
      <c r="J42" s="252">
        <f>SUM(J32:J41)</f>
        <v>0</v>
      </c>
      <c r="K42" s="253">
        <f>SUM(K32:K41)</f>
        <v>0</v>
      </c>
      <c r="L42" s="254">
        <f>IF(NOT($C42=0), G42/$C42, "---")</f>
        <v>1</v>
      </c>
      <c r="M42" s="255">
        <f t="shared" ref="M42" si="4">IF(NOT($G42=0), (H42+I42)/$G42, "---")</f>
        <v>1</v>
      </c>
      <c r="N42" s="256">
        <f t="shared" ref="N42" si="5">IF(NOT($C42=0), (H42+I42)/$C42, "---")</f>
        <v>1</v>
      </c>
      <c r="O42" s="257">
        <f>SUM(O32:O41)</f>
        <v>7</v>
      </c>
      <c r="P42" s="258">
        <f>SUM(P32:P41)</f>
        <v>7</v>
      </c>
      <c r="Q42" s="259">
        <f>SUM(Q32:Q41)</f>
        <v>0</v>
      </c>
      <c r="R42" s="258">
        <f>SUM(R32:R41)</f>
        <v>0</v>
      </c>
      <c r="S42" s="259">
        <f>SUM(S32:S41)</f>
        <v>0</v>
      </c>
      <c r="T42" s="260">
        <f>IF(NOT($B42=0), O42/$B42, "---")</f>
        <v>0.15555555555555556</v>
      </c>
      <c r="U42" s="261">
        <f t="shared" ref="U42" si="6">IF(NOT($O42=0), (P42+Q42)/$O42, "---")</f>
        <v>1</v>
      </c>
      <c r="V42" s="262">
        <f>IF(NOT($B42=0), (P42+Q42)/$B42, "---")</f>
        <v>0.15555555555555556</v>
      </c>
    </row>
    <row r="43" spans="1:22" x14ac:dyDescent="0.25">
      <c r="A43" s="238"/>
      <c r="B43" s="238"/>
      <c r="C43" s="238"/>
      <c r="D43" s="238"/>
      <c r="E43" s="238"/>
      <c r="F43" s="238"/>
      <c r="G43" s="238"/>
      <c r="H43" s="238"/>
      <c r="I43" s="238"/>
      <c r="J43" s="238"/>
      <c r="K43" s="238"/>
      <c r="L43" s="238"/>
      <c r="M43" s="238"/>
      <c r="N43" s="238"/>
      <c r="O43" s="238"/>
      <c r="P43" s="238"/>
      <c r="Q43" s="238"/>
      <c r="R43" s="238"/>
      <c r="S43" s="238"/>
      <c r="T43" s="238"/>
      <c r="U43" s="238"/>
      <c r="V43" s="238"/>
    </row>
    <row r="45" spans="1:22" x14ac:dyDescent="0.25">
      <c r="F45" s="130"/>
    </row>
    <row r="48" spans="1:22" x14ac:dyDescent="0.25">
      <c r="F48" s="371"/>
    </row>
    <row r="49" spans="6:6" x14ac:dyDescent="0.25">
      <c r="F49" s="370"/>
    </row>
    <row r="50" spans="6:6" x14ac:dyDescent="0.25">
      <c r="F50" s="370"/>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AA123"/>
  <sheetViews>
    <sheetView zoomScale="85" zoomScaleNormal="85" workbookViewId="0">
      <pane xSplit="4" ySplit="6" topLeftCell="E66" activePane="bottomRight" state="frozen"/>
      <selection pane="topRight" activeCell="D1" sqref="D1"/>
      <selection pane="bottomLeft" activeCell="A3" sqref="A3"/>
      <selection pane="bottomRight" activeCell="H124" sqref="H124"/>
    </sheetView>
  </sheetViews>
  <sheetFormatPr defaultColWidth="8.5703125" defaultRowHeight="15" x14ac:dyDescent="0.25"/>
  <cols>
    <col min="1" max="1" width="16.85546875" style="178" bestFit="1" customWidth="1"/>
    <col min="2" max="2" width="28.28515625" style="183" bestFit="1" customWidth="1"/>
    <col min="3" max="3" width="9.85546875" style="183" bestFit="1" customWidth="1"/>
    <col min="4" max="4" width="27.85546875" style="178" customWidth="1"/>
    <col min="5" max="5" width="14.140625" style="183" bestFit="1" customWidth="1"/>
    <col min="6" max="6" width="11.140625" style="183" bestFit="1" customWidth="1"/>
    <col min="7" max="7" width="11.28515625" style="183" bestFit="1" customWidth="1"/>
    <col min="8" max="8" width="14.28515625" style="183" bestFit="1" customWidth="1"/>
    <col min="9" max="9" width="8" style="185" customWidth="1"/>
    <col min="10" max="10" width="19.42578125" style="185" customWidth="1"/>
    <col min="11" max="12" width="12.140625" style="188" customWidth="1"/>
    <col min="13" max="14" width="6.5703125" style="189" customWidth="1"/>
    <col min="15" max="15" width="9.7109375" style="188" customWidth="1"/>
    <col min="16" max="17" width="6.5703125" style="80" hidden="1" customWidth="1"/>
    <col min="18" max="18" width="11" style="192" hidden="1" customWidth="1"/>
    <col min="19" max="19" width="13.7109375" style="192" hidden="1" customWidth="1"/>
    <col min="20" max="20" width="10.140625" style="193" hidden="1" customWidth="1"/>
    <col min="21" max="22" width="8.5703125" style="178" customWidth="1"/>
    <col min="23" max="16384" width="8.5703125" style="178"/>
  </cols>
  <sheetData>
    <row r="1" spans="1:27" s="176" customFormat="1" ht="19.5" thickBot="1" x14ac:dyDescent="0.3">
      <c r="A1" s="563" t="s">
        <v>616</v>
      </c>
      <c r="B1" s="564"/>
      <c r="C1" s="564"/>
      <c r="D1" s="564"/>
      <c r="E1" s="564"/>
      <c r="F1" s="564"/>
      <c r="G1" s="564"/>
      <c r="H1" s="564"/>
      <c r="I1" s="564"/>
      <c r="J1" s="564"/>
      <c r="K1" s="564"/>
      <c r="L1" s="564"/>
      <c r="M1" s="564"/>
      <c r="N1" s="564"/>
      <c r="O1" s="564"/>
      <c r="P1" s="564"/>
      <c r="Q1" s="564"/>
      <c r="R1" s="564"/>
      <c r="S1" s="564"/>
      <c r="T1" s="564"/>
      <c r="U1" s="565"/>
    </row>
    <row r="2" spans="1:27" s="180" customFormat="1" ht="18.75" customHeight="1" x14ac:dyDescent="0.25">
      <c r="A2" s="609" t="s">
        <v>297</v>
      </c>
      <c r="B2" s="610"/>
      <c r="C2" s="610"/>
      <c r="D2" s="610"/>
      <c r="E2" s="610"/>
      <c r="F2" s="458">
        <f>COUNTA(A7:A117)</f>
        <v>110</v>
      </c>
      <c r="G2" s="363">
        <f>COUNTIF(G7:G117,"Yes")</f>
        <v>110</v>
      </c>
      <c r="H2" s="363">
        <f>COUNTIF(H7:H117,"Yes")</f>
        <v>49</v>
      </c>
      <c r="I2" s="628">
        <f>'Diags Raw Data'!K93</f>
        <v>81</v>
      </c>
      <c r="J2" s="636">
        <f>'Diags Raw Data'!L93</f>
        <v>81</v>
      </c>
      <c r="K2" s="638">
        <f>'Diags Raw Data'!N93</f>
        <v>1</v>
      </c>
      <c r="L2" s="640">
        <f>'Diags Raw Data'!P93</f>
        <v>1</v>
      </c>
      <c r="M2" s="642">
        <f>'Diags Raw Data'!R93</f>
        <v>80</v>
      </c>
      <c r="N2" s="644">
        <f>SUM('Diags Raw Data'!T93+'Diags Raw Data'!U93)</f>
        <v>80</v>
      </c>
      <c r="O2" s="632">
        <f>IF((M121=0),0,N121/M121)</f>
        <v>1</v>
      </c>
      <c r="P2" s="634">
        <f>'Diags Raw Data'!Z93</f>
        <v>7</v>
      </c>
      <c r="Q2" s="624">
        <f>SUM('Diags Raw Data'!AA93+'Diags Raw Data'!AB93)</f>
        <v>7</v>
      </c>
      <c r="R2" s="626">
        <f>IF((J121=0),0,P121/J121)</f>
        <v>8.6419753086419748E-2</v>
      </c>
      <c r="S2" s="626">
        <f>IF((P121=0),0,Q121/P121)</f>
        <v>1</v>
      </c>
      <c r="T2" s="626">
        <f>R121*S121</f>
        <v>8.6419753086419748E-2</v>
      </c>
      <c r="U2" s="652"/>
    </row>
    <row r="3" spans="1:27" ht="19.5" thickBot="1" x14ac:dyDescent="0.3">
      <c r="A3" s="612"/>
      <c r="B3" s="613"/>
      <c r="C3" s="613"/>
      <c r="D3" s="613"/>
      <c r="E3" s="613"/>
      <c r="F3" s="459"/>
      <c r="G3" s="364">
        <f>COUNTIF(G7:G117,"Yes")/COUNTA(A7:A117)</f>
        <v>1</v>
      </c>
      <c r="H3" s="364">
        <f>(COUNTIF(H8:H117,"Yes")/G121)</f>
        <v>0.44545454545454544</v>
      </c>
      <c r="I3" s="629"/>
      <c r="J3" s="637"/>
      <c r="K3" s="639"/>
      <c r="L3" s="641"/>
      <c r="M3" s="643"/>
      <c r="N3" s="645"/>
      <c r="O3" s="633"/>
      <c r="P3" s="635"/>
      <c r="Q3" s="625"/>
      <c r="R3" s="627"/>
      <c r="S3" s="627"/>
      <c r="T3" s="627"/>
      <c r="U3" s="653"/>
    </row>
    <row r="4" spans="1:27" ht="19.5" thickBot="1" x14ac:dyDescent="0.3">
      <c r="A4" s="566" t="s">
        <v>617</v>
      </c>
      <c r="B4" s="567"/>
      <c r="C4" s="567"/>
      <c r="D4" s="567"/>
      <c r="E4" s="567"/>
      <c r="F4" s="567"/>
      <c r="G4" s="567"/>
      <c r="H4" s="567"/>
      <c r="I4" s="567"/>
      <c r="J4" s="567"/>
      <c r="K4" s="567"/>
      <c r="L4" s="567"/>
      <c r="M4" s="567"/>
      <c r="N4" s="567"/>
      <c r="O4" s="567"/>
      <c r="P4" s="567"/>
      <c r="Q4" s="567"/>
      <c r="R4" s="567"/>
      <c r="S4" s="567"/>
      <c r="T4" s="567"/>
      <c r="U4" s="568"/>
    </row>
    <row r="5" spans="1:27" s="176" customFormat="1" ht="31.5" customHeight="1" thickBot="1" x14ac:dyDescent="0.3">
      <c r="A5" s="656" t="s">
        <v>150</v>
      </c>
      <c r="B5" s="657"/>
      <c r="C5" s="657"/>
      <c r="D5" s="657"/>
      <c r="E5" s="657"/>
      <c r="F5" s="657"/>
      <c r="G5" s="657"/>
      <c r="H5" s="657"/>
      <c r="I5" s="657"/>
      <c r="J5" s="658"/>
      <c r="K5" s="654" t="s">
        <v>176</v>
      </c>
      <c r="L5" s="655"/>
      <c r="M5" s="659" t="s">
        <v>184</v>
      </c>
      <c r="N5" s="660"/>
      <c r="O5" s="661"/>
      <c r="P5" s="662" t="s">
        <v>201</v>
      </c>
      <c r="Q5" s="663"/>
      <c r="R5" s="663"/>
      <c r="S5" s="663"/>
      <c r="T5" s="663"/>
      <c r="U5" s="664"/>
    </row>
    <row r="6" spans="1:27" s="177" customFormat="1" ht="75.75" thickBot="1" x14ac:dyDescent="0.3">
      <c r="A6" s="337" t="s">
        <v>63</v>
      </c>
      <c r="B6" s="351" t="s">
        <v>64</v>
      </c>
      <c r="C6" s="351" t="s">
        <v>69</v>
      </c>
      <c r="D6" s="351" t="s">
        <v>268</v>
      </c>
      <c r="E6" s="351" t="s">
        <v>66</v>
      </c>
      <c r="F6" s="351" t="s">
        <v>1</v>
      </c>
      <c r="G6" s="352" t="s">
        <v>271</v>
      </c>
      <c r="H6" s="352" t="s">
        <v>274</v>
      </c>
      <c r="I6" s="353" t="s">
        <v>72</v>
      </c>
      <c r="J6" s="353" t="s">
        <v>277</v>
      </c>
      <c r="K6" s="338" t="s">
        <v>91</v>
      </c>
      <c r="L6" s="339" t="s">
        <v>93</v>
      </c>
      <c r="M6" s="330" t="s">
        <v>283</v>
      </c>
      <c r="N6" s="331" t="s">
        <v>285</v>
      </c>
      <c r="O6" s="329" t="s">
        <v>243</v>
      </c>
      <c r="P6" s="340" t="s">
        <v>288</v>
      </c>
      <c r="Q6" s="332" t="s">
        <v>285</v>
      </c>
      <c r="R6" s="333" t="s">
        <v>240</v>
      </c>
      <c r="S6" s="333" t="s">
        <v>197</v>
      </c>
      <c r="T6" s="334" t="s">
        <v>243</v>
      </c>
      <c r="U6" s="335" t="s">
        <v>97</v>
      </c>
      <c r="V6" s="454"/>
      <c r="W6" s="177" t="s">
        <v>618</v>
      </c>
      <c r="X6" s="177" t="s">
        <v>619</v>
      </c>
      <c r="Z6" s="177" t="s">
        <v>620</v>
      </c>
      <c r="AA6" s="177" t="s">
        <v>621</v>
      </c>
    </row>
    <row r="7" spans="1:27" ht="15.75" hidden="1" thickBot="1" x14ac:dyDescent="0.3">
      <c r="A7" s="399" t="s">
        <v>441</v>
      </c>
      <c r="B7" s="404" t="str">
        <f>VLOOKUP(A7,'Feature Raw Data'!$A$3:$B$4000,2,FALSE)</f>
        <v>APCC+</v>
      </c>
      <c r="C7" s="400" t="str">
        <f>VLOOKUP(A7,'Feature Raw Data'!$A$3:$C$4209,3,FALSE)</f>
        <v>P3</v>
      </c>
      <c r="D7" s="401" t="str" cm="1">
        <f t="array" ref="D7">_xlfn.TEXTJOIN("",TRUE,IF(ISNUMBER(SEARCH($A7,'Diags Raw Data'!$A$12:$A$3703)),CONCATENATE('Diags Raw Data'!$H$12:$H$3703,", "),""))</f>
        <v/>
      </c>
      <c r="E7" s="402" t="e">
        <f>VLOOKUP(A7,'Diags Raw Data'!$A$12:$D$3703,4,FALSE)</f>
        <v>#N/A</v>
      </c>
      <c r="F7" s="402" t="str">
        <f>VLOOKUP(A7,'Feature Raw Data'!$A$3:$E$4000,5,FALSE)</f>
        <v>Legacy</v>
      </c>
      <c r="G7" s="327" t="s">
        <v>31</v>
      </c>
      <c r="H7" s="402" t="s">
        <v>36</v>
      </c>
      <c r="I7" s="405">
        <f>SUMIF('Diags Raw Data'!$A$12:$A$3703,"*"&amp;$A7&amp;"*",'Diags Raw Data'!$K$12:$K$3703)</f>
        <v>0</v>
      </c>
      <c r="J7" s="406">
        <f>SUMIF('Diags Raw Data'!$A$12:$A$3703,"*"&amp;$A7&amp;"*",'Diags Raw Data'!$L$12:$L$3703)</f>
        <v>0</v>
      </c>
      <c r="K7" s="432" cm="1">
        <f t="array" ref="K7">IF(D7="",0, SUMPRODUCT(--(ISNUMBER(SEARCH($A7,'Diags Raw Data'!$A$12:$A$3703))),'Diags Raw Data'!$L$12:$L$3703,'Diags Raw Data'!$N$12:$N$3703)/J7)</f>
        <v>0</v>
      </c>
      <c r="L7" s="433" cm="1">
        <f t="array" ref="L7">IF(D7="",0, SUMPRODUCT(--(ISNUMBER(SEARCH($A7,'Diags Raw Data'!$A$12:$A$3703))),'Diags Raw Data'!$L$12:$L$3703,'Diags Raw Data'!$P$12:$P$3703)/J7)</f>
        <v>0</v>
      </c>
      <c r="M7" s="434" cm="1">
        <f t="array" ref="M7">SUMPRODUCT(--(ISNUMBER(SEARCH($A7,'Diags Raw Data'!$A$12:$A$3703))),--('Diags Raw Data'!$Q$12:$Q$3703&lt;&gt;"N/A"),'Diags Raw Data'!$R$12:$R$3703)</f>
        <v>0</v>
      </c>
      <c r="N7" s="435" cm="1">
        <f t="array" ref="N7">SUMPRODUCT(--(ISNUMBER(SEARCH($A7,'Diags Raw Data'!$A$12:$A$3703))),--('Diags Raw Data'!$Q$12:$Q$3703&lt;&gt;"N/A"),'Diags Raw Data'!$T$12:$T$3703)+SUMPRODUCT(--(ISNUMBER(SEARCH($A7,'Diags Raw Data'!$A$12:$A$3703))),--('Diags Raw Data'!$Q$12:$Q$3703&lt;&gt;"N/A"),'Diags Raw Data'!$U$12:$U$3703)</f>
        <v>0</v>
      </c>
      <c r="O7" s="436">
        <f t="shared" ref="O7" si="0">IF((M7=0),0,N7/M7)</f>
        <v>0</v>
      </c>
      <c r="P7" s="437">
        <f>SUMIF('Diags Raw Data'!$A$12:$A$3703,"*"&amp;$A7&amp;"*",'Diags Raw Data'!$Z$12:$Z$3703)</f>
        <v>0</v>
      </c>
      <c r="Q7" s="438">
        <f>SUM(SUMIF('Diags Raw Data'!$A$12:$A$3703,"*"&amp;$A7&amp;"*",'Diags Raw Data'!$AA$12:$AA$3703),SUMIF('Diags Raw Data'!$A$12:$A$3703,"*"&amp;$A7&amp;"*",'Diags Raw Data'!$AB$12:$AB$3703))</f>
        <v>0</v>
      </c>
      <c r="R7" s="439">
        <f t="shared" ref="R7" si="1">IF((J7=0),0,P7/J7)</f>
        <v>0</v>
      </c>
      <c r="S7" s="439">
        <f t="shared" ref="S7" si="2">IF((P7=0),0,Q7/P7)</f>
        <v>0</v>
      </c>
      <c r="T7" s="440">
        <f t="shared" ref="T7" si="3">R7*S7</f>
        <v>0</v>
      </c>
      <c r="U7" s="407"/>
    </row>
    <row r="8" spans="1:27" ht="15.75" thickBot="1" x14ac:dyDescent="0.3">
      <c r="A8" s="399" t="s">
        <v>303</v>
      </c>
      <c r="B8" s="404" t="str">
        <f>VLOOKUP(A8,'Feature Raw Data'!$A$3:$B$4000,2,FALSE)</f>
        <v>GFXCLK DFLL support</v>
      </c>
      <c r="C8" s="400" t="str">
        <f>VLOOKUP(A8,'Feature Raw Data'!$A$3:$C$4209,3,FALSE)</f>
        <v>P1</v>
      </c>
      <c r="D8" s="401" t="str" cm="1">
        <f t="array" ref="D8">_xlfn.TEXTJOIN("",TRUE,IF(ISNUMBER(SEARCH($A8,'Diags Raw Data'!$A$6:$A$3703)),CONCATENATE('Diags Raw Data'!$H$6:$H$3703,", "),""))</f>
        <v xml:space="preserve">PM80.12, PM80.12, </v>
      </c>
      <c r="E8" s="402" t="str">
        <f>VLOOKUP(A8,'Diags Raw Data'!$A$12:$D$3703,4,FALSE)</f>
        <v>PMM</v>
      </c>
      <c r="F8" s="402" t="str">
        <f>VLOOKUP(A8,'Feature Raw Data'!$A$3:$E$4000,5,FALSE)</f>
        <v>Delta</v>
      </c>
      <c r="G8" s="327" t="s">
        <v>31</v>
      </c>
      <c r="H8" s="327" t="str">
        <f t="shared" ref="H8:H32" si="4">IF(D8="","No","Yes")</f>
        <v>Yes</v>
      </c>
      <c r="I8" s="405">
        <f>SUMIF('Diags Raw Data'!$A$12:$A$3703,"*"&amp;$A8&amp;"*",'Diags Raw Data'!$K$12:$K$3703)</f>
        <v>1</v>
      </c>
      <c r="J8" s="406">
        <f>SUMIF('Diags Raw Data'!$A$12:$A$3703,"*"&amp;$A8&amp;"*",'Diags Raw Data'!$L$12:$L$3703)</f>
        <v>1</v>
      </c>
      <c r="K8" s="432" cm="1">
        <f t="array" ref="K8">IF(D8="",0, SUMPRODUCT(--(ISNUMBER(SEARCH($A8,'Diags Raw Data'!$A$12:$A$3703))),'Diags Raw Data'!$L$12:$L$3703,'Diags Raw Data'!$N$12:$N$3703)/J8)</f>
        <v>1</v>
      </c>
      <c r="L8" s="433" cm="1">
        <f t="array" ref="L8">IF(D8="",0, SUMPRODUCT(--(ISNUMBER(SEARCH($A8,'Diags Raw Data'!$A$12:$A$3703))),'Diags Raw Data'!$L$12:$L$3703,'Diags Raw Data'!$P$12:$P$3703)/J8)</f>
        <v>1</v>
      </c>
      <c r="M8" s="434" cm="1">
        <f t="array" ref="M8">SUMPRODUCT(--(ISNUMBER(SEARCH($A8,'Diags Raw Data'!$A$12:$A$3703))),--('Diags Raw Data'!$Q$12:$Q$3703&lt;&gt;"N/A"),'Diags Raw Data'!$R$12:$R$3703)</f>
        <v>1</v>
      </c>
      <c r="N8" s="435" cm="1">
        <f t="array" ref="N8">SUMPRODUCT(--(ISNUMBER(SEARCH($A8,'Diags Raw Data'!$A$12:$A$3703))),--('Diags Raw Data'!$Q$12:$Q$3703&lt;&gt;"N/A"),'Diags Raw Data'!$T$12:$T$3703)+SUMPRODUCT(--(ISNUMBER(SEARCH($A8,'Diags Raw Data'!$A$12:$A$3703))),--('Diags Raw Data'!$Q$12:$Q$3703&lt;&gt;"N/A"),'Diags Raw Data'!$U$12:$U$3703)</f>
        <v>1</v>
      </c>
      <c r="O8" s="436">
        <f t="shared" ref="O8:O59" si="5">IF((M8=0),0,N8/M8)</f>
        <v>1</v>
      </c>
      <c r="P8" s="437">
        <f>SUMIF('Diags Raw Data'!$A$12:$A$3703,"*"&amp;$A8&amp;"*",'Diags Raw Data'!$Z$12:$Z$3703)</f>
        <v>0</v>
      </c>
      <c r="Q8" s="438">
        <f>SUM(SUMIF('Diags Raw Data'!$A$12:$A$3703,"*"&amp;$A8&amp;"*",'Diags Raw Data'!$AA$12:$AA$3703),SUMIF('Diags Raw Data'!$A$12:$A$3703,"*"&amp;$A8&amp;"*",'Diags Raw Data'!$AB$12:$AB$3703))</f>
        <v>0</v>
      </c>
      <c r="R8" s="439">
        <f t="shared" ref="R8:R59" si="6">IF((J8=0),0,P8/J8)</f>
        <v>0</v>
      </c>
      <c r="S8" s="439">
        <f t="shared" ref="S8:S59" si="7">IF((P8=0),0,Q8/P8)</f>
        <v>0</v>
      </c>
      <c r="T8" s="440">
        <f t="shared" ref="T8:T59" si="8">R8*S8</f>
        <v>0</v>
      </c>
      <c r="U8" s="407" t="s">
        <v>622</v>
      </c>
    </row>
    <row r="9" spans="1:27" ht="15.75" thickBot="1" x14ac:dyDescent="0.3">
      <c r="A9" s="399" t="s">
        <v>331</v>
      </c>
      <c r="B9" s="404" t="str">
        <f>VLOOKUP(A9,'Feature Raw Data'!$A$3:$B$4000,2,FALSE)</f>
        <v>Data Controller</v>
      </c>
      <c r="C9" s="400" t="str">
        <f>VLOOKUP(A9,'Feature Raw Data'!$A$3:$C$4209,3,FALSE)</f>
        <v>P1</v>
      </c>
      <c r="D9" s="401" t="str" cm="1">
        <f t="array" ref="D9">_xlfn.TEXTJOIN("",TRUE,IF(ISNUMBER(SEARCH($A9,'Diags Raw Data'!$A$6:$A$3703)),CONCATENATE('Diags Raw Data'!$H$6:$H$3703,", "),""))</f>
        <v xml:space="preserve">PM80.12, </v>
      </c>
      <c r="E9" s="402" t="str">
        <f>VLOOKUP(A9,'Diags Raw Data'!$A$12:$D$3703,4,FALSE)</f>
        <v>PMM</v>
      </c>
      <c r="F9" s="402" t="str">
        <f>VLOOKUP(A9,'Feature Raw Data'!$A$3:$E$4000,5,FALSE)</f>
        <v>Legacy</v>
      </c>
      <c r="G9" s="327" t="s">
        <v>31</v>
      </c>
      <c r="H9" s="327" t="str">
        <f t="shared" si="4"/>
        <v>Yes</v>
      </c>
      <c r="I9" s="405">
        <f>SUMIF('Diags Raw Data'!$A$12:$A$3703,"*"&amp;$A9&amp;"*",'Diags Raw Data'!$K$12:$K$3703)</f>
        <v>1</v>
      </c>
      <c r="J9" s="406">
        <f>SUMIF('Diags Raw Data'!$A$12:$A$3703,"*"&amp;$A9&amp;"*",'Diags Raw Data'!$L$12:$L$3703)</f>
        <v>1</v>
      </c>
      <c r="K9" s="432" cm="1">
        <f t="array" ref="K9">IF(D9="",0, SUMPRODUCT(--(ISNUMBER(SEARCH($A9,'Diags Raw Data'!$A$12:$A$3703))),'Diags Raw Data'!$L$12:$L$3703,'Diags Raw Data'!$N$12:$N$3703)/J9)</f>
        <v>1</v>
      </c>
      <c r="L9" s="433" cm="1">
        <f t="array" ref="L9">IF(D9="",0, SUMPRODUCT(--(ISNUMBER(SEARCH($A9,'Diags Raw Data'!$A$12:$A$3703))),'Diags Raw Data'!$L$12:$L$3703,'Diags Raw Data'!$P$12:$P$3703)/J9)</f>
        <v>1</v>
      </c>
      <c r="M9" s="434" cm="1">
        <f t="array" ref="M9">SUMPRODUCT(--(ISNUMBER(SEARCH($A9,'Diags Raw Data'!$A$12:$A$3703))),--('Diags Raw Data'!$Q$12:$Q$3703&lt;&gt;"N/A"),'Diags Raw Data'!$R$12:$R$3703)</f>
        <v>1</v>
      </c>
      <c r="N9" s="435" cm="1">
        <f t="array" ref="N9">SUMPRODUCT(--(ISNUMBER(SEARCH($A9,'Diags Raw Data'!$A$12:$A$3703))),--('Diags Raw Data'!$Q$12:$Q$3703&lt;&gt;"N/A"),'Diags Raw Data'!$T$12:$T$3703)+SUMPRODUCT(--(ISNUMBER(SEARCH($A9,'Diags Raw Data'!$A$12:$A$3703))),--('Diags Raw Data'!$Q$12:$Q$3703&lt;&gt;"N/A"),'Diags Raw Data'!$U$12:$U$3703)</f>
        <v>1</v>
      </c>
      <c r="O9" s="436">
        <f t="shared" si="5"/>
        <v>1</v>
      </c>
      <c r="P9" s="437">
        <f>SUMIF('Diags Raw Data'!$A$12:$A$3703,"*"&amp;$A9&amp;"*",'Diags Raw Data'!$Z$12:$Z$3703)</f>
        <v>1</v>
      </c>
      <c r="Q9" s="438">
        <f>SUM(SUMIF('Diags Raw Data'!$A$12:$A$3703,"*"&amp;$A9&amp;"*",'Diags Raw Data'!$AA$12:$AA$3703),SUMIF('Diags Raw Data'!$A$12:$A$3703,"*"&amp;$A9&amp;"*",'Diags Raw Data'!$AB$12:$AB$3703))</f>
        <v>1</v>
      </c>
      <c r="R9" s="439">
        <f t="shared" si="6"/>
        <v>1</v>
      </c>
      <c r="S9" s="439">
        <f t="shared" si="7"/>
        <v>1</v>
      </c>
      <c r="T9" s="440">
        <f t="shared" si="8"/>
        <v>1</v>
      </c>
      <c r="U9" s="407" t="s">
        <v>112</v>
      </c>
    </row>
    <row r="10" spans="1:27" ht="15.75" thickBot="1" x14ac:dyDescent="0.3">
      <c r="A10" s="399" t="s">
        <v>322</v>
      </c>
      <c r="B10" s="404" t="str">
        <f>VLOOKUP(A10,'Feature Raw Data'!$A$3:$B$4000,2,FALSE)</f>
        <v>Power Configurability</v>
      </c>
      <c r="C10" s="400" t="str">
        <f>VLOOKUP(A10,'Feature Raw Data'!$A$3:$C$4209,3,FALSE)</f>
        <v>P2</v>
      </c>
      <c r="D10" s="401" t="str" cm="1">
        <f t="array" ref="D10">_xlfn.TEXTJOIN("",TRUE,IF(ISNUMBER(SEARCH($A10,'Diags Raw Data'!$A$6:$A$3703)),CONCATENATE('Diags Raw Data'!$H$6:$H$3703,", "),""))</f>
        <v xml:space="preserve">PM80.12, </v>
      </c>
      <c r="E10" s="327" t="str">
        <f>VLOOKUP(A10,'Diags Raw Data'!$A$12:$D$3703,4,FALSE)</f>
        <v>PMM</v>
      </c>
      <c r="F10" s="402" t="str">
        <f>VLOOKUP(A10,'Feature Raw Data'!$A$3:$E$4000,5,FALSE)</f>
        <v>Delta</v>
      </c>
      <c r="G10" s="327" t="s">
        <v>31</v>
      </c>
      <c r="H10" s="327" t="str">
        <f t="shared" si="4"/>
        <v>Yes</v>
      </c>
      <c r="I10" s="400">
        <f>SUMIF('Diags Raw Data'!$A$12:$A$3703,"*"&amp;$A10&amp;"*",'Diags Raw Data'!$K$12:$K$3703)</f>
        <v>1</v>
      </c>
      <c r="J10" s="403">
        <f>SUMIF('Diags Raw Data'!$A$12:$A$3703,"*"&amp;$A10&amp;"*",'Diags Raw Data'!$L$12:$L$3703)</f>
        <v>1</v>
      </c>
      <c r="K10" s="432" cm="1">
        <f t="array" ref="K10">IF(D10="",0, SUMPRODUCT(--(ISNUMBER(SEARCH($A10,'Diags Raw Data'!$A$12:$A$3703))),'Diags Raw Data'!$L$12:$L$3703,'Diags Raw Data'!$N$12:$N$3703)/J10)</f>
        <v>1</v>
      </c>
      <c r="L10" s="433" cm="1">
        <f t="array" ref="L10">IF(D10="",0, SUMPRODUCT(--(ISNUMBER(SEARCH($A10,'Diags Raw Data'!$A$12:$A$3703))),'Diags Raw Data'!$L$12:$L$3703,'Diags Raw Data'!$P$12:$P$3703)/J10)</f>
        <v>1</v>
      </c>
      <c r="M10" s="434" cm="1">
        <f t="array" ref="M10">SUMPRODUCT(--(ISNUMBER(SEARCH($A10,'Diags Raw Data'!$A$12:$A$3703))),--('Diags Raw Data'!$Q$12:$Q$3703&lt;&gt;"N/A"),'Diags Raw Data'!$R$12:$R$3703)</f>
        <v>1</v>
      </c>
      <c r="N10" s="435" cm="1">
        <f t="array" ref="N10">SUMPRODUCT(--(ISNUMBER(SEARCH($A10,'Diags Raw Data'!$A$12:$A$3703))),--('Diags Raw Data'!$Q$12:$Q$3703&lt;&gt;"N/A"),'Diags Raw Data'!$T$12:$T$3703)+SUMPRODUCT(--(ISNUMBER(SEARCH($A10,'Diags Raw Data'!$A$12:$A$3703))),--('Diags Raw Data'!$Q$12:$Q$3703&lt;&gt;"N/A"),'Diags Raw Data'!$U$12:$U$3703)</f>
        <v>1</v>
      </c>
      <c r="O10" s="436">
        <f t="shared" si="5"/>
        <v>1</v>
      </c>
      <c r="P10" s="437">
        <f>SUMIF('Diags Raw Data'!$A$12:$A$3703,"*"&amp;$A10&amp;"*",'Diags Raw Data'!$Z$12:$Z$3703)</f>
        <v>0</v>
      </c>
      <c r="Q10" s="438">
        <f>SUM(SUMIF('Diags Raw Data'!$A$12:$A$3703,"*"&amp;$A10&amp;"*",'Diags Raw Data'!$AA$12:$AA$3703),SUMIF('Diags Raw Data'!$A$12:$A$3703,"*"&amp;$A10&amp;"*",'Diags Raw Data'!$AB$12:$AB$3703))</f>
        <v>0</v>
      </c>
      <c r="R10" s="439">
        <f t="shared" si="6"/>
        <v>0</v>
      </c>
      <c r="S10" s="439">
        <f t="shared" si="7"/>
        <v>0</v>
      </c>
      <c r="T10" s="440">
        <f t="shared" si="8"/>
        <v>0</v>
      </c>
      <c r="U10" s="407" t="s">
        <v>103</v>
      </c>
      <c r="Z10" s="178">
        <v>2</v>
      </c>
      <c r="AA10" s="178">
        <v>2</v>
      </c>
    </row>
    <row r="11" spans="1:27" ht="30.75" thickBot="1" x14ac:dyDescent="0.3">
      <c r="A11" s="399" t="s">
        <v>319</v>
      </c>
      <c r="B11" s="404" t="str">
        <f>VLOOKUP(A11,'Feature Raw Data'!$A$3:$B$4000,2,FALSE)</f>
        <v>Tmon/Tsense Configurability and Reading</v>
      </c>
      <c r="C11" s="400" t="str">
        <f>VLOOKUP(A11,'Feature Raw Data'!$A$3:$C$4209,3,FALSE)</f>
        <v>P1</v>
      </c>
      <c r="D11" s="401" t="str" cm="1">
        <f t="array" ref="D11">_xlfn.TEXTJOIN("",TRUE,IF(ISNUMBER(SEARCH($A11,'Diags Raw Data'!$A$6:$A$3703)),CONCATENATE('Diags Raw Data'!$H$6:$H$3703,", "),""))</f>
        <v xml:space="preserve">PM80.12, </v>
      </c>
      <c r="E11" s="327" t="str">
        <f>VLOOKUP(A11,'Diags Raw Data'!$A$12:$D$3703,4,FALSE)</f>
        <v>PMM</v>
      </c>
      <c r="F11" s="402" t="str">
        <f>VLOOKUP(A11,'Feature Raw Data'!$A$3:$E$4000,5,FALSE)</f>
        <v>Legacy</v>
      </c>
      <c r="G11" s="327" t="s">
        <v>31</v>
      </c>
      <c r="H11" s="402" t="s">
        <v>31</v>
      </c>
      <c r="I11" s="400">
        <f>SUMIF('Diags Raw Data'!$A$12:$A$3703,"*"&amp;$A11&amp;"*",'Diags Raw Data'!$K$12:$K$3703)</f>
        <v>1</v>
      </c>
      <c r="J11" s="403">
        <f>SUMIF('Diags Raw Data'!$A$12:$A$3703,"*"&amp;$A11&amp;"*",'Diags Raw Data'!$L$12:$L$3703)</f>
        <v>1</v>
      </c>
      <c r="K11" s="432" cm="1">
        <f t="array" ref="K11">IF(D11="",0, SUMPRODUCT(--(ISNUMBER(SEARCH($A11,'Diags Raw Data'!$A$12:$A$3703))),'Diags Raw Data'!$L$12:$L$3703,'Diags Raw Data'!$N$12:$N$3703)/J11)</f>
        <v>1</v>
      </c>
      <c r="L11" s="433" cm="1">
        <f t="array" ref="L11">IF(D11="",0, SUMPRODUCT(--(ISNUMBER(SEARCH($A11,'Diags Raw Data'!$A$12:$A$3703))),'Diags Raw Data'!$L$12:$L$3703,'Diags Raw Data'!$P$12:$P$3703)/J11)</f>
        <v>1</v>
      </c>
      <c r="M11" s="434" cm="1">
        <f t="array" ref="M11">SUMPRODUCT(--(ISNUMBER(SEARCH($A11,'Diags Raw Data'!$A$12:$A$3703))),--('Diags Raw Data'!$Q$12:$Q$3703&lt;&gt;"N/A"),'Diags Raw Data'!$R$12:$R$3703)</f>
        <v>1</v>
      </c>
      <c r="N11" s="435" cm="1">
        <f t="array" ref="N11">SUMPRODUCT(--(ISNUMBER(SEARCH($A11,'Diags Raw Data'!$A$12:$A$3703))),--('Diags Raw Data'!$Q$12:$Q$3703&lt;&gt;"N/A"),'Diags Raw Data'!$T$12:$T$3703)+SUMPRODUCT(--(ISNUMBER(SEARCH($A11,'Diags Raw Data'!$A$12:$A$3703))),--('Diags Raw Data'!$Q$12:$Q$3703&lt;&gt;"N/A"),'Diags Raw Data'!$U$12:$U$3703)</f>
        <v>1</v>
      </c>
      <c r="O11" s="436">
        <f t="shared" si="5"/>
        <v>1</v>
      </c>
      <c r="P11" s="437">
        <f>SUMIF('Diags Raw Data'!$A$12:$A$3703,"*"&amp;$A11&amp;"*",'Diags Raw Data'!$Z$12:$Z$3703)</f>
        <v>0</v>
      </c>
      <c r="Q11" s="438">
        <f>SUM(SUMIF('Diags Raw Data'!$A$12:$A$3703,"*"&amp;$A11&amp;"*",'Diags Raw Data'!$AA$12:$AA$3703),SUMIF('Diags Raw Data'!$A$12:$A$3703,"*"&amp;$A11&amp;"*",'Diags Raw Data'!$AB$12:$AB$3703))</f>
        <v>0</v>
      </c>
      <c r="R11" s="439">
        <f t="shared" si="6"/>
        <v>0</v>
      </c>
      <c r="S11" s="439">
        <f t="shared" si="7"/>
        <v>0</v>
      </c>
      <c r="T11" s="440">
        <f t="shared" si="8"/>
        <v>0</v>
      </c>
      <c r="U11" s="407" t="s">
        <v>623</v>
      </c>
    </row>
    <row r="12" spans="1:27" ht="15.75" hidden="1" thickBot="1" x14ac:dyDescent="0.3">
      <c r="A12" s="399" t="s">
        <v>451</v>
      </c>
      <c r="B12" s="404" t="str">
        <f>VLOOKUP(A12,'Feature Raw Data'!$A$3:$B$4000,2,FALSE)</f>
        <v>SVI3 VR Telemetry</v>
      </c>
      <c r="C12" s="400" t="str">
        <f>VLOOKUP(A12,'Feature Raw Data'!$A$3:$C$4209,3,FALSE)</f>
        <v>P1</v>
      </c>
      <c r="D12" s="401" t="str" cm="1">
        <f t="array" ref="D12">_xlfn.TEXTJOIN("",TRUE,IF(ISNUMBER(SEARCH($A12,'Diags Raw Data'!$A$12:$A$3703)),CONCATENATE('Diags Raw Data'!$H$12:$H$3703,", "),""))</f>
        <v/>
      </c>
      <c r="E12" s="327" t="e">
        <f>VLOOKUP(A12,'Diags Raw Data'!$A$12:$D$3703,4,FALSE)</f>
        <v>#N/A</v>
      </c>
      <c r="F12" s="402" t="str">
        <f>VLOOKUP(A12,'Feature Raw Data'!$A$3:$E$4000,5,FALSE)</f>
        <v>Delta</v>
      </c>
      <c r="G12" s="327" t="s">
        <v>31</v>
      </c>
      <c r="H12" s="507" t="s">
        <v>624</v>
      </c>
      <c r="I12" s="400">
        <v>1</v>
      </c>
      <c r="J12" s="403">
        <v>1</v>
      </c>
      <c r="K12" s="432" cm="1">
        <f t="array" ref="K12">IF(D12="",0, SUMPRODUCT(--(ISNUMBER(SEARCH($A12,'Diags Raw Data'!$A$12:$A$3703))),'Diags Raw Data'!$L$12:$L$3703,'Diags Raw Data'!$N$12:$N$3703)/J12)</f>
        <v>0</v>
      </c>
      <c r="L12" s="433" cm="1">
        <f t="array" ref="L12">IF(D12="",0, SUMPRODUCT(--(ISNUMBER(SEARCH($A12,'Diags Raw Data'!$A$12:$A$3703))),'Diags Raw Data'!$L$12:$L$3703,'Diags Raw Data'!$P$12:$P$3703)/J12)</f>
        <v>0</v>
      </c>
      <c r="M12" s="434" cm="1">
        <f t="array" ref="M12">SUMPRODUCT(--(ISNUMBER(SEARCH($A12,'Diags Raw Data'!$A$12:$A$3703))),--('Diags Raw Data'!$Q$12:$Q$3703&lt;&gt;"N/A"),'Diags Raw Data'!$R$12:$R$3703)</f>
        <v>0</v>
      </c>
      <c r="N12" s="435" cm="1">
        <f t="array" ref="N12">SUMPRODUCT(--(ISNUMBER(SEARCH($A12,'Diags Raw Data'!$A$12:$A$3703))),--('Diags Raw Data'!$Q$12:$Q$3703&lt;&gt;"N/A"),'Diags Raw Data'!$T$12:$T$3703)+SUMPRODUCT(--(ISNUMBER(SEARCH($A12,'Diags Raw Data'!$A$12:$A$3703))),--('Diags Raw Data'!$Q$12:$Q$3703&lt;&gt;"N/A"),'Diags Raw Data'!$U$12:$U$3703)</f>
        <v>0</v>
      </c>
      <c r="O12" s="436">
        <f t="shared" ref="O12" si="9">IF((M12=0),0,N12/M12)</f>
        <v>0</v>
      </c>
      <c r="P12" s="437">
        <f>SUMIF('Diags Raw Data'!$A$12:$A$3703,"*"&amp;$A12&amp;"*",'Diags Raw Data'!$Z$12:$Z$3703)</f>
        <v>0</v>
      </c>
      <c r="Q12" s="438">
        <f>SUM(SUMIF('Diags Raw Data'!$A$12:$A$3703,"*"&amp;$A12&amp;"*",'Diags Raw Data'!$AA$12:$AA$3703),SUMIF('Diags Raw Data'!$A$12:$A$3703,"*"&amp;$A12&amp;"*",'Diags Raw Data'!$AB$12:$AB$3703))</f>
        <v>0</v>
      </c>
      <c r="R12" s="439">
        <f t="shared" ref="R12" si="10">IF((J12=0),0,P12/J12)</f>
        <v>0</v>
      </c>
      <c r="S12" s="439">
        <f t="shared" ref="S12" si="11">IF((P12=0),0,Q12/P12)</f>
        <v>0</v>
      </c>
      <c r="T12" s="440">
        <f t="shared" ref="T12" si="12">R12*S12</f>
        <v>0</v>
      </c>
      <c r="U12" s="407"/>
      <c r="W12" s="178">
        <v>1</v>
      </c>
      <c r="X12" s="178">
        <v>1</v>
      </c>
      <c r="Y12" s="178">
        <v>2</v>
      </c>
    </row>
    <row r="13" spans="1:27" ht="15.75" hidden="1" thickBot="1" x14ac:dyDescent="0.3">
      <c r="A13" s="399" t="s">
        <v>454</v>
      </c>
      <c r="B13" s="404" t="str">
        <f>VLOOKUP(A13,'Feature Raw Data'!$A$3:$B$4000,2,FALSE)</f>
        <v>VDDSOC PCC</v>
      </c>
      <c r="C13" s="400" t="str">
        <f>VLOOKUP(A13,'Feature Raw Data'!$A$3:$C$4209,3,FALSE)</f>
        <v>P3</v>
      </c>
      <c r="D13" s="401" t="str" cm="1">
        <f t="array" ref="D13">_xlfn.TEXTJOIN("",TRUE,IF(ISNUMBER(SEARCH($A13,'Diags Raw Data'!$A$12:$A$3703)),CONCATENATE('Diags Raw Data'!$H$12:$H$3703,", "),""))</f>
        <v/>
      </c>
      <c r="E13" s="327" t="e">
        <f>VLOOKUP(A13,'Diags Raw Data'!$A$12:$D$3703,4,FALSE)</f>
        <v>#N/A</v>
      </c>
      <c r="F13" s="402" t="str">
        <f>VLOOKUP(A13,'Feature Raw Data'!$A$3:$E$4000,5,FALSE)</f>
        <v>Legacy</v>
      </c>
      <c r="G13" s="327" t="s">
        <v>31</v>
      </c>
      <c r="H13" s="460" t="s">
        <v>36</v>
      </c>
      <c r="I13" s="400">
        <f>SUMIF('Diags Raw Data'!$A$12:$A$3703,"*"&amp;$A13&amp;"*",'Diags Raw Data'!$K$12:$K$3703)</f>
        <v>0</v>
      </c>
      <c r="J13" s="403">
        <f>SUMIF('Diags Raw Data'!$A$12:$A$3703,"*"&amp;$A13&amp;"*",'Diags Raw Data'!$L$12:$L$3703)</f>
        <v>0</v>
      </c>
      <c r="K13" s="432" cm="1">
        <f t="array" ref="K13">IF(D13="",0, SUMPRODUCT(--(ISNUMBER(SEARCH($A13,'Diags Raw Data'!$A$12:$A$3703))),'Diags Raw Data'!$L$12:$L$3703,'Diags Raw Data'!$N$12:$N$3703)/J13)</f>
        <v>0</v>
      </c>
      <c r="L13" s="433" cm="1">
        <f t="array" ref="L13">IF(D13="",0, SUMPRODUCT(--(ISNUMBER(SEARCH($A13,'Diags Raw Data'!$A$12:$A$3703))),'Diags Raw Data'!$L$12:$L$3703,'Diags Raw Data'!$P$12:$P$3703)/J13)</f>
        <v>0</v>
      </c>
      <c r="M13" s="434" cm="1">
        <f t="array" ref="M13">SUMPRODUCT(--(ISNUMBER(SEARCH($A13,'Diags Raw Data'!$A$12:$A$3703))),--('Diags Raw Data'!$Q$12:$Q$3703&lt;&gt;"N/A"),'Diags Raw Data'!$R$12:$R$3703)</f>
        <v>0</v>
      </c>
      <c r="N13" s="435" cm="1">
        <f t="array" ref="N13">SUMPRODUCT(--(ISNUMBER(SEARCH($A13,'Diags Raw Data'!$A$12:$A$3703))),--('Diags Raw Data'!$Q$12:$Q$3703&lt;&gt;"N/A"),'Diags Raw Data'!$T$12:$T$3703)+SUMPRODUCT(--(ISNUMBER(SEARCH($A13,'Diags Raw Data'!$A$12:$A$3703))),--('Diags Raw Data'!$Q$12:$Q$3703&lt;&gt;"N/A"),'Diags Raw Data'!$U$12:$U$3703)</f>
        <v>0</v>
      </c>
      <c r="O13" s="436">
        <f t="shared" si="5"/>
        <v>0</v>
      </c>
      <c r="P13" s="437">
        <f>SUMIF('Diags Raw Data'!$A$12:$A$3703,"*"&amp;$A13&amp;"*",'Diags Raw Data'!$Z$12:$Z$3703)</f>
        <v>0</v>
      </c>
      <c r="Q13" s="438">
        <f>SUM(SUMIF('Diags Raw Data'!$A$12:$A$3703,"*"&amp;$A13&amp;"*",'Diags Raw Data'!$AA$12:$AA$3703),SUMIF('Diags Raw Data'!$A$12:$A$3703,"*"&amp;$A13&amp;"*",'Diags Raw Data'!$AB$12:$AB$3703))</f>
        <v>0</v>
      </c>
      <c r="R13" s="439">
        <f t="shared" si="6"/>
        <v>0</v>
      </c>
      <c r="S13" s="439">
        <f t="shared" si="7"/>
        <v>0</v>
      </c>
      <c r="T13" s="440">
        <f t="shared" si="8"/>
        <v>0</v>
      </c>
      <c r="U13" s="407"/>
    </row>
    <row r="14" spans="1:27" ht="15.75" thickBot="1" x14ac:dyDescent="0.3">
      <c r="A14" s="399" t="s">
        <v>316</v>
      </c>
      <c r="B14" s="404" t="str">
        <f>VLOOKUP(A14,'Feature Raw Data'!$A$3:$B$4000,2,FALSE)</f>
        <v>DRAM Temperature reading</v>
      </c>
      <c r="C14" s="400" t="str">
        <f>VLOOKUP(A14,'Feature Raw Data'!$A$3:$C$4209,3,FALSE)</f>
        <v>P1</v>
      </c>
      <c r="D14" s="401" t="str" cm="1">
        <f t="array" ref="D14">_xlfn.TEXTJOIN("",TRUE,IF(ISNUMBER(SEARCH($A14,'Diags Raw Data'!$A$6:$A$3703)),CONCATENATE('Diags Raw Data'!$H$6:$H$3703,", "),""))</f>
        <v xml:space="preserve">PM80.12, </v>
      </c>
      <c r="E14" s="327" t="str">
        <f>VLOOKUP(A14,'Diags Raw Data'!$A$12:$D$3703,4,FALSE)</f>
        <v>PMM</v>
      </c>
      <c r="F14" s="402" t="str">
        <f>VLOOKUP(A14,'Feature Raw Data'!$A$3:$E$4000,5,FALSE)</f>
        <v>Delta</v>
      </c>
      <c r="G14" s="327" t="s">
        <v>31</v>
      </c>
      <c r="H14" s="460" t="s">
        <v>31</v>
      </c>
      <c r="I14" s="405">
        <f>SUMIF('Diags Raw Data'!$A$12:$A$3703,"*"&amp;$A14&amp;"*",'Diags Raw Data'!$K$12:$K$3703)</f>
        <v>1</v>
      </c>
      <c r="J14" s="406">
        <f>SUMIF('Diags Raw Data'!$A$12:$A$3703,"*"&amp;$A14&amp;"*",'Diags Raw Data'!$L$12:$L$3703)</f>
        <v>1</v>
      </c>
      <c r="K14" s="432" cm="1">
        <f t="array" ref="K14">IF(D14="",0, SUMPRODUCT(--(ISNUMBER(SEARCH($A14,'Diags Raw Data'!$A$12:$A$3703))),'Diags Raw Data'!$L$12:$L$3703,'Diags Raw Data'!$N$12:$N$3703)/J14)</f>
        <v>1</v>
      </c>
      <c r="L14" s="433" cm="1">
        <f t="array" ref="L14">IF(D14="",0, SUMPRODUCT(--(ISNUMBER(SEARCH($A14,'Diags Raw Data'!$A$12:$A$3703))),'Diags Raw Data'!$L$12:$L$3703,'Diags Raw Data'!$P$12:$P$3703)/J14)</f>
        <v>1</v>
      </c>
      <c r="M14" s="434" cm="1">
        <f t="array" ref="M14">SUMPRODUCT(--(ISNUMBER(SEARCH($A14,'Diags Raw Data'!$A$12:$A$3703))),--('Diags Raw Data'!$Q$12:$Q$3703&lt;&gt;"N/A"),'Diags Raw Data'!$R$12:$R$3703)</f>
        <v>1</v>
      </c>
      <c r="N14" s="435" cm="1">
        <f t="array" ref="N14">SUMPRODUCT(--(ISNUMBER(SEARCH($A14,'Diags Raw Data'!$A$12:$A$3703))),--('Diags Raw Data'!$Q$12:$Q$3703&lt;&gt;"N/A"),'Diags Raw Data'!$T$12:$T$3703)+SUMPRODUCT(--(ISNUMBER(SEARCH($A14,'Diags Raw Data'!$A$12:$A$3703))),--('Diags Raw Data'!$Q$12:$Q$3703&lt;&gt;"N/A"),'Diags Raw Data'!$U$12:$U$3703)</f>
        <v>1</v>
      </c>
      <c r="O14" s="436">
        <f t="shared" si="5"/>
        <v>1</v>
      </c>
      <c r="P14" s="437">
        <f>SUMIF('Diags Raw Data'!$A$12:$A$3703,"*"&amp;$A14&amp;"*",'Diags Raw Data'!$Z$12:$Z$3703)</f>
        <v>0</v>
      </c>
      <c r="Q14" s="438">
        <f>SUM(SUMIF('Diags Raw Data'!$A$12:$A$3703,"*"&amp;$A14&amp;"*",'Diags Raw Data'!$AA$12:$AA$3703),SUMIF('Diags Raw Data'!$A$12:$A$3703,"*"&amp;$A14&amp;"*",'Diags Raw Data'!$AB$12:$AB$3703))</f>
        <v>0</v>
      </c>
      <c r="R14" s="439">
        <f t="shared" si="6"/>
        <v>0</v>
      </c>
      <c r="S14" s="439">
        <f t="shared" si="7"/>
        <v>0</v>
      </c>
      <c r="T14" s="440">
        <f t="shared" si="8"/>
        <v>0</v>
      </c>
      <c r="U14" s="407" t="s">
        <v>625</v>
      </c>
    </row>
    <row r="15" spans="1:27" ht="60.75" thickBot="1" x14ac:dyDescent="0.3">
      <c r="A15" s="399" t="s">
        <v>308</v>
      </c>
      <c r="B15" s="404" t="str">
        <f>VLOOKUP(A15,'Feature Raw Data'!$A$3:$B$4000,2,FALSE)</f>
        <v>FW DPM Tester</v>
      </c>
      <c r="C15" s="400" t="str">
        <f>VLOOKUP(A15,'Feature Raw Data'!$A$3:$C$4209,3,FALSE)</f>
        <v>P1</v>
      </c>
      <c r="D15" s="401" t="str" cm="1">
        <f t="array" ref="D15">_xlfn.TEXTJOIN("",TRUE,IF(ISNUMBER(SEARCH($A15,'Diags Raw Data'!$A$6:$A$3703)),CONCATENATE('Diags Raw Data'!$H$6:$H$3703,", "),""))</f>
        <v xml:space="preserve">PM80.12, PM80.12, PM80.12, PM80.12, PM23.1, PM80.12, PM80.12, </v>
      </c>
      <c r="E15" s="327" t="str">
        <f>VLOOKUP(A15,'Diags Raw Data'!$A$12:$D$3703,4,FALSE)</f>
        <v>PMM</v>
      </c>
      <c r="F15" s="402" t="str">
        <f>VLOOKUP(A15,'Feature Raw Data'!$A$3:$E$4000,5,FALSE)</f>
        <v>Delta</v>
      </c>
      <c r="G15" s="327" t="s">
        <v>31</v>
      </c>
      <c r="H15" s="327" t="str">
        <f t="shared" si="4"/>
        <v>Yes</v>
      </c>
      <c r="I15" s="405">
        <f>SUMIF('Diags Raw Data'!$A$12:$A$3703,"*"&amp;$A15&amp;"*",'Diags Raw Data'!$K$12:$K$3703)</f>
        <v>6</v>
      </c>
      <c r="J15" s="406">
        <f>SUMIF('Diags Raw Data'!$A$12:$A$3703,"*"&amp;$A15&amp;"*",'Diags Raw Data'!$L$12:$L$3703)</f>
        <v>6</v>
      </c>
      <c r="K15" s="432" cm="1">
        <f t="array" ref="K15">IF(D15="",0, SUMPRODUCT(--(ISNUMBER(SEARCH($A15,'Diags Raw Data'!$A$12:$A$3703))),'Diags Raw Data'!$L$12:$L$3703,'Diags Raw Data'!$N$12:$N$3703)/J15)</f>
        <v>1</v>
      </c>
      <c r="L15" s="433" cm="1">
        <f t="array" ref="L15">IF(D15="",0, SUMPRODUCT(--(ISNUMBER(SEARCH($A15,'Diags Raw Data'!$A$12:$A$3703))),'Diags Raw Data'!$L$12:$L$3703,'Diags Raw Data'!$P$12:$P$3703)/J15)</f>
        <v>1</v>
      </c>
      <c r="M15" s="434" cm="1">
        <f t="array" ref="M15">SUMPRODUCT(--(ISNUMBER(SEARCH($A15,'Diags Raw Data'!$A$12:$A$3703))),--('Diags Raw Data'!$Q$12:$Q$3703&lt;&gt;"N/A"),'Diags Raw Data'!$R$12:$R$3703)</f>
        <v>6</v>
      </c>
      <c r="N15" s="435" cm="1">
        <f t="array" ref="N15">SUMPRODUCT(--(ISNUMBER(SEARCH($A15,'Diags Raw Data'!$A$12:$A$3703))),--('Diags Raw Data'!$Q$12:$Q$3703&lt;&gt;"N/A"),'Diags Raw Data'!$T$12:$T$3703)+SUMPRODUCT(--(ISNUMBER(SEARCH($A15,'Diags Raw Data'!$A$12:$A$3703))),--('Diags Raw Data'!$Q$12:$Q$3703&lt;&gt;"N/A"),'Diags Raw Data'!$U$12:$U$3703)</f>
        <v>6</v>
      </c>
      <c r="O15" s="436">
        <f t="shared" si="5"/>
        <v>1</v>
      </c>
      <c r="P15" s="437">
        <f>SUMIF('Diags Raw Data'!$A$12:$A$3703,"*"&amp;$A15&amp;"*",'Diags Raw Data'!$Z$12:$Z$3703)</f>
        <v>0</v>
      </c>
      <c r="Q15" s="438">
        <f>SUM(SUMIF('Diags Raw Data'!$A$12:$A$3703,"*"&amp;$A15&amp;"*",'Diags Raw Data'!$AA$12:$AA$3703),SUMIF('Diags Raw Data'!$A$12:$A$3703,"*"&amp;$A15&amp;"*",'Diags Raw Data'!$AB$12:$AB$3703))</f>
        <v>0</v>
      </c>
      <c r="R15" s="439">
        <f t="shared" si="6"/>
        <v>0</v>
      </c>
      <c r="S15" s="439">
        <f t="shared" si="7"/>
        <v>0</v>
      </c>
      <c r="T15" s="440">
        <f t="shared" si="8"/>
        <v>0</v>
      </c>
      <c r="U15" s="407" t="s">
        <v>622</v>
      </c>
    </row>
    <row r="16" spans="1:27" ht="15.75" thickBot="1" x14ac:dyDescent="0.3">
      <c r="A16" s="399" t="s">
        <v>328</v>
      </c>
      <c r="B16" s="404" t="str">
        <f>VLOOKUP(A16,'Feature Raw Data'!$A$3:$B$4000,2,FALSE)</f>
        <v>FW Logger</v>
      </c>
      <c r="C16" s="400" t="str">
        <f>VLOOKUP(A16,'Feature Raw Data'!$A$3:$C$4209,3,FALSE)</f>
        <v>P1</v>
      </c>
      <c r="D16" s="401" t="str" cm="1">
        <f t="array" ref="D16">_xlfn.TEXTJOIN("",TRUE,IF(ISNUMBER(SEARCH($A16,'Diags Raw Data'!$A$6:$A$3703)),CONCATENATE('Diags Raw Data'!$H$6:$H$3703,", "),""))</f>
        <v xml:space="preserve">PM80.12, </v>
      </c>
      <c r="E16" s="327" t="str">
        <f>VLOOKUP(A16,'Diags Raw Data'!$A$12:$D$3703,4,FALSE)</f>
        <v>PMM</v>
      </c>
      <c r="F16" s="402" t="str">
        <f>VLOOKUP(A16,'Feature Raw Data'!$A$3:$E$4000,5,FALSE)</f>
        <v>Legacy</v>
      </c>
      <c r="G16" s="327" t="s">
        <v>31</v>
      </c>
      <c r="H16" s="327" t="str">
        <f t="shared" si="4"/>
        <v>Yes</v>
      </c>
      <c r="I16" s="405">
        <f>SUMIF('Diags Raw Data'!$A$12:$A$3703,"*"&amp;$A16&amp;"*",'Diags Raw Data'!$K$12:$K$3703)</f>
        <v>1</v>
      </c>
      <c r="J16" s="406">
        <f>SUMIF('Diags Raw Data'!$A$12:$A$3703,"*"&amp;$A16&amp;"*",'Diags Raw Data'!$L$12:$L$3703)</f>
        <v>1</v>
      </c>
      <c r="K16" s="432" cm="1">
        <f t="array" ref="K16">IF(D16="",0, SUMPRODUCT(--(ISNUMBER(SEARCH($A16,'Diags Raw Data'!$A$12:$A$3703))),'Diags Raw Data'!$L$12:$L$3703,'Diags Raw Data'!$N$12:$N$3703)/J16)</f>
        <v>1</v>
      </c>
      <c r="L16" s="433" cm="1">
        <f t="array" ref="L16">IF(D16="",0, SUMPRODUCT(--(ISNUMBER(SEARCH($A16,'Diags Raw Data'!$A$12:$A$3703))),'Diags Raw Data'!$L$12:$L$3703,'Diags Raw Data'!$P$12:$P$3703)/J16)</f>
        <v>1</v>
      </c>
      <c r="M16" s="434" cm="1">
        <f t="array" ref="M16">SUMPRODUCT(--(ISNUMBER(SEARCH($A16,'Diags Raw Data'!$A$12:$A$3703))),--('Diags Raw Data'!$Q$12:$Q$3703&lt;&gt;"N/A"),'Diags Raw Data'!$R$12:$R$3703)</f>
        <v>1</v>
      </c>
      <c r="N16" s="435" cm="1">
        <f t="array" ref="N16">SUMPRODUCT(--(ISNUMBER(SEARCH($A16,'Diags Raw Data'!$A$12:$A$3703))),--('Diags Raw Data'!$Q$12:$Q$3703&lt;&gt;"N/A"),'Diags Raw Data'!$T$12:$T$3703)+SUMPRODUCT(--(ISNUMBER(SEARCH($A16,'Diags Raw Data'!$A$12:$A$3703))),--('Diags Raw Data'!$Q$12:$Q$3703&lt;&gt;"N/A"),'Diags Raw Data'!$U$12:$U$3703)</f>
        <v>1</v>
      </c>
      <c r="O16" s="436">
        <f t="shared" si="5"/>
        <v>1</v>
      </c>
      <c r="P16" s="437">
        <f>SUMIF('Diags Raw Data'!$A$12:$A$3703,"*"&amp;$A16&amp;"*",'Diags Raw Data'!$Z$12:$Z$3703)</f>
        <v>1</v>
      </c>
      <c r="Q16" s="438">
        <f>SUM(SUMIF('Diags Raw Data'!$A$12:$A$3703,"*"&amp;$A16&amp;"*",'Diags Raw Data'!$AA$12:$AA$3703),SUMIF('Diags Raw Data'!$A$12:$A$3703,"*"&amp;$A16&amp;"*",'Diags Raw Data'!$AB$12:$AB$3703))</f>
        <v>1</v>
      </c>
      <c r="R16" s="439">
        <f t="shared" si="6"/>
        <v>1</v>
      </c>
      <c r="S16" s="439">
        <f t="shared" si="7"/>
        <v>1</v>
      </c>
      <c r="T16" s="440">
        <f t="shared" si="8"/>
        <v>1</v>
      </c>
      <c r="U16" s="407" t="s">
        <v>112</v>
      </c>
      <c r="W16" s="178">
        <v>1</v>
      </c>
      <c r="X16" s="178">
        <v>2</v>
      </c>
      <c r="Y16" s="178">
        <v>5</v>
      </c>
    </row>
    <row r="17" spans="1:27" s="179" customFormat="1" ht="15.75" thickBot="1" x14ac:dyDescent="0.3">
      <c r="A17" s="399" t="s">
        <v>333</v>
      </c>
      <c r="B17" s="404" t="str">
        <f>VLOOKUP(A17,'Feature Raw Data'!$A$3:$B$4000,2,FALSE)</f>
        <v>FCLK DPM</v>
      </c>
      <c r="C17" s="400" t="str">
        <f>VLOOKUP(A17,'Feature Raw Data'!$A$3:$C$4209,3,FALSE)</f>
        <v>P1</v>
      </c>
      <c r="D17" s="401" t="str" cm="1">
        <f t="array" ref="D17">_xlfn.TEXTJOIN("",TRUE,IF(ISNUMBER(SEARCH($A17,'Diags Raw Data'!$A$6:$A$3703)),CONCATENATE('Diags Raw Data'!$H$6:$H$3703,", "),""))</f>
        <v xml:space="preserve">PM80.12, PM80.12, </v>
      </c>
      <c r="E17" s="327" t="str">
        <f>VLOOKUP(A17,'Diags Raw Data'!$A$12:$D$3703,4,FALSE)</f>
        <v>PMM</v>
      </c>
      <c r="F17" s="402" t="str">
        <f>VLOOKUP(A17,'Feature Raw Data'!$A$3:$E$4000,5,FALSE)</f>
        <v>Delta</v>
      </c>
      <c r="G17" s="327" t="s">
        <v>31</v>
      </c>
      <c r="H17" s="327" t="s">
        <v>31</v>
      </c>
      <c r="I17" s="405">
        <f>SUMIF('Diags Raw Data'!$A$12:$A$3703,"*"&amp;$A17&amp;"*",'Diags Raw Data'!$K$12:$K$3703)</f>
        <v>2</v>
      </c>
      <c r="J17" s="406">
        <f>SUMIF('Diags Raw Data'!$A$12:$A$3703,"*"&amp;$A17&amp;"*",'Diags Raw Data'!$L$12:$L$3703)</f>
        <v>2</v>
      </c>
      <c r="K17" s="432" cm="1">
        <f t="array" ref="K17">IF(D17="",0, SUMPRODUCT(--(ISNUMBER(SEARCH($A17,'Diags Raw Data'!$A$12:$A$3703))),'Diags Raw Data'!$L$12:$L$3703,'Diags Raw Data'!$N$12:$N$3703)/J17)</f>
        <v>1</v>
      </c>
      <c r="L17" s="433" cm="1">
        <f t="array" ref="L17">IF(D17="",0, SUMPRODUCT(--(ISNUMBER(SEARCH($A17,'Diags Raw Data'!$A$12:$A$3703))),'Diags Raw Data'!$L$12:$L$3703,'Diags Raw Data'!$P$12:$P$3703)/J17)</f>
        <v>1</v>
      </c>
      <c r="M17" s="434" cm="1">
        <f t="array" ref="M17">SUMPRODUCT(--(ISNUMBER(SEARCH($A17,'Diags Raw Data'!$A$12:$A$3703))),--('Diags Raw Data'!$Q$12:$Q$3703&lt;&gt;"N/A"),'Diags Raw Data'!$R$12:$R$3703)</f>
        <v>2</v>
      </c>
      <c r="N17" s="435" cm="1">
        <f t="array" ref="N17">SUMPRODUCT(--(ISNUMBER(SEARCH($A17,'Diags Raw Data'!$A$12:$A$3703))),--('Diags Raw Data'!$Q$12:$Q$3703&lt;&gt;"N/A"),'Diags Raw Data'!$T$12:$T$3703)+SUMPRODUCT(--(ISNUMBER(SEARCH($A17,'Diags Raw Data'!$A$12:$A$3703))),--('Diags Raw Data'!$Q$12:$Q$3703&lt;&gt;"N/A"),'Diags Raw Data'!$U$12:$U$3703)</f>
        <v>2</v>
      </c>
      <c r="O17" s="436">
        <f t="shared" si="5"/>
        <v>1</v>
      </c>
      <c r="P17" s="437">
        <f>SUMIF('Diags Raw Data'!$A$12:$A$3703,"*"&amp;$A17&amp;"*",'Diags Raw Data'!$Z$12:$Z$3703)</f>
        <v>0</v>
      </c>
      <c r="Q17" s="438">
        <f>SUM(SUMIF('Diags Raw Data'!$A$12:$A$3703,"*"&amp;$A17&amp;"*",'Diags Raw Data'!$AA$12:$AA$3703),SUMIF('Diags Raw Data'!$A$12:$A$3703,"*"&amp;$A17&amp;"*",'Diags Raw Data'!$AB$12:$AB$3703))</f>
        <v>0</v>
      </c>
      <c r="R17" s="439">
        <f t="shared" si="6"/>
        <v>0</v>
      </c>
      <c r="S17" s="439">
        <f t="shared" si="7"/>
        <v>0</v>
      </c>
      <c r="T17" s="440">
        <f t="shared" si="8"/>
        <v>0</v>
      </c>
      <c r="U17" s="407" t="s">
        <v>103</v>
      </c>
      <c r="W17" s="178"/>
      <c r="Z17" s="178"/>
    </row>
    <row r="18" spans="1:27" ht="15.75" thickBot="1" x14ac:dyDescent="0.3">
      <c r="A18" s="399" t="s">
        <v>340</v>
      </c>
      <c r="B18" s="404" t="str">
        <f>VLOOKUP(A18,'Feature Raw Data'!$A$3:$B$4000,2,FALSE)</f>
        <v>UCLK DPM</v>
      </c>
      <c r="C18" s="400" t="str">
        <f>VLOOKUP(A18,'Feature Raw Data'!$A$3:$C$4209,3,FALSE)</f>
        <v>P1</v>
      </c>
      <c r="D18" s="401" t="str" cm="1">
        <f t="array" ref="D18">_xlfn.TEXTJOIN("",TRUE,IF(ISNUMBER(SEARCH($A18,'Diags Raw Data'!$A$6:$A$3703)),CONCATENATE('Diags Raw Data'!$H$6:$H$3703,", "),""))</f>
        <v xml:space="preserve">PM80.12, PM80.12, </v>
      </c>
      <c r="E18" s="327" t="str">
        <f>VLOOKUP(A18,'Diags Raw Data'!$A$12:$D$3703,4,FALSE)</f>
        <v>PMM</v>
      </c>
      <c r="F18" s="402" t="str">
        <f>VLOOKUP(A18,'Feature Raw Data'!$A$3:$E$4000,5,FALSE)</f>
        <v>Delta</v>
      </c>
      <c r="G18" s="327" t="s">
        <v>31</v>
      </c>
      <c r="H18" s="460" t="s">
        <v>31</v>
      </c>
      <c r="I18" s="405">
        <f>SUMIF('Diags Raw Data'!$A$12:$A$3703,"*"&amp;$A18&amp;"*",'Diags Raw Data'!$K$12:$K$3703)</f>
        <v>2</v>
      </c>
      <c r="J18" s="406">
        <f>SUMIF('Diags Raw Data'!$A$12:$A$3703,"*"&amp;$A18&amp;"*",'Diags Raw Data'!$L$12:$L$3703)</f>
        <v>2</v>
      </c>
      <c r="K18" s="432" cm="1">
        <f t="array" ref="K18">IF(D18="",0, SUMPRODUCT(--(ISNUMBER(SEARCH($A18,'Diags Raw Data'!$A$12:$A$3703))),'Diags Raw Data'!$L$12:$L$3703,'Diags Raw Data'!$N$12:$N$3703)/J18)</f>
        <v>1</v>
      </c>
      <c r="L18" s="433" cm="1">
        <f t="array" ref="L18">IF(D18="",0, SUMPRODUCT(--(ISNUMBER(SEARCH($A18,'Diags Raw Data'!$A$12:$A$3703))),'Diags Raw Data'!$L$12:$L$3703,'Diags Raw Data'!$P$12:$P$3703)/J18)</f>
        <v>1</v>
      </c>
      <c r="M18" s="434" cm="1">
        <f t="array" ref="M18">SUMPRODUCT(--(ISNUMBER(SEARCH($A18,'Diags Raw Data'!$A$12:$A$3703))),--('Diags Raw Data'!$Q$12:$Q$3703&lt;&gt;"N/A"),'Diags Raw Data'!$R$12:$R$3703)</f>
        <v>2</v>
      </c>
      <c r="N18" s="435" cm="1">
        <f t="array" ref="N18">SUMPRODUCT(--(ISNUMBER(SEARCH($A18,'Diags Raw Data'!$A$12:$A$3703))),--('Diags Raw Data'!$Q$12:$Q$3703&lt;&gt;"N/A"),'Diags Raw Data'!$T$12:$T$3703)+SUMPRODUCT(--(ISNUMBER(SEARCH($A18,'Diags Raw Data'!$A$12:$A$3703))),--('Diags Raw Data'!$Q$12:$Q$3703&lt;&gt;"N/A"),'Diags Raw Data'!$U$12:$U$3703)</f>
        <v>2</v>
      </c>
      <c r="O18" s="436">
        <f t="shared" si="5"/>
        <v>1</v>
      </c>
      <c r="P18" s="437">
        <f>SUMIF('Diags Raw Data'!$A$12:$A$3703,"*"&amp;$A18&amp;"*",'Diags Raw Data'!$Z$12:$Z$3703)</f>
        <v>0</v>
      </c>
      <c r="Q18" s="438">
        <f>SUM(SUMIF('Diags Raw Data'!$A$12:$A$3703,"*"&amp;$A18&amp;"*",'Diags Raw Data'!$AA$12:$AA$3703),SUMIF('Diags Raw Data'!$A$12:$A$3703,"*"&amp;$A18&amp;"*",'Diags Raw Data'!$AB$12:$AB$3703))</f>
        <v>0</v>
      </c>
      <c r="R18" s="439">
        <f t="shared" si="6"/>
        <v>0</v>
      </c>
      <c r="S18" s="439">
        <f t="shared" si="7"/>
        <v>0</v>
      </c>
      <c r="T18" s="440">
        <f t="shared" si="8"/>
        <v>0</v>
      </c>
      <c r="U18" s="407" t="s">
        <v>626</v>
      </c>
    </row>
    <row r="19" spans="1:27" ht="15.75" hidden="1" thickBot="1" x14ac:dyDescent="0.3">
      <c r="A19" s="399" t="s">
        <v>466</v>
      </c>
      <c r="B19" s="404" t="str">
        <f>VLOOKUP(A19,'Feature Raw Data'!$A$3:$B$4000,2,FALSE)</f>
        <v>Link DPM</v>
      </c>
      <c r="C19" s="400" t="str">
        <f>VLOOKUP(A19,'Feature Raw Data'!$A$3:$C$4209,3,FALSE)</f>
        <v>P2</v>
      </c>
      <c r="D19" s="401" t="str" cm="1">
        <f t="array" ref="D19">_xlfn.TEXTJOIN("",TRUE,IF(ISNUMBER(SEARCH($A19,'Diags Raw Data'!$A$12:$A$3703)),CONCATENATE('Diags Raw Data'!$H$12:$H$3703,", "),""))</f>
        <v/>
      </c>
      <c r="E19" s="327" t="e">
        <f>VLOOKUP(A19,'Diags Raw Data'!$A$12:$D$3703,4,FALSE)</f>
        <v>#N/A</v>
      </c>
      <c r="F19" s="402" t="str">
        <f>VLOOKUP(A19,'Feature Raw Data'!$A$3:$E$4000,5,FALSE)</f>
        <v>Delta</v>
      </c>
      <c r="G19" s="327" t="s">
        <v>31</v>
      </c>
      <c r="H19" s="507" t="s">
        <v>624</v>
      </c>
      <c r="I19" s="405">
        <v>1</v>
      </c>
      <c r="J19" s="406">
        <v>1</v>
      </c>
      <c r="K19" s="432" cm="1">
        <f t="array" ref="K19">IF(D19="",0, SUMPRODUCT(--(ISNUMBER(SEARCH($A19,'Diags Raw Data'!$A$12:$A$3703))),'Diags Raw Data'!$L$12:$L$3703,'Diags Raw Data'!$N$12:$N$3703)/J19)</f>
        <v>0</v>
      </c>
      <c r="L19" s="433" cm="1">
        <f t="array" ref="L19">IF(D19="",0, SUMPRODUCT(--(ISNUMBER(SEARCH($A19,'Diags Raw Data'!$A$12:$A$3703))),'Diags Raw Data'!$L$12:$L$3703,'Diags Raw Data'!$P$12:$P$3703)/J19)</f>
        <v>0</v>
      </c>
      <c r="M19" s="434" cm="1">
        <f t="array" ref="M19">SUMPRODUCT(--(ISNUMBER(SEARCH($A19,'Diags Raw Data'!$A$12:$A$3703))),--('Diags Raw Data'!$Q$12:$Q$3703&lt;&gt;"N/A"),'Diags Raw Data'!$R$12:$R$3703)</f>
        <v>0</v>
      </c>
      <c r="N19" s="435" cm="1">
        <f t="array" ref="N19">SUMPRODUCT(--(ISNUMBER(SEARCH($A19,'Diags Raw Data'!$A$12:$A$3703))),--('Diags Raw Data'!$Q$12:$Q$3703&lt;&gt;"N/A"),'Diags Raw Data'!$T$12:$T$3703)+SUMPRODUCT(--(ISNUMBER(SEARCH($A19,'Diags Raw Data'!$A$12:$A$3703))),--('Diags Raw Data'!$Q$12:$Q$3703&lt;&gt;"N/A"),'Diags Raw Data'!$U$12:$U$3703)</f>
        <v>0</v>
      </c>
      <c r="O19" s="436">
        <f t="shared" ref="O19:O20" si="13">IF((M19=0),0,N19/M19)</f>
        <v>0</v>
      </c>
      <c r="P19" s="437">
        <f>SUMIF('Diags Raw Data'!$A$12:$A$3703,"*"&amp;$A19&amp;"*",'Diags Raw Data'!$Z$12:$Z$3703)</f>
        <v>0</v>
      </c>
      <c r="Q19" s="438">
        <f>SUM(SUMIF('Diags Raw Data'!$A$12:$A$3703,"*"&amp;$A19&amp;"*",'Diags Raw Data'!$AA$12:$AA$3703),SUMIF('Diags Raw Data'!$A$12:$A$3703,"*"&amp;$A19&amp;"*",'Diags Raw Data'!$AB$12:$AB$3703))</f>
        <v>0</v>
      </c>
      <c r="R19" s="439">
        <f t="shared" ref="R19:R20" si="14">IF((J19=0),0,P19/J19)</f>
        <v>0</v>
      </c>
      <c r="S19" s="439">
        <f t="shared" ref="S19:S20" si="15">IF((P19=0),0,Q19/P19)</f>
        <v>0</v>
      </c>
      <c r="T19" s="440">
        <f t="shared" ref="T19:T20" si="16">R19*S19</f>
        <v>0</v>
      </c>
      <c r="U19" s="407"/>
      <c r="W19" s="178">
        <v>1</v>
      </c>
      <c r="X19" s="178">
        <v>2</v>
      </c>
      <c r="Y19" s="178">
        <v>3</v>
      </c>
    </row>
    <row r="20" spans="1:27" ht="15.75" thickBot="1" x14ac:dyDescent="0.3">
      <c r="A20" s="399" t="s">
        <v>345</v>
      </c>
      <c r="B20" s="404" t="str">
        <f>VLOOKUP(A20,'Feature Raw Data'!$A$3:$B$4000,2,FALSE)</f>
        <v>SOCCLK DPM</v>
      </c>
      <c r="C20" s="400" t="str">
        <f>VLOOKUP(A20,'Feature Raw Data'!$A$3:$C$4209,3,FALSE)</f>
        <v>P1</v>
      </c>
      <c r="D20" s="401" t="str" cm="1">
        <f t="array" ref="D20">_xlfn.TEXTJOIN("",TRUE,IF(ISNUMBER(SEARCH($A20,'Diags Raw Data'!$A$6:$A$3703)),CONCATENATE('Diags Raw Data'!$H$6:$H$3703,", "),""))</f>
        <v xml:space="preserve">PM20.1, PM80.12, PM80.13, </v>
      </c>
      <c r="E20" s="327" t="str">
        <f>VLOOKUP(A20,'Diags Raw Data'!$A$12:$D$3703,4,FALSE)</f>
        <v>PMM</v>
      </c>
      <c r="F20" s="402" t="str">
        <f>VLOOKUP(A20,'Feature Raw Data'!$A$3:$E$4000,5,FALSE)</f>
        <v>Legacy</v>
      </c>
      <c r="G20" s="327" t="s">
        <v>31</v>
      </c>
      <c r="H20" s="327" t="str">
        <f t="shared" ref="H20" si="17">IF(D20="","No","Yes")</f>
        <v>Yes</v>
      </c>
      <c r="I20" s="405">
        <f>SUMIF('Diags Raw Data'!$A$12:$A$3703,"*"&amp;$A20&amp;"*",'Diags Raw Data'!$K$12:$K$3703)</f>
        <v>3</v>
      </c>
      <c r="J20" s="406">
        <f>SUMIF('Diags Raw Data'!$A$12:$A$3703,"*"&amp;$A20&amp;"*",'Diags Raw Data'!$L$12:$L$3703)</f>
        <v>3</v>
      </c>
      <c r="K20" s="432" cm="1">
        <f t="array" ref="K20">IF(D20="",0, SUMPRODUCT(--(ISNUMBER(SEARCH($A20,'Diags Raw Data'!$A$12:$A$3703))),'Diags Raw Data'!$L$12:$L$3703,'Diags Raw Data'!$N$12:$N$3703)/J20)</f>
        <v>1</v>
      </c>
      <c r="L20" s="433" cm="1">
        <f t="array" ref="L20">IF(D20="",0, SUMPRODUCT(--(ISNUMBER(SEARCH($A20,'Diags Raw Data'!$A$12:$A$3703))),'Diags Raw Data'!$L$12:$L$3703,'Diags Raw Data'!$P$12:$P$3703)/J20)</f>
        <v>1</v>
      </c>
      <c r="M20" s="434" cm="1">
        <f t="array" ref="M20">SUMPRODUCT(--(ISNUMBER(SEARCH($A20,'Diags Raw Data'!$A$12:$A$3703))),--('Diags Raw Data'!$Q$12:$Q$3703&lt;&gt;"N/A"),'Diags Raw Data'!$R$12:$R$3703)</f>
        <v>3</v>
      </c>
      <c r="N20" s="435" cm="1">
        <f t="array" ref="N20">SUMPRODUCT(--(ISNUMBER(SEARCH($A20,'Diags Raw Data'!$A$12:$A$3703))),--('Diags Raw Data'!$Q$12:$Q$3703&lt;&gt;"N/A"),'Diags Raw Data'!$T$12:$T$3703)+SUMPRODUCT(--(ISNUMBER(SEARCH($A20,'Diags Raw Data'!$A$12:$A$3703))),--('Diags Raw Data'!$Q$12:$Q$3703&lt;&gt;"N/A"),'Diags Raw Data'!$U$12:$U$3703)</f>
        <v>3</v>
      </c>
      <c r="O20" s="436">
        <f t="shared" si="13"/>
        <v>1</v>
      </c>
      <c r="P20" s="437">
        <f>SUMIF('Diags Raw Data'!$A$12:$A$3703,"*"&amp;$A20&amp;"*",'Diags Raw Data'!$Z$12:$Z$3703)</f>
        <v>0</v>
      </c>
      <c r="Q20" s="438">
        <f>SUM(SUMIF('Diags Raw Data'!$A$12:$A$3703,"*"&amp;$A20&amp;"*",'Diags Raw Data'!$AA$12:$AA$3703),SUMIF('Diags Raw Data'!$A$12:$A$3703,"*"&amp;$A20&amp;"*",'Diags Raw Data'!$AB$12:$AB$3703))</f>
        <v>0</v>
      </c>
      <c r="R20" s="439">
        <f t="shared" si="14"/>
        <v>0</v>
      </c>
      <c r="S20" s="439">
        <f t="shared" si="15"/>
        <v>0</v>
      </c>
      <c r="T20" s="440">
        <f t="shared" si="16"/>
        <v>0</v>
      </c>
      <c r="U20" s="407" t="s">
        <v>623</v>
      </c>
    </row>
    <row r="21" spans="1:27" ht="15.75" hidden="1" thickBot="1" x14ac:dyDescent="0.3">
      <c r="A21" s="399" t="s">
        <v>469</v>
      </c>
      <c r="B21" s="404" t="str">
        <f>VLOOKUP(A21,'Feature Raw Data'!$A$3:$B$4000,2,FALSE)</f>
        <v>ASPCLK DPM</v>
      </c>
      <c r="C21" s="400" t="str">
        <f>VLOOKUP(A21,'Feature Raw Data'!$A$3:$C$4209,3,FALSE)</f>
        <v xml:space="preserve"> P2</v>
      </c>
      <c r="D21" s="401" t="str" cm="1">
        <f t="array" ref="D21">_xlfn.TEXTJOIN("",TRUE,IF(ISNUMBER(SEARCH($A21,'Diags Raw Data'!$A$12:$A$3703)),CONCATENATE('Diags Raw Data'!$H$12:$H$3703,", "),""))</f>
        <v/>
      </c>
      <c r="E21" s="327" t="e">
        <f>VLOOKUP(A21,'Diags Raw Data'!$A$12:$D$3703,4,FALSE)</f>
        <v>#N/A</v>
      </c>
      <c r="F21" s="402" t="str">
        <f>VLOOKUP(A21,'Feature Raw Data'!$A$3:$E$4000,5,FALSE)</f>
        <v>Delta</v>
      </c>
      <c r="G21" s="327" t="s">
        <v>31</v>
      </c>
      <c r="H21" s="507" t="s">
        <v>624</v>
      </c>
      <c r="I21" s="405">
        <v>1</v>
      </c>
      <c r="J21" s="406">
        <v>1</v>
      </c>
      <c r="K21" s="432" cm="1">
        <f t="array" ref="K21">IF(D21="",0, SUMPRODUCT(--(ISNUMBER(SEARCH($A21,'Diags Raw Data'!$A$12:$A$3703))),'Diags Raw Data'!$L$12:$L$3703,'Diags Raw Data'!$N$12:$N$3703)/J21)</f>
        <v>0</v>
      </c>
      <c r="L21" s="433" cm="1">
        <f t="array" ref="L21">IF(D21="",0, SUMPRODUCT(--(ISNUMBER(SEARCH($A21,'Diags Raw Data'!$A$12:$A$3703))),'Diags Raw Data'!$L$12:$L$3703,'Diags Raw Data'!$P$12:$P$3703)/J21)</f>
        <v>0</v>
      </c>
      <c r="M21" s="434" cm="1">
        <f t="array" ref="M21">SUMPRODUCT(--(ISNUMBER(SEARCH($A21,'Diags Raw Data'!$A$12:$A$3703))),--('Diags Raw Data'!$Q$12:$Q$3703&lt;&gt;"N/A"),'Diags Raw Data'!$R$12:$R$3703)</f>
        <v>0</v>
      </c>
      <c r="N21" s="435" cm="1">
        <f t="array" ref="N21">SUMPRODUCT(--(ISNUMBER(SEARCH($A21,'Diags Raw Data'!$A$12:$A$3703))),--('Diags Raw Data'!$Q$12:$Q$3703&lt;&gt;"N/A"),'Diags Raw Data'!$T$12:$T$3703)+SUMPRODUCT(--(ISNUMBER(SEARCH($A21,'Diags Raw Data'!$A$12:$A$3703))),--('Diags Raw Data'!$Q$12:$Q$3703&lt;&gt;"N/A"),'Diags Raw Data'!$U$12:$U$3703)</f>
        <v>0</v>
      </c>
      <c r="O21" s="436">
        <f t="shared" si="5"/>
        <v>0</v>
      </c>
      <c r="P21" s="437">
        <f>SUMIF('Diags Raw Data'!$A$12:$A$3703,"*"&amp;$A21&amp;"*",'Diags Raw Data'!$Z$12:$Z$3703)</f>
        <v>0</v>
      </c>
      <c r="Q21" s="438">
        <f>SUM(SUMIF('Diags Raw Data'!$A$12:$A$3703,"*"&amp;$A21&amp;"*",'Diags Raw Data'!$AA$12:$AA$3703),SUMIF('Diags Raw Data'!$A$12:$A$3703,"*"&amp;$A21&amp;"*",'Diags Raw Data'!$AB$12:$AB$3703))</f>
        <v>0</v>
      </c>
      <c r="R21" s="439">
        <f t="shared" si="6"/>
        <v>0</v>
      </c>
      <c r="S21" s="439">
        <f t="shared" si="7"/>
        <v>0</v>
      </c>
      <c r="T21" s="440">
        <f t="shared" si="8"/>
        <v>0</v>
      </c>
      <c r="U21" s="407"/>
      <c r="W21" s="178">
        <v>1</v>
      </c>
      <c r="Y21" s="178">
        <v>1</v>
      </c>
    </row>
    <row r="22" spans="1:27" ht="45.75" hidden="1" thickBot="1" x14ac:dyDescent="0.3">
      <c r="A22" s="399" t="s">
        <v>472</v>
      </c>
      <c r="B22" s="404" t="str">
        <f>VLOOKUP(A22,'Feature Raw Data'!$A$3:$B$4000,2,FALSE)</f>
        <v>FW DPM Tester and Frequency Request Management</v>
      </c>
      <c r="C22" s="400" t="str">
        <f>VLOOKUP(A22,'Feature Raw Data'!$A$3:$C$4209,3,FALSE)</f>
        <v>P1</v>
      </c>
      <c r="D22" s="401" t="str" cm="1">
        <f t="array" ref="D22">_xlfn.TEXTJOIN("",TRUE,IF(ISNUMBER(SEARCH($A22,'Diags Raw Data'!$A$12:$A$3703)),CONCATENATE('Diags Raw Data'!$H$12:$H$3703,", "),""))</f>
        <v/>
      </c>
      <c r="E22" s="327" t="e">
        <f>VLOOKUP(A22,'Diags Raw Data'!$A$12:$D$3703,4,FALSE)</f>
        <v>#N/A</v>
      </c>
      <c r="F22" s="402" t="str">
        <f>VLOOKUP(A22,'Feature Raw Data'!$A$3:$E$4000,5,FALSE)</f>
        <v>Legacy</v>
      </c>
      <c r="G22" s="327" t="s">
        <v>31</v>
      </c>
      <c r="H22" s="507" t="s">
        <v>624</v>
      </c>
      <c r="I22" s="405">
        <v>1</v>
      </c>
      <c r="J22" s="406">
        <v>1</v>
      </c>
      <c r="K22" s="432" cm="1">
        <f t="array" ref="K22">IF(D22="",0, SUMPRODUCT(--(ISNUMBER(SEARCH($A22,'Diags Raw Data'!$A$12:$A$3703))),'Diags Raw Data'!$L$12:$L$3703,'Diags Raw Data'!$N$12:$N$3703)/J22)</f>
        <v>0</v>
      </c>
      <c r="L22" s="433" cm="1">
        <f t="array" ref="L22">IF(D22="",0, SUMPRODUCT(--(ISNUMBER(SEARCH($A22,'Diags Raw Data'!$A$12:$A$3703))),'Diags Raw Data'!$L$12:$L$3703,'Diags Raw Data'!$P$12:$P$3703)/J22)</f>
        <v>0</v>
      </c>
      <c r="M22" s="434" cm="1">
        <f t="array" ref="M22">SUMPRODUCT(--(ISNUMBER(SEARCH($A22,'Diags Raw Data'!$A$12:$A$3703))),--('Diags Raw Data'!$Q$12:$Q$3703&lt;&gt;"N/A"),'Diags Raw Data'!$R$12:$R$3703)</f>
        <v>0</v>
      </c>
      <c r="N22" s="435" cm="1">
        <f t="array" ref="N22">SUMPRODUCT(--(ISNUMBER(SEARCH($A22,'Diags Raw Data'!$A$12:$A$3703))),--('Diags Raw Data'!$Q$12:$Q$3703&lt;&gt;"N/A"),'Diags Raw Data'!$T$12:$T$3703)+SUMPRODUCT(--(ISNUMBER(SEARCH($A22,'Diags Raw Data'!$A$12:$A$3703))),--('Diags Raw Data'!$Q$12:$Q$3703&lt;&gt;"N/A"),'Diags Raw Data'!$U$12:$U$3703)</f>
        <v>0</v>
      </c>
      <c r="O22" s="436">
        <f t="shared" ref="O22" si="18">IF((M22=0),0,N22/M22)</f>
        <v>0</v>
      </c>
      <c r="P22" s="437">
        <f>SUMIF('Diags Raw Data'!$A$12:$A$3703,"*"&amp;$A22&amp;"*",'Diags Raw Data'!$Z$12:$Z$3703)</f>
        <v>0</v>
      </c>
      <c r="Q22" s="438">
        <f>SUM(SUMIF('Diags Raw Data'!$A$12:$A$3703,"*"&amp;$A22&amp;"*",'Diags Raw Data'!$AA$12:$AA$3703),SUMIF('Diags Raw Data'!$A$12:$A$3703,"*"&amp;$A22&amp;"*",'Diags Raw Data'!$AB$12:$AB$3703))</f>
        <v>0</v>
      </c>
      <c r="R22" s="439">
        <f t="shared" ref="R22" si="19">IF((J22=0),0,P22/J22)</f>
        <v>0</v>
      </c>
      <c r="S22" s="439">
        <f t="shared" ref="S22" si="20">IF((P22=0),0,Q22/P22)</f>
        <v>0</v>
      </c>
      <c r="T22" s="440">
        <f t="shared" ref="T22" si="21">R22*S22</f>
        <v>0</v>
      </c>
      <c r="U22" s="407"/>
      <c r="W22" s="178">
        <v>2</v>
      </c>
      <c r="X22" s="178">
        <v>3</v>
      </c>
      <c r="Y22" s="178">
        <v>5</v>
      </c>
    </row>
    <row r="23" spans="1:27" ht="15.75" hidden="1" thickBot="1" x14ac:dyDescent="0.3">
      <c r="A23" s="399" t="s">
        <v>353</v>
      </c>
      <c r="B23" s="404" t="str">
        <f>VLOOKUP(A23,'Feature Raw Data'!$A$3:$B$4000,2,FALSE)</f>
        <v>GPO support</v>
      </c>
      <c r="C23" s="400" t="str">
        <f>VLOOKUP(A23,'Feature Raw Data'!$A$3:$C$4209,3,FALSE)</f>
        <v>P2</v>
      </c>
      <c r="D23" s="401" t="str" cm="1">
        <f t="array" ref="D23">_xlfn.TEXTJOIN("",TRUE,IF(ISNUMBER(SEARCH($A23,'Diags Raw Data'!$A$6:$A$3703)),CONCATENATE('Diags Raw Data'!$H$6:$H$3703,", "),""))</f>
        <v xml:space="preserve">PM80.12, </v>
      </c>
      <c r="E23" s="327" t="str">
        <f>VLOOKUP(A23,'Diags Raw Data'!$A$12:$D$3703,4,FALSE)</f>
        <v>PMM</v>
      </c>
      <c r="F23" s="402" t="str">
        <f>VLOOKUP(A23,'Feature Raw Data'!$A$3:$E$4000,5,FALSE)</f>
        <v>Delta</v>
      </c>
      <c r="G23" s="327" t="s">
        <v>31</v>
      </c>
      <c r="H23" s="506" t="s">
        <v>36</v>
      </c>
      <c r="I23" s="400">
        <v>1</v>
      </c>
      <c r="J23" s="403">
        <v>1</v>
      </c>
      <c r="K23" s="432" cm="1">
        <f t="array" ref="K23">IF(D23="",0, SUMPRODUCT(--(ISNUMBER(SEARCH($A23,'Diags Raw Data'!$A$12:$A$3703))),'Diags Raw Data'!$L$12:$L$3703,'Diags Raw Data'!$N$12:$N$3703)/J23)</f>
        <v>1</v>
      </c>
      <c r="L23" s="433" cm="1">
        <f t="array" ref="L23">IF(D23="",0, SUMPRODUCT(--(ISNUMBER(SEARCH($A23,'Diags Raw Data'!$A$12:$A$3703))),'Diags Raw Data'!$L$12:$L$3703,'Diags Raw Data'!$P$12:$P$3703)/J23)</f>
        <v>1</v>
      </c>
      <c r="M23" s="434" cm="1">
        <f t="array" ref="M23">SUMPRODUCT(--(ISNUMBER(SEARCH($A23,'Diags Raw Data'!$A$12:$A$3703))),--('Diags Raw Data'!$Q$12:$Q$3703&lt;&gt;"N/A"),'Diags Raw Data'!$R$12:$R$3703)</f>
        <v>1</v>
      </c>
      <c r="N23" s="435" cm="1">
        <f t="array" ref="N23">SUMPRODUCT(--(ISNUMBER(SEARCH($A23,'Diags Raw Data'!$A$12:$A$3703))),--('Diags Raw Data'!$Q$12:$Q$3703&lt;&gt;"N/A"),'Diags Raw Data'!$T$12:$T$3703)+SUMPRODUCT(--(ISNUMBER(SEARCH($A23,'Diags Raw Data'!$A$12:$A$3703))),--('Diags Raw Data'!$Q$12:$Q$3703&lt;&gt;"N/A"),'Diags Raw Data'!$U$12:$U$3703)</f>
        <v>1</v>
      </c>
      <c r="O23" s="436">
        <f t="shared" ref="O23" si="22">IF((M23=0),0,N23/M23)</f>
        <v>1</v>
      </c>
      <c r="P23" s="437">
        <f>SUMIF('Diags Raw Data'!$A$12:$A$3703,"*"&amp;$A23&amp;"*",'Diags Raw Data'!$Z$12:$Z$3703)</f>
        <v>0</v>
      </c>
      <c r="Q23" s="438">
        <f>SUM(SUMIF('Diags Raw Data'!$A$12:$A$3703,"*"&amp;$A23&amp;"*",'Diags Raw Data'!$AA$12:$AA$3703),SUMIF('Diags Raw Data'!$A$12:$A$3703,"*"&amp;$A23&amp;"*",'Diags Raw Data'!$AB$12:$AB$3703))</f>
        <v>0</v>
      </c>
      <c r="R23" s="439">
        <f t="shared" ref="R23" si="23">IF((J23=0),0,P23/J23)</f>
        <v>0</v>
      </c>
      <c r="S23" s="439">
        <f t="shared" ref="S23" si="24">IF((P23=0),0,Q23/P23)</f>
        <v>0</v>
      </c>
      <c r="T23" s="440">
        <f t="shared" ref="T23" si="25">R23*S23</f>
        <v>0</v>
      </c>
      <c r="U23" s="407"/>
      <c r="Z23" s="178">
        <v>0.5</v>
      </c>
      <c r="AA23" s="178">
        <v>1</v>
      </c>
    </row>
    <row r="24" spans="1:27" ht="15.75" hidden="1" thickBot="1" x14ac:dyDescent="0.3">
      <c r="A24" s="399" t="s">
        <v>476</v>
      </c>
      <c r="B24" s="404" t="str">
        <f>VLOOKUP(A24,'Feature Raw Data'!$A$3:$B$4000,2,FALSE)</f>
        <v>FCLK Boost</v>
      </c>
      <c r="C24" s="400" t="str">
        <f>VLOOKUP(A24,'Feature Raw Data'!$A$3:$C$4209,3,FALSE)</f>
        <v>P3</v>
      </c>
      <c r="D24" s="401" t="str" cm="1">
        <f t="array" ref="D24">_xlfn.TEXTJOIN("",TRUE,IF(ISNUMBER(SEARCH($A24,'Diags Raw Data'!$A$12:$A$3703)),CONCATENATE('Diags Raw Data'!$H$12:$H$3703,", "),""))</f>
        <v/>
      </c>
      <c r="E24" s="327" t="e">
        <f>VLOOKUP(A24,'Diags Raw Data'!$A$12:$D$3703,4,FALSE)</f>
        <v>#N/A</v>
      </c>
      <c r="F24" s="402" t="str">
        <f>VLOOKUP(A24,'Feature Raw Data'!$A$3:$E$4000,5,FALSE)</f>
        <v>Legacy</v>
      </c>
      <c r="G24" s="327" t="s">
        <v>31</v>
      </c>
      <c r="H24" s="327" t="s">
        <v>36</v>
      </c>
      <c r="I24" s="400">
        <f>SUMIF('Diags Raw Data'!$A$12:$A$3703,"*"&amp;$A24&amp;"*",'Diags Raw Data'!$K$12:$K$3703)</f>
        <v>0</v>
      </c>
      <c r="J24" s="403">
        <f>SUMIF('Diags Raw Data'!$A$12:$A$3703,"*"&amp;$A24&amp;"*",'Diags Raw Data'!$L$12:$L$3703)</f>
        <v>0</v>
      </c>
      <c r="K24" s="432" cm="1">
        <f t="array" ref="K24">IF(D24="",0, SUMPRODUCT(--(ISNUMBER(SEARCH($A24,'Diags Raw Data'!$A$12:$A$3703))),'Diags Raw Data'!$L$12:$L$3703,'Diags Raw Data'!$N$12:$N$3703)/J24)</f>
        <v>0</v>
      </c>
      <c r="L24" s="433" cm="1">
        <f t="array" ref="L24">IF(D24="",0, SUMPRODUCT(--(ISNUMBER(SEARCH($A24,'Diags Raw Data'!$A$12:$A$3703))),'Diags Raw Data'!$L$12:$L$3703,'Diags Raw Data'!$P$12:$P$3703)/J24)</f>
        <v>0</v>
      </c>
      <c r="M24" s="434" cm="1">
        <f t="array" ref="M24">SUMPRODUCT(--(ISNUMBER(SEARCH($A24,'Diags Raw Data'!$A$12:$A$3703))),--('Diags Raw Data'!$Q$12:$Q$3703&lt;&gt;"N/A"),'Diags Raw Data'!$R$12:$R$3703)</f>
        <v>0</v>
      </c>
      <c r="N24" s="435" cm="1">
        <f t="array" ref="N24">SUMPRODUCT(--(ISNUMBER(SEARCH($A24,'Diags Raw Data'!$A$12:$A$3703))),--('Diags Raw Data'!$Q$12:$Q$3703&lt;&gt;"N/A"),'Diags Raw Data'!$T$12:$T$3703)+SUMPRODUCT(--(ISNUMBER(SEARCH($A24,'Diags Raw Data'!$A$12:$A$3703))),--('Diags Raw Data'!$Q$12:$Q$3703&lt;&gt;"N/A"),'Diags Raw Data'!$U$12:$U$3703)</f>
        <v>0</v>
      </c>
      <c r="O24" s="436">
        <f t="shared" si="5"/>
        <v>0</v>
      </c>
      <c r="P24" s="437">
        <f>SUMIF('Diags Raw Data'!$A$12:$A$3703,"*"&amp;$A24&amp;"*",'Diags Raw Data'!$Z$12:$Z$3703)</f>
        <v>0</v>
      </c>
      <c r="Q24" s="438">
        <f>SUM(SUMIF('Diags Raw Data'!$A$12:$A$3703,"*"&amp;$A24&amp;"*",'Diags Raw Data'!$AA$12:$AA$3703),SUMIF('Diags Raw Data'!$A$12:$A$3703,"*"&amp;$A24&amp;"*",'Diags Raw Data'!$AB$12:$AB$3703))</f>
        <v>0</v>
      </c>
      <c r="R24" s="439">
        <f t="shared" si="6"/>
        <v>0</v>
      </c>
      <c r="S24" s="439">
        <f t="shared" si="7"/>
        <v>0</v>
      </c>
      <c r="T24" s="440">
        <f t="shared" si="8"/>
        <v>0</v>
      </c>
      <c r="U24" s="407"/>
    </row>
    <row r="25" spans="1:27" ht="15.75" thickBot="1" x14ac:dyDescent="0.3">
      <c r="A25" s="399" t="s">
        <v>426</v>
      </c>
      <c r="B25" s="404" t="str">
        <f>VLOOKUP(A25,'Feature Raw Data'!$A$3:$B$4000,2,FALSE)</f>
        <v>DCN DPM</v>
      </c>
      <c r="C25" s="400" t="str">
        <f>VLOOKUP(A25,'Feature Raw Data'!$A$3:$C$4209,3,FALSE)</f>
        <v xml:space="preserve"> P2</v>
      </c>
      <c r="D25" s="401" t="str" cm="1">
        <f t="array" ref="D25">_xlfn.TEXTJOIN("",TRUE,IF(ISNUMBER(SEARCH($A25,'Diags Raw Data'!$A$6:$A$3703)),CONCATENATE('Diags Raw Data'!$H$6:$H$3703,", "),""))</f>
        <v xml:space="preserve">PMxx.xx.6, </v>
      </c>
      <c r="E25" s="327" t="str">
        <f>VLOOKUP(A25,'Diags Raw Data'!$A$12:$D$3703,4,FALSE)</f>
        <v>PMM</v>
      </c>
      <c r="F25" s="402" t="str">
        <f>VLOOKUP(A25,'Feature Raw Data'!$A$3:$E$4000,5,FALSE)</f>
        <v>Delta</v>
      </c>
      <c r="G25" s="327" t="s">
        <v>31</v>
      </c>
      <c r="H25" s="506" t="s">
        <v>627</v>
      </c>
      <c r="I25" s="400">
        <v>1</v>
      </c>
      <c r="J25" s="403">
        <v>1</v>
      </c>
      <c r="K25" s="432" cm="1">
        <f t="array" ref="K25">IF(D25="",0, SUMPRODUCT(--(ISNUMBER(SEARCH($A25,'Diags Raw Data'!$A$12:$A$3703))),'Diags Raw Data'!$L$12:$L$3703,'Diags Raw Data'!$N$12:$N$3703)/J25)</f>
        <v>1</v>
      </c>
      <c r="L25" s="433" cm="1">
        <f t="array" ref="L25">IF(D25="",0, SUMPRODUCT(--(ISNUMBER(SEARCH($A25,'Diags Raw Data'!$A$12:$A$3703))),'Diags Raw Data'!$L$12:$L$3703,'Diags Raw Data'!$P$12:$P$3703)/J25)</f>
        <v>1</v>
      </c>
      <c r="M25" s="434" cm="1">
        <f t="array" ref="M25">SUMPRODUCT(--(ISNUMBER(SEARCH($A25,'Diags Raw Data'!$A$12:$A$3703))),--('Diags Raw Data'!$Q$12:$Q$3703&lt;&gt;"N/A"),'Diags Raw Data'!$R$12:$R$3703)</f>
        <v>1</v>
      </c>
      <c r="N25" s="435" cm="1">
        <f t="array" ref="N25">SUMPRODUCT(--(ISNUMBER(SEARCH($A25,'Diags Raw Data'!$A$12:$A$3703))),--('Diags Raw Data'!$Q$12:$Q$3703&lt;&gt;"N/A"),'Diags Raw Data'!$T$12:$T$3703)+SUMPRODUCT(--(ISNUMBER(SEARCH($A25,'Diags Raw Data'!$A$12:$A$3703))),--('Diags Raw Data'!$Q$12:$Q$3703&lt;&gt;"N/A"),'Diags Raw Data'!$U$12:$U$3703)</f>
        <v>1</v>
      </c>
      <c r="O25" s="436">
        <f t="shared" si="5"/>
        <v>1</v>
      </c>
      <c r="P25" s="437">
        <f>SUMIF('Diags Raw Data'!$A$12:$A$3703,"*"&amp;$A25&amp;"*",'Diags Raw Data'!$Z$12:$Z$3703)</f>
        <v>0</v>
      </c>
      <c r="Q25" s="438">
        <f>SUM(SUMIF('Diags Raw Data'!$A$12:$A$3703,"*"&amp;$A25&amp;"*",'Diags Raw Data'!$AA$12:$AA$3703),SUMIF('Diags Raw Data'!$A$12:$A$3703,"*"&amp;$A25&amp;"*",'Diags Raw Data'!$AB$12:$AB$3703))</f>
        <v>0</v>
      </c>
      <c r="R25" s="439">
        <f t="shared" si="6"/>
        <v>0</v>
      </c>
      <c r="S25" s="439">
        <f t="shared" si="7"/>
        <v>0</v>
      </c>
      <c r="T25" s="440">
        <f t="shared" si="8"/>
        <v>0</v>
      </c>
      <c r="U25" s="407" t="s">
        <v>622</v>
      </c>
    </row>
    <row r="26" spans="1:27" ht="15.75" thickBot="1" x14ac:dyDescent="0.3">
      <c r="A26" s="399" t="s">
        <v>358</v>
      </c>
      <c r="B26" s="404" t="str">
        <f>VLOOKUP(A26,'Feature Raw Data'!$A$3:$B$4000,2,FALSE)</f>
        <v>MM CLK DPM</v>
      </c>
      <c r="C26" s="400" t="str">
        <f>VLOOKUP(A26,'Feature Raw Data'!$A$3:$C$4209,3,FALSE)</f>
        <v>P1</v>
      </c>
      <c r="D26" s="401" t="str" cm="1">
        <f t="array" ref="D26">_xlfn.TEXTJOIN("",TRUE,IF(ISNUMBER(SEARCH($A26,'Diags Raw Data'!$A$6:$A$3703)),CONCATENATE('Diags Raw Data'!$H$6:$H$3703,", "),""))</f>
        <v xml:space="preserve">PM25.2-4, PM80.12, </v>
      </c>
      <c r="E26" s="327" t="str">
        <f>VLOOKUP(A26,'Diags Raw Data'!$A$12:$D$3703,4,FALSE)</f>
        <v>PMM</v>
      </c>
      <c r="F26" s="402" t="str">
        <f>VLOOKUP(A26,'Feature Raw Data'!$A$3:$E$4000,5,FALSE)</f>
        <v>Legacy</v>
      </c>
      <c r="G26" s="327" t="s">
        <v>31</v>
      </c>
      <c r="H26" s="327" t="str">
        <f t="shared" si="4"/>
        <v>Yes</v>
      </c>
      <c r="I26" s="405">
        <f>SUMIF('Diags Raw Data'!$A$12:$A$3703,"*"&amp;$A26&amp;"*",'Diags Raw Data'!$K$12:$K$3703)</f>
        <v>2</v>
      </c>
      <c r="J26" s="406">
        <f>SUMIF('Diags Raw Data'!$A$12:$A$3703,"*"&amp;$A26&amp;"*",'Diags Raw Data'!$L$12:$L$3703)</f>
        <v>2</v>
      </c>
      <c r="K26" s="432" cm="1">
        <f t="array" ref="K26">IF(D26="",0, SUMPRODUCT(--(ISNUMBER(SEARCH($A26,'Diags Raw Data'!$A$12:$A$3703))),'Diags Raw Data'!$L$12:$L$3703,'Diags Raw Data'!$N$12:$N$3703)/J26)</f>
        <v>1</v>
      </c>
      <c r="L26" s="433" cm="1">
        <f t="array" ref="L26">IF(D26="",0, SUMPRODUCT(--(ISNUMBER(SEARCH($A26,'Diags Raw Data'!$A$12:$A$3703))),'Diags Raw Data'!$L$12:$L$3703,'Diags Raw Data'!$P$12:$P$3703)/J26)</f>
        <v>1</v>
      </c>
      <c r="M26" s="434" cm="1">
        <f t="array" ref="M26">SUMPRODUCT(--(ISNUMBER(SEARCH($A26,'Diags Raw Data'!$A$12:$A$3703))),--('Diags Raw Data'!$Q$12:$Q$3703&lt;&gt;"N/A"),'Diags Raw Data'!$R$12:$R$3703)</f>
        <v>2</v>
      </c>
      <c r="N26" s="435" cm="1">
        <f t="array" ref="N26">SUMPRODUCT(--(ISNUMBER(SEARCH($A26,'Diags Raw Data'!$A$12:$A$3703))),--('Diags Raw Data'!$Q$12:$Q$3703&lt;&gt;"N/A"),'Diags Raw Data'!$T$12:$T$3703)+SUMPRODUCT(--(ISNUMBER(SEARCH($A26,'Diags Raw Data'!$A$12:$A$3703))),--('Diags Raw Data'!$Q$12:$Q$3703&lt;&gt;"N/A"),'Diags Raw Data'!$U$12:$U$3703)</f>
        <v>2</v>
      </c>
      <c r="O26" s="436">
        <f t="shared" si="5"/>
        <v>1</v>
      </c>
      <c r="P26" s="437">
        <f>SUMIF('Diags Raw Data'!$A$12:$A$3703,"*"&amp;$A26&amp;"*",'Diags Raw Data'!$Z$12:$Z$3703)</f>
        <v>0</v>
      </c>
      <c r="Q26" s="438">
        <f>SUM(SUMIF('Diags Raw Data'!$A$12:$A$3703,"*"&amp;$A26&amp;"*",'Diags Raw Data'!$AA$12:$AA$3703),SUMIF('Diags Raw Data'!$A$12:$A$3703,"*"&amp;$A26&amp;"*",'Diags Raw Data'!$AB$12:$AB$3703))</f>
        <v>0</v>
      </c>
      <c r="R26" s="439">
        <f t="shared" si="6"/>
        <v>0</v>
      </c>
      <c r="S26" s="439">
        <f t="shared" si="7"/>
        <v>0</v>
      </c>
      <c r="T26" s="440">
        <f t="shared" si="8"/>
        <v>0</v>
      </c>
      <c r="U26" s="407" t="s">
        <v>625</v>
      </c>
    </row>
    <row r="27" spans="1:27" ht="15.75" thickBot="1" x14ac:dyDescent="0.3">
      <c r="A27" s="399" t="s">
        <v>481</v>
      </c>
      <c r="B27" s="404" t="str">
        <f>VLOOKUP(A27,'Feature Raw Data'!$A$3:$B$4000,2,FALSE)</f>
        <v>Workload Based DPM Policy</v>
      </c>
      <c r="C27" s="400" t="str">
        <f>VLOOKUP(A27,'Feature Raw Data'!$A$3:$C$4209,3,FALSE)</f>
        <v>P1</v>
      </c>
      <c r="D27" s="401" t="str" cm="1">
        <f t="array" ref="D27">_xlfn.TEXTJOIN("",TRUE,IF(ISNUMBER(SEARCH($A27,'Diags Raw Data'!$A$6:$A$3703)),CONCATENATE('Diags Raw Data'!$H$6:$H$3703,", "),""))</f>
        <v/>
      </c>
      <c r="E27" s="327" t="e">
        <f>VLOOKUP(A27,'Diags Raw Data'!$A$12:$D$3703,4,FALSE)</f>
        <v>#N/A</v>
      </c>
      <c r="F27" s="402" t="str">
        <f>VLOOKUP(A27,'Feature Raw Data'!$A$3:$E$4000,5,FALSE)</f>
        <v>Legacy</v>
      </c>
      <c r="G27" s="327" t="s">
        <v>31</v>
      </c>
      <c r="H27" s="506" t="s">
        <v>627</v>
      </c>
      <c r="I27" s="400">
        <v>1</v>
      </c>
      <c r="J27" s="403">
        <v>1</v>
      </c>
      <c r="K27" s="432" cm="1">
        <f t="array" ref="K27">IF(D27="",0, SUMPRODUCT(--(ISNUMBER(SEARCH($A27,'Diags Raw Data'!$A$12:$A$3703))),'Diags Raw Data'!$L$12:$L$3703,'Diags Raw Data'!$N$12:$N$3703)/J27)</f>
        <v>0</v>
      </c>
      <c r="L27" s="433" cm="1">
        <f t="array" ref="L27">IF(D27="",0, SUMPRODUCT(--(ISNUMBER(SEARCH($A27,'Diags Raw Data'!$A$12:$A$3703))),'Diags Raw Data'!$L$12:$L$3703,'Diags Raw Data'!$P$12:$P$3703)/J27)</f>
        <v>0</v>
      </c>
      <c r="M27" s="434" cm="1">
        <f t="array" ref="M27">SUMPRODUCT(--(ISNUMBER(SEARCH($A27,'Diags Raw Data'!$A$12:$A$3703))),--('Diags Raw Data'!$Q$12:$Q$3703&lt;&gt;"N/A"),'Diags Raw Data'!$R$12:$R$3703)</f>
        <v>0</v>
      </c>
      <c r="N27" s="435" cm="1">
        <f t="array" ref="N27">SUMPRODUCT(--(ISNUMBER(SEARCH($A27,'Diags Raw Data'!$A$12:$A$3703))),--('Diags Raw Data'!$Q$12:$Q$3703&lt;&gt;"N/A"),'Diags Raw Data'!$T$12:$T$3703)+SUMPRODUCT(--(ISNUMBER(SEARCH($A27,'Diags Raw Data'!$A$12:$A$3703))),--('Diags Raw Data'!$Q$12:$Q$3703&lt;&gt;"N/A"),'Diags Raw Data'!$U$12:$U$3703)</f>
        <v>0</v>
      </c>
      <c r="O27" s="436">
        <f t="shared" si="5"/>
        <v>0</v>
      </c>
      <c r="P27" s="437">
        <f>SUMIF('Diags Raw Data'!$A$12:$A$3703,"*"&amp;$A27&amp;"*",'Diags Raw Data'!$Z$12:$Z$3703)</f>
        <v>0</v>
      </c>
      <c r="Q27" s="438">
        <f>SUM(SUMIF('Diags Raw Data'!$A$12:$A$3703,"*"&amp;$A27&amp;"*",'Diags Raw Data'!$AA$12:$AA$3703),SUMIF('Diags Raw Data'!$A$12:$A$3703,"*"&amp;$A27&amp;"*",'Diags Raw Data'!$AB$12:$AB$3703))</f>
        <v>0</v>
      </c>
      <c r="R27" s="439">
        <f t="shared" si="6"/>
        <v>0</v>
      </c>
      <c r="S27" s="439">
        <f t="shared" si="7"/>
        <v>0</v>
      </c>
      <c r="T27" s="440">
        <f t="shared" si="8"/>
        <v>0</v>
      </c>
      <c r="U27" s="407" t="s">
        <v>626</v>
      </c>
    </row>
    <row r="28" spans="1:27" ht="15.75" thickBot="1" x14ac:dyDescent="0.3">
      <c r="A28" s="399" t="s">
        <v>362</v>
      </c>
      <c r="B28" s="404" t="str">
        <f>VLOOKUP(A28,'Feature Raw Data'!$A$3:$B$4000,2,FALSE)</f>
        <v>Fan Controller</v>
      </c>
      <c r="C28" s="400" t="str">
        <f>VLOOKUP(A28,'Feature Raw Data'!$A$3:$C$4209,3,FALSE)</f>
        <v>P1</v>
      </c>
      <c r="D28" s="401" t="str" cm="1">
        <f t="array" ref="D28">_xlfn.TEXTJOIN("",TRUE,IF(ISNUMBER(SEARCH($A28,'Diags Raw Data'!$A$6:$A$3703)),CONCATENATE('Diags Raw Data'!$H$6:$H$3703,", "),""))</f>
        <v xml:space="preserve">PM14.11, PM14.1, </v>
      </c>
      <c r="E28" s="327" t="str">
        <f>VLOOKUP(A28,'Diags Raw Data'!$A$12:$D$3703,4,FALSE)</f>
        <v>PMM</v>
      </c>
      <c r="F28" s="402" t="str">
        <f>VLOOKUP(A28,'Feature Raw Data'!$A$3:$E$4000,5,FALSE)</f>
        <v>Legacy</v>
      </c>
      <c r="G28" s="327" t="s">
        <v>31</v>
      </c>
      <c r="H28" s="327" t="str">
        <f t="shared" si="4"/>
        <v>Yes</v>
      </c>
      <c r="I28" s="405">
        <f>SUMIF('Diags Raw Data'!$A$12:$A$3703,"*"&amp;$A28&amp;"*",'Diags Raw Data'!$K$12:$K$3703)</f>
        <v>2</v>
      </c>
      <c r="J28" s="406">
        <f>SUMIF('Diags Raw Data'!$A$12:$A$3703,"*"&amp;$A28&amp;"*",'Diags Raw Data'!$L$12:$L$3703)</f>
        <v>2</v>
      </c>
      <c r="K28" s="432" cm="1">
        <f t="array" ref="K28">IF(D28="",0, SUMPRODUCT(--(ISNUMBER(SEARCH($A28,'Diags Raw Data'!$A$12:$A$3703))),'Diags Raw Data'!$L$12:$L$3703,'Diags Raw Data'!$N$12:$N$3703)/J28)</f>
        <v>1</v>
      </c>
      <c r="L28" s="433" cm="1">
        <f t="array" ref="L28">IF(D28="",0, SUMPRODUCT(--(ISNUMBER(SEARCH($A28,'Diags Raw Data'!$A$12:$A$3703))),'Diags Raw Data'!$L$12:$L$3703,'Diags Raw Data'!$P$12:$P$3703)/J28)</f>
        <v>1</v>
      </c>
      <c r="M28" s="434" cm="1">
        <f t="array" ref="M28">SUMPRODUCT(--(ISNUMBER(SEARCH($A28,'Diags Raw Data'!$A$12:$A$3703))),--('Diags Raw Data'!$Q$12:$Q$3703&lt;&gt;"N/A"),'Diags Raw Data'!$R$12:$R$3703)</f>
        <v>2</v>
      </c>
      <c r="N28" s="435" cm="1">
        <f t="array" ref="N28">SUMPRODUCT(--(ISNUMBER(SEARCH($A28,'Diags Raw Data'!$A$12:$A$3703))),--('Diags Raw Data'!$Q$12:$Q$3703&lt;&gt;"N/A"),'Diags Raw Data'!$T$12:$T$3703)+SUMPRODUCT(--(ISNUMBER(SEARCH($A28,'Diags Raw Data'!$A$12:$A$3703))),--('Diags Raw Data'!$Q$12:$Q$3703&lt;&gt;"N/A"),'Diags Raw Data'!$U$12:$U$3703)</f>
        <v>2</v>
      </c>
      <c r="O28" s="436">
        <f>IF((M28=0),0,N28/M28)</f>
        <v>1</v>
      </c>
      <c r="P28" s="437">
        <f>SUMIF('Diags Raw Data'!$A$12:$A$3703,"*"&amp;$A28&amp;"*",'Diags Raw Data'!$Z$12:$Z$3703)</f>
        <v>0</v>
      </c>
      <c r="Q28" s="438">
        <f>SUM(SUMIF('Diags Raw Data'!$A$12:$A$3703,"*"&amp;$A28&amp;"*",'Diags Raw Data'!$AA$12:$AA$3703),SUMIF('Diags Raw Data'!$A$12:$A$3703,"*"&amp;$A28&amp;"*",'Diags Raw Data'!$AB$12:$AB$3703))</f>
        <v>0</v>
      </c>
      <c r="R28" s="439">
        <f>IF((J28=0),0,P28/J28)</f>
        <v>0</v>
      </c>
      <c r="S28" s="439">
        <f>IF((P28=0),0,Q28/P28)</f>
        <v>0</v>
      </c>
      <c r="T28" s="440">
        <f>R28*S28</f>
        <v>0</v>
      </c>
      <c r="U28" s="407" t="s">
        <v>103</v>
      </c>
    </row>
    <row r="29" spans="1:27" ht="15.75" hidden="1" thickBot="1" x14ac:dyDescent="0.3">
      <c r="A29" s="399" t="s">
        <v>483</v>
      </c>
      <c r="B29" s="404" t="str">
        <f>VLOOKUP(A29,'Feature Raw Data'!$A$3:$B$4000,2,FALSE)</f>
        <v>Fan Abnormal Control</v>
      </c>
      <c r="C29" s="400" t="str">
        <f>VLOOKUP(A29,'Feature Raw Data'!$A$3:$C$4209,3,FALSE)</f>
        <v>P3</v>
      </c>
      <c r="D29" s="401" t="str" cm="1">
        <f t="array" ref="D29">_xlfn.TEXTJOIN("",TRUE,IF(ISNUMBER(SEARCH($A29,'Diags Raw Data'!$A$12:$A$3703)),CONCATENATE('Diags Raw Data'!$H$12:$H$3703,", "),""))</f>
        <v/>
      </c>
      <c r="E29" s="327" t="e">
        <f>VLOOKUP(A29,'Diags Raw Data'!$A$12:$D$3703,4,FALSE)</f>
        <v>#N/A</v>
      </c>
      <c r="F29" s="402" t="str">
        <f>VLOOKUP(A29,'Feature Raw Data'!$A$3:$E$4000,5,FALSE)</f>
        <v>Legacy</v>
      </c>
      <c r="G29" s="327" t="s">
        <v>31</v>
      </c>
      <c r="H29" s="327" t="s">
        <v>36</v>
      </c>
      <c r="I29" s="405">
        <f>SUMIF('Diags Raw Data'!$A$12:$A$3703,"*"&amp;$A29&amp;"*",'Diags Raw Data'!$K$12:$K$3703)</f>
        <v>0</v>
      </c>
      <c r="J29" s="406">
        <f>SUMIF('Diags Raw Data'!$A$12:$A$3703,"*"&amp;$A29&amp;"*",'Diags Raw Data'!$L$12:$L$3703)</f>
        <v>0</v>
      </c>
      <c r="K29" s="432" cm="1">
        <f t="array" ref="K29">IF(D29="",0, SUMPRODUCT(--(ISNUMBER(SEARCH($A29,'Diags Raw Data'!$A$12:$A$3703))),'Diags Raw Data'!$L$12:$L$3703,'Diags Raw Data'!$N$12:$N$3703)/J29)</f>
        <v>0</v>
      </c>
      <c r="L29" s="433" cm="1">
        <f t="array" ref="L29">IF(D29="",0, SUMPRODUCT(--(ISNUMBER(SEARCH($A29,'Diags Raw Data'!$A$12:$A$3703))),'Diags Raw Data'!$L$12:$L$3703,'Diags Raw Data'!$P$12:$P$3703)/J29)</f>
        <v>0</v>
      </c>
      <c r="M29" s="434" cm="1">
        <f t="array" ref="M29">SUMPRODUCT(--(ISNUMBER(SEARCH($A29,'Diags Raw Data'!$A$12:$A$3703))),--('Diags Raw Data'!$Q$12:$Q$3703&lt;&gt;"N/A"),'Diags Raw Data'!$R$12:$R$3703)</f>
        <v>0</v>
      </c>
      <c r="N29" s="435" cm="1">
        <f t="array" ref="N29">SUMPRODUCT(--(ISNUMBER(SEARCH($A29,'Diags Raw Data'!$A$12:$A$3703))),--('Diags Raw Data'!$Q$12:$Q$3703&lt;&gt;"N/A"),'Diags Raw Data'!$T$12:$T$3703)+SUMPRODUCT(--(ISNUMBER(SEARCH($A29,'Diags Raw Data'!$A$12:$A$3703))),--('Diags Raw Data'!$Q$12:$Q$3703&lt;&gt;"N/A"),'Diags Raw Data'!$U$12:$U$3703)</f>
        <v>0</v>
      </c>
      <c r="O29" s="436">
        <f>IF((M29=0),0,N29/M29)</f>
        <v>0</v>
      </c>
      <c r="P29" s="437">
        <f>SUMIF('Diags Raw Data'!$A$12:$A$3703,"*"&amp;$A29&amp;"*",'Diags Raw Data'!$Z$12:$Z$3703)</f>
        <v>0</v>
      </c>
      <c r="Q29" s="438">
        <f>SUM(SUMIF('Diags Raw Data'!$A$12:$A$3703,"*"&amp;$A29&amp;"*",'Diags Raw Data'!$AA$12:$AA$3703),SUMIF('Diags Raw Data'!$A$12:$A$3703,"*"&amp;$A29&amp;"*",'Diags Raw Data'!$AB$12:$AB$3703))</f>
        <v>0</v>
      </c>
      <c r="R29" s="439">
        <f>IF((J29=0),0,P29/J29)</f>
        <v>0</v>
      </c>
      <c r="S29" s="439">
        <f>IF((P29=0),0,Q29/P29)</f>
        <v>0</v>
      </c>
      <c r="T29" s="440">
        <f>R29*S29</f>
        <v>0</v>
      </c>
      <c r="U29" s="407"/>
    </row>
    <row r="30" spans="1:27" ht="30.75" hidden="1" thickBot="1" x14ac:dyDescent="0.3">
      <c r="A30" s="399" t="s">
        <v>485</v>
      </c>
      <c r="B30" s="404" t="str">
        <f>VLOOKUP(A30,'Feature Raw Data'!$A$3:$B$4000,2,FALSE)</f>
        <v>Boost Fan Speed Base On Intake Temperature</v>
      </c>
      <c r="C30" s="400" t="str">
        <f>VLOOKUP(A30,'Feature Raw Data'!$A$3:$C$4209,3,FALSE)</f>
        <v>P3</v>
      </c>
      <c r="D30" s="401" t="str" cm="1">
        <f t="array" ref="D30">_xlfn.TEXTJOIN("",TRUE,IF(ISNUMBER(SEARCH($A30,'Diags Raw Data'!$A$12:$A$3703)),CONCATENATE('Diags Raw Data'!$H$12:$H$3703,", "),""))</f>
        <v/>
      </c>
      <c r="E30" s="327" t="e">
        <f>VLOOKUP(A30,'Diags Raw Data'!$A$12:$D$3703,4,FALSE)</f>
        <v>#N/A</v>
      </c>
      <c r="F30" s="402" t="str">
        <f>VLOOKUP(A30,'Feature Raw Data'!$A$3:$E$4000,5,FALSE)</f>
        <v>Legacy</v>
      </c>
      <c r="G30" s="327" t="s">
        <v>31</v>
      </c>
      <c r="H30" s="402" t="s">
        <v>36</v>
      </c>
      <c r="I30" s="405">
        <f>SUMIF('Diags Raw Data'!$A$12:$A$3703,"*"&amp;$A30&amp;"*",'Diags Raw Data'!$K$12:$K$3703)</f>
        <v>0</v>
      </c>
      <c r="J30" s="406">
        <f>SUMIF('Diags Raw Data'!$A$12:$A$3703,"*"&amp;$A30&amp;"*",'Diags Raw Data'!$L$12:$L$3703)</f>
        <v>0</v>
      </c>
      <c r="K30" s="432" cm="1">
        <f t="array" ref="K30">IF(D30="",0, SUMPRODUCT(--(ISNUMBER(SEARCH($A30,'Diags Raw Data'!$A$12:$A$3703))),'Diags Raw Data'!$L$12:$L$3703,'Diags Raw Data'!$N$12:$N$3703)/J30)</f>
        <v>0</v>
      </c>
      <c r="L30" s="433" cm="1">
        <f t="array" ref="L30">IF(D30="",0, SUMPRODUCT(--(ISNUMBER(SEARCH($A30,'Diags Raw Data'!$A$12:$A$3703))),'Diags Raw Data'!$L$12:$L$3703,'Diags Raw Data'!$P$12:$P$3703)/J30)</f>
        <v>0</v>
      </c>
      <c r="M30" s="434" cm="1">
        <f t="array" ref="M30">SUMPRODUCT(--(ISNUMBER(SEARCH($A30,'Diags Raw Data'!$A$12:$A$3703))),--('Diags Raw Data'!$Q$12:$Q$3703&lt;&gt;"N/A"),'Diags Raw Data'!$R$12:$R$3703)</f>
        <v>0</v>
      </c>
      <c r="N30" s="435" cm="1">
        <f t="array" ref="N30">SUMPRODUCT(--(ISNUMBER(SEARCH($A30,'Diags Raw Data'!$A$12:$A$3703))),--('Diags Raw Data'!$Q$12:$Q$3703&lt;&gt;"N/A"),'Diags Raw Data'!$T$12:$T$3703)+SUMPRODUCT(--(ISNUMBER(SEARCH($A30,'Diags Raw Data'!$A$12:$A$3703))),--('Diags Raw Data'!$Q$12:$Q$3703&lt;&gt;"N/A"),'Diags Raw Data'!$U$12:$U$3703)</f>
        <v>0</v>
      </c>
      <c r="O30" s="436">
        <f>IF((M30=0),0,N30/M30)</f>
        <v>0</v>
      </c>
      <c r="P30" s="437">
        <f>SUMIF('Diags Raw Data'!$A$12:$A$3703,"*"&amp;$A30&amp;"*",'Diags Raw Data'!$Z$12:$Z$3703)</f>
        <v>0</v>
      </c>
      <c r="Q30" s="438">
        <f>SUM(SUMIF('Diags Raw Data'!$A$12:$A$3703,"*"&amp;$A30&amp;"*",'Diags Raw Data'!$AA$12:$AA$3703),SUMIF('Diags Raw Data'!$A$12:$A$3703,"*"&amp;$A30&amp;"*",'Diags Raw Data'!$AB$12:$AB$3703))</f>
        <v>0</v>
      </c>
      <c r="R30" s="439">
        <f>IF((J30=0),0,P30/J30)</f>
        <v>0</v>
      </c>
      <c r="S30" s="439">
        <f>IF((P30=0),0,Q30/P30)</f>
        <v>0</v>
      </c>
      <c r="T30" s="440">
        <f>R30*S30</f>
        <v>0</v>
      </c>
      <c r="U30" s="407"/>
    </row>
    <row r="31" spans="1:27" ht="15.75" thickBot="1" x14ac:dyDescent="0.3">
      <c r="A31" s="399" t="s">
        <v>370</v>
      </c>
      <c r="B31" s="404" t="str">
        <f>VLOOKUP(A31,'Feature Raw Data'!$A$3:$B$4000,2,FALSE)</f>
        <v>BACO Support</v>
      </c>
      <c r="C31" s="400" t="str">
        <f>VLOOKUP(A31,'Feature Raw Data'!$A$3:$C$4209,3,FALSE)</f>
        <v>P1</v>
      </c>
      <c r="D31" s="401" t="str" cm="1">
        <f t="array" ref="D31">_xlfn.TEXTJOIN("",TRUE,IF(ISNUMBER(SEARCH($A31,'Diags Raw Data'!$A$6:$A$3703)),CONCATENATE('Diags Raw Data'!$H$6:$H$3703,", "),""))</f>
        <v xml:space="preserve">PM31.05, </v>
      </c>
      <c r="E31" s="327" t="str">
        <f>VLOOKUP(A31,'Diags Raw Data'!$A$12:$D$3703,4,FALSE)</f>
        <v>PMM</v>
      </c>
      <c r="F31" s="402" t="str">
        <f>VLOOKUP(A31,'Feature Raw Data'!$A$3:$E$4000,5,FALSE)</f>
        <v>Delta</v>
      </c>
      <c r="G31" s="327" t="s">
        <v>31</v>
      </c>
      <c r="H31" s="327" t="str">
        <f t="shared" si="4"/>
        <v>Yes</v>
      </c>
      <c r="I31" s="405">
        <f>SUMIF('Diags Raw Data'!$A$12:$A$3703,"*"&amp;$A31&amp;"*",'Diags Raw Data'!$K$12:$K$3703)</f>
        <v>1</v>
      </c>
      <c r="J31" s="406">
        <f>SUMIF('Diags Raw Data'!$A$12:$A$3703,"*"&amp;$A31&amp;"*",'Diags Raw Data'!$L$12:$L$3703)</f>
        <v>1</v>
      </c>
      <c r="K31" s="432" cm="1">
        <f t="array" ref="K31">IF(D31="",0, SUMPRODUCT(--(ISNUMBER(SEARCH($A31,'Diags Raw Data'!$A$12:$A$3703))),'Diags Raw Data'!$L$12:$L$3703,'Diags Raw Data'!$N$12:$N$3703)/J31)</f>
        <v>1</v>
      </c>
      <c r="L31" s="433" cm="1">
        <f t="array" ref="L31">IF(D31="",0, SUMPRODUCT(--(ISNUMBER(SEARCH($A31,'Diags Raw Data'!$A$12:$A$3703))),'Diags Raw Data'!$L$12:$L$3703,'Diags Raw Data'!$P$12:$P$3703)/J31)</f>
        <v>1</v>
      </c>
      <c r="M31" s="434" cm="1">
        <f t="array" ref="M31">SUMPRODUCT(--(ISNUMBER(SEARCH($A31,'Diags Raw Data'!$A$12:$A$3703))),--('Diags Raw Data'!$Q$12:$Q$3703&lt;&gt;"N/A"),'Diags Raw Data'!$R$12:$R$3703)</f>
        <v>1</v>
      </c>
      <c r="N31" s="435" cm="1">
        <f t="array" ref="N31">SUMPRODUCT(--(ISNUMBER(SEARCH($A31,'Diags Raw Data'!$A$12:$A$3703))),--('Diags Raw Data'!$Q$12:$Q$3703&lt;&gt;"N/A"),'Diags Raw Data'!$T$12:$T$3703)+SUMPRODUCT(--(ISNUMBER(SEARCH($A31,'Diags Raw Data'!$A$12:$A$3703))),--('Diags Raw Data'!$Q$12:$Q$3703&lt;&gt;"N/A"),'Diags Raw Data'!$U$12:$U$3703)</f>
        <v>1</v>
      </c>
      <c r="O31" s="436">
        <f t="shared" si="5"/>
        <v>1</v>
      </c>
      <c r="P31" s="437">
        <f>SUMIF('Diags Raw Data'!$A$12:$A$3703,"*"&amp;$A31&amp;"*",'Diags Raw Data'!$Z$12:$Z$3703)</f>
        <v>0</v>
      </c>
      <c r="Q31" s="438">
        <f>SUM(SUMIF('Diags Raw Data'!$A$12:$A$3703,"*"&amp;$A31&amp;"*",'Diags Raw Data'!$AA$12:$AA$3703),SUMIF('Diags Raw Data'!$A$12:$A$3703,"*"&amp;$A31&amp;"*",'Diags Raw Data'!$AB$12:$AB$3703))</f>
        <v>0</v>
      </c>
      <c r="R31" s="439">
        <f t="shared" si="6"/>
        <v>0</v>
      </c>
      <c r="S31" s="439">
        <f t="shared" si="7"/>
        <v>0</v>
      </c>
      <c r="T31" s="440">
        <f t="shared" si="8"/>
        <v>0</v>
      </c>
      <c r="U31" s="461" t="s">
        <v>625</v>
      </c>
    </row>
    <row r="32" spans="1:27" ht="15.75" thickBot="1" x14ac:dyDescent="0.3">
      <c r="A32" s="399" t="s">
        <v>374</v>
      </c>
      <c r="B32" s="404" t="str">
        <f>VLOOKUP(A32,'Feature Raw Data'!$A$3:$B$4000,2,FALSE)</f>
        <v>BAMACO</v>
      </c>
      <c r="C32" s="400" t="str">
        <f>VLOOKUP(A32,'Feature Raw Data'!$A$3:$C$4209,3,FALSE)</f>
        <v>P1</v>
      </c>
      <c r="D32" s="401" t="str" cm="1">
        <f t="array" ref="D32">_xlfn.TEXTJOIN("",TRUE,IF(ISNUMBER(SEARCH($A32,'Diags Raw Data'!$A$6:$A$3703)),CONCATENATE('Diags Raw Data'!$H$6:$H$3703,", "),""))</f>
        <v xml:space="preserve">PM31.06, </v>
      </c>
      <c r="E32" s="327" t="str">
        <f>VLOOKUP(A32,'Diags Raw Data'!$A$12:$D$3703,4,FALSE)</f>
        <v>PMM</v>
      </c>
      <c r="F32" s="402" t="str">
        <f>VLOOKUP(A32,'Feature Raw Data'!$A$3:$E$4000,5,FALSE)</f>
        <v>Delta</v>
      </c>
      <c r="G32" s="327" t="s">
        <v>31</v>
      </c>
      <c r="H32" s="327" t="str">
        <f t="shared" si="4"/>
        <v>Yes</v>
      </c>
      <c r="I32" s="405">
        <f>SUMIF('Diags Raw Data'!$A$12:$A$3703,"*"&amp;$A32&amp;"*",'Diags Raw Data'!$K$12:$K$3703)</f>
        <v>1</v>
      </c>
      <c r="J32" s="406">
        <f>SUMIF('Diags Raw Data'!$A$12:$A$3703,"*"&amp;$A32&amp;"*",'Diags Raw Data'!$L$12:$L$3703)</f>
        <v>1</v>
      </c>
      <c r="K32" s="432" cm="1">
        <f t="array" ref="K32">IF(D32="",0, SUMPRODUCT(--(ISNUMBER(SEARCH($A32,'Diags Raw Data'!$A$12:$A$3703))),'Diags Raw Data'!$L$12:$L$3703,'Diags Raw Data'!$N$12:$N$3703)/J32)</f>
        <v>1</v>
      </c>
      <c r="L32" s="433" cm="1">
        <f t="array" ref="L32">IF(D32="",0, SUMPRODUCT(--(ISNUMBER(SEARCH($A32,'Diags Raw Data'!$A$12:$A$3703))),'Diags Raw Data'!$L$12:$L$3703,'Diags Raw Data'!$P$12:$P$3703)/J32)</f>
        <v>1</v>
      </c>
      <c r="M32" s="434" cm="1">
        <f t="array" ref="M32">SUMPRODUCT(--(ISNUMBER(SEARCH($A32,'Diags Raw Data'!$A$12:$A$3703))),--('Diags Raw Data'!$Q$12:$Q$3703&lt;&gt;"N/A"),'Diags Raw Data'!$R$12:$R$3703)</f>
        <v>1</v>
      </c>
      <c r="N32" s="435" cm="1">
        <f t="array" ref="N32">SUMPRODUCT(--(ISNUMBER(SEARCH($A32,'Diags Raw Data'!$A$12:$A$3703))),--('Diags Raw Data'!$Q$12:$Q$3703&lt;&gt;"N/A"),'Diags Raw Data'!$T$12:$T$3703)+SUMPRODUCT(--(ISNUMBER(SEARCH($A32,'Diags Raw Data'!$A$12:$A$3703))),--('Diags Raw Data'!$Q$12:$Q$3703&lt;&gt;"N/A"),'Diags Raw Data'!$U$12:$U$3703)</f>
        <v>1</v>
      </c>
      <c r="O32" s="436">
        <f t="shared" si="5"/>
        <v>1</v>
      </c>
      <c r="P32" s="437">
        <f>SUMIF('Diags Raw Data'!$A$12:$A$3703,"*"&amp;$A32&amp;"*",'Diags Raw Data'!$Z$12:$Z$3703)</f>
        <v>0</v>
      </c>
      <c r="Q32" s="438">
        <f>SUM(SUMIF('Diags Raw Data'!$A$12:$A$3703,"*"&amp;$A32&amp;"*",'Diags Raw Data'!$AA$12:$AA$3703),SUMIF('Diags Raw Data'!$A$12:$A$3703,"*"&amp;$A32&amp;"*",'Diags Raw Data'!$AB$12:$AB$3703))</f>
        <v>0</v>
      </c>
      <c r="R32" s="439">
        <f t="shared" si="6"/>
        <v>0</v>
      </c>
      <c r="S32" s="439">
        <f t="shared" si="7"/>
        <v>0</v>
      </c>
      <c r="T32" s="440">
        <f t="shared" si="8"/>
        <v>0</v>
      </c>
      <c r="U32" s="461" t="s">
        <v>625</v>
      </c>
    </row>
    <row r="33" spans="1:22" ht="15.75" hidden="1" thickBot="1" x14ac:dyDescent="0.3">
      <c r="A33" s="399" t="s">
        <v>487</v>
      </c>
      <c r="B33" s="404" t="str">
        <f>VLOOKUP(A33,'Feature Raw Data'!$A$3:$B$4000,2,FALSE)</f>
        <v>BOMACO</v>
      </c>
      <c r="C33" s="400" t="str">
        <f>VLOOKUP(A33,'Feature Raw Data'!$A$3:$C$4209,3,FALSE)</f>
        <v>P2</v>
      </c>
      <c r="D33" s="401" t="str" cm="1">
        <f t="array" ref="D33">_xlfn.TEXTJOIN("",TRUE,IF(ISNUMBER(SEARCH($A33,'Diags Raw Data'!$A$12:$A$3703)),CONCATENATE('Diags Raw Data'!$H$12:$H$3703,", "),""))</f>
        <v/>
      </c>
      <c r="E33" s="327" t="e">
        <f>VLOOKUP(A33,'Diags Raw Data'!$A$12:$D$3703,4,FALSE)</f>
        <v>#N/A</v>
      </c>
      <c r="F33" s="402" t="str">
        <f>VLOOKUP(A33,'Feature Raw Data'!$A$3:$E$4000,5,FALSE)</f>
        <v>Delta</v>
      </c>
      <c r="G33" s="327" t="s">
        <v>31</v>
      </c>
      <c r="H33" s="402" t="s">
        <v>36</v>
      </c>
      <c r="I33" s="400">
        <f>SUMIF('Diags Raw Data'!$A$12:$A$3703,"*"&amp;$A33&amp;"*",'Diags Raw Data'!$K$12:$K$3703)</f>
        <v>0</v>
      </c>
      <c r="J33" s="403">
        <f>SUMIF('Diags Raw Data'!$A$12:$A$3703,"*"&amp;$A33&amp;"*",'Diags Raw Data'!$L$12:$L$3703)</f>
        <v>0</v>
      </c>
      <c r="K33" s="432" cm="1">
        <f t="array" ref="K33">IF(D33="",0, SUMPRODUCT(--(ISNUMBER(SEARCH($A33,'Diags Raw Data'!$A$12:$A$3703))),'Diags Raw Data'!$L$12:$L$3703,'Diags Raw Data'!$N$12:$N$3703)/J33)</f>
        <v>0</v>
      </c>
      <c r="L33" s="433" cm="1">
        <f t="array" ref="L33">IF(D33="",0, SUMPRODUCT(--(ISNUMBER(SEARCH($A33,'Diags Raw Data'!$A$12:$A$3703))),'Diags Raw Data'!$L$12:$L$3703,'Diags Raw Data'!$P$12:$P$3703)/J33)</f>
        <v>0</v>
      </c>
      <c r="M33" s="434" cm="1">
        <f t="array" ref="M33">SUMPRODUCT(--(ISNUMBER(SEARCH($A33,'Diags Raw Data'!$A$12:$A$3703))),--('Diags Raw Data'!$Q$12:$Q$3703&lt;&gt;"N/A"),'Diags Raw Data'!$R$12:$R$3703)</f>
        <v>0</v>
      </c>
      <c r="N33" s="435" cm="1">
        <f t="array" ref="N33">SUMPRODUCT(--(ISNUMBER(SEARCH($A33,'Diags Raw Data'!$A$12:$A$3703))),--('Diags Raw Data'!$Q$12:$Q$3703&lt;&gt;"N/A"),'Diags Raw Data'!$T$12:$T$3703)+SUMPRODUCT(--(ISNUMBER(SEARCH($A33,'Diags Raw Data'!$A$12:$A$3703))),--('Diags Raw Data'!$Q$12:$Q$3703&lt;&gt;"N/A"),'Diags Raw Data'!$U$12:$U$3703)</f>
        <v>0</v>
      </c>
      <c r="O33" s="436">
        <f t="shared" si="5"/>
        <v>0</v>
      </c>
      <c r="P33" s="437">
        <f>SUMIF('Diags Raw Data'!$A$12:$A$3703,"*"&amp;$A33&amp;"*",'Diags Raw Data'!$Z$12:$Z$3703)</f>
        <v>0</v>
      </c>
      <c r="Q33" s="438">
        <f>SUM(SUMIF('Diags Raw Data'!$A$12:$A$3703,"*"&amp;$A33&amp;"*",'Diags Raw Data'!$AA$12:$AA$3703),SUMIF('Diags Raw Data'!$A$12:$A$3703,"*"&amp;$A33&amp;"*",'Diags Raw Data'!$AB$12:$AB$3703))</f>
        <v>0</v>
      </c>
      <c r="R33" s="439">
        <f t="shared" si="6"/>
        <v>0</v>
      </c>
      <c r="S33" s="439">
        <f t="shared" si="7"/>
        <v>0</v>
      </c>
      <c r="T33" s="440">
        <f t="shared" si="8"/>
        <v>0</v>
      </c>
      <c r="U33" s="407"/>
      <c r="V33" s="505"/>
    </row>
    <row r="34" spans="1:22" ht="15.75" hidden="1" thickBot="1" x14ac:dyDescent="0.3">
      <c r="A34" s="399" t="s">
        <v>489</v>
      </c>
      <c r="B34" s="404" t="str">
        <f>VLOOKUP(A34,'Feature Raw Data'!$A$3:$B$4000,2,FALSE)</f>
        <v>BOCO</v>
      </c>
      <c r="C34" s="400" t="str">
        <f>VLOOKUP(A34,'Feature Raw Data'!$A$3:$C$4209,3,FALSE)</f>
        <v>P2</v>
      </c>
      <c r="D34" s="401" t="str" cm="1">
        <f t="array" ref="D34">_xlfn.TEXTJOIN("",TRUE,IF(ISNUMBER(SEARCH($A34,'Diags Raw Data'!$A$12:$A$3703)),CONCATENATE('Diags Raw Data'!$H$12:$H$3703,", "),""))</f>
        <v/>
      </c>
      <c r="E34" s="327" t="e">
        <f>VLOOKUP(A34,'Diags Raw Data'!$A$12:$D$3703,4,FALSE)</f>
        <v>#N/A</v>
      </c>
      <c r="F34" s="402" t="str">
        <f>VLOOKUP(A34,'Feature Raw Data'!$A$3:$E$4000,5,FALSE)</f>
        <v>Delta</v>
      </c>
      <c r="G34" s="327" t="s">
        <v>31</v>
      </c>
      <c r="H34" s="402" t="s">
        <v>36</v>
      </c>
      <c r="I34" s="400">
        <f>SUMIF('Diags Raw Data'!$A$12:$A$3703,"*"&amp;$A34&amp;"*",'Diags Raw Data'!$K$12:$K$3703)</f>
        <v>0</v>
      </c>
      <c r="J34" s="403">
        <f>SUMIF('Diags Raw Data'!$A$12:$A$3703,"*"&amp;$A34&amp;"*",'Diags Raw Data'!$L$12:$L$3703)</f>
        <v>0</v>
      </c>
      <c r="K34" s="432" cm="1">
        <f t="array" ref="K34">IF(D34="",0, SUMPRODUCT(--(ISNUMBER(SEARCH($A34,'Diags Raw Data'!$A$12:$A$3703))),'Diags Raw Data'!$L$12:$L$3703,'Diags Raw Data'!$N$12:$N$3703)/J34)</f>
        <v>0</v>
      </c>
      <c r="L34" s="433" cm="1">
        <f t="array" ref="L34">IF(D34="",0, SUMPRODUCT(--(ISNUMBER(SEARCH($A34,'Diags Raw Data'!$A$12:$A$3703))),'Diags Raw Data'!$L$12:$L$3703,'Diags Raw Data'!$P$12:$P$3703)/J34)</f>
        <v>0</v>
      </c>
      <c r="M34" s="434" cm="1">
        <f t="array" ref="M34">SUMPRODUCT(--(ISNUMBER(SEARCH($A34,'Diags Raw Data'!$A$12:$A$3703))),--('Diags Raw Data'!$Q$12:$Q$3703&lt;&gt;"N/A"),'Diags Raw Data'!$R$12:$R$3703)</f>
        <v>0</v>
      </c>
      <c r="N34" s="435" cm="1">
        <f t="array" ref="N34">SUMPRODUCT(--(ISNUMBER(SEARCH($A34,'Diags Raw Data'!$A$12:$A$3703))),--('Diags Raw Data'!$Q$12:$Q$3703&lt;&gt;"N/A"),'Diags Raw Data'!$T$12:$T$3703)+SUMPRODUCT(--(ISNUMBER(SEARCH($A34,'Diags Raw Data'!$A$12:$A$3703))),--('Diags Raw Data'!$Q$12:$Q$3703&lt;&gt;"N/A"),'Diags Raw Data'!$U$12:$U$3703)</f>
        <v>0</v>
      </c>
      <c r="O34" s="436">
        <f t="shared" si="5"/>
        <v>0</v>
      </c>
      <c r="P34" s="437">
        <f>SUMIF('Diags Raw Data'!$A$12:$A$3703,"*"&amp;$A34&amp;"*",'Diags Raw Data'!$Z$12:$Z$3703)</f>
        <v>0</v>
      </c>
      <c r="Q34" s="438">
        <f>SUM(SUMIF('Diags Raw Data'!$A$12:$A$3703,"*"&amp;$A34&amp;"*",'Diags Raw Data'!$AA$12:$AA$3703),SUMIF('Diags Raw Data'!$A$12:$A$3703,"*"&amp;$A34&amp;"*",'Diags Raw Data'!$AB$12:$AB$3703))</f>
        <v>0</v>
      </c>
      <c r="R34" s="439">
        <f t="shared" si="6"/>
        <v>0</v>
      </c>
      <c r="S34" s="439">
        <f t="shared" si="7"/>
        <v>0</v>
      </c>
      <c r="T34" s="440">
        <f t="shared" si="8"/>
        <v>0</v>
      </c>
      <c r="U34" s="407"/>
    </row>
    <row r="35" spans="1:22" ht="15.75" hidden="1" thickBot="1" x14ac:dyDescent="0.3">
      <c r="A35" s="399" t="s">
        <v>491</v>
      </c>
      <c r="B35" s="404" t="str">
        <f>VLOOKUP(A35,'Feature Raw Data'!$A$3:$B$4000,2,FALSE)</f>
        <v>ATHUB/MMHUB Power Gating</v>
      </c>
      <c r="C35" s="400" t="str">
        <f>VLOOKUP(A35,'Feature Raw Data'!$A$3:$C$4209,3,FALSE)</f>
        <v>P2</v>
      </c>
      <c r="D35" s="401" t="str" cm="1">
        <f t="array" ref="D35">_xlfn.TEXTJOIN("",TRUE,IF(ISNUMBER(SEARCH($A35,'Diags Raw Data'!$A$12:$A$3703)),CONCATENATE('Diags Raw Data'!$H$12:$H$3703,", "),""))</f>
        <v/>
      </c>
      <c r="E35" s="327" t="e">
        <f>VLOOKUP(A35,'Diags Raw Data'!$A$12:$D$3703,4,FALSE)</f>
        <v>#N/A</v>
      </c>
      <c r="F35" s="402" t="str">
        <f>VLOOKUP(A35,'Feature Raw Data'!$A$3:$E$4000,5,FALSE)</f>
        <v>Delta</v>
      </c>
      <c r="G35" s="327" t="s">
        <v>31</v>
      </c>
      <c r="H35" s="402" t="s">
        <v>36</v>
      </c>
      <c r="I35" s="400">
        <f>SUMIF('Diags Raw Data'!$A$12:$A$3703,"*"&amp;$A35&amp;"*",'Diags Raw Data'!$K$12:$K$3703)</f>
        <v>0</v>
      </c>
      <c r="J35" s="403">
        <f>SUMIF('Diags Raw Data'!$A$12:$A$3703,"*"&amp;$A35&amp;"*",'Diags Raw Data'!$L$12:$L$3703)</f>
        <v>0</v>
      </c>
      <c r="K35" s="432" cm="1">
        <f t="array" ref="K35">IF(D35="",0, SUMPRODUCT(--(ISNUMBER(SEARCH($A35,'Diags Raw Data'!$A$12:$A$3703))),'Diags Raw Data'!$L$12:$L$3703,'Diags Raw Data'!$N$12:$N$3703)/J35)</f>
        <v>0</v>
      </c>
      <c r="L35" s="433" cm="1">
        <f t="array" ref="L35">IF(D35="",0, SUMPRODUCT(--(ISNUMBER(SEARCH($A35,'Diags Raw Data'!$A$12:$A$3703))),'Diags Raw Data'!$L$12:$L$3703,'Diags Raw Data'!$P$12:$P$3703)/J35)</f>
        <v>0</v>
      </c>
      <c r="M35" s="434" cm="1">
        <f t="array" ref="M35">SUMPRODUCT(--(ISNUMBER(SEARCH($A35,'Diags Raw Data'!$A$12:$A$3703))),--('Diags Raw Data'!$Q$12:$Q$3703&lt;&gt;"N/A"),'Diags Raw Data'!$R$12:$R$3703)</f>
        <v>0</v>
      </c>
      <c r="N35" s="435" cm="1">
        <f t="array" ref="N35">SUMPRODUCT(--(ISNUMBER(SEARCH($A35,'Diags Raw Data'!$A$12:$A$3703))),--('Diags Raw Data'!$Q$12:$Q$3703&lt;&gt;"N/A"),'Diags Raw Data'!$T$12:$T$3703)+SUMPRODUCT(--(ISNUMBER(SEARCH($A35,'Diags Raw Data'!$A$12:$A$3703))),--('Diags Raw Data'!$Q$12:$Q$3703&lt;&gt;"N/A"),'Diags Raw Data'!$U$12:$U$3703)</f>
        <v>0</v>
      </c>
      <c r="O35" s="436">
        <f t="shared" ref="O35:O36" si="26">IF((M35=0),0,N35/M35)</f>
        <v>0</v>
      </c>
      <c r="P35" s="437">
        <f>SUMIF('Diags Raw Data'!$A$12:$A$3703,"*"&amp;$A35&amp;"*",'Diags Raw Data'!$Z$12:$Z$3703)</f>
        <v>0</v>
      </c>
      <c r="Q35" s="438">
        <f>SUM(SUMIF('Diags Raw Data'!$A$12:$A$3703,"*"&amp;$A35&amp;"*",'Diags Raw Data'!$AA$12:$AA$3703),SUMIF('Diags Raw Data'!$A$12:$A$3703,"*"&amp;$A35&amp;"*",'Diags Raw Data'!$AB$12:$AB$3703))</f>
        <v>0</v>
      </c>
      <c r="R35" s="439">
        <f t="shared" ref="R35:R36" si="27">IF((J35=0),0,P35/J35)</f>
        <v>0</v>
      </c>
      <c r="S35" s="439">
        <f t="shared" ref="S35:S36" si="28">IF((P35=0),0,Q35/P35)</f>
        <v>0</v>
      </c>
      <c r="T35" s="440">
        <f t="shared" ref="T35:T36" si="29">R35*S35</f>
        <v>0</v>
      </c>
      <c r="U35" s="407"/>
    </row>
    <row r="36" spans="1:22" ht="15.75" thickBot="1" x14ac:dyDescent="0.3">
      <c r="A36" s="399" t="s">
        <v>377</v>
      </c>
      <c r="B36" s="404" t="str">
        <f>VLOOKUP(A36,'Feature Raw Data'!$A$3:$B$4000,2,FALSE)</f>
        <v>VCN Off</v>
      </c>
      <c r="C36" s="400" t="str">
        <f>VLOOKUP(A36,'Feature Raw Data'!$A$3:$C$4209,3,FALSE)</f>
        <v>P1</v>
      </c>
      <c r="D36" s="401" t="str" cm="1">
        <f t="array" ref="D36">_xlfn.TEXTJOIN("",TRUE,IF(ISNUMBER(SEARCH($A36,'Diags Raw Data'!$A$6:$A$3703)),CONCATENATE('Diags Raw Data'!$H$6:$H$3703,", "),""))</f>
        <v xml:space="preserve">PM80.805, </v>
      </c>
      <c r="E36" s="327" t="str">
        <f>VLOOKUP(A36,'Diags Raw Data'!$A$12:$D$3703,4,FALSE)</f>
        <v>PMM</v>
      </c>
      <c r="F36" s="402" t="str">
        <f>VLOOKUP(A36,'Feature Raw Data'!$A$3:$E$4000,5,FALSE)</f>
        <v>Delta</v>
      </c>
      <c r="G36" s="327" t="s">
        <v>31</v>
      </c>
      <c r="H36" s="327" t="str">
        <f t="shared" ref="H36" si="30">IF(D36="","No","Yes")</f>
        <v>Yes</v>
      </c>
      <c r="I36" s="405">
        <f>SUMIF('Diags Raw Data'!$A$12:$A$3703,"*"&amp;$A36&amp;"*",'Diags Raw Data'!$K$12:$K$3703)</f>
        <v>1</v>
      </c>
      <c r="J36" s="406">
        <f>SUMIF('Diags Raw Data'!$A$12:$A$3703,"*"&amp;$A36&amp;"*",'Diags Raw Data'!$L$12:$L$3703)</f>
        <v>1</v>
      </c>
      <c r="K36" s="432" cm="1">
        <f t="array" ref="K36">IF(D36="",0, SUMPRODUCT(--(ISNUMBER(SEARCH($A36,'Diags Raw Data'!$A$12:$A$3703))),'Diags Raw Data'!$L$12:$L$3703,'Diags Raw Data'!$N$12:$N$3703)/J36)</f>
        <v>1</v>
      </c>
      <c r="L36" s="433" cm="1">
        <f t="array" ref="L36">IF(D36="",0, SUMPRODUCT(--(ISNUMBER(SEARCH($A36,'Diags Raw Data'!$A$12:$A$3703))),'Diags Raw Data'!$L$12:$L$3703,'Diags Raw Data'!$P$12:$P$3703)/J36)</f>
        <v>1</v>
      </c>
      <c r="M36" s="434" cm="1">
        <f t="array" ref="M36">SUMPRODUCT(--(ISNUMBER(SEARCH($A36,'Diags Raw Data'!$A$12:$A$3703))),--('Diags Raw Data'!$Q$12:$Q$3703&lt;&gt;"N/A"),'Diags Raw Data'!$R$12:$R$3703)</f>
        <v>1</v>
      </c>
      <c r="N36" s="435" cm="1">
        <f t="array" ref="N36">SUMPRODUCT(--(ISNUMBER(SEARCH($A36,'Diags Raw Data'!$A$12:$A$3703))),--('Diags Raw Data'!$Q$12:$Q$3703&lt;&gt;"N/A"),'Diags Raw Data'!$T$12:$T$3703)+SUMPRODUCT(--(ISNUMBER(SEARCH($A36,'Diags Raw Data'!$A$12:$A$3703))),--('Diags Raw Data'!$Q$12:$Q$3703&lt;&gt;"N/A"),'Diags Raw Data'!$U$12:$U$3703)</f>
        <v>1</v>
      </c>
      <c r="O36" s="436">
        <f t="shared" si="26"/>
        <v>1</v>
      </c>
      <c r="P36" s="437">
        <f>SUMIF('Diags Raw Data'!$A$12:$A$3703,"*"&amp;$A36&amp;"*",'Diags Raw Data'!$Z$12:$Z$3703)</f>
        <v>0</v>
      </c>
      <c r="Q36" s="438">
        <f>SUM(SUMIF('Diags Raw Data'!$A$12:$A$3703,"*"&amp;$A36&amp;"*",'Diags Raw Data'!$AA$12:$AA$3703),SUMIF('Diags Raw Data'!$A$12:$A$3703,"*"&amp;$A36&amp;"*",'Diags Raw Data'!$AB$12:$AB$3703))</f>
        <v>0</v>
      </c>
      <c r="R36" s="439">
        <f t="shared" si="27"/>
        <v>0</v>
      </c>
      <c r="S36" s="439">
        <f t="shared" si="28"/>
        <v>0</v>
      </c>
      <c r="T36" s="440">
        <f t="shared" si="29"/>
        <v>0</v>
      </c>
      <c r="U36" s="407" t="s">
        <v>625</v>
      </c>
    </row>
    <row r="37" spans="1:22" ht="15.75" hidden="1" thickBot="1" x14ac:dyDescent="0.3">
      <c r="A37" s="399" t="s">
        <v>493</v>
      </c>
      <c r="B37" s="404" t="str">
        <f>VLOOKUP(A37,'Feature Raw Data'!$A$3:$B$4000,2,FALSE)</f>
        <v>MACO SVI3 Register</v>
      </c>
      <c r="C37" s="400" t="str">
        <f>VLOOKUP(A37,'Feature Raw Data'!$A$3:$C$4209,3,FALSE)</f>
        <v>P1</v>
      </c>
      <c r="D37" s="401" t="str" cm="1">
        <f t="array" ref="D37">_xlfn.TEXTJOIN("",TRUE,IF(ISNUMBER(SEARCH($A37,'Diags Raw Data'!$A$12:$A$3703)),CONCATENATE('Diags Raw Data'!$H$12:$H$3703,", "),""))</f>
        <v/>
      </c>
      <c r="E37" s="327" t="e">
        <f>VLOOKUP(A37,'Diags Raw Data'!$A$12:$D$3703,4,FALSE)</f>
        <v>#N/A</v>
      </c>
      <c r="F37" s="402" t="str">
        <f>VLOOKUP(A37,'Feature Raw Data'!$A$3:$E$4000,5,FALSE)</f>
        <v>Delta</v>
      </c>
      <c r="G37" s="327" t="s">
        <v>31</v>
      </c>
      <c r="H37" s="402" t="s">
        <v>36</v>
      </c>
      <c r="I37" s="405">
        <f>SUMIF('Diags Raw Data'!$A$12:$A$3703,"*"&amp;$A37&amp;"*",'Diags Raw Data'!$K$12:$K$3703)</f>
        <v>0</v>
      </c>
      <c r="J37" s="406">
        <f>SUMIF('Diags Raw Data'!$A$12:$A$3703,"*"&amp;$A37&amp;"*",'Diags Raw Data'!$L$12:$L$3703)</f>
        <v>0</v>
      </c>
      <c r="K37" s="432" cm="1">
        <f t="array" ref="K37">IF(D37="",0, SUMPRODUCT(--(ISNUMBER(SEARCH($A37,'Diags Raw Data'!$A$12:$A$3703))),'Diags Raw Data'!$L$12:$L$3703,'Diags Raw Data'!$N$12:$N$3703)/J37)</f>
        <v>0</v>
      </c>
      <c r="L37" s="433" cm="1">
        <f t="array" ref="L37">IF(D37="",0, SUMPRODUCT(--(ISNUMBER(SEARCH($A37,'Diags Raw Data'!$A$12:$A$3703))),'Diags Raw Data'!$L$12:$L$3703,'Diags Raw Data'!$P$12:$P$3703)/J37)</f>
        <v>0</v>
      </c>
      <c r="M37" s="434" cm="1">
        <f t="array" ref="M37">SUMPRODUCT(--(ISNUMBER(SEARCH($A37,'Diags Raw Data'!$A$12:$A$3703))),--('Diags Raw Data'!$Q$12:$Q$3703&lt;&gt;"N/A"),'Diags Raw Data'!$R$12:$R$3703)</f>
        <v>0</v>
      </c>
      <c r="N37" s="435" cm="1">
        <f t="array" ref="N37">SUMPRODUCT(--(ISNUMBER(SEARCH($A37,'Diags Raw Data'!$A$12:$A$3703))),--('Diags Raw Data'!$Q$12:$Q$3703&lt;&gt;"N/A"),'Diags Raw Data'!$T$12:$T$3703)+SUMPRODUCT(--(ISNUMBER(SEARCH($A37,'Diags Raw Data'!$A$12:$A$3703))),--('Diags Raw Data'!$Q$12:$Q$3703&lt;&gt;"N/A"),'Diags Raw Data'!$U$12:$U$3703)</f>
        <v>0</v>
      </c>
      <c r="O37" s="436">
        <f t="shared" si="5"/>
        <v>0</v>
      </c>
      <c r="P37" s="437">
        <f>SUMIF('Diags Raw Data'!$A$12:$A$3703,"*"&amp;$A37&amp;"*",'Diags Raw Data'!$Z$12:$Z$3703)</f>
        <v>0</v>
      </c>
      <c r="Q37" s="438">
        <f>SUM(SUMIF('Diags Raw Data'!$A$12:$A$3703,"*"&amp;$A37&amp;"*",'Diags Raw Data'!$AA$12:$AA$3703),SUMIF('Diags Raw Data'!$A$12:$A$3703,"*"&amp;$A37&amp;"*",'Diags Raw Data'!$AB$12:$AB$3703))</f>
        <v>0</v>
      </c>
      <c r="R37" s="439">
        <f t="shared" si="6"/>
        <v>0</v>
      </c>
      <c r="S37" s="439">
        <f t="shared" si="7"/>
        <v>0</v>
      </c>
      <c r="T37" s="440">
        <f t="shared" si="8"/>
        <v>0</v>
      </c>
      <c r="U37" s="407"/>
    </row>
    <row r="38" spans="1:22" ht="15.75" hidden="1" thickBot="1" x14ac:dyDescent="0.3">
      <c r="A38" s="399" t="s">
        <v>495</v>
      </c>
      <c r="B38" s="404" t="str">
        <f>VLOOKUP(A38,'Feature Raw Data'!$A$3:$B$4000,2,FALSE)</f>
        <v>SOCCLK Deep Sleep</v>
      </c>
      <c r="C38" s="400" t="str">
        <f>VLOOKUP(A38,'Feature Raw Data'!$A$3:$C$4209,3,FALSE)</f>
        <v>P3</v>
      </c>
      <c r="D38" s="401" t="str" cm="1">
        <f t="array" ref="D38">_xlfn.TEXTJOIN("",TRUE,IF(ISNUMBER(SEARCH($A38,'Diags Raw Data'!$A$12:$A$3703)),CONCATENATE('Diags Raw Data'!$H$12:$H$3703,", "),""))</f>
        <v/>
      </c>
      <c r="E38" s="327" t="e">
        <f>VLOOKUP(A38,'Diags Raw Data'!$A$12:$D$3703,4,FALSE)</f>
        <v>#N/A</v>
      </c>
      <c r="F38" s="402" t="str">
        <f>VLOOKUP(A38,'Feature Raw Data'!$A$3:$E$4000,5,FALSE)</f>
        <v>Legacy</v>
      </c>
      <c r="G38" s="327" t="s">
        <v>31</v>
      </c>
      <c r="H38" s="402" t="s">
        <v>36</v>
      </c>
      <c r="I38" s="405">
        <f>SUMIF('Diags Raw Data'!$A$12:$A$3703,"*"&amp;$A38&amp;"*",'Diags Raw Data'!$K$12:$K$3703)</f>
        <v>0</v>
      </c>
      <c r="J38" s="406">
        <f>SUMIF('Diags Raw Data'!$A$12:$A$3703,"*"&amp;$A38&amp;"*",'Diags Raw Data'!$L$12:$L$3703)</f>
        <v>0</v>
      </c>
      <c r="K38" s="432" cm="1">
        <f t="array" ref="K38">IF(D38="",0, SUMPRODUCT(--(ISNUMBER(SEARCH($A38,'Diags Raw Data'!$A$12:$A$3703))),'Diags Raw Data'!$L$12:$L$3703,'Diags Raw Data'!$N$12:$N$3703)/J38)</f>
        <v>0</v>
      </c>
      <c r="L38" s="433" cm="1">
        <f t="array" ref="L38">IF(D38="",0, SUMPRODUCT(--(ISNUMBER(SEARCH($A38,'Diags Raw Data'!$A$12:$A$3703))),'Diags Raw Data'!$L$12:$L$3703,'Diags Raw Data'!$P$12:$P$3703)/J38)</f>
        <v>0</v>
      </c>
      <c r="M38" s="434" cm="1">
        <f t="array" ref="M38">SUMPRODUCT(--(ISNUMBER(SEARCH($A38,'Diags Raw Data'!$A$12:$A$3703))),--('Diags Raw Data'!$Q$12:$Q$3703&lt;&gt;"N/A"),'Diags Raw Data'!$R$12:$R$3703)</f>
        <v>0</v>
      </c>
      <c r="N38" s="435" cm="1">
        <f t="array" ref="N38">SUMPRODUCT(--(ISNUMBER(SEARCH($A38,'Diags Raw Data'!$A$12:$A$3703))),--('Diags Raw Data'!$Q$12:$Q$3703&lt;&gt;"N/A"),'Diags Raw Data'!$T$12:$T$3703)+SUMPRODUCT(--(ISNUMBER(SEARCH($A38,'Diags Raw Data'!$A$12:$A$3703))),--('Diags Raw Data'!$Q$12:$Q$3703&lt;&gt;"N/A"),'Diags Raw Data'!$U$12:$U$3703)</f>
        <v>0</v>
      </c>
      <c r="O38" s="436">
        <f t="shared" ref="O38" si="31">IF((M38=0),0,N38/M38)</f>
        <v>0</v>
      </c>
      <c r="P38" s="437">
        <f>SUMIF('Diags Raw Data'!$A$12:$A$3703,"*"&amp;$A38&amp;"*",'Diags Raw Data'!$Z$12:$Z$3703)</f>
        <v>0</v>
      </c>
      <c r="Q38" s="438">
        <f>SUM(SUMIF('Diags Raw Data'!$A$12:$A$3703,"*"&amp;$A38&amp;"*",'Diags Raw Data'!$AA$12:$AA$3703),SUMIF('Diags Raw Data'!$A$12:$A$3703,"*"&amp;$A38&amp;"*",'Diags Raw Data'!$AB$12:$AB$3703))</f>
        <v>0</v>
      </c>
      <c r="R38" s="439">
        <f t="shared" ref="R38" si="32">IF((J38=0),0,P38/J38)</f>
        <v>0</v>
      </c>
      <c r="S38" s="439">
        <f t="shared" ref="S38" si="33">IF((P38=0),0,Q38/P38)</f>
        <v>0</v>
      </c>
      <c r="T38" s="440">
        <f t="shared" ref="T38" si="34">R38*S38</f>
        <v>0</v>
      </c>
      <c r="U38" s="407"/>
    </row>
    <row r="39" spans="1:22" ht="15.75" hidden="1" thickBot="1" x14ac:dyDescent="0.3">
      <c r="A39" s="399" t="s">
        <v>497</v>
      </c>
      <c r="B39" s="404" t="str">
        <f>VLOOKUP(A39,'Feature Raw Data'!$A$3:$B$4000,2,FALSE)</f>
        <v>SMN DS</v>
      </c>
      <c r="C39" s="400" t="str">
        <f>VLOOKUP(A39,'Feature Raw Data'!$A$3:$C$4209,3,FALSE)</f>
        <v>P3</v>
      </c>
      <c r="D39" s="401" t="str" cm="1">
        <f t="array" ref="D39">_xlfn.TEXTJOIN("",TRUE,IF(ISNUMBER(SEARCH($A39,'Diags Raw Data'!$A$12:$A$3703)),CONCATENATE('Diags Raw Data'!$H$12:$H$3703,", "),""))</f>
        <v/>
      </c>
      <c r="E39" s="327" t="e">
        <f>VLOOKUP(A39,'Diags Raw Data'!$A$12:$D$3703,4,FALSE)</f>
        <v>#N/A</v>
      </c>
      <c r="F39" s="402" t="str">
        <f>VLOOKUP(A39,'Feature Raw Data'!$A$3:$E$4000,5,FALSE)</f>
        <v>Legacy</v>
      </c>
      <c r="G39" s="327" t="s">
        <v>31</v>
      </c>
      <c r="H39" s="402" t="s">
        <v>36</v>
      </c>
      <c r="I39" s="405">
        <f>SUMIF('Diags Raw Data'!$A$12:$A$3703,"*"&amp;$A39&amp;"*",'Diags Raw Data'!$K$12:$K$3703)</f>
        <v>0</v>
      </c>
      <c r="J39" s="406">
        <f>SUMIF('Diags Raw Data'!$A$12:$A$3703,"*"&amp;$A39&amp;"*",'Diags Raw Data'!$L$12:$L$3703)</f>
        <v>0</v>
      </c>
      <c r="K39" s="432" cm="1">
        <f t="array" ref="K39">IF(D39="",0, SUMPRODUCT(--(ISNUMBER(SEARCH($A39,'Diags Raw Data'!$A$12:$A$3703))),'Diags Raw Data'!$L$12:$L$3703,'Diags Raw Data'!$N$12:$N$3703)/J39)</f>
        <v>0</v>
      </c>
      <c r="L39" s="433" cm="1">
        <f t="array" ref="L39">IF(D39="",0, SUMPRODUCT(--(ISNUMBER(SEARCH($A39,'Diags Raw Data'!$A$12:$A$3703))),'Diags Raw Data'!$L$12:$L$3703,'Diags Raw Data'!$P$12:$P$3703)/J39)</f>
        <v>0</v>
      </c>
      <c r="M39" s="434" cm="1">
        <f t="array" ref="M39">SUMPRODUCT(--(ISNUMBER(SEARCH($A39,'Diags Raw Data'!$A$12:$A$3703))),--('Diags Raw Data'!$Q$12:$Q$3703&lt;&gt;"N/A"),'Diags Raw Data'!$R$12:$R$3703)</f>
        <v>0</v>
      </c>
      <c r="N39" s="435" cm="1">
        <f t="array" ref="N39">SUMPRODUCT(--(ISNUMBER(SEARCH($A39,'Diags Raw Data'!$A$12:$A$3703))),--('Diags Raw Data'!$Q$12:$Q$3703&lt;&gt;"N/A"),'Diags Raw Data'!$T$12:$T$3703)+SUMPRODUCT(--(ISNUMBER(SEARCH($A39,'Diags Raw Data'!$A$12:$A$3703))),--('Diags Raw Data'!$Q$12:$Q$3703&lt;&gt;"N/A"),'Diags Raw Data'!$U$12:$U$3703)</f>
        <v>0</v>
      </c>
      <c r="O39" s="436">
        <f t="shared" ref="O39" si="35">IF((M39=0),0,N39/M39)</f>
        <v>0</v>
      </c>
      <c r="P39" s="437">
        <f>SUMIF('Diags Raw Data'!$A$12:$A$3703,"*"&amp;$A39&amp;"*",'Diags Raw Data'!$Z$12:$Z$3703)</f>
        <v>0</v>
      </c>
      <c r="Q39" s="438">
        <f>SUM(SUMIF('Diags Raw Data'!$A$12:$A$3703,"*"&amp;$A39&amp;"*",'Diags Raw Data'!$AA$12:$AA$3703),SUMIF('Diags Raw Data'!$A$12:$A$3703,"*"&amp;$A39&amp;"*",'Diags Raw Data'!$AB$12:$AB$3703))</f>
        <v>0</v>
      </c>
      <c r="R39" s="439">
        <f t="shared" ref="R39" si="36">IF((J39=0),0,P39/J39)</f>
        <v>0</v>
      </c>
      <c r="S39" s="439">
        <f t="shared" ref="S39" si="37">IF((P39=0),0,Q39/P39)</f>
        <v>0</v>
      </c>
      <c r="T39" s="440">
        <f t="shared" ref="T39" si="38">R39*S39</f>
        <v>0</v>
      </c>
      <c r="U39" s="407"/>
    </row>
    <row r="40" spans="1:22" ht="15.75" thickBot="1" x14ac:dyDescent="0.3">
      <c r="A40" s="399" t="s">
        <v>381</v>
      </c>
      <c r="B40" s="404" t="str">
        <f>VLOOKUP(A40,'Feature Raw Data'!$A$3:$B$4000,2,FALSE)</f>
        <v>SOC ULV</v>
      </c>
      <c r="C40" s="400" t="str">
        <f>VLOOKUP(A40,'Feature Raw Data'!$A$3:$C$4209,3,FALSE)</f>
        <v>P1</v>
      </c>
      <c r="D40" s="401" t="str" cm="1">
        <f t="array" ref="D40">_xlfn.TEXTJOIN("",TRUE,IF(ISNUMBER(SEARCH($A40,'Diags Raw Data'!$A$6:$A$3703)),CONCATENATE('Diags Raw Data'!$H$6:$H$3703,", "),""))</f>
        <v xml:space="preserve">PM80.808, </v>
      </c>
      <c r="E40" s="327" t="str">
        <f>VLOOKUP(A40,'Diags Raw Data'!$A$12:$D$3703,4,FALSE)</f>
        <v>PMM</v>
      </c>
      <c r="F40" s="402" t="str">
        <f>VLOOKUP(A40,'Feature Raw Data'!$A$3:$E$4000,5,FALSE)</f>
        <v>Delta</v>
      </c>
      <c r="G40" s="327" t="s">
        <v>31</v>
      </c>
      <c r="H40" s="327" t="s">
        <v>31</v>
      </c>
      <c r="I40" s="405">
        <f>SUMIF('Diags Raw Data'!$A$12:$A$3703,"*"&amp;$A40&amp;"*",'Diags Raw Data'!$K$12:$K$3703)</f>
        <v>1</v>
      </c>
      <c r="J40" s="406">
        <f>SUMIF('Diags Raw Data'!$A$12:$A$3703,"*"&amp;$A40&amp;"*",'Diags Raw Data'!$L$12:$L$3703)</f>
        <v>1</v>
      </c>
      <c r="K40" s="432" cm="1">
        <f t="array" ref="K40">IF(D40="",0, SUMPRODUCT(--(ISNUMBER(SEARCH($A40,'Diags Raw Data'!$A$12:$A$3703))),'Diags Raw Data'!$L$12:$L$3703,'Diags Raw Data'!$N$12:$N$3703)/J40)</f>
        <v>1</v>
      </c>
      <c r="L40" s="433" cm="1">
        <f t="array" ref="L40">IF(D40="",0, SUMPRODUCT(--(ISNUMBER(SEARCH($A40,'Diags Raw Data'!$A$12:$A$3703))),'Diags Raw Data'!$L$12:$L$3703,'Diags Raw Data'!$P$12:$P$3703)/J40)</f>
        <v>1</v>
      </c>
      <c r="M40" s="434" cm="1">
        <f t="array" ref="M40">SUMPRODUCT(--(ISNUMBER(SEARCH($A40,'Diags Raw Data'!$A$12:$A$3703))),--('Diags Raw Data'!$Q$12:$Q$3703&lt;&gt;"N/A"),'Diags Raw Data'!$R$12:$R$3703)</f>
        <v>1</v>
      </c>
      <c r="N40" s="435" cm="1">
        <f t="array" ref="N40">SUMPRODUCT(--(ISNUMBER(SEARCH($A40,'Diags Raw Data'!$A$12:$A$3703))),--('Diags Raw Data'!$Q$12:$Q$3703&lt;&gt;"N/A"),'Diags Raw Data'!$T$12:$T$3703)+SUMPRODUCT(--(ISNUMBER(SEARCH($A40,'Diags Raw Data'!$A$12:$A$3703))),--('Diags Raw Data'!$Q$12:$Q$3703&lt;&gt;"N/A"),'Diags Raw Data'!$U$12:$U$3703)</f>
        <v>1</v>
      </c>
      <c r="O40" s="436">
        <f t="shared" ref="O40" si="39">IF((M40=0),0,N40/M40)</f>
        <v>1</v>
      </c>
      <c r="P40" s="437">
        <f>SUMIF('Diags Raw Data'!$A$12:$A$3703,"*"&amp;$A40&amp;"*",'Diags Raw Data'!$Z$12:$Z$3703)</f>
        <v>0</v>
      </c>
      <c r="Q40" s="438">
        <f>SUM(SUMIF('Diags Raw Data'!$A$12:$A$3703,"*"&amp;$A40&amp;"*",'Diags Raw Data'!$AA$12:$AA$3703),SUMIF('Diags Raw Data'!$A$12:$A$3703,"*"&amp;$A40&amp;"*",'Diags Raw Data'!$AB$12:$AB$3703))</f>
        <v>0</v>
      </c>
      <c r="R40" s="439">
        <f t="shared" ref="R40" si="40">IF((J40=0),0,P40/J40)</f>
        <v>0</v>
      </c>
      <c r="S40" s="439">
        <f t="shared" ref="S40" si="41">IF((P40=0),0,Q40/P40)</f>
        <v>0</v>
      </c>
      <c r="T40" s="440">
        <f t="shared" ref="T40" si="42">R40*S40</f>
        <v>0</v>
      </c>
      <c r="U40" s="407" t="s">
        <v>623</v>
      </c>
    </row>
    <row r="41" spans="1:22" ht="27" customHeight="1" thickBot="1" x14ac:dyDescent="0.3">
      <c r="A41" s="399" t="s">
        <v>320</v>
      </c>
      <c r="B41" s="404" t="str">
        <f>VLOOKUP(A41,'Feature Raw Data'!$A$3:$B$4000,2,FALSE)</f>
        <v>DRAM Temperature Controlling using UMC BW Throttling</v>
      </c>
      <c r="C41" s="400" t="str">
        <f>VLOOKUP(A41,'Feature Raw Data'!$A$3:$C$4209,3,FALSE)</f>
        <v>P1</v>
      </c>
      <c r="D41" s="401" t="str" cm="1">
        <f t="array" ref="D41">_xlfn.TEXTJOIN("",TRUE,IF(ISNUMBER(SEARCH($A41,'Diags Raw Data'!$A$6:$A$3703)),CONCATENATE('Diags Raw Data'!$H$6:$H$3703,", "),""))</f>
        <v xml:space="preserve">PM80.12, </v>
      </c>
      <c r="E41" s="327" t="str">
        <f>VLOOKUP(A41,'Diags Raw Data'!$A$12:$D$3703,4,FALSE)</f>
        <v>PMM</v>
      </c>
      <c r="F41" s="402" t="str">
        <f>VLOOKUP(A41,'Feature Raw Data'!$A$3:$E$4000,5,FALSE)</f>
        <v>Legacy</v>
      </c>
      <c r="G41" s="327" t="s">
        <v>31</v>
      </c>
      <c r="H41" s="327" t="s">
        <v>31</v>
      </c>
      <c r="I41" s="405">
        <f>SUMIF('Diags Raw Data'!$A$12:$A$3703,"*"&amp;$A41&amp;"*",'Diags Raw Data'!$K$12:$K$3703)</f>
        <v>1</v>
      </c>
      <c r="J41" s="406">
        <f>SUMIF('Diags Raw Data'!$A$12:$A$3703,"*"&amp;$A41&amp;"*",'Diags Raw Data'!$L$12:$L$3703)</f>
        <v>1</v>
      </c>
      <c r="K41" s="432" cm="1">
        <f t="array" ref="K41">IF(D41="",0, SUMPRODUCT(--(ISNUMBER(SEARCH($A41,'Diags Raw Data'!$A$12:$A$3703))),'Diags Raw Data'!$L$12:$L$3703,'Diags Raw Data'!$N$12:$N$3703)/J41)</f>
        <v>1</v>
      </c>
      <c r="L41" s="433" cm="1">
        <f t="array" ref="L41">IF(D41="",0, SUMPRODUCT(--(ISNUMBER(SEARCH($A41,'Diags Raw Data'!$A$12:$A$3703))),'Diags Raw Data'!$L$12:$L$3703,'Diags Raw Data'!$P$12:$P$3703)/J41)</f>
        <v>1</v>
      </c>
      <c r="M41" s="434" cm="1">
        <f t="array" ref="M41">SUMPRODUCT(--(ISNUMBER(SEARCH($A41,'Diags Raw Data'!$A$12:$A$3703))),--('Diags Raw Data'!$Q$12:$Q$3703&lt;&gt;"N/A"),'Diags Raw Data'!$R$12:$R$3703)</f>
        <v>1</v>
      </c>
      <c r="N41" s="435" cm="1">
        <f t="array" ref="N41">SUMPRODUCT(--(ISNUMBER(SEARCH($A41,'Diags Raw Data'!$A$12:$A$3703))),--('Diags Raw Data'!$Q$12:$Q$3703&lt;&gt;"N/A"),'Diags Raw Data'!$T$12:$T$3703)+SUMPRODUCT(--(ISNUMBER(SEARCH($A41,'Diags Raw Data'!$A$12:$A$3703))),--('Diags Raw Data'!$Q$12:$Q$3703&lt;&gt;"N/A"),'Diags Raw Data'!$U$12:$U$3703)</f>
        <v>1</v>
      </c>
      <c r="O41" s="436">
        <f t="shared" si="5"/>
        <v>1</v>
      </c>
      <c r="P41" s="437">
        <f>SUMIF('Diags Raw Data'!$A$12:$A$3703,"*"&amp;$A41&amp;"*",'Diags Raw Data'!$Z$12:$Z$3703)</f>
        <v>0</v>
      </c>
      <c r="Q41" s="438">
        <f>SUM(SUMIF('Diags Raw Data'!$A$12:$A$3703,"*"&amp;$A41&amp;"*",'Diags Raw Data'!$AA$12:$AA$3703),SUMIF('Diags Raw Data'!$A$12:$A$3703,"*"&amp;$A41&amp;"*",'Diags Raw Data'!$AB$12:$AB$3703))</f>
        <v>0</v>
      </c>
      <c r="R41" s="439">
        <f t="shared" si="6"/>
        <v>0</v>
      </c>
      <c r="S41" s="439">
        <f t="shared" si="7"/>
        <v>0</v>
      </c>
      <c r="T41" s="440">
        <f t="shared" si="8"/>
        <v>0</v>
      </c>
      <c r="U41" s="407" t="s">
        <v>623</v>
      </c>
    </row>
    <row r="42" spans="1:22" ht="15.75" hidden="1" thickBot="1" x14ac:dyDescent="0.3">
      <c r="A42" s="399" t="s">
        <v>500</v>
      </c>
      <c r="B42" s="404" t="str">
        <f>VLOOKUP(A42,'Feature Raw Data'!$A$3:$B$4000,2,FALSE)</f>
        <v>MPIOCLK DS</v>
      </c>
      <c r="C42" s="400" t="str">
        <f>VLOOKUP(A42,'Feature Raw Data'!$A$3:$C$4209,3,FALSE)</f>
        <v>P3</v>
      </c>
      <c r="D42" s="401" t="str" cm="1">
        <f t="array" ref="D42">_xlfn.TEXTJOIN("",TRUE,IF(ISNUMBER(SEARCH($A42,'Diags Raw Data'!$A$12:$A$3703)),CONCATENATE('Diags Raw Data'!$H$12:$H$3703,", "),""))</f>
        <v/>
      </c>
      <c r="E42" s="327" t="e">
        <f>VLOOKUP(A42,'Diags Raw Data'!$A$12:$D$3703,4,FALSE)</f>
        <v>#N/A</v>
      </c>
      <c r="F42" s="402" t="str">
        <f>VLOOKUP(A42,'Feature Raw Data'!$A$3:$E$4000,5,FALSE)</f>
        <v>Legacy</v>
      </c>
      <c r="G42" s="327" t="s">
        <v>31</v>
      </c>
      <c r="H42" s="402" t="s">
        <v>36</v>
      </c>
      <c r="I42" s="405">
        <f>SUMIF('Diags Raw Data'!$A$12:$A$3703,"*"&amp;$A42&amp;"*",'Diags Raw Data'!$K$12:$K$3703)</f>
        <v>0</v>
      </c>
      <c r="J42" s="406">
        <f>SUMIF('Diags Raw Data'!$A$12:$A$3703,"*"&amp;$A42&amp;"*",'Diags Raw Data'!$L$12:$L$3703)</f>
        <v>0</v>
      </c>
      <c r="K42" s="432" cm="1">
        <f t="array" ref="K42">IF(D42="",0, SUMPRODUCT(--(ISNUMBER(SEARCH($A42,'Diags Raw Data'!$A$12:$A$3703))),'Diags Raw Data'!$L$12:$L$3703,'Diags Raw Data'!$N$12:$N$3703)/J42)</f>
        <v>0</v>
      </c>
      <c r="L42" s="433" cm="1">
        <f t="array" ref="L42">IF(D42="",0, SUMPRODUCT(--(ISNUMBER(SEARCH($A42,'Diags Raw Data'!$A$12:$A$3703))),'Diags Raw Data'!$L$12:$L$3703,'Diags Raw Data'!$P$12:$P$3703)/J42)</f>
        <v>0</v>
      </c>
      <c r="M42" s="434" cm="1">
        <f t="array" ref="M42">SUMPRODUCT(--(ISNUMBER(SEARCH($A42,'Diags Raw Data'!$A$12:$A$3703))),--('Diags Raw Data'!$Q$12:$Q$3703&lt;&gt;"N/A"),'Diags Raw Data'!$R$12:$R$3703)</f>
        <v>0</v>
      </c>
      <c r="N42" s="435" cm="1">
        <f t="array" ref="N42">SUMPRODUCT(--(ISNUMBER(SEARCH($A42,'Diags Raw Data'!$A$12:$A$3703))),--('Diags Raw Data'!$Q$12:$Q$3703&lt;&gt;"N/A"),'Diags Raw Data'!$T$12:$T$3703)+SUMPRODUCT(--(ISNUMBER(SEARCH($A42,'Diags Raw Data'!$A$12:$A$3703))),--('Diags Raw Data'!$Q$12:$Q$3703&lt;&gt;"N/A"),'Diags Raw Data'!$U$12:$U$3703)</f>
        <v>0</v>
      </c>
      <c r="O42" s="436">
        <f t="shared" ref="O42" si="43">IF((M42=0),0,N42/M42)</f>
        <v>0</v>
      </c>
      <c r="P42" s="437">
        <f>SUMIF('Diags Raw Data'!$A$12:$A$3703,"*"&amp;$A42&amp;"*",'Diags Raw Data'!$Z$12:$Z$3703)</f>
        <v>0</v>
      </c>
      <c r="Q42" s="438">
        <f>SUM(SUMIF('Diags Raw Data'!$A$12:$A$3703,"*"&amp;$A42&amp;"*",'Diags Raw Data'!$AA$12:$AA$3703),SUMIF('Diags Raw Data'!$A$12:$A$3703,"*"&amp;$A42&amp;"*",'Diags Raw Data'!$AB$12:$AB$3703))</f>
        <v>0</v>
      </c>
      <c r="R42" s="439">
        <f t="shared" ref="R42" si="44">IF((J42=0),0,P42/J42)</f>
        <v>0</v>
      </c>
      <c r="S42" s="439">
        <f t="shared" ref="S42" si="45">IF((P42=0),0,Q42/P42)</f>
        <v>0</v>
      </c>
      <c r="T42" s="440">
        <f t="shared" ref="T42" si="46">R42*S42</f>
        <v>0</v>
      </c>
      <c r="U42" s="407"/>
    </row>
    <row r="43" spans="1:22" ht="15.75" hidden="1" thickBot="1" x14ac:dyDescent="0.3">
      <c r="A43" s="399" t="s">
        <v>502</v>
      </c>
      <c r="B43" s="404" t="str">
        <f>VLOOKUP(A43,'Feature Raw Data'!$A$3:$B$4000,2,FALSE)</f>
        <v>LClK Deep Sleep</v>
      </c>
      <c r="C43" s="400" t="str">
        <f>VLOOKUP(A43,'Feature Raw Data'!$A$3:$C$4209,3,FALSE)</f>
        <v>P3</v>
      </c>
      <c r="D43" s="401" t="str" cm="1">
        <f t="array" ref="D43">_xlfn.TEXTJOIN("",TRUE,IF(ISNUMBER(SEARCH($A43,'Diags Raw Data'!$A$12:$A$3703)),CONCATENATE('Diags Raw Data'!$H$12:$H$3703,", "),""))</f>
        <v/>
      </c>
      <c r="E43" s="327" t="e">
        <f>VLOOKUP(A43,'Diags Raw Data'!$A$12:$D$3703,4,FALSE)</f>
        <v>#N/A</v>
      </c>
      <c r="F43" s="402" t="str">
        <f>VLOOKUP(A43,'Feature Raw Data'!$A$3:$E$4000,5,FALSE)</f>
        <v>Legacy</v>
      </c>
      <c r="G43" s="327" t="s">
        <v>31</v>
      </c>
      <c r="H43" s="460" t="s">
        <v>36</v>
      </c>
      <c r="I43" s="400">
        <f>SUMIF('Diags Raw Data'!$A$12:$A$3703,"*"&amp;$A43&amp;"*",'Diags Raw Data'!$K$12:$K$3703)</f>
        <v>0</v>
      </c>
      <c r="J43" s="403">
        <f>SUMIF('Diags Raw Data'!$A$12:$A$3703,"*"&amp;$A43&amp;"*",'Diags Raw Data'!$L$12:$L$3703)</f>
        <v>0</v>
      </c>
      <c r="K43" s="432" cm="1">
        <f t="array" ref="K43">IF(D43="",0, SUMPRODUCT(--(ISNUMBER(SEARCH($A43,'Diags Raw Data'!$A$12:$A$3703))),'Diags Raw Data'!$L$12:$L$3703,'Diags Raw Data'!$N$12:$N$3703)/J43)</f>
        <v>0</v>
      </c>
      <c r="L43" s="433" cm="1">
        <f t="array" ref="L43">IF(D43="",0, SUMPRODUCT(--(ISNUMBER(SEARCH($A43,'Diags Raw Data'!$A$12:$A$3703))),'Diags Raw Data'!$L$12:$L$3703,'Diags Raw Data'!$P$12:$P$3703)/J43)</f>
        <v>0</v>
      </c>
      <c r="M43" s="434" cm="1">
        <f t="array" ref="M43">SUMPRODUCT(--(ISNUMBER(SEARCH($A43,'Diags Raw Data'!$A$12:$A$3703))),--('Diags Raw Data'!$Q$12:$Q$3703&lt;&gt;"N/A"),'Diags Raw Data'!$R$12:$R$3703)</f>
        <v>0</v>
      </c>
      <c r="N43" s="435" cm="1">
        <f t="array" ref="N43">SUMPRODUCT(--(ISNUMBER(SEARCH($A43,'Diags Raw Data'!$A$12:$A$3703))),--('Diags Raw Data'!$Q$12:$Q$3703&lt;&gt;"N/A"),'Diags Raw Data'!$T$12:$T$3703)+SUMPRODUCT(--(ISNUMBER(SEARCH($A43,'Diags Raw Data'!$A$12:$A$3703))),--('Diags Raw Data'!$Q$12:$Q$3703&lt;&gt;"N/A"),'Diags Raw Data'!$U$12:$U$3703)</f>
        <v>0</v>
      </c>
      <c r="O43" s="436">
        <f t="shared" ref="O43:O44" si="47">IF((M43=0),0,N43/M43)</f>
        <v>0</v>
      </c>
      <c r="P43" s="437">
        <f>SUMIF('Diags Raw Data'!$A$12:$A$3703,"*"&amp;$A43&amp;"*",'Diags Raw Data'!$Z$12:$Z$3703)</f>
        <v>0</v>
      </c>
      <c r="Q43" s="438">
        <f>SUM(SUMIF('Diags Raw Data'!$A$12:$A$3703,"*"&amp;$A43&amp;"*",'Diags Raw Data'!$AA$12:$AA$3703),SUMIF('Diags Raw Data'!$A$12:$A$3703,"*"&amp;$A43&amp;"*",'Diags Raw Data'!$AB$12:$AB$3703))</f>
        <v>0</v>
      </c>
      <c r="R43" s="439">
        <f t="shared" ref="R43:R44" si="48">IF((J43=0),0,P43/J43)</f>
        <v>0</v>
      </c>
      <c r="S43" s="439">
        <f t="shared" ref="S43:S44" si="49">IF((P43=0),0,Q43/P43)</f>
        <v>0</v>
      </c>
      <c r="T43" s="440">
        <f t="shared" ref="T43:T44" si="50">R43*S43</f>
        <v>0</v>
      </c>
      <c r="U43" s="407"/>
    </row>
    <row r="44" spans="1:22" ht="15.75" hidden="1" thickBot="1" x14ac:dyDescent="0.3">
      <c r="A44" s="399" t="s">
        <v>504</v>
      </c>
      <c r="B44" s="404" t="str">
        <f>VLOOKUP(A44,'Feature Raw Data'!$A$3:$B$4000,2,FALSE)</f>
        <v>FCLK Deep Sleep</v>
      </c>
      <c r="C44" s="400" t="str">
        <f>VLOOKUP(A44,'Feature Raw Data'!$A$3:$C$4209,3,FALSE)</f>
        <v>P3</v>
      </c>
      <c r="D44" s="401" t="str" cm="1">
        <f t="array" ref="D44">_xlfn.TEXTJOIN("",TRUE,IF(ISNUMBER(SEARCH($A44,'Diags Raw Data'!$A$12:$A$3703)),CONCATENATE('Diags Raw Data'!$H$12:$H$3703,", "),""))</f>
        <v/>
      </c>
      <c r="E44" s="327" t="e">
        <f>VLOOKUP(A44,'Diags Raw Data'!$A$12:$D$3703,4,FALSE)</f>
        <v>#N/A</v>
      </c>
      <c r="F44" s="402" t="str">
        <f>VLOOKUP(A44,'Feature Raw Data'!$A$3:$E$4000,5,FALSE)</f>
        <v>Legacy</v>
      </c>
      <c r="G44" s="327" t="s">
        <v>31</v>
      </c>
      <c r="H44" s="402" t="s">
        <v>36</v>
      </c>
      <c r="I44" s="405">
        <f>SUMIF('Diags Raw Data'!$A$12:$A$3703,"*"&amp;$A44&amp;"*",'Diags Raw Data'!$K$12:$K$3703)</f>
        <v>0</v>
      </c>
      <c r="J44" s="406">
        <f>SUMIF('Diags Raw Data'!$A$12:$A$3703,"*"&amp;$A44&amp;"*",'Diags Raw Data'!$L$12:$L$3703)</f>
        <v>0</v>
      </c>
      <c r="K44" s="432" cm="1">
        <f t="array" ref="K44">IF(D44="",0, SUMPRODUCT(--(ISNUMBER(SEARCH($A44,'Diags Raw Data'!$A$12:$A$3703))),'Diags Raw Data'!$L$12:$L$3703,'Diags Raw Data'!$N$12:$N$3703)/J44)</f>
        <v>0</v>
      </c>
      <c r="L44" s="433" cm="1">
        <f t="array" ref="L44">IF(D44="",0, SUMPRODUCT(--(ISNUMBER(SEARCH($A44,'Diags Raw Data'!$A$12:$A$3703))),'Diags Raw Data'!$L$12:$L$3703,'Diags Raw Data'!$P$12:$P$3703)/J44)</f>
        <v>0</v>
      </c>
      <c r="M44" s="434" cm="1">
        <f t="array" ref="M44">SUMPRODUCT(--(ISNUMBER(SEARCH($A44,'Diags Raw Data'!$A$12:$A$3703))),--('Diags Raw Data'!$Q$12:$Q$3703&lt;&gt;"N/A"),'Diags Raw Data'!$R$12:$R$3703)</f>
        <v>0</v>
      </c>
      <c r="N44" s="435" cm="1">
        <f t="array" ref="N44">SUMPRODUCT(--(ISNUMBER(SEARCH($A44,'Diags Raw Data'!$A$12:$A$3703))),--('Diags Raw Data'!$Q$12:$Q$3703&lt;&gt;"N/A"),'Diags Raw Data'!$T$12:$T$3703)+SUMPRODUCT(--(ISNUMBER(SEARCH($A44,'Diags Raw Data'!$A$12:$A$3703))),--('Diags Raw Data'!$Q$12:$Q$3703&lt;&gt;"N/A"),'Diags Raw Data'!$U$12:$U$3703)</f>
        <v>0</v>
      </c>
      <c r="O44" s="436">
        <f t="shared" si="47"/>
        <v>0</v>
      </c>
      <c r="P44" s="437">
        <f>SUMIF('Diags Raw Data'!$A$12:$A$3703,"*"&amp;$A44&amp;"*",'Diags Raw Data'!$Z$12:$Z$3703)</f>
        <v>0</v>
      </c>
      <c r="Q44" s="438">
        <f>SUM(SUMIF('Diags Raw Data'!$A$12:$A$3703,"*"&amp;$A44&amp;"*",'Diags Raw Data'!$AA$12:$AA$3703),SUMIF('Diags Raw Data'!$A$12:$A$3703,"*"&amp;$A44&amp;"*",'Diags Raw Data'!$AB$12:$AB$3703))</f>
        <v>0</v>
      </c>
      <c r="R44" s="439">
        <f t="shared" si="48"/>
        <v>0</v>
      </c>
      <c r="S44" s="439">
        <f t="shared" si="49"/>
        <v>0</v>
      </c>
      <c r="T44" s="440">
        <f t="shared" si="50"/>
        <v>0</v>
      </c>
      <c r="U44" s="407"/>
    </row>
    <row r="45" spans="1:22" ht="15.75" hidden="1" thickBot="1" x14ac:dyDescent="0.3">
      <c r="A45" s="399" t="s">
        <v>506</v>
      </c>
      <c r="B45" s="404" t="str">
        <f>VLOOKUP(A45,'Feature Raw Data'!$A$3:$B$4000,2,FALSE)</f>
        <v>D0i3.1</v>
      </c>
      <c r="C45" s="400" t="str">
        <f>VLOOKUP(A45,'Feature Raw Data'!$A$3:$C$4209,3,FALSE)</f>
        <v>P2</v>
      </c>
      <c r="D45" s="401" t="str" cm="1">
        <f t="array" ref="D45">_xlfn.TEXTJOIN("",TRUE,IF(ISNUMBER(SEARCH($A45,'Diags Raw Data'!$A$12:$A$3703)),CONCATENATE('Diags Raw Data'!$H$12:$H$3703,", "),""))</f>
        <v/>
      </c>
      <c r="E45" s="327" t="e">
        <f>VLOOKUP(A45,'Diags Raw Data'!$A$12:$D$3703,4,FALSE)</f>
        <v>#N/A</v>
      </c>
      <c r="F45" s="402" t="str">
        <f>VLOOKUP(A45,'Feature Raw Data'!$A$3:$E$4000,5,FALSE)</f>
        <v>Delta</v>
      </c>
      <c r="G45" s="327" t="s">
        <v>31</v>
      </c>
      <c r="H45" s="460" t="s">
        <v>36</v>
      </c>
      <c r="I45" s="400">
        <f>SUMIF('Diags Raw Data'!$A$12:$A$3703,"*"&amp;$A45&amp;"*",'Diags Raw Data'!$K$12:$K$3703)</f>
        <v>0</v>
      </c>
      <c r="J45" s="403">
        <f>SUMIF('Diags Raw Data'!$A$12:$A$3703,"*"&amp;$A45&amp;"*",'Diags Raw Data'!$L$12:$L$3703)</f>
        <v>0</v>
      </c>
      <c r="K45" s="432" cm="1">
        <f t="array" ref="K45">IF(D45="",0, SUMPRODUCT(--(ISNUMBER(SEARCH($A45,'Diags Raw Data'!$A$12:$A$3703))),'Diags Raw Data'!$L$12:$L$3703,'Diags Raw Data'!$N$12:$N$3703)/J45)</f>
        <v>0</v>
      </c>
      <c r="L45" s="433" cm="1">
        <f t="array" ref="L45">IF(D45="",0, SUMPRODUCT(--(ISNUMBER(SEARCH($A45,'Diags Raw Data'!$A$12:$A$3703))),'Diags Raw Data'!$L$12:$L$3703,'Diags Raw Data'!$P$12:$P$3703)/J45)</f>
        <v>0</v>
      </c>
      <c r="M45" s="434" cm="1">
        <f t="array" ref="M45">SUMPRODUCT(--(ISNUMBER(SEARCH($A45,'Diags Raw Data'!$A$12:$A$3703))),--('Diags Raw Data'!$Q$12:$Q$3703&lt;&gt;"N/A"),'Diags Raw Data'!$R$12:$R$3703)</f>
        <v>0</v>
      </c>
      <c r="N45" s="435" cm="1">
        <f t="array" ref="N45">SUMPRODUCT(--(ISNUMBER(SEARCH($A45,'Diags Raw Data'!$A$12:$A$3703))),--('Diags Raw Data'!$Q$12:$Q$3703&lt;&gt;"N/A"),'Diags Raw Data'!$T$12:$T$3703)+SUMPRODUCT(--(ISNUMBER(SEARCH($A45,'Diags Raw Data'!$A$12:$A$3703))),--('Diags Raw Data'!$Q$12:$Q$3703&lt;&gt;"N/A"),'Diags Raw Data'!$U$12:$U$3703)</f>
        <v>0</v>
      </c>
      <c r="O45" s="436">
        <f t="shared" si="5"/>
        <v>0</v>
      </c>
      <c r="P45" s="437">
        <f>SUMIF('Diags Raw Data'!$A$12:$A$3703,"*"&amp;$A45&amp;"*",'Diags Raw Data'!$Z$12:$Z$3703)</f>
        <v>0</v>
      </c>
      <c r="Q45" s="438">
        <f>SUM(SUMIF('Diags Raw Data'!$A$12:$A$3703,"*"&amp;$A45&amp;"*",'Diags Raw Data'!$AA$12:$AA$3703),SUMIF('Diags Raw Data'!$A$12:$A$3703,"*"&amp;$A45&amp;"*",'Diags Raw Data'!$AB$12:$AB$3703))</f>
        <v>0</v>
      </c>
      <c r="R45" s="439">
        <f t="shared" si="6"/>
        <v>0</v>
      </c>
      <c r="S45" s="439">
        <f t="shared" si="7"/>
        <v>0</v>
      </c>
      <c r="T45" s="440">
        <f t="shared" si="8"/>
        <v>0</v>
      </c>
      <c r="U45" s="407"/>
    </row>
    <row r="46" spans="1:22" ht="15.75" thickBot="1" x14ac:dyDescent="0.3">
      <c r="A46" s="399" t="s">
        <v>384</v>
      </c>
      <c r="B46" s="404" t="str">
        <f>VLOOKUP(A46,'Feature Raw Data'!$A$3:$B$4000,2,FALSE)</f>
        <v>DF C-state</v>
      </c>
      <c r="C46" s="400" t="str">
        <f>VLOOKUP(A46,'Feature Raw Data'!$A$3:$C$4209,3,FALSE)</f>
        <v>P1</v>
      </c>
      <c r="D46" s="401" t="str" cm="1">
        <f t="array" ref="D46">_xlfn.TEXTJOIN("",TRUE,IF(ISNUMBER(SEARCH($A46,'Diags Raw Data'!$A$6:$A$3703)),CONCATENATE('Diags Raw Data'!$H$6:$H$3703,", "),""))</f>
        <v xml:space="preserve">PM80.808, </v>
      </c>
      <c r="E46" s="327" t="str">
        <f>VLOOKUP(A46,'Diags Raw Data'!$A$12:$D$3703,4,FALSE)</f>
        <v>PMM</v>
      </c>
      <c r="F46" s="402" t="str">
        <f>VLOOKUP(A46,'Feature Raw Data'!$A$3:$E$4000,5,FALSE)</f>
        <v>Delta</v>
      </c>
      <c r="G46" s="327" t="s">
        <v>31</v>
      </c>
      <c r="H46" s="327" t="str">
        <f t="shared" ref="H46:H47" si="51">IF(D46="","No","Yes")</f>
        <v>Yes</v>
      </c>
      <c r="I46" s="405">
        <f>SUMIF('Diags Raw Data'!$A$12:$A$3703,"*"&amp;$A46&amp;"*",'Diags Raw Data'!$K$12:$K$3703)</f>
        <v>1</v>
      </c>
      <c r="J46" s="406">
        <f>SUMIF('Diags Raw Data'!$A$12:$A$3703,"*"&amp;$A46&amp;"*",'Diags Raw Data'!$L$12:$L$3703)</f>
        <v>1</v>
      </c>
      <c r="K46" s="432" cm="1">
        <f t="array" ref="K46">IF(D46="",0, SUMPRODUCT(--(ISNUMBER(SEARCH($A46,'Diags Raw Data'!$A$12:$A$3703))),'Diags Raw Data'!$L$12:$L$3703,'Diags Raw Data'!$N$12:$N$3703)/J46)</f>
        <v>1</v>
      </c>
      <c r="L46" s="433" cm="1">
        <f t="array" ref="L46">IF(D46="",0, SUMPRODUCT(--(ISNUMBER(SEARCH($A46,'Diags Raw Data'!$A$12:$A$3703))),'Diags Raw Data'!$L$12:$L$3703,'Diags Raw Data'!$P$12:$P$3703)/J46)</f>
        <v>1</v>
      </c>
      <c r="M46" s="434" cm="1">
        <f t="array" ref="M46">SUMPRODUCT(--(ISNUMBER(SEARCH($A46,'Diags Raw Data'!$A$12:$A$3703))),--('Diags Raw Data'!$Q$12:$Q$3703&lt;&gt;"N/A"),'Diags Raw Data'!$R$12:$R$3703)</f>
        <v>1</v>
      </c>
      <c r="N46" s="435" cm="1">
        <f t="array" ref="N46">SUMPRODUCT(--(ISNUMBER(SEARCH($A46,'Diags Raw Data'!$A$12:$A$3703))),--('Diags Raw Data'!$Q$12:$Q$3703&lt;&gt;"N/A"),'Diags Raw Data'!$T$12:$T$3703)+SUMPRODUCT(--(ISNUMBER(SEARCH($A46,'Diags Raw Data'!$A$12:$A$3703))),--('Diags Raw Data'!$Q$12:$Q$3703&lt;&gt;"N/A"),'Diags Raw Data'!$U$12:$U$3703)</f>
        <v>1</v>
      </c>
      <c r="O46" s="436">
        <f t="shared" ref="O46:O47" si="52">IF((M46=0),0,N46/M46)</f>
        <v>1</v>
      </c>
      <c r="P46" s="437">
        <f>SUMIF('Diags Raw Data'!$A$12:$A$3703,"*"&amp;$A46&amp;"*",'Diags Raw Data'!$Z$12:$Z$3703)</f>
        <v>0</v>
      </c>
      <c r="Q46" s="438">
        <f>SUM(SUMIF('Diags Raw Data'!$A$12:$A$3703,"*"&amp;$A46&amp;"*",'Diags Raw Data'!$AA$12:$AA$3703),SUMIF('Diags Raw Data'!$A$12:$A$3703,"*"&amp;$A46&amp;"*",'Diags Raw Data'!$AB$12:$AB$3703))</f>
        <v>0</v>
      </c>
      <c r="R46" s="439">
        <f t="shared" ref="R46:R47" si="53">IF((J46=0),0,P46/J46)</f>
        <v>0</v>
      </c>
      <c r="S46" s="439">
        <f t="shared" ref="S46:S47" si="54">IF((P46=0),0,Q46/P46)</f>
        <v>0</v>
      </c>
      <c r="T46" s="440">
        <f t="shared" ref="T46:T47" si="55">R46*S46</f>
        <v>0</v>
      </c>
      <c r="U46" s="407" t="s">
        <v>623</v>
      </c>
    </row>
    <row r="47" spans="1:22" ht="15.75" hidden="1" thickBot="1" x14ac:dyDescent="0.3">
      <c r="A47" s="399" t="s">
        <v>509</v>
      </c>
      <c r="B47" s="404" t="str">
        <f>VLOOKUP(A47,'Feature Raw Data'!$A$3:$B$4000,2,FALSE)</f>
        <v>VDDSOC Dynamic Clock Gating</v>
      </c>
      <c r="C47" s="400" t="str">
        <f>VLOOKUP(A47,'Feature Raw Data'!$A$3:$C$4209,3,FALSE)</f>
        <v>P3</v>
      </c>
      <c r="D47" s="401" t="str" cm="1">
        <f t="array" ref="D47">_xlfn.TEXTJOIN("",TRUE,IF(ISNUMBER(SEARCH($A47,'Diags Raw Data'!$A$12:$A$3703)),CONCATENATE('Diags Raw Data'!$H$12:$H$3703,", "),""))</f>
        <v/>
      </c>
      <c r="E47" s="327" t="e">
        <f>VLOOKUP(A47,'Diags Raw Data'!$A$12:$D$3703,4,FALSE)</f>
        <v>#N/A</v>
      </c>
      <c r="F47" s="402" t="str">
        <f>VLOOKUP(A47,'Feature Raw Data'!$A$3:$E$4000,5,FALSE)</f>
        <v>Legacy</v>
      </c>
      <c r="G47" s="327" t="s">
        <v>31</v>
      </c>
      <c r="H47" s="327" t="str">
        <f t="shared" si="51"/>
        <v>No</v>
      </c>
      <c r="I47" s="405">
        <f>SUMIF('Diags Raw Data'!$A$12:$A$3703,"*"&amp;$A47&amp;"*",'Diags Raw Data'!$K$12:$K$3703)</f>
        <v>0</v>
      </c>
      <c r="J47" s="406">
        <f>SUMIF('Diags Raw Data'!$A$12:$A$3703,"*"&amp;$A47&amp;"*",'Diags Raw Data'!$L$12:$L$3703)</f>
        <v>0</v>
      </c>
      <c r="K47" s="432" cm="1">
        <f t="array" ref="K47">IF(D47="",0, SUMPRODUCT(--(ISNUMBER(SEARCH($A47,'Diags Raw Data'!$A$12:$A$3703))),'Diags Raw Data'!$L$12:$L$3703,'Diags Raw Data'!$N$12:$N$3703)/J47)</f>
        <v>0</v>
      </c>
      <c r="L47" s="433" cm="1">
        <f t="array" ref="L47">IF(D47="",0, SUMPRODUCT(--(ISNUMBER(SEARCH($A47,'Diags Raw Data'!$A$12:$A$3703))),'Diags Raw Data'!$L$12:$L$3703,'Diags Raw Data'!$P$12:$P$3703)/J47)</f>
        <v>0</v>
      </c>
      <c r="M47" s="434" cm="1">
        <f t="array" ref="M47">SUMPRODUCT(--(ISNUMBER(SEARCH($A47,'Diags Raw Data'!$A$12:$A$3703))),--('Diags Raw Data'!$Q$12:$Q$3703&lt;&gt;"N/A"),'Diags Raw Data'!$R$12:$R$3703)</f>
        <v>0</v>
      </c>
      <c r="N47" s="435" cm="1">
        <f t="array" ref="N47">SUMPRODUCT(--(ISNUMBER(SEARCH($A47,'Diags Raw Data'!$A$12:$A$3703))),--('Diags Raw Data'!$Q$12:$Q$3703&lt;&gt;"N/A"),'Diags Raw Data'!$T$12:$T$3703)+SUMPRODUCT(--(ISNUMBER(SEARCH($A47,'Diags Raw Data'!$A$12:$A$3703))),--('Diags Raw Data'!$Q$12:$Q$3703&lt;&gt;"N/A"),'Diags Raw Data'!$U$12:$U$3703)</f>
        <v>0</v>
      </c>
      <c r="O47" s="436">
        <f t="shared" si="52"/>
        <v>0</v>
      </c>
      <c r="P47" s="437">
        <f>SUMIF('Diags Raw Data'!$A$12:$A$3703,"*"&amp;$A47&amp;"*",'Diags Raw Data'!$Z$12:$Z$3703)</f>
        <v>0</v>
      </c>
      <c r="Q47" s="438">
        <f>SUM(SUMIF('Diags Raw Data'!$A$12:$A$3703,"*"&amp;$A47&amp;"*",'Diags Raw Data'!$AA$12:$AA$3703),SUMIF('Diags Raw Data'!$A$12:$A$3703,"*"&amp;$A47&amp;"*",'Diags Raw Data'!$AB$12:$AB$3703))</f>
        <v>0</v>
      </c>
      <c r="R47" s="439">
        <f t="shared" si="53"/>
        <v>0</v>
      </c>
      <c r="S47" s="439">
        <f t="shared" si="54"/>
        <v>0</v>
      </c>
      <c r="T47" s="440">
        <f t="shared" si="55"/>
        <v>0</v>
      </c>
      <c r="U47" s="407"/>
    </row>
    <row r="48" spans="1:22" ht="30.75" hidden="1" thickBot="1" x14ac:dyDescent="0.3">
      <c r="A48" s="399" t="s">
        <v>511</v>
      </c>
      <c r="B48" s="404" t="str">
        <f>VLOOKUP(A48,'Feature Raw Data'!$A$3:$B$4000,2,FALSE)</f>
        <v>VDD_BACO Dynamic Clock Gating</v>
      </c>
      <c r="C48" s="400" t="str">
        <f>VLOOKUP(A48,'Feature Raw Data'!$A$3:$C$4209,3,FALSE)</f>
        <v>P3</v>
      </c>
      <c r="D48" s="401" t="str" cm="1">
        <f t="array" ref="D48">_xlfn.TEXTJOIN("",TRUE,IF(ISNUMBER(SEARCH($A48,'Diags Raw Data'!$A$12:$A$3703)),CONCATENATE('Diags Raw Data'!$H$12:$H$3703,", "),""))</f>
        <v/>
      </c>
      <c r="E48" s="327" t="e">
        <f>VLOOKUP(A48,'Diags Raw Data'!$A$12:$D$3703,4,FALSE)</f>
        <v>#N/A</v>
      </c>
      <c r="F48" s="402" t="str">
        <f>VLOOKUP(A48,'Feature Raw Data'!$A$3:$E$4000,5,FALSE)</f>
        <v>Legacy</v>
      </c>
      <c r="G48" s="327" t="s">
        <v>31</v>
      </c>
      <c r="H48" s="327" t="str">
        <f t="shared" ref="H48:H58" si="56">IF(D48="","No","Yes")</f>
        <v>No</v>
      </c>
      <c r="I48" s="405">
        <f>SUMIF('Diags Raw Data'!$A$12:$A$3703,"*"&amp;$A48&amp;"*",'Diags Raw Data'!$K$12:$K$3703)</f>
        <v>0</v>
      </c>
      <c r="J48" s="406">
        <f>SUMIF('Diags Raw Data'!$A$12:$A$3703,"*"&amp;$A48&amp;"*",'Diags Raw Data'!$L$12:$L$3703)</f>
        <v>0</v>
      </c>
      <c r="K48" s="432" cm="1">
        <f t="array" ref="K48">IF(D48="",0, SUMPRODUCT(--(ISNUMBER(SEARCH($A48,'Diags Raw Data'!$A$12:$A$3703))),'Diags Raw Data'!$L$12:$L$3703,'Diags Raw Data'!$N$12:$N$3703)/J48)</f>
        <v>0</v>
      </c>
      <c r="L48" s="433" cm="1">
        <f t="array" ref="L48">IF(D48="",0, SUMPRODUCT(--(ISNUMBER(SEARCH($A48,'Diags Raw Data'!$A$12:$A$3703))),'Diags Raw Data'!$L$12:$L$3703,'Diags Raw Data'!$P$12:$P$3703)/J48)</f>
        <v>0</v>
      </c>
      <c r="M48" s="434" cm="1">
        <f t="array" ref="M48">SUMPRODUCT(--(ISNUMBER(SEARCH($A48,'Diags Raw Data'!$A$12:$A$3703))),--('Diags Raw Data'!$Q$12:$Q$3703&lt;&gt;"N/A"),'Diags Raw Data'!$R$12:$R$3703)</f>
        <v>0</v>
      </c>
      <c r="N48" s="435" cm="1">
        <f t="array" ref="N48">SUMPRODUCT(--(ISNUMBER(SEARCH($A48,'Diags Raw Data'!$A$12:$A$3703))),--('Diags Raw Data'!$Q$12:$Q$3703&lt;&gt;"N/A"),'Diags Raw Data'!$T$12:$T$3703)+SUMPRODUCT(--(ISNUMBER(SEARCH($A48,'Diags Raw Data'!$A$12:$A$3703))),--('Diags Raw Data'!$Q$12:$Q$3703&lt;&gt;"N/A"),'Diags Raw Data'!$U$12:$U$3703)</f>
        <v>0</v>
      </c>
      <c r="O48" s="436">
        <f t="shared" si="5"/>
        <v>0</v>
      </c>
      <c r="P48" s="437">
        <f>SUMIF('Diags Raw Data'!$A$12:$A$3703,"*"&amp;$A48&amp;"*",'Diags Raw Data'!$Z$12:$Z$3703)</f>
        <v>0</v>
      </c>
      <c r="Q48" s="438">
        <f>SUM(SUMIF('Diags Raw Data'!$A$12:$A$3703,"*"&amp;$A48&amp;"*",'Diags Raw Data'!$AA$12:$AA$3703),SUMIF('Diags Raw Data'!$A$12:$A$3703,"*"&amp;$A48&amp;"*",'Diags Raw Data'!$AB$12:$AB$3703))</f>
        <v>0</v>
      </c>
      <c r="R48" s="439">
        <f t="shared" si="6"/>
        <v>0</v>
      </c>
      <c r="S48" s="439">
        <f t="shared" si="7"/>
        <v>0</v>
      </c>
      <c r="T48" s="440">
        <f t="shared" si="8"/>
        <v>0</v>
      </c>
      <c r="U48" s="407"/>
    </row>
    <row r="49" spans="1:27" ht="24.95" hidden="1" customHeight="1" thickBot="1" x14ac:dyDescent="0.3">
      <c r="A49" s="399" t="s">
        <v>513</v>
      </c>
      <c r="B49" s="404" t="str">
        <f>VLOOKUP(A49,'Feature Raw Data'!$A$3:$B$4000,2,FALSE)</f>
        <v>GPIO Control for GFX Power Stage</v>
      </c>
      <c r="C49" s="400" t="str">
        <f>VLOOKUP(A49,'Feature Raw Data'!$A$3:$C$4209,3,FALSE)</f>
        <v>P3</v>
      </c>
      <c r="D49" s="401" t="str" cm="1">
        <f t="array" ref="D49">_xlfn.TEXTJOIN("",TRUE,IF(ISNUMBER(SEARCH($A49,'Diags Raw Data'!$A$12:$A$3703)),CONCATENATE('Diags Raw Data'!$H$12:$H$3703,", "),""))</f>
        <v/>
      </c>
      <c r="E49" s="327" t="e">
        <f>VLOOKUP(A49,'Diags Raw Data'!$A$12:$D$3703,4,FALSE)</f>
        <v>#N/A</v>
      </c>
      <c r="F49" s="402" t="str">
        <f>VLOOKUP(A49,'Feature Raw Data'!$A$3:$E$4000,5,FALSE)</f>
        <v>Legacy</v>
      </c>
      <c r="G49" s="327" t="s">
        <v>31</v>
      </c>
      <c r="H49" s="327" t="str">
        <f t="shared" ref="H49" si="57">IF(D49="","No","Yes")</f>
        <v>No</v>
      </c>
      <c r="I49" s="405">
        <f>SUMIF('Diags Raw Data'!$A$12:$A$3703,"*"&amp;$A49&amp;"*",'Diags Raw Data'!$K$12:$K$3703)</f>
        <v>0</v>
      </c>
      <c r="J49" s="406">
        <f>SUMIF('Diags Raw Data'!$A$12:$A$3703,"*"&amp;$A49&amp;"*",'Diags Raw Data'!$L$12:$L$3703)</f>
        <v>0</v>
      </c>
      <c r="K49" s="432" cm="1">
        <f t="array" ref="K49">IF(D49="",0, SUMPRODUCT(--(ISNUMBER(SEARCH($A49,'Diags Raw Data'!$A$12:$A$3703))),'Diags Raw Data'!$L$12:$L$3703,'Diags Raw Data'!$N$12:$N$3703)/J49)</f>
        <v>0</v>
      </c>
      <c r="L49" s="433" cm="1">
        <f t="array" ref="L49">IF(D49="",0, SUMPRODUCT(--(ISNUMBER(SEARCH($A49,'Diags Raw Data'!$A$12:$A$3703))),'Diags Raw Data'!$L$12:$L$3703,'Diags Raw Data'!$P$12:$P$3703)/J49)</f>
        <v>0</v>
      </c>
      <c r="M49" s="434" cm="1">
        <f t="array" ref="M49">SUMPRODUCT(--(ISNUMBER(SEARCH($A49,'Diags Raw Data'!$A$12:$A$3703))),--('Diags Raw Data'!$Q$12:$Q$3703&lt;&gt;"N/A"),'Diags Raw Data'!$R$12:$R$3703)</f>
        <v>0</v>
      </c>
      <c r="N49" s="435" cm="1">
        <f t="array" ref="N49">SUMPRODUCT(--(ISNUMBER(SEARCH($A49,'Diags Raw Data'!$A$12:$A$3703))),--('Diags Raw Data'!$Q$12:$Q$3703&lt;&gt;"N/A"),'Diags Raw Data'!$T$12:$T$3703)+SUMPRODUCT(--(ISNUMBER(SEARCH($A49,'Diags Raw Data'!$A$12:$A$3703))),--('Diags Raw Data'!$Q$12:$Q$3703&lt;&gt;"N/A"),'Diags Raw Data'!$U$12:$U$3703)</f>
        <v>0</v>
      </c>
      <c r="O49" s="436">
        <f t="shared" ref="O49" si="58">IF((M49=0),0,N49/M49)</f>
        <v>0</v>
      </c>
      <c r="P49" s="437">
        <f>SUMIF('Diags Raw Data'!$A$12:$A$3703,"*"&amp;$A49&amp;"*",'Diags Raw Data'!$Z$12:$Z$3703)</f>
        <v>0</v>
      </c>
      <c r="Q49" s="438">
        <f>SUM(SUMIF('Diags Raw Data'!$A$12:$A$3703,"*"&amp;$A49&amp;"*",'Diags Raw Data'!$AA$12:$AA$3703),SUMIF('Diags Raw Data'!$A$12:$A$3703,"*"&amp;$A49&amp;"*",'Diags Raw Data'!$AB$12:$AB$3703))</f>
        <v>0</v>
      </c>
      <c r="R49" s="439">
        <f t="shared" ref="R49" si="59">IF((J49=0),0,P49/J49)</f>
        <v>0</v>
      </c>
      <c r="S49" s="439">
        <f t="shared" ref="S49" si="60">IF((P49=0),0,Q49/P49)</f>
        <v>0</v>
      </c>
      <c r="T49" s="440">
        <f t="shared" ref="T49" si="61">R49*S49</f>
        <v>0</v>
      </c>
      <c r="U49" s="407"/>
    </row>
    <row r="50" spans="1:27" ht="15.75" thickBot="1" x14ac:dyDescent="0.3">
      <c r="A50" s="399" t="s">
        <v>367</v>
      </c>
      <c r="B50" s="404" t="str">
        <f>VLOOKUP(A50,'Feature Raw Data'!$A$3:$B$4000,2,FALSE)</f>
        <v>GPIO to turn off Fan</v>
      </c>
      <c r="C50" s="400" t="str">
        <f>VLOOKUP(A50,'Feature Raw Data'!$A$3:$C$4209,3,FALSE)</f>
        <v>P1</v>
      </c>
      <c r="D50" s="401" t="str" cm="1">
        <f t="array" ref="D50">_xlfn.TEXTJOIN("",TRUE,IF(ISNUMBER(SEARCH($A50,'Diags Raw Data'!$A$6:$A$3703)),CONCATENATE('Diags Raw Data'!$H$6:$H$3703,", "),""))</f>
        <v xml:space="preserve">PM14.11, </v>
      </c>
      <c r="E50" s="327" t="str">
        <f>VLOOKUP(A50,'Diags Raw Data'!$A$12:$D$3703,4,FALSE)</f>
        <v>PMM</v>
      </c>
      <c r="F50" s="402" t="str">
        <f>VLOOKUP(A50,'Feature Raw Data'!$A$3:$E$4000,5,FALSE)</f>
        <v>Delta</v>
      </c>
      <c r="G50" s="327" t="s">
        <v>31</v>
      </c>
      <c r="H50" s="327" t="str">
        <f t="shared" si="56"/>
        <v>Yes</v>
      </c>
      <c r="I50" s="405">
        <f>SUMIF('Diags Raw Data'!$A$12:$A$3703,"*"&amp;$A50&amp;"*",'Diags Raw Data'!$K$12:$K$3703)</f>
        <v>1</v>
      </c>
      <c r="J50" s="406">
        <f>SUMIF('Diags Raw Data'!$A$12:$A$3703,"*"&amp;$A50&amp;"*",'Diags Raw Data'!$L$12:$L$3703)</f>
        <v>1</v>
      </c>
      <c r="K50" s="432" cm="1">
        <f t="array" ref="K50">IF(D50="",0, SUMPRODUCT(--(ISNUMBER(SEARCH($A50,'Diags Raw Data'!$A$12:$A$3703))),'Diags Raw Data'!$L$12:$L$3703,'Diags Raw Data'!$N$12:$N$3703)/J50)</f>
        <v>1</v>
      </c>
      <c r="L50" s="433" cm="1">
        <f t="array" ref="L50">IF(D50="",0, SUMPRODUCT(--(ISNUMBER(SEARCH($A50,'Diags Raw Data'!$A$12:$A$3703))),'Diags Raw Data'!$L$12:$L$3703,'Diags Raw Data'!$P$12:$P$3703)/J50)</f>
        <v>1</v>
      </c>
      <c r="M50" s="434" cm="1">
        <f t="array" ref="M50">SUMPRODUCT(--(ISNUMBER(SEARCH($A50,'Diags Raw Data'!$A$12:$A$3703))),--('Diags Raw Data'!$Q$12:$Q$3703&lt;&gt;"N/A"),'Diags Raw Data'!$R$12:$R$3703)</f>
        <v>1</v>
      </c>
      <c r="N50" s="435" cm="1">
        <f t="array" ref="N50">SUMPRODUCT(--(ISNUMBER(SEARCH($A50,'Diags Raw Data'!$A$12:$A$3703))),--('Diags Raw Data'!$Q$12:$Q$3703&lt;&gt;"N/A"),'Diags Raw Data'!$T$12:$T$3703)+SUMPRODUCT(--(ISNUMBER(SEARCH($A50,'Diags Raw Data'!$A$12:$A$3703))),--('Diags Raw Data'!$Q$12:$Q$3703&lt;&gt;"N/A"),'Diags Raw Data'!$U$12:$U$3703)</f>
        <v>1</v>
      </c>
      <c r="O50" s="436">
        <f t="shared" si="5"/>
        <v>1</v>
      </c>
      <c r="P50" s="437">
        <f>SUMIF('Diags Raw Data'!$A$12:$A$3703,"*"&amp;$A50&amp;"*",'Diags Raw Data'!$Z$12:$Z$3703)</f>
        <v>0</v>
      </c>
      <c r="Q50" s="438">
        <f>SUM(SUMIF('Diags Raw Data'!$A$12:$A$3703,"*"&amp;$A50&amp;"*",'Diags Raw Data'!$AA$12:$AA$3703),SUMIF('Diags Raw Data'!$A$12:$A$3703,"*"&amp;$A50&amp;"*",'Diags Raw Data'!$AB$12:$AB$3703))</f>
        <v>0</v>
      </c>
      <c r="R50" s="439">
        <f t="shared" si="6"/>
        <v>0</v>
      </c>
      <c r="S50" s="439">
        <f t="shared" si="7"/>
        <v>0</v>
      </c>
      <c r="T50" s="440">
        <f t="shared" si="8"/>
        <v>0</v>
      </c>
      <c r="U50" s="407" t="s">
        <v>626</v>
      </c>
    </row>
    <row r="51" spans="1:27" ht="15.75" hidden="1" thickBot="1" x14ac:dyDescent="0.3">
      <c r="A51" s="399" t="s">
        <v>516</v>
      </c>
      <c r="B51" s="404" t="str">
        <f>VLOOKUP(A51,'Feature Raw Data'!$A$3:$B$4000,2,FALSE)</f>
        <v>UCLK Deep Sleep</v>
      </c>
      <c r="C51" s="400" t="str">
        <f>VLOOKUP(A51,'Feature Raw Data'!$A$3:$C$4209,3,FALSE)</f>
        <v>P2</v>
      </c>
      <c r="D51" s="401" t="str" cm="1">
        <f t="array" ref="D51">_xlfn.TEXTJOIN("",TRUE,IF(ISNUMBER(SEARCH($A51,'Diags Raw Data'!$A$12:$A$3703)),CONCATENATE('Diags Raw Data'!$H$12:$H$3703,", "),""))</f>
        <v/>
      </c>
      <c r="E51" s="327" t="e">
        <f>VLOOKUP(A51,'Diags Raw Data'!$A$12:$D$3703,4,FALSE)</f>
        <v>#N/A</v>
      </c>
      <c r="F51" s="402" t="str">
        <f>VLOOKUP(A51,'Feature Raw Data'!$A$3:$E$4000,5,FALSE)</f>
        <v>Delta</v>
      </c>
      <c r="G51" s="327" t="s">
        <v>31</v>
      </c>
      <c r="H51" s="402" t="s">
        <v>36</v>
      </c>
      <c r="I51" s="405">
        <f>SUMIF('Diags Raw Data'!$A$12:$A$3703,"*"&amp;$A51&amp;"*",'Diags Raw Data'!$K$12:$K$3703)</f>
        <v>0</v>
      </c>
      <c r="J51" s="406">
        <f>SUMIF('Diags Raw Data'!$A$12:$A$3703,"*"&amp;$A51&amp;"*",'Diags Raw Data'!$L$12:$L$3703)</f>
        <v>0</v>
      </c>
      <c r="K51" s="432" cm="1">
        <f t="array" ref="K51">IF(D51="",0, SUMPRODUCT(--(ISNUMBER(SEARCH($A51,'Diags Raw Data'!$A$12:$A$3703))),'Diags Raw Data'!$L$12:$L$3703,'Diags Raw Data'!$N$12:$N$3703)/J51)</f>
        <v>0</v>
      </c>
      <c r="L51" s="433" cm="1">
        <f t="array" ref="L51">IF(D51="",0, SUMPRODUCT(--(ISNUMBER(SEARCH($A51,'Diags Raw Data'!$A$12:$A$3703))),'Diags Raw Data'!$L$12:$L$3703,'Diags Raw Data'!$P$12:$P$3703)/J51)</f>
        <v>0</v>
      </c>
      <c r="M51" s="434" cm="1">
        <f t="array" ref="M51">SUMPRODUCT(--(ISNUMBER(SEARCH($A51,'Diags Raw Data'!$A$12:$A$3703))),--('Diags Raw Data'!$Q$12:$Q$3703&lt;&gt;"N/A"),'Diags Raw Data'!$R$12:$R$3703)</f>
        <v>0</v>
      </c>
      <c r="N51" s="435" cm="1">
        <f t="array" ref="N51">SUMPRODUCT(--(ISNUMBER(SEARCH($A51,'Diags Raw Data'!$A$12:$A$3703))),--('Diags Raw Data'!$Q$12:$Q$3703&lt;&gt;"N/A"),'Diags Raw Data'!$T$12:$T$3703)+SUMPRODUCT(--(ISNUMBER(SEARCH($A51,'Diags Raw Data'!$A$12:$A$3703))),--('Diags Raw Data'!$Q$12:$Q$3703&lt;&gt;"N/A"),'Diags Raw Data'!$U$12:$U$3703)</f>
        <v>0</v>
      </c>
      <c r="O51" s="436">
        <f t="shared" ref="O51" si="62">IF((M51=0),0,N51/M51)</f>
        <v>0</v>
      </c>
      <c r="P51" s="437">
        <f>SUMIF('Diags Raw Data'!$A$12:$A$3703,"*"&amp;$A51&amp;"*",'Diags Raw Data'!$Z$12:$Z$3703)</f>
        <v>0</v>
      </c>
      <c r="Q51" s="438">
        <f>SUM(SUMIF('Diags Raw Data'!$A$12:$A$3703,"*"&amp;$A51&amp;"*",'Diags Raw Data'!$AA$12:$AA$3703),SUMIF('Diags Raw Data'!$A$12:$A$3703,"*"&amp;$A51&amp;"*",'Diags Raw Data'!$AB$12:$AB$3703))</f>
        <v>0</v>
      </c>
      <c r="R51" s="439">
        <f t="shared" ref="R51" si="63">IF((J51=0),0,P51/J51)</f>
        <v>0</v>
      </c>
      <c r="S51" s="439">
        <f t="shared" ref="S51" si="64">IF((P51=0),0,Q51/P51)</f>
        <v>0</v>
      </c>
      <c r="T51" s="440">
        <f t="shared" ref="T51" si="65">R51*S51</f>
        <v>0</v>
      </c>
      <c r="U51" s="407"/>
    </row>
    <row r="52" spans="1:27" ht="15.75" thickBot="1" x14ac:dyDescent="0.3">
      <c r="A52" s="399" t="s">
        <v>368</v>
      </c>
      <c r="B52" s="404" t="str">
        <f>VLOOKUP(A52,'Feature Raw Data'!$A$3:$B$4000,2,FALSE)</f>
        <v>Zero Fan control</v>
      </c>
      <c r="C52" s="400" t="str">
        <f>VLOOKUP(A52,'Feature Raw Data'!$A$3:$C$4209,3,FALSE)</f>
        <v>P1</v>
      </c>
      <c r="D52" s="401" t="str" cm="1">
        <f t="array" ref="D52">_xlfn.TEXTJOIN("",TRUE,IF(ISNUMBER(SEARCH($A52,'Diags Raw Data'!$A$6:$A$3703)),CONCATENATE('Diags Raw Data'!$H$6:$H$3703,", "),""))</f>
        <v xml:space="preserve">PM14.11, </v>
      </c>
      <c r="E52" s="327" t="str">
        <f>VLOOKUP(A52,'Diags Raw Data'!$A$12:$D$3703,4,FALSE)</f>
        <v>PMM</v>
      </c>
      <c r="F52" s="402" t="str">
        <f>VLOOKUP(A52,'Feature Raw Data'!$A$3:$E$4000,5,FALSE)</f>
        <v>Delta</v>
      </c>
      <c r="G52" s="327" t="s">
        <v>31</v>
      </c>
      <c r="H52" s="327" t="str">
        <f t="shared" si="56"/>
        <v>Yes</v>
      </c>
      <c r="I52" s="400">
        <f>SUMIF('Diags Raw Data'!$A$12:$A$3703,"*"&amp;$A52&amp;"*",'Diags Raw Data'!$K$12:$K$3703)</f>
        <v>1</v>
      </c>
      <c r="J52" s="403">
        <f>SUMIF('Diags Raw Data'!$A$12:$A$3703,"*"&amp;$A52&amp;"*",'Diags Raw Data'!$L$12:$L$3703)</f>
        <v>1</v>
      </c>
      <c r="K52" s="432" cm="1">
        <f t="array" ref="K52">IF(D52="",0, SUMPRODUCT(--(ISNUMBER(SEARCH($A52,'Diags Raw Data'!$A$12:$A$3703))),'Diags Raw Data'!$L$12:$L$3703,'Diags Raw Data'!$N$12:$N$3703)/J52)</f>
        <v>1</v>
      </c>
      <c r="L52" s="433" cm="1">
        <f t="array" ref="L52">IF(D52="",0, SUMPRODUCT(--(ISNUMBER(SEARCH($A52,'Diags Raw Data'!$A$12:$A$3703))),'Diags Raw Data'!$L$12:$L$3703,'Diags Raw Data'!$P$12:$P$3703)/J52)</f>
        <v>1</v>
      </c>
      <c r="M52" s="434" cm="1">
        <f t="array" ref="M52">SUMPRODUCT(--(ISNUMBER(SEARCH($A52,'Diags Raw Data'!$A$12:$A$3703))),--('Diags Raw Data'!$Q$12:$Q$3703&lt;&gt;"N/A"),'Diags Raw Data'!$R$12:$R$3703)</f>
        <v>1</v>
      </c>
      <c r="N52" s="435" cm="1">
        <f t="array" ref="N52">SUMPRODUCT(--(ISNUMBER(SEARCH($A52,'Diags Raw Data'!$A$12:$A$3703))),--('Diags Raw Data'!$Q$12:$Q$3703&lt;&gt;"N/A"),'Diags Raw Data'!$T$12:$T$3703)+SUMPRODUCT(--(ISNUMBER(SEARCH($A52,'Diags Raw Data'!$A$12:$A$3703))),--('Diags Raw Data'!$Q$12:$Q$3703&lt;&gt;"N/A"),'Diags Raw Data'!$U$12:$U$3703)</f>
        <v>1</v>
      </c>
      <c r="O52" s="436">
        <f t="shared" si="5"/>
        <v>1</v>
      </c>
      <c r="P52" s="437">
        <f>SUMIF('Diags Raw Data'!$A$12:$A$3703,"*"&amp;$A52&amp;"*",'Diags Raw Data'!$Z$12:$Z$3703)</f>
        <v>0</v>
      </c>
      <c r="Q52" s="438">
        <f>SUM(SUMIF('Diags Raw Data'!$A$12:$A$3703,"*"&amp;$A52&amp;"*",'Diags Raw Data'!$AA$12:$AA$3703),SUMIF('Diags Raw Data'!$A$12:$A$3703,"*"&amp;$A52&amp;"*",'Diags Raw Data'!$AB$12:$AB$3703))</f>
        <v>0</v>
      </c>
      <c r="R52" s="439">
        <f t="shared" si="6"/>
        <v>0</v>
      </c>
      <c r="S52" s="439">
        <f t="shared" si="7"/>
        <v>0</v>
      </c>
      <c r="T52" s="440">
        <f t="shared" si="8"/>
        <v>0</v>
      </c>
      <c r="U52" s="407" t="s">
        <v>628</v>
      </c>
    </row>
    <row r="53" spans="1:27" ht="15.75" hidden="1" thickBot="1" x14ac:dyDescent="0.3">
      <c r="A53" s="399" t="s">
        <v>519</v>
      </c>
      <c r="B53" s="404" t="str">
        <f>VLOOKUP(A53,'Feature Raw Data'!$A$3:$B$4000,2,FALSE)</f>
        <v>D0i3.2</v>
      </c>
      <c r="C53" s="400" t="str">
        <f>VLOOKUP(A53,'Feature Raw Data'!$A$3:$C$4209,3,FALSE)</f>
        <v>P2</v>
      </c>
      <c r="D53" s="401" t="str" cm="1">
        <f t="array" ref="D53">_xlfn.TEXTJOIN("",TRUE,IF(ISNUMBER(SEARCH($A53,'Diags Raw Data'!$A$12:$A$3703)),CONCATENATE('Diags Raw Data'!$H$12:$H$3703,", "),""))</f>
        <v/>
      </c>
      <c r="E53" s="327" t="e">
        <f>VLOOKUP(A53,'Diags Raw Data'!$A$12:$D$3703,4,FALSE)</f>
        <v>#N/A</v>
      </c>
      <c r="F53" s="402" t="str">
        <f>VLOOKUP(A53,'Feature Raw Data'!$A$3:$E$4000,5,FALSE)</f>
        <v>Delta</v>
      </c>
      <c r="G53" s="327" t="s">
        <v>31</v>
      </c>
      <c r="H53" s="327" t="s">
        <v>36</v>
      </c>
      <c r="I53" s="405">
        <f>SUMIF('Diags Raw Data'!$A$12:$A$3703,"*"&amp;$A53&amp;"*",'Diags Raw Data'!$K$12:$K$3703)</f>
        <v>0</v>
      </c>
      <c r="J53" s="406">
        <f>SUMIF('Diags Raw Data'!$A$12:$A$3703,"*"&amp;$A53&amp;"*",'Diags Raw Data'!$L$12:$L$3703)</f>
        <v>0</v>
      </c>
      <c r="K53" s="432" cm="1">
        <f t="array" ref="K53">IF(D53="",0, SUMPRODUCT(--(ISNUMBER(SEARCH($A53,'Diags Raw Data'!$A$12:$A$3703))),'Diags Raw Data'!$L$12:$L$3703,'Diags Raw Data'!$N$12:$N$3703)/J53)</f>
        <v>0</v>
      </c>
      <c r="L53" s="433" cm="1">
        <f t="array" ref="L53">IF(D53="",0, SUMPRODUCT(--(ISNUMBER(SEARCH($A53,'Diags Raw Data'!$A$12:$A$3703))),'Diags Raw Data'!$L$12:$L$3703,'Diags Raw Data'!$P$12:$P$3703)/J53)</f>
        <v>0</v>
      </c>
      <c r="M53" s="434" cm="1">
        <f t="array" ref="M53">SUMPRODUCT(--(ISNUMBER(SEARCH($A53,'Diags Raw Data'!$A$12:$A$3703))),--('Diags Raw Data'!$Q$12:$Q$3703&lt;&gt;"N/A"),'Diags Raw Data'!$R$12:$R$3703)</f>
        <v>0</v>
      </c>
      <c r="N53" s="435" cm="1">
        <f t="array" ref="N53">SUMPRODUCT(--(ISNUMBER(SEARCH($A53,'Diags Raw Data'!$A$12:$A$3703))),--('Diags Raw Data'!$Q$12:$Q$3703&lt;&gt;"N/A"),'Diags Raw Data'!$T$12:$T$3703)+SUMPRODUCT(--(ISNUMBER(SEARCH($A53,'Diags Raw Data'!$A$12:$A$3703))),--('Diags Raw Data'!$Q$12:$Q$3703&lt;&gt;"N/A"),'Diags Raw Data'!$U$12:$U$3703)</f>
        <v>0</v>
      </c>
      <c r="O53" s="436">
        <f t="shared" ref="O53" si="66">IF((M53=0),0,N53/M53)</f>
        <v>0</v>
      </c>
      <c r="P53" s="437">
        <f>SUMIF('Diags Raw Data'!$A$12:$A$3703,"*"&amp;$A53&amp;"*",'Diags Raw Data'!$Z$12:$Z$3703)</f>
        <v>0</v>
      </c>
      <c r="Q53" s="438">
        <f>SUM(SUMIF('Diags Raw Data'!$A$12:$A$3703,"*"&amp;$A53&amp;"*",'Diags Raw Data'!$AA$12:$AA$3703),SUMIF('Diags Raw Data'!$A$12:$A$3703,"*"&amp;$A53&amp;"*",'Diags Raw Data'!$AB$12:$AB$3703))</f>
        <v>0</v>
      </c>
      <c r="R53" s="439">
        <f t="shared" ref="R53" si="67">IF((J53=0),0,P53/J53)</f>
        <v>0</v>
      </c>
      <c r="S53" s="439">
        <f t="shared" ref="S53" si="68">IF((P53=0),0,Q53/P53)</f>
        <v>0</v>
      </c>
      <c r="T53" s="440">
        <f t="shared" ref="T53" si="69">R53*S53</f>
        <v>0</v>
      </c>
      <c r="U53" s="407"/>
    </row>
    <row r="54" spans="1:27" ht="15.75" thickBot="1" x14ac:dyDescent="0.3">
      <c r="A54" s="399" t="s">
        <v>414</v>
      </c>
      <c r="B54" s="404" t="str">
        <f>VLOOKUP(A54,'Feature Raw Data'!$A$3:$B$4000,2,FALSE)</f>
        <v>GFX in OFF State at Boot</v>
      </c>
      <c r="C54" s="400" t="str">
        <f>VLOOKUP(A54,'Feature Raw Data'!$A$3:$C$4209,3,FALSE)</f>
        <v>P1</v>
      </c>
      <c r="D54" s="401" t="str" cm="1">
        <f t="array" ref="D54">_xlfn.TEXTJOIN("",TRUE,IF(ISNUMBER(SEARCH($A54,'Diags Raw Data'!$A$6:$A$3703)),CONCATENATE('Diags Raw Data'!$H$6:$H$3703,", "),""))</f>
        <v xml:space="preserve">pm74.3, </v>
      </c>
      <c r="E54" s="327" t="str">
        <f>VLOOKUP(A54,'Diags Raw Data'!$A$12:$D$3703,4,FALSE)</f>
        <v>PMM</v>
      </c>
      <c r="F54" s="402" t="str">
        <f>VLOOKUP(A54,'Feature Raw Data'!$A$3:$E$4000,5,FALSE)</f>
        <v>Delta</v>
      </c>
      <c r="G54" s="327" t="s">
        <v>31</v>
      </c>
      <c r="H54" s="327" t="s">
        <v>31</v>
      </c>
      <c r="I54" s="405">
        <f>SUMIF('Diags Raw Data'!$A$12:$A$3703,"*"&amp;$A54&amp;"*",'Diags Raw Data'!$K$12:$K$3703)</f>
        <v>1</v>
      </c>
      <c r="J54" s="406">
        <f>SUMIF('Diags Raw Data'!$A$12:$A$3703,"*"&amp;$A54&amp;"*",'Diags Raw Data'!$L$12:$L$3703)</f>
        <v>1</v>
      </c>
      <c r="K54" s="432" cm="1">
        <f t="array" ref="K54">IF(D54="",0, SUMPRODUCT(--(ISNUMBER(SEARCH($A54,'Diags Raw Data'!$A$12:$A$3703))),'Diags Raw Data'!$L$12:$L$3703,'Diags Raw Data'!$N$12:$N$3703)/J54)</f>
        <v>1</v>
      </c>
      <c r="L54" s="433" cm="1">
        <f t="array" ref="L54">IF(D54="",0, SUMPRODUCT(--(ISNUMBER(SEARCH($A54,'Diags Raw Data'!$A$12:$A$3703))),'Diags Raw Data'!$L$12:$L$3703,'Diags Raw Data'!$P$12:$P$3703)/J54)</f>
        <v>1</v>
      </c>
      <c r="M54" s="434" cm="1">
        <f t="array" ref="M54">SUMPRODUCT(--(ISNUMBER(SEARCH($A54,'Diags Raw Data'!$A$12:$A$3703))),--('Diags Raw Data'!$Q$12:$Q$3703&lt;&gt;"N/A"),'Diags Raw Data'!$R$12:$R$3703)</f>
        <v>1</v>
      </c>
      <c r="N54" s="435" cm="1">
        <f t="array" ref="N54">SUMPRODUCT(--(ISNUMBER(SEARCH($A54,'Diags Raw Data'!$A$12:$A$3703))),--('Diags Raw Data'!$Q$12:$Q$3703&lt;&gt;"N/A"),'Diags Raw Data'!$T$12:$T$3703)+SUMPRODUCT(--(ISNUMBER(SEARCH($A54,'Diags Raw Data'!$A$12:$A$3703))),--('Diags Raw Data'!$Q$12:$Q$3703&lt;&gt;"N/A"),'Diags Raw Data'!$U$12:$U$3703)</f>
        <v>1</v>
      </c>
      <c r="O54" s="436">
        <f t="shared" si="5"/>
        <v>1</v>
      </c>
      <c r="P54" s="437">
        <f>SUMIF('Diags Raw Data'!$A$12:$A$3703,"*"&amp;$A54&amp;"*",'Diags Raw Data'!$Z$12:$Z$3703)</f>
        <v>1</v>
      </c>
      <c r="Q54" s="438">
        <f>SUM(SUMIF('Diags Raw Data'!$A$12:$A$3703,"*"&amp;$A54&amp;"*",'Diags Raw Data'!$AA$12:$AA$3703),SUMIF('Diags Raw Data'!$A$12:$A$3703,"*"&amp;$A54&amp;"*",'Diags Raw Data'!$AB$12:$AB$3703))</f>
        <v>1</v>
      </c>
      <c r="R54" s="439">
        <f t="shared" si="6"/>
        <v>1</v>
      </c>
      <c r="S54" s="439">
        <f t="shared" si="7"/>
        <v>1</v>
      </c>
      <c r="T54" s="440">
        <f t="shared" si="8"/>
        <v>1</v>
      </c>
      <c r="U54" s="407" t="s">
        <v>629</v>
      </c>
    </row>
    <row r="55" spans="1:27" ht="90.75" thickBot="1" x14ac:dyDescent="0.3">
      <c r="A55" s="399" t="s">
        <v>436</v>
      </c>
      <c r="B55" s="404" t="str">
        <f>VLOOKUP(A55,'Feature Raw Data'!$A$3:$B$4000,2,FALSE)</f>
        <v>PPVmin</v>
      </c>
      <c r="C55" s="400" t="str">
        <f>VLOOKUP(A55,'Feature Raw Data'!$A$3:$C$4209,3,FALSE)</f>
        <v>P3</v>
      </c>
      <c r="D55" s="401" t="str" cm="1">
        <f t="array" ref="D55">_xlfn.TEXTJOIN("",TRUE,IF(ISNUMBER(SEARCH($A55,'Diags Raw Data'!$A$6:$A$3703)),CONCATENATE('Diags Raw Data'!$H$6:$H$3703,", "),""))</f>
        <v/>
      </c>
      <c r="E55" s="327" t="e">
        <f>VLOOKUP(A55,'Diags Raw Data'!$A$12:$D$3703,4,FALSE)</f>
        <v>#N/A</v>
      </c>
      <c r="F55" s="402" t="str">
        <f>VLOOKUP(A55,'Feature Raw Data'!$A$3:$E$4000,5,FALSE)</f>
        <v>Legacy</v>
      </c>
      <c r="G55" s="327" t="s">
        <v>31</v>
      </c>
      <c r="H55" s="327" t="s">
        <v>31</v>
      </c>
      <c r="I55" s="405">
        <f>SUMIF('Diags Raw Data'!$A$12:$A$3703,"*"&amp;$A55&amp;"*",'Diags Raw Data'!$K$12:$K$3703)</f>
        <v>0</v>
      </c>
      <c r="J55" s="406">
        <f>SUMIF('Diags Raw Data'!$A$12:$A$3703,"*"&amp;$A55&amp;"*",'Diags Raw Data'!$L$12:$L$3703)</f>
        <v>0</v>
      </c>
      <c r="K55" s="432" cm="1">
        <f t="array" ref="K55">IF(D55="",0, SUMPRODUCT(--(ISNUMBER(SEARCH($A55,'Diags Raw Data'!$A$12:$A$3703))),'Diags Raw Data'!$L$12:$L$3703,'Diags Raw Data'!$N$12:$N$3703)/J55)</f>
        <v>0</v>
      </c>
      <c r="L55" s="433" cm="1">
        <f t="array" ref="L55">IF(D55="",0, SUMPRODUCT(--(ISNUMBER(SEARCH($A55,'Diags Raw Data'!$A$12:$A$3703))),'Diags Raw Data'!$L$12:$L$3703,'Diags Raw Data'!$P$12:$P$3703)/J55)</f>
        <v>0</v>
      </c>
      <c r="M55" s="434" cm="1">
        <f t="array" ref="M55">SUMPRODUCT(--(ISNUMBER(SEARCH($A55,'Diags Raw Data'!$A$12:$A$3703))),--('Diags Raw Data'!$Q$12:$Q$3703&lt;&gt;"N/A"),'Diags Raw Data'!$R$12:$R$3703)</f>
        <v>0</v>
      </c>
      <c r="N55" s="435" cm="1">
        <f t="array" ref="N55">SUMPRODUCT(--(ISNUMBER(SEARCH($A55,'Diags Raw Data'!$A$12:$A$3703))),--('Diags Raw Data'!$Q$12:$Q$3703&lt;&gt;"N/A"),'Diags Raw Data'!$T$12:$T$3703)+SUMPRODUCT(--(ISNUMBER(SEARCH($A55,'Diags Raw Data'!$A$12:$A$3703))),--('Diags Raw Data'!$Q$12:$Q$3703&lt;&gt;"N/A"),'Diags Raw Data'!$U$12:$U$3703)</f>
        <v>0</v>
      </c>
      <c r="O55" s="436">
        <f t="shared" si="5"/>
        <v>0</v>
      </c>
      <c r="P55" s="437">
        <f>SUMIF('Diags Raw Data'!$A$12:$A$3703,"*"&amp;$A55&amp;"*",'Diags Raw Data'!$Z$12:$Z$3703)</f>
        <v>0</v>
      </c>
      <c r="Q55" s="438">
        <f>SUM(SUMIF('Diags Raw Data'!$A$12:$A$3703,"*"&amp;$A55&amp;"*",'Diags Raw Data'!$AA$12:$AA$3703),SUMIF('Diags Raw Data'!$A$12:$A$3703,"*"&amp;$A55&amp;"*",'Diags Raw Data'!$AB$12:$AB$3703))</f>
        <v>0</v>
      </c>
      <c r="R55" s="439">
        <f t="shared" si="6"/>
        <v>0</v>
      </c>
      <c r="S55" s="439">
        <f t="shared" si="7"/>
        <v>0</v>
      </c>
      <c r="T55" s="440">
        <f t="shared" si="8"/>
        <v>0</v>
      </c>
      <c r="U55" s="407" t="s">
        <v>630</v>
      </c>
      <c r="V55" s="178" t="s">
        <v>631</v>
      </c>
      <c r="Z55" s="178">
        <v>0.5</v>
      </c>
      <c r="AA55" s="178">
        <v>0.5</v>
      </c>
    </row>
    <row r="56" spans="1:27" ht="90.75" thickBot="1" x14ac:dyDescent="0.3">
      <c r="A56" s="399" t="s">
        <v>437</v>
      </c>
      <c r="B56" s="404" t="str">
        <f>VLOOKUP(A56,'Feature Raw Data'!$A$3:$B$4000,2,FALSE)</f>
        <v>TDVmin</v>
      </c>
      <c r="C56" s="400" t="str">
        <f>VLOOKUP(A56,'Feature Raw Data'!$A$3:$C$4209,3,FALSE)</f>
        <v>P3</v>
      </c>
      <c r="D56" s="401" t="str" cm="1">
        <f t="array" ref="D56">_xlfn.TEXTJOIN("",TRUE,IF(ISNUMBER(SEARCH($A56,'Diags Raw Data'!$A$6:$A$3703)),CONCATENATE('Diags Raw Data'!$H$6:$H$3703,", "),""))</f>
        <v/>
      </c>
      <c r="E56" s="327" t="e">
        <f>VLOOKUP(A56,'Diags Raw Data'!$A$12:$D$3703,4,FALSE)</f>
        <v>#N/A</v>
      </c>
      <c r="F56" s="402" t="str">
        <f>VLOOKUP(A56,'Feature Raw Data'!$A$3:$E$4000,5,FALSE)</f>
        <v>Legacy</v>
      </c>
      <c r="G56" s="327" t="s">
        <v>31</v>
      </c>
      <c r="H56" s="327" t="s">
        <v>31</v>
      </c>
      <c r="I56" s="405">
        <f>SUMIF('Diags Raw Data'!$A$12:$A$3703,"*"&amp;$A56&amp;"*",'Diags Raw Data'!$K$12:$K$3703)</f>
        <v>0</v>
      </c>
      <c r="J56" s="406">
        <f>SUMIF('Diags Raw Data'!$A$12:$A$3703,"*"&amp;$A56&amp;"*",'Diags Raw Data'!$L$12:$L$3703)</f>
        <v>0</v>
      </c>
      <c r="K56" s="432" cm="1">
        <f t="array" ref="K56">IF(D56="",0, SUMPRODUCT(--(ISNUMBER(SEARCH($A56,'Diags Raw Data'!$A$12:$A$3703))),'Diags Raw Data'!$L$12:$L$3703,'Diags Raw Data'!$N$12:$N$3703)/J56)</f>
        <v>0</v>
      </c>
      <c r="L56" s="433" cm="1">
        <f t="array" ref="L56">IF(D56="",0, SUMPRODUCT(--(ISNUMBER(SEARCH($A56,'Diags Raw Data'!$A$12:$A$3703))),'Diags Raw Data'!$L$12:$L$3703,'Diags Raw Data'!$P$12:$P$3703)/J56)</f>
        <v>0</v>
      </c>
      <c r="M56" s="434" cm="1">
        <f t="array" ref="M56">SUMPRODUCT(--(ISNUMBER(SEARCH($A56,'Diags Raw Data'!$A$12:$A$3703))),--('Diags Raw Data'!$Q$12:$Q$3703&lt;&gt;"N/A"),'Diags Raw Data'!$R$12:$R$3703)</f>
        <v>0</v>
      </c>
      <c r="N56" s="435" cm="1">
        <f t="array" ref="N56">SUMPRODUCT(--(ISNUMBER(SEARCH($A56,'Diags Raw Data'!$A$12:$A$3703))),--('Diags Raw Data'!$Q$12:$Q$3703&lt;&gt;"N/A"),'Diags Raw Data'!$T$12:$T$3703)+SUMPRODUCT(--(ISNUMBER(SEARCH($A56,'Diags Raw Data'!$A$12:$A$3703))),--('Diags Raw Data'!$Q$12:$Q$3703&lt;&gt;"N/A"),'Diags Raw Data'!$U$12:$U$3703)</f>
        <v>0</v>
      </c>
      <c r="O56" s="436">
        <f t="shared" ref="O56" si="70">IF((M56=0),0,N56/M56)</f>
        <v>0</v>
      </c>
      <c r="P56" s="437">
        <f>SUMIF('Diags Raw Data'!$A$12:$A$3703,"*"&amp;$A56&amp;"*",'Diags Raw Data'!$Z$12:$Z$3703)</f>
        <v>0</v>
      </c>
      <c r="Q56" s="438">
        <f>SUM(SUMIF('Diags Raw Data'!$A$12:$A$3703,"*"&amp;$A56&amp;"*",'Diags Raw Data'!$AA$12:$AA$3703),SUMIF('Diags Raw Data'!$A$12:$A$3703,"*"&amp;$A56&amp;"*",'Diags Raw Data'!$AB$12:$AB$3703))</f>
        <v>0</v>
      </c>
      <c r="R56" s="439">
        <f t="shared" ref="R56" si="71">IF((J56=0),0,P56/J56)</f>
        <v>0</v>
      </c>
      <c r="S56" s="439">
        <f t="shared" ref="S56" si="72">IF((P56=0),0,Q56/P56)</f>
        <v>0</v>
      </c>
      <c r="T56" s="440">
        <f t="shared" ref="T56" si="73">R56*S56</f>
        <v>0</v>
      </c>
      <c r="U56" s="407" t="s">
        <v>630</v>
      </c>
      <c r="V56" s="178" t="s">
        <v>632</v>
      </c>
      <c r="Z56" s="178">
        <v>0.5</v>
      </c>
      <c r="AA56" s="178">
        <v>0.5</v>
      </c>
    </row>
    <row r="57" spans="1:27" ht="15.75" thickBot="1" x14ac:dyDescent="0.3">
      <c r="A57" s="399" t="s">
        <v>410</v>
      </c>
      <c r="B57" s="404" t="str">
        <f>VLOOKUP(A57,'Feature Raw Data'!$A$3:$B$4000,2,FALSE)</f>
        <v>PSM log</v>
      </c>
      <c r="C57" s="400" t="str">
        <f>VLOOKUP(A57,'Feature Raw Data'!$A$3:$C$4209,3,FALSE)</f>
        <v>P1</v>
      </c>
      <c r="D57" s="401" t="str" cm="1">
        <f t="array" ref="D57">_xlfn.TEXTJOIN("",TRUE,IF(ISNUMBER(SEARCH($A57,'Diags Raw Data'!$A$6:$A$3703)),CONCATENATE('Diags Raw Data'!$H$6:$H$3703,", "),""))</f>
        <v xml:space="preserve">pm80.12, </v>
      </c>
      <c r="E57" s="327" t="str">
        <f>VLOOKUP(A57,'Diags Raw Data'!$A$12:$D$3703,4,FALSE)</f>
        <v>PMM</v>
      </c>
      <c r="F57" s="402" t="str">
        <f>VLOOKUP(A57,'Feature Raw Data'!$A$3:$E$4000,5,FALSE)</f>
        <v>Legacy</v>
      </c>
      <c r="G57" s="327" t="s">
        <v>31</v>
      </c>
      <c r="H57" s="327" t="s">
        <v>31</v>
      </c>
      <c r="I57" s="405">
        <f>SUMIF('Diags Raw Data'!$A$12:$A$3703,"*"&amp;$A57&amp;"*",'Diags Raw Data'!$K$12:$K$3703)</f>
        <v>1</v>
      </c>
      <c r="J57" s="406">
        <f>SUMIF('Diags Raw Data'!$A$12:$A$3703,"*"&amp;$A57&amp;"*",'Diags Raw Data'!$L$12:$L$3703)</f>
        <v>1</v>
      </c>
      <c r="K57" s="432" cm="1">
        <f t="array" ref="K57">IF(D57="",0, SUMPRODUCT(--(ISNUMBER(SEARCH($A57,'Diags Raw Data'!$A$12:$A$3703))),'Diags Raw Data'!$L$12:$L$3703,'Diags Raw Data'!$N$12:$N$3703)/J57)</f>
        <v>1</v>
      </c>
      <c r="L57" s="433" cm="1">
        <f t="array" ref="L57">IF(D57="",0, SUMPRODUCT(--(ISNUMBER(SEARCH($A57,'Diags Raw Data'!$A$12:$A$3703))),'Diags Raw Data'!$L$12:$L$3703,'Diags Raw Data'!$P$12:$P$3703)/J57)</f>
        <v>1</v>
      </c>
      <c r="M57" s="434" cm="1">
        <f t="array" ref="M57">SUMPRODUCT(--(ISNUMBER(SEARCH($A57,'Diags Raw Data'!$A$12:$A$3703))),--('Diags Raw Data'!$Q$12:$Q$3703&lt;&gt;"N/A"),'Diags Raw Data'!$R$12:$R$3703)</f>
        <v>1</v>
      </c>
      <c r="N57" s="435" cm="1">
        <f t="array" ref="N57">SUMPRODUCT(--(ISNUMBER(SEARCH($A57,'Diags Raw Data'!$A$12:$A$3703))),--('Diags Raw Data'!$Q$12:$Q$3703&lt;&gt;"N/A"),'Diags Raw Data'!$T$12:$T$3703)+SUMPRODUCT(--(ISNUMBER(SEARCH($A57,'Diags Raw Data'!$A$12:$A$3703))),--('Diags Raw Data'!$Q$12:$Q$3703&lt;&gt;"N/A"),'Diags Raw Data'!$U$12:$U$3703)</f>
        <v>1</v>
      </c>
      <c r="O57" s="436">
        <f t="shared" ref="O57" si="74">IF((M57=0),0,N57/M57)</f>
        <v>1</v>
      </c>
      <c r="P57" s="437">
        <f>SUMIF('Diags Raw Data'!$A$12:$A$3703,"*"&amp;$A57&amp;"*",'Diags Raw Data'!$Z$12:$Z$3703)</f>
        <v>0</v>
      </c>
      <c r="Q57" s="438">
        <f>SUM(SUMIF('Diags Raw Data'!$A$12:$A$3703,"*"&amp;$A57&amp;"*",'Diags Raw Data'!$AA$12:$AA$3703),SUMIF('Diags Raw Data'!$A$12:$A$3703,"*"&amp;$A57&amp;"*",'Diags Raw Data'!$AB$12:$AB$3703))</f>
        <v>0</v>
      </c>
      <c r="R57" s="439">
        <f t="shared" ref="R57" si="75">IF((J57=0),0,P57/J57)</f>
        <v>0</v>
      </c>
      <c r="S57" s="439">
        <f t="shared" ref="S57" si="76">IF((P57=0),0,Q57/P57)</f>
        <v>0</v>
      </c>
      <c r="T57" s="440">
        <f t="shared" ref="T57" si="77">R57*S57</f>
        <v>0</v>
      </c>
      <c r="U57" s="407" t="s">
        <v>112</v>
      </c>
    </row>
    <row r="58" spans="1:27" ht="30.75" thickBot="1" x14ac:dyDescent="0.3">
      <c r="A58" s="399" t="s">
        <v>385</v>
      </c>
      <c r="B58" s="404" t="str">
        <f>VLOOKUP(A58,'Feature Raw Data'!$A$3:$B$4000,2,FALSE)</f>
        <v>Out Of Band Monitoring and Management</v>
      </c>
      <c r="C58" s="400" t="str">
        <f>VLOOKUP(A58,'Feature Raw Data'!$A$3:$C$4209,3,FALSE)</f>
        <v>P1</v>
      </c>
      <c r="D58" s="401" t="str" cm="1">
        <f t="array" ref="D58">_xlfn.TEXTJOIN("",TRUE,IF(ISNUMBER(SEARCH($A58,'Diags Raw Data'!$A$6:$A$3703)),CONCATENATE('Diags Raw Data'!$H$6:$H$3703,", "),""))</f>
        <v xml:space="preserve">PM13.16, </v>
      </c>
      <c r="E58" s="327" t="str">
        <f>VLOOKUP(A58,'Diags Raw Data'!$A$12:$D$3703,4,FALSE)</f>
        <v>PMM</v>
      </c>
      <c r="F58" s="402" t="str">
        <f>VLOOKUP(A58,'Feature Raw Data'!$A$3:$E$4000,5,FALSE)</f>
        <v>Delta</v>
      </c>
      <c r="G58" s="327" t="s">
        <v>31</v>
      </c>
      <c r="H58" s="327" t="str">
        <f t="shared" si="56"/>
        <v>Yes</v>
      </c>
      <c r="I58" s="405">
        <f>SUMIF('Diags Raw Data'!$A$12:$A$3703,"*"&amp;$A58&amp;"*",'Diags Raw Data'!$K$12:$K$3703)</f>
        <v>1</v>
      </c>
      <c r="J58" s="406">
        <f>SUMIF('Diags Raw Data'!$A$12:$A$3703,"*"&amp;$A58&amp;"*",'Diags Raw Data'!$L$12:$L$3703)</f>
        <v>1</v>
      </c>
      <c r="K58" s="432" cm="1">
        <f t="array" ref="K58">IF(D58="",0, SUMPRODUCT(--(ISNUMBER(SEARCH($A58,'Diags Raw Data'!$A$12:$A$3703))),'Diags Raw Data'!$L$12:$L$3703,'Diags Raw Data'!$N$12:$N$3703)/J58)</f>
        <v>1</v>
      </c>
      <c r="L58" s="433" cm="1">
        <f t="array" ref="L58">IF(D58="",0, SUMPRODUCT(--(ISNUMBER(SEARCH($A58,'Diags Raw Data'!$A$12:$A$3703))),'Diags Raw Data'!$L$12:$L$3703,'Diags Raw Data'!$P$12:$P$3703)/J58)</f>
        <v>1</v>
      </c>
      <c r="M58" s="434" cm="1">
        <f t="array" ref="M58">SUMPRODUCT(--(ISNUMBER(SEARCH($A58,'Diags Raw Data'!$A$12:$A$3703))),--('Diags Raw Data'!$Q$12:$Q$3703&lt;&gt;"N/A"),'Diags Raw Data'!$R$12:$R$3703)</f>
        <v>1</v>
      </c>
      <c r="N58" s="435" cm="1">
        <f t="array" ref="N58">SUMPRODUCT(--(ISNUMBER(SEARCH($A58,'Diags Raw Data'!$A$12:$A$3703))),--('Diags Raw Data'!$Q$12:$Q$3703&lt;&gt;"N/A"),'Diags Raw Data'!$T$12:$T$3703)+SUMPRODUCT(--(ISNUMBER(SEARCH($A58,'Diags Raw Data'!$A$12:$A$3703))),--('Diags Raw Data'!$Q$12:$Q$3703&lt;&gt;"N/A"),'Diags Raw Data'!$U$12:$U$3703)</f>
        <v>1</v>
      </c>
      <c r="O58" s="436">
        <f t="shared" si="5"/>
        <v>1</v>
      </c>
      <c r="P58" s="437">
        <f>SUMIF('Diags Raw Data'!$A$12:$A$3703,"*"&amp;$A58&amp;"*",'Diags Raw Data'!$Z$12:$Z$3703)</f>
        <v>0</v>
      </c>
      <c r="Q58" s="438">
        <f>SUM(SUMIF('Diags Raw Data'!$A$12:$A$3703,"*"&amp;$A58&amp;"*",'Diags Raw Data'!$AA$12:$AA$3703),SUMIF('Diags Raw Data'!$A$12:$A$3703,"*"&amp;$A58&amp;"*",'Diags Raw Data'!$AB$12:$AB$3703))</f>
        <v>0</v>
      </c>
      <c r="R58" s="439">
        <f t="shared" si="6"/>
        <v>0</v>
      </c>
      <c r="S58" s="439">
        <f t="shared" si="7"/>
        <v>0</v>
      </c>
      <c r="T58" s="440">
        <f t="shared" si="8"/>
        <v>0</v>
      </c>
      <c r="U58" s="407" t="s">
        <v>633</v>
      </c>
    </row>
    <row r="59" spans="1:27" ht="15.75" hidden="1" thickBot="1" x14ac:dyDescent="0.3">
      <c r="A59" s="399" t="s">
        <v>526</v>
      </c>
      <c r="B59" s="404" t="str">
        <f>VLOOKUP(A59,'Feature Raw Data'!$A$3:$B$4000,2,FALSE)</f>
        <v>EDC Power Break</v>
      </c>
      <c r="C59" s="400" t="str">
        <f>VLOOKUP(A59,'Feature Raw Data'!$A$3:$C$4209,3,FALSE)</f>
        <v>P3</v>
      </c>
      <c r="D59" s="401" t="str" cm="1">
        <f t="array" ref="D59">_xlfn.TEXTJOIN("",TRUE,IF(ISNUMBER(SEARCH($A59,'Diags Raw Data'!$A$12:$A$3703)),CONCATENATE('Diags Raw Data'!$H$12:$H$3703,", "),""))</f>
        <v/>
      </c>
      <c r="E59" s="327" t="e">
        <f>VLOOKUP(A59,'Diags Raw Data'!$A$12:$D$3703,4,FALSE)</f>
        <v>#N/A</v>
      </c>
      <c r="F59" s="402" t="str">
        <f>VLOOKUP(A59,'Feature Raw Data'!$A$3:$E$4000,5,FALSE)</f>
        <v>Legacy</v>
      </c>
      <c r="G59" s="327" t="s">
        <v>31</v>
      </c>
      <c r="H59" s="455" t="s">
        <v>36</v>
      </c>
      <c r="I59" s="400">
        <f>SUMIF('Diags Raw Data'!$A$12:$A$3703,"*"&amp;$A59&amp;"*",'Diags Raw Data'!$K$12:$K$3703)</f>
        <v>0</v>
      </c>
      <c r="J59" s="403">
        <f>SUMIF('Diags Raw Data'!$A$12:$A$3703,"*"&amp;$A59&amp;"*",'Diags Raw Data'!$L$12:$L$3703)</f>
        <v>0</v>
      </c>
      <c r="K59" s="432" cm="1">
        <f t="array" ref="K59">IF(D59="",0, SUMPRODUCT(--(ISNUMBER(SEARCH($A59,'Diags Raw Data'!$A$12:$A$3703))),'Diags Raw Data'!$L$12:$L$3703,'Diags Raw Data'!$N$12:$N$3703)/J59)</f>
        <v>0</v>
      </c>
      <c r="L59" s="433" cm="1">
        <f t="array" ref="L59">IF(D59="",0, SUMPRODUCT(--(ISNUMBER(SEARCH($A59,'Diags Raw Data'!$A$12:$A$3703))),'Diags Raw Data'!$L$12:$L$3703,'Diags Raw Data'!$P$12:$P$3703)/J59)</f>
        <v>0</v>
      </c>
      <c r="M59" s="434" cm="1">
        <f t="array" ref="M59">SUMPRODUCT(--(ISNUMBER(SEARCH($A59,'Diags Raw Data'!$A$12:$A$3703))),--('Diags Raw Data'!$Q$12:$Q$3703&lt;&gt;"N/A"),'Diags Raw Data'!$R$12:$R$3703)</f>
        <v>0</v>
      </c>
      <c r="N59" s="435" cm="1">
        <f t="array" ref="N59">SUMPRODUCT(--(ISNUMBER(SEARCH($A59,'Diags Raw Data'!$A$12:$A$3703))),--('Diags Raw Data'!$Q$12:$Q$3703&lt;&gt;"N/A"),'Diags Raw Data'!$T$12:$T$3703)+SUMPRODUCT(--(ISNUMBER(SEARCH($A59,'Diags Raw Data'!$A$12:$A$3703))),--('Diags Raw Data'!$Q$12:$Q$3703&lt;&gt;"N/A"),'Diags Raw Data'!$U$12:$U$3703)</f>
        <v>0</v>
      </c>
      <c r="O59" s="436">
        <f t="shared" si="5"/>
        <v>0</v>
      </c>
      <c r="P59" s="437">
        <f>SUMIF('Diags Raw Data'!$A$12:$A$3703,"*"&amp;$A59&amp;"*",'Diags Raw Data'!$Z$12:$Z$3703)</f>
        <v>0</v>
      </c>
      <c r="Q59" s="438">
        <f>SUM(SUMIF('Diags Raw Data'!$A$12:$A$3703,"*"&amp;$A59&amp;"*",'Diags Raw Data'!$AA$12:$AA$3703),SUMIF('Diags Raw Data'!$A$12:$A$3703,"*"&amp;$A59&amp;"*",'Diags Raw Data'!$AB$12:$AB$3703))</f>
        <v>0</v>
      </c>
      <c r="R59" s="439">
        <f t="shared" si="6"/>
        <v>0</v>
      </c>
      <c r="S59" s="439">
        <f t="shared" si="7"/>
        <v>0</v>
      </c>
      <c r="T59" s="440">
        <f t="shared" si="8"/>
        <v>0</v>
      </c>
      <c r="U59" s="407"/>
    </row>
    <row r="60" spans="1:27" ht="15.75" hidden="1" thickBot="1" x14ac:dyDescent="0.3">
      <c r="A60" s="399" t="s">
        <v>528</v>
      </c>
      <c r="B60" s="404" t="str">
        <f>VLOOKUP(A60,'Feature Raw Data'!$A$3:$B$4000,2,FALSE)</f>
        <v>Interrupt Handler</v>
      </c>
      <c r="C60" s="400" t="str">
        <f>VLOOKUP(A60,'Feature Raw Data'!$A$3:$C$4209,3,FALSE)</f>
        <v>P1</v>
      </c>
      <c r="D60" s="401" t="str" cm="1">
        <f t="array" ref="D60">_xlfn.TEXTJOIN("",TRUE,IF(ISNUMBER(SEARCH($A60,'Diags Raw Data'!$A$12:$A$3703)),CONCATENATE('Diags Raw Data'!$H$12:$H$3703,", "),""))</f>
        <v/>
      </c>
      <c r="E60" s="327" t="e">
        <f>VLOOKUP(A60,'Diags Raw Data'!$A$12:$D$3703,4,FALSE)</f>
        <v>#N/A</v>
      </c>
      <c r="F60" s="402" t="str">
        <f>VLOOKUP(A60,'Feature Raw Data'!$A$3:$E$4000,5,FALSE)</f>
        <v>Legacy</v>
      </c>
      <c r="G60" s="327" t="s">
        <v>31</v>
      </c>
      <c r="H60" s="455" t="s">
        <v>36</v>
      </c>
      <c r="I60" s="400">
        <f>SUMIF('Diags Raw Data'!$A$12:$A$3703,"*"&amp;$A60&amp;"*",'Diags Raw Data'!$K$12:$K$3703)</f>
        <v>0</v>
      </c>
      <c r="J60" s="403">
        <f>SUMIF('Diags Raw Data'!$A$12:$A$3703,"*"&amp;$A60&amp;"*",'Diags Raw Data'!$L$12:$L$3703)</f>
        <v>0</v>
      </c>
      <c r="K60" s="432" cm="1">
        <f t="array" ref="K60">IF(D60="",0, SUMPRODUCT(--(ISNUMBER(SEARCH($A60,'Diags Raw Data'!$A$12:$A$3703))),'Diags Raw Data'!$L$12:$L$3703,'Diags Raw Data'!$N$12:$N$3703)/J60)</f>
        <v>0</v>
      </c>
      <c r="L60" s="433" cm="1">
        <f t="array" ref="L60">IF(D60="",0, SUMPRODUCT(--(ISNUMBER(SEARCH($A60,'Diags Raw Data'!$A$12:$A$3703))),'Diags Raw Data'!$L$12:$L$3703,'Diags Raw Data'!$P$12:$P$3703)/J60)</f>
        <v>0</v>
      </c>
      <c r="M60" s="434" cm="1">
        <f t="array" ref="M60">SUMPRODUCT(--(ISNUMBER(SEARCH($A60,'Diags Raw Data'!$A$12:$A$3703))),--('Diags Raw Data'!$Q$12:$Q$3703&lt;&gt;"N/A"),'Diags Raw Data'!$R$12:$R$3703)</f>
        <v>0</v>
      </c>
      <c r="N60" s="435" cm="1">
        <f t="array" ref="N60">SUMPRODUCT(--(ISNUMBER(SEARCH($A60,'Diags Raw Data'!$A$12:$A$3703))),--('Diags Raw Data'!$Q$12:$Q$3703&lt;&gt;"N/A"),'Diags Raw Data'!$T$12:$T$3703)+SUMPRODUCT(--(ISNUMBER(SEARCH($A60,'Diags Raw Data'!$A$12:$A$3703))),--('Diags Raw Data'!$Q$12:$Q$3703&lt;&gt;"N/A"),'Diags Raw Data'!$U$12:$U$3703)</f>
        <v>0</v>
      </c>
      <c r="O60" s="436">
        <f t="shared" ref="O60:O85" si="78">IF((M60=0),0,N60/M60)</f>
        <v>0</v>
      </c>
      <c r="P60" s="437">
        <f>SUMIF('Diags Raw Data'!$A$12:$A$3703,"*"&amp;$A60&amp;"*",'Diags Raw Data'!$Z$12:$Z$3703)</f>
        <v>0</v>
      </c>
      <c r="Q60" s="438">
        <f>SUM(SUMIF('Diags Raw Data'!$A$12:$A$3703,"*"&amp;$A60&amp;"*",'Diags Raw Data'!$AA$12:$AA$3703),SUMIF('Diags Raw Data'!$A$12:$A$3703,"*"&amp;$A60&amp;"*",'Diags Raw Data'!$AB$12:$AB$3703))</f>
        <v>0</v>
      </c>
      <c r="R60" s="439">
        <f t="shared" ref="R60:R85" si="79">IF((J60=0),0,P60/J60)</f>
        <v>0</v>
      </c>
      <c r="S60" s="439">
        <f t="shared" ref="S60:S86" si="80">IF((P60=0),0,Q60/P60)</f>
        <v>0</v>
      </c>
      <c r="T60" s="440">
        <f t="shared" ref="T60:T86" si="81">R60*S60</f>
        <v>0</v>
      </c>
      <c r="U60" s="407"/>
    </row>
    <row r="61" spans="1:27" ht="15.75" thickBot="1" x14ac:dyDescent="0.3">
      <c r="A61" s="399" t="s">
        <v>366</v>
      </c>
      <c r="B61" s="404" t="str">
        <f>VLOOKUP(A61,'Feature Raw Data'!$A$3:$B$4000,2,FALSE)</f>
        <v>GPIO Handler</v>
      </c>
      <c r="C61" s="400" t="str">
        <f>VLOOKUP(A61,'Feature Raw Data'!$A$3:$C$4209,3,FALSE)</f>
        <v>P1</v>
      </c>
      <c r="D61" s="401" t="str" cm="1">
        <f t="array" ref="D61">_xlfn.TEXTJOIN("",TRUE,IF(ISNUMBER(SEARCH($A61,'Diags Raw Data'!$A$6:$A$3703)),CONCATENATE('Diags Raw Data'!$H$6:$H$3703,", "),""))</f>
        <v xml:space="preserve">PM14.11, </v>
      </c>
      <c r="E61" s="327" t="str">
        <f>VLOOKUP(A61,'Diags Raw Data'!$A$12:$D$3703,4,FALSE)</f>
        <v>PMM</v>
      </c>
      <c r="F61" s="402" t="str">
        <f>VLOOKUP(A61,'Feature Raw Data'!$A$3:$E$4000,5,FALSE)</f>
        <v>Legacy</v>
      </c>
      <c r="G61" s="327" t="str">
        <f>IF(D61="","No","Yes")</f>
        <v>Yes</v>
      </c>
      <c r="H61" s="327" t="str">
        <f t="shared" ref="H61:H69" si="82">IF(D61="","No","Yes")</f>
        <v>Yes</v>
      </c>
      <c r="I61" s="405">
        <f>SUMIF('Diags Raw Data'!$A$12:$A$3703,"*"&amp;$A61&amp;"*",'Diags Raw Data'!$K$12:$K$3703)</f>
        <v>1</v>
      </c>
      <c r="J61" s="406">
        <f>SUMIF('Diags Raw Data'!$A$12:$A$3703,"*"&amp;$A61&amp;"*",'Diags Raw Data'!$L$12:$L$3703)</f>
        <v>1</v>
      </c>
      <c r="K61" s="432" cm="1">
        <f t="array" ref="K61">IF(D61="",0, SUMPRODUCT(--(ISNUMBER(SEARCH($A61,'Diags Raw Data'!$A$12:$A$3703))),'Diags Raw Data'!$L$12:$L$3703,'Diags Raw Data'!$N$12:$N$3703)/J61)</f>
        <v>1</v>
      </c>
      <c r="L61" s="433" cm="1">
        <f t="array" ref="L61">IF(D61="",0, SUMPRODUCT(--(ISNUMBER(SEARCH($A61,'Diags Raw Data'!$A$12:$A$3703))),'Diags Raw Data'!$L$12:$L$3703,'Diags Raw Data'!$P$12:$P$3703)/J61)</f>
        <v>1</v>
      </c>
      <c r="M61" s="434" cm="1">
        <f t="array" ref="M61">SUMPRODUCT(--(ISNUMBER(SEARCH($A61,'Diags Raw Data'!$A$12:$A$3703))),--('Diags Raw Data'!$Q$12:$Q$3703&lt;&gt;"N/A"),'Diags Raw Data'!$R$12:$R$3703)</f>
        <v>1</v>
      </c>
      <c r="N61" s="435" cm="1">
        <f t="array" ref="N61">SUMPRODUCT(--(ISNUMBER(SEARCH($A61,'Diags Raw Data'!$A$12:$A$3703))),--('Diags Raw Data'!$Q$12:$Q$3703&lt;&gt;"N/A"),'Diags Raw Data'!$T$12:$T$3703)+SUMPRODUCT(--(ISNUMBER(SEARCH($A61,'Diags Raw Data'!$A$12:$A$3703))),--('Diags Raw Data'!$Q$12:$Q$3703&lt;&gt;"N/A"),'Diags Raw Data'!$U$12:$U$3703)</f>
        <v>1</v>
      </c>
      <c r="O61" s="436">
        <f t="shared" si="78"/>
        <v>1</v>
      </c>
      <c r="P61" s="437">
        <f>SUMIF('Diags Raw Data'!$A$12:$A$3703,"*"&amp;$A61&amp;"*",'Diags Raw Data'!$Z$12:$Z$3703)</f>
        <v>0</v>
      </c>
      <c r="Q61" s="438">
        <f>SUM(SUMIF('Diags Raw Data'!$A$12:$A$3703,"*"&amp;$A61&amp;"*",'Diags Raw Data'!$AA$12:$AA$3703),SUMIF('Diags Raw Data'!$A$12:$A$3703,"*"&amp;$A61&amp;"*",'Diags Raw Data'!$AB$12:$AB$3703))</f>
        <v>0</v>
      </c>
      <c r="R61" s="439">
        <f t="shared" si="79"/>
        <v>0</v>
      </c>
      <c r="S61" s="439">
        <f t="shared" si="80"/>
        <v>0</v>
      </c>
      <c r="T61" s="440">
        <f t="shared" si="81"/>
        <v>0</v>
      </c>
      <c r="U61" s="407" t="s">
        <v>112</v>
      </c>
    </row>
    <row r="62" spans="1:27" ht="15.75" thickBot="1" x14ac:dyDescent="0.3">
      <c r="A62" s="399" t="s">
        <v>330</v>
      </c>
      <c r="B62" s="404" t="str">
        <f>VLOOKUP(A62,'Feature Raw Data'!$A$3:$B$4000,2,FALSE)</f>
        <v>DMA</v>
      </c>
      <c r="C62" s="400" t="str">
        <f>VLOOKUP(A62,'Feature Raw Data'!$A$3:$C$4209,3,FALSE)</f>
        <v>P1</v>
      </c>
      <c r="D62" s="401" t="str" cm="1">
        <f t="array" ref="D62">_xlfn.TEXTJOIN("",TRUE,IF(ISNUMBER(SEARCH($A62,'Diags Raw Data'!$A$6:$A$3703)),CONCATENATE('Diags Raw Data'!$H$6:$H$3703,", "),""))</f>
        <v xml:space="preserve">PM80.12, </v>
      </c>
      <c r="E62" s="327" t="str">
        <f>VLOOKUP(A62,'Diags Raw Data'!$A$12:$D$3703,4,FALSE)</f>
        <v>PMM</v>
      </c>
      <c r="F62" s="402" t="str">
        <f>VLOOKUP(A62,'Feature Raw Data'!$A$3:$E$4000,5,FALSE)</f>
        <v>Delta</v>
      </c>
      <c r="G62" s="327" t="str">
        <f>IF(D62="","No","Yes")</f>
        <v>Yes</v>
      </c>
      <c r="H62" s="327" t="s">
        <v>31</v>
      </c>
      <c r="I62" s="400">
        <f>SUMIF('Diags Raw Data'!$A$12:$A$3703,"*"&amp;$A62&amp;"*",'Diags Raw Data'!$K$12:$K$3703)</f>
        <v>1</v>
      </c>
      <c r="J62" s="403">
        <f>SUMIF('Diags Raw Data'!$A$12:$A$3703,"*"&amp;$A62&amp;"*",'Diags Raw Data'!$L$12:$L$3703)</f>
        <v>1</v>
      </c>
      <c r="K62" s="432" cm="1">
        <f t="array" ref="K62">IF(D62="",0, SUMPRODUCT(--(ISNUMBER(SEARCH($A62,'Diags Raw Data'!$A$12:$A$3703))),'Diags Raw Data'!$L$12:$L$3703,'Diags Raw Data'!$N$12:$N$3703)/J62)</f>
        <v>1</v>
      </c>
      <c r="L62" s="433" cm="1">
        <f t="array" ref="L62">IF(D62="",0, SUMPRODUCT(--(ISNUMBER(SEARCH($A62,'Diags Raw Data'!$A$12:$A$3703))),'Diags Raw Data'!$L$12:$L$3703,'Diags Raw Data'!$P$12:$P$3703)/J62)</f>
        <v>1</v>
      </c>
      <c r="M62" s="434" cm="1">
        <f t="array" ref="M62">SUMPRODUCT(--(ISNUMBER(SEARCH($A62,'Diags Raw Data'!$A$12:$A$3703))),--('Diags Raw Data'!$Q$12:$Q$3703&lt;&gt;"N/A"),'Diags Raw Data'!$R$12:$R$3703)</f>
        <v>1</v>
      </c>
      <c r="N62" s="435" cm="1">
        <f t="array" ref="N62">SUMPRODUCT(--(ISNUMBER(SEARCH($A62,'Diags Raw Data'!$A$12:$A$3703))),--('Diags Raw Data'!$Q$12:$Q$3703&lt;&gt;"N/A"),'Diags Raw Data'!$T$12:$T$3703)+SUMPRODUCT(--(ISNUMBER(SEARCH($A62,'Diags Raw Data'!$A$12:$A$3703))),--('Diags Raw Data'!$Q$12:$Q$3703&lt;&gt;"N/A"),'Diags Raw Data'!$U$12:$U$3703)</f>
        <v>1</v>
      </c>
      <c r="O62" s="436">
        <f t="shared" si="78"/>
        <v>1</v>
      </c>
      <c r="P62" s="437">
        <f>SUMIF('Diags Raw Data'!$A$12:$A$3703,"*"&amp;$A62&amp;"*",'Diags Raw Data'!$Z$12:$Z$3703)</f>
        <v>1</v>
      </c>
      <c r="Q62" s="438">
        <f>SUM(SUMIF('Diags Raw Data'!$A$12:$A$3703,"*"&amp;$A62&amp;"*",'Diags Raw Data'!$AA$12:$AA$3703),SUMIF('Diags Raw Data'!$A$12:$A$3703,"*"&amp;$A62&amp;"*",'Diags Raw Data'!$AB$12:$AB$3703))</f>
        <v>1</v>
      </c>
      <c r="R62" s="439">
        <f t="shared" si="79"/>
        <v>1</v>
      </c>
      <c r="S62" s="439">
        <f t="shared" si="80"/>
        <v>1</v>
      </c>
      <c r="T62" s="440">
        <f t="shared" si="81"/>
        <v>1</v>
      </c>
      <c r="U62" s="407" t="s">
        <v>112</v>
      </c>
    </row>
    <row r="63" spans="1:27" ht="15.75" hidden="1" thickBot="1" x14ac:dyDescent="0.3">
      <c r="A63" s="399" t="s">
        <v>532</v>
      </c>
      <c r="B63" s="404" t="str">
        <f>VLOOKUP(A63,'Feature Raw Data'!$A$3:$B$4000,2,FALSE)</f>
        <v>IH</v>
      </c>
      <c r="C63" s="400" t="str">
        <f>VLOOKUP(A63,'Feature Raw Data'!$A$3:$C$4209,3,FALSE)</f>
        <v>P3</v>
      </c>
      <c r="D63" s="401" t="str" cm="1">
        <f t="array" ref="D63">_xlfn.TEXTJOIN("",TRUE,IF(ISNUMBER(SEARCH($A63,'Diags Raw Data'!$A$12:$A$3703)),CONCATENATE('Diags Raw Data'!$H$12:$H$3703,", "),""))</f>
        <v/>
      </c>
      <c r="E63" s="327" t="e">
        <f>VLOOKUP(A63,'Diags Raw Data'!$A$12:$D$3703,4,FALSE)</f>
        <v>#N/A</v>
      </c>
      <c r="F63" s="402" t="str">
        <f>VLOOKUP(A63,'Feature Raw Data'!$A$3:$E$4000,5,FALSE)</f>
        <v>Legacy</v>
      </c>
      <c r="G63" s="327" t="s">
        <v>31</v>
      </c>
      <c r="H63" s="455" t="s">
        <v>36</v>
      </c>
      <c r="I63" s="400">
        <f>SUMIF('Diags Raw Data'!$A$12:$A$3703,"*"&amp;$A63&amp;"*",'Diags Raw Data'!$K$12:$K$3703)</f>
        <v>0</v>
      </c>
      <c r="J63" s="403">
        <f>SUMIF('Diags Raw Data'!$A$12:$A$3703,"*"&amp;$A63&amp;"*",'Diags Raw Data'!$L$12:$L$3703)</f>
        <v>0</v>
      </c>
      <c r="K63" s="432" cm="1">
        <f t="array" ref="K63">IF(D63="",0, SUMPRODUCT(--(ISNUMBER(SEARCH($A63,'Diags Raw Data'!$A$12:$A$3703))),'Diags Raw Data'!$L$12:$L$3703,'Diags Raw Data'!$N$12:$N$3703)/J63)</f>
        <v>0</v>
      </c>
      <c r="L63" s="433" cm="1">
        <f t="array" ref="L63">IF(D63="",0, SUMPRODUCT(--(ISNUMBER(SEARCH($A63,'Diags Raw Data'!$A$12:$A$3703))),'Diags Raw Data'!$L$12:$L$3703,'Diags Raw Data'!$P$12:$P$3703)/J63)</f>
        <v>0</v>
      </c>
      <c r="M63" s="434" cm="1">
        <f t="array" ref="M63">SUMPRODUCT(--(ISNUMBER(SEARCH($A63,'Diags Raw Data'!$A$12:$A$3703))),--('Diags Raw Data'!$Q$12:$Q$3703&lt;&gt;"N/A"),'Diags Raw Data'!$R$12:$R$3703)</f>
        <v>0</v>
      </c>
      <c r="N63" s="435" cm="1">
        <f t="array" ref="N63">SUMPRODUCT(--(ISNUMBER(SEARCH($A63,'Diags Raw Data'!$A$12:$A$3703))),--('Diags Raw Data'!$Q$12:$Q$3703&lt;&gt;"N/A"),'Diags Raw Data'!$T$12:$T$3703)+SUMPRODUCT(--(ISNUMBER(SEARCH($A63,'Diags Raw Data'!$A$12:$A$3703))),--('Diags Raw Data'!$Q$12:$Q$3703&lt;&gt;"N/A"),'Diags Raw Data'!$U$12:$U$3703)</f>
        <v>0</v>
      </c>
      <c r="O63" s="436">
        <f t="shared" si="78"/>
        <v>0</v>
      </c>
      <c r="P63" s="437">
        <f>SUMIF('Diags Raw Data'!$A$12:$A$3703,"*"&amp;$A63&amp;"*",'Diags Raw Data'!$Z$12:$Z$3703)</f>
        <v>0</v>
      </c>
      <c r="Q63" s="438">
        <f>SUM(SUMIF('Diags Raw Data'!$A$12:$A$3703,"*"&amp;$A63&amp;"*",'Diags Raw Data'!$AA$12:$AA$3703),SUMIF('Diags Raw Data'!$A$12:$A$3703,"*"&amp;$A63&amp;"*",'Diags Raw Data'!$AB$12:$AB$3703))</f>
        <v>0</v>
      </c>
      <c r="R63" s="439">
        <f t="shared" si="79"/>
        <v>0</v>
      </c>
      <c r="S63" s="439">
        <f t="shared" si="80"/>
        <v>0</v>
      </c>
      <c r="T63" s="440">
        <f t="shared" si="81"/>
        <v>0</v>
      </c>
      <c r="U63" s="407"/>
    </row>
    <row r="64" spans="1:27" ht="15.75" hidden="1" thickBot="1" x14ac:dyDescent="0.3">
      <c r="A64" s="399" t="s">
        <v>534</v>
      </c>
      <c r="B64" s="404" t="str">
        <f>VLOOKUP(A64,'Feature Raw Data'!$A$3:$B$4000,2,FALSE)</f>
        <v>PD Throttling Controller</v>
      </c>
      <c r="C64" s="400" t="str">
        <f>VLOOKUP(A64,'Feature Raw Data'!$A$3:$C$4209,3,FALSE)</f>
        <v>P3</v>
      </c>
      <c r="D64" s="401" t="str" cm="1">
        <f t="array" ref="D64">_xlfn.TEXTJOIN("",TRUE,IF(ISNUMBER(SEARCH($A64,'Diags Raw Data'!$A$12:$A$3703)),CONCATENATE('Diags Raw Data'!$H$12:$H$3703,", "),""))</f>
        <v/>
      </c>
      <c r="E64" s="327" t="e">
        <f>VLOOKUP(A64,'Diags Raw Data'!$A$12:$D$3703,4,FALSE)</f>
        <v>#N/A</v>
      </c>
      <c r="F64" s="402" t="str">
        <f>VLOOKUP(A64,'Feature Raw Data'!$A$3:$E$4000,5,FALSE)</f>
        <v>Legacy</v>
      </c>
      <c r="G64" s="327" t="s">
        <v>31</v>
      </c>
      <c r="H64" s="455" t="s">
        <v>36</v>
      </c>
      <c r="I64" s="400">
        <f>SUMIF('Diags Raw Data'!$A$12:$A$3703,"*"&amp;$A64&amp;"*",'Diags Raw Data'!$K$12:$K$3703)</f>
        <v>0</v>
      </c>
      <c r="J64" s="403">
        <f>SUMIF('Diags Raw Data'!$A$12:$A$3703,"*"&amp;$A64&amp;"*",'Diags Raw Data'!$L$12:$L$3703)</f>
        <v>0</v>
      </c>
      <c r="K64" s="432" cm="1">
        <f t="array" ref="K64">IF(D64="",0, SUMPRODUCT(--(ISNUMBER(SEARCH($A64,'Diags Raw Data'!$A$12:$A$3703))),'Diags Raw Data'!$L$12:$L$3703,'Diags Raw Data'!$N$12:$N$3703)/J64)</f>
        <v>0</v>
      </c>
      <c r="L64" s="433" cm="1">
        <f t="array" ref="L64">IF(D64="",0, SUMPRODUCT(--(ISNUMBER(SEARCH($A64,'Diags Raw Data'!$A$12:$A$3703))),'Diags Raw Data'!$L$12:$L$3703,'Diags Raw Data'!$P$12:$P$3703)/J64)</f>
        <v>0</v>
      </c>
      <c r="M64" s="434" cm="1">
        <f t="array" ref="M64">SUMPRODUCT(--(ISNUMBER(SEARCH($A64,'Diags Raw Data'!$A$12:$A$3703))),--('Diags Raw Data'!$Q$12:$Q$3703&lt;&gt;"N/A"),'Diags Raw Data'!$R$12:$R$3703)</f>
        <v>0</v>
      </c>
      <c r="N64" s="435" cm="1">
        <f t="array" ref="N64">SUMPRODUCT(--(ISNUMBER(SEARCH($A64,'Diags Raw Data'!$A$12:$A$3703))),--('Diags Raw Data'!$Q$12:$Q$3703&lt;&gt;"N/A"),'Diags Raw Data'!$T$12:$T$3703)+SUMPRODUCT(--(ISNUMBER(SEARCH($A64,'Diags Raw Data'!$A$12:$A$3703))),--('Diags Raw Data'!$Q$12:$Q$3703&lt;&gt;"N/A"),'Diags Raw Data'!$U$12:$U$3703)</f>
        <v>0</v>
      </c>
      <c r="O64" s="436">
        <f t="shared" si="78"/>
        <v>0</v>
      </c>
      <c r="P64" s="437">
        <f>SUMIF('Diags Raw Data'!$A$12:$A$3703,"*"&amp;$A64&amp;"*",'Diags Raw Data'!$Z$12:$Z$3703)</f>
        <v>0</v>
      </c>
      <c r="Q64" s="438">
        <f>SUM(SUMIF('Diags Raw Data'!$A$12:$A$3703,"*"&amp;$A64&amp;"*",'Diags Raw Data'!$AA$12:$AA$3703),SUMIF('Diags Raw Data'!$A$12:$A$3703,"*"&amp;$A64&amp;"*",'Diags Raw Data'!$AB$12:$AB$3703))</f>
        <v>0</v>
      </c>
      <c r="R64" s="439">
        <f t="shared" si="79"/>
        <v>0</v>
      </c>
      <c r="S64" s="439">
        <f t="shared" si="80"/>
        <v>0</v>
      </c>
      <c r="T64" s="440">
        <f t="shared" si="81"/>
        <v>0</v>
      </c>
      <c r="U64" s="407"/>
    </row>
    <row r="65" spans="1:26" ht="15.75" thickBot="1" x14ac:dyDescent="0.3">
      <c r="A65" s="399" t="s">
        <v>321</v>
      </c>
      <c r="B65" s="404" t="str">
        <f>VLOOKUP(A65,'Feature Raw Data'!$A$3:$B$4000,2,FALSE)</f>
        <v>FW Telemetry Reading</v>
      </c>
      <c r="C65" s="400" t="str">
        <f>VLOOKUP(A65,'Feature Raw Data'!$A$3:$C$4209,3,FALSE)</f>
        <v>P1</v>
      </c>
      <c r="D65" s="401" t="str" cm="1">
        <f t="array" ref="D65">_xlfn.TEXTJOIN("",TRUE,IF(ISNUMBER(SEARCH($A65,'Diags Raw Data'!$A$6:$A$3703)),CONCATENATE('Diags Raw Data'!$H$6:$H$3703,", "),""))</f>
        <v xml:space="preserve">PM80.12, PM80.12, </v>
      </c>
      <c r="E65" s="327" t="str">
        <f>VLOOKUP(A65,'Diags Raw Data'!$A$12:$D$3703,4,FALSE)</f>
        <v>PMM</v>
      </c>
      <c r="F65" s="402" t="str">
        <f>VLOOKUP(A65,'Feature Raw Data'!$A$3:$E$4000,5,FALSE)</f>
        <v>Delta</v>
      </c>
      <c r="G65" s="327" t="s">
        <v>31</v>
      </c>
      <c r="H65" s="327" t="s">
        <v>31</v>
      </c>
      <c r="I65" s="405">
        <f>SUMIF('Diags Raw Data'!$A$12:$A$3703,"*"&amp;$A65&amp;"*",'Diags Raw Data'!$K$12:$K$3703)</f>
        <v>2</v>
      </c>
      <c r="J65" s="406">
        <f>SUMIF('Diags Raw Data'!$A$12:$A$3703,"*"&amp;$A65&amp;"*",'Diags Raw Data'!$L$12:$L$3703)</f>
        <v>2</v>
      </c>
      <c r="K65" s="432" cm="1">
        <f t="array" ref="K65">IF(D65="",0, SUMPRODUCT(--(ISNUMBER(SEARCH($A65,'Diags Raw Data'!$A$12:$A$3703))),'Diags Raw Data'!$L$12:$L$3703,'Diags Raw Data'!$N$12:$N$3703)/J65)</f>
        <v>1</v>
      </c>
      <c r="L65" s="433" cm="1">
        <f t="array" ref="L65">IF(D65="",0, SUMPRODUCT(--(ISNUMBER(SEARCH($A65,'Diags Raw Data'!$A$12:$A$3703))),'Diags Raw Data'!$L$12:$L$3703,'Diags Raw Data'!$P$12:$P$3703)/J65)</f>
        <v>1</v>
      </c>
      <c r="M65" s="434" cm="1">
        <f t="array" ref="M65">SUMPRODUCT(--(ISNUMBER(SEARCH($A65,'Diags Raw Data'!$A$12:$A$3703))),--('Diags Raw Data'!$Q$12:$Q$3703&lt;&gt;"N/A"),'Diags Raw Data'!$R$12:$R$3703)</f>
        <v>2</v>
      </c>
      <c r="N65" s="435" cm="1">
        <f t="array" ref="N65">SUMPRODUCT(--(ISNUMBER(SEARCH($A65,'Diags Raw Data'!$A$12:$A$3703))),--('Diags Raw Data'!$Q$12:$Q$3703&lt;&gt;"N/A"),'Diags Raw Data'!$T$12:$T$3703)+SUMPRODUCT(--(ISNUMBER(SEARCH($A65,'Diags Raw Data'!$A$12:$A$3703))),--('Diags Raw Data'!$Q$12:$Q$3703&lt;&gt;"N/A"),'Diags Raw Data'!$U$12:$U$3703)</f>
        <v>2</v>
      </c>
      <c r="O65" s="436">
        <f t="shared" ref="O65" si="83">IF((M65=0),0,N65/M65)</f>
        <v>1</v>
      </c>
      <c r="P65" s="437">
        <f>SUMIF('Diags Raw Data'!$A$12:$A$3703,"*"&amp;$A65&amp;"*",'Diags Raw Data'!$Z$12:$Z$3703)</f>
        <v>1</v>
      </c>
      <c r="Q65" s="438">
        <f>SUM(SUMIF('Diags Raw Data'!$A$12:$A$3703,"*"&amp;$A65&amp;"*",'Diags Raw Data'!$AA$12:$AA$3703),SUMIF('Diags Raw Data'!$A$12:$A$3703,"*"&amp;$A65&amp;"*",'Diags Raw Data'!$AB$12:$AB$3703))</f>
        <v>1</v>
      </c>
      <c r="R65" s="439">
        <f t="shared" ref="R65" si="84">IF((J65=0),0,P65/J65)</f>
        <v>0.5</v>
      </c>
      <c r="S65" s="439">
        <f t="shared" ref="S65" si="85">IF((P65=0),0,Q65/P65)</f>
        <v>1</v>
      </c>
      <c r="T65" s="440">
        <f t="shared" ref="T65" si="86">R65*S65</f>
        <v>0.5</v>
      </c>
      <c r="U65" s="407" t="s">
        <v>112</v>
      </c>
    </row>
    <row r="66" spans="1:26" ht="45.75" thickBot="1" x14ac:dyDescent="0.3">
      <c r="A66" s="399" t="s">
        <v>312</v>
      </c>
      <c r="B66" s="404" t="str">
        <f>VLOOKUP(A66,'Feature Raw Data'!$A$3:$B$4000,2,FALSE)</f>
        <v>DPM Controller/HUB</v>
      </c>
      <c r="C66" s="400" t="str">
        <f>VLOOKUP(A66,'Feature Raw Data'!$A$3:$C$4209,3,FALSE)</f>
        <v>P1</v>
      </c>
      <c r="D66" s="401" t="str" cm="1">
        <f t="array" ref="D66">_xlfn.TEXTJOIN("",TRUE,IF(ISNUMBER(SEARCH($A66,'Diags Raw Data'!$A$6:$A$3703)),CONCATENATE('Diags Raw Data'!$H$6:$H$3703,", "),""))</f>
        <v xml:space="preserve">PM80.12, PM80.12, PM80.12, PM80.13, PM80.12, </v>
      </c>
      <c r="E66" s="327" t="str">
        <f>VLOOKUP(A66,'Diags Raw Data'!$A$12:$D$3703,4,FALSE)</f>
        <v>PMM</v>
      </c>
      <c r="F66" s="402" t="str">
        <f>VLOOKUP(A66,'Feature Raw Data'!$A$3:$E$4000,5,FALSE)</f>
        <v>Delta</v>
      </c>
      <c r="G66" s="327" t="str">
        <f t="shared" ref="G66:G71" si="87">IF(D66="","No","Yes")</f>
        <v>Yes</v>
      </c>
      <c r="H66" s="327" t="s">
        <v>31</v>
      </c>
      <c r="I66" s="405">
        <f>SUMIF('Diags Raw Data'!$A$12:$A$3703,"*"&amp;$A66&amp;"*",'Diags Raw Data'!$K$12:$K$3703)</f>
        <v>4</v>
      </c>
      <c r="J66" s="406">
        <f>SUMIF('Diags Raw Data'!$A$12:$A$3703,"*"&amp;$A66&amp;"*",'Diags Raw Data'!$L$12:$L$3703)</f>
        <v>4</v>
      </c>
      <c r="K66" s="432" cm="1">
        <f t="array" ref="K66">IF(D66="",0, SUMPRODUCT(--(ISNUMBER(SEARCH($A66,'Diags Raw Data'!$A$12:$A$3703))),'Diags Raw Data'!$L$12:$L$3703,'Diags Raw Data'!$N$12:$N$3703)/J66)</f>
        <v>1</v>
      </c>
      <c r="L66" s="433" cm="1">
        <f t="array" ref="L66">IF(D66="",0, SUMPRODUCT(--(ISNUMBER(SEARCH($A66,'Diags Raw Data'!$A$12:$A$3703))),'Diags Raw Data'!$L$12:$L$3703,'Diags Raw Data'!$P$12:$P$3703)/J66)</f>
        <v>1</v>
      </c>
      <c r="M66" s="434" cm="1">
        <f t="array" ref="M66">SUMPRODUCT(--(ISNUMBER(SEARCH($A66,'Diags Raw Data'!$A$12:$A$3703))),--('Diags Raw Data'!$Q$12:$Q$3703&lt;&gt;"N/A"),'Diags Raw Data'!$R$12:$R$3703)</f>
        <v>4</v>
      </c>
      <c r="N66" s="435" cm="1">
        <f t="array" ref="N66">SUMPRODUCT(--(ISNUMBER(SEARCH($A66,'Diags Raw Data'!$A$12:$A$3703))),--('Diags Raw Data'!$Q$12:$Q$3703&lt;&gt;"N/A"),'Diags Raw Data'!$T$12:$T$3703)+SUMPRODUCT(--(ISNUMBER(SEARCH($A66,'Diags Raw Data'!$A$12:$A$3703))),--('Diags Raw Data'!$Q$12:$Q$3703&lt;&gt;"N/A"),'Diags Raw Data'!$U$12:$U$3703)</f>
        <v>4</v>
      </c>
      <c r="O66" s="436">
        <f t="shared" si="78"/>
        <v>1</v>
      </c>
      <c r="P66" s="437">
        <f>SUMIF('Diags Raw Data'!$A$12:$A$3703,"*"&amp;$A66&amp;"*",'Diags Raw Data'!$Z$12:$Z$3703)</f>
        <v>0</v>
      </c>
      <c r="Q66" s="438">
        <f>SUM(SUMIF('Diags Raw Data'!$A$12:$A$3703,"*"&amp;$A66&amp;"*",'Diags Raw Data'!$AA$12:$AA$3703),SUMIF('Diags Raw Data'!$A$12:$A$3703,"*"&amp;$A66&amp;"*",'Diags Raw Data'!$AB$12:$AB$3703))</f>
        <v>0</v>
      </c>
      <c r="R66" s="439">
        <f t="shared" si="79"/>
        <v>0</v>
      </c>
      <c r="S66" s="439">
        <f t="shared" si="80"/>
        <v>0</v>
      </c>
      <c r="T66" s="440">
        <f t="shared" si="81"/>
        <v>0</v>
      </c>
      <c r="U66" s="407" t="s">
        <v>626</v>
      </c>
    </row>
    <row r="67" spans="1:26" ht="15.75" thickBot="1" x14ac:dyDescent="0.3">
      <c r="A67" s="399" t="s">
        <v>389</v>
      </c>
      <c r="B67" s="404" t="str">
        <f>VLOOKUP(A67,'Feature Raw Data'!$A$3:$B$4000,2,FALSE)</f>
        <v>Feature Enablement Arbiter</v>
      </c>
      <c r="C67" s="400" t="str">
        <f>VLOOKUP(A67,'Feature Raw Data'!$A$3:$C$4209,3,FALSE)</f>
        <v>P1</v>
      </c>
      <c r="D67" s="401" t="str" cm="1">
        <f t="array" ref="D67">_xlfn.TEXTJOIN("",TRUE,IF(ISNUMBER(SEARCH($A67,'Diags Raw Data'!$A$6:$A$3703)),CONCATENATE('Diags Raw Data'!$H$6:$H$3703,", "),""))</f>
        <v xml:space="preserve">./agt,-ppmode=1, </v>
      </c>
      <c r="E67" s="327" t="str">
        <f>VLOOKUP(A67,'Diags Raw Data'!$A$12:$D$3703,4,FALSE)</f>
        <v>PMM</v>
      </c>
      <c r="F67" s="402" t="str">
        <f>VLOOKUP(A67,'Feature Raw Data'!$A$3:$E$4000,5,FALSE)</f>
        <v>Legacy</v>
      </c>
      <c r="G67" s="327" t="str">
        <f t="shared" si="87"/>
        <v>Yes</v>
      </c>
      <c r="H67" s="327" t="s">
        <v>31</v>
      </c>
      <c r="I67" s="400">
        <f>SUMIF('Diags Raw Data'!$A$12:$A$3703,"*"&amp;$A67&amp;"*",'Diags Raw Data'!$K$12:$K$3703)</f>
        <v>1</v>
      </c>
      <c r="J67" s="403">
        <f>SUMIF('Diags Raw Data'!$A$12:$A$3703,"*"&amp;$A67&amp;"*",'Diags Raw Data'!$L$12:$L$3703)</f>
        <v>1</v>
      </c>
      <c r="K67" s="432" cm="1">
        <f t="array" ref="K67">IF(D67="",0, SUMPRODUCT(--(ISNUMBER(SEARCH($A67,'Diags Raw Data'!$A$12:$A$3703))),'Diags Raw Data'!$L$12:$L$3703,'Diags Raw Data'!$N$12:$N$3703)/J67)</f>
        <v>1</v>
      </c>
      <c r="L67" s="433" cm="1">
        <f t="array" ref="L67">IF(D67="",0, SUMPRODUCT(--(ISNUMBER(SEARCH($A67,'Diags Raw Data'!$A$12:$A$3703))),'Diags Raw Data'!$L$12:$L$3703,'Diags Raw Data'!$P$12:$P$3703)/J67)</f>
        <v>1</v>
      </c>
      <c r="M67" s="434" cm="1">
        <f t="array" ref="M67">SUMPRODUCT(--(ISNUMBER(SEARCH($A67,'Diags Raw Data'!$A$12:$A$3703))),--('Diags Raw Data'!$Q$12:$Q$3703&lt;&gt;"N/A"),'Diags Raw Data'!$R$12:$R$3703)</f>
        <v>1</v>
      </c>
      <c r="N67" s="435" cm="1">
        <f t="array" ref="N67">SUMPRODUCT(--(ISNUMBER(SEARCH($A67,'Diags Raw Data'!$A$12:$A$3703))),--('Diags Raw Data'!$Q$12:$Q$3703&lt;&gt;"N/A"),'Diags Raw Data'!$T$12:$T$3703)+SUMPRODUCT(--(ISNUMBER(SEARCH($A67,'Diags Raw Data'!$A$12:$A$3703))),--('Diags Raw Data'!$Q$12:$Q$3703&lt;&gt;"N/A"),'Diags Raw Data'!$U$12:$U$3703)</f>
        <v>1</v>
      </c>
      <c r="O67" s="436">
        <f t="shared" si="78"/>
        <v>1</v>
      </c>
      <c r="P67" s="437">
        <f>SUMIF('Diags Raw Data'!$A$12:$A$3703,"*"&amp;$A67&amp;"*",'Diags Raw Data'!$Z$12:$Z$3703)</f>
        <v>1</v>
      </c>
      <c r="Q67" s="438">
        <f>SUM(SUMIF('Diags Raw Data'!$A$12:$A$3703,"*"&amp;$A67&amp;"*",'Diags Raw Data'!$AA$12:$AA$3703),SUMIF('Diags Raw Data'!$A$12:$A$3703,"*"&amp;$A67&amp;"*",'Diags Raw Data'!$AB$12:$AB$3703))</f>
        <v>1</v>
      </c>
      <c r="R67" s="439">
        <f t="shared" si="79"/>
        <v>1</v>
      </c>
      <c r="S67" s="439">
        <f t="shared" si="80"/>
        <v>1</v>
      </c>
      <c r="T67" s="440">
        <f t="shared" si="81"/>
        <v>1</v>
      </c>
      <c r="U67" s="407" t="s">
        <v>633</v>
      </c>
    </row>
    <row r="68" spans="1:26" ht="45.75" thickBot="1" x14ac:dyDescent="0.3">
      <c r="A68" s="399" t="s">
        <v>309</v>
      </c>
      <c r="B68" s="404" t="str">
        <f>VLOOKUP(A68,'Feature Raw Data'!$A$3:$B$4000,2,FALSE)</f>
        <v>Clock Management and Control</v>
      </c>
      <c r="C68" s="400" t="str">
        <f>VLOOKUP(A68,'Feature Raw Data'!$A$3:$C$4209,3,FALSE)</f>
        <v>P1</v>
      </c>
      <c r="D68" s="401" t="str" cm="1">
        <f t="array" ref="D68">_xlfn.TEXTJOIN("",TRUE,IF(ISNUMBER(SEARCH($A68,'Diags Raw Data'!$A$6:$A$3703)),CONCATENATE('Diags Raw Data'!$H$6:$H$3703,", "),""))</f>
        <v xml:space="preserve">PM80.12, PM80.12, PM80.12, PM80.12, PM80.13, </v>
      </c>
      <c r="E68" s="327" t="str">
        <f>VLOOKUP(A68,'Diags Raw Data'!$A$12:$D$3703,4,FALSE)</f>
        <v>PMM</v>
      </c>
      <c r="F68" s="402" t="str">
        <f>VLOOKUP(A68,'Feature Raw Data'!$A$3:$E$4000,5,FALSE)</f>
        <v>Delta</v>
      </c>
      <c r="G68" s="327" t="str">
        <f t="shared" si="87"/>
        <v>Yes</v>
      </c>
      <c r="H68" s="327" t="s">
        <v>31</v>
      </c>
      <c r="I68" s="400">
        <f>SUMIF('Diags Raw Data'!$A$12:$A$3703,"*"&amp;$A68&amp;"*",'Diags Raw Data'!$K$12:$K$3703)</f>
        <v>4</v>
      </c>
      <c r="J68" s="403">
        <f>SUMIF('Diags Raw Data'!$A$12:$A$3703,"*"&amp;$A68&amp;"*",'Diags Raw Data'!$L$12:$L$3703)</f>
        <v>4</v>
      </c>
      <c r="K68" s="432" cm="1">
        <f t="array" ref="K68">IF(D68="",0, SUMPRODUCT(--(ISNUMBER(SEARCH($A68,'Diags Raw Data'!$A$12:$A$3703))),'Diags Raw Data'!$L$12:$L$3703,'Diags Raw Data'!$N$12:$N$3703)/J68)</f>
        <v>1</v>
      </c>
      <c r="L68" s="433" cm="1">
        <f t="array" ref="L68">IF(D68="",0, SUMPRODUCT(--(ISNUMBER(SEARCH($A68,'Diags Raw Data'!$A$12:$A$3703))),'Diags Raw Data'!$L$12:$L$3703,'Diags Raw Data'!$P$12:$P$3703)/J68)</f>
        <v>1</v>
      </c>
      <c r="M68" s="434" cm="1">
        <f t="array" ref="M68">SUMPRODUCT(--(ISNUMBER(SEARCH($A68,'Diags Raw Data'!$A$12:$A$3703))),--('Diags Raw Data'!$Q$12:$Q$3703&lt;&gt;"N/A"),'Diags Raw Data'!$R$12:$R$3703)</f>
        <v>4</v>
      </c>
      <c r="N68" s="435" cm="1">
        <f t="array" ref="N68">SUMPRODUCT(--(ISNUMBER(SEARCH($A68,'Diags Raw Data'!$A$12:$A$3703))),--('Diags Raw Data'!$Q$12:$Q$3703&lt;&gt;"N/A"),'Diags Raw Data'!$T$12:$T$3703)+SUMPRODUCT(--(ISNUMBER(SEARCH($A68,'Diags Raw Data'!$A$12:$A$3703))),--('Diags Raw Data'!$Q$12:$Q$3703&lt;&gt;"N/A"),'Diags Raw Data'!$U$12:$U$3703)</f>
        <v>4</v>
      </c>
      <c r="O68" s="436">
        <f t="shared" si="78"/>
        <v>1</v>
      </c>
      <c r="P68" s="437">
        <f>SUMIF('Diags Raw Data'!$A$12:$A$3703,"*"&amp;$A68&amp;"*",'Diags Raw Data'!$Z$12:$Z$3703)</f>
        <v>0</v>
      </c>
      <c r="Q68" s="438">
        <f>SUM(SUMIF('Diags Raw Data'!$A$12:$A$3703,"*"&amp;$A68&amp;"*",'Diags Raw Data'!$AA$12:$AA$3703),SUMIF('Diags Raw Data'!$A$12:$A$3703,"*"&amp;$A68&amp;"*",'Diags Raw Data'!$AB$12:$AB$3703))</f>
        <v>0</v>
      </c>
      <c r="R68" s="439">
        <f t="shared" si="79"/>
        <v>0</v>
      </c>
      <c r="S68" s="439">
        <f t="shared" si="80"/>
        <v>0</v>
      </c>
      <c r="T68" s="440">
        <f t="shared" si="81"/>
        <v>0</v>
      </c>
      <c r="U68" s="407" t="s">
        <v>626</v>
      </c>
    </row>
    <row r="69" spans="1:26" ht="31.5" customHeight="1" thickBot="1" x14ac:dyDescent="0.3">
      <c r="A69" s="399" t="s">
        <v>392</v>
      </c>
      <c r="B69" s="404" t="str">
        <f>VLOOKUP(A69,'Feature Raw Data'!$A$3:$B$4000,2,FALSE)</f>
        <v>MP1 &lt;-&gt; IMU Message Interface</v>
      </c>
      <c r="C69" s="400" t="str">
        <f>VLOOKUP(A69,'Feature Raw Data'!$A$3:$C$4209,3,FALSE)</f>
        <v>P1</v>
      </c>
      <c r="D69" s="401" t="str" cm="1">
        <f t="array" ref="D69">_xlfn.TEXTJOIN("",TRUE,IF(ISNUMBER(SEARCH($A69,'Diags Raw Data'!$A$6:$A$3703)),CONCATENATE('Diags Raw Data'!$H$6:$H$3703,", "),""))</f>
        <v xml:space="preserve">PM80.12, </v>
      </c>
      <c r="E69" s="327" t="str">
        <f>VLOOKUP(A69,'Diags Raw Data'!$A$12:$D$3703,4,FALSE)</f>
        <v>PMM</v>
      </c>
      <c r="F69" s="402" t="str">
        <f>VLOOKUP(A69,'Feature Raw Data'!$A$3:$E$4000,5,FALSE)</f>
        <v>Delta</v>
      </c>
      <c r="G69" s="327" t="str">
        <f t="shared" si="87"/>
        <v>Yes</v>
      </c>
      <c r="H69" s="327" t="str">
        <f t="shared" si="82"/>
        <v>Yes</v>
      </c>
      <c r="I69" s="405">
        <f>SUMIF('Diags Raw Data'!$A$12:$A$3703,"*"&amp;$A69&amp;"*",'Diags Raw Data'!$K$12:$K$3703)</f>
        <v>1</v>
      </c>
      <c r="J69" s="406">
        <f>SUMIF('Diags Raw Data'!$A$12:$A$3703,"*"&amp;$A69&amp;"*",'Diags Raw Data'!$L$12:$L$3703)</f>
        <v>1</v>
      </c>
      <c r="K69" s="432" cm="1">
        <f t="array" ref="K69">IF(D69="",0, SUMPRODUCT(--(ISNUMBER(SEARCH($A69,'Diags Raw Data'!$A$12:$A$3703))),'Diags Raw Data'!$L$12:$L$3703,'Diags Raw Data'!$N$12:$N$3703)/J69)</f>
        <v>1</v>
      </c>
      <c r="L69" s="433" cm="1">
        <f t="array" ref="L69">IF(D69="",0, SUMPRODUCT(--(ISNUMBER(SEARCH($A69,'Diags Raw Data'!$A$12:$A$3703))),'Diags Raw Data'!$L$12:$L$3703,'Diags Raw Data'!$P$12:$P$3703)/J69)</f>
        <v>1</v>
      </c>
      <c r="M69" s="434" cm="1">
        <f t="array" ref="M69">SUMPRODUCT(--(ISNUMBER(SEARCH($A69,'Diags Raw Data'!$A$12:$A$3703))),--('Diags Raw Data'!$Q$12:$Q$3703&lt;&gt;"N/A"),'Diags Raw Data'!$R$12:$R$3703)</f>
        <v>1</v>
      </c>
      <c r="N69" s="435" cm="1">
        <f t="array" ref="N69">SUMPRODUCT(--(ISNUMBER(SEARCH($A69,'Diags Raw Data'!$A$12:$A$3703))),--('Diags Raw Data'!$Q$12:$Q$3703&lt;&gt;"N/A"),'Diags Raw Data'!$T$12:$T$3703)+SUMPRODUCT(--(ISNUMBER(SEARCH($A69,'Diags Raw Data'!$A$12:$A$3703))),--('Diags Raw Data'!$Q$12:$Q$3703&lt;&gt;"N/A"),'Diags Raw Data'!$U$12:$U$3703)</f>
        <v>1</v>
      </c>
      <c r="O69" s="436">
        <f t="shared" si="78"/>
        <v>1</v>
      </c>
      <c r="P69" s="437">
        <f>SUMIF('Diags Raw Data'!$A$12:$A$3703,"*"&amp;$A69&amp;"*",'Diags Raw Data'!$Z$12:$Z$3703)</f>
        <v>0</v>
      </c>
      <c r="Q69" s="438">
        <f>SUM(SUMIF('Diags Raw Data'!$A$12:$A$3703,"*"&amp;$A69&amp;"*",'Diags Raw Data'!$AA$12:$AA$3703),SUMIF('Diags Raw Data'!$A$12:$A$3703,"*"&amp;$A69&amp;"*",'Diags Raw Data'!$AB$12:$AB$3703))</f>
        <v>0</v>
      </c>
      <c r="R69" s="439">
        <f t="shared" si="79"/>
        <v>0</v>
      </c>
      <c r="S69" s="439">
        <f t="shared" si="80"/>
        <v>0</v>
      </c>
      <c r="T69" s="440">
        <f t="shared" si="81"/>
        <v>0</v>
      </c>
      <c r="U69" s="407" t="s">
        <v>622</v>
      </c>
    </row>
    <row r="70" spans="1:26" ht="45.75" thickBot="1" x14ac:dyDescent="0.3">
      <c r="A70" s="399" t="s">
        <v>310</v>
      </c>
      <c r="B70" s="404" t="str">
        <f>VLOOKUP(A70,'Feature Raw Data'!$A$3:$B$4000,2,FALSE)</f>
        <v>Voltage Controller</v>
      </c>
      <c r="C70" s="400" t="str">
        <f>VLOOKUP(A70,'Feature Raw Data'!$A$3:$C$4209,3,FALSE)</f>
        <v>P1</v>
      </c>
      <c r="D70" s="401" t="str" cm="1">
        <f t="array" ref="D70">_xlfn.TEXTJOIN("",TRUE,IF(ISNUMBER(SEARCH($A70,'Diags Raw Data'!$A$6:$A$3703)),CONCATENATE('Diags Raw Data'!$H$6:$H$3703,", "),""))</f>
        <v xml:space="preserve">PM80.12, PM80.12, PM23.1, PM80.12, PM20.1, PM80.12, PM25.2-4, </v>
      </c>
      <c r="E70" s="327" t="str">
        <f>VLOOKUP(A70,'Diags Raw Data'!$A$12:$D$3703,4,FALSE)</f>
        <v>PMM</v>
      </c>
      <c r="F70" s="402" t="str">
        <f>VLOOKUP(A70,'Feature Raw Data'!$A$3:$E$4000,5,FALSE)</f>
        <v>Delta</v>
      </c>
      <c r="G70" s="327" t="str">
        <f t="shared" si="87"/>
        <v>Yes</v>
      </c>
      <c r="H70" s="327" t="s">
        <v>31</v>
      </c>
      <c r="I70" s="400">
        <f>SUMIF('Diags Raw Data'!$A$12:$A$3703,"*"&amp;$A70&amp;"*",'Diags Raw Data'!$K$12:$K$3703)</f>
        <v>6</v>
      </c>
      <c r="J70" s="403">
        <f>SUMIF('Diags Raw Data'!$A$12:$A$3703,"*"&amp;$A70&amp;"*",'Diags Raw Data'!$L$12:$L$3703)</f>
        <v>6</v>
      </c>
      <c r="K70" s="432" cm="1">
        <f t="array" ref="K70">IF(D70="",0, SUMPRODUCT(--(ISNUMBER(SEARCH($A70,'Diags Raw Data'!$A$12:$A$3703))),'Diags Raw Data'!$L$12:$L$3703,'Diags Raw Data'!$N$12:$N$3703)/J70)</f>
        <v>1</v>
      </c>
      <c r="L70" s="433" cm="1">
        <f t="array" ref="L70">IF(D70="",0, SUMPRODUCT(--(ISNUMBER(SEARCH($A70,'Diags Raw Data'!$A$12:$A$3703))),'Diags Raw Data'!$L$12:$L$3703,'Diags Raw Data'!$P$12:$P$3703)/J70)</f>
        <v>1</v>
      </c>
      <c r="M70" s="434" cm="1">
        <f t="array" ref="M70">SUMPRODUCT(--(ISNUMBER(SEARCH($A70,'Diags Raw Data'!$A$12:$A$3703))),--('Diags Raw Data'!$Q$12:$Q$3703&lt;&gt;"N/A"),'Diags Raw Data'!$R$12:$R$3703)</f>
        <v>6</v>
      </c>
      <c r="N70" s="435" cm="1">
        <f t="array" ref="N70">SUMPRODUCT(--(ISNUMBER(SEARCH($A70,'Diags Raw Data'!$A$12:$A$3703))),--('Diags Raw Data'!$Q$12:$Q$3703&lt;&gt;"N/A"),'Diags Raw Data'!$T$12:$T$3703)+SUMPRODUCT(--(ISNUMBER(SEARCH($A70,'Diags Raw Data'!$A$12:$A$3703))),--('Diags Raw Data'!$Q$12:$Q$3703&lt;&gt;"N/A"),'Diags Raw Data'!$U$12:$U$3703)</f>
        <v>6</v>
      </c>
      <c r="O70" s="436">
        <f t="shared" si="78"/>
        <v>1</v>
      </c>
      <c r="P70" s="437">
        <f>SUMIF('Diags Raw Data'!$A$12:$A$3703,"*"&amp;$A70&amp;"*",'Diags Raw Data'!$Z$12:$Z$3703)</f>
        <v>0</v>
      </c>
      <c r="Q70" s="438">
        <f>SUM(SUMIF('Diags Raw Data'!$A$12:$A$3703,"*"&amp;$A70&amp;"*",'Diags Raw Data'!$AA$12:$AA$3703),SUMIF('Diags Raw Data'!$A$12:$A$3703,"*"&amp;$A70&amp;"*",'Diags Raw Data'!$AB$12:$AB$3703))</f>
        <v>0</v>
      </c>
      <c r="R70" s="439">
        <f t="shared" si="79"/>
        <v>0</v>
      </c>
      <c r="S70" s="439">
        <f t="shared" si="80"/>
        <v>0</v>
      </c>
      <c r="T70" s="440">
        <f t="shared" si="81"/>
        <v>0</v>
      </c>
      <c r="U70" s="407" t="s">
        <v>626</v>
      </c>
    </row>
    <row r="71" spans="1:26" ht="15.75" thickBot="1" x14ac:dyDescent="0.3">
      <c r="A71" s="399" t="s">
        <v>395</v>
      </c>
      <c r="B71" s="404" t="str">
        <f>VLOOKUP(A71,'Feature Raw Data'!$A$3:$B$4000,2,FALSE)</f>
        <v>Message Hub</v>
      </c>
      <c r="C71" s="400" t="str">
        <f>VLOOKUP(A71,'Feature Raw Data'!$A$3:$C$4209,3,FALSE)</f>
        <v>P1</v>
      </c>
      <c r="D71" s="401" t="str" cm="1">
        <f t="array" ref="D71">_xlfn.TEXTJOIN("",TRUE,IF(ISNUMBER(SEARCH($A71,'Diags Raw Data'!$A$6:$A$3703)),CONCATENATE('Diags Raw Data'!$H$6:$H$3703,", "),""))</f>
        <v xml:space="preserve">PM80.5, </v>
      </c>
      <c r="E71" s="327" t="str">
        <f>VLOOKUP(A71,'Diags Raw Data'!$A$12:$D$3703,4,FALSE)</f>
        <v>PMM</v>
      </c>
      <c r="F71" s="402" t="str">
        <f>VLOOKUP(A71,'Feature Raw Data'!$A$3:$E$4000,5,FALSE)</f>
        <v>Legacy</v>
      </c>
      <c r="G71" s="327" t="str">
        <f t="shared" si="87"/>
        <v>Yes</v>
      </c>
      <c r="H71" s="327" t="s">
        <v>31</v>
      </c>
      <c r="I71" s="400">
        <f>SUMIF('Diags Raw Data'!$A$12:$A$3703,"*"&amp;$A71&amp;"*",'Diags Raw Data'!$K$12:$K$3703)</f>
        <v>1</v>
      </c>
      <c r="J71" s="403">
        <f>SUMIF('Diags Raw Data'!$A$12:$A$3703,"*"&amp;$A71&amp;"*",'Diags Raw Data'!$L$12:$L$3703)</f>
        <v>1</v>
      </c>
      <c r="K71" s="432" cm="1">
        <f t="array" ref="K71">IF(D71="",0, SUMPRODUCT(--(ISNUMBER(SEARCH($A71,'Diags Raw Data'!$A$12:$A$3703))),'Diags Raw Data'!$L$12:$L$3703,'Diags Raw Data'!$N$12:$N$3703)/J71)</f>
        <v>1</v>
      </c>
      <c r="L71" s="433" cm="1">
        <f t="array" ref="L71">IF(D71="",0, SUMPRODUCT(--(ISNUMBER(SEARCH($A71,'Diags Raw Data'!$A$12:$A$3703))),'Diags Raw Data'!$L$12:$L$3703,'Diags Raw Data'!$P$12:$P$3703)/J71)</f>
        <v>1</v>
      </c>
      <c r="M71" s="434" cm="1">
        <f t="array" ref="M71">SUMPRODUCT(--(ISNUMBER(SEARCH($A71,'Diags Raw Data'!$A$12:$A$3703))),--('Diags Raw Data'!$Q$12:$Q$3703&lt;&gt;"N/A"),'Diags Raw Data'!$R$12:$R$3703)</f>
        <v>1</v>
      </c>
      <c r="N71" s="435" cm="1">
        <f t="array" ref="N71">SUMPRODUCT(--(ISNUMBER(SEARCH($A71,'Diags Raw Data'!$A$12:$A$3703))),--('Diags Raw Data'!$Q$12:$Q$3703&lt;&gt;"N/A"),'Diags Raw Data'!$T$12:$T$3703)+SUMPRODUCT(--(ISNUMBER(SEARCH($A71,'Diags Raw Data'!$A$12:$A$3703))),--('Diags Raw Data'!$Q$12:$Q$3703&lt;&gt;"N/A"),'Diags Raw Data'!$U$12:$U$3703)</f>
        <v>1</v>
      </c>
      <c r="O71" s="436">
        <f t="shared" si="78"/>
        <v>1</v>
      </c>
      <c r="P71" s="437">
        <f>SUMIF('Diags Raw Data'!$A$12:$A$3703,"*"&amp;$A71&amp;"*",'Diags Raw Data'!$Z$12:$Z$3703)</f>
        <v>1</v>
      </c>
      <c r="Q71" s="438">
        <f>SUM(SUMIF('Diags Raw Data'!$A$12:$A$3703,"*"&amp;$A71&amp;"*",'Diags Raw Data'!$AA$12:$AA$3703),SUMIF('Diags Raw Data'!$A$12:$A$3703,"*"&amp;$A71&amp;"*",'Diags Raw Data'!$AB$12:$AB$3703))</f>
        <v>1</v>
      </c>
      <c r="R71" s="439">
        <f t="shared" si="79"/>
        <v>1</v>
      </c>
      <c r="S71" s="439">
        <f t="shared" si="80"/>
        <v>1</v>
      </c>
      <c r="T71" s="440">
        <f t="shared" si="81"/>
        <v>1</v>
      </c>
      <c r="U71" s="407" t="s">
        <v>633</v>
      </c>
    </row>
    <row r="72" spans="1:26" ht="15.75" thickBot="1" x14ac:dyDescent="0.3">
      <c r="A72" s="399" t="s">
        <v>399</v>
      </c>
      <c r="B72" s="404" t="str">
        <f>VLOOKUP(A72,'Feature Raw Data'!$A$3:$B$4000,2,FALSE)</f>
        <v>I2C Arbiter</v>
      </c>
      <c r="C72" s="400" t="str">
        <f>VLOOKUP(A72,'Feature Raw Data'!$A$3:$C$4209,3,FALSE)</f>
        <v>P1</v>
      </c>
      <c r="D72" s="401" t="str" cm="1">
        <f t="array" ref="D72">_xlfn.TEXTJOIN("",TRUE,IF(ISNUMBER(SEARCH($A72,'Diags Raw Data'!$A$6:$A$3703)),CONCATENATE('Diags Raw Data'!$H$6:$H$3703,", "),""))</f>
        <v xml:space="preserve">PM80.993, </v>
      </c>
      <c r="E72" s="327" t="str">
        <f>VLOOKUP(A72,'Diags Raw Data'!$A$12:$D$3703,4,FALSE)</f>
        <v>PMM</v>
      </c>
      <c r="F72" s="402" t="str">
        <f>VLOOKUP(A72,'Feature Raw Data'!$A$3:$E$4000,5,FALSE)</f>
        <v>Delta</v>
      </c>
      <c r="G72" s="327" t="str">
        <f>IF(D72="","No","Yes")</f>
        <v>Yes</v>
      </c>
      <c r="H72" s="327" t="str">
        <f>IF(E72="","No","Yes")</f>
        <v>Yes</v>
      </c>
      <c r="I72" s="400">
        <f>SUMIF('Diags Raw Data'!$A$12:$A$3703,"*"&amp;$A72&amp;"*",'Diags Raw Data'!$K$12:$K$3703)</f>
        <v>1</v>
      </c>
      <c r="J72" s="403">
        <f>SUMIF('Diags Raw Data'!$A$12:$A$3703,"*"&amp;$A72&amp;"*",'Diags Raw Data'!$L$12:$L$3703)</f>
        <v>1</v>
      </c>
      <c r="K72" s="432" cm="1">
        <f t="array" ref="K72">IF(D72="",0, SUMPRODUCT(--(ISNUMBER(SEARCH($A72,'Diags Raw Data'!$A$12:$A$3703))),'Diags Raw Data'!$L$12:$L$3703,'Diags Raw Data'!$N$12:$N$3703)/J72)</f>
        <v>1</v>
      </c>
      <c r="L72" s="433" cm="1">
        <f t="array" ref="L72">IF(D72="",0, SUMPRODUCT(--(ISNUMBER(SEARCH($A72,'Diags Raw Data'!$A$12:$A$3703))),'Diags Raw Data'!$L$12:$L$3703,'Diags Raw Data'!$P$12:$P$3703)/J72)</f>
        <v>1</v>
      </c>
      <c r="M72" s="434" cm="1">
        <f t="array" ref="M72">SUMPRODUCT(--(ISNUMBER(SEARCH($A72,'Diags Raw Data'!$A$12:$A$3703))),--('Diags Raw Data'!$Q$12:$Q$3703&lt;&gt;"N/A"),'Diags Raw Data'!$R$12:$R$3703)</f>
        <v>1</v>
      </c>
      <c r="N72" s="435" cm="1">
        <f t="array" ref="N72">SUMPRODUCT(--(ISNUMBER(SEARCH($A72,'Diags Raw Data'!$A$12:$A$3703))),--('Diags Raw Data'!$Q$12:$Q$3703&lt;&gt;"N/A"),'Diags Raw Data'!$T$12:$T$3703)+SUMPRODUCT(--(ISNUMBER(SEARCH($A72,'Diags Raw Data'!$A$12:$A$3703))),--('Diags Raw Data'!$Q$12:$Q$3703&lt;&gt;"N/A"),'Diags Raw Data'!$U$12:$U$3703)</f>
        <v>1</v>
      </c>
      <c r="O72" s="436">
        <f t="shared" ref="O72:O73" si="88">IF((M72=0),0,N72/M72)</f>
        <v>1</v>
      </c>
      <c r="P72" s="437">
        <f>SUMIF('Diags Raw Data'!$A$12:$A$3703,"*"&amp;$A72&amp;"*",'Diags Raw Data'!$Z$12:$Z$3703)</f>
        <v>0</v>
      </c>
      <c r="Q72" s="438">
        <f>SUM(SUMIF('Diags Raw Data'!$A$12:$A$3703,"*"&amp;$A72&amp;"*",'Diags Raw Data'!$AA$12:$AA$3703),SUMIF('Diags Raw Data'!$A$12:$A$3703,"*"&amp;$A72&amp;"*",'Diags Raw Data'!$AB$12:$AB$3703))</f>
        <v>0</v>
      </c>
      <c r="R72" s="439">
        <f t="shared" ref="R72:R73" si="89">IF((J72=0),0,P72/J72)</f>
        <v>0</v>
      </c>
      <c r="S72" s="439">
        <f t="shared" ref="S72:S73" si="90">IF((P72=0),0,Q72/P72)</f>
        <v>0</v>
      </c>
      <c r="T72" s="440">
        <f t="shared" ref="T72:T73" si="91">R72*S72</f>
        <v>0</v>
      </c>
      <c r="U72" s="407" t="s">
        <v>628</v>
      </c>
      <c r="W72" s="178">
        <v>1</v>
      </c>
    </row>
    <row r="73" spans="1:26" ht="15.75" hidden="1" thickBot="1" x14ac:dyDescent="0.3">
      <c r="A73" s="399" t="s">
        <v>541</v>
      </c>
      <c r="B73" s="404" t="str">
        <f>VLOOKUP(A73,'Feature Raw Data'!$A$3:$B$4000,2,FALSE)</f>
        <v>LED display</v>
      </c>
      <c r="C73" s="400" t="str">
        <f>VLOOKUP(A73,'Feature Raw Data'!$A$3:$C$4209,3,FALSE)</f>
        <v>P3</v>
      </c>
      <c r="D73" s="401" t="str" cm="1">
        <f t="array" ref="D73">_xlfn.TEXTJOIN("",TRUE,IF(ISNUMBER(SEARCH($A73,'Diags Raw Data'!$A$12:$A$3703)),CONCATENATE('Diags Raw Data'!$H$12:$H$3703,", "),""))</f>
        <v/>
      </c>
      <c r="E73" s="327" t="e">
        <f>VLOOKUP(A73,'Diags Raw Data'!$A$12:$D$3703,4,FALSE)</f>
        <v>#N/A</v>
      </c>
      <c r="F73" s="402" t="str">
        <f>VLOOKUP(A73,'Feature Raw Data'!$A$3:$E$4000,5,FALSE)</f>
        <v>Legacy</v>
      </c>
      <c r="G73" s="327" t="s">
        <v>31</v>
      </c>
      <c r="H73" s="327" t="s">
        <v>36</v>
      </c>
      <c r="I73" s="400">
        <f>SUMIF('Diags Raw Data'!$A$12:$A$3703,"*"&amp;$A73&amp;"*",'Diags Raw Data'!$K$12:$K$3703)</f>
        <v>0</v>
      </c>
      <c r="J73" s="403">
        <f>SUMIF('Diags Raw Data'!$A$12:$A$3703,"*"&amp;$A73&amp;"*",'Diags Raw Data'!$L$12:$L$3703)</f>
        <v>0</v>
      </c>
      <c r="K73" s="432" cm="1">
        <f t="array" ref="K73">IF(D73="",0, SUMPRODUCT(--(ISNUMBER(SEARCH($A73,'Diags Raw Data'!$A$12:$A$3703))),'Diags Raw Data'!$L$12:$L$3703,'Diags Raw Data'!$N$12:$N$3703)/J73)</f>
        <v>0</v>
      </c>
      <c r="L73" s="433" cm="1">
        <f t="array" ref="L73">IF(D73="",0, SUMPRODUCT(--(ISNUMBER(SEARCH($A73,'Diags Raw Data'!$A$12:$A$3703))),'Diags Raw Data'!$L$12:$L$3703,'Diags Raw Data'!$P$12:$P$3703)/J73)</f>
        <v>0</v>
      </c>
      <c r="M73" s="434" cm="1">
        <f t="array" ref="M73">SUMPRODUCT(--(ISNUMBER(SEARCH($A73,'Diags Raw Data'!$A$12:$A$3703))),--('Diags Raw Data'!$Q$12:$Q$3703&lt;&gt;"N/A"),'Diags Raw Data'!$R$12:$R$3703)</f>
        <v>0</v>
      </c>
      <c r="N73" s="435" cm="1">
        <f t="array" ref="N73">SUMPRODUCT(--(ISNUMBER(SEARCH($A73,'Diags Raw Data'!$A$12:$A$3703))),--('Diags Raw Data'!$Q$12:$Q$3703&lt;&gt;"N/A"),'Diags Raw Data'!$T$12:$T$3703)+SUMPRODUCT(--(ISNUMBER(SEARCH($A73,'Diags Raw Data'!$A$12:$A$3703))),--('Diags Raw Data'!$Q$12:$Q$3703&lt;&gt;"N/A"),'Diags Raw Data'!$U$12:$U$3703)</f>
        <v>0</v>
      </c>
      <c r="O73" s="436">
        <f t="shared" si="88"/>
        <v>0</v>
      </c>
      <c r="P73" s="437">
        <f>SUMIF('Diags Raw Data'!$A$12:$A$3703,"*"&amp;$A73&amp;"*",'Diags Raw Data'!$Z$12:$Z$3703)</f>
        <v>0</v>
      </c>
      <c r="Q73" s="438">
        <f>SUM(SUMIF('Diags Raw Data'!$A$12:$A$3703,"*"&amp;$A73&amp;"*",'Diags Raw Data'!$AA$12:$AA$3703),SUMIF('Diags Raw Data'!$A$12:$A$3703,"*"&amp;$A73&amp;"*",'Diags Raw Data'!$AB$12:$AB$3703))</f>
        <v>0</v>
      </c>
      <c r="R73" s="439">
        <f t="shared" si="89"/>
        <v>0</v>
      </c>
      <c r="S73" s="439">
        <f t="shared" si="90"/>
        <v>0</v>
      </c>
      <c r="T73" s="440">
        <f t="shared" si="91"/>
        <v>0</v>
      </c>
      <c r="U73" s="407"/>
    </row>
    <row r="74" spans="1:26" ht="15.75" hidden="1" thickBot="1" x14ac:dyDescent="0.3">
      <c r="A74" s="399" t="s">
        <v>543</v>
      </c>
      <c r="B74" s="404" t="str">
        <f>VLOOKUP(A74,'Feature Raw Data'!$A$3:$B$4000,2,FALSE)</f>
        <v>GPU reset finish indication</v>
      </c>
      <c r="C74" s="400" t="str">
        <f>VLOOKUP(A74,'Feature Raw Data'!$A$3:$C$4209,3,FALSE)</f>
        <v>P3</v>
      </c>
      <c r="D74" s="401" t="str" cm="1">
        <f t="array" ref="D74">_xlfn.TEXTJOIN("",TRUE,IF(ISNUMBER(SEARCH($A74,'Diags Raw Data'!$A$12:$A$3703)),CONCATENATE('Diags Raw Data'!$H$12:$H$3703,", "),""))</f>
        <v/>
      </c>
      <c r="E74" s="327" t="e">
        <f>VLOOKUP(A74,'Diags Raw Data'!$A$12:$D$3703,4,FALSE)</f>
        <v>#N/A</v>
      </c>
      <c r="F74" s="402" t="str">
        <f>VLOOKUP(A74,'Feature Raw Data'!$A$3:$E$4000,5,FALSE)</f>
        <v>Legacy</v>
      </c>
      <c r="G74" s="327" t="s">
        <v>31</v>
      </c>
      <c r="H74" s="327" t="s">
        <v>36</v>
      </c>
      <c r="I74" s="400">
        <f>SUMIF('Diags Raw Data'!$A$12:$A$3703,"*"&amp;$A74&amp;"*",'Diags Raw Data'!$K$12:$K$3703)</f>
        <v>0</v>
      </c>
      <c r="J74" s="403">
        <f>SUMIF('Diags Raw Data'!$A$12:$A$3703,"*"&amp;$A74&amp;"*",'Diags Raw Data'!$L$12:$L$3703)</f>
        <v>0</v>
      </c>
      <c r="K74" s="432" cm="1">
        <f t="array" ref="K74">IF(D74="",0, SUMPRODUCT(--(ISNUMBER(SEARCH($A74,'Diags Raw Data'!$A$12:$A$3703))),'Diags Raw Data'!$L$12:$L$3703,'Diags Raw Data'!$N$12:$N$3703)/J74)</f>
        <v>0</v>
      </c>
      <c r="L74" s="433" cm="1">
        <f t="array" ref="L74">IF(D74="",0, SUMPRODUCT(--(ISNUMBER(SEARCH($A74,'Diags Raw Data'!$A$12:$A$3703))),'Diags Raw Data'!$L$12:$L$3703,'Diags Raw Data'!$P$12:$P$3703)/J74)</f>
        <v>0</v>
      </c>
      <c r="M74" s="434" cm="1">
        <f t="array" ref="M74">SUMPRODUCT(--(ISNUMBER(SEARCH($A74,'Diags Raw Data'!$A$12:$A$3703))),--('Diags Raw Data'!$Q$12:$Q$3703&lt;&gt;"N/A"),'Diags Raw Data'!$R$12:$R$3703)</f>
        <v>0</v>
      </c>
      <c r="N74" s="435" cm="1">
        <f t="array" ref="N74">SUMPRODUCT(--(ISNUMBER(SEARCH($A74,'Diags Raw Data'!$A$12:$A$3703))),--('Diags Raw Data'!$Q$12:$Q$3703&lt;&gt;"N/A"),'Diags Raw Data'!$T$12:$T$3703)+SUMPRODUCT(--(ISNUMBER(SEARCH($A74,'Diags Raw Data'!$A$12:$A$3703))),--('Diags Raw Data'!$Q$12:$Q$3703&lt;&gt;"N/A"),'Diags Raw Data'!$U$12:$U$3703)</f>
        <v>0</v>
      </c>
      <c r="O74" s="436">
        <f t="shared" si="78"/>
        <v>0</v>
      </c>
      <c r="P74" s="437">
        <f>SUMIF('Diags Raw Data'!$A$12:$A$3703,"*"&amp;$A74&amp;"*",'Diags Raw Data'!$Z$12:$Z$3703)</f>
        <v>0</v>
      </c>
      <c r="Q74" s="438">
        <f>SUM(SUMIF('Diags Raw Data'!$A$12:$A$3703,"*"&amp;$A74&amp;"*",'Diags Raw Data'!$AA$12:$AA$3703),SUMIF('Diags Raw Data'!$A$12:$A$3703,"*"&amp;$A74&amp;"*",'Diags Raw Data'!$AB$12:$AB$3703))</f>
        <v>0</v>
      </c>
      <c r="R74" s="439">
        <f t="shared" si="79"/>
        <v>0</v>
      </c>
      <c r="S74" s="439">
        <f t="shared" si="80"/>
        <v>0</v>
      </c>
      <c r="T74" s="440">
        <f t="shared" si="81"/>
        <v>0</v>
      </c>
      <c r="U74" s="407"/>
    </row>
    <row r="75" spans="1:26" ht="15.75" hidden="1" thickBot="1" x14ac:dyDescent="0.3">
      <c r="A75" s="399" t="s">
        <v>545</v>
      </c>
      <c r="B75" s="404" t="str">
        <f>VLOOKUP(A75,'Feature Raw Data'!$A$3:$B$4000,2,FALSE)</f>
        <v>APCC DFLL</v>
      </c>
      <c r="C75" s="400" t="str">
        <f>VLOOKUP(A75,'Feature Raw Data'!$A$3:$C$4209,3,FALSE)</f>
        <v>P3</v>
      </c>
      <c r="D75" s="401" t="str" cm="1">
        <f t="array" ref="D75">_xlfn.TEXTJOIN("",TRUE,IF(ISNUMBER(SEARCH($A75,'Diags Raw Data'!$A$12:$A$3703)),CONCATENATE('Diags Raw Data'!$H$12:$H$3703,", "),""))</f>
        <v/>
      </c>
      <c r="E75" s="327" t="e">
        <f>VLOOKUP(A75,'Diags Raw Data'!$A$12:$D$3703,4,FALSE)</f>
        <v>#N/A</v>
      </c>
      <c r="F75" s="402" t="str">
        <f>VLOOKUP(A75,'Feature Raw Data'!$A$3:$E$4000,5,FALSE)</f>
        <v>Legacy</v>
      </c>
      <c r="G75" s="327" t="s">
        <v>31</v>
      </c>
      <c r="H75" s="327" t="s">
        <v>36</v>
      </c>
      <c r="I75" s="405">
        <f>SUMIF('Diags Raw Data'!$A$12:$A$3703,"*"&amp;$A75&amp;"*",'Diags Raw Data'!$K$12:$K$3703)</f>
        <v>0</v>
      </c>
      <c r="J75" s="406">
        <f>SUMIF('Diags Raw Data'!$A$12:$A$3703,"*"&amp;$A75&amp;"*",'Diags Raw Data'!$L$12:$L$3703)</f>
        <v>0</v>
      </c>
      <c r="K75" s="432" cm="1">
        <f t="array" ref="K75">IF(D75="",0, SUMPRODUCT(--(ISNUMBER(SEARCH($A75,'Diags Raw Data'!$A$12:$A$3703))),'Diags Raw Data'!$L$12:$L$3703,'Diags Raw Data'!$N$12:$N$3703)/J75)</f>
        <v>0</v>
      </c>
      <c r="L75" s="433" cm="1">
        <f t="array" ref="L75">IF(D75="",0, SUMPRODUCT(--(ISNUMBER(SEARCH($A75,'Diags Raw Data'!$A$12:$A$3703))),'Diags Raw Data'!$L$12:$L$3703,'Diags Raw Data'!$P$12:$P$3703)/J75)</f>
        <v>0</v>
      </c>
      <c r="M75" s="434" cm="1">
        <f t="array" ref="M75">SUMPRODUCT(--(ISNUMBER(SEARCH($A75,'Diags Raw Data'!$A$12:$A$3703))),--('Diags Raw Data'!$Q$12:$Q$3703&lt;&gt;"N/A"),'Diags Raw Data'!$R$12:$R$3703)</f>
        <v>0</v>
      </c>
      <c r="N75" s="435" cm="1">
        <f t="array" ref="N75">SUMPRODUCT(--(ISNUMBER(SEARCH($A75,'Diags Raw Data'!$A$12:$A$3703))),--('Diags Raw Data'!$Q$12:$Q$3703&lt;&gt;"N/A"),'Diags Raw Data'!$T$12:$T$3703)+SUMPRODUCT(--(ISNUMBER(SEARCH($A75,'Diags Raw Data'!$A$12:$A$3703))),--('Diags Raw Data'!$Q$12:$Q$3703&lt;&gt;"N/A"),'Diags Raw Data'!$U$12:$U$3703)</f>
        <v>0</v>
      </c>
      <c r="O75" s="436">
        <f t="shared" si="78"/>
        <v>0</v>
      </c>
      <c r="P75" s="437">
        <f>SUMIF('Diags Raw Data'!$A$12:$A$3703,"*"&amp;$A75&amp;"*",'Diags Raw Data'!$Z$12:$Z$3703)</f>
        <v>0</v>
      </c>
      <c r="Q75" s="438">
        <f>SUM(SUMIF('Diags Raw Data'!$A$12:$A$3703,"*"&amp;$A75&amp;"*",'Diags Raw Data'!$AA$12:$AA$3703),SUMIF('Diags Raw Data'!$A$12:$A$3703,"*"&amp;$A75&amp;"*",'Diags Raw Data'!$AB$12:$AB$3703))</f>
        <v>0</v>
      </c>
      <c r="R75" s="439">
        <f t="shared" si="79"/>
        <v>0</v>
      </c>
      <c r="S75" s="439">
        <f t="shared" si="80"/>
        <v>0</v>
      </c>
      <c r="T75" s="440">
        <f t="shared" si="81"/>
        <v>0</v>
      </c>
      <c r="U75" s="407"/>
    </row>
    <row r="76" spans="1:26" ht="15.75" thickBot="1" x14ac:dyDescent="0.3">
      <c r="A76" s="399" t="s">
        <v>402</v>
      </c>
      <c r="B76" s="404" t="str">
        <f>VLOOKUP(A76,'Feature Raw Data'!$A$3:$B$4000,2,FALSE)</f>
        <v>Mode 1 reset</v>
      </c>
      <c r="C76" s="400" t="str">
        <f>VLOOKUP(A76,'Feature Raw Data'!$A$3:$C$4209,3,FALSE)</f>
        <v>P1</v>
      </c>
      <c r="D76" s="401" t="str" cm="1">
        <f t="array" ref="D76">_xlfn.TEXTJOIN("",TRUE,IF(ISNUMBER(SEARCH($A76,'Diags Raw Data'!$A$6:$A$3703)),CONCATENATE('Diags Raw Data'!$H$6:$H$3703,", "),""))</f>
        <v xml:space="preserve">Pm36.1, </v>
      </c>
      <c r="E76" s="327" t="str">
        <f>VLOOKUP(A76,'Diags Raw Data'!$A$12:$D$3703,4,FALSE)</f>
        <v>PMM</v>
      </c>
      <c r="F76" s="402" t="str">
        <f>VLOOKUP(A76,'Feature Raw Data'!$A$3:$E$4000,5,FALSE)</f>
        <v>Legacy</v>
      </c>
      <c r="G76" s="327" t="s">
        <v>31</v>
      </c>
      <c r="H76" s="327" t="s">
        <v>31</v>
      </c>
      <c r="I76" s="405">
        <f>SUMIF('Diags Raw Data'!$A$12:$A$3703,"*"&amp;$A76&amp;"*",'Diags Raw Data'!$K$12:$K$3703)</f>
        <v>1</v>
      </c>
      <c r="J76" s="406">
        <f>SUMIF('Diags Raw Data'!$A$12:$A$3703,"*"&amp;$A76&amp;"*",'Diags Raw Data'!$L$12:$L$3703)</f>
        <v>1</v>
      </c>
      <c r="K76" s="432" cm="1">
        <f t="array" ref="K76">IF(D76="",0, SUMPRODUCT(--(ISNUMBER(SEARCH($A76,'Diags Raw Data'!$A$12:$A$3703))),'Diags Raw Data'!$L$12:$L$3703,'Diags Raw Data'!$N$12:$N$3703)/J76)</f>
        <v>1</v>
      </c>
      <c r="L76" s="433" cm="1">
        <f t="array" ref="L76">IF(D76="",0, SUMPRODUCT(--(ISNUMBER(SEARCH($A76,'Diags Raw Data'!$A$12:$A$3703))),'Diags Raw Data'!$L$12:$L$3703,'Diags Raw Data'!$P$12:$P$3703)/J76)</f>
        <v>1</v>
      </c>
      <c r="M76" s="434" cm="1">
        <f t="array" ref="M76">SUMPRODUCT(--(ISNUMBER(SEARCH($A76,'Diags Raw Data'!$A$12:$A$3703))),--('Diags Raw Data'!$Q$12:$Q$3703&lt;&gt;"N/A"),'Diags Raw Data'!$R$12:$R$3703)</f>
        <v>1</v>
      </c>
      <c r="N76" s="435" cm="1">
        <f t="array" ref="N76">SUMPRODUCT(--(ISNUMBER(SEARCH($A76,'Diags Raw Data'!$A$12:$A$3703))),--('Diags Raw Data'!$Q$12:$Q$3703&lt;&gt;"N/A"),'Diags Raw Data'!$T$12:$T$3703)+SUMPRODUCT(--(ISNUMBER(SEARCH($A76,'Diags Raw Data'!$A$12:$A$3703))),--('Diags Raw Data'!$Q$12:$Q$3703&lt;&gt;"N/A"),'Diags Raw Data'!$U$12:$U$3703)</f>
        <v>1</v>
      </c>
      <c r="O76" s="436">
        <f t="shared" ref="O76" si="92">IF((M76=0),0,N76/M76)</f>
        <v>1</v>
      </c>
      <c r="P76" s="437">
        <f>SUMIF('Diags Raw Data'!$A$12:$A$3703,"*"&amp;$A76&amp;"*",'Diags Raw Data'!$Z$12:$Z$3703)</f>
        <v>0</v>
      </c>
      <c r="Q76" s="438">
        <f>SUM(SUMIF('Diags Raw Data'!$A$12:$A$3703,"*"&amp;$A76&amp;"*",'Diags Raw Data'!$AA$12:$AA$3703),SUMIF('Diags Raw Data'!$A$12:$A$3703,"*"&amp;$A76&amp;"*",'Diags Raw Data'!$AB$12:$AB$3703))</f>
        <v>0</v>
      </c>
      <c r="R76" s="439">
        <f t="shared" ref="R76" si="93">IF((J76=0),0,P76/J76)</f>
        <v>0</v>
      </c>
      <c r="S76" s="439">
        <f t="shared" ref="S76" si="94">IF((P76=0),0,Q76/P76)</f>
        <v>0</v>
      </c>
      <c r="T76" s="440">
        <f t="shared" ref="T76" si="95">R76*S76</f>
        <v>0</v>
      </c>
      <c r="U76" s="407" t="s">
        <v>634</v>
      </c>
    </row>
    <row r="77" spans="1:26" ht="15.75" hidden="1" thickBot="1" x14ac:dyDescent="0.3">
      <c r="A77" s="399" t="s">
        <v>548</v>
      </c>
      <c r="B77" s="404" t="str">
        <f>VLOOKUP(A77,'Feature Raw Data'!$A$3:$B$4000,2,FALSE)</f>
        <v>DCN Power Gating</v>
      </c>
      <c r="C77" s="400" t="str">
        <f>VLOOKUP(A77,'Feature Raw Data'!$A$3:$C$4209,3,FALSE)</f>
        <v>P3</v>
      </c>
      <c r="D77" s="401" t="str" cm="1">
        <f t="array" ref="D77">_xlfn.TEXTJOIN("",TRUE,IF(ISNUMBER(SEARCH($A77,'Diags Raw Data'!$A$12:$A$3703)),CONCATENATE('Diags Raw Data'!$H$12:$H$3703,", "),""))</f>
        <v/>
      </c>
      <c r="E77" s="327" t="e">
        <f>VLOOKUP(A77,'Diags Raw Data'!$A$12:$D$3703,4,FALSE)</f>
        <v>#N/A</v>
      </c>
      <c r="F77" s="402" t="str">
        <f>VLOOKUP(A77,'Feature Raw Data'!$A$3:$E$4000,5,FALSE)</f>
        <v>Legacy</v>
      </c>
      <c r="G77" s="327" t="s">
        <v>31</v>
      </c>
      <c r="H77" s="327" t="s">
        <v>36</v>
      </c>
      <c r="I77" s="405">
        <v>1</v>
      </c>
      <c r="J77" s="406">
        <v>1</v>
      </c>
      <c r="K77" s="432" cm="1">
        <f t="array" ref="K77">IF(D77="",0, SUMPRODUCT(--(ISNUMBER(SEARCH($A77,'Diags Raw Data'!$A$12:$A$3703))),'Diags Raw Data'!$L$12:$L$3703,'Diags Raw Data'!$N$12:$N$3703)/J77)</f>
        <v>0</v>
      </c>
      <c r="L77" s="433" cm="1">
        <f t="array" ref="L77">IF(D77="",0, SUMPRODUCT(--(ISNUMBER(SEARCH($A77,'Diags Raw Data'!$A$12:$A$3703))),'Diags Raw Data'!$L$12:$L$3703,'Diags Raw Data'!$P$12:$P$3703)/J77)</f>
        <v>0</v>
      </c>
      <c r="M77" s="434" cm="1">
        <f t="array" ref="M77">SUMPRODUCT(--(ISNUMBER(SEARCH($A77,'Diags Raw Data'!$A$12:$A$3703))),--('Diags Raw Data'!$Q$12:$Q$3703&lt;&gt;"N/A"),'Diags Raw Data'!$R$12:$R$3703)</f>
        <v>0</v>
      </c>
      <c r="N77" s="435" cm="1">
        <f t="array" ref="N77">SUMPRODUCT(--(ISNUMBER(SEARCH($A77,'Diags Raw Data'!$A$12:$A$3703))),--('Diags Raw Data'!$Q$12:$Q$3703&lt;&gt;"N/A"),'Diags Raw Data'!$T$12:$T$3703)+SUMPRODUCT(--(ISNUMBER(SEARCH($A77,'Diags Raw Data'!$A$12:$A$3703))),--('Diags Raw Data'!$Q$12:$Q$3703&lt;&gt;"N/A"),'Diags Raw Data'!$U$12:$U$3703)</f>
        <v>0</v>
      </c>
      <c r="O77" s="436">
        <f t="shared" si="78"/>
        <v>0</v>
      </c>
      <c r="P77" s="437">
        <f>SUMIF('Diags Raw Data'!$A$12:$A$3703,"*"&amp;$A77&amp;"*",'Diags Raw Data'!$Z$12:$Z$3703)</f>
        <v>0</v>
      </c>
      <c r="Q77" s="438">
        <f>SUM(SUMIF('Diags Raw Data'!$A$12:$A$3703,"*"&amp;$A77&amp;"*",'Diags Raw Data'!$AA$12:$AA$3703),SUMIF('Diags Raw Data'!$A$12:$A$3703,"*"&amp;$A77&amp;"*",'Diags Raw Data'!$AB$12:$AB$3703))</f>
        <v>0</v>
      </c>
      <c r="R77" s="439">
        <f t="shared" si="79"/>
        <v>0</v>
      </c>
      <c r="S77" s="439">
        <f t="shared" si="80"/>
        <v>0</v>
      </c>
      <c r="T77" s="440">
        <f t="shared" si="81"/>
        <v>0</v>
      </c>
      <c r="U77" s="407"/>
    </row>
    <row r="78" spans="1:26" ht="15.75" hidden="1" thickBot="1" x14ac:dyDescent="0.3">
      <c r="A78" s="399" t="s">
        <v>550</v>
      </c>
      <c r="B78" s="404" t="str">
        <f>VLOOKUP(A78,'Feature Raw Data'!$A$3:$B$4000,2,FALSE)</f>
        <v>Dummy P-state</v>
      </c>
      <c r="C78" s="400" t="str">
        <f>VLOOKUP(A78,'Feature Raw Data'!$A$3:$C$4209,3,FALSE)</f>
        <v>P3</v>
      </c>
      <c r="D78" s="401" t="str" cm="1">
        <f t="array" ref="D78">_xlfn.TEXTJOIN("",TRUE,IF(ISNUMBER(SEARCH($A78,'Diags Raw Data'!$A$12:$A$3703)),CONCATENATE('Diags Raw Data'!$H$12:$H$3703,", "),""))</f>
        <v/>
      </c>
      <c r="E78" s="327" t="e">
        <f>VLOOKUP(A78,'Diags Raw Data'!$A$12:$D$3703,4,FALSE)</f>
        <v>#N/A</v>
      </c>
      <c r="F78" s="402" t="str">
        <f>VLOOKUP(A78,'Feature Raw Data'!$A$3:$E$4000,5,FALSE)</f>
        <v>Legacy</v>
      </c>
      <c r="G78" s="327" t="s">
        <v>31</v>
      </c>
      <c r="H78" s="327" t="s">
        <v>36</v>
      </c>
      <c r="I78" s="400">
        <f>SUMIF('Diags Raw Data'!$A$12:$A$3703,"*"&amp;$A78&amp;"*",'Diags Raw Data'!$K$12:$K$3703)</f>
        <v>0</v>
      </c>
      <c r="J78" s="403">
        <f>SUMIF('Diags Raw Data'!$A$12:$A$3703,"*"&amp;$A78&amp;"*",'Diags Raw Data'!$L$12:$L$3703)</f>
        <v>0</v>
      </c>
      <c r="K78" s="432" cm="1">
        <f t="array" ref="K78">IF(D78="",0, SUMPRODUCT(--(ISNUMBER(SEARCH($A78,'Diags Raw Data'!$A$12:$A$3703))),'Diags Raw Data'!$L$12:$L$3703,'Diags Raw Data'!$N$12:$N$3703)/J78)</f>
        <v>0</v>
      </c>
      <c r="L78" s="433" cm="1">
        <f t="array" ref="L78">IF(D78="",0, SUMPRODUCT(--(ISNUMBER(SEARCH($A78,'Diags Raw Data'!$A$12:$A$3703))),'Diags Raw Data'!$L$12:$L$3703,'Diags Raw Data'!$P$12:$P$3703)/J78)</f>
        <v>0</v>
      </c>
      <c r="M78" s="434" cm="1">
        <f t="array" ref="M78">SUMPRODUCT(--(ISNUMBER(SEARCH($A78,'Diags Raw Data'!$A$12:$A$3703))),--('Diags Raw Data'!$Q$12:$Q$3703&lt;&gt;"N/A"),'Diags Raw Data'!$R$12:$R$3703)</f>
        <v>0</v>
      </c>
      <c r="N78" s="435" cm="1">
        <f t="array" ref="N78">SUMPRODUCT(--(ISNUMBER(SEARCH($A78,'Diags Raw Data'!$A$12:$A$3703))),--('Diags Raw Data'!$Q$12:$Q$3703&lt;&gt;"N/A"),'Diags Raw Data'!$T$12:$T$3703)+SUMPRODUCT(--(ISNUMBER(SEARCH($A78,'Diags Raw Data'!$A$12:$A$3703))),--('Diags Raw Data'!$Q$12:$Q$3703&lt;&gt;"N/A"),'Diags Raw Data'!$U$12:$U$3703)</f>
        <v>0</v>
      </c>
      <c r="O78" s="436">
        <f t="shared" ref="O78:O82" si="96">IF((M78=0),0,N78/M78)</f>
        <v>0</v>
      </c>
      <c r="P78" s="437">
        <f>SUMIF('Diags Raw Data'!$A$12:$A$3703,"*"&amp;$A78&amp;"*",'Diags Raw Data'!$Z$12:$Z$3703)</f>
        <v>0</v>
      </c>
      <c r="Q78" s="438">
        <f>SUM(SUMIF('Diags Raw Data'!$A$12:$A$3703,"*"&amp;$A78&amp;"*",'Diags Raw Data'!$AA$12:$AA$3703),SUMIF('Diags Raw Data'!$A$12:$A$3703,"*"&amp;$A78&amp;"*",'Diags Raw Data'!$AB$12:$AB$3703))</f>
        <v>0</v>
      </c>
      <c r="R78" s="439">
        <f>IF((J78=0),0,P78/J78)</f>
        <v>0</v>
      </c>
      <c r="S78" s="439">
        <f t="shared" ref="S78" si="97">IF((P78=0),0,Q78/P78)</f>
        <v>0</v>
      </c>
      <c r="T78" s="440">
        <f t="shared" ref="T78" si="98">R78*S78</f>
        <v>0</v>
      </c>
      <c r="U78" s="407"/>
    </row>
    <row r="79" spans="1:26" ht="15.75" thickBot="1" x14ac:dyDescent="0.3">
      <c r="A79" s="399" t="s">
        <v>327</v>
      </c>
      <c r="B79" s="404" t="str">
        <f>VLOOKUP(A79,'Feature Raw Data'!$A$3:$B$4000,2,FALSE)</f>
        <v>PPT control</v>
      </c>
      <c r="C79" s="400" t="str">
        <f>VLOOKUP(A79,'Feature Raw Data'!$A$3:$C$4209,3,FALSE)</f>
        <v>P1</v>
      </c>
      <c r="D79" s="401" t="str" cm="1">
        <f t="array" ref="D79">_xlfn.TEXTJOIN("",TRUE,IF(ISNUMBER(SEARCH($A79,'Diags Raw Data'!$A$6:$A$3703)),CONCATENATE('Diags Raw Data'!$H$6:$H$3703,", "),""))</f>
        <v xml:space="preserve">PM80.12, </v>
      </c>
      <c r="E79" s="327" t="str">
        <f>VLOOKUP(A79,'Diags Raw Data'!$A$12:$D$3703,4,FALSE)</f>
        <v>PMM</v>
      </c>
      <c r="F79" s="402" t="str">
        <f>VLOOKUP(A79,'Feature Raw Data'!$A$3:$E$4000,5,FALSE)</f>
        <v>Delta</v>
      </c>
      <c r="G79" s="327" t="s">
        <v>31</v>
      </c>
      <c r="H79" s="327" t="s">
        <v>31</v>
      </c>
      <c r="I79" s="400">
        <f>SUMIF('Diags Raw Data'!$A$12:$A$3703,"*"&amp;$A79&amp;"*",'Diags Raw Data'!$K$12:$K$3703)</f>
        <v>1</v>
      </c>
      <c r="J79" s="403">
        <f>SUMIF('Diags Raw Data'!$A$12:$A$3703,"*"&amp;$A79&amp;"*",'Diags Raw Data'!$L$12:$L$3703)</f>
        <v>1</v>
      </c>
      <c r="K79" s="432" cm="1">
        <f t="array" ref="K79">IF(D79="",0, SUMPRODUCT(--(ISNUMBER(SEARCH($A79,'Diags Raw Data'!$A$12:$A$3703))),'Diags Raw Data'!$L$12:$L$3703,'Diags Raw Data'!$N$12:$N$3703)/J79)</f>
        <v>1</v>
      </c>
      <c r="L79" s="433" cm="1">
        <f t="array" ref="L79">IF(D79="",0, SUMPRODUCT(--(ISNUMBER(SEARCH($A79,'Diags Raw Data'!$A$12:$A$3703))),'Diags Raw Data'!$L$12:$L$3703,'Diags Raw Data'!$P$12:$P$3703)/J79)</f>
        <v>1</v>
      </c>
      <c r="M79" s="434" cm="1">
        <f t="array" ref="M79">SUMPRODUCT(--(ISNUMBER(SEARCH($A79,'Diags Raw Data'!$A$12:$A$3703))),--('Diags Raw Data'!$Q$12:$Q$3703&lt;&gt;"N/A"),'Diags Raw Data'!$R$12:$R$3703)</f>
        <v>1</v>
      </c>
      <c r="N79" s="435" cm="1">
        <f t="array" ref="N79">SUMPRODUCT(--(ISNUMBER(SEARCH($A79,'Diags Raw Data'!$A$12:$A$3703))),--('Diags Raw Data'!$Q$12:$Q$3703&lt;&gt;"N/A"),'Diags Raw Data'!$T$12:$T$3703)+SUMPRODUCT(--(ISNUMBER(SEARCH($A79,'Diags Raw Data'!$A$12:$A$3703))),--('Diags Raw Data'!$Q$12:$Q$3703&lt;&gt;"N/A"),'Diags Raw Data'!$U$12:$U$3703)</f>
        <v>1</v>
      </c>
      <c r="O79" s="436">
        <f t="shared" si="96"/>
        <v>1</v>
      </c>
      <c r="P79" s="437">
        <f>SUMIF('Diags Raw Data'!$A$12:$A$3703,"*"&amp;$A79&amp;"*",'Diags Raw Data'!$Z$12:$Z$3703)</f>
        <v>0</v>
      </c>
      <c r="Q79" s="438">
        <f>SUM(SUMIF('Diags Raw Data'!$A$12:$A$3703,"*"&amp;$A79&amp;"*",'Diags Raw Data'!$AA$12:$AA$3703),SUMIF('Diags Raw Data'!$A$12:$A$3703,"*"&amp;$A79&amp;"*",'Diags Raw Data'!$AB$12:$AB$3703))</f>
        <v>0</v>
      </c>
      <c r="R79" s="439">
        <f>IF((J79=0),0,P79/J79)</f>
        <v>0</v>
      </c>
      <c r="S79" s="439">
        <f t="shared" si="80"/>
        <v>0</v>
      </c>
      <c r="T79" s="440">
        <f t="shared" si="81"/>
        <v>0</v>
      </c>
      <c r="U79" s="407" t="s">
        <v>103</v>
      </c>
      <c r="Z79" s="178">
        <v>1</v>
      </c>
    </row>
    <row r="80" spans="1:26" ht="30.75" thickBot="1" x14ac:dyDescent="0.3">
      <c r="A80" s="399" t="s">
        <v>406</v>
      </c>
      <c r="B80" s="404" t="str">
        <f>VLOOKUP(A80,'Feature Raw Data'!$A$3:$B$4000,2,FALSE)</f>
        <v>Temperature tracking and Control/Thermal Throttling</v>
      </c>
      <c r="C80" s="400" t="str">
        <f>VLOOKUP(A80,'Feature Raw Data'!$A$3:$C$4209,3,FALSE)</f>
        <v>P1</v>
      </c>
      <c r="D80" s="401" t="str" cm="1">
        <f t="array" ref="D80">_xlfn.TEXTJOIN("",TRUE,IF(ISNUMBER(SEARCH($A80,'Diags Raw Data'!$A$6:$A$3703)),CONCATENATE('Diags Raw Data'!$H$6:$H$3703,", "),""))</f>
        <v xml:space="preserve">PM80.12, </v>
      </c>
      <c r="E80" s="327" t="str">
        <f>VLOOKUP(A80,'Diags Raw Data'!$A$12:$D$3703,4,FALSE)</f>
        <v>PMM</v>
      </c>
      <c r="F80" s="402" t="str">
        <f>VLOOKUP(A80,'Feature Raw Data'!$A$3:$E$4000,5,FALSE)</f>
        <v>Legacy</v>
      </c>
      <c r="G80" s="327" t="s">
        <v>31</v>
      </c>
      <c r="H80" s="327" t="s">
        <v>31</v>
      </c>
      <c r="I80" s="400">
        <f>SUMIF('Diags Raw Data'!$A$12:$A$3703,"*"&amp;$A80&amp;"*",'Diags Raw Data'!$K$12:$K$3703)</f>
        <v>1</v>
      </c>
      <c r="J80" s="403">
        <f>SUMIF('Diags Raw Data'!$A$12:$A$3703,"*"&amp;$A80&amp;"*",'Diags Raw Data'!$L$12:$L$3703)</f>
        <v>1</v>
      </c>
      <c r="K80" s="432" cm="1">
        <f t="array" ref="K80">IF(D80="",0, SUMPRODUCT(--(ISNUMBER(SEARCH($A80,'Diags Raw Data'!$A$12:$A$3703))),'Diags Raw Data'!$L$12:$L$3703,'Diags Raw Data'!$N$12:$N$3703)/J80)</f>
        <v>1</v>
      </c>
      <c r="L80" s="433" cm="1">
        <f t="array" ref="L80">IF(D80="",0, SUMPRODUCT(--(ISNUMBER(SEARCH($A80,'Diags Raw Data'!$A$12:$A$3703))),'Diags Raw Data'!$L$12:$L$3703,'Diags Raw Data'!$P$12:$P$3703)/J80)</f>
        <v>1</v>
      </c>
      <c r="M80" s="434" cm="1">
        <f t="array" ref="M80">SUMPRODUCT(--(ISNUMBER(SEARCH($A80,'Diags Raw Data'!$A$12:$A$3703))),--('Diags Raw Data'!$Q$12:$Q$3703&lt;&gt;"N/A"),'Diags Raw Data'!$R$12:$R$3703)</f>
        <v>1</v>
      </c>
      <c r="N80" s="435" cm="1">
        <f t="array" ref="N80">SUMPRODUCT(--(ISNUMBER(SEARCH($A80,'Diags Raw Data'!$A$12:$A$3703))),--('Diags Raw Data'!$Q$12:$Q$3703&lt;&gt;"N/A"),'Diags Raw Data'!$T$12:$T$3703)+SUMPRODUCT(--(ISNUMBER(SEARCH($A80,'Diags Raw Data'!$A$12:$A$3703))),--('Diags Raw Data'!$Q$12:$Q$3703&lt;&gt;"N/A"),'Diags Raw Data'!$U$12:$U$3703)</f>
        <v>1</v>
      </c>
      <c r="O80" s="436">
        <f t="shared" si="96"/>
        <v>1</v>
      </c>
      <c r="P80" s="437">
        <f>SUMIF('Diags Raw Data'!$A$12:$A$3703,"*"&amp;$A80&amp;"*",'Diags Raw Data'!$Z$12:$Z$3703)</f>
        <v>0</v>
      </c>
      <c r="Q80" s="438">
        <f>SUM(SUMIF('Diags Raw Data'!$A$12:$A$3703,"*"&amp;$A80&amp;"*",'Diags Raw Data'!$AA$12:$AA$3703),SUMIF('Diags Raw Data'!$A$12:$A$3703,"*"&amp;$A80&amp;"*",'Diags Raw Data'!$AB$12:$AB$3703))</f>
        <v>0</v>
      </c>
      <c r="R80" s="439">
        <f t="shared" si="79"/>
        <v>0</v>
      </c>
      <c r="S80" s="439">
        <f t="shared" si="80"/>
        <v>0</v>
      </c>
      <c r="T80" s="440">
        <f t="shared" si="81"/>
        <v>0</v>
      </c>
      <c r="U80" s="407" t="s">
        <v>623</v>
      </c>
    </row>
    <row r="81" spans="1:22" ht="15.75" thickBot="1" x14ac:dyDescent="0.3">
      <c r="A81" s="399" t="s">
        <v>315</v>
      </c>
      <c r="B81" s="404" t="str">
        <f>VLOOKUP(A81,'Feature Raw Data'!$A$3:$B$4000,2,FALSE)</f>
        <v>GFX IMU Interaction</v>
      </c>
      <c r="C81" s="400" t="str">
        <f>VLOOKUP(A81,'Feature Raw Data'!$A$3:$C$4209,3,FALSE)</f>
        <v>P1</v>
      </c>
      <c r="D81" s="401" t="str" cm="1">
        <f t="array" ref="D81">_xlfn.TEXTJOIN("",TRUE,IF(ISNUMBER(SEARCH($A81,'Diags Raw Data'!$A$6:$A$3703)),CONCATENATE('Diags Raw Data'!$H$6:$H$3703,", "),""))</f>
        <v xml:space="preserve">PM80.12, pm80.12, </v>
      </c>
      <c r="E81" s="327" t="str">
        <f>VLOOKUP(A81,'Diags Raw Data'!$A$12:$D$3703,4,FALSE)</f>
        <v>PMM</v>
      </c>
      <c r="F81" s="402" t="str">
        <f>VLOOKUP(A81,'Feature Raw Data'!$A$3:$E$4000,5,FALSE)</f>
        <v>Legacy</v>
      </c>
      <c r="G81" s="327" t="s">
        <v>31</v>
      </c>
      <c r="H81" s="327" t="s">
        <v>31</v>
      </c>
      <c r="I81" s="400">
        <f>SUMIF('Diags Raw Data'!$A$12:$A$3703,"*"&amp;$A81&amp;"*",'Diags Raw Data'!$K$12:$K$3703)</f>
        <v>2</v>
      </c>
      <c r="J81" s="403">
        <f>SUMIF('Diags Raw Data'!$A$12:$A$3703,"*"&amp;$A81&amp;"*",'Diags Raw Data'!$L$12:$L$3703)</f>
        <v>2</v>
      </c>
      <c r="K81" s="432" cm="1">
        <f t="array" ref="K81">IF(D81="",0, SUMPRODUCT(--(ISNUMBER(SEARCH($A81,'Diags Raw Data'!$A$12:$A$3703))),'Diags Raw Data'!$L$12:$L$3703,'Diags Raw Data'!$N$12:$N$3703)/J81)</f>
        <v>1</v>
      </c>
      <c r="L81" s="433" cm="1">
        <f t="array" ref="L81">IF(D81="",0, SUMPRODUCT(--(ISNUMBER(SEARCH($A81,'Diags Raw Data'!$A$12:$A$3703))),'Diags Raw Data'!$L$12:$L$3703,'Diags Raw Data'!$P$12:$P$3703)/J81)</f>
        <v>1</v>
      </c>
      <c r="M81" s="434" cm="1">
        <f t="array" ref="M81">SUMPRODUCT(--(ISNUMBER(SEARCH($A81,'Diags Raw Data'!$A$12:$A$3703))),--('Diags Raw Data'!$Q$12:$Q$3703&lt;&gt;"N/A"),'Diags Raw Data'!$R$12:$R$3703)</f>
        <v>2</v>
      </c>
      <c r="N81" s="435" cm="1">
        <f t="array" ref="N81">SUMPRODUCT(--(ISNUMBER(SEARCH($A81,'Diags Raw Data'!$A$12:$A$3703))),--('Diags Raw Data'!$Q$12:$Q$3703&lt;&gt;"N/A"),'Diags Raw Data'!$T$12:$T$3703)+SUMPRODUCT(--(ISNUMBER(SEARCH($A81,'Diags Raw Data'!$A$12:$A$3703))),--('Diags Raw Data'!$Q$12:$Q$3703&lt;&gt;"N/A"),'Diags Raw Data'!$U$12:$U$3703)</f>
        <v>2</v>
      </c>
      <c r="O81" s="436">
        <f t="shared" si="96"/>
        <v>1</v>
      </c>
      <c r="P81" s="437">
        <f>SUMIF('Diags Raw Data'!$A$12:$A$3703,"*"&amp;$A81&amp;"*",'Diags Raw Data'!$Z$12:$Z$3703)</f>
        <v>0</v>
      </c>
      <c r="Q81" s="438">
        <f>SUM(SUMIF('Diags Raw Data'!$A$12:$A$3703,"*"&amp;$A81&amp;"*",'Diags Raw Data'!$AA$12:$AA$3703),SUMIF('Diags Raw Data'!$A$12:$A$3703,"*"&amp;$A81&amp;"*",'Diags Raw Data'!$AB$12:$AB$3703))</f>
        <v>0</v>
      </c>
      <c r="R81" s="439">
        <f>IF((J81=0),0,P81/J81)</f>
        <v>0</v>
      </c>
      <c r="S81" s="439">
        <f>IF((P81=0),0,Q81/P81)</f>
        <v>0</v>
      </c>
      <c r="T81" s="440">
        <f>R81*S81</f>
        <v>0</v>
      </c>
      <c r="U81" s="407" t="s">
        <v>622</v>
      </c>
    </row>
    <row r="82" spans="1:22" ht="15.75" hidden="1" thickBot="1" x14ac:dyDescent="0.3">
      <c r="A82" s="399" t="s">
        <v>554</v>
      </c>
      <c r="B82" s="404" t="str">
        <f>VLOOKUP(A82,'Feature Raw Data'!$A$3:$B$4000,2,FALSE)</f>
        <v>TDC control</v>
      </c>
      <c r="C82" s="400" t="str">
        <f>VLOOKUP(A82,'Feature Raw Data'!$A$3:$C$4209,3,FALSE)</f>
        <v>P3</v>
      </c>
      <c r="D82" s="401" t="str" cm="1">
        <f t="array" ref="D82">_xlfn.TEXTJOIN("",TRUE,IF(ISNUMBER(SEARCH($A82,'Diags Raw Data'!$A$12:$A$3703)),CONCATENATE('Diags Raw Data'!$H$12:$H$3703,", "),""))</f>
        <v/>
      </c>
      <c r="E82" s="327" t="e">
        <f>VLOOKUP(A82,'Diags Raw Data'!$A$12:$D$3703,4,FALSE)</f>
        <v>#N/A</v>
      </c>
      <c r="F82" s="402" t="str">
        <f>VLOOKUP(A82,'Feature Raw Data'!$A$3:$E$4000,5,FALSE)</f>
        <v>Legacy</v>
      </c>
      <c r="G82" s="327" t="s">
        <v>31</v>
      </c>
      <c r="H82" s="455" t="s">
        <v>36</v>
      </c>
      <c r="I82" s="400">
        <f>SUMIF('Diags Raw Data'!$A$12:$A$3703,"*"&amp;$A82&amp;"*",'Diags Raw Data'!$K$12:$K$3703)</f>
        <v>0</v>
      </c>
      <c r="J82" s="403">
        <f>SUMIF('Diags Raw Data'!$A$12:$A$3703,"*"&amp;$A82&amp;"*",'Diags Raw Data'!$L$12:$L$3703)</f>
        <v>0</v>
      </c>
      <c r="K82" s="432" cm="1">
        <f t="array" ref="K82">IF(D82="",0, SUMPRODUCT(--(ISNUMBER(SEARCH($A82,'Diags Raw Data'!$A$12:$A$3703))),'Diags Raw Data'!$L$12:$L$3703,'Diags Raw Data'!$N$12:$N$3703)/J82)</f>
        <v>0</v>
      </c>
      <c r="L82" s="433" cm="1">
        <f t="array" ref="L82">IF(D82="",0, SUMPRODUCT(--(ISNUMBER(SEARCH($A82,'Diags Raw Data'!$A$12:$A$3703))),'Diags Raw Data'!$L$12:$L$3703,'Diags Raw Data'!$P$12:$P$3703)/J82)</f>
        <v>0</v>
      </c>
      <c r="M82" s="434" cm="1">
        <f t="array" ref="M82">SUMPRODUCT(--(ISNUMBER(SEARCH($A82,'Diags Raw Data'!$A$12:$A$3703))),--('Diags Raw Data'!$Q$12:$Q$3703&lt;&gt;"N/A"),'Diags Raw Data'!$R$12:$R$3703)</f>
        <v>0</v>
      </c>
      <c r="N82" s="435" cm="1">
        <f t="array" ref="N82">SUMPRODUCT(--(ISNUMBER(SEARCH($A82,'Diags Raw Data'!$A$12:$A$3703))),--('Diags Raw Data'!$Q$12:$Q$3703&lt;&gt;"N/A"),'Diags Raw Data'!$T$12:$T$3703)+SUMPRODUCT(--(ISNUMBER(SEARCH($A82,'Diags Raw Data'!$A$12:$A$3703))),--('Diags Raw Data'!$Q$12:$Q$3703&lt;&gt;"N/A"),'Diags Raw Data'!$U$12:$U$3703)</f>
        <v>0</v>
      </c>
      <c r="O82" s="436">
        <f t="shared" si="96"/>
        <v>0</v>
      </c>
      <c r="P82" s="437">
        <f>SUMIF('Diags Raw Data'!$A$12:$A$3703,"*"&amp;$A82&amp;"*",'Diags Raw Data'!$Z$12:$Z$3703)</f>
        <v>0</v>
      </c>
      <c r="Q82" s="438">
        <f>SUM(SUMIF('Diags Raw Data'!$A$12:$A$3703,"*"&amp;$A82&amp;"*",'Diags Raw Data'!$AA$12:$AA$3703),SUMIF('Diags Raw Data'!$A$12:$A$3703,"*"&amp;$A82&amp;"*",'Diags Raw Data'!$AB$12:$AB$3703))</f>
        <v>0</v>
      </c>
      <c r="R82" s="439">
        <f>IF((J82=0),0,P82/J82)</f>
        <v>0</v>
      </c>
      <c r="S82" s="439">
        <f>IF((P82=0),0,Q82/P82)</f>
        <v>0</v>
      </c>
      <c r="T82" s="440">
        <f>R82*S82</f>
        <v>0</v>
      </c>
      <c r="U82" s="407"/>
    </row>
    <row r="83" spans="1:22" ht="15.75" hidden="1" thickBot="1" x14ac:dyDescent="0.3">
      <c r="A83" s="399" t="s">
        <v>556</v>
      </c>
      <c r="B83" s="404" t="str">
        <f>VLOOKUP(A83,'Feature Raw Data'!$A$3:$B$4000,2,FALSE)</f>
        <v>GFX/SOC FIT</v>
      </c>
      <c r="C83" s="400" t="str">
        <f>VLOOKUP(A83,'Feature Raw Data'!$A$3:$C$4209,3,FALSE)</f>
        <v>P1</v>
      </c>
      <c r="D83" s="401" t="str" cm="1">
        <f t="array" ref="D83">_xlfn.TEXTJOIN("",TRUE,IF(ISNUMBER(SEARCH($A83,'Diags Raw Data'!$A$12:$A$3703)),CONCATENATE('Diags Raw Data'!$H$12:$H$3703,", "),""))</f>
        <v/>
      </c>
      <c r="E83" s="327" t="e">
        <f>VLOOKUP(A83,'Diags Raw Data'!$A$12:$D$3703,4,FALSE)</f>
        <v>#N/A</v>
      </c>
      <c r="F83" s="402" t="str">
        <f>VLOOKUP(A83,'Feature Raw Data'!$A$3:$E$4000,5,FALSE)</f>
        <v>Delta</v>
      </c>
      <c r="G83" s="327" t="s">
        <v>31</v>
      </c>
      <c r="H83" s="455" t="s">
        <v>36</v>
      </c>
      <c r="I83" s="400">
        <f>SUMIF('Diags Raw Data'!$A$12:$A$3703,"*"&amp;$A83&amp;"*",'Diags Raw Data'!$K$12:$K$3703)</f>
        <v>0</v>
      </c>
      <c r="J83" s="403">
        <f>SUMIF('Diags Raw Data'!$A$12:$A$3703,"*"&amp;$A83&amp;"*",'Diags Raw Data'!$L$12:$L$3703)</f>
        <v>0</v>
      </c>
      <c r="K83" s="432" cm="1">
        <f t="array" ref="K83">IF(D83="",0, SUMPRODUCT(--(ISNUMBER(SEARCH($A83,'Diags Raw Data'!$A$12:$A$3703))),'Diags Raw Data'!$L$12:$L$3703,'Diags Raw Data'!$N$12:$N$3703)/J83)</f>
        <v>0</v>
      </c>
      <c r="L83" s="433" cm="1">
        <f t="array" ref="L83">IF(D83="",0, SUMPRODUCT(--(ISNUMBER(SEARCH($A83,'Diags Raw Data'!$A$12:$A$3703))),'Diags Raw Data'!$L$12:$L$3703,'Diags Raw Data'!$P$12:$P$3703)/J83)</f>
        <v>0</v>
      </c>
      <c r="M83" s="434" cm="1">
        <f t="array" ref="M83">SUMPRODUCT(--(ISNUMBER(SEARCH($A83,'Diags Raw Data'!$A$12:$A$3703))),--('Diags Raw Data'!$Q$12:$Q$3703&lt;&gt;"N/A"),'Diags Raw Data'!$R$12:$R$3703)</f>
        <v>0</v>
      </c>
      <c r="N83" s="435" cm="1">
        <f t="array" ref="N83">SUMPRODUCT(--(ISNUMBER(SEARCH($A83,'Diags Raw Data'!$A$12:$A$3703))),--('Diags Raw Data'!$Q$12:$Q$3703&lt;&gt;"N/A"),'Diags Raw Data'!$T$12:$T$3703)+SUMPRODUCT(--(ISNUMBER(SEARCH($A83,'Diags Raw Data'!$A$12:$A$3703))),--('Diags Raw Data'!$Q$12:$Q$3703&lt;&gt;"N/A"),'Diags Raw Data'!$U$12:$U$3703)</f>
        <v>0</v>
      </c>
      <c r="O83" s="436">
        <f t="shared" si="78"/>
        <v>0</v>
      </c>
      <c r="P83" s="437">
        <f>SUMIF('Diags Raw Data'!$A$12:$A$3703,"*"&amp;$A83&amp;"*",'Diags Raw Data'!$Z$12:$Z$3703)</f>
        <v>0</v>
      </c>
      <c r="Q83" s="438">
        <f>SUM(SUMIF('Diags Raw Data'!$A$12:$A$3703,"*"&amp;$A83&amp;"*",'Diags Raw Data'!$AA$12:$AA$3703),SUMIF('Diags Raw Data'!$A$12:$A$3703,"*"&amp;$A83&amp;"*",'Diags Raw Data'!$AB$12:$AB$3703))</f>
        <v>0</v>
      </c>
      <c r="R83" s="439">
        <f t="shared" si="79"/>
        <v>0</v>
      </c>
      <c r="S83" s="439">
        <f t="shared" si="80"/>
        <v>0</v>
      </c>
      <c r="T83" s="440">
        <f t="shared" si="81"/>
        <v>0</v>
      </c>
      <c r="U83" s="407"/>
    </row>
    <row r="84" spans="1:22" ht="15.75" hidden="1" thickBot="1" x14ac:dyDescent="0.3">
      <c r="A84" s="399" t="s">
        <v>558</v>
      </c>
      <c r="B84" s="404" t="str">
        <f>VLOOKUP(A84,'Feature Raw Data'!$A$3:$B$4000,2,FALSE)</f>
        <v>Firmware CTF</v>
      </c>
      <c r="C84" s="400" t="str">
        <f>VLOOKUP(A84,'Feature Raw Data'!$A$3:$C$4209,3,FALSE)</f>
        <v>P3</v>
      </c>
      <c r="D84" s="401" t="str" cm="1">
        <f t="array" ref="D84">_xlfn.TEXTJOIN("",TRUE,IF(ISNUMBER(SEARCH($A84,'Diags Raw Data'!$A$12:$A$3703)),CONCATENATE('Diags Raw Data'!$H$12:$H$3703,", "),""))</f>
        <v/>
      </c>
      <c r="E84" s="327" t="e">
        <f>VLOOKUP(A84,'Diags Raw Data'!$A$12:$D$3703,4,FALSE)</f>
        <v>#N/A</v>
      </c>
      <c r="F84" s="402" t="str">
        <f>VLOOKUP(A84,'Feature Raw Data'!$A$3:$E$4000,5,FALSE)</f>
        <v>Legacy</v>
      </c>
      <c r="G84" s="327" t="s">
        <v>31</v>
      </c>
      <c r="H84" s="455" t="s">
        <v>36</v>
      </c>
      <c r="I84" s="400">
        <f>SUMIF('Diags Raw Data'!$A$12:$A$3703,"*"&amp;$A84&amp;"*",'Diags Raw Data'!$K$12:$K$3703)</f>
        <v>0</v>
      </c>
      <c r="J84" s="403">
        <f>SUMIF('Diags Raw Data'!$A$12:$A$3703,"*"&amp;$A84&amp;"*",'Diags Raw Data'!$L$12:$L$3703)</f>
        <v>0</v>
      </c>
      <c r="K84" s="432" cm="1">
        <f t="array" ref="K84">IF(D84="",0, SUMPRODUCT(--(ISNUMBER(SEARCH($A84,'Diags Raw Data'!$A$12:$A$3703))),'Diags Raw Data'!$L$12:$L$3703,'Diags Raw Data'!$N$12:$N$3703)/J84)</f>
        <v>0</v>
      </c>
      <c r="L84" s="433" cm="1">
        <f t="array" ref="L84">IF(D84="",0, SUMPRODUCT(--(ISNUMBER(SEARCH($A84,'Diags Raw Data'!$A$12:$A$3703))),'Diags Raw Data'!$L$12:$L$3703,'Diags Raw Data'!$P$12:$P$3703)/J84)</f>
        <v>0</v>
      </c>
      <c r="M84" s="434" cm="1">
        <f t="array" ref="M84">SUMPRODUCT(--(ISNUMBER(SEARCH($A84,'Diags Raw Data'!$A$12:$A$3703))),--('Diags Raw Data'!$Q$12:$Q$3703&lt;&gt;"N/A"),'Diags Raw Data'!$R$12:$R$3703)</f>
        <v>0</v>
      </c>
      <c r="N84" s="435" cm="1">
        <f t="array" ref="N84">SUMPRODUCT(--(ISNUMBER(SEARCH($A84,'Diags Raw Data'!$A$12:$A$3703))),--('Diags Raw Data'!$Q$12:$Q$3703&lt;&gt;"N/A"),'Diags Raw Data'!$T$12:$T$3703)+SUMPRODUCT(--(ISNUMBER(SEARCH($A84,'Diags Raw Data'!$A$12:$A$3703))),--('Diags Raw Data'!$Q$12:$Q$3703&lt;&gt;"N/A"),'Diags Raw Data'!$U$12:$U$3703)</f>
        <v>0</v>
      </c>
      <c r="O84" s="436">
        <f t="shared" ref="O84" si="99">IF((M84=0),0,N84/M84)</f>
        <v>0</v>
      </c>
      <c r="P84" s="437">
        <f>SUMIF('Diags Raw Data'!$A$12:$A$3703,"*"&amp;$A84&amp;"*",'Diags Raw Data'!$Z$12:$Z$3703)</f>
        <v>0</v>
      </c>
      <c r="Q84" s="438">
        <f>SUM(SUMIF('Diags Raw Data'!$A$12:$A$3703,"*"&amp;$A84&amp;"*",'Diags Raw Data'!$AA$12:$AA$3703),SUMIF('Diags Raw Data'!$A$12:$A$3703,"*"&amp;$A84&amp;"*",'Diags Raw Data'!$AB$12:$AB$3703))</f>
        <v>0</v>
      </c>
      <c r="R84" s="439">
        <f t="shared" ref="R84" si="100">IF((J84=0),0,P84/J84)</f>
        <v>0</v>
      </c>
      <c r="S84" s="439">
        <f t="shared" ref="S84" si="101">IF((P84=0),0,Q84/P84)</f>
        <v>0</v>
      </c>
      <c r="T84" s="440">
        <f t="shared" ref="T84" si="102">R84*S84</f>
        <v>0</v>
      </c>
      <c r="U84" s="407"/>
    </row>
    <row r="85" spans="1:22" ht="15.75" hidden="1" thickBot="1" x14ac:dyDescent="0.3">
      <c r="A85" s="399" t="s">
        <v>560</v>
      </c>
      <c r="B85" s="404" t="str">
        <f>VLOOKUP(A85,'Feature Raw Data'!$A$3:$B$4000,2,FALSE)</f>
        <v>SW CTF</v>
      </c>
      <c r="C85" s="400" t="str">
        <f>VLOOKUP(A85,'Feature Raw Data'!$A$3:$C$4209,3,FALSE)</f>
        <v>P3</v>
      </c>
      <c r="D85" s="401" t="str" cm="1">
        <f t="array" ref="D85">_xlfn.TEXTJOIN("",TRUE,IF(ISNUMBER(SEARCH($A85,'Diags Raw Data'!$A$12:$A$3703)),CONCATENATE('Diags Raw Data'!$H$12:$H$3703,", "),""))</f>
        <v/>
      </c>
      <c r="E85" s="327" t="e">
        <f>VLOOKUP(A85,'Diags Raw Data'!$A$12:$D$3703,4,FALSE)</f>
        <v>#N/A</v>
      </c>
      <c r="F85" s="402" t="str">
        <f>VLOOKUP(A85,'Feature Raw Data'!$A$3:$E$4000,5,FALSE)</f>
        <v>Legacy</v>
      </c>
      <c r="G85" s="327" t="s">
        <v>31</v>
      </c>
      <c r="H85" s="455" t="s">
        <v>36</v>
      </c>
      <c r="I85" s="400">
        <f>SUMIF('Diags Raw Data'!$A$12:$A$3703,"*"&amp;$A85&amp;"*",'Diags Raw Data'!$K$12:$K$3703)</f>
        <v>0</v>
      </c>
      <c r="J85" s="403">
        <f>SUMIF('Diags Raw Data'!$A$12:$A$3703,"*"&amp;$A85&amp;"*",'Diags Raw Data'!$L$12:$L$3703)</f>
        <v>0</v>
      </c>
      <c r="K85" s="432" cm="1">
        <f t="array" ref="K85">IF(D85="",0, SUMPRODUCT(--(ISNUMBER(SEARCH($A85,'Diags Raw Data'!$A$12:$A$3703))),'Diags Raw Data'!$L$12:$L$3703,'Diags Raw Data'!$N$12:$N$3703)/J85)</f>
        <v>0</v>
      </c>
      <c r="L85" s="433" cm="1">
        <f t="array" ref="L85">IF(D85="",0, SUMPRODUCT(--(ISNUMBER(SEARCH($A85,'Diags Raw Data'!$A$12:$A$3703))),'Diags Raw Data'!$L$12:$L$3703,'Diags Raw Data'!$P$12:$P$3703)/J85)</f>
        <v>0</v>
      </c>
      <c r="M85" s="434" cm="1">
        <f t="array" ref="M85">SUMPRODUCT(--(ISNUMBER(SEARCH($A85,'Diags Raw Data'!$A$12:$A$3703))),--('Diags Raw Data'!$Q$12:$Q$3703&lt;&gt;"N/A"),'Diags Raw Data'!$R$12:$R$3703)</f>
        <v>0</v>
      </c>
      <c r="N85" s="435" cm="1">
        <f t="array" ref="N85">SUMPRODUCT(--(ISNUMBER(SEARCH($A85,'Diags Raw Data'!$A$12:$A$3703))),--('Diags Raw Data'!$Q$12:$Q$3703&lt;&gt;"N/A"),'Diags Raw Data'!$T$12:$T$3703)+SUMPRODUCT(--(ISNUMBER(SEARCH($A85,'Diags Raw Data'!$A$12:$A$3703))),--('Diags Raw Data'!$Q$12:$Q$3703&lt;&gt;"N/A"),'Diags Raw Data'!$U$12:$U$3703)</f>
        <v>0</v>
      </c>
      <c r="O85" s="436">
        <f t="shared" si="78"/>
        <v>0</v>
      </c>
      <c r="P85" s="437">
        <f>SUMIF('Diags Raw Data'!$A$12:$A$3703,"*"&amp;$A85&amp;"*",'Diags Raw Data'!$Z$12:$Z$3703)</f>
        <v>0</v>
      </c>
      <c r="Q85" s="438">
        <f>SUM(SUMIF('Diags Raw Data'!$A$12:$A$3703,"*"&amp;$A85&amp;"*",'Diags Raw Data'!$AA$12:$AA$3703),SUMIF('Diags Raw Data'!$A$12:$A$3703,"*"&amp;$A85&amp;"*",'Diags Raw Data'!$AB$12:$AB$3703))</f>
        <v>0</v>
      </c>
      <c r="R85" s="439">
        <f t="shared" si="79"/>
        <v>0</v>
      </c>
      <c r="S85" s="439">
        <f t="shared" si="80"/>
        <v>0</v>
      </c>
      <c r="T85" s="440">
        <f t="shared" si="81"/>
        <v>0</v>
      </c>
      <c r="U85" s="407"/>
    </row>
    <row r="86" spans="1:22" ht="15.75" hidden="1" thickBot="1" x14ac:dyDescent="0.3">
      <c r="A86" s="399" t="s">
        <v>562</v>
      </c>
      <c r="B86" s="404" t="str">
        <f>VLOOKUP(A86,'Feature Raw Data'!$A$3:$B$4000,2,FALSE)</f>
        <v>VRHOT</v>
      </c>
      <c r="C86" s="400" t="str">
        <f>VLOOKUP(A86,'Feature Raw Data'!$A$3:$C$4209,3,FALSE)</f>
        <v>P3</v>
      </c>
      <c r="D86" s="401" t="str" cm="1">
        <f t="array" ref="D86">_xlfn.TEXTJOIN("",TRUE,IF(ISNUMBER(SEARCH($A86,'Diags Raw Data'!$A$12:$A$3703)),CONCATENATE('Diags Raw Data'!$H$12:$H$3703,", "),""))</f>
        <v/>
      </c>
      <c r="E86" s="327" t="e">
        <f>VLOOKUP(A86,'Diags Raw Data'!$A$12:$D$3703,4,FALSE)</f>
        <v>#N/A</v>
      </c>
      <c r="F86" s="402" t="str">
        <f>VLOOKUP(A86,'Feature Raw Data'!$A$3:$E$4000,5,FALSE)</f>
        <v>Legacy</v>
      </c>
      <c r="G86" s="327" t="s">
        <v>31</v>
      </c>
      <c r="H86" s="455" t="s">
        <v>36</v>
      </c>
      <c r="I86" s="400">
        <f>SUMIF('Diags Raw Data'!$A$12:$A$3703,"*"&amp;$A86&amp;"*",'Diags Raw Data'!$K$12:$K$3703)</f>
        <v>0</v>
      </c>
      <c r="J86" s="403">
        <f>SUMIF('Diags Raw Data'!$A$12:$A$3703,"*"&amp;$A86&amp;"*",'Diags Raw Data'!$L$12:$L$3703)</f>
        <v>0</v>
      </c>
      <c r="K86" s="432" cm="1">
        <f t="array" ref="K86">IF(D86="",0, SUMPRODUCT(--(ISNUMBER(SEARCH($A86,'Diags Raw Data'!$A$12:$A$3703))),'Diags Raw Data'!$L$12:$L$3703,'Diags Raw Data'!$N$12:$N$3703)/J86)</f>
        <v>0</v>
      </c>
      <c r="L86" s="433" cm="1">
        <f t="array" ref="L86">IF(D86="",0, SUMPRODUCT(--(ISNUMBER(SEARCH($A86,'Diags Raw Data'!$A$12:$A$3703))),'Diags Raw Data'!$L$12:$L$3703,'Diags Raw Data'!$P$12:$P$3703)/J86)</f>
        <v>0</v>
      </c>
      <c r="M86" s="434" cm="1">
        <f t="array" ref="M86">SUMPRODUCT(--(ISNUMBER(SEARCH($A86,'Diags Raw Data'!$A$12:$A$3703))),--('Diags Raw Data'!$Q$12:$Q$3703&lt;&gt;"N/A"),'Diags Raw Data'!$R$12:$R$3703)</f>
        <v>0</v>
      </c>
      <c r="N86" s="435" cm="1">
        <f t="array" ref="N86">SUMPRODUCT(--(ISNUMBER(SEARCH($A86,'Diags Raw Data'!$A$12:$A$3703))),--('Diags Raw Data'!$Q$12:$Q$3703&lt;&gt;"N/A"),'Diags Raw Data'!$T$12:$T$3703)+SUMPRODUCT(--(ISNUMBER(SEARCH($A86,'Diags Raw Data'!$A$12:$A$3703))),--('Diags Raw Data'!$Q$12:$Q$3703&lt;&gt;"N/A"),'Diags Raw Data'!$U$12:$U$3703)</f>
        <v>0</v>
      </c>
      <c r="O86" s="436">
        <f>IF((M86=0),0,N86/M86)</f>
        <v>0</v>
      </c>
      <c r="P86" s="437">
        <f>SUMIF('Diags Raw Data'!$A$12:$A$3703,"*"&amp;$A86&amp;"*",'Diags Raw Data'!$Z$12:$Z$3703)</f>
        <v>0</v>
      </c>
      <c r="Q86" s="438">
        <f>SUM(SUMIF('Diags Raw Data'!$A$12:$A$3703,"*"&amp;$A86&amp;"*",'Diags Raw Data'!$AA$12:$AA$3703),SUMIF('Diags Raw Data'!$A$12:$A$3703,"*"&amp;$A86&amp;"*",'Diags Raw Data'!$AB$12:$AB$3703))</f>
        <v>0</v>
      </c>
      <c r="R86" s="439">
        <f>IF((J86=0),0,P86/J86)</f>
        <v>0</v>
      </c>
      <c r="S86" s="439">
        <f t="shared" si="80"/>
        <v>0</v>
      </c>
      <c r="T86" s="440">
        <f t="shared" si="81"/>
        <v>0</v>
      </c>
      <c r="U86" s="407"/>
    </row>
    <row r="87" spans="1:22" ht="15.75" hidden="1" thickBot="1" x14ac:dyDescent="0.3">
      <c r="A87" s="399" t="s">
        <v>564</v>
      </c>
      <c r="B87" s="404" t="str">
        <f>VLOOKUP(A87,'Feature Raw Data'!$A$3:$B$4000,2,FALSE)</f>
        <v>MP1 Whisper Mode</v>
      </c>
      <c r="C87" s="400" t="str">
        <f>VLOOKUP(A87,'Feature Raw Data'!$A$3:$C$4209,3,FALSE)</f>
        <v>P3</v>
      </c>
      <c r="D87" s="401" t="str" cm="1">
        <f t="array" ref="D87">_xlfn.TEXTJOIN("",TRUE,IF(ISNUMBER(SEARCH($A87,'Diags Raw Data'!$A$12:$A$3703)),CONCATENATE('Diags Raw Data'!$H$12:$H$3703,", "),""))</f>
        <v/>
      </c>
      <c r="E87" s="327" t="e">
        <f>VLOOKUP(A87,'Diags Raw Data'!$A$12:$D$3703,4,FALSE)</f>
        <v>#N/A</v>
      </c>
      <c r="F87" s="402" t="str">
        <f>VLOOKUP(A87,'Feature Raw Data'!$A$3:$E$4000,5,FALSE)</f>
        <v>Legacy</v>
      </c>
      <c r="G87" s="327" t="s">
        <v>31</v>
      </c>
      <c r="H87" s="455" t="s">
        <v>36</v>
      </c>
      <c r="I87" s="400">
        <f>SUMIF('Diags Raw Data'!$A$12:$A$3703,"*"&amp;$A87&amp;"*",'Diags Raw Data'!$K$12:$K$3703)</f>
        <v>0</v>
      </c>
      <c r="J87" s="403">
        <f>SUMIF('Diags Raw Data'!$A$12:$A$3703,"*"&amp;$A87&amp;"*",'Diags Raw Data'!$L$12:$L$3703)</f>
        <v>0</v>
      </c>
      <c r="K87" s="432" cm="1">
        <f t="array" ref="K87">IF(D87="",0, SUMPRODUCT(--(ISNUMBER(SEARCH($A87,'Diags Raw Data'!$A$12:$A$3703))),'Diags Raw Data'!$L$12:$L$3703,'Diags Raw Data'!$N$12:$N$3703)/J87)</f>
        <v>0</v>
      </c>
      <c r="L87" s="433" cm="1">
        <f t="array" ref="L87">IF(D87="",0, SUMPRODUCT(--(ISNUMBER(SEARCH($A87,'Diags Raw Data'!$A$12:$A$3703))),'Diags Raw Data'!$L$12:$L$3703,'Diags Raw Data'!$P$12:$P$3703)/J87)</f>
        <v>0</v>
      </c>
      <c r="M87" s="434" cm="1">
        <f t="array" ref="M87">SUMPRODUCT(--(ISNUMBER(SEARCH($A87,'Diags Raw Data'!$A$12:$A$3703))),--('Diags Raw Data'!$Q$12:$Q$3703&lt;&gt;"N/A"),'Diags Raw Data'!$R$12:$R$3703)</f>
        <v>0</v>
      </c>
      <c r="N87" s="435" cm="1">
        <f t="array" ref="N87">SUMPRODUCT(--(ISNUMBER(SEARCH($A87,'Diags Raw Data'!$A$12:$A$3703))),--('Diags Raw Data'!$Q$12:$Q$3703&lt;&gt;"N/A"),'Diags Raw Data'!$T$12:$T$3703)+SUMPRODUCT(--(ISNUMBER(SEARCH($A87,'Diags Raw Data'!$A$12:$A$3703))),--('Diags Raw Data'!$Q$12:$Q$3703&lt;&gt;"N/A"),'Diags Raw Data'!$U$12:$U$3703)</f>
        <v>0</v>
      </c>
      <c r="O87" s="436">
        <f>IF((M87=0),0,N87/M87)</f>
        <v>0</v>
      </c>
      <c r="P87" s="437">
        <f>SUMIF('Diags Raw Data'!$A$12:$A$3703,"*"&amp;$A87&amp;"*",'Diags Raw Data'!$Z$12:$Z$3703)</f>
        <v>0</v>
      </c>
      <c r="Q87" s="438">
        <f>SUM(SUMIF('Diags Raw Data'!$A$12:$A$3703,"*"&amp;$A87&amp;"*",'Diags Raw Data'!$AA$12:$AA$3703),SUMIF('Diags Raw Data'!$A$12:$A$3703,"*"&amp;$A87&amp;"*",'Diags Raw Data'!$AB$12:$AB$3703))</f>
        <v>0</v>
      </c>
      <c r="R87" s="439">
        <f>IF((J87=0),0,P87/J87)</f>
        <v>0</v>
      </c>
      <c r="S87" s="439">
        <f>IF((P87=0),0,Q87/P87)</f>
        <v>0</v>
      </c>
      <c r="T87" s="440">
        <f>R87*S87</f>
        <v>0</v>
      </c>
      <c r="U87" s="407"/>
    </row>
    <row r="88" spans="1:22" ht="45.75" thickBot="1" x14ac:dyDescent="0.3">
      <c r="A88" s="399" t="s">
        <v>344</v>
      </c>
      <c r="B88" s="404" t="str">
        <f>VLOOKUP(A88,'Feature Raw Data'!$A$3:$B$4000,2,FALSE)</f>
        <v>SOC-AVFS on non-GFX Clocks(SOCCLK,MMCLK,DCN,VCN,UCLK)</v>
      </c>
      <c r="C88" s="400" t="str">
        <f>VLOOKUP(A88,'Feature Raw Data'!$A$3:$C$4209,3,FALSE)</f>
        <v>P1</v>
      </c>
      <c r="D88" s="401" t="str" cm="1">
        <f t="array" ref="D88">_xlfn.TEXTJOIN("",TRUE,IF(ISNUMBER(SEARCH($A88,'Diags Raw Data'!$A$6:$A$3703)),CONCATENATE('Diags Raw Data'!$H$6:$H$3703,", "),""))</f>
        <v xml:space="preserve">PM80.12, </v>
      </c>
      <c r="E88" s="327" t="str">
        <f>VLOOKUP(A88,'Diags Raw Data'!$A$12:$D$3703,4,FALSE)</f>
        <v>PMM</v>
      </c>
      <c r="F88" s="402" t="str">
        <f>VLOOKUP(A88,'Feature Raw Data'!$A$3:$E$4000,5,FALSE)</f>
        <v>Delta</v>
      </c>
      <c r="G88" s="327" t="s">
        <v>31</v>
      </c>
      <c r="H88" s="327" t="s">
        <v>31</v>
      </c>
      <c r="I88" s="400">
        <f>SUMIF('Diags Raw Data'!$A$12:$A$3703,"*"&amp;$A88&amp;"*",'Diags Raw Data'!$K$12:$K$3703)</f>
        <v>1</v>
      </c>
      <c r="J88" s="403">
        <f>SUMIF('Diags Raw Data'!$A$12:$A$3703,"*"&amp;$A88&amp;"*",'Diags Raw Data'!$L$12:$L$3703)</f>
        <v>1</v>
      </c>
      <c r="K88" s="432" cm="1">
        <f t="array" ref="K88">IF(D88="",0, SUMPRODUCT(--(ISNUMBER(SEARCH($A88,'Diags Raw Data'!$A$12:$A$3703))),'Diags Raw Data'!$L$12:$L$3703,'Diags Raw Data'!$N$12:$N$3703)/J88)</f>
        <v>1</v>
      </c>
      <c r="L88" s="433" cm="1">
        <f t="array" ref="L88">IF(D88="",0, SUMPRODUCT(--(ISNUMBER(SEARCH($A88,'Diags Raw Data'!$A$12:$A$3703))),'Diags Raw Data'!$L$12:$L$3703,'Diags Raw Data'!$P$12:$P$3703)/J88)</f>
        <v>1</v>
      </c>
      <c r="M88" s="434" cm="1">
        <f t="array" ref="M88">SUMPRODUCT(--(ISNUMBER(SEARCH($A88,'Diags Raw Data'!$A$12:$A$3703))),--('Diags Raw Data'!$Q$12:$Q$3703&lt;&gt;"N/A"),'Diags Raw Data'!$R$12:$R$3703)</f>
        <v>1</v>
      </c>
      <c r="N88" s="435" cm="1">
        <f t="array" ref="N88">SUMPRODUCT(--(ISNUMBER(SEARCH($A88,'Diags Raw Data'!$A$12:$A$3703))),--('Diags Raw Data'!$Q$12:$Q$3703&lt;&gt;"N/A"),'Diags Raw Data'!$T$12:$T$3703)+SUMPRODUCT(--(ISNUMBER(SEARCH($A88,'Diags Raw Data'!$A$12:$A$3703))),--('Diags Raw Data'!$Q$12:$Q$3703&lt;&gt;"N/A"),'Diags Raw Data'!$U$12:$U$3703)</f>
        <v>1</v>
      </c>
      <c r="O88" s="436">
        <f>IF((M88=0),0,N88/M88)</f>
        <v>1</v>
      </c>
      <c r="P88" s="437">
        <f>SUMIF('Diags Raw Data'!$A$12:$A$3703,"*"&amp;$A88&amp;"*",'Diags Raw Data'!$Z$12:$Z$3703)</f>
        <v>0</v>
      </c>
      <c r="Q88" s="438">
        <f>SUM(SUMIF('Diags Raw Data'!$A$12:$A$3703,"*"&amp;$A88&amp;"*",'Diags Raw Data'!$AA$12:$AA$3703),SUMIF('Diags Raw Data'!$A$12:$A$3703,"*"&amp;$A88&amp;"*",'Diags Raw Data'!$AB$12:$AB$3703))</f>
        <v>0</v>
      </c>
      <c r="R88" s="439">
        <f t="shared" ref="R88:R106" si="103">IF((J88=0),0,P88/J88)</f>
        <v>0</v>
      </c>
      <c r="S88" s="439">
        <f>IF((P88=0),0,Q88/P88)</f>
        <v>0</v>
      </c>
      <c r="T88" s="440">
        <f>R88*S88</f>
        <v>0</v>
      </c>
      <c r="U88" s="407" t="s">
        <v>630</v>
      </c>
    </row>
    <row r="89" spans="1:22" ht="15.75" hidden="1" thickBot="1" x14ac:dyDescent="0.3">
      <c r="A89" s="399" t="s">
        <v>567</v>
      </c>
      <c r="B89" s="404" t="str">
        <f>VLOOKUP(A89,'Feature Raw Data'!$A$3:$B$4000,2,FALSE)</f>
        <v>MSR</v>
      </c>
      <c r="C89" s="400" t="str">
        <f>VLOOKUP(A89,'Feature Raw Data'!$A$3:$C$4209,3,FALSE)</f>
        <v>P2</v>
      </c>
      <c r="D89" s="401" t="str" cm="1">
        <f t="array" ref="D89">_xlfn.TEXTJOIN("",TRUE,IF(ISNUMBER(SEARCH($A89,'Diags Raw Data'!$A$12:$A$3703)),CONCATENATE('Diags Raw Data'!$H$12:$H$3703,", "),""))</f>
        <v/>
      </c>
      <c r="E89" s="327" t="e">
        <f>VLOOKUP(A89,'Diags Raw Data'!$A$12:$D$3703,4,FALSE)</f>
        <v>#N/A</v>
      </c>
      <c r="F89" s="402" t="str">
        <f>VLOOKUP(A89,'Feature Raw Data'!$A$3:$E$4000,5,FALSE)</f>
        <v>Delta</v>
      </c>
      <c r="G89" s="327" t="s">
        <v>31</v>
      </c>
      <c r="H89" s="327" t="s">
        <v>36</v>
      </c>
      <c r="I89" s="400">
        <f>SUMIF('Diags Raw Data'!$A$12:$A$3703,"*"&amp;$A89&amp;"*",'Diags Raw Data'!$K$12:$K$3703)</f>
        <v>0</v>
      </c>
      <c r="J89" s="403">
        <f>SUMIF('Diags Raw Data'!$A$12:$A$3703,"*"&amp;$A89&amp;"*",'Diags Raw Data'!$L$12:$L$3703)</f>
        <v>0</v>
      </c>
      <c r="K89" s="432" cm="1">
        <f t="array" ref="K89">IF(D89="",0, SUMPRODUCT(--(ISNUMBER(SEARCH($A89,'Diags Raw Data'!$A$12:$A$3703))),'Diags Raw Data'!$L$12:$L$3703,'Diags Raw Data'!$N$12:$N$3703)/J89)</f>
        <v>0</v>
      </c>
      <c r="L89" s="433" cm="1">
        <f t="array" ref="L89">IF(D89="",0, SUMPRODUCT(--(ISNUMBER(SEARCH($A89,'Diags Raw Data'!$A$12:$A$3703))),'Diags Raw Data'!$L$12:$L$3703,'Diags Raw Data'!$P$12:$P$3703)/J89)</f>
        <v>0</v>
      </c>
      <c r="M89" s="434" cm="1">
        <f t="array" ref="M89">SUMPRODUCT(--(ISNUMBER(SEARCH($A89,'Diags Raw Data'!$A$12:$A$3703))),--('Diags Raw Data'!$Q$12:$Q$3703&lt;&gt;"N/A"),'Diags Raw Data'!$R$12:$R$3703)</f>
        <v>0</v>
      </c>
      <c r="N89" s="435" cm="1">
        <f t="array" ref="N89">SUMPRODUCT(--(ISNUMBER(SEARCH($A89,'Diags Raw Data'!$A$12:$A$3703))),--('Diags Raw Data'!$Q$12:$Q$3703&lt;&gt;"N/A"),'Diags Raw Data'!$T$12:$T$3703)+SUMPRODUCT(--(ISNUMBER(SEARCH($A89,'Diags Raw Data'!$A$12:$A$3703))),--('Diags Raw Data'!$Q$12:$Q$3703&lt;&gt;"N/A"),'Diags Raw Data'!$U$12:$U$3703)</f>
        <v>0</v>
      </c>
      <c r="O89" s="436">
        <f t="shared" ref="O89" si="104">IF((M89=0),0,N89/M89)</f>
        <v>0</v>
      </c>
      <c r="P89" s="437">
        <f>SUMIF('Diags Raw Data'!$A$12:$A$3703,"*"&amp;$A89&amp;"*",'Diags Raw Data'!$Z$12:$Z$3703)</f>
        <v>0</v>
      </c>
      <c r="Q89" s="438">
        <f>SUM(SUMIF('Diags Raw Data'!$A$12:$A$3703,"*"&amp;$A89&amp;"*",'Diags Raw Data'!$AA$12:$AA$3703),SUMIF('Diags Raw Data'!$A$12:$A$3703,"*"&amp;$A89&amp;"*",'Diags Raw Data'!$AB$12:$AB$3703))</f>
        <v>0</v>
      </c>
      <c r="R89" s="439">
        <f t="shared" si="103"/>
        <v>0</v>
      </c>
      <c r="S89" s="439">
        <f t="shared" ref="S89" si="105">IF((P89=0),0,Q89/P89)</f>
        <v>0</v>
      </c>
      <c r="T89" s="440">
        <f t="shared" ref="T89" si="106">R89*S89</f>
        <v>0</v>
      </c>
      <c r="U89" s="407"/>
    </row>
    <row r="90" spans="1:22" ht="15.75" thickBot="1" x14ac:dyDescent="0.3">
      <c r="A90" s="399" t="s">
        <v>343</v>
      </c>
      <c r="B90" s="404" t="str">
        <f>VLOOKUP(A90,'Feature Raw Data'!$A$3:$B$4000,2,FALSE)</f>
        <v>VDDCI DVS</v>
      </c>
      <c r="C90" s="400" t="str">
        <f>VLOOKUP(A90,'Feature Raw Data'!$A$3:$C$4209,3,FALSE)</f>
        <v>P1</v>
      </c>
      <c r="D90" s="401" t="str" cm="1">
        <f t="array" ref="D90">_xlfn.TEXTJOIN("",TRUE,IF(ISNUMBER(SEARCH($A90,'Diags Raw Data'!$A$6:$A$3703)),CONCATENATE('Diags Raw Data'!$H$6:$H$3703,", "),""))</f>
        <v xml:space="preserve">PM80.12, </v>
      </c>
      <c r="E90" s="327" t="str">
        <f>VLOOKUP(A90,'Diags Raw Data'!$A$12:$D$3703,4,FALSE)</f>
        <v>PMM</v>
      </c>
      <c r="F90" s="402" t="str">
        <f>VLOOKUP(A90,'Feature Raw Data'!$A$3:$E$4000,5,FALSE)</f>
        <v>Legacy</v>
      </c>
      <c r="G90" s="327" t="str">
        <f>IF(D90="","No","Yes")</f>
        <v>Yes</v>
      </c>
      <c r="H90" s="327" t="s">
        <v>31</v>
      </c>
      <c r="I90" s="400">
        <f>SUMIF('Diags Raw Data'!$A$12:$A$3703,"*"&amp;$A90&amp;"*",'Diags Raw Data'!$K$12:$K$3703)</f>
        <v>1</v>
      </c>
      <c r="J90" s="403">
        <f>SUMIF('Diags Raw Data'!$A$12:$A$3703,"*"&amp;$A90&amp;"*",'Diags Raw Data'!$L$12:$L$3703)</f>
        <v>1</v>
      </c>
      <c r="K90" s="432" cm="1">
        <f t="array" ref="K90">IF(D90="",0, SUMPRODUCT(--(ISNUMBER(SEARCH($A90,'Diags Raw Data'!$A$12:$A$3703))),'Diags Raw Data'!$L$12:$L$3703,'Diags Raw Data'!$N$12:$N$3703)/J90)</f>
        <v>1</v>
      </c>
      <c r="L90" s="433" cm="1">
        <f t="array" ref="L90">IF(D90="",0, SUMPRODUCT(--(ISNUMBER(SEARCH($A90,'Diags Raw Data'!$A$12:$A$3703))),'Diags Raw Data'!$L$12:$L$3703,'Diags Raw Data'!$P$12:$P$3703)/J90)</f>
        <v>1</v>
      </c>
      <c r="M90" s="434" cm="1">
        <f t="array" ref="M90">SUMPRODUCT(--(ISNUMBER(SEARCH($A90,'Diags Raw Data'!$A$12:$A$3703))),--('Diags Raw Data'!$Q$12:$Q$3703&lt;&gt;"N/A"),'Diags Raw Data'!$R$12:$R$3703)</f>
        <v>1</v>
      </c>
      <c r="N90" s="435" cm="1">
        <f t="array" ref="N90">SUMPRODUCT(--(ISNUMBER(SEARCH($A90,'Diags Raw Data'!$A$12:$A$3703))),--('Diags Raw Data'!$Q$12:$Q$3703&lt;&gt;"N/A"),'Diags Raw Data'!$T$12:$T$3703)+SUMPRODUCT(--(ISNUMBER(SEARCH($A90,'Diags Raw Data'!$A$12:$A$3703))),--('Diags Raw Data'!$Q$12:$Q$3703&lt;&gt;"N/A"),'Diags Raw Data'!$U$12:$U$3703)</f>
        <v>1</v>
      </c>
      <c r="O90" s="436">
        <f t="shared" ref="O90" si="107">IF((M90=0),0,N90/M90)</f>
        <v>1</v>
      </c>
      <c r="P90" s="437">
        <f>SUMIF('Diags Raw Data'!$A$12:$A$3703,"*"&amp;$A90&amp;"*",'Diags Raw Data'!$Z$12:$Z$3703)</f>
        <v>0</v>
      </c>
      <c r="Q90" s="438">
        <f>SUM(SUMIF('Diags Raw Data'!$A$12:$A$3703,"*"&amp;$A90&amp;"*",'Diags Raw Data'!$AA$12:$AA$3703),SUMIF('Diags Raw Data'!$A$12:$A$3703,"*"&amp;$A90&amp;"*",'Diags Raw Data'!$AB$12:$AB$3703))</f>
        <v>0</v>
      </c>
      <c r="R90" s="439">
        <f t="shared" si="103"/>
        <v>0</v>
      </c>
      <c r="S90" s="439">
        <f t="shared" ref="S90" si="108">IF((P90=0),0,Q90/P90)</f>
        <v>0</v>
      </c>
      <c r="T90" s="440">
        <f t="shared" ref="T90" si="109">R90*S90</f>
        <v>0</v>
      </c>
      <c r="U90" s="407" t="s">
        <v>626</v>
      </c>
    </row>
    <row r="91" spans="1:22" ht="30.75" thickBot="1" x14ac:dyDescent="0.3">
      <c r="A91" s="399" t="s">
        <v>408</v>
      </c>
      <c r="B91" s="404" t="str">
        <f>VLOOKUP(A91,'Feature Raw Data'!$A$3:$B$4000,2,FALSE)</f>
        <v>MEMIO/MVDD DVS</v>
      </c>
      <c r="C91" s="400" t="str">
        <f>VLOOKUP(A91,'Feature Raw Data'!$A$3:$C$4209,3,FALSE)</f>
        <v>P1</v>
      </c>
      <c r="D91" s="401" t="str" cm="1">
        <f t="array" ref="D91">_xlfn.TEXTJOIN("",TRUE,IF(ISNUMBER(SEARCH($A91,'Diags Raw Data'!$A$6:$A$3703)),CONCATENATE('Diags Raw Data'!$H$6:$H$3703,", "),""))</f>
        <v xml:space="preserve">PM80.12, </v>
      </c>
      <c r="E91" s="327" t="str">
        <f>VLOOKUP(A91,'Diags Raw Data'!$A$12:$D$3703,4,FALSE)</f>
        <v>PMM</v>
      </c>
      <c r="F91" s="402" t="str">
        <f>VLOOKUP(A91,'Feature Raw Data'!$A$3:$E$4000,5,FALSE)</f>
        <v>Delta</v>
      </c>
      <c r="G91" s="327" t="str">
        <f>IF(D91="","No","Yes")</f>
        <v>Yes</v>
      </c>
      <c r="H91" s="327" t="s">
        <v>31</v>
      </c>
      <c r="I91" s="400">
        <f>SUMIF('Diags Raw Data'!$A$12:$A$3703,"*"&amp;$A91&amp;"*",'Diags Raw Data'!$K$12:$K$3703)</f>
        <v>1</v>
      </c>
      <c r="J91" s="403">
        <f>SUMIF('Diags Raw Data'!$A$12:$A$3703,"*"&amp;$A91&amp;"*",'Diags Raw Data'!$L$12:$L$3703)</f>
        <v>1</v>
      </c>
      <c r="K91" s="432" cm="1">
        <f t="array" ref="K91">IF(D91="",0, SUMPRODUCT(--(ISNUMBER(SEARCH($A91,'Diags Raw Data'!$A$12:$A$3703))),'Diags Raw Data'!$L$12:$L$3703,'Diags Raw Data'!$N$12:$N$3703)/J91)</f>
        <v>1</v>
      </c>
      <c r="L91" s="433" cm="1">
        <f t="array" ref="L91">IF(D91="",0, SUMPRODUCT(--(ISNUMBER(SEARCH($A91,'Diags Raw Data'!$A$12:$A$3703))),'Diags Raw Data'!$L$12:$L$3703,'Diags Raw Data'!$P$12:$P$3703)/J91)</f>
        <v>1</v>
      </c>
      <c r="M91" s="434" cm="1">
        <f t="array" ref="M91">SUMPRODUCT(--(ISNUMBER(SEARCH($A91,'Diags Raw Data'!$A$12:$A$3703))),--('Diags Raw Data'!$Q$12:$Q$3703&lt;&gt;"N/A"),'Diags Raw Data'!$R$12:$R$3703)</f>
        <v>1</v>
      </c>
      <c r="N91" s="435" cm="1">
        <f t="array" ref="N91">SUMPRODUCT(--(ISNUMBER(SEARCH($A91,'Diags Raw Data'!$A$12:$A$3703))),--('Diags Raw Data'!$Q$12:$Q$3703&lt;&gt;"N/A"),'Diags Raw Data'!$T$12:$T$3703)+SUMPRODUCT(--(ISNUMBER(SEARCH($A91,'Diags Raw Data'!$A$12:$A$3703))),--('Diags Raw Data'!$Q$12:$Q$3703&lt;&gt;"N/A"),'Diags Raw Data'!$U$12:$U$3703)</f>
        <v>1</v>
      </c>
      <c r="O91" s="436">
        <f t="shared" ref="O91:O96" si="110">IF((M91=0),0,N91/M91)</f>
        <v>1</v>
      </c>
      <c r="P91" s="437">
        <f>SUMIF('Diags Raw Data'!$A$12:$A$3703,"*"&amp;$A91&amp;"*",'Diags Raw Data'!$Z$12:$Z$3703)</f>
        <v>0</v>
      </c>
      <c r="Q91" s="438">
        <f>SUM(SUMIF('Diags Raw Data'!$A$12:$A$3703,"*"&amp;$A91&amp;"*",'Diags Raw Data'!$AA$12:$AA$3703),SUMIF('Diags Raw Data'!$A$12:$A$3703,"*"&amp;$A91&amp;"*",'Diags Raw Data'!$AB$12:$AB$3703))</f>
        <v>0</v>
      </c>
      <c r="R91" s="439">
        <f t="shared" si="103"/>
        <v>0</v>
      </c>
      <c r="S91" s="439">
        <f t="shared" ref="S91:S96" si="111">IF((P91=0),0,Q91/P91)</f>
        <v>0</v>
      </c>
      <c r="T91" s="440">
        <f t="shared" ref="T91:T96" si="112">R91*S91</f>
        <v>0</v>
      </c>
      <c r="U91" s="407" t="s">
        <v>626</v>
      </c>
      <c r="V91" s="178" t="s">
        <v>635</v>
      </c>
    </row>
    <row r="92" spans="1:22" ht="15.75" thickBot="1" x14ac:dyDescent="0.3">
      <c r="A92" s="399" t="s">
        <v>311</v>
      </c>
      <c r="B92" s="404" t="str">
        <f>VLOOKUP(A92,'Feature Raw Data'!$A$3:$B$4000,2,FALSE)</f>
        <v>GFX AVFS</v>
      </c>
      <c r="C92" s="400" t="str">
        <f>VLOOKUP(A92,'Feature Raw Data'!$A$3:$C$4209,3,FALSE)</f>
        <v>P1</v>
      </c>
      <c r="D92" s="401" t="str" cm="1">
        <f t="array" ref="D92">_xlfn.TEXTJOIN("",TRUE,IF(ISNUMBER(SEARCH($A92,'Diags Raw Data'!$A$6:$A$3703)),CONCATENATE('Diags Raw Data'!$H$6:$H$3703,", "),""))</f>
        <v xml:space="preserve">PM80.12, PM80.12, </v>
      </c>
      <c r="E92" s="327" t="str">
        <f>VLOOKUP(A92,'Diags Raw Data'!$A$12:$D$3703,4,FALSE)</f>
        <v>PMM</v>
      </c>
      <c r="F92" s="402" t="str">
        <f>VLOOKUP(A92,'Feature Raw Data'!$A$3:$E$4000,5,FALSE)</f>
        <v>Delta</v>
      </c>
      <c r="G92" s="327" t="s">
        <v>31</v>
      </c>
      <c r="H92" s="327" t="s">
        <v>31</v>
      </c>
      <c r="I92" s="400">
        <f>SUMIF('Diags Raw Data'!$A$12:$A$3703,"*"&amp;$A92&amp;"*",'Diags Raw Data'!$K$12:$K$3703)</f>
        <v>1</v>
      </c>
      <c r="J92" s="403">
        <f>SUMIF('Diags Raw Data'!$A$12:$A$3703,"*"&amp;$A92&amp;"*",'Diags Raw Data'!$L$12:$L$3703)</f>
        <v>1</v>
      </c>
      <c r="K92" s="432" cm="1">
        <f t="array" ref="K92">IF(D92="",0, SUMPRODUCT(--(ISNUMBER(SEARCH($A92,'Diags Raw Data'!$A$12:$A$3703))),'Diags Raw Data'!$L$12:$L$3703,'Diags Raw Data'!$N$12:$N$3703)/J92)</f>
        <v>1</v>
      </c>
      <c r="L92" s="433" cm="1">
        <f t="array" ref="L92">IF(D92="",0, SUMPRODUCT(--(ISNUMBER(SEARCH($A92,'Diags Raw Data'!$A$12:$A$3703))),'Diags Raw Data'!$L$12:$L$3703,'Diags Raw Data'!$P$12:$P$3703)/J92)</f>
        <v>1</v>
      </c>
      <c r="M92" s="434" cm="1">
        <f t="array" ref="M92">SUMPRODUCT(--(ISNUMBER(SEARCH($A92,'Diags Raw Data'!$A$12:$A$3703))),--('Diags Raw Data'!$Q$12:$Q$3703&lt;&gt;"N/A"),'Diags Raw Data'!$R$12:$R$3703)</f>
        <v>1</v>
      </c>
      <c r="N92" s="435" cm="1">
        <f t="array" ref="N92">SUMPRODUCT(--(ISNUMBER(SEARCH($A92,'Diags Raw Data'!$A$12:$A$3703))),--('Diags Raw Data'!$Q$12:$Q$3703&lt;&gt;"N/A"),'Diags Raw Data'!$T$12:$T$3703)+SUMPRODUCT(--(ISNUMBER(SEARCH($A92,'Diags Raw Data'!$A$12:$A$3703))),--('Diags Raw Data'!$Q$12:$Q$3703&lt;&gt;"N/A"),'Diags Raw Data'!$U$12:$U$3703)</f>
        <v>1</v>
      </c>
      <c r="O92" s="436">
        <f t="shared" si="110"/>
        <v>1</v>
      </c>
      <c r="P92" s="437">
        <f>SUMIF('Diags Raw Data'!$A$12:$A$3703,"*"&amp;$A92&amp;"*",'Diags Raw Data'!$Z$12:$Z$3703)</f>
        <v>0</v>
      </c>
      <c r="Q92" s="438">
        <f>SUM(SUMIF('Diags Raw Data'!$A$12:$A$3703,"*"&amp;$A92&amp;"*",'Diags Raw Data'!$AA$12:$AA$3703),SUMIF('Diags Raw Data'!$A$12:$A$3703,"*"&amp;$A92&amp;"*",'Diags Raw Data'!$AB$12:$AB$3703))</f>
        <v>0</v>
      </c>
      <c r="R92" s="439">
        <f t="shared" si="103"/>
        <v>0</v>
      </c>
      <c r="S92" s="439">
        <f t="shared" si="111"/>
        <v>0</v>
      </c>
      <c r="T92" s="440">
        <f t="shared" si="112"/>
        <v>0</v>
      </c>
      <c r="U92" s="407" t="s">
        <v>630</v>
      </c>
    </row>
    <row r="93" spans="1:22" ht="15.75" hidden="1" thickBot="1" x14ac:dyDescent="0.3">
      <c r="A93" s="399" t="s">
        <v>572</v>
      </c>
      <c r="B93" s="404" t="str">
        <f>VLOOKUP(A93,'Feature Raw Data'!$A$3:$B$4000,2,FALSE)</f>
        <v>AC/DC</v>
      </c>
      <c r="C93" s="400" t="str">
        <f>VLOOKUP(A93,'Feature Raw Data'!$A$3:$C$4209,3,FALSE)</f>
        <v>P3</v>
      </c>
      <c r="D93" s="401" t="str" cm="1">
        <f t="array" ref="D93">_xlfn.TEXTJOIN("",TRUE,IF(ISNUMBER(SEARCH($A93,'Diags Raw Data'!$A$12:$A$3703)),CONCATENATE('Diags Raw Data'!$H$12:$H$3703,", "),""))</f>
        <v/>
      </c>
      <c r="E93" s="327" t="e">
        <f>VLOOKUP(A93,'Diags Raw Data'!$A$12:$D$3703,4,FALSE)</f>
        <v>#N/A</v>
      </c>
      <c r="F93" s="402" t="str">
        <f>VLOOKUP(A93,'Feature Raw Data'!$A$3:$E$4000,5,FALSE)</f>
        <v>Legacy</v>
      </c>
      <c r="G93" s="327" t="s">
        <v>31</v>
      </c>
      <c r="H93" s="327" t="s">
        <v>36</v>
      </c>
      <c r="I93" s="400">
        <f>SUMIF('Diags Raw Data'!$A$12:$A$3703,"*"&amp;$A93&amp;"*",'Diags Raw Data'!$K$12:$K$3703)</f>
        <v>0</v>
      </c>
      <c r="J93" s="403">
        <f>SUMIF('Diags Raw Data'!$A$12:$A$3703,"*"&amp;$A93&amp;"*",'Diags Raw Data'!$L$12:$L$3703)</f>
        <v>0</v>
      </c>
      <c r="K93" s="432" cm="1">
        <f t="array" ref="K93">IF(D93="",0, SUMPRODUCT(--(ISNUMBER(SEARCH($A93,'Diags Raw Data'!$A$12:$A$3703))),'Diags Raw Data'!$L$12:$L$3703,'Diags Raw Data'!$N$12:$N$3703)/J93)</f>
        <v>0</v>
      </c>
      <c r="L93" s="433" cm="1">
        <f t="array" ref="L93">IF(D93="",0, SUMPRODUCT(--(ISNUMBER(SEARCH($A93,'Diags Raw Data'!$A$12:$A$3703))),'Diags Raw Data'!$L$12:$L$3703,'Diags Raw Data'!$P$12:$P$3703)/J93)</f>
        <v>0</v>
      </c>
      <c r="M93" s="434" cm="1">
        <f t="array" ref="M93">SUMPRODUCT(--(ISNUMBER(SEARCH($A93,'Diags Raw Data'!$A$12:$A$3703))),--('Diags Raw Data'!$Q$12:$Q$3703&lt;&gt;"N/A"),'Diags Raw Data'!$R$12:$R$3703)</f>
        <v>0</v>
      </c>
      <c r="N93" s="435" cm="1">
        <f t="array" ref="N93">SUMPRODUCT(--(ISNUMBER(SEARCH($A93,'Diags Raw Data'!$A$12:$A$3703))),--('Diags Raw Data'!$Q$12:$Q$3703&lt;&gt;"N/A"),'Diags Raw Data'!$T$12:$T$3703)+SUMPRODUCT(--(ISNUMBER(SEARCH($A93,'Diags Raw Data'!$A$12:$A$3703))),--('Diags Raw Data'!$Q$12:$Q$3703&lt;&gt;"N/A"),'Diags Raw Data'!$U$12:$U$3703)</f>
        <v>0</v>
      </c>
      <c r="O93" s="436">
        <f t="shared" si="110"/>
        <v>0</v>
      </c>
      <c r="P93" s="437">
        <f>SUMIF('Diags Raw Data'!$A$12:$A$3703,"*"&amp;$A93&amp;"*",'Diags Raw Data'!$Z$12:$Z$3703)</f>
        <v>0</v>
      </c>
      <c r="Q93" s="438">
        <f>SUM(SUMIF('Diags Raw Data'!$A$12:$A$3703,"*"&amp;$A93&amp;"*",'Diags Raw Data'!$AA$12:$AA$3703),SUMIF('Diags Raw Data'!$A$12:$A$3703,"*"&amp;$A93&amp;"*",'Diags Raw Data'!$AB$12:$AB$3703))</f>
        <v>0</v>
      </c>
      <c r="R93" s="439">
        <f t="shared" si="103"/>
        <v>0</v>
      </c>
      <c r="S93" s="439">
        <f t="shared" si="111"/>
        <v>0</v>
      </c>
      <c r="T93" s="440">
        <f t="shared" si="112"/>
        <v>0</v>
      </c>
      <c r="U93" s="407"/>
    </row>
    <row r="94" spans="1:22" ht="15.75" hidden="1" thickBot="1" x14ac:dyDescent="0.3">
      <c r="A94" s="399" t="s">
        <v>574</v>
      </c>
      <c r="B94" s="404" t="str">
        <f>VLOOKUP(A94,'Feature Raw Data'!$A$3:$B$4000,2,FALSE)</f>
        <v>APT</v>
      </c>
      <c r="C94" s="400" t="str">
        <f>VLOOKUP(A94,'Feature Raw Data'!$A$3:$C$4209,3,FALSE)</f>
        <v>P2</v>
      </c>
      <c r="D94" s="401" t="str" cm="1">
        <f t="array" ref="D94">_xlfn.TEXTJOIN("",TRUE,IF(ISNUMBER(SEARCH($A94,'Diags Raw Data'!$A$12:$A$3703)),CONCATENATE('Diags Raw Data'!$H$12:$H$3703,", "),""))</f>
        <v/>
      </c>
      <c r="E94" s="327" t="e">
        <f>VLOOKUP(A94,'Diags Raw Data'!$A$12:$D$3703,4,FALSE)</f>
        <v>#N/A</v>
      </c>
      <c r="F94" s="402" t="str">
        <f>VLOOKUP(A94,'Feature Raw Data'!$A$3:$E$4000,5,FALSE)</f>
        <v>Delta</v>
      </c>
      <c r="G94" s="327" t="s">
        <v>31</v>
      </c>
      <c r="H94" s="327" t="s">
        <v>36</v>
      </c>
      <c r="I94" s="400">
        <f>SUMIF('Diags Raw Data'!$A$12:$A$3703,"*"&amp;$A94&amp;"*",'Diags Raw Data'!$K$12:$K$3703)</f>
        <v>0</v>
      </c>
      <c r="J94" s="403">
        <f>SUMIF('Diags Raw Data'!$A$12:$A$3703,"*"&amp;$A94&amp;"*",'Diags Raw Data'!$L$12:$L$3703)</f>
        <v>0</v>
      </c>
      <c r="K94" s="432" cm="1">
        <f t="array" ref="K94">IF(D94="",0, SUMPRODUCT(--(ISNUMBER(SEARCH($A94,'Diags Raw Data'!$A$12:$A$3703))),'Diags Raw Data'!$L$12:$L$3703,'Diags Raw Data'!$N$12:$N$3703)/J94)</f>
        <v>0</v>
      </c>
      <c r="L94" s="433" cm="1">
        <f t="array" ref="L94">IF(D94="",0, SUMPRODUCT(--(ISNUMBER(SEARCH($A94,'Diags Raw Data'!$A$12:$A$3703))),'Diags Raw Data'!$L$12:$L$3703,'Diags Raw Data'!$P$12:$P$3703)/J94)</f>
        <v>0</v>
      </c>
      <c r="M94" s="434" cm="1">
        <f t="array" ref="M94">SUMPRODUCT(--(ISNUMBER(SEARCH($A94,'Diags Raw Data'!$A$12:$A$3703))),--('Diags Raw Data'!$Q$12:$Q$3703&lt;&gt;"N/A"),'Diags Raw Data'!$R$12:$R$3703)</f>
        <v>0</v>
      </c>
      <c r="N94" s="435" cm="1">
        <f t="array" ref="N94">SUMPRODUCT(--(ISNUMBER(SEARCH($A94,'Diags Raw Data'!$A$12:$A$3703))),--('Diags Raw Data'!$Q$12:$Q$3703&lt;&gt;"N/A"),'Diags Raw Data'!$T$12:$T$3703)+SUMPRODUCT(--(ISNUMBER(SEARCH($A94,'Diags Raw Data'!$A$12:$A$3703))),--('Diags Raw Data'!$Q$12:$Q$3703&lt;&gt;"N/A"),'Diags Raw Data'!$U$12:$U$3703)</f>
        <v>0</v>
      </c>
      <c r="O94" s="436">
        <f t="shared" ref="O94" si="113">IF((M94=0),0,N94/M94)</f>
        <v>0</v>
      </c>
      <c r="P94" s="437">
        <f>SUMIF('Diags Raw Data'!$A$12:$A$3703,"*"&amp;$A94&amp;"*",'Diags Raw Data'!$Z$12:$Z$3703)</f>
        <v>0</v>
      </c>
      <c r="Q94" s="438">
        <f>SUM(SUMIF('Diags Raw Data'!$A$12:$A$3703,"*"&amp;$A94&amp;"*",'Diags Raw Data'!$AA$12:$AA$3703),SUMIF('Diags Raw Data'!$A$12:$A$3703,"*"&amp;$A94&amp;"*",'Diags Raw Data'!$AB$12:$AB$3703))</f>
        <v>0</v>
      </c>
      <c r="R94" s="439">
        <f t="shared" si="103"/>
        <v>0</v>
      </c>
      <c r="S94" s="439">
        <f t="shared" ref="S94" si="114">IF((P94=0),0,Q94/P94)</f>
        <v>0</v>
      </c>
      <c r="T94" s="440">
        <f t="shared" ref="T94" si="115">R94*S94</f>
        <v>0</v>
      </c>
      <c r="U94" s="407"/>
    </row>
    <row r="95" spans="1:22" ht="15.75" hidden="1" thickBot="1" x14ac:dyDescent="0.3">
      <c r="A95" s="399" t="s">
        <v>576</v>
      </c>
      <c r="B95" s="404" t="str">
        <f>VLOOKUP(A95,'Feature Raw Data'!$A$3:$B$4000,2,FALSE)</f>
        <v>MPIO Support</v>
      </c>
      <c r="C95" s="400" t="str">
        <f>VLOOKUP(A95,'Feature Raw Data'!$A$3:$C$4209,3,FALSE)</f>
        <v>P2</v>
      </c>
      <c r="D95" s="401" t="str" cm="1">
        <f t="array" ref="D95">_xlfn.TEXTJOIN("",TRUE,IF(ISNUMBER(SEARCH($A95,'Diags Raw Data'!$A$12:$A$3703)),CONCATENATE('Diags Raw Data'!$H$12:$H$3703,", "),""))</f>
        <v/>
      </c>
      <c r="E95" s="327" t="e">
        <f>VLOOKUP(A95,'Diags Raw Data'!$A$12:$D$3703,4,FALSE)</f>
        <v>#N/A</v>
      </c>
      <c r="F95" s="402" t="str">
        <f>VLOOKUP(A95,'Feature Raw Data'!$A$3:$E$4000,5,FALSE)</f>
        <v>Delta</v>
      </c>
      <c r="G95" s="327" t="s">
        <v>31</v>
      </c>
      <c r="H95" s="327" t="s">
        <v>36</v>
      </c>
      <c r="I95" s="400">
        <f>SUMIF('Diags Raw Data'!$A$12:$A$3703,"*"&amp;$A95&amp;"*",'Diags Raw Data'!$K$12:$K$3703)</f>
        <v>0</v>
      </c>
      <c r="J95" s="403">
        <f>SUMIF('Diags Raw Data'!$A$12:$A$3703,"*"&amp;$A95&amp;"*",'Diags Raw Data'!$L$12:$L$3703)</f>
        <v>0</v>
      </c>
      <c r="K95" s="432" cm="1">
        <f t="array" ref="K95">IF(D95="",0, SUMPRODUCT(--(ISNUMBER(SEARCH($A95,'Diags Raw Data'!$A$12:$A$3703))),'Diags Raw Data'!$L$12:$L$3703,'Diags Raw Data'!$N$12:$N$3703)/J95)</f>
        <v>0</v>
      </c>
      <c r="L95" s="433" cm="1">
        <f t="array" ref="L95">IF(D95="",0, SUMPRODUCT(--(ISNUMBER(SEARCH($A95,'Diags Raw Data'!$A$12:$A$3703))),'Diags Raw Data'!$L$12:$L$3703,'Diags Raw Data'!$P$12:$P$3703)/J95)</f>
        <v>0</v>
      </c>
      <c r="M95" s="434" cm="1">
        <f t="array" ref="M95">SUMPRODUCT(--(ISNUMBER(SEARCH($A95,'Diags Raw Data'!$A$12:$A$3703))),--('Diags Raw Data'!$Q$12:$Q$3703&lt;&gt;"N/A"),'Diags Raw Data'!$R$12:$R$3703)</f>
        <v>0</v>
      </c>
      <c r="N95" s="435" cm="1">
        <f t="array" ref="N95">SUMPRODUCT(--(ISNUMBER(SEARCH($A95,'Diags Raw Data'!$A$12:$A$3703))),--('Diags Raw Data'!$Q$12:$Q$3703&lt;&gt;"N/A"),'Diags Raw Data'!$T$12:$T$3703)+SUMPRODUCT(--(ISNUMBER(SEARCH($A95,'Diags Raw Data'!$A$12:$A$3703))),--('Diags Raw Data'!$Q$12:$Q$3703&lt;&gt;"N/A"),'Diags Raw Data'!$U$12:$U$3703)</f>
        <v>0</v>
      </c>
      <c r="O95" s="436">
        <f t="shared" si="110"/>
        <v>0</v>
      </c>
      <c r="P95" s="437">
        <f>SUMIF('Diags Raw Data'!$A$12:$A$3703,"*"&amp;$A95&amp;"*",'Diags Raw Data'!$Z$12:$Z$3703)</f>
        <v>0</v>
      </c>
      <c r="Q95" s="438">
        <f>SUM(SUMIF('Diags Raw Data'!$A$12:$A$3703,"*"&amp;$A95&amp;"*",'Diags Raw Data'!$AA$12:$AA$3703),SUMIF('Diags Raw Data'!$A$12:$A$3703,"*"&amp;$A95&amp;"*",'Diags Raw Data'!$AB$12:$AB$3703))</f>
        <v>0</v>
      </c>
      <c r="R95" s="439">
        <f t="shared" si="103"/>
        <v>0</v>
      </c>
      <c r="S95" s="439">
        <f t="shared" si="111"/>
        <v>0</v>
      </c>
      <c r="T95" s="440">
        <f t="shared" si="112"/>
        <v>0</v>
      </c>
      <c r="U95" s="407"/>
    </row>
    <row r="96" spans="1:22" ht="15.75" thickBot="1" x14ac:dyDescent="0.3">
      <c r="A96" s="399" t="s">
        <v>313</v>
      </c>
      <c r="B96" s="404" t="str">
        <f>VLOOKUP(A96,'Feature Raw Data'!$A$3:$B$4000,2,FALSE)</f>
        <v>GFXCLK DPM</v>
      </c>
      <c r="C96" s="400" t="str">
        <f>VLOOKUP(A96,'Feature Raw Data'!$A$3:$C$4209,3,FALSE)</f>
        <v>P1</v>
      </c>
      <c r="D96" s="401" t="str" cm="1">
        <f t="array" ref="D96">_xlfn.TEXTJOIN("",TRUE,IF(ISNUMBER(SEARCH($A96,'Diags Raw Data'!$A$6:$A$3703)),CONCATENATE('Diags Raw Data'!$H$6:$H$3703,", "),""))</f>
        <v xml:space="preserve">PM80.12, PM80.12, </v>
      </c>
      <c r="E96" s="327" t="str">
        <f>VLOOKUP(A96,'Diags Raw Data'!$A$12:$D$3703,4,FALSE)</f>
        <v>PMM</v>
      </c>
      <c r="F96" s="402" t="str">
        <f>VLOOKUP(A96,'Feature Raw Data'!$A$3:$E$4000,5,FALSE)</f>
        <v>Delta</v>
      </c>
      <c r="G96" s="327" t="s">
        <v>31</v>
      </c>
      <c r="H96" s="327" t="s">
        <v>31</v>
      </c>
      <c r="I96" s="405">
        <f>SUMIF('Diags Raw Data'!$A$12:$A$3703,"*"&amp;$A96&amp;"*",'Diags Raw Data'!$K$12:$K$3703)</f>
        <v>2</v>
      </c>
      <c r="J96" s="406">
        <f>SUMIF('Diags Raw Data'!$A$12:$A$3703,"*"&amp;$A96&amp;"*",'Diags Raw Data'!$L$12:$L$3703)</f>
        <v>2</v>
      </c>
      <c r="K96" s="432" cm="1">
        <f t="array" ref="K96">IF(D96="",0, SUMPRODUCT(--(ISNUMBER(SEARCH($A96,'Diags Raw Data'!$A$12:$A$3703))),'Diags Raw Data'!$L$12:$L$3703,'Diags Raw Data'!$N$12:$N$3703)/J96)</f>
        <v>1</v>
      </c>
      <c r="L96" s="433" cm="1">
        <f t="array" ref="L96">IF(D96="",0, SUMPRODUCT(--(ISNUMBER(SEARCH($A96,'Diags Raw Data'!$A$12:$A$3703))),'Diags Raw Data'!$L$12:$L$3703,'Diags Raw Data'!$P$12:$P$3703)/J96)</f>
        <v>1</v>
      </c>
      <c r="M96" s="434" cm="1">
        <f t="array" ref="M96">SUMPRODUCT(--(ISNUMBER(SEARCH($A96,'Diags Raw Data'!$A$12:$A$3703))),--('Diags Raw Data'!$Q$12:$Q$3703&lt;&gt;"N/A"),'Diags Raw Data'!$R$12:$R$3703)</f>
        <v>2</v>
      </c>
      <c r="N96" s="435" cm="1">
        <f t="array" ref="N96">SUMPRODUCT(--(ISNUMBER(SEARCH($A96,'Diags Raw Data'!$A$12:$A$3703))),--('Diags Raw Data'!$Q$12:$Q$3703&lt;&gt;"N/A"),'Diags Raw Data'!$T$12:$T$3703)+SUMPRODUCT(--(ISNUMBER(SEARCH($A96,'Diags Raw Data'!$A$12:$A$3703))),--('Diags Raw Data'!$Q$12:$Q$3703&lt;&gt;"N/A"),'Diags Raw Data'!$U$12:$U$3703)</f>
        <v>2</v>
      </c>
      <c r="O96" s="436">
        <f t="shared" si="110"/>
        <v>1</v>
      </c>
      <c r="P96" s="437">
        <f>SUMIF('Diags Raw Data'!$A$12:$A$3703,"*"&amp;$A96&amp;"*",'Diags Raw Data'!$Z$12:$Z$3703)</f>
        <v>0</v>
      </c>
      <c r="Q96" s="438">
        <f>SUM(SUMIF('Diags Raw Data'!$A$12:$A$3703,"*"&amp;$A96&amp;"*",'Diags Raw Data'!$AA$12:$AA$3703),SUMIF('Diags Raw Data'!$A$12:$A$3703,"*"&amp;$A96&amp;"*",'Diags Raw Data'!$AB$12:$AB$3703))</f>
        <v>0</v>
      </c>
      <c r="R96" s="439">
        <f t="shared" si="103"/>
        <v>0</v>
      </c>
      <c r="S96" s="439">
        <f t="shared" si="111"/>
        <v>0</v>
      </c>
      <c r="T96" s="440">
        <f t="shared" si="112"/>
        <v>0</v>
      </c>
      <c r="U96" s="407" t="s">
        <v>622</v>
      </c>
    </row>
    <row r="97" spans="1:26" ht="15.75" thickBot="1" x14ac:dyDescent="0.3">
      <c r="A97" s="399" t="s">
        <v>417</v>
      </c>
      <c r="B97" s="404" t="str">
        <f>VLOOKUP(A97,'Feature Raw Data'!$A$3:$B$4000,2,FALSE)</f>
        <v>Acoustics-CoilWhine</v>
      </c>
      <c r="C97" s="400" t="str">
        <f>VLOOKUP(A97,'Feature Raw Data'!$A$3:$C$4209,3,FALSE)</f>
        <v>P1</v>
      </c>
      <c r="D97" s="401" t="str" cm="1">
        <f t="array" ref="D97">_xlfn.TEXTJOIN("",TRUE,IF(ISNUMBER(SEARCH($A97,'Diags Raw Data'!$A$6:$A$3703)),CONCATENATE('Diags Raw Data'!$H$6:$H$3703,", "),""))</f>
        <v xml:space="preserve">Acoustics=sweep/force, </v>
      </c>
      <c r="E97" s="327" t="str">
        <f>VLOOKUP(A97,'Diags Raw Data'!$A$12:$D$3703,4,FALSE)</f>
        <v>PMM</v>
      </c>
      <c r="F97" s="402" t="str">
        <f>VLOOKUP(A97,'Feature Raw Data'!$A$3:$E$4000,5,FALSE)</f>
        <v>Legacy</v>
      </c>
      <c r="G97" s="327" t="s">
        <v>31</v>
      </c>
      <c r="H97" s="327" t="s">
        <v>31</v>
      </c>
      <c r="I97" s="405">
        <f>SUMIF('Diags Raw Data'!$A$12:$A$3703,"*"&amp;$A97&amp;"*",'Diags Raw Data'!$K$12:$K$3703)</f>
        <v>1</v>
      </c>
      <c r="J97" s="406">
        <f>SUMIF('Diags Raw Data'!$A$12:$A$3703,"*"&amp;$A97&amp;"*",'Diags Raw Data'!$L$12:$L$3703)</f>
        <v>1</v>
      </c>
      <c r="K97" s="432" cm="1">
        <f t="array" ref="K97">IF(D97="",0, SUMPRODUCT(--(ISNUMBER(SEARCH($A97,'Diags Raw Data'!$A$12:$A$3703))),'Diags Raw Data'!$L$12:$L$3703,'Diags Raw Data'!$N$12:$N$3703)/J97)</f>
        <v>1</v>
      </c>
      <c r="L97" s="433" cm="1">
        <f t="array" ref="L97">IF(D97="",0, SUMPRODUCT(--(ISNUMBER(SEARCH($A97,'Diags Raw Data'!$A$12:$A$3703))),'Diags Raw Data'!$L$12:$L$3703,'Diags Raw Data'!$P$12:$P$3703)/J97)</f>
        <v>1</v>
      </c>
      <c r="M97" s="434" cm="1">
        <f t="array" ref="M97">SUMPRODUCT(--(ISNUMBER(SEARCH($A97,'Diags Raw Data'!$A$12:$A$3703))),--('Diags Raw Data'!$Q$12:$Q$3703&lt;&gt;"N/A"),'Diags Raw Data'!$R$12:$R$3703)</f>
        <v>1</v>
      </c>
      <c r="N97" s="435" cm="1">
        <f t="array" ref="N97">SUMPRODUCT(--(ISNUMBER(SEARCH($A97,'Diags Raw Data'!$A$12:$A$3703))),--('Diags Raw Data'!$Q$12:$Q$3703&lt;&gt;"N/A"),'Diags Raw Data'!$T$12:$T$3703)+SUMPRODUCT(--(ISNUMBER(SEARCH($A97,'Diags Raw Data'!$A$12:$A$3703))),--('Diags Raw Data'!$Q$12:$Q$3703&lt;&gt;"N/A"),'Diags Raw Data'!$U$12:$U$3703)</f>
        <v>1</v>
      </c>
      <c r="O97" s="436">
        <f t="shared" ref="O97" si="116">IF((M97=0),0,N97/M97)</f>
        <v>1</v>
      </c>
      <c r="P97" s="437">
        <f>SUMIF('Diags Raw Data'!$A$12:$A$3703,"*"&amp;$A97&amp;"*",'Diags Raw Data'!$Z$12:$Z$3703)</f>
        <v>0</v>
      </c>
      <c r="Q97" s="438">
        <f>SUM(SUMIF('Diags Raw Data'!$A$12:$A$3703,"*"&amp;$A97&amp;"*",'Diags Raw Data'!$AA$12:$AA$3703),SUMIF('Diags Raw Data'!$A$12:$A$3703,"*"&amp;$A97&amp;"*",'Diags Raw Data'!$AB$12:$AB$3703))</f>
        <v>0</v>
      </c>
      <c r="R97" s="439">
        <f t="shared" si="103"/>
        <v>0</v>
      </c>
      <c r="S97" s="439">
        <f t="shared" ref="S97" si="117">IF((P97=0),0,Q97/P97)</f>
        <v>0</v>
      </c>
      <c r="T97" s="440">
        <f t="shared" ref="T97" si="118">R97*S97</f>
        <v>0</v>
      </c>
      <c r="U97" s="407" t="s">
        <v>636</v>
      </c>
      <c r="V97" s="178" t="s">
        <v>637</v>
      </c>
      <c r="Z97" s="178">
        <v>1</v>
      </c>
    </row>
    <row r="98" spans="1:26" ht="15.75" thickBot="1" x14ac:dyDescent="0.3">
      <c r="A98" s="399" t="s">
        <v>420</v>
      </c>
      <c r="B98" s="404" t="str">
        <f>VLOOKUP(A98,'Feature Raw Data'!$A$3:$B$4000,2,FALSE)</f>
        <v>SCPM</v>
      </c>
      <c r="C98" s="400" t="str">
        <f>VLOOKUP(A98,'Feature Raw Data'!$A$3:$C$4209,3,FALSE)</f>
        <v>P1</v>
      </c>
      <c r="D98" s="401" t="str" cm="1">
        <f t="array" ref="D98">_xlfn.TEXTJOIN("",TRUE,IF(ISNUMBER(SEARCH($A98,'Diags Raw Data'!$A$6:$A$3703)),CONCATENATE('Diags Raw Data'!$H$6:$H$3703,", "),""))</f>
        <v xml:space="preserve">scpm-security, </v>
      </c>
      <c r="E98" s="327" t="str">
        <f>VLOOKUP(A98,'Diags Raw Data'!$A$12:$D$3703,4,FALSE)</f>
        <v>PMM</v>
      </c>
      <c r="F98" s="402" t="str">
        <f>VLOOKUP(A98,'Feature Raw Data'!$A$3:$E$4000,5,FALSE)</f>
        <v>Legacy</v>
      </c>
      <c r="G98" s="327" t="s">
        <v>31</v>
      </c>
      <c r="H98" s="327" t="s">
        <v>31</v>
      </c>
      <c r="I98" s="405">
        <f>SUMIF('Diags Raw Data'!$A$12:$A$3703,"*"&amp;$A98&amp;"*",'Diags Raw Data'!$K$12:$K$3703)</f>
        <v>1</v>
      </c>
      <c r="J98" s="406">
        <f>SUMIF('Diags Raw Data'!$A$12:$A$3703,"*"&amp;$A98&amp;"*",'Diags Raw Data'!$L$12:$L$3703)</f>
        <v>1</v>
      </c>
      <c r="K98" s="432" cm="1">
        <f t="array" ref="K98">IF(D98="",0, SUMPRODUCT(--(ISNUMBER(SEARCH($A98,'Diags Raw Data'!$A$12:$A$3703))),'Diags Raw Data'!$L$12:$L$3703,'Diags Raw Data'!$N$12:$N$3703)/J98)</f>
        <v>1</v>
      </c>
      <c r="L98" s="433" cm="1">
        <f t="array" ref="L98">IF(D98="",0, SUMPRODUCT(--(ISNUMBER(SEARCH($A98,'Diags Raw Data'!$A$12:$A$3703))),'Diags Raw Data'!$L$12:$L$3703,'Diags Raw Data'!$P$12:$P$3703)/J98)</f>
        <v>1</v>
      </c>
      <c r="M98" s="434" cm="1">
        <f t="array" ref="M98">SUMPRODUCT(--(ISNUMBER(SEARCH($A98,'Diags Raw Data'!$A$12:$A$3703))),--('Diags Raw Data'!$Q$12:$Q$3703&lt;&gt;"N/A"),'Diags Raw Data'!$R$12:$R$3703)</f>
        <v>1</v>
      </c>
      <c r="N98" s="435" cm="1">
        <f t="array" ref="N98">SUMPRODUCT(--(ISNUMBER(SEARCH($A98,'Diags Raw Data'!$A$12:$A$3703))),--('Diags Raw Data'!$Q$12:$Q$3703&lt;&gt;"N/A"),'Diags Raw Data'!$T$12:$T$3703)+SUMPRODUCT(--(ISNUMBER(SEARCH($A98,'Diags Raw Data'!$A$12:$A$3703))),--('Diags Raw Data'!$Q$12:$Q$3703&lt;&gt;"N/A"),'Diags Raw Data'!$U$12:$U$3703)</f>
        <v>1</v>
      </c>
      <c r="O98" s="436">
        <f t="shared" ref="O98:O103" si="119">IF((M98=0),0,N98/M98)</f>
        <v>1</v>
      </c>
      <c r="P98" s="437">
        <f>SUMIF('Diags Raw Data'!$A$12:$A$3703,"*"&amp;$A98&amp;"*",'Diags Raw Data'!$Z$12:$Z$3703)</f>
        <v>0</v>
      </c>
      <c r="Q98" s="438">
        <f>SUM(SUMIF('Diags Raw Data'!$A$12:$A$3703,"*"&amp;$A98&amp;"*",'Diags Raw Data'!$AA$12:$AA$3703),SUMIF('Diags Raw Data'!$A$12:$A$3703,"*"&amp;$A98&amp;"*",'Diags Raw Data'!$AB$12:$AB$3703))</f>
        <v>0</v>
      </c>
      <c r="R98" s="439">
        <f t="shared" si="103"/>
        <v>0</v>
      </c>
      <c r="S98" s="439">
        <f t="shared" ref="S98:S103" si="120">IF((P98=0),0,Q98/P98)</f>
        <v>0</v>
      </c>
      <c r="T98" s="440">
        <f t="shared" ref="T98:T103" si="121">R98*S98</f>
        <v>0</v>
      </c>
      <c r="U98" s="407" t="s">
        <v>638</v>
      </c>
      <c r="Z98" s="178">
        <v>1</v>
      </c>
    </row>
    <row r="99" spans="1:26" ht="15.75" hidden="1" thickBot="1" x14ac:dyDescent="0.3">
      <c r="A99" s="399" t="s">
        <v>580</v>
      </c>
      <c r="B99" s="404" t="str">
        <f>VLOOKUP(A99,'Feature Raw Data'!$A$3:$B$4000,2,FALSE)</f>
        <v>DCS</v>
      </c>
      <c r="C99" s="400" t="str">
        <f>VLOOKUP(A99,'Feature Raw Data'!$A$3:$C$4209,3,FALSE)</f>
        <v>P2</v>
      </c>
      <c r="D99" s="401" t="str" cm="1">
        <f t="array" ref="D99">_xlfn.TEXTJOIN("",TRUE,IF(ISNUMBER(SEARCH($A99,'Diags Raw Data'!$A$12:$A$3703)),CONCATENATE('Diags Raw Data'!$H$12:$H$3703,", "),""))</f>
        <v/>
      </c>
      <c r="E99" s="327" t="e">
        <f>VLOOKUP(A99,'Diags Raw Data'!$A$12:$D$3703,4,FALSE)</f>
        <v>#N/A</v>
      </c>
      <c r="F99" s="402" t="str">
        <f>VLOOKUP(A99,'Feature Raw Data'!$A$3:$E$4000,5,FALSE)</f>
        <v>Delta</v>
      </c>
      <c r="G99" s="327" t="s">
        <v>31</v>
      </c>
      <c r="H99" s="327" t="s">
        <v>36</v>
      </c>
      <c r="I99" s="405">
        <f>SUMIF('Diags Raw Data'!$A$12:$A$3703,"*"&amp;$A99&amp;"*",'Diags Raw Data'!$K$12:$K$3703)</f>
        <v>0</v>
      </c>
      <c r="J99" s="406">
        <f>SUMIF('Diags Raw Data'!$A$12:$A$3703,"*"&amp;$A99&amp;"*",'Diags Raw Data'!$L$12:$L$3703)</f>
        <v>0</v>
      </c>
      <c r="K99" s="432" cm="1">
        <f t="array" ref="K99">IF(D99="",0, SUMPRODUCT(--(ISNUMBER(SEARCH($A99,'Diags Raw Data'!$A$12:$A$3703))),'Diags Raw Data'!$L$12:$L$3703,'Diags Raw Data'!$N$12:$N$3703)/J99)</f>
        <v>0</v>
      </c>
      <c r="L99" s="433" cm="1">
        <f t="array" ref="L99">IF(D99="",0, SUMPRODUCT(--(ISNUMBER(SEARCH($A99,'Diags Raw Data'!$A$12:$A$3703))),'Diags Raw Data'!$L$12:$L$3703,'Diags Raw Data'!$P$12:$P$3703)/J99)</f>
        <v>0</v>
      </c>
      <c r="M99" s="434" cm="1">
        <f t="array" ref="M99">SUMPRODUCT(--(ISNUMBER(SEARCH($A99,'Diags Raw Data'!$A$12:$A$3703))),--('Diags Raw Data'!$Q$12:$Q$3703&lt;&gt;"N/A"),'Diags Raw Data'!$R$12:$R$3703)</f>
        <v>0</v>
      </c>
      <c r="N99" s="435" cm="1">
        <f t="array" ref="N99">SUMPRODUCT(--(ISNUMBER(SEARCH($A99,'Diags Raw Data'!$A$12:$A$3703))),--('Diags Raw Data'!$Q$12:$Q$3703&lt;&gt;"N/A"),'Diags Raw Data'!$T$12:$T$3703)+SUMPRODUCT(--(ISNUMBER(SEARCH($A99,'Diags Raw Data'!$A$12:$A$3703))),--('Diags Raw Data'!$Q$12:$Q$3703&lt;&gt;"N/A"),'Diags Raw Data'!$U$12:$U$3703)</f>
        <v>0</v>
      </c>
      <c r="O99" s="436">
        <f t="shared" si="119"/>
        <v>0</v>
      </c>
      <c r="P99" s="437">
        <f>SUMIF('Diags Raw Data'!$A$12:$A$3703,"*"&amp;$A99&amp;"*",'Diags Raw Data'!$Z$12:$Z$3703)</f>
        <v>0</v>
      </c>
      <c r="Q99" s="438">
        <f>SUM(SUMIF('Diags Raw Data'!$A$12:$A$3703,"*"&amp;$A99&amp;"*",'Diags Raw Data'!$AA$12:$AA$3703),SUMIF('Diags Raw Data'!$A$12:$A$3703,"*"&amp;$A99&amp;"*",'Diags Raw Data'!$AB$12:$AB$3703))</f>
        <v>0</v>
      </c>
      <c r="R99" s="439">
        <f t="shared" ref="R99:R100" si="122">IF((J99=0),0,P99/J99)</f>
        <v>0</v>
      </c>
      <c r="S99" s="439">
        <f t="shared" si="120"/>
        <v>0</v>
      </c>
      <c r="T99" s="440">
        <f t="shared" si="121"/>
        <v>0</v>
      </c>
      <c r="U99" s="407"/>
    </row>
    <row r="100" spans="1:26" ht="15.75" hidden="1" thickBot="1" x14ac:dyDescent="0.3">
      <c r="A100" s="399" t="s">
        <v>582</v>
      </c>
      <c r="B100" s="404" t="str">
        <f>VLOOKUP(A100,'Feature Raw Data'!$A$3:$B$4000,2,FALSE)</f>
        <v>Metrix Table</v>
      </c>
      <c r="C100" s="400" t="str">
        <f>VLOOKUP(A100,'Feature Raw Data'!$A$3:$C$4209,3,FALSE)</f>
        <v>P3</v>
      </c>
      <c r="D100" s="401" t="str" cm="1">
        <f t="array" ref="D100">_xlfn.TEXTJOIN("",TRUE,IF(ISNUMBER(SEARCH($A100,'Diags Raw Data'!$A$12:$A$3703)),CONCATENATE('Diags Raw Data'!$H$12:$H$3703,", "),""))</f>
        <v/>
      </c>
      <c r="E100" s="327" t="e">
        <f>VLOOKUP(A100,'Diags Raw Data'!$A$12:$D$3703,4,FALSE)</f>
        <v>#N/A</v>
      </c>
      <c r="F100" s="402" t="str">
        <f>VLOOKUP(A100,'Feature Raw Data'!$A$3:$E$4000,5,FALSE)</f>
        <v>Legacy</v>
      </c>
      <c r="G100" s="327" t="s">
        <v>31</v>
      </c>
      <c r="H100" s="327" t="s">
        <v>36</v>
      </c>
      <c r="I100" s="405">
        <f>SUMIF('Diags Raw Data'!$A$12:$A$3703,"*"&amp;$A100&amp;"*",'Diags Raw Data'!$K$12:$K$3703)</f>
        <v>0</v>
      </c>
      <c r="J100" s="406">
        <f>SUMIF('Diags Raw Data'!$A$12:$A$3703,"*"&amp;$A100&amp;"*",'Diags Raw Data'!$L$12:$L$3703)</f>
        <v>0</v>
      </c>
      <c r="K100" s="432" cm="1">
        <f t="array" ref="K100">IF(D100="",0, SUMPRODUCT(--(ISNUMBER(SEARCH($A100,'Diags Raw Data'!$A$12:$A$3703))),'Diags Raw Data'!$L$12:$L$3703,'Diags Raw Data'!$N$12:$N$3703)/J100)</f>
        <v>0</v>
      </c>
      <c r="L100" s="433" cm="1">
        <f t="array" ref="L100">IF(D100="",0, SUMPRODUCT(--(ISNUMBER(SEARCH($A100,'Diags Raw Data'!$A$12:$A$3703))),'Diags Raw Data'!$L$12:$L$3703,'Diags Raw Data'!$P$12:$P$3703)/J100)</f>
        <v>0</v>
      </c>
      <c r="M100" s="434" cm="1">
        <f t="array" ref="M100">SUMPRODUCT(--(ISNUMBER(SEARCH($A100,'Diags Raw Data'!$A$12:$A$3703))),--('Diags Raw Data'!$Q$12:$Q$3703&lt;&gt;"N/A"),'Diags Raw Data'!$R$12:$R$3703)</f>
        <v>0</v>
      </c>
      <c r="N100" s="435" cm="1">
        <f t="array" ref="N100">SUMPRODUCT(--(ISNUMBER(SEARCH($A100,'Diags Raw Data'!$A$12:$A$3703))),--('Diags Raw Data'!$Q$12:$Q$3703&lt;&gt;"N/A"),'Diags Raw Data'!$T$12:$T$3703)+SUMPRODUCT(--(ISNUMBER(SEARCH($A100,'Diags Raw Data'!$A$12:$A$3703))),--('Diags Raw Data'!$Q$12:$Q$3703&lt;&gt;"N/A"),'Diags Raw Data'!$U$12:$U$3703)</f>
        <v>0</v>
      </c>
      <c r="O100" s="436">
        <f t="shared" ref="O100" si="123">IF((M100=0),0,N100/M100)</f>
        <v>0</v>
      </c>
      <c r="P100" s="437">
        <f>SUMIF('Diags Raw Data'!$A$12:$A$3703,"*"&amp;$A100&amp;"*",'Diags Raw Data'!$Z$12:$Z$3703)</f>
        <v>0</v>
      </c>
      <c r="Q100" s="438">
        <f>SUM(SUMIF('Diags Raw Data'!$A$12:$A$3703,"*"&amp;$A100&amp;"*",'Diags Raw Data'!$AA$12:$AA$3703),SUMIF('Diags Raw Data'!$A$12:$A$3703,"*"&amp;$A100&amp;"*",'Diags Raw Data'!$AB$12:$AB$3703))</f>
        <v>0</v>
      </c>
      <c r="R100" s="439">
        <f t="shared" si="122"/>
        <v>0</v>
      </c>
      <c r="S100" s="439">
        <f t="shared" ref="S100" si="124">IF((P100=0),0,Q100/P100)</f>
        <v>0</v>
      </c>
      <c r="T100" s="440">
        <f t="shared" ref="T100" si="125">R100*S100</f>
        <v>0</v>
      </c>
      <c r="U100" s="407"/>
    </row>
    <row r="101" spans="1:26" ht="15.75" thickBot="1" x14ac:dyDescent="0.3">
      <c r="A101" s="399" t="s">
        <v>429</v>
      </c>
      <c r="B101" s="404" t="str">
        <f>VLOOKUP(A101,'Feature Raw Data'!$A$3:$B$4000,2,FALSE)</f>
        <v>PPTable</v>
      </c>
      <c r="C101" s="400" t="str">
        <f>VLOOKUP(A101,'Feature Raw Data'!$A$3:$C$4209,3,FALSE)</f>
        <v>P2</v>
      </c>
      <c r="D101" s="401" t="str" cm="1">
        <f t="array" ref="D101">_xlfn.TEXTJOIN("",TRUE,IF(ISNUMBER(SEARCH($A101,'Diags Raw Data'!$A$6:$A$3703)),CONCATENATE('Diags Raw Data'!$H$6:$H$3703,", "),""))</f>
        <v xml:space="preserve">PMxx.xx.9, </v>
      </c>
      <c r="E101" s="327" t="str">
        <f>VLOOKUP(A101,'Diags Raw Data'!$A$12:$D$3703,4,FALSE)</f>
        <v>PMM</v>
      </c>
      <c r="F101" s="402" t="str">
        <f>VLOOKUP(A101,'Feature Raw Data'!$A$3:$E$4000,5,FALSE)</f>
        <v>Delta</v>
      </c>
      <c r="G101" s="327" t="s">
        <v>31</v>
      </c>
      <c r="H101" s="506" t="s">
        <v>31</v>
      </c>
      <c r="I101" s="405">
        <v>1</v>
      </c>
      <c r="J101" s="406">
        <v>1</v>
      </c>
      <c r="K101" s="432" cm="1">
        <f t="array" ref="K101">IF(D101="",0, SUMPRODUCT(--(ISNUMBER(SEARCH($A101,'Diags Raw Data'!$A$12:$A$3703))),'Diags Raw Data'!$L$12:$L$3703,'Diags Raw Data'!$N$12:$N$3703)/J101)</f>
        <v>1</v>
      </c>
      <c r="L101" s="433" cm="1">
        <f t="array" ref="L101">IF(D101="",0, SUMPRODUCT(--(ISNUMBER(SEARCH($A101,'Diags Raw Data'!$A$12:$A$3703))),'Diags Raw Data'!$L$12:$L$3703,'Diags Raw Data'!$P$12:$P$3703)/J101)</f>
        <v>1</v>
      </c>
      <c r="M101" s="434" cm="1">
        <f t="array" ref="M101">SUMPRODUCT(--(ISNUMBER(SEARCH($A101,'Diags Raw Data'!$A$12:$A$3703))),--('Diags Raw Data'!$Q$12:$Q$3703&lt;&gt;"N/A"),'Diags Raw Data'!$R$12:$R$3703)</f>
        <v>1</v>
      </c>
      <c r="N101" s="435" cm="1">
        <f t="array" ref="N101">SUMPRODUCT(--(ISNUMBER(SEARCH($A101,'Diags Raw Data'!$A$12:$A$3703))),--('Diags Raw Data'!$Q$12:$Q$3703&lt;&gt;"N/A"),'Diags Raw Data'!$T$12:$T$3703)+SUMPRODUCT(--(ISNUMBER(SEARCH($A101,'Diags Raw Data'!$A$12:$A$3703))),--('Diags Raw Data'!$Q$12:$Q$3703&lt;&gt;"N/A"),'Diags Raw Data'!$U$12:$U$3703)</f>
        <v>1</v>
      </c>
      <c r="O101" s="436">
        <f t="shared" ref="O101:O102" si="126">IF((M101=0),0,N101/M101)</f>
        <v>1</v>
      </c>
      <c r="P101" s="437">
        <f>SUMIF('Diags Raw Data'!$A$12:$A$3703,"*"&amp;$A101&amp;"*",'Diags Raw Data'!$Z$12:$Z$3703)</f>
        <v>0</v>
      </c>
      <c r="Q101" s="438">
        <f>SUM(SUMIF('Diags Raw Data'!$A$12:$A$3703,"*"&amp;$A101&amp;"*",'Diags Raw Data'!$AA$12:$AA$3703),SUMIF('Diags Raw Data'!$A$12:$A$3703,"*"&amp;$A101&amp;"*",'Diags Raw Data'!$AB$12:$AB$3703))</f>
        <v>0</v>
      </c>
      <c r="R101" s="439">
        <f t="shared" si="103"/>
        <v>0</v>
      </c>
      <c r="S101" s="439">
        <f t="shared" ref="S101:S102" si="127">IF((P101=0),0,Q101/P101)</f>
        <v>0</v>
      </c>
      <c r="T101" s="440">
        <f t="shared" ref="T101:T102" si="128">R101*S101</f>
        <v>0</v>
      </c>
      <c r="U101" s="407" t="s">
        <v>636</v>
      </c>
      <c r="W101" s="178">
        <v>1</v>
      </c>
    </row>
    <row r="102" spans="1:26" ht="15.75" hidden="1" thickBot="1" x14ac:dyDescent="0.3">
      <c r="A102" s="399" t="s">
        <v>584</v>
      </c>
      <c r="B102" s="404" t="str">
        <f>VLOOKUP(A102,'Feature Raw Data'!$A$3:$B$4000,2,FALSE)</f>
        <v>Watermark Table</v>
      </c>
      <c r="C102" s="400" t="str">
        <f>VLOOKUP(A102,'Feature Raw Data'!$A$3:$C$4209,3,FALSE)</f>
        <v>P3</v>
      </c>
      <c r="D102" s="401" t="str" cm="1">
        <f t="array" ref="D102">_xlfn.TEXTJOIN("",TRUE,IF(ISNUMBER(SEARCH($A102,'Diags Raw Data'!$A$12:$A$3703)),CONCATENATE('Diags Raw Data'!$H$12:$H$3703,", "),""))</f>
        <v/>
      </c>
      <c r="E102" s="327" t="e">
        <f>VLOOKUP(A102,'Diags Raw Data'!$A$12:$D$3703,4,FALSE)</f>
        <v>#N/A</v>
      </c>
      <c r="F102" s="402" t="str">
        <f>VLOOKUP(A102,'Feature Raw Data'!$A$3:$E$4000,5,FALSE)</f>
        <v>Legacy</v>
      </c>
      <c r="G102" s="327" t="s">
        <v>31</v>
      </c>
      <c r="H102" s="327" t="s">
        <v>36</v>
      </c>
      <c r="I102" s="405">
        <f>SUMIF('Diags Raw Data'!$A$12:$A$3703,"*"&amp;$A102&amp;"*",'Diags Raw Data'!$K$12:$K$3703)</f>
        <v>0</v>
      </c>
      <c r="J102" s="406">
        <f>SUMIF('Diags Raw Data'!$A$12:$A$3703,"*"&amp;$A102&amp;"*",'Diags Raw Data'!$L$12:$L$3703)</f>
        <v>0</v>
      </c>
      <c r="K102" s="432" cm="1">
        <f t="array" ref="K102">IF(D102="",0, SUMPRODUCT(--(ISNUMBER(SEARCH($A102,'Diags Raw Data'!$A$12:$A$3703))),'Diags Raw Data'!$L$12:$L$3703,'Diags Raw Data'!$N$12:$N$3703)/J102)</f>
        <v>0</v>
      </c>
      <c r="L102" s="433" cm="1">
        <f t="array" ref="L102">IF(D102="",0, SUMPRODUCT(--(ISNUMBER(SEARCH($A102,'Diags Raw Data'!$A$12:$A$3703))),'Diags Raw Data'!$L$12:$L$3703,'Diags Raw Data'!$P$12:$P$3703)/J102)</f>
        <v>0</v>
      </c>
      <c r="M102" s="434" cm="1">
        <f t="array" ref="M102">SUMPRODUCT(--(ISNUMBER(SEARCH($A102,'Diags Raw Data'!$A$12:$A$3703))),--('Diags Raw Data'!$Q$12:$Q$3703&lt;&gt;"N/A"),'Diags Raw Data'!$R$12:$R$3703)</f>
        <v>0</v>
      </c>
      <c r="N102" s="435" cm="1">
        <f t="array" ref="N102">SUMPRODUCT(--(ISNUMBER(SEARCH($A102,'Diags Raw Data'!$A$12:$A$3703))),--('Diags Raw Data'!$Q$12:$Q$3703&lt;&gt;"N/A"),'Diags Raw Data'!$T$12:$T$3703)+SUMPRODUCT(--(ISNUMBER(SEARCH($A102,'Diags Raw Data'!$A$12:$A$3703))),--('Diags Raw Data'!$Q$12:$Q$3703&lt;&gt;"N/A"),'Diags Raw Data'!$U$12:$U$3703)</f>
        <v>0</v>
      </c>
      <c r="O102" s="436">
        <f t="shared" si="126"/>
        <v>0</v>
      </c>
      <c r="P102" s="437">
        <f>SUMIF('Diags Raw Data'!$A$12:$A$3703,"*"&amp;$A102&amp;"*",'Diags Raw Data'!$Z$12:$Z$3703)</f>
        <v>0</v>
      </c>
      <c r="Q102" s="438">
        <f>SUM(SUMIF('Diags Raw Data'!$A$12:$A$3703,"*"&amp;$A102&amp;"*",'Diags Raw Data'!$AA$12:$AA$3703),SUMIF('Diags Raw Data'!$A$12:$A$3703,"*"&amp;$A102&amp;"*",'Diags Raw Data'!$AB$12:$AB$3703))</f>
        <v>0</v>
      </c>
      <c r="R102" s="439">
        <f t="shared" ref="R102" si="129">IF((J102=0),0,P102/J102)</f>
        <v>0</v>
      </c>
      <c r="S102" s="439">
        <f t="shared" si="127"/>
        <v>0</v>
      </c>
      <c r="T102" s="440">
        <f t="shared" si="128"/>
        <v>0</v>
      </c>
      <c r="U102" s="407"/>
    </row>
    <row r="103" spans="1:26" ht="15.75" hidden="1" thickBot="1" x14ac:dyDescent="0.3">
      <c r="A103" s="399" t="s">
        <v>586</v>
      </c>
      <c r="B103" s="404" t="str">
        <f>VLOOKUP(A103,'Feature Raw Data'!$A$3:$B$4000,2,FALSE)</f>
        <v>Active Monitor Control</v>
      </c>
      <c r="C103" s="400" t="str">
        <f>VLOOKUP(A103,'Feature Raw Data'!$A$3:$C$4209,3,FALSE)</f>
        <v>P3</v>
      </c>
      <c r="D103" s="401" t="str" cm="1">
        <f t="array" ref="D103">_xlfn.TEXTJOIN("",TRUE,IF(ISNUMBER(SEARCH($A103,'Diags Raw Data'!$A$12:$A$3703)),CONCATENATE('Diags Raw Data'!$H$12:$H$3703,", "),""))</f>
        <v/>
      </c>
      <c r="E103" s="327" t="e">
        <f>VLOOKUP(A103,'Diags Raw Data'!$A$12:$D$3703,4,FALSE)</f>
        <v>#N/A</v>
      </c>
      <c r="F103" s="402" t="str">
        <f>VLOOKUP(A103,'Feature Raw Data'!$A$3:$E$4000,5,FALSE)</f>
        <v>Legacy</v>
      </c>
      <c r="G103" s="327" t="s">
        <v>31</v>
      </c>
      <c r="H103" s="327" t="s">
        <v>36</v>
      </c>
      <c r="I103" s="405">
        <f>SUMIF('Diags Raw Data'!$A$12:$A$3703,"*"&amp;$A103&amp;"*",'Diags Raw Data'!$K$12:$K$3703)</f>
        <v>0</v>
      </c>
      <c r="J103" s="406">
        <f>SUMIF('Diags Raw Data'!$A$12:$A$3703,"*"&amp;$A103&amp;"*",'Diags Raw Data'!$L$12:$L$3703)</f>
        <v>0</v>
      </c>
      <c r="K103" s="432" cm="1">
        <f t="array" ref="K103">IF(D103="",0, SUMPRODUCT(--(ISNUMBER(SEARCH($A103,'Diags Raw Data'!$A$12:$A$3703))),'Diags Raw Data'!$L$12:$L$3703,'Diags Raw Data'!$N$12:$N$3703)/J103)</f>
        <v>0</v>
      </c>
      <c r="L103" s="433" cm="1">
        <f t="array" ref="L103">IF(D103="",0, SUMPRODUCT(--(ISNUMBER(SEARCH($A103,'Diags Raw Data'!$A$12:$A$3703))),'Diags Raw Data'!$L$12:$L$3703,'Diags Raw Data'!$P$12:$P$3703)/J103)</f>
        <v>0</v>
      </c>
      <c r="M103" s="434" cm="1">
        <f t="array" ref="M103">SUMPRODUCT(--(ISNUMBER(SEARCH($A103,'Diags Raw Data'!$A$12:$A$3703))),--('Diags Raw Data'!$Q$12:$Q$3703&lt;&gt;"N/A"),'Diags Raw Data'!$R$12:$R$3703)</f>
        <v>0</v>
      </c>
      <c r="N103" s="435" cm="1">
        <f t="array" ref="N103">SUMPRODUCT(--(ISNUMBER(SEARCH($A103,'Diags Raw Data'!$A$12:$A$3703))),--('Diags Raw Data'!$Q$12:$Q$3703&lt;&gt;"N/A"),'Diags Raw Data'!$T$12:$T$3703)+SUMPRODUCT(--(ISNUMBER(SEARCH($A103,'Diags Raw Data'!$A$12:$A$3703))),--('Diags Raw Data'!$Q$12:$Q$3703&lt;&gt;"N/A"),'Diags Raw Data'!$U$12:$U$3703)</f>
        <v>0</v>
      </c>
      <c r="O103" s="436">
        <f t="shared" si="119"/>
        <v>0</v>
      </c>
      <c r="P103" s="437">
        <f>SUMIF('Diags Raw Data'!$A$12:$A$3703,"*"&amp;$A103&amp;"*",'Diags Raw Data'!$Z$12:$Z$3703)</f>
        <v>0</v>
      </c>
      <c r="Q103" s="438">
        <f>SUM(SUMIF('Diags Raw Data'!$A$12:$A$3703,"*"&amp;$A103&amp;"*",'Diags Raw Data'!$AA$12:$AA$3703),SUMIF('Diags Raw Data'!$A$12:$A$3703,"*"&amp;$A103&amp;"*",'Diags Raw Data'!$AB$12:$AB$3703))</f>
        <v>0</v>
      </c>
      <c r="R103" s="439">
        <f t="shared" ref="R103" si="130">IF((J103=0),0,P103/J103)</f>
        <v>0</v>
      </c>
      <c r="S103" s="439">
        <f t="shared" si="120"/>
        <v>0</v>
      </c>
      <c r="T103" s="440">
        <f t="shared" si="121"/>
        <v>0</v>
      </c>
      <c r="U103" s="407"/>
    </row>
    <row r="104" spans="1:26" ht="15.75" hidden="1" thickBot="1" x14ac:dyDescent="0.3">
      <c r="A104" s="399" t="s">
        <v>588</v>
      </c>
      <c r="B104" s="404" t="str">
        <f>VLOOKUP(A104,'Feature Raw Data'!$A$3:$B$4000,2,FALSE)</f>
        <v>ECC table</v>
      </c>
      <c r="C104" s="400" t="str">
        <f>VLOOKUP(A104,'Feature Raw Data'!$A$3:$C$4209,3,FALSE)</f>
        <v>P3</v>
      </c>
      <c r="D104" s="401" t="str" cm="1">
        <f t="array" ref="D104">_xlfn.TEXTJOIN("",TRUE,IF(ISNUMBER(SEARCH($A104,'Diags Raw Data'!$A$12:$A$3703)),CONCATENATE('Diags Raw Data'!$H$12:$H$3703,", "),""))</f>
        <v/>
      </c>
      <c r="E104" s="327" t="e">
        <f>VLOOKUP(A104,'Diags Raw Data'!$A$12:$D$3703,4,FALSE)</f>
        <v>#N/A</v>
      </c>
      <c r="F104" s="402" t="str">
        <f>VLOOKUP(A104,'Feature Raw Data'!$A$3:$E$4000,5,FALSE)</f>
        <v>Legacy</v>
      </c>
      <c r="G104" s="327" t="s">
        <v>31</v>
      </c>
      <c r="H104" s="327" t="s">
        <v>36</v>
      </c>
      <c r="I104" s="405">
        <f>SUMIF('Diags Raw Data'!$A$12:$A$3703,"*"&amp;$A104&amp;"*",'Diags Raw Data'!$K$12:$K$3703)</f>
        <v>0</v>
      </c>
      <c r="J104" s="406">
        <f>SUMIF('Diags Raw Data'!$A$12:$A$3703,"*"&amp;$A104&amp;"*",'Diags Raw Data'!$L$12:$L$3703)</f>
        <v>0</v>
      </c>
      <c r="K104" s="432" cm="1">
        <f t="array" ref="K104">IF(D104="",0, SUMPRODUCT(--(ISNUMBER(SEARCH($A104,'Diags Raw Data'!$A$12:$A$3703))),'Diags Raw Data'!$L$12:$L$3703,'Diags Raw Data'!$N$12:$N$3703)/J104)</f>
        <v>0</v>
      </c>
      <c r="L104" s="433" cm="1">
        <f t="array" ref="L104">IF(D104="",0, SUMPRODUCT(--(ISNUMBER(SEARCH($A104,'Diags Raw Data'!$A$12:$A$3703))),'Diags Raw Data'!$L$12:$L$3703,'Diags Raw Data'!$P$12:$P$3703)/J104)</f>
        <v>0</v>
      </c>
      <c r="M104" s="434" cm="1">
        <f t="array" ref="M104">SUMPRODUCT(--(ISNUMBER(SEARCH($A104,'Diags Raw Data'!$A$12:$A$3703))),--('Diags Raw Data'!$Q$12:$Q$3703&lt;&gt;"N/A"),'Diags Raw Data'!$R$12:$R$3703)</f>
        <v>0</v>
      </c>
      <c r="N104" s="435" cm="1">
        <f t="array" ref="N104">SUMPRODUCT(--(ISNUMBER(SEARCH($A104,'Diags Raw Data'!$A$12:$A$3703))),--('Diags Raw Data'!$Q$12:$Q$3703&lt;&gt;"N/A"),'Diags Raw Data'!$T$12:$T$3703)+SUMPRODUCT(--(ISNUMBER(SEARCH($A104,'Diags Raw Data'!$A$12:$A$3703))),--('Diags Raw Data'!$Q$12:$Q$3703&lt;&gt;"N/A"),'Diags Raw Data'!$U$12:$U$3703)</f>
        <v>0</v>
      </c>
      <c r="O104" s="436">
        <f t="shared" ref="O104:O106" si="131">IF((M104=0),0,N104/M104)</f>
        <v>0</v>
      </c>
      <c r="P104" s="437">
        <f>SUMIF('Diags Raw Data'!$A$12:$A$3703,"*"&amp;$A104&amp;"*",'Diags Raw Data'!$Z$12:$Z$3703)</f>
        <v>0</v>
      </c>
      <c r="Q104" s="438">
        <f>SUM(SUMIF('Diags Raw Data'!$A$12:$A$3703,"*"&amp;$A104&amp;"*",'Diags Raw Data'!$AA$12:$AA$3703),SUMIF('Diags Raw Data'!$A$12:$A$3703,"*"&amp;$A104&amp;"*",'Diags Raw Data'!$AB$12:$AB$3703))</f>
        <v>0</v>
      </c>
      <c r="R104" s="439">
        <f t="shared" si="103"/>
        <v>0</v>
      </c>
      <c r="S104" s="439">
        <f t="shared" ref="S104:S106" si="132">IF((P104=0),0,Q104/P104)</f>
        <v>0</v>
      </c>
      <c r="T104" s="440">
        <f t="shared" ref="T104:T106" si="133">R104*S104</f>
        <v>0</v>
      </c>
      <c r="U104" s="407"/>
    </row>
    <row r="105" spans="1:26" ht="15.75" hidden="1" thickBot="1" x14ac:dyDescent="0.3">
      <c r="A105" s="399" t="s">
        <v>590</v>
      </c>
      <c r="B105" s="404" t="str">
        <f>VLOOKUP(A105,'Feature Raw Data'!$A$3:$B$4000,2,FALSE)</f>
        <v>Smart Shift</v>
      </c>
      <c r="C105" s="400" t="str">
        <f>VLOOKUP(A105,'Feature Raw Data'!$A$3:$C$4209,3,FALSE)</f>
        <v>P3</v>
      </c>
      <c r="D105" s="401" t="str" cm="1">
        <f t="array" ref="D105">_xlfn.TEXTJOIN("",TRUE,IF(ISNUMBER(SEARCH($A105,'Diags Raw Data'!$A$12:$A$3703)),CONCATENATE('Diags Raw Data'!$H$12:$H$3703,", "),""))</f>
        <v/>
      </c>
      <c r="E105" s="327" t="e">
        <f>VLOOKUP(A105,'Diags Raw Data'!$A$12:$D$3703,4,FALSE)</f>
        <v>#N/A</v>
      </c>
      <c r="F105" s="402" t="str">
        <f>VLOOKUP(A105,'Feature Raw Data'!$A$3:$E$4000,5,FALSE)</f>
        <v>Legacy</v>
      </c>
      <c r="G105" s="327" t="s">
        <v>31</v>
      </c>
      <c r="H105" s="327" t="s">
        <v>36</v>
      </c>
      <c r="I105" s="405">
        <f>SUMIF('Diags Raw Data'!$A$12:$A$3703,"*"&amp;$A105&amp;"*",'Diags Raw Data'!$K$12:$K$3703)</f>
        <v>0</v>
      </c>
      <c r="J105" s="406">
        <f>SUMIF('Diags Raw Data'!$A$12:$A$3703,"*"&amp;$A105&amp;"*",'Diags Raw Data'!$L$12:$L$3703)</f>
        <v>0</v>
      </c>
      <c r="K105" s="432" cm="1">
        <f t="array" ref="K105">IF(D105="",0, SUMPRODUCT(--(ISNUMBER(SEARCH($A105,'Diags Raw Data'!$A$12:$A$3703))),'Diags Raw Data'!$L$12:$L$3703,'Diags Raw Data'!$N$12:$N$3703)/J105)</f>
        <v>0</v>
      </c>
      <c r="L105" s="433" cm="1">
        <f t="array" ref="L105">IF(D105="",0, SUMPRODUCT(--(ISNUMBER(SEARCH($A105,'Diags Raw Data'!$A$12:$A$3703))),'Diags Raw Data'!$L$12:$L$3703,'Diags Raw Data'!$P$12:$P$3703)/J105)</f>
        <v>0</v>
      </c>
      <c r="M105" s="434" cm="1">
        <f t="array" ref="M105">SUMPRODUCT(--(ISNUMBER(SEARCH($A105,'Diags Raw Data'!$A$12:$A$3703))),--('Diags Raw Data'!$Q$12:$Q$3703&lt;&gt;"N/A"),'Diags Raw Data'!$R$12:$R$3703)</f>
        <v>0</v>
      </c>
      <c r="N105" s="435" cm="1">
        <f t="array" ref="N105">SUMPRODUCT(--(ISNUMBER(SEARCH($A105,'Diags Raw Data'!$A$12:$A$3703))),--('Diags Raw Data'!$Q$12:$Q$3703&lt;&gt;"N/A"),'Diags Raw Data'!$T$12:$T$3703)+SUMPRODUCT(--(ISNUMBER(SEARCH($A105,'Diags Raw Data'!$A$12:$A$3703))),--('Diags Raw Data'!$Q$12:$Q$3703&lt;&gt;"N/A"),'Diags Raw Data'!$U$12:$U$3703)</f>
        <v>0</v>
      </c>
      <c r="O105" s="436">
        <f t="shared" si="131"/>
        <v>0</v>
      </c>
      <c r="P105" s="437">
        <f>SUMIF('Diags Raw Data'!$A$12:$A$3703,"*"&amp;$A105&amp;"*",'Diags Raw Data'!$Z$12:$Z$3703)</f>
        <v>0</v>
      </c>
      <c r="Q105" s="438">
        <f>SUM(SUMIF('Diags Raw Data'!$A$12:$A$3703,"*"&amp;$A105&amp;"*",'Diags Raw Data'!$AA$12:$AA$3703),SUMIF('Diags Raw Data'!$A$12:$A$3703,"*"&amp;$A105&amp;"*",'Diags Raw Data'!$AB$12:$AB$3703))</f>
        <v>0</v>
      </c>
      <c r="R105" s="439">
        <f t="shared" si="103"/>
        <v>0</v>
      </c>
      <c r="S105" s="439">
        <f t="shared" si="132"/>
        <v>0</v>
      </c>
      <c r="T105" s="440">
        <f t="shared" si="133"/>
        <v>0</v>
      </c>
      <c r="U105" s="407"/>
    </row>
    <row r="106" spans="1:26" ht="15.75" hidden="1" thickBot="1" x14ac:dyDescent="0.3">
      <c r="A106" s="399" t="s">
        <v>423</v>
      </c>
      <c r="B106" s="404" t="str">
        <f>VLOOKUP(A106,'Feature Raw Data'!$A$3:$B$4000,2,FALSE)</f>
        <v>RAS support</v>
      </c>
      <c r="C106" s="400" t="str">
        <f>VLOOKUP(A106,'Feature Raw Data'!$A$3:$C$4209,3,FALSE)</f>
        <v>P1</v>
      </c>
      <c r="D106" s="401" t="str" cm="1">
        <f t="array" ref="D106">_xlfn.TEXTJOIN("",TRUE,IF(ISNUMBER(SEARCH($A106,'Diags Raw Data'!$A$6:$A$3703)),CONCATENATE('Diags Raw Data'!$H$6:$H$3703,", "),""))</f>
        <v xml:space="preserve">PMxx.xx.2, </v>
      </c>
      <c r="E106" s="327" t="str">
        <f>VLOOKUP(A106,'Diags Raw Data'!$A$12:$D$3703,4,FALSE)</f>
        <v>PMM</v>
      </c>
      <c r="F106" s="402" t="str">
        <f>VLOOKUP(A106,'Feature Raw Data'!$A$3:$E$4000,5,FALSE)</f>
        <v>Legacy</v>
      </c>
      <c r="G106" s="327" t="s">
        <v>31</v>
      </c>
      <c r="H106" s="327" t="s">
        <v>36</v>
      </c>
      <c r="I106" s="405">
        <f>SUMIF('Diags Raw Data'!$A$12:$A$3703,"*"&amp;$A106&amp;"*",'Diags Raw Data'!$K$12:$K$3703)</f>
        <v>1</v>
      </c>
      <c r="J106" s="406">
        <f>SUMIF('Diags Raw Data'!$A$12:$A$3703,"*"&amp;$A106&amp;"*",'Diags Raw Data'!$L$12:$L$3703)</f>
        <v>1</v>
      </c>
      <c r="K106" s="432" cm="1">
        <f t="array" ref="K106">IF(D106="",0, SUMPRODUCT(--(ISNUMBER(SEARCH($A106,'Diags Raw Data'!$A$12:$A$3703))),'Diags Raw Data'!$L$12:$L$3703,'Diags Raw Data'!$N$12:$N$3703)/J106)</f>
        <v>1</v>
      </c>
      <c r="L106" s="433" cm="1">
        <f t="array" ref="L106">IF(D106="",0, SUMPRODUCT(--(ISNUMBER(SEARCH($A106,'Diags Raw Data'!$A$12:$A$3703))),'Diags Raw Data'!$L$12:$L$3703,'Diags Raw Data'!$P$12:$P$3703)/J106)</f>
        <v>1</v>
      </c>
      <c r="M106" s="434" cm="1">
        <f t="array" ref="M106">SUMPRODUCT(--(ISNUMBER(SEARCH($A106,'Diags Raw Data'!$A$12:$A$3703))),--('Diags Raw Data'!$Q$12:$Q$3703&lt;&gt;"N/A"),'Diags Raw Data'!$R$12:$R$3703)</f>
        <v>1</v>
      </c>
      <c r="N106" s="435" cm="1">
        <f t="array" ref="N106">SUMPRODUCT(--(ISNUMBER(SEARCH($A106,'Diags Raw Data'!$A$12:$A$3703))),--('Diags Raw Data'!$Q$12:$Q$3703&lt;&gt;"N/A"),'Diags Raw Data'!$T$12:$T$3703)+SUMPRODUCT(--(ISNUMBER(SEARCH($A106,'Diags Raw Data'!$A$12:$A$3703))),--('Diags Raw Data'!$Q$12:$Q$3703&lt;&gt;"N/A"),'Diags Raw Data'!$U$12:$U$3703)</f>
        <v>1</v>
      </c>
      <c r="O106" s="436">
        <f t="shared" si="131"/>
        <v>1</v>
      </c>
      <c r="P106" s="437">
        <f>SUMIF('Diags Raw Data'!$A$12:$A$3703,"*"&amp;$A106&amp;"*",'Diags Raw Data'!$Z$12:$Z$3703)</f>
        <v>0</v>
      </c>
      <c r="Q106" s="438">
        <f>SUM(SUMIF('Diags Raw Data'!$A$12:$A$3703,"*"&amp;$A106&amp;"*",'Diags Raw Data'!$AA$12:$AA$3703),SUMIF('Diags Raw Data'!$A$12:$A$3703,"*"&amp;$A106&amp;"*",'Diags Raw Data'!$AB$12:$AB$3703))</f>
        <v>0</v>
      </c>
      <c r="R106" s="439">
        <f t="shared" si="103"/>
        <v>0</v>
      </c>
      <c r="S106" s="439">
        <f t="shared" si="132"/>
        <v>0</v>
      </c>
      <c r="T106" s="440">
        <f t="shared" si="133"/>
        <v>0</v>
      </c>
      <c r="U106" s="407"/>
      <c r="W106" s="178">
        <v>1</v>
      </c>
      <c r="X106" s="178">
        <v>3</v>
      </c>
    </row>
    <row r="107" spans="1:26" ht="15" hidden="1" customHeight="1" thickBot="1" x14ac:dyDescent="0.3">
      <c r="A107" s="399" t="s">
        <v>593</v>
      </c>
      <c r="B107" s="404" t="str">
        <f>VLOOKUP(A107,'Feature Raw Data'!$A$3:$B$4000,2,FALSE)</f>
        <v>GFX PCC based EDC Controller</v>
      </c>
      <c r="C107" s="400" t="str">
        <f>VLOOKUP(A107,'Feature Raw Data'!$A$3:$C$4209,3,FALSE)</f>
        <v>P3</v>
      </c>
      <c r="D107" s="401" t="str" cm="1">
        <f t="array" ref="D107">_xlfn.TEXTJOIN("",TRUE,IF(ISNUMBER(SEARCH($A107,'Diags Raw Data'!$A$12:$A$3703)),CONCATENATE('Diags Raw Data'!$H$12:$H$3703,", "),""))</f>
        <v/>
      </c>
      <c r="E107" s="327" t="e">
        <f>VLOOKUP(A107,'Diags Raw Data'!$A$12:$D$3703,4,FALSE)</f>
        <v>#N/A</v>
      </c>
      <c r="F107" s="402" t="str">
        <f>VLOOKUP(A107,'Feature Raw Data'!$A$3:$E$4000,5,FALSE)</f>
        <v>Legacy</v>
      </c>
      <c r="G107" s="327" t="s">
        <v>31</v>
      </c>
      <c r="H107" s="327" t="s">
        <v>36</v>
      </c>
      <c r="I107" s="405">
        <f>SUMIF('Diags Raw Data'!$A$12:$A$3703,"*"&amp;$A107&amp;"*",'Diags Raw Data'!$K$12:$K$3703)</f>
        <v>0</v>
      </c>
      <c r="J107" s="406">
        <f>SUMIF('Diags Raw Data'!$A$12:$A$3703,"*"&amp;$A107&amp;"*",'Diags Raw Data'!$L$12:$L$3703)</f>
        <v>0</v>
      </c>
      <c r="K107" s="432" cm="1">
        <f t="array" ref="K107">IF(D107="",0, SUMPRODUCT(--(ISNUMBER(SEARCH($A107,'Diags Raw Data'!$A$12:$A$3703))),'Diags Raw Data'!$L$12:$L$3703,'Diags Raw Data'!$N$12:$N$3703)/J107)</f>
        <v>0</v>
      </c>
      <c r="L107" s="433" cm="1">
        <f t="array" ref="L107">IF(D107="",0, SUMPRODUCT(--(ISNUMBER(SEARCH($A107,'Diags Raw Data'!$A$12:$A$3703))),'Diags Raw Data'!$L$12:$L$3703,'Diags Raw Data'!$P$12:$P$3703)/J107)</f>
        <v>0</v>
      </c>
      <c r="M107" s="434" cm="1">
        <f t="array" ref="M107">SUMPRODUCT(--(ISNUMBER(SEARCH($A107,'Diags Raw Data'!$A$12:$A$3703))),--('Diags Raw Data'!$Q$12:$Q$3703&lt;&gt;"N/A"),'Diags Raw Data'!$R$12:$R$3703)</f>
        <v>0</v>
      </c>
      <c r="N107" s="435" cm="1">
        <f t="array" ref="N107">SUMPRODUCT(--(ISNUMBER(SEARCH($A107,'Diags Raw Data'!$A$12:$A$3703))),--('Diags Raw Data'!$Q$12:$Q$3703&lt;&gt;"N/A"),'Diags Raw Data'!$T$12:$T$3703)+SUMPRODUCT(--(ISNUMBER(SEARCH($A107,'Diags Raw Data'!$A$12:$A$3703))),--('Diags Raw Data'!$Q$12:$Q$3703&lt;&gt;"N/A"),'Diags Raw Data'!$U$12:$U$3703)</f>
        <v>0</v>
      </c>
      <c r="O107" s="436">
        <f t="shared" ref="O107" si="134">IF((M107=0),0,N107/M107)</f>
        <v>0</v>
      </c>
      <c r="P107" s="437">
        <f>SUMIF('Diags Raw Data'!$A$12:$A$3703,"*"&amp;$A107&amp;"*",'Diags Raw Data'!$Z$12:$Z$3703)</f>
        <v>0</v>
      </c>
      <c r="Q107" s="438">
        <f>SUM(SUMIF('Diags Raw Data'!$A$12:$A$3703,"*"&amp;$A107&amp;"*",'Diags Raw Data'!$AA$12:$AA$3703),SUMIF('Diags Raw Data'!$A$12:$A$3703,"*"&amp;$A107&amp;"*",'Diags Raw Data'!$AB$12:$AB$3703))</f>
        <v>0</v>
      </c>
      <c r="R107" s="439">
        <f t="shared" ref="R107" si="135">IF((J107=0),0,P107/J107)</f>
        <v>0</v>
      </c>
      <c r="S107" s="439">
        <f t="shared" ref="S107" si="136">IF((P107=0),0,Q107/P107)</f>
        <v>0</v>
      </c>
      <c r="T107" s="440">
        <f t="shared" ref="T107" si="137">R107*S107</f>
        <v>0</v>
      </c>
      <c r="U107" s="407"/>
    </row>
    <row r="108" spans="1:26" ht="15.75" thickBot="1" x14ac:dyDescent="0.3">
      <c r="A108" s="399" t="s">
        <v>413</v>
      </c>
      <c r="B108" s="404" t="str">
        <f>VLOOKUP(A108,'Feature Raw Data'!$A$3:$B$4000,2,FALSE)</f>
        <v>GFXOFF</v>
      </c>
      <c r="C108" s="400" t="str">
        <f>VLOOKUP(A108,'Feature Raw Data'!$A$3:$C$4209,3,FALSE)</f>
        <v>P1</v>
      </c>
      <c r="D108" s="401" t="str" cm="1">
        <f t="array" ref="D108">_xlfn.TEXTJOIN("",TRUE,IF(ISNUMBER(SEARCH($A108,'Diags Raw Data'!$A$6:$A$3703)),CONCATENATE('Diags Raw Data'!$H$6:$H$3703,", "),""))</f>
        <v xml:space="preserve">pm80.12, </v>
      </c>
      <c r="E108" s="327" t="str">
        <f>VLOOKUP(A108,'Diags Raw Data'!$A$12:$D$3703,4,FALSE)</f>
        <v>PMM</v>
      </c>
      <c r="F108" s="402" t="str">
        <f>VLOOKUP(A108,'Feature Raw Data'!$A$3:$E$4000,5,FALSE)</f>
        <v>Legacy</v>
      </c>
      <c r="G108" s="327" t="s">
        <v>31</v>
      </c>
      <c r="H108" s="327" t="s">
        <v>31</v>
      </c>
      <c r="I108" s="405">
        <f>SUMIF('Diags Raw Data'!$A$12:$A$3703,"*"&amp;$A108&amp;"*",'Diags Raw Data'!$K$12:$K$3703)</f>
        <v>1</v>
      </c>
      <c r="J108" s="406">
        <f>SUMIF('Diags Raw Data'!$A$12:$A$3703,"*"&amp;$A108&amp;"*",'Diags Raw Data'!$L$12:$L$3703)</f>
        <v>1</v>
      </c>
      <c r="K108" s="432" cm="1">
        <f t="array" ref="K108">IF(D108="",0, SUMPRODUCT(--(ISNUMBER(SEARCH($A108,'Diags Raw Data'!$A$12:$A$3703))),'Diags Raw Data'!$L$12:$L$3703,'Diags Raw Data'!$N$12:$N$3703)/J108)</f>
        <v>1</v>
      </c>
      <c r="L108" s="433" cm="1">
        <f t="array" ref="L108">IF(D108="",0, SUMPRODUCT(--(ISNUMBER(SEARCH($A108,'Diags Raw Data'!$A$12:$A$3703))),'Diags Raw Data'!$L$12:$L$3703,'Diags Raw Data'!$P$12:$P$3703)/J108)</f>
        <v>1</v>
      </c>
      <c r="M108" s="434" cm="1">
        <f t="array" ref="M108">SUMPRODUCT(--(ISNUMBER(SEARCH($A108,'Diags Raw Data'!$A$12:$A$3703))),--('Diags Raw Data'!$Q$12:$Q$3703&lt;&gt;"N/A"),'Diags Raw Data'!$R$12:$R$3703)</f>
        <v>1</v>
      </c>
      <c r="N108" s="435" cm="1">
        <f t="array" ref="N108">SUMPRODUCT(--(ISNUMBER(SEARCH($A108,'Diags Raw Data'!$A$12:$A$3703))),--('Diags Raw Data'!$Q$12:$Q$3703&lt;&gt;"N/A"),'Diags Raw Data'!$T$12:$T$3703)+SUMPRODUCT(--(ISNUMBER(SEARCH($A108,'Diags Raw Data'!$A$12:$A$3703))),--('Diags Raw Data'!$Q$12:$Q$3703&lt;&gt;"N/A"),'Diags Raw Data'!$U$12:$U$3703)</f>
        <v>1</v>
      </c>
      <c r="O108" s="436">
        <f t="shared" ref="O108:O111" si="138">IF((M108=0),0,N108/M108)</f>
        <v>1</v>
      </c>
      <c r="P108" s="437">
        <f>SUMIF('Diags Raw Data'!$A$12:$A$3703,"*"&amp;$A108&amp;"*",'Diags Raw Data'!$Z$12:$Z$3703)</f>
        <v>0</v>
      </c>
      <c r="Q108" s="438">
        <f>SUM(SUMIF('Diags Raw Data'!$A$12:$A$3703,"*"&amp;$A108&amp;"*",'Diags Raw Data'!$AA$12:$AA$3703),SUMIF('Diags Raw Data'!$A$12:$A$3703,"*"&amp;$A108&amp;"*",'Diags Raw Data'!$AB$12:$AB$3703))</f>
        <v>0</v>
      </c>
      <c r="R108" s="439">
        <f t="shared" ref="R108:R111" si="139">IF((J108=0),0,P108/J108)</f>
        <v>0</v>
      </c>
      <c r="S108" s="439">
        <f t="shared" ref="S108:S111" si="140">IF((P108=0),0,Q108/P108)</f>
        <v>0</v>
      </c>
      <c r="T108" s="440">
        <f t="shared" ref="T108:T111" si="141">R108*S108</f>
        <v>0</v>
      </c>
      <c r="U108" s="407" t="s">
        <v>634</v>
      </c>
    </row>
    <row r="109" spans="1:26" ht="15.75" hidden="1" thickBot="1" x14ac:dyDescent="0.3">
      <c r="A109" s="399" t="s">
        <v>595</v>
      </c>
      <c r="B109" s="404" t="str">
        <f>VLOOKUP(A109,'Feature Raw Data'!$A$3:$B$4000,2,FALSE)</f>
        <v>GFXCLK DS</v>
      </c>
      <c r="C109" s="400" t="str">
        <f>VLOOKUP(A109,'Feature Raw Data'!$A$3:$C$4209,3,FALSE)</f>
        <v>P2</v>
      </c>
      <c r="D109" s="401" t="str" cm="1">
        <f t="array" ref="D109">_xlfn.TEXTJOIN("",TRUE,IF(ISNUMBER(SEARCH($A109,'Diags Raw Data'!$A$12:$A$3703)),CONCATENATE('Diags Raw Data'!$H$12:$H$3703,", "),""))</f>
        <v/>
      </c>
      <c r="E109" s="327" t="e">
        <f>VLOOKUP(A109,'Diags Raw Data'!$A$12:$D$3703,4,FALSE)</f>
        <v>#N/A</v>
      </c>
      <c r="F109" s="402" t="str">
        <f>VLOOKUP(A109,'Feature Raw Data'!$A$3:$E$4000,5,FALSE)</f>
        <v>Delta</v>
      </c>
      <c r="G109" s="327" t="s">
        <v>31</v>
      </c>
      <c r="H109" s="508" t="s">
        <v>36</v>
      </c>
      <c r="I109" s="405">
        <v>1</v>
      </c>
      <c r="J109" s="406">
        <v>1</v>
      </c>
      <c r="K109" s="432" cm="1">
        <f t="array" ref="K109">IF(D109="",0, SUMPRODUCT(--(ISNUMBER(SEARCH($A109,'Diags Raw Data'!$A$12:$A$3703))),'Diags Raw Data'!$L$12:$L$3703,'Diags Raw Data'!$N$12:$N$3703)/J109)</f>
        <v>0</v>
      </c>
      <c r="L109" s="433" cm="1">
        <f t="array" ref="L109">IF(D109="",0, SUMPRODUCT(--(ISNUMBER(SEARCH($A109,'Diags Raw Data'!$A$12:$A$3703))),'Diags Raw Data'!$L$12:$L$3703,'Diags Raw Data'!$P$12:$P$3703)/J109)</f>
        <v>0</v>
      </c>
      <c r="M109" s="434" cm="1">
        <f t="array" ref="M109">SUMPRODUCT(--(ISNUMBER(SEARCH($A109,'Diags Raw Data'!$A$12:$A$3703))),--('Diags Raw Data'!$Q$12:$Q$3703&lt;&gt;"N/A"),'Diags Raw Data'!$R$12:$R$3703)</f>
        <v>0</v>
      </c>
      <c r="N109" s="435" cm="1">
        <f t="array" ref="N109">SUMPRODUCT(--(ISNUMBER(SEARCH($A109,'Diags Raw Data'!$A$12:$A$3703))),--('Diags Raw Data'!$Q$12:$Q$3703&lt;&gt;"N/A"),'Diags Raw Data'!$T$12:$T$3703)+SUMPRODUCT(--(ISNUMBER(SEARCH($A109,'Diags Raw Data'!$A$12:$A$3703))),--('Diags Raw Data'!$Q$12:$Q$3703&lt;&gt;"N/A"),'Diags Raw Data'!$U$12:$U$3703)</f>
        <v>0</v>
      </c>
      <c r="O109" s="436">
        <f t="shared" si="138"/>
        <v>0</v>
      </c>
      <c r="P109" s="437">
        <f>SUMIF('Diags Raw Data'!$A$12:$A$3703,"*"&amp;$A109&amp;"*",'Diags Raw Data'!$Z$12:$Z$3703)</f>
        <v>0</v>
      </c>
      <c r="Q109" s="438">
        <f>SUM(SUMIF('Diags Raw Data'!$A$12:$A$3703,"*"&amp;$A109&amp;"*",'Diags Raw Data'!$AA$12:$AA$3703),SUMIF('Diags Raw Data'!$A$12:$A$3703,"*"&amp;$A109&amp;"*",'Diags Raw Data'!$AB$12:$AB$3703))</f>
        <v>0</v>
      </c>
      <c r="R109" s="439">
        <f t="shared" si="139"/>
        <v>0</v>
      </c>
      <c r="S109" s="439">
        <f t="shared" si="140"/>
        <v>0</v>
      </c>
      <c r="T109" s="440">
        <f t="shared" si="141"/>
        <v>0</v>
      </c>
      <c r="U109" s="407"/>
    </row>
    <row r="110" spans="1:26" ht="15.75" hidden="1" thickBot="1" x14ac:dyDescent="0.3">
      <c r="A110" s="399" t="s">
        <v>597</v>
      </c>
      <c r="B110" s="404" t="str">
        <f>VLOOKUP(A110,'Feature Raw Data'!$A$3:$B$4000,2,FALSE)</f>
        <v>GFX ULV</v>
      </c>
      <c r="C110" s="400" t="str">
        <f>VLOOKUP(A110,'Feature Raw Data'!$A$3:$C$4209,3,FALSE)</f>
        <v>P2</v>
      </c>
      <c r="D110" s="401" t="str" cm="1">
        <f t="array" ref="D110">_xlfn.TEXTJOIN("",TRUE,IF(ISNUMBER(SEARCH($A110,'Diags Raw Data'!$A$12:$A$3703)),CONCATENATE('Diags Raw Data'!$H$12:$H$3703,", "),""))</f>
        <v/>
      </c>
      <c r="E110" s="327" t="e">
        <f>VLOOKUP(A110,'Diags Raw Data'!$A$12:$D$3703,4,FALSE)</f>
        <v>#N/A</v>
      </c>
      <c r="F110" s="402" t="str">
        <f>VLOOKUP(A110,'Feature Raw Data'!$A$3:$E$4000,5,FALSE)</f>
        <v>Delta</v>
      </c>
      <c r="G110" s="327" t="s">
        <v>31</v>
      </c>
      <c r="H110" s="508" t="s">
        <v>36</v>
      </c>
      <c r="I110" s="405">
        <v>1</v>
      </c>
      <c r="J110" s="406">
        <v>1</v>
      </c>
      <c r="K110" s="432" cm="1">
        <f t="array" ref="K110">IF(D110="",0, SUMPRODUCT(--(ISNUMBER(SEARCH($A110,'Diags Raw Data'!$A$12:$A$3703))),'Diags Raw Data'!$L$12:$L$3703,'Diags Raw Data'!$N$12:$N$3703)/J110)</f>
        <v>0</v>
      </c>
      <c r="L110" s="433" cm="1">
        <f t="array" ref="L110">IF(D110="",0, SUMPRODUCT(--(ISNUMBER(SEARCH($A110,'Diags Raw Data'!$A$12:$A$3703))),'Diags Raw Data'!$L$12:$L$3703,'Diags Raw Data'!$P$12:$P$3703)/J110)</f>
        <v>0</v>
      </c>
      <c r="M110" s="434" cm="1">
        <f t="array" ref="M110">SUMPRODUCT(--(ISNUMBER(SEARCH($A110,'Diags Raw Data'!$A$12:$A$3703))),--('Diags Raw Data'!$Q$12:$Q$3703&lt;&gt;"N/A"),'Diags Raw Data'!$R$12:$R$3703)</f>
        <v>0</v>
      </c>
      <c r="N110" s="435" cm="1">
        <f t="array" ref="N110">SUMPRODUCT(--(ISNUMBER(SEARCH($A110,'Diags Raw Data'!$A$12:$A$3703))),--('Diags Raw Data'!$Q$12:$Q$3703&lt;&gt;"N/A"),'Diags Raw Data'!$T$12:$T$3703)+SUMPRODUCT(--(ISNUMBER(SEARCH($A110,'Diags Raw Data'!$A$12:$A$3703))),--('Diags Raw Data'!$Q$12:$Q$3703&lt;&gt;"N/A"),'Diags Raw Data'!$U$12:$U$3703)</f>
        <v>0</v>
      </c>
      <c r="O110" s="436">
        <f t="shared" si="138"/>
        <v>0</v>
      </c>
      <c r="P110" s="437">
        <f>SUMIF('Diags Raw Data'!$A$12:$A$3703,"*"&amp;$A110&amp;"*",'Diags Raw Data'!$Z$12:$Z$3703)</f>
        <v>0</v>
      </c>
      <c r="Q110" s="438">
        <f>SUM(SUMIF('Diags Raw Data'!$A$12:$A$3703,"*"&amp;$A110&amp;"*",'Diags Raw Data'!$AA$12:$AA$3703),SUMIF('Diags Raw Data'!$A$12:$A$3703,"*"&amp;$A110&amp;"*",'Diags Raw Data'!$AB$12:$AB$3703))</f>
        <v>0</v>
      </c>
      <c r="R110" s="439">
        <f t="shared" si="139"/>
        <v>0</v>
      </c>
      <c r="S110" s="439">
        <f t="shared" si="140"/>
        <v>0</v>
      </c>
      <c r="T110" s="440">
        <f t="shared" si="141"/>
        <v>0</v>
      </c>
      <c r="U110" s="407"/>
      <c r="W110" s="178">
        <v>1</v>
      </c>
      <c r="X110" s="178">
        <v>1</v>
      </c>
      <c r="Y110" s="178">
        <v>2</v>
      </c>
    </row>
    <row r="111" spans="1:26" ht="15.75" hidden="1" thickBot="1" x14ac:dyDescent="0.3">
      <c r="A111" s="399" t="s">
        <v>599</v>
      </c>
      <c r="B111" s="404" t="str">
        <f>VLOOKUP(A111,'Feature Raw Data'!$A$3:$B$4000,2,FALSE)</f>
        <v>GFXCLK Spread Spectrum</v>
      </c>
      <c r="C111" s="400" t="str">
        <f>VLOOKUP(A111,'Feature Raw Data'!$A$3:$C$4209,3,FALSE)</f>
        <v>P3</v>
      </c>
      <c r="D111" s="401" t="str" cm="1">
        <f t="array" ref="D111">_xlfn.TEXTJOIN("",TRUE,IF(ISNUMBER(SEARCH($A111,'Diags Raw Data'!$A$12:$A$3703)),CONCATENATE('Diags Raw Data'!$H$12:$H$3703,", "),""))</f>
        <v/>
      </c>
      <c r="E111" s="327" t="e">
        <f>VLOOKUP(A111,'Diags Raw Data'!$A$12:$D$3703,4,FALSE)</f>
        <v>#N/A</v>
      </c>
      <c r="F111" s="402" t="str">
        <f>VLOOKUP(A111,'Feature Raw Data'!$A$3:$E$4000,5,FALSE)</f>
        <v>Legacy</v>
      </c>
      <c r="G111" s="327" t="s">
        <v>31</v>
      </c>
      <c r="H111" s="327" t="s">
        <v>36</v>
      </c>
      <c r="I111" s="405">
        <f>SUMIF('Diags Raw Data'!$A$12:$A$3703,"*"&amp;$A111&amp;"*",'Diags Raw Data'!$K$12:$K$3703)</f>
        <v>0</v>
      </c>
      <c r="J111" s="406">
        <f>SUMIF('Diags Raw Data'!$A$12:$A$3703,"*"&amp;$A111&amp;"*",'Diags Raw Data'!$L$12:$L$3703)</f>
        <v>0</v>
      </c>
      <c r="K111" s="432" cm="1">
        <f t="array" ref="K111">IF(D111="",0, SUMPRODUCT(--(ISNUMBER(SEARCH($A111,'Diags Raw Data'!$A$12:$A$3703))),'Diags Raw Data'!$L$12:$L$3703,'Diags Raw Data'!$N$12:$N$3703)/J111)</f>
        <v>0</v>
      </c>
      <c r="L111" s="433" cm="1">
        <f t="array" ref="L111">IF(D111="",0, SUMPRODUCT(--(ISNUMBER(SEARCH($A111,'Diags Raw Data'!$A$12:$A$3703))),'Diags Raw Data'!$L$12:$L$3703,'Diags Raw Data'!$P$12:$P$3703)/J111)</f>
        <v>0</v>
      </c>
      <c r="M111" s="434" cm="1">
        <f t="array" ref="M111">SUMPRODUCT(--(ISNUMBER(SEARCH($A111,'Diags Raw Data'!$A$12:$A$3703))),--('Diags Raw Data'!$Q$12:$Q$3703&lt;&gt;"N/A"),'Diags Raw Data'!$R$12:$R$3703)</f>
        <v>0</v>
      </c>
      <c r="N111" s="435" cm="1">
        <f t="array" ref="N111">SUMPRODUCT(--(ISNUMBER(SEARCH($A111,'Diags Raw Data'!$A$12:$A$3703))),--('Diags Raw Data'!$Q$12:$Q$3703&lt;&gt;"N/A"),'Diags Raw Data'!$T$12:$T$3703)+SUMPRODUCT(--(ISNUMBER(SEARCH($A111,'Diags Raw Data'!$A$12:$A$3703))),--('Diags Raw Data'!$Q$12:$Q$3703&lt;&gt;"N/A"),'Diags Raw Data'!$U$12:$U$3703)</f>
        <v>0</v>
      </c>
      <c r="O111" s="436">
        <f t="shared" si="138"/>
        <v>0</v>
      </c>
      <c r="P111" s="437">
        <f>SUMIF('Diags Raw Data'!$A$12:$A$3703,"*"&amp;$A111&amp;"*",'Diags Raw Data'!$Z$12:$Z$3703)</f>
        <v>0</v>
      </c>
      <c r="Q111" s="438">
        <f>SUM(SUMIF('Diags Raw Data'!$A$12:$A$3703,"*"&amp;$A111&amp;"*",'Diags Raw Data'!$AA$12:$AA$3703),SUMIF('Diags Raw Data'!$A$12:$A$3703,"*"&amp;$A111&amp;"*",'Diags Raw Data'!$AB$12:$AB$3703))</f>
        <v>0</v>
      </c>
      <c r="R111" s="439">
        <f t="shared" si="139"/>
        <v>0</v>
      </c>
      <c r="S111" s="439">
        <f t="shared" si="140"/>
        <v>0</v>
      </c>
      <c r="T111" s="440">
        <f t="shared" si="141"/>
        <v>0</v>
      </c>
      <c r="U111" s="407"/>
    </row>
    <row r="112" spans="1:26" ht="24.95" hidden="1" customHeight="1" thickBot="1" x14ac:dyDescent="0.3">
      <c r="A112" s="399" t="s">
        <v>601</v>
      </c>
      <c r="B112" s="404" t="str">
        <f>VLOOKUP(A112,'Feature Raw Data'!$A$3:$B$4000,2,FALSE)</f>
        <v>eL3 VDDM Rail Management</v>
      </c>
      <c r="C112" s="400" t="str">
        <f>VLOOKUP(A112,'Feature Raw Data'!$A$3:$C$4209,3,FALSE)</f>
        <v>P3</v>
      </c>
      <c r="D112" s="401" t="str" cm="1">
        <f t="array" ref="D112">_xlfn.TEXTJOIN("",TRUE,IF(ISNUMBER(SEARCH($A112,'Diags Raw Data'!$A$12:$A$3703)),CONCATENATE('Diags Raw Data'!$H$12:$H$3703,", "),""))</f>
        <v/>
      </c>
      <c r="E112" s="327" t="e">
        <f>VLOOKUP(A112,'Diags Raw Data'!$A$12:$D$3703,4,FALSE)</f>
        <v>#N/A</v>
      </c>
      <c r="F112" s="402" t="str">
        <f>VLOOKUP(A112,'Feature Raw Data'!$A$3:$E$4000,5,FALSE)</f>
        <v>Legacy</v>
      </c>
      <c r="G112" s="327" t="s">
        <v>31</v>
      </c>
      <c r="H112" s="327" t="s">
        <v>36</v>
      </c>
      <c r="I112" s="405">
        <f>SUMIF('Diags Raw Data'!$A$12:$A$3703,"*"&amp;$A112&amp;"*",'Diags Raw Data'!$K$12:$K$3703)</f>
        <v>0</v>
      </c>
      <c r="J112" s="406">
        <f>SUMIF('Diags Raw Data'!$A$12:$A$3703,"*"&amp;$A112&amp;"*",'Diags Raw Data'!$L$12:$L$3703)</f>
        <v>0</v>
      </c>
      <c r="K112" s="432" cm="1">
        <f t="array" ref="K112">IF(D112="",0, SUMPRODUCT(--(ISNUMBER(SEARCH($A112,'Diags Raw Data'!$A$12:$A$3703))),'Diags Raw Data'!$L$12:$L$3703,'Diags Raw Data'!$N$12:$N$3703)/J112)</f>
        <v>0</v>
      </c>
      <c r="L112" s="433" cm="1">
        <f t="array" ref="L112">IF(D112="",0, SUMPRODUCT(--(ISNUMBER(SEARCH($A112,'Diags Raw Data'!$A$12:$A$3703))),'Diags Raw Data'!$L$12:$L$3703,'Diags Raw Data'!$P$12:$P$3703)/J112)</f>
        <v>0</v>
      </c>
      <c r="M112" s="434" cm="1">
        <f t="array" ref="M112">SUMPRODUCT(--(ISNUMBER(SEARCH($A112,'Diags Raw Data'!$A$12:$A$3703))),--('Diags Raw Data'!$Q$12:$Q$3703&lt;&gt;"N/A"),'Diags Raw Data'!$R$12:$R$3703)</f>
        <v>0</v>
      </c>
      <c r="N112" s="435" cm="1">
        <f t="array" ref="N112">SUMPRODUCT(--(ISNUMBER(SEARCH($A112,'Diags Raw Data'!$A$12:$A$3703))),--('Diags Raw Data'!$Q$12:$Q$3703&lt;&gt;"N/A"),'Diags Raw Data'!$T$12:$T$3703)+SUMPRODUCT(--(ISNUMBER(SEARCH($A112,'Diags Raw Data'!$A$12:$A$3703))),--('Diags Raw Data'!$Q$12:$Q$3703&lt;&gt;"N/A"),'Diags Raw Data'!$U$12:$U$3703)</f>
        <v>0</v>
      </c>
      <c r="O112" s="436">
        <f t="shared" ref="O112" si="142">IF((M112=0),0,N112/M112)</f>
        <v>0</v>
      </c>
      <c r="P112" s="437">
        <f>SUMIF('Diags Raw Data'!$A$12:$A$3703,"*"&amp;$A112&amp;"*",'Diags Raw Data'!$Z$12:$Z$3703)</f>
        <v>0</v>
      </c>
      <c r="Q112" s="438">
        <f>SUM(SUMIF('Diags Raw Data'!$A$12:$A$3703,"*"&amp;$A112&amp;"*",'Diags Raw Data'!$AA$12:$AA$3703),SUMIF('Diags Raw Data'!$A$12:$A$3703,"*"&amp;$A112&amp;"*",'Diags Raw Data'!$AB$12:$AB$3703))</f>
        <v>0</v>
      </c>
      <c r="R112" s="439">
        <f t="shared" ref="R112" si="143">IF((J112=0),0,P112/J112)</f>
        <v>0</v>
      </c>
      <c r="S112" s="439">
        <f t="shared" ref="S112" si="144">IF((P112=0),0,Q112/P112)</f>
        <v>0</v>
      </c>
      <c r="T112" s="440">
        <f t="shared" ref="T112" si="145">R112*S112</f>
        <v>0</v>
      </c>
      <c r="U112" s="407"/>
    </row>
    <row r="113" spans="1:27" ht="23.1" hidden="1" customHeight="1" thickBot="1" x14ac:dyDescent="0.3">
      <c r="A113" s="399" t="s">
        <v>603</v>
      </c>
      <c r="B113" s="404" t="str">
        <f>VLOOKUP(A113,'Feature Raw Data'!$A$3:$B$4000,2,FALSE)</f>
        <v>DCEFCLK Deep Sleep</v>
      </c>
      <c r="C113" s="400" t="str">
        <f>VLOOKUP(A113,'Feature Raw Data'!$A$3:$C$4209,3,FALSE)</f>
        <v>P3</v>
      </c>
      <c r="D113" s="401" t="str" cm="1">
        <f t="array" ref="D113">_xlfn.TEXTJOIN("",TRUE,IF(ISNUMBER(SEARCH($A113,'Diags Raw Data'!$A$12:$A$3703)),CONCATENATE('Diags Raw Data'!$H$12:$H$3703,", "),""))</f>
        <v/>
      </c>
      <c r="E113" s="327" t="e">
        <f>VLOOKUP(A113,'Diags Raw Data'!$A$12:$D$3703,4,FALSE)</f>
        <v>#N/A</v>
      </c>
      <c r="F113" s="402" t="str">
        <f>VLOOKUP(A113,'Feature Raw Data'!$A$3:$E$4000,5,FALSE)</f>
        <v>Legacy</v>
      </c>
      <c r="G113" s="327" t="s">
        <v>31</v>
      </c>
      <c r="H113" s="327" t="s">
        <v>36</v>
      </c>
      <c r="I113" s="405">
        <f>SUMIF('Diags Raw Data'!$A$12:$A$3703,"*"&amp;$A113&amp;"*",'Diags Raw Data'!$K$12:$K$3703)</f>
        <v>0</v>
      </c>
      <c r="J113" s="406">
        <f>SUMIF('Diags Raw Data'!$A$12:$A$3703,"*"&amp;$A113&amp;"*",'Diags Raw Data'!$L$12:$L$3703)</f>
        <v>0</v>
      </c>
      <c r="K113" s="432" cm="1">
        <f t="array" ref="K113">IF(D113="",0, SUMPRODUCT(--(ISNUMBER(SEARCH($A113,'Diags Raw Data'!$A$12:$A$3703))),'Diags Raw Data'!$L$12:$L$3703,'Diags Raw Data'!$N$12:$N$3703)/J113)</f>
        <v>0</v>
      </c>
      <c r="L113" s="433" cm="1">
        <f t="array" ref="L113">IF(D113="",0, SUMPRODUCT(--(ISNUMBER(SEARCH($A113,'Diags Raw Data'!$A$12:$A$3703))),'Diags Raw Data'!$L$12:$L$3703,'Diags Raw Data'!$P$12:$P$3703)/J113)</f>
        <v>0</v>
      </c>
      <c r="M113" s="434" cm="1">
        <f t="array" ref="M113">SUMPRODUCT(--(ISNUMBER(SEARCH($A113,'Diags Raw Data'!$A$12:$A$3703))),--('Diags Raw Data'!$Q$12:$Q$3703&lt;&gt;"N/A"),'Diags Raw Data'!$R$12:$R$3703)</f>
        <v>0</v>
      </c>
      <c r="N113" s="435" cm="1">
        <f t="array" ref="N113">SUMPRODUCT(--(ISNUMBER(SEARCH($A113,'Diags Raw Data'!$A$12:$A$3703))),--('Diags Raw Data'!$Q$12:$Q$3703&lt;&gt;"N/A"),'Diags Raw Data'!$T$12:$T$3703)+SUMPRODUCT(--(ISNUMBER(SEARCH($A113,'Diags Raw Data'!$A$12:$A$3703))),--('Diags Raw Data'!$Q$12:$Q$3703&lt;&gt;"N/A"),'Diags Raw Data'!$U$12:$U$3703)</f>
        <v>0</v>
      </c>
      <c r="O113" s="436">
        <f t="shared" ref="O113:O115" si="146">IF((M113=0),0,N113/M113)</f>
        <v>0</v>
      </c>
      <c r="P113" s="437">
        <f>SUMIF('Diags Raw Data'!$A$12:$A$3703,"*"&amp;$A113&amp;"*",'Diags Raw Data'!$Z$12:$Z$3703)</f>
        <v>0</v>
      </c>
      <c r="Q113" s="438">
        <f>SUM(SUMIF('Diags Raw Data'!$A$12:$A$3703,"*"&amp;$A113&amp;"*",'Diags Raw Data'!$AA$12:$AA$3703),SUMIF('Diags Raw Data'!$A$12:$A$3703,"*"&amp;$A113&amp;"*",'Diags Raw Data'!$AB$12:$AB$3703))</f>
        <v>0</v>
      </c>
      <c r="R113" s="439">
        <f t="shared" ref="R113:R115" si="147">IF((J113=0),0,P113/J113)</f>
        <v>0</v>
      </c>
      <c r="S113" s="439">
        <f t="shared" ref="S113:S115" si="148">IF((P113=0),0,Q113/P113)</f>
        <v>0</v>
      </c>
      <c r="T113" s="440">
        <f t="shared" ref="T113:T115" si="149">R113*S113</f>
        <v>0</v>
      </c>
      <c r="U113" s="407"/>
    </row>
    <row r="114" spans="1:27" ht="24.6" hidden="1" customHeight="1" thickBot="1" x14ac:dyDescent="0.3">
      <c r="A114" s="399" t="s">
        <v>605</v>
      </c>
      <c r="B114" s="404" t="str">
        <f>VLOOKUP(A114,'Feature Raw Data'!$A$3:$B$4000,2,FALSE)</f>
        <v>MP0CLK Deep Sleep</v>
      </c>
      <c r="C114" s="400" t="str">
        <f>VLOOKUP(A114,'Feature Raw Data'!$A$3:$C$4209,3,FALSE)</f>
        <v>P3</v>
      </c>
      <c r="D114" s="401" t="str" cm="1">
        <f t="array" ref="D114">_xlfn.TEXTJOIN("",TRUE,IF(ISNUMBER(SEARCH($A114,'Diags Raw Data'!$A$12:$A$3703)),CONCATENATE('Diags Raw Data'!$H$12:$H$3703,", "),""))</f>
        <v/>
      </c>
      <c r="E114" s="327" t="e">
        <f>VLOOKUP(A114,'Diags Raw Data'!$A$12:$D$3703,4,FALSE)</f>
        <v>#N/A</v>
      </c>
      <c r="F114" s="402" t="str">
        <f>VLOOKUP(A114,'Feature Raw Data'!$A$3:$E$4000,5,FALSE)</f>
        <v>Legacy</v>
      </c>
      <c r="G114" s="327" t="s">
        <v>31</v>
      </c>
      <c r="H114" s="327" t="s">
        <v>36</v>
      </c>
      <c r="I114" s="405">
        <f>SUMIF('Diags Raw Data'!$A$12:$A$3703,"*"&amp;$A114&amp;"*",'Diags Raw Data'!$K$12:$K$3703)</f>
        <v>0</v>
      </c>
      <c r="J114" s="406">
        <f>SUMIF('Diags Raw Data'!$A$12:$A$3703,"*"&amp;$A114&amp;"*",'Diags Raw Data'!$L$12:$L$3703)</f>
        <v>0</v>
      </c>
      <c r="K114" s="432" cm="1">
        <f t="array" ref="K114">IF(D114="",0, SUMPRODUCT(--(ISNUMBER(SEARCH($A114,'Diags Raw Data'!$A$12:$A$3703))),'Diags Raw Data'!$L$12:$L$3703,'Diags Raw Data'!$N$12:$N$3703)/J114)</f>
        <v>0</v>
      </c>
      <c r="L114" s="433" cm="1">
        <f t="array" ref="L114">IF(D114="",0, SUMPRODUCT(--(ISNUMBER(SEARCH($A114,'Diags Raw Data'!$A$12:$A$3703))),'Diags Raw Data'!$L$12:$L$3703,'Diags Raw Data'!$P$12:$P$3703)/J114)</f>
        <v>0</v>
      </c>
      <c r="M114" s="434" cm="1">
        <f t="array" ref="M114">SUMPRODUCT(--(ISNUMBER(SEARCH($A114,'Diags Raw Data'!$A$12:$A$3703))),--('Diags Raw Data'!$Q$12:$Q$3703&lt;&gt;"N/A"),'Diags Raw Data'!$R$12:$R$3703)</f>
        <v>0</v>
      </c>
      <c r="N114" s="435" cm="1">
        <f t="array" ref="N114">SUMPRODUCT(--(ISNUMBER(SEARCH($A114,'Diags Raw Data'!$A$12:$A$3703))),--('Diags Raw Data'!$Q$12:$Q$3703&lt;&gt;"N/A"),'Diags Raw Data'!$T$12:$T$3703)+SUMPRODUCT(--(ISNUMBER(SEARCH($A114,'Diags Raw Data'!$A$12:$A$3703))),--('Diags Raw Data'!$Q$12:$Q$3703&lt;&gt;"N/A"),'Diags Raw Data'!$U$12:$U$3703)</f>
        <v>0</v>
      </c>
      <c r="O114" s="436">
        <f t="shared" si="146"/>
        <v>0</v>
      </c>
      <c r="P114" s="437">
        <f>SUMIF('Diags Raw Data'!$A$12:$A$3703,"*"&amp;$A114&amp;"*",'Diags Raw Data'!$Z$12:$Z$3703)</f>
        <v>0</v>
      </c>
      <c r="Q114" s="438">
        <f>SUM(SUMIF('Diags Raw Data'!$A$12:$A$3703,"*"&amp;$A114&amp;"*",'Diags Raw Data'!$AA$12:$AA$3703),SUMIF('Diags Raw Data'!$A$12:$A$3703,"*"&amp;$A114&amp;"*",'Diags Raw Data'!$AB$12:$AB$3703))</f>
        <v>0</v>
      </c>
      <c r="R114" s="439">
        <f t="shared" si="147"/>
        <v>0</v>
      </c>
      <c r="S114" s="439">
        <f t="shared" si="148"/>
        <v>0</v>
      </c>
      <c r="T114" s="440">
        <f t="shared" si="149"/>
        <v>0</v>
      </c>
      <c r="U114" s="407"/>
    </row>
    <row r="115" spans="1:27" ht="24.95" hidden="1" customHeight="1" thickBot="1" x14ac:dyDescent="0.3">
      <c r="A115" s="399" t="s">
        <v>607</v>
      </c>
      <c r="B115" s="404" t="str">
        <f>VLOOKUP(A115,'Feature Raw Data'!$A$3:$B$4000,2,FALSE)</f>
        <v>MP1CLK Deep Sleep</v>
      </c>
      <c r="C115" s="400" t="str">
        <f>VLOOKUP(A115,'Feature Raw Data'!$A$3:$C$4209,3,FALSE)</f>
        <v>P3</v>
      </c>
      <c r="D115" s="401" t="str" cm="1">
        <f t="array" ref="D115">_xlfn.TEXTJOIN("",TRUE,IF(ISNUMBER(SEARCH($A115,'Diags Raw Data'!$A$12:$A$3703)),CONCATENATE('Diags Raw Data'!$H$12:$H$3703,", "),""))</f>
        <v/>
      </c>
      <c r="E115" s="327" t="e">
        <f>VLOOKUP(A115,'Diags Raw Data'!$A$12:$D$3703,4,FALSE)</f>
        <v>#N/A</v>
      </c>
      <c r="F115" s="402" t="str">
        <f>VLOOKUP(A115,'Feature Raw Data'!$A$3:$E$4000,5,FALSE)</f>
        <v>Legacy</v>
      </c>
      <c r="G115" s="327" t="s">
        <v>31</v>
      </c>
      <c r="H115" s="327" t="s">
        <v>36</v>
      </c>
      <c r="I115" s="405">
        <f>SUMIF('Diags Raw Data'!$A$12:$A$3703,"*"&amp;$A115&amp;"*",'Diags Raw Data'!$K$12:$K$3703)</f>
        <v>0</v>
      </c>
      <c r="J115" s="406">
        <f>SUMIF('Diags Raw Data'!$A$12:$A$3703,"*"&amp;$A115&amp;"*",'Diags Raw Data'!$L$12:$L$3703)</f>
        <v>0</v>
      </c>
      <c r="K115" s="432" cm="1">
        <f t="array" ref="K115">IF(D115="",0, SUMPRODUCT(--(ISNUMBER(SEARCH($A115,'Diags Raw Data'!$A$12:$A$3703))),'Diags Raw Data'!$L$12:$L$3703,'Diags Raw Data'!$N$12:$N$3703)/J115)</f>
        <v>0</v>
      </c>
      <c r="L115" s="433" cm="1">
        <f t="array" ref="L115">IF(D115="",0, SUMPRODUCT(--(ISNUMBER(SEARCH($A115,'Diags Raw Data'!$A$12:$A$3703))),'Diags Raw Data'!$L$12:$L$3703,'Diags Raw Data'!$P$12:$P$3703)/J115)</f>
        <v>0</v>
      </c>
      <c r="M115" s="434" cm="1">
        <f t="array" ref="M115">SUMPRODUCT(--(ISNUMBER(SEARCH($A115,'Diags Raw Data'!$A$12:$A$3703))),--('Diags Raw Data'!$Q$12:$Q$3703&lt;&gt;"N/A"),'Diags Raw Data'!$R$12:$R$3703)</f>
        <v>0</v>
      </c>
      <c r="N115" s="435" cm="1">
        <f t="array" ref="N115">SUMPRODUCT(--(ISNUMBER(SEARCH($A115,'Diags Raw Data'!$A$12:$A$3703))),--('Diags Raw Data'!$Q$12:$Q$3703&lt;&gt;"N/A"),'Diags Raw Data'!$T$12:$T$3703)+SUMPRODUCT(--(ISNUMBER(SEARCH($A115,'Diags Raw Data'!$A$12:$A$3703))),--('Diags Raw Data'!$Q$12:$Q$3703&lt;&gt;"N/A"),'Diags Raw Data'!$U$12:$U$3703)</f>
        <v>0</v>
      </c>
      <c r="O115" s="436">
        <f t="shared" si="146"/>
        <v>0</v>
      </c>
      <c r="P115" s="437">
        <f>SUMIF('Diags Raw Data'!$A$12:$A$3703,"*"&amp;$A115&amp;"*",'Diags Raw Data'!$Z$12:$Z$3703)</f>
        <v>0</v>
      </c>
      <c r="Q115" s="438">
        <f>SUM(SUMIF('Diags Raw Data'!$A$12:$A$3703,"*"&amp;$A115&amp;"*",'Diags Raw Data'!$AA$12:$AA$3703),SUMIF('Diags Raw Data'!$A$12:$A$3703,"*"&amp;$A115&amp;"*",'Diags Raw Data'!$AB$12:$AB$3703))</f>
        <v>0</v>
      </c>
      <c r="R115" s="439">
        <f t="shared" si="147"/>
        <v>0</v>
      </c>
      <c r="S115" s="439">
        <f t="shared" si="148"/>
        <v>0</v>
      </c>
      <c r="T115" s="440">
        <f t="shared" si="149"/>
        <v>0</v>
      </c>
      <c r="U115" s="407"/>
    </row>
    <row r="116" spans="1:27" ht="24.95" customHeight="1" thickBot="1" x14ac:dyDescent="0.3">
      <c r="A116" s="399" t="s">
        <v>432</v>
      </c>
      <c r="B116" s="404" t="str">
        <f>VLOOKUP(A116,'Feature Raw Data'!$A$3:$B$4000,2,FALSE)</f>
        <v>PPVMIN, SMS status check, RTAVFS</v>
      </c>
      <c r="C116" s="400" t="str">
        <f>VLOOKUP(A116,'Feature Raw Data'!$A$3:$C$4209,3,FALSE)</f>
        <v>P1</v>
      </c>
      <c r="D116" s="401" t="str" cm="1">
        <f t="array" ref="D116">_xlfn.TEXTJOIN("",TRUE,IF(ISNUMBER(SEARCH($A116,'Diags Raw Data'!$A$6:$A$3703)),CONCATENATE('Diags Raw Data'!$H$6:$H$3703,", "),""))</f>
        <v xml:space="preserve">PMxx.xx.12, </v>
      </c>
      <c r="E116" s="327" t="str">
        <f>VLOOKUP(A116,'Diags Raw Data'!$A$12:$D$3703,4,FALSE)</f>
        <v>PMM</v>
      </c>
      <c r="F116" s="402" t="str">
        <f>VLOOKUP(A116,'Feature Raw Data'!$A$3:$E$4000,5,FALSE)</f>
        <v>Legacy</v>
      </c>
      <c r="G116" s="327" t="s">
        <v>31</v>
      </c>
      <c r="H116" s="506" t="s">
        <v>31</v>
      </c>
      <c r="I116" s="405">
        <v>2</v>
      </c>
      <c r="J116" s="406">
        <v>2</v>
      </c>
      <c r="K116" s="432" cm="1">
        <f t="array" ref="K116">IF(D116="",0, SUMPRODUCT(--(ISNUMBER(SEARCH($A116,'Diags Raw Data'!$A$12:$A$3703))),'Diags Raw Data'!$L$12:$L$3703,'Diags Raw Data'!$N$12:$N$3703)/J116)</f>
        <v>0.5</v>
      </c>
      <c r="L116" s="433" cm="1">
        <f t="array" ref="L116">IF(D116="",0, SUMPRODUCT(--(ISNUMBER(SEARCH($A116,'Diags Raw Data'!$A$12:$A$3703))),'Diags Raw Data'!$L$12:$L$3703,'Diags Raw Data'!$P$12:$P$3703)/J116)</f>
        <v>0.5</v>
      </c>
      <c r="M116" s="434" cm="1">
        <f t="array" ref="M116">SUMPRODUCT(--(ISNUMBER(SEARCH($A116,'Diags Raw Data'!$A$12:$A$3703))),--('Diags Raw Data'!$Q$12:$Q$3703&lt;&gt;"N/A"),'Diags Raw Data'!$R$12:$R$3703)</f>
        <v>0</v>
      </c>
      <c r="N116" s="435" cm="1">
        <f t="array" ref="N116">SUMPRODUCT(--(ISNUMBER(SEARCH($A116,'Diags Raw Data'!$A$12:$A$3703))),--('Diags Raw Data'!$Q$12:$Q$3703&lt;&gt;"N/A"),'Diags Raw Data'!$T$12:$T$3703)+SUMPRODUCT(--(ISNUMBER(SEARCH($A116,'Diags Raw Data'!$A$12:$A$3703))),--('Diags Raw Data'!$Q$12:$Q$3703&lt;&gt;"N/A"),'Diags Raw Data'!$U$12:$U$3703)</f>
        <v>0</v>
      </c>
      <c r="O116" s="436">
        <f t="shared" ref="O116" si="150">IF((M116=0),0,N116/M116)</f>
        <v>0</v>
      </c>
      <c r="P116" s="437">
        <f>SUMIF('Diags Raw Data'!$A$12:$A$3703,"*"&amp;$A116&amp;"*",'Diags Raw Data'!$Z$12:$Z$3703)</f>
        <v>0</v>
      </c>
      <c r="Q116" s="438">
        <f>SUM(SUMIF('Diags Raw Data'!$A$12:$A$3703,"*"&amp;$A116&amp;"*",'Diags Raw Data'!$AA$12:$AA$3703),SUMIF('Diags Raw Data'!$A$12:$A$3703,"*"&amp;$A116&amp;"*",'Diags Raw Data'!$AB$12:$AB$3703))</f>
        <v>0</v>
      </c>
      <c r="R116" s="439">
        <f t="shared" ref="R116" si="151">IF((J116=0),0,P116/J116)</f>
        <v>0</v>
      </c>
      <c r="S116" s="439">
        <f t="shared" ref="S116" si="152">IF((P116=0),0,Q116/P116)</f>
        <v>0</v>
      </c>
      <c r="T116" s="440">
        <f t="shared" ref="T116" si="153">R116*S116</f>
        <v>0</v>
      </c>
      <c r="U116" s="407" t="s">
        <v>634</v>
      </c>
      <c r="Z116" s="178">
        <v>3</v>
      </c>
      <c r="AA116" s="178">
        <v>3</v>
      </c>
    </row>
    <row r="117" spans="1:27" x14ac:dyDescent="0.25">
      <c r="A117" s="399"/>
      <c r="B117" s="404"/>
      <c r="C117" s="492"/>
      <c r="D117" s="401"/>
      <c r="E117" s="493"/>
      <c r="F117" s="402"/>
      <c r="G117" s="493"/>
      <c r="H117" s="493"/>
      <c r="I117" s="492"/>
      <c r="J117" s="494"/>
      <c r="K117" s="495"/>
      <c r="L117" s="496"/>
      <c r="M117" s="497"/>
      <c r="N117" s="498"/>
      <c r="O117" s="499"/>
      <c r="P117" s="500"/>
      <c r="Q117" s="501"/>
      <c r="R117" s="502"/>
      <c r="S117" s="502"/>
      <c r="T117" s="503"/>
      <c r="U117" s="407"/>
    </row>
    <row r="118" spans="1:27" ht="15.75" thickBot="1" x14ac:dyDescent="0.3"/>
    <row r="119" spans="1:27" x14ac:dyDescent="0.25">
      <c r="A119" s="563" t="s">
        <v>639</v>
      </c>
      <c r="B119" s="615"/>
      <c r="C119" s="615"/>
      <c r="D119" s="615"/>
      <c r="E119" s="615"/>
      <c r="F119" s="615"/>
      <c r="G119" s="615"/>
      <c r="H119" s="615"/>
      <c r="I119" s="615"/>
      <c r="J119" s="615"/>
      <c r="K119" s="615"/>
      <c r="L119" s="615"/>
      <c r="M119" s="615"/>
      <c r="N119" s="615"/>
      <c r="O119" s="615"/>
      <c r="P119" s="615"/>
      <c r="Q119" s="615"/>
      <c r="R119" s="615"/>
      <c r="S119" s="615"/>
      <c r="T119" s="615"/>
      <c r="U119" s="616"/>
    </row>
    <row r="120" spans="1:27" ht="15.75" thickBot="1" x14ac:dyDescent="0.3">
      <c r="A120" s="617"/>
      <c r="B120" s="618"/>
      <c r="C120" s="618"/>
      <c r="D120" s="618"/>
      <c r="E120" s="618"/>
      <c r="F120" s="618"/>
      <c r="G120" s="618"/>
      <c r="H120" s="618"/>
      <c r="I120" s="618"/>
      <c r="J120" s="618"/>
      <c r="K120" s="618"/>
      <c r="L120" s="618"/>
      <c r="M120" s="618"/>
      <c r="N120" s="618"/>
      <c r="O120" s="618"/>
      <c r="P120" s="618"/>
      <c r="Q120" s="618"/>
      <c r="R120" s="618"/>
      <c r="S120" s="618"/>
      <c r="T120" s="618"/>
      <c r="U120" s="619"/>
    </row>
    <row r="121" spans="1:27" s="180" customFormat="1" ht="18.75" x14ac:dyDescent="0.25">
      <c r="A121" s="609" t="s">
        <v>297</v>
      </c>
      <c r="B121" s="610"/>
      <c r="C121" s="610"/>
      <c r="D121" s="610"/>
      <c r="E121" s="610"/>
      <c r="F121" s="611"/>
      <c r="G121" s="363">
        <f>COUNTIF(G7:G117,"Yes")</f>
        <v>110</v>
      </c>
      <c r="H121" s="363">
        <f>COUNTIF(H7:H117,"Yes")</f>
        <v>49</v>
      </c>
      <c r="I121" s="628">
        <f>'Diags Raw Data'!K93</f>
        <v>81</v>
      </c>
      <c r="J121" s="630">
        <f>'Diags Raw Data'!L93</f>
        <v>81</v>
      </c>
      <c r="K121" s="646">
        <f>'Diags Raw Data'!N93</f>
        <v>1</v>
      </c>
      <c r="L121" s="648">
        <f>'Diags Raw Data'!P93</f>
        <v>1</v>
      </c>
      <c r="M121" s="650">
        <f>'Diags Raw Data'!R93</f>
        <v>80</v>
      </c>
      <c r="N121" s="644">
        <f>SUM('Diags Raw Data'!T93+'Diags Raw Data'!U93)</f>
        <v>80</v>
      </c>
      <c r="O121" s="620">
        <f>IF((M121=0),0,N121/M121)</f>
        <v>1</v>
      </c>
      <c r="P121" s="622">
        <f>'Diags Raw Data'!Z93</f>
        <v>7</v>
      </c>
      <c r="Q121" s="624">
        <f>SUM('Diags Raw Data'!AA93+'Diags Raw Data'!AB93)</f>
        <v>7</v>
      </c>
      <c r="R121" s="626">
        <f>IF((J121=0),0,P121/J121)</f>
        <v>8.6419753086419748E-2</v>
      </c>
      <c r="S121" s="626">
        <f>IF((P121=0),0,Q121/P121)</f>
        <v>1</v>
      </c>
      <c r="T121" s="626">
        <f>R121*S121</f>
        <v>8.6419753086419748E-2</v>
      </c>
      <c r="U121" s="652"/>
      <c r="W121" s="180">
        <f>SUM(W7:W117)</f>
        <v>10</v>
      </c>
      <c r="X121" s="180">
        <f>SUM(X7:X117)</f>
        <v>12</v>
      </c>
      <c r="Y121" s="180">
        <f>SUM(Y7:Y118)</f>
        <v>18</v>
      </c>
      <c r="Z121" s="180">
        <f>SUM(Z7:Z118)</f>
        <v>9.5</v>
      </c>
      <c r="AA121" s="180">
        <f>SUM(AA7:AA118)</f>
        <v>7</v>
      </c>
    </row>
    <row r="122" spans="1:27" ht="19.5" thickBot="1" x14ac:dyDescent="0.3">
      <c r="A122" s="612"/>
      <c r="B122" s="613"/>
      <c r="C122" s="613"/>
      <c r="D122" s="613"/>
      <c r="E122" s="613"/>
      <c r="F122" s="614"/>
      <c r="G122" s="364">
        <f>COUNTIF(G8:G117,"Yes")/COUNTA(A8:A117)</f>
        <v>1</v>
      </c>
      <c r="H122" s="364">
        <f>(COUNTIF(H7:H117,"Yes")/G121)</f>
        <v>0.44545454545454544</v>
      </c>
      <c r="I122" s="629"/>
      <c r="J122" s="631"/>
      <c r="K122" s="647"/>
      <c r="L122" s="649"/>
      <c r="M122" s="651"/>
      <c r="N122" s="645"/>
      <c r="O122" s="621"/>
      <c r="P122" s="623"/>
      <c r="Q122" s="625"/>
      <c r="R122" s="627"/>
      <c r="S122" s="627"/>
      <c r="T122" s="627"/>
      <c r="U122" s="653"/>
    </row>
    <row r="123" spans="1:27" x14ac:dyDescent="0.25">
      <c r="A123" s="181"/>
      <c r="B123" s="182"/>
      <c r="C123" s="182"/>
      <c r="D123" s="181"/>
      <c r="E123" s="182"/>
      <c r="F123" s="182"/>
      <c r="G123" s="182">
        <f>COUNTA(A7:A117)</f>
        <v>110</v>
      </c>
      <c r="H123" s="182"/>
      <c r="I123" s="355"/>
      <c r="J123" s="355"/>
      <c r="K123" s="186"/>
      <c r="L123" s="186"/>
      <c r="M123" s="187"/>
      <c r="N123" s="187"/>
      <c r="O123" s="186"/>
      <c r="P123" s="184"/>
      <c r="Q123" s="184"/>
      <c r="R123" s="190"/>
      <c r="S123" s="190"/>
      <c r="T123" s="191"/>
      <c r="U123" s="181"/>
    </row>
  </sheetData>
  <sheetProtection insertColumns="0" insertRows="0" deleteRows="0" sort="0"/>
  <autoFilter ref="A6:U123" xr:uid="{00000000-0009-0000-0000-000004000000}">
    <filterColumn colId="7">
      <filters blank="1">
        <filter val="44.5%"/>
        <filter val="49"/>
        <filter val="Yes"/>
      </filters>
    </filterColumn>
  </autoFilter>
  <mergeCells count="35">
    <mergeCell ref="A4:U4"/>
    <mergeCell ref="K121:K122"/>
    <mergeCell ref="L121:L122"/>
    <mergeCell ref="M121:M122"/>
    <mergeCell ref="T2:T3"/>
    <mergeCell ref="U2:U3"/>
    <mergeCell ref="R2:R3"/>
    <mergeCell ref="S2:S3"/>
    <mergeCell ref="S121:S122"/>
    <mergeCell ref="T121:T122"/>
    <mergeCell ref="U121:U122"/>
    <mergeCell ref="K5:L5"/>
    <mergeCell ref="A5:J5"/>
    <mergeCell ref="M5:O5"/>
    <mergeCell ref="P5:U5"/>
    <mergeCell ref="N121:N122"/>
    <mergeCell ref="A1:U1"/>
    <mergeCell ref="I2:I3"/>
    <mergeCell ref="O2:O3"/>
    <mergeCell ref="P2:P3"/>
    <mergeCell ref="Q2:Q3"/>
    <mergeCell ref="J2:J3"/>
    <mergeCell ref="K2:K3"/>
    <mergeCell ref="L2:L3"/>
    <mergeCell ref="M2:M3"/>
    <mergeCell ref="N2:N3"/>
    <mergeCell ref="A2:E3"/>
    <mergeCell ref="A121:F122"/>
    <mergeCell ref="A119:U120"/>
    <mergeCell ref="O121:O122"/>
    <mergeCell ref="P121:P122"/>
    <mergeCell ref="Q121:Q122"/>
    <mergeCell ref="R121:R122"/>
    <mergeCell ref="I121:I122"/>
    <mergeCell ref="J121:J122"/>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640</v>
      </c>
      <c r="C1" s="36" t="s">
        <v>641</v>
      </c>
      <c r="D1" s="36" t="s">
        <v>642</v>
      </c>
      <c r="E1" s="36" t="s">
        <v>643</v>
      </c>
      <c r="F1" s="36" t="s">
        <v>644</v>
      </c>
      <c r="G1" s="37" t="s">
        <v>645</v>
      </c>
      <c r="H1" s="12"/>
      <c r="I1" s="12"/>
      <c r="J1" s="12"/>
      <c r="K1" s="12"/>
      <c r="L1" s="13"/>
      <c r="M1" s="1"/>
      <c r="N1" s="11"/>
      <c r="X1" s="11"/>
      <c r="AB1" s="665" t="s">
        <v>646</v>
      </c>
      <c r="AM1" s="665" t="s">
        <v>647</v>
      </c>
    </row>
    <row r="2" spans="1:40" s="14" customFormat="1" ht="12" x14ac:dyDescent="0.2">
      <c r="A2" s="35" t="s">
        <v>648</v>
      </c>
      <c r="B2" s="15">
        <v>42994</v>
      </c>
      <c r="C2" s="15">
        <v>43190</v>
      </c>
      <c r="D2" s="16" t="e">
        <f>#REF!</f>
        <v>#REF!</v>
      </c>
      <c r="E2" s="16" t="e">
        <f>#REF!</f>
        <v>#REF!</v>
      </c>
      <c r="F2" s="16">
        <f>(C2-B2)/7</f>
        <v>28</v>
      </c>
      <c r="G2" s="17" t="e">
        <f>E2/F2</f>
        <v>#REF!</v>
      </c>
      <c r="H2" s="18"/>
      <c r="I2" s="18"/>
      <c r="J2" s="18"/>
      <c r="K2" s="18"/>
      <c r="L2" s="19"/>
      <c r="M2" s="20"/>
      <c r="N2" s="21"/>
      <c r="X2" s="21"/>
      <c r="AB2" s="666"/>
      <c r="AM2" s="666"/>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67" t="s">
        <v>649</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68"/>
      <c r="B5" s="47" t="s">
        <v>650</v>
      </c>
      <c r="C5" s="47" t="s">
        <v>651</v>
      </c>
      <c r="D5" s="47" t="s">
        <v>652</v>
      </c>
      <c r="E5" s="47" t="s">
        <v>653</v>
      </c>
      <c r="F5" s="47" t="s">
        <v>654</v>
      </c>
      <c r="G5" s="47" t="s">
        <v>655</v>
      </c>
      <c r="H5" s="47" t="s">
        <v>656</v>
      </c>
      <c r="I5" s="47" t="s">
        <v>657</v>
      </c>
      <c r="J5" s="47" t="s">
        <v>658</v>
      </c>
      <c r="K5" s="47" t="s">
        <v>659</v>
      </c>
      <c r="L5" s="47" t="s">
        <v>660</v>
      </c>
      <c r="M5" s="47" t="s">
        <v>661</v>
      </c>
      <c r="N5" s="47" t="s">
        <v>662</v>
      </c>
      <c r="O5" s="47" t="s">
        <v>663</v>
      </c>
      <c r="P5" s="47" t="s">
        <v>664</v>
      </c>
      <c r="Q5" s="47" t="s">
        <v>665</v>
      </c>
      <c r="R5" s="47" t="s">
        <v>666</v>
      </c>
      <c r="S5" s="47" t="s">
        <v>667</v>
      </c>
      <c r="T5" s="47" t="s">
        <v>668</v>
      </c>
      <c r="U5" s="47" t="s">
        <v>669</v>
      </c>
      <c r="V5" s="47" t="s">
        <v>670</v>
      </c>
      <c r="W5" s="47" t="s">
        <v>671</v>
      </c>
      <c r="X5" s="47" t="s">
        <v>672</v>
      </c>
      <c r="Y5" s="47" t="s">
        <v>673</v>
      </c>
      <c r="Z5" s="47" t="s">
        <v>674</v>
      </c>
      <c r="AA5" s="47" t="s">
        <v>675</v>
      </c>
      <c r="AB5" s="47" t="s">
        <v>676</v>
      </c>
      <c r="AC5" s="47" t="s">
        <v>677</v>
      </c>
      <c r="AD5" s="47" t="s">
        <v>678</v>
      </c>
      <c r="AE5" s="47" t="s">
        <v>679</v>
      </c>
      <c r="AF5" s="47" t="s">
        <v>680</v>
      </c>
      <c r="AG5" s="47" t="s">
        <v>681</v>
      </c>
      <c r="AH5" s="47" t="s">
        <v>682</v>
      </c>
      <c r="AI5" s="47" t="s">
        <v>683</v>
      </c>
      <c r="AJ5" s="47" t="s">
        <v>684</v>
      </c>
      <c r="AK5" s="47" t="s">
        <v>685</v>
      </c>
      <c r="AL5" s="66" t="s">
        <v>686</v>
      </c>
      <c r="AM5" s="65" t="s">
        <v>687</v>
      </c>
      <c r="AN5" s="50"/>
    </row>
    <row r="6" spans="1:40" ht="12" x14ac:dyDescent="0.2">
      <c r="A6" s="48" t="s">
        <v>688</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689</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67" t="s">
        <v>690</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69"/>
      <c r="B10" s="32" t="s">
        <v>650</v>
      </c>
      <c r="C10" s="32" t="s">
        <v>651</v>
      </c>
      <c r="D10" s="32" t="s">
        <v>652</v>
      </c>
      <c r="E10" s="32" t="s">
        <v>653</v>
      </c>
      <c r="F10" s="32" t="s">
        <v>654</v>
      </c>
      <c r="G10" s="32" t="s">
        <v>655</v>
      </c>
      <c r="H10" s="32" t="s">
        <v>656</v>
      </c>
      <c r="I10" s="32" t="s">
        <v>657</v>
      </c>
      <c r="J10" s="32" t="s">
        <v>658</v>
      </c>
      <c r="K10" s="32" t="s">
        <v>659</v>
      </c>
      <c r="L10" s="32" t="s">
        <v>660</v>
      </c>
      <c r="M10" s="32" t="s">
        <v>661</v>
      </c>
      <c r="N10" s="32" t="s">
        <v>662</v>
      </c>
      <c r="O10" s="32" t="s">
        <v>663</v>
      </c>
      <c r="P10" s="32" t="s">
        <v>664</v>
      </c>
      <c r="Q10" s="32" t="s">
        <v>665</v>
      </c>
      <c r="R10" s="32" t="s">
        <v>666</v>
      </c>
      <c r="S10" s="32" t="s">
        <v>667</v>
      </c>
      <c r="T10" s="32" t="s">
        <v>668</v>
      </c>
      <c r="U10" s="32" t="s">
        <v>669</v>
      </c>
      <c r="V10" s="32" t="s">
        <v>670</v>
      </c>
      <c r="W10" s="32" t="s">
        <v>671</v>
      </c>
      <c r="X10" s="32" t="s">
        <v>672</v>
      </c>
      <c r="Y10" s="32" t="s">
        <v>673</v>
      </c>
      <c r="Z10" s="32" t="s">
        <v>674</v>
      </c>
      <c r="AA10" s="32" t="s">
        <v>675</v>
      </c>
      <c r="AB10" s="32" t="s">
        <v>676</v>
      </c>
      <c r="AC10" s="32" t="s">
        <v>677</v>
      </c>
      <c r="AD10" s="32" t="s">
        <v>678</v>
      </c>
      <c r="AE10" s="32" t="s">
        <v>679</v>
      </c>
      <c r="AF10" s="32" t="s">
        <v>680</v>
      </c>
      <c r="AG10" s="32" t="s">
        <v>681</v>
      </c>
      <c r="AH10" s="32" t="s">
        <v>682</v>
      </c>
      <c r="AI10" s="32" t="s">
        <v>683</v>
      </c>
      <c r="AJ10" s="64" t="s">
        <v>684</v>
      </c>
      <c r="AK10" s="63" t="s">
        <v>685</v>
      </c>
      <c r="AL10" s="47" t="s">
        <v>686</v>
      </c>
      <c r="AM10" s="72" t="s">
        <v>687</v>
      </c>
      <c r="AN10" s="68"/>
    </row>
    <row r="11" spans="1:40" x14ac:dyDescent="0.25">
      <c r="A11" s="42" t="s">
        <v>688</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689</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691</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692</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5C31F-44E3-4CB5-A539-43ECC3F1FF80}">
  <dimension ref="A1:O107"/>
  <sheetViews>
    <sheetView topLeftCell="A13" workbookViewId="0">
      <selection activeCell="I6" sqref="I6"/>
    </sheetView>
  </sheetViews>
  <sheetFormatPr defaultRowHeight="15" x14ac:dyDescent="0.25"/>
  <cols>
    <col min="1" max="1" width="17" bestFit="1" customWidth="1"/>
    <col min="2" max="2" width="16.28515625" bestFit="1" customWidth="1"/>
    <col min="3" max="3" width="6.85546875" bestFit="1" customWidth="1"/>
    <col min="4" max="4" width="5.140625" bestFit="1" customWidth="1"/>
    <col min="5" max="5" width="11.28515625" bestFit="1" customWidth="1"/>
  </cols>
  <sheetData>
    <row r="1" spans="1:15" x14ac:dyDescent="0.25">
      <c r="A1" s="129" t="s">
        <v>274</v>
      </c>
      <c r="B1" t="s">
        <v>31</v>
      </c>
    </row>
    <row r="3" spans="1:15" x14ac:dyDescent="0.25">
      <c r="A3" s="129" t="s">
        <v>693</v>
      </c>
      <c r="B3" s="129" t="s">
        <v>694</v>
      </c>
    </row>
    <row r="4" spans="1:15" x14ac:dyDescent="0.25">
      <c r="A4" s="129" t="s">
        <v>695</v>
      </c>
      <c r="B4" t="s">
        <v>38</v>
      </c>
      <c r="C4" t="s">
        <v>33</v>
      </c>
      <c r="D4" t="s">
        <v>42</v>
      </c>
      <c r="E4" t="s">
        <v>612</v>
      </c>
      <c r="I4" t="s">
        <v>695</v>
      </c>
      <c r="J4" t="s">
        <v>38</v>
      </c>
      <c r="K4" t="s">
        <v>33</v>
      </c>
      <c r="L4" t="s">
        <v>42</v>
      </c>
      <c r="M4" t="s">
        <v>612</v>
      </c>
      <c r="N4" t="s">
        <v>696</v>
      </c>
      <c r="O4" t="s">
        <v>697</v>
      </c>
    </row>
    <row r="5" spans="1:15" x14ac:dyDescent="0.25">
      <c r="A5" s="79" t="s">
        <v>44</v>
      </c>
      <c r="D5">
        <v>1</v>
      </c>
      <c r="E5">
        <v>1</v>
      </c>
      <c r="I5" t="s">
        <v>698</v>
      </c>
      <c r="L5">
        <v>1</v>
      </c>
      <c r="M5">
        <f>SUM(J5:L5)</f>
        <v>1</v>
      </c>
      <c r="N5">
        <f>M5</f>
        <v>1</v>
      </c>
      <c r="O5" s="371">
        <f>N5/$N$25</f>
        <v>0.02</v>
      </c>
    </row>
    <row r="6" spans="1:15" x14ac:dyDescent="0.25">
      <c r="A6" s="79" t="s">
        <v>698</v>
      </c>
      <c r="D6">
        <v>1</v>
      </c>
      <c r="E6">
        <v>1</v>
      </c>
      <c r="I6" t="s">
        <v>699</v>
      </c>
      <c r="K6">
        <v>2</v>
      </c>
      <c r="M6">
        <f t="shared" ref="M6:M25" si="0">SUM(J6:L6)</f>
        <v>2</v>
      </c>
      <c r="N6">
        <f>N5+M6</f>
        <v>3</v>
      </c>
      <c r="O6" s="371">
        <f t="shared" ref="O6:O25" si="1">N6/$N$25</f>
        <v>0.06</v>
      </c>
    </row>
    <row r="7" spans="1:15" x14ac:dyDescent="0.25">
      <c r="A7" s="79" t="s">
        <v>700</v>
      </c>
      <c r="B7">
        <v>7</v>
      </c>
      <c r="C7">
        <v>1</v>
      </c>
      <c r="D7">
        <v>5</v>
      </c>
      <c r="E7">
        <v>13</v>
      </c>
      <c r="I7" t="s">
        <v>701</v>
      </c>
      <c r="J7">
        <v>1</v>
      </c>
      <c r="K7">
        <v>2</v>
      </c>
      <c r="L7">
        <v>2</v>
      </c>
      <c r="M7">
        <f t="shared" si="0"/>
        <v>5</v>
      </c>
      <c r="N7">
        <f t="shared" ref="N7:N25" si="2">N6+M7</f>
        <v>8</v>
      </c>
      <c r="O7" s="371">
        <f t="shared" si="1"/>
        <v>0.16</v>
      </c>
    </row>
    <row r="8" spans="1:15" x14ac:dyDescent="0.25">
      <c r="A8" s="79" t="s">
        <v>702</v>
      </c>
      <c r="B8">
        <v>1</v>
      </c>
      <c r="E8">
        <v>1</v>
      </c>
      <c r="I8" t="s">
        <v>703</v>
      </c>
      <c r="J8">
        <v>2</v>
      </c>
      <c r="K8">
        <v>1</v>
      </c>
      <c r="L8">
        <v>1</v>
      </c>
      <c r="M8">
        <f t="shared" si="0"/>
        <v>4</v>
      </c>
      <c r="N8">
        <f t="shared" si="2"/>
        <v>12</v>
      </c>
      <c r="O8" s="371">
        <f t="shared" si="1"/>
        <v>0.24</v>
      </c>
    </row>
    <row r="9" spans="1:15" x14ac:dyDescent="0.25">
      <c r="A9" s="79" t="s">
        <v>704</v>
      </c>
      <c r="B9">
        <v>1</v>
      </c>
      <c r="E9">
        <v>1</v>
      </c>
      <c r="I9" t="s">
        <v>705</v>
      </c>
      <c r="J9">
        <v>2</v>
      </c>
      <c r="K9">
        <v>1</v>
      </c>
      <c r="L9">
        <v>2</v>
      </c>
      <c r="M9">
        <f t="shared" si="0"/>
        <v>5</v>
      </c>
      <c r="N9">
        <f t="shared" si="2"/>
        <v>17</v>
      </c>
      <c r="O9" s="371">
        <f t="shared" si="1"/>
        <v>0.34</v>
      </c>
    </row>
    <row r="10" spans="1:15" x14ac:dyDescent="0.25">
      <c r="A10" s="79" t="s">
        <v>706</v>
      </c>
      <c r="B10">
        <v>1</v>
      </c>
      <c r="E10">
        <v>1</v>
      </c>
      <c r="I10" t="s">
        <v>707</v>
      </c>
      <c r="J10">
        <v>1</v>
      </c>
      <c r="M10">
        <f t="shared" si="0"/>
        <v>1</v>
      </c>
      <c r="N10">
        <f t="shared" si="2"/>
        <v>18</v>
      </c>
      <c r="O10" s="371">
        <f t="shared" si="1"/>
        <v>0.36</v>
      </c>
    </row>
    <row r="11" spans="1:15" x14ac:dyDescent="0.25">
      <c r="A11" s="79" t="s">
        <v>699</v>
      </c>
      <c r="C11">
        <v>2</v>
      </c>
      <c r="E11">
        <v>2</v>
      </c>
      <c r="I11" t="s">
        <v>708</v>
      </c>
      <c r="J11">
        <v>1</v>
      </c>
      <c r="K11">
        <v>2</v>
      </c>
      <c r="L11">
        <v>1</v>
      </c>
      <c r="M11">
        <f t="shared" si="0"/>
        <v>4</v>
      </c>
      <c r="N11">
        <f t="shared" si="2"/>
        <v>22</v>
      </c>
      <c r="O11" s="371">
        <f t="shared" si="1"/>
        <v>0.44</v>
      </c>
    </row>
    <row r="12" spans="1:15" x14ac:dyDescent="0.25">
      <c r="A12" s="79" t="s">
        <v>701</v>
      </c>
      <c r="B12">
        <v>1</v>
      </c>
      <c r="C12">
        <v>2</v>
      </c>
      <c r="D12">
        <v>2</v>
      </c>
      <c r="E12">
        <v>5</v>
      </c>
      <c r="I12" t="s">
        <v>709</v>
      </c>
      <c r="J12">
        <v>1</v>
      </c>
      <c r="K12">
        <v>1</v>
      </c>
      <c r="M12">
        <f t="shared" si="0"/>
        <v>2</v>
      </c>
      <c r="N12">
        <f t="shared" si="2"/>
        <v>24</v>
      </c>
      <c r="O12" s="371">
        <f t="shared" si="1"/>
        <v>0.48</v>
      </c>
    </row>
    <row r="13" spans="1:15" x14ac:dyDescent="0.25">
      <c r="A13" s="79" t="s">
        <v>703</v>
      </c>
      <c r="B13">
        <v>2</v>
      </c>
      <c r="C13">
        <v>1</v>
      </c>
      <c r="D13">
        <v>1</v>
      </c>
      <c r="E13">
        <v>4</v>
      </c>
      <c r="I13" t="s">
        <v>710</v>
      </c>
      <c r="M13">
        <f t="shared" si="0"/>
        <v>0</v>
      </c>
      <c r="N13">
        <f t="shared" si="2"/>
        <v>24</v>
      </c>
      <c r="O13" s="371">
        <f t="shared" si="1"/>
        <v>0.48</v>
      </c>
    </row>
    <row r="14" spans="1:15" x14ac:dyDescent="0.25">
      <c r="A14" s="79" t="s">
        <v>705</v>
      </c>
      <c r="B14">
        <v>2</v>
      </c>
      <c r="C14">
        <v>1</v>
      </c>
      <c r="D14">
        <v>2</v>
      </c>
      <c r="E14">
        <v>5</v>
      </c>
      <c r="I14" t="s">
        <v>700</v>
      </c>
      <c r="J14">
        <v>7</v>
      </c>
      <c r="K14">
        <v>1</v>
      </c>
      <c r="L14">
        <v>5</v>
      </c>
      <c r="M14">
        <f t="shared" si="0"/>
        <v>13</v>
      </c>
      <c r="N14">
        <f t="shared" si="2"/>
        <v>37</v>
      </c>
      <c r="O14" s="371">
        <f t="shared" si="1"/>
        <v>0.74</v>
      </c>
    </row>
    <row r="15" spans="1:15" x14ac:dyDescent="0.25">
      <c r="A15" s="79" t="s">
        <v>707</v>
      </c>
      <c r="B15">
        <v>1</v>
      </c>
      <c r="E15">
        <v>1</v>
      </c>
      <c r="I15" t="s">
        <v>702</v>
      </c>
      <c r="J15">
        <v>1</v>
      </c>
      <c r="M15">
        <f t="shared" si="0"/>
        <v>1</v>
      </c>
      <c r="N15">
        <f t="shared" si="2"/>
        <v>38</v>
      </c>
      <c r="O15" s="371">
        <f t="shared" si="1"/>
        <v>0.76</v>
      </c>
    </row>
    <row r="16" spans="1:15" x14ac:dyDescent="0.25">
      <c r="A16" s="79" t="s">
        <v>708</v>
      </c>
      <c r="B16">
        <v>1</v>
      </c>
      <c r="C16">
        <v>2</v>
      </c>
      <c r="D16">
        <v>1</v>
      </c>
      <c r="E16">
        <v>4</v>
      </c>
      <c r="I16" t="s">
        <v>711</v>
      </c>
      <c r="M16">
        <f t="shared" si="0"/>
        <v>0</v>
      </c>
      <c r="N16">
        <f t="shared" si="2"/>
        <v>38</v>
      </c>
      <c r="O16" s="371">
        <f t="shared" si="1"/>
        <v>0.76</v>
      </c>
    </row>
    <row r="17" spans="1:15" x14ac:dyDescent="0.25">
      <c r="A17" s="79" t="s">
        <v>709</v>
      </c>
      <c r="B17">
        <v>1</v>
      </c>
      <c r="C17">
        <v>1</v>
      </c>
      <c r="E17">
        <v>2</v>
      </c>
      <c r="I17" t="s">
        <v>712</v>
      </c>
      <c r="M17">
        <f t="shared" si="0"/>
        <v>0</v>
      </c>
      <c r="N17">
        <f t="shared" si="2"/>
        <v>38</v>
      </c>
      <c r="O17" s="371">
        <f t="shared" si="1"/>
        <v>0.76</v>
      </c>
    </row>
    <row r="18" spans="1:15" x14ac:dyDescent="0.25">
      <c r="A18" s="79" t="s">
        <v>713</v>
      </c>
      <c r="D18">
        <v>1</v>
      </c>
      <c r="E18">
        <v>1</v>
      </c>
      <c r="I18" t="s">
        <v>704</v>
      </c>
      <c r="J18">
        <v>1</v>
      </c>
      <c r="M18">
        <f t="shared" si="0"/>
        <v>1</v>
      </c>
      <c r="N18">
        <f t="shared" si="2"/>
        <v>39</v>
      </c>
      <c r="O18" s="371">
        <f t="shared" si="1"/>
        <v>0.78</v>
      </c>
    </row>
    <row r="19" spans="1:15" x14ac:dyDescent="0.25">
      <c r="A19" s="79" t="s">
        <v>714</v>
      </c>
      <c r="B19">
        <v>5</v>
      </c>
      <c r="C19">
        <v>1</v>
      </c>
      <c r="D19">
        <v>1</v>
      </c>
      <c r="E19">
        <v>7</v>
      </c>
      <c r="I19" t="s">
        <v>706</v>
      </c>
      <c r="J19">
        <v>1</v>
      </c>
      <c r="M19">
        <f t="shared" si="0"/>
        <v>1</v>
      </c>
      <c r="N19">
        <f t="shared" si="2"/>
        <v>40</v>
      </c>
      <c r="O19" s="371">
        <f t="shared" si="1"/>
        <v>0.8</v>
      </c>
    </row>
    <row r="20" spans="1:15" x14ac:dyDescent="0.25">
      <c r="A20" s="79" t="s">
        <v>715</v>
      </c>
      <c r="B20">
        <v>1</v>
      </c>
      <c r="E20">
        <v>1</v>
      </c>
      <c r="I20" t="s">
        <v>714</v>
      </c>
      <c r="J20">
        <v>5</v>
      </c>
      <c r="K20">
        <v>1</v>
      </c>
      <c r="L20">
        <v>1</v>
      </c>
      <c r="M20">
        <f t="shared" si="0"/>
        <v>7</v>
      </c>
      <c r="N20">
        <f t="shared" si="2"/>
        <v>47</v>
      </c>
      <c r="O20" s="371">
        <f t="shared" si="1"/>
        <v>0.94</v>
      </c>
    </row>
    <row r="21" spans="1:15" x14ac:dyDescent="0.25">
      <c r="A21" s="79" t="s">
        <v>716</v>
      </c>
      <c r="C21">
        <v>1</v>
      </c>
      <c r="E21">
        <v>1</v>
      </c>
      <c r="I21" t="s">
        <v>716</v>
      </c>
      <c r="K21">
        <v>1</v>
      </c>
      <c r="M21">
        <f t="shared" si="0"/>
        <v>1</v>
      </c>
      <c r="N21">
        <f t="shared" si="2"/>
        <v>48</v>
      </c>
      <c r="O21" s="371">
        <f t="shared" si="1"/>
        <v>0.96</v>
      </c>
    </row>
    <row r="22" spans="1:15" x14ac:dyDescent="0.25">
      <c r="A22" s="79" t="s">
        <v>637</v>
      </c>
      <c r="B22">
        <v>1</v>
      </c>
      <c r="E22">
        <v>1</v>
      </c>
      <c r="I22" t="s">
        <v>717</v>
      </c>
      <c r="M22">
        <f t="shared" si="0"/>
        <v>0</v>
      </c>
      <c r="N22">
        <f t="shared" si="2"/>
        <v>48</v>
      </c>
      <c r="O22" s="371">
        <f t="shared" si="1"/>
        <v>0.96</v>
      </c>
    </row>
    <row r="23" spans="1:15" x14ac:dyDescent="0.25">
      <c r="A23" s="79" t="s">
        <v>612</v>
      </c>
      <c r="B23">
        <v>25</v>
      </c>
      <c r="C23">
        <v>12</v>
      </c>
      <c r="D23">
        <v>15</v>
      </c>
      <c r="E23">
        <v>52</v>
      </c>
      <c r="I23" t="s">
        <v>713</v>
      </c>
      <c r="L23">
        <v>1</v>
      </c>
      <c r="M23">
        <f t="shared" si="0"/>
        <v>1</v>
      </c>
      <c r="N23">
        <f t="shared" si="2"/>
        <v>49</v>
      </c>
      <c r="O23" s="371">
        <f t="shared" si="1"/>
        <v>0.98</v>
      </c>
    </row>
    <row r="24" spans="1:15" x14ac:dyDescent="0.25">
      <c r="I24" t="s">
        <v>718</v>
      </c>
      <c r="M24">
        <f t="shared" si="0"/>
        <v>0</v>
      </c>
      <c r="N24">
        <f t="shared" si="2"/>
        <v>49</v>
      </c>
      <c r="O24" s="371">
        <f t="shared" si="1"/>
        <v>0.98</v>
      </c>
    </row>
    <row r="25" spans="1:15" x14ac:dyDescent="0.25">
      <c r="I25" t="s">
        <v>715</v>
      </c>
      <c r="J25">
        <v>1</v>
      </c>
      <c r="M25">
        <f t="shared" si="0"/>
        <v>1</v>
      </c>
      <c r="N25">
        <f t="shared" si="2"/>
        <v>50</v>
      </c>
      <c r="O25" s="371">
        <f t="shared" si="1"/>
        <v>1</v>
      </c>
    </row>
    <row r="27" spans="1:15" x14ac:dyDescent="0.25">
      <c r="A27" s="22" t="s">
        <v>695</v>
      </c>
      <c r="B27" s="22" t="s">
        <v>38</v>
      </c>
      <c r="C27" s="22" t="s">
        <v>42</v>
      </c>
      <c r="D27" s="22" t="s">
        <v>612</v>
      </c>
      <c r="E27" s="22" t="s">
        <v>719</v>
      </c>
      <c r="F27" s="456" t="s">
        <v>697</v>
      </c>
    </row>
    <row r="28" spans="1:15" x14ac:dyDescent="0.25">
      <c r="A28" s="22" t="s">
        <v>698</v>
      </c>
      <c r="C28">
        <v>1</v>
      </c>
      <c r="D28" s="22">
        <f>SUM(B28:C28)</f>
        <v>1</v>
      </c>
      <c r="E28" s="22">
        <f>D28</f>
        <v>1</v>
      </c>
      <c r="F28" s="371">
        <f t="shared" ref="F28:F42" si="3">E28/$D$49</f>
        <v>2.6315789473684209E-2</v>
      </c>
    </row>
    <row r="29" spans="1:15" x14ac:dyDescent="0.25">
      <c r="A29" s="22" t="s">
        <v>699</v>
      </c>
      <c r="D29" s="22">
        <f t="shared" ref="D29:D49" si="4">SUM(B29:C29)</f>
        <v>0</v>
      </c>
      <c r="E29" s="22">
        <f>E28+D29</f>
        <v>1</v>
      </c>
      <c r="F29" s="371">
        <f t="shared" si="3"/>
        <v>2.6315789473684209E-2</v>
      </c>
    </row>
    <row r="30" spans="1:15" x14ac:dyDescent="0.25">
      <c r="A30" s="22" t="s">
        <v>701</v>
      </c>
      <c r="B30">
        <v>1</v>
      </c>
      <c r="C30">
        <v>2</v>
      </c>
      <c r="D30" s="22">
        <f t="shared" si="4"/>
        <v>3</v>
      </c>
      <c r="E30" s="22">
        <f t="shared" ref="E30:E48" si="5">E29+D30</f>
        <v>4</v>
      </c>
      <c r="F30" s="371">
        <f t="shared" si="3"/>
        <v>0.10526315789473684</v>
      </c>
    </row>
    <row r="31" spans="1:15" x14ac:dyDescent="0.25">
      <c r="A31" s="22" t="s">
        <v>703</v>
      </c>
      <c r="B31">
        <v>2</v>
      </c>
      <c r="C31">
        <v>1</v>
      </c>
      <c r="D31" s="22">
        <f t="shared" si="4"/>
        <v>3</v>
      </c>
      <c r="E31" s="22">
        <f t="shared" si="5"/>
        <v>7</v>
      </c>
      <c r="F31" s="371">
        <f t="shared" si="3"/>
        <v>0.18421052631578946</v>
      </c>
    </row>
    <row r="32" spans="1:15" x14ac:dyDescent="0.25">
      <c r="A32" s="22" t="s">
        <v>705</v>
      </c>
      <c r="B32">
        <v>2</v>
      </c>
      <c r="C32">
        <v>2</v>
      </c>
      <c r="D32" s="22">
        <f t="shared" si="4"/>
        <v>4</v>
      </c>
      <c r="E32" s="22">
        <f t="shared" si="5"/>
        <v>11</v>
      </c>
      <c r="F32" s="371">
        <f t="shared" si="3"/>
        <v>0.28947368421052633</v>
      </c>
    </row>
    <row r="33" spans="1:6" x14ac:dyDescent="0.25">
      <c r="A33" s="22" t="s">
        <v>707</v>
      </c>
      <c r="B33">
        <v>1</v>
      </c>
      <c r="D33" s="22">
        <f t="shared" si="4"/>
        <v>1</v>
      </c>
      <c r="E33" s="22">
        <f t="shared" si="5"/>
        <v>12</v>
      </c>
      <c r="F33" s="371">
        <f t="shared" si="3"/>
        <v>0.31578947368421051</v>
      </c>
    </row>
    <row r="34" spans="1:6" x14ac:dyDescent="0.25">
      <c r="A34" s="22" t="s">
        <v>708</v>
      </c>
      <c r="B34">
        <v>1</v>
      </c>
      <c r="C34">
        <v>1</v>
      </c>
      <c r="D34" s="22">
        <f t="shared" si="4"/>
        <v>2</v>
      </c>
      <c r="E34" s="22">
        <f t="shared" si="5"/>
        <v>14</v>
      </c>
      <c r="F34" s="371">
        <f t="shared" si="3"/>
        <v>0.36842105263157893</v>
      </c>
    </row>
    <row r="35" spans="1:6" x14ac:dyDescent="0.25">
      <c r="A35" s="22" t="s">
        <v>709</v>
      </c>
      <c r="B35">
        <v>1</v>
      </c>
      <c r="D35" s="22">
        <f t="shared" si="4"/>
        <v>1</v>
      </c>
      <c r="E35" s="22">
        <f t="shared" si="5"/>
        <v>15</v>
      </c>
      <c r="F35" s="371">
        <f t="shared" si="3"/>
        <v>0.39473684210526316</v>
      </c>
    </row>
    <row r="36" spans="1:6" x14ac:dyDescent="0.25">
      <c r="A36" s="22" t="s">
        <v>710</v>
      </c>
      <c r="D36" s="22">
        <f t="shared" si="4"/>
        <v>0</v>
      </c>
      <c r="E36" s="22">
        <f t="shared" si="5"/>
        <v>15</v>
      </c>
      <c r="F36" s="371">
        <f t="shared" si="3"/>
        <v>0.39473684210526316</v>
      </c>
    </row>
    <row r="37" spans="1:6" x14ac:dyDescent="0.25">
      <c r="A37" s="22" t="s">
        <v>700</v>
      </c>
      <c r="B37">
        <v>7</v>
      </c>
      <c r="C37">
        <v>5</v>
      </c>
      <c r="D37" s="22">
        <f t="shared" si="4"/>
        <v>12</v>
      </c>
      <c r="E37" s="22">
        <f t="shared" si="5"/>
        <v>27</v>
      </c>
      <c r="F37" s="371">
        <f t="shared" si="3"/>
        <v>0.71052631578947367</v>
      </c>
    </row>
    <row r="38" spans="1:6" x14ac:dyDescent="0.25">
      <c r="A38" s="22" t="s">
        <v>702</v>
      </c>
      <c r="B38">
        <v>1</v>
      </c>
      <c r="D38" s="22">
        <f t="shared" si="4"/>
        <v>1</v>
      </c>
      <c r="E38" s="22">
        <f t="shared" si="5"/>
        <v>28</v>
      </c>
      <c r="F38" s="371">
        <f t="shared" si="3"/>
        <v>0.73684210526315785</v>
      </c>
    </row>
    <row r="39" spans="1:6" x14ac:dyDescent="0.25">
      <c r="A39" s="22" t="s">
        <v>711</v>
      </c>
      <c r="D39" s="22">
        <f t="shared" si="4"/>
        <v>0</v>
      </c>
      <c r="E39" s="22">
        <f t="shared" si="5"/>
        <v>28</v>
      </c>
      <c r="F39" s="371">
        <f t="shared" si="3"/>
        <v>0.73684210526315785</v>
      </c>
    </row>
    <row r="40" spans="1:6" x14ac:dyDescent="0.25">
      <c r="A40" s="22" t="s">
        <v>712</v>
      </c>
      <c r="D40" s="22">
        <f t="shared" si="4"/>
        <v>0</v>
      </c>
      <c r="E40" s="22">
        <f t="shared" si="5"/>
        <v>28</v>
      </c>
      <c r="F40" s="371">
        <f t="shared" si="3"/>
        <v>0.73684210526315785</v>
      </c>
    </row>
    <row r="41" spans="1:6" x14ac:dyDescent="0.25">
      <c r="A41" s="22" t="s">
        <v>704</v>
      </c>
      <c r="B41">
        <v>1</v>
      </c>
      <c r="D41" s="22">
        <f t="shared" si="4"/>
        <v>1</v>
      </c>
      <c r="E41" s="22">
        <f t="shared" si="5"/>
        <v>29</v>
      </c>
      <c r="F41" s="371">
        <f t="shared" si="3"/>
        <v>0.76315789473684215</v>
      </c>
    </row>
    <row r="42" spans="1:6" x14ac:dyDescent="0.25">
      <c r="A42" s="22" t="s">
        <v>706</v>
      </c>
      <c r="B42">
        <v>1</v>
      </c>
      <c r="D42" s="22">
        <f t="shared" si="4"/>
        <v>1</v>
      </c>
      <c r="E42" s="22">
        <f t="shared" si="5"/>
        <v>30</v>
      </c>
      <c r="F42" s="371">
        <f t="shared" si="3"/>
        <v>0.78947368421052633</v>
      </c>
    </row>
    <row r="43" spans="1:6" x14ac:dyDescent="0.25">
      <c r="A43" s="22" t="s">
        <v>714</v>
      </c>
      <c r="B43">
        <v>5</v>
      </c>
      <c r="C43">
        <v>1</v>
      </c>
      <c r="D43" s="22">
        <f t="shared" si="4"/>
        <v>6</v>
      </c>
      <c r="E43" s="22">
        <f t="shared" si="5"/>
        <v>36</v>
      </c>
      <c r="F43" s="371">
        <f t="shared" ref="F43:F48" si="6">E43/$D$49</f>
        <v>0.94736842105263153</v>
      </c>
    </row>
    <row r="44" spans="1:6" x14ac:dyDescent="0.25">
      <c r="A44" s="22" t="s">
        <v>716</v>
      </c>
      <c r="D44" s="22">
        <f t="shared" si="4"/>
        <v>0</v>
      </c>
      <c r="E44" s="22">
        <f t="shared" si="5"/>
        <v>36</v>
      </c>
      <c r="F44" s="371">
        <f t="shared" si="6"/>
        <v>0.94736842105263153</v>
      </c>
    </row>
    <row r="45" spans="1:6" x14ac:dyDescent="0.25">
      <c r="A45" s="22" t="s">
        <v>717</v>
      </c>
      <c r="D45" s="22">
        <f t="shared" si="4"/>
        <v>0</v>
      </c>
      <c r="E45" s="22">
        <f t="shared" si="5"/>
        <v>36</v>
      </c>
      <c r="F45" s="371">
        <f t="shared" si="6"/>
        <v>0.94736842105263153</v>
      </c>
    </row>
    <row r="46" spans="1:6" x14ac:dyDescent="0.25">
      <c r="A46" s="22" t="s">
        <v>713</v>
      </c>
      <c r="C46">
        <v>1</v>
      </c>
      <c r="D46" s="22">
        <f t="shared" si="4"/>
        <v>1</v>
      </c>
      <c r="E46" s="22">
        <f t="shared" si="5"/>
        <v>37</v>
      </c>
      <c r="F46" s="371">
        <f t="shared" si="6"/>
        <v>0.97368421052631582</v>
      </c>
    </row>
    <row r="47" spans="1:6" x14ac:dyDescent="0.25">
      <c r="A47" s="22" t="s">
        <v>718</v>
      </c>
      <c r="D47" s="22">
        <f t="shared" si="4"/>
        <v>0</v>
      </c>
      <c r="E47" s="22">
        <f t="shared" si="5"/>
        <v>37</v>
      </c>
      <c r="F47" s="371">
        <f t="shared" si="6"/>
        <v>0.97368421052631582</v>
      </c>
    </row>
    <row r="48" spans="1:6" x14ac:dyDescent="0.25">
      <c r="A48" s="22" t="s">
        <v>715</v>
      </c>
      <c r="B48">
        <v>1</v>
      </c>
      <c r="D48" s="22">
        <f t="shared" si="4"/>
        <v>1</v>
      </c>
      <c r="E48" s="22">
        <f t="shared" si="5"/>
        <v>38</v>
      </c>
      <c r="F48" s="371">
        <f t="shared" si="6"/>
        <v>1</v>
      </c>
    </row>
    <row r="49" spans="1:6" x14ac:dyDescent="0.25">
      <c r="A49" s="22" t="s">
        <v>612</v>
      </c>
      <c r="B49">
        <f>SUM(B28:B48)</f>
        <v>24</v>
      </c>
      <c r="C49">
        <f>SUM(C28:C48)</f>
        <v>14</v>
      </c>
      <c r="D49" s="22">
        <f t="shared" si="4"/>
        <v>38</v>
      </c>
      <c r="E49" s="22"/>
      <c r="F49" s="371"/>
    </row>
    <row r="54" spans="1:6" x14ac:dyDescent="0.25">
      <c r="A54" s="22" t="s">
        <v>695</v>
      </c>
      <c r="B54" s="22" t="s">
        <v>33</v>
      </c>
      <c r="C54" s="22"/>
      <c r="D54" s="22" t="s">
        <v>719</v>
      </c>
      <c r="E54" s="456" t="s">
        <v>697</v>
      </c>
    </row>
    <row r="55" spans="1:6" x14ac:dyDescent="0.25">
      <c r="A55" s="22" t="s">
        <v>698</v>
      </c>
      <c r="C55" s="22"/>
      <c r="D55" s="22">
        <f>B55</f>
        <v>0</v>
      </c>
      <c r="E55" s="457">
        <f t="shared" ref="E55:E69" si="7">D55/$B$76</f>
        <v>0</v>
      </c>
    </row>
    <row r="56" spans="1:6" x14ac:dyDescent="0.25">
      <c r="A56" s="22" t="s">
        <v>699</v>
      </c>
      <c r="B56">
        <v>2</v>
      </c>
      <c r="C56" s="22"/>
      <c r="D56" s="22">
        <f>D55+B56</f>
        <v>2</v>
      </c>
      <c r="E56" s="457">
        <f t="shared" si="7"/>
        <v>0.16666666666666666</v>
      </c>
    </row>
    <row r="57" spans="1:6" x14ac:dyDescent="0.25">
      <c r="A57" s="22" t="s">
        <v>701</v>
      </c>
      <c r="B57">
        <v>2</v>
      </c>
      <c r="C57" s="22"/>
      <c r="D57" s="22">
        <f t="shared" ref="D57:D75" si="8">D56+B57</f>
        <v>4</v>
      </c>
      <c r="E57" s="457">
        <f t="shared" si="7"/>
        <v>0.33333333333333331</v>
      </c>
    </row>
    <row r="58" spans="1:6" x14ac:dyDescent="0.25">
      <c r="A58" s="22" t="s">
        <v>703</v>
      </c>
      <c r="B58">
        <v>1</v>
      </c>
      <c r="C58" s="22"/>
      <c r="D58" s="22">
        <f t="shared" si="8"/>
        <v>5</v>
      </c>
      <c r="E58" s="457">
        <f t="shared" si="7"/>
        <v>0.41666666666666669</v>
      </c>
    </row>
    <row r="59" spans="1:6" x14ac:dyDescent="0.25">
      <c r="A59" s="22" t="s">
        <v>705</v>
      </c>
      <c r="B59">
        <v>1</v>
      </c>
      <c r="C59" s="22"/>
      <c r="D59" s="22">
        <f t="shared" si="8"/>
        <v>6</v>
      </c>
      <c r="E59" s="457">
        <f t="shared" si="7"/>
        <v>0.5</v>
      </c>
    </row>
    <row r="60" spans="1:6" x14ac:dyDescent="0.25">
      <c r="A60" s="22" t="s">
        <v>707</v>
      </c>
      <c r="C60" s="22"/>
      <c r="D60" s="22">
        <f t="shared" si="8"/>
        <v>6</v>
      </c>
      <c r="E60" s="457">
        <f t="shared" si="7"/>
        <v>0.5</v>
      </c>
    </row>
    <row r="61" spans="1:6" x14ac:dyDescent="0.25">
      <c r="A61" s="22" t="s">
        <v>708</v>
      </c>
      <c r="B61">
        <v>2</v>
      </c>
      <c r="C61" s="22"/>
      <c r="D61" s="22">
        <f t="shared" si="8"/>
        <v>8</v>
      </c>
      <c r="E61" s="457">
        <f t="shared" si="7"/>
        <v>0.66666666666666663</v>
      </c>
    </row>
    <row r="62" spans="1:6" x14ac:dyDescent="0.25">
      <c r="A62" s="22" t="s">
        <v>709</v>
      </c>
      <c r="B62">
        <v>1</v>
      </c>
      <c r="C62" s="22"/>
      <c r="D62" s="22">
        <f t="shared" si="8"/>
        <v>9</v>
      </c>
      <c r="E62" s="457">
        <f t="shared" si="7"/>
        <v>0.75</v>
      </c>
    </row>
    <row r="63" spans="1:6" x14ac:dyDescent="0.25">
      <c r="A63" s="22" t="s">
        <v>710</v>
      </c>
      <c r="C63" s="22"/>
      <c r="D63" s="22">
        <f t="shared" si="8"/>
        <v>9</v>
      </c>
      <c r="E63" s="457">
        <f t="shared" si="7"/>
        <v>0.75</v>
      </c>
    </row>
    <row r="64" spans="1:6" x14ac:dyDescent="0.25">
      <c r="A64" s="22" t="s">
        <v>700</v>
      </c>
      <c r="B64">
        <v>1</v>
      </c>
      <c r="C64" s="22"/>
      <c r="D64" s="22">
        <f t="shared" si="8"/>
        <v>10</v>
      </c>
      <c r="E64" s="457">
        <f t="shared" si="7"/>
        <v>0.83333333333333337</v>
      </c>
    </row>
    <row r="65" spans="1:5" x14ac:dyDescent="0.25">
      <c r="A65" s="22" t="s">
        <v>702</v>
      </c>
      <c r="C65" s="22"/>
      <c r="D65" s="22">
        <f t="shared" si="8"/>
        <v>10</v>
      </c>
      <c r="E65" s="457">
        <f t="shared" si="7"/>
        <v>0.83333333333333337</v>
      </c>
    </row>
    <row r="66" spans="1:5" x14ac:dyDescent="0.25">
      <c r="A66" s="22" t="s">
        <v>711</v>
      </c>
      <c r="C66" s="22"/>
      <c r="D66" s="22">
        <f t="shared" si="8"/>
        <v>10</v>
      </c>
      <c r="E66" s="457">
        <f t="shared" si="7"/>
        <v>0.83333333333333337</v>
      </c>
    </row>
    <row r="67" spans="1:5" x14ac:dyDescent="0.25">
      <c r="A67" s="22" t="s">
        <v>712</v>
      </c>
      <c r="C67" s="22"/>
      <c r="D67" s="22">
        <f t="shared" si="8"/>
        <v>10</v>
      </c>
      <c r="E67" s="457">
        <f t="shared" si="7"/>
        <v>0.83333333333333337</v>
      </c>
    </row>
    <row r="68" spans="1:5" x14ac:dyDescent="0.25">
      <c r="A68" s="22" t="s">
        <v>704</v>
      </c>
      <c r="C68" s="22"/>
      <c r="D68" s="22">
        <f t="shared" si="8"/>
        <v>10</v>
      </c>
      <c r="E68" s="457">
        <f t="shared" si="7"/>
        <v>0.83333333333333337</v>
      </c>
    </row>
    <row r="69" spans="1:5" x14ac:dyDescent="0.25">
      <c r="A69" s="22" t="s">
        <v>706</v>
      </c>
      <c r="C69" s="22"/>
      <c r="D69" s="22">
        <f t="shared" si="8"/>
        <v>10</v>
      </c>
      <c r="E69" s="457">
        <f t="shared" si="7"/>
        <v>0.83333333333333337</v>
      </c>
    </row>
    <row r="70" spans="1:5" x14ac:dyDescent="0.25">
      <c r="A70" s="22" t="s">
        <v>714</v>
      </c>
      <c r="B70">
        <v>1</v>
      </c>
      <c r="C70" s="22"/>
      <c r="D70" s="22">
        <f t="shared" si="8"/>
        <v>11</v>
      </c>
      <c r="E70" s="457">
        <f t="shared" ref="E70:E75" si="9">D70/$B$76</f>
        <v>0.91666666666666663</v>
      </c>
    </row>
    <row r="71" spans="1:5" x14ac:dyDescent="0.25">
      <c r="A71" s="22" t="s">
        <v>716</v>
      </c>
      <c r="B71">
        <v>1</v>
      </c>
      <c r="C71" s="22"/>
      <c r="D71" s="22">
        <f t="shared" si="8"/>
        <v>12</v>
      </c>
      <c r="E71" s="457">
        <f t="shared" si="9"/>
        <v>1</v>
      </c>
    </row>
    <row r="72" spans="1:5" x14ac:dyDescent="0.25">
      <c r="A72" s="22" t="s">
        <v>717</v>
      </c>
      <c r="C72" s="22"/>
      <c r="D72" s="22">
        <f t="shared" si="8"/>
        <v>12</v>
      </c>
      <c r="E72" s="457">
        <f t="shared" si="9"/>
        <v>1</v>
      </c>
    </row>
    <row r="73" spans="1:5" x14ac:dyDescent="0.25">
      <c r="A73" s="22" t="s">
        <v>713</v>
      </c>
      <c r="C73" s="22"/>
      <c r="D73" s="22">
        <f t="shared" si="8"/>
        <v>12</v>
      </c>
      <c r="E73" s="457">
        <f t="shared" si="9"/>
        <v>1</v>
      </c>
    </row>
    <row r="74" spans="1:5" x14ac:dyDescent="0.25">
      <c r="A74" s="22" t="s">
        <v>718</v>
      </c>
      <c r="C74" s="22"/>
      <c r="D74" s="22">
        <f t="shared" si="8"/>
        <v>12</v>
      </c>
      <c r="E74" s="457">
        <f t="shared" si="9"/>
        <v>1</v>
      </c>
    </row>
    <row r="75" spans="1:5" x14ac:dyDescent="0.25">
      <c r="A75" s="22" t="s">
        <v>715</v>
      </c>
      <c r="C75" s="22"/>
      <c r="D75" s="22">
        <f t="shared" si="8"/>
        <v>12</v>
      </c>
      <c r="E75" s="457">
        <f t="shared" si="9"/>
        <v>1</v>
      </c>
    </row>
    <row r="76" spans="1:5" x14ac:dyDescent="0.25">
      <c r="A76" s="22" t="s">
        <v>612</v>
      </c>
      <c r="B76">
        <v>12</v>
      </c>
      <c r="C76" s="22"/>
      <c r="D76" s="22"/>
      <c r="E76" s="22"/>
    </row>
    <row r="85" spans="1:7" x14ac:dyDescent="0.25">
      <c r="A85" t="s">
        <v>695</v>
      </c>
      <c r="B85" t="s">
        <v>38</v>
      </c>
      <c r="C85" t="s">
        <v>33</v>
      </c>
      <c r="D85" t="s">
        <v>42</v>
      </c>
      <c r="E85" t="s">
        <v>612</v>
      </c>
      <c r="F85" t="s">
        <v>696</v>
      </c>
      <c r="G85" t="s">
        <v>697</v>
      </c>
    </row>
    <row r="86" spans="1:7" x14ac:dyDescent="0.25">
      <c r="A86" t="s">
        <v>698</v>
      </c>
      <c r="D86">
        <v>1</v>
      </c>
      <c r="E86">
        <v>1</v>
      </c>
      <c r="F86">
        <f>E86</f>
        <v>1</v>
      </c>
      <c r="G86" s="371">
        <f>F86/$E$107</f>
        <v>2.0408163265306121E-2</v>
      </c>
    </row>
    <row r="87" spans="1:7" x14ac:dyDescent="0.25">
      <c r="A87" t="s">
        <v>699</v>
      </c>
      <c r="C87">
        <v>1</v>
      </c>
      <c r="D87">
        <v>1</v>
      </c>
      <c r="E87">
        <v>2</v>
      </c>
      <c r="F87">
        <f>F86+E87</f>
        <v>3</v>
      </c>
      <c r="G87" s="371">
        <f t="shared" ref="G87:G100" si="10">F87/$E$107</f>
        <v>6.1224489795918366E-2</v>
      </c>
    </row>
    <row r="88" spans="1:7" x14ac:dyDescent="0.25">
      <c r="A88" t="s">
        <v>701</v>
      </c>
      <c r="B88">
        <v>1</v>
      </c>
      <c r="C88">
        <v>4</v>
      </c>
      <c r="D88">
        <v>2</v>
      </c>
      <c r="E88">
        <v>7</v>
      </c>
      <c r="F88">
        <f t="shared" ref="F88:F100" si="11">F87+E88</f>
        <v>10</v>
      </c>
      <c r="G88" s="371">
        <f t="shared" si="10"/>
        <v>0.20408163265306123</v>
      </c>
    </row>
    <row r="89" spans="1:7" x14ac:dyDescent="0.25">
      <c r="A89" t="s">
        <v>703</v>
      </c>
      <c r="B89">
        <v>1</v>
      </c>
      <c r="C89">
        <v>1</v>
      </c>
      <c r="E89">
        <v>2</v>
      </c>
      <c r="F89">
        <f t="shared" si="11"/>
        <v>12</v>
      </c>
      <c r="G89" s="371">
        <f t="shared" si="10"/>
        <v>0.24489795918367346</v>
      </c>
    </row>
    <row r="90" spans="1:7" x14ac:dyDescent="0.25">
      <c r="A90" t="s">
        <v>705</v>
      </c>
      <c r="B90">
        <v>2</v>
      </c>
      <c r="C90">
        <v>2</v>
      </c>
      <c r="D90">
        <v>1</v>
      </c>
      <c r="E90">
        <v>5</v>
      </c>
      <c r="F90">
        <f t="shared" si="11"/>
        <v>17</v>
      </c>
      <c r="G90" s="371">
        <f t="shared" si="10"/>
        <v>0.34693877551020408</v>
      </c>
    </row>
    <row r="91" spans="1:7" x14ac:dyDescent="0.25">
      <c r="A91" t="s">
        <v>707</v>
      </c>
      <c r="C91">
        <v>3</v>
      </c>
      <c r="D91">
        <v>2</v>
      </c>
      <c r="E91">
        <v>5</v>
      </c>
      <c r="F91">
        <f t="shared" si="11"/>
        <v>22</v>
      </c>
      <c r="G91" s="371">
        <f t="shared" si="10"/>
        <v>0.44897959183673469</v>
      </c>
    </row>
    <row r="92" spans="1:7" x14ac:dyDescent="0.25">
      <c r="A92" t="s">
        <v>708</v>
      </c>
      <c r="B92">
        <v>1</v>
      </c>
      <c r="C92">
        <v>3</v>
      </c>
      <c r="D92">
        <v>2</v>
      </c>
      <c r="E92">
        <v>6</v>
      </c>
      <c r="F92">
        <f t="shared" si="11"/>
        <v>28</v>
      </c>
      <c r="G92" s="371">
        <f t="shared" si="10"/>
        <v>0.5714285714285714</v>
      </c>
    </row>
    <row r="93" spans="1:7" x14ac:dyDescent="0.25">
      <c r="A93" t="s">
        <v>709</v>
      </c>
      <c r="B93">
        <v>1</v>
      </c>
      <c r="E93">
        <v>1</v>
      </c>
      <c r="F93">
        <f t="shared" si="11"/>
        <v>29</v>
      </c>
      <c r="G93" s="371">
        <f t="shared" si="10"/>
        <v>0.59183673469387754</v>
      </c>
    </row>
    <row r="94" spans="1:7" x14ac:dyDescent="0.25">
      <c r="A94" t="s">
        <v>710</v>
      </c>
      <c r="B94">
        <v>7</v>
      </c>
      <c r="C94">
        <v>2</v>
      </c>
      <c r="D94">
        <v>2</v>
      </c>
      <c r="E94">
        <v>11</v>
      </c>
      <c r="F94">
        <f t="shared" si="11"/>
        <v>40</v>
      </c>
      <c r="G94" s="371">
        <f t="shared" si="10"/>
        <v>0.81632653061224492</v>
      </c>
    </row>
    <row r="95" spans="1:7" x14ac:dyDescent="0.25">
      <c r="A95" t="s">
        <v>700</v>
      </c>
      <c r="B95">
        <v>1</v>
      </c>
      <c r="E95">
        <v>1</v>
      </c>
      <c r="F95">
        <f t="shared" si="11"/>
        <v>41</v>
      </c>
      <c r="G95" s="371">
        <f t="shared" si="10"/>
        <v>0.83673469387755106</v>
      </c>
    </row>
    <row r="96" spans="1:7" x14ac:dyDescent="0.25">
      <c r="A96" t="s">
        <v>702</v>
      </c>
      <c r="F96">
        <f t="shared" si="11"/>
        <v>41</v>
      </c>
      <c r="G96" s="371">
        <f t="shared" si="10"/>
        <v>0.83673469387755106</v>
      </c>
    </row>
    <row r="97" spans="1:7" x14ac:dyDescent="0.25">
      <c r="A97" t="s">
        <v>711</v>
      </c>
      <c r="B97">
        <v>2</v>
      </c>
      <c r="E97">
        <v>2</v>
      </c>
      <c r="F97">
        <f t="shared" si="11"/>
        <v>43</v>
      </c>
      <c r="G97" s="371">
        <f t="shared" si="10"/>
        <v>0.87755102040816324</v>
      </c>
    </row>
    <row r="98" spans="1:7" x14ac:dyDescent="0.25">
      <c r="A98" t="s">
        <v>712</v>
      </c>
      <c r="B98">
        <v>2</v>
      </c>
      <c r="C98">
        <v>1</v>
      </c>
      <c r="E98">
        <v>3</v>
      </c>
      <c r="F98">
        <f t="shared" si="11"/>
        <v>46</v>
      </c>
      <c r="G98" s="371">
        <f t="shared" si="10"/>
        <v>0.93877551020408168</v>
      </c>
    </row>
    <row r="99" spans="1:7" x14ac:dyDescent="0.25">
      <c r="A99" t="s">
        <v>704</v>
      </c>
      <c r="B99">
        <v>1</v>
      </c>
      <c r="D99">
        <v>1</v>
      </c>
      <c r="E99">
        <v>2</v>
      </c>
      <c r="F99">
        <f t="shared" si="11"/>
        <v>48</v>
      </c>
      <c r="G99" s="371">
        <f t="shared" si="10"/>
        <v>0.97959183673469385</v>
      </c>
    </row>
    <row r="100" spans="1:7" ht="15.75" customHeight="1" x14ac:dyDescent="0.25">
      <c r="A100" t="s">
        <v>706</v>
      </c>
      <c r="C100">
        <v>1</v>
      </c>
      <c r="E100">
        <v>1</v>
      </c>
      <c r="F100">
        <f t="shared" si="11"/>
        <v>49</v>
      </c>
      <c r="G100" s="371">
        <f t="shared" si="10"/>
        <v>1</v>
      </c>
    </row>
    <row r="101" spans="1:7" ht="15.75" customHeight="1" x14ac:dyDescent="0.25">
      <c r="A101" t="s">
        <v>714</v>
      </c>
      <c r="G101" s="371"/>
    </row>
    <row r="102" spans="1:7" ht="15.75" customHeight="1" x14ac:dyDescent="0.25">
      <c r="A102" t="s">
        <v>716</v>
      </c>
      <c r="G102" s="371"/>
    </row>
    <row r="103" spans="1:7" ht="15.75" customHeight="1" x14ac:dyDescent="0.25">
      <c r="A103" t="s">
        <v>717</v>
      </c>
      <c r="G103" s="371"/>
    </row>
    <row r="104" spans="1:7" ht="15.75" customHeight="1" x14ac:dyDescent="0.25">
      <c r="A104" t="s">
        <v>713</v>
      </c>
      <c r="G104" s="371"/>
    </row>
    <row r="105" spans="1:7" x14ac:dyDescent="0.25">
      <c r="A105" t="s">
        <v>718</v>
      </c>
      <c r="G105" s="371"/>
    </row>
    <row r="106" spans="1:7" x14ac:dyDescent="0.25">
      <c r="A106" t="s">
        <v>715</v>
      </c>
      <c r="G106" s="371"/>
    </row>
    <row r="107" spans="1:7" x14ac:dyDescent="0.25">
      <c r="A107" t="s">
        <v>612</v>
      </c>
      <c r="B107">
        <f>SUM(B86:B100)</f>
        <v>19</v>
      </c>
      <c r="C107">
        <f t="shared" ref="C107:E107" si="12">SUM(C86:C100)</f>
        <v>18</v>
      </c>
      <c r="D107">
        <f t="shared" si="12"/>
        <v>12</v>
      </c>
      <c r="E107">
        <f t="shared" si="12"/>
        <v>49</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M7" sqref="M7"/>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720</v>
      </c>
      <c r="B1" s="157" t="s">
        <v>721</v>
      </c>
      <c r="C1" s="158" t="s">
        <v>722</v>
      </c>
      <c r="D1" s="158" t="s">
        <v>723</v>
      </c>
      <c r="E1" s="158" t="s">
        <v>724</v>
      </c>
      <c r="F1" s="158" t="s">
        <v>725</v>
      </c>
      <c r="G1" s="158" t="s">
        <v>726</v>
      </c>
      <c r="H1" s="158" t="s">
        <v>727</v>
      </c>
      <c r="I1" s="158" t="s">
        <v>728</v>
      </c>
      <c r="J1" s="158" t="s">
        <v>729</v>
      </c>
      <c r="K1" s="158" t="s">
        <v>730</v>
      </c>
      <c r="L1" s="158" t="s">
        <v>731</v>
      </c>
      <c r="M1" s="158" t="s">
        <v>732</v>
      </c>
      <c r="N1" s="158" t="s">
        <v>733</v>
      </c>
      <c r="O1" s="158" t="s">
        <v>734</v>
      </c>
      <c r="P1" s="158" t="s">
        <v>735</v>
      </c>
      <c r="Q1" s="158" t="s">
        <v>736</v>
      </c>
      <c r="R1" s="158" t="s">
        <v>737</v>
      </c>
      <c r="S1" s="158" t="s">
        <v>738</v>
      </c>
      <c r="T1" s="158" t="s">
        <v>739</v>
      </c>
      <c r="U1" s="158" t="s">
        <v>740</v>
      </c>
      <c r="V1" s="158" t="s">
        <v>741</v>
      </c>
      <c r="W1" s="158" t="s">
        <v>742</v>
      </c>
      <c r="X1" s="158" t="s">
        <v>743</v>
      </c>
      <c r="Y1" s="158" t="s">
        <v>744</v>
      </c>
      <c r="Z1" s="158" t="s">
        <v>745</v>
      </c>
      <c r="AA1" s="158" t="s">
        <v>746</v>
      </c>
      <c r="AB1" s="158" t="s">
        <v>747</v>
      </c>
      <c r="AC1" s="158" t="s">
        <v>748</v>
      </c>
      <c r="AD1" s="158" t="s">
        <v>749</v>
      </c>
      <c r="AE1" s="158" t="s">
        <v>750</v>
      </c>
      <c r="AF1" s="158" t="s">
        <v>751</v>
      </c>
      <c r="AG1" s="158" t="s">
        <v>752</v>
      </c>
      <c r="AH1" s="158" t="s">
        <v>753</v>
      </c>
      <c r="AI1" s="158" t="s">
        <v>754</v>
      </c>
      <c r="AJ1" s="158" t="s">
        <v>755</v>
      </c>
      <c r="AK1" s="158" t="s">
        <v>756</v>
      </c>
      <c r="AL1" s="158" t="s">
        <v>757</v>
      </c>
      <c r="AM1" s="158" t="s">
        <v>758</v>
      </c>
      <c r="AN1" s="158" t="s">
        <v>759</v>
      </c>
      <c r="AO1" s="158" t="s">
        <v>760</v>
      </c>
      <c r="AP1" s="158" t="s">
        <v>761</v>
      </c>
      <c r="AQ1" s="158" t="s">
        <v>762</v>
      </c>
      <c r="AR1" s="158" t="s">
        <v>763</v>
      </c>
      <c r="AS1" s="158" t="s">
        <v>764</v>
      </c>
      <c r="AT1" s="158" t="s">
        <v>765</v>
      </c>
      <c r="AU1" s="158" t="s">
        <v>766</v>
      </c>
      <c r="AV1" s="158" t="s">
        <v>767</v>
      </c>
      <c r="AW1" s="158" t="s">
        <v>768</v>
      </c>
      <c r="AX1" s="158" t="s">
        <v>769</v>
      </c>
      <c r="AY1" s="158" t="s">
        <v>770</v>
      </c>
      <c r="AZ1" s="158" t="s">
        <v>771</v>
      </c>
      <c r="BA1" s="158" t="s">
        <v>772</v>
      </c>
      <c r="BB1" s="159" t="s">
        <v>773</v>
      </c>
    </row>
    <row r="2" spans="1:54" s="135" customFormat="1" x14ac:dyDescent="0.2">
      <c r="A2" s="151" t="s">
        <v>689</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692</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243</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690</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689</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691</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243</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695</v>
      </c>
      <c r="B3" s="129" t="s">
        <v>774</v>
      </c>
      <c r="C3" s="129"/>
      <c r="D3" s="210"/>
      <c r="E3" s="129"/>
    </row>
    <row r="4" spans="1:5" x14ac:dyDescent="0.25">
      <c r="A4" s="79" t="s">
        <v>44</v>
      </c>
      <c r="B4">
        <v>0</v>
      </c>
    </row>
    <row r="5" spans="1:5" x14ac:dyDescent="0.25">
      <c r="A5" s="79" t="s">
        <v>698</v>
      </c>
      <c r="B5">
        <v>85</v>
      </c>
      <c r="D5" s="130">
        <f>GETPIVOTDATA("#Tests",$A$3,"ETA","wk-1")/GETPIVOTDATA("#Tests",$A$3)</f>
        <v>0.17</v>
      </c>
      <c r="E5" s="131">
        <f>D5</f>
        <v>0.17</v>
      </c>
    </row>
    <row r="6" spans="1:5" x14ac:dyDescent="0.25">
      <c r="A6" s="79" t="s">
        <v>699</v>
      </c>
      <c r="B6">
        <v>48</v>
      </c>
      <c r="D6" s="130">
        <f>GETPIVOTDATA("#Tests",$A$3,"ETA","wk-2")/GETPIVOTDATA("#Tests",$A$3)</f>
        <v>9.6000000000000002E-2</v>
      </c>
      <c r="E6" s="131">
        <f t="shared" ref="E6:E12" si="0">E5+D6</f>
        <v>0.26600000000000001</v>
      </c>
    </row>
    <row r="7" spans="1:5" x14ac:dyDescent="0.25">
      <c r="A7" s="79" t="s">
        <v>701</v>
      </c>
      <c r="B7">
        <v>96</v>
      </c>
      <c r="D7" s="130">
        <f>GETPIVOTDATA("#Tests",$A$3,"ETA","wk-3")/GETPIVOTDATA("#Tests",$A$3)</f>
        <v>0.192</v>
      </c>
      <c r="E7" s="131">
        <f t="shared" si="0"/>
        <v>0.45800000000000002</v>
      </c>
    </row>
    <row r="8" spans="1:5" x14ac:dyDescent="0.25">
      <c r="A8" s="79" t="s">
        <v>703</v>
      </c>
      <c r="B8">
        <v>79</v>
      </c>
      <c r="D8" s="130">
        <f>GETPIVOTDATA("#Tests",$A$3,"ETA","wk-4")/GETPIVOTDATA("#Tests",$A$3)</f>
        <v>0.158</v>
      </c>
      <c r="E8" s="131">
        <f t="shared" si="0"/>
        <v>0.61599999999999999</v>
      </c>
    </row>
    <row r="9" spans="1:5" x14ac:dyDescent="0.25">
      <c r="A9" s="79" t="s">
        <v>705</v>
      </c>
      <c r="B9">
        <v>82</v>
      </c>
      <c r="D9" s="130">
        <f>GETPIVOTDATA("#Tests",$A$3,"ETA","wk-5")/GETPIVOTDATA("#Tests",$A$3)</f>
        <v>0.16400000000000001</v>
      </c>
      <c r="E9" s="131">
        <f t="shared" si="0"/>
        <v>0.78</v>
      </c>
    </row>
    <row r="10" spans="1:5" x14ac:dyDescent="0.25">
      <c r="A10" s="79" t="s">
        <v>707</v>
      </c>
      <c r="B10">
        <v>60</v>
      </c>
      <c r="D10" s="130">
        <f>GETPIVOTDATA("#Tests",$A$3,"ETA","wk-6")/GETPIVOTDATA("#Tests",$A$3)</f>
        <v>0.12</v>
      </c>
      <c r="E10" s="131">
        <f t="shared" si="0"/>
        <v>0.9</v>
      </c>
    </row>
    <row r="11" spans="1:5" x14ac:dyDescent="0.25">
      <c r="A11" s="79" t="s">
        <v>708</v>
      </c>
      <c r="B11">
        <v>30</v>
      </c>
      <c r="D11" s="130">
        <f>GETPIVOTDATA("#Tests",$A$3,"ETA","wk-7")/GETPIVOTDATA("#Tests",$A$3)</f>
        <v>0.06</v>
      </c>
      <c r="E11" s="131">
        <f t="shared" si="0"/>
        <v>0.96</v>
      </c>
    </row>
    <row r="12" spans="1:5" x14ac:dyDescent="0.25">
      <c r="A12" s="79" t="s">
        <v>709</v>
      </c>
      <c r="B12">
        <v>20</v>
      </c>
      <c r="D12" s="130">
        <f>GETPIVOTDATA("#Tests",$A$3,"ETA","wk-8")/GETPIVOTDATA("#Tests",$A$3)</f>
        <v>0.04</v>
      </c>
      <c r="E12" s="131">
        <f t="shared" si="0"/>
        <v>1</v>
      </c>
    </row>
    <row r="13" spans="1:5" x14ac:dyDescent="0.25">
      <c r="A13" s="79" t="s">
        <v>612</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Cross-IP trackingHowTo</vt:lpstr>
      <vt:lpstr>Revision History</vt:lpstr>
      <vt:lpstr>Usage</vt:lpstr>
      <vt:lpstr>Diags Raw Data</vt:lpstr>
      <vt:lpstr>Feature Raw Data</vt:lpstr>
      <vt:lpstr>Sub-IP Block Summary</vt:lpstr>
      <vt:lpstr>Feature Summary</vt:lpstr>
      <vt:lpstr>Progress (WIP)</vt:lpstr>
      <vt:lpstr>FeatureSHR</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2024-03-17T17:28:03Z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2021-11-12T08:50:26Z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7f0b6ef1-8a7f-4e30-baa0-53cdd1c42fab</vt:lpwstr>
  </property>
  <property fmtid="{D5CDD505-2E9C-101B-9397-08002B2CF9AE}" pid="9" name="MSIP_Label_88914ebd-7e6c-4e12-a031-a9906be2db14_ContentBits">
    <vt:lpwstr>1</vt:lpwstr>
  </property>
</Properties>
</file>