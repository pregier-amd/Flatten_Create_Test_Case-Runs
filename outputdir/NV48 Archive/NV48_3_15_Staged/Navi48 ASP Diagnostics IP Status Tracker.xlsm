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5_Staged\"/>
    </mc:Choice>
  </mc:AlternateContent>
  <xr:revisionPtr revIDLastSave="0" documentId="8_{57074EE9-1BEC-4521-A8E4-A56A920A2D3E}" xr6:coauthVersionLast="47" xr6:coauthVersionMax="47" xr10:uidLastSave="{00000000-0000-0000-0000-000000000000}"/>
  <bookViews>
    <workbookView xWindow="-28080" yWindow="330" windowWidth="26565" windowHeight="1518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Data'!$A$5:$AH$77</definedName>
    <definedName name="_xlnm._FilterDatabase" localSheetId="7" hidden="1">'Feature Raw Data'!$A$2:$E$97</definedName>
    <definedName name="_xlnm._FilterDatabase" localSheetId="8" hidden="1">'Feature Summary'!$A$6:$U$62</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3"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56" i="55" l="1"/>
  <c r="C56" i="55"/>
  <c r="D56" i="55" a="1"/>
  <c r="D56" i="55" s="1"/>
  <c r="E56" i="55"/>
  <c r="F56" i="55"/>
  <c r="I56" i="55"/>
  <c r="J56" i="55"/>
  <c r="L77" i="53"/>
  <c r="K77" i="53"/>
  <c r="N77" i="53"/>
  <c r="P77" i="53"/>
  <c r="R77" i="53"/>
  <c r="M56" i="55" a="1"/>
  <c r="M56" i="55" s="1"/>
  <c r="T77" i="53"/>
  <c r="N56" i="55" s="1" a="1"/>
  <c r="N56" i="55" s="1"/>
  <c r="U77" i="53"/>
  <c r="P56" i="55"/>
  <c r="S56" i="55" s="1"/>
  <c r="Q56" i="55"/>
  <c r="P52" i="55"/>
  <c r="S52" i="55" s="1"/>
  <c r="C49" i="55"/>
  <c r="C50" i="55"/>
  <c r="C51" i="55"/>
  <c r="C52" i="55"/>
  <c r="C53" i="55"/>
  <c r="C54" i="55"/>
  <c r="B49" i="55"/>
  <c r="D49" i="55" a="1"/>
  <c r="D49" i="55" s="1"/>
  <c r="K49" i="55" s="1" a="1"/>
  <c r="E49" i="55"/>
  <c r="F49" i="55"/>
  <c r="I49" i="55"/>
  <c r="J49" i="55"/>
  <c r="P49" i="55"/>
  <c r="S49" i="55"/>
  <c r="Q49" i="55"/>
  <c r="B50" i="55"/>
  <c r="D50" i="55" a="1"/>
  <c r="D50" i="55" s="1"/>
  <c r="E50" i="55"/>
  <c r="F50" i="55"/>
  <c r="I50" i="55"/>
  <c r="J50" i="55"/>
  <c r="P50" i="55"/>
  <c r="S50" i="55" s="1"/>
  <c r="Q50" i="55"/>
  <c r="B51" i="55"/>
  <c r="D51" i="55" a="1"/>
  <c r="D51" i="55"/>
  <c r="G51" i="55" s="1"/>
  <c r="E51" i="55"/>
  <c r="F51" i="55"/>
  <c r="I51" i="55"/>
  <c r="J51" i="55"/>
  <c r="P51" i="55"/>
  <c r="S51" i="55" s="1"/>
  <c r="Q51" i="55"/>
  <c r="B52" i="55"/>
  <c r="D52" i="55" a="1"/>
  <c r="D52" i="55" s="1"/>
  <c r="E52" i="55"/>
  <c r="F52" i="55"/>
  <c r="I52" i="55"/>
  <c r="J52" i="55"/>
  <c r="M52" i="55" a="1"/>
  <c r="M52" i="55"/>
  <c r="Q52" i="55"/>
  <c r="B53" i="55"/>
  <c r="D53" i="55" a="1"/>
  <c r="D53" i="55" s="1"/>
  <c r="E53" i="55"/>
  <c r="F53" i="55"/>
  <c r="I53" i="55"/>
  <c r="J53" i="55"/>
  <c r="P53" i="55"/>
  <c r="S53" i="55" s="1"/>
  <c r="Q53" i="55"/>
  <c r="B54" i="55"/>
  <c r="D54" i="55" a="1"/>
  <c r="D54" i="55" s="1"/>
  <c r="E54" i="55"/>
  <c r="F54" i="55"/>
  <c r="I54" i="55"/>
  <c r="J54" i="55"/>
  <c r="P54" i="55"/>
  <c r="S54" i="55"/>
  <c r="Q54" i="55"/>
  <c r="B55" i="55"/>
  <c r="C55" i="55"/>
  <c r="D55" i="55" a="1"/>
  <c r="D55" i="55" s="1"/>
  <c r="G55" i="55" s="1"/>
  <c r="E55" i="55"/>
  <c r="F55" i="55"/>
  <c r="I55" i="55"/>
  <c r="J55" i="55"/>
  <c r="P55" i="55"/>
  <c r="S55" i="55" s="1"/>
  <c r="Q55" i="55"/>
  <c r="D25" i="55" a="1"/>
  <c r="D25" i="55" s="1"/>
  <c r="G25" i="55" s="1"/>
  <c r="B7" i="55"/>
  <c r="B4" i="59"/>
  <c r="T2" i="53"/>
  <c r="M50" i="55" a="1"/>
  <c r="M50" i="55" s="1"/>
  <c r="O77" i="53"/>
  <c r="K2" i="53"/>
  <c r="K34" i="59"/>
  <c r="C13" i="59"/>
  <c r="L13" i="59" s="1"/>
  <c r="C18" i="59"/>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L12" i="59" s="1"/>
  <c r="B12" i="59"/>
  <c r="S11" i="59"/>
  <c r="R11" i="59"/>
  <c r="Q11" i="59"/>
  <c r="P11" i="59"/>
  <c r="K11" i="59"/>
  <c r="J11" i="59"/>
  <c r="I11" i="59"/>
  <c r="H11" i="59"/>
  <c r="H14" i="59" s="1"/>
  <c r="E11" i="59"/>
  <c r="C11" i="59"/>
  <c r="B11" i="59"/>
  <c r="S10" i="59"/>
  <c r="R10" i="59"/>
  <c r="Q10" i="59"/>
  <c r="P10" i="59"/>
  <c r="K10" i="59"/>
  <c r="J10" i="59"/>
  <c r="I10" i="59"/>
  <c r="H10" i="59"/>
  <c r="E10" i="59"/>
  <c r="C10" i="59"/>
  <c r="B10" i="59"/>
  <c r="F10" i="59" s="1"/>
  <c r="S9" i="59"/>
  <c r="R9" i="59"/>
  <c r="Q9" i="59"/>
  <c r="P9" i="59"/>
  <c r="K9" i="59"/>
  <c r="J9" i="59"/>
  <c r="I9" i="59"/>
  <c r="H9" i="59"/>
  <c r="E9" i="59"/>
  <c r="C9" i="59"/>
  <c r="B9" i="59"/>
  <c r="V9" i="59" s="1"/>
  <c r="S8" i="59"/>
  <c r="R8" i="59"/>
  <c r="Q8" i="59"/>
  <c r="P8" i="59"/>
  <c r="K8" i="59"/>
  <c r="J8" i="59"/>
  <c r="I8" i="59"/>
  <c r="H8" i="59"/>
  <c r="C8" i="59"/>
  <c r="B8" i="59"/>
  <c r="F8" i="59" s="1"/>
  <c r="S7" i="59"/>
  <c r="R7" i="59"/>
  <c r="Q7" i="59"/>
  <c r="P7" i="59"/>
  <c r="K7" i="59"/>
  <c r="J7" i="59"/>
  <c r="I7" i="59"/>
  <c r="H7" i="59"/>
  <c r="E7" i="59"/>
  <c r="C7" i="59"/>
  <c r="B7" i="59"/>
  <c r="V7" i="59"/>
  <c r="S6" i="59"/>
  <c r="R6" i="59"/>
  <c r="Q6" i="59"/>
  <c r="P6" i="59"/>
  <c r="K6" i="59"/>
  <c r="J6" i="59"/>
  <c r="I6" i="59"/>
  <c r="H6" i="59"/>
  <c r="E6" i="59"/>
  <c r="C6" i="59"/>
  <c r="B6" i="59"/>
  <c r="V6" i="59"/>
  <c r="S5" i="59"/>
  <c r="R5" i="59"/>
  <c r="Q5" i="59"/>
  <c r="P5" i="59"/>
  <c r="V5" i="59" s="1"/>
  <c r="K5" i="59"/>
  <c r="J5" i="59"/>
  <c r="I5" i="59"/>
  <c r="H5" i="59"/>
  <c r="E5" i="59"/>
  <c r="C5" i="59"/>
  <c r="B5" i="59"/>
  <c r="S4" i="59"/>
  <c r="R4" i="59"/>
  <c r="Q4" i="59"/>
  <c r="P4" i="59"/>
  <c r="K4" i="59"/>
  <c r="J4" i="59"/>
  <c r="I4" i="59"/>
  <c r="H4" i="59"/>
  <c r="E4" i="59"/>
  <c r="E14" i="59" s="1"/>
  <c r="C4" i="59"/>
  <c r="I46" i="55"/>
  <c r="J16" i="55"/>
  <c r="J17" i="55"/>
  <c r="D16" i="55" a="1"/>
  <c r="D16" i="55" s="1"/>
  <c r="D17" i="55" a="1"/>
  <c r="D17" i="55" s="1"/>
  <c r="D9" i="55" a="1"/>
  <c r="D9" i="55" s="1"/>
  <c r="D10" i="55" a="1"/>
  <c r="D10" i="55" s="1"/>
  <c r="D11" i="55" a="1"/>
  <c r="D11" i="55" s="1"/>
  <c r="D12" i="55" a="1"/>
  <c r="D12" i="55" s="1"/>
  <c r="D13" i="55" a="1"/>
  <c r="D13" i="55" s="1"/>
  <c r="D14" i="55" a="1"/>
  <c r="D14" i="55" s="1"/>
  <c r="D15" i="55" a="1"/>
  <c r="D15" i="55" s="1"/>
  <c r="D18" i="55" a="1"/>
  <c r="D18" i="55" s="1"/>
  <c r="D19" i="55" a="1"/>
  <c r="D19" i="55" s="1"/>
  <c r="D20" i="55" a="1"/>
  <c r="D20" i="55" s="1"/>
  <c r="L20" i="55" s="1" a="1"/>
  <c r="L20" i="55" s="1"/>
  <c r="D21" i="55" a="1"/>
  <c r="D21" i="55" s="1"/>
  <c r="D22" i="55" a="1"/>
  <c r="D22" i="55" s="1"/>
  <c r="D23" i="55" a="1"/>
  <c r="D23" i="55" s="1"/>
  <c r="L23" i="55" s="1" a="1"/>
  <c r="D24" i="55" a="1"/>
  <c r="D24" i="55" s="1"/>
  <c r="D26" i="55" a="1"/>
  <c r="D26" i="55" s="1"/>
  <c r="D27" i="55" a="1"/>
  <c r="D27" i="55" s="1"/>
  <c r="D28" i="55" a="1"/>
  <c r="D28" i="55" s="1"/>
  <c r="D29" i="55" a="1"/>
  <c r="D29" i="55" s="1"/>
  <c r="D30" i="55" a="1"/>
  <c r="D30" i="55" s="1"/>
  <c r="G30" i="55" s="1"/>
  <c r="D31" i="55" a="1"/>
  <c r="D31" i="55" s="1"/>
  <c r="D32" i="55" a="1"/>
  <c r="D32" i="55" s="1"/>
  <c r="K32" i="55" s="1" a="1"/>
  <c r="K32" i="55" s="1"/>
  <c r="D33" i="55" a="1"/>
  <c r="D33" i="55" s="1"/>
  <c r="D34" i="55" a="1"/>
  <c r="D34" i="55" s="1"/>
  <c r="D35" i="55" a="1"/>
  <c r="D35" i="55" s="1"/>
  <c r="D36" i="55" a="1"/>
  <c r="D36" i="55" s="1"/>
  <c r="D37" i="55" a="1"/>
  <c r="D37" i="55" s="1"/>
  <c r="H37" i="55" s="1"/>
  <c r="D38" i="55" a="1"/>
  <c r="D38" i="55" s="1"/>
  <c r="D39" i="55" a="1"/>
  <c r="D39" i="55" s="1"/>
  <c r="L39" i="55" s="1" a="1"/>
  <c r="L39" i="55" s="1"/>
  <c r="D40" i="55" a="1"/>
  <c r="D40" i="55" s="1"/>
  <c r="H40" i="55" s="1"/>
  <c r="D41" i="55" a="1"/>
  <c r="D41" i="55" s="1"/>
  <c r="H41" i="55" s="1"/>
  <c r="D42" i="55" a="1"/>
  <c r="D42" i="55" s="1"/>
  <c r="H42" i="55" s="1"/>
  <c r="D43" i="55" a="1"/>
  <c r="D43" i="55" s="1"/>
  <c r="D44" i="55" a="1"/>
  <c r="D44" i="55"/>
  <c r="H44" i="55" s="1"/>
  <c r="D45" i="55" a="1"/>
  <c r="D45" i="55"/>
  <c r="L45" i="55" s="1" a="1"/>
  <c r="L45" i="55" s="1"/>
  <c r="D46" i="55" a="1"/>
  <c r="D46" i="55"/>
  <c r="G46" i="55" s="1"/>
  <c r="D47" i="55" a="1"/>
  <c r="D47" i="55" s="1"/>
  <c r="D48" i="55" a="1"/>
  <c r="D48"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8" i="55"/>
  <c r="Q7" i="55"/>
  <c r="P39" i="55"/>
  <c r="S39" i="55" s="1"/>
  <c r="J9" i="55"/>
  <c r="J10" i="55"/>
  <c r="J11" i="55"/>
  <c r="J12" i="55"/>
  <c r="J13" i="55"/>
  <c r="J14" i="55"/>
  <c r="L14" i="55" s="1" a="1"/>
  <c r="L14" i="55" s="1"/>
  <c r="J15" i="55"/>
  <c r="J18" i="55"/>
  <c r="J19" i="55"/>
  <c r="J20" i="55"/>
  <c r="J21" i="55"/>
  <c r="J22" i="55"/>
  <c r="J23" i="55"/>
  <c r="J24" i="55"/>
  <c r="J25" i="55"/>
  <c r="J26" i="55"/>
  <c r="J27" i="55"/>
  <c r="J28" i="55"/>
  <c r="J29" i="55"/>
  <c r="J30" i="55"/>
  <c r="J31" i="55"/>
  <c r="J32" i="55"/>
  <c r="R32" i="55" s="1"/>
  <c r="T32" i="55" s="1"/>
  <c r="J33" i="55"/>
  <c r="J34" i="55"/>
  <c r="J35" i="55"/>
  <c r="J36" i="55"/>
  <c r="R36" i="55" s="1"/>
  <c r="T36" i="55" s="1"/>
  <c r="J37" i="55"/>
  <c r="R37" i="55" s="1"/>
  <c r="T37" i="55" s="1"/>
  <c r="J38" i="55"/>
  <c r="R38" i="55" s="1"/>
  <c r="J39" i="55"/>
  <c r="R39" i="55" s="1"/>
  <c r="J40" i="55"/>
  <c r="J41" i="55"/>
  <c r="J42" i="55"/>
  <c r="J43" i="55"/>
  <c r="J44" i="55"/>
  <c r="J45" i="55"/>
  <c r="J46" i="55"/>
  <c r="J47" i="55"/>
  <c r="J48" i="55"/>
  <c r="J8" i="55"/>
  <c r="J7" i="55"/>
  <c r="R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8" i="55"/>
  <c r="E7" i="55"/>
  <c r="D8" i="55" a="1"/>
  <c r="D8" i="55" s="1"/>
  <c r="L8" i="55" s="1" a="1"/>
  <c r="L8" i="55" s="1"/>
  <c r="D7" i="55" a="1"/>
  <c r="D7" i="55"/>
  <c r="K7" i="55" s="1" a="1"/>
  <c r="K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9" i="55"/>
  <c r="B10" i="55"/>
  <c r="B11" i="55"/>
  <c r="B12" i="55"/>
  <c r="B8" i="55"/>
  <c r="I2" i="55"/>
  <c r="C7" i="55"/>
  <c r="F14" i="55"/>
  <c r="F16" i="55"/>
  <c r="F22" i="55"/>
  <c r="F24" i="55"/>
  <c r="F30" i="55"/>
  <c r="F32" i="55"/>
  <c r="F38" i="55"/>
  <c r="F40" i="55"/>
  <c r="F46" i="55"/>
  <c r="F48"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9" i="55"/>
  <c r="C10" i="55"/>
  <c r="C11" i="55"/>
  <c r="C12" i="55"/>
  <c r="C13" i="55"/>
  <c r="C14" i="55"/>
  <c r="C8" i="55"/>
  <c r="I12" i="52"/>
  <c r="I11" i="52"/>
  <c r="I10" i="52"/>
  <c r="I9" i="52"/>
  <c r="I8" i="52"/>
  <c r="I7" i="52"/>
  <c r="I6" i="52"/>
  <c r="I5" i="52"/>
  <c r="I4" i="52"/>
  <c r="K21" i="59"/>
  <c r="I22" i="59"/>
  <c r="C21" i="59"/>
  <c r="N21" i="59"/>
  <c r="C41" i="59"/>
  <c r="L41" i="59"/>
  <c r="P13" i="55"/>
  <c r="S13" i="55" s="1"/>
  <c r="G18" i="59"/>
  <c r="L18" i="59" s="1"/>
  <c r="B33" i="59"/>
  <c r="F33" i="59" s="1"/>
  <c r="I19" i="59"/>
  <c r="K41" i="59"/>
  <c r="J41" i="59"/>
  <c r="K40" i="59"/>
  <c r="J40" i="59"/>
  <c r="K39" i="59"/>
  <c r="J39" i="59"/>
  <c r="K38" i="59"/>
  <c r="J38" i="59"/>
  <c r="K37" i="59"/>
  <c r="J37" i="59"/>
  <c r="K36" i="59"/>
  <c r="J36" i="59"/>
  <c r="K35" i="59"/>
  <c r="K42" i="59" s="1"/>
  <c r="J35" i="59"/>
  <c r="J42" i="59" s="1"/>
  <c r="J34" i="59"/>
  <c r="K33" i="59"/>
  <c r="J33" i="59"/>
  <c r="K32" i="59"/>
  <c r="J32" i="59"/>
  <c r="K27" i="59"/>
  <c r="J27" i="59"/>
  <c r="K26" i="59"/>
  <c r="J26" i="59"/>
  <c r="K25" i="59"/>
  <c r="J25" i="59"/>
  <c r="K24" i="59"/>
  <c r="J24" i="59"/>
  <c r="K23" i="59"/>
  <c r="J23" i="59"/>
  <c r="K22" i="59"/>
  <c r="J22" i="59"/>
  <c r="J21" i="59"/>
  <c r="K20" i="59"/>
  <c r="J20" i="59"/>
  <c r="K19" i="59"/>
  <c r="J19" i="59"/>
  <c r="K18" i="59"/>
  <c r="J18" i="59"/>
  <c r="J28" i="59" s="1"/>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S28" i="59" s="1"/>
  <c r="R20" i="59"/>
  <c r="S19" i="59"/>
  <c r="R19" i="59"/>
  <c r="R18" i="59"/>
  <c r="AD77" i="53"/>
  <c r="AC77" i="53"/>
  <c r="AB77" i="53"/>
  <c r="AA77" i="53"/>
  <c r="W77" i="53"/>
  <c r="V77" i="53"/>
  <c r="J61" i="55"/>
  <c r="M8" i="55" a="1"/>
  <c r="M8" i="55" s="1"/>
  <c r="M2" i="55"/>
  <c r="M61" i="55"/>
  <c r="M15" i="55" a="1"/>
  <c r="M15" i="55" s="1"/>
  <c r="M21" i="55" a="1"/>
  <c r="M21" i="55" s="1"/>
  <c r="O21" i="55" s="1"/>
  <c r="M28" i="55" a="1"/>
  <c r="M28" i="55" s="1"/>
  <c r="M36" i="55" a="1"/>
  <c r="M36" i="55" s="1"/>
  <c r="O36" i="55" s="1"/>
  <c r="M44" i="55" a="1"/>
  <c r="M44" i="55" s="1"/>
  <c r="M9" i="55" a="1"/>
  <c r="M9" i="55" s="1"/>
  <c r="O9" i="55" s="1"/>
  <c r="M16" i="55" a="1"/>
  <c r="M16" i="55" s="1"/>
  <c r="O16" i="55" s="1"/>
  <c r="M22" i="55" a="1"/>
  <c r="M22" i="55" s="1"/>
  <c r="O22" i="55" s="1"/>
  <c r="M29" i="55" a="1"/>
  <c r="M29" i="55" s="1"/>
  <c r="O29" i="55" s="1"/>
  <c r="M37" i="55" a="1"/>
  <c r="M37" i="55" s="1"/>
  <c r="O37" i="55" s="1"/>
  <c r="M45" i="55" a="1"/>
  <c r="M45" i="55" s="1"/>
  <c r="M10" i="55" a="1"/>
  <c r="M10" i="55" s="1"/>
  <c r="O10" i="55" s="1"/>
  <c r="M23" i="55" a="1"/>
  <c r="M23" i="55" s="1"/>
  <c r="O23" i="55" s="1"/>
  <c r="M30" i="55" a="1"/>
  <c r="M30" i="55" s="1"/>
  <c r="O30" i="55" s="1"/>
  <c r="M38" i="55" a="1"/>
  <c r="M38" i="55"/>
  <c r="O38" i="55" s="1"/>
  <c r="M46" i="55" a="1"/>
  <c r="M46" i="55" s="1"/>
  <c r="M7" i="55" a="1"/>
  <c r="M7" i="55" s="1"/>
  <c r="O7" i="55" s="1"/>
  <c r="M11" i="55" a="1"/>
  <c r="M11" i="55" s="1"/>
  <c r="O11" i="55" s="1"/>
  <c r="M17" i="55" a="1"/>
  <c r="M17" i="55" s="1"/>
  <c r="O17" i="55" s="1"/>
  <c r="M24" i="55" a="1"/>
  <c r="M24" i="55"/>
  <c r="M31" i="55" a="1"/>
  <c r="M31" i="55"/>
  <c r="M39" i="55" a="1"/>
  <c r="M39" i="55"/>
  <c r="O39" i="55" s="1"/>
  <c r="M47" i="55" a="1"/>
  <c r="M47" i="55" s="1"/>
  <c r="M12" i="55" a="1"/>
  <c r="M12" i="55" s="1"/>
  <c r="M18" i="55" a="1"/>
  <c r="M18" i="55" s="1"/>
  <c r="M32" i="55" a="1"/>
  <c r="M32" i="55"/>
  <c r="M40" i="55" a="1"/>
  <c r="M40" i="55" s="1"/>
  <c r="M48" i="55" a="1"/>
  <c r="M48" i="55" s="1"/>
  <c r="M19" i="55" a="1"/>
  <c r="M19" i="55" s="1"/>
  <c r="O19" i="55" s="1"/>
  <c r="M25" i="55" a="1"/>
  <c r="M25" i="55" s="1"/>
  <c r="M33" i="55" a="1"/>
  <c r="M33" i="55" s="1"/>
  <c r="M41" i="55" a="1"/>
  <c r="M41" i="55" s="1"/>
  <c r="M13" i="55" a="1"/>
  <c r="M13" i="55" s="1"/>
  <c r="M20" i="55" a="1"/>
  <c r="M20" i="55"/>
  <c r="M26" i="55" a="1"/>
  <c r="M26" i="55" s="1"/>
  <c r="M34" i="55" a="1"/>
  <c r="M34" i="55" s="1"/>
  <c r="M42" i="55" a="1"/>
  <c r="M42" i="55" s="1"/>
  <c r="M14" i="55" a="1"/>
  <c r="M14" i="55" s="1"/>
  <c r="O14" i="55" s="1"/>
  <c r="M27" i="55" a="1"/>
  <c r="M27" i="55" s="1"/>
  <c r="M35" i="55" a="1"/>
  <c r="M35" i="55" s="1"/>
  <c r="M43" i="55" a="1"/>
  <c r="M43" i="55" s="1"/>
  <c r="P27" i="59"/>
  <c r="H32" i="59"/>
  <c r="C33" i="59"/>
  <c r="N33" i="59" s="1"/>
  <c r="C34" i="59"/>
  <c r="N34" i="59" s="1"/>
  <c r="C35" i="59"/>
  <c r="L35" i="59" s="1"/>
  <c r="C36" i="59"/>
  <c r="N36" i="59" s="1"/>
  <c r="C37" i="59"/>
  <c r="L37" i="59" s="1"/>
  <c r="C38" i="59"/>
  <c r="L38" i="59" s="1"/>
  <c r="C39" i="59"/>
  <c r="N39" i="59" s="1"/>
  <c r="C40" i="59"/>
  <c r="N40" i="59"/>
  <c r="C32" i="59"/>
  <c r="N32" i="59" s="1"/>
  <c r="L32" i="59"/>
  <c r="C19" i="59"/>
  <c r="C20" i="59"/>
  <c r="N20" i="59" s="1"/>
  <c r="C22" i="59"/>
  <c r="N22" i="59" s="1"/>
  <c r="C23" i="59"/>
  <c r="N23" i="59"/>
  <c r="C24" i="59"/>
  <c r="L24" i="59"/>
  <c r="C25" i="59"/>
  <c r="N25" i="59"/>
  <c r="C26" i="59"/>
  <c r="N26" i="59" s="1"/>
  <c r="C27" i="59"/>
  <c r="N27" i="59" s="1"/>
  <c r="B32" i="59"/>
  <c r="B42" i="59" s="1"/>
  <c r="V42" i="59" s="1"/>
  <c r="V32" i="59"/>
  <c r="B18" i="59"/>
  <c r="V18" i="59" s="1"/>
  <c r="Q19" i="59"/>
  <c r="Q20" i="59"/>
  <c r="Q21" i="59"/>
  <c r="Q22" i="59"/>
  <c r="Q23" i="59"/>
  <c r="Q24" i="59"/>
  <c r="Q25" i="59"/>
  <c r="Q26" i="59"/>
  <c r="Q27" i="59"/>
  <c r="Q18" i="59"/>
  <c r="P19" i="59"/>
  <c r="P20" i="59"/>
  <c r="P21" i="59"/>
  <c r="P22" i="59"/>
  <c r="P23" i="59"/>
  <c r="P24" i="59"/>
  <c r="P25" i="59"/>
  <c r="P26" i="59"/>
  <c r="P18" i="59"/>
  <c r="I20" i="59"/>
  <c r="I21" i="59"/>
  <c r="I23" i="59"/>
  <c r="I24" i="59"/>
  <c r="I25" i="59"/>
  <c r="I28" i="59" s="1"/>
  <c r="I26" i="59"/>
  <c r="I27" i="59"/>
  <c r="I18" i="59"/>
  <c r="H19" i="59"/>
  <c r="H28" i="59" s="1"/>
  <c r="H20" i="59"/>
  <c r="H21" i="59"/>
  <c r="H22" i="59"/>
  <c r="H23" i="59"/>
  <c r="H24" i="59"/>
  <c r="H25" i="59"/>
  <c r="H26" i="59"/>
  <c r="H27" i="59"/>
  <c r="H18" i="59"/>
  <c r="E19" i="59"/>
  <c r="E20" i="59"/>
  <c r="E21" i="59"/>
  <c r="E22" i="59"/>
  <c r="E23" i="59"/>
  <c r="E24" i="59"/>
  <c r="E25" i="59"/>
  <c r="E26" i="59"/>
  <c r="E27" i="59"/>
  <c r="E18" i="59"/>
  <c r="B19" i="59"/>
  <c r="T19" i="59" s="1"/>
  <c r="B22" i="59"/>
  <c r="T22" i="59" s="1"/>
  <c r="B20" i="59"/>
  <c r="F20" i="59" s="1"/>
  <c r="B21" i="59"/>
  <c r="V21" i="59" s="1"/>
  <c r="B23" i="59"/>
  <c r="T23" i="59"/>
  <c r="B24" i="59"/>
  <c r="F24" i="59"/>
  <c r="B25" i="59"/>
  <c r="V25" i="59" s="1"/>
  <c r="B26" i="59"/>
  <c r="F26" i="59" s="1"/>
  <c r="B27" i="59"/>
  <c r="T27" i="59" s="1"/>
  <c r="E33" i="59"/>
  <c r="E34" i="59"/>
  <c r="E35" i="59"/>
  <c r="E36" i="59"/>
  <c r="E37" i="59"/>
  <c r="E38" i="59"/>
  <c r="E39" i="59"/>
  <c r="E40" i="59"/>
  <c r="E41" i="59"/>
  <c r="Q33" i="59"/>
  <c r="Q34" i="59"/>
  <c r="V34" i="59" s="1"/>
  <c r="Q35" i="59"/>
  <c r="Q36" i="59"/>
  <c r="Q37" i="59"/>
  <c r="Q38" i="59"/>
  <c r="Q39" i="59"/>
  <c r="Q40" i="59"/>
  <c r="Q41" i="59"/>
  <c r="Q32" i="59"/>
  <c r="Q42" i="59" s="1"/>
  <c r="P33" i="59"/>
  <c r="P34" i="59"/>
  <c r="P35" i="59"/>
  <c r="P36" i="59"/>
  <c r="P37" i="59"/>
  <c r="P39" i="59"/>
  <c r="P40" i="59"/>
  <c r="P41" i="59"/>
  <c r="P32" i="59"/>
  <c r="I33" i="59"/>
  <c r="I34" i="59"/>
  <c r="I35" i="59"/>
  <c r="I36" i="59"/>
  <c r="I37" i="59"/>
  <c r="I39" i="59"/>
  <c r="I40" i="59"/>
  <c r="I41" i="59"/>
  <c r="I32" i="59"/>
  <c r="I42" i="59" s="1"/>
  <c r="H33" i="59"/>
  <c r="H34" i="59"/>
  <c r="H35" i="59"/>
  <c r="H36" i="59"/>
  <c r="H37" i="59"/>
  <c r="H38" i="59"/>
  <c r="H42" i="59" s="1"/>
  <c r="H39" i="59"/>
  <c r="H40" i="59"/>
  <c r="H41" i="59"/>
  <c r="E32" i="59"/>
  <c r="B34" i="59"/>
  <c r="B35" i="59"/>
  <c r="V35" i="59" s="1"/>
  <c r="T35" i="59"/>
  <c r="B36" i="59"/>
  <c r="F36" i="59" s="1"/>
  <c r="B37" i="59"/>
  <c r="V37" i="59" s="1"/>
  <c r="B38" i="59"/>
  <c r="F38" i="59" s="1"/>
  <c r="B39" i="59"/>
  <c r="F39" i="59" s="1"/>
  <c r="V39" i="59"/>
  <c r="B40" i="59"/>
  <c r="V40" i="59"/>
  <c r="B41" i="59"/>
  <c r="T41" i="59" s="1"/>
  <c r="V41" i="59"/>
  <c r="G25" i="59"/>
  <c r="M25" i="59"/>
  <c r="G24" i="59"/>
  <c r="M24" i="59"/>
  <c r="G41" i="59"/>
  <c r="M41" i="59" s="1"/>
  <c r="O22" i="59"/>
  <c r="U22" i="59" s="1"/>
  <c r="P38" i="55"/>
  <c r="S38" i="55" s="1"/>
  <c r="T38" i="55" s="1"/>
  <c r="O23" i="59"/>
  <c r="U23" i="59" s="1"/>
  <c r="O20" i="59"/>
  <c r="P43" i="55"/>
  <c r="P42" i="55"/>
  <c r="S42" i="55" s="1"/>
  <c r="T42" i="55" s="1"/>
  <c r="P35" i="55"/>
  <c r="S35" i="55" s="1"/>
  <c r="P26" i="55"/>
  <c r="P41" i="55"/>
  <c r="S41" i="55" s="1"/>
  <c r="P16" i="55"/>
  <c r="R16" i="55" s="1"/>
  <c r="T16" i="55" s="1"/>
  <c r="P22" i="55"/>
  <c r="S22" i="55" s="1"/>
  <c r="P14" i="55"/>
  <c r="P19" i="55"/>
  <c r="S19" i="55" s="1"/>
  <c r="C7" i="26"/>
  <c r="D7" i="26"/>
  <c r="C6" i="26"/>
  <c r="C9" i="26"/>
  <c r="D9" i="26"/>
  <c r="E9" i="26" s="1"/>
  <c r="F9" i="26" s="1"/>
  <c r="G9" i="26" s="1"/>
  <c r="H9" i="26" s="1"/>
  <c r="I9" i="26" s="1"/>
  <c r="J9" i="26"/>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E12" i="26" s="1"/>
  <c r="AJ14" i="26"/>
  <c r="AH14" i="26"/>
  <c r="Q14" i="26"/>
  <c r="H14" i="26"/>
  <c r="R12" i="26"/>
  <c r="AD12" i="26"/>
  <c r="W14" i="26"/>
  <c r="V14" i="26"/>
  <c r="Z12" i="26"/>
  <c r="O41" i="59"/>
  <c r="U41" i="59" s="1"/>
  <c r="T14" i="26"/>
  <c r="AE14" i="26"/>
  <c r="AA12" i="26"/>
  <c r="T12" i="26"/>
  <c r="U12" i="26"/>
  <c r="F7" i="55"/>
  <c r="G37" i="59"/>
  <c r="M37" i="59" s="1"/>
  <c r="G27" i="59"/>
  <c r="M27" i="59" s="1"/>
  <c r="V13" i="59"/>
  <c r="O27" i="59"/>
  <c r="U27" i="59"/>
  <c r="O13" i="59"/>
  <c r="U13" i="59"/>
  <c r="T13" i="59"/>
  <c r="O26" i="59"/>
  <c r="U26" i="59" s="1"/>
  <c r="O40" i="59"/>
  <c r="U40" i="59" s="1"/>
  <c r="O37" i="59"/>
  <c r="U37" i="59" s="1"/>
  <c r="O39" i="59"/>
  <c r="U39" i="59" s="1"/>
  <c r="O38" i="59"/>
  <c r="U38" i="59" s="1"/>
  <c r="O21" i="59"/>
  <c r="U21" i="59" s="1"/>
  <c r="O35" i="59"/>
  <c r="U35" i="59" s="1"/>
  <c r="O24" i="59"/>
  <c r="U24" i="59" s="1"/>
  <c r="G11" i="59"/>
  <c r="M11" i="59" s="1"/>
  <c r="O7" i="59"/>
  <c r="U7" i="59" s="1"/>
  <c r="G23" i="59"/>
  <c r="M23" i="59"/>
  <c r="G39" i="59"/>
  <c r="M39" i="59" s="1"/>
  <c r="I14" i="26"/>
  <c r="L14" i="26"/>
  <c r="AL12" i="26"/>
  <c r="O12" i="26"/>
  <c r="D12" i="26"/>
  <c r="AF14" i="26"/>
  <c r="G13" i="59"/>
  <c r="M13" i="59" s="1"/>
  <c r="F12" i="59"/>
  <c r="F5" i="59"/>
  <c r="N35" i="55" a="1"/>
  <c r="N35" i="55" s="1"/>
  <c r="O35" i="55" s="1"/>
  <c r="L11" i="59"/>
  <c r="N10" i="55" a="1"/>
  <c r="N10" i="55" s="1"/>
  <c r="N29" i="55" a="1"/>
  <c r="N29" i="55" s="1"/>
  <c r="N16" i="55" a="1"/>
  <c r="N16" i="55" s="1"/>
  <c r="N40" i="55" a="1"/>
  <c r="N40" i="55" s="1"/>
  <c r="N21" i="55" a="1"/>
  <c r="N21" i="55" s="1"/>
  <c r="N39" i="55" a="1"/>
  <c r="N39" i="55" s="1"/>
  <c r="N9" i="55" a="1"/>
  <c r="N9" i="55" s="1"/>
  <c r="N7" i="59"/>
  <c r="N10" i="59"/>
  <c r="N13" i="59"/>
  <c r="F13" i="59"/>
  <c r="N11" i="59"/>
  <c r="V11" i="59"/>
  <c r="V12" i="59"/>
  <c r="V8" i="59"/>
  <c r="N9" i="59"/>
  <c r="N8" i="59"/>
  <c r="F4" i="59"/>
  <c r="G33" i="59"/>
  <c r="M33" i="59" s="1"/>
  <c r="O25" i="59"/>
  <c r="U25" i="59"/>
  <c r="O11" i="59"/>
  <c r="U11" i="59" s="1"/>
  <c r="G40" i="59"/>
  <c r="M40" i="59"/>
  <c r="G12" i="59"/>
  <c r="M12" i="59"/>
  <c r="G9" i="59"/>
  <c r="M9" i="59"/>
  <c r="G10" i="59"/>
  <c r="M10" i="59"/>
  <c r="G38" i="59"/>
  <c r="M38" i="59"/>
  <c r="O36" i="59"/>
  <c r="U36" i="59"/>
  <c r="O8" i="59"/>
  <c r="U8" i="59"/>
  <c r="O32" i="59"/>
  <c r="U32" i="59" s="1"/>
  <c r="G35" i="59"/>
  <c r="M35" i="59"/>
  <c r="G32" i="59"/>
  <c r="M32" i="59"/>
  <c r="G8" i="59"/>
  <c r="M8" i="59"/>
  <c r="G36" i="59"/>
  <c r="M36" i="59"/>
  <c r="O10" i="59"/>
  <c r="U10" i="59"/>
  <c r="G26" i="59"/>
  <c r="M26" i="59"/>
  <c r="W12" i="26"/>
  <c r="Y14" i="26"/>
  <c r="P7" i="55"/>
  <c r="S7" i="55" s="1"/>
  <c r="T7" i="55" s="1"/>
  <c r="M12" i="26"/>
  <c r="AK12" i="26"/>
  <c r="N14" i="26"/>
  <c r="AC14" i="26"/>
  <c r="AL14" i="26"/>
  <c r="J12" i="26"/>
  <c r="AI12" i="26"/>
  <c r="AA14" i="26"/>
  <c r="AB12" i="26"/>
  <c r="B6" i="26"/>
  <c r="S14" i="26"/>
  <c r="AG12" i="26"/>
  <c r="AB14" i="26"/>
  <c r="H12" i="26"/>
  <c r="Z14" i="26"/>
  <c r="G14" i="26"/>
  <c r="R14" i="26"/>
  <c r="B12" i="26"/>
  <c r="O12" i="59"/>
  <c r="U12" i="59" s="1"/>
  <c r="L12" i="26"/>
  <c r="M14" i="26"/>
  <c r="P30" i="55"/>
  <c r="S30" i="55" s="1"/>
  <c r="T30" i="55" s="1"/>
  <c r="G22" i="59"/>
  <c r="M22" i="59" s="1"/>
  <c r="G21" i="59"/>
  <c r="M21" i="59" s="1"/>
  <c r="S12" i="26"/>
  <c r="G12" i="26"/>
  <c r="G2" i="26"/>
  <c r="AH12" i="26"/>
  <c r="K12" i="26"/>
  <c r="G7" i="59"/>
  <c r="M7" i="59" s="1"/>
  <c r="AK14" i="26"/>
  <c r="V12" i="26"/>
  <c r="P36" i="55"/>
  <c r="S36" i="55"/>
  <c r="AC12" i="26"/>
  <c r="I12" i="26"/>
  <c r="P12" i="26"/>
  <c r="F14" i="26"/>
  <c r="O9" i="59"/>
  <c r="U9" i="59" s="1"/>
  <c r="P37" i="55"/>
  <c r="S37" i="55" s="1"/>
  <c r="AJ12" i="26"/>
  <c r="U14" i="26"/>
  <c r="Y12" i="26"/>
  <c r="Q12" i="26"/>
  <c r="P14" i="26"/>
  <c r="X14" i="26"/>
  <c r="N12" i="26"/>
  <c r="AF12" i="26"/>
  <c r="O33" i="59"/>
  <c r="U33" i="59" s="1"/>
  <c r="X12" i="26"/>
  <c r="O14" i="26"/>
  <c r="C12" i="26"/>
  <c r="P17" i="55"/>
  <c r="R17" i="55" s="1"/>
  <c r="AD14" i="26"/>
  <c r="E12" i="26"/>
  <c r="AG14" i="26"/>
  <c r="N19" i="55" a="1"/>
  <c r="N19" i="55" s="1"/>
  <c r="F11" i="59"/>
  <c r="L8" i="59"/>
  <c r="L7" i="59"/>
  <c r="R30" i="55"/>
  <c r="T8" i="59"/>
  <c r="L10" i="59"/>
  <c r="L21" i="59"/>
  <c r="L9" i="59"/>
  <c r="T11" i="59"/>
  <c r="T12" i="59"/>
  <c r="R52" i="55"/>
  <c r="R50" i="55"/>
  <c r="T50" i="55" s="1"/>
  <c r="R55" i="55"/>
  <c r="T55" i="55" s="1"/>
  <c r="R53" i="55"/>
  <c r="T53" i="55" s="1"/>
  <c r="R51" i="55"/>
  <c r="T51" i="55" s="1"/>
  <c r="R54" i="55"/>
  <c r="K2" i="55"/>
  <c r="I61" i="55"/>
  <c r="N2" i="53"/>
  <c r="F22" i="59"/>
  <c r="T33" i="59"/>
  <c r="T9" i="59"/>
  <c r="F9" i="59"/>
  <c r="V33" i="59"/>
  <c r="L40" i="59"/>
  <c r="N5" i="59"/>
  <c r="N4" i="59"/>
  <c r="J14" i="59"/>
  <c r="D28" i="59"/>
  <c r="F28" i="59" s="1" a="1"/>
  <c r="F28" i="59" s="1"/>
  <c r="F23" i="59"/>
  <c r="V22" i="59"/>
  <c r="K14" i="59"/>
  <c r="P12" i="55"/>
  <c r="S12" i="55" s="1"/>
  <c r="R14" i="59"/>
  <c r="T32" i="59"/>
  <c r="K9" i="55" a="1"/>
  <c r="K9" i="55" s="1"/>
  <c r="B14" i="59"/>
  <c r="J2" i="55"/>
  <c r="N35" i="59"/>
  <c r="T7" i="59"/>
  <c r="V10" i="59"/>
  <c r="T40" i="59"/>
  <c r="T10" i="59"/>
  <c r="N25" i="55" a="1"/>
  <c r="N25" i="55" s="1"/>
  <c r="O25" i="55" s="1"/>
  <c r="F7" i="59"/>
  <c r="L33" i="59"/>
  <c r="F40" i="59"/>
  <c r="K35" i="55" a="1"/>
  <c r="K35" i="55" s="1"/>
  <c r="T37" i="59"/>
  <c r="F21" i="59"/>
  <c r="P2" i="53"/>
  <c r="F6" i="59"/>
  <c r="C14" i="59"/>
  <c r="L23" i="59"/>
  <c r="N38" i="59"/>
  <c r="Q2" i="55"/>
  <c r="D42" i="59"/>
  <c r="T24" i="59"/>
  <c r="L26" i="59"/>
  <c r="F25" i="59"/>
  <c r="P33" i="55"/>
  <c r="S33" i="55" s="1"/>
  <c r="N24" i="59"/>
  <c r="N12" i="59"/>
  <c r="P23" i="55"/>
  <c r="R23" i="55" s="1"/>
  <c r="T23" i="55" s="1"/>
  <c r="S23" i="55"/>
  <c r="F27" i="59"/>
  <c r="F34" i="59"/>
  <c r="P34" i="55"/>
  <c r="S34" i="55"/>
  <c r="V24" i="59"/>
  <c r="P45" i="55"/>
  <c r="R45" i="55" s="1"/>
  <c r="P27" i="55"/>
  <c r="S27" i="55" s="1"/>
  <c r="S77" i="53"/>
  <c r="Q14" i="59"/>
  <c r="P42" i="59"/>
  <c r="R42" i="59"/>
  <c r="L22" i="59"/>
  <c r="S43" i="55"/>
  <c r="P15" i="55"/>
  <c r="S15" i="55" s="1"/>
  <c r="Q61" i="55"/>
  <c r="M53" i="55" a="1"/>
  <c r="M53" i="55" s="1"/>
  <c r="N53" i="55" a="1"/>
  <c r="N53" i="55" s="1"/>
  <c r="T38" i="59"/>
  <c r="E28" i="59"/>
  <c r="S42" i="59"/>
  <c r="G19" i="59"/>
  <c r="M19" i="59" s="1"/>
  <c r="M54" i="55" a="1"/>
  <c r="M54" i="55" s="1"/>
  <c r="P47" i="55"/>
  <c r="N41" i="59"/>
  <c r="V4" i="59"/>
  <c r="P24" i="55"/>
  <c r="S24" i="55" s="1"/>
  <c r="L33" i="55" a="1"/>
  <c r="L33" i="55" s="1"/>
  <c r="L25" i="59"/>
  <c r="N32" i="55" a="1"/>
  <c r="N32" i="55" s="1"/>
  <c r="O32" i="55" s="1"/>
  <c r="N12" i="55" a="1"/>
  <c r="N12" i="55" s="1"/>
  <c r="O12" i="55" s="1"/>
  <c r="K41" i="55" a="1"/>
  <c r="K41" i="55" s="1"/>
  <c r="P32" i="55"/>
  <c r="S32" i="55" s="1"/>
  <c r="S14" i="59"/>
  <c r="G5" i="59"/>
  <c r="M51" i="55" a="1"/>
  <c r="M51" i="55"/>
  <c r="T26" i="59"/>
  <c r="N28" i="55" a="1"/>
  <c r="N28" i="55" s="1"/>
  <c r="O28" i="55" s="1"/>
  <c r="P31" i="55"/>
  <c r="S31" i="55" s="1"/>
  <c r="E42" i="59"/>
  <c r="N55" i="55" a="1"/>
  <c r="N55" i="55" s="1"/>
  <c r="V26" i="59"/>
  <c r="M55" i="55" a="1"/>
  <c r="M55" i="55" s="1"/>
  <c r="Q28" i="59"/>
  <c r="M49" i="55" a="1"/>
  <c r="M49" i="55"/>
  <c r="O5" i="59"/>
  <c r="P48" i="55"/>
  <c r="R48" i="55" s="1"/>
  <c r="T48" i="55" s="1"/>
  <c r="S48" i="55"/>
  <c r="K16" i="55" a="1"/>
  <c r="K16" i="55" s="1"/>
  <c r="K44" i="55" a="1"/>
  <c r="K44" i="55" s="1"/>
  <c r="P29" i="55"/>
  <c r="S29" i="55" s="1"/>
  <c r="T29" i="55" s="1"/>
  <c r="G20" i="59"/>
  <c r="M20" i="59" s="1"/>
  <c r="G6" i="59"/>
  <c r="L6" i="59" s="1"/>
  <c r="O19" i="59"/>
  <c r="V23" i="59"/>
  <c r="N22" i="55" a="1"/>
  <c r="N22" i="55" s="1"/>
  <c r="T52" i="55"/>
  <c r="R49" i="55"/>
  <c r="T49" i="55"/>
  <c r="T54" i="55"/>
  <c r="K15" i="55" a="1"/>
  <c r="K15" i="55" s="1"/>
  <c r="K55" i="55" a="1"/>
  <c r="K55" i="55" s="1"/>
  <c r="H55" i="55"/>
  <c r="L55" i="55" a="1"/>
  <c r="L55" i="55"/>
  <c r="H51" i="55"/>
  <c r="K51" i="55" a="1"/>
  <c r="K51" i="55"/>
  <c r="K50" i="55" a="1"/>
  <c r="K50" i="55" s="1"/>
  <c r="H50" i="55"/>
  <c r="H52" i="55"/>
  <c r="K54" i="55" a="1"/>
  <c r="K54" i="55" s="1"/>
  <c r="G54" i="55"/>
  <c r="H54" i="55"/>
  <c r="G49" i="55"/>
  <c r="H49" i="55"/>
  <c r="K49" i="55"/>
  <c r="R42" i="55"/>
  <c r="H24" i="55"/>
  <c r="S17" i="55"/>
  <c r="T17" i="55" s="1"/>
  <c r="K13" i="55" a="1"/>
  <c r="K13" i="55" s="1"/>
  <c r="S16" i="55"/>
  <c r="G40" i="55"/>
  <c r="K40" i="55" a="1"/>
  <c r="K40" i="55"/>
  <c r="K25" i="55" a="1"/>
  <c r="K25" i="55"/>
  <c r="R41" i="55"/>
  <c r="T41" i="55" s="1"/>
  <c r="L37" i="55" a="1"/>
  <c r="L37" i="55" s="1"/>
  <c r="G37" i="55"/>
  <c r="K37" i="55" a="1"/>
  <c r="K37" i="55" s="1"/>
  <c r="G48" i="55"/>
  <c r="H48" i="55"/>
  <c r="K48" i="55" a="1"/>
  <c r="K48" i="55" s="1"/>
  <c r="H46" i="55"/>
  <c r="K46" i="55" a="1"/>
  <c r="K46" i="55" s="1"/>
  <c r="L46" i="55" a="1"/>
  <c r="L46" i="55" s="1"/>
  <c r="H30" i="55"/>
  <c r="K30" i="55" a="1"/>
  <c r="K30" i="55" s="1"/>
  <c r="L30" i="55" a="1"/>
  <c r="L30" i="55"/>
  <c r="G43" i="55"/>
  <c r="G42" i="55"/>
  <c r="K42" i="55" a="1"/>
  <c r="K42" i="55"/>
  <c r="L42" i="55" a="1"/>
  <c r="L42" i="55" s="1"/>
  <c r="G27" i="55"/>
  <c r="H27" i="55"/>
  <c r="G23" i="55"/>
  <c r="H23" i="55"/>
  <c r="K23" i="55" a="1"/>
  <c r="K23" i="55" s="1"/>
  <c r="G38" i="55"/>
  <c r="H38" i="55"/>
  <c r="R12" i="55"/>
  <c r="T12" i="55" s="1"/>
  <c r="G41" i="55"/>
  <c r="G15" i="55"/>
  <c r="H15" i="55"/>
  <c r="C42" i="59"/>
  <c r="G14" i="55"/>
  <c r="H13" i="55"/>
  <c r="G13" i="55"/>
  <c r="G4" i="59"/>
  <c r="M4" i="59" s="1"/>
  <c r="K12" i="55" a="1"/>
  <c r="K12" i="55" s="1"/>
  <c r="S2" i="53"/>
  <c r="P8" i="55"/>
  <c r="S8" i="55" s="1"/>
  <c r="K11" i="55" a="1"/>
  <c r="K11" i="55"/>
  <c r="H11" i="55"/>
  <c r="G11" i="55"/>
  <c r="H10" i="55"/>
  <c r="E7" i="26"/>
  <c r="D6" i="26"/>
  <c r="H26" i="55"/>
  <c r="H9" i="55"/>
  <c r="F35" i="59"/>
  <c r="R22" i="55"/>
  <c r="T22" i="55"/>
  <c r="P21" i="55"/>
  <c r="S21" i="55" s="1"/>
  <c r="H35" i="55"/>
  <c r="P20" i="55"/>
  <c r="S20" i="55" s="1"/>
  <c r="G21" i="55"/>
  <c r="H21" i="55"/>
  <c r="K33" i="55" a="1"/>
  <c r="K33" i="55" s="1"/>
  <c r="G20" i="55"/>
  <c r="H20" i="55"/>
  <c r="K20" i="55" a="1"/>
  <c r="K20" i="55" s="1"/>
  <c r="P25" i="55"/>
  <c r="H31" i="55"/>
  <c r="G31" i="55"/>
  <c r="G18" i="55"/>
  <c r="H25" i="55"/>
  <c r="N7" i="55" a="1"/>
  <c r="N7" i="55" s="1"/>
  <c r="N42" i="55" a="1"/>
  <c r="N42" i="55" s="1"/>
  <c r="O42" i="55" s="1"/>
  <c r="P18" i="55"/>
  <c r="R18" i="55" s="1"/>
  <c r="P9" i="55"/>
  <c r="N20" i="55" a="1"/>
  <c r="N20" i="55" s="1"/>
  <c r="P44" i="55"/>
  <c r="R44" i="55" s="1"/>
  <c r="N8" i="55" a="1"/>
  <c r="N8" i="55" s="1"/>
  <c r="O8" i="55" s="1"/>
  <c r="P46" i="55"/>
  <c r="S46" i="55" s="1"/>
  <c r="R27" i="55"/>
  <c r="T27" i="55" s="1"/>
  <c r="R33" i="55"/>
  <c r="T33" i="55"/>
  <c r="K61" i="55"/>
  <c r="L19" i="59"/>
  <c r="L41" i="55" a="1"/>
  <c r="L41" i="55"/>
  <c r="L15" i="55" a="1"/>
  <c r="L15" i="55"/>
  <c r="L24" i="55" a="1"/>
  <c r="L24" i="55" s="1"/>
  <c r="L23" i="55"/>
  <c r="L49" i="55" a="1"/>
  <c r="L49" i="55"/>
  <c r="L48" i="55" a="1"/>
  <c r="L48" i="55" s="1"/>
  <c r="L25" i="55" a="1"/>
  <c r="L25" i="55" s="1"/>
  <c r="L40" i="55" a="1"/>
  <c r="L40" i="55" s="1"/>
  <c r="L31" i="55" a="1"/>
  <c r="L31" i="55"/>
  <c r="L18" i="55" a="1"/>
  <c r="L18" i="55" s="1"/>
  <c r="L34" i="55" a="1"/>
  <c r="L34" i="55" s="1"/>
  <c r="L2" i="55"/>
  <c r="L21" i="55" a="1"/>
  <c r="L21" i="55" s="1"/>
  <c r="R34" i="55"/>
  <c r="T34" i="55" s="1"/>
  <c r="L12" i="55" a="1"/>
  <c r="L12" i="55"/>
  <c r="L13" i="55" a="1"/>
  <c r="L13" i="55" s="1"/>
  <c r="L16" i="55" a="1"/>
  <c r="L16" i="55" s="1"/>
  <c r="L11" i="55" a="1"/>
  <c r="L11" i="55" s="1"/>
  <c r="L44" i="55" a="1"/>
  <c r="L44" i="55" s="1"/>
  <c r="R29" i="55"/>
  <c r="M5" i="59"/>
  <c r="L5" i="59"/>
  <c r="U20" i="59"/>
  <c r="U19" i="59"/>
  <c r="T5" i="59"/>
  <c r="U5" i="59"/>
  <c r="L20" i="59"/>
  <c r="S9" i="55"/>
  <c r="R20" i="55"/>
  <c r="R25" i="55"/>
  <c r="S25" i="55"/>
  <c r="L4" i="59"/>
  <c r="E6" i="26"/>
  <c r="F7" i="26"/>
  <c r="F6" i="26" s="1"/>
  <c r="D7" i="57"/>
  <c r="D5" i="57"/>
  <c r="D10" i="57"/>
  <c r="D11" i="57"/>
  <c r="D6" i="57"/>
  <c r="D8" i="57"/>
  <c r="D9" i="57"/>
  <c r="D12" i="57"/>
  <c r="H28" i="55" l="1"/>
  <c r="G28" i="55"/>
  <c r="L28" i="55" a="1"/>
  <c r="L28" i="55" s="1"/>
  <c r="K28" i="55" a="1"/>
  <c r="K28" i="55" s="1"/>
  <c r="G17" i="55"/>
  <c r="H17" i="55"/>
  <c r="K17" i="55" a="1"/>
  <c r="K17" i="55" s="1"/>
  <c r="L17" i="55" a="1"/>
  <c r="L17" i="55" s="1"/>
  <c r="O56" i="55"/>
  <c r="H22" i="55"/>
  <c r="L22" i="55" a="1"/>
  <c r="L22" i="55" s="1"/>
  <c r="G22" i="55"/>
  <c r="K22" i="55" a="1"/>
  <c r="K22" i="55" s="1"/>
  <c r="H29" i="55"/>
  <c r="G29" i="55"/>
  <c r="L29" i="55" a="1"/>
  <c r="L29" i="55" s="1"/>
  <c r="K29" i="55" a="1"/>
  <c r="K29" i="55" s="1"/>
  <c r="K36" i="55" a="1"/>
  <c r="K36" i="55" s="1"/>
  <c r="H36" i="55"/>
  <c r="G36" i="55"/>
  <c r="H19" i="55"/>
  <c r="G19" i="55"/>
  <c r="L19" i="55" a="1"/>
  <c r="L19" i="55" s="1"/>
  <c r="K19" i="55" a="1"/>
  <c r="K19" i="55" s="1"/>
  <c r="K47" i="55" a="1"/>
  <c r="K47" i="55" s="1"/>
  <c r="L47" i="55" a="1"/>
  <c r="L47" i="55" s="1"/>
  <c r="G47" i="55"/>
  <c r="H47" i="55"/>
  <c r="T8" i="55"/>
  <c r="H53" i="55"/>
  <c r="L53" i="55" a="1"/>
  <c r="L53" i="55" s="1"/>
  <c r="G53" i="55"/>
  <c r="K53" i="55" a="1"/>
  <c r="K53" i="55" s="1"/>
  <c r="L7" i="55" a="1"/>
  <c r="L7" i="55" s="1"/>
  <c r="V19" i="59"/>
  <c r="G7" i="55"/>
  <c r="R8" i="55"/>
  <c r="F19" i="59"/>
  <c r="F18" i="59"/>
  <c r="N48" i="55" a="1"/>
  <c r="N48" i="55" s="1"/>
  <c r="H39" i="55"/>
  <c r="K45" i="55" a="1"/>
  <c r="K45" i="55" s="1"/>
  <c r="N15" i="55" a="1"/>
  <c r="N15" i="55" s="1"/>
  <c r="O15" i="55" s="1"/>
  <c r="N44" i="55" a="1"/>
  <c r="N44" i="55" s="1"/>
  <c r="O44" i="55" s="1"/>
  <c r="F32" i="59"/>
  <c r="N37" i="59"/>
  <c r="N38" i="55" a="1"/>
  <c r="N38" i="55" s="1"/>
  <c r="N27" i="55" a="1"/>
  <c r="N27" i="55" s="1"/>
  <c r="O27" i="55" s="1"/>
  <c r="V36" i="59"/>
  <c r="N19" i="59"/>
  <c r="I14" i="59"/>
  <c r="O40" i="55"/>
  <c r="G32" i="55"/>
  <c r="R28" i="59"/>
  <c r="R13" i="55"/>
  <c r="T13" i="55" s="1"/>
  <c r="K31" i="55" a="1"/>
  <c r="K31" i="55" s="1"/>
  <c r="N52" i="55" a="1"/>
  <c r="N52" i="55" s="1"/>
  <c r="O52" i="55" s="1"/>
  <c r="D14" i="59"/>
  <c r="T36" i="59"/>
  <c r="N47" i="55" a="1"/>
  <c r="N47" i="55" s="1"/>
  <c r="O47" i="55" s="1"/>
  <c r="N33" i="55" a="1"/>
  <c r="N33" i="55" s="1"/>
  <c r="O33" i="55" s="1"/>
  <c r="V27" i="59"/>
  <c r="L27" i="59"/>
  <c r="S44" i="55"/>
  <c r="T44" i="55" s="1"/>
  <c r="L54" i="55" a="1"/>
  <c r="L54" i="55" s="1"/>
  <c r="R46" i="55"/>
  <c r="T46" i="55" s="1"/>
  <c r="C28" i="59"/>
  <c r="N28" i="59" s="1"/>
  <c r="N23" i="55" a="1"/>
  <c r="N23" i="55" s="1"/>
  <c r="N18" i="55" a="1"/>
  <c r="N18" i="55" s="1"/>
  <c r="O18" i="55" s="1"/>
  <c r="N13" i="55" a="1"/>
  <c r="N13" i="55" s="1"/>
  <c r="O13" i="55" s="1"/>
  <c r="N37" i="55" a="1"/>
  <c r="N37" i="55" s="1"/>
  <c r="N43" i="55" a="1"/>
  <c r="N43" i="55" s="1"/>
  <c r="O43" i="55" s="1"/>
  <c r="N6" i="59"/>
  <c r="N26" i="55" a="1"/>
  <c r="N26" i="55" s="1"/>
  <c r="N45" i="55" a="1"/>
  <c r="N45" i="55" s="1"/>
  <c r="O45" i="55" s="1"/>
  <c r="N34" i="55" a="1"/>
  <c r="N34" i="55" s="1"/>
  <c r="O34" i="55" s="1"/>
  <c r="N24" i="55" a="1"/>
  <c r="N24" i="55" s="1"/>
  <c r="O24" i="55" s="1"/>
  <c r="P14" i="59"/>
  <c r="V14" i="59" s="1"/>
  <c r="N36" i="55" a="1"/>
  <c r="N36" i="55" s="1"/>
  <c r="R43" i="55"/>
  <c r="L36" i="59"/>
  <c r="N46" i="55" a="1"/>
  <c r="N46" i="55" s="1"/>
  <c r="O46" i="55" s="1"/>
  <c r="T25" i="55"/>
  <c r="T20" i="55"/>
  <c r="N54" i="55" a="1"/>
  <c r="N54" i="55" s="1"/>
  <c r="O54" i="55" s="1"/>
  <c r="N49" i="55" a="1"/>
  <c r="N49" i="55" s="1"/>
  <c r="N51" i="55" a="1"/>
  <c r="N51" i="55" s="1"/>
  <c r="O51" i="55" s="1"/>
  <c r="S45" i="55"/>
  <c r="T45" i="55" s="1"/>
  <c r="N61" i="55"/>
  <c r="N11" i="55" a="1"/>
  <c r="N11" i="55" s="1"/>
  <c r="N18" i="59"/>
  <c r="K28" i="59"/>
  <c r="N42" i="59"/>
  <c r="G45" i="55"/>
  <c r="F37" i="59"/>
  <c r="N30" i="55" a="1"/>
  <c r="N30" i="55" s="1"/>
  <c r="N31" i="55" a="1"/>
  <c r="N31" i="55" s="1"/>
  <c r="O31" i="55" s="1"/>
  <c r="T25" i="59"/>
  <c r="T21" i="59"/>
  <c r="S18" i="55"/>
  <c r="T18" i="55" s="1"/>
  <c r="H45" i="55"/>
  <c r="H7" i="55"/>
  <c r="T43" i="55"/>
  <c r="N2" i="55"/>
  <c r="N17" i="55" a="1"/>
  <c r="N17" i="55" s="1"/>
  <c r="N41" i="55" a="1"/>
  <c r="N41" i="55" s="1"/>
  <c r="O41" i="55" s="1"/>
  <c r="P28" i="59"/>
  <c r="R35" i="55"/>
  <c r="T35" i="55" s="1"/>
  <c r="R19" i="55"/>
  <c r="T19" i="55" s="1"/>
  <c r="K21" i="55" a="1"/>
  <c r="K21" i="55" s="1"/>
  <c r="N14" i="55" a="1"/>
  <c r="N14" i="55" s="1"/>
  <c r="N50" i="55" a="1"/>
  <c r="N50" i="55" s="1"/>
  <c r="O50" i="55" s="1"/>
  <c r="D13" i="57"/>
  <c r="E5" i="57"/>
  <c r="E6" i="57" s="1"/>
  <c r="E7" i="57" s="1"/>
  <c r="E8" i="57" s="1"/>
  <c r="E9" i="57" s="1"/>
  <c r="E10" i="57" s="1"/>
  <c r="E11" i="57" s="1"/>
  <c r="E12" i="57" s="1"/>
  <c r="O26" i="55"/>
  <c r="R15" i="55"/>
  <c r="T15" i="55" s="1"/>
  <c r="O55" i="55"/>
  <c r="P11" i="55"/>
  <c r="T39" i="55"/>
  <c r="K39" i="55" a="1"/>
  <c r="K39" i="55" s="1"/>
  <c r="G39" i="55"/>
  <c r="K26" i="55" a="1"/>
  <c r="K26" i="55" s="1"/>
  <c r="G26" i="55"/>
  <c r="L26" i="55" a="1"/>
  <c r="L26" i="55" s="1"/>
  <c r="L9" i="55" a="1"/>
  <c r="L9" i="55" s="1"/>
  <c r="G9" i="55"/>
  <c r="R24" i="55"/>
  <c r="T24" i="55" s="1"/>
  <c r="K38" i="55" a="1"/>
  <c r="K38" i="55" s="1"/>
  <c r="L38" i="55" a="1"/>
  <c r="L38" i="55" s="1"/>
  <c r="G24" i="55"/>
  <c r="K24" i="55" a="1"/>
  <c r="K24" i="55" s="1"/>
  <c r="R56" i="55"/>
  <c r="T56" i="55" s="1"/>
  <c r="R21" i="55"/>
  <c r="T21" i="55" s="1"/>
  <c r="G16" i="55"/>
  <c r="H16" i="55"/>
  <c r="K52" i="55" a="1"/>
  <c r="K52" i="55" s="1"/>
  <c r="G52" i="55"/>
  <c r="L52" i="55" a="1"/>
  <c r="L52" i="55" s="1"/>
  <c r="G7" i="26"/>
  <c r="O53" i="55"/>
  <c r="G35" i="55"/>
  <c r="L35" i="55" a="1"/>
  <c r="L35" i="55" s="1"/>
  <c r="G50" i="55"/>
  <c r="L50" i="55" a="1"/>
  <c r="L50" i="55" s="1"/>
  <c r="S47" i="55"/>
  <c r="R47" i="55"/>
  <c r="N14" i="59"/>
  <c r="O48" i="55"/>
  <c r="H34" i="55"/>
  <c r="G34" i="55"/>
  <c r="K56" i="55" a="1"/>
  <c r="K56" i="55" s="1"/>
  <c r="L56" i="55" a="1"/>
  <c r="L56" i="55" s="1"/>
  <c r="G56" i="55"/>
  <c r="H56" i="55"/>
  <c r="M6" i="59"/>
  <c r="M18" i="59"/>
  <c r="G28" i="59"/>
  <c r="M28" i="59" s="1"/>
  <c r="G33" i="55"/>
  <c r="H33" i="55"/>
  <c r="Z77" i="53"/>
  <c r="X77" i="53"/>
  <c r="X2" i="53"/>
  <c r="L32" i="55" a="1"/>
  <c r="L32" i="55" s="1"/>
  <c r="H32" i="55"/>
  <c r="G14" i="59"/>
  <c r="M14" i="59" s="1"/>
  <c r="K34" i="55" a="1"/>
  <c r="K34" i="55" s="1"/>
  <c r="O49" i="55"/>
  <c r="S26" i="55"/>
  <c r="R26" i="55"/>
  <c r="R31" i="55"/>
  <c r="T31" i="55" s="1"/>
  <c r="K18" i="55" a="1"/>
  <c r="K18" i="55" s="1"/>
  <c r="H18" i="55"/>
  <c r="H8" i="55"/>
  <c r="K8" i="55" a="1"/>
  <c r="K8" i="55" s="1"/>
  <c r="G8" i="55"/>
  <c r="V20" i="59"/>
  <c r="B28" i="59"/>
  <c r="T20" i="59"/>
  <c r="P28" i="55"/>
  <c r="K14" i="55" a="1"/>
  <c r="K14" i="55" s="1"/>
  <c r="H14" i="55"/>
  <c r="K43" i="55" a="1"/>
  <c r="K43" i="55" s="1"/>
  <c r="L43" i="55" a="1"/>
  <c r="L43" i="55" s="1"/>
  <c r="H43" i="55"/>
  <c r="P40" i="55"/>
  <c r="R9" i="55"/>
  <c r="T9" i="55" s="1"/>
  <c r="G12" i="55"/>
  <c r="H12" i="55"/>
  <c r="L61" i="55"/>
  <c r="F42" i="59" a="1"/>
  <c r="F42" i="59" s="1"/>
  <c r="F14" i="59" a="1"/>
  <c r="F14" i="59" s="1"/>
  <c r="L51" i="55" a="1"/>
  <c r="L51" i="55" s="1"/>
  <c r="S14" i="55"/>
  <c r="R14" i="55"/>
  <c r="T14" i="55" s="1"/>
  <c r="O20" i="55"/>
  <c r="K27" i="55" a="1"/>
  <c r="K27" i="55" s="1"/>
  <c r="L27" i="55" a="1"/>
  <c r="L27" i="55" s="1"/>
  <c r="L10" i="55" a="1"/>
  <c r="L10" i="55" s="1"/>
  <c r="K10" i="55" a="1"/>
  <c r="K10" i="55" s="1"/>
  <c r="G10" i="55"/>
  <c r="P10" i="55"/>
  <c r="O34" i="59"/>
  <c r="O18" i="59"/>
  <c r="L36" i="55" a="1"/>
  <c r="L36" i="55" s="1"/>
  <c r="O4" i="59"/>
  <c r="L39" i="59"/>
  <c r="G34" i="59"/>
  <c r="M34" i="59" s="1"/>
  <c r="T39" i="59"/>
  <c r="F41" i="59"/>
  <c r="G44" i="55"/>
  <c r="AI14" i="26"/>
  <c r="F12" i="26"/>
  <c r="J14" i="26"/>
  <c r="K14" i="26"/>
  <c r="O6" i="59"/>
  <c r="V38" i="59"/>
  <c r="Z2" i="53"/>
  <c r="O61" i="55" l="1"/>
  <c r="O2" i="55"/>
  <c r="G61" i="55"/>
  <c r="G3" i="55"/>
  <c r="G62" i="55"/>
  <c r="T26" i="55"/>
  <c r="H62" i="55"/>
  <c r="H3" i="55"/>
  <c r="T4" i="59"/>
  <c r="U4" i="59"/>
  <c r="O14" i="59"/>
  <c r="H7" i="26"/>
  <c r="G6" i="26"/>
  <c r="V28" i="59"/>
  <c r="R28" i="55"/>
  <c r="S28" i="55"/>
  <c r="L34" i="59"/>
  <c r="L14" i="59"/>
  <c r="P61" i="55"/>
  <c r="AE2" i="53"/>
  <c r="P2" i="55"/>
  <c r="AE77" i="53"/>
  <c r="S11" i="55"/>
  <c r="R11" i="55"/>
  <c r="U6" i="59"/>
  <c r="T6" i="59"/>
  <c r="O28" i="59"/>
  <c r="U28" i="59" s="1"/>
  <c r="T18" i="59"/>
  <c r="U18" i="59"/>
  <c r="S10" i="55"/>
  <c r="R10" i="55"/>
  <c r="T10" i="55" s="1"/>
  <c r="H2" i="55"/>
  <c r="T47" i="55"/>
  <c r="O42" i="59"/>
  <c r="U34" i="59"/>
  <c r="T34" i="59"/>
  <c r="R40" i="55"/>
  <c r="S40" i="55"/>
  <c r="G2" i="55"/>
  <c r="H61" i="55"/>
  <c r="G42" i="59"/>
  <c r="L28" i="59"/>
  <c r="T40" i="55" l="1"/>
  <c r="R61" i="55"/>
  <c r="S2" i="55"/>
  <c r="R2" i="55"/>
  <c r="S61" i="55"/>
  <c r="U42" i="59"/>
  <c r="T42" i="59"/>
  <c r="T28" i="55"/>
  <c r="T28" i="59"/>
  <c r="I7" i="26"/>
  <c r="H6" i="26"/>
  <c r="T14" i="59"/>
  <c r="U14" i="59"/>
  <c r="M42" i="59"/>
  <c r="L42" i="59"/>
  <c r="T11" i="55"/>
  <c r="I6" i="26" l="1"/>
  <c r="J7" i="26"/>
  <c r="T2" i="55"/>
  <c r="T61" i="55"/>
  <c r="J6" i="26" l="1"/>
  <c r="K7" i="26"/>
  <c r="K6" i="26" l="1"/>
  <c r="L7" i="26"/>
  <c r="L6" i="26" l="1"/>
  <c r="M7" i="26"/>
  <c r="N7" i="26" l="1"/>
  <c r="M6" i="26"/>
  <c r="O7" i="26" l="1"/>
  <c r="N6" i="26"/>
  <c r="O6" i="26" l="1"/>
  <c r="P7" i="26"/>
  <c r="P6" i="26" l="1"/>
  <c r="Q7" i="26"/>
  <c r="R7" i="26" l="1"/>
  <c r="Q6" i="26"/>
  <c r="S7" i="26" l="1"/>
  <c r="R6" i="26"/>
  <c r="T7" i="26" l="1"/>
  <c r="S6" i="26"/>
  <c r="T6" i="26" l="1"/>
  <c r="U7" i="26"/>
  <c r="V7" i="26" l="1"/>
  <c r="U6" i="26"/>
  <c r="V6" i="26" l="1"/>
  <c r="W7" i="26"/>
  <c r="X7" i="26" l="1"/>
  <c r="W6" i="26"/>
  <c r="X6" i="26" l="1"/>
  <c r="Y7" i="26"/>
  <c r="Y6" i="26" l="1"/>
  <c r="Z7" i="26"/>
  <c r="AA7" i="26" l="1"/>
  <c r="Z6" i="26"/>
  <c r="AB7" i="26" l="1"/>
  <c r="AA6" i="26"/>
  <c r="AB6" i="26" l="1"/>
  <c r="AC7" i="26"/>
  <c r="AC6" i="26" l="1"/>
  <c r="AD7" i="26"/>
  <c r="AD6" i="26" l="1"/>
  <c r="AE7" i="26"/>
  <c r="AF7" i="26" l="1"/>
  <c r="AE6" i="26"/>
  <c r="AF6" i="26" l="1"/>
  <c r="AG7" i="26"/>
  <c r="AH7" i="26" l="1"/>
  <c r="AG6" i="26"/>
  <c r="AI7" i="26" l="1"/>
  <c r="AH6" i="26"/>
  <c r="AI6" i="26" l="1"/>
  <c r="AJ7" i="26"/>
  <c r="AK7" i="26" l="1"/>
  <c r="AJ6"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<sst xmlns="http://schemas.openxmlformats.org/spreadsheetml/2006/main" count="2920" uniqueCount="692">
  <si>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</si>
  <si>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</si>
  <si>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</si>
  <si>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</si>
  <si>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</si>
  <si>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</si>
  <si>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</si>
  <si>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</si>
  <si>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</si>
  <si>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</si>
  <si>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</si>
  <si>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</si>
  <si>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</si>
  <si>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</si>
  <si>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</si>
  <si>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</si>
  <si>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</si>
  <si>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</si>
  <si>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</si>
  <si>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</si>
  <si>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</si>
  <si>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</si>
  <si>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</si>
  <si>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</si>
  <si>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</si>
  <si>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</si>
  <si>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</si>
  <si>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</si>
  <si>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</si>
  <si>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</si>
  <si>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</si>
  <si>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</si>
  <si>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</si>
  <si>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</si>
  <si>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</si>
  <si>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</si>
  <si>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</si>
  <si>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</si>
  <si>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</si>
  <si>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</si>
  <si>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</si>
  <si>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</si>
  <si>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</si>
  <si>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</si>
  <si>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</si>
  <si>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</si>
  <si>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</si>
  <si>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</si>
  <si>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</si>
  <si>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</si>
  <si>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</si>
  <si>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</si>
  <si>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</si>
  <si>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</si>
  <si>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</si>
  <si>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</si>
  <si>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</si>
  <si>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</si>
  <si>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</si>
  <si>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</si>
  <si>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</si>
  <si>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</si>
  <si>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</si>
  <si>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</si>
  <si>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</si>
  <si>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</si>
  <si>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</si>
  <si>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</si>
  <si>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</si>
  <si>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</si>
  <si>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</si>
  <si>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</si>
  <si>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</si>
  <si>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</si>
  <si>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</si>
  <si>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</si>
  <si>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</si>
  <si>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</si>
  <si>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</si>
  <si>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</si>
  <si>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</si>
  <si>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</si>
  <si>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</si>
  <si>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</si>
  <si>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</si>
  <si>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</si>
  <si>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</si>
  <si>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</si>
  <si>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</si>
  <si>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</si>
  <si>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</si>
  <si>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</si>
  <si>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</si>
  <si>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</si>
  <si>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</si>
  <si>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</si>
  <si>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</si>
  <si>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</si>
  <si>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</si>
  <si>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</si>
  <si>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</si>
  <si>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</si>
  <si>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</si>
  <si>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</si>
  <si>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</si>
  <si>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</si>
  <si>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</si>
  <si>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</si>
  <si>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</si>
  <si>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</si>
  <si>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</si>
  <si>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</si>
  <si>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</si>
  <si>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</si>
  <si>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</si>
  <si>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</si>
  <si>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</si>
  <si>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</si>
  <si>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</si>
  <si>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</si>
  <si>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</si>
  <si>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</si>
  <si>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</si>
  <si>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</si>
  <si>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</si>
  <si>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</si>
  <si>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</si>
  <si>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</si>
  <si>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</si>
  <si>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</si>
  <si>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</si>
  <si>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</si>
  <si>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</si>
  <si>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</si>
  <si>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</si>
  <si>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</si>
  <si>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</si>
  <si>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</si>
  <si>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</si>
  <si>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</si>
  <si>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</si>
  <si>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</si>
  <si>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</si>
  <si>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</si>
  <si>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</si>
  <si>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</si>
  <si>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</si>
  <si>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</si>
  <si>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</si>
  <si>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</si>
  <si>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</si>
  <si>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</si>
  <si>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</si>
  <si>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</si>
  <si>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</si>
  <si>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</si>
  <si>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</si>
  <si>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</si>
  <si>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</si>
  <si>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</si>
  <si>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</si>
  <si>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</si>
  <si>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</si>
  <si>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</si>
  <si>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</si>
  <si>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</si>
  <si>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</si>
  <si>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</si>
  <si>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</si>
  <si>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</si>
  <si>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</si>
  <si>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</si>
  <si>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</si>
  <si>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</si>
  <si>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</si>
  <si>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</si>
  <si>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</si>
  <si>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</si>
  <si>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</si>
  <si>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</si>
  <si>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</si>
  <si>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</si>
  <si>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</si>
  <si>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</si>
  <si>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</si>
  <si>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</si>
  <si>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</si>
  <si>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</si>
  <si>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</si>
  <si>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</si>
  <si>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</si>
  <si>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</si>
  <si>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</si>
  <si>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</si>
  <si>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</si>
  <si>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</si>
  <si>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</si>
  <si>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</si>
  <si>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</si>
  <si>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</si>
  <si>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</si>
  <si>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</si>
  <si>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</si>
  <si>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</si>
  <si>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</si>
  <si>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</si>
  <si>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</si>
  <si>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</si>
  <si>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</si>
  <si>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</si>
  <si>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</si>
  <si>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</si>
  <si>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</si>
  <si>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</si>
  <si>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</si>
  <si>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</si>
  <si>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</si>
  <si>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</si>
  <si>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</si>
  <si>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</si>
  <si>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</si>
  <si>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</si>
  <si>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</si>
  <si>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</si>
  <si>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</si>
  <si>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</si>
  <si>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</si>
  <si>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</si>
  <si>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</si>
  <si>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</si>
  <si>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</si>
  <si>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</si>
  <si>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</si>
  <si>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</si>
  <si>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</si>
  <si>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</si>
  <si>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</si>
  <si>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</si>
  <si>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</si>
  <si>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</si>
  <si>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</si>
  <si>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</si>
  <si>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</si>
  <si>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</si>
  <si>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</si>
  <si>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</si>
  <si>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</si>
  <si>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</si>
  <si>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</si>
  <si>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</si>
  <si>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</si>
  <si>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</si>
  <si>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</si>
  <si>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</si>
  <si>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</si>
  <si>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</si>
  <si>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</si>
  <si>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</si>
  <si>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</si>
  <si>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</si>
  <si>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</si>
  <si>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</si>
  <si>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</si>
  <si>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</si>
  <si>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</si>
  <si>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</si>
  <si>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</si>
  <si>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</si>
  <si>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</si>
  <si>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</si>
  <si>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</si>
  <si>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</si>
  <si>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</si>
  <si>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</si>
  <si>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</si>
  <si>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</si>
  <si>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</si>
  <si>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</si>
  <si>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</si>
  <si>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</si>
  <si>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</si>
  <si>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</si>
  <si>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</si>
  <si>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</si>
  <si>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</si>
  <si>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</si>
  <si>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</si>
  <si>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</si>
  <si>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</si>
  <si>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</si>
  <si>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</si>
  <si>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</si>
  <si>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</si>
  <si>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</si>
  <si>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</si>
  <si>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</si>
  <si>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</si>
  <si>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</si>
  <si>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</si>
  <si>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</si>
  <si>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</si>
  <si>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</si>
  <si>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</si>
  <si>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</si>
  <si>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</si>
  <si>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</si>
  <si>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</si>
  <si>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</si>
  <si>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MPASP</t>
  </si>
  <si>
    <t>Register Access Test</t>
  </si>
  <si>
    <t>asp.basic.register_access</t>
  </si>
  <si>
    <t>ASP-009</t>
  </si>
  <si>
    <t>ASP: Security Fencing: MP0 public space, private space, SRAM, ROM</t>
  </si>
  <si>
    <t>SRAM Access Test</t>
  </si>
  <si>
    <t>asp.basic.sram_access</t>
  </si>
  <si>
    <t>HUBIF Access Test</t>
  </si>
  <si>
    <t>asp.basic.hubif</t>
  </si>
  <si>
    <t>ASP-015</t>
  </si>
  <si>
    <t>ASP: SMNIF TLB Mapping</t>
  </si>
  <si>
    <t>SMNIF Access Test</t>
  </si>
  <si>
    <t>psp1.4</t>
  </si>
  <si>
    <t> Legacy </t>
  </si>
  <si>
    <t>ASP Private Area Access Test</t>
  </si>
  <si>
    <t>ASP-014</t>
  </si>
  <si>
    <t>ASP: CRU: ASP SMU conmunication via P2SMSG/S2PMSG and interrupts</t>
  </si>
  <si>
    <t>ASP-SMU Test Message Access Test</t>
  </si>
  <si>
    <t>psp1.7</t>
  </si>
  <si>
    <t>ASP-013</t>
  </si>
  <si>
    <t>ASP: CRU: A5 interrupt to x86 CPU</t>
  </si>
  <si>
    <t>Interrupt Test</t>
  </si>
  <si>
    <t>psp1.13</t>
  </si>
  <si>
    <t>ASP-008</t>
  </si>
  <si>
    <t>ASP: HUBIF access violation and interrupt</t>
  </si>
  <si>
    <t>HUBIF Access Violation and Interrupt</t>
  </si>
  <si>
    <t>psp1.15</t>
  </si>
  <si>
    <t>ASP-016</t>
  </si>
  <si>
    <t>ASP: RSMU access violation and interrupt</t>
  </si>
  <si>
    <t>RSMU Access Violation and Interrupt</t>
  </si>
  <si>
    <t>psp1.17</t>
  </si>
  <si>
    <t>ASP-010</t>
  </si>
  <si>
    <t>ASP: CRU: Access Violation Interrupt control</t>
  </si>
  <si>
    <t>CRU Access Violation and Interrupt</t>
  </si>
  <si>
    <t>psp1.97</t>
  </si>
  <si>
    <t>ASP-011</t>
  </si>
  <si>
    <t>ASP: CRU: Timer control registers and interrupt</t>
  </si>
  <si>
    <t>Timer Control Registers and Interrupt</t>
  </si>
  <si>
    <t>psp1.21</t>
  </si>
  <si>
    <t>ASP-017</t>
  </si>
  <si>
    <t>ASP: Mutex</t>
  </si>
  <si>
    <t>Mutex Register Access</t>
  </si>
  <si>
    <t>psp1.22</t>
  </si>
  <si>
    <t>ASP-035</t>
  </si>
  <si>
    <t>ASP: SRAM/ROM Disable</t>
  </si>
  <si>
    <t>SRAM/ROM Disable</t>
  </si>
  <si>
    <t>psp103</t>
  </si>
  <si>
    <t> New </t>
  </si>
  <si>
    <t>ASP-004</t>
  </si>
  <si>
    <t>ASP: TRNG Seed is available in public CRU</t>
  </si>
  <si>
    <t>TRNG Seed from Public CRU</t>
  </si>
  <si>
    <t>psp1.26</t>
  </si>
  <si>
    <t>ASP-027</t>
  </si>
  <si>
    <t>CCP: Side channel attack countermeasure</t>
  </si>
  <si>
    <t>CCP</t>
  </si>
  <si>
    <t>CCP SCA Countermeasure Test</t>
  </si>
  <si>
    <t>psp2.1</t>
  </si>
  <si>
    <t>CCP Multi-Frame Test</t>
  </si>
  <si>
    <t>psp2.2</t>
  </si>
  <si>
    <t>ASP-026</t>
  </si>
  <si>
    <t>CCP: Memory interface</t>
  </si>
  <si>
    <t>CCP Multi Queue Test</t>
  </si>
  <si>
    <t>psp2.3</t>
  </si>
  <si>
    <t>ASP-025</t>
  </si>
  <si>
    <t>CCP: Interrupts and Status</t>
  </si>
  <si>
    <t>CCP Interrupt Test</t>
  </si>
  <si>
    <t>ccp.basic.interrupt</t>
  </si>
  <si>
    <t>ASP-028</t>
  </si>
  <si>
    <t>CCP: Error handling for all CCP error cases</t>
  </si>
  <si>
    <t>CCP Static/Dynamic Error Test</t>
  </si>
  <si>
    <t>psp2.7</t>
  </si>
  <si>
    <t>ASP-023</t>
  </si>
  <si>
    <t>CCP: Pass-through</t>
  </si>
  <si>
    <t>CCP PT Engine Test</t>
  </si>
  <si>
    <t>ccp.basic.pt</t>
  </si>
  <si>
    <t>ASP-018</t>
  </si>
  <si>
    <t>CCP: AES engine</t>
  </si>
  <si>
    <t>CCP AES Engine Test</t>
  </si>
  <si>
    <t>ccp.basic.aes</t>
  </si>
  <si>
    <t>ASP-019</t>
  </si>
  <si>
    <t>CCP: SHA engine</t>
  </si>
  <si>
    <t>CCP SHA Engine Test</t>
  </si>
  <si>
    <t>psp203.1</t>
  </si>
  <si>
    <t>ASP-020</t>
  </si>
  <si>
    <t>CCP: RSA engine</t>
  </si>
  <si>
    <t>CCP RSA Engine Test</t>
  </si>
  <si>
    <t>psp204.1</t>
  </si>
  <si>
    <t>ASP-021</t>
  </si>
  <si>
    <t>CCP: ECC engine</t>
  </si>
  <si>
    <t>CCP ECC Engine Test</t>
  </si>
  <si>
    <t>psp205.1</t>
  </si>
  <si>
    <t>ASP-022</t>
  </si>
  <si>
    <t>CCP: Zlib decompression</t>
  </si>
  <si>
    <t>CCP ZLIB Engine Test</t>
  </si>
  <si>
    <t>psp206.1</t>
  </si>
  <si>
    <t>ASP-034</t>
  </si>
  <si>
    <t>CCP: Module Reset</t>
  </si>
  <si>
    <t>CCP PT Engine Reset Test</t>
  </si>
  <si>
    <t>psp201.3</t>
  </si>
  <si>
    <t>CCP AES Engine Reset Test</t>
  </si>
  <si>
    <t>psp202.3</t>
  </si>
  <si>
    <t>CCP SHA Engine Reset Test</t>
  </si>
  <si>
    <t>psp203.3</t>
  </si>
  <si>
    <t>CCP RSA Engine Reset Test</t>
  </si>
  <si>
    <t>psp204.3</t>
  </si>
  <si>
    <t>CCP ECC Engine Reset Test</t>
  </si>
  <si>
    <t>psp205.3</t>
  </si>
  <si>
    <t>CCP ZLIB Engine Reset Test</t>
  </si>
  <si>
    <t>psp206.3</t>
  </si>
  <si>
    <t>CCP Queue Reset Test</t>
  </si>
  <si>
    <t>psp2.201</t>
  </si>
  <si>
    <t>CCP IDMA/ODMA Reset Test</t>
  </si>
  <si>
    <t>psp2.202</t>
  </si>
  <si>
    <t>CCP JPM Reset Test</t>
  </si>
  <si>
    <t>psp2.203</t>
  </si>
  <si>
    <t>CCP SHA with PT</t>
  </si>
  <si>
    <t>ccp.basic.sha</t>
  </si>
  <si>
    <t>CCP SHA with SW and HW IV</t>
  </si>
  <si>
    <t>ASP-029</t>
  </si>
  <si>
    <t>CCP: Clock gating</t>
  </si>
  <si>
    <t>CCP Dynamic Clock Gating Test</t>
  </si>
  <si>
    <t>ASP-036</t>
  </si>
  <si>
    <t>CCP: Memory range protection</t>
  </si>
  <si>
    <t>CCP Memory Range Protection Test</t>
  </si>
  <si>
    <t>psp2.23</t>
  </si>
  <si>
    <t>ASP-037</t>
  </si>
  <si>
    <t>SIB: KSB functional</t>
  </si>
  <si>
    <t>SIB</t>
  </si>
  <si>
    <t>KSB Access Test</t>
  </si>
  <si>
    <t>sib.basic.ksb_access</t>
  </si>
  <si>
    <t>KSB Attributes Test</t>
  </si>
  <si>
    <t>sib.basic.ksb_attributes</t>
  </si>
  <si>
    <t>ASP-002</t>
  </si>
  <si>
    <t>Keys loaded into CCP are protected (read/write) from active and passive side channels and fault injection attacks</t>
  </si>
  <si>
    <t>KSB RTL-Key Protection Test</t>
  </si>
  <si>
    <t>sib.basic.ksb.rtl_key_protection</t>
  </si>
  <si>
    <t>ASP-038</t>
  </si>
  <si>
    <t>SIB: KSB errors</t>
  </si>
  <si>
    <t>KSB Error Test</t>
  </si>
  <si>
    <t>ASP-039</t>
  </si>
  <si>
    <t>SIB: ISB functional</t>
  </si>
  <si>
    <t>ISB Access Test</t>
  </si>
  <si>
    <t>sib.basic.isb_access</t>
  </si>
  <si>
    <t>ISB SRAM Key Clear Test</t>
  </si>
  <si>
    <t>sib.basic.pkdb.isb_sram_clearing</t>
  </si>
  <si>
    <t>ASP-040</t>
  </si>
  <si>
    <t>SIB: ISB errors</t>
  </si>
  <si>
    <t>ISB Error Test</t>
  </si>
  <si>
    <t>TestID.PlaceHolder.49</t>
  </si>
  <si>
    <t>ASP-041</t>
  </si>
  <si>
    <t>SIB: TRNG, Health check function, and DRBG function</t>
  </si>
  <si>
    <t>TRNG Dump</t>
  </si>
  <si>
    <t>psp2.9</t>
  </si>
  <si>
    <t>TRNG Entropy Health Monitor Test</t>
  </si>
  <si>
    <t>psp2.17</t>
  </si>
  <si>
    <t>ASP-042</t>
  </si>
  <si>
    <t>SIB: WDT</t>
  </si>
  <si>
    <t>WDT and EH Test</t>
  </si>
  <si>
    <t>psp1.27</t>
  </si>
  <si>
    <t>ASP-043</t>
  </si>
  <si>
    <t>CCP: SHA3 Frame Size Update</t>
  </si>
  <si>
    <t>CCP SHA3 Frame Size Test</t>
  </si>
  <si>
    <t>psp203.4</t>
  </si>
  <si>
    <t>ASP-044</t>
  </si>
  <si>
    <t>CCP: SHA-PT Destination Address Pointer</t>
  </si>
  <si>
    <t>CCP SHA-PT Dest2 Address Test</t>
  </si>
  <si>
    <t>ASP-045</t>
  </si>
  <si>
    <t>CCP: SHA3 HMAC - Key update - 384/512 bits</t>
  </si>
  <si>
    <t>CCP SHA3 HMAC 384/512 Test</t>
  </si>
  <si>
    <t>TestID.PlaceHolder.55</t>
  </si>
  <si>
    <t>ASP-046</t>
  </si>
  <si>
    <t>CCP: SHAKE128/256 Digest Length</t>
  </si>
  <si>
    <t>CCP SHAKE128/256 Digest Length Test</t>
  </si>
  <si>
    <t>TestID.PlaceHolder.56</t>
  </si>
  <si>
    <t>ASP-047</t>
  </si>
  <si>
    <t>SIB: KSB Errors ASP/CCP Seperation</t>
  </si>
  <si>
    <t>KSB Error ASP/CCP Seperation</t>
  </si>
  <si>
    <t>TestID.PlaceHolder.57</t>
  </si>
  <si>
    <t>ASP-048</t>
  </si>
  <si>
    <t>SIB: KSB Mass Clear</t>
  </si>
  <si>
    <t>KSB Mass Clear Test</t>
  </si>
  <si>
    <t>TestID.PlaceHolder.58</t>
  </si>
  <si>
    <t>ASP-049</t>
  </si>
  <si>
    <t>SIB: KSB Slot Search</t>
  </si>
  <si>
    <t>KSB Slot Search Test</t>
  </si>
  <si>
    <t>TestID.PlaceHolder.59</t>
  </si>
  <si>
    <t>ASP-050</t>
  </si>
  <si>
    <t>ASP: Si-Five Mem Port/Front Port</t>
  </si>
  <si>
    <t>ASP</t>
  </si>
  <si>
    <t>CCP -&gt; NIC400 -&gt; SMNIF-&gt; SoC Registers</t>
  </si>
  <si>
    <t>psp207.1</t>
  </si>
  <si>
    <t>CCP -&gt; MMHUBIF-&gt; FB/System Memory</t>
  </si>
  <si>
    <t>psp207.2</t>
  </si>
  <si>
    <t>CCP -&gt; Front Port -&gt; E6A(riscv) -&gt; Memory Port -&gt; MMHUBIF-&gt; FB/System Memory</t>
  </si>
  <si>
    <t>psp207.3</t>
  </si>
  <si>
    <t>E6A System Port -&gt; NIC400 -&gt; MMHUBIF -&gt; MMHUB</t>
  </si>
  <si>
    <t>psp107.3</t>
  </si>
  <si>
    <t xml:space="preserve"> New </t>
  </si>
  <si>
    <t xml:space="preserve">E6A Memory Port -&gt; NIC400 -&gt; MMHUBIF -&gt; MMHUB </t>
  </si>
  <si>
    <t>psp107.4</t>
  </si>
  <si>
    <t>E6A System Port -&gt; NIC400 -&gt; SMNIF -&gt; SoC Registers</t>
  </si>
  <si>
    <t>psp107.1</t>
  </si>
  <si>
    <t>E6A Memory Port -&gt; NIC400 -&gt; SMNIF -&gt; SoC Registers</t>
  </si>
  <si>
    <t>psp107.2</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</si>
  <si>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</si>
  <si>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</si>
  <si>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</si>
  <si>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</si>
  <si>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</si>
  <si>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</si>
  <si>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</si>
  <si>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</si>
  <si>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</si>
  <si>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ASP-001</t>
  </si>
  <si>
    <t>Only ASP can access HW keys including the device specific ones</t>
  </si>
  <si>
    <t>Total # of Features</t>
  </si>
  <si>
    <t>Total # of P1</t>
  </si>
  <si>
    <t>ASP-003</t>
  </si>
  <si>
    <t>ASP DRAM is encrypted and not accessible to any other processors</t>
  </si>
  <si>
    <t>Total # of P2</t>
  </si>
  <si>
    <t>Total # of P3</t>
  </si>
  <si>
    <t>ASP-005</t>
  </si>
  <si>
    <t>Security: ASP Private DRAM 8MB area</t>
  </si>
  <si>
    <t>Total # of Diagnostics</t>
  </si>
  <si>
    <t>ASP-006</t>
  </si>
  <si>
    <t>ASP: HUBIF TLB mapping</t>
  </si>
  <si>
    <t>Total # of Driver</t>
  </si>
  <si>
    <t>ASP-007</t>
  </si>
  <si>
    <t>ASP: HUBIF inline AES computation</t>
  </si>
  <si>
    <t>Total # of IPSE</t>
  </si>
  <si>
    <t>Total # of N/A</t>
  </si>
  <si>
    <t>Total # of Legacy</t>
  </si>
  <si>
    <t>Total # of New</t>
  </si>
  <si>
    <t>ASP-012</t>
  </si>
  <si>
    <t>ASP: CRU: C2PMSG and interrupts</t>
  </si>
  <si>
    <t>ASP-024</t>
  </si>
  <si>
    <t>CCP: Pass-through AXI burst</t>
  </si>
  <si>
    <t>ASP-030</t>
  </si>
  <si>
    <t>ASP: MP0CLK gating/deep sleep</t>
  </si>
  <si>
    <t>ASP-031</t>
  </si>
  <si>
    <t>ASP: SRAM clock gating/deep sleep</t>
  </si>
  <si>
    <t>ASP-032</t>
  </si>
  <si>
    <t>ASP: Power gating</t>
  </si>
  <si>
    <t>ASP-033</t>
  </si>
  <si>
    <t>ASP: HUBIF clock gating</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</si>
  <si>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</si>
  <si>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</si>
  <si>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</si>
  <si>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Wk3</t>
  </si>
  <si>
    <t>WK2</t>
  </si>
  <si>
    <t>WK3</t>
  </si>
  <si>
    <t>WK5</t>
  </si>
  <si>
    <t>Wk2</t>
  </si>
  <si>
    <t>Wk7</t>
  </si>
  <si>
    <t>Wk4</t>
  </si>
  <si>
    <t>WK4</t>
  </si>
  <si>
    <t>Wk6</t>
  </si>
  <si>
    <t>Wk5</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</si>
  <si>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</si>
  <si>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</si>
  <si>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</si>
  <si>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</si>
  <si>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</si>
  <si>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</si>
  <si>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</si>
  <si>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</si>
  <si>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</si>
  <si>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</si>
  <si>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</si>
  <si>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</si>
  <si>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</si>
  <si>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</si>
  <si>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</si>
  <si>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</si>
  <si>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</si>
  <si>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</si>
  <si>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</si>
  <si>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</si>
  <si>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</si>
  <si>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</si>
  <si>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</si>
  <si>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</si>
  <si>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</si>
  <si>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</si>
  <si>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</si>
  <si>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</si>
  <si>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</si>
  <si>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</si>
  <si>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</si>
  <si>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</si>
  <si>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</si>
  <si>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</si>
  <si>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</si>
  <si>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</si>
  <si>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</si>
  <si>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</si>
  <si>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</si>
  <si>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</si>
  <si>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</si>
  <si>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</si>
  <si>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</si>
  <si>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</si>
  <si>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</si>
  <si>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</si>
  <si>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</si>
  <si>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</si>
  <si>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</si>
  <si>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</si>
  <si>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</si>
  <si>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</si>
  <si>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</si>
  <si>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</si>
  <si>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</si>
  <si>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</si>
  <si>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</si>
  <si>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</si>
  <si>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</si>
  <si>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</si>
  <si>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</si>
  <si>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</si>
  <si>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</si>
  <si>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</si>
  <si>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</si>
  <si>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</si>
  <si>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</si>
  <si>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</si>
  <si>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</si>
  <si>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</si>
  <si>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</si>
  <si>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</si>
  <si>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</si>
  <si>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</si>
  <si>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</si>
  <si>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</si>
  <si>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</si>
  <si>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</si>
  <si>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</si>
  <si>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</si>
  <si>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</si>
  <si>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</si>
  <si>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</si>
  <si>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</si>
  <si>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</si>
  <si>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</si>
  <si>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</si>
  <si>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</si>
  <si>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</si>
  <si>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</si>
  <si>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</si>
  <si>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</si>
  <si>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</si>
  <si>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</si>
  <si>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</si>
  <si>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</si>
  <si>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</si>
  <si>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</si>
  <si>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</si>
  <si>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</si>
  <si>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</si>
  <si>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</si>
  <si>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</si>
  <si>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</si>
  <si>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</si>
  <si>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</si>
  <si>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</si>
  <si>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</si>
  <si>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</si>
  <si>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</si>
  <si>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</si>
  <si>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</si>
  <si>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</si>
  <si>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</si>
  <si>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</si>
  <si>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</si>
  <si>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</si>
  <si>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</si>
  <si>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Total Run.1</t>
  </si>
  <si>
    <t>Pass.1</t>
  </si>
  <si>
    <t>Waived.1</t>
  </si>
  <si>
    <t>Fail.1</t>
  </si>
  <si>
    <t>Skip.1</t>
  </si>
  <si>
    <t>% Pass Rate.1</t>
  </si>
  <si>
    <t/>
  </si>
  <si>
    <t>psp2.106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</si>
</sst>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6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24" xfId="0" applyFill="1" applyBorder="1" applyAlignment="1" applyProtection="1">
      <alignment horizontal="left"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7" xfId="0" applyFill="1" applyBorder="1"/>
    <xf numFmtId="0" fontId="0" fillId="52" borderId="10" xfId="0" applyFill="1" applyBorder="1"/>
    <xf numFmtId="0" fontId="0" fillId="52" borderId="10" xfId="0" applyFill="1" applyBorder="1" applyAlignment="1">
      <alignment horizontal="center"/>
    </xf>
    <xf numFmtId="0" fontId="0" fillId="52" borderId="17" xfId="0" applyFill="1" applyBorder="1" applyAlignment="1">
      <alignment horizontal="center"/>
    </xf>
    <xf numFmtId="0" fontId="19" fillId="43" borderId="34" xfId="0" applyFont="1" applyFill="1" applyBorder="1" applyAlignment="1">
      <alignment horizontal="left" vertical="center"/>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52"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5" activePane="bottomRight" state="frozen"/>
      <selection pane="topRight" activeCell="D1" sqref="D1"/>
      <selection pane="bottomLeft" activeCell="A9" sqref="A9"/>
      <selection pane="bottomRight" activeCell="D9" sqref="D9"/>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28" t="s">
        <v>54</v>
      </c>
      <c r="C1" s="529"/>
      <c r="D1" s="529"/>
      <c r="E1" s="167" t="s">
        <v>55</v>
      </c>
      <c r="F1" s="167" t="s">
        <v>56</v>
      </c>
      <c r="G1" s="110" t="s">
        <v>57</v>
      </c>
    </row>
    <row r="2" spans="1:7" x14ac:dyDescent="0.25">
      <c r="A2" s="116" t="s">
        <v>58</v>
      </c>
      <c r="B2" s="530" t="s">
        <v>59</v>
      </c>
      <c r="C2" s="531"/>
      <c r="D2" s="531"/>
      <c r="E2" s="293" t="s">
        <v>60</v>
      </c>
      <c r="F2" s="293" t="s">
        <v>61</v>
      </c>
      <c r="G2" s="321" t="s">
        <v>62</v>
      </c>
    </row>
    <row r="3" spans="1:7" s="81" customFormat="1" x14ac:dyDescent="0.25">
      <c r="A3" s="201" t="s">
        <v>63</v>
      </c>
      <c r="B3" s="537" t="s">
        <v>64</v>
      </c>
      <c r="C3" s="538"/>
      <c r="D3" s="539"/>
      <c r="E3" s="80" t="s">
        <v>60</v>
      </c>
      <c r="F3" s="80" t="s">
        <v>61</v>
      </c>
      <c r="G3" s="322" t="s">
        <v>62</v>
      </c>
    </row>
    <row r="4" spans="1:7" x14ac:dyDescent="0.25">
      <c r="A4" s="201" t="s">
        <v>65</v>
      </c>
      <c r="B4" s="534" t="s">
        <v>66</v>
      </c>
      <c r="C4" s="535"/>
      <c r="D4" s="536"/>
      <c r="E4" s="80" t="s">
        <v>67</v>
      </c>
      <c r="F4" s="80" t="s">
        <v>61</v>
      </c>
      <c r="G4" s="322" t="s">
        <v>62</v>
      </c>
    </row>
    <row r="5" spans="1:7" x14ac:dyDescent="0.25">
      <c r="A5" s="117" t="s">
        <v>68</v>
      </c>
      <c r="B5" s="534" t="s">
        <v>69</v>
      </c>
      <c r="C5" s="535"/>
      <c r="D5" s="536"/>
      <c r="E5" s="80" t="s">
        <v>67</v>
      </c>
      <c r="F5" s="80" t="s">
        <v>61</v>
      </c>
      <c r="G5" s="322" t="s">
        <v>62</v>
      </c>
    </row>
    <row r="6" spans="1:7" x14ac:dyDescent="0.25">
      <c r="A6" s="117" t="s">
        <v>70</v>
      </c>
      <c r="B6" s="534" t="s">
        <v>71</v>
      </c>
      <c r="C6" s="535"/>
      <c r="D6" s="536"/>
      <c r="E6" s="80" t="s">
        <v>72</v>
      </c>
      <c r="F6" s="80" t="s">
        <v>61</v>
      </c>
      <c r="G6" s="85"/>
    </row>
    <row r="7" spans="1:7" ht="15.75" thickBot="1" x14ac:dyDescent="0.3">
      <c r="A7" s="118" t="s">
        <v>73</v>
      </c>
      <c r="B7" s="532" t="s">
        <v>74</v>
      </c>
      <c r="C7" s="533"/>
      <c r="D7" s="533"/>
      <c r="E7" s="86" t="s">
        <v>72</v>
      </c>
      <c r="F7" s="86"/>
      <c r="G7" s="87"/>
    </row>
    <row r="8" spans="1:7" s="84" customFormat="1" ht="15.75" thickBot="1" x14ac:dyDescent="0.3">
      <c r="A8" s="115" t="s">
        <v>53</v>
      </c>
      <c r="B8" s="390" t="s">
        <v>1</v>
      </c>
      <c r="C8" s="167" t="s">
        <v>75</v>
      </c>
      <c r="D8" s="167" t="s">
        <v>54</v>
      </c>
      <c r="E8" s="167" t="s">
        <v>55</v>
      </c>
      <c r="F8" s="167" t="s">
        <v>56</v>
      </c>
      <c r="G8" s="110" t="s">
        <v>57</v>
      </c>
    </row>
    <row r="9" spans="1:7" ht="105" x14ac:dyDescent="0.25">
      <c r="A9" s="505" t="s">
        <v>58</v>
      </c>
      <c r="B9" s="502" t="s">
        <v>76</v>
      </c>
      <c r="C9" s="328" t="s">
        <v>77</v>
      </c>
      <c r="D9" s="94" t="s">
        <v>78</v>
      </c>
      <c r="E9" s="94" t="s">
        <v>60</v>
      </c>
      <c r="F9" s="94" t="s">
        <v>79</v>
      </c>
      <c r="G9" s="391" t="s">
        <v>80</v>
      </c>
    </row>
    <row r="10" spans="1:7" ht="75" x14ac:dyDescent="0.25">
      <c r="A10" s="506"/>
      <c r="B10" s="503"/>
      <c r="C10" s="324" t="s">
        <v>81</v>
      </c>
      <c r="D10" s="82" t="s">
        <v>82</v>
      </c>
      <c r="E10" s="82" t="s">
        <v>60</v>
      </c>
      <c r="F10" s="82" t="s">
        <v>79</v>
      </c>
      <c r="G10" s="320" t="s">
        <v>83</v>
      </c>
    </row>
    <row r="11" spans="1:7" ht="45" x14ac:dyDescent="0.25">
      <c r="A11" s="506"/>
      <c r="B11" s="503"/>
      <c r="C11" s="324" t="s">
        <v>84</v>
      </c>
      <c r="D11" s="82" t="s">
        <v>85</v>
      </c>
      <c r="E11" s="82" t="s">
        <v>86</v>
      </c>
      <c r="F11" s="82" t="s">
        <v>79</v>
      </c>
      <c r="G11" s="95" t="s">
        <v>87</v>
      </c>
    </row>
    <row r="12" spans="1:7" ht="120" x14ac:dyDescent="0.25">
      <c r="A12" s="506"/>
      <c r="B12" s="503"/>
      <c r="C12" s="324" t="s">
        <v>88</v>
      </c>
      <c r="D12" s="344" t="s">
        <v>89</v>
      </c>
      <c r="E12" s="82" t="s">
        <v>86</v>
      </c>
      <c r="F12" s="82" t="s">
        <v>79</v>
      </c>
      <c r="G12" s="320" t="s">
        <v>90</v>
      </c>
    </row>
    <row r="13" spans="1:7" ht="30" x14ac:dyDescent="0.25">
      <c r="A13" s="506"/>
      <c r="B13" s="503"/>
      <c r="C13" s="324" t="s">
        <v>91</v>
      </c>
      <c r="D13" s="82" t="s">
        <v>92</v>
      </c>
      <c r="E13" s="82" t="s">
        <v>86</v>
      </c>
      <c r="F13" s="82" t="s">
        <v>79</v>
      </c>
      <c r="G13" s="95" t="s">
        <v>93</v>
      </c>
    </row>
    <row r="14" spans="1:7" ht="30" x14ac:dyDescent="0.25">
      <c r="A14" s="506"/>
      <c r="B14" s="503"/>
      <c r="C14" s="324" t="s">
        <v>94</v>
      </c>
      <c r="D14" s="82" t="s">
        <v>95</v>
      </c>
      <c r="E14" s="82" t="s">
        <v>86</v>
      </c>
      <c r="F14" s="82" t="s">
        <v>79</v>
      </c>
      <c r="G14" s="95" t="s">
        <v>93</v>
      </c>
    </row>
    <row r="15" spans="1:7" ht="30" x14ac:dyDescent="0.25">
      <c r="A15" s="506"/>
      <c r="B15" s="503"/>
      <c r="C15" s="121" t="s">
        <v>96</v>
      </c>
      <c r="D15" s="82" t="s">
        <v>97</v>
      </c>
      <c r="E15" s="82" t="s">
        <v>60</v>
      </c>
      <c r="F15" s="82" t="s">
        <v>79</v>
      </c>
      <c r="G15" s="95" t="s">
        <v>98</v>
      </c>
    </row>
    <row r="16" spans="1:7" ht="60" x14ac:dyDescent="0.25">
      <c r="A16" s="506"/>
      <c r="B16" s="503"/>
      <c r="C16" s="324" t="s">
        <v>99</v>
      </c>
      <c r="D16" s="344" t="s">
        <v>100</v>
      </c>
      <c r="E16" s="82" t="s">
        <v>86</v>
      </c>
      <c r="F16" s="82" t="s">
        <v>79</v>
      </c>
      <c r="G16" s="320" t="s">
        <v>101</v>
      </c>
    </row>
    <row r="17" spans="1:7" ht="30" x14ac:dyDescent="0.25">
      <c r="A17" s="506"/>
      <c r="B17" s="503"/>
      <c r="C17" s="324" t="s">
        <v>102</v>
      </c>
      <c r="D17" s="82" t="s">
        <v>103</v>
      </c>
      <c r="E17" s="82" t="s">
        <v>86</v>
      </c>
      <c r="F17" s="82" t="s">
        <v>79</v>
      </c>
      <c r="G17" s="95" t="s">
        <v>104</v>
      </c>
    </row>
    <row r="18" spans="1:7" ht="45" x14ac:dyDescent="0.25">
      <c r="A18" s="506"/>
      <c r="B18" s="503"/>
      <c r="C18" s="324" t="s">
        <v>105</v>
      </c>
      <c r="D18" s="82" t="s">
        <v>106</v>
      </c>
      <c r="E18" s="82" t="s">
        <v>86</v>
      </c>
      <c r="F18" s="82" t="s">
        <v>79</v>
      </c>
      <c r="G18" s="95" t="s">
        <v>107</v>
      </c>
    </row>
    <row r="19" spans="1:7" x14ac:dyDescent="0.25">
      <c r="A19" s="506"/>
      <c r="B19" s="503"/>
      <c r="C19" s="324" t="s">
        <v>108</v>
      </c>
      <c r="D19" s="82" t="s">
        <v>109</v>
      </c>
      <c r="E19" s="82" t="s">
        <v>86</v>
      </c>
      <c r="F19" s="82" t="s">
        <v>79</v>
      </c>
      <c r="G19" s="95" t="s">
        <v>110</v>
      </c>
    </row>
    <row r="20" spans="1:7" ht="105.75" thickBot="1" x14ac:dyDescent="0.3">
      <c r="A20" s="506"/>
      <c r="B20" s="504"/>
      <c r="C20" s="392" t="s">
        <v>1</v>
      </c>
      <c r="D20" s="471" t="s">
        <v>111</v>
      </c>
      <c r="E20" s="365" t="s">
        <v>86</v>
      </c>
      <c r="F20" s="365" t="s">
        <v>79</v>
      </c>
      <c r="G20" s="393" t="s">
        <v>112</v>
      </c>
    </row>
    <row r="21" spans="1:7" ht="45" x14ac:dyDescent="0.25">
      <c r="A21" s="506"/>
      <c r="B21" s="519" t="s">
        <v>113</v>
      </c>
      <c r="C21" s="325" t="s">
        <v>114</v>
      </c>
      <c r="D21" s="105" t="s">
        <v>115</v>
      </c>
      <c r="E21" s="105" t="s">
        <v>86</v>
      </c>
      <c r="F21" s="105" t="s">
        <v>116</v>
      </c>
      <c r="G21" s="168" t="s">
        <v>117</v>
      </c>
    </row>
    <row r="22" spans="1:7" ht="30" x14ac:dyDescent="0.25">
      <c r="A22" s="506"/>
      <c r="B22" s="520"/>
      <c r="C22" s="326" t="s">
        <v>118</v>
      </c>
      <c r="D22" s="397" t="s">
        <v>119</v>
      </c>
      <c r="E22" s="397" t="s">
        <v>86</v>
      </c>
      <c r="F22" s="397" t="s">
        <v>116</v>
      </c>
      <c r="G22" s="398" t="s">
        <v>120</v>
      </c>
    </row>
    <row r="23" spans="1:7" ht="15.75" thickBot="1" x14ac:dyDescent="0.3">
      <c r="A23" s="506"/>
      <c r="B23" s="521"/>
      <c r="C23" s="399" t="s">
        <v>121</v>
      </c>
      <c r="D23" s="107" t="s">
        <v>122</v>
      </c>
      <c r="E23" s="107" t="s">
        <v>86</v>
      </c>
      <c r="F23" s="107" t="s">
        <v>116</v>
      </c>
      <c r="G23" s="108" t="s">
        <v>123</v>
      </c>
    </row>
    <row r="24" spans="1:7" ht="30" customHeight="1" x14ac:dyDescent="0.25">
      <c r="A24" s="506"/>
      <c r="B24" s="522" t="s">
        <v>124</v>
      </c>
      <c r="C24" s="394" t="s">
        <v>125</v>
      </c>
      <c r="D24" s="395" t="s">
        <v>126</v>
      </c>
      <c r="E24" s="395" t="s">
        <v>86</v>
      </c>
      <c r="F24" s="395" t="s">
        <v>79</v>
      </c>
      <c r="G24" s="396" t="s">
        <v>127</v>
      </c>
    </row>
    <row r="25" spans="1:7" ht="30" customHeight="1" x14ac:dyDescent="0.25">
      <c r="A25" s="506"/>
      <c r="B25" s="523"/>
      <c r="C25" s="326" t="s">
        <v>128</v>
      </c>
      <c r="D25" s="109" t="s">
        <v>129</v>
      </c>
      <c r="E25" s="109" t="s">
        <v>86</v>
      </c>
      <c r="F25" s="109" t="s">
        <v>130</v>
      </c>
      <c r="G25" s="540" t="s">
        <v>131</v>
      </c>
    </row>
    <row r="26" spans="1:7" ht="30" x14ac:dyDescent="0.25">
      <c r="A26" s="506"/>
      <c r="B26" s="523"/>
      <c r="C26" s="274" t="s">
        <v>132</v>
      </c>
      <c r="D26" s="109" t="s">
        <v>133</v>
      </c>
      <c r="E26" s="109" t="s">
        <v>86</v>
      </c>
      <c r="F26" s="109" t="s">
        <v>130</v>
      </c>
      <c r="G26" s="541"/>
    </row>
    <row r="27" spans="1:7" x14ac:dyDescent="0.25">
      <c r="A27" s="506"/>
      <c r="B27" s="523"/>
      <c r="C27" s="326" t="s">
        <v>30</v>
      </c>
      <c r="D27" s="109" t="s">
        <v>134</v>
      </c>
      <c r="E27" s="109" t="s">
        <v>86</v>
      </c>
      <c r="F27" s="109" t="s">
        <v>130</v>
      </c>
      <c r="G27" s="541"/>
    </row>
    <row r="28" spans="1:7" x14ac:dyDescent="0.25">
      <c r="A28" s="506"/>
      <c r="B28" s="523"/>
      <c r="C28" s="326" t="s">
        <v>135</v>
      </c>
      <c r="D28" s="109" t="s">
        <v>136</v>
      </c>
      <c r="E28" s="109" t="s">
        <v>86</v>
      </c>
      <c r="F28" s="109" t="s">
        <v>130</v>
      </c>
      <c r="G28" s="541"/>
    </row>
    <row r="29" spans="1:7" x14ac:dyDescent="0.25">
      <c r="A29" s="506"/>
      <c r="B29" s="523"/>
      <c r="C29" s="326" t="s">
        <v>36</v>
      </c>
      <c r="D29" s="109" t="s">
        <v>137</v>
      </c>
      <c r="E29" s="109" t="s">
        <v>86</v>
      </c>
      <c r="F29" s="109" t="s">
        <v>130</v>
      </c>
      <c r="G29" s="541"/>
    </row>
    <row r="30" spans="1:7" x14ac:dyDescent="0.25">
      <c r="A30" s="506"/>
      <c r="B30" s="523"/>
      <c r="C30" s="326" t="s">
        <v>138</v>
      </c>
      <c r="D30" s="109" t="s">
        <v>139</v>
      </c>
      <c r="E30" s="109" t="s">
        <v>86</v>
      </c>
      <c r="F30" s="109" t="s">
        <v>130</v>
      </c>
      <c r="G30" s="541"/>
    </row>
    <row r="31" spans="1:7" x14ac:dyDescent="0.25">
      <c r="A31" s="506"/>
      <c r="B31" s="523"/>
      <c r="C31" s="274" t="s">
        <v>140</v>
      </c>
      <c r="D31" s="109" t="s">
        <v>141</v>
      </c>
      <c r="E31" s="109" t="s">
        <v>86</v>
      </c>
      <c r="F31" s="109" t="s">
        <v>130</v>
      </c>
      <c r="G31" s="541"/>
    </row>
    <row r="32" spans="1:7" ht="30.75" thickBot="1" x14ac:dyDescent="0.3">
      <c r="A32" s="506"/>
      <c r="B32" s="524"/>
      <c r="C32" s="327" t="s">
        <v>142</v>
      </c>
      <c r="D32" s="104" t="s">
        <v>143</v>
      </c>
      <c r="E32" s="104" t="s">
        <v>86</v>
      </c>
      <c r="F32" s="104" t="s">
        <v>130</v>
      </c>
      <c r="G32" s="542"/>
    </row>
    <row r="33" spans="1:7" ht="30" x14ac:dyDescent="0.25">
      <c r="A33" s="506"/>
      <c r="B33" s="525" t="s">
        <v>144</v>
      </c>
      <c r="C33" s="309" t="s">
        <v>132</v>
      </c>
      <c r="D33" s="272" t="s">
        <v>145</v>
      </c>
      <c r="E33" s="272" t="s">
        <v>86</v>
      </c>
      <c r="F33" s="272" t="s">
        <v>146</v>
      </c>
      <c r="G33" s="273" t="s">
        <v>147</v>
      </c>
    </row>
    <row r="34" spans="1:7" x14ac:dyDescent="0.25">
      <c r="A34" s="506"/>
      <c r="B34" s="526"/>
      <c r="C34" s="324" t="s">
        <v>30</v>
      </c>
      <c r="D34" s="83" t="s">
        <v>148</v>
      </c>
      <c r="E34" s="83" t="s">
        <v>86</v>
      </c>
      <c r="F34" s="83" t="s">
        <v>146</v>
      </c>
      <c r="G34" s="99"/>
    </row>
    <row r="35" spans="1:7" x14ac:dyDescent="0.25">
      <c r="A35" s="506"/>
      <c r="B35" s="526"/>
      <c r="C35" s="324" t="s">
        <v>135</v>
      </c>
      <c r="D35" s="83" t="s">
        <v>149</v>
      </c>
      <c r="E35" s="83" t="s">
        <v>86</v>
      </c>
      <c r="F35" s="83" t="s">
        <v>146</v>
      </c>
      <c r="G35" s="99" t="s">
        <v>150</v>
      </c>
    </row>
    <row r="36" spans="1:7" x14ac:dyDescent="0.25">
      <c r="A36" s="506"/>
      <c r="B36" s="526"/>
      <c r="C36" s="324" t="s">
        <v>36</v>
      </c>
      <c r="D36" s="83" t="s">
        <v>151</v>
      </c>
      <c r="E36" s="83" t="s">
        <v>86</v>
      </c>
      <c r="F36" s="83" t="s">
        <v>146</v>
      </c>
      <c r="G36" s="113"/>
    </row>
    <row r="37" spans="1:7" x14ac:dyDescent="0.25">
      <c r="A37" s="506"/>
      <c r="B37" s="526"/>
      <c r="C37" s="324" t="s">
        <v>138</v>
      </c>
      <c r="D37" s="83" t="s">
        <v>152</v>
      </c>
      <c r="E37" s="83" t="s">
        <v>86</v>
      </c>
      <c r="F37" s="83" t="s">
        <v>146</v>
      </c>
      <c r="G37" s="99" t="s">
        <v>153</v>
      </c>
    </row>
    <row r="38" spans="1:7" x14ac:dyDescent="0.25">
      <c r="A38" s="506"/>
      <c r="B38" s="526"/>
      <c r="C38" s="275" t="s">
        <v>140</v>
      </c>
      <c r="D38" s="83" t="s">
        <v>154</v>
      </c>
      <c r="E38" s="83" t="s">
        <v>86</v>
      </c>
      <c r="F38" s="83" t="s">
        <v>146</v>
      </c>
      <c r="G38" s="99"/>
    </row>
    <row r="39" spans="1:7" ht="30" x14ac:dyDescent="0.25">
      <c r="A39" s="506"/>
      <c r="B39" s="526"/>
      <c r="C39" s="326" t="s">
        <v>155</v>
      </c>
      <c r="D39" s="83" t="s">
        <v>156</v>
      </c>
      <c r="E39" s="83" t="s">
        <v>86</v>
      </c>
      <c r="F39" s="83" t="s">
        <v>146</v>
      </c>
      <c r="G39" s="99"/>
    </row>
    <row r="40" spans="1:7" ht="30" x14ac:dyDescent="0.25">
      <c r="A40" s="506"/>
      <c r="B40" s="526"/>
      <c r="C40" s="275" t="s">
        <v>157</v>
      </c>
      <c r="D40" s="83" t="s">
        <v>158</v>
      </c>
      <c r="E40" s="83" t="s">
        <v>60</v>
      </c>
      <c r="F40" s="83" t="s">
        <v>146</v>
      </c>
      <c r="G40" s="99" t="s">
        <v>159</v>
      </c>
    </row>
    <row r="41" spans="1:7" ht="45.75" thickBot="1" x14ac:dyDescent="0.3">
      <c r="A41" s="506"/>
      <c r="B41" s="527"/>
      <c r="C41" s="323" t="s">
        <v>160</v>
      </c>
      <c r="D41" s="100" t="s">
        <v>161</v>
      </c>
      <c r="E41" s="100" t="s">
        <v>86</v>
      </c>
      <c r="F41" s="100" t="s">
        <v>146</v>
      </c>
      <c r="G41" s="101" t="s">
        <v>162</v>
      </c>
    </row>
    <row r="42" spans="1:7" ht="135.75" thickBot="1" x14ac:dyDescent="0.3">
      <c r="A42" s="505" t="s">
        <v>63</v>
      </c>
      <c r="B42" s="400" t="s">
        <v>163</v>
      </c>
      <c r="C42" s="328" t="s">
        <v>88</v>
      </c>
      <c r="D42" s="401" t="s">
        <v>164</v>
      </c>
      <c r="E42" s="401" t="s">
        <v>86</v>
      </c>
      <c r="F42" s="401" t="s">
        <v>79</v>
      </c>
      <c r="G42" s="402" t="s">
        <v>165</v>
      </c>
    </row>
    <row r="43" spans="1:7" ht="15" customHeight="1" x14ac:dyDescent="0.25">
      <c r="A43" s="506"/>
      <c r="B43" s="510" t="s">
        <v>166</v>
      </c>
      <c r="C43" s="306" t="s">
        <v>167</v>
      </c>
      <c r="D43" s="294" t="s">
        <v>168</v>
      </c>
      <c r="E43" s="294" t="s">
        <v>67</v>
      </c>
      <c r="F43" s="294" t="s">
        <v>79</v>
      </c>
      <c r="G43" s="277" t="s">
        <v>169</v>
      </c>
    </row>
    <row r="44" spans="1:7" ht="30" x14ac:dyDescent="0.25">
      <c r="A44" s="506"/>
      <c r="B44" s="511"/>
      <c r="C44" s="307" t="s">
        <v>128</v>
      </c>
      <c r="D44" s="295" t="s">
        <v>170</v>
      </c>
      <c r="E44" s="295" t="s">
        <v>67</v>
      </c>
      <c r="F44" s="295" t="s">
        <v>79</v>
      </c>
      <c r="G44" s="278" t="s">
        <v>169</v>
      </c>
    </row>
    <row r="45" spans="1:7" ht="30" x14ac:dyDescent="0.25">
      <c r="A45" s="506"/>
      <c r="B45" s="511"/>
      <c r="C45" s="307" t="s">
        <v>105</v>
      </c>
      <c r="D45" s="295" t="s">
        <v>171</v>
      </c>
      <c r="E45" s="295" t="s">
        <v>67</v>
      </c>
      <c r="F45" s="295" t="s">
        <v>79</v>
      </c>
      <c r="G45" s="278" t="s">
        <v>172</v>
      </c>
    </row>
    <row r="46" spans="1:7" x14ac:dyDescent="0.25">
      <c r="A46" s="506"/>
      <c r="B46" s="511"/>
      <c r="C46" s="307" t="s">
        <v>173</v>
      </c>
      <c r="D46" s="295" t="s">
        <v>174</v>
      </c>
      <c r="E46" s="295" t="s">
        <v>67</v>
      </c>
      <c r="F46" s="295" t="s">
        <v>79</v>
      </c>
      <c r="G46" s="278" t="s">
        <v>169</v>
      </c>
    </row>
    <row r="47" spans="1:7" ht="15.75" thickBot="1" x14ac:dyDescent="0.3">
      <c r="A47" s="506"/>
      <c r="B47" s="512"/>
      <c r="C47" s="308" t="s">
        <v>175</v>
      </c>
      <c r="D47" s="296" t="s">
        <v>176</v>
      </c>
      <c r="E47" s="295" t="s">
        <v>67</v>
      </c>
      <c r="F47" s="296" t="s">
        <v>79</v>
      </c>
      <c r="G47" s="279" t="s">
        <v>169</v>
      </c>
    </row>
    <row r="48" spans="1:7" ht="30" x14ac:dyDescent="0.25">
      <c r="A48" s="506"/>
      <c r="B48" s="513" t="s">
        <v>177</v>
      </c>
      <c r="C48" s="303" t="s">
        <v>132</v>
      </c>
      <c r="D48" s="297" t="s">
        <v>178</v>
      </c>
      <c r="E48" s="297" t="s">
        <v>67</v>
      </c>
      <c r="F48" s="297" t="s">
        <v>130</v>
      </c>
      <c r="G48" s="543" t="s">
        <v>179</v>
      </c>
    </row>
    <row r="49" spans="1:7" ht="30" x14ac:dyDescent="0.25">
      <c r="A49" s="506"/>
      <c r="B49" s="513"/>
      <c r="C49" s="304" t="s">
        <v>30</v>
      </c>
      <c r="D49" s="280" t="s">
        <v>180</v>
      </c>
      <c r="E49" s="280" t="s">
        <v>67</v>
      </c>
      <c r="F49" s="280" t="s">
        <v>130</v>
      </c>
      <c r="G49" s="544"/>
    </row>
    <row r="50" spans="1:7" ht="30" x14ac:dyDescent="0.25">
      <c r="A50" s="506"/>
      <c r="B50" s="513"/>
      <c r="C50" s="304" t="s">
        <v>135</v>
      </c>
      <c r="D50" s="280" t="s">
        <v>181</v>
      </c>
      <c r="E50" s="280" t="s">
        <v>67</v>
      </c>
      <c r="F50" s="280" t="s">
        <v>130</v>
      </c>
      <c r="G50" s="544"/>
    </row>
    <row r="51" spans="1:7" ht="30" x14ac:dyDescent="0.25">
      <c r="A51" s="506"/>
      <c r="B51" s="513"/>
      <c r="C51" s="304" t="s">
        <v>36</v>
      </c>
      <c r="D51" s="280" t="s">
        <v>182</v>
      </c>
      <c r="E51" s="280" t="s">
        <v>67</v>
      </c>
      <c r="F51" s="280" t="s">
        <v>130</v>
      </c>
      <c r="G51" s="544"/>
    </row>
    <row r="52" spans="1:7" ht="30" x14ac:dyDescent="0.25">
      <c r="A52" s="506"/>
      <c r="B52" s="513"/>
      <c r="C52" s="304" t="s">
        <v>138</v>
      </c>
      <c r="D52" s="280" t="s">
        <v>183</v>
      </c>
      <c r="E52" s="280" t="s">
        <v>67</v>
      </c>
      <c r="F52" s="280" t="s">
        <v>130</v>
      </c>
      <c r="G52" s="544"/>
    </row>
    <row r="53" spans="1:7" ht="30" x14ac:dyDescent="0.25">
      <c r="A53" s="506"/>
      <c r="B53" s="513"/>
      <c r="C53" s="304" t="s">
        <v>184</v>
      </c>
      <c r="D53" s="280" t="s">
        <v>185</v>
      </c>
      <c r="E53" s="280" t="s">
        <v>67</v>
      </c>
      <c r="F53" s="280" t="s">
        <v>130</v>
      </c>
      <c r="G53" s="544"/>
    </row>
    <row r="54" spans="1:7" x14ac:dyDescent="0.25">
      <c r="A54" s="506"/>
      <c r="B54" s="513"/>
      <c r="C54" s="304" t="s">
        <v>140</v>
      </c>
      <c r="D54" s="280" t="s">
        <v>186</v>
      </c>
      <c r="E54" s="280" t="s">
        <v>67</v>
      </c>
      <c r="F54" s="280" t="s">
        <v>130</v>
      </c>
      <c r="G54" s="544"/>
    </row>
    <row r="55" spans="1:7" ht="30.75" thickBot="1" x14ac:dyDescent="0.3">
      <c r="A55" s="506"/>
      <c r="B55" s="514"/>
      <c r="C55" s="305" t="s">
        <v>187</v>
      </c>
      <c r="D55" s="298" t="s">
        <v>188</v>
      </c>
      <c r="E55" s="298" t="s">
        <v>67</v>
      </c>
      <c r="F55" s="298" t="s">
        <v>130</v>
      </c>
      <c r="G55" s="545"/>
    </row>
    <row r="56" spans="1:7" ht="30" x14ac:dyDescent="0.25">
      <c r="A56" s="506"/>
      <c r="B56" s="515" t="s">
        <v>144</v>
      </c>
      <c r="C56" s="387" t="s">
        <v>132</v>
      </c>
      <c r="D56" s="388" t="s">
        <v>189</v>
      </c>
      <c r="E56" s="388" t="s">
        <v>67</v>
      </c>
      <c r="F56" s="388" t="s">
        <v>146</v>
      </c>
      <c r="G56" s="389" t="s">
        <v>169</v>
      </c>
    </row>
    <row r="57" spans="1:7" ht="30" x14ac:dyDescent="0.25">
      <c r="A57" s="506"/>
      <c r="B57" s="516"/>
      <c r="C57" s="301" t="s">
        <v>30</v>
      </c>
      <c r="D57" s="299" t="s">
        <v>190</v>
      </c>
      <c r="E57" s="299" t="s">
        <v>67</v>
      </c>
      <c r="F57" s="299" t="s">
        <v>146</v>
      </c>
      <c r="G57" s="276" t="s">
        <v>169</v>
      </c>
    </row>
    <row r="58" spans="1:7" ht="30" x14ac:dyDescent="0.25">
      <c r="A58" s="506"/>
      <c r="B58" s="516"/>
      <c r="C58" s="301" t="s">
        <v>135</v>
      </c>
      <c r="D58" s="299" t="s">
        <v>191</v>
      </c>
      <c r="E58" s="299" t="s">
        <v>67</v>
      </c>
      <c r="F58" s="299" t="s">
        <v>146</v>
      </c>
      <c r="G58" s="276" t="s">
        <v>169</v>
      </c>
    </row>
    <row r="59" spans="1:7" x14ac:dyDescent="0.25">
      <c r="A59" s="506"/>
      <c r="B59" s="516"/>
      <c r="C59" s="301" t="s">
        <v>36</v>
      </c>
      <c r="D59" s="299" t="s">
        <v>192</v>
      </c>
      <c r="E59" s="299" t="s">
        <v>67</v>
      </c>
      <c r="F59" s="299" t="s">
        <v>146</v>
      </c>
      <c r="G59" s="276" t="s">
        <v>169</v>
      </c>
    </row>
    <row r="60" spans="1:7" ht="30" x14ac:dyDescent="0.25">
      <c r="A60" s="506"/>
      <c r="B60" s="516"/>
      <c r="C60" s="301" t="s">
        <v>138</v>
      </c>
      <c r="D60" s="299" t="s">
        <v>193</v>
      </c>
      <c r="E60" s="299" t="s">
        <v>67</v>
      </c>
      <c r="F60" s="299" t="s">
        <v>146</v>
      </c>
      <c r="G60" s="276" t="s">
        <v>169</v>
      </c>
    </row>
    <row r="61" spans="1:7" x14ac:dyDescent="0.25">
      <c r="A61" s="506"/>
      <c r="B61" s="516"/>
      <c r="C61" s="301" t="s">
        <v>184</v>
      </c>
      <c r="D61" s="299" t="s">
        <v>194</v>
      </c>
      <c r="E61" s="299" t="s">
        <v>67</v>
      </c>
      <c r="F61" s="299" t="s">
        <v>146</v>
      </c>
      <c r="G61" s="276" t="s">
        <v>169</v>
      </c>
    </row>
    <row r="62" spans="1:7" x14ac:dyDescent="0.25">
      <c r="A62" s="506"/>
      <c r="B62" s="516"/>
      <c r="C62" s="301" t="s">
        <v>140</v>
      </c>
      <c r="D62" s="299" t="s">
        <v>195</v>
      </c>
      <c r="E62" s="299" t="s">
        <v>67</v>
      </c>
      <c r="F62" s="299" t="s">
        <v>146</v>
      </c>
      <c r="G62" s="276" t="s">
        <v>169</v>
      </c>
    </row>
    <row r="63" spans="1:7" ht="15.75" thickBot="1" x14ac:dyDescent="0.3">
      <c r="A63" s="518"/>
      <c r="B63" s="517"/>
      <c r="C63" s="302" t="s">
        <v>187</v>
      </c>
      <c r="D63" s="300" t="s">
        <v>196</v>
      </c>
      <c r="E63" s="300" t="s">
        <v>67</v>
      </c>
      <c r="F63" s="300" t="s">
        <v>146</v>
      </c>
      <c r="G63" s="281" t="s">
        <v>169</v>
      </c>
    </row>
    <row r="64" spans="1:7" ht="120" x14ac:dyDescent="0.25">
      <c r="A64" s="506" t="s">
        <v>65</v>
      </c>
      <c r="B64" s="507" t="s">
        <v>197</v>
      </c>
      <c r="C64" s="325" t="s">
        <v>77</v>
      </c>
      <c r="D64" s="283" t="s">
        <v>198</v>
      </c>
      <c r="E64" s="283" t="s">
        <v>60</v>
      </c>
      <c r="F64" s="283" t="s">
        <v>79</v>
      </c>
      <c r="G64" s="403" t="s">
        <v>199</v>
      </c>
    </row>
    <row r="65" spans="1:7" ht="60" x14ac:dyDescent="0.25">
      <c r="A65" s="506"/>
      <c r="B65" s="508"/>
      <c r="C65" s="326" t="s">
        <v>81</v>
      </c>
      <c r="D65" s="284" t="s">
        <v>82</v>
      </c>
      <c r="E65" s="284" t="s">
        <v>60</v>
      </c>
      <c r="F65" s="284" t="s">
        <v>79</v>
      </c>
      <c r="G65" s="405" t="s">
        <v>200</v>
      </c>
    </row>
    <row r="66" spans="1:7" ht="30" x14ac:dyDescent="0.25">
      <c r="A66" s="506"/>
      <c r="B66" s="508"/>
      <c r="C66" s="326" t="s">
        <v>96</v>
      </c>
      <c r="D66" s="284" t="s">
        <v>97</v>
      </c>
      <c r="E66" s="284" t="s">
        <v>60</v>
      </c>
      <c r="F66" s="284" t="s">
        <v>79</v>
      </c>
      <c r="G66" s="285" t="s">
        <v>201</v>
      </c>
    </row>
    <row r="67" spans="1:7" ht="30" x14ac:dyDescent="0.25">
      <c r="A67" s="506"/>
      <c r="B67" s="508"/>
      <c r="C67" s="326" t="s">
        <v>202</v>
      </c>
      <c r="D67" s="284" t="s">
        <v>203</v>
      </c>
      <c r="E67" s="284" t="s">
        <v>60</v>
      </c>
      <c r="F67" s="284" t="s">
        <v>79</v>
      </c>
      <c r="G67" s="285" t="s">
        <v>204</v>
      </c>
    </row>
    <row r="68" spans="1:7" x14ac:dyDescent="0.25">
      <c r="A68" s="506"/>
      <c r="B68" s="508"/>
      <c r="C68" s="326" t="s">
        <v>1</v>
      </c>
      <c r="D68" s="284" t="s">
        <v>205</v>
      </c>
      <c r="E68" s="284" t="s">
        <v>60</v>
      </c>
      <c r="F68" s="284" t="s">
        <v>79</v>
      </c>
      <c r="G68" s="285" t="s">
        <v>206</v>
      </c>
    </row>
    <row r="69" spans="1:7" ht="15.75" thickBot="1" x14ac:dyDescent="0.3">
      <c r="A69" s="506"/>
      <c r="B69" s="509"/>
      <c r="C69" s="327" t="s">
        <v>207</v>
      </c>
      <c r="D69" s="286" t="s">
        <v>208</v>
      </c>
      <c r="E69" s="286" t="s">
        <v>60</v>
      </c>
      <c r="F69" s="286" t="s">
        <v>79</v>
      </c>
      <c r="G69" s="287"/>
    </row>
    <row r="70" spans="1:7" ht="150" x14ac:dyDescent="0.25">
      <c r="A70" s="505" t="s">
        <v>68</v>
      </c>
      <c r="B70" s="502" t="s">
        <v>76</v>
      </c>
      <c r="C70" s="336" t="s">
        <v>77</v>
      </c>
      <c r="D70" s="282" t="s">
        <v>209</v>
      </c>
      <c r="E70" s="282" t="s">
        <v>60</v>
      </c>
      <c r="F70" s="282" t="s">
        <v>79</v>
      </c>
      <c r="G70" s="404" t="s">
        <v>210</v>
      </c>
    </row>
    <row r="71" spans="1:7" x14ac:dyDescent="0.25">
      <c r="A71" s="506"/>
      <c r="B71" s="503"/>
      <c r="C71" s="121" t="s">
        <v>81</v>
      </c>
      <c r="D71" s="82" t="s">
        <v>82</v>
      </c>
      <c r="E71" s="82" t="s">
        <v>60</v>
      </c>
      <c r="F71" s="82" t="s">
        <v>79</v>
      </c>
      <c r="G71" s="95" t="s">
        <v>169</v>
      </c>
    </row>
    <row r="72" spans="1:7" ht="30" x14ac:dyDescent="0.25">
      <c r="A72" s="506"/>
      <c r="B72" s="503"/>
      <c r="C72" s="121" t="s">
        <v>96</v>
      </c>
      <c r="D72" s="82" t="s">
        <v>97</v>
      </c>
      <c r="E72" s="82" t="s">
        <v>60</v>
      </c>
      <c r="F72" s="82" t="s">
        <v>79</v>
      </c>
      <c r="G72" s="95" t="s">
        <v>211</v>
      </c>
    </row>
    <row r="73" spans="1:7" x14ac:dyDescent="0.25">
      <c r="A73" s="506"/>
      <c r="B73" s="503"/>
      <c r="C73" s="121" t="s">
        <v>212</v>
      </c>
      <c r="D73" s="82" t="s">
        <v>213</v>
      </c>
      <c r="E73" s="82" t="s">
        <v>86</v>
      </c>
      <c r="F73" s="82" t="s">
        <v>79</v>
      </c>
      <c r="G73" s="95" t="s">
        <v>169</v>
      </c>
    </row>
    <row r="74" spans="1:7" ht="60" customHeight="1" x14ac:dyDescent="0.25">
      <c r="A74" s="506"/>
      <c r="B74" s="503"/>
      <c r="C74" s="121" t="s">
        <v>88</v>
      </c>
      <c r="D74" s="82" t="s">
        <v>214</v>
      </c>
      <c r="E74" s="82" t="s">
        <v>86</v>
      </c>
      <c r="F74" s="82" t="s">
        <v>79</v>
      </c>
      <c r="G74" s="95" t="s">
        <v>169</v>
      </c>
    </row>
    <row r="75" spans="1:7" x14ac:dyDescent="0.25">
      <c r="A75" s="506"/>
      <c r="B75" s="503"/>
      <c r="C75" s="121" t="s">
        <v>1</v>
      </c>
      <c r="D75" s="82" t="s">
        <v>205</v>
      </c>
      <c r="E75" s="82" t="s">
        <v>86</v>
      </c>
      <c r="F75" s="82" t="s">
        <v>79</v>
      </c>
      <c r="G75" s="95" t="s">
        <v>169</v>
      </c>
    </row>
    <row r="76" spans="1:7" ht="90" x14ac:dyDescent="0.25">
      <c r="A76" s="506"/>
      <c r="B76" s="503"/>
      <c r="C76" s="121" t="s">
        <v>215</v>
      </c>
      <c r="D76" s="82" t="s">
        <v>216</v>
      </c>
      <c r="E76" s="82" t="s">
        <v>60</v>
      </c>
      <c r="F76" s="82" t="s">
        <v>79</v>
      </c>
      <c r="G76" s="320" t="s">
        <v>217</v>
      </c>
    </row>
    <row r="77" spans="1:7" ht="90" x14ac:dyDescent="0.25">
      <c r="A77" s="506"/>
      <c r="B77" s="503"/>
      <c r="C77" s="121" t="s">
        <v>218</v>
      </c>
      <c r="D77" s="82" t="s">
        <v>219</v>
      </c>
      <c r="E77" s="82" t="s">
        <v>60</v>
      </c>
      <c r="F77" s="82" t="s">
        <v>79</v>
      </c>
      <c r="G77" s="320" t="s">
        <v>220</v>
      </c>
    </row>
    <row r="78" spans="1:7" ht="30" x14ac:dyDescent="0.25">
      <c r="A78" s="506"/>
      <c r="B78" s="503"/>
      <c r="C78" s="121" t="s">
        <v>105</v>
      </c>
      <c r="D78" s="82" t="s">
        <v>171</v>
      </c>
      <c r="E78" s="82" t="s">
        <v>86</v>
      </c>
      <c r="F78" s="82" t="s">
        <v>79</v>
      </c>
      <c r="G78" s="95" t="s">
        <v>172</v>
      </c>
    </row>
    <row r="79" spans="1:7" ht="30.75" thickBot="1" x14ac:dyDescent="0.3">
      <c r="A79" s="506"/>
      <c r="B79" s="504"/>
      <c r="C79" s="122" t="s">
        <v>221</v>
      </c>
      <c r="D79" s="96" t="s">
        <v>222</v>
      </c>
      <c r="E79" s="96" t="s">
        <v>60</v>
      </c>
      <c r="F79" s="96" t="s">
        <v>79</v>
      </c>
      <c r="G79" s="97" t="s">
        <v>223</v>
      </c>
    </row>
    <row r="80" spans="1:7" ht="30" x14ac:dyDescent="0.25">
      <c r="A80" s="506"/>
      <c r="B80" s="546" t="s">
        <v>113</v>
      </c>
      <c r="C80" s="123" t="s">
        <v>114</v>
      </c>
      <c r="D80" s="105" t="s">
        <v>224</v>
      </c>
      <c r="E80" s="105" t="s">
        <v>60</v>
      </c>
      <c r="F80" s="105" t="s">
        <v>225</v>
      </c>
      <c r="G80" s="106" t="s">
        <v>223</v>
      </c>
    </row>
    <row r="81" spans="1:7" ht="30.75" thickBot="1" x14ac:dyDescent="0.3">
      <c r="A81" s="506"/>
      <c r="B81" s="547"/>
      <c r="C81" s="124" t="s">
        <v>121</v>
      </c>
      <c r="D81" s="107" t="s">
        <v>226</v>
      </c>
      <c r="E81" s="107" t="s">
        <v>60</v>
      </c>
      <c r="F81" s="107" t="s">
        <v>225</v>
      </c>
      <c r="G81" s="108" t="s">
        <v>223</v>
      </c>
    </row>
    <row r="82" spans="1:7" ht="30" x14ac:dyDescent="0.25">
      <c r="A82" s="506"/>
      <c r="B82" s="548" t="s">
        <v>124</v>
      </c>
      <c r="C82" s="125" t="s">
        <v>227</v>
      </c>
      <c r="D82" s="102" t="s">
        <v>228</v>
      </c>
      <c r="E82" s="102" t="s">
        <v>60</v>
      </c>
      <c r="F82" s="102" t="s">
        <v>79</v>
      </c>
      <c r="G82" s="103" t="s">
        <v>223</v>
      </c>
    </row>
    <row r="83" spans="1:7" ht="30" x14ac:dyDescent="0.25">
      <c r="A83" s="506"/>
      <c r="B83" s="549"/>
      <c r="C83" s="127" t="s">
        <v>229</v>
      </c>
      <c r="D83" s="109" t="s">
        <v>230</v>
      </c>
      <c r="E83" s="109" t="s">
        <v>60</v>
      </c>
      <c r="F83" s="109" t="s">
        <v>225</v>
      </c>
      <c r="G83" s="114" t="s">
        <v>223</v>
      </c>
    </row>
    <row r="84" spans="1:7" ht="30.75" thickBot="1" x14ac:dyDescent="0.3">
      <c r="A84" s="506"/>
      <c r="B84" s="550"/>
      <c r="C84" s="128" t="s">
        <v>187</v>
      </c>
      <c r="D84" s="119" t="s">
        <v>231</v>
      </c>
      <c r="E84" s="119" t="s">
        <v>60</v>
      </c>
      <c r="F84" s="119" t="s">
        <v>225</v>
      </c>
      <c r="G84" s="120" t="s">
        <v>223</v>
      </c>
    </row>
    <row r="85" spans="1:7" ht="30" x14ac:dyDescent="0.25">
      <c r="A85" s="506"/>
      <c r="B85" s="551" t="s">
        <v>144</v>
      </c>
      <c r="C85" s="126" t="s">
        <v>232</v>
      </c>
      <c r="D85" s="111" t="s">
        <v>233</v>
      </c>
      <c r="E85" s="111" t="s">
        <v>60</v>
      </c>
      <c r="F85" s="111" t="s">
        <v>225</v>
      </c>
      <c r="G85" s="112" t="s">
        <v>223</v>
      </c>
    </row>
    <row r="86" spans="1:7" ht="30" x14ac:dyDescent="0.25">
      <c r="A86" s="506"/>
      <c r="B86" s="552"/>
      <c r="C86" s="98" t="s">
        <v>229</v>
      </c>
      <c r="D86" s="83" t="s">
        <v>234</v>
      </c>
      <c r="E86" s="83" t="s">
        <v>60</v>
      </c>
      <c r="F86" s="83" t="s">
        <v>225</v>
      </c>
      <c r="G86" s="99" t="s">
        <v>223</v>
      </c>
    </row>
    <row r="87" spans="1:7" ht="30" x14ac:dyDescent="0.25">
      <c r="A87" s="506"/>
      <c r="B87" s="552"/>
      <c r="C87" s="98" t="s">
        <v>184</v>
      </c>
      <c r="D87" s="83" t="s">
        <v>235</v>
      </c>
      <c r="E87" s="83" t="s">
        <v>60</v>
      </c>
      <c r="F87" s="83" t="s">
        <v>225</v>
      </c>
      <c r="G87" s="99" t="s">
        <v>223</v>
      </c>
    </row>
    <row r="88" spans="1:7" ht="30" x14ac:dyDescent="0.25">
      <c r="A88" s="506"/>
      <c r="B88" s="552"/>
      <c r="C88" s="98" t="s">
        <v>140</v>
      </c>
      <c r="D88" s="83" t="s">
        <v>236</v>
      </c>
      <c r="E88" s="83" t="s">
        <v>60</v>
      </c>
      <c r="F88" s="83" t="s">
        <v>225</v>
      </c>
      <c r="G88" s="99" t="s">
        <v>223</v>
      </c>
    </row>
    <row r="89" spans="1:7" ht="45" customHeight="1" x14ac:dyDescent="0.25">
      <c r="A89" s="506"/>
      <c r="B89" s="552"/>
      <c r="C89" s="98" t="s">
        <v>187</v>
      </c>
      <c r="D89" s="83" t="s">
        <v>237</v>
      </c>
      <c r="E89" s="83" t="s">
        <v>60</v>
      </c>
      <c r="F89" s="83" t="s">
        <v>225</v>
      </c>
      <c r="G89" s="99" t="s">
        <v>223</v>
      </c>
    </row>
    <row r="90" spans="1:7" ht="30.75" thickBot="1" x14ac:dyDescent="0.3">
      <c r="A90" s="518"/>
      <c r="B90" s="553"/>
      <c r="C90" s="323"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54" t="s">
        <v>240</v>
      </c>
      <c r="B2" s="554"/>
      <c r="C2" s="554"/>
      <c r="D2" s="554"/>
      <c r="E2" s="554"/>
      <c r="F2" s="89"/>
      <c r="G2" s="89"/>
      <c r="H2" s="89"/>
      <c r="I2" s="89"/>
      <c r="J2" s="89"/>
      <c r="K2" s="89"/>
      <c r="L2" s="89"/>
      <c r="M2" s="89"/>
      <c r="N2" s="89"/>
      <c r="O2" s="89"/>
      <c r="P2" s="89"/>
      <c r="Q2" s="89"/>
      <c r="R2" s="89"/>
    </row>
    <row r="3" spans="1:19" ht="45" x14ac:dyDescent="0.25">
      <c r="A3" s="472" t="s">
        <v>241</v>
      </c>
      <c r="B3" s="472" t="s">
        <v>242</v>
      </c>
      <c r="C3" s="472" t="s">
        <v>243</v>
      </c>
      <c r="D3" s="472" t="s">
        <v>244</v>
      </c>
      <c r="E3" s="472" t="s">
        <v>245</v>
      </c>
    </row>
    <row r="4" spans="1:19" x14ac:dyDescent="0.25">
      <c r="A4" s="473" t="s">
        <v>246</v>
      </c>
      <c r="B4" s="473" t="s">
        <v>247</v>
      </c>
      <c r="C4" s="473" t="s">
        <v>248</v>
      </c>
      <c r="D4" s="473" t="s">
        <v>249</v>
      </c>
      <c r="E4" s="473" t="s">
        <v>248</v>
      </c>
    </row>
    <row r="5" spans="1:19" x14ac:dyDescent="0.25">
      <c r="A5" s="473" t="s">
        <v>250</v>
      </c>
      <c r="B5" s="473" t="s">
        <v>251</v>
      </c>
      <c r="C5" s="473" t="s">
        <v>252</v>
      </c>
      <c r="D5" s="473" t="s">
        <v>249</v>
      </c>
      <c r="E5" s="473" t="s">
        <v>248</v>
      </c>
    </row>
    <row r="6" spans="1:19" x14ac:dyDescent="0.25">
      <c r="A6" s="81"/>
    </row>
    <row r="7" spans="1:19" ht="59.25" customHeight="1" x14ac:dyDescent="0.25">
      <c r="A7" s="554" t="s">
        <v>253</v>
      </c>
      <c r="B7" s="555"/>
      <c r="C7" s="555"/>
      <c r="D7" s="555"/>
      <c r="E7" s="555"/>
      <c r="F7" s="555"/>
      <c r="G7" s="555"/>
      <c r="H7" s="555"/>
      <c r="I7" s="555"/>
      <c r="J7" s="555"/>
      <c r="K7" s="555"/>
      <c r="L7" s="555"/>
      <c r="M7" s="89"/>
      <c r="N7" s="89"/>
      <c r="O7" s="89"/>
      <c r="P7" s="89"/>
      <c r="Q7" s="89"/>
      <c r="R7" s="89"/>
      <c r="S7" s="89"/>
    </row>
    <row r="8" spans="1:19" x14ac:dyDescent="0.25">
      <c r="A8" s="474" t="s">
        <v>254</v>
      </c>
      <c r="B8" s="475"/>
      <c r="C8" s="475"/>
      <c r="D8" s="475"/>
      <c r="E8" s="475"/>
      <c r="F8" s="475"/>
      <c r="G8" s="475"/>
      <c r="H8" s="475"/>
      <c r="I8" s="475"/>
      <c r="J8" s="475"/>
      <c r="K8" s="475"/>
      <c r="L8" s="475"/>
      <c r="M8" s="89"/>
      <c r="N8" s="89"/>
      <c r="O8" s="89"/>
      <c r="P8" s="89"/>
      <c r="Q8" s="89"/>
      <c r="R8" s="89"/>
      <c r="S8" s="89"/>
    </row>
    <row r="9" spans="1:19" x14ac:dyDescent="0.25">
      <c r="A9" s="476" t="s">
        <v>77</v>
      </c>
      <c r="B9" s="477" t="s">
        <v>81</v>
      </c>
      <c r="C9" s="477" t="s">
        <v>84</v>
      </c>
      <c r="D9" s="478" t="s">
        <v>88</v>
      </c>
      <c r="E9" s="477" t="s">
        <v>91</v>
      </c>
      <c r="F9" s="477" t="s">
        <v>94</v>
      </c>
      <c r="G9" s="477" t="s">
        <v>96</v>
      </c>
      <c r="H9" s="477" t="s">
        <v>99</v>
      </c>
      <c r="I9" s="477" t="s">
        <v>102</v>
      </c>
      <c r="J9" s="479" t="s">
        <v>105</v>
      </c>
      <c r="K9" s="479" t="s">
        <v>108</v>
      </c>
      <c r="L9" s="480" t="s">
        <v>1</v>
      </c>
    </row>
    <row r="10" spans="1:19" x14ac:dyDescent="0.25">
      <c r="A10" s="481" t="s">
        <v>255</v>
      </c>
      <c r="B10" s="482" t="s">
        <v>256</v>
      </c>
      <c r="C10" s="482"/>
      <c r="D10" s="483" t="s">
        <v>257</v>
      </c>
      <c r="E10" s="484"/>
      <c r="F10" s="482" t="s">
        <v>258</v>
      </c>
      <c r="G10" s="483" t="s">
        <v>259</v>
      </c>
      <c r="H10" s="482" t="s">
        <v>260</v>
      </c>
      <c r="I10" s="482"/>
      <c r="J10" s="483">
        <v>1</v>
      </c>
      <c r="K10" s="483">
        <v>1</v>
      </c>
      <c r="L10" s="483" t="s">
        <v>261</v>
      </c>
    </row>
    <row r="11" spans="1:19" x14ac:dyDescent="0.25">
      <c r="A11" s="481" t="s">
        <v>262</v>
      </c>
      <c r="B11" s="482" t="s">
        <v>263</v>
      </c>
      <c r="C11" s="482"/>
      <c r="D11" s="483" t="s">
        <v>264</v>
      </c>
      <c r="E11" s="484"/>
      <c r="F11" s="482" t="s">
        <v>265</v>
      </c>
      <c r="G11" s="483" t="s">
        <v>259</v>
      </c>
      <c r="H11" s="482" t="s">
        <v>266</v>
      </c>
      <c r="I11" s="482"/>
      <c r="J11" s="483">
        <v>1</v>
      </c>
      <c r="K11" s="483">
        <v>1</v>
      </c>
      <c r="L11" s="483" t="s">
        <v>267</v>
      </c>
    </row>
    <row r="12" spans="1:19" ht="30" x14ac:dyDescent="0.25">
      <c r="A12" s="481" t="s">
        <v>268</v>
      </c>
      <c r="B12" s="481" t="s">
        <v>269</v>
      </c>
      <c r="C12" s="482"/>
      <c r="D12" s="483" t="s">
        <v>247</v>
      </c>
      <c r="E12" s="484"/>
      <c r="F12" s="482" t="s">
        <v>270</v>
      </c>
      <c r="G12" s="483" t="e">
        <v>#N/A</v>
      </c>
      <c r="H12" s="482" t="s">
        <v>249</v>
      </c>
      <c r="I12" s="482"/>
      <c r="J12" s="483">
        <v>1</v>
      </c>
      <c r="K12" s="483">
        <v>1</v>
      </c>
      <c r="L12" s="483" t="s">
        <v>261</v>
      </c>
    </row>
    <row r="13" spans="1:19" x14ac:dyDescent="0.25">
      <c r="A13" s="485" t="s">
        <v>271</v>
      </c>
    </row>
    <row r="14" spans="1:19" x14ac:dyDescent="0.25">
      <c r="A14" s="476" t="s">
        <v>77</v>
      </c>
      <c r="B14" s="477" t="s">
        <v>81</v>
      </c>
      <c r="C14" s="477" t="s">
        <v>84</v>
      </c>
      <c r="D14" s="478" t="s">
        <v>88</v>
      </c>
      <c r="E14" s="477" t="s">
        <v>91</v>
      </c>
      <c r="F14" s="477" t="s">
        <v>94</v>
      </c>
      <c r="G14" s="477" t="s">
        <v>96</v>
      </c>
      <c r="H14" s="477" t="s">
        <v>99</v>
      </c>
      <c r="I14" s="477" t="s">
        <v>102</v>
      </c>
      <c r="J14" s="479" t="s">
        <v>105</v>
      </c>
      <c r="K14" s="479" t="s">
        <v>108</v>
      </c>
      <c r="L14" s="486" t="s">
        <v>1</v>
      </c>
      <c r="M14" s="479" t="s">
        <v>114</v>
      </c>
      <c r="N14" s="479" t="s">
        <v>118</v>
      </c>
      <c r="O14" s="479" t="s">
        <v>121</v>
      </c>
      <c r="P14" s="479" t="s">
        <v>125</v>
      </c>
      <c r="Q14" s="479" t="s">
        <v>128</v>
      </c>
      <c r="R14" s="479" t="s">
        <v>132</v>
      </c>
      <c r="S14" s="479" t="s">
        <v>157</v>
      </c>
    </row>
    <row r="15" spans="1:19" x14ac:dyDescent="0.25">
      <c r="A15" s="481" t="s">
        <v>272</v>
      </c>
      <c r="B15" s="482" t="s">
        <v>273</v>
      </c>
      <c r="C15" s="482"/>
      <c r="D15" s="483" t="s">
        <v>252</v>
      </c>
      <c r="E15" s="482"/>
      <c r="F15" s="482" t="s">
        <v>274</v>
      </c>
      <c r="G15" s="483" t="s">
        <v>259</v>
      </c>
      <c r="H15" s="482" t="s">
        <v>275</v>
      </c>
      <c r="I15" s="482"/>
      <c r="J15" s="483">
        <v>1</v>
      </c>
      <c r="K15" s="483">
        <v>1</v>
      </c>
      <c r="L15" s="483" t="s">
        <v>276</v>
      </c>
      <c r="M15" s="487">
        <v>0</v>
      </c>
      <c r="N15" s="483"/>
      <c r="O15" s="487">
        <v>0</v>
      </c>
      <c r="P15" s="482" t="s">
        <v>48</v>
      </c>
      <c r="Q15" s="483">
        <v>1</v>
      </c>
      <c r="R15" s="483">
        <v>0</v>
      </c>
      <c r="S15" s="482" t="s">
        <v>277</v>
      </c>
    </row>
    <row r="16" spans="1:19" x14ac:dyDescent="0.25">
      <c r="A16" s="481" t="s">
        <v>250</v>
      </c>
      <c r="B16" s="482" t="s">
        <v>278</v>
      </c>
      <c r="C16" s="482"/>
      <c r="D16" s="488" t="s">
        <v>247</v>
      </c>
      <c r="E16" s="482"/>
      <c r="F16" s="482" t="s">
        <v>279</v>
      </c>
      <c r="G16" s="483" t="s">
        <v>280</v>
      </c>
      <c r="H16" s="489" t="s">
        <v>249</v>
      </c>
      <c r="I16" s="482"/>
      <c r="J16" s="483">
        <v>1</v>
      </c>
      <c r="K16" s="483">
        <v>1</v>
      </c>
      <c r="L16" s="483" t="s">
        <v>261</v>
      </c>
      <c r="M16" s="487">
        <v>0</v>
      </c>
      <c r="N16" s="483"/>
      <c r="O16" s="487">
        <v>0</v>
      </c>
      <c r="P16" s="482" t="s">
        <v>48</v>
      </c>
      <c r="Q16" s="483">
        <v>1</v>
      </c>
      <c r="R16" s="483">
        <v>0</v>
      </c>
      <c r="S16" s="482" t="s">
        <v>277</v>
      </c>
    </row>
    <row r="17" spans="1:19" x14ac:dyDescent="0.25">
      <c r="A17" s="481" t="s">
        <v>281</v>
      </c>
      <c r="B17" s="482" t="s">
        <v>282</v>
      </c>
      <c r="C17" s="482"/>
      <c r="D17" s="483" t="s">
        <v>252</v>
      </c>
      <c r="E17" s="482"/>
      <c r="F17" s="482" t="s">
        <v>283</v>
      </c>
      <c r="G17" s="483" t="s">
        <v>284</v>
      </c>
      <c r="H17" s="482" t="s">
        <v>285</v>
      </c>
      <c r="I17" s="482"/>
      <c r="J17" s="483">
        <v>1</v>
      </c>
      <c r="K17" s="483">
        <v>1</v>
      </c>
      <c r="L17" s="483" t="s">
        <v>276</v>
      </c>
      <c r="M17" s="487">
        <v>0</v>
      </c>
      <c r="N17" s="483"/>
      <c r="O17" s="487">
        <v>0</v>
      </c>
      <c r="P17" s="482" t="s">
        <v>48</v>
      </c>
      <c r="Q17" s="483">
        <v>1</v>
      </c>
      <c r="R17" s="483">
        <v>0</v>
      </c>
      <c r="S17" s="482"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490" t="s">
        <v>0</v>
      </c>
      <c r="B1" s="491" t="s">
        <v>287</v>
      </c>
      <c r="C1" s="491" t="s">
        <v>288</v>
      </c>
    </row>
    <row r="2" spans="1:3" x14ac:dyDescent="0.25">
      <c r="A2" s="492">
        <v>43807</v>
      </c>
      <c r="B2" s="493" t="s">
        <v>289</v>
      </c>
      <c r="C2" s="493" t="s">
        <v>11</v>
      </c>
    </row>
    <row r="3" spans="1:3" ht="30" x14ac:dyDescent="0.25">
      <c r="A3" s="492">
        <v>43937</v>
      </c>
      <c r="B3" s="80" t="s">
        <v>290</v>
      </c>
      <c r="C3" s="493" t="s">
        <v>11</v>
      </c>
    </row>
    <row r="4" spans="1:3" x14ac:dyDescent="0.25">
      <c r="A4" s="492">
        <v>43941</v>
      </c>
      <c r="B4" s="493" t="s">
        <v>291</v>
      </c>
      <c r="C4" s="493" t="s">
        <v>11</v>
      </c>
    </row>
    <row r="5" spans="1:3" x14ac:dyDescent="0.25">
      <c r="A5" s="492">
        <v>43942</v>
      </c>
      <c r="B5" s="493" t="s">
        <v>292</v>
      </c>
      <c r="C5" s="493" t="s">
        <v>11</v>
      </c>
    </row>
    <row r="6" spans="1:3" x14ac:dyDescent="0.25">
      <c r="A6" s="492">
        <v>43963</v>
      </c>
      <c r="B6" s="493" t="s">
        <v>293</v>
      </c>
      <c r="C6" s="493" t="s">
        <v>11</v>
      </c>
    </row>
    <row r="7" spans="1:3" x14ac:dyDescent="0.25">
      <c r="A7" s="492">
        <v>43990</v>
      </c>
      <c r="B7" s="493" t="s">
        <v>294</v>
      </c>
      <c r="C7" s="493" t="s">
        <v>11</v>
      </c>
    </row>
    <row r="8" spans="1:3" ht="30" x14ac:dyDescent="0.25">
      <c r="A8" s="492">
        <v>44104</v>
      </c>
      <c r="B8" s="80" t="s">
        <v>295</v>
      </c>
      <c r="C8" s="493" t="s">
        <v>296</v>
      </c>
    </row>
    <row r="9" spans="1:3" ht="150" x14ac:dyDescent="0.25">
      <c r="A9" s="492">
        <v>44128</v>
      </c>
      <c r="B9" s="80" t="s">
        <v>297</v>
      </c>
      <c r="C9" s="493" t="s">
        <v>296</v>
      </c>
    </row>
    <row r="10" spans="1:3" x14ac:dyDescent="0.25">
      <c r="A10" s="492">
        <v>44361</v>
      </c>
      <c r="B10" s="493" t="s">
        <v>298</v>
      </c>
      <c r="C10" s="493" t="s">
        <v>299</v>
      </c>
    </row>
    <row r="11" spans="1:3" x14ac:dyDescent="0.25">
      <c r="A11" s="492">
        <v>44813</v>
      </c>
      <c r="B11" s="493" t="s">
        <v>300</v>
      </c>
      <c r="C11" s="493"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79"/>
  <sheetViews>
    <sheetView tabSelected="1" workbookViewId="0">
      <pane xSplit="2" ySplit="5" topLeftCell="J51" activePane="bottomRight" state="frozen"/>
      <selection pane="topRight" activeCell="C1" sqref="C1"/>
      <selection pane="bottomLeft" activeCell="A4" sqref="A4"/>
      <selection pane="bottomRight" activeCell="L77" sqref="L77"/>
    </sheetView>
  </sheetViews>
  <sheetFormatPr defaultColWidth="9.140625" defaultRowHeight="15" x14ac:dyDescent="0.25"/>
  <cols>
    <col min="1" max="1" width="16.85546875" style="172" bestFit="1" customWidth="1"/>
    <col min="2" max="2" width="80.7109375" style="170" customWidth="1"/>
    <col min="3" max="3" width="9.28515625" style="170" bestFit="1" customWidth="1"/>
    <col min="4" max="4" width="14.140625" style="173" bestFit="1" customWidth="1"/>
    <col min="5" max="5" width="25.7109375" style="170" customWidth="1"/>
    <col min="6" max="6" width="50.7109375" style="170" customWidth="1"/>
    <col min="7" max="7" width="9.85546875" style="170" bestFit="1" customWidth="1"/>
    <col min="8" max="8" width="40"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562" t="s">
        <v>301</v>
      </c>
      <c r="B1" s="563"/>
      <c r="C1" s="563"/>
      <c r="D1" s="563"/>
      <c r="E1" s="563"/>
      <c r="F1" s="563"/>
      <c r="G1" s="563"/>
      <c r="H1" s="563"/>
      <c r="I1" s="563"/>
      <c r="J1" s="563"/>
      <c r="K1" s="563"/>
      <c r="L1" s="563"/>
      <c r="M1" s="563"/>
      <c r="N1" s="563"/>
      <c r="O1" s="563"/>
      <c r="P1" s="563"/>
      <c r="Q1" s="563"/>
      <c r="R1" s="563"/>
      <c r="S1" s="563"/>
      <c r="T1" s="563"/>
      <c r="U1" s="563"/>
      <c r="V1" s="563"/>
      <c r="W1" s="563"/>
      <c r="X1" s="563"/>
      <c r="Y1" s="563"/>
      <c r="Z1" s="563"/>
      <c r="AA1" s="563"/>
      <c r="AB1" s="563"/>
      <c r="AC1" s="563"/>
      <c r="AD1" s="563"/>
      <c r="AE1" s="563"/>
      <c r="AF1" s="563"/>
      <c r="AG1" s="563"/>
      <c r="AH1" s="564"/>
    </row>
    <row r="2" spans="1:34" ht="19.5" thickBot="1" x14ac:dyDescent="0.3">
      <c r="A2" s="565" t="s">
        <v>302</v>
      </c>
      <c r="B2" s="566"/>
      <c r="C2" s="566"/>
      <c r="D2" s="566"/>
      <c r="E2" s="566"/>
      <c r="F2" s="566"/>
      <c r="G2" s="566"/>
      <c r="H2" s="566"/>
      <c r="I2" s="566"/>
      <c r="J2" s="567"/>
      <c r="K2" s="370">
        <f>SUM(K6:K74)</f>
        <v>2464</v>
      </c>
      <c r="L2" s="370">
        <f>SUM(L6:L74)</f>
        <v>68</v>
      </c>
      <c r="M2" s="371"/>
      <c r="N2" s="420">
        <f>SUMPRODUCT(K6:K74,N6:N74)/K77</f>
        <v>1</v>
      </c>
      <c r="O2" s="421">
        <f>SUM(O6:O74)</f>
        <v>63.15</v>
      </c>
      <c r="P2" s="422">
        <f>SUMPRODUCT(K6:K74,P6:P74)/K77</f>
        <v>0.94951298701298703</v>
      </c>
      <c r="Q2" s="372"/>
      <c r="R2" s="373">
        <f t="shared" ref="R2:W2" si="0">SUM(R6:R74)</f>
        <v>60</v>
      </c>
      <c r="S2" s="423">
        <f t="shared" si="0"/>
        <v>54</v>
      </c>
      <c r="T2" s="423">
        <f t="shared" si="0"/>
        <v>54</v>
      </c>
      <c r="U2" s="423">
        <f t="shared" si="0"/>
        <v>0</v>
      </c>
      <c r="V2" s="423">
        <f t="shared" si="0"/>
        <v>0</v>
      </c>
      <c r="W2" s="423">
        <f t="shared" si="0"/>
        <v>0</v>
      </c>
      <c r="X2" s="424">
        <f>IF((S77=0),0,((T77+U77)/S77*100%))</f>
        <v>1</v>
      </c>
      <c r="Y2" s="374"/>
      <c r="Z2" s="431">
        <f>SUM(Z6:Z74)</f>
        <v>0</v>
      </c>
      <c r="AA2" s="432">
        <f>SUM(AA6:AA74)</f>
        <v>0</v>
      </c>
      <c r="AB2" s="432">
        <f>SUM(AB6:AB74)</f>
        <v>0</v>
      </c>
      <c r="AC2" s="432">
        <f>SUM(AC6:AC74)</f>
        <v>0</v>
      </c>
      <c r="AD2" s="432">
        <f>SUM(AD6:AD74)</f>
        <v>0</v>
      </c>
      <c r="AE2" s="427">
        <f>IF((Z77=0),0,((AA77+AB77)/Z77*100%))</f>
        <v>0</v>
      </c>
      <c r="AF2" s="375"/>
      <c r="AG2" s="375"/>
      <c r="AH2" s="376"/>
    </row>
    <row r="3" spans="1:34" ht="19.5" customHeight="1" thickBot="1" x14ac:dyDescent="0.3">
      <c r="A3" s="562" t="s">
        <v>303</v>
      </c>
      <c r="B3" s="563"/>
      <c r="C3" s="563"/>
      <c r="D3" s="563"/>
      <c r="E3" s="563"/>
      <c r="F3" s="563"/>
      <c r="G3" s="563"/>
      <c r="H3" s="563"/>
      <c r="I3" s="563"/>
      <c r="J3" s="563"/>
      <c r="K3" s="563"/>
      <c r="L3" s="563"/>
      <c r="M3" s="563"/>
      <c r="N3" s="563"/>
      <c r="O3" s="563"/>
      <c r="P3" s="563"/>
      <c r="Q3" s="563"/>
      <c r="R3" s="563"/>
      <c r="S3" s="563"/>
      <c r="T3" s="563"/>
      <c r="U3" s="563"/>
      <c r="V3" s="563"/>
      <c r="W3" s="563"/>
      <c r="X3" s="563"/>
      <c r="Y3" s="563"/>
      <c r="Z3" s="563"/>
      <c r="AA3" s="563"/>
      <c r="AB3" s="563"/>
      <c r="AC3" s="563"/>
      <c r="AD3" s="563"/>
      <c r="AE3" s="563"/>
      <c r="AF3" s="563"/>
      <c r="AG3" s="563"/>
      <c r="AH3" s="564"/>
    </row>
    <row r="4" spans="1:34" ht="31.5" customHeight="1" x14ac:dyDescent="0.25">
      <c r="A4" s="568" t="s">
        <v>76</v>
      </c>
      <c r="B4" s="569"/>
      <c r="C4" s="569"/>
      <c r="D4" s="569"/>
      <c r="E4" s="569"/>
      <c r="F4" s="569"/>
      <c r="G4" s="569"/>
      <c r="H4" s="569"/>
      <c r="I4" s="569"/>
      <c r="J4" s="569"/>
      <c r="K4" s="569"/>
      <c r="L4" s="569"/>
      <c r="M4" s="570"/>
      <c r="N4" s="571" t="s">
        <v>304</v>
      </c>
      <c r="O4" s="572"/>
      <c r="P4" s="573"/>
      <c r="Q4" s="578" t="s">
        <v>305</v>
      </c>
      <c r="R4" s="579"/>
      <c r="S4" s="579"/>
      <c r="T4" s="579"/>
      <c r="U4" s="579"/>
      <c r="V4" s="579"/>
      <c r="W4" s="579"/>
      <c r="X4" s="579"/>
      <c r="Y4" s="580"/>
      <c r="Z4" s="574" t="s">
        <v>306</v>
      </c>
      <c r="AA4" s="575"/>
      <c r="AB4" s="575"/>
      <c r="AC4" s="575"/>
      <c r="AD4" s="575"/>
      <c r="AE4" s="576"/>
      <c r="AF4" s="576"/>
      <c r="AG4" s="576"/>
      <c r="AH4" s="577"/>
    </row>
    <row r="5" spans="1:34" s="171" customFormat="1" x14ac:dyDescent="0.25">
      <c r="A5" s="665" t="s">
        <v>77</v>
      </c>
      <c r="B5" s="665" t="s">
        <v>81</v>
      </c>
      <c r="C5" s="665" t="s">
        <v>84</v>
      </c>
      <c r="D5" s="665" t="s">
        <v>88</v>
      </c>
      <c r="E5" s="665" t="s">
        <v>91</v>
      </c>
      <c r="F5" s="665" t="s">
        <v>94</v>
      </c>
      <c r="G5" s="665" t="s">
        <v>96</v>
      </c>
      <c r="H5" s="665" t="s">
        <v>99</v>
      </c>
      <c r="I5" s="665" t="s">
        <v>307</v>
      </c>
      <c r="J5" s="665" t="s">
        <v>102</v>
      </c>
      <c r="K5" s="665" t="s">
        <v>105</v>
      </c>
      <c r="L5" s="665" t="s">
        <v>108</v>
      </c>
      <c r="M5" s="665" t="s">
        <v>1</v>
      </c>
      <c r="N5" s="665" t="s">
        <v>114</v>
      </c>
      <c r="O5" s="665" t="s">
        <v>118</v>
      </c>
      <c r="P5" s="665" t="s">
        <v>121</v>
      </c>
      <c r="Q5" s="665" t="s">
        <v>125</v>
      </c>
      <c r="R5" s="665" t="s">
        <v>128</v>
      </c>
      <c r="S5" s="665" t="s">
        <v>132</v>
      </c>
      <c r="T5" s="665" t="s">
        <v>30</v>
      </c>
      <c r="U5" s="665" t="s">
        <v>135</v>
      </c>
      <c r="V5" s="665" t="s">
        <v>36</v>
      </c>
      <c r="W5" s="665" t="s">
        <v>138</v>
      </c>
      <c r="X5" s="665" t="s">
        <v>140</v>
      </c>
      <c r="Y5" s="665" t="s">
        <v>142</v>
      </c>
      <c r="Z5" s="665" t="s">
        <v>684</v>
      </c>
      <c r="AA5" s="665" t="s">
        <v>685</v>
      </c>
      <c r="AB5" s="665" t="s">
        <v>686</v>
      </c>
      <c r="AC5" s="665" t="s">
        <v>687</v>
      </c>
      <c r="AD5" s="665" t="s">
        <v>688</v>
      </c>
      <c r="AE5" s="665" t="s">
        <v>689</v>
      </c>
      <c r="AF5" s="665" t="s">
        <v>155</v>
      </c>
      <c r="AG5" s="665" t="s">
        <v>157</v>
      </c>
      <c r="AH5" s="665" t="s">
        <v>160</v>
      </c>
    </row>
    <row r="6" spans="1:34" x14ac:dyDescent="0.25">
      <c r="A6" t="s">
        <v>311</v>
      </c>
      <c r="B6" t="s">
        <v>312</v>
      </c>
      <c r="C6" t="s">
        <v>690</v>
      </c>
      <c r="D6" t="s">
        <v>308</v>
      </c>
      <c r="E6" t="s">
        <v>690</v>
      </c>
      <c r="F6" t="s">
        <v>309</v>
      </c>
      <c r="G6" t="s">
        <v>280</v>
      </c>
      <c r="H6" t="s">
        <v>310</v>
      </c>
      <c r="I6" t="s">
        <v>35</v>
      </c>
      <c r="J6" t="s">
        <v>690</v>
      </c>
      <c r="K6">
        <v>24</v>
      </c>
      <c r="L6">
        <v>1</v>
      </c>
      <c r="M6" t="s">
        <v>44</v>
      </c>
      <c r="N6">
        <v>1</v>
      </c>
      <c r="O6">
        <v>1</v>
      </c>
      <c r="P6">
        <v>1</v>
      </c>
      <c r="Q6" t="s">
        <v>32</v>
      </c>
      <c r="R6">
        <v>1</v>
      </c>
      <c r="S6">
        <v>1</v>
      </c>
      <c r="T6">
        <v>1</v>
      </c>
      <c r="U6" t="s">
        <v>690</v>
      </c>
      <c r="V6" t="s">
        <v>690</v>
      </c>
      <c r="W6" t="s">
        <v>690</v>
      </c>
      <c r="X6">
        <v>1</v>
      </c>
      <c r="Y6" t="s">
        <v>690</v>
      </c>
      <c r="Z6">
        <v>0</v>
      </c>
      <c r="AA6" t="s">
        <v>690</v>
      </c>
      <c r="AB6" t="s">
        <v>690</v>
      </c>
      <c r="AC6" t="s">
        <v>690</v>
      </c>
      <c r="AD6" t="s">
        <v>690</v>
      </c>
      <c r="AE6">
        <v>0</v>
      </c>
      <c r="AF6" t="s">
        <v>690</v>
      </c>
      <c r="AG6" t="s">
        <v>560</v>
      </c>
      <c r="AH6" t="s">
        <v>690</v>
      </c>
    </row>
    <row r="7" spans="1:34" x14ac:dyDescent="0.25">
      <c r="A7" t="s">
        <v>541</v>
      </c>
      <c r="B7" t="s">
        <v>542</v>
      </c>
      <c r="C7" t="s">
        <v>690</v>
      </c>
      <c r="D7" t="s">
        <v>308</v>
      </c>
      <c r="E7" t="s">
        <v>690</v>
      </c>
      <c r="F7" t="s">
        <v>309</v>
      </c>
      <c r="G7" t="s">
        <v>259</v>
      </c>
      <c r="H7" t="s">
        <v>310</v>
      </c>
      <c r="I7" t="s">
        <v>35</v>
      </c>
      <c r="J7" t="s">
        <v>690</v>
      </c>
      <c r="K7">
        <v>24</v>
      </c>
      <c r="L7">
        <v>1</v>
      </c>
      <c r="M7" t="s">
        <v>44</v>
      </c>
      <c r="N7">
        <v>1</v>
      </c>
      <c r="O7">
        <v>1</v>
      </c>
      <c r="P7">
        <v>1</v>
      </c>
      <c r="Q7" t="s">
        <v>32</v>
      </c>
      <c r="R7">
        <v>1</v>
      </c>
      <c r="S7">
        <v>1</v>
      </c>
      <c r="T7">
        <v>1</v>
      </c>
      <c r="U7" t="s">
        <v>690</v>
      </c>
      <c r="V7" t="s">
        <v>690</v>
      </c>
      <c r="W7" t="s">
        <v>690</v>
      </c>
      <c r="X7">
        <v>1</v>
      </c>
      <c r="Y7" t="s">
        <v>690</v>
      </c>
      <c r="Z7">
        <v>0</v>
      </c>
      <c r="AA7" t="s">
        <v>690</v>
      </c>
      <c r="AB7" t="s">
        <v>690</v>
      </c>
      <c r="AC7" t="s">
        <v>690</v>
      </c>
      <c r="AD7" t="s">
        <v>690</v>
      </c>
      <c r="AE7">
        <v>0</v>
      </c>
      <c r="AF7" t="s">
        <v>690</v>
      </c>
      <c r="AG7" t="s">
        <v>560</v>
      </c>
      <c r="AH7" t="s">
        <v>690</v>
      </c>
    </row>
    <row r="8" spans="1:34" x14ac:dyDescent="0.25">
      <c r="A8" t="s">
        <v>311</v>
      </c>
      <c r="B8" t="s">
        <v>312</v>
      </c>
      <c r="C8" t="s">
        <v>690</v>
      </c>
      <c r="D8" t="s">
        <v>308</v>
      </c>
      <c r="E8" t="s">
        <v>690</v>
      </c>
      <c r="F8" t="s">
        <v>313</v>
      </c>
      <c r="G8" t="s">
        <v>280</v>
      </c>
      <c r="H8" t="s">
        <v>314</v>
      </c>
      <c r="I8" t="s">
        <v>35</v>
      </c>
      <c r="J8" t="s">
        <v>690</v>
      </c>
      <c r="K8">
        <v>24</v>
      </c>
      <c r="L8">
        <v>1</v>
      </c>
      <c r="M8" t="s">
        <v>44</v>
      </c>
      <c r="N8">
        <v>1</v>
      </c>
      <c r="O8">
        <v>1</v>
      </c>
      <c r="P8">
        <v>1</v>
      </c>
      <c r="Q8" t="s">
        <v>48</v>
      </c>
      <c r="R8">
        <v>1</v>
      </c>
      <c r="S8">
        <v>1</v>
      </c>
      <c r="T8">
        <v>1</v>
      </c>
      <c r="U8" t="s">
        <v>690</v>
      </c>
      <c r="V8" t="s">
        <v>690</v>
      </c>
      <c r="W8" t="s">
        <v>690</v>
      </c>
      <c r="X8">
        <v>1</v>
      </c>
      <c r="Y8" t="s">
        <v>690</v>
      </c>
      <c r="Z8">
        <v>0</v>
      </c>
      <c r="AA8" t="s">
        <v>690</v>
      </c>
      <c r="AB8" t="s">
        <v>690</v>
      </c>
      <c r="AC8" t="s">
        <v>690</v>
      </c>
      <c r="AD8" t="s">
        <v>690</v>
      </c>
      <c r="AE8">
        <v>0</v>
      </c>
      <c r="AF8" t="s">
        <v>690</v>
      </c>
      <c r="AG8" t="s">
        <v>557</v>
      </c>
      <c r="AH8" t="s">
        <v>690</v>
      </c>
    </row>
    <row r="9" spans="1:34" x14ac:dyDescent="0.25">
      <c r="A9" t="s">
        <v>532</v>
      </c>
      <c r="B9" t="s">
        <v>533</v>
      </c>
      <c r="C9" t="s">
        <v>690</v>
      </c>
      <c r="D9" t="s">
        <v>308</v>
      </c>
      <c r="E9" t="s">
        <v>690</v>
      </c>
      <c r="F9" t="s">
        <v>315</v>
      </c>
      <c r="G9" t="s">
        <v>259</v>
      </c>
      <c r="H9" t="s">
        <v>316</v>
      </c>
      <c r="I9" t="s">
        <v>35</v>
      </c>
      <c r="J9" t="s">
        <v>690</v>
      </c>
      <c r="K9">
        <v>40</v>
      </c>
      <c r="L9">
        <v>1</v>
      </c>
      <c r="M9" t="s">
        <v>44</v>
      </c>
      <c r="N9">
        <v>1</v>
      </c>
      <c r="O9">
        <v>1</v>
      </c>
      <c r="P9">
        <v>1</v>
      </c>
      <c r="Q9" t="s">
        <v>32</v>
      </c>
      <c r="R9">
        <v>1</v>
      </c>
      <c r="S9">
        <v>1</v>
      </c>
      <c r="T9">
        <v>1</v>
      </c>
      <c r="U9" t="s">
        <v>690</v>
      </c>
      <c r="V9" t="s">
        <v>690</v>
      </c>
      <c r="W9" t="s">
        <v>690</v>
      </c>
      <c r="X9">
        <v>1</v>
      </c>
      <c r="Y9" t="s">
        <v>690</v>
      </c>
      <c r="Z9">
        <v>0</v>
      </c>
      <c r="AA9" t="s">
        <v>690</v>
      </c>
      <c r="AB9" t="s">
        <v>690</v>
      </c>
      <c r="AC9" t="s">
        <v>690</v>
      </c>
      <c r="AD9" t="s">
        <v>690</v>
      </c>
      <c r="AE9">
        <v>0</v>
      </c>
      <c r="AF9" t="s">
        <v>690</v>
      </c>
      <c r="AG9" t="s">
        <v>558</v>
      </c>
      <c r="AH9" t="s">
        <v>690</v>
      </c>
    </row>
    <row r="10" spans="1:34" x14ac:dyDescent="0.25">
      <c r="A10" t="s">
        <v>535</v>
      </c>
      <c r="B10" t="s">
        <v>536</v>
      </c>
      <c r="C10" t="s">
        <v>690</v>
      </c>
      <c r="D10" t="s">
        <v>308</v>
      </c>
      <c r="E10" t="s">
        <v>690</v>
      </c>
      <c r="F10" t="s">
        <v>315</v>
      </c>
      <c r="G10" t="s">
        <v>280</v>
      </c>
      <c r="H10" t="s">
        <v>316</v>
      </c>
      <c r="I10" t="s">
        <v>35</v>
      </c>
      <c r="J10" t="s">
        <v>690</v>
      </c>
      <c r="K10">
        <v>40</v>
      </c>
      <c r="L10">
        <v>1</v>
      </c>
      <c r="M10" t="s">
        <v>44</v>
      </c>
      <c r="N10">
        <v>1</v>
      </c>
      <c r="O10">
        <v>1</v>
      </c>
      <c r="P10">
        <v>1</v>
      </c>
      <c r="Q10" t="s">
        <v>32</v>
      </c>
      <c r="R10">
        <v>1</v>
      </c>
      <c r="S10">
        <v>1</v>
      </c>
      <c r="T10">
        <v>1</v>
      </c>
      <c r="U10" t="s">
        <v>690</v>
      </c>
      <c r="V10" t="s">
        <v>690</v>
      </c>
      <c r="W10" t="s">
        <v>690</v>
      </c>
      <c r="X10">
        <v>1</v>
      </c>
      <c r="Y10" t="s">
        <v>690</v>
      </c>
      <c r="Z10">
        <v>0</v>
      </c>
      <c r="AA10" t="s">
        <v>690</v>
      </c>
      <c r="AB10" t="s">
        <v>690</v>
      </c>
      <c r="AC10" t="s">
        <v>690</v>
      </c>
      <c r="AD10" t="s">
        <v>690</v>
      </c>
      <c r="AE10">
        <v>0</v>
      </c>
      <c r="AF10" t="s">
        <v>690</v>
      </c>
      <c r="AG10" t="s">
        <v>558</v>
      </c>
      <c r="AH10" t="s">
        <v>690</v>
      </c>
    </row>
    <row r="11" spans="1:34" x14ac:dyDescent="0.25">
      <c r="A11" t="s">
        <v>317</v>
      </c>
      <c r="B11" t="s">
        <v>318</v>
      </c>
      <c r="C11" t="s">
        <v>690</v>
      </c>
      <c r="D11" t="s">
        <v>308</v>
      </c>
      <c r="E11" t="s">
        <v>690</v>
      </c>
      <c r="F11" t="s">
        <v>319</v>
      </c>
      <c r="G11" t="s">
        <v>284</v>
      </c>
      <c r="H11" t="s">
        <v>320</v>
      </c>
      <c r="I11" t="s">
        <v>41</v>
      </c>
      <c r="J11" t="s">
        <v>690</v>
      </c>
      <c r="K11">
        <v>32</v>
      </c>
      <c r="L11">
        <v>1</v>
      </c>
      <c r="M11" t="s">
        <v>321</v>
      </c>
      <c r="N11">
        <v>1</v>
      </c>
      <c r="O11">
        <v>1</v>
      </c>
      <c r="P11">
        <v>1</v>
      </c>
      <c r="Q11" t="s">
        <v>32</v>
      </c>
      <c r="R11">
        <v>1</v>
      </c>
      <c r="S11">
        <v>1</v>
      </c>
      <c r="T11">
        <v>1</v>
      </c>
      <c r="U11" t="s">
        <v>690</v>
      </c>
      <c r="V11" t="s">
        <v>690</v>
      </c>
      <c r="W11" t="s">
        <v>690</v>
      </c>
      <c r="X11">
        <v>1</v>
      </c>
      <c r="Y11" t="s">
        <v>690</v>
      </c>
      <c r="Z11">
        <v>0</v>
      </c>
      <c r="AA11" t="s">
        <v>690</v>
      </c>
      <c r="AB11" t="s">
        <v>690</v>
      </c>
      <c r="AC11" t="s">
        <v>690</v>
      </c>
      <c r="AD11" t="s">
        <v>690</v>
      </c>
      <c r="AE11">
        <v>0</v>
      </c>
      <c r="AF11" t="s">
        <v>690</v>
      </c>
      <c r="AG11" t="s">
        <v>559</v>
      </c>
      <c r="AH11" t="s">
        <v>690</v>
      </c>
    </row>
    <row r="12" spans="1:34" x14ac:dyDescent="0.25">
      <c r="A12" t="s">
        <v>525</v>
      </c>
      <c r="B12" t="s">
        <v>526</v>
      </c>
      <c r="C12" t="s">
        <v>690</v>
      </c>
      <c r="D12" t="s">
        <v>308</v>
      </c>
      <c r="E12" t="s">
        <v>690</v>
      </c>
      <c r="F12" t="s">
        <v>322</v>
      </c>
      <c r="G12" t="s">
        <v>280</v>
      </c>
      <c r="H12" t="s">
        <v>320</v>
      </c>
      <c r="I12" t="s">
        <v>41</v>
      </c>
      <c r="J12" t="s">
        <v>690</v>
      </c>
      <c r="K12">
        <v>24</v>
      </c>
      <c r="L12">
        <v>1</v>
      </c>
      <c r="M12" t="s">
        <v>321</v>
      </c>
      <c r="N12">
        <v>1</v>
      </c>
      <c r="O12">
        <v>1</v>
      </c>
      <c r="P12">
        <v>1</v>
      </c>
      <c r="Q12" t="s">
        <v>690</v>
      </c>
      <c r="R12">
        <v>0</v>
      </c>
      <c r="S12">
        <v>0</v>
      </c>
      <c r="T12" t="s">
        <v>690</v>
      </c>
      <c r="U12" t="s">
        <v>690</v>
      </c>
      <c r="V12" t="s">
        <v>690</v>
      </c>
      <c r="W12" t="s">
        <v>690</v>
      </c>
      <c r="X12">
        <v>0</v>
      </c>
      <c r="Y12" t="s">
        <v>690</v>
      </c>
      <c r="Z12">
        <v>0</v>
      </c>
      <c r="AA12" t="s">
        <v>690</v>
      </c>
      <c r="AB12" t="s">
        <v>690</v>
      </c>
      <c r="AC12" t="s">
        <v>690</v>
      </c>
      <c r="AD12" t="s">
        <v>690</v>
      </c>
      <c r="AE12">
        <v>0</v>
      </c>
      <c r="AF12" t="s">
        <v>690</v>
      </c>
      <c r="AG12" t="s">
        <v>556</v>
      </c>
      <c r="AH12" t="s">
        <v>690</v>
      </c>
    </row>
    <row r="13" spans="1:34" x14ac:dyDescent="0.25">
      <c r="A13" t="s">
        <v>529</v>
      </c>
      <c r="B13" t="s">
        <v>530</v>
      </c>
      <c r="C13" t="s">
        <v>690</v>
      </c>
      <c r="D13" t="s">
        <v>308</v>
      </c>
      <c r="E13" t="s">
        <v>690</v>
      </c>
      <c r="F13" t="s">
        <v>322</v>
      </c>
      <c r="G13" t="s">
        <v>280</v>
      </c>
      <c r="H13" t="s">
        <v>320</v>
      </c>
      <c r="I13" t="s">
        <v>41</v>
      </c>
      <c r="J13" t="s">
        <v>690</v>
      </c>
      <c r="K13">
        <v>24</v>
      </c>
      <c r="L13">
        <v>1</v>
      </c>
      <c r="M13" t="s">
        <v>321</v>
      </c>
      <c r="N13">
        <v>1</v>
      </c>
      <c r="O13">
        <v>1</v>
      </c>
      <c r="P13">
        <v>1</v>
      </c>
      <c r="Q13" t="s">
        <v>690</v>
      </c>
      <c r="R13">
        <v>0</v>
      </c>
      <c r="S13">
        <v>0</v>
      </c>
      <c r="T13" t="s">
        <v>690</v>
      </c>
      <c r="U13" t="s">
        <v>690</v>
      </c>
      <c r="V13" t="s">
        <v>690</v>
      </c>
      <c r="W13" t="s">
        <v>690</v>
      </c>
      <c r="X13">
        <v>0</v>
      </c>
      <c r="Y13" t="s">
        <v>690</v>
      </c>
      <c r="Z13">
        <v>0</v>
      </c>
      <c r="AA13" t="s">
        <v>690</v>
      </c>
      <c r="AB13" t="s">
        <v>690</v>
      </c>
      <c r="AC13" t="s">
        <v>690</v>
      </c>
      <c r="AD13" t="s">
        <v>690</v>
      </c>
      <c r="AE13">
        <v>0</v>
      </c>
      <c r="AF13" t="s">
        <v>690</v>
      </c>
      <c r="AG13" t="s">
        <v>556</v>
      </c>
      <c r="AH13" t="s">
        <v>690</v>
      </c>
    </row>
    <row r="14" spans="1:34" x14ac:dyDescent="0.25">
      <c r="A14" t="s">
        <v>323</v>
      </c>
      <c r="B14" t="s">
        <v>324</v>
      </c>
      <c r="C14" t="s">
        <v>690</v>
      </c>
      <c r="D14" t="s">
        <v>308</v>
      </c>
      <c r="E14" t="s">
        <v>690</v>
      </c>
      <c r="F14" t="s">
        <v>325</v>
      </c>
      <c r="G14" t="s">
        <v>280</v>
      </c>
      <c r="H14" t="s">
        <v>326</v>
      </c>
      <c r="I14" t="s">
        <v>41</v>
      </c>
      <c r="J14" t="s">
        <v>690</v>
      </c>
      <c r="K14">
        <v>24</v>
      </c>
      <c r="L14">
        <v>1</v>
      </c>
      <c r="M14" t="s">
        <v>321</v>
      </c>
      <c r="N14">
        <v>1</v>
      </c>
      <c r="O14">
        <v>1</v>
      </c>
      <c r="P14">
        <v>1</v>
      </c>
      <c r="Q14" t="s">
        <v>32</v>
      </c>
      <c r="R14">
        <v>1</v>
      </c>
      <c r="S14">
        <v>1</v>
      </c>
      <c r="T14">
        <v>1</v>
      </c>
      <c r="U14" t="s">
        <v>690</v>
      </c>
      <c r="V14" t="s">
        <v>690</v>
      </c>
      <c r="W14" t="s">
        <v>690</v>
      </c>
      <c r="X14">
        <v>1</v>
      </c>
      <c r="Y14" t="s">
        <v>690</v>
      </c>
      <c r="Z14">
        <v>0</v>
      </c>
      <c r="AA14" t="s">
        <v>690</v>
      </c>
      <c r="AB14" t="s">
        <v>690</v>
      </c>
      <c r="AC14" t="s">
        <v>690</v>
      </c>
      <c r="AD14" t="s">
        <v>690</v>
      </c>
      <c r="AE14">
        <v>0</v>
      </c>
      <c r="AF14" t="s">
        <v>690</v>
      </c>
      <c r="AG14" t="s">
        <v>562</v>
      </c>
      <c r="AH14" t="s">
        <v>690</v>
      </c>
    </row>
    <row r="15" spans="1:34" x14ac:dyDescent="0.25">
      <c r="A15" t="s">
        <v>327</v>
      </c>
      <c r="B15" t="s">
        <v>328</v>
      </c>
      <c r="C15" t="s">
        <v>690</v>
      </c>
      <c r="D15" t="s">
        <v>308</v>
      </c>
      <c r="E15" t="s">
        <v>690</v>
      </c>
      <c r="F15" t="s">
        <v>329</v>
      </c>
      <c r="G15" t="s">
        <v>284</v>
      </c>
      <c r="H15" t="s">
        <v>330</v>
      </c>
      <c r="I15" t="s">
        <v>41</v>
      </c>
      <c r="J15" t="s">
        <v>690</v>
      </c>
      <c r="K15">
        <v>40</v>
      </c>
      <c r="L15">
        <v>1</v>
      </c>
      <c r="M15" t="s">
        <v>321</v>
      </c>
      <c r="N15">
        <v>1</v>
      </c>
      <c r="O15">
        <v>1</v>
      </c>
      <c r="P15">
        <v>1</v>
      </c>
      <c r="Q15" t="s">
        <v>690</v>
      </c>
      <c r="R15">
        <v>0</v>
      </c>
      <c r="S15">
        <v>0</v>
      </c>
      <c r="T15" t="s">
        <v>690</v>
      </c>
      <c r="U15" t="s">
        <v>690</v>
      </c>
      <c r="V15" t="s">
        <v>690</v>
      </c>
      <c r="W15" t="s">
        <v>690</v>
      </c>
      <c r="X15">
        <v>0</v>
      </c>
      <c r="Y15" t="s">
        <v>690</v>
      </c>
      <c r="Z15">
        <v>0</v>
      </c>
      <c r="AA15" t="s">
        <v>690</v>
      </c>
      <c r="AB15" t="s">
        <v>690</v>
      </c>
      <c r="AC15" t="s">
        <v>690</v>
      </c>
      <c r="AD15" t="s">
        <v>690</v>
      </c>
      <c r="AE15">
        <v>0</v>
      </c>
      <c r="AF15" t="s">
        <v>690</v>
      </c>
      <c r="AG15" t="s">
        <v>561</v>
      </c>
      <c r="AH15" t="s">
        <v>690</v>
      </c>
    </row>
    <row r="16" spans="1:34" x14ac:dyDescent="0.25">
      <c r="A16" t="s">
        <v>331</v>
      </c>
      <c r="B16" t="s">
        <v>332</v>
      </c>
      <c r="C16" t="s">
        <v>690</v>
      </c>
      <c r="D16" t="s">
        <v>308</v>
      </c>
      <c r="E16" t="s">
        <v>690</v>
      </c>
      <c r="F16" t="s">
        <v>333</v>
      </c>
      <c r="G16" t="s">
        <v>284</v>
      </c>
      <c r="H16" t="s">
        <v>334</v>
      </c>
      <c r="I16" t="s">
        <v>41</v>
      </c>
      <c r="J16" t="s">
        <v>690</v>
      </c>
      <c r="K16">
        <v>32</v>
      </c>
      <c r="L16">
        <v>1</v>
      </c>
      <c r="M16" t="s">
        <v>321</v>
      </c>
      <c r="N16">
        <v>1</v>
      </c>
      <c r="O16">
        <v>1</v>
      </c>
      <c r="P16">
        <v>1</v>
      </c>
      <c r="Q16" t="s">
        <v>690</v>
      </c>
      <c r="R16">
        <v>0</v>
      </c>
      <c r="S16">
        <v>0</v>
      </c>
      <c r="T16" t="s">
        <v>690</v>
      </c>
      <c r="U16" t="s">
        <v>690</v>
      </c>
      <c r="V16" t="s">
        <v>690</v>
      </c>
      <c r="W16" t="s">
        <v>690</v>
      </c>
      <c r="X16">
        <v>0</v>
      </c>
      <c r="Y16" t="s">
        <v>690</v>
      </c>
      <c r="Z16">
        <v>0</v>
      </c>
      <c r="AA16" t="s">
        <v>690</v>
      </c>
      <c r="AB16" t="s">
        <v>690</v>
      </c>
      <c r="AC16" t="s">
        <v>690</v>
      </c>
      <c r="AD16" t="s">
        <v>690</v>
      </c>
      <c r="AE16">
        <v>0</v>
      </c>
      <c r="AF16" t="s">
        <v>690</v>
      </c>
      <c r="AG16" t="s">
        <v>286</v>
      </c>
      <c r="AH16" t="s">
        <v>690</v>
      </c>
    </row>
    <row r="17" spans="1:34" x14ac:dyDescent="0.25">
      <c r="A17" t="s">
        <v>335</v>
      </c>
      <c r="B17" t="s">
        <v>336</v>
      </c>
      <c r="C17" t="s">
        <v>690</v>
      </c>
      <c r="D17" t="s">
        <v>308</v>
      </c>
      <c r="E17" t="s">
        <v>690</v>
      </c>
      <c r="F17" t="s">
        <v>337</v>
      </c>
      <c r="G17" t="s">
        <v>284</v>
      </c>
      <c r="H17" t="s">
        <v>338</v>
      </c>
      <c r="I17" t="s">
        <v>41</v>
      </c>
      <c r="J17" t="s">
        <v>690</v>
      </c>
      <c r="K17">
        <v>40</v>
      </c>
      <c r="L17">
        <v>1</v>
      </c>
      <c r="M17" t="s">
        <v>321</v>
      </c>
      <c r="N17">
        <v>1</v>
      </c>
      <c r="O17">
        <v>1</v>
      </c>
      <c r="P17">
        <v>1</v>
      </c>
      <c r="Q17" t="s">
        <v>690</v>
      </c>
      <c r="R17">
        <v>0</v>
      </c>
      <c r="S17">
        <v>0</v>
      </c>
      <c r="T17" t="s">
        <v>690</v>
      </c>
      <c r="U17" t="s">
        <v>690</v>
      </c>
      <c r="V17" t="s">
        <v>690</v>
      </c>
      <c r="W17" t="s">
        <v>690</v>
      </c>
      <c r="X17">
        <v>0</v>
      </c>
      <c r="Y17" t="s">
        <v>690</v>
      </c>
      <c r="Z17">
        <v>0</v>
      </c>
      <c r="AA17" t="s">
        <v>690</v>
      </c>
      <c r="AB17" t="s">
        <v>690</v>
      </c>
      <c r="AC17" t="s">
        <v>690</v>
      </c>
      <c r="AD17" t="s">
        <v>690</v>
      </c>
      <c r="AE17">
        <v>0</v>
      </c>
      <c r="AF17" t="s">
        <v>690</v>
      </c>
      <c r="AG17" t="s">
        <v>286</v>
      </c>
      <c r="AH17" t="s">
        <v>690</v>
      </c>
    </row>
    <row r="18" spans="1:34" x14ac:dyDescent="0.25">
      <c r="A18" t="s">
        <v>339</v>
      </c>
      <c r="B18" t="s">
        <v>340</v>
      </c>
      <c r="C18" t="s">
        <v>690</v>
      </c>
      <c r="D18" t="s">
        <v>308</v>
      </c>
      <c r="E18" t="s">
        <v>690</v>
      </c>
      <c r="F18" t="s">
        <v>341</v>
      </c>
      <c r="G18" t="s">
        <v>284</v>
      </c>
      <c r="H18" t="s">
        <v>342</v>
      </c>
      <c r="I18" t="s">
        <v>41</v>
      </c>
      <c r="J18" t="s">
        <v>690</v>
      </c>
      <c r="K18">
        <v>32</v>
      </c>
      <c r="L18">
        <v>1</v>
      </c>
      <c r="M18" t="s">
        <v>321</v>
      </c>
      <c r="N18">
        <v>1</v>
      </c>
      <c r="O18">
        <v>1</v>
      </c>
      <c r="P18">
        <v>1</v>
      </c>
      <c r="Q18" t="s">
        <v>690</v>
      </c>
      <c r="R18">
        <v>0</v>
      </c>
      <c r="S18">
        <v>0</v>
      </c>
      <c r="T18" t="s">
        <v>690</v>
      </c>
      <c r="U18" t="s">
        <v>690</v>
      </c>
      <c r="V18" t="s">
        <v>690</v>
      </c>
      <c r="W18" t="s">
        <v>690</v>
      </c>
      <c r="X18">
        <v>0</v>
      </c>
      <c r="Y18" t="s">
        <v>690</v>
      </c>
      <c r="Z18">
        <v>0</v>
      </c>
      <c r="AA18" t="s">
        <v>690</v>
      </c>
      <c r="AB18" t="s">
        <v>690</v>
      </c>
      <c r="AC18" t="s">
        <v>690</v>
      </c>
      <c r="AD18" t="s">
        <v>690</v>
      </c>
      <c r="AE18">
        <v>0</v>
      </c>
      <c r="AF18" t="s">
        <v>690</v>
      </c>
      <c r="AG18" t="s">
        <v>286</v>
      </c>
      <c r="AH18" t="s">
        <v>690</v>
      </c>
    </row>
    <row r="19" spans="1:34" x14ac:dyDescent="0.25">
      <c r="A19" t="s">
        <v>343</v>
      </c>
      <c r="B19" t="s">
        <v>344</v>
      </c>
      <c r="C19" t="s">
        <v>690</v>
      </c>
      <c r="D19" t="s">
        <v>308</v>
      </c>
      <c r="E19" t="s">
        <v>690</v>
      </c>
      <c r="F19" t="s">
        <v>345</v>
      </c>
      <c r="G19" t="s">
        <v>284</v>
      </c>
      <c r="H19" t="s">
        <v>346</v>
      </c>
      <c r="I19" t="s">
        <v>41</v>
      </c>
      <c r="J19" t="s">
        <v>690</v>
      </c>
      <c r="K19">
        <v>32</v>
      </c>
      <c r="L19">
        <v>1</v>
      </c>
      <c r="M19" t="s">
        <v>321</v>
      </c>
      <c r="N19">
        <v>1</v>
      </c>
      <c r="O19">
        <v>1</v>
      </c>
      <c r="P19">
        <v>1</v>
      </c>
      <c r="Q19" t="s">
        <v>690</v>
      </c>
      <c r="R19">
        <v>0</v>
      </c>
      <c r="S19">
        <v>0</v>
      </c>
      <c r="T19" t="s">
        <v>690</v>
      </c>
      <c r="U19" t="s">
        <v>690</v>
      </c>
      <c r="V19" t="s">
        <v>690</v>
      </c>
      <c r="W19" t="s">
        <v>690</v>
      </c>
      <c r="X19">
        <v>0</v>
      </c>
      <c r="Y19" t="s">
        <v>690</v>
      </c>
      <c r="Z19">
        <v>0</v>
      </c>
      <c r="AA19" t="s">
        <v>690</v>
      </c>
      <c r="AB19" t="s">
        <v>690</v>
      </c>
      <c r="AC19" t="s">
        <v>690</v>
      </c>
      <c r="AD19" t="s">
        <v>690</v>
      </c>
      <c r="AE19">
        <v>0</v>
      </c>
      <c r="AF19" t="s">
        <v>690</v>
      </c>
      <c r="AG19" t="s">
        <v>559</v>
      </c>
      <c r="AH19" t="s">
        <v>690</v>
      </c>
    </row>
    <row r="20" spans="1:34" x14ac:dyDescent="0.25">
      <c r="A20" t="s">
        <v>347</v>
      </c>
      <c r="B20" t="s">
        <v>348</v>
      </c>
      <c r="C20" t="s">
        <v>690</v>
      </c>
      <c r="D20" t="s">
        <v>308</v>
      </c>
      <c r="E20" t="s">
        <v>690</v>
      </c>
      <c r="F20" t="s">
        <v>349</v>
      </c>
      <c r="G20" t="s">
        <v>284</v>
      </c>
      <c r="H20" t="s">
        <v>350</v>
      </c>
      <c r="I20" t="s">
        <v>41</v>
      </c>
      <c r="J20" t="s">
        <v>690</v>
      </c>
      <c r="K20">
        <v>32</v>
      </c>
      <c r="L20">
        <v>1</v>
      </c>
      <c r="M20" t="s">
        <v>321</v>
      </c>
      <c r="N20">
        <v>1</v>
      </c>
      <c r="O20">
        <v>1</v>
      </c>
      <c r="P20">
        <v>1</v>
      </c>
      <c r="Q20" t="s">
        <v>690</v>
      </c>
      <c r="R20">
        <v>0</v>
      </c>
      <c r="S20">
        <v>0</v>
      </c>
      <c r="T20" t="s">
        <v>690</v>
      </c>
      <c r="U20" t="s">
        <v>690</v>
      </c>
      <c r="V20" t="s">
        <v>690</v>
      </c>
      <c r="W20" t="s">
        <v>690</v>
      </c>
      <c r="X20">
        <v>0</v>
      </c>
      <c r="Y20" t="s">
        <v>690</v>
      </c>
      <c r="Z20">
        <v>0</v>
      </c>
      <c r="AA20" t="s">
        <v>690</v>
      </c>
      <c r="AB20" t="s">
        <v>690</v>
      </c>
      <c r="AC20" t="s">
        <v>690</v>
      </c>
      <c r="AD20" t="s">
        <v>690</v>
      </c>
      <c r="AE20">
        <v>0</v>
      </c>
      <c r="AF20" t="s">
        <v>690</v>
      </c>
      <c r="AG20" t="s">
        <v>559</v>
      </c>
      <c r="AH20" t="s">
        <v>690</v>
      </c>
    </row>
    <row r="21" spans="1:34" x14ac:dyDescent="0.25">
      <c r="A21" t="s">
        <v>351</v>
      </c>
      <c r="B21" t="s">
        <v>352</v>
      </c>
      <c r="C21" t="s">
        <v>690</v>
      </c>
      <c r="D21" t="s">
        <v>308</v>
      </c>
      <c r="E21" t="s">
        <v>690</v>
      </c>
      <c r="F21" t="s">
        <v>353</v>
      </c>
      <c r="G21" t="s">
        <v>259</v>
      </c>
      <c r="H21" t="s">
        <v>354</v>
      </c>
      <c r="I21" t="s">
        <v>41</v>
      </c>
      <c r="J21" t="s">
        <v>690</v>
      </c>
      <c r="K21">
        <v>32</v>
      </c>
      <c r="L21">
        <v>1</v>
      </c>
      <c r="M21" t="s">
        <v>355</v>
      </c>
      <c r="N21">
        <v>1</v>
      </c>
      <c r="O21">
        <v>1</v>
      </c>
      <c r="P21">
        <v>1</v>
      </c>
      <c r="Q21" t="s">
        <v>48</v>
      </c>
      <c r="R21">
        <v>1</v>
      </c>
      <c r="S21">
        <v>1</v>
      </c>
      <c r="T21">
        <v>1</v>
      </c>
      <c r="U21" t="s">
        <v>690</v>
      </c>
      <c r="V21" t="s">
        <v>690</v>
      </c>
      <c r="W21" t="s">
        <v>690</v>
      </c>
      <c r="X21">
        <v>1</v>
      </c>
      <c r="Y21" t="s">
        <v>690</v>
      </c>
      <c r="Z21">
        <v>0</v>
      </c>
      <c r="AA21" t="s">
        <v>690</v>
      </c>
      <c r="AB21" t="s">
        <v>690</v>
      </c>
      <c r="AC21" t="s">
        <v>690</v>
      </c>
      <c r="AD21" t="s">
        <v>690</v>
      </c>
      <c r="AE21">
        <v>0</v>
      </c>
      <c r="AF21" t="s">
        <v>690</v>
      </c>
      <c r="AG21" t="s">
        <v>563</v>
      </c>
      <c r="AH21" t="s">
        <v>690</v>
      </c>
    </row>
    <row r="22" spans="1:34" x14ac:dyDescent="0.25">
      <c r="A22" t="s">
        <v>356</v>
      </c>
      <c r="B22" t="s">
        <v>357</v>
      </c>
      <c r="C22" t="s">
        <v>690</v>
      </c>
      <c r="D22" t="s">
        <v>308</v>
      </c>
      <c r="E22" t="s">
        <v>690</v>
      </c>
      <c r="F22" t="s">
        <v>358</v>
      </c>
      <c r="G22" t="s">
        <v>259</v>
      </c>
      <c r="H22" t="s">
        <v>359</v>
      </c>
      <c r="I22" t="s">
        <v>41</v>
      </c>
      <c r="J22" t="s">
        <v>690</v>
      </c>
      <c r="K22">
        <v>24</v>
      </c>
      <c r="L22">
        <v>1</v>
      </c>
      <c r="M22" t="s">
        <v>355</v>
      </c>
      <c r="N22">
        <v>1</v>
      </c>
      <c r="O22">
        <v>1</v>
      </c>
      <c r="P22">
        <v>1</v>
      </c>
      <c r="Q22" t="s">
        <v>48</v>
      </c>
      <c r="R22">
        <v>1</v>
      </c>
      <c r="S22">
        <v>1</v>
      </c>
      <c r="T22">
        <v>1</v>
      </c>
      <c r="U22" t="s">
        <v>690</v>
      </c>
      <c r="V22" t="s">
        <v>690</v>
      </c>
      <c r="W22" t="s">
        <v>690</v>
      </c>
      <c r="X22">
        <v>1</v>
      </c>
      <c r="Y22" t="s">
        <v>690</v>
      </c>
      <c r="Z22">
        <v>0</v>
      </c>
      <c r="AA22" t="s">
        <v>690</v>
      </c>
      <c r="AB22" t="s">
        <v>690</v>
      </c>
      <c r="AC22" t="s">
        <v>690</v>
      </c>
      <c r="AD22" t="s">
        <v>690</v>
      </c>
      <c r="AE22">
        <v>0</v>
      </c>
      <c r="AF22" t="s">
        <v>690</v>
      </c>
      <c r="AG22" t="s">
        <v>558</v>
      </c>
      <c r="AH22" t="s">
        <v>690</v>
      </c>
    </row>
    <row r="23" spans="1:34" x14ac:dyDescent="0.25">
      <c r="A23" t="s">
        <v>360</v>
      </c>
      <c r="B23" t="s">
        <v>361</v>
      </c>
      <c r="C23" t="s">
        <v>690</v>
      </c>
      <c r="D23" t="s">
        <v>362</v>
      </c>
      <c r="E23" t="s">
        <v>690</v>
      </c>
      <c r="F23" t="s">
        <v>363</v>
      </c>
      <c r="G23" t="s">
        <v>259</v>
      </c>
      <c r="H23" t="s">
        <v>364</v>
      </c>
      <c r="I23" t="s">
        <v>41</v>
      </c>
      <c r="J23" t="s">
        <v>690</v>
      </c>
      <c r="K23">
        <v>32</v>
      </c>
      <c r="L23">
        <v>1</v>
      </c>
      <c r="M23" t="s">
        <v>321</v>
      </c>
      <c r="N23">
        <v>1</v>
      </c>
      <c r="O23">
        <v>1</v>
      </c>
      <c r="P23">
        <v>1</v>
      </c>
      <c r="Q23" t="s">
        <v>48</v>
      </c>
      <c r="R23">
        <v>1</v>
      </c>
      <c r="S23">
        <v>1</v>
      </c>
      <c r="T23">
        <v>1</v>
      </c>
      <c r="U23" t="s">
        <v>690</v>
      </c>
      <c r="V23" t="s">
        <v>690</v>
      </c>
      <c r="W23" t="s">
        <v>690</v>
      </c>
      <c r="X23">
        <v>1</v>
      </c>
      <c r="Y23" t="s">
        <v>690</v>
      </c>
      <c r="Z23">
        <v>0</v>
      </c>
      <c r="AA23" t="s">
        <v>690</v>
      </c>
      <c r="AB23" t="s">
        <v>690</v>
      </c>
      <c r="AC23" t="s">
        <v>690</v>
      </c>
      <c r="AD23" t="s">
        <v>690</v>
      </c>
      <c r="AE23">
        <v>0</v>
      </c>
      <c r="AF23" t="s">
        <v>690</v>
      </c>
      <c r="AG23" t="s">
        <v>563</v>
      </c>
      <c r="AH23" t="s">
        <v>690</v>
      </c>
    </row>
    <row r="24" spans="1:34" x14ac:dyDescent="0.25">
      <c r="A24" t="s">
        <v>383</v>
      </c>
      <c r="B24" t="s">
        <v>384</v>
      </c>
      <c r="C24" t="s">
        <v>690</v>
      </c>
      <c r="D24" t="s">
        <v>362</v>
      </c>
      <c r="E24" t="s">
        <v>690</v>
      </c>
      <c r="F24" t="s">
        <v>365</v>
      </c>
      <c r="G24" t="s">
        <v>259</v>
      </c>
      <c r="H24" t="s">
        <v>366</v>
      </c>
      <c r="I24" t="s">
        <v>41</v>
      </c>
      <c r="J24" t="s">
        <v>690</v>
      </c>
      <c r="K24">
        <v>80</v>
      </c>
      <c r="L24">
        <v>1</v>
      </c>
      <c r="M24" t="s">
        <v>321</v>
      </c>
      <c r="N24">
        <v>1</v>
      </c>
      <c r="O24">
        <v>1</v>
      </c>
      <c r="P24">
        <v>1</v>
      </c>
      <c r="Q24" t="s">
        <v>48</v>
      </c>
      <c r="R24">
        <v>1</v>
      </c>
      <c r="S24">
        <v>1</v>
      </c>
      <c r="T24">
        <v>1</v>
      </c>
      <c r="U24" t="s">
        <v>690</v>
      </c>
      <c r="V24" t="s">
        <v>690</v>
      </c>
      <c r="W24" t="s">
        <v>690</v>
      </c>
      <c r="X24">
        <v>1</v>
      </c>
      <c r="Y24" t="s">
        <v>690</v>
      </c>
      <c r="Z24">
        <v>0</v>
      </c>
      <c r="AA24" t="s">
        <v>690</v>
      </c>
      <c r="AB24" t="s">
        <v>690</v>
      </c>
      <c r="AC24" t="s">
        <v>690</v>
      </c>
      <c r="AD24" t="s">
        <v>690</v>
      </c>
      <c r="AE24">
        <v>0</v>
      </c>
      <c r="AF24" t="s">
        <v>690</v>
      </c>
      <c r="AG24" t="s">
        <v>558</v>
      </c>
      <c r="AH24" t="s">
        <v>690</v>
      </c>
    </row>
    <row r="25" spans="1:34" x14ac:dyDescent="0.25">
      <c r="A25" t="s">
        <v>387</v>
      </c>
      <c r="B25" t="s">
        <v>388</v>
      </c>
      <c r="C25" t="s">
        <v>690</v>
      </c>
      <c r="D25" t="s">
        <v>362</v>
      </c>
      <c r="E25" t="s">
        <v>690</v>
      </c>
      <c r="F25" t="s">
        <v>365</v>
      </c>
      <c r="G25" t="s">
        <v>259</v>
      </c>
      <c r="H25" t="s">
        <v>366</v>
      </c>
      <c r="I25" t="s">
        <v>41</v>
      </c>
      <c r="J25" t="s">
        <v>690</v>
      </c>
      <c r="K25">
        <v>80</v>
      </c>
      <c r="L25">
        <v>1</v>
      </c>
      <c r="M25" t="s">
        <v>321</v>
      </c>
      <c r="N25">
        <v>1</v>
      </c>
      <c r="O25">
        <v>1</v>
      </c>
      <c r="P25">
        <v>1</v>
      </c>
      <c r="Q25" t="s">
        <v>48</v>
      </c>
      <c r="R25">
        <v>1</v>
      </c>
      <c r="S25">
        <v>1</v>
      </c>
      <c r="T25">
        <v>1</v>
      </c>
      <c r="U25" t="s">
        <v>690</v>
      </c>
      <c r="V25" t="s">
        <v>690</v>
      </c>
      <c r="W25" t="s">
        <v>690</v>
      </c>
      <c r="X25">
        <v>1</v>
      </c>
      <c r="Y25" t="s">
        <v>690</v>
      </c>
      <c r="Z25">
        <v>0</v>
      </c>
      <c r="AA25" t="s">
        <v>690</v>
      </c>
      <c r="AB25" t="s">
        <v>690</v>
      </c>
      <c r="AC25" t="s">
        <v>690</v>
      </c>
      <c r="AD25" t="s">
        <v>690</v>
      </c>
      <c r="AE25">
        <v>0</v>
      </c>
      <c r="AF25" t="s">
        <v>690</v>
      </c>
      <c r="AG25" t="s">
        <v>558</v>
      </c>
      <c r="AH25" t="s">
        <v>690</v>
      </c>
    </row>
    <row r="26" spans="1:34" x14ac:dyDescent="0.25">
      <c r="A26" t="s">
        <v>399</v>
      </c>
      <c r="B26" t="s">
        <v>400</v>
      </c>
      <c r="C26" t="s">
        <v>690</v>
      </c>
      <c r="D26" t="s">
        <v>362</v>
      </c>
      <c r="E26" t="s">
        <v>690</v>
      </c>
      <c r="F26" t="s">
        <v>365</v>
      </c>
      <c r="G26" t="s">
        <v>259</v>
      </c>
      <c r="H26" t="s">
        <v>366</v>
      </c>
      <c r="I26" t="s">
        <v>41</v>
      </c>
      <c r="J26" t="s">
        <v>690</v>
      </c>
      <c r="K26">
        <v>80</v>
      </c>
      <c r="L26">
        <v>1</v>
      </c>
      <c r="M26" t="s">
        <v>321</v>
      </c>
      <c r="N26">
        <v>1</v>
      </c>
      <c r="O26">
        <v>1</v>
      </c>
      <c r="P26">
        <v>1</v>
      </c>
      <c r="Q26" t="s">
        <v>48</v>
      </c>
      <c r="R26">
        <v>1</v>
      </c>
      <c r="S26">
        <v>1</v>
      </c>
      <c r="T26">
        <v>1</v>
      </c>
      <c r="U26" t="s">
        <v>690</v>
      </c>
      <c r="V26" t="s">
        <v>690</v>
      </c>
      <c r="W26" t="s">
        <v>690</v>
      </c>
      <c r="X26">
        <v>1</v>
      </c>
      <c r="Y26" t="s">
        <v>690</v>
      </c>
      <c r="Z26">
        <v>0</v>
      </c>
      <c r="AA26" t="s">
        <v>690</v>
      </c>
      <c r="AB26" t="s">
        <v>690</v>
      </c>
      <c r="AC26" t="s">
        <v>690</v>
      </c>
      <c r="AD26" t="s">
        <v>690</v>
      </c>
      <c r="AE26">
        <v>0</v>
      </c>
      <c r="AF26" t="s">
        <v>690</v>
      </c>
      <c r="AG26" t="s">
        <v>558</v>
      </c>
      <c r="AH26" t="s">
        <v>690</v>
      </c>
    </row>
    <row r="27" spans="1:34" x14ac:dyDescent="0.25">
      <c r="A27" t="s">
        <v>379</v>
      </c>
      <c r="B27" t="s">
        <v>380</v>
      </c>
      <c r="C27" t="s">
        <v>690</v>
      </c>
      <c r="D27" t="s">
        <v>362</v>
      </c>
      <c r="E27" t="s">
        <v>690</v>
      </c>
      <c r="F27" t="s">
        <v>365</v>
      </c>
      <c r="G27" t="s">
        <v>259</v>
      </c>
      <c r="H27" t="s">
        <v>366</v>
      </c>
      <c r="I27" t="s">
        <v>41</v>
      </c>
      <c r="J27" t="s">
        <v>690</v>
      </c>
      <c r="K27">
        <v>80</v>
      </c>
      <c r="L27">
        <v>1</v>
      </c>
      <c r="M27" t="s">
        <v>321</v>
      </c>
      <c r="N27">
        <v>1</v>
      </c>
      <c r="O27">
        <v>1</v>
      </c>
      <c r="P27">
        <v>1</v>
      </c>
      <c r="Q27" t="s">
        <v>48</v>
      </c>
      <c r="R27">
        <v>1</v>
      </c>
      <c r="S27">
        <v>1</v>
      </c>
      <c r="T27">
        <v>1</v>
      </c>
      <c r="U27" t="s">
        <v>690</v>
      </c>
      <c r="V27" t="s">
        <v>690</v>
      </c>
      <c r="W27" t="s">
        <v>690</v>
      </c>
      <c r="X27">
        <v>1</v>
      </c>
      <c r="Y27" t="s">
        <v>690</v>
      </c>
      <c r="Z27">
        <v>0</v>
      </c>
      <c r="AA27" t="s">
        <v>690</v>
      </c>
      <c r="AB27" t="s">
        <v>690</v>
      </c>
      <c r="AC27" t="s">
        <v>690</v>
      </c>
      <c r="AD27" t="s">
        <v>690</v>
      </c>
      <c r="AE27">
        <v>0</v>
      </c>
      <c r="AF27" t="s">
        <v>690</v>
      </c>
      <c r="AG27" t="s">
        <v>558</v>
      </c>
      <c r="AH27" t="s">
        <v>690</v>
      </c>
    </row>
    <row r="28" spans="1:34" x14ac:dyDescent="0.25">
      <c r="A28" t="s">
        <v>367</v>
      </c>
      <c r="B28" t="s">
        <v>368</v>
      </c>
      <c r="C28" t="s">
        <v>690</v>
      </c>
      <c r="D28" t="s">
        <v>362</v>
      </c>
      <c r="E28" t="s">
        <v>690</v>
      </c>
      <c r="F28" t="s">
        <v>369</v>
      </c>
      <c r="G28" t="s">
        <v>259</v>
      </c>
      <c r="H28" t="s">
        <v>370</v>
      </c>
      <c r="I28" t="s">
        <v>41</v>
      </c>
      <c r="J28" t="s">
        <v>690</v>
      </c>
      <c r="K28">
        <v>120</v>
      </c>
      <c r="L28">
        <v>1</v>
      </c>
      <c r="M28" t="s">
        <v>321</v>
      </c>
      <c r="N28">
        <v>1</v>
      </c>
      <c r="O28">
        <v>1</v>
      </c>
      <c r="P28">
        <v>1</v>
      </c>
      <c r="Q28" t="s">
        <v>48</v>
      </c>
      <c r="R28">
        <v>1</v>
      </c>
      <c r="S28">
        <v>1</v>
      </c>
      <c r="T28">
        <v>1</v>
      </c>
      <c r="U28" t="s">
        <v>690</v>
      </c>
      <c r="V28" t="s">
        <v>690</v>
      </c>
      <c r="W28" t="s">
        <v>690</v>
      </c>
      <c r="X28">
        <v>1</v>
      </c>
      <c r="Y28" t="s">
        <v>690</v>
      </c>
      <c r="Z28">
        <v>0</v>
      </c>
      <c r="AA28" t="s">
        <v>690</v>
      </c>
      <c r="AB28" t="s">
        <v>690</v>
      </c>
      <c r="AC28" t="s">
        <v>690</v>
      </c>
      <c r="AD28" t="s">
        <v>690</v>
      </c>
      <c r="AE28">
        <v>0</v>
      </c>
      <c r="AF28" t="s">
        <v>690</v>
      </c>
      <c r="AG28" t="s">
        <v>558</v>
      </c>
      <c r="AH28" t="s">
        <v>690</v>
      </c>
    </row>
    <row r="29" spans="1:34" x14ac:dyDescent="0.25">
      <c r="A29" t="s">
        <v>371</v>
      </c>
      <c r="B29" t="s">
        <v>372</v>
      </c>
      <c r="C29" t="s">
        <v>690</v>
      </c>
      <c r="D29" t="s">
        <v>362</v>
      </c>
      <c r="E29" t="s">
        <v>690</v>
      </c>
      <c r="F29" t="s">
        <v>373</v>
      </c>
      <c r="G29" t="s">
        <v>259</v>
      </c>
      <c r="H29" t="s">
        <v>374</v>
      </c>
      <c r="I29" t="s">
        <v>35</v>
      </c>
      <c r="J29" t="s">
        <v>690</v>
      </c>
      <c r="K29">
        <v>40</v>
      </c>
      <c r="L29">
        <v>1</v>
      </c>
      <c r="M29" t="s">
        <v>321</v>
      </c>
      <c r="N29">
        <v>1</v>
      </c>
      <c r="O29">
        <v>1</v>
      </c>
      <c r="P29">
        <v>1</v>
      </c>
      <c r="Q29" t="s">
        <v>48</v>
      </c>
      <c r="R29">
        <v>1</v>
      </c>
      <c r="S29">
        <v>1</v>
      </c>
      <c r="T29">
        <v>1</v>
      </c>
      <c r="U29" t="s">
        <v>690</v>
      </c>
      <c r="V29" t="s">
        <v>690</v>
      </c>
      <c r="W29" t="s">
        <v>690</v>
      </c>
      <c r="X29">
        <v>1</v>
      </c>
      <c r="Y29" t="s">
        <v>690</v>
      </c>
      <c r="Z29">
        <v>0</v>
      </c>
      <c r="AA29" t="s">
        <v>690</v>
      </c>
      <c r="AB29" t="s">
        <v>690</v>
      </c>
      <c r="AC29" t="s">
        <v>690</v>
      </c>
      <c r="AD29" t="s">
        <v>690</v>
      </c>
      <c r="AE29">
        <v>0</v>
      </c>
      <c r="AF29" t="s">
        <v>690</v>
      </c>
      <c r="AG29" t="s">
        <v>558</v>
      </c>
      <c r="AH29" t="s">
        <v>690</v>
      </c>
    </row>
    <row r="30" spans="1:34" x14ac:dyDescent="0.25">
      <c r="A30" t="s">
        <v>375</v>
      </c>
      <c r="B30" t="s">
        <v>376</v>
      </c>
      <c r="C30" t="s">
        <v>690</v>
      </c>
      <c r="D30" t="s">
        <v>362</v>
      </c>
      <c r="E30" t="s">
        <v>690</v>
      </c>
      <c r="F30" t="s">
        <v>377</v>
      </c>
      <c r="G30" t="s">
        <v>284</v>
      </c>
      <c r="H30" t="s">
        <v>378</v>
      </c>
      <c r="I30" t="s">
        <v>41</v>
      </c>
      <c r="J30" t="s">
        <v>690</v>
      </c>
      <c r="K30">
        <v>120</v>
      </c>
      <c r="L30">
        <v>1</v>
      </c>
      <c r="M30" t="s">
        <v>321</v>
      </c>
      <c r="N30">
        <v>1</v>
      </c>
      <c r="O30">
        <v>1</v>
      </c>
      <c r="P30">
        <v>1</v>
      </c>
      <c r="Q30" t="s">
        <v>48</v>
      </c>
      <c r="R30">
        <v>1</v>
      </c>
      <c r="S30">
        <v>1</v>
      </c>
      <c r="T30">
        <v>1</v>
      </c>
      <c r="U30" t="s">
        <v>690</v>
      </c>
      <c r="V30" t="s">
        <v>690</v>
      </c>
      <c r="W30" t="s">
        <v>690</v>
      </c>
      <c r="X30">
        <v>1</v>
      </c>
      <c r="Y30" t="s">
        <v>690</v>
      </c>
      <c r="Z30">
        <v>0</v>
      </c>
      <c r="AA30" t="s">
        <v>690</v>
      </c>
      <c r="AB30" t="s">
        <v>690</v>
      </c>
      <c r="AC30" t="s">
        <v>690</v>
      </c>
      <c r="AD30" t="s">
        <v>690</v>
      </c>
      <c r="AE30">
        <v>0</v>
      </c>
      <c r="AF30" t="s">
        <v>690</v>
      </c>
      <c r="AG30" t="s">
        <v>564</v>
      </c>
      <c r="AH30" t="s">
        <v>690</v>
      </c>
    </row>
    <row r="31" spans="1:34" x14ac:dyDescent="0.25">
      <c r="A31" t="s">
        <v>379</v>
      </c>
      <c r="B31" t="s">
        <v>380</v>
      </c>
      <c r="C31" t="s">
        <v>690</v>
      </c>
      <c r="D31" t="s">
        <v>362</v>
      </c>
      <c r="E31" t="s">
        <v>690</v>
      </c>
      <c r="F31" t="s">
        <v>381</v>
      </c>
      <c r="G31" t="s">
        <v>259</v>
      </c>
      <c r="H31" t="s">
        <v>382</v>
      </c>
      <c r="I31" t="s">
        <v>35</v>
      </c>
      <c r="J31" t="s">
        <v>690</v>
      </c>
      <c r="K31">
        <v>40</v>
      </c>
      <c r="L31">
        <v>1</v>
      </c>
      <c r="M31" t="s">
        <v>355</v>
      </c>
      <c r="N31">
        <v>1</v>
      </c>
      <c r="O31">
        <v>1</v>
      </c>
      <c r="P31">
        <v>1</v>
      </c>
      <c r="Q31" t="s">
        <v>32</v>
      </c>
      <c r="R31">
        <v>1</v>
      </c>
      <c r="S31">
        <v>1</v>
      </c>
      <c r="T31">
        <v>1</v>
      </c>
      <c r="U31" t="s">
        <v>690</v>
      </c>
      <c r="V31" t="s">
        <v>690</v>
      </c>
      <c r="W31" t="s">
        <v>690</v>
      </c>
      <c r="X31">
        <v>1</v>
      </c>
      <c r="Y31" t="s">
        <v>690</v>
      </c>
      <c r="Z31">
        <v>0</v>
      </c>
      <c r="AA31" t="s">
        <v>690</v>
      </c>
      <c r="AB31" t="s">
        <v>690</v>
      </c>
      <c r="AC31" t="s">
        <v>690</v>
      </c>
      <c r="AD31" t="s">
        <v>690</v>
      </c>
      <c r="AE31">
        <v>0</v>
      </c>
      <c r="AF31" t="s">
        <v>690</v>
      </c>
      <c r="AG31" t="s">
        <v>558</v>
      </c>
      <c r="AH31" t="s">
        <v>690</v>
      </c>
    </row>
    <row r="32" spans="1:34" x14ac:dyDescent="0.25">
      <c r="A32" t="s">
        <v>383</v>
      </c>
      <c r="B32" t="s">
        <v>384</v>
      </c>
      <c r="C32" t="s">
        <v>690</v>
      </c>
      <c r="D32" t="s">
        <v>362</v>
      </c>
      <c r="E32" t="s">
        <v>690</v>
      </c>
      <c r="F32" t="s">
        <v>385</v>
      </c>
      <c r="G32" t="s">
        <v>259</v>
      </c>
      <c r="H32" t="s">
        <v>386</v>
      </c>
      <c r="I32" t="s">
        <v>35</v>
      </c>
      <c r="J32" t="s">
        <v>690</v>
      </c>
      <c r="K32">
        <v>40</v>
      </c>
      <c r="L32">
        <v>1</v>
      </c>
      <c r="M32" t="s">
        <v>355</v>
      </c>
      <c r="N32">
        <v>1</v>
      </c>
      <c r="O32">
        <v>1</v>
      </c>
      <c r="P32">
        <v>1</v>
      </c>
      <c r="Q32" t="s">
        <v>32</v>
      </c>
      <c r="R32">
        <v>1</v>
      </c>
      <c r="S32">
        <v>1</v>
      </c>
      <c r="T32">
        <v>1</v>
      </c>
      <c r="U32" t="s">
        <v>690</v>
      </c>
      <c r="V32" t="s">
        <v>690</v>
      </c>
      <c r="W32" t="s">
        <v>690</v>
      </c>
      <c r="X32">
        <v>1</v>
      </c>
      <c r="Y32" t="s">
        <v>690</v>
      </c>
      <c r="Z32">
        <v>0</v>
      </c>
      <c r="AA32" t="s">
        <v>690</v>
      </c>
      <c r="AB32" t="s">
        <v>690</v>
      </c>
      <c r="AC32" t="s">
        <v>690</v>
      </c>
      <c r="AD32" t="s">
        <v>690</v>
      </c>
      <c r="AE32">
        <v>0</v>
      </c>
      <c r="AF32" t="s">
        <v>690</v>
      </c>
      <c r="AG32" t="s">
        <v>558</v>
      </c>
      <c r="AH32" t="s">
        <v>690</v>
      </c>
    </row>
    <row r="33" spans="1:34" x14ac:dyDescent="0.25">
      <c r="A33" t="s">
        <v>387</v>
      </c>
      <c r="B33" t="s">
        <v>388</v>
      </c>
      <c r="C33" t="s">
        <v>690</v>
      </c>
      <c r="D33" t="s">
        <v>362</v>
      </c>
      <c r="E33" t="s">
        <v>690</v>
      </c>
      <c r="F33" t="s">
        <v>389</v>
      </c>
      <c r="G33" t="s">
        <v>259</v>
      </c>
      <c r="H33" t="s">
        <v>390</v>
      </c>
      <c r="I33" t="s">
        <v>41</v>
      </c>
      <c r="J33" t="s">
        <v>690</v>
      </c>
      <c r="K33">
        <v>40</v>
      </c>
      <c r="L33">
        <v>1</v>
      </c>
      <c r="M33" t="s">
        <v>321</v>
      </c>
      <c r="N33">
        <v>1</v>
      </c>
      <c r="O33">
        <v>1</v>
      </c>
      <c r="P33">
        <v>1</v>
      </c>
      <c r="Q33" t="s">
        <v>32</v>
      </c>
      <c r="R33">
        <v>1</v>
      </c>
      <c r="S33">
        <v>1</v>
      </c>
      <c r="T33">
        <v>1</v>
      </c>
      <c r="U33" t="s">
        <v>690</v>
      </c>
      <c r="V33" t="s">
        <v>690</v>
      </c>
      <c r="W33" t="s">
        <v>690</v>
      </c>
      <c r="X33">
        <v>1</v>
      </c>
      <c r="Y33" t="s">
        <v>690</v>
      </c>
      <c r="Z33">
        <v>0</v>
      </c>
      <c r="AA33" t="s">
        <v>690</v>
      </c>
      <c r="AB33" t="s">
        <v>690</v>
      </c>
      <c r="AC33" t="s">
        <v>690</v>
      </c>
      <c r="AD33" t="s">
        <v>690</v>
      </c>
      <c r="AE33">
        <v>0</v>
      </c>
      <c r="AF33" t="s">
        <v>690</v>
      </c>
      <c r="AG33" t="s">
        <v>558</v>
      </c>
      <c r="AH33" t="s">
        <v>690</v>
      </c>
    </row>
    <row r="34" spans="1:34" x14ac:dyDescent="0.25">
      <c r="A34" t="s">
        <v>391</v>
      </c>
      <c r="B34" t="s">
        <v>392</v>
      </c>
      <c r="C34" t="s">
        <v>690</v>
      </c>
      <c r="D34" t="s">
        <v>362</v>
      </c>
      <c r="E34" t="s">
        <v>690</v>
      </c>
      <c r="F34" t="s">
        <v>393</v>
      </c>
      <c r="G34" t="s">
        <v>259</v>
      </c>
      <c r="H34" t="s">
        <v>394</v>
      </c>
      <c r="I34" t="s">
        <v>41</v>
      </c>
      <c r="J34" t="s">
        <v>690</v>
      </c>
      <c r="K34">
        <v>40</v>
      </c>
      <c r="L34">
        <v>1</v>
      </c>
      <c r="M34" t="s">
        <v>321</v>
      </c>
      <c r="N34">
        <v>1</v>
      </c>
      <c r="O34">
        <v>1</v>
      </c>
      <c r="P34">
        <v>1</v>
      </c>
      <c r="Q34" t="s">
        <v>32</v>
      </c>
      <c r="R34">
        <v>1</v>
      </c>
      <c r="S34">
        <v>1</v>
      </c>
      <c r="T34">
        <v>1</v>
      </c>
      <c r="U34" t="s">
        <v>690</v>
      </c>
      <c r="V34" t="s">
        <v>690</v>
      </c>
      <c r="W34" t="s">
        <v>690</v>
      </c>
      <c r="X34">
        <v>1</v>
      </c>
      <c r="Y34" t="s">
        <v>690</v>
      </c>
      <c r="Z34">
        <v>0</v>
      </c>
      <c r="AA34" t="s">
        <v>690</v>
      </c>
      <c r="AB34" t="s">
        <v>690</v>
      </c>
      <c r="AC34" t="s">
        <v>690</v>
      </c>
      <c r="AD34" t="s">
        <v>690</v>
      </c>
      <c r="AE34">
        <v>0</v>
      </c>
      <c r="AF34" t="s">
        <v>690</v>
      </c>
      <c r="AG34" t="s">
        <v>558</v>
      </c>
      <c r="AH34" t="s">
        <v>690</v>
      </c>
    </row>
    <row r="35" spans="1:34" x14ac:dyDescent="0.25">
      <c r="A35" t="s">
        <v>395</v>
      </c>
      <c r="B35" t="s">
        <v>396</v>
      </c>
      <c r="C35" t="s">
        <v>690</v>
      </c>
      <c r="D35" t="s">
        <v>362</v>
      </c>
      <c r="E35" t="s">
        <v>690</v>
      </c>
      <c r="F35" t="s">
        <v>397</v>
      </c>
      <c r="G35" t="s">
        <v>259</v>
      </c>
      <c r="H35" t="s">
        <v>398</v>
      </c>
      <c r="I35" t="s">
        <v>41</v>
      </c>
      <c r="J35" t="s">
        <v>690</v>
      </c>
      <c r="K35">
        <v>40</v>
      </c>
      <c r="L35">
        <v>1</v>
      </c>
      <c r="M35" t="s">
        <v>321</v>
      </c>
      <c r="N35">
        <v>1</v>
      </c>
      <c r="O35">
        <v>1</v>
      </c>
      <c r="P35">
        <v>1</v>
      </c>
      <c r="Q35" t="s">
        <v>32</v>
      </c>
      <c r="R35">
        <v>1</v>
      </c>
      <c r="S35">
        <v>1</v>
      </c>
      <c r="T35">
        <v>1</v>
      </c>
      <c r="U35" t="s">
        <v>690</v>
      </c>
      <c r="V35" t="s">
        <v>690</v>
      </c>
      <c r="W35" t="s">
        <v>690</v>
      </c>
      <c r="X35">
        <v>1</v>
      </c>
      <c r="Y35" t="s">
        <v>690</v>
      </c>
      <c r="Z35">
        <v>0</v>
      </c>
      <c r="AA35" t="s">
        <v>690</v>
      </c>
      <c r="AB35" t="s">
        <v>690</v>
      </c>
      <c r="AC35" t="s">
        <v>690</v>
      </c>
      <c r="AD35" t="s">
        <v>690</v>
      </c>
      <c r="AE35">
        <v>0</v>
      </c>
      <c r="AF35" t="s">
        <v>690</v>
      </c>
      <c r="AG35" t="s">
        <v>558</v>
      </c>
      <c r="AH35" t="s">
        <v>690</v>
      </c>
    </row>
    <row r="36" spans="1:34" x14ac:dyDescent="0.25">
      <c r="A36" t="s">
        <v>399</v>
      </c>
      <c r="B36" t="s">
        <v>400</v>
      </c>
      <c r="C36" t="s">
        <v>690</v>
      </c>
      <c r="D36" t="s">
        <v>362</v>
      </c>
      <c r="E36" t="s">
        <v>690</v>
      </c>
      <c r="F36" t="s">
        <v>401</v>
      </c>
      <c r="G36" t="s">
        <v>259</v>
      </c>
      <c r="H36" t="s">
        <v>402</v>
      </c>
      <c r="I36" t="s">
        <v>41</v>
      </c>
      <c r="J36" t="s">
        <v>690</v>
      </c>
      <c r="K36">
        <v>40</v>
      </c>
      <c r="L36">
        <v>1</v>
      </c>
      <c r="M36" t="s">
        <v>321</v>
      </c>
      <c r="N36">
        <v>1</v>
      </c>
      <c r="O36">
        <v>1</v>
      </c>
      <c r="P36">
        <v>1</v>
      </c>
      <c r="Q36" t="s">
        <v>32</v>
      </c>
      <c r="R36">
        <v>1</v>
      </c>
      <c r="S36">
        <v>1</v>
      </c>
      <c r="T36">
        <v>1</v>
      </c>
      <c r="U36" t="s">
        <v>690</v>
      </c>
      <c r="V36" t="s">
        <v>690</v>
      </c>
      <c r="W36" t="s">
        <v>690</v>
      </c>
      <c r="X36">
        <v>1</v>
      </c>
      <c r="Y36" t="s">
        <v>690</v>
      </c>
      <c r="Z36">
        <v>0</v>
      </c>
      <c r="AA36" t="s">
        <v>690</v>
      </c>
      <c r="AB36" t="s">
        <v>690</v>
      </c>
      <c r="AC36" t="s">
        <v>690</v>
      </c>
      <c r="AD36" t="s">
        <v>690</v>
      </c>
      <c r="AE36">
        <v>0</v>
      </c>
      <c r="AF36" t="s">
        <v>690</v>
      </c>
      <c r="AG36" t="s">
        <v>558</v>
      </c>
      <c r="AH36" t="s">
        <v>690</v>
      </c>
    </row>
    <row r="37" spans="1:34" x14ac:dyDescent="0.25">
      <c r="A37" t="s">
        <v>403</v>
      </c>
      <c r="B37" t="s">
        <v>404</v>
      </c>
      <c r="C37" t="s">
        <v>690</v>
      </c>
      <c r="D37" t="s">
        <v>362</v>
      </c>
      <c r="E37" t="s">
        <v>690</v>
      </c>
      <c r="F37" t="s">
        <v>405</v>
      </c>
      <c r="G37" t="s">
        <v>280</v>
      </c>
      <c r="H37" t="s">
        <v>406</v>
      </c>
      <c r="I37" t="s">
        <v>41</v>
      </c>
      <c r="J37" t="s">
        <v>690</v>
      </c>
      <c r="K37">
        <v>24</v>
      </c>
      <c r="L37">
        <v>1</v>
      </c>
      <c r="M37" t="s">
        <v>321</v>
      </c>
      <c r="N37">
        <v>1</v>
      </c>
      <c r="O37">
        <v>1</v>
      </c>
      <c r="P37">
        <v>1</v>
      </c>
      <c r="Q37" t="s">
        <v>48</v>
      </c>
      <c r="R37">
        <v>1</v>
      </c>
      <c r="S37">
        <v>1</v>
      </c>
      <c r="T37">
        <v>1</v>
      </c>
      <c r="U37" t="s">
        <v>690</v>
      </c>
      <c r="V37" t="s">
        <v>690</v>
      </c>
      <c r="W37" t="s">
        <v>690</v>
      </c>
      <c r="X37">
        <v>1</v>
      </c>
      <c r="Y37" t="s">
        <v>690</v>
      </c>
      <c r="Z37">
        <v>0</v>
      </c>
      <c r="AA37" t="s">
        <v>690</v>
      </c>
      <c r="AB37" t="s">
        <v>690</v>
      </c>
      <c r="AC37" t="s">
        <v>690</v>
      </c>
      <c r="AD37" t="s">
        <v>690</v>
      </c>
      <c r="AE37">
        <v>0</v>
      </c>
      <c r="AF37" t="s">
        <v>690</v>
      </c>
      <c r="AG37" t="s">
        <v>558</v>
      </c>
      <c r="AH37" t="s">
        <v>690</v>
      </c>
    </row>
    <row r="38" spans="1:34" x14ac:dyDescent="0.25">
      <c r="A38" t="s">
        <v>403</v>
      </c>
      <c r="B38" t="s">
        <v>404</v>
      </c>
      <c r="C38" t="s">
        <v>690</v>
      </c>
      <c r="D38" t="s">
        <v>362</v>
      </c>
      <c r="E38" t="s">
        <v>690</v>
      </c>
      <c r="F38" t="s">
        <v>407</v>
      </c>
      <c r="G38" t="s">
        <v>280</v>
      </c>
      <c r="H38" t="s">
        <v>408</v>
      </c>
      <c r="I38" t="s">
        <v>41</v>
      </c>
      <c r="J38" t="s">
        <v>690</v>
      </c>
      <c r="K38">
        <v>24</v>
      </c>
      <c r="L38">
        <v>1</v>
      </c>
      <c r="M38" t="s">
        <v>321</v>
      </c>
      <c r="N38">
        <v>1</v>
      </c>
      <c r="O38">
        <v>1</v>
      </c>
      <c r="P38">
        <v>1</v>
      </c>
      <c r="Q38" t="s">
        <v>48</v>
      </c>
      <c r="R38">
        <v>1</v>
      </c>
      <c r="S38">
        <v>1</v>
      </c>
      <c r="T38">
        <v>1</v>
      </c>
      <c r="U38" t="s">
        <v>690</v>
      </c>
      <c r="V38" t="s">
        <v>690</v>
      </c>
      <c r="W38" t="s">
        <v>690</v>
      </c>
      <c r="X38">
        <v>1</v>
      </c>
      <c r="Y38" t="s">
        <v>690</v>
      </c>
      <c r="Z38">
        <v>0</v>
      </c>
      <c r="AA38" t="s">
        <v>690</v>
      </c>
      <c r="AB38" t="s">
        <v>690</v>
      </c>
      <c r="AC38" t="s">
        <v>690</v>
      </c>
      <c r="AD38" t="s">
        <v>690</v>
      </c>
      <c r="AE38">
        <v>0</v>
      </c>
      <c r="AF38" t="s">
        <v>690</v>
      </c>
      <c r="AG38" t="s">
        <v>558</v>
      </c>
      <c r="AH38" t="s">
        <v>690</v>
      </c>
    </row>
    <row r="39" spans="1:34" x14ac:dyDescent="0.25">
      <c r="A39" t="s">
        <v>403</v>
      </c>
      <c r="B39" t="s">
        <v>404</v>
      </c>
      <c r="C39" t="s">
        <v>690</v>
      </c>
      <c r="D39" t="s">
        <v>362</v>
      </c>
      <c r="E39" t="s">
        <v>690</v>
      </c>
      <c r="F39" t="s">
        <v>409</v>
      </c>
      <c r="G39" t="s">
        <v>280</v>
      </c>
      <c r="H39" t="s">
        <v>410</v>
      </c>
      <c r="I39" t="s">
        <v>41</v>
      </c>
      <c r="J39" t="s">
        <v>690</v>
      </c>
      <c r="K39">
        <v>24</v>
      </c>
      <c r="L39">
        <v>1</v>
      </c>
      <c r="M39" t="s">
        <v>321</v>
      </c>
      <c r="N39">
        <v>1</v>
      </c>
      <c r="O39">
        <v>1</v>
      </c>
      <c r="P39">
        <v>1</v>
      </c>
      <c r="Q39" t="s">
        <v>48</v>
      </c>
      <c r="R39">
        <v>1</v>
      </c>
      <c r="S39">
        <v>1</v>
      </c>
      <c r="T39">
        <v>1</v>
      </c>
      <c r="U39" t="s">
        <v>690</v>
      </c>
      <c r="V39" t="s">
        <v>690</v>
      </c>
      <c r="W39" t="s">
        <v>690</v>
      </c>
      <c r="X39">
        <v>1</v>
      </c>
      <c r="Y39" t="s">
        <v>690</v>
      </c>
      <c r="Z39">
        <v>0</v>
      </c>
      <c r="AA39" t="s">
        <v>690</v>
      </c>
      <c r="AB39" t="s">
        <v>690</v>
      </c>
      <c r="AC39" t="s">
        <v>690</v>
      </c>
      <c r="AD39" t="s">
        <v>690</v>
      </c>
      <c r="AE39">
        <v>0</v>
      </c>
      <c r="AF39" t="s">
        <v>690</v>
      </c>
      <c r="AG39" t="s">
        <v>558</v>
      </c>
      <c r="AH39" t="s">
        <v>690</v>
      </c>
    </row>
    <row r="40" spans="1:34" x14ac:dyDescent="0.25">
      <c r="A40" t="s">
        <v>403</v>
      </c>
      <c r="B40" t="s">
        <v>404</v>
      </c>
      <c r="C40" t="s">
        <v>690</v>
      </c>
      <c r="D40" t="s">
        <v>362</v>
      </c>
      <c r="E40" t="s">
        <v>690</v>
      </c>
      <c r="F40" t="s">
        <v>411</v>
      </c>
      <c r="G40" t="s">
        <v>280</v>
      </c>
      <c r="H40" t="s">
        <v>412</v>
      </c>
      <c r="I40" t="s">
        <v>41</v>
      </c>
      <c r="J40" t="s">
        <v>690</v>
      </c>
      <c r="K40">
        <v>24</v>
      </c>
      <c r="L40">
        <v>1</v>
      </c>
      <c r="M40" t="s">
        <v>321</v>
      </c>
      <c r="N40">
        <v>1</v>
      </c>
      <c r="O40">
        <v>1</v>
      </c>
      <c r="P40">
        <v>1</v>
      </c>
      <c r="Q40" t="s">
        <v>48</v>
      </c>
      <c r="R40">
        <v>1</v>
      </c>
      <c r="S40">
        <v>1</v>
      </c>
      <c r="T40">
        <v>1</v>
      </c>
      <c r="U40" t="s">
        <v>690</v>
      </c>
      <c r="V40" t="s">
        <v>690</v>
      </c>
      <c r="W40" t="s">
        <v>690</v>
      </c>
      <c r="X40">
        <v>1</v>
      </c>
      <c r="Y40" t="s">
        <v>690</v>
      </c>
      <c r="Z40">
        <v>0</v>
      </c>
      <c r="AA40" t="s">
        <v>690</v>
      </c>
      <c r="AB40" t="s">
        <v>690</v>
      </c>
      <c r="AC40" t="s">
        <v>690</v>
      </c>
      <c r="AD40" t="s">
        <v>690</v>
      </c>
      <c r="AE40">
        <v>0</v>
      </c>
      <c r="AF40" t="s">
        <v>690</v>
      </c>
      <c r="AG40" t="s">
        <v>558</v>
      </c>
      <c r="AH40" t="s">
        <v>690</v>
      </c>
    </row>
    <row r="41" spans="1:34" x14ac:dyDescent="0.25">
      <c r="A41" t="s">
        <v>403</v>
      </c>
      <c r="B41" t="s">
        <v>404</v>
      </c>
      <c r="C41" t="s">
        <v>690</v>
      </c>
      <c r="D41" t="s">
        <v>362</v>
      </c>
      <c r="E41" t="s">
        <v>690</v>
      </c>
      <c r="F41" t="s">
        <v>413</v>
      </c>
      <c r="G41" t="s">
        <v>280</v>
      </c>
      <c r="H41" t="s">
        <v>414</v>
      </c>
      <c r="I41" t="s">
        <v>41</v>
      </c>
      <c r="J41" t="s">
        <v>690</v>
      </c>
      <c r="K41">
        <v>24</v>
      </c>
      <c r="L41">
        <v>1</v>
      </c>
      <c r="M41" t="s">
        <v>321</v>
      </c>
      <c r="N41">
        <v>1</v>
      </c>
      <c r="O41">
        <v>1</v>
      </c>
      <c r="P41">
        <v>1</v>
      </c>
      <c r="Q41" t="s">
        <v>48</v>
      </c>
      <c r="R41">
        <v>1</v>
      </c>
      <c r="S41">
        <v>1</v>
      </c>
      <c r="T41">
        <v>1</v>
      </c>
      <c r="U41" t="s">
        <v>690</v>
      </c>
      <c r="V41" t="s">
        <v>690</v>
      </c>
      <c r="W41" t="s">
        <v>690</v>
      </c>
      <c r="X41">
        <v>1</v>
      </c>
      <c r="Y41" t="s">
        <v>690</v>
      </c>
      <c r="Z41">
        <v>0</v>
      </c>
      <c r="AA41" t="s">
        <v>690</v>
      </c>
      <c r="AB41" t="s">
        <v>690</v>
      </c>
      <c r="AC41" t="s">
        <v>690</v>
      </c>
      <c r="AD41" t="s">
        <v>690</v>
      </c>
      <c r="AE41">
        <v>0</v>
      </c>
      <c r="AF41" t="s">
        <v>690</v>
      </c>
      <c r="AG41" t="s">
        <v>558</v>
      </c>
      <c r="AH41" t="s">
        <v>690</v>
      </c>
    </row>
    <row r="42" spans="1:34" x14ac:dyDescent="0.25">
      <c r="A42" t="s">
        <v>403</v>
      </c>
      <c r="B42" t="s">
        <v>404</v>
      </c>
      <c r="C42" t="s">
        <v>690</v>
      </c>
      <c r="D42" t="s">
        <v>362</v>
      </c>
      <c r="E42" t="s">
        <v>690</v>
      </c>
      <c r="F42" t="s">
        <v>415</v>
      </c>
      <c r="G42" t="s">
        <v>280</v>
      </c>
      <c r="H42" t="s">
        <v>416</v>
      </c>
      <c r="I42" t="s">
        <v>41</v>
      </c>
      <c r="J42" t="s">
        <v>690</v>
      </c>
      <c r="K42">
        <v>24</v>
      </c>
      <c r="L42">
        <v>1</v>
      </c>
      <c r="M42" t="s">
        <v>321</v>
      </c>
      <c r="N42">
        <v>1</v>
      </c>
      <c r="O42">
        <v>1</v>
      </c>
      <c r="P42">
        <v>1</v>
      </c>
      <c r="Q42" t="s">
        <v>48</v>
      </c>
      <c r="R42">
        <v>1</v>
      </c>
      <c r="S42">
        <v>1</v>
      </c>
      <c r="T42">
        <v>1</v>
      </c>
      <c r="U42" t="s">
        <v>690</v>
      </c>
      <c r="V42" t="s">
        <v>690</v>
      </c>
      <c r="W42" t="s">
        <v>690</v>
      </c>
      <c r="X42">
        <v>1</v>
      </c>
      <c r="Y42" t="s">
        <v>690</v>
      </c>
      <c r="Z42">
        <v>0</v>
      </c>
      <c r="AA42" t="s">
        <v>690</v>
      </c>
      <c r="AB42" t="s">
        <v>690</v>
      </c>
      <c r="AC42" t="s">
        <v>690</v>
      </c>
      <c r="AD42" t="s">
        <v>690</v>
      </c>
      <c r="AE42">
        <v>0</v>
      </c>
      <c r="AF42" t="s">
        <v>690</v>
      </c>
      <c r="AG42" t="s">
        <v>558</v>
      </c>
      <c r="AH42" t="s">
        <v>690</v>
      </c>
    </row>
    <row r="43" spans="1:34" x14ac:dyDescent="0.25">
      <c r="A43" t="s">
        <v>403</v>
      </c>
      <c r="B43" t="s">
        <v>404</v>
      </c>
      <c r="C43" t="s">
        <v>690</v>
      </c>
      <c r="D43" t="s">
        <v>362</v>
      </c>
      <c r="E43" t="s">
        <v>690</v>
      </c>
      <c r="F43" t="s">
        <v>417</v>
      </c>
      <c r="G43" t="s">
        <v>280</v>
      </c>
      <c r="H43" t="s">
        <v>418</v>
      </c>
      <c r="I43" t="s">
        <v>41</v>
      </c>
      <c r="J43" t="s">
        <v>690</v>
      </c>
      <c r="K43">
        <v>24</v>
      </c>
      <c r="L43">
        <v>1</v>
      </c>
      <c r="M43" t="s">
        <v>321</v>
      </c>
      <c r="N43">
        <v>1</v>
      </c>
      <c r="O43">
        <v>1</v>
      </c>
      <c r="P43">
        <v>1</v>
      </c>
      <c r="Q43" t="s">
        <v>48</v>
      </c>
      <c r="R43">
        <v>1</v>
      </c>
      <c r="S43">
        <v>1</v>
      </c>
      <c r="T43">
        <v>1</v>
      </c>
      <c r="U43" t="s">
        <v>690</v>
      </c>
      <c r="V43" t="s">
        <v>690</v>
      </c>
      <c r="W43" t="s">
        <v>690</v>
      </c>
      <c r="X43">
        <v>1</v>
      </c>
      <c r="Y43" t="s">
        <v>690</v>
      </c>
      <c r="Z43">
        <v>0</v>
      </c>
      <c r="AA43" t="s">
        <v>690</v>
      </c>
      <c r="AB43" t="s">
        <v>690</v>
      </c>
      <c r="AC43" t="s">
        <v>690</v>
      </c>
      <c r="AD43" t="s">
        <v>690</v>
      </c>
      <c r="AE43">
        <v>0</v>
      </c>
      <c r="AF43" t="s">
        <v>690</v>
      </c>
      <c r="AG43" t="s">
        <v>558</v>
      </c>
      <c r="AH43" t="s">
        <v>690</v>
      </c>
    </row>
    <row r="44" spans="1:34" x14ac:dyDescent="0.25">
      <c r="A44" t="s">
        <v>403</v>
      </c>
      <c r="B44" t="s">
        <v>404</v>
      </c>
      <c r="C44" t="s">
        <v>690</v>
      </c>
      <c r="D44" t="s">
        <v>362</v>
      </c>
      <c r="E44" t="s">
        <v>690</v>
      </c>
      <c r="F44" t="s">
        <v>419</v>
      </c>
      <c r="G44" t="s">
        <v>280</v>
      </c>
      <c r="H44" t="s">
        <v>420</v>
      </c>
      <c r="I44" t="s">
        <v>41</v>
      </c>
      <c r="J44" t="s">
        <v>690</v>
      </c>
      <c r="K44">
        <v>24</v>
      </c>
      <c r="L44">
        <v>1</v>
      </c>
      <c r="M44" t="s">
        <v>321</v>
      </c>
      <c r="N44">
        <v>1</v>
      </c>
      <c r="O44">
        <v>1</v>
      </c>
      <c r="P44">
        <v>1</v>
      </c>
      <c r="Q44" t="s">
        <v>48</v>
      </c>
      <c r="R44">
        <v>1</v>
      </c>
      <c r="S44">
        <v>1</v>
      </c>
      <c r="T44">
        <v>1</v>
      </c>
      <c r="U44" t="s">
        <v>690</v>
      </c>
      <c r="V44" t="s">
        <v>690</v>
      </c>
      <c r="W44" t="s">
        <v>690</v>
      </c>
      <c r="X44">
        <v>1</v>
      </c>
      <c r="Y44" t="s">
        <v>690</v>
      </c>
      <c r="Z44">
        <v>0</v>
      </c>
      <c r="AA44" t="s">
        <v>690</v>
      </c>
      <c r="AB44" t="s">
        <v>690</v>
      </c>
      <c r="AC44" t="s">
        <v>690</v>
      </c>
      <c r="AD44" t="s">
        <v>690</v>
      </c>
      <c r="AE44">
        <v>0</v>
      </c>
      <c r="AF44" t="s">
        <v>690</v>
      </c>
      <c r="AG44" t="s">
        <v>558</v>
      </c>
      <c r="AH44" t="s">
        <v>690</v>
      </c>
    </row>
    <row r="45" spans="1:34" x14ac:dyDescent="0.25">
      <c r="A45" t="s">
        <v>403</v>
      </c>
      <c r="B45" t="s">
        <v>404</v>
      </c>
      <c r="C45" t="s">
        <v>690</v>
      </c>
      <c r="D45" t="s">
        <v>362</v>
      </c>
      <c r="E45" t="s">
        <v>690</v>
      </c>
      <c r="F45" t="s">
        <v>421</v>
      </c>
      <c r="G45" t="s">
        <v>280</v>
      </c>
      <c r="H45" t="s">
        <v>422</v>
      </c>
      <c r="I45" t="s">
        <v>41</v>
      </c>
      <c r="J45" t="s">
        <v>690</v>
      </c>
      <c r="K45">
        <v>24</v>
      </c>
      <c r="L45">
        <v>1</v>
      </c>
      <c r="M45" t="s">
        <v>321</v>
      </c>
      <c r="N45">
        <v>1</v>
      </c>
      <c r="O45">
        <v>1</v>
      </c>
      <c r="P45">
        <v>1</v>
      </c>
      <c r="Q45" t="s">
        <v>48</v>
      </c>
      <c r="R45">
        <v>1</v>
      </c>
      <c r="S45">
        <v>1</v>
      </c>
      <c r="T45">
        <v>1</v>
      </c>
      <c r="U45" t="s">
        <v>690</v>
      </c>
      <c r="V45" t="s">
        <v>690</v>
      </c>
      <c r="W45" t="s">
        <v>690</v>
      </c>
      <c r="X45">
        <v>1</v>
      </c>
      <c r="Y45" t="s">
        <v>690</v>
      </c>
      <c r="Z45">
        <v>0</v>
      </c>
      <c r="AA45" t="s">
        <v>690</v>
      </c>
      <c r="AB45" t="s">
        <v>690</v>
      </c>
      <c r="AC45" t="s">
        <v>690</v>
      </c>
      <c r="AD45" t="s">
        <v>690</v>
      </c>
      <c r="AE45">
        <v>0</v>
      </c>
      <c r="AF45" t="s">
        <v>690</v>
      </c>
      <c r="AG45" t="s">
        <v>558</v>
      </c>
      <c r="AH45" t="s">
        <v>690</v>
      </c>
    </row>
    <row r="46" spans="1:34" x14ac:dyDescent="0.25">
      <c r="A46" t="s">
        <v>387</v>
      </c>
      <c r="B46" t="s">
        <v>388</v>
      </c>
      <c r="C46" t="s">
        <v>690</v>
      </c>
      <c r="D46" t="s">
        <v>362</v>
      </c>
      <c r="E46" t="s">
        <v>690</v>
      </c>
      <c r="F46" t="s">
        <v>423</v>
      </c>
      <c r="G46" t="s">
        <v>259</v>
      </c>
      <c r="H46" t="s">
        <v>424</v>
      </c>
      <c r="I46" t="s">
        <v>35</v>
      </c>
      <c r="J46" t="s">
        <v>690</v>
      </c>
      <c r="K46">
        <v>40</v>
      </c>
      <c r="L46">
        <v>1</v>
      </c>
      <c r="M46" t="s">
        <v>355</v>
      </c>
      <c r="N46">
        <v>1</v>
      </c>
      <c r="O46">
        <v>1</v>
      </c>
      <c r="P46">
        <v>1</v>
      </c>
      <c r="Q46" t="s">
        <v>48</v>
      </c>
      <c r="R46">
        <v>1</v>
      </c>
      <c r="S46">
        <v>1</v>
      </c>
      <c r="T46">
        <v>1</v>
      </c>
      <c r="U46" t="s">
        <v>690</v>
      </c>
      <c r="V46" t="s">
        <v>690</v>
      </c>
      <c r="W46" t="s">
        <v>690</v>
      </c>
      <c r="X46">
        <v>1</v>
      </c>
      <c r="Y46" t="s">
        <v>690</v>
      </c>
      <c r="Z46">
        <v>0</v>
      </c>
      <c r="AA46" t="s">
        <v>690</v>
      </c>
      <c r="AB46" t="s">
        <v>690</v>
      </c>
      <c r="AC46" t="s">
        <v>690</v>
      </c>
      <c r="AD46" t="s">
        <v>690</v>
      </c>
      <c r="AE46">
        <v>0</v>
      </c>
      <c r="AF46" t="s">
        <v>690</v>
      </c>
      <c r="AG46" t="s">
        <v>558</v>
      </c>
      <c r="AH46" t="s">
        <v>690</v>
      </c>
    </row>
    <row r="47" spans="1:34" x14ac:dyDescent="0.25">
      <c r="A47" t="s">
        <v>387</v>
      </c>
      <c r="B47" t="s">
        <v>388</v>
      </c>
      <c r="C47" t="s">
        <v>690</v>
      </c>
      <c r="D47" t="s">
        <v>362</v>
      </c>
      <c r="E47" t="s">
        <v>690</v>
      </c>
      <c r="F47" t="s">
        <v>425</v>
      </c>
      <c r="G47" t="s">
        <v>259</v>
      </c>
      <c r="H47" t="s">
        <v>424</v>
      </c>
      <c r="I47" t="s">
        <v>35</v>
      </c>
      <c r="J47" t="s">
        <v>690</v>
      </c>
      <c r="K47">
        <v>40</v>
      </c>
      <c r="L47">
        <v>1</v>
      </c>
      <c r="M47" t="s">
        <v>355</v>
      </c>
      <c r="N47">
        <v>1</v>
      </c>
      <c r="O47">
        <v>1</v>
      </c>
      <c r="P47">
        <v>1</v>
      </c>
      <c r="Q47" t="s">
        <v>48</v>
      </c>
      <c r="R47">
        <v>1</v>
      </c>
      <c r="S47">
        <v>1</v>
      </c>
      <c r="T47">
        <v>1</v>
      </c>
      <c r="U47" t="s">
        <v>690</v>
      </c>
      <c r="V47" t="s">
        <v>690</v>
      </c>
      <c r="W47" t="s">
        <v>690</v>
      </c>
      <c r="X47">
        <v>1</v>
      </c>
      <c r="Y47" t="s">
        <v>690</v>
      </c>
      <c r="Z47">
        <v>0</v>
      </c>
      <c r="AA47" t="s">
        <v>690</v>
      </c>
      <c r="AB47" t="s">
        <v>690</v>
      </c>
      <c r="AC47" t="s">
        <v>690</v>
      </c>
      <c r="AD47" t="s">
        <v>690</v>
      </c>
      <c r="AE47">
        <v>0</v>
      </c>
      <c r="AF47" t="s">
        <v>690</v>
      </c>
      <c r="AG47" t="s">
        <v>558</v>
      </c>
      <c r="AH47" t="s">
        <v>690</v>
      </c>
    </row>
    <row r="48" spans="1:34" x14ac:dyDescent="0.25">
      <c r="A48" t="s">
        <v>426</v>
      </c>
      <c r="B48" t="s">
        <v>427</v>
      </c>
      <c r="C48" t="s">
        <v>690</v>
      </c>
      <c r="D48" t="s">
        <v>362</v>
      </c>
      <c r="E48" t="s">
        <v>690</v>
      </c>
      <c r="F48" t="s">
        <v>428</v>
      </c>
      <c r="G48" t="s">
        <v>284</v>
      </c>
      <c r="H48" t="s">
        <v>691</v>
      </c>
      <c r="I48" t="s">
        <v>41</v>
      </c>
      <c r="J48" t="s">
        <v>690</v>
      </c>
      <c r="K48">
        <v>40</v>
      </c>
      <c r="L48">
        <v>1</v>
      </c>
      <c r="M48" t="s">
        <v>321</v>
      </c>
      <c r="N48">
        <v>1</v>
      </c>
      <c r="O48">
        <v>1</v>
      </c>
      <c r="P48">
        <v>1</v>
      </c>
      <c r="Q48" t="s">
        <v>48</v>
      </c>
      <c r="R48">
        <v>1</v>
      </c>
      <c r="S48">
        <v>1</v>
      </c>
      <c r="T48">
        <v>1</v>
      </c>
      <c r="U48" t="s">
        <v>690</v>
      </c>
      <c r="V48" t="s">
        <v>690</v>
      </c>
      <c r="W48" t="s">
        <v>690</v>
      </c>
      <c r="X48">
        <v>1</v>
      </c>
      <c r="Y48" t="s">
        <v>690</v>
      </c>
      <c r="Z48">
        <v>0</v>
      </c>
      <c r="AA48" t="s">
        <v>690</v>
      </c>
      <c r="AB48" t="s">
        <v>690</v>
      </c>
      <c r="AC48" t="s">
        <v>690</v>
      </c>
      <c r="AD48" t="s">
        <v>690</v>
      </c>
      <c r="AE48">
        <v>0</v>
      </c>
      <c r="AF48" t="s">
        <v>690</v>
      </c>
      <c r="AG48" t="s">
        <v>564</v>
      </c>
      <c r="AH48" t="s">
        <v>690</v>
      </c>
    </row>
    <row r="49" spans="1:34" x14ac:dyDescent="0.25">
      <c r="A49" t="s">
        <v>429</v>
      </c>
      <c r="B49" t="s">
        <v>430</v>
      </c>
      <c r="C49" t="s">
        <v>690</v>
      </c>
      <c r="D49" t="s">
        <v>362</v>
      </c>
      <c r="E49" t="s">
        <v>690</v>
      </c>
      <c r="F49" t="s">
        <v>431</v>
      </c>
      <c r="G49" t="s">
        <v>259</v>
      </c>
      <c r="H49" t="s">
        <v>432</v>
      </c>
      <c r="I49" t="s">
        <v>41</v>
      </c>
      <c r="J49" t="s">
        <v>690</v>
      </c>
      <c r="K49">
        <v>40</v>
      </c>
      <c r="L49">
        <v>1</v>
      </c>
      <c r="M49" t="s">
        <v>321</v>
      </c>
      <c r="N49">
        <v>1</v>
      </c>
      <c r="O49">
        <v>1</v>
      </c>
      <c r="P49">
        <v>1</v>
      </c>
      <c r="Q49" t="s">
        <v>48</v>
      </c>
      <c r="R49">
        <v>1</v>
      </c>
      <c r="S49">
        <v>1</v>
      </c>
      <c r="T49">
        <v>1</v>
      </c>
      <c r="U49" t="s">
        <v>690</v>
      </c>
      <c r="V49" t="s">
        <v>690</v>
      </c>
      <c r="W49" t="s">
        <v>690</v>
      </c>
      <c r="X49">
        <v>1</v>
      </c>
      <c r="Y49" t="s">
        <v>690</v>
      </c>
      <c r="Z49">
        <v>0</v>
      </c>
      <c r="AA49" t="s">
        <v>690</v>
      </c>
      <c r="AB49" t="s">
        <v>690</v>
      </c>
      <c r="AC49" t="s">
        <v>690</v>
      </c>
      <c r="AD49" t="s">
        <v>690</v>
      </c>
      <c r="AE49">
        <v>0</v>
      </c>
      <c r="AF49" t="s">
        <v>690</v>
      </c>
      <c r="AG49" t="s">
        <v>556</v>
      </c>
      <c r="AH49" t="s">
        <v>690</v>
      </c>
    </row>
    <row r="50" spans="1:34" x14ac:dyDescent="0.25">
      <c r="A50" t="s">
        <v>433</v>
      </c>
      <c r="B50" t="s">
        <v>434</v>
      </c>
      <c r="C50" t="s">
        <v>690</v>
      </c>
      <c r="D50" t="s">
        <v>435</v>
      </c>
      <c r="E50" t="s">
        <v>690</v>
      </c>
      <c r="F50" t="s">
        <v>436</v>
      </c>
      <c r="G50" t="s">
        <v>259</v>
      </c>
      <c r="H50" t="s">
        <v>437</v>
      </c>
      <c r="I50" t="s">
        <v>35</v>
      </c>
      <c r="J50" t="s">
        <v>690</v>
      </c>
      <c r="K50">
        <v>40</v>
      </c>
      <c r="L50">
        <v>1</v>
      </c>
      <c r="M50" t="s">
        <v>44</v>
      </c>
      <c r="N50">
        <v>1</v>
      </c>
      <c r="O50">
        <v>1</v>
      </c>
      <c r="P50">
        <v>1</v>
      </c>
      <c r="Q50" t="s">
        <v>48</v>
      </c>
      <c r="R50">
        <v>1</v>
      </c>
      <c r="S50">
        <v>1</v>
      </c>
      <c r="T50">
        <v>1</v>
      </c>
      <c r="U50" t="s">
        <v>690</v>
      </c>
      <c r="V50" t="s">
        <v>690</v>
      </c>
      <c r="W50" t="s">
        <v>690</v>
      </c>
      <c r="X50">
        <v>1</v>
      </c>
      <c r="Y50" t="s">
        <v>690</v>
      </c>
      <c r="Z50">
        <v>0</v>
      </c>
      <c r="AA50" t="s">
        <v>690</v>
      </c>
      <c r="AB50" t="s">
        <v>690</v>
      </c>
      <c r="AC50" t="s">
        <v>690</v>
      </c>
      <c r="AD50" t="s">
        <v>690</v>
      </c>
      <c r="AE50">
        <v>0</v>
      </c>
      <c r="AF50" t="s">
        <v>690</v>
      </c>
      <c r="AG50" t="s">
        <v>556</v>
      </c>
      <c r="AH50" t="s">
        <v>690</v>
      </c>
    </row>
    <row r="51" spans="1:34" x14ac:dyDescent="0.25">
      <c r="A51" t="s">
        <v>433</v>
      </c>
      <c r="B51" t="s">
        <v>434</v>
      </c>
      <c r="C51" t="s">
        <v>690</v>
      </c>
      <c r="D51" t="s">
        <v>435</v>
      </c>
      <c r="E51" t="s">
        <v>690</v>
      </c>
      <c r="F51" t="s">
        <v>438</v>
      </c>
      <c r="G51" t="s">
        <v>259</v>
      </c>
      <c r="H51" t="s">
        <v>439</v>
      </c>
      <c r="I51" t="s">
        <v>35</v>
      </c>
      <c r="J51" t="s">
        <v>690</v>
      </c>
      <c r="K51">
        <v>40</v>
      </c>
      <c r="L51">
        <v>1</v>
      </c>
      <c r="M51" t="s">
        <v>44</v>
      </c>
      <c r="N51">
        <v>1</v>
      </c>
      <c r="O51">
        <v>1</v>
      </c>
      <c r="P51">
        <v>1</v>
      </c>
      <c r="Q51" t="s">
        <v>48</v>
      </c>
      <c r="R51">
        <v>1</v>
      </c>
      <c r="S51">
        <v>1</v>
      </c>
      <c r="T51">
        <v>1</v>
      </c>
      <c r="U51" t="s">
        <v>690</v>
      </c>
      <c r="V51" t="s">
        <v>690</v>
      </c>
      <c r="W51" t="s">
        <v>690</v>
      </c>
      <c r="X51">
        <v>1</v>
      </c>
      <c r="Y51" t="s">
        <v>690</v>
      </c>
      <c r="Z51">
        <v>0</v>
      </c>
      <c r="AA51" t="s">
        <v>690</v>
      </c>
      <c r="AB51" t="s">
        <v>690</v>
      </c>
      <c r="AC51" t="s">
        <v>690</v>
      </c>
      <c r="AD51" t="s">
        <v>690</v>
      </c>
      <c r="AE51">
        <v>0</v>
      </c>
      <c r="AF51" t="s">
        <v>690</v>
      </c>
      <c r="AG51" t="s">
        <v>556</v>
      </c>
      <c r="AH51" t="s">
        <v>690</v>
      </c>
    </row>
    <row r="52" spans="1:34" x14ac:dyDescent="0.25">
      <c r="A52" t="s">
        <v>440</v>
      </c>
      <c r="B52" t="s">
        <v>441</v>
      </c>
      <c r="C52" t="s">
        <v>690</v>
      </c>
      <c r="D52" t="s">
        <v>435</v>
      </c>
      <c r="E52" t="s">
        <v>690</v>
      </c>
      <c r="F52" t="s">
        <v>442</v>
      </c>
      <c r="G52" t="s">
        <v>259</v>
      </c>
      <c r="H52" t="s">
        <v>443</v>
      </c>
      <c r="I52" t="s">
        <v>35</v>
      </c>
      <c r="J52" t="s">
        <v>690</v>
      </c>
      <c r="K52">
        <v>24</v>
      </c>
      <c r="L52">
        <v>1</v>
      </c>
      <c r="M52" t="s">
        <v>44</v>
      </c>
      <c r="N52">
        <v>1</v>
      </c>
      <c r="O52">
        <v>1</v>
      </c>
      <c r="P52">
        <v>1</v>
      </c>
      <c r="Q52" t="s">
        <v>48</v>
      </c>
      <c r="R52">
        <v>1</v>
      </c>
      <c r="S52">
        <v>1</v>
      </c>
      <c r="T52">
        <v>1</v>
      </c>
      <c r="U52" t="s">
        <v>690</v>
      </c>
      <c r="V52" t="s">
        <v>690</v>
      </c>
      <c r="W52" t="s">
        <v>690</v>
      </c>
      <c r="X52">
        <v>1</v>
      </c>
      <c r="Y52" t="s">
        <v>690</v>
      </c>
      <c r="Z52">
        <v>0</v>
      </c>
      <c r="AA52" t="s">
        <v>690</v>
      </c>
      <c r="AB52" t="s">
        <v>690</v>
      </c>
      <c r="AC52" t="s">
        <v>690</v>
      </c>
      <c r="AD52" t="s">
        <v>690</v>
      </c>
      <c r="AE52">
        <v>0</v>
      </c>
      <c r="AF52" t="s">
        <v>690</v>
      </c>
      <c r="AG52" t="s">
        <v>556</v>
      </c>
      <c r="AH52" t="s">
        <v>690</v>
      </c>
    </row>
    <row r="53" spans="1:34" x14ac:dyDescent="0.25">
      <c r="A53" t="s">
        <v>444</v>
      </c>
      <c r="B53" t="s">
        <v>445</v>
      </c>
      <c r="C53" t="s">
        <v>690</v>
      </c>
      <c r="D53" t="s">
        <v>435</v>
      </c>
      <c r="E53" t="s">
        <v>690</v>
      </c>
      <c r="F53" t="s">
        <v>446</v>
      </c>
      <c r="G53" t="s">
        <v>280</v>
      </c>
      <c r="H53" t="s">
        <v>439</v>
      </c>
      <c r="I53" t="s">
        <v>35</v>
      </c>
      <c r="J53" t="s">
        <v>690</v>
      </c>
      <c r="K53">
        <v>40</v>
      </c>
      <c r="L53">
        <v>1</v>
      </c>
      <c r="M53" t="s">
        <v>44</v>
      </c>
      <c r="N53">
        <v>1</v>
      </c>
      <c r="O53">
        <v>1</v>
      </c>
      <c r="P53">
        <v>1</v>
      </c>
      <c r="Q53" t="s">
        <v>48</v>
      </c>
      <c r="R53">
        <v>1</v>
      </c>
      <c r="S53">
        <v>1</v>
      </c>
      <c r="T53">
        <v>1</v>
      </c>
      <c r="U53" t="s">
        <v>690</v>
      </c>
      <c r="V53" t="s">
        <v>690</v>
      </c>
      <c r="W53" t="s">
        <v>690</v>
      </c>
      <c r="X53">
        <v>1</v>
      </c>
      <c r="Y53" t="s">
        <v>690</v>
      </c>
      <c r="Z53">
        <v>0</v>
      </c>
      <c r="AA53" t="s">
        <v>690</v>
      </c>
      <c r="AB53" t="s">
        <v>690</v>
      </c>
      <c r="AC53" t="s">
        <v>690</v>
      </c>
      <c r="AD53" t="s">
        <v>690</v>
      </c>
      <c r="AE53">
        <v>0</v>
      </c>
      <c r="AF53" t="s">
        <v>690</v>
      </c>
      <c r="AG53" t="s">
        <v>565</v>
      </c>
      <c r="AH53" t="s">
        <v>690</v>
      </c>
    </row>
    <row r="54" spans="1:34" x14ac:dyDescent="0.25">
      <c r="A54" t="s">
        <v>447</v>
      </c>
      <c r="B54" t="s">
        <v>448</v>
      </c>
      <c r="C54" t="s">
        <v>690</v>
      </c>
      <c r="D54" t="s">
        <v>435</v>
      </c>
      <c r="E54" t="s">
        <v>690</v>
      </c>
      <c r="F54" t="s">
        <v>449</v>
      </c>
      <c r="G54" t="s">
        <v>259</v>
      </c>
      <c r="H54" t="s">
        <v>450</v>
      </c>
      <c r="I54" t="s">
        <v>35</v>
      </c>
      <c r="J54" t="s">
        <v>690</v>
      </c>
      <c r="K54">
        <v>40</v>
      </c>
      <c r="L54">
        <v>1</v>
      </c>
      <c r="M54" t="s">
        <v>44</v>
      </c>
      <c r="N54">
        <v>1</v>
      </c>
      <c r="O54">
        <v>1</v>
      </c>
      <c r="P54">
        <v>1</v>
      </c>
      <c r="Q54" t="s">
        <v>48</v>
      </c>
      <c r="R54">
        <v>1</v>
      </c>
      <c r="S54">
        <v>1</v>
      </c>
      <c r="T54">
        <v>1</v>
      </c>
      <c r="U54" t="s">
        <v>690</v>
      </c>
      <c r="V54" t="s">
        <v>690</v>
      </c>
      <c r="W54" t="s">
        <v>690</v>
      </c>
      <c r="X54">
        <v>1</v>
      </c>
      <c r="Y54" t="s">
        <v>690</v>
      </c>
      <c r="Z54">
        <v>0</v>
      </c>
      <c r="AA54" t="s">
        <v>690</v>
      </c>
      <c r="AB54" t="s">
        <v>690</v>
      </c>
      <c r="AC54" t="s">
        <v>690</v>
      </c>
      <c r="AD54" t="s">
        <v>690</v>
      </c>
      <c r="AE54">
        <v>0</v>
      </c>
      <c r="AF54" t="s">
        <v>690</v>
      </c>
      <c r="AG54" t="s">
        <v>556</v>
      </c>
      <c r="AH54" t="s">
        <v>690</v>
      </c>
    </row>
    <row r="55" spans="1:34" x14ac:dyDescent="0.25">
      <c r="A55" t="s">
        <v>447</v>
      </c>
      <c r="B55" t="s">
        <v>448</v>
      </c>
      <c r="C55" t="s">
        <v>690</v>
      </c>
      <c r="D55" t="s">
        <v>435</v>
      </c>
      <c r="E55" t="s">
        <v>690</v>
      </c>
      <c r="F55" t="s">
        <v>451</v>
      </c>
      <c r="G55" t="s">
        <v>259</v>
      </c>
      <c r="H55" t="s">
        <v>452</v>
      </c>
      <c r="I55" t="s">
        <v>35</v>
      </c>
      <c r="J55" t="s">
        <v>690</v>
      </c>
      <c r="K55">
        <v>24</v>
      </c>
      <c r="L55">
        <v>1</v>
      </c>
      <c r="M55" t="s">
        <v>44</v>
      </c>
      <c r="N55">
        <v>1</v>
      </c>
      <c r="O55">
        <v>1</v>
      </c>
      <c r="P55">
        <v>1</v>
      </c>
      <c r="Q55" t="s">
        <v>48</v>
      </c>
      <c r="R55">
        <v>1</v>
      </c>
      <c r="S55">
        <v>1</v>
      </c>
      <c r="T55">
        <v>1</v>
      </c>
      <c r="U55" t="s">
        <v>690</v>
      </c>
      <c r="V55" t="s">
        <v>690</v>
      </c>
      <c r="W55" t="s">
        <v>690</v>
      </c>
      <c r="X55">
        <v>1</v>
      </c>
      <c r="Y55" t="s">
        <v>690</v>
      </c>
      <c r="Z55">
        <v>0</v>
      </c>
      <c r="AA55" t="s">
        <v>690</v>
      </c>
      <c r="AB55" t="s">
        <v>690</v>
      </c>
      <c r="AC55" t="s">
        <v>690</v>
      </c>
      <c r="AD55" t="s">
        <v>690</v>
      </c>
      <c r="AE55">
        <v>0</v>
      </c>
      <c r="AF55" t="s">
        <v>690</v>
      </c>
      <c r="AG55" t="s">
        <v>556</v>
      </c>
      <c r="AH55" t="s">
        <v>690</v>
      </c>
    </row>
    <row r="56" spans="1:34" x14ac:dyDescent="0.25">
      <c r="A56" t="s">
        <v>453</v>
      </c>
      <c r="B56" t="s">
        <v>454</v>
      </c>
      <c r="C56" t="s">
        <v>690</v>
      </c>
      <c r="D56" t="s">
        <v>435</v>
      </c>
      <c r="E56" t="s">
        <v>690</v>
      </c>
      <c r="F56" t="s">
        <v>455</v>
      </c>
      <c r="G56" t="s">
        <v>280</v>
      </c>
      <c r="H56" t="s">
        <v>456</v>
      </c>
      <c r="I56" t="s">
        <v>35</v>
      </c>
      <c r="J56" t="s">
        <v>690</v>
      </c>
      <c r="K56">
        <v>24</v>
      </c>
      <c r="L56">
        <v>1</v>
      </c>
      <c r="M56" t="s">
        <v>44</v>
      </c>
      <c r="N56">
        <v>1</v>
      </c>
      <c r="O56">
        <v>0</v>
      </c>
      <c r="P56">
        <v>0</v>
      </c>
      <c r="Q56" t="s">
        <v>48</v>
      </c>
      <c r="R56">
        <v>1</v>
      </c>
      <c r="S56">
        <v>0</v>
      </c>
      <c r="T56" t="s">
        <v>690</v>
      </c>
      <c r="U56" t="s">
        <v>690</v>
      </c>
      <c r="V56" t="s">
        <v>690</v>
      </c>
      <c r="W56" t="s">
        <v>690</v>
      </c>
      <c r="X56">
        <v>0</v>
      </c>
      <c r="Y56" t="s">
        <v>690</v>
      </c>
      <c r="Z56">
        <v>0</v>
      </c>
      <c r="AA56" t="s">
        <v>690</v>
      </c>
      <c r="AB56" t="s">
        <v>690</v>
      </c>
      <c r="AC56" t="s">
        <v>690</v>
      </c>
      <c r="AD56" t="s">
        <v>690</v>
      </c>
      <c r="AE56">
        <v>0</v>
      </c>
      <c r="AF56" t="s">
        <v>690</v>
      </c>
      <c r="AG56" t="s">
        <v>565</v>
      </c>
      <c r="AH56" t="s">
        <v>690</v>
      </c>
    </row>
    <row r="57" spans="1:34" x14ac:dyDescent="0.25">
      <c r="A57" t="s">
        <v>457</v>
      </c>
      <c r="B57" t="s">
        <v>458</v>
      </c>
      <c r="C57" t="s">
        <v>690</v>
      </c>
      <c r="D57" t="s">
        <v>435</v>
      </c>
      <c r="E57" t="s">
        <v>690</v>
      </c>
      <c r="F57" t="s">
        <v>459</v>
      </c>
      <c r="G57" t="s">
        <v>259</v>
      </c>
      <c r="H57" t="s">
        <v>460</v>
      </c>
      <c r="I57" t="s">
        <v>41</v>
      </c>
      <c r="J57" t="s">
        <v>690</v>
      </c>
      <c r="K57">
        <v>40</v>
      </c>
      <c r="L57">
        <v>1</v>
      </c>
      <c r="M57" t="s">
        <v>33</v>
      </c>
      <c r="N57">
        <v>1</v>
      </c>
      <c r="O57">
        <v>1</v>
      </c>
      <c r="P57">
        <v>1</v>
      </c>
      <c r="Q57" t="s">
        <v>48</v>
      </c>
      <c r="R57">
        <v>1</v>
      </c>
      <c r="S57">
        <v>1</v>
      </c>
      <c r="T57">
        <v>1</v>
      </c>
      <c r="U57" t="s">
        <v>690</v>
      </c>
      <c r="V57" t="s">
        <v>690</v>
      </c>
      <c r="W57" t="s">
        <v>690</v>
      </c>
      <c r="X57">
        <v>1</v>
      </c>
      <c r="Y57" t="s">
        <v>690</v>
      </c>
      <c r="Z57">
        <v>0</v>
      </c>
      <c r="AA57" t="s">
        <v>690</v>
      </c>
      <c r="AB57" t="s">
        <v>690</v>
      </c>
      <c r="AC57" t="s">
        <v>690</v>
      </c>
      <c r="AD57" t="s">
        <v>690</v>
      </c>
      <c r="AE57">
        <v>0</v>
      </c>
      <c r="AF57" t="s">
        <v>690</v>
      </c>
      <c r="AG57" t="s">
        <v>556</v>
      </c>
      <c r="AH57" t="s">
        <v>690</v>
      </c>
    </row>
    <row r="58" spans="1:34" x14ac:dyDescent="0.25">
      <c r="A58" t="s">
        <v>457</v>
      </c>
      <c r="B58" t="s">
        <v>458</v>
      </c>
      <c r="C58" t="s">
        <v>690</v>
      </c>
      <c r="D58" t="s">
        <v>435</v>
      </c>
      <c r="E58" t="s">
        <v>690</v>
      </c>
      <c r="F58" t="s">
        <v>461</v>
      </c>
      <c r="G58" t="s">
        <v>259</v>
      </c>
      <c r="H58" t="s">
        <v>462</v>
      </c>
      <c r="I58" t="s">
        <v>41</v>
      </c>
      <c r="J58" t="s">
        <v>690</v>
      </c>
      <c r="K58">
        <v>24</v>
      </c>
      <c r="L58">
        <v>1</v>
      </c>
      <c r="M58" t="s">
        <v>33</v>
      </c>
      <c r="N58">
        <v>1</v>
      </c>
      <c r="O58">
        <v>1</v>
      </c>
      <c r="P58">
        <v>1</v>
      </c>
      <c r="Q58" t="s">
        <v>48</v>
      </c>
      <c r="R58">
        <v>1</v>
      </c>
      <c r="S58">
        <v>1</v>
      </c>
      <c r="T58">
        <v>1</v>
      </c>
      <c r="U58" t="s">
        <v>690</v>
      </c>
      <c r="V58" t="s">
        <v>690</v>
      </c>
      <c r="W58" t="s">
        <v>690</v>
      </c>
      <c r="X58">
        <v>1</v>
      </c>
      <c r="Y58" t="s">
        <v>690</v>
      </c>
      <c r="Z58">
        <v>0</v>
      </c>
      <c r="AA58" t="s">
        <v>690</v>
      </c>
      <c r="AB58" t="s">
        <v>690</v>
      </c>
      <c r="AC58" t="s">
        <v>690</v>
      </c>
      <c r="AD58" t="s">
        <v>690</v>
      </c>
      <c r="AE58">
        <v>0</v>
      </c>
      <c r="AF58" t="s">
        <v>690</v>
      </c>
      <c r="AG58" t="s">
        <v>556</v>
      </c>
      <c r="AH58" t="s">
        <v>690</v>
      </c>
    </row>
    <row r="59" spans="1:34" x14ac:dyDescent="0.25">
      <c r="A59" t="s">
        <v>463</v>
      </c>
      <c r="B59" t="s">
        <v>464</v>
      </c>
      <c r="C59" t="s">
        <v>690</v>
      </c>
      <c r="D59" t="s">
        <v>435</v>
      </c>
      <c r="E59" t="s">
        <v>690</v>
      </c>
      <c r="F59" t="s">
        <v>465</v>
      </c>
      <c r="G59" t="s">
        <v>280</v>
      </c>
      <c r="H59" t="s">
        <v>466</v>
      </c>
      <c r="I59" t="s">
        <v>41</v>
      </c>
      <c r="J59" t="s">
        <v>690</v>
      </c>
      <c r="K59">
        <v>32</v>
      </c>
      <c r="L59">
        <v>1</v>
      </c>
      <c r="M59" t="s">
        <v>44</v>
      </c>
      <c r="N59">
        <v>1</v>
      </c>
      <c r="O59">
        <v>1</v>
      </c>
      <c r="P59">
        <v>1</v>
      </c>
      <c r="Q59" t="s">
        <v>48</v>
      </c>
      <c r="R59">
        <v>1</v>
      </c>
      <c r="S59">
        <v>1</v>
      </c>
      <c r="T59">
        <v>1</v>
      </c>
      <c r="U59" t="s">
        <v>690</v>
      </c>
      <c r="V59" t="s">
        <v>690</v>
      </c>
      <c r="W59" t="s">
        <v>690</v>
      </c>
      <c r="X59">
        <v>1</v>
      </c>
      <c r="Y59" t="s">
        <v>690</v>
      </c>
      <c r="Z59">
        <v>0</v>
      </c>
      <c r="AA59" t="s">
        <v>690</v>
      </c>
      <c r="AB59" t="s">
        <v>690</v>
      </c>
      <c r="AC59" t="s">
        <v>690</v>
      </c>
      <c r="AD59" t="s">
        <v>690</v>
      </c>
      <c r="AE59">
        <v>0</v>
      </c>
      <c r="AF59" t="s">
        <v>690</v>
      </c>
      <c r="AG59" t="s">
        <v>562</v>
      </c>
      <c r="AH59" t="s">
        <v>690</v>
      </c>
    </row>
    <row r="60" spans="1:34" x14ac:dyDescent="0.25">
      <c r="A60" t="s">
        <v>467</v>
      </c>
      <c r="B60" t="s">
        <v>468</v>
      </c>
      <c r="C60" t="s">
        <v>690</v>
      </c>
      <c r="D60" t="s">
        <v>362</v>
      </c>
      <c r="E60" t="s">
        <v>690</v>
      </c>
      <c r="F60" t="s">
        <v>469</v>
      </c>
      <c r="G60" t="s">
        <v>280</v>
      </c>
      <c r="H60" t="s">
        <v>470</v>
      </c>
      <c r="I60" t="s">
        <v>41</v>
      </c>
      <c r="J60" t="s">
        <v>690</v>
      </c>
      <c r="K60">
        <v>32</v>
      </c>
      <c r="L60">
        <v>1</v>
      </c>
      <c r="M60" t="s">
        <v>44</v>
      </c>
      <c r="N60">
        <v>1</v>
      </c>
      <c r="O60">
        <v>1</v>
      </c>
      <c r="P60">
        <v>1</v>
      </c>
      <c r="Q60" t="s">
        <v>48</v>
      </c>
      <c r="R60">
        <v>1</v>
      </c>
      <c r="S60">
        <v>1</v>
      </c>
      <c r="T60">
        <v>1</v>
      </c>
      <c r="U60" t="s">
        <v>690</v>
      </c>
      <c r="V60" t="s">
        <v>690</v>
      </c>
      <c r="W60" t="s">
        <v>690</v>
      </c>
      <c r="X60">
        <v>1</v>
      </c>
      <c r="Y60" t="s">
        <v>690</v>
      </c>
      <c r="Z60">
        <v>0</v>
      </c>
      <c r="AA60" t="s">
        <v>690</v>
      </c>
      <c r="AB60" t="s">
        <v>690</v>
      </c>
      <c r="AC60" t="s">
        <v>690</v>
      </c>
      <c r="AD60" t="s">
        <v>690</v>
      </c>
      <c r="AE60">
        <v>0</v>
      </c>
      <c r="AF60" t="s">
        <v>690</v>
      </c>
      <c r="AG60" t="s">
        <v>556</v>
      </c>
      <c r="AH60" t="s">
        <v>690</v>
      </c>
    </row>
    <row r="61" spans="1:34" x14ac:dyDescent="0.25">
      <c r="A61" t="s">
        <v>471</v>
      </c>
      <c r="B61" t="s">
        <v>472</v>
      </c>
      <c r="C61" t="s">
        <v>690</v>
      </c>
      <c r="D61" t="s">
        <v>362</v>
      </c>
      <c r="E61" t="s">
        <v>690</v>
      </c>
      <c r="F61" t="s">
        <v>473</v>
      </c>
      <c r="G61" t="s">
        <v>280</v>
      </c>
      <c r="H61" t="s">
        <v>424</v>
      </c>
      <c r="I61" t="s">
        <v>35</v>
      </c>
      <c r="J61" t="s">
        <v>690</v>
      </c>
      <c r="K61">
        <v>32</v>
      </c>
      <c r="L61">
        <v>1</v>
      </c>
      <c r="M61" t="s">
        <v>44</v>
      </c>
      <c r="N61">
        <v>1</v>
      </c>
      <c r="O61">
        <v>1</v>
      </c>
      <c r="P61">
        <v>1</v>
      </c>
      <c r="Q61" t="s">
        <v>48</v>
      </c>
      <c r="R61">
        <v>1</v>
      </c>
      <c r="S61">
        <v>1</v>
      </c>
      <c r="T61">
        <v>1</v>
      </c>
      <c r="U61" t="s">
        <v>690</v>
      </c>
      <c r="V61" t="s">
        <v>690</v>
      </c>
      <c r="W61" t="s">
        <v>690</v>
      </c>
      <c r="X61">
        <v>1</v>
      </c>
      <c r="Y61" t="s">
        <v>690</v>
      </c>
      <c r="Z61">
        <v>0</v>
      </c>
      <c r="AA61" t="s">
        <v>690</v>
      </c>
      <c r="AB61" t="s">
        <v>690</v>
      </c>
      <c r="AC61" t="s">
        <v>690</v>
      </c>
      <c r="AD61" t="s">
        <v>690</v>
      </c>
      <c r="AE61">
        <v>0</v>
      </c>
      <c r="AF61" t="s">
        <v>690</v>
      </c>
      <c r="AG61" t="s">
        <v>556</v>
      </c>
      <c r="AH61" t="s">
        <v>690</v>
      </c>
    </row>
    <row r="62" spans="1:34" x14ac:dyDescent="0.25">
      <c r="A62" t="s">
        <v>474</v>
      </c>
      <c r="B62" t="s">
        <v>475</v>
      </c>
      <c r="C62" t="s">
        <v>690</v>
      </c>
      <c r="D62" t="s">
        <v>362</v>
      </c>
      <c r="E62" t="s">
        <v>690</v>
      </c>
      <c r="F62" t="s">
        <v>476</v>
      </c>
      <c r="G62" t="s">
        <v>280</v>
      </c>
      <c r="H62" t="s">
        <v>477</v>
      </c>
      <c r="I62" t="s">
        <v>35</v>
      </c>
      <c r="J62" t="s">
        <v>690</v>
      </c>
      <c r="K62">
        <v>32</v>
      </c>
      <c r="L62">
        <v>1</v>
      </c>
      <c r="M62" t="s">
        <v>44</v>
      </c>
      <c r="N62">
        <v>1</v>
      </c>
      <c r="O62">
        <v>0.5</v>
      </c>
      <c r="P62">
        <v>0.5</v>
      </c>
      <c r="Q62" t="s">
        <v>32</v>
      </c>
      <c r="R62">
        <v>1</v>
      </c>
      <c r="S62">
        <v>0</v>
      </c>
      <c r="T62" t="s">
        <v>690</v>
      </c>
      <c r="U62" t="s">
        <v>690</v>
      </c>
      <c r="V62" t="s">
        <v>690</v>
      </c>
      <c r="W62" t="s">
        <v>690</v>
      </c>
      <c r="X62">
        <v>0</v>
      </c>
      <c r="Y62" t="s">
        <v>690</v>
      </c>
      <c r="Z62">
        <v>0</v>
      </c>
      <c r="AA62" t="s">
        <v>690</v>
      </c>
      <c r="AB62" t="s">
        <v>690</v>
      </c>
      <c r="AC62" t="s">
        <v>690</v>
      </c>
      <c r="AD62" t="s">
        <v>690</v>
      </c>
      <c r="AE62">
        <v>0</v>
      </c>
      <c r="AF62" t="s">
        <v>690</v>
      </c>
      <c r="AG62" t="s">
        <v>556</v>
      </c>
      <c r="AH62" t="s">
        <v>690</v>
      </c>
    </row>
    <row r="63" spans="1:34" x14ac:dyDescent="0.25">
      <c r="A63" t="s">
        <v>478</v>
      </c>
      <c r="B63" t="s">
        <v>479</v>
      </c>
      <c r="C63" t="s">
        <v>690</v>
      </c>
      <c r="D63" t="s">
        <v>362</v>
      </c>
      <c r="E63" t="s">
        <v>690</v>
      </c>
      <c r="F63" t="s">
        <v>480</v>
      </c>
      <c r="G63" t="s">
        <v>280</v>
      </c>
      <c r="H63" t="s">
        <v>481</v>
      </c>
      <c r="I63" t="s">
        <v>35</v>
      </c>
      <c r="J63" t="s">
        <v>690</v>
      </c>
      <c r="K63">
        <v>32</v>
      </c>
      <c r="L63">
        <v>1</v>
      </c>
      <c r="M63" t="s">
        <v>44</v>
      </c>
      <c r="N63">
        <v>1</v>
      </c>
      <c r="O63">
        <v>0.5</v>
      </c>
      <c r="P63">
        <v>0.5</v>
      </c>
      <c r="Q63" t="s">
        <v>32</v>
      </c>
      <c r="R63">
        <v>1</v>
      </c>
      <c r="S63">
        <v>0</v>
      </c>
      <c r="T63" t="s">
        <v>690</v>
      </c>
      <c r="U63" t="s">
        <v>690</v>
      </c>
      <c r="V63" t="s">
        <v>690</v>
      </c>
      <c r="W63" t="s">
        <v>690</v>
      </c>
      <c r="X63">
        <v>0</v>
      </c>
      <c r="Y63" t="s">
        <v>690</v>
      </c>
      <c r="Z63">
        <v>0</v>
      </c>
      <c r="AA63" t="s">
        <v>690</v>
      </c>
      <c r="AB63" t="s">
        <v>690</v>
      </c>
      <c r="AC63" t="s">
        <v>690</v>
      </c>
      <c r="AD63" t="s">
        <v>690</v>
      </c>
      <c r="AE63">
        <v>0</v>
      </c>
      <c r="AF63" t="s">
        <v>690</v>
      </c>
      <c r="AG63" t="s">
        <v>556</v>
      </c>
      <c r="AH63" t="s">
        <v>690</v>
      </c>
    </row>
    <row r="64" spans="1:34" x14ac:dyDescent="0.25">
      <c r="A64" t="s">
        <v>482</v>
      </c>
      <c r="B64" t="s">
        <v>483</v>
      </c>
      <c r="C64" t="s">
        <v>690</v>
      </c>
      <c r="D64" t="s">
        <v>435</v>
      </c>
      <c r="E64" t="s">
        <v>690</v>
      </c>
      <c r="F64" t="s">
        <v>484</v>
      </c>
      <c r="G64" t="s">
        <v>284</v>
      </c>
      <c r="H64" t="s">
        <v>485</v>
      </c>
      <c r="I64" t="s">
        <v>35</v>
      </c>
      <c r="J64" t="s">
        <v>690</v>
      </c>
      <c r="K64">
        <v>24</v>
      </c>
      <c r="L64">
        <v>1</v>
      </c>
      <c r="M64" t="s">
        <v>44</v>
      </c>
      <c r="N64">
        <v>1</v>
      </c>
      <c r="O64">
        <v>0.15</v>
      </c>
      <c r="P64">
        <v>0.15</v>
      </c>
      <c r="Q64" t="s">
        <v>32</v>
      </c>
      <c r="R64">
        <v>1</v>
      </c>
      <c r="S64">
        <v>0</v>
      </c>
      <c r="T64" t="s">
        <v>690</v>
      </c>
      <c r="U64" t="s">
        <v>690</v>
      </c>
      <c r="V64" t="s">
        <v>690</v>
      </c>
      <c r="W64" t="s">
        <v>690</v>
      </c>
      <c r="X64">
        <v>0</v>
      </c>
      <c r="Y64" t="s">
        <v>690</v>
      </c>
      <c r="Z64">
        <v>0</v>
      </c>
      <c r="AA64" t="s">
        <v>690</v>
      </c>
      <c r="AB64" t="s">
        <v>690</v>
      </c>
      <c r="AC64" t="s">
        <v>690</v>
      </c>
      <c r="AD64" t="s">
        <v>690</v>
      </c>
      <c r="AE64">
        <v>0</v>
      </c>
      <c r="AF64" t="s">
        <v>690</v>
      </c>
      <c r="AG64" t="s">
        <v>564</v>
      </c>
      <c r="AH64" t="s">
        <v>690</v>
      </c>
    </row>
    <row r="65" spans="1:34" x14ac:dyDescent="0.25">
      <c r="A65" t="s">
        <v>486</v>
      </c>
      <c r="B65" t="s">
        <v>487</v>
      </c>
      <c r="C65" t="s">
        <v>690</v>
      </c>
      <c r="D65" t="s">
        <v>435</v>
      </c>
      <c r="E65" t="s">
        <v>690</v>
      </c>
      <c r="F65" t="s">
        <v>488</v>
      </c>
      <c r="G65" t="s">
        <v>284</v>
      </c>
      <c r="H65" t="s">
        <v>489</v>
      </c>
      <c r="I65" t="s">
        <v>35</v>
      </c>
      <c r="J65" t="s">
        <v>690</v>
      </c>
      <c r="K65">
        <v>24</v>
      </c>
      <c r="L65">
        <v>1</v>
      </c>
      <c r="M65" t="s">
        <v>44</v>
      </c>
      <c r="N65">
        <v>1</v>
      </c>
      <c r="O65">
        <v>0</v>
      </c>
      <c r="P65">
        <v>0</v>
      </c>
      <c r="Q65" t="s">
        <v>32</v>
      </c>
      <c r="R65">
        <v>1</v>
      </c>
      <c r="S65">
        <v>0</v>
      </c>
      <c r="T65" t="s">
        <v>690</v>
      </c>
      <c r="U65" t="s">
        <v>690</v>
      </c>
      <c r="V65" t="s">
        <v>690</v>
      </c>
      <c r="W65" t="s">
        <v>690</v>
      </c>
      <c r="X65">
        <v>0</v>
      </c>
      <c r="Y65" t="s">
        <v>690</v>
      </c>
      <c r="Z65">
        <v>0</v>
      </c>
      <c r="AA65" t="s">
        <v>690</v>
      </c>
      <c r="AB65" t="s">
        <v>690</v>
      </c>
      <c r="AC65" t="s">
        <v>690</v>
      </c>
      <c r="AD65" t="s">
        <v>690</v>
      </c>
      <c r="AE65">
        <v>0</v>
      </c>
      <c r="AF65" t="s">
        <v>690</v>
      </c>
      <c r="AG65" t="s">
        <v>564</v>
      </c>
      <c r="AH65" t="s">
        <v>690</v>
      </c>
    </row>
    <row r="66" spans="1:34" x14ac:dyDescent="0.25">
      <c r="A66" t="s">
        <v>490</v>
      </c>
      <c r="B66" t="s">
        <v>491</v>
      </c>
      <c r="C66" t="s">
        <v>690</v>
      </c>
      <c r="D66" t="s">
        <v>435</v>
      </c>
      <c r="E66" t="s">
        <v>690</v>
      </c>
      <c r="F66" t="s">
        <v>492</v>
      </c>
      <c r="G66" t="s">
        <v>284</v>
      </c>
      <c r="H66" t="s">
        <v>493</v>
      </c>
      <c r="I66" t="s">
        <v>35</v>
      </c>
      <c r="J66" t="s">
        <v>690</v>
      </c>
      <c r="K66">
        <v>24</v>
      </c>
      <c r="L66">
        <v>1</v>
      </c>
      <c r="M66" t="s">
        <v>44</v>
      </c>
      <c r="N66">
        <v>1</v>
      </c>
      <c r="O66">
        <v>0</v>
      </c>
      <c r="P66">
        <v>0</v>
      </c>
      <c r="Q66" t="s">
        <v>32</v>
      </c>
      <c r="R66">
        <v>1</v>
      </c>
      <c r="S66">
        <v>0</v>
      </c>
      <c r="T66" t="s">
        <v>690</v>
      </c>
      <c r="U66" t="s">
        <v>690</v>
      </c>
      <c r="V66" t="s">
        <v>690</v>
      </c>
      <c r="W66" t="s">
        <v>690</v>
      </c>
      <c r="X66">
        <v>0</v>
      </c>
      <c r="Y66" t="s">
        <v>690</v>
      </c>
      <c r="Z66">
        <v>0</v>
      </c>
      <c r="AA66" t="s">
        <v>690</v>
      </c>
      <c r="AB66" t="s">
        <v>690</v>
      </c>
      <c r="AC66" t="s">
        <v>690</v>
      </c>
      <c r="AD66" t="s">
        <v>690</v>
      </c>
      <c r="AE66">
        <v>0</v>
      </c>
      <c r="AF66" t="s">
        <v>690</v>
      </c>
      <c r="AG66" t="s">
        <v>564</v>
      </c>
      <c r="AH66" t="s">
        <v>690</v>
      </c>
    </row>
    <row r="67" spans="1:34" x14ac:dyDescent="0.25">
      <c r="A67" t="s">
        <v>494</v>
      </c>
      <c r="B67" t="s">
        <v>495</v>
      </c>
      <c r="C67" t="s">
        <v>690</v>
      </c>
      <c r="D67" t="s">
        <v>496</v>
      </c>
      <c r="E67" t="s">
        <v>690</v>
      </c>
      <c r="F67" t="s">
        <v>497</v>
      </c>
      <c r="G67" t="s">
        <v>259</v>
      </c>
      <c r="H67" t="s">
        <v>498</v>
      </c>
      <c r="I67" t="s">
        <v>41</v>
      </c>
      <c r="J67" t="s">
        <v>690</v>
      </c>
      <c r="K67">
        <v>24</v>
      </c>
      <c r="L67">
        <v>1</v>
      </c>
      <c r="M67" t="s">
        <v>44</v>
      </c>
      <c r="N67">
        <v>1</v>
      </c>
      <c r="O67">
        <v>1</v>
      </c>
      <c r="P67">
        <v>1</v>
      </c>
      <c r="Q67" t="s">
        <v>32</v>
      </c>
      <c r="R67">
        <v>1</v>
      </c>
      <c r="S67">
        <v>1</v>
      </c>
      <c r="T67">
        <v>1</v>
      </c>
      <c r="U67" t="s">
        <v>690</v>
      </c>
      <c r="V67" t="s">
        <v>690</v>
      </c>
      <c r="W67" t="s">
        <v>690</v>
      </c>
      <c r="X67">
        <v>1</v>
      </c>
      <c r="Y67" t="s">
        <v>690</v>
      </c>
      <c r="Z67">
        <v>0</v>
      </c>
      <c r="AA67" t="s">
        <v>690</v>
      </c>
      <c r="AB67" t="s">
        <v>690</v>
      </c>
      <c r="AC67" t="s">
        <v>690</v>
      </c>
      <c r="AD67" t="s">
        <v>690</v>
      </c>
      <c r="AE67">
        <v>0</v>
      </c>
      <c r="AF67" t="s">
        <v>690</v>
      </c>
      <c r="AG67" t="s">
        <v>561</v>
      </c>
      <c r="AH67" t="s">
        <v>690</v>
      </c>
    </row>
    <row r="68" spans="1:34" x14ac:dyDescent="0.25">
      <c r="A68" t="s">
        <v>494</v>
      </c>
      <c r="B68" t="s">
        <v>495</v>
      </c>
      <c r="C68" t="s">
        <v>690</v>
      </c>
      <c r="D68" t="s">
        <v>496</v>
      </c>
      <c r="E68" t="s">
        <v>690</v>
      </c>
      <c r="F68" t="s">
        <v>499</v>
      </c>
      <c r="G68" t="s">
        <v>259</v>
      </c>
      <c r="H68" t="s">
        <v>500</v>
      </c>
      <c r="I68" t="s">
        <v>41</v>
      </c>
      <c r="J68" t="s">
        <v>690</v>
      </c>
      <c r="K68">
        <v>24</v>
      </c>
      <c r="L68">
        <v>1</v>
      </c>
      <c r="M68" t="s">
        <v>44</v>
      </c>
      <c r="N68">
        <v>1</v>
      </c>
      <c r="O68">
        <v>1</v>
      </c>
      <c r="P68">
        <v>1</v>
      </c>
      <c r="Q68" t="s">
        <v>32</v>
      </c>
      <c r="R68">
        <v>1</v>
      </c>
      <c r="S68">
        <v>1</v>
      </c>
      <c r="T68">
        <v>1</v>
      </c>
      <c r="U68" t="s">
        <v>690</v>
      </c>
      <c r="V68" t="s">
        <v>690</v>
      </c>
      <c r="W68" t="s">
        <v>690</v>
      </c>
      <c r="X68">
        <v>1</v>
      </c>
      <c r="Y68" t="s">
        <v>690</v>
      </c>
      <c r="Z68">
        <v>0</v>
      </c>
      <c r="AA68" t="s">
        <v>690</v>
      </c>
      <c r="AB68" t="s">
        <v>690</v>
      </c>
      <c r="AC68" t="s">
        <v>690</v>
      </c>
      <c r="AD68" t="s">
        <v>690</v>
      </c>
      <c r="AE68">
        <v>0</v>
      </c>
      <c r="AF68" t="s">
        <v>690</v>
      </c>
      <c r="AG68" t="s">
        <v>561</v>
      </c>
      <c r="AH68" t="s">
        <v>690</v>
      </c>
    </row>
    <row r="69" spans="1:34" x14ac:dyDescent="0.25">
      <c r="A69" t="s">
        <v>494</v>
      </c>
      <c r="B69" t="s">
        <v>495</v>
      </c>
      <c r="C69" t="s">
        <v>690</v>
      </c>
      <c r="D69" t="s">
        <v>496</v>
      </c>
      <c r="E69" t="s">
        <v>690</v>
      </c>
      <c r="F69" t="s">
        <v>501</v>
      </c>
      <c r="G69" t="s">
        <v>259</v>
      </c>
      <c r="H69" t="s">
        <v>502</v>
      </c>
      <c r="I69" t="s">
        <v>41</v>
      </c>
      <c r="J69" t="s">
        <v>690</v>
      </c>
      <c r="K69">
        <v>24</v>
      </c>
      <c r="L69">
        <v>1</v>
      </c>
      <c r="M69" t="s">
        <v>44</v>
      </c>
      <c r="N69">
        <v>1</v>
      </c>
      <c r="O69">
        <v>1</v>
      </c>
      <c r="P69">
        <v>1</v>
      </c>
      <c r="Q69" t="s">
        <v>32</v>
      </c>
      <c r="R69">
        <v>1</v>
      </c>
      <c r="S69">
        <v>1</v>
      </c>
      <c r="T69">
        <v>1</v>
      </c>
      <c r="U69" t="s">
        <v>690</v>
      </c>
      <c r="V69" t="s">
        <v>690</v>
      </c>
      <c r="W69" t="s">
        <v>690</v>
      </c>
      <c r="X69">
        <v>1</v>
      </c>
      <c r="Y69" t="s">
        <v>690</v>
      </c>
      <c r="Z69">
        <v>0</v>
      </c>
      <c r="AA69" t="s">
        <v>690</v>
      </c>
      <c r="AB69" t="s">
        <v>690</v>
      </c>
      <c r="AC69" t="s">
        <v>690</v>
      </c>
      <c r="AD69" t="s">
        <v>690</v>
      </c>
      <c r="AE69">
        <v>0</v>
      </c>
      <c r="AF69" t="s">
        <v>690</v>
      </c>
      <c r="AG69" t="s">
        <v>561</v>
      </c>
      <c r="AH69" t="s">
        <v>690</v>
      </c>
    </row>
    <row r="70" spans="1:34" x14ac:dyDescent="0.25">
      <c r="A70" t="s">
        <v>494</v>
      </c>
      <c r="B70" t="s">
        <v>495</v>
      </c>
      <c r="C70" t="s">
        <v>690</v>
      </c>
      <c r="D70" t="s">
        <v>496</v>
      </c>
      <c r="E70" t="s">
        <v>690</v>
      </c>
      <c r="F70" t="s">
        <v>503</v>
      </c>
      <c r="G70" t="s">
        <v>259</v>
      </c>
      <c r="H70" t="s">
        <v>504</v>
      </c>
      <c r="I70" t="s">
        <v>41</v>
      </c>
      <c r="J70" t="s">
        <v>690</v>
      </c>
      <c r="K70">
        <v>24</v>
      </c>
      <c r="L70">
        <v>1</v>
      </c>
      <c r="M70" t="s">
        <v>505</v>
      </c>
      <c r="N70">
        <v>1</v>
      </c>
      <c r="O70">
        <v>1</v>
      </c>
      <c r="P70">
        <v>1</v>
      </c>
      <c r="Q70" t="s">
        <v>32</v>
      </c>
      <c r="R70">
        <v>1</v>
      </c>
      <c r="S70">
        <v>1</v>
      </c>
      <c r="T70">
        <v>1</v>
      </c>
      <c r="U70" t="s">
        <v>690</v>
      </c>
      <c r="V70" t="s">
        <v>690</v>
      </c>
      <c r="W70" t="s">
        <v>690</v>
      </c>
      <c r="X70">
        <v>0</v>
      </c>
      <c r="Y70" t="s">
        <v>690</v>
      </c>
      <c r="Z70">
        <v>0</v>
      </c>
      <c r="AA70" t="s">
        <v>690</v>
      </c>
      <c r="AB70" t="s">
        <v>690</v>
      </c>
      <c r="AC70" t="s">
        <v>690</v>
      </c>
      <c r="AD70" t="s">
        <v>690</v>
      </c>
      <c r="AE70">
        <v>0</v>
      </c>
      <c r="AF70" t="s">
        <v>690</v>
      </c>
      <c r="AG70" t="s">
        <v>690</v>
      </c>
      <c r="AH70" t="s">
        <v>690</v>
      </c>
    </row>
    <row r="71" spans="1:34" x14ac:dyDescent="0.25">
      <c r="A71" t="s">
        <v>494</v>
      </c>
      <c r="B71" t="s">
        <v>495</v>
      </c>
      <c r="C71" t="s">
        <v>690</v>
      </c>
      <c r="D71" t="s">
        <v>496</v>
      </c>
      <c r="E71" t="s">
        <v>690</v>
      </c>
      <c r="F71" t="s">
        <v>506</v>
      </c>
      <c r="G71" t="s">
        <v>259</v>
      </c>
      <c r="H71" t="s">
        <v>507</v>
      </c>
      <c r="I71" t="s">
        <v>41</v>
      </c>
      <c r="J71" t="s">
        <v>690</v>
      </c>
      <c r="K71">
        <v>24</v>
      </c>
      <c r="L71">
        <v>1</v>
      </c>
      <c r="M71" t="s">
        <v>505</v>
      </c>
      <c r="N71">
        <v>1</v>
      </c>
      <c r="O71">
        <v>1</v>
      </c>
      <c r="P71">
        <v>1</v>
      </c>
      <c r="Q71" t="s">
        <v>32</v>
      </c>
      <c r="R71">
        <v>1</v>
      </c>
      <c r="S71">
        <v>1</v>
      </c>
      <c r="T71">
        <v>1</v>
      </c>
      <c r="U71" t="s">
        <v>690</v>
      </c>
      <c r="V71" t="s">
        <v>690</v>
      </c>
      <c r="W71" t="s">
        <v>690</v>
      </c>
      <c r="X71">
        <v>0</v>
      </c>
      <c r="Y71" t="s">
        <v>690</v>
      </c>
      <c r="Z71">
        <v>0</v>
      </c>
      <c r="AA71" t="s">
        <v>690</v>
      </c>
      <c r="AB71" t="s">
        <v>690</v>
      </c>
      <c r="AC71" t="s">
        <v>690</v>
      </c>
      <c r="AD71" t="s">
        <v>690</v>
      </c>
      <c r="AE71">
        <v>0</v>
      </c>
      <c r="AF71" t="s">
        <v>690</v>
      </c>
      <c r="AG71" t="s">
        <v>690</v>
      </c>
      <c r="AH71" t="s">
        <v>690</v>
      </c>
    </row>
    <row r="72" spans="1:34" x14ac:dyDescent="0.25">
      <c r="A72" t="s">
        <v>494</v>
      </c>
      <c r="B72" t="s">
        <v>495</v>
      </c>
      <c r="C72" t="s">
        <v>690</v>
      </c>
      <c r="D72" t="s">
        <v>496</v>
      </c>
      <c r="E72" t="s">
        <v>690</v>
      </c>
      <c r="F72" t="s">
        <v>508</v>
      </c>
      <c r="G72" t="s">
        <v>259</v>
      </c>
      <c r="H72" t="s">
        <v>509</v>
      </c>
      <c r="I72" t="s">
        <v>41</v>
      </c>
      <c r="J72" t="s">
        <v>690</v>
      </c>
      <c r="K72">
        <v>24</v>
      </c>
      <c r="L72">
        <v>1</v>
      </c>
      <c r="M72" t="s">
        <v>505</v>
      </c>
      <c r="N72">
        <v>1</v>
      </c>
      <c r="O72">
        <v>1</v>
      </c>
      <c r="P72">
        <v>1</v>
      </c>
      <c r="Q72" t="s">
        <v>32</v>
      </c>
      <c r="R72">
        <v>1</v>
      </c>
      <c r="S72">
        <v>1</v>
      </c>
      <c r="T72">
        <v>1</v>
      </c>
      <c r="U72" t="s">
        <v>690</v>
      </c>
      <c r="V72" t="s">
        <v>690</v>
      </c>
      <c r="W72" t="s">
        <v>690</v>
      </c>
      <c r="X72">
        <v>0</v>
      </c>
      <c r="Y72" t="s">
        <v>690</v>
      </c>
      <c r="Z72">
        <v>0</v>
      </c>
      <c r="AA72" t="s">
        <v>690</v>
      </c>
      <c r="AB72" t="s">
        <v>690</v>
      </c>
      <c r="AC72" t="s">
        <v>690</v>
      </c>
      <c r="AD72" t="s">
        <v>690</v>
      </c>
      <c r="AE72">
        <v>0</v>
      </c>
      <c r="AF72" t="s">
        <v>690</v>
      </c>
      <c r="AG72" t="s">
        <v>690</v>
      </c>
      <c r="AH72" t="s">
        <v>690</v>
      </c>
    </row>
    <row r="73" spans="1:34" x14ac:dyDescent="0.25">
      <c r="A73" t="s">
        <v>494</v>
      </c>
      <c r="B73" t="s">
        <v>495</v>
      </c>
      <c r="C73" t="s">
        <v>690</v>
      </c>
      <c r="D73" t="s">
        <v>496</v>
      </c>
      <c r="E73" t="s">
        <v>690</v>
      </c>
      <c r="F73" t="s">
        <v>510</v>
      </c>
      <c r="G73" t="s">
        <v>259</v>
      </c>
      <c r="H73" t="s">
        <v>511</v>
      </c>
      <c r="I73" t="s">
        <v>41</v>
      </c>
      <c r="J73" t="s">
        <v>690</v>
      </c>
      <c r="K73">
        <v>24</v>
      </c>
      <c r="L73">
        <v>1</v>
      </c>
      <c r="M73" t="s">
        <v>44</v>
      </c>
      <c r="N73">
        <v>1</v>
      </c>
      <c r="O73">
        <v>1</v>
      </c>
      <c r="P73">
        <v>1</v>
      </c>
      <c r="Q73" t="s">
        <v>32</v>
      </c>
      <c r="R73">
        <v>1</v>
      </c>
      <c r="S73">
        <v>1</v>
      </c>
      <c r="T73">
        <v>1</v>
      </c>
      <c r="U73" t="s">
        <v>690</v>
      </c>
      <c r="V73" t="s">
        <v>690</v>
      </c>
      <c r="W73" t="s">
        <v>690</v>
      </c>
      <c r="X73">
        <v>1</v>
      </c>
      <c r="Y73" t="s">
        <v>690</v>
      </c>
      <c r="Z73">
        <v>0</v>
      </c>
      <c r="AA73" t="s">
        <v>690</v>
      </c>
      <c r="AB73" t="s">
        <v>690</v>
      </c>
      <c r="AC73" t="s">
        <v>690</v>
      </c>
      <c r="AD73" t="s">
        <v>690</v>
      </c>
      <c r="AE73">
        <v>0</v>
      </c>
      <c r="AF73" t="s">
        <v>690</v>
      </c>
      <c r="AG73" t="s">
        <v>561</v>
      </c>
      <c r="AH73" t="s">
        <v>690</v>
      </c>
    </row>
    <row r="74" spans="1:34" ht="15.75" thickBot="1" x14ac:dyDescent="0.3">
      <c r="A74" s="349"/>
      <c r="B74" s="350"/>
      <c r="C74" s="350"/>
      <c r="D74" s="351"/>
      <c r="E74" s="350"/>
      <c r="F74" s="350"/>
      <c r="G74" s="351"/>
      <c r="H74" s="385"/>
      <c r="I74" s="496"/>
      <c r="J74" s="350"/>
      <c r="K74" s="350"/>
      <c r="L74" s="352"/>
      <c r="M74" s="353"/>
      <c r="N74" s="417"/>
      <c r="O74" s="418"/>
      <c r="P74" s="419"/>
      <c r="Q74" s="354"/>
      <c r="R74" s="355"/>
      <c r="S74" s="433"/>
      <c r="T74" s="434"/>
      <c r="U74" s="434"/>
      <c r="V74" s="434"/>
      <c r="W74" s="434"/>
      <c r="X74" s="435"/>
      <c r="Y74" s="356"/>
      <c r="Z74" s="428"/>
      <c r="AA74" s="429"/>
      <c r="AB74" s="429"/>
      <c r="AC74" s="429"/>
      <c r="AD74" s="429"/>
      <c r="AE74" s="430"/>
      <c r="AF74" s="357"/>
      <c r="AG74" s="357"/>
      <c r="AH74" s="358"/>
    </row>
    <row r="75" spans="1:34" x14ac:dyDescent="0.25">
      <c r="A75" s="556" t="s">
        <v>512</v>
      </c>
      <c r="B75" s="557"/>
      <c r="C75" s="557"/>
      <c r="D75" s="557"/>
      <c r="E75" s="557"/>
      <c r="F75" s="557"/>
      <c r="G75" s="557"/>
      <c r="H75" s="557"/>
      <c r="I75" s="557"/>
      <c r="J75" s="557"/>
      <c r="K75" s="557"/>
      <c r="L75" s="557"/>
      <c r="M75" s="557"/>
      <c r="N75" s="557"/>
      <c r="O75" s="557"/>
      <c r="P75" s="557"/>
      <c r="Q75" s="557"/>
      <c r="R75" s="557"/>
      <c r="S75" s="557"/>
      <c r="T75" s="557"/>
      <c r="U75" s="557"/>
      <c r="V75" s="557"/>
      <c r="W75" s="557"/>
      <c r="X75" s="557"/>
      <c r="Y75" s="557"/>
      <c r="Z75" s="557"/>
      <c r="AA75" s="557"/>
      <c r="AB75" s="557"/>
      <c r="AC75" s="557"/>
      <c r="AD75" s="557"/>
      <c r="AE75" s="557"/>
      <c r="AF75" s="557"/>
      <c r="AG75" s="557"/>
      <c r="AH75" s="558"/>
    </row>
    <row r="76" spans="1:34" ht="15.75" thickBot="1" x14ac:dyDescent="0.3">
      <c r="A76" s="559"/>
      <c r="B76" s="560"/>
      <c r="C76" s="560"/>
      <c r="D76" s="560"/>
      <c r="E76" s="560"/>
      <c r="F76" s="560"/>
      <c r="G76" s="560"/>
      <c r="H76" s="560"/>
      <c r="I76" s="560"/>
      <c r="J76" s="560"/>
      <c r="K76" s="560"/>
      <c r="L76" s="560"/>
      <c r="M76" s="560"/>
      <c r="N76" s="560"/>
      <c r="O76" s="560"/>
      <c r="P76" s="560"/>
      <c r="Q76" s="560"/>
      <c r="R76" s="560"/>
      <c r="S76" s="560"/>
      <c r="T76" s="560"/>
      <c r="U76" s="560"/>
      <c r="V76" s="560"/>
      <c r="W76" s="560"/>
      <c r="X76" s="560"/>
      <c r="Y76" s="560"/>
      <c r="Z76" s="560"/>
      <c r="AA76" s="560"/>
      <c r="AB76" s="560"/>
      <c r="AC76" s="560"/>
      <c r="AD76" s="560"/>
      <c r="AE76" s="560"/>
      <c r="AF76" s="560"/>
      <c r="AG76" s="560"/>
      <c r="AH76" s="561"/>
    </row>
    <row r="77" spans="1:34" ht="19.5" thickBot="1" x14ac:dyDescent="0.3">
      <c r="A77" s="565" t="s">
        <v>302</v>
      </c>
      <c r="B77" s="566"/>
      <c r="C77" s="566"/>
      <c r="D77" s="566"/>
      <c r="E77" s="566"/>
      <c r="F77" s="566"/>
      <c r="G77" s="566"/>
      <c r="H77" s="566"/>
      <c r="I77" s="566"/>
      <c r="J77" s="567"/>
      <c r="K77" s="370">
        <f>SUM(K6:K74)</f>
        <v>2464</v>
      </c>
      <c r="L77" s="370">
        <f>SUM(L6:L74)</f>
        <v>68</v>
      </c>
      <c r="M77" s="371"/>
      <c r="N77" s="420">
        <f>SUMPRODUCT(K6:K74,N6:N74)/K77</f>
        <v>1</v>
      </c>
      <c r="O77" s="421">
        <f>SUM(O6:O74)</f>
        <v>63.15</v>
      </c>
      <c r="P77" s="422">
        <f>SUMPRODUCT(K6:K74,P6:P74)/K77</f>
        <v>0.94951298701298703</v>
      </c>
      <c r="Q77" s="372"/>
      <c r="R77" s="373">
        <f>SUM(R6:R74)</f>
        <v>60</v>
      </c>
      <c r="S77" s="423">
        <f>SUM(S6:S74)</f>
        <v>54</v>
      </c>
      <c r="T77" s="423">
        <f>SUM(T6:T74)</f>
        <v>54</v>
      </c>
      <c r="U77" s="373">
        <f t="shared" ref="U77:W77" si="1">SUM(U6:U74)</f>
        <v>0</v>
      </c>
      <c r="V77" s="373">
        <f t="shared" si="1"/>
        <v>0</v>
      </c>
      <c r="W77" s="373">
        <f t="shared" si="1"/>
        <v>0</v>
      </c>
      <c r="X77" s="424">
        <f>IF((S77=0),0,((T77+U77)/S77*100%))</f>
        <v>1</v>
      </c>
      <c r="Y77" s="374"/>
      <c r="Z77" s="425">
        <f>SUM(Z6:Z74)</f>
        <v>0</v>
      </c>
      <c r="AA77" s="426">
        <f>SUM(AA6:AA74)</f>
        <v>0</v>
      </c>
      <c r="AB77" s="426">
        <f>SUM(AB6:AB74)</f>
        <v>0</v>
      </c>
      <c r="AC77" s="426">
        <f>SUM(AC6:AC74)</f>
        <v>0</v>
      </c>
      <c r="AD77" s="426">
        <f>SUM(AD6:AD74)</f>
        <v>0</v>
      </c>
      <c r="AE77" s="427">
        <f>IF((Z77=0),0,((AA77+AB77)/Z77*100%))</f>
        <v>0</v>
      </c>
      <c r="AF77" s="375"/>
      <c r="AG77" s="375"/>
      <c r="AH77" s="376"/>
    </row>
    <row r="79" spans="1:34" x14ac:dyDescent="0.25">
      <c r="L79" s="170" t="s">
        <v>513</v>
      </c>
    </row>
  </sheetData>
  <sheetProtection insertColumns="0" insertRows="0" deleteRows="0" sort="0"/>
  <autoFilter ref="A5:AH77" xr:uid="{00000000-0009-0000-0000-000002000000}"/>
  <mergeCells count="9">
    <mergeCell ref="A75:AH76"/>
    <mergeCell ref="A1:AH1"/>
    <mergeCell ref="A3:AH3"/>
    <mergeCell ref="A2:J2"/>
    <mergeCell ref="A77:J77"/>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Q72:Q74</xm:sqref>
        </x14:dataValidation>
        <x14:dataValidation type="list" allowBlank="1" showInputMessage="1" showErrorMessage="1" xr:uid="{237AC15D-702E-46B4-89E7-DAB1EF5DAEB1}">
          <x14:formula1>
            <xm:f>'List Options'!$E$1:$E$7</xm:f>
          </x14:formula1>
          <xm:sqref>Q6:Q71</xm:sqref>
        </x14:dataValidation>
        <x14:dataValidation type="list" allowBlank="1" showInputMessage="1" showErrorMessage="1" xr:uid="{5513F172-4253-4807-A8CE-34D720193895}">
          <x14:formula1>
            <xm:f>'List Options'!$G$1:$G$3</xm:f>
          </x14:formula1>
          <xm:sqref>M6:M74</xm:sqref>
        </x14:dataValidation>
        <x14:dataValidation type="list" allowBlank="1" showInputMessage="1" showErrorMessage="1" xr:uid="{8B92A7F6-7ABF-446A-A0A1-23D59ABEAA7C}">
          <x14:formula1>
            <xm:f>'List Options'!$K$1:$K$6</xm:f>
          </x14:formula1>
          <xm:sqref>I6:I74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3" activePane="bottomRight" state="frozen"/>
      <selection pane="topRight" activeCell="B1" sqref="B1"/>
      <selection pane="bottomLeft" activeCell="A4" sqref="A4"/>
      <selection pane="bottomRight" activeCell="G54" sqref="G54"/>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81" t="s">
        <v>514</v>
      </c>
      <c r="B1" s="582"/>
      <c r="C1" s="582"/>
      <c r="D1" s="582"/>
      <c r="E1" s="582"/>
      <c r="F1" s="582"/>
      <c r="G1" s="582"/>
      <c r="H1" s="582"/>
      <c r="I1" s="582"/>
      <c r="J1" s="582"/>
      <c r="K1" s="582"/>
      <c r="L1" s="582"/>
      <c r="M1" s="582"/>
      <c r="N1" s="582"/>
      <c r="O1" s="582"/>
      <c r="P1" s="582"/>
      <c r="Q1" s="582"/>
      <c r="R1" s="582"/>
      <c r="S1" s="582"/>
      <c r="T1" s="582"/>
      <c r="U1" s="582"/>
      <c r="V1" s="583"/>
    </row>
    <row r="2" spans="1:22" ht="15.75" thickBot="1" x14ac:dyDescent="0.3">
      <c r="A2" s="216" t="s">
        <v>515</v>
      </c>
      <c r="B2" s="584" t="s">
        <v>166</v>
      </c>
      <c r="C2" s="584"/>
      <c r="D2" s="584"/>
      <c r="E2" s="584"/>
      <c r="F2" s="584"/>
      <c r="G2" s="585" t="s">
        <v>177</v>
      </c>
      <c r="H2" s="586"/>
      <c r="I2" s="586"/>
      <c r="J2" s="586"/>
      <c r="K2" s="586"/>
      <c r="L2" s="586"/>
      <c r="M2" s="586"/>
      <c r="N2" s="587"/>
      <c r="O2" s="588" t="s">
        <v>144</v>
      </c>
      <c r="P2" s="589"/>
      <c r="Q2" s="589"/>
      <c r="R2" s="589"/>
      <c r="S2" s="589"/>
      <c r="T2" s="589"/>
      <c r="U2" s="589"/>
      <c r="V2" s="590"/>
    </row>
    <row r="3" spans="1:22" s="249" customFormat="1" ht="15.75" thickBot="1" x14ac:dyDescent="0.3">
      <c r="A3" s="253" t="s">
        <v>88</v>
      </c>
      <c r="B3" s="310" t="s">
        <v>167</v>
      </c>
      <c r="C3" s="311" t="s">
        <v>128</v>
      </c>
      <c r="D3" s="312" t="s">
        <v>105</v>
      </c>
      <c r="E3" s="312" t="s">
        <v>173</v>
      </c>
      <c r="F3" s="313" t="s">
        <v>175</v>
      </c>
      <c r="G3" s="314" t="s">
        <v>132</v>
      </c>
      <c r="H3" s="315" t="s">
        <v>30</v>
      </c>
      <c r="I3" s="315" t="s">
        <v>135</v>
      </c>
      <c r="J3" s="315" t="s">
        <v>36</v>
      </c>
      <c r="K3" s="315" t="s">
        <v>138</v>
      </c>
      <c r="L3" s="315" t="s">
        <v>184</v>
      </c>
      <c r="M3" s="315" t="s">
        <v>140</v>
      </c>
      <c r="N3" s="316" t="s">
        <v>187</v>
      </c>
      <c r="O3" s="317" t="s">
        <v>132</v>
      </c>
      <c r="P3" s="318" t="s">
        <v>30</v>
      </c>
      <c r="Q3" s="318" t="s">
        <v>135</v>
      </c>
      <c r="R3" s="318" t="s">
        <v>36</v>
      </c>
      <c r="S3" s="318" t="s">
        <v>138</v>
      </c>
      <c r="T3" s="318" t="s">
        <v>184</v>
      </c>
      <c r="U3" s="318" t="s">
        <v>140</v>
      </c>
      <c r="V3" s="319" t="s">
        <v>187</v>
      </c>
    </row>
    <row r="4" spans="1:22" x14ac:dyDescent="0.25">
      <c r="A4" s="329" t="s">
        <v>308</v>
      </c>
      <c r="B4" s="250">
        <f>SUMIFS('Diags Raw Data'!$L$6:$L$4691,'Diags Raw Data'!$D$6:$D$4691,$A4)</f>
        <v>17</v>
      </c>
      <c r="C4" s="240">
        <f>SUMIFS('Diags Raw Data'!$R$6:$R$4691,'Diags Raw Data'!$D$6:$D$4691,$A4)</f>
        <v>9</v>
      </c>
      <c r="D4" s="240">
        <f>SUMIFS('Diags Raw Data'!$K$6:$K$4691,'Diags Raw Data'!$D$6:$D$4691,$A4)</f>
        <v>520</v>
      </c>
      <c r="E4" s="240">
        <f>SUMIFS('Diags Raw Data'!$O$6:$O$4691,'Diags Raw Data'!$D$6:$D$4691,$A4)</f>
        <v>17</v>
      </c>
      <c r="F4" s="246">
        <f>IF(NOT($B4=0), E4/$B4, "---")</f>
        <v>1</v>
      </c>
      <c r="G4" s="218">
        <f>SUMIFS('Diags Raw Data'!$S$6:$S$4691,'Diags Raw Data'!$D$6:$D$4691,$A4)</f>
        <v>9</v>
      </c>
      <c r="H4" s="219">
        <f>SUMIFS('Diags Raw Data'!$T$6:$T$4691,'Diags Raw Data'!$D$6:$D$4691,$A4)</f>
        <v>9</v>
      </c>
      <c r="I4" s="221">
        <f>SUMIFS('Diags Raw Data'!$U$6:$U$4691,'Diags Raw Data'!$D$6:$D$4691,$A4)</f>
        <v>0</v>
      </c>
      <c r="J4" s="219">
        <f>SUMIFS('Diags Raw Data'!$V$6:$V$4691,'Diags Raw Data'!$D$6:$D$4691,$A4)</f>
        <v>0</v>
      </c>
      <c r="K4" s="221">
        <f>SUMIFS('Diags Raw Data'!$W$6:$W$4691,'Diags Raw Data'!$D$6:$D$4691,$A4)</f>
        <v>0</v>
      </c>
      <c r="L4" s="220">
        <f>IF(NOT($C4=0), G4/$C4, "---")</f>
        <v>1</v>
      </c>
      <c r="M4" s="222">
        <f>IF(NOT($G4=0), (H4+I4)/$G4, "---")</f>
        <v>1</v>
      </c>
      <c r="N4" s="224">
        <f>IF(NOT($C4=0), (H4+I4)/$C4, "---")</f>
        <v>1</v>
      </c>
      <c r="O4" s="211">
        <f>SUMIFS('Diags Raw Data'!$Z$6:$Z$4691,'Diags Raw Data'!$D$6:$D$4691,$A4)</f>
        <v>0</v>
      </c>
      <c r="P4" s="208">
        <f>SUMIFS('Diags Raw Data'!$AA$6:$AA$4691,'Diags Raw Data'!$D$6:$D$4691,$A4)</f>
        <v>0</v>
      </c>
      <c r="Q4" s="210">
        <f>SUMIFS('Diags Raw Data'!$AB$6:$AB$4691,'Diags Raw Data'!$D$6:$D$4691,$A4)</f>
        <v>0</v>
      </c>
      <c r="R4" s="208">
        <f>SUMIFS('Diags Raw Data'!$AC$6:$AC$4691,'Diags Raw Data'!$D$6:$D$4691,$A4)</f>
        <v>0</v>
      </c>
      <c r="S4" s="210">
        <f>SUMIFS('Diags Raw Data'!$AD$6:$AD$4691,'Diags Raw Data'!$D$6:$D$4691,$A4)</f>
        <v>0</v>
      </c>
      <c r="T4" s="209">
        <f>IF(NOT($B4=0), O4/$B4, "---")</f>
        <v>0</v>
      </c>
      <c r="U4" s="223" t="str">
        <f>IF(NOT($O4=0), (P4+Q4)/$O4, "---")</f>
        <v>---</v>
      </c>
      <c r="V4" s="239">
        <f>IF(NOT($B4=0), (P4+Q4)/$B4, "---")</f>
        <v>0</v>
      </c>
    </row>
    <row r="5" spans="1:22" x14ac:dyDescent="0.25">
      <c r="A5" s="329" t="s">
        <v>362</v>
      </c>
      <c r="B5" s="251">
        <f>SUMIFS('Diags Raw Data'!$L$6:$L$4691,'Diags Raw Data'!$D$6:$D$4691,$A5)</f>
        <v>31</v>
      </c>
      <c r="C5" s="241">
        <f>SUMIFS('Diags Raw Data'!$R$6:$R$4691,'Diags Raw Data'!$D$6:$D$4691,$A5)</f>
        <v>31</v>
      </c>
      <c r="D5" s="241">
        <f>SUMIFS('Diags Raw Data'!$K$6:$K$4691,'Diags Raw Data'!$D$6:$D$4691,$A5)</f>
        <v>1376</v>
      </c>
      <c r="E5" s="241">
        <f>SUMIFS('Diags Raw Data'!$O$6:$O$4691,'Diags Raw Data'!$D$6:$D$4691,$A5)</f>
        <v>30</v>
      </c>
      <c r="F5" s="247">
        <f t="shared" ref="F5:F12" si="0">IF(NOT($B5=0), E5/$B5, "---")</f>
        <v>0.967741935483871</v>
      </c>
      <c r="G5" s="229">
        <f>SUMIFS('Diags Raw Data'!$S$6:$S$4691,'Diags Raw Data'!$D$6:$D$4691,$A5)</f>
        <v>29</v>
      </c>
      <c r="H5" s="225">
        <f>SUMIFS('Diags Raw Data'!$T$6:$T$4691,'Diags Raw Data'!$D$6:$D$4691,$A5)</f>
        <v>29</v>
      </c>
      <c r="I5" s="226">
        <f>SUMIFS('Diags Raw Data'!$U$6:$U$4691,'Diags Raw Data'!$D$6:$D$4691,$A5)</f>
        <v>0</v>
      </c>
      <c r="J5" s="225">
        <f>SUMIFS('Diags Raw Data'!$V$6:$V$4691,'Diags Raw Data'!$D$6:$D$4691,$A5)</f>
        <v>0</v>
      </c>
      <c r="K5" s="226">
        <f>SUMIFS('Diags Raw Data'!$W$6:$W$4691,'Diags Raw Data'!$D$6:$D$4691,$A5)</f>
        <v>0</v>
      </c>
      <c r="L5" s="242">
        <f t="shared" ref="L5:L13" si="1">IF(NOT($C5=0), G5/$C5, "---")</f>
        <v>0.93548387096774188</v>
      </c>
      <c r="M5" s="227">
        <f t="shared" ref="M5:M13" si="2">IF(NOT($G5=0), (H5+I5)/$G5, "---")</f>
        <v>1</v>
      </c>
      <c r="N5" s="236">
        <f t="shared" ref="N5:N12" si="3">IF(NOT($C5=0), (H5+I5)/$C5, "---")</f>
        <v>0.93548387096774188</v>
      </c>
      <c r="O5" s="212">
        <f>SUMIFS('Diags Raw Data'!$Z$6:$Z$4691,'Diags Raw Data'!$D$6:$D$4691,$A5)</f>
        <v>0</v>
      </c>
      <c r="P5" s="202">
        <f>SUMIFS('Diags Raw Data'!$AA$6:$AA$4691,'Diags Raw Data'!$D$6:$D$4691,$A5)</f>
        <v>0</v>
      </c>
      <c r="Q5" s="204">
        <f>SUMIFS('Diags Raw Data'!$AB$6:$AB$4691,'Diags Raw Data'!$D$6:$D$4691,$A5)</f>
        <v>0</v>
      </c>
      <c r="R5" s="202">
        <f>SUMIFS('Diags Raw Data'!$AC$6:$AC$4691,'Diags Raw Data'!$D$6:$D$4691,$A5)</f>
        <v>0</v>
      </c>
      <c r="S5" s="204">
        <f>SUMIFS('Diags Raw Data'!$AD$6:$AD$4691,'Diags Raw Data'!$D$6:$D$4691,$A5)</f>
        <v>0</v>
      </c>
      <c r="T5" s="203">
        <f t="shared" ref="T5:T13" si="4">IF(NOT($B5=0), O5/$B5, "---")</f>
        <v>0</v>
      </c>
      <c r="U5" s="228" t="str">
        <f t="shared" ref="U5:U8" si="5">IF(NOT($O5=0), (P5+Q5)/$O5, "---")</f>
        <v>---</v>
      </c>
      <c r="V5" s="230">
        <f t="shared" ref="V5:V13" si="6">IF(NOT($B5=0), (P5+Q5)/$B5, "---")</f>
        <v>0</v>
      </c>
    </row>
    <row r="6" spans="1:22" x14ac:dyDescent="0.25">
      <c r="A6" s="329" t="s">
        <v>435</v>
      </c>
      <c r="B6" s="251">
        <f>SUMIFS('Diags Raw Data'!$L$6:$L$4691,'Diags Raw Data'!$D$6:$D$4691,$A6)</f>
        <v>13</v>
      </c>
      <c r="C6" s="241">
        <f>SUMIFS('Diags Raw Data'!$R$6:$R$4691,'Diags Raw Data'!$D$6:$D$4691,$A6)</f>
        <v>13</v>
      </c>
      <c r="D6" s="241">
        <f>SUMIFS('Diags Raw Data'!$K$6:$K$4691,'Diags Raw Data'!$D$6:$D$4691,$A6)</f>
        <v>400</v>
      </c>
      <c r="E6" s="241">
        <f>SUMIFS('Diags Raw Data'!$O$6:$O$4691,'Diags Raw Data'!$D$6:$D$4691,$A6)</f>
        <v>9.15</v>
      </c>
      <c r="F6" s="247">
        <f t="shared" si="0"/>
        <v>0.7038461538461539</v>
      </c>
      <c r="G6" s="229">
        <f>SUMIFS('Diags Raw Data'!$S$6:$S$4691,'Diags Raw Data'!$D$6:$D$4691,$A6)</f>
        <v>9</v>
      </c>
      <c r="H6" s="225">
        <f>SUMIFS('Diags Raw Data'!$T$6:$T$4691,'Diags Raw Data'!$D$6:$D$4691,$A6)</f>
        <v>9</v>
      </c>
      <c r="I6" s="226">
        <f>SUMIFS('Diags Raw Data'!$U$6:$U$4691,'Diags Raw Data'!$D$6:$D$4691,$A6)</f>
        <v>0</v>
      </c>
      <c r="J6" s="225">
        <f>SUMIFS('Diags Raw Data'!$V$6:$V$4691,'Diags Raw Data'!$D$6:$D$4691,$A6)</f>
        <v>0</v>
      </c>
      <c r="K6" s="226">
        <f>SUMIFS('Diags Raw Data'!$W$6:$W$4691,'Diags Raw Data'!$D$6:$D$4691,$A6)</f>
        <v>0</v>
      </c>
      <c r="L6" s="242">
        <f t="shared" si="1"/>
        <v>0.69230769230769229</v>
      </c>
      <c r="M6" s="227">
        <f t="shared" si="2"/>
        <v>1</v>
      </c>
      <c r="N6" s="236">
        <f t="shared" si="3"/>
        <v>0.69230769230769229</v>
      </c>
      <c r="O6" s="212">
        <f>SUMIFS('Diags Raw Data'!$Z$6:$Z$4691,'Diags Raw Data'!$D$6:$D$4691,$A6)</f>
        <v>0</v>
      </c>
      <c r="P6" s="202">
        <f>SUMIFS('Diags Raw Data'!$AA$6:$AA$4691,'Diags Raw Data'!$D$6:$D$4691,$A6)</f>
        <v>0</v>
      </c>
      <c r="Q6" s="204">
        <f>SUMIFS('Diags Raw Data'!$AB$6:$AB$4691,'Diags Raw Data'!$D$6:$D$4691,$A6)</f>
        <v>0</v>
      </c>
      <c r="R6" s="202">
        <f>SUMIFS('Diags Raw Data'!$AC$6:$AC$4691,'Diags Raw Data'!$D$6:$D$4691,$A6)</f>
        <v>0</v>
      </c>
      <c r="S6" s="204">
        <f>SUMIFS('Diags Raw Data'!$AD$6:$AD$4691,'Diags Raw Data'!$D$6:$D$4691,$A6)</f>
        <v>0</v>
      </c>
      <c r="T6" s="203">
        <f t="shared" si="4"/>
        <v>0</v>
      </c>
      <c r="U6" s="228" t="str">
        <f t="shared" si="5"/>
        <v>---</v>
      </c>
      <c r="V6" s="230">
        <f t="shared" si="6"/>
        <v>0</v>
      </c>
    </row>
    <row r="7" spans="1:22" x14ac:dyDescent="0.25">
      <c r="A7" s="329"/>
      <c r="B7" s="251">
        <f>SUMIFS('Diags Raw Data'!$L$6:$L$4691,'Diags Raw Data'!$D$6:$D$4691,$A7)</f>
        <v>0</v>
      </c>
      <c r="C7" s="241">
        <f>SUMIFS('Diags Raw Data'!$R$6:$R$4691,'Diags Raw Data'!$D$6:$D$4691,$A7)</f>
        <v>0</v>
      </c>
      <c r="D7" s="241">
        <f>SUMIFS('Diags Raw Data'!$K$6:$K$4691,'Diags Raw Data'!$D$6:$D$4691,$A7)</f>
        <v>0</v>
      </c>
      <c r="E7" s="241">
        <f>SUMIFS('Diags Raw Data'!$O$6:$O$4691,'Diags Raw Data'!$D$6:$D$4691,$A7)</f>
        <v>0</v>
      </c>
      <c r="F7" s="247" t="str">
        <f t="shared" si="0"/>
        <v>---</v>
      </c>
      <c r="G7" s="229">
        <f>SUMIFS('Diags Raw Data'!$S$6:$S$4691,'Diags Raw Data'!$D$6:$D$4691,$A7)</f>
        <v>0</v>
      </c>
      <c r="H7" s="225">
        <f>SUMIFS('Diags Raw Data'!$T$6:$T$4691,'Diags Raw Data'!$D$6:$D$4691,$A7)</f>
        <v>0</v>
      </c>
      <c r="I7" s="226">
        <f>SUMIFS('Diags Raw Data'!$U$6:$U$4691,'Diags Raw Data'!$D$6:$D$4691,$A7)</f>
        <v>0</v>
      </c>
      <c r="J7" s="225">
        <f>SUMIFS('Diags Raw Data'!$V$6:$V$4691,'Diags Raw Data'!$D$6:$D$4691,$A7)</f>
        <v>0</v>
      </c>
      <c r="K7" s="226">
        <f>SUMIFS('Diags Raw Data'!$W$6:$W$4691,'Diags Raw Data'!$D$6:$D$4691,$A7)</f>
        <v>0</v>
      </c>
      <c r="L7" s="242" t="str">
        <f t="shared" si="1"/>
        <v>---</v>
      </c>
      <c r="M7" s="227" t="str">
        <f t="shared" si="2"/>
        <v>---</v>
      </c>
      <c r="N7" s="236" t="str">
        <f t="shared" si="3"/>
        <v>---</v>
      </c>
      <c r="O7" s="212">
        <f>SUMIFS('Diags Raw Data'!$Z$6:$Z$4691,'Diags Raw Data'!$D$6:$D$4691,$A7)</f>
        <v>0</v>
      </c>
      <c r="P7" s="202">
        <f>SUMIFS('Diags Raw Data'!$AA$6:$AA$4691,'Diags Raw Data'!$D$6:$D$4691,$A7)</f>
        <v>0</v>
      </c>
      <c r="Q7" s="204">
        <f>SUMIFS('Diags Raw Data'!$AB$6:$AB$4691,'Diags Raw Data'!$D$6:$D$4691,$A7)</f>
        <v>0</v>
      </c>
      <c r="R7" s="202">
        <f>SUMIFS('Diags Raw Data'!$AC$6:$AC$4691,'Diags Raw Data'!$D$6:$D$4691,$A7)</f>
        <v>0</v>
      </c>
      <c r="S7" s="204">
        <f>SUMIFS('Diags Raw Data'!$AD$6:$AD$4691,'Diags Raw Data'!$D$6:$D$4691,$A7)</f>
        <v>0</v>
      </c>
      <c r="T7" s="203" t="str">
        <f t="shared" si="4"/>
        <v>---</v>
      </c>
      <c r="U7" s="228" t="str">
        <f t="shared" si="5"/>
        <v>---</v>
      </c>
      <c r="V7" s="230" t="str">
        <f t="shared" si="6"/>
        <v>---</v>
      </c>
    </row>
    <row r="8" spans="1:22" x14ac:dyDescent="0.25">
      <c r="A8" s="329"/>
      <c r="B8" s="251">
        <f>SUMIFS('Diags Raw Data'!$L$6:$L$4691,'Diags Raw Data'!$D$6:$D$4691,$A8)</f>
        <v>0</v>
      </c>
      <c r="C8" s="241">
        <f>SUMIFS('Diags Raw Data'!$R$6:$R$4691,'Diags Raw Data'!$D$6:$D$4691,$A8)</f>
        <v>0</v>
      </c>
      <c r="D8" s="241">
        <f>SUMIFS('Diags Raw Data'!$K$6:$K$4691,'Diags Raw Data'!$D$6:$D$4691,$A8)</f>
        <v>0</v>
      </c>
      <c r="E8" s="241">
        <f>SUMIFS('Diags Raw Data'!$O$6:$O$4691,'Diags Raw Data'!$D$6:$D$4691,$A8)</f>
        <v>0</v>
      </c>
      <c r="F8" s="247" t="str">
        <f t="shared" si="0"/>
        <v>---</v>
      </c>
      <c r="G8" s="229">
        <f>SUMIFS('Diags Raw Data'!$S$6:$S$4691,'Diags Raw Data'!$D$6:$D$4691,$A8)</f>
        <v>0</v>
      </c>
      <c r="H8" s="225">
        <f>SUMIFS('Diags Raw Data'!$T$6:$T$4691,'Diags Raw Data'!$D$6:$D$4691,$A8)</f>
        <v>0</v>
      </c>
      <c r="I8" s="226">
        <f>SUMIFS('Diags Raw Data'!$U$6:$U$4691,'Diags Raw Data'!$D$6:$D$4691,$A8)</f>
        <v>0</v>
      </c>
      <c r="J8" s="225">
        <f>SUMIFS('Diags Raw Data'!$V$6:$V$4691,'Diags Raw Data'!$D$6:$D$4691,$A8)</f>
        <v>0</v>
      </c>
      <c r="K8" s="226">
        <f>SUMIFS('Diags Raw Data'!$W$6:$W$4691,'Diags Raw Data'!$D$6:$D$4691,$A8)</f>
        <v>0</v>
      </c>
      <c r="L8" s="242" t="str">
        <f t="shared" si="1"/>
        <v>---</v>
      </c>
      <c r="M8" s="227" t="str">
        <f t="shared" si="2"/>
        <v>---</v>
      </c>
      <c r="N8" s="236" t="str">
        <f t="shared" si="3"/>
        <v>---</v>
      </c>
      <c r="O8" s="212">
        <f>SUMIFS('Diags Raw Data'!$Z$6:$Z$4691,'Diags Raw Data'!$D$6:$D$4691,$A8)</f>
        <v>0</v>
      </c>
      <c r="P8" s="202">
        <f>SUMIFS('Diags Raw Data'!$AA$6:$AA$4691,'Diags Raw Data'!$D$6:$D$4691,$A8)</f>
        <v>0</v>
      </c>
      <c r="Q8" s="204">
        <f>SUMIFS('Diags Raw Data'!$AB$6:$AB$4691,'Diags Raw Data'!$D$6:$D$4691,$A8)</f>
        <v>0</v>
      </c>
      <c r="R8" s="202">
        <f>SUMIFS('Diags Raw Data'!$AC$6:$AC$4691,'Diags Raw Data'!$D$6:$D$4691,$A8)</f>
        <v>0</v>
      </c>
      <c r="S8" s="204">
        <f>SUMIFS('Diags Raw Data'!$AD$6:$AD$4691,'Diags Raw Data'!$D$6:$D$4691,$A8)</f>
        <v>0</v>
      </c>
      <c r="T8" s="203" t="str">
        <f t="shared" si="4"/>
        <v>---</v>
      </c>
      <c r="U8" s="228" t="str">
        <f t="shared" si="5"/>
        <v>---</v>
      </c>
      <c r="V8" s="230" t="str">
        <f t="shared" si="6"/>
        <v>---</v>
      </c>
    </row>
    <row r="9" spans="1:22" x14ac:dyDescent="0.25">
      <c r="A9" s="329"/>
      <c r="B9" s="251">
        <f>SUMIFS('Diags Raw Data'!$L$6:$L$4691,'Diags Raw Data'!$D$6:$D$4691,$A9)</f>
        <v>0</v>
      </c>
      <c r="C9" s="241">
        <f>SUMIFS('Diags Raw Data'!$R$6:$R$4691,'Diags Raw Data'!$D$6:$D$4691,$A9)</f>
        <v>0</v>
      </c>
      <c r="D9" s="241">
        <f>SUMIFS('Diags Raw Data'!$K$6:$K$4691,'Diags Raw Data'!$D$6:$D$4691,$A9)</f>
        <v>0</v>
      </c>
      <c r="E9" s="241">
        <f>SUMIFS('Diags Raw Data'!$O$6:$O$4691,'Diags Raw Data'!$D$6:$D$4691,$A9)</f>
        <v>0</v>
      </c>
      <c r="F9" s="247" t="str">
        <f t="shared" si="0"/>
        <v>---</v>
      </c>
      <c r="G9" s="229">
        <f>SUMIFS('Diags Raw Data'!$S$6:$S$4691,'Diags Raw Data'!$D$6:$D$4691,$A9)</f>
        <v>0</v>
      </c>
      <c r="H9" s="225">
        <f>SUMIFS('Diags Raw Data'!$T$6:$T$4691,'Diags Raw Data'!$D$6:$D$4691,$A9)</f>
        <v>0</v>
      </c>
      <c r="I9" s="226">
        <f>SUMIFS('Diags Raw Data'!$U$6:$U$4691,'Diags Raw Data'!$D$6:$D$4691,$A9)</f>
        <v>0</v>
      </c>
      <c r="J9" s="225">
        <f>SUMIFS('Diags Raw Data'!$V$6:$V$4691,'Diags Raw Data'!$D$6:$D$4691,$A9)</f>
        <v>0</v>
      </c>
      <c r="K9" s="226">
        <f>SUMIFS('Diags Raw Data'!$W$6:$W$4691,'Diags Raw Data'!$D$6:$D$4691,$A9)</f>
        <v>0</v>
      </c>
      <c r="L9" s="242" t="str">
        <f t="shared" si="1"/>
        <v>---</v>
      </c>
      <c r="M9" s="227" t="str">
        <f t="shared" si="2"/>
        <v>---</v>
      </c>
      <c r="N9" s="236" t="str">
        <f t="shared" si="3"/>
        <v>---</v>
      </c>
      <c r="O9" s="212">
        <f>SUMIFS('Diags Raw Data'!$Z$6:$Z$4691,'Diags Raw Data'!$D$6:$D$4691,$A9)</f>
        <v>0</v>
      </c>
      <c r="P9" s="202">
        <f>SUMIFS('Diags Raw Data'!$AA$6:$AA$4691,'Diags Raw Data'!$D$6:$D$4691,$A9)</f>
        <v>0</v>
      </c>
      <c r="Q9" s="204">
        <f>SUMIFS('Diags Raw Data'!$AB$6:$AB$4691,'Diags Raw Data'!$D$6:$D$4691,$A9)</f>
        <v>0</v>
      </c>
      <c r="R9" s="202">
        <f>SUMIFS('Diags Raw Data'!$AC$6:$AC$4691,'Diags Raw Data'!$D$6:$D$4691,$A9)</f>
        <v>0</v>
      </c>
      <c r="S9" s="204">
        <f>SUMIFS('Diags Raw Data'!$AD$6:$AD$4691,'Diags Raw Data'!$D$6:$D$4691,$A9)</f>
        <v>0</v>
      </c>
      <c r="T9" s="203" t="str">
        <f t="shared" si="4"/>
        <v>---</v>
      </c>
      <c r="U9" s="228" t="str">
        <f>IF(NOT($O9=0), (P9+Q9)/$O9, "---")</f>
        <v>---</v>
      </c>
      <c r="V9" s="230" t="str">
        <f t="shared" si="6"/>
        <v>---</v>
      </c>
    </row>
    <row r="10" spans="1:22" x14ac:dyDescent="0.25">
      <c r="A10" s="329"/>
      <c r="B10" s="251">
        <f>SUMIFS('Diags Raw Data'!$L$6:$L$4691,'Diags Raw Data'!$D$6:$D$4691,$A10)</f>
        <v>0</v>
      </c>
      <c r="C10" s="241">
        <f>SUMIFS('Diags Raw Data'!$R$6:$R$4691,'Diags Raw Data'!$D$6:$D$4691,$A10)</f>
        <v>0</v>
      </c>
      <c r="D10" s="241">
        <f>SUMIFS('Diags Raw Data'!$K$6:$K$4691,'Diags Raw Data'!$D$6:$D$4691,$A10)</f>
        <v>0</v>
      </c>
      <c r="E10" s="241">
        <f>SUMIFS('Diags Raw Data'!$O$6:$O$4691,'Diags Raw Data'!$D$6:$D$4691,$A10)</f>
        <v>0</v>
      </c>
      <c r="F10" s="247" t="str">
        <f>IF(NOT($B10=0), E10/$B10, "---")</f>
        <v>---</v>
      </c>
      <c r="G10" s="229">
        <f>SUMIFS('Diags Raw Data'!$S$6:$S$4691,'Diags Raw Data'!$D$6:$D$4691,$A10)</f>
        <v>0</v>
      </c>
      <c r="H10" s="225">
        <f>SUMIFS('Diags Raw Data'!$T$6:$T$4691,'Diags Raw Data'!$D$6:$D$4691,$A10)</f>
        <v>0</v>
      </c>
      <c r="I10" s="226">
        <f>SUMIFS('Diags Raw Data'!$U$6:$U$4691,'Diags Raw Data'!$D$6:$D$4691,$A10)</f>
        <v>0</v>
      </c>
      <c r="J10" s="225">
        <f>SUMIFS('Diags Raw Data'!$V$6:$V$4691,'Diags Raw Data'!$D$6:$D$4691,$A10)</f>
        <v>0</v>
      </c>
      <c r="K10" s="226">
        <f>SUMIFS('Diags Raw Data'!$W$6:$W$4691,'Diags Raw Data'!$D$6:$D$4691,$A10)</f>
        <v>0</v>
      </c>
      <c r="L10" s="242" t="str">
        <f t="shared" si="1"/>
        <v>---</v>
      </c>
      <c r="M10" s="227" t="str">
        <f t="shared" si="2"/>
        <v>---</v>
      </c>
      <c r="N10" s="236" t="str">
        <f t="shared" si="3"/>
        <v>---</v>
      </c>
      <c r="O10" s="212">
        <f>SUMIFS('Diags Raw Data'!$Z$6:$Z$4691,'Diags Raw Data'!$D$6:$D$4691,$A10)</f>
        <v>0</v>
      </c>
      <c r="P10" s="202">
        <f>SUMIFS('Diags Raw Data'!$AA$6:$AA$4691,'Diags Raw Data'!$D$6:$D$4691,$A10)</f>
        <v>0</v>
      </c>
      <c r="Q10" s="204">
        <f>SUMIFS('Diags Raw Data'!$AB$6:$AB$4691,'Diags Raw Data'!$D$6:$D$4691,$A10)</f>
        <v>0</v>
      </c>
      <c r="R10" s="202">
        <f>SUMIFS('Diags Raw Data'!$AC$6:$AC$4691,'Diags Raw Data'!$D$6:$D$4691,$A10)</f>
        <v>0</v>
      </c>
      <c r="S10" s="204">
        <f>SUMIFS('Diags Raw Data'!$AD$6:$AD$4691,'Diags Raw Data'!$D$6:$D$4691,$A10)</f>
        <v>0</v>
      </c>
      <c r="T10" s="203" t="str">
        <f t="shared" si="4"/>
        <v>---</v>
      </c>
      <c r="U10" s="228" t="str">
        <f t="shared" ref="U10:U13" si="7">IF(NOT($O10=0), (P10+Q10)/$O10, "---")</f>
        <v>---</v>
      </c>
      <c r="V10" s="230" t="str">
        <f t="shared" si="6"/>
        <v>---</v>
      </c>
    </row>
    <row r="11" spans="1:22" x14ac:dyDescent="0.25">
      <c r="A11" s="329"/>
      <c r="B11" s="251">
        <f>SUMIFS('Diags Raw Data'!$L$6:$L$4691,'Diags Raw Data'!$D$6:$D$4691,$A11)</f>
        <v>0</v>
      </c>
      <c r="C11" s="241">
        <f>SUMIFS('Diags Raw Data'!$R$6:$R$4691,'Diags Raw Data'!$D$6:$D$4691,$A11)</f>
        <v>0</v>
      </c>
      <c r="D11" s="241">
        <f>SUMIFS('Diags Raw Data'!$K$6:$K$4691,'Diags Raw Data'!$D$6:$D$4691,$A11)</f>
        <v>0</v>
      </c>
      <c r="E11" s="241">
        <f>SUMIFS('Diags Raw Data'!$O$6:$O$4691,'Diags Raw Data'!$D$6:$D$4691,$A11)</f>
        <v>0</v>
      </c>
      <c r="F11" s="247" t="str">
        <f t="shared" si="0"/>
        <v>---</v>
      </c>
      <c r="G11" s="229">
        <f>SUMIFS('Diags Raw Data'!$S$6:$S$4691,'Diags Raw Data'!$D$6:$D$4691,$A11)</f>
        <v>0</v>
      </c>
      <c r="H11" s="225">
        <f>SUMIFS('Diags Raw Data'!$T$6:$T$4691,'Diags Raw Data'!$D$6:$D$4691,$A11)</f>
        <v>0</v>
      </c>
      <c r="I11" s="226">
        <f>SUMIFS('Diags Raw Data'!$U$6:$U$4691,'Diags Raw Data'!$D$6:$D$4691,$A11)</f>
        <v>0</v>
      </c>
      <c r="J11" s="225">
        <f>SUMIFS('Diags Raw Data'!$V$6:$V$4691,'Diags Raw Data'!$D$6:$D$4691,$A11)</f>
        <v>0</v>
      </c>
      <c r="K11" s="226">
        <f>SUMIFS('Diags Raw Data'!$W$6:$W$4691,'Diags Raw Data'!$D$6:$D$4691,$A11)</f>
        <v>0</v>
      </c>
      <c r="L11" s="242" t="str">
        <f t="shared" si="1"/>
        <v>---</v>
      </c>
      <c r="M11" s="227" t="str">
        <f t="shared" si="2"/>
        <v>---</v>
      </c>
      <c r="N11" s="236" t="str">
        <f t="shared" si="3"/>
        <v>---</v>
      </c>
      <c r="O11" s="212">
        <f>SUMIFS('Diags Raw Data'!$Z$6:$Z$4691,'Diags Raw Data'!$D$6:$D$4691,$A11)</f>
        <v>0</v>
      </c>
      <c r="P11" s="202">
        <f>SUMIFS('Diags Raw Data'!$AA$6:$AA$4691,'Diags Raw Data'!$D$6:$D$4691,$A11)</f>
        <v>0</v>
      </c>
      <c r="Q11" s="204">
        <f>SUMIFS('Diags Raw Data'!$AB$6:$AB$4691,'Diags Raw Data'!$D$6:$D$4691,$A11)</f>
        <v>0</v>
      </c>
      <c r="R11" s="202">
        <f>SUMIFS('Diags Raw Data'!$AC$6:$AC$4691,'Diags Raw Data'!$D$6:$D$4691,$A11)</f>
        <v>0</v>
      </c>
      <c r="S11" s="204">
        <f>SUMIFS('Diags Raw Data'!$AD$6:$AD$4691,'Diags Raw Data'!$D$6:$D$4691,$A11)</f>
        <v>0</v>
      </c>
      <c r="T11" s="203" t="str">
        <f t="shared" si="4"/>
        <v>---</v>
      </c>
      <c r="U11" s="228" t="str">
        <f t="shared" si="7"/>
        <v>---</v>
      </c>
      <c r="V11" s="230" t="str">
        <f t="shared" si="6"/>
        <v>---</v>
      </c>
    </row>
    <row r="12" spans="1:22" x14ac:dyDescent="0.25">
      <c r="A12" s="329"/>
      <c r="B12" s="251">
        <f>SUMIFS('Diags Raw Data'!$L$6:$L$4691,'Diags Raw Data'!$D$6:$D$4691,$A12)</f>
        <v>0</v>
      </c>
      <c r="C12" s="241">
        <f>SUMIFS('Diags Raw Data'!$R$6:$R$4691,'Diags Raw Data'!$D$6:$D$4691,$A12)</f>
        <v>0</v>
      </c>
      <c r="D12" s="241">
        <f>SUMIFS('Diags Raw Data'!$K$6:$K$4691,'Diags Raw Data'!$D$6:$D$4691,$A12)</f>
        <v>0</v>
      </c>
      <c r="E12" s="241">
        <f>SUMIFS('Diags Raw Data'!$O$6:$O$4691,'Diags Raw Data'!$D$6:$D$4691,$A12)</f>
        <v>0</v>
      </c>
      <c r="F12" s="247" t="str">
        <f t="shared" si="0"/>
        <v>---</v>
      </c>
      <c r="G12" s="229">
        <f>SUMIFS('Diags Raw Data'!$S$6:$S$4691,'Diags Raw Data'!$D$6:$D$4691,$A12)</f>
        <v>0</v>
      </c>
      <c r="H12" s="225">
        <f>SUMIFS('Diags Raw Data'!$T$6:$T$4691,'Diags Raw Data'!$D$6:$D$4691,$A12)</f>
        <v>0</v>
      </c>
      <c r="I12" s="226">
        <f>SUMIFS('Diags Raw Data'!$U$6:$U$4691,'Diags Raw Data'!$D$6:$D$4691,$A12)</f>
        <v>0</v>
      </c>
      <c r="J12" s="225">
        <f>SUMIFS('Diags Raw Data'!$V$6:$V$4691,'Diags Raw Data'!$D$6:$D$4691,$A12)</f>
        <v>0</v>
      </c>
      <c r="K12" s="226">
        <f>SUMIFS('Diags Raw Data'!$W$6:$W$4691,'Diags Raw Data'!$D$6:$D$4691,$A12)</f>
        <v>0</v>
      </c>
      <c r="L12" s="242" t="str">
        <f t="shared" si="1"/>
        <v>---</v>
      </c>
      <c r="M12" s="227" t="str">
        <f t="shared" si="2"/>
        <v>---</v>
      </c>
      <c r="N12" s="236" t="str">
        <f t="shared" si="3"/>
        <v>---</v>
      </c>
      <c r="O12" s="212">
        <f>SUMIFS('Diags Raw Data'!$Z$6:$Z$4691,'Diags Raw Data'!$D$6:$D$4691,$A12)</f>
        <v>0</v>
      </c>
      <c r="P12" s="202">
        <f>SUMIFS('Diags Raw Data'!$AA$6:$AA$4691,'Diags Raw Data'!$D$6:$D$4691,$A12)</f>
        <v>0</v>
      </c>
      <c r="Q12" s="204">
        <f>SUMIFS('Diags Raw Data'!$AB$6:$AB$4691,'Diags Raw Data'!$D$6:$D$4691,$A12)</f>
        <v>0</v>
      </c>
      <c r="R12" s="202">
        <f>SUMIFS('Diags Raw Data'!$AC$6:$AC$4691,'Diags Raw Data'!$D$6:$D$4691,$A12)</f>
        <v>0</v>
      </c>
      <c r="S12" s="204">
        <f>SUMIFS('Diags Raw Data'!$AD$6:$AD$4691,'Diags Raw Data'!$D$6:$D$4691,$A12)</f>
        <v>0</v>
      </c>
      <c r="T12" s="203" t="str">
        <f t="shared" si="4"/>
        <v>---</v>
      </c>
      <c r="U12" s="228" t="str">
        <f t="shared" si="7"/>
        <v>---</v>
      </c>
      <c r="V12" s="230" t="str">
        <f t="shared" si="6"/>
        <v>---</v>
      </c>
    </row>
    <row r="13" spans="1:22" ht="15.75" thickBot="1" x14ac:dyDescent="0.3">
      <c r="A13" s="330"/>
      <c r="B13" s="252">
        <f>SUMIFS('Diags Raw Data'!$L$6:$L$4691,'Diags Raw Data'!$D$6:$D$4691,$A13)</f>
        <v>0</v>
      </c>
      <c r="C13" s="243">
        <f>SUMIFS('Diags Raw Data'!$R$6:$R$4691,'Diags Raw Data'!$D$6:$D$4691,$A13)</f>
        <v>0</v>
      </c>
      <c r="D13" s="243">
        <f>SUMIFS('Diags Raw Data'!$K$6:$K$4691,'Diags Raw Data'!$D$6:$D$4691,$A13)</f>
        <v>0</v>
      </c>
      <c r="E13" s="243">
        <f>SUMIFS('Diags Raw Data'!$O$6:$O$4691,'Diags Raw Data'!$D$6:$D$4691,$A13)</f>
        <v>0</v>
      </c>
      <c r="F13" s="248" t="str">
        <f>IF(NOT($B13=0), E13/$B13, "---")</f>
        <v>---</v>
      </c>
      <c r="G13" s="231">
        <f>SUMIFS('Diags Raw Data'!$S$6:$S$4691,'Diags Raw Data'!$D$6:$D$4691,$A13)</f>
        <v>0</v>
      </c>
      <c r="H13" s="232">
        <f>SUMIFS('Diags Raw Data'!$T$6:$T$4691,'Diags Raw Data'!$D$6:$D$4691,$A13)</f>
        <v>0</v>
      </c>
      <c r="I13" s="233">
        <f>SUMIFS('Diags Raw Data'!$U$6:$U$4691,'Diags Raw Data'!$D$6:$D$4691,$A13)</f>
        <v>0</v>
      </c>
      <c r="J13" s="232">
        <f>SUMIFS('Diags Raw Data'!$V$6:$V$4691,'Diags Raw Data'!$D$6:$D$4691,$A13)</f>
        <v>0</v>
      </c>
      <c r="K13" s="233">
        <f>SUMIFS('Diags Raw Data'!$W$6:$W$4691,'Diags Raw Data'!$D$6:$D$4691,$A13)</f>
        <v>0</v>
      </c>
      <c r="L13" s="244" t="str">
        <f t="shared" si="1"/>
        <v>---</v>
      </c>
      <c r="M13" s="234" t="str">
        <f t="shared" si="2"/>
        <v>---</v>
      </c>
      <c r="N13" s="237" t="str">
        <f>IF(NOT($C13=0), (H13+I13)/$C13, "---")</f>
        <v>---</v>
      </c>
      <c r="O13" s="213">
        <f>SUMIFS('Diags Raw Data'!$Z$6:$Z$4691,'Diags Raw Data'!$D$6:$D$4691,$A13)</f>
        <v>0</v>
      </c>
      <c r="P13" s="205">
        <f>SUMIFS('Diags Raw Data'!$AA$6:$AA$4691,'Diags Raw Data'!$D$6:$D$4691,$A13)</f>
        <v>0</v>
      </c>
      <c r="Q13" s="207">
        <f>SUMIFS('Diags Raw Data'!$AB$6:$AB$4691,'Diags Raw Data'!$D$6:$D$4691,$A13)</f>
        <v>0</v>
      </c>
      <c r="R13" s="205">
        <f>SUMIFS('Diags Raw Data'!$AC$6:$AC$4691,'Diags Raw Data'!$D$6:$D$4691,$A13)</f>
        <v>0</v>
      </c>
      <c r="S13" s="207">
        <f>SUMIFS('Diags Raw Data'!$AD$6:$AD$4691,'Diags Raw Data'!$D$6:$D$4691,$A13)</f>
        <v>0</v>
      </c>
      <c r="T13" s="206" t="str">
        <f t="shared" si="4"/>
        <v>---</v>
      </c>
      <c r="U13" s="238" t="str">
        <f t="shared" si="7"/>
        <v>---</v>
      </c>
      <c r="V13" s="235" t="str">
        <f t="shared" si="6"/>
        <v>---</v>
      </c>
    </row>
    <row r="14" spans="1:22" ht="16.5" thickBot="1" x14ac:dyDescent="0.3">
      <c r="A14" s="271" t="s">
        <v>516</v>
      </c>
      <c r="B14" s="255">
        <f>SUM(B4:B13)</f>
        <v>61</v>
      </c>
      <c r="C14" s="256">
        <f>SUM(C4:C13)</f>
        <v>53</v>
      </c>
      <c r="D14" s="256">
        <f>SUM(D4:D13)</f>
        <v>2296</v>
      </c>
      <c r="E14" s="256">
        <f>SUM(E4:E13)</f>
        <v>56.15</v>
      </c>
      <c r="F14" s="257" cm="1">
        <f t="array" ref="F14">SUMPRODUCT(--(ISNUMBER(SEARCH("New",'Diags Raw Data'!$M$6:$M$4691))),'Diags Raw Data'!$K$6:$K$4691,'Diags Raw Data'!$P$6:$P$4691)/D14+SUMPRODUCT(--(ISNUMBER(SEARCH("Delta",'Diags Raw Data'!$M$6:$M$4691))),'Diags Raw Data'!$K$6:$K$4691,'Diags Raw Data'!$P$6:$P$4691)/D14+SUMPRODUCT(--(ISNUMBER(SEARCH("Legacy",'Diags Raw Data'!$M$6:$M$4691))),'Diags Raw Data'!$K$6:$K$4691,'Diags Raw Data'!$P$6:$P$4691)/D14</f>
        <v>1.0189895470383274</v>
      </c>
      <c r="G14" s="258">
        <f>SUM(G4:G13)</f>
        <v>47</v>
      </c>
      <c r="H14" s="259">
        <f>SUM(H4:H13)</f>
        <v>47</v>
      </c>
      <c r="I14" s="260">
        <f>SUM(I4:I13)</f>
        <v>0</v>
      </c>
      <c r="J14" s="259">
        <f>SUM(J4:J13)</f>
        <v>0</v>
      </c>
      <c r="K14" s="260">
        <f>SUM(K4:K13)</f>
        <v>0</v>
      </c>
      <c r="L14" s="261">
        <f>IF(NOT($C14=0), G14/$C14, "---")</f>
        <v>0.8867924528301887</v>
      </c>
      <c r="M14" s="262">
        <f>IF(NOT($G14=0), (H14+I14)/$G14, "---")</f>
        <v>1</v>
      </c>
      <c r="N14" s="263">
        <f>IF(NOT($C14=0), (H14+I14)/$C14, "---")</f>
        <v>0.8867924528301887</v>
      </c>
      <c r="O14" s="264">
        <f>SUM(O4:O13)</f>
        <v>0</v>
      </c>
      <c r="P14" s="265">
        <f>SUM(P4:P13)</f>
        <v>0</v>
      </c>
      <c r="Q14" s="266">
        <f>SUM(Q4:Q13)</f>
        <v>0</v>
      </c>
      <c r="R14" s="265">
        <f>SUM(R4:R13)</f>
        <v>0</v>
      </c>
      <c r="S14" s="266">
        <f>SUM(S4:S13)</f>
        <v>0</v>
      </c>
      <c r="T14" s="267">
        <f>IF(NOT($B14=0), O14/$B14, "---")</f>
        <v>0</v>
      </c>
      <c r="U14" s="268" t="str">
        <f>IF(NOT($O14=0), (P14+Q14)/$O14, "---")</f>
        <v>---</v>
      </c>
      <c r="V14" s="269">
        <f>IF(NOT($B14=0), (P14+Q14)/$B14, "---")</f>
        <v>0</v>
      </c>
    </row>
    <row r="15" spans="1:22" ht="15.75" thickBot="1" x14ac:dyDescent="0.3"/>
    <row r="16" spans="1:22" ht="15.75" thickBot="1" x14ac:dyDescent="0.3">
      <c r="A16" s="214" t="s">
        <v>517</v>
      </c>
      <c r="B16" s="584" t="s">
        <v>166</v>
      </c>
      <c r="C16" s="584"/>
      <c r="D16" s="584"/>
      <c r="E16" s="584"/>
      <c r="F16" s="584"/>
      <c r="G16" s="585" t="s">
        <v>177</v>
      </c>
      <c r="H16" s="586"/>
      <c r="I16" s="586"/>
      <c r="J16" s="586"/>
      <c r="K16" s="586"/>
      <c r="L16" s="586"/>
      <c r="M16" s="586"/>
      <c r="N16" s="587"/>
      <c r="O16" s="588" t="s">
        <v>144</v>
      </c>
      <c r="P16" s="589"/>
      <c r="Q16" s="589"/>
      <c r="R16" s="589"/>
      <c r="S16" s="589"/>
      <c r="T16" s="589"/>
      <c r="U16" s="589"/>
      <c r="V16" s="590"/>
    </row>
    <row r="17" spans="1:22" s="249" customFormat="1" ht="15.75" thickBot="1" x14ac:dyDescent="0.3">
      <c r="A17" s="253" t="s">
        <v>88</v>
      </c>
      <c r="B17" s="310" t="s">
        <v>167</v>
      </c>
      <c r="C17" s="311" t="s">
        <v>128</v>
      </c>
      <c r="D17" s="312" t="s">
        <v>105</v>
      </c>
      <c r="E17" s="312" t="s">
        <v>173</v>
      </c>
      <c r="F17" s="313" t="s">
        <v>175</v>
      </c>
      <c r="G17" s="314" t="s">
        <v>132</v>
      </c>
      <c r="H17" s="315" t="s">
        <v>30</v>
      </c>
      <c r="I17" s="315" t="s">
        <v>135</v>
      </c>
      <c r="J17" s="315" t="s">
        <v>36</v>
      </c>
      <c r="K17" s="315" t="s">
        <v>138</v>
      </c>
      <c r="L17" s="315" t="s">
        <v>184</v>
      </c>
      <c r="M17" s="315" t="s">
        <v>140</v>
      </c>
      <c r="N17" s="316" t="s">
        <v>187</v>
      </c>
      <c r="O17" s="317" t="s">
        <v>132</v>
      </c>
      <c r="P17" s="318" t="s">
        <v>30</v>
      </c>
      <c r="Q17" s="318" t="s">
        <v>135</v>
      </c>
      <c r="R17" s="318" t="s">
        <v>36</v>
      </c>
      <c r="S17" s="318" t="s">
        <v>138</v>
      </c>
      <c r="T17" s="318" t="s">
        <v>184</v>
      </c>
      <c r="U17" s="318" t="s">
        <v>140</v>
      </c>
      <c r="V17" s="319" t="s">
        <v>187</v>
      </c>
    </row>
    <row r="18" spans="1:22" x14ac:dyDescent="0.25">
      <c r="A18" s="329" t="s">
        <v>308</v>
      </c>
      <c r="B18" s="250">
        <f>SUMIFS('Diags Raw Data'!$L$6:$L$4691,'Diags Raw Data'!$D$6:$D$4691,$A18,'Diags Raw Data'!$M$6:$M$4691,"New")+SUMIFS('Diags Raw Data'!$L$6:$L$4691,'Diags Raw Data'!$D$6:$D$4691,$A18,'Diags Raw Data'!$M$6:$M$4691,"Delta")</f>
        <v>5</v>
      </c>
      <c r="C18" s="240">
        <f>SUMIFS('Diags Raw Data'!$R$6:$R$4691,'Diags Raw Data'!$D$6:$D$4691,$A18,'Diags Raw Data'!$M$6:$M$4691,"New")+SUMIFS('Diags Raw Data'!$R$6:$R$4691,'Diags Raw Data'!$D$6:$D$4691,$A18,'Diags Raw Data'!$M$6:$M$4691,"Delta")</f>
        <v>5</v>
      </c>
      <c r="D18" s="240">
        <f>SUMIFS('Diags Raw Data'!$K$6:$K$4691,'Diags Raw Data'!$D$6:$D$4691,$A18,'Diags Raw Data'!$M$6:$M$4691,"New")+SUMIFS('Diags Raw Data'!$K$6:$K$4691,'Diags Raw Data'!$D$6:$D$4691,$A18,'Diags Raw Data'!$M$6:$M$4691,"Delta")</f>
        <v>152</v>
      </c>
      <c r="E18" s="240">
        <f>SUMIFS('Diags Raw Data'!$O$6:$O$4691,'Diags Raw Data'!$D$6:$D$4691,$A18,'Diags Raw Data'!$M$6:$M$4691,"New")+SUMIFS('Diags Raw Data'!$O$6:$O$4691,'Diags Raw Data'!$D$6:$D$4691,$A18,'Diags Raw Data'!$M$6:$M$4691,"Delta")</f>
        <v>5</v>
      </c>
      <c r="F18" s="246">
        <f t="shared" ref="F18:F27" si="8">IF(NOT($B18=0), E18/$B18, "---")</f>
        <v>1</v>
      </c>
      <c r="G18" s="218">
        <f>SUMIFS('Diags Raw Data'!$S$6:$S$4691,'Diags Raw Data'!$D$6:$D$4691,$A18,'Diags Raw Data'!$M$6:$M$4691,"New")+SUMIFS('Diags Raw Data'!$S$6:$S$4691,'Diags Raw Data'!$D$6:$D$4691,$A18,'Diags Raw Data'!$M$6:$M$4691,"Delta")</f>
        <v>5</v>
      </c>
      <c r="H18" s="219">
        <f>SUMIFS('Diags Raw Data'!$T$6:$T$4691,'Diags Raw Data'!$D$6:$D$4691,$A18,'Diags Raw Data'!$M$6:$M$4691,"New")+SUMIFS('Diags Raw Data'!$T$6:$T$4691,'Diags Raw Data'!$D$6:$D$4691,$A18,'Diags Raw Data'!$M$6:$M$4691,"Delta")</f>
        <v>5</v>
      </c>
      <c r="I18" s="219">
        <f>SUMIFS('Diags Raw Data'!$U$6:$U$4691,'Diags Raw Data'!$D$6:$D$4691,$A18,'Diags Raw Data'!$M$6:$M$4691,"New")+SUMIFS('Diags Raw Data'!$U$6:$U$4691,'Diags Raw Data'!$D$6:$D$4691,$A18,'Diags Raw Data'!$M$6:$M$4691,"Delta")</f>
        <v>0</v>
      </c>
      <c r="J18" s="219">
        <f>SUMIFS('Diags Raw Data'!$V$6:$V$4691,'Diags Raw Data'!$D$6:$D$4691,$A18,'Diags Raw Data'!$M$6:$M$4691,"New")+SUMIFS('Diags Raw Data'!$V$6:$V$4691,'Diags Raw Data'!$D$6:$D$4691,$A18,'Diags Raw Data'!$M$6:$M$4691,"Delta")</f>
        <v>0</v>
      </c>
      <c r="K18" s="219">
        <f>SUMIFS('Diags Raw Data'!$W$6:$W$4691,'Diags Raw Data'!$D$6:$D$4691,$A18,'Diags Raw Data'!$M$6:$M$4691,"New")+SUMIFS('Diags Raw Data'!$W$6:$W$4691,'Diags Raw Data'!$D$6:$D$4691,$A18,'Diags Raw Data'!$M$6:$M$4691,"Delta")</f>
        <v>0</v>
      </c>
      <c r="L18" s="220">
        <f>IF(NOT($C18=0), G18/$C18, "---")</f>
        <v>1</v>
      </c>
      <c r="M18" s="222">
        <f>IF(NOT($G18=0), (H18+I18)/$G18, "---")</f>
        <v>1</v>
      </c>
      <c r="N18" s="224">
        <f>IF(NOT($C18=0), (H18+I18)/$C18, "---")</f>
        <v>1</v>
      </c>
      <c r="O18" s="211">
        <f>SUMIFS('Diags Raw Data'!$Z$6:$Z$4691,'Diags Raw Data'!$D$6:$D$4691,$A18,'Diags Raw Data'!$M$6:$M$4691,"New")+SUMIFS('Diags Raw Data'!$Z$6:$Z$4691,'Diags Raw Data'!$D$6:$D$4691,$A18,'Diags Raw Data'!$M$6:$M$4691,"Delta")</f>
        <v>0</v>
      </c>
      <c r="P18" s="208">
        <f>SUMIFS('Diags Raw Data'!$AA$6:$AA$4691,'Diags Raw Data'!$D$6:$D$4691,$A18,'Diags Raw Data'!$M$6:$M$4691,"New")+SUMIFS('Diags Raw Data'!$AA$6:$AA$4691,'Diags Raw Data'!$D$6:$D$4691,$A18,'Diags Raw Data'!$M$6:$M$4691,"Delta")</f>
        <v>0</v>
      </c>
      <c r="Q18" s="208">
        <f>SUMIFS('Diags Raw Data'!$AB$6:$AB$4691,'Diags Raw Data'!$D$6:$D$4691,$A18,'Diags Raw Data'!$M$6:$M$4691,"New")+SUMIFS('Diags Raw Data'!$AB$6:$AB$4691,'Diags Raw Data'!$D$6:$D$4691,$A18,'Diags Raw Data'!$M$6:$M$4691,"Delta")</f>
        <v>0</v>
      </c>
      <c r="R18" s="208">
        <f>SUMIFS('Diags Raw Data'!$AC$6:$AC$4691,'Diags Raw Data'!$D$6:$D$4691,$A18,'Diags Raw Data'!$M$6:$M$4691,"New")+SUMIFS('Diags Raw Data'!$AC$6:$AC$4691,'Diags Raw Data'!$D$6:$D$4691,$A18,'Diags Raw Data'!$M$6:$M$4691,"Delta")</f>
        <v>0</v>
      </c>
      <c r="S18" s="208">
        <f>SUMIFS('Diags Raw Data'!$AD$6:$AD$4691,'Diags Raw Data'!$D$6:$D$4691,$A18,'Diags Raw Data'!$M$6:$M$4691,"New")+SUMIFS('Diags Raw Data'!$AD$6:$AD$4691,'Diags Raw Data'!$D$6:$D$4691,$A18,'Diags Raw Data'!$M$6:$M$4691,"Delta")</f>
        <v>0</v>
      </c>
      <c r="T18" s="209">
        <f>IF(NOT($B18=0), O18/$B18, "---")</f>
        <v>0</v>
      </c>
      <c r="U18" s="223" t="str">
        <f>IF(NOT($O18=0), (P18+Q18)/$O18, "---")</f>
        <v>---</v>
      </c>
      <c r="V18" s="239">
        <f>IF(NOT($B18=0), (P18+Q18)/$B18, "---")</f>
        <v>0</v>
      </c>
    </row>
    <row r="19" spans="1:22" x14ac:dyDescent="0.25">
      <c r="A19" s="329" t="s">
        <v>362</v>
      </c>
      <c r="B19" s="251">
        <f>SUMIFS('Diags Raw Data'!$L$6:$L$4691,'Diags Raw Data'!$D$6:$D$4691,$A19,'Diags Raw Data'!$M$6:$M$4691,"New")+SUMIFS('Diags Raw Data'!$L$6:$L$4691,'Diags Raw Data'!$D$6:$D$4691,$A19,'Diags Raw Data'!$M$6:$M$4691,"Delta")</f>
        <v>4</v>
      </c>
      <c r="C19" s="241">
        <f>SUMIFS('Diags Raw Data'!$R$6:$R$4691,'Diags Raw Data'!$D$6:$D$4691,$A19,'Diags Raw Data'!$M$6:$M$4691,"New")+SUMIFS('Diags Raw Data'!$R$6:$R$4691,'Diags Raw Data'!$D$6:$D$4691,$A19,'Diags Raw Data'!$M$6:$M$4691,"Delta")</f>
        <v>4</v>
      </c>
      <c r="D19" s="241">
        <f>SUMIFS('Diags Raw Data'!$K$6:$K$4691,'Diags Raw Data'!$D$6:$D$4691,$A19,'Diags Raw Data'!$M$6:$M$4691,"New")+SUMIFS('Diags Raw Data'!$K$6:$K$4691,'Diags Raw Data'!$D$6:$D$4691,$A19,'Diags Raw Data'!$M$6:$M$4691,"Delta")</f>
        <v>128</v>
      </c>
      <c r="E19" s="241">
        <f>SUMIFS('Diags Raw Data'!$O$6:$O$4691,'Diags Raw Data'!$D$6:$D$4691,$A19,'Diags Raw Data'!$M$6:$M$4691,"New")+SUMIFS('Diags Raw Data'!$O$6:$O$4691,'Diags Raw Data'!$D$6:$D$4691,$A19,'Diags Raw Data'!$M$6:$M$4691,"Delta")</f>
        <v>3</v>
      </c>
      <c r="F19" s="247">
        <f t="shared" si="8"/>
        <v>0.75</v>
      </c>
      <c r="G19" s="229">
        <f>SUMIFS('Diags Raw Data'!$S$6:$S$4691,'Diags Raw Data'!$D$6:$D$4691,$A19,'Diags Raw Data'!$M$6:$M$4691,"New")+SUMIFS('Diags Raw Data'!$S$6:$S$4691,'Diags Raw Data'!$D$6:$D$4691,$A19,'Diags Raw Data'!$M$6:$M$4691,"Delta")</f>
        <v>2</v>
      </c>
      <c r="H19" s="225">
        <f>SUMIFS('Diags Raw Data'!$T$6:$T$4691,'Diags Raw Data'!$D$6:$D$4691,$A19,'Diags Raw Data'!$M$6:$M$4691,"New")+SUMIFS('Diags Raw Data'!$T$6:$T$4691,'Diags Raw Data'!$D$6:$D$4691,$A19,'Diags Raw Data'!$M$6:$M$4691,"Delta")</f>
        <v>2</v>
      </c>
      <c r="I19" s="225">
        <f>SUMIFS('Diags Raw Data'!$U$6:$U$4691,'Diags Raw Data'!$D$6:$D$4691,$A19,'Diags Raw Data'!$M$6:$M$4691,"New")+SUMIFS('Diags Raw Data'!$U$6:$U$4691,'Diags Raw Data'!$D$6:$D$4691,$A19,'Diags Raw Data'!$M$6:$M$4691,"Delta")</f>
        <v>0</v>
      </c>
      <c r="J19" s="225">
        <f>SUMIFS('Diags Raw Data'!$V$6:$V$4691,'Diags Raw Data'!$D$6:$D$4691,$A19,'Diags Raw Data'!$M$6:$M$4691,"New")+SUMIFS('Diags Raw Data'!$V$6:$V$4691,'Diags Raw Data'!$D$6:$D$4691,$A19,'Diags Raw Data'!$M$6:$M$4691,"Delta")</f>
        <v>0</v>
      </c>
      <c r="K19" s="225">
        <f>SUMIFS('Diags Raw Data'!$W$6:$W$4691,'Diags Raw Data'!$D$6:$D$4691,$A19,'Diags Raw Data'!$M$6:$M$4691,"New")+SUMIFS('Diags Raw Data'!$W$6:$W$4691,'Diags Raw Data'!$D$6:$D$4691,$A19,'Diags Raw Data'!$M$6:$M$4691,"Delta")</f>
        <v>0</v>
      </c>
      <c r="L19" s="242">
        <f>IF(NOT($C19=0), G19/$C19, "---")</f>
        <v>0.5</v>
      </c>
      <c r="M19" s="227">
        <f>IF(NOT($G19=0), (H19+I19)/$G19, "---")</f>
        <v>1</v>
      </c>
      <c r="N19" s="236">
        <f>IF(NOT($C19=0), (H19+I19)/$C19, "---")</f>
        <v>0.5</v>
      </c>
      <c r="O19" s="212">
        <f>SUMIFS('Diags Raw Data'!$Z$6:$Z$4691,'Diags Raw Data'!$D$6:$D$4691,$A19,'Diags Raw Data'!$M$6:$M$4691,"New")+SUMIFS('Diags Raw Data'!$Z$6:$Z$4691,'Diags Raw Data'!$D$6:$D$4691,$A19,'Diags Raw Data'!$M$6:$M$4691,"Delta")</f>
        <v>0</v>
      </c>
      <c r="P19" s="202">
        <f>SUMIFS('Diags Raw Data'!$AA$6:$AA$4691,'Diags Raw Data'!$D$6:$D$4691,$A19,'Diags Raw Data'!$M$6:$M$4691,"New")+SUMIFS('Diags Raw Data'!$AA$6:$AA$4691,'Diags Raw Data'!$D$6:$D$4691,$A19,'Diags Raw Data'!$M$6:$M$4691,"Delta")</f>
        <v>0</v>
      </c>
      <c r="Q19" s="202">
        <f>SUMIFS('Diags Raw Data'!$AB$6:$AB$4691,'Diags Raw Data'!$D$6:$D$4691,$A19,'Diags Raw Data'!$M$6:$M$4691,"New")+SUMIFS('Diags Raw Data'!$AB$6:$AB$4691,'Diags Raw Data'!$D$6:$D$4691,$A19,'Diags Raw Data'!$M$6:$M$4691,"Delta")</f>
        <v>0</v>
      </c>
      <c r="R19" s="202">
        <f>SUMIFS('Diags Raw Data'!$AC$6:$AC$4691,'Diags Raw Data'!$D$6:$D$4691,$A19,'Diags Raw Data'!$M$6:$M$4691,"New")+SUMIFS('Diags Raw Data'!$AC$6:$AC$4691,'Diags Raw Data'!$D$6:$D$4691,$A19,'Diags Raw Data'!$M$6:$M$4691,"Delta")</f>
        <v>0</v>
      </c>
      <c r="S19" s="202">
        <f>SUMIFS('Diags Raw Data'!$AD$6:$AD$4691,'Diags Raw Data'!$D$6:$D$4691,$A19,'Diags Raw Data'!$M$6:$M$4691,"New")+SUMIFS('Diags Raw Data'!$AD$6:$AD$4691,'Diags Raw Data'!$D$6:$D$4691,$A19,'Diags Raw Data'!$M$6:$M$4691,"Delta")</f>
        <v>0</v>
      </c>
      <c r="T19" s="203">
        <f>IF(NOT($B19=0), O19/$B19, "---")</f>
        <v>0</v>
      </c>
      <c r="U19" s="228" t="str">
        <f>IF(NOT($O19=0), (P19+Q19)/$O19, "---")</f>
        <v>---</v>
      </c>
      <c r="V19" s="230">
        <f t="shared" ref="V19:V28" si="9">IF(NOT($B19=0), (P19+Q19)/$B19, "---")</f>
        <v>0</v>
      </c>
    </row>
    <row r="20" spans="1:22" x14ac:dyDescent="0.25">
      <c r="A20" s="329" t="s">
        <v>435</v>
      </c>
      <c r="B20" s="251">
        <f>SUMIFS('Diags Raw Data'!$L$6:$L$4691,'Diags Raw Data'!$D$6:$D$4691,$A20,'Diags Raw Data'!$M$6:$M$4691,"New")+SUMIFS('Diags Raw Data'!$L$6:$L$4691,'Diags Raw Data'!$D$6:$D$4691,$A20,'Diags Raw Data'!$M$6:$M$4691,"Delta")</f>
        <v>11</v>
      </c>
      <c r="C20" s="241">
        <f>SUMIFS('Diags Raw Data'!$R$6:$R$4691,'Diags Raw Data'!$D$6:$D$4691,$A20,'Diags Raw Data'!$M$6:$M$4691,"New")+SUMIFS('Diags Raw Data'!$R$6:$R$4691,'Diags Raw Data'!$D$6:$D$4691,$A20,'Diags Raw Data'!$M$6:$M$4691,"Delta")</f>
        <v>11</v>
      </c>
      <c r="D20" s="241">
        <f>SUMIFS('Diags Raw Data'!$K$6:$K$4691,'Diags Raw Data'!$D$6:$D$4691,$A20,'Diags Raw Data'!$M$6:$M$4691,"New")+SUMIFS('Diags Raw Data'!$K$6:$K$4691,'Diags Raw Data'!$D$6:$D$4691,$A20,'Diags Raw Data'!$M$6:$M$4691,"Delta")</f>
        <v>336</v>
      </c>
      <c r="E20" s="241">
        <f>SUMIFS('Diags Raw Data'!$O$6:$O$4691,'Diags Raw Data'!$D$6:$D$4691,$A20,'Diags Raw Data'!$M$6:$M$4691,"New")+SUMIFS('Diags Raw Data'!$O$6:$O$4691,'Diags Raw Data'!$D$6:$D$4691,$A20,'Diags Raw Data'!$M$6:$M$4691,"Delta")</f>
        <v>7.15</v>
      </c>
      <c r="F20" s="247">
        <f>IF(NOT($B20=0), E20/$B20, "---")</f>
        <v>0.65</v>
      </c>
      <c r="G20" s="229">
        <f>SUMIFS('Diags Raw Data'!$S$6:$S$4691,'Diags Raw Data'!$D$6:$D$4691,$A20,'Diags Raw Data'!$M$6:$M$4691,"New")+SUMIFS('Diags Raw Data'!$S$6:$S$4691,'Diags Raw Data'!$D$6:$D$4691,$A20,'Diags Raw Data'!$M$6:$M$4691,"Delta")</f>
        <v>7</v>
      </c>
      <c r="H20" s="225">
        <f>SUMIFS('Diags Raw Data'!$T$6:$T$4691,'Diags Raw Data'!$D$6:$D$4691,$A20,'Diags Raw Data'!$M$6:$M$4691,"New")+SUMIFS('Diags Raw Data'!$T$6:$T$4691,'Diags Raw Data'!$D$6:$D$4691,$A20,'Diags Raw Data'!$M$6:$M$4691,"Delta")</f>
        <v>7</v>
      </c>
      <c r="I20" s="225">
        <f>SUMIFS('Diags Raw Data'!$U$6:$U$4691,'Diags Raw Data'!$D$6:$D$4691,$A20,'Diags Raw Data'!$M$6:$M$4691,"New")+SUMIFS('Diags Raw Data'!$U$6:$U$4691,'Diags Raw Data'!$D$6:$D$4691,$A20,'Diags Raw Data'!$M$6:$M$4691,"Delta")</f>
        <v>0</v>
      </c>
      <c r="J20" s="225">
        <f>SUMIFS('Diags Raw Data'!$V$6:$V$4691,'Diags Raw Data'!$D$6:$D$4691,$A20,'Diags Raw Data'!$M$6:$M$4691,"New")+SUMIFS('Diags Raw Data'!$V$6:$V$4691,'Diags Raw Data'!$D$6:$D$4691,$A20,'Diags Raw Data'!$M$6:$M$4691,"Delta")</f>
        <v>0</v>
      </c>
      <c r="K20" s="225">
        <f>SUMIFS('Diags Raw Data'!$W$6:$W$4691,'Diags Raw Data'!$D$6:$D$4691,$A20,'Diags Raw Data'!$M$6:$M$4691,"New")+SUMIFS('Diags Raw Data'!$W$6:$W$4691,'Diags Raw Data'!$D$6:$D$4691,$A20,'Diags Raw Data'!$M$6:$M$4691,"Delta")</f>
        <v>0</v>
      </c>
      <c r="L20" s="242">
        <f t="shared" ref="L20:L27" si="10">IF(NOT($C20=0), G20/$C20, "---")</f>
        <v>0.63636363636363635</v>
      </c>
      <c r="M20" s="227">
        <f>IF(NOT($G20=0), (H20+I20)/$G20, "---")</f>
        <v>1</v>
      </c>
      <c r="N20" s="236">
        <f t="shared" ref="N20:N27" si="11">IF(NOT($C20=0), (H20+I20)/$C20, "---")</f>
        <v>0.63636363636363635</v>
      </c>
      <c r="O20" s="212">
        <f>SUMIFS('Diags Raw Data'!$Z$6:$Z$4691,'Diags Raw Data'!$D$6:$D$4691,$A20,'Diags Raw Data'!$M$6:$M$4691,"New")+SUMIFS('Diags Raw Data'!$Z$6:$Z$4691,'Diags Raw Data'!$D$6:$D$4691,$A20,'Diags Raw Data'!$M$6:$M$4691,"Delta")</f>
        <v>0</v>
      </c>
      <c r="P20" s="202">
        <f>SUMIFS('Diags Raw Data'!$AA$6:$AA$4691,'Diags Raw Data'!$D$6:$D$4691,$A20,'Diags Raw Data'!$M$6:$M$4691,"New")+SUMIFS('Diags Raw Data'!$AA$6:$AA$4691,'Diags Raw Data'!$D$6:$D$4691,$A20,'Diags Raw Data'!$M$6:$M$4691,"Delta")</f>
        <v>0</v>
      </c>
      <c r="Q20" s="202">
        <f>SUMIFS('Diags Raw Data'!$AB$6:$AB$4691,'Diags Raw Data'!$D$6:$D$4691,$A20,'Diags Raw Data'!$M$6:$M$4691,"New")+SUMIFS('Diags Raw Data'!$AB$6:$AB$4691,'Diags Raw Data'!$D$6:$D$4691,$A20,'Diags Raw Data'!$M$6:$M$4691,"Delta")</f>
        <v>0</v>
      </c>
      <c r="R20" s="202">
        <f>SUMIFS('Diags Raw Data'!$AC$6:$AC$4691,'Diags Raw Data'!$D$6:$D$4691,$A20,'Diags Raw Data'!$M$6:$M$4691,"New")+SUMIFS('Diags Raw Data'!$AC$6:$AC$4691,'Diags Raw Data'!$D$6:$D$4691,$A20,'Diags Raw Data'!$M$6:$M$4691,"Delta")</f>
        <v>0</v>
      </c>
      <c r="S20" s="202">
        <f>SUMIFS('Diags Raw Data'!$AD$6:$AD$4691,'Diags Raw Data'!$D$6:$D$4691,$A20,'Diags Raw Data'!$M$6:$M$4691,"New")+SUMIFS('Diags Raw Data'!$AD$6:$AD$4691,'Diags Raw Data'!$D$6:$D$4691,$A20,'Diags Raw Data'!$M$6:$M$4691,"Delta")</f>
        <v>0</v>
      </c>
      <c r="T20" s="203">
        <f t="shared" ref="T20:T27" si="12">IF(NOT($B20=0), O20/$B20, "---")</f>
        <v>0</v>
      </c>
      <c r="U20" s="228" t="str">
        <f t="shared" ref="U20:U28" si="13">IF(NOT($O20=0), (P20+Q20)/$O20, "---")</f>
        <v>---</v>
      </c>
      <c r="V20" s="230">
        <f>IF(NOT($B20=0), (P20+Q20)/$B20, "---")</f>
        <v>0</v>
      </c>
    </row>
    <row r="21" spans="1:22" x14ac:dyDescent="0.25">
      <c r="A21" s="329"/>
      <c r="B21" s="251">
        <f>SUMIFS('Diags Raw Data'!$L$6:$L$4691,'Diags Raw Data'!$D$6:$D$4691,$A21,'Diags Raw Data'!$M$6:$M$4691,"New")+SUMIFS('Diags Raw Data'!$L$6:$L$4691,'Diags Raw Data'!$D$6:$D$4691,$A21,'Diags Raw Data'!$M$6:$M$4691,"Delta")</f>
        <v>0</v>
      </c>
      <c r="C21" s="241">
        <f>SUMIFS('Diags Raw Data'!$R$6:$R$4691,'Diags Raw Data'!$D$6:$D$4691,$A21,'Diags Raw Data'!$M$6:$M$4691,"New")+SUMIFS('Diags Raw Data'!$R$6:$R$4691,'Diags Raw Data'!$D$6:$D$4691,$A21,'Diags Raw Data'!$M$6:$M$4691,"Delta")</f>
        <v>0</v>
      </c>
      <c r="D21" s="241">
        <f>SUMIFS('Diags Raw Data'!$K$6:$K$4691,'Diags Raw Data'!$D$6:$D$4691,$A21,'Diags Raw Data'!$M$6:$M$4691,"New")+SUMIFS('Diags Raw Data'!$K$6:$K$4691,'Diags Raw Data'!$D$6:$D$4691,$A21,'Diags Raw Data'!$M$6:$M$4691,"Delta")</f>
        <v>0</v>
      </c>
      <c r="E21" s="241">
        <f>SUMIFS('Diags Raw Data'!$O$6:$O$4691,'Diags Raw Data'!$D$6:$D$4691,$A21,'Diags Raw Data'!$M$6:$M$4691,"New")+SUMIFS('Diags Raw Data'!$O$6:$O$4691,'Diags Raw Data'!$D$6:$D$4691,$A21,'Diags Raw Data'!$M$6:$M$4691,"Delta")</f>
        <v>0</v>
      </c>
      <c r="F21" s="247" t="str">
        <f t="shared" si="8"/>
        <v>---</v>
      </c>
      <c r="G21" s="229">
        <f>SUMIFS('Diags Raw Data'!$S$6:$S$4691,'Diags Raw Data'!$D$6:$D$4691,$A21,'Diags Raw Data'!$M$6:$M$4691,"New")+SUMIFS('Diags Raw Data'!$S$6:$S$4691,'Diags Raw Data'!$D$6:$D$4691,$A21,'Diags Raw Data'!$M$6:$M$4691,"Delta")</f>
        <v>0</v>
      </c>
      <c r="H21" s="225">
        <f>SUMIFS('Diags Raw Data'!$T$6:$T$4691,'Diags Raw Data'!$D$6:$D$4691,$A21,'Diags Raw Data'!$M$6:$M$4691,"New")+SUMIFS('Diags Raw Data'!$T$6:$T$4691,'Diags Raw Data'!$D$6:$D$4691,$A21,'Diags Raw Data'!$M$6:$M$4691,"Delta")</f>
        <v>0</v>
      </c>
      <c r="I21" s="225">
        <f>SUMIFS('Diags Raw Data'!$U$6:$U$4691,'Diags Raw Data'!$D$6:$D$4691,$A21,'Diags Raw Data'!$M$6:$M$4691,"New")+SUMIFS('Diags Raw Data'!$U$6:$U$4691,'Diags Raw Data'!$D$6:$D$4691,$A21,'Diags Raw Data'!$M$6:$M$4691,"Delta")</f>
        <v>0</v>
      </c>
      <c r="J21" s="225">
        <f>SUMIFS('Diags Raw Data'!$V$6:$V$4691,'Diags Raw Data'!$D$6:$D$4691,$A21,'Diags Raw Data'!$M$6:$M$4691,"New")+SUMIFS('Diags Raw Data'!$V$6:$V$4691,'Diags Raw Data'!$D$6:$D$4691,$A21,'Diags Raw Data'!$M$6:$M$4691,"Delta")</f>
        <v>0</v>
      </c>
      <c r="K21" s="225">
        <f>SUMIFS('Diags Raw Data'!$W$6:$W$4691,'Diags Raw Data'!$D$6:$D$4691,$A21,'Diags Raw Data'!$M$6:$M$4691,"New")+SUMIFS('Diags Raw Data'!$W$6:$W$4691,'Diags Raw Data'!$D$6:$D$4691,$A21,'Diags Raw Data'!$M$6:$M$4691,"Delta")</f>
        <v>0</v>
      </c>
      <c r="L21" s="242" t="str">
        <f t="shared" si="10"/>
        <v>---</v>
      </c>
      <c r="M21" s="227" t="str">
        <f t="shared" ref="M21:M28" si="14">IF(NOT($G21=0), (H21+I21)/$G21, "---")</f>
        <v>---</v>
      </c>
      <c r="N21" s="236" t="str">
        <f>IF(NOT($C21=0), (H21+I21)/$C21, "---")</f>
        <v>---</v>
      </c>
      <c r="O21" s="212">
        <f>SUMIFS('Diags Raw Data'!$Z$6:$Z$4691,'Diags Raw Data'!$D$6:$D$4691,$A21,'Diags Raw Data'!$M$6:$M$4691,"New")+SUMIFS('Diags Raw Data'!$Z$6:$Z$4691,'Diags Raw Data'!$D$6:$D$4691,$A21,'Diags Raw Data'!$M$6:$M$4691,"Delta")</f>
        <v>0</v>
      </c>
      <c r="P21" s="202">
        <f>SUMIFS('Diags Raw Data'!$AA$6:$AA$4691,'Diags Raw Data'!$D$6:$D$4691,$A21,'Diags Raw Data'!$M$6:$M$4691,"New")+SUMIFS('Diags Raw Data'!$AA$6:$AA$4691,'Diags Raw Data'!$D$6:$D$4691,$A21,'Diags Raw Data'!$M$6:$M$4691,"Delta")</f>
        <v>0</v>
      </c>
      <c r="Q21" s="202">
        <f>SUMIFS('Diags Raw Data'!$AB$6:$AB$4691,'Diags Raw Data'!$D$6:$D$4691,$A21,'Diags Raw Data'!$M$6:$M$4691,"New")+SUMIFS('Diags Raw Data'!$AB$6:$AB$4691,'Diags Raw Data'!$D$6:$D$4691,$A21,'Diags Raw Data'!$M$6:$M$4691,"Delta")</f>
        <v>0</v>
      </c>
      <c r="R21" s="202">
        <f>SUMIFS('Diags Raw Data'!$AC$6:$AC$4691,'Diags Raw Data'!$D$6:$D$4691,$A21,'Diags Raw Data'!$M$6:$M$4691,"New")+SUMIFS('Diags Raw Data'!$AC$6:$AC$4691,'Diags Raw Data'!$D$6:$D$4691,$A21,'Diags Raw Data'!$M$6:$M$4691,"Delta")</f>
        <v>0</v>
      </c>
      <c r="S21" s="202">
        <f>SUMIFS('Diags Raw Data'!$AD$6:$AD$4691,'Diags Raw Data'!$D$6:$D$4691,$A21,'Diags Raw Data'!$M$6:$M$4691,"New")+SUMIFS('Diags Raw Data'!$AD$6:$AD$4691,'Diags Raw Data'!$D$6:$D$4691,$A21,'Diags Raw Data'!$M$6:$M$4691,"Delta")</f>
        <v>0</v>
      </c>
      <c r="T21" s="203" t="str">
        <f t="shared" si="12"/>
        <v>---</v>
      </c>
      <c r="U21" s="228" t="str">
        <f t="shared" si="13"/>
        <v>---</v>
      </c>
      <c r="V21" s="230" t="str">
        <f>IF(NOT($B21=0), (P21+Q21)/$B21, "---")</f>
        <v>---</v>
      </c>
    </row>
    <row r="22" spans="1:22" x14ac:dyDescent="0.25">
      <c r="A22" s="329"/>
      <c r="B22" s="251">
        <f>SUMIFS('Diags Raw Data'!$L$6:$L$4691,'Diags Raw Data'!$D$6:$D$4691,$A22,'Diags Raw Data'!$M$6:$M$4691,"New")+SUMIFS('Diags Raw Data'!$L$6:$L$4691,'Diags Raw Data'!$D$6:$D$4691,$A22,'Diags Raw Data'!$M$6:$M$4691,"Delta")</f>
        <v>0</v>
      </c>
      <c r="C22" s="241">
        <f>SUMIFS('Diags Raw Data'!$R$6:$R$4691,'Diags Raw Data'!$D$6:$D$4691,$A22,'Diags Raw Data'!$M$6:$M$4691,"New")+SUMIFS('Diags Raw Data'!$R$6:$R$4691,'Diags Raw Data'!$D$6:$D$4691,$A22,'Diags Raw Data'!$M$6:$M$4691,"Delta")</f>
        <v>0</v>
      </c>
      <c r="D22" s="241">
        <f>SUMIFS('Diags Raw Data'!$K$6:$K$4691,'Diags Raw Data'!$D$6:$D$4691,$A22,'Diags Raw Data'!$M$6:$M$4691,"New")+SUMIFS('Diags Raw Data'!$K$6:$K$4691,'Diags Raw Data'!$D$6:$D$4691,$A22,'Diags Raw Data'!$M$6:$M$4691,"Delta")</f>
        <v>0</v>
      </c>
      <c r="E22" s="241">
        <f>SUMIFS('Diags Raw Data'!$O$6:$O$4691,'Diags Raw Data'!$D$6:$D$4691,$A22,'Diags Raw Data'!$M$6:$M$4691,"New")+SUMIFS('Diags Raw Data'!$O$6:$O$4691,'Diags Raw Data'!$D$6:$D$4691,$A22,'Diags Raw Data'!$M$6:$M$4691,"Delta")</f>
        <v>0</v>
      </c>
      <c r="F22" s="247" t="str">
        <f>IF(NOT($B22=0), E22/$B22, "---")</f>
        <v>---</v>
      </c>
      <c r="G22" s="229">
        <f>SUMIFS('Diags Raw Data'!$S$6:$S$4691,'Diags Raw Data'!$D$6:$D$4691,$A22,'Diags Raw Data'!$M$6:$M$4691,"New")+SUMIFS('Diags Raw Data'!$S$6:$S$4691,'Diags Raw Data'!$D$6:$D$4691,$A22,'Diags Raw Data'!$M$6:$M$4691,"Delta")</f>
        <v>0</v>
      </c>
      <c r="H22" s="225">
        <f>SUMIFS('Diags Raw Data'!$T$6:$T$4691,'Diags Raw Data'!$D$6:$D$4691,$A22,'Diags Raw Data'!$M$6:$M$4691,"New")+SUMIFS('Diags Raw Data'!$T$6:$T$4691,'Diags Raw Data'!$D$6:$D$4691,$A22,'Diags Raw Data'!$M$6:$M$4691,"Delta")</f>
        <v>0</v>
      </c>
      <c r="I22" s="225">
        <f>SUMIFS('Diags Raw Data'!$U$6:$U$4691,'Diags Raw Data'!$D$6:$D$4691,$A22,'Diags Raw Data'!$M$6:$M$4691,"New")+SUMIFS('Diags Raw Data'!$U$6:$U$4691,'Diags Raw Data'!$D$6:$D$4691,$A22,'Diags Raw Data'!$M$6:$M$4691,"Delta")</f>
        <v>0</v>
      </c>
      <c r="J22" s="225">
        <f>SUMIFS('Diags Raw Data'!$V$6:$V$4691,'Diags Raw Data'!$D$6:$D$4691,$A22,'Diags Raw Data'!$M$6:$M$4691,"New")+SUMIFS('Diags Raw Data'!$V$6:$V$4691,'Diags Raw Data'!$D$6:$D$4691,$A22,'Diags Raw Data'!$M$6:$M$4691,"Delta")</f>
        <v>0</v>
      </c>
      <c r="K22" s="225">
        <f>SUMIFS('Diags Raw Data'!$W$6:$W$4691,'Diags Raw Data'!$D$6:$D$4691,$A22,'Diags Raw Data'!$M$6:$M$4691,"New")+SUMIFS('Diags Raw Data'!$W$6:$W$4691,'Diags Raw Data'!$D$6:$D$4691,$A22,'Diags Raw Data'!$M$6:$M$4691,"Delta")</f>
        <v>0</v>
      </c>
      <c r="L22" s="242" t="str">
        <f t="shared" si="10"/>
        <v>---</v>
      </c>
      <c r="M22" s="227" t="str">
        <f t="shared" si="14"/>
        <v>---</v>
      </c>
      <c r="N22" s="236" t="str">
        <f t="shared" si="11"/>
        <v>---</v>
      </c>
      <c r="O22" s="212">
        <f>SUMIFS('Diags Raw Data'!$Z$6:$Z$4691,'Diags Raw Data'!$D$6:$D$4691,$A22,'Diags Raw Data'!$M$6:$M$4691,"New")+SUMIFS('Diags Raw Data'!$Z$6:$Z$4691,'Diags Raw Data'!$D$6:$D$4691,$A22,'Diags Raw Data'!$M$6:$M$4691,"Delta")</f>
        <v>0</v>
      </c>
      <c r="P22" s="202">
        <f>SUMIFS('Diags Raw Data'!$AA$6:$AA$4691,'Diags Raw Data'!$D$6:$D$4691,$A22,'Diags Raw Data'!$M$6:$M$4691,"New")+SUMIFS('Diags Raw Data'!$AA$6:$AA$4691,'Diags Raw Data'!$D$6:$D$4691,$A22,'Diags Raw Data'!$M$6:$M$4691,"Delta")</f>
        <v>0</v>
      </c>
      <c r="Q22" s="202">
        <f>SUMIFS('Diags Raw Data'!$AB$6:$AB$4691,'Diags Raw Data'!$D$6:$D$4691,$A22,'Diags Raw Data'!$M$6:$M$4691,"New")+SUMIFS('Diags Raw Data'!$AB$6:$AB$4691,'Diags Raw Data'!$D$6:$D$4691,$A22,'Diags Raw Data'!$M$6:$M$4691,"Delta")</f>
        <v>0</v>
      </c>
      <c r="R22" s="202">
        <f>SUMIFS('Diags Raw Data'!$AC$6:$AC$4691,'Diags Raw Data'!$D$6:$D$4691,$A22,'Diags Raw Data'!$M$6:$M$4691,"New")+SUMIFS('Diags Raw Data'!$AC$6:$AC$4691,'Diags Raw Data'!$D$6:$D$4691,$A22,'Diags Raw Data'!$M$6:$M$4691,"Delta")</f>
        <v>0</v>
      </c>
      <c r="S22" s="202">
        <f>SUMIFS('Diags Raw Data'!$AD$6:$AD$4691,'Diags Raw Data'!$D$6:$D$4691,$A22,'Diags Raw Data'!$M$6:$M$4691,"New")+SUMIFS('Diags Raw Data'!$AD$6:$AD$4691,'Diags Raw Data'!$D$6:$D$4691,$A22,'Diags Raw Data'!$M$6:$M$4691,"Delta")</f>
        <v>0</v>
      </c>
      <c r="T22" s="203" t="str">
        <f t="shared" si="12"/>
        <v>---</v>
      </c>
      <c r="U22" s="228" t="str">
        <f t="shared" si="13"/>
        <v>---</v>
      </c>
      <c r="V22" s="230" t="str">
        <f t="shared" si="9"/>
        <v>---</v>
      </c>
    </row>
    <row r="23" spans="1:22" x14ac:dyDescent="0.25">
      <c r="A23" s="329"/>
      <c r="B23" s="251">
        <f>SUMIFS('Diags Raw Data'!$L$6:$L$4691,'Diags Raw Data'!$D$6:$D$4691,$A23,'Diags Raw Data'!$M$6:$M$4691,"New")+SUMIFS('Diags Raw Data'!$L$6:$L$4691,'Diags Raw Data'!$D$6:$D$4691,$A23,'Diags Raw Data'!$M$6:$M$4691,"Delta")</f>
        <v>0</v>
      </c>
      <c r="C23" s="241">
        <f>SUMIFS('Diags Raw Data'!$R$6:$R$4691,'Diags Raw Data'!$D$6:$D$4691,$A23,'Diags Raw Data'!$M$6:$M$4691,"New")+SUMIFS('Diags Raw Data'!$R$6:$R$4691,'Diags Raw Data'!$D$6:$D$4691,$A23,'Diags Raw Data'!$M$6:$M$4691,"Delta")</f>
        <v>0</v>
      </c>
      <c r="D23" s="241">
        <f>SUMIFS('Diags Raw Data'!$K$6:$K$4691,'Diags Raw Data'!$D$6:$D$4691,$A23,'Diags Raw Data'!$M$6:$M$4691,"New")+SUMIFS('Diags Raw Data'!$K$6:$K$4691,'Diags Raw Data'!$D$6:$D$4691,$A23,'Diags Raw Data'!$M$6:$M$4691,"Delta")</f>
        <v>0</v>
      </c>
      <c r="E23" s="241">
        <f>SUMIFS('Diags Raw Data'!$O$6:$O$4691,'Diags Raw Data'!$D$6:$D$4691,$A23,'Diags Raw Data'!$M$6:$M$4691,"New")+SUMIFS('Diags Raw Data'!$O$6:$O$4691,'Diags Raw Data'!$D$6:$D$4691,$A23,'Diags Raw Data'!$M$6:$M$4691,"Delta")</f>
        <v>0</v>
      </c>
      <c r="F23" s="247" t="str">
        <f t="shared" si="8"/>
        <v>---</v>
      </c>
      <c r="G23" s="229">
        <f>SUMIFS('Diags Raw Data'!$S$6:$S$4691,'Diags Raw Data'!$D$6:$D$4691,$A23,'Diags Raw Data'!$M$6:$M$4691,"New")+SUMIFS('Diags Raw Data'!$S$6:$S$4691,'Diags Raw Data'!$D$6:$D$4691,$A23,'Diags Raw Data'!$M$6:$M$4691,"Delta")</f>
        <v>0</v>
      </c>
      <c r="H23" s="225">
        <f>SUMIFS('Diags Raw Data'!$T$6:$T$4691,'Diags Raw Data'!$D$6:$D$4691,$A23,'Diags Raw Data'!$M$6:$M$4691,"New")+SUMIFS('Diags Raw Data'!$T$6:$T$4691,'Diags Raw Data'!$D$6:$D$4691,$A23,'Diags Raw Data'!$M$6:$M$4691,"Delta")</f>
        <v>0</v>
      </c>
      <c r="I23" s="225">
        <f>SUMIFS('Diags Raw Data'!$U$6:$U$4691,'Diags Raw Data'!$D$6:$D$4691,$A23,'Diags Raw Data'!$M$6:$M$4691,"New")+SUMIFS('Diags Raw Data'!$U$6:$U$4691,'Diags Raw Data'!$D$6:$D$4691,$A23,'Diags Raw Data'!$M$6:$M$4691,"Delta")</f>
        <v>0</v>
      </c>
      <c r="J23" s="225">
        <f>SUMIFS('Diags Raw Data'!$V$6:$V$4691,'Diags Raw Data'!$D$6:$D$4691,$A23,'Diags Raw Data'!$M$6:$M$4691,"New")+SUMIFS('Diags Raw Data'!$V$6:$V$4691,'Diags Raw Data'!$D$6:$D$4691,$A23,'Diags Raw Data'!$M$6:$M$4691,"Delta")</f>
        <v>0</v>
      </c>
      <c r="K23" s="225">
        <f>SUMIFS('Diags Raw Data'!$W$6:$W$4691,'Diags Raw Data'!$D$6:$D$4691,$A23,'Diags Raw Data'!$M$6:$M$4691,"New")+SUMIFS('Diags Raw Data'!$W$6:$W$4691,'Diags Raw Data'!$D$6:$D$4691,$A23,'Diags Raw Data'!$M$6:$M$4691,"Delta")</f>
        <v>0</v>
      </c>
      <c r="L23" s="242" t="str">
        <f t="shared" si="10"/>
        <v>---</v>
      </c>
      <c r="M23" s="227" t="str">
        <f t="shared" si="14"/>
        <v>---</v>
      </c>
      <c r="N23" s="236" t="str">
        <f t="shared" si="11"/>
        <v>---</v>
      </c>
      <c r="O23" s="212">
        <f>SUMIFS('Diags Raw Data'!$Z$6:$Z$4691,'Diags Raw Data'!$D$6:$D$4691,$A23,'Diags Raw Data'!$M$6:$M$4691,"New")+SUMIFS('Diags Raw Data'!$Z$6:$Z$4691,'Diags Raw Data'!$D$6:$D$4691,$A23,'Diags Raw Data'!$M$6:$M$4691,"Delta")</f>
        <v>0</v>
      </c>
      <c r="P23" s="202">
        <f>SUMIFS('Diags Raw Data'!$AA$6:$AA$4691,'Diags Raw Data'!$D$6:$D$4691,$A23,'Diags Raw Data'!$M$6:$M$4691,"New")+SUMIFS('Diags Raw Data'!$AA$6:$AA$4691,'Diags Raw Data'!$D$6:$D$4691,$A23,'Diags Raw Data'!$M$6:$M$4691,"Delta")</f>
        <v>0</v>
      </c>
      <c r="Q23" s="202">
        <f>SUMIFS('Diags Raw Data'!$AB$6:$AB$4691,'Diags Raw Data'!$D$6:$D$4691,$A23,'Diags Raw Data'!$M$6:$M$4691,"New")+SUMIFS('Diags Raw Data'!$AB$6:$AB$4691,'Diags Raw Data'!$D$6:$D$4691,$A23,'Diags Raw Data'!$M$6:$M$4691,"Delta")</f>
        <v>0</v>
      </c>
      <c r="R23" s="202">
        <f>SUMIFS('Diags Raw Data'!$AC$6:$AC$4691,'Diags Raw Data'!$D$6:$D$4691,$A23,'Diags Raw Data'!$M$6:$M$4691,"New")+SUMIFS('Diags Raw Data'!$AC$6:$AC$4691,'Diags Raw Data'!$D$6:$D$4691,$A23,'Diags Raw Data'!$M$6:$M$4691,"Delta")</f>
        <v>0</v>
      </c>
      <c r="S23" s="202">
        <f>SUMIFS('Diags Raw Data'!$AD$6:$AD$4691,'Diags Raw Data'!$D$6:$D$4691,$A23,'Diags Raw Data'!$M$6:$M$4691,"New")+SUMIFS('Diags Raw Data'!$AD$6:$AD$4691,'Diags Raw Data'!$D$6:$D$4691,$A23,'Diags Raw Data'!$M$6:$M$4691,"Delta")</f>
        <v>0</v>
      </c>
      <c r="T23" s="203" t="str">
        <f t="shared" si="12"/>
        <v>---</v>
      </c>
      <c r="U23" s="228" t="str">
        <f t="shared" si="13"/>
        <v>---</v>
      </c>
      <c r="V23" s="230" t="str">
        <f t="shared" si="9"/>
        <v>---</v>
      </c>
    </row>
    <row r="24" spans="1:22" x14ac:dyDescent="0.25">
      <c r="A24" s="329"/>
      <c r="B24" s="251">
        <f>SUMIFS('Diags Raw Data'!$L$6:$L$4691,'Diags Raw Data'!$D$6:$D$4691,$A24,'Diags Raw Data'!$M$6:$M$4691,"New")+SUMIFS('Diags Raw Data'!$L$6:$L$4691,'Diags Raw Data'!$D$6:$D$4691,$A24,'Diags Raw Data'!$M$6:$M$4691,"Delta")</f>
        <v>0</v>
      </c>
      <c r="C24" s="241">
        <f>SUMIFS('Diags Raw Data'!$R$6:$R$4691,'Diags Raw Data'!$D$6:$D$4691,$A24,'Diags Raw Data'!$M$6:$M$4691,"New")+SUMIFS('Diags Raw Data'!$R$6:$R$4691,'Diags Raw Data'!$D$6:$D$4691,$A24,'Diags Raw Data'!$M$6:$M$4691,"Delta")</f>
        <v>0</v>
      </c>
      <c r="D24" s="241">
        <f>SUMIFS('Diags Raw Data'!$K$6:$K$4691,'Diags Raw Data'!$D$6:$D$4691,$A24,'Diags Raw Data'!$M$6:$M$4691,"New")+SUMIFS('Diags Raw Data'!$K$6:$K$4691,'Diags Raw Data'!$D$6:$D$4691,$A24,'Diags Raw Data'!$M$6:$M$4691,"Delta")</f>
        <v>0</v>
      </c>
      <c r="E24" s="241">
        <f>SUMIFS('Diags Raw Data'!$O$6:$O$4691,'Diags Raw Data'!$D$6:$D$4691,$A24,'Diags Raw Data'!$M$6:$M$4691,"New")+SUMIFS('Diags Raw Data'!$O$6:$O$4691,'Diags Raw Data'!$D$6:$D$4691,$A24,'Diags Raw Data'!$M$6:$M$4691,"Delta")</f>
        <v>0</v>
      </c>
      <c r="F24" s="247" t="str">
        <f t="shared" si="8"/>
        <v>---</v>
      </c>
      <c r="G24" s="229">
        <f>SUMIFS('Diags Raw Data'!$S$6:$S$4691,'Diags Raw Data'!$D$6:$D$4691,$A24,'Diags Raw Data'!$M$6:$M$4691,"New")+SUMIFS('Diags Raw Data'!$S$6:$S$4691,'Diags Raw Data'!$D$6:$D$4691,$A24,'Diags Raw Data'!$M$6:$M$4691,"Delta")</f>
        <v>0</v>
      </c>
      <c r="H24" s="225">
        <f>SUMIFS('Diags Raw Data'!$T$6:$T$4691,'Diags Raw Data'!$D$6:$D$4691,$A24,'Diags Raw Data'!$M$6:$M$4691,"New")+SUMIFS('Diags Raw Data'!$T$6:$T$4691,'Diags Raw Data'!$D$6:$D$4691,$A24,'Diags Raw Data'!$M$6:$M$4691,"Delta")</f>
        <v>0</v>
      </c>
      <c r="I24" s="225">
        <f>SUMIFS('Diags Raw Data'!$U$6:$U$4691,'Diags Raw Data'!$D$6:$D$4691,$A24,'Diags Raw Data'!$M$6:$M$4691,"New")+SUMIFS('Diags Raw Data'!$U$6:$U$4691,'Diags Raw Data'!$D$6:$D$4691,$A24,'Diags Raw Data'!$M$6:$M$4691,"Delta")</f>
        <v>0</v>
      </c>
      <c r="J24" s="225">
        <f>SUMIFS('Diags Raw Data'!$V$6:$V$4691,'Diags Raw Data'!$D$6:$D$4691,$A24,'Diags Raw Data'!$M$6:$M$4691,"New")+SUMIFS('Diags Raw Data'!$V$6:$V$4691,'Diags Raw Data'!$D$6:$D$4691,$A24,'Diags Raw Data'!$M$6:$M$4691,"Delta")</f>
        <v>0</v>
      </c>
      <c r="K24" s="225">
        <f>SUMIFS('Diags Raw Data'!$W$6:$W$4691,'Diags Raw Data'!$D$6:$D$4691,$A24,'Diags Raw Data'!$M$6:$M$4691,"New")+SUMIFS('Diags Raw Data'!$W$6:$W$4691,'Diags Raw Data'!$D$6:$D$4691,$A24,'Diags Raw Data'!$M$6:$M$4691,"Delta")</f>
        <v>0</v>
      </c>
      <c r="L24" s="242" t="str">
        <f t="shared" si="10"/>
        <v>---</v>
      </c>
      <c r="M24" s="227" t="str">
        <f t="shared" si="14"/>
        <v>---</v>
      </c>
      <c r="N24" s="236" t="str">
        <f t="shared" si="11"/>
        <v>---</v>
      </c>
      <c r="O24" s="212">
        <f>SUMIFS('Diags Raw Data'!$Z$6:$Z$4691,'Diags Raw Data'!$D$6:$D$4691,$A24,'Diags Raw Data'!$M$6:$M$4691,"New")+SUMIFS('Diags Raw Data'!$Z$6:$Z$4691,'Diags Raw Data'!$D$6:$D$4691,$A24,'Diags Raw Data'!$M$6:$M$4691,"Delta")</f>
        <v>0</v>
      </c>
      <c r="P24" s="202">
        <f>SUMIFS('Diags Raw Data'!$AA$6:$AA$4691,'Diags Raw Data'!$D$6:$D$4691,$A24,'Diags Raw Data'!$M$6:$M$4691,"New")+SUMIFS('Diags Raw Data'!$AA$6:$AA$4691,'Diags Raw Data'!$D$6:$D$4691,$A24,'Diags Raw Data'!$M$6:$M$4691,"Delta")</f>
        <v>0</v>
      </c>
      <c r="Q24" s="202">
        <f>SUMIFS('Diags Raw Data'!$AB$6:$AB$4691,'Diags Raw Data'!$D$6:$D$4691,$A24,'Diags Raw Data'!$M$6:$M$4691,"New")+SUMIFS('Diags Raw Data'!$AB$6:$AB$4691,'Diags Raw Data'!$D$6:$D$4691,$A24,'Diags Raw Data'!$M$6:$M$4691,"Delta")</f>
        <v>0</v>
      </c>
      <c r="R24" s="202">
        <f>SUMIFS('Diags Raw Data'!$AC$6:$AC$4691,'Diags Raw Data'!$D$6:$D$4691,$A24,'Diags Raw Data'!$M$6:$M$4691,"New")+SUMIFS('Diags Raw Data'!$AC$6:$AC$4691,'Diags Raw Data'!$D$6:$D$4691,$A24,'Diags Raw Data'!$M$6:$M$4691,"Delta")</f>
        <v>0</v>
      </c>
      <c r="S24" s="202">
        <f>SUMIFS('Diags Raw Data'!$AD$6:$AD$4691,'Diags Raw Data'!$D$6:$D$4691,$A24,'Diags Raw Data'!$M$6:$M$4691,"New")+SUMIFS('Diags Raw Data'!$AD$6:$AD$4691,'Diags Raw Data'!$D$6:$D$4691,$A24,'Diags Raw Data'!$M$6:$M$4691,"Delta")</f>
        <v>0</v>
      </c>
      <c r="T24" s="203" t="str">
        <f t="shared" si="12"/>
        <v>---</v>
      </c>
      <c r="U24" s="228" t="str">
        <f t="shared" si="13"/>
        <v>---</v>
      </c>
      <c r="V24" s="230" t="str">
        <f t="shared" si="9"/>
        <v>---</v>
      </c>
    </row>
    <row r="25" spans="1:22" x14ac:dyDescent="0.25">
      <c r="A25" s="329"/>
      <c r="B25" s="251">
        <f>SUMIFS('Diags Raw Data'!$L$6:$L$4691,'Diags Raw Data'!$D$6:$D$4691,$A25,'Diags Raw Data'!$M$6:$M$4691,"New")+SUMIFS('Diags Raw Data'!$L$6:$L$4691,'Diags Raw Data'!$D$6:$D$4691,$A25,'Diags Raw Data'!$M$6:$M$4691,"Delta")</f>
        <v>0</v>
      </c>
      <c r="C25" s="241">
        <f>SUMIFS('Diags Raw Data'!$R$6:$R$4691,'Diags Raw Data'!$D$6:$D$4691,$A25,'Diags Raw Data'!$M$6:$M$4691,"New")+SUMIFS('Diags Raw Data'!$R$6:$R$4691,'Diags Raw Data'!$D$6:$D$4691,$A25,'Diags Raw Data'!$M$6:$M$4691,"Delta")</f>
        <v>0</v>
      </c>
      <c r="D25" s="241">
        <f>SUMIFS('Diags Raw Data'!$K$6:$K$4691,'Diags Raw Data'!$D$6:$D$4691,$A25,'Diags Raw Data'!$M$6:$M$4691,"New")+SUMIFS('Diags Raw Data'!$K$6:$K$4691,'Diags Raw Data'!$D$6:$D$4691,$A25,'Diags Raw Data'!$M$6:$M$4691,"Delta")</f>
        <v>0</v>
      </c>
      <c r="E25" s="241">
        <f>SUMIFS('Diags Raw Data'!$O$6:$O$4691,'Diags Raw Data'!$D$6:$D$4691,$A25,'Diags Raw Data'!$M$6:$M$4691,"New")+SUMIFS('Diags Raw Data'!$O$6:$O$4691,'Diags Raw Data'!$D$6:$D$4691,$A25,'Diags Raw Data'!$M$6:$M$4691,"Delta")</f>
        <v>0</v>
      </c>
      <c r="F25" s="247" t="str">
        <f t="shared" si="8"/>
        <v>---</v>
      </c>
      <c r="G25" s="229">
        <f>SUMIFS('Diags Raw Data'!$S$6:$S$4691,'Diags Raw Data'!$D$6:$D$4691,$A25,'Diags Raw Data'!$M$6:$M$4691,"New")+SUMIFS('Diags Raw Data'!$S$6:$S$4691,'Diags Raw Data'!$D$6:$D$4691,$A25,'Diags Raw Data'!$M$6:$M$4691,"Delta")</f>
        <v>0</v>
      </c>
      <c r="H25" s="225">
        <f>SUMIFS('Diags Raw Data'!$T$6:$T$4691,'Diags Raw Data'!$D$6:$D$4691,$A25,'Diags Raw Data'!$M$6:$M$4691,"New")+SUMIFS('Diags Raw Data'!$T$6:$T$4691,'Diags Raw Data'!$D$6:$D$4691,$A25,'Diags Raw Data'!$M$6:$M$4691,"Delta")</f>
        <v>0</v>
      </c>
      <c r="I25" s="225">
        <f>SUMIFS('Diags Raw Data'!$U$6:$U$4691,'Diags Raw Data'!$D$6:$D$4691,$A25,'Diags Raw Data'!$M$6:$M$4691,"New")+SUMIFS('Diags Raw Data'!$U$6:$U$4691,'Diags Raw Data'!$D$6:$D$4691,$A25,'Diags Raw Data'!$M$6:$M$4691,"Delta")</f>
        <v>0</v>
      </c>
      <c r="J25" s="225">
        <f>SUMIFS('Diags Raw Data'!$V$6:$V$4691,'Diags Raw Data'!$D$6:$D$4691,$A25,'Diags Raw Data'!$M$6:$M$4691,"New")+SUMIFS('Diags Raw Data'!$V$6:$V$4691,'Diags Raw Data'!$D$6:$D$4691,$A25,'Diags Raw Data'!$M$6:$M$4691,"Delta")</f>
        <v>0</v>
      </c>
      <c r="K25" s="225">
        <f>SUMIFS('Diags Raw Data'!$W$6:$W$4691,'Diags Raw Data'!$D$6:$D$4691,$A25,'Diags Raw Data'!$M$6:$M$4691,"New")+SUMIFS('Diags Raw Data'!$W$6:$W$4691,'Diags Raw Data'!$D$6:$D$4691,$A25,'Diags Raw Data'!$M$6:$M$4691,"Delta")</f>
        <v>0</v>
      </c>
      <c r="L25" s="242" t="str">
        <f t="shared" si="10"/>
        <v>---</v>
      </c>
      <c r="M25" s="227" t="str">
        <f>IF(NOT($G25=0), (H25+I25)/$G25, "---")</f>
        <v>---</v>
      </c>
      <c r="N25" s="236" t="str">
        <f t="shared" si="11"/>
        <v>---</v>
      </c>
      <c r="O25" s="212">
        <f>SUMIFS('Diags Raw Data'!$Z$6:$Z$4691,'Diags Raw Data'!$D$6:$D$4691,$A25,'Diags Raw Data'!$M$6:$M$4691,"New")+SUMIFS('Diags Raw Data'!$Z$6:$Z$4691,'Diags Raw Data'!$D$6:$D$4691,$A25,'Diags Raw Data'!$M$6:$M$4691,"Delta")</f>
        <v>0</v>
      </c>
      <c r="P25" s="202">
        <f>SUMIFS('Diags Raw Data'!$AA$6:$AA$4691,'Diags Raw Data'!$D$6:$D$4691,$A25,'Diags Raw Data'!$M$6:$M$4691,"New")+SUMIFS('Diags Raw Data'!$AA$6:$AA$4691,'Diags Raw Data'!$D$6:$D$4691,$A25,'Diags Raw Data'!$M$6:$M$4691,"Delta")</f>
        <v>0</v>
      </c>
      <c r="Q25" s="202">
        <f>SUMIFS('Diags Raw Data'!$AB$6:$AB$4691,'Diags Raw Data'!$D$6:$D$4691,$A25,'Diags Raw Data'!$M$6:$M$4691,"New")+SUMIFS('Diags Raw Data'!$AB$6:$AB$4691,'Diags Raw Data'!$D$6:$D$4691,$A25,'Diags Raw Data'!$M$6:$M$4691,"Delta")</f>
        <v>0</v>
      </c>
      <c r="R25" s="202">
        <f>SUMIFS('Diags Raw Data'!$AC$6:$AC$4691,'Diags Raw Data'!$D$6:$D$4691,$A25,'Diags Raw Data'!$M$6:$M$4691,"New")+SUMIFS('Diags Raw Data'!$AC$6:$AC$4691,'Diags Raw Data'!$D$6:$D$4691,$A25,'Diags Raw Data'!$M$6:$M$4691,"Delta")</f>
        <v>0</v>
      </c>
      <c r="S25" s="202">
        <f>SUMIFS('Diags Raw Data'!$AD$6:$AD$4691,'Diags Raw Data'!$D$6:$D$4691,$A25,'Diags Raw Data'!$M$6:$M$4691,"New")+SUMIFS('Diags Raw Data'!$AD$6:$AD$4691,'Diags Raw Data'!$D$6:$D$4691,$A25,'Diags Raw Data'!$M$6:$M$4691,"Delta")</f>
        <v>0</v>
      </c>
      <c r="T25" s="203" t="str">
        <f t="shared" si="12"/>
        <v>---</v>
      </c>
      <c r="U25" s="228" t="str">
        <f t="shared" si="13"/>
        <v>---</v>
      </c>
      <c r="V25" s="230" t="str">
        <f t="shared" si="9"/>
        <v>---</v>
      </c>
    </row>
    <row r="26" spans="1:22" x14ac:dyDescent="0.25">
      <c r="A26" s="329"/>
      <c r="B26" s="251">
        <f>SUMIFS('Diags Raw Data'!$L$6:$L$4691,'Diags Raw Data'!$D$6:$D$4691,$A26,'Diags Raw Data'!$M$6:$M$4691,"New")+SUMIFS('Diags Raw Data'!$L$6:$L$4691,'Diags Raw Data'!$D$6:$D$4691,$A26,'Diags Raw Data'!$M$6:$M$4691,"Delta")</f>
        <v>0</v>
      </c>
      <c r="C26" s="241">
        <f>SUMIFS('Diags Raw Data'!$R$6:$R$4691,'Diags Raw Data'!$D$6:$D$4691,$A26,'Diags Raw Data'!$M$6:$M$4691,"New")+SUMIFS('Diags Raw Data'!$R$6:$R$4691,'Diags Raw Data'!$D$6:$D$4691,$A26,'Diags Raw Data'!$M$6:$M$4691,"Delta")</f>
        <v>0</v>
      </c>
      <c r="D26" s="241">
        <f>SUMIFS('Diags Raw Data'!$K$6:$K$4691,'Diags Raw Data'!$D$6:$D$4691,$A26,'Diags Raw Data'!$M$6:$M$4691,"New")+SUMIFS('Diags Raw Data'!$K$6:$K$4691,'Diags Raw Data'!$D$6:$D$4691,$A26,'Diags Raw Data'!$M$6:$M$4691,"Delta")</f>
        <v>0</v>
      </c>
      <c r="E26" s="241">
        <f>SUMIFS('Diags Raw Data'!$O$6:$O$4691,'Diags Raw Data'!$D$6:$D$4691,$A26,'Diags Raw Data'!$M$6:$M$4691,"New")+SUMIFS('Diags Raw Data'!$O$6:$O$4691,'Diags Raw Data'!$D$6:$D$4691,$A26,'Diags Raw Data'!$M$6:$M$4691,"Delta")</f>
        <v>0</v>
      </c>
      <c r="F26" s="247" t="str">
        <f t="shared" si="8"/>
        <v>---</v>
      </c>
      <c r="G26" s="229">
        <f>SUMIFS('Diags Raw Data'!$S$6:$S$4691,'Diags Raw Data'!$D$6:$D$4691,$A26,'Diags Raw Data'!$M$6:$M$4691,"New")+SUMIFS('Diags Raw Data'!$S$6:$S$4691,'Diags Raw Data'!$D$6:$D$4691,$A26,'Diags Raw Data'!$M$6:$M$4691,"Delta")</f>
        <v>0</v>
      </c>
      <c r="H26" s="225">
        <f>SUMIFS('Diags Raw Data'!$T$6:$T$4691,'Diags Raw Data'!$D$6:$D$4691,$A26,'Diags Raw Data'!$M$6:$M$4691,"New")+SUMIFS('Diags Raw Data'!$T$6:$T$4691,'Diags Raw Data'!$D$6:$D$4691,$A26,'Diags Raw Data'!$M$6:$M$4691,"Delta")</f>
        <v>0</v>
      </c>
      <c r="I26" s="225">
        <f>SUMIFS('Diags Raw Data'!$U$6:$U$4691,'Diags Raw Data'!$D$6:$D$4691,$A26,'Diags Raw Data'!$M$6:$M$4691,"New")+SUMIFS('Diags Raw Data'!$U$6:$U$4691,'Diags Raw Data'!$D$6:$D$4691,$A26,'Diags Raw Data'!$M$6:$M$4691,"Delta")</f>
        <v>0</v>
      </c>
      <c r="J26" s="225">
        <f>SUMIFS('Diags Raw Data'!$V$6:$V$4691,'Diags Raw Data'!$D$6:$D$4691,$A26,'Diags Raw Data'!$M$6:$M$4691,"New")+SUMIFS('Diags Raw Data'!$V$6:$V$4691,'Diags Raw Data'!$D$6:$D$4691,$A26,'Diags Raw Data'!$M$6:$M$4691,"Delta")</f>
        <v>0</v>
      </c>
      <c r="K26" s="225">
        <f>SUMIFS('Diags Raw Data'!$W$6:$W$4691,'Diags Raw Data'!$D$6:$D$4691,$A26,'Diags Raw Data'!$M$6:$M$4691,"New")+SUMIFS('Diags Raw Data'!$W$6:$W$4691,'Diags Raw Data'!$D$6:$D$4691,$A26,'Diags Raw Data'!$M$6:$M$4691,"Delta")</f>
        <v>0</v>
      </c>
      <c r="L26" s="242" t="str">
        <f t="shared" si="10"/>
        <v>---</v>
      </c>
      <c r="M26" s="227" t="str">
        <f t="shared" si="14"/>
        <v>---</v>
      </c>
      <c r="N26" s="236" t="str">
        <f t="shared" si="11"/>
        <v>---</v>
      </c>
      <c r="O26" s="212">
        <f>SUMIFS('Diags Raw Data'!$Z$6:$Z$4691,'Diags Raw Data'!$D$6:$D$4691,$A26,'Diags Raw Data'!$M$6:$M$4691,"New")+SUMIFS('Diags Raw Data'!$Z$6:$Z$4691,'Diags Raw Data'!$D$6:$D$4691,$A26,'Diags Raw Data'!$M$6:$M$4691,"Delta")</f>
        <v>0</v>
      </c>
      <c r="P26" s="202">
        <f>SUMIFS('Diags Raw Data'!$AA$6:$AA$4691,'Diags Raw Data'!$D$6:$D$4691,$A26,'Diags Raw Data'!$M$6:$M$4691,"New")+SUMIFS('Diags Raw Data'!$AA$6:$AA$4691,'Diags Raw Data'!$D$6:$D$4691,$A26,'Diags Raw Data'!$M$6:$M$4691,"Delta")</f>
        <v>0</v>
      </c>
      <c r="Q26" s="202">
        <f>SUMIFS('Diags Raw Data'!$AB$6:$AB$4691,'Diags Raw Data'!$D$6:$D$4691,$A26,'Diags Raw Data'!$M$6:$M$4691,"New")+SUMIFS('Diags Raw Data'!$AB$6:$AB$4691,'Diags Raw Data'!$D$6:$D$4691,$A26,'Diags Raw Data'!$M$6:$M$4691,"Delta")</f>
        <v>0</v>
      </c>
      <c r="R26" s="202">
        <f>SUMIFS('Diags Raw Data'!$AC$6:$AC$4691,'Diags Raw Data'!$D$6:$D$4691,$A26,'Diags Raw Data'!$M$6:$M$4691,"New")+SUMIFS('Diags Raw Data'!$AC$6:$AC$4691,'Diags Raw Data'!$D$6:$D$4691,$A26,'Diags Raw Data'!$M$6:$M$4691,"Delta")</f>
        <v>0</v>
      </c>
      <c r="S26" s="202">
        <f>SUMIFS('Diags Raw Data'!$AD$6:$AD$4691,'Diags Raw Data'!$D$6:$D$4691,$A26,'Diags Raw Data'!$M$6:$M$4691,"New")+SUMIFS('Diags Raw Data'!$AD$6:$AD$4691,'Diags Raw Data'!$D$6:$D$4691,$A26,'Diags Raw Data'!$M$6:$M$4691,"Delta")</f>
        <v>0</v>
      </c>
      <c r="T26" s="203" t="str">
        <f t="shared" si="12"/>
        <v>---</v>
      </c>
      <c r="U26" s="228" t="str">
        <f t="shared" si="13"/>
        <v>---</v>
      </c>
      <c r="V26" s="230" t="str">
        <f t="shared" si="9"/>
        <v>---</v>
      </c>
    </row>
    <row r="27" spans="1:22" ht="15.75" thickBot="1" x14ac:dyDescent="0.3">
      <c r="A27" s="330"/>
      <c r="B27" s="252">
        <f>SUMIFS('Diags Raw Data'!$L$6:$L$4691,'Diags Raw Data'!$D$6:$D$4691,$A27,'Diags Raw Data'!$M$6:$M$4691,"New")+SUMIFS('Diags Raw Data'!$L$6:$L$4691,'Diags Raw Data'!$D$6:$D$4691,$A27,'Diags Raw Data'!$M$6:$M$4691,"Delta")</f>
        <v>0</v>
      </c>
      <c r="C27" s="243">
        <f>SUMIFS('Diags Raw Data'!$R$6:$R$4691,'Diags Raw Data'!$D$6:$D$4691,$A27,'Diags Raw Data'!$M$6:$M$4691,"New")+SUMIFS('Diags Raw Data'!$R$6:$R$4691,'Diags Raw Data'!$D$6:$D$4691,$A27,'Diags Raw Data'!$M$6:$M$4691,"Delta")</f>
        <v>0</v>
      </c>
      <c r="D27" s="243">
        <f>SUMIFS('Diags Raw Data'!$K$6:$K$4691,'Diags Raw Data'!$D$6:$D$4691,$A27,'Diags Raw Data'!$M$6:$M$4691,"New")+SUMIFS('Diags Raw Data'!$K$6:$K$4691,'Diags Raw Data'!$D$6:$D$4691,$A27,'Diags Raw Data'!$M$6:$M$4691,"Delta")</f>
        <v>0</v>
      </c>
      <c r="E27" s="243">
        <f>SUMIFS('Diags Raw Data'!$O$6:$O$4691,'Diags Raw Data'!$D$6:$D$4691,$A27,'Diags Raw Data'!$M$6:$M$4691,"New")+SUMIFS('Diags Raw Data'!$O$6:$O$4691,'Diags Raw Data'!$D$6:$D$4691,$A27,'Diags Raw Data'!$M$6:$M$4691,"Delta")</f>
        <v>0</v>
      </c>
      <c r="F27" s="248" t="str">
        <f t="shared" si="8"/>
        <v>---</v>
      </c>
      <c r="G27" s="231">
        <f>SUMIFS('Diags Raw Data'!$S$6:$S$4691,'Diags Raw Data'!$D$6:$D$4691,$A27,'Diags Raw Data'!$M$6:$M$4691,"New")+SUMIFS('Diags Raw Data'!$S$6:$S$4691,'Diags Raw Data'!$D$6:$D$4691,$A27,'Diags Raw Data'!$M$6:$M$4691,"Delta")</f>
        <v>0</v>
      </c>
      <c r="H27" s="232">
        <f>SUMIFS('Diags Raw Data'!$T$6:$T$4691,'Diags Raw Data'!$D$6:$D$4691,$A27,'Diags Raw Data'!$M$6:$M$4691,"New")+SUMIFS('Diags Raw Data'!$T$6:$T$4691,'Diags Raw Data'!$D$6:$D$4691,$A27,'Diags Raw Data'!$M$6:$M$4691,"Delta")</f>
        <v>0</v>
      </c>
      <c r="I27" s="232">
        <f>SUMIFS('Diags Raw Data'!$U$6:$U$4691,'Diags Raw Data'!$D$6:$D$4691,$A27,'Diags Raw Data'!$M$6:$M$4691,"New")+SUMIFS('Diags Raw Data'!$U$6:$U$4691,'Diags Raw Data'!$D$6:$D$4691,$A27,'Diags Raw Data'!$M$6:$M$4691,"Delta")</f>
        <v>0</v>
      </c>
      <c r="J27" s="232">
        <f>SUMIFS('Diags Raw Data'!$V$6:$V$4691,'Diags Raw Data'!$D$6:$D$4691,$A27,'Diags Raw Data'!$M$6:$M$4691,"New")+SUMIFS('Diags Raw Data'!$V$6:$V$4691,'Diags Raw Data'!$D$6:$D$4691,$A27,'Diags Raw Data'!$M$6:$M$4691,"Delta")</f>
        <v>0</v>
      </c>
      <c r="K27" s="232">
        <f>SUMIFS('Diags Raw Data'!$W$6:$W$4691,'Diags Raw Data'!$D$6:$D$4691,$A27,'Diags Raw Data'!$M$6:$M$4691,"New")+SUMIFS('Diags Raw Data'!$W$6:$W$4691,'Diags Raw Data'!$D$6:$D$4691,$A27,'Diags Raw Data'!$M$6:$M$4691,"Delta")</f>
        <v>0</v>
      </c>
      <c r="L27" s="244" t="str">
        <f t="shared" si="10"/>
        <v>---</v>
      </c>
      <c r="M27" s="234" t="str">
        <f t="shared" si="14"/>
        <v>---</v>
      </c>
      <c r="N27" s="237" t="str">
        <f t="shared" si="11"/>
        <v>---</v>
      </c>
      <c r="O27" s="213">
        <f>SUMIFS('Diags Raw Data'!$Z$6:$Z$4691,'Diags Raw Data'!$D$6:$D$4691,$A27,'Diags Raw Data'!$M$6:$M$4691,"New")+SUMIFS('Diags Raw Data'!$Z$6:$Z$4691,'Diags Raw Data'!$D$6:$D$4691,$A27,'Diags Raw Data'!$M$6:$M$4691,"Delta")</f>
        <v>0</v>
      </c>
      <c r="P27" s="205">
        <f>SUMIFS('Diags Raw Data'!$AA$6:$AA$4691,'Diags Raw Data'!$D$6:$D$4691,$A27,'Diags Raw Data'!$M$6:$M$4691,"New")+SUMIFS('Diags Raw Data'!$AA$6:$AA$4691,'Diags Raw Data'!$D$6:$D$4691,$A27,'Diags Raw Data'!$M$6:$M$4691,"Delta")</f>
        <v>0</v>
      </c>
      <c r="Q27" s="205">
        <f>SUMIFS('Diags Raw Data'!$AB$6:$AB$4691,'Diags Raw Data'!$D$6:$D$4691,$A27,'Diags Raw Data'!$M$6:$M$4691,"New")+SUMIFS('Diags Raw Data'!$AB$6:$AB$4691,'Diags Raw Data'!$D$6:$D$4691,$A27,'Diags Raw Data'!$M$6:$M$4691,"Delta")</f>
        <v>0</v>
      </c>
      <c r="R27" s="205">
        <f>SUMIFS('Diags Raw Data'!$AC$6:$AC$4691,'Diags Raw Data'!$D$6:$D$4691,$A27,'Diags Raw Data'!$M$6:$M$4691,"New")+SUMIFS('Diags Raw Data'!$AC$6:$AC$4691,'Diags Raw Data'!$D$6:$D$4691,$A27,'Diags Raw Data'!$M$6:$M$4691,"Delta")</f>
        <v>0</v>
      </c>
      <c r="S27" s="205">
        <f>SUMIFS('Diags Raw Data'!$AD$6:$AD$4691,'Diags Raw Data'!$D$6:$D$4691,$A27,'Diags Raw Data'!$M$6:$M$4691,"New")+SUMIFS('Diags Raw Data'!$AD$6:$AD$4691,'Diags Raw Data'!$D$6:$D$4691,$A27,'Diags Raw Data'!$M$6:$M$4691,"Delta")</f>
        <v>0</v>
      </c>
      <c r="T27" s="206" t="str">
        <f t="shared" si="12"/>
        <v>---</v>
      </c>
      <c r="U27" s="238" t="str">
        <f t="shared" si="13"/>
        <v>---</v>
      </c>
      <c r="V27" s="235" t="str">
        <f t="shared" si="9"/>
        <v>---</v>
      </c>
    </row>
    <row r="28" spans="1:22" ht="16.5" thickBot="1" x14ac:dyDescent="0.3">
      <c r="A28" s="254" t="s">
        <v>518</v>
      </c>
      <c r="B28" s="255">
        <f>SUM(B18:B27)</f>
        <v>20</v>
      </c>
      <c r="C28" s="256">
        <f>SUM(C18:C27)</f>
        <v>20</v>
      </c>
      <c r="D28" s="256">
        <f>SUM(D18:D27)</f>
        <v>616</v>
      </c>
      <c r="E28" s="256">
        <f>SUM(E18:E27)</f>
        <v>15.15</v>
      </c>
      <c r="F28" s="257" cm="1">
        <f t="array" ref="F28">SUMPRODUCT(--(ISNUMBER(SEARCH("New",'Diags Raw Data'!$M$6:$M$4691))),'Diags Raw Data'!$K$6:$K$4691,'Diags Raw Data'!$P$6:$P$4691)/D28+SUMPRODUCT(--(ISNUMBER(SEARCH("Delta",'Diags Raw Data'!$M$6:$M$4691))),'Diags Raw Data'!$K$6:$K$4691,'Diags Raw Data'!$P$6:$P$4691)/D28</f>
        <v>1.4214285714285715</v>
      </c>
      <c r="G28" s="258">
        <f>SUM(G18:G27)</f>
        <v>14</v>
      </c>
      <c r="H28" s="259">
        <f>SUM(H18:H27)</f>
        <v>14</v>
      </c>
      <c r="I28" s="260">
        <f>SUM(I18:I27)</f>
        <v>0</v>
      </c>
      <c r="J28" s="259">
        <f>SUM(J18:J27)</f>
        <v>0</v>
      </c>
      <c r="K28" s="260">
        <f>SUM(K18:K27)</f>
        <v>0</v>
      </c>
      <c r="L28" s="261">
        <f>IF(NOT($C28=0), G28/$C28, "---")</f>
        <v>0.7</v>
      </c>
      <c r="M28" s="262">
        <f t="shared" si="14"/>
        <v>1</v>
      </c>
      <c r="N28" s="263">
        <f>IF(NOT($C28=0), (H28+I28)/$C28, "---")</f>
        <v>0.7</v>
      </c>
      <c r="O28" s="264">
        <f>SUM(O18:O27)</f>
        <v>0</v>
      </c>
      <c r="P28" s="265">
        <f>SUM(P18:P27)</f>
        <v>0</v>
      </c>
      <c r="Q28" s="266">
        <f>SUM(Q18:Q27)</f>
        <v>0</v>
      </c>
      <c r="R28" s="265">
        <f>SUM(R18:R27)</f>
        <v>0</v>
      </c>
      <c r="S28" s="266">
        <f>SUM(S18:S27)</f>
        <v>0</v>
      </c>
      <c r="T28" s="267">
        <f>IF(NOT($B28=0), O28/$B28, "---")</f>
        <v>0</v>
      </c>
      <c r="U28" s="268" t="str">
        <f t="shared" si="13"/>
        <v>---</v>
      </c>
      <c r="V28" s="269">
        <f t="shared" si="9"/>
        <v>0</v>
      </c>
    </row>
    <row r="29" spans="1:22" ht="15.75" thickBot="1" x14ac:dyDescent="0.3">
      <c r="A29" s="245"/>
      <c r="B29" s="245"/>
      <c r="C29" s="245"/>
      <c r="D29" s="245"/>
      <c r="E29" s="245"/>
      <c r="F29" s="245"/>
      <c r="G29" s="245"/>
      <c r="H29" s="245"/>
      <c r="I29" s="245"/>
      <c r="J29" s="245"/>
      <c r="K29" s="245"/>
      <c r="L29" s="245"/>
      <c r="M29" s="245"/>
      <c r="N29" s="245"/>
      <c r="O29" s="245"/>
      <c r="P29" s="245"/>
      <c r="Q29" s="245"/>
      <c r="R29" s="245"/>
      <c r="S29" s="245"/>
      <c r="T29" s="245"/>
      <c r="U29" s="245"/>
      <c r="V29" s="245"/>
    </row>
    <row r="30" spans="1:22" ht="15.75" thickBot="1" x14ac:dyDescent="0.3">
      <c r="A30" s="215" t="s">
        <v>33</v>
      </c>
      <c r="B30" s="584" t="s">
        <v>166</v>
      </c>
      <c r="C30" s="584"/>
      <c r="D30" s="584"/>
      <c r="E30" s="584"/>
      <c r="F30" s="584"/>
      <c r="G30" s="585" t="s">
        <v>177</v>
      </c>
      <c r="H30" s="586"/>
      <c r="I30" s="586"/>
      <c r="J30" s="586"/>
      <c r="K30" s="586"/>
      <c r="L30" s="586"/>
      <c r="M30" s="586"/>
      <c r="N30" s="587"/>
      <c r="O30" s="588" t="s">
        <v>144</v>
      </c>
      <c r="P30" s="589"/>
      <c r="Q30" s="589"/>
      <c r="R30" s="589"/>
      <c r="S30" s="589"/>
      <c r="T30" s="589"/>
      <c r="U30" s="589"/>
      <c r="V30" s="590"/>
    </row>
    <row r="31" spans="1:22" s="249" customFormat="1" ht="15.75" thickBot="1" x14ac:dyDescent="0.3">
      <c r="A31" s="253" t="s">
        <v>88</v>
      </c>
      <c r="B31" s="310" t="s">
        <v>167</v>
      </c>
      <c r="C31" s="311" t="s">
        <v>128</v>
      </c>
      <c r="D31" s="312" t="s">
        <v>105</v>
      </c>
      <c r="E31" s="312" t="s">
        <v>173</v>
      </c>
      <c r="F31" s="313" t="s">
        <v>175</v>
      </c>
      <c r="G31" s="314" t="s">
        <v>132</v>
      </c>
      <c r="H31" s="315" t="s">
        <v>30</v>
      </c>
      <c r="I31" s="315" t="s">
        <v>135</v>
      </c>
      <c r="J31" s="315" t="s">
        <v>36</v>
      </c>
      <c r="K31" s="315" t="s">
        <v>138</v>
      </c>
      <c r="L31" s="315" t="s">
        <v>184</v>
      </c>
      <c r="M31" s="315" t="s">
        <v>140</v>
      </c>
      <c r="N31" s="316" t="s">
        <v>187</v>
      </c>
      <c r="O31" s="317" t="s">
        <v>132</v>
      </c>
      <c r="P31" s="318" t="s">
        <v>30</v>
      </c>
      <c r="Q31" s="318" t="s">
        <v>135</v>
      </c>
      <c r="R31" s="318" t="s">
        <v>36</v>
      </c>
      <c r="S31" s="318" t="s">
        <v>138</v>
      </c>
      <c r="T31" s="318" t="s">
        <v>184</v>
      </c>
      <c r="U31" s="318" t="s">
        <v>140</v>
      </c>
      <c r="V31" s="319" t="s">
        <v>187</v>
      </c>
    </row>
    <row r="32" spans="1:22" x14ac:dyDescent="0.25">
      <c r="A32" s="329" t="s">
        <v>308</v>
      </c>
      <c r="B32" s="250">
        <f>SUMIFS('Diags Raw Data'!$L$6:$L$4691,'Diags Raw Data'!$D$6:$D$4691,$A32,'Diags Raw Data'!$M$6:$M$4691,"Legacy")</f>
        <v>0</v>
      </c>
      <c r="C32" s="240">
        <f>SUMIFS('Diags Raw Data'!$R$6:$R$4691,'Diags Raw Data'!$D$6:$D$4691,$A32,'Diags Raw Data'!$M$6:$M$4691,"Legacy")</f>
        <v>0</v>
      </c>
      <c r="D32" s="240">
        <f>SUMIFS('Diags Raw Data'!$K$6:$K$4691,'Diags Raw Data'!$D$6:$D$4691,$A32,'Diags Raw Data'!$M$6:$M$4691,"Legacy")</f>
        <v>0</v>
      </c>
      <c r="E32" s="240">
        <f>SUMIFS('Diags Raw Data'!$O$6:$O$4691,'Diags Raw Data'!$D$6:$D$4691,$A32,'Diags Raw Data'!$M$6:$M$4691,"Legacy")</f>
        <v>0</v>
      </c>
      <c r="F32" s="246" t="str">
        <f>IF(NOT($B32=0), E32/$B32, "---")</f>
        <v>---</v>
      </c>
      <c r="G32" s="218">
        <f>SUMIFS('Diags Raw Data'!$S$6:$S$4691,'Diags Raw Data'!$D$6:$D$4691,$A32,'Diags Raw Data'!$M$6:$M$4691,"Legacy")</f>
        <v>0</v>
      </c>
      <c r="H32" s="219">
        <f>SUMIFS('Diags Raw Data'!$T$6:$T$4691,'Diags Raw Data'!$D$6:$D$4691,$A32,'Diags Raw Data'!$M$6:$M$4691,"Legacy")</f>
        <v>0</v>
      </c>
      <c r="I32" s="221">
        <f>SUMIFS('Diags Raw Data'!$U$6:$U$4691,'Diags Raw Data'!$D$6:$D$4691,$A32,'Diags Raw Data'!$M$6:$M$4691,"Legacy")</f>
        <v>0</v>
      </c>
      <c r="J32" s="219">
        <f>SUMIFS('Diags Raw Data'!$V$6:$V$4691,'Diags Raw Data'!$D$6:$D$4691,$A32,'Diags Raw Data'!$M$6:$M$4691,"Legacy")</f>
        <v>0</v>
      </c>
      <c r="K32" s="221">
        <f>SUMIFS('Diags Raw Data'!$W$6:$W$4691,'Diags Raw Data'!$D$6:$D$4691,$A32,'Diags Raw Data'!$M$6:$M$4691,"Legacy")</f>
        <v>0</v>
      </c>
      <c r="L32" s="220" t="str">
        <f>IF(NOT($C32=0), G32/$C32, "---")</f>
        <v>---</v>
      </c>
      <c r="M32" s="222" t="str">
        <f>IF(NOT($G32=0), (H32+I32)/$G32, "---")</f>
        <v>---</v>
      </c>
      <c r="N32" s="224" t="str">
        <f>IF(NOT($C32=0), (H32+I32)/$C32, "---")</f>
        <v>---</v>
      </c>
      <c r="O32" s="211">
        <f>SUMIFS('Diags Raw Data'!$Z$6:$Z$4691,'Diags Raw Data'!$D$6:$D$4691,$A32,'Diags Raw Data'!$M$6:$M$4691,"Legacy")</f>
        <v>0</v>
      </c>
      <c r="P32" s="208">
        <f>SUMIFS('Diags Raw Data'!$AA$6:$AA$4691,'Diags Raw Data'!$D$6:$D$4691,$A32,'Diags Raw Data'!$M$6:$M$4691,"Legacy")</f>
        <v>0</v>
      </c>
      <c r="Q32" s="210">
        <f>SUMIFS('Diags Raw Data'!$AB$6:$AB$4691,'Diags Raw Data'!$D$6:$D$4691,$A32,'Diags Raw Data'!$M$6:$M$4691,"Legacy")</f>
        <v>0</v>
      </c>
      <c r="R32" s="208">
        <f>SUMIFS('Diags Raw Data'!$AC$6:$AC$4691,'Diags Raw Data'!$D$6:$D$4691,$A32,'Diags Raw Data'!$M$6:$M$4691,"Legacy")</f>
        <v>0</v>
      </c>
      <c r="S32" s="210">
        <f>SUMIFS('Diags Raw Data'!$AD$6:$AD$4691,'Diags Raw Data'!$D$6:$D$4691,$A32,'Diags Raw Data'!$M$6:$M$4691,"Legacy")</f>
        <v>0</v>
      </c>
      <c r="T32" s="209" t="str">
        <f>IF(NOT($B32=0), O32/$B32, "---")</f>
        <v>---</v>
      </c>
      <c r="U32" s="223" t="str">
        <f>IF(NOT($O32=0), (P32+Q32)/$O32, "---")</f>
        <v>---</v>
      </c>
      <c r="V32" s="239" t="str">
        <f>IF(NOT($B32=0), (P32+Q32)/$B32, "---")</f>
        <v>---</v>
      </c>
    </row>
    <row r="33" spans="1:22" x14ac:dyDescent="0.25">
      <c r="A33" s="329" t="s">
        <v>362</v>
      </c>
      <c r="B33" s="251">
        <f>SUMIFS('Diags Raw Data'!$L$6:$L$4691,'Diags Raw Data'!$D$6:$D$4691,$A33,'Diags Raw Data'!$M$6:$M$4691,"Legacy")</f>
        <v>0</v>
      </c>
      <c r="C33" s="241">
        <f>SUMIFS('Diags Raw Data'!$R$6:$R$4691,'Diags Raw Data'!$D$6:$D$4691,$A33,'Diags Raw Data'!$M$6:$M$4691,"Legacy")</f>
        <v>0</v>
      </c>
      <c r="D33" s="241">
        <f>SUMIFS('Diags Raw Data'!$K$6:$K$4691,'Diags Raw Data'!$D$6:$D$4691,$A33,'Diags Raw Data'!$M$6:$M$4691,"Legacy")</f>
        <v>0</v>
      </c>
      <c r="E33" s="241">
        <f>SUMIFS('Diags Raw Data'!$O$6:$O$4691,'Diags Raw Data'!$D$6:$D$4691,$A33,'Diags Raw Data'!$M$6:$M$4691,"Legacy")</f>
        <v>0</v>
      </c>
      <c r="F33" s="247" t="str">
        <f t="shared" ref="F33:F41" si="15">IF(NOT($B33=0), E33/$B33, "---")</f>
        <v>---</v>
      </c>
      <c r="G33" s="229">
        <f>SUMIFS('Diags Raw Data'!$S$6:$S$4691,'Diags Raw Data'!$D$6:$D$4691,$A33,'Diags Raw Data'!$M$6:$M$4691,"Legacy")</f>
        <v>0</v>
      </c>
      <c r="H33" s="225">
        <f>SUMIFS('Diags Raw Data'!$T$6:$T$4691,'Diags Raw Data'!$D$6:$D$4691,$A33,'Diags Raw Data'!$M$6:$M$4691,"Legacy")</f>
        <v>0</v>
      </c>
      <c r="I33" s="226">
        <f>SUMIFS('Diags Raw Data'!$U$6:$U$4691,'Diags Raw Data'!$D$6:$D$4691,$A33,'Diags Raw Data'!$M$6:$M$4691,"Legacy")</f>
        <v>0</v>
      </c>
      <c r="J33" s="225">
        <f>SUMIFS('Diags Raw Data'!$V$6:$V$4691,'Diags Raw Data'!$D$6:$D$4691,$A33,'Diags Raw Data'!$M$6:$M$4691,"Legacy")</f>
        <v>0</v>
      </c>
      <c r="K33" s="226">
        <f>SUMIFS('Diags Raw Data'!$W$6:$W$4691,'Diags Raw Data'!$D$6:$D$4691,$A33,'Diags Raw Data'!$M$6:$M$4691,"Legacy")</f>
        <v>0</v>
      </c>
      <c r="L33" s="242" t="str">
        <f t="shared" ref="L33:L41" si="16">IF(NOT($C33=0), G33/$C33, "---")</f>
        <v>---</v>
      </c>
      <c r="M33" s="227" t="str">
        <f t="shared" ref="M33:M42" si="17">IF(NOT($G33=0), (H33+I33)/$G33, "---")</f>
        <v>---</v>
      </c>
      <c r="N33" s="236" t="str">
        <f t="shared" ref="N33:N42" si="18">IF(NOT($C33=0), (H33+I33)/$C33, "---")</f>
        <v>---</v>
      </c>
      <c r="O33" s="212">
        <f>SUMIFS('Diags Raw Data'!$Z$6:$Z$4691,'Diags Raw Data'!$D$6:$D$4691,$A33,'Diags Raw Data'!$M$6:$M$4691,"Legacy")</f>
        <v>0</v>
      </c>
      <c r="P33" s="202">
        <f>SUMIFS('Diags Raw Data'!$AA$6:$AA$4691,'Diags Raw Data'!$D$6:$D$4691,$A33,'Diags Raw Data'!$M$6:$M$4691,"Legacy")</f>
        <v>0</v>
      </c>
      <c r="Q33" s="204">
        <f>SUMIFS('Diags Raw Data'!$AB$6:$AB$4691,'Diags Raw Data'!$D$6:$D$4691,$A33,'Diags Raw Data'!$M$6:$M$4691,"Legacy")</f>
        <v>0</v>
      </c>
      <c r="R33" s="202">
        <f>SUMIFS('Diags Raw Data'!$AC$6:$AC$4691,'Diags Raw Data'!$D$6:$D$4691,$A33,'Diags Raw Data'!$M$6:$M$4691,"Legacy")</f>
        <v>0</v>
      </c>
      <c r="S33" s="204">
        <f>SUMIFS('Diags Raw Data'!$AD$6:$AD$4691,'Diags Raw Data'!$D$6:$D$4691,$A33,'Diags Raw Data'!$M$6:$M$4691,"Legacy")</f>
        <v>0</v>
      </c>
      <c r="T33" s="203" t="str">
        <f t="shared" ref="T33:T41" si="19">IF(NOT($B33=0), O33/$B33, "---")</f>
        <v>---</v>
      </c>
      <c r="U33" s="228" t="str">
        <f t="shared" ref="U33:U42" si="20">IF(NOT($O33=0), (P33+Q33)/$O33, "---")</f>
        <v>---</v>
      </c>
      <c r="V33" s="230" t="str">
        <f t="shared" ref="V33:V41" si="21">IF(NOT($B33=0), (P33+Q33)/$B33, "---")</f>
        <v>---</v>
      </c>
    </row>
    <row r="34" spans="1:22" x14ac:dyDescent="0.25">
      <c r="A34" s="329" t="s">
        <v>435</v>
      </c>
      <c r="B34" s="251">
        <f>SUMIFS('Diags Raw Data'!$L$6:$L$4691,'Diags Raw Data'!$D$6:$D$4691,$A34,'Diags Raw Data'!$M$6:$M$4691,"Legacy")</f>
        <v>2</v>
      </c>
      <c r="C34" s="241">
        <f>SUMIFS('Diags Raw Data'!$R$6:$R$4691,'Diags Raw Data'!$D$6:$D$4691,$A34,'Diags Raw Data'!$M$6:$M$4691,"Legacy")</f>
        <v>2</v>
      </c>
      <c r="D34" s="241">
        <f>SUMIFS('Diags Raw Data'!$K$6:$K$4691,'Diags Raw Data'!$D$6:$D$4691,$A34,'Diags Raw Data'!$M$6:$M$4691,"Legacy")</f>
        <v>64</v>
      </c>
      <c r="E34" s="241">
        <f>SUMIFS('Diags Raw Data'!$O$6:$O$4691,'Diags Raw Data'!$D$6:$D$4691,$A34,'Diags Raw Data'!$M$6:$M$4691,"Legacy")</f>
        <v>2</v>
      </c>
      <c r="F34" s="247">
        <f t="shared" si="15"/>
        <v>1</v>
      </c>
      <c r="G34" s="229">
        <f>SUMIFS('Diags Raw Data'!$S$6:$S$4691,'Diags Raw Data'!$D$6:$D$4691,$A34,'Diags Raw Data'!$M$6:$M$4691,"Legacy")</f>
        <v>2</v>
      </c>
      <c r="H34" s="225">
        <f>SUMIFS('Diags Raw Data'!$T$6:$T$4691,'Diags Raw Data'!$D$6:$D$4691,$A34,'Diags Raw Data'!$M$6:$M$4691,"Legacy")</f>
        <v>2</v>
      </c>
      <c r="I34" s="226">
        <f>SUMIFS('Diags Raw Data'!$U$6:$U$4691,'Diags Raw Data'!$D$6:$D$4691,$A34,'Diags Raw Data'!$M$6:$M$4691,"Legacy")</f>
        <v>0</v>
      </c>
      <c r="J34" s="225">
        <f>SUMIFS('Diags Raw Data'!$V$6:$V$4691,'Diags Raw Data'!$D$6:$D$4691,$A34,'Diags Raw Data'!$M$6:$M$4691,"Legacy")</f>
        <v>0</v>
      </c>
      <c r="K34" s="226">
        <f>SUMIFS('Diags Raw Data'!$W$6:$W$4691,'Diags Raw Data'!$D$6:$D$4691,$A34,'Diags Raw Data'!$M$6:$M$4691,"Legacy")</f>
        <v>0</v>
      </c>
      <c r="L34" s="242">
        <f t="shared" si="16"/>
        <v>1</v>
      </c>
      <c r="M34" s="227">
        <f t="shared" si="17"/>
        <v>1</v>
      </c>
      <c r="N34" s="236">
        <f t="shared" si="18"/>
        <v>1</v>
      </c>
      <c r="O34" s="212">
        <f>SUMIFS('Diags Raw Data'!$Z$6:$Z$4691,'Diags Raw Data'!$D$6:$D$4691,$A34,'Diags Raw Data'!$M$6:$M$4691,"Legacy")</f>
        <v>0</v>
      </c>
      <c r="P34" s="202">
        <f>SUMIFS('Diags Raw Data'!$AA$6:$AA$4691,'Diags Raw Data'!$D$6:$D$4691,$A34,'Diags Raw Data'!$M$6:$M$4691,"Legacy")</f>
        <v>0</v>
      </c>
      <c r="Q34" s="204">
        <f>SUMIFS('Diags Raw Data'!$AB$6:$AB$4691,'Diags Raw Data'!$D$6:$D$4691,$A34,'Diags Raw Data'!$M$6:$M$4691,"Legacy")</f>
        <v>0</v>
      </c>
      <c r="R34" s="202">
        <f>SUMIFS('Diags Raw Data'!$AC$6:$AC$4691,'Diags Raw Data'!$D$6:$D$4691,$A34,'Diags Raw Data'!$M$6:$M$4691,"Legacy")</f>
        <v>0</v>
      </c>
      <c r="S34" s="204">
        <f>SUMIFS('Diags Raw Data'!$AD$6:$AD$4691,'Diags Raw Data'!$D$6:$D$4691,$A34,'Diags Raw Data'!$M$6:$M$4691,"Legacy")</f>
        <v>0</v>
      </c>
      <c r="T34" s="203">
        <f t="shared" si="19"/>
        <v>0</v>
      </c>
      <c r="U34" s="228" t="str">
        <f t="shared" si="20"/>
        <v>---</v>
      </c>
      <c r="V34" s="230">
        <f t="shared" si="21"/>
        <v>0</v>
      </c>
    </row>
    <row r="35" spans="1:22" x14ac:dyDescent="0.25">
      <c r="A35" s="329"/>
      <c r="B35" s="251">
        <f>SUMIFS('Diags Raw Data'!$L$6:$L$4691,'Diags Raw Data'!$D$6:$D$4691,$A35,'Diags Raw Data'!$M$6:$M$4691,"Legacy")</f>
        <v>0</v>
      </c>
      <c r="C35" s="241">
        <f>SUMIFS('Diags Raw Data'!$R$6:$R$4691,'Diags Raw Data'!$D$6:$D$4691,$A35,'Diags Raw Data'!$M$6:$M$4691,"Legacy")</f>
        <v>0</v>
      </c>
      <c r="D35" s="241">
        <f>SUMIFS('Diags Raw Data'!$K$6:$K$4691,'Diags Raw Data'!$D$6:$D$4691,$A35,'Diags Raw Data'!$M$6:$M$4691,"Legacy")</f>
        <v>0</v>
      </c>
      <c r="E35" s="241">
        <f>SUMIFS('Diags Raw Data'!$O$6:$O$4691,'Diags Raw Data'!$D$6:$D$4691,$A35,'Diags Raw Data'!$M$6:$M$4691,"Legacy")</f>
        <v>0</v>
      </c>
      <c r="F35" s="247" t="str">
        <f t="shared" si="15"/>
        <v>---</v>
      </c>
      <c r="G35" s="229">
        <f>SUMIFS('Diags Raw Data'!$S$6:$S$4691,'Diags Raw Data'!$D$6:$D$4691,$A35,'Diags Raw Data'!$M$6:$M$4691,"Legacy")</f>
        <v>0</v>
      </c>
      <c r="H35" s="225">
        <f>SUMIFS('Diags Raw Data'!$T$6:$T$4691,'Diags Raw Data'!$D$6:$D$4691,$A35,'Diags Raw Data'!$M$6:$M$4691,"Legacy")</f>
        <v>0</v>
      </c>
      <c r="I35" s="226">
        <f>SUMIFS('Diags Raw Data'!$U$6:$U$4691,'Diags Raw Data'!$D$6:$D$4691,$A35,'Diags Raw Data'!$M$6:$M$4691,"Legacy")</f>
        <v>0</v>
      </c>
      <c r="J35" s="225">
        <f>SUMIFS('Diags Raw Data'!$V$6:$V$4691,'Diags Raw Data'!$D$6:$D$4691,$A35,'Diags Raw Data'!$M$6:$M$4691,"Legacy")</f>
        <v>0</v>
      </c>
      <c r="K35" s="226">
        <f>SUMIFS('Diags Raw Data'!$W$6:$W$4691,'Diags Raw Data'!$D$6:$D$4691,$A35,'Diags Raw Data'!$M$6:$M$4691,"Legacy")</f>
        <v>0</v>
      </c>
      <c r="L35" s="242" t="str">
        <f t="shared" si="16"/>
        <v>---</v>
      </c>
      <c r="M35" s="227" t="str">
        <f t="shared" si="17"/>
        <v>---</v>
      </c>
      <c r="N35" s="236" t="str">
        <f t="shared" si="18"/>
        <v>---</v>
      </c>
      <c r="O35" s="212">
        <f>SUMIFS('Diags Raw Data'!$Z$6:$Z$4691,'Diags Raw Data'!$D$6:$D$4691,$A35,'Diags Raw Data'!$M$6:$M$4691,"Legacy")</f>
        <v>0</v>
      </c>
      <c r="P35" s="202">
        <f>SUMIFS('Diags Raw Data'!$AA$6:$AA$4691,'Diags Raw Data'!$D$6:$D$4691,$A35,'Diags Raw Data'!$M$6:$M$4691,"Legacy")</f>
        <v>0</v>
      </c>
      <c r="Q35" s="204">
        <f>SUMIFS('Diags Raw Data'!$AB$6:$AB$4691,'Diags Raw Data'!$D$6:$D$4691,$A35,'Diags Raw Data'!$M$6:$M$4691,"Legacy")</f>
        <v>0</v>
      </c>
      <c r="R35" s="202">
        <f>SUMIFS('Diags Raw Data'!$AC$6:$AC$4691,'Diags Raw Data'!$D$6:$D$4691,$A35,'Diags Raw Data'!$M$6:$M$4691,"Legacy")</f>
        <v>0</v>
      </c>
      <c r="S35" s="204">
        <f>SUMIFS('Diags Raw Data'!$AD$6:$AD$4691,'Diags Raw Data'!$D$6:$D$4691,$A35,'Diags Raw Data'!$M$6:$M$4691,"Legacy")</f>
        <v>0</v>
      </c>
      <c r="T35" s="203" t="str">
        <f t="shared" si="19"/>
        <v>---</v>
      </c>
      <c r="U35" s="228" t="str">
        <f t="shared" si="20"/>
        <v>---</v>
      </c>
      <c r="V35" s="230" t="str">
        <f t="shared" si="21"/>
        <v>---</v>
      </c>
    </row>
    <row r="36" spans="1:22" x14ac:dyDescent="0.25">
      <c r="A36" s="329"/>
      <c r="B36" s="251">
        <f>SUMIFS('Diags Raw Data'!$L$6:$L$4691,'Diags Raw Data'!$D$6:$D$4691,$A36,'Diags Raw Data'!$M$6:$M$4691,"Legacy")</f>
        <v>0</v>
      </c>
      <c r="C36" s="241">
        <f>SUMIFS('Diags Raw Data'!$R$6:$R$4691,'Diags Raw Data'!$D$6:$D$4691,$A36,'Diags Raw Data'!$M$6:$M$4691,"Legacy")</f>
        <v>0</v>
      </c>
      <c r="D36" s="241">
        <f>SUMIFS('Diags Raw Data'!$K$6:$K$4691,'Diags Raw Data'!$D$6:$D$4691,$A36,'Diags Raw Data'!$M$6:$M$4691,"Legacy")</f>
        <v>0</v>
      </c>
      <c r="E36" s="241">
        <f>SUMIFS('Diags Raw Data'!$O$6:$O$4691,'Diags Raw Data'!$D$6:$D$4691,$A36,'Diags Raw Data'!$M$6:$M$4691,"Legacy")</f>
        <v>0</v>
      </c>
      <c r="F36" s="247" t="str">
        <f t="shared" si="15"/>
        <v>---</v>
      </c>
      <c r="G36" s="229">
        <f>SUMIFS('Diags Raw Data'!$S$6:$S$4691,'Diags Raw Data'!$D$6:$D$4691,$A36,'Diags Raw Data'!$M$6:$M$4691,"Legacy")</f>
        <v>0</v>
      </c>
      <c r="H36" s="225">
        <f>SUMIFS('Diags Raw Data'!$T$6:$T$4691,'Diags Raw Data'!$D$6:$D$4691,$A36,'Diags Raw Data'!$M$6:$M$4691,"Legacy")</f>
        <v>0</v>
      </c>
      <c r="I36" s="226">
        <f>SUMIFS('Diags Raw Data'!$U$6:$U$4691,'Diags Raw Data'!$D$6:$D$4691,$A36,'Diags Raw Data'!$M$6:$M$4691,"Legacy")</f>
        <v>0</v>
      </c>
      <c r="J36" s="225">
        <f>SUMIFS('Diags Raw Data'!$V$6:$V$4691,'Diags Raw Data'!$D$6:$D$4691,$A36,'Diags Raw Data'!$M$6:$M$4691,"Legacy")</f>
        <v>0</v>
      </c>
      <c r="K36" s="226">
        <f>SUMIFS('Diags Raw Data'!$W$6:$W$4691,'Diags Raw Data'!$D$6:$D$4691,$A36,'Diags Raw Data'!$M$6:$M$4691,"Legacy")</f>
        <v>0</v>
      </c>
      <c r="L36" s="242" t="str">
        <f t="shared" si="16"/>
        <v>---</v>
      </c>
      <c r="M36" s="227" t="str">
        <f t="shared" si="17"/>
        <v>---</v>
      </c>
      <c r="N36" s="236" t="str">
        <f t="shared" si="18"/>
        <v>---</v>
      </c>
      <c r="O36" s="212">
        <f>SUMIFS('Diags Raw Data'!$Z$6:$Z$4691,'Diags Raw Data'!$D$6:$D$4691,$A36,'Diags Raw Data'!$M$6:$M$4691,"Legacy")</f>
        <v>0</v>
      </c>
      <c r="P36" s="202">
        <f>SUMIFS('Diags Raw Data'!$AA$6:$AA$4691,'Diags Raw Data'!$D$6:$D$4691,$A36,'Diags Raw Data'!$M$6:$M$4691,"Legacy")</f>
        <v>0</v>
      </c>
      <c r="Q36" s="204">
        <f>SUMIFS('Diags Raw Data'!$AB$6:$AB$4691,'Diags Raw Data'!$D$6:$D$4691,$A36,'Diags Raw Data'!$M$6:$M$4691,"Legacy")</f>
        <v>0</v>
      </c>
      <c r="R36" s="202">
        <f>SUMIFS('Diags Raw Data'!$AC$6:$AC$4691,'Diags Raw Data'!$D$6:$D$4691,$A36,'Diags Raw Data'!$M$6:$M$4691,"Legacy")</f>
        <v>0</v>
      </c>
      <c r="S36" s="204">
        <f>SUMIFS('Diags Raw Data'!$AD$6:$AD$4691,'Diags Raw Data'!$D$6:$D$4691,$A36,'Diags Raw Data'!$M$6:$M$4691,"Legacy")</f>
        <v>0</v>
      </c>
      <c r="T36" s="203" t="str">
        <f t="shared" si="19"/>
        <v>---</v>
      </c>
      <c r="U36" s="228" t="str">
        <f t="shared" si="20"/>
        <v>---</v>
      </c>
      <c r="V36" s="230" t="str">
        <f t="shared" si="21"/>
        <v>---</v>
      </c>
    </row>
    <row r="37" spans="1:22" x14ac:dyDescent="0.25">
      <c r="A37" s="329"/>
      <c r="B37" s="251">
        <f>SUMIFS('Diags Raw Data'!$L$6:$L$4691,'Diags Raw Data'!$D$6:$D$4691,$A37,'Diags Raw Data'!$M$6:$M$4691,"Legacy")</f>
        <v>0</v>
      </c>
      <c r="C37" s="241">
        <f>SUMIFS('Diags Raw Data'!$R$6:$R$4691,'Diags Raw Data'!$D$6:$D$4691,$A37,'Diags Raw Data'!$M$6:$M$4691,"Legacy")</f>
        <v>0</v>
      </c>
      <c r="D37" s="241">
        <f>SUMIFS('Diags Raw Data'!$K$6:$K$4691,'Diags Raw Data'!$D$6:$D$4691,$A37,'Diags Raw Data'!$M$6:$M$4691,"Legacy")</f>
        <v>0</v>
      </c>
      <c r="E37" s="241">
        <f>SUMIFS('Diags Raw Data'!$O$6:$O$4691,'Diags Raw Data'!$D$6:$D$4691,$A37,'Diags Raw Data'!$M$6:$M$4691,"Legacy")</f>
        <v>0</v>
      </c>
      <c r="F37" s="247" t="str">
        <f t="shared" si="15"/>
        <v>---</v>
      </c>
      <c r="G37" s="229">
        <f>SUMIFS('Diags Raw Data'!$S$6:$S$4691,'Diags Raw Data'!$D$6:$D$4691,$A37,'Diags Raw Data'!$M$6:$M$4691,"Legacy")</f>
        <v>0</v>
      </c>
      <c r="H37" s="225">
        <f>SUMIFS('Diags Raw Data'!$T$6:$T$4691,'Diags Raw Data'!$D$6:$D$4691,$A37,'Diags Raw Data'!$M$6:$M$4691,"Legacy")</f>
        <v>0</v>
      </c>
      <c r="I37" s="226">
        <f>SUMIFS('Diags Raw Data'!$U$6:$U$4691,'Diags Raw Data'!$D$6:$D$4691,$A37,'Diags Raw Data'!$M$6:$M$4691,"Legacy")</f>
        <v>0</v>
      </c>
      <c r="J37" s="225">
        <f>SUMIFS('Diags Raw Data'!$V$6:$V$4691,'Diags Raw Data'!$D$6:$D$4691,$A37,'Diags Raw Data'!$M$6:$M$4691,"Legacy")</f>
        <v>0</v>
      </c>
      <c r="K37" s="226">
        <f>SUMIFS('Diags Raw Data'!$W$6:$W$4691,'Diags Raw Data'!$D$6:$D$4691,$A37,'Diags Raw Data'!$M$6:$M$4691,"Legacy")</f>
        <v>0</v>
      </c>
      <c r="L37" s="242" t="str">
        <f t="shared" si="16"/>
        <v>---</v>
      </c>
      <c r="M37" s="227" t="str">
        <f t="shared" si="17"/>
        <v>---</v>
      </c>
      <c r="N37" s="236" t="str">
        <f t="shared" si="18"/>
        <v>---</v>
      </c>
      <c r="O37" s="212">
        <f>SUMIFS('Diags Raw Data'!$Z$6:$Z$4691,'Diags Raw Data'!$D$6:$D$4691,$A37,'Diags Raw Data'!$M$6:$M$4691,"Legacy")</f>
        <v>0</v>
      </c>
      <c r="P37" s="202">
        <f>SUMIFS('Diags Raw Data'!$AA$6:$AA$4691,'Diags Raw Data'!$D$6:$D$4691,$A37,'Diags Raw Data'!$M$6:$M$4691,"Legacy")</f>
        <v>0</v>
      </c>
      <c r="Q37" s="204">
        <f>SUMIFS('Diags Raw Data'!$AB$6:$AB$4691,'Diags Raw Data'!$D$6:$D$4691,$A37,'Diags Raw Data'!$M$6:$M$4691,"Legacy")</f>
        <v>0</v>
      </c>
      <c r="R37" s="202">
        <f>SUMIFS('Diags Raw Data'!$AC$6:$AC$4691,'Diags Raw Data'!$D$6:$D$4691,$A37,'Diags Raw Data'!$M$6:$M$4691,"Legacy")</f>
        <v>0</v>
      </c>
      <c r="S37" s="204">
        <f>SUMIFS('Diags Raw Data'!$AD$6:$AD$4691,'Diags Raw Data'!$D$6:$D$4691,$A37,'Diags Raw Data'!$M$6:$M$4691,"Legacy")</f>
        <v>0</v>
      </c>
      <c r="T37" s="203" t="str">
        <f t="shared" si="19"/>
        <v>---</v>
      </c>
      <c r="U37" s="228" t="str">
        <f t="shared" si="20"/>
        <v>---</v>
      </c>
      <c r="V37" s="230" t="str">
        <f t="shared" si="21"/>
        <v>---</v>
      </c>
    </row>
    <row r="38" spans="1:22" x14ac:dyDescent="0.25">
      <c r="A38" s="329"/>
      <c r="B38" s="251">
        <f>SUMIFS('Diags Raw Data'!$L$6:$L$4691,'Diags Raw Data'!$D$6:$D$4691,$A38,'Diags Raw Data'!$M$6:$M$4691,"Legacy")</f>
        <v>0</v>
      </c>
      <c r="C38" s="241">
        <f>SUMIFS('Diags Raw Data'!$R$6:$R$4691,'Diags Raw Data'!$D$6:$D$4691,$A38,'Diags Raw Data'!$M$6:$M$4691,"Legacy")</f>
        <v>0</v>
      </c>
      <c r="D38" s="241">
        <f>SUMIFS('Diags Raw Data'!$K$6:$K$4691,'Diags Raw Data'!$D$6:$D$4691,$A38,'Diags Raw Data'!$M$6:$M$4691,"Legacy")</f>
        <v>0</v>
      </c>
      <c r="E38" s="241">
        <f>SUMIFS('Diags Raw Data'!$O$6:$O$4691,'Diags Raw Data'!$D$6:$D$4691,$A38,'Diags Raw Data'!$M$6:$M$4691,"Legacy")</f>
        <v>0</v>
      </c>
      <c r="F38" s="247" t="str">
        <f t="shared" si="15"/>
        <v>---</v>
      </c>
      <c r="G38" s="229">
        <f>SUMIFS('Diags Raw Data'!$S$6:$S$4691,'Diags Raw Data'!$D$6:$D$4691,$A38,'Diags Raw Data'!$M$6:$M$4691,"Legacy")</f>
        <v>0</v>
      </c>
      <c r="H38" s="225">
        <f>SUMIFS('Diags Raw Data'!$T$6:$T$4691,'Diags Raw Data'!$D$6:$D$4691,$A38,'Diags Raw Data'!$M$6:$M$4691,"Legacy")</f>
        <v>0</v>
      </c>
      <c r="I38" s="226">
        <f>SUMIFS('Diags Raw Data'!$U$6:$U$4691,'Diags Raw Data'!$D$6:$D$4691,$A38,'Diags Raw Data'!$M$6:$M$4691,"Legacy")</f>
        <v>0</v>
      </c>
      <c r="J38" s="225">
        <f>SUMIFS('Diags Raw Data'!$V$6:$V$4691,'Diags Raw Data'!$D$6:$D$4691,$A38,'Diags Raw Data'!$M$6:$M$4691,"Legacy")</f>
        <v>0</v>
      </c>
      <c r="K38" s="226">
        <f>SUMIFS('Diags Raw Data'!$W$6:$W$4691,'Diags Raw Data'!$D$6:$D$4691,$A38,'Diags Raw Data'!$M$6:$M$4691,"Legacy")</f>
        <v>0</v>
      </c>
      <c r="L38" s="242" t="str">
        <f t="shared" si="16"/>
        <v>---</v>
      </c>
      <c r="M38" s="227" t="str">
        <f t="shared" si="17"/>
        <v>---</v>
      </c>
      <c r="N38" s="236" t="str">
        <f t="shared" si="18"/>
        <v>---</v>
      </c>
      <c r="O38" s="212">
        <f>SUMIFS('Diags Raw Data'!$Z$6:$Z$4691,'Diags Raw Data'!$D$6:$D$4691,$A38,'Diags Raw Data'!$M$6:$M$4691,"Legacy")</f>
        <v>0</v>
      </c>
      <c r="P38" s="202">
        <f>SUMIFS('Diags Raw Data'!$AA$6:$AA$4691,'Diags Raw Data'!$D$6:$D$4691,$A38,'Diags Raw Data'!$M$6:$M$4691,"Legacy")</f>
        <v>0</v>
      </c>
      <c r="Q38" s="204">
        <f>SUMIFS('Diags Raw Data'!$AB$6:$AB$4691,'Diags Raw Data'!$D$6:$D$4691,$A38,'Diags Raw Data'!$M$6:$M$4691,"Legacy")</f>
        <v>0</v>
      </c>
      <c r="R38" s="202">
        <f>SUMIFS('Diags Raw Data'!$AC$6:$AC$4691,'Diags Raw Data'!$D$6:$D$4691,$A38,'Diags Raw Data'!$M$6:$M$4691,"Legacy")</f>
        <v>0</v>
      </c>
      <c r="S38" s="204">
        <f>SUMIFS('Diags Raw Data'!$AD$6:$AD$4691,'Diags Raw Data'!$D$6:$D$4691,$A38,'Diags Raw Data'!$M$6:$M$4691,"Legacy")</f>
        <v>0</v>
      </c>
      <c r="T38" s="203" t="str">
        <f t="shared" si="19"/>
        <v>---</v>
      </c>
      <c r="U38" s="228" t="str">
        <f t="shared" si="20"/>
        <v>---</v>
      </c>
      <c r="V38" s="230" t="str">
        <f t="shared" si="21"/>
        <v>---</v>
      </c>
    </row>
    <row r="39" spans="1:22" x14ac:dyDescent="0.25">
      <c r="A39" s="329"/>
      <c r="B39" s="251">
        <f>SUMIFS('Diags Raw Data'!$L$6:$L$4691,'Diags Raw Data'!$D$6:$D$4691,$A39,'Diags Raw Data'!$M$6:$M$4691,"Legacy")</f>
        <v>0</v>
      </c>
      <c r="C39" s="241">
        <f>SUMIFS('Diags Raw Data'!$R$6:$R$4691,'Diags Raw Data'!$D$6:$D$4691,$A39,'Diags Raw Data'!$M$6:$M$4691,"Legacy")</f>
        <v>0</v>
      </c>
      <c r="D39" s="241">
        <f>SUMIFS('Diags Raw Data'!$K$6:$K$4691,'Diags Raw Data'!$D$6:$D$4691,$A39,'Diags Raw Data'!$M$6:$M$4691,"Legacy")</f>
        <v>0</v>
      </c>
      <c r="E39" s="241">
        <f>SUMIFS('Diags Raw Data'!$O$6:$O$4691,'Diags Raw Data'!$D$6:$D$4691,$A39,'Diags Raw Data'!$M$6:$M$4691,"Legacy")</f>
        <v>0</v>
      </c>
      <c r="F39" s="247" t="str">
        <f t="shared" si="15"/>
        <v>---</v>
      </c>
      <c r="G39" s="229">
        <f>SUMIFS('Diags Raw Data'!$S$6:$S$4691,'Diags Raw Data'!$D$6:$D$4691,$A39,'Diags Raw Data'!$M$6:$M$4691,"Legacy")</f>
        <v>0</v>
      </c>
      <c r="H39" s="225">
        <f>SUMIFS('Diags Raw Data'!$T$6:$T$4691,'Diags Raw Data'!$D$6:$D$4691,$A39,'Diags Raw Data'!$M$6:$M$4691,"Legacy")</f>
        <v>0</v>
      </c>
      <c r="I39" s="226">
        <f>SUMIFS('Diags Raw Data'!$U$6:$U$4691,'Diags Raw Data'!$D$6:$D$4691,$A39,'Diags Raw Data'!$M$6:$M$4691,"Legacy")</f>
        <v>0</v>
      </c>
      <c r="J39" s="225">
        <f>SUMIFS('Diags Raw Data'!$V$6:$V$4691,'Diags Raw Data'!$D$6:$D$4691,$A39,'Diags Raw Data'!$M$6:$M$4691,"Legacy")</f>
        <v>0</v>
      </c>
      <c r="K39" s="226">
        <f>SUMIFS('Diags Raw Data'!$W$6:$W$4691,'Diags Raw Data'!$D$6:$D$4691,$A39,'Diags Raw Data'!$M$6:$M$4691,"Legacy")</f>
        <v>0</v>
      </c>
      <c r="L39" s="242" t="str">
        <f t="shared" si="16"/>
        <v>---</v>
      </c>
      <c r="M39" s="227" t="str">
        <f t="shared" si="17"/>
        <v>---</v>
      </c>
      <c r="N39" s="236" t="str">
        <f t="shared" si="18"/>
        <v>---</v>
      </c>
      <c r="O39" s="212">
        <f>SUMIFS('Diags Raw Data'!$Z$6:$Z$4691,'Diags Raw Data'!$D$6:$D$4691,$A39,'Diags Raw Data'!$M$6:$M$4691,"Legacy")</f>
        <v>0</v>
      </c>
      <c r="P39" s="202">
        <f>SUMIFS('Diags Raw Data'!$AA$6:$AA$4691,'Diags Raw Data'!$D$6:$D$4691,$A39,'Diags Raw Data'!$M$6:$M$4691,"Legacy")</f>
        <v>0</v>
      </c>
      <c r="Q39" s="204">
        <f>SUMIFS('Diags Raw Data'!$AB$6:$AB$4691,'Diags Raw Data'!$D$6:$D$4691,$A39,'Diags Raw Data'!$M$6:$M$4691,"Legacy")</f>
        <v>0</v>
      </c>
      <c r="R39" s="202">
        <f>SUMIFS('Diags Raw Data'!$AC$6:$AC$4691,'Diags Raw Data'!$D$6:$D$4691,$A39,'Diags Raw Data'!$M$6:$M$4691,"Legacy")</f>
        <v>0</v>
      </c>
      <c r="S39" s="204">
        <f>SUMIFS('Diags Raw Data'!$AD$6:$AD$4691,'Diags Raw Data'!$D$6:$D$4691,$A39,'Diags Raw Data'!$M$6:$M$4691,"Legacy")</f>
        <v>0</v>
      </c>
      <c r="T39" s="203" t="str">
        <f t="shared" si="19"/>
        <v>---</v>
      </c>
      <c r="U39" s="228" t="str">
        <f t="shared" si="20"/>
        <v>---</v>
      </c>
      <c r="V39" s="230" t="str">
        <f t="shared" si="21"/>
        <v>---</v>
      </c>
    </row>
    <row r="40" spans="1:22" x14ac:dyDescent="0.25">
      <c r="A40" s="329"/>
      <c r="B40" s="251">
        <f>SUMIFS('Diags Raw Data'!$L$6:$L$4691,'Diags Raw Data'!$D$6:$D$4691,$A40,'Diags Raw Data'!$M$6:$M$4691,"Legacy")</f>
        <v>0</v>
      </c>
      <c r="C40" s="241">
        <f>SUMIFS('Diags Raw Data'!$R$6:$R$4691,'Diags Raw Data'!$D$6:$D$4691,$A40,'Diags Raw Data'!$M$6:$M$4691,"Legacy")</f>
        <v>0</v>
      </c>
      <c r="D40" s="241">
        <f>SUMIFS('Diags Raw Data'!$K$6:$K$4691,'Diags Raw Data'!$D$6:$D$4691,$A40,'Diags Raw Data'!$M$6:$M$4691,"Legacy")</f>
        <v>0</v>
      </c>
      <c r="E40" s="241">
        <f>SUMIFS('Diags Raw Data'!$O$6:$O$4691,'Diags Raw Data'!$D$6:$D$4691,$A40,'Diags Raw Data'!$M$6:$M$4691,"Legacy")</f>
        <v>0</v>
      </c>
      <c r="F40" s="247" t="str">
        <f t="shared" si="15"/>
        <v>---</v>
      </c>
      <c r="G40" s="229">
        <f>SUMIFS('Diags Raw Data'!$S$6:$S$4691,'Diags Raw Data'!$D$6:$D$4691,$A40,'Diags Raw Data'!$M$6:$M$4691,"Legacy")</f>
        <v>0</v>
      </c>
      <c r="H40" s="225">
        <f>SUMIFS('Diags Raw Data'!$T$6:$T$4691,'Diags Raw Data'!$D$6:$D$4691,$A40,'Diags Raw Data'!$M$6:$M$4691,"Legacy")</f>
        <v>0</v>
      </c>
      <c r="I40" s="226">
        <f>SUMIFS('Diags Raw Data'!$U$6:$U$4691,'Diags Raw Data'!$D$6:$D$4691,$A40,'Diags Raw Data'!$M$6:$M$4691,"Legacy")</f>
        <v>0</v>
      </c>
      <c r="J40" s="225">
        <f>SUMIFS('Diags Raw Data'!$V$6:$V$4691,'Diags Raw Data'!$D$6:$D$4691,$A40,'Diags Raw Data'!$M$6:$M$4691,"Legacy")</f>
        <v>0</v>
      </c>
      <c r="K40" s="226">
        <f>SUMIFS('Diags Raw Data'!$W$6:$W$4691,'Diags Raw Data'!$D$6:$D$4691,$A40,'Diags Raw Data'!$M$6:$M$4691,"Legacy")</f>
        <v>0</v>
      </c>
      <c r="L40" s="242" t="str">
        <f t="shared" si="16"/>
        <v>---</v>
      </c>
      <c r="M40" s="227" t="str">
        <f t="shared" si="17"/>
        <v>---</v>
      </c>
      <c r="N40" s="236" t="str">
        <f t="shared" si="18"/>
        <v>---</v>
      </c>
      <c r="O40" s="212">
        <f>SUMIFS('Diags Raw Data'!$Z$6:$Z$4691,'Diags Raw Data'!$D$6:$D$4691,$A40,'Diags Raw Data'!$M$6:$M$4691,"Legacy")</f>
        <v>0</v>
      </c>
      <c r="P40" s="202">
        <f>SUMIFS('Diags Raw Data'!$AA$6:$AA$4691,'Diags Raw Data'!$D$6:$D$4691,$A40,'Diags Raw Data'!$M$6:$M$4691,"Legacy")</f>
        <v>0</v>
      </c>
      <c r="Q40" s="204">
        <f>SUMIFS('Diags Raw Data'!$AB$6:$AB$4691,'Diags Raw Data'!$D$6:$D$4691,$A40,'Diags Raw Data'!$M$6:$M$4691,"Legacy")</f>
        <v>0</v>
      </c>
      <c r="R40" s="202">
        <f>SUMIFS('Diags Raw Data'!$AC$6:$AC$4691,'Diags Raw Data'!$D$6:$D$4691,$A40,'Diags Raw Data'!$M$6:$M$4691,"Legacy")</f>
        <v>0</v>
      </c>
      <c r="S40" s="204">
        <f>SUMIFS('Diags Raw Data'!$AD$6:$AD$4691,'Diags Raw Data'!$D$6:$D$4691,$A40,'Diags Raw Data'!$M$6:$M$4691,"Legacy")</f>
        <v>0</v>
      </c>
      <c r="T40" s="203" t="str">
        <f t="shared" si="19"/>
        <v>---</v>
      </c>
      <c r="U40" s="228" t="str">
        <f t="shared" si="20"/>
        <v>---</v>
      </c>
      <c r="V40" s="230" t="str">
        <f t="shared" si="21"/>
        <v>---</v>
      </c>
    </row>
    <row r="41" spans="1:22" ht="15.75" thickBot="1" x14ac:dyDescent="0.3">
      <c r="A41" s="330"/>
      <c r="B41" s="252">
        <f>SUMIFS('Diags Raw Data'!$L$6:$L$4691,'Diags Raw Data'!$D$6:$D$4691,$A41,'Diags Raw Data'!$M$6:$M$4691,"Legacy")</f>
        <v>0</v>
      </c>
      <c r="C41" s="243">
        <f>SUMIFS('Diags Raw Data'!$R$6:$R$4691,'Diags Raw Data'!$D$6:$D$4691,$A41,'Diags Raw Data'!$M$6:$M$4691,"Legacy")</f>
        <v>0</v>
      </c>
      <c r="D41" s="243">
        <f>SUMIFS('Diags Raw Data'!$K$6:$K$4691,'Diags Raw Data'!$D$6:$D$4691,$A41,'Diags Raw Data'!$M$6:$M$4691,"Legacy")</f>
        <v>0</v>
      </c>
      <c r="E41" s="243">
        <f>SUMIFS('Diags Raw Data'!$O$6:$O$4691,'Diags Raw Data'!$D$6:$D$4691,$A41,'Diags Raw Data'!$M$6:$M$4691,"Legacy")</f>
        <v>0</v>
      </c>
      <c r="F41" s="248" t="str">
        <f t="shared" si="15"/>
        <v>---</v>
      </c>
      <c r="G41" s="231">
        <f>SUMIFS('Diags Raw Data'!$S$6:$S$4691,'Diags Raw Data'!$D$6:$D$4691,$A41,'Diags Raw Data'!$M$6:$M$4691,"Legacy")</f>
        <v>0</v>
      </c>
      <c r="H41" s="232">
        <f>SUMIFS('Diags Raw Data'!$T$6:$T$4691,'Diags Raw Data'!$D$6:$D$4691,$A41,'Diags Raw Data'!$M$6:$M$4691,"Legacy")</f>
        <v>0</v>
      </c>
      <c r="I41" s="233">
        <f>SUMIFS('Diags Raw Data'!$U$6:$U$4691,'Diags Raw Data'!$D$6:$D$4691,$A41,'Diags Raw Data'!$M$6:$M$4691,"Legacy")</f>
        <v>0</v>
      </c>
      <c r="J41" s="232">
        <f>SUMIFS('Diags Raw Data'!$V$6:$V$4691,'Diags Raw Data'!$D$6:$D$4691,$A41,'Diags Raw Data'!$M$6:$M$4691,"Legacy")</f>
        <v>0</v>
      </c>
      <c r="K41" s="233">
        <f>SUMIFS('Diags Raw Data'!$W$6:$W$4691,'Diags Raw Data'!$D$6:$D$4691,$A41,'Diags Raw Data'!$M$6:$M$4691,"Legacy")</f>
        <v>0</v>
      </c>
      <c r="L41" s="244" t="str">
        <f t="shared" si="16"/>
        <v>---</v>
      </c>
      <c r="M41" s="234" t="str">
        <f t="shared" si="17"/>
        <v>---</v>
      </c>
      <c r="N41" s="237" t="str">
        <f t="shared" si="18"/>
        <v>---</v>
      </c>
      <c r="O41" s="213">
        <f>SUMIFS('Diags Raw Data'!$Z$6:$Z$4691,'Diags Raw Data'!$D$6:$D$4691,$A41,'Diags Raw Data'!$M$6:$M$4691,"Legacy")</f>
        <v>0</v>
      </c>
      <c r="P41" s="205">
        <f>SUMIFS('Diags Raw Data'!$AA$6:$AA$4691,'Diags Raw Data'!$D$6:$D$4691,$A41,'Diags Raw Data'!$M$6:$M$4691,"Legacy")</f>
        <v>0</v>
      </c>
      <c r="Q41" s="207">
        <f>SUMIFS('Diags Raw Data'!$AB$6:$AB$4691,'Diags Raw Data'!$D$6:$D$4691,$A41,'Diags Raw Data'!$M$6:$M$4691,"Legacy")</f>
        <v>0</v>
      </c>
      <c r="R41" s="205">
        <f>SUMIFS('Diags Raw Data'!$AC$6:$AC$4691,'Diags Raw Data'!$D$6:$D$4691,$A41,'Diags Raw Data'!$M$6:$M$4691,"Legacy")</f>
        <v>0</v>
      </c>
      <c r="S41" s="207">
        <f>SUMIFS('Diags Raw Data'!$AD$6:$AD$4691,'Diags Raw Data'!$D$6:$D$4691,$A41,'Diags Raw Data'!$M$6:$M$4691,"Legacy")</f>
        <v>0</v>
      </c>
      <c r="T41" s="206" t="str">
        <f t="shared" si="19"/>
        <v>---</v>
      </c>
      <c r="U41" s="238" t="str">
        <f t="shared" si="20"/>
        <v>---</v>
      </c>
      <c r="V41" s="235" t="str">
        <f t="shared" si="21"/>
        <v>---</v>
      </c>
    </row>
    <row r="42" spans="1:22" ht="16.5" thickBot="1" x14ac:dyDescent="0.3">
      <c r="A42" s="270" t="s">
        <v>519</v>
      </c>
      <c r="B42" s="255">
        <f>SUM(B32:B41)</f>
        <v>2</v>
      </c>
      <c r="C42" s="256">
        <f>SUM(C32:C41)</f>
        <v>2</v>
      </c>
      <c r="D42" s="256">
        <f>SUM(D32:D41)</f>
        <v>64</v>
      </c>
      <c r="E42" s="256">
        <f>SUM(E32:E41)</f>
        <v>2</v>
      </c>
      <c r="F42" s="257" cm="1">
        <f t="array" ref="F42">SUMPRODUCT(--(ISNUMBER(SEARCH("Legacy",'Diags Raw Data'!$M$6:$M$4691))),'Diags Raw Data'!$K$6:$K$4691,'Diags Raw Data'!$P$6:$P$4691)/D42</f>
        <v>22.875</v>
      </c>
      <c r="G42" s="258">
        <f>SUM(G32:G41)</f>
        <v>2</v>
      </c>
      <c r="H42" s="259">
        <f>SUM(H32:H41)</f>
        <v>2</v>
      </c>
      <c r="I42" s="260">
        <f>SUM(I32:I41)</f>
        <v>0</v>
      </c>
      <c r="J42" s="259">
        <f>SUM(J32:J41)</f>
        <v>0</v>
      </c>
      <c r="K42" s="260">
        <f>SUM(K32:K41)</f>
        <v>0</v>
      </c>
      <c r="L42" s="261">
        <f>IF(NOT($C42=0), G42/$C42, "---")</f>
        <v>1</v>
      </c>
      <c r="M42" s="262">
        <f t="shared" si="17"/>
        <v>1</v>
      </c>
      <c r="N42" s="263">
        <f t="shared" si="18"/>
        <v>1</v>
      </c>
      <c r="O42" s="264">
        <f>SUM(O32:O41)</f>
        <v>0</v>
      </c>
      <c r="P42" s="265">
        <f>SUM(P32:P41)</f>
        <v>0</v>
      </c>
      <c r="Q42" s="266">
        <f>SUM(Q32:Q41)</f>
        <v>0</v>
      </c>
      <c r="R42" s="265">
        <f>SUM(R32:R41)</f>
        <v>0</v>
      </c>
      <c r="S42" s="266">
        <f>SUM(S32:S41)</f>
        <v>0</v>
      </c>
      <c r="T42" s="267">
        <f>IF(NOT($B42=0), O42/$B42, "---")</f>
        <v>0</v>
      </c>
      <c r="U42" s="268" t="str">
        <f t="shared" si="20"/>
        <v>---</v>
      </c>
      <c r="V42" s="269">
        <f>IF(NOT($B42=0), (P42+Q42)/$B42, "---")</f>
        <v>0</v>
      </c>
    </row>
    <row r="43" spans="1:22" x14ac:dyDescent="0.25">
      <c r="A43" s="245"/>
      <c r="B43" s="245"/>
      <c r="C43" s="245"/>
      <c r="D43" s="245"/>
      <c r="E43" s="245"/>
      <c r="F43" s="245"/>
      <c r="G43" s="245"/>
      <c r="H43" s="245"/>
      <c r="I43" s="245"/>
      <c r="J43" s="245"/>
      <c r="K43" s="245"/>
      <c r="L43" s="245"/>
      <c r="M43" s="245"/>
      <c r="N43" s="245"/>
      <c r="O43" s="245"/>
      <c r="P43" s="245"/>
      <c r="Q43" s="245"/>
      <c r="R43" s="245"/>
      <c r="S43" s="245"/>
      <c r="T43" s="245"/>
      <c r="U43" s="245"/>
      <c r="V43" s="245"/>
    </row>
    <row r="45" spans="1:22" x14ac:dyDescent="0.25">
      <c r="F45" s="130"/>
    </row>
    <row r="48" spans="1:22" x14ac:dyDescent="0.25">
      <c r="F48" s="384"/>
    </row>
    <row r="49" spans="6:6" x14ac:dyDescent="0.25">
      <c r="F49" s="383"/>
    </row>
    <row r="50" spans="6:6" x14ac:dyDescent="0.25">
      <c r="F50" s="383"/>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97"/>
  <sheetViews>
    <sheetView workbookViewId="0">
      <pane ySplit="2" topLeftCell="A32" activePane="bottomLeft" state="frozen"/>
      <selection pane="bottomLeft" activeCell="B52" sqref="B52"/>
    </sheetView>
  </sheetViews>
  <sheetFormatPr defaultRowHeight="15" x14ac:dyDescent="0.25"/>
  <cols>
    <col min="1" max="1" width="16.85546875" bestFit="1" customWidth="1"/>
    <col min="2" max="2" width="68.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599" t="s">
        <v>520</v>
      </c>
      <c r="B1" s="600"/>
      <c r="C1" s="600"/>
      <c r="D1" s="600"/>
      <c r="E1" s="600"/>
      <c r="F1" s="600"/>
      <c r="G1" s="600"/>
      <c r="H1" s="600"/>
      <c r="I1" s="601"/>
    </row>
    <row r="2" spans="1:9" s="79" customFormat="1" ht="15.75" thickBot="1" x14ac:dyDescent="0.3">
      <c r="A2" s="501" t="s">
        <v>77</v>
      </c>
      <c r="B2" s="379" t="s">
        <v>81</v>
      </c>
      <c r="C2" s="380" t="s">
        <v>96</v>
      </c>
      <c r="D2" s="380" t="s">
        <v>202</v>
      </c>
      <c r="E2" s="381" t="s">
        <v>1</v>
      </c>
    </row>
    <row r="3" spans="1:9" ht="15.75" thickBot="1" x14ac:dyDescent="0.3">
      <c r="A3" s="498" t="s">
        <v>521</v>
      </c>
      <c r="B3" s="497" t="s">
        <v>522</v>
      </c>
      <c r="C3" s="500" t="s">
        <v>259</v>
      </c>
      <c r="D3" s="467" t="s">
        <v>45</v>
      </c>
      <c r="E3" s="469" t="s">
        <v>33</v>
      </c>
      <c r="G3" s="288" t="s">
        <v>77</v>
      </c>
      <c r="H3" s="289" t="s">
        <v>523</v>
      </c>
      <c r="I3" s="463">
        <f>COUNTA(A3:A3996)</f>
        <v>50</v>
      </c>
    </row>
    <row r="4" spans="1:9" x14ac:dyDescent="0.25">
      <c r="A4" s="498" t="s">
        <v>440</v>
      </c>
      <c r="B4" s="498" t="s">
        <v>441</v>
      </c>
      <c r="C4" s="499" t="s">
        <v>259</v>
      </c>
      <c r="D4" s="467" t="s">
        <v>34</v>
      </c>
      <c r="E4" s="469" t="s">
        <v>39</v>
      </c>
      <c r="G4" s="591" t="s">
        <v>96</v>
      </c>
      <c r="H4" s="290" t="s">
        <v>524</v>
      </c>
      <c r="I4" s="464">
        <f>COUNTIFS($C3:$C3996,"P1")</f>
        <v>20</v>
      </c>
    </row>
    <row r="5" spans="1:9" x14ac:dyDescent="0.25">
      <c r="A5" s="498" t="s">
        <v>525</v>
      </c>
      <c r="B5" s="498" t="s">
        <v>526</v>
      </c>
      <c r="C5" s="499" t="s">
        <v>280</v>
      </c>
      <c r="D5" s="467" t="s">
        <v>34</v>
      </c>
      <c r="E5" s="469" t="s">
        <v>33</v>
      </c>
      <c r="G5" s="592"/>
      <c r="H5" s="291" t="s">
        <v>527</v>
      </c>
      <c r="I5" s="465">
        <f>COUNTIFS($C3:$C3996,"P2")</f>
        <v>13</v>
      </c>
    </row>
    <row r="6" spans="1:9" ht="15.75" thickBot="1" x14ac:dyDescent="0.3">
      <c r="A6" s="498" t="s">
        <v>356</v>
      </c>
      <c r="B6" s="498" t="s">
        <v>357</v>
      </c>
      <c r="C6" s="499" t="s">
        <v>259</v>
      </c>
      <c r="D6" s="467" t="s">
        <v>34</v>
      </c>
      <c r="E6" s="469" t="s">
        <v>44</v>
      </c>
      <c r="G6" s="593"/>
      <c r="H6" s="292" t="s">
        <v>528</v>
      </c>
      <c r="I6" s="466">
        <f>COUNTIFS($C3:$C3996,"P3")</f>
        <v>17</v>
      </c>
    </row>
    <row r="7" spans="1:9" x14ac:dyDescent="0.25">
      <c r="A7" s="498" t="s">
        <v>529</v>
      </c>
      <c r="B7" s="498" t="s">
        <v>530</v>
      </c>
      <c r="C7" s="499" t="s">
        <v>280</v>
      </c>
      <c r="D7" s="467" t="s">
        <v>34</v>
      </c>
      <c r="E7" s="469" t="s">
        <v>33</v>
      </c>
      <c r="G7" s="594" t="s">
        <v>202</v>
      </c>
      <c r="H7" s="290" t="s">
        <v>531</v>
      </c>
      <c r="I7" s="464">
        <f>COUNTIFS($D3:$D3996,"Diagnostics")</f>
        <v>44</v>
      </c>
    </row>
    <row r="8" spans="1:9" x14ac:dyDescent="0.25">
      <c r="A8" s="498" t="s">
        <v>532</v>
      </c>
      <c r="B8" s="498" t="s">
        <v>533</v>
      </c>
      <c r="C8" s="499" t="s">
        <v>259</v>
      </c>
      <c r="D8" s="467" t="s">
        <v>34</v>
      </c>
      <c r="E8" s="469" t="s">
        <v>33</v>
      </c>
      <c r="G8" s="595"/>
      <c r="H8" s="291" t="s">
        <v>534</v>
      </c>
      <c r="I8" s="465">
        <f>COUNTIFS($D3:$D3996,"Driver")</f>
        <v>1</v>
      </c>
    </row>
    <row r="9" spans="1:9" x14ac:dyDescent="0.25">
      <c r="A9" s="498" t="s">
        <v>535</v>
      </c>
      <c r="B9" s="498" t="s">
        <v>536</v>
      </c>
      <c r="C9" s="499" t="s">
        <v>280</v>
      </c>
      <c r="D9" s="467" t="s">
        <v>34</v>
      </c>
      <c r="E9" s="469" t="s">
        <v>33</v>
      </c>
      <c r="G9" s="595"/>
      <c r="H9" s="291" t="s">
        <v>537</v>
      </c>
      <c r="I9" s="465">
        <f>COUNTIFS($D3:$D3996,"IPSE")</f>
        <v>5</v>
      </c>
    </row>
    <row r="10" spans="1:9" ht="15.75" thickBot="1" x14ac:dyDescent="0.3">
      <c r="A10" s="498" t="s">
        <v>331</v>
      </c>
      <c r="B10" s="498" t="s">
        <v>332</v>
      </c>
      <c r="C10" s="499" t="s">
        <v>284</v>
      </c>
      <c r="D10" s="467" t="s">
        <v>34</v>
      </c>
      <c r="E10" s="469" t="s">
        <v>33</v>
      </c>
      <c r="G10" s="596"/>
      <c r="H10" s="292" t="s">
        <v>538</v>
      </c>
      <c r="I10" s="466">
        <f>COUNTIFS($D3:$D3996,"N/A")</f>
        <v>0</v>
      </c>
    </row>
    <row r="11" spans="1:9" x14ac:dyDescent="0.25">
      <c r="A11" s="498" t="s">
        <v>311</v>
      </c>
      <c r="B11" s="498" t="s">
        <v>312</v>
      </c>
      <c r="C11" s="499" t="s">
        <v>280</v>
      </c>
      <c r="D11" s="467" t="s">
        <v>34</v>
      </c>
      <c r="E11" s="469" t="s">
        <v>33</v>
      </c>
      <c r="G11" s="594" t="s">
        <v>1</v>
      </c>
      <c r="H11" s="290" t="s">
        <v>539</v>
      </c>
      <c r="I11" s="464">
        <f>COUNTIFS($E3:$E3996,"Legacy")</f>
        <v>19</v>
      </c>
    </row>
    <row r="12" spans="1:9" ht="15.75" thickBot="1" x14ac:dyDescent="0.3">
      <c r="A12" s="498" t="s">
        <v>339</v>
      </c>
      <c r="B12" s="498" t="s">
        <v>340</v>
      </c>
      <c r="C12" s="499" t="s">
        <v>284</v>
      </c>
      <c r="D12" s="467" t="s">
        <v>34</v>
      </c>
      <c r="E12" s="469" t="s">
        <v>33</v>
      </c>
      <c r="G12" s="596"/>
      <c r="H12" s="292" t="s">
        <v>540</v>
      </c>
      <c r="I12" s="466">
        <f>COUNTIFS($E3:$E3996,"New")</f>
        <v>9</v>
      </c>
    </row>
    <row r="13" spans="1:9" ht="15.75" thickBot="1" x14ac:dyDescent="0.3">
      <c r="A13" s="498" t="s">
        <v>343</v>
      </c>
      <c r="B13" s="498" t="s">
        <v>344</v>
      </c>
      <c r="C13" s="499" t="s">
        <v>284</v>
      </c>
      <c r="D13" s="467" t="s">
        <v>34</v>
      </c>
      <c r="E13" s="469" t="s">
        <v>33</v>
      </c>
      <c r="G13" s="382" t="s">
        <v>207</v>
      </c>
      <c r="H13" s="597"/>
      <c r="I13" s="598"/>
    </row>
    <row r="14" spans="1:9" x14ac:dyDescent="0.25">
      <c r="A14" s="498" t="s">
        <v>541</v>
      </c>
      <c r="B14" s="498" t="s">
        <v>542</v>
      </c>
      <c r="C14" s="499" t="s">
        <v>259</v>
      </c>
      <c r="D14" s="467" t="s">
        <v>34</v>
      </c>
      <c r="E14" s="469" t="s">
        <v>33</v>
      </c>
    </row>
    <row r="15" spans="1:9" x14ac:dyDescent="0.25">
      <c r="A15" s="498" t="s">
        <v>327</v>
      </c>
      <c r="B15" s="498" t="s">
        <v>328</v>
      </c>
      <c r="C15" s="499" t="s">
        <v>284</v>
      </c>
      <c r="D15" s="467" t="s">
        <v>34</v>
      </c>
      <c r="E15" s="469" t="s">
        <v>33</v>
      </c>
    </row>
    <row r="16" spans="1:9" x14ac:dyDescent="0.25">
      <c r="A16" s="498" t="s">
        <v>323</v>
      </c>
      <c r="B16" s="498" t="s">
        <v>324</v>
      </c>
      <c r="C16" s="499" t="s">
        <v>280</v>
      </c>
      <c r="D16" s="467" t="s">
        <v>34</v>
      </c>
      <c r="E16" s="469" t="s">
        <v>33</v>
      </c>
    </row>
    <row r="17" spans="1:5" x14ac:dyDescent="0.25">
      <c r="A17" s="498" t="s">
        <v>317</v>
      </c>
      <c r="B17" s="498" t="s">
        <v>318</v>
      </c>
      <c r="C17" s="499" t="s">
        <v>284</v>
      </c>
      <c r="D17" s="467" t="s">
        <v>34</v>
      </c>
      <c r="E17" s="469" t="s">
        <v>33</v>
      </c>
    </row>
    <row r="18" spans="1:5" x14ac:dyDescent="0.25">
      <c r="A18" s="498" t="s">
        <v>335</v>
      </c>
      <c r="B18" s="498" t="s">
        <v>336</v>
      </c>
      <c r="C18" s="499" t="s">
        <v>284</v>
      </c>
      <c r="D18" s="467" t="s">
        <v>34</v>
      </c>
      <c r="E18" s="469" t="s">
        <v>33</v>
      </c>
    </row>
    <row r="19" spans="1:5" x14ac:dyDescent="0.25">
      <c r="A19" s="498" t="s">
        <v>347</v>
      </c>
      <c r="B19" s="498" t="s">
        <v>348</v>
      </c>
      <c r="C19" s="499" t="s">
        <v>284</v>
      </c>
      <c r="D19" s="467" t="s">
        <v>34</v>
      </c>
      <c r="E19" s="469" t="s">
        <v>33</v>
      </c>
    </row>
    <row r="20" spans="1:5" x14ac:dyDescent="0.25">
      <c r="A20" s="498" t="s">
        <v>383</v>
      </c>
      <c r="B20" s="498" t="s">
        <v>384</v>
      </c>
      <c r="C20" s="499" t="s">
        <v>259</v>
      </c>
      <c r="D20" s="467" t="s">
        <v>34</v>
      </c>
      <c r="E20" s="469" t="s">
        <v>39</v>
      </c>
    </row>
    <row r="21" spans="1:5" x14ac:dyDescent="0.25">
      <c r="A21" s="498" t="s">
        <v>387</v>
      </c>
      <c r="B21" s="498" t="s">
        <v>388</v>
      </c>
      <c r="C21" s="499" t="s">
        <v>259</v>
      </c>
      <c r="D21" s="467" t="s">
        <v>34</v>
      </c>
      <c r="E21" s="469" t="s">
        <v>39</v>
      </c>
    </row>
    <row r="22" spans="1:5" x14ac:dyDescent="0.25">
      <c r="A22" s="498" t="s">
        <v>391</v>
      </c>
      <c r="B22" s="498" t="s">
        <v>392</v>
      </c>
      <c r="C22" s="499" t="s">
        <v>259</v>
      </c>
      <c r="D22" s="467" t="s">
        <v>34</v>
      </c>
      <c r="E22" s="469" t="s">
        <v>39</v>
      </c>
    </row>
    <row r="23" spans="1:5" x14ac:dyDescent="0.25">
      <c r="A23" s="498" t="s">
        <v>395</v>
      </c>
      <c r="B23" s="498" t="s">
        <v>396</v>
      </c>
      <c r="C23" s="499" t="s">
        <v>259</v>
      </c>
      <c r="D23" s="467" t="s">
        <v>34</v>
      </c>
      <c r="E23" s="469" t="s">
        <v>39</v>
      </c>
    </row>
    <row r="24" spans="1:5" x14ac:dyDescent="0.25">
      <c r="A24" s="498" t="s">
        <v>399</v>
      </c>
      <c r="B24" s="498" t="s">
        <v>400</v>
      </c>
      <c r="C24" s="499" t="s">
        <v>259</v>
      </c>
      <c r="D24" s="467" t="s">
        <v>34</v>
      </c>
      <c r="E24" s="469" t="s">
        <v>39</v>
      </c>
    </row>
    <row r="25" spans="1:5" x14ac:dyDescent="0.25">
      <c r="A25" s="498" t="s">
        <v>379</v>
      </c>
      <c r="B25" s="498" t="s">
        <v>380</v>
      </c>
      <c r="C25" s="499" t="s">
        <v>259</v>
      </c>
      <c r="D25" s="467" t="s">
        <v>34</v>
      </c>
      <c r="E25" s="469" t="s">
        <v>39</v>
      </c>
    </row>
    <row r="26" spans="1:5" x14ac:dyDescent="0.25">
      <c r="A26" s="498" t="s">
        <v>543</v>
      </c>
      <c r="B26" s="498" t="s">
        <v>544</v>
      </c>
      <c r="C26" s="499" t="s">
        <v>284</v>
      </c>
      <c r="D26" s="467" t="s">
        <v>40</v>
      </c>
      <c r="E26" s="469" t="s">
        <v>39</v>
      </c>
    </row>
    <row r="27" spans="1:5" x14ac:dyDescent="0.25">
      <c r="A27" s="498" t="s">
        <v>371</v>
      </c>
      <c r="B27" s="498" t="s">
        <v>372</v>
      </c>
      <c r="C27" s="499" t="s">
        <v>259</v>
      </c>
      <c r="D27" s="467" t="s">
        <v>34</v>
      </c>
      <c r="E27" s="469" t="s">
        <v>39</v>
      </c>
    </row>
    <row r="28" spans="1:5" x14ac:dyDescent="0.25">
      <c r="A28" s="498" t="s">
        <v>367</v>
      </c>
      <c r="B28" s="498" t="s">
        <v>368</v>
      </c>
      <c r="C28" s="499" t="s">
        <v>259</v>
      </c>
      <c r="D28" s="467" t="s">
        <v>34</v>
      </c>
      <c r="E28" s="469" t="s">
        <v>39</v>
      </c>
    </row>
    <row r="29" spans="1:5" x14ac:dyDescent="0.25">
      <c r="A29" s="498" t="s">
        <v>360</v>
      </c>
      <c r="B29" s="498" t="s">
        <v>361</v>
      </c>
      <c r="C29" s="499" t="s">
        <v>259</v>
      </c>
      <c r="D29" s="467" t="s">
        <v>34</v>
      </c>
      <c r="E29" s="469" t="s">
        <v>39</v>
      </c>
    </row>
    <row r="30" spans="1:5" x14ac:dyDescent="0.25">
      <c r="A30" s="498" t="s">
        <v>375</v>
      </c>
      <c r="B30" s="498" t="s">
        <v>376</v>
      </c>
      <c r="C30" s="499" t="s">
        <v>284</v>
      </c>
      <c r="D30" s="467" t="s">
        <v>34</v>
      </c>
      <c r="E30" s="469" t="s">
        <v>39</v>
      </c>
    </row>
    <row r="31" spans="1:5" x14ac:dyDescent="0.25">
      <c r="A31" s="498" t="s">
        <v>426</v>
      </c>
      <c r="B31" s="498" t="s">
        <v>427</v>
      </c>
      <c r="C31" s="499" t="s">
        <v>284</v>
      </c>
      <c r="D31" s="467" t="s">
        <v>34</v>
      </c>
      <c r="E31" s="469" t="s">
        <v>39</v>
      </c>
    </row>
    <row r="32" spans="1:5" x14ac:dyDescent="0.25">
      <c r="A32" s="498" t="s">
        <v>545</v>
      </c>
      <c r="B32" s="498" t="s">
        <v>546</v>
      </c>
      <c r="C32" s="499" t="s">
        <v>284</v>
      </c>
      <c r="D32" s="467" t="s">
        <v>45</v>
      </c>
      <c r="E32" s="469" t="s">
        <v>33</v>
      </c>
    </row>
    <row r="33" spans="1:5" x14ac:dyDescent="0.25">
      <c r="A33" s="498" t="s">
        <v>547</v>
      </c>
      <c r="B33" s="498" t="s">
        <v>548</v>
      </c>
      <c r="C33" s="499" t="s">
        <v>284</v>
      </c>
      <c r="D33" s="467" t="s">
        <v>45</v>
      </c>
      <c r="E33" s="469" t="s">
        <v>33</v>
      </c>
    </row>
    <row r="34" spans="1:5" x14ac:dyDescent="0.25">
      <c r="A34" s="498" t="s">
        <v>549</v>
      </c>
      <c r="B34" s="498" t="s">
        <v>550</v>
      </c>
      <c r="C34" s="499" t="s">
        <v>284</v>
      </c>
      <c r="D34" s="467" t="s">
        <v>45</v>
      </c>
      <c r="E34" s="469" t="s">
        <v>33</v>
      </c>
    </row>
    <row r="35" spans="1:5" x14ac:dyDescent="0.25">
      <c r="A35" s="498" t="s">
        <v>551</v>
      </c>
      <c r="B35" s="498" t="s">
        <v>552</v>
      </c>
      <c r="C35" s="499" t="s">
        <v>284</v>
      </c>
      <c r="D35" s="467" t="s">
        <v>45</v>
      </c>
      <c r="E35" s="469" t="s">
        <v>33</v>
      </c>
    </row>
    <row r="36" spans="1:5" x14ac:dyDescent="0.25">
      <c r="A36" s="498" t="s">
        <v>403</v>
      </c>
      <c r="B36" s="498" t="s">
        <v>404</v>
      </c>
      <c r="C36" s="499" t="s">
        <v>280</v>
      </c>
      <c r="D36" s="467" t="s">
        <v>34</v>
      </c>
      <c r="E36" s="469" t="s">
        <v>39</v>
      </c>
    </row>
    <row r="37" spans="1:5" x14ac:dyDescent="0.25">
      <c r="A37" s="498" t="s">
        <v>351</v>
      </c>
      <c r="B37" s="332" t="s">
        <v>352</v>
      </c>
      <c r="C37" s="467" t="s">
        <v>259</v>
      </c>
      <c r="D37" s="467" t="s">
        <v>34</v>
      </c>
      <c r="E37" s="469" t="s">
        <v>44</v>
      </c>
    </row>
    <row r="38" spans="1:5" x14ac:dyDescent="0.25">
      <c r="A38" s="498" t="s">
        <v>429</v>
      </c>
      <c r="B38" s="332" t="s">
        <v>430</v>
      </c>
      <c r="C38" s="467" t="s">
        <v>259</v>
      </c>
      <c r="D38" s="467" t="s">
        <v>34</v>
      </c>
      <c r="E38" s="469" t="s">
        <v>44</v>
      </c>
    </row>
    <row r="39" spans="1:5" x14ac:dyDescent="0.25">
      <c r="A39" s="498" t="s">
        <v>433</v>
      </c>
      <c r="B39" s="332" t="s">
        <v>434</v>
      </c>
      <c r="C39" s="467" t="s">
        <v>259</v>
      </c>
      <c r="D39" s="467" t="s">
        <v>34</v>
      </c>
      <c r="E39" s="469" t="s">
        <v>44</v>
      </c>
    </row>
    <row r="40" spans="1:5" x14ac:dyDescent="0.25">
      <c r="A40" s="498" t="s">
        <v>444</v>
      </c>
      <c r="B40" s="332" t="s">
        <v>445</v>
      </c>
      <c r="C40" s="467" t="s">
        <v>280</v>
      </c>
      <c r="D40" s="467" t="s">
        <v>34</v>
      </c>
      <c r="E40" s="469" t="s">
        <v>44</v>
      </c>
    </row>
    <row r="41" spans="1:5" x14ac:dyDescent="0.25">
      <c r="A41" s="498" t="s">
        <v>447</v>
      </c>
      <c r="B41" s="332" t="s">
        <v>448</v>
      </c>
      <c r="C41" s="467" t="s">
        <v>259</v>
      </c>
      <c r="D41" s="467" t="s">
        <v>34</v>
      </c>
      <c r="E41" s="469" t="s">
        <v>44</v>
      </c>
    </row>
    <row r="42" spans="1:5" x14ac:dyDescent="0.25">
      <c r="A42" s="498" t="s">
        <v>453</v>
      </c>
      <c r="B42" s="332" t="s">
        <v>454</v>
      </c>
      <c r="C42" s="467" t="s">
        <v>280</v>
      </c>
      <c r="D42" s="467" t="s">
        <v>34</v>
      </c>
      <c r="E42" s="469" t="s">
        <v>44</v>
      </c>
    </row>
    <row r="43" spans="1:5" x14ac:dyDescent="0.25">
      <c r="A43" s="498" t="s">
        <v>457</v>
      </c>
      <c r="B43" s="332" t="s">
        <v>458</v>
      </c>
      <c r="C43" s="467" t="s">
        <v>259</v>
      </c>
      <c r="D43" s="467" t="s">
        <v>34</v>
      </c>
      <c r="E43" s="469" t="s">
        <v>39</v>
      </c>
    </row>
    <row r="44" spans="1:5" x14ac:dyDescent="0.25">
      <c r="A44" s="498" t="s">
        <v>463</v>
      </c>
      <c r="B44" s="332" t="s">
        <v>464</v>
      </c>
      <c r="C44" s="467" t="s">
        <v>280</v>
      </c>
      <c r="D44" s="467" t="s">
        <v>34</v>
      </c>
      <c r="E44" s="469" t="s">
        <v>44</v>
      </c>
    </row>
    <row r="45" spans="1:5" x14ac:dyDescent="0.25">
      <c r="A45" s="498" t="s">
        <v>467</v>
      </c>
      <c r="B45" s="332" t="s">
        <v>468</v>
      </c>
      <c r="C45" s="467" t="s">
        <v>280</v>
      </c>
      <c r="D45" s="467" t="s">
        <v>34</v>
      </c>
      <c r="E45" s="469" t="s">
        <v>39</v>
      </c>
    </row>
    <row r="46" spans="1:5" x14ac:dyDescent="0.25">
      <c r="A46" s="498" t="s">
        <v>471</v>
      </c>
      <c r="B46" s="332" t="s">
        <v>472</v>
      </c>
      <c r="C46" s="467" t="s">
        <v>280</v>
      </c>
      <c r="D46" s="467" t="s">
        <v>34</v>
      </c>
      <c r="E46" s="469" t="s">
        <v>39</v>
      </c>
    </row>
    <row r="47" spans="1:5" x14ac:dyDescent="0.25">
      <c r="A47" s="498" t="s">
        <v>474</v>
      </c>
      <c r="B47" s="332" t="s">
        <v>475</v>
      </c>
      <c r="C47" s="467" t="s">
        <v>280</v>
      </c>
      <c r="D47" s="467" t="s">
        <v>34</v>
      </c>
      <c r="E47" s="469" t="s">
        <v>39</v>
      </c>
    </row>
    <row r="48" spans="1:5" x14ac:dyDescent="0.25">
      <c r="A48" s="498" t="s">
        <v>478</v>
      </c>
      <c r="B48" s="332" t="s">
        <v>479</v>
      </c>
      <c r="C48" s="467" t="s">
        <v>280</v>
      </c>
      <c r="D48" s="467" t="s">
        <v>34</v>
      </c>
      <c r="E48" s="469" t="s">
        <v>39</v>
      </c>
    </row>
    <row r="49" spans="1:5" x14ac:dyDescent="0.25">
      <c r="A49" s="498" t="s">
        <v>482</v>
      </c>
      <c r="B49" s="332" t="s">
        <v>483</v>
      </c>
      <c r="C49" s="467" t="s">
        <v>284</v>
      </c>
      <c r="D49" s="467" t="s">
        <v>34</v>
      </c>
      <c r="E49" s="469" t="s">
        <v>39</v>
      </c>
    </row>
    <row r="50" spans="1:5" x14ac:dyDescent="0.25">
      <c r="A50" s="498" t="s">
        <v>486</v>
      </c>
      <c r="B50" s="332" t="s">
        <v>487</v>
      </c>
      <c r="C50" s="467" t="s">
        <v>284</v>
      </c>
      <c r="D50" s="467" t="s">
        <v>34</v>
      </c>
      <c r="E50" s="469" t="s">
        <v>39</v>
      </c>
    </row>
    <row r="51" spans="1:5" x14ac:dyDescent="0.25">
      <c r="A51" s="498" t="s">
        <v>490</v>
      </c>
      <c r="B51" s="332" t="s">
        <v>491</v>
      </c>
      <c r="C51" s="467" t="s">
        <v>284</v>
      </c>
      <c r="D51" s="467" t="s">
        <v>34</v>
      </c>
      <c r="E51" s="469" t="s">
        <v>39</v>
      </c>
    </row>
    <row r="52" spans="1:5" x14ac:dyDescent="0.25">
      <c r="A52" s="498" t="s">
        <v>494</v>
      </c>
      <c r="B52" s="332" t="s">
        <v>495</v>
      </c>
      <c r="C52" s="467" t="s">
        <v>259</v>
      </c>
      <c r="D52" s="467" t="s">
        <v>34</v>
      </c>
      <c r="E52" s="469" t="s">
        <v>44</v>
      </c>
    </row>
    <row r="53" spans="1:5" x14ac:dyDescent="0.25">
      <c r="A53" s="498"/>
      <c r="B53" s="332"/>
      <c r="C53" s="467"/>
      <c r="D53" s="467"/>
      <c r="E53" s="469"/>
    </row>
    <row r="54" spans="1:5" x14ac:dyDescent="0.25">
      <c r="A54" s="498"/>
      <c r="B54" s="332"/>
      <c r="C54" s="467"/>
      <c r="D54" s="467"/>
      <c r="E54" s="469"/>
    </row>
    <row r="55" spans="1:5" x14ac:dyDescent="0.25">
      <c r="A55" s="498"/>
      <c r="B55" s="332"/>
      <c r="C55" s="467"/>
      <c r="D55" s="467"/>
      <c r="E55" s="469"/>
    </row>
    <row r="56" spans="1:5" x14ac:dyDescent="0.25">
      <c r="A56" s="498"/>
      <c r="B56" s="332"/>
      <c r="C56" s="467"/>
      <c r="D56" s="467"/>
      <c r="E56" s="469"/>
    </row>
    <row r="57" spans="1:5" x14ac:dyDescent="0.25">
      <c r="A57" s="498"/>
      <c r="B57" s="332"/>
      <c r="C57" s="467"/>
      <c r="D57" s="467"/>
      <c r="E57" s="469"/>
    </row>
    <row r="58" spans="1:5" x14ac:dyDescent="0.25">
      <c r="A58" s="498"/>
      <c r="B58" s="332"/>
      <c r="C58" s="467"/>
      <c r="D58" s="467"/>
      <c r="E58" s="469"/>
    </row>
    <row r="59" spans="1:5" x14ac:dyDescent="0.25">
      <c r="A59" s="331"/>
      <c r="B59" s="332"/>
      <c r="C59" s="467"/>
      <c r="D59" s="467"/>
      <c r="E59" s="469"/>
    </row>
    <row r="60" spans="1:5" x14ac:dyDescent="0.25">
      <c r="A60" s="331"/>
      <c r="B60" s="332"/>
      <c r="C60" s="467"/>
      <c r="D60" s="467"/>
      <c r="E60" s="469"/>
    </row>
    <row r="61" spans="1:5" x14ac:dyDescent="0.25">
      <c r="A61" s="331"/>
      <c r="B61" s="332"/>
      <c r="C61" s="467"/>
      <c r="D61" s="467"/>
      <c r="E61" s="469"/>
    </row>
    <row r="62" spans="1:5" x14ac:dyDescent="0.25">
      <c r="A62" s="331"/>
      <c r="B62" s="332"/>
      <c r="C62" s="467"/>
      <c r="D62" s="467"/>
      <c r="E62" s="469"/>
    </row>
    <row r="63" spans="1:5" x14ac:dyDescent="0.25">
      <c r="A63" s="331"/>
      <c r="B63" s="332"/>
      <c r="C63" s="467"/>
      <c r="D63" s="467"/>
      <c r="E63" s="469"/>
    </row>
    <row r="64" spans="1:5" x14ac:dyDescent="0.25">
      <c r="A64" s="331"/>
      <c r="B64" s="332"/>
      <c r="C64" s="467"/>
      <c r="D64" s="467"/>
      <c r="E64" s="469"/>
    </row>
    <row r="65" spans="1:5" x14ac:dyDescent="0.25">
      <c r="A65" s="331"/>
      <c r="B65" s="332"/>
      <c r="C65" s="467"/>
      <c r="D65" s="467"/>
      <c r="E65" s="469"/>
    </row>
    <row r="66" spans="1:5" x14ac:dyDescent="0.25">
      <c r="A66" s="331"/>
      <c r="B66" s="332"/>
      <c r="C66" s="467"/>
      <c r="D66" s="467"/>
      <c r="E66" s="469"/>
    </row>
    <row r="67" spans="1:5" x14ac:dyDescent="0.25">
      <c r="A67" s="331"/>
      <c r="B67" s="332"/>
      <c r="C67" s="467"/>
      <c r="D67" s="467"/>
      <c r="E67" s="469"/>
    </row>
    <row r="68" spans="1:5" x14ac:dyDescent="0.25">
      <c r="A68" s="331"/>
      <c r="B68" s="332"/>
      <c r="C68" s="467"/>
      <c r="D68" s="467"/>
      <c r="E68" s="469"/>
    </row>
    <row r="69" spans="1:5" x14ac:dyDescent="0.25">
      <c r="A69" s="331"/>
      <c r="B69" s="332"/>
      <c r="C69" s="467"/>
      <c r="D69" s="467"/>
      <c r="E69" s="469"/>
    </row>
    <row r="70" spans="1:5" x14ac:dyDescent="0.25">
      <c r="A70" s="331"/>
      <c r="B70" s="332"/>
      <c r="C70" s="467"/>
      <c r="D70" s="467"/>
      <c r="E70" s="469"/>
    </row>
    <row r="71" spans="1:5" x14ac:dyDescent="0.25">
      <c r="A71" s="331"/>
      <c r="B71" s="332"/>
      <c r="C71" s="467"/>
      <c r="D71" s="467"/>
      <c r="E71" s="469"/>
    </row>
    <row r="72" spans="1:5" x14ac:dyDescent="0.25">
      <c r="A72" s="331"/>
      <c r="B72" s="332"/>
      <c r="C72" s="467"/>
      <c r="D72" s="467"/>
      <c r="E72" s="469"/>
    </row>
    <row r="73" spans="1:5" x14ac:dyDescent="0.25">
      <c r="A73" s="331"/>
      <c r="B73" s="332"/>
      <c r="C73" s="467"/>
      <c r="D73" s="467"/>
      <c r="E73" s="469"/>
    </row>
    <row r="74" spans="1:5" x14ac:dyDescent="0.25">
      <c r="A74" s="331"/>
      <c r="B74" s="332"/>
      <c r="C74" s="467"/>
      <c r="D74" s="467"/>
      <c r="E74" s="469"/>
    </row>
    <row r="75" spans="1:5" x14ac:dyDescent="0.25">
      <c r="A75" s="331"/>
      <c r="B75" s="332"/>
      <c r="C75" s="467"/>
      <c r="D75" s="467"/>
      <c r="E75" s="469"/>
    </row>
    <row r="76" spans="1:5" x14ac:dyDescent="0.25">
      <c r="A76" s="331"/>
      <c r="B76" s="332"/>
      <c r="C76" s="467"/>
      <c r="D76" s="467"/>
      <c r="E76" s="469"/>
    </row>
    <row r="77" spans="1:5" x14ac:dyDescent="0.25">
      <c r="A77" s="331"/>
      <c r="B77" s="332"/>
      <c r="C77" s="467"/>
      <c r="D77" s="467"/>
      <c r="E77" s="469"/>
    </row>
    <row r="78" spans="1:5" x14ac:dyDescent="0.25">
      <c r="A78" s="331"/>
      <c r="B78" s="332"/>
      <c r="C78" s="467"/>
      <c r="D78" s="467"/>
      <c r="E78" s="469"/>
    </row>
    <row r="79" spans="1:5" x14ac:dyDescent="0.25">
      <c r="A79" s="331"/>
      <c r="B79" s="332"/>
      <c r="C79" s="467"/>
      <c r="D79" s="467"/>
      <c r="E79" s="469"/>
    </row>
    <row r="80" spans="1:5" x14ac:dyDescent="0.25">
      <c r="A80" s="331"/>
      <c r="B80" s="332"/>
      <c r="C80" s="467"/>
      <c r="D80" s="467"/>
      <c r="E80" s="469"/>
    </row>
    <row r="81" spans="1:5" x14ac:dyDescent="0.25">
      <c r="A81" s="331"/>
      <c r="B81" s="332"/>
      <c r="C81" s="467"/>
      <c r="D81" s="467"/>
      <c r="E81" s="469"/>
    </row>
    <row r="82" spans="1:5" x14ac:dyDescent="0.25">
      <c r="A82" s="331"/>
      <c r="B82" s="332"/>
      <c r="C82" s="467"/>
      <c r="D82" s="467"/>
      <c r="E82" s="469"/>
    </row>
    <row r="83" spans="1:5" x14ac:dyDescent="0.25">
      <c r="A83" s="331"/>
      <c r="B83" s="332"/>
      <c r="C83" s="467"/>
      <c r="D83" s="467"/>
      <c r="E83" s="469"/>
    </row>
    <row r="84" spans="1:5" x14ac:dyDescent="0.25">
      <c r="A84" s="331"/>
      <c r="B84" s="332"/>
      <c r="C84" s="467"/>
      <c r="D84" s="467"/>
      <c r="E84" s="469"/>
    </row>
    <row r="85" spans="1:5" x14ac:dyDescent="0.25">
      <c r="A85" s="331"/>
      <c r="B85" s="332"/>
      <c r="C85" s="467"/>
      <c r="D85" s="467"/>
      <c r="E85" s="469"/>
    </row>
    <row r="86" spans="1:5" x14ac:dyDescent="0.25">
      <c r="A86" s="331"/>
      <c r="B86" s="332"/>
      <c r="C86" s="467"/>
      <c r="D86" s="467"/>
      <c r="E86" s="469"/>
    </row>
    <row r="87" spans="1:5" x14ac:dyDescent="0.25">
      <c r="A87" s="331"/>
      <c r="B87" s="332"/>
      <c r="C87" s="467"/>
      <c r="D87" s="467"/>
      <c r="E87" s="469"/>
    </row>
    <row r="88" spans="1:5" x14ac:dyDescent="0.25">
      <c r="A88" s="331"/>
      <c r="B88" s="332"/>
      <c r="C88" s="467"/>
      <c r="D88" s="467"/>
      <c r="E88" s="469"/>
    </row>
    <row r="89" spans="1:5" x14ac:dyDescent="0.25">
      <c r="A89" s="331"/>
      <c r="B89" s="332"/>
      <c r="C89" s="467"/>
      <c r="D89" s="467"/>
      <c r="E89" s="469"/>
    </row>
    <row r="90" spans="1:5" x14ac:dyDescent="0.25">
      <c r="A90" s="331"/>
      <c r="B90" s="332"/>
      <c r="C90" s="467"/>
      <c r="D90" s="467"/>
      <c r="E90" s="469"/>
    </row>
    <row r="91" spans="1:5" x14ac:dyDescent="0.25">
      <c r="A91" s="331"/>
      <c r="B91" s="332"/>
      <c r="C91" s="467"/>
      <c r="D91" s="467"/>
      <c r="E91" s="469"/>
    </row>
    <row r="92" spans="1:5" x14ac:dyDescent="0.25">
      <c r="A92" s="331"/>
      <c r="B92" s="332"/>
      <c r="C92" s="467"/>
      <c r="D92" s="467"/>
      <c r="E92" s="469"/>
    </row>
    <row r="93" spans="1:5" x14ac:dyDescent="0.25">
      <c r="A93" s="331"/>
      <c r="B93" s="332"/>
      <c r="C93" s="467"/>
      <c r="D93" s="467"/>
      <c r="E93" s="469"/>
    </row>
    <row r="94" spans="1:5" x14ac:dyDescent="0.25">
      <c r="A94" s="331"/>
      <c r="B94" s="332"/>
      <c r="C94" s="467"/>
      <c r="D94" s="467"/>
      <c r="E94" s="469"/>
    </row>
    <row r="95" spans="1:5" x14ac:dyDescent="0.25">
      <c r="A95" s="331"/>
      <c r="B95" s="332"/>
      <c r="C95" s="467"/>
      <c r="D95" s="467"/>
      <c r="E95" s="469"/>
    </row>
    <row r="96" spans="1:5" x14ac:dyDescent="0.25">
      <c r="A96" s="331"/>
      <c r="B96" s="332"/>
      <c r="C96" s="467"/>
      <c r="D96" s="467"/>
      <c r="E96" s="469"/>
    </row>
    <row r="97" spans="1:5" ht="15.75" thickBot="1" x14ac:dyDescent="0.3">
      <c r="A97" s="333"/>
      <c r="B97" s="334"/>
      <c r="C97" s="468"/>
      <c r="D97" s="468"/>
      <c r="E97" s="470"/>
    </row>
  </sheetData>
  <autoFilter ref="A2:E97" xr:uid="{2E753270-8E41-4CC5-97C2-EE4540C41FD1}"/>
  <mergeCells count="5">
    <mergeCell ref="G4:G6"/>
    <mergeCell ref="G7:G10"/>
    <mergeCell ref="G11: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D3:D97</xm:sqref>
        </x14:dataValidation>
        <x14:dataValidation type="list" allowBlank="1" showInputMessage="1" showErrorMessage="1" xr:uid="{AA1AC074-A7B7-4C8D-9132-118B458773B2}">
          <x14:formula1>
            <xm:f>'List Options'!$G$1:$G$3</xm:f>
          </x14:formula1>
          <xm:sqref>E3:E97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63"/>
  <sheetViews>
    <sheetView zoomScaleNormal="100" workbookViewId="0">
      <pane xSplit="4" ySplit="6" topLeftCell="E9" activePane="bottomRight" state="frozen"/>
      <selection pane="topRight" activeCell="D1" sqref="D1"/>
      <selection pane="bottomLeft" activeCell="A3" sqref="A3"/>
      <selection pane="bottomRight" activeCell="M61" sqref="M61:M62"/>
    </sheetView>
  </sheetViews>
  <sheetFormatPr defaultColWidth="8.5703125" defaultRowHeight="15" x14ac:dyDescent="0.25"/>
  <cols>
    <col min="1" max="1" width="16.85546875" style="181" bestFit="1" customWidth="1"/>
    <col min="2" max="2" width="28.28515625" style="190" bestFit="1" customWidth="1"/>
    <col min="3" max="3" width="9.85546875" style="190" bestFit="1" customWidth="1"/>
    <col min="4" max="4" width="34" style="181"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1" bestFit="1" customWidth="1"/>
    <col min="22" max="22" width="45.7109375" style="181" customWidth="1"/>
    <col min="23" max="16384" width="8.5703125" style="181"/>
  </cols>
  <sheetData>
    <row r="1" spans="1:23" s="177" customFormat="1" ht="19.5" thickBot="1" x14ac:dyDescent="0.3">
      <c r="A1" s="556" t="s">
        <v>553</v>
      </c>
      <c r="B1" s="557"/>
      <c r="C1" s="557"/>
      <c r="D1" s="557"/>
      <c r="E1" s="557"/>
      <c r="F1" s="557"/>
      <c r="G1" s="557"/>
      <c r="H1" s="557"/>
      <c r="I1" s="557"/>
      <c r="J1" s="557"/>
      <c r="K1" s="557"/>
      <c r="L1" s="557"/>
      <c r="M1" s="557"/>
      <c r="N1" s="557"/>
      <c r="O1" s="557"/>
      <c r="P1" s="557"/>
      <c r="Q1" s="557"/>
      <c r="R1" s="557"/>
      <c r="S1" s="557"/>
      <c r="T1" s="557"/>
      <c r="U1" s="558"/>
      <c r="V1" s="494"/>
    </row>
    <row r="2" spans="1:23" s="187" customFormat="1" ht="18.75" x14ac:dyDescent="0.25">
      <c r="A2" s="604" t="s">
        <v>302</v>
      </c>
      <c r="B2" s="605"/>
      <c r="C2" s="605"/>
      <c r="D2" s="605"/>
      <c r="E2" s="605"/>
      <c r="F2" s="606"/>
      <c r="G2" s="377">
        <f>COUNTIF(G7:G58,"Yes")</f>
        <v>44</v>
      </c>
      <c r="H2" s="377">
        <f>COUNTIF(H7:H58,"Yes")</f>
        <v>44</v>
      </c>
      <c r="I2" s="602">
        <f>'Diags Raw Data'!K77</f>
        <v>2464</v>
      </c>
      <c r="J2" s="616">
        <f>'Diags Raw Data'!L77</f>
        <v>68</v>
      </c>
      <c r="K2" s="618">
        <f>'Diags Raw Data'!N77</f>
        <v>1</v>
      </c>
      <c r="L2" s="620">
        <f>'Diags Raw Data'!P77</f>
        <v>0.94951298701298703</v>
      </c>
      <c r="M2" s="622">
        <f>'Diags Raw Data'!R77</f>
        <v>60</v>
      </c>
      <c r="N2" s="624">
        <f>SUM('Diags Raw Data'!T77+'Diags Raw Data'!U77)</f>
        <v>54</v>
      </c>
      <c r="O2" s="610">
        <f>IF((M61=0),0,N61/M61)</f>
        <v>0.9</v>
      </c>
      <c r="P2" s="612">
        <f>'Diags Raw Data'!Z77</f>
        <v>0</v>
      </c>
      <c r="Q2" s="614">
        <f>SUM('Diags Raw Data'!AA77+'Diags Raw Data'!AB77)</f>
        <v>0</v>
      </c>
      <c r="R2" s="634">
        <f>IF((J61=0),0,P61/J61)</f>
        <v>0</v>
      </c>
      <c r="S2" s="634">
        <f>IF((P61=0),0,Q61/P61)</f>
        <v>0</v>
      </c>
      <c r="T2" s="634">
        <f>R61*S61</f>
        <v>0</v>
      </c>
      <c r="U2" s="636"/>
      <c r="V2" s="626" t="s">
        <v>554</v>
      </c>
      <c r="W2" s="186"/>
    </row>
    <row r="3" spans="1:23" ht="19.5" thickBot="1" x14ac:dyDescent="0.3">
      <c r="A3" s="607"/>
      <c r="B3" s="608"/>
      <c r="C3" s="608"/>
      <c r="D3" s="608"/>
      <c r="E3" s="608"/>
      <c r="F3" s="609"/>
      <c r="G3" s="378">
        <f>COUNTIF(G7:G58,"Yes")/COUNTA(A7:A58)</f>
        <v>0.88</v>
      </c>
      <c r="H3" s="378">
        <f>(COUNTIF(H7:H58,"Yes")/G61)</f>
        <v>1</v>
      </c>
      <c r="I3" s="603"/>
      <c r="J3" s="617"/>
      <c r="K3" s="619"/>
      <c r="L3" s="621"/>
      <c r="M3" s="623"/>
      <c r="N3" s="625"/>
      <c r="O3" s="611"/>
      <c r="P3" s="613"/>
      <c r="Q3" s="615"/>
      <c r="R3" s="635"/>
      <c r="S3" s="635"/>
      <c r="T3" s="635"/>
      <c r="U3" s="637"/>
      <c r="V3" s="627"/>
      <c r="W3" s="180"/>
    </row>
    <row r="4" spans="1:23" ht="19.5" thickBot="1" x14ac:dyDescent="0.3">
      <c r="A4" s="559" t="s">
        <v>555</v>
      </c>
      <c r="B4" s="560"/>
      <c r="C4" s="560"/>
      <c r="D4" s="560"/>
      <c r="E4" s="560"/>
      <c r="F4" s="560"/>
      <c r="G4" s="560"/>
      <c r="H4" s="560"/>
      <c r="I4" s="560"/>
      <c r="J4" s="560"/>
      <c r="K4" s="560"/>
      <c r="L4" s="560"/>
      <c r="M4" s="560"/>
      <c r="N4" s="560"/>
      <c r="O4" s="560"/>
      <c r="P4" s="560"/>
      <c r="Q4" s="560"/>
      <c r="R4" s="560"/>
      <c r="S4" s="560"/>
      <c r="T4" s="560"/>
      <c r="U4" s="561"/>
      <c r="V4" s="495"/>
    </row>
    <row r="5" spans="1:23" s="177" customFormat="1" ht="31.5" customHeight="1" thickBot="1" x14ac:dyDescent="0.3">
      <c r="A5" s="642" t="s">
        <v>76</v>
      </c>
      <c r="B5" s="643"/>
      <c r="C5" s="643"/>
      <c r="D5" s="643"/>
      <c r="E5" s="643"/>
      <c r="F5" s="643"/>
      <c r="G5" s="643"/>
      <c r="H5" s="643"/>
      <c r="I5" s="643"/>
      <c r="J5" s="644"/>
      <c r="K5" s="640" t="s">
        <v>113</v>
      </c>
      <c r="L5" s="641"/>
      <c r="M5" s="645" t="s">
        <v>124</v>
      </c>
      <c r="N5" s="646"/>
      <c r="O5" s="647"/>
      <c r="P5" s="648" t="s">
        <v>144</v>
      </c>
      <c r="Q5" s="649"/>
      <c r="R5" s="649"/>
      <c r="S5" s="649"/>
      <c r="T5" s="649"/>
      <c r="U5" s="650"/>
      <c r="V5" s="176"/>
    </row>
    <row r="6" spans="1:23" s="179" customFormat="1" ht="15.75" thickBot="1" x14ac:dyDescent="0.3">
      <c r="A6" s="345" t="s">
        <v>77</v>
      </c>
      <c r="B6" s="360" t="s">
        <v>81</v>
      </c>
      <c r="C6" s="360" t="s">
        <v>96</v>
      </c>
      <c r="D6" s="360" t="s">
        <v>212</v>
      </c>
      <c r="E6" s="360" t="s">
        <v>88</v>
      </c>
      <c r="F6" s="360" t="s">
        <v>1</v>
      </c>
      <c r="G6" s="361" t="s">
        <v>215</v>
      </c>
      <c r="H6" s="361" t="s">
        <v>218</v>
      </c>
      <c r="I6" s="362" t="s">
        <v>105</v>
      </c>
      <c r="J6" s="362" t="s">
        <v>221</v>
      </c>
      <c r="K6" s="346" t="s">
        <v>114</v>
      </c>
      <c r="L6" s="347" t="s">
        <v>121</v>
      </c>
      <c r="M6" s="338" t="s">
        <v>227</v>
      </c>
      <c r="N6" s="339" t="s">
        <v>229</v>
      </c>
      <c r="O6" s="337" t="s">
        <v>187</v>
      </c>
      <c r="P6" s="348" t="s">
        <v>232</v>
      </c>
      <c r="Q6" s="340" t="s">
        <v>229</v>
      </c>
      <c r="R6" s="341" t="s">
        <v>184</v>
      </c>
      <c r="S6" s="341" t="s">
        <v>140</v>
      </c>
      <c r="T6" s="342" t="s">
        <v>187</v>
      </c>
      <c r="U6" s="343" t="s">
        <v>157</v>
      </c>
      <c r="V6" s="178"/>
    </row>
    <row r="7" spans="1:23" ht="45" x14ac:dyDescent="0.25">
      <c r="A7" s="498" t="s">
        <v>521</v>
      </c>
      <c r="B7" s="406" t="str">
        <f>VLOOKUP(A7,'Feature Raw Data'!$A$3:$B$3996,2,FALSE)</f>
        <v>Only ASP can access HW keys including the device specific ones</v>
      </c>
      <c r="C7" s="407" t="str">
        <f>VLOOKUP(A7,'Feature Raw Data'!$A$3:$C$3996,3,FALSE)</f>
        <v>P1</v>
      </c>
      <c r="D7" s="408" t="str" cm="1">
        <f t="array" ref="D7">_xlfn.TEXTJOIN("",TRUE,IF(ISNUMBER(SEARCH($A7,'Diags Raw Data'!$A$6:$A$3687)),CONCATENATE('Diags Raw Data'!$H$6:$H$3687,", "),""))</f>
        <v/>
      </c>
      <c r="E7" s="409" t="e">
        <f>VLOOKUP(A7,'Diags Raw Data'!$A$6:$D$3687,4,FALSE)</f>
        <v>#N/A</v>
      </c>
      <c r="F7" s="409" t="str">
        <f>VLOOKUP(A7,'Feature Raw Data'!$A$3:$E$3996,5,FALSE)</f>
        <v>Legacy</v>
      </c>
      <c r="G7" s="409" t="str">
        <f t="shared" ref="G7:G38" si="0">IF(D7="","No","Yes")</f>
        <v>No</v>
      </c>
      <c r="H7" s="409" t="str">
        <f t="shared" ref="H7:H38" si="1">IF(D7="","No","Yes")</f>
        <v>No</v>
      </c>
      <c r="I7" s="407">
        <f>SUMIF('Diags Raw Data'!$A$6:$A$3687,"*"&amp;$A7&amp;"*",'Diags Raw Data'!$K$6:$K$3687)</f>
        <v>0</v>
      </c>
      <c r="J7" s="410">
        <f>SUMIF('Diags Raw Data'!$A$6:$A$3687,"*"&amp;$A7&amp;"*",'Diags Raw Data'!$L$6:$L$3687)</f>
        <v>0</v>
      </c>
      <c r="K7" s="436" cm="1">
        <f t="array" ref="K7">IF(D7="",0, SUMPRODUCT(--(ISNUMBER(SEARCH($A7,'Diags Raw Data'!$A$6:$A$3687))),'Diags Raw Data'!$L$6:$L$3687,'Diags Raw Data'!$N$6:$N$3687)/J7)</f>
        <v>0</v>
      </c>
      <c r="L7" s="437" cm="1">
        <f t="array" ref="L7">IF(D7="",0, SUMPRODUCT(--(ISNUMBER(SEARCH($A7,'Diags Raw Data'!$A$6:$A$3687))),'Diags Raw Data'!$L$6:$L$3687,'Diags Raw Data'!$P$6:$P$3687)/J7)</f>
        <v>0</v>
      </c>
      <c r="M7" s="438" cm="1">
        <f t="array" ref="M7">SUMPRODUCT(--(ISNUMBER(SEARCH($A7,'Diags Raw Data'!$A$6:$A$3687))),--('Diags Raw Data'!$Q$6:$Q$3687&lt;&gt;"N/A"),'Diags Raw Data'!$R$6:$R$3687)</f>
        <v>0</v>
      </c>
      <c r="N7" s="439" cm="1">
        <f t="array" ref="N7">SUMPRODUCT(--(ISNUMBER(SEARCH($A7,'Diags Raw Data'!$A$6:$A$3687))),--('Diags Raw Data'!$Q$6:$Q$3687&lt;&gt;"N/A"),'Diags Raw Data'!$T$6:$T$3687)+SUMPRODUCT(--(ISNUMBER(SEARCH($A7,'Diags Raw Data'!$A$6:$A$3687))),--('Diags Raw Data'!$Q$6:$Q$3687&lt;&gt;"N/A"),'Diags Raw Data'!$U$6:$U$3687)</f>
        <v>0</v>
      </c>
      <c r="O7" s="440">
        <f>IF((M7=0),0,N7/M7)</f>
        <v>0</v>
      </c>
      <c r="P7" s="441">
        <f>SUMIF('Diags Raw Data'!$A$6:$A$3687,"*"&amp;$A7&amp;"*",'Diags Raw Data'!$Z$6:$Z$3687)</f>
        <v>0</v>
      </c>
      <c r="Q7" s="442">
        <f>SUM(SUMIF('Diags Raw Data'!$A$6:$A$3687,"*"&amp;$A7&amp;"*",'Diags Raw Data'!$AA$6:$AA$3687),SUMIF('Diags Raw Data'!$A$6:$A$3687,"*"&amp;$A7&amp;"*",'Diags Raw Data'!$AB$6:$AB$3687))</f>
        <v>0</v>
      </c>
      <c r="R7" s="443">
        <f>IF((J7=0),0,P7/J7)</f>
        <v>0</v>
      </c>
      <c r="S7" s="443">
        <f>IF((P7=0),0,Q7/P7)</f>
        <v>0</v>
      </c>
      <c r="T7" s="444">
        <f>R7*S7</f>
        <v>0</v>
      </c>
      <c r="U7" s="411" t="s">
        <v>47</v>
      </c>
      <c r="V7" s="180"/>
    </row>
    <row r="8" spans="1:23" ht="75" x14ac:dyDescent="0.25">
      <c r="A8" s="498" t="s">
        <v>440</v>
      </c>
      <c r="B8" s="412" t="str">
        <f>VLOOKUP(A8,'Feature Raw Data'!$A$3:$B$3996,2,FALSE)</f>
        <v>Keys loaded into CCP are protected (read/write) from active and passive side channels and fault injection attacks</v>
      </c>
      <c r="C8" s="413" t="str">
        <f>VLOOKUP(A8,'Feature Raw Data'!$A$3:$C$3996,3,FALSE)</f>
        <v>P1</v>
      </c>
      <c r="D8" s="414" t="str" cm="1">
        <f t="array" ref="D8">_xlfn.TEXTJOIN("",TRUE,IF(ISNUMBER(SEARCH($A8,'Diags Raw Data'!$A$6:$A$3687)),CONCATENATE('Diags Raw Data'!$H$6:$H$3687,", "),""))</f>
        <v xml:space="preserve">sib.basic.ksb.rtl_key_protection, </v>
      </c>
      <c r="E8" s="335" t="str">
        <f>VLOOKUP(A8,'Diags Raw Data'!$A$6:$D$3687,4,FALSE)</f>
        <v>SIB</v>
      </c>
      <c r="F8" s="335" t="str">
        <f>VLOOKUP(A8,'Feature Raw Data'!$A$3:$E$3996,5,FALSE)</f>
        <v>Delta</v>
      </c>
      <c r="G8" s="335" t="str">
        <f t="shared" si="0"/>
        <v>Yes</v>
      </c>
      <c r="H8" s="335" t="str">
        <f t="shared" si="1"/>
        <v>Yes</v>
      </c>
      <c r="I8" s="413">
        <f>SUMIF('Diags Raw Data'!$A$6:$A$3687,"*"&amp;$A8&amp;"*",'Diags Raw Data'!$K$6:$K$3687)</f>
        <v>24</v>
      </c>
      <c r="J8" s="415">
        <f>SUMIF('Diags Raw Data'!$A$6:$A$3687,"*"&amp;$A8&amp;"*",'Diags Raw Data'!$L$6:$L$3687)</f>
        <v>1</v>
      </c>
      <c r="K8" s="445" cm="1">
        <f t="array" ref="K8">IF(D8="",0, SUMPRODUCT(--(ISNUMBER(SEARCH($A8,'Diags Raw Data'!$A$6:$A$3687))),'Diags Raw Data'!$L$6:$L$3687,'Diags Raw Data'!$N$6:$N$3687)/J8)</f>
        <v>1</v>
      </c>
      <c r="L8" s="446" cm="1">
        <f t="array" ref="L8">IF(D8="",0, SUMPRODUCT(--(ISNUMBER(SEARCH($A8,'Diags Raw Data'!$A$6:$A$3687))),'Diags Raw Data'!$L$6:$L$3687,'Diags Raw Data'!$P$6:$P$3687)/J8)</f>
        <v>1</v>
      </c>
      <c r="M8" s="447" cm="1">
        <f t="array" ref="M8">SUMPRODUCT(--(ISNUMBER(SEARCH($A8,'Diags Raw Data'!$A$6:$A$3687))),--('Diags Raw Data'!$Q$6:$Q$3687&lt;&gt;"N/A"),'Diags Raw Data'!$R$6:$R$3687)</f>
        <v>1</v>
      </c>
      <c r="N8" s="448" cm="1">
        <f t="array" ref="N8">SUMPRODUCT(--(ISNUMBER(SEARCH($A8,'Diags Raw Data'!$A$6:$A$3687))),--('Diags Raw Data'!$Q$6:$Q$3687&lt;&gt;"N/A"),'Diags Raw Data'!$T$6:$T$3687)+SUMPRODUCT(--(ISNUMBER(SEARCH($A8,'Diags Raw Data'!$A$6:$A$3687))),--('Diags Raw Data'!$Q$6:$Q$3687&lt;&gt;"N/A"),'Diags Raw Data'!$U$6:$U$3687)</f>
        <v>1</v>
      </c>
      <c r="O8" s="449">
        <f t="shared" ref="O8:O48" si="2">IF((M8=0),0,N8/M8)</f>
        <v>1</v>
      </c>
      <c r="P8" s="450">
        <f>SUMIF('Diags Raw Data'!$A$6:$A$3687,"*"&amp;$A8&amp;"*",'Diags Raw Data'!$Z$6:$Z$3687)</f>
        <v>0</v>
      </c>
      <c r="Q8" s="451">
        <f>SUM(SUMIF('Diags Raw Data'!$A$6:$A$3687,"*"&amp;$A8&amp;"*",'Diags Raw Data'!$AA$6:$AA$3687),SUMIF('Diags Raw Data'!$A$6:$A$3687,"*"&amp;$A8&amp;"*",'Diags Raw Data'!$AB$6:$AB$3687))</f>
        <v>0</v>
      </c>
      <c r="R8" s="452">
        <f t="shared" ref="R8:R48" si="3">IF((J8=0),0,P8/J8)</f>
        <v>0</v>
      </c>
      <c r="S8" s="452">
        <f t="shared" ref="S8:S48" si="4">IF((P8=0),0,Q8/P8)</f>
        <v>0</v>
      </c>
      <c r="T8" s="453">
        <f t="shared" ref="T8:T48" si="5">R8*S8</f>
        <v>0</v>
      </c>
      <c r="U8" s="416" t="s">
        <v>556</v>
      </c>
      <c r="V8" s="180"/>
    </row>
    <row r="9" spans="1:23" ht="45" x14ac:dyDescent="0.25">
      <c r="A9" s="498" t="s">
        <v>525</v>
      </c>
      <c r="B9" s="412" t="str">
        <f>VLOOKUP(A9,'Feature Raw Data'!$A$3:$B$3996,2,FALSE)</f>
        <v>ASP DRAM is encrypted and not accessible to any other processors</v>
      </c>
      <c r="C9" s="413" t="str">
        <f>VLOOKUP(A9,'Feature Raw Data'!$A$3:$C$3996,3,FALSE)</f>
        <v>P2</v>
      </c>
      <c r="D9" s="414" t="str" cm="1">
        <f t="array" ref="D9">_xlfn.TEXTJOIN("",TRUE,IF(ISNUMBER(SEARCH($A9,'Diags Raw Data'!$A$6:$A$3687)),CONCATENATE('Diags Raw Data'!$H$6:$H$3687,", "),""))</f>
        <v xml:space="preserve">psp1.4, </v>
      </c>
      <c r="E9" s="335" t="str">
        <f>VLOOKUP(A9,'Diags Raw Data'!$A$6:$D$3687,4,FALSE)</f>
        <v>MPASP</v>
      </c>
      <c r="F9" s="335" t="str">
        <f>VLOOKUP(A9,'Feature Raw Data'!$A$3:$E$3996,5,FALSE)</f>
        <v>Legacy</v>
      </c>
      <c r="G9" s="335" t="str">
        <f t="shared" si="0"/>
        <v>Yes</v>
      </c>
      <c r="H9" s="335" t="str">
        <f t="shared" si="1"/>
        <v>Yes</v>
      </c>
      <c r="I9" s="413">
        <f>SUMIF('Diags Raw Data'!$A$6:$A$3687,"*"&amp;$A9&amp;"*",'Diags Raw Data'!$K$6:$K$3687)</f>
        <v>24</v>
      </c>
      <c r="J9" s="415">
        <f>SUMIF('Diags Raw Data'!$A$6:$A$3687,"*"&amp;$A9&amp;"*",'Diags Raw Data'!$L$6:$L$3687)</f>
        <v>1</v>
      </c>
      <c r="K9" s="445" cm="1">
        <f t="array" ref="K9">IF(D9="",0, SUMPRODUCT(--(ISNUMBER(SEARCH($A9,'Diags Raw Data'!$A$6:$A$3687))),'Diags Raw Data'!$L$6:$L$3687,'Diags Raw Data'!$N$6:$N$3687)/J9)</f>
        <v>1</v>
      </c>
      <c r="L9" s="446" cm="1">
        <f t="array" ref="L9">IF(D9="",0, SUMPRODUCT(--(ISNUMBER(SEARCH($A9,'Diags Raw Data'!$A$6:$A$3687))),'Diags Raw Data'!$L$6:$L$3687,'Diags Raw Data'!$P$6:$P$3687)/J9)</f>
        <v>1</v>
      </c>
      <c r="M9" s="447" cm="1">
        <f t="array" ref="M9">SUMPRODUCT(--(ISNUMBER(SEARCH($A9,'Diags Raw Data'!$A$6:$A$3687))),--('Diags Raw Data'!$Q$6:$Q$3687&lt;&gt;"N/A"),'Diags Raw Data'!$R$6:$R$3687)</f>
        <v>0</v>
      </c>
      <c r="N9" s="448" cm="1">
        <f t="array" ref="N9">SUMPRODUCT(--(ISNUMBER(SEARCH($A9,'Diags Raw Data'!$A$6:$A$3687))),--('Diags Raw Data'!$Q$6:$Q$3687&lt;&gt;"N/A"),'Diags Raw Data'!$T$6:$T$3687)+SUMPRODUCT(--(ISNUMBER(SEARCH($A9,'Diags Raw Data'!$A$6:$A$3687))),--('Diags Raw Data'!$Q$6:$Q$3687&lt;&gt;"N/A"),'Diags Raw Data'!$U$6:$U$3687)</f>
        <v>0</v>
      </c>
      <c r="O9" s="449">
        <f t="shared" si="2"/>
        <v>0</v>
      </c>
      <c r="P9" s="450">
        <f>SUMIF('Diags Raw Data'!$A$6:$A$3687,"*"&amp;$A9&amp;"*",'Diags Raw Data'!$Z$6:$Z$3687)</f>
        <v>0</v>
      </c>
      <c r="Q9" s="451">
        <f>SUM(SUMIF('Diags Raw Data'!$A$6:$A$3687,"*"&amp;$A9&amp;"*",'Diags Raw Data'!$AA$6:$AA$3687),SUMIF('Diags Raw Data'!$A$6:$A$3687,"*"&amp;$A9&amp;"*",'Diags Raw Data'!$AB$6:$AB$3687))</f>
        <v>0</v>
      </c>
      <c r="R9" s="452">
        <f t="shared" si="3"/>
        <v>0</v>
      </c>
      <c r="S9" s="452">
        <f t="shared" si="4"/>
        <v>0</v>
      </c>
      <c r="T9" s="453">
        <f t="shared" si="5"/>
        <v>0</v>
      </c>
      <c r="U9" s="416" t="s">
        <v>557</v>
      </c>
      <c r="V9" s="180"/>
    </row>
    <row r="10" spans="1:23" ht="30" x14ac:dyDescent="0.25">
      <c r="A10" s="498" t="s">
        <v>356</v>
      </c>
      <c r="B10" s="412" t="str">
        <f>VLOOKUP(A10,'Feature Raw Data'!$A$3:$B$3996,2,FALSE)</f>
        <v>ASP: TRNG Seed is available in public CRU</v>
      </c>
      <c r="C10" s="413" t="str">
        <f>VLOOKUP(A10,'Feature Raw Data'!$A$3:$C$3996,3,FALSE)</f>
        <v>P1</v>
      </c>
      <c r="D10" s="414" t="str" cm="1">
        <f t="array" ref="D10">_xlfn.TEXTJOIN("",TRUE,IF(ISNUMBER(SEARCH($A10,'Diags Raw Data'!$A$6:$A$3687)),CONCATENATE('Diags Raw Data'!$H$6:$H$3687,", "),""))</f>
        <v xml:space="preserve">psp1.26, </v>
      </c>
      <c r="E10" s="335" t="str">
        <f>VLOOKUP(A10,'Diags Raw Data'!$A$6:$D$3687,4,FALSE)</f>
        <v>MPASP</v>
      </c>
      <c r="F10" s="335" t="str">
        <f>VLOOKUP(A10,'Feature Raw Data'!$A$3:$E$3996,5,FALSE)</f>
        <v>New</v>
      </c>
      <c r="G10" s="335" t="str">
        <f t="shared" si="0"/>
        <v>Yes</v>
      </c>
      <c r="H10" s="335" t="str">
        <f t="shared" si="1"/>
        <v>Yes</v>
      </c>
      <c r="I10" s="413">
        <f>SUMIF('Diags Raw Data'!$A$6:$A$3687,"*"&amp;$A10&amp;"*",'Diags Raw Data'!$K$6:$K$3687)</f>
        <v>24</v>
      </c>
      <c r="J10" s="415">
        <f>SUMIF('Diags Raw Data'!$A$6:$A$3687,"*"&amp;$A10&amp;"*",'Diags Raw Data'!$L$6:$L$3687)</f>
        <v>1</v>
      </c>
      <c r="K10" s="445" cm="1">
        <f t="array" ref="K10">IF(D10="",0, SUMPRODUCT(--(ISNUMBER(SEARCH($A10,'Diags Raw Data'!$A$6:$A$3687))),'Diags Raw Data'!$L$6:$L$3687,'Diags Raw Data'!$N$6:$N$3687)/J10)</f>
        <v>1</v>
      </c>
      <c r="L10" s="446" cm="1">
        <f t="array" ref="L10">IF(D10="",0, SUMPRODUCT(--(ISNUMBER(SEARCH($A10,'Diags Raw Data'!$A$6:$A$3687))),'Diags Raw Data'!$L$6:$L$3687,'Diags Raw Data'!$P$6:$P$3687)/J10)</f>
        <v>1</v>
      </c>
      <c r="M10" s="447" cm="1">
        <f t="array" ref="M10">SUMPRODUCT(--(ISNUMBER(SEARCH($A10,'Diags Raw Data'!$A$6:$A$3687))),--('Diags Raw Data'!$Q$6:$Q$3687&lt;&gt;"N/A"),'Diags Raw Data'!$R$6:$R$3687)</f>
        <v>1</v>
      </c>
      <c r="N10" s="448" cm="1">
        <f t="array" ref="N10">SUMPRODUCT(--(ISNUMBER(SEARCH($A10,'Diags Raw Data'!$A$6:$A$3687))),--('Diags Raw Data'!$Q$6:$Q$3687&lt;&gt;"N/A"),'Diags Raw Data'!$T$6:$T$3687)+SUMPRODUCT(--(ISNUMBER(SEARCH($A10,'Diags Raw Data'!$A$6:$A$3687))),--('Diags Raw Data'!$Q$6:$Q$3687&lt;&gt;"N/A"),'Diags Raw Data'!$U$6:$U$3687)</f>
        <v>1</v>
      </c>
      <c r="O10" s="449">
        <f t="shared" si="2"/>
        <v>1</v>
      </c>
      <c r="P10" s="450">
        <f>SUMIF('Diags Raw Data'!$A$6:$A$3687,"*"&amp;$A10&amp;"*",'Diags Raw Data'!$Z$6:$Z$3687)</f>
        <v>0</v>
      </c>
      <c r="Q10" s="451">
        <f>SUM(SUMIF('Diags Raw Data'!$A$6:$A$3687,"*"&amp;$A10&amp;"*",'Diags Raw Data'!$AA$6:$AA$3687),SUMIF('Diags Raw Data'!$A$6:$A$3687,"*"&amp;$A10&amp;"*",'Diags Raw Data'!$AB$6:$AB$3687))</f>
        <v>0</v>
      </c>
      <c r="R10" s="452">
        <f t="shared" si="3"/>
        <v>0</v>
      </c>
      <c r="S10" s="452">
        <f t="shared" si="4"/>
        <v>0</v>
      </c>
      <c r="T10" s="453">
        <f t="shared" si="5"/>
        <v>0</v>
      </c>
      <c r="U10" s="416" t="s">
        <v>558</v>
      </c>
      <c r="V10" s="180"/>
    </row>
    <row r="11" spans="1:23" ht="30" x14ac:dyDescent="0.25">
      <c r="A11" s="498" t="s">
        <v>529</v>
      </c>
      <c r="B11" s="412" t="str">
        <f>VLOOKUP(A11,'Feature Raw Data'!$A$3:$B$3996,2,FALSE)</f>
        <v>Security: ASP Private DRAM 8MB area</v>
      </c>
      <c r="C11" s="413" t="str">
        <f>VLOOKUP(A11,'Feature Raw Data'!$A$3:$C$3996,3,FALSE)</f>
        <v>P2</v>
      </c>
      <c r="D11" s="414" t="str" cm="1">
        <f t="array" ref="D11">_xlfn.TEXTJOIN("",TRUE,IF(ISNUMBER(SEARCH($A11,'Diags Raw Data'!$A$6:$A$3687)),CONCATENATE('Diags Raw Data'!$H$6:$H$3687,", "),""))</f>
        <v xml:space="preserve">psp1.4, </v>
      </c>
      <c r="E11" s="335" t="str">
        <f>VLOOKUP(A11,'Diags Raw Data'!$A$6:$D$3687,4,FALSE)</f>
        <v>MPASP</v>
      </c>
      <c r="F11" s="335" t="str">
        <f>VLOOKUP(A11,'Feature Raw Data'!$A$3:$E$3996,5,FALSE)</f>
        <v>Legacy</v>
      </c>
      <c r="G11" s="335" t="str">
        <f t="shared" si="0"/>
        <v>Yes</v>
      </c>
      <c r="H11" s="335" t="str">
        <f t="shared" si="1"/>
        <v>Yes</v>
      </c>
      <c r="I11" s="413">
        <f>SUMIF('Diags Raw Data'!$A$6:$A$3687,"*"&amp;$A11&amp;"*",'Diags Raw Data'!$K$6:$K$3687)</f>
        <v>24</v>
      </c>
      <c r="J11" s="415">
        <f>SUMIF('Diags Raw Data'!$A$6:$A$3687,"*"&amp;$A11&amp;"*",'Diags Raw Data'!$L$6:$L$3687)</f>
        <v>1</v>
      </c>
      <c r="K11" s="445" cm="1">
        <f t="array" ref="K11">IF(D11="",0, SUMPRODUCT(--(ISNUMBER(SEARCH($A11,'Diags Raw Data'!$A$6:$A$3687))),'Diags Raw Data'!$L$6:$L$3687,'Diags Raw Data'!$N$6:$N$3687)/J11)</f>
        <v>1</v>
      </c>
      <c r="L11" s="446" cm="1">
        <f t="array" ref="L11">IF(D11="",0, SUMPRODUCT(--(ISNUMBER(SEARCH($A11,'Diags Raw Data'!$A$6:$A$3687))),'Diags Raw Data'!$L$6:$L$3687,'Diags Raw Data'!$P$6:$P$3687)/J11)</f>
        <v>1</v>
      </c>
      <c r="M11" s="447" cm="1">
        <f t="array" ref="M11">SUMPRODUCT(--(ISNUMBER(SEARCH($A11,'Diags Raw Data'!$A$6:$A$3687))),--('Diags Raw Data'!$Q$6:$Q$3687&lt;&gt;"N/A"),'Diags Raw Data'!$R$6:$R$3687)</f>
        <v>0</v>
      </c>
      <c r="N11" s="448" cm="1">
        <f t="array" ref="N11">SUMPRODUCT(--(ISNUMBER(SEARCH($A11,'Diags Raw Data'!$A$6:$A$3687))),--('Diags Raw Data'!$Q$6:$Q$3687&lt;&gt;"N/A"),'Diags Raw Data'!$T$6:$T$3687)+SUMPRODUCT(--(ISNUMBER(SEARCH($A11,'Diags Raw Data'!$A$6:$A$3687))),--('Diags Raw Data'!$Q$6:$Q$3687&lt;&gt;"N/A"),'Diags Raw Data'!$U$6:$U$3687)</f>
        <v>0</v>
      </c>
      <c r="O11" s="449">
        <f t="shared" si="2"/>
        <v>0</v>
      </c>
      <c r="P11" s="450">
        <f>SUMIF('Diags Raw Data'!$A$6:$A$3687,"*"&amp;$A11&amp;"*",'Diags Raw Data'!$Z$6:$Z$3687)</f>
        <v>0</v>
      </c>
      <c r="Q11" s="451">
        <f>SUM(SUMIF('Diags Raw Data'!$A$6:$A$3687,"*"&amp;$A11&amp;"*",'Diags Raw Data'!$AA$6:$AA$3687),SUMIF('Diags Raw Data'!$A$6:$A$3687,"*"&amp;$A11&amp;"*",'Diags Raw Data'!$AB$6:$AB$3687))</f>
        <v>0</v>
      </c>
      <c r="R11" s="452">
        <f t="shared" si="3"/>
        <v>0</v>
      </c>
      <c r="S11" s="452">
        <f t="shared" si="4"/>
        <v>0</v>
      </c>
      <c r="T11" s="453">
        <f t="shared" si="5"/>
        <v>0</v>
      </c>
      <c r="U11" s="416" t="s">
        <v>556</v>
      </c>
      <c r="V11" s="180"/>
    </row>
    <row r="12" spans="1:23" x14ac:dyDescent="0.25">
      <c r="A12" s="498" t="s">
        <v>532</v>
      </c>
      <c r="B12" s="412" t="str">
        <f>VLOOKUP(A12,'Feature Raw Data'!$A$3:$B$3996,2,FALSE)</f>
        <v>ASP: HUBIF TLB mapping</v>
      </c>
      <c r="C12" s="413" t="str">
        <f>VLOOKUP(A12,'Feature Raw Data'!$A$3:$C$3996,3,FALSE)</f>
        <v>P1</v>
      </c>
      <c r="D12" s="414" t="str" cm="1">
        <f t="array" ref="D12">_xlfn.TEXTJOIN("",TRUE,IF(ISNUMBER(SEARCH($A12,'Diags Raw Data'!$A$6:$A$3687)),CONCATENATE('Diags Raw Data'!$H$6:$H$3687,", "),""))</f>
        <v xml:space="preserve">asp.basic.hubif, </v>
      </c>
      <c r="E12" s="335" t="str">
        <f>VLOOKUP(A12,'Diags Raw Data'!$A$6:$D$3687,4,FALSE)</f>
        <v>MPASP</v>
      </c>
      <c r="F12" s="335" t="str">
        <f>VLOOKUP(A12,'Feature Raw Data'!$A$3:$E$3996,5,FALSE)</f>
        <v>Legacy</v>
      </c>
      <c r="G12" s="335" t="str">
        <f t="shared" si="0"/>
        <v>Yes</v>
      </c>
      <c r="H12" s="335" t="str">
        <f t="shared" si="1"/>
        <v>Yes</v>
      </c>
      <c r="I12" s="413">
        <f>SUMIF('Diags Raw Data'!$A$6:$A$3687,"*"&amp;$A12&amp;"*",'Diags Raw Data'!$K$6:$K$3687)</f>
        <v>40</v>
      </c>
      <c r="J12" s="415">
        <f>SUMIF('Diags Raw Data'!$A$6:$A$3687,"*"&amp;$A12&amp;"*",'Diags Raw Data'!$L$6:$L$3687)</f>
        <v>1</v>
      </c>
      <c r="K12" s="445" cm="1">
        <f t="array" ref="K12">IF(D12="",0, SUMPRODUCT(--(ISNUMBER(SEARCH($A12,'Diags Raw Data'!$A$6:$A$3687))),'Diags Raw Data'!$L$6:$L$3687,'Diags Raw Data'!$N$6:$N$3687)/J12)</f>
        <v>1</v>
      </c>
      <c r="L12" s="446" cm="1">
        <f t="array" ref="L12">IF(D12="",0, SUMPRODUCT(--(ISNUMBER(SEARCH($A12,'Diags Raw Data'!$A$6:$A$3687))),'Diags Raw Data'!$L$6:$L$3687,'Diags Raw Data'!$P$6:$P$3687)/J12)</f>
        <v>1</v>
      </c>
      <c r="M12" s="447" cm="1">
        <f t="array" ref="M12">SUMPRODUCT(--(ISNUMBER(SEARCH($A12,'Diags Raw Data'!$A$6:$A$3687))),--('Diags Raw Data'!$Q$6:$Q$3687&lt;&gt;"N/A"),'Diags Raw Data'!$R$6:$R$3687)</f>
        <v>1</v>
      </c>
      <c r="N12" s="448" cm="1">
        <f t="array" ref="N12">SUMPRODUCT(--(ISNUMBER(SEARCH($A12,'Diags Raw Data'!$A$6:$A$3687))),--('Diags Raw Data'!$Q$6:$Q$3687&lt;&gt;"N/A"),'Diags Raw Data'!$T$6:$T$3687)+SUMPRODUCT(--(ISNUMBER(SEARCH($A12,'Diags Raw Data'!$A$6:$A$3687))),--('Diags Raw Data'!$Q$6:$Q$3687&lt;&gt;"N/A"),'Diags Raw Data'!$U$6:$U$3687)</f>
        <v>1</v>
      </c>
      <c r="O12" s="449">
        <f t="shared" si="2"/>
        <v>1</v>
      </c>
      <c r="P12" s="450">
        <f>SUMIF('Diags Raw Data'!$A$6:$A$3687,"*"&amp;$A12&amp;"*",'Diags Raw Data'!$Z$6:$Z$3687)</f>
        <v>0</v>
      </c>
      <c r="Q12" s="451">
        <f>SUM(SUMIF('Diags Raw Data'!$A$6:$A$3687,"*"&amp;$A12&amp;"*",'Diags Raw Data'!$AA$6:$AA$3687),SUMIF('Diags Raw Data'!$A$6:$A$3687,"*"&amp;$A12&amp;"*",'Diags Raw Data'!$AB$6:$AB$3687))</f>
        <v>0</v>
      </c>
      <c r="R12" s="452">
        <f t="shared" si="3"/>
        <v>0</v>
      </c>
      <c r="S12" s="452">
        <f t="shared" si="4"/>
        <v>0</v>
      </c>
      <c r="T12" s="453">
        <f t="shared" si="5"/>
        <v>0</v>
      </c>
      <c r="U12" s="416" t="s">
        <v>557</v>
      </c>
      <c r="V12" s="180"/>
    </row>
    <row r="13" spans="1:23" ht="30" x14ac:dyDescent="0.25">
      <c r="A13" s="498" t="s">
        <v>535</v>
      </c>
      <c r="B13" s="412" t="str">
        <f>VLOOKUP(A13,'Feature Raw Data'!$A$3:$B$3996,2,FALSE)</f>
        <v>ASP: HUBIF inline AES computation</v>
      </c>
      <c r="C13" s="413" t="str">
        <f>VLOOKUP(A13,'Feature Raw Data'!$A$3:$C$3996,3,FALSE)</f>
        <v>P2</v>
      </c>
      <c r="D13" s="414" t="str" cm="1">
        <f t="array" ref="D13">_xlfn.TEXTJOIN("",TRUE,IF(ISNUMBER(SEARCH($A13,'Diags Raw Data'!$A$6:$A$3687)),CONCATENATE('Diags Raw Data'!$H$6:$H$3687,", "),""))</f>
        <v xml:space="preserve">asp.basic.hubif, </v>
      </c>
      <c r="E13" s="335" t="str">
        <f>VLOOKUP(A13,'Diags Raw Data'!$A$6:$D$3687,4,FALSE)</f>
        <v>MPASP</v>
      </c>
      <c r="F13" s="335" t="str">
        <f>VLOOKUP(A13,'Feature Raw Data'!$A$3:$E$3996,5,FALSE)</f>
        <v>Legacy</v>
      </c>
      <c r="G13" s="335" t="str">
        <f t="shared" si="0"/>
        <v>Yes</v>
      </c>
      <c r="H13" s="335" t="str">
        <f t="shared" si="1"/>
        <v>Yes</v>
      </c>
      <c r="I13" s="413">
        <f>SUMIF('Diags Raw Data'!$A$6:$A$3687,"*"&amp;$A13&amp;"*",'Diags Raw Data'!$K$6:$K$3687)</f>
        <v>40</v>
      </c>
      <c r="J13" s="415">
        <f>SUMIF('Diags Raw Data'!$A$6:$A$3687,"*"&amp;$A13&amp;"*",'Diags Raw Data'!$L$6:$L$3687)</f>
        <v>1</v>
      </c>
      <c r="K13" s="445" cm="1">
        <f t="array" ref="K13">IF(D13="",0, SUMPRODUCT(--(ISNUMBER(SEARCH($A13,'Diags Raw Data'!$A$6:$A$3687))),'Diags Raw Data'!$L$6:$L$3687,'Diags Raw Data'!$N$6:$N$3687)/J13)</f>
        <v>1</v>
      </c>
      <c r="L13" s="446" cm="1">
        <f t="array" ref="L13">IF(D13="",0, SUMPRODUCT(--(ISNUMBER(SEARCH($A13,'Diags Raw Data'!$A$6:$A$3687))),'Diags Raw Data'!$L$6:$L$3687,'Diags Raw Data'!$P$6:$P$3687)/J13)</f>
        <v>1</v>
      </c>
      <c r="M13" s="447" cm="1">
        <f t="array" ref="M13">SUMPRODUCT(--(ISNUMBER(SEARCH($A13,'Diags Raw Data'!$A$6:$A$3687))),--('Diags Raw Data'!$Q$6:$Q$3687&lt;&gt;"N/A"),'Diags Raw Data'!$R$6:$R$3687)</f>
        <v>1</v>
      </c>
      <c r="N13" s="448" cm="1">
        <f t="array" ref="N13">SUMPRODUCT(--(ISNUMBER(SEARCH($A13,'Diags Raw Data'!$A$6:$A$3687))),--('Diags Raw Data'!$Q$6:$Q$3687&lt;&gt;"N/A"),'Diags Raw Data'!$T$6:$T$3687)+SUMPRODUCT(--(ISNUMBER(SEARCH($A13,'Diags Raw Data'!$A$6:$A$3687))),--('Diags Raw Data'!$Q$6:$Q$3687&lt;&gt;"N/A"),'Diags Raw Data'!$U$6:$U$3687)</f>
        <v>1</v>
      </c>
      <c r="O13" s="449">
        <f>IF((M13=0),0,N13/M13)</f>
        <v>1</v>
      </c>
      <c r="P13" s="450">
        <f>SUMIF('Diags Raw Data'!$A$6:$A$3687,"*"&amp;$A13&amp;"*",'Diags Raw Data'!$Z$6:$Z$3687)</f>
        <v>0</v>
      </c>
      <c r="Q13" s="451">
        <f>SUM(SUMIF('Diags Raw Data'!$A$6:$A$3687,"*"&amp;$A13&amp;"*",'Diags Raw Data'!$AA$6:$AA$3687),SUMIF('Diags Raw Data'!$A$6:$A$3687,"*"&amp;$A13&amp;"*",'Diags Raw Data'!$AB$6:$AB$3687))</f>
        <v>0</v>
      </c>
      <c r="R13" s="452">
        <f t="shared" si="3"/>
        <v>0</v>
      </c>
      <c r="S13" s="452">
        <f t="shared" si="4"/>
        <v>0</v>
      </c>
      <c r="T13" s="453">
        <f t="shared" si="5"/>
        <v>0</v>
      </c>
      <c r="U13" s="416" t="s">
        <v>558</v>
      </c>
      <c r="V13" s="180"/>
    </row>
    <row r="14" spans="1:23" ht="30" x14ac:dyDescent="0.25">
      <c r="A14" s="498" t="s">
        <v>331</v>
      </c>
      <c r="B14" s="412" t="str">
        <f>VLOOKUP(A14,'Feature Raw Data'!$A$3:$B$3996,2,FALSE)</f>
        <v>ASP: HUBIF access violation and interrupt</v>
      </c>
      <c r="C14" s="413" t="str">
        <f>VLOOKUP(A14,'Feature Raw Data'!$A$3:$C$3996,3,FALSE)</f>
        <v>P3</v>
      </c>
      <c r="D14" s="414" t="str" cm="1">
        <f t="array" ref="D14">_xlfn.TEXTJOIN("",TRUE,IF(ISNUMBER(SEARCH($A14,'Diags Raw Data'!$A$6:$A$3687)),CONCATENATE('Diags Raw Data'!$H$6:$H$3687,", "),""))</f>
        <v xml:space="preserve">psp1.15, </v>
      </c>
      <c r="E14" s="335" t="str">
        <f>VLOOKUP(A14,'Diags Raw Data'!$A$6:$D$3687,4,FALSE)</f>
        <v>MPASP</v>
      </c>
      <c r="F14" s="335" t="str">
        <f>VLOOKUP(A14,'Feature Raw Data'!$A$3:$E$3996,5,FALSE)</f>
        <v>Legacy</v>
      </c>
      <c r="G14" s="335" t="str">
        <f t="shared" si="0"/>
        <v>Yes</v>
      </c>
      <c r="H14" s="335" t="str">
        <f t="shared" si="1"/>
        <v>Yes</v>
      </c>
      <c r="I14" s="413">
        <f>SUMIF('Diags Raw Data'!$A$6:$A$3687,"*"&amp;$A14&amp;"*",'Diags Raw Data'!$K$6:$K$3687)</f>
        <v>32</v>
      </c>
      <c r="J14" s="415">
        <f>SUMIF('Diags Raw Data'!$A$6:$A$3687,"*"&amp;$A14&amp;"*",'Diags Raw Data'!$L$6:$L$3687)</f>
        <v>1</v>
      </c>
      <c r="K14" s="445" cm="1">
        <f t="array" ref="K14">IF(D14="",0, SUMPRODUCT(--(ISNUMBER(SEARCH($A14,'Diags Raw Data'!$A$6:$A$3687))),'Diags Raw Data'!$L$6:$L$3687,'Diags Raw Data'!$N$6:$N$3687)/J14)</f>
        <v>1</v>
      </c>
      <c r="L14" s="446" cm="1">
        <f t="array" ref="L14">IF(D14="",0, SUMPRODUCT(--(ISNUMBER(SEARCH($A14,'Diags Raw Data'!$A$6:$A$3687))),'Diags Raw Data'!$L$6:$L$3687,'Diags Raw Data'!$P$6:$P$3687)/J14)</f>
        <v>1</v>
      </c>
      <c r="M14" s="447" cm="1">
        <f t="array" ref="M14">SUMPRODUCT(--(ISNUMBER(SEARCH($A14,'Diags Raw Data'!$A$6:$A$3687))),--('Diags Raw Data'!$Q$6:$Q$3687&lt;&gt;"N/A"),'Diags Raw Data'!$R$6:$R$3687)</f>
        <v>0</v>
      </c>
      <c r="N14" s="448" cm="1">
        <f t="array" ref="N14">SUMPRODUCT(--(ISNUMBER(SEARCH($A14,'Diags Raw Data'!$A$6:$A$3687))),--('Diags Raw Data'!$Q$6:$Q$3687&lt;&gt;"N/A"),'Diags Raw Data'!$T$6:$T$3687)+SUMPRODUCT(--(ISNUMBER(SEARCH($A14,'Diags Raw Data'!$A$6:$A$3687))),--('Diags Raw Data'!$Q$6:$Q$3687&lt;&gt;"N/A"),'Diags Raw Data'!$U$6:$U$3687)</f>
        <v>0</v>
      </c>
      <c r="O14" s="449">
        <f t="shared" si="2"/>
        <v>0</v>
      </c>
      <c r="P14" s="450">
        <f>SUMIF('Diags Raw Data'!$A$6:$A$3687,"*"&amp;$A14&amp;"*",'Diags Raw Data'!$Z$6:$Z$3687)</f>
        <v>0</v>
      </c>
      <c r="Q14" s="451">
        <f>SUM(SUMIF('Diags Raw Data'!$A$6:$A$3687,"*"&amp;$A14&amp;"*",'Diags Raw Data'!$AA$6:$AA$3687),SUMIF('Diags Raw Data'!$A$6:$A$3687,"*"&amp;$A14&amp;"*",'Diags Raw Data'!$AB$6:$AB$3687))</f>
        <v>0</v>
      </c>
      <c r="R14" s="452">
        <f t="shared" si="3"/>
        <v>0</v>
      </c>
      <c r="S14" s="452">
        <f t="shared" si="4"/>
        <v>0</v>
      </c>
      <c r="T14" s="453">
        <f t="shared" si="5"/>
        <v>0</v>
      </c>
      <c r="U14" s="416" t="s">
        <v>286</v>
      </c>
      <c r="V14" s="180"/>
    </row>
    <row r="15" spans="1:23" ht="45" x14ac:dyDescent="0.25">
      <c r="A15" s="498" t="s">
        <v>311</v>
      </c>
      <c r="B15" s="412" t="str">
        <f>VLOOKUP(A15,'Feature Raw Data'!$A$3:$B$3996,2,FALSE)</f>
        <v>ASP: Security Fencing: MP0 public space, private space, SRAM, ROM</v>
      </c>
      <c r="C15" s="413" t="str">
        <f>VLOOKUP(A15,'Feature Raw Data'!$A$3:$C$3996,3,FALSE)</f>
        <v>P2</v>
      </c>
      <c r="D15" s="414" t="str" cm="1">
        <f t="array" ref="D15">_xlfn.TEXTJOIN("",TRUE,IF(ISNUMBER(SEARCH($A15,'Diags Raw Data'!$A$6:$A$3687)),CONCATENATE('Diags Raw Data'!$H$6:$H$3687,", "),""))</f>
        <v xml:space="preserve">asp.basic.register_access, asp.basic.sram_access, </v>
      </c>
      <c r="E15" s="335" t="str">
        <f>VLOOKUP(A15,'Diags Raw Data'!$A$6:$D$3687,4,FALSE)</f>
        <v>MPASP</v>
      </c>
      <c r="F15" s="335" t="str">
        <f>VLOOKUP(A15,'Feature Raw Data'!$A$3:$E$3996,5,FALSE)</f>
        <v>Legacy</v>
      </c>
      <c r="G15" s="335" t="str">
        <f t="shared" si="0"/>
        <v>Yes</v>
      </c>
      <c r="H15" s="335" t="str">
        <f t="shared" si="1"/>
        <v>Yes</v>
      </c>
      <c r="I15" s="413">
        <f>SUMIF('Diags Raw Data'!$A$6:$A$3687,"*"&amp;$A15&amp;"*",'Diags Raw Data'!$K$6:$K$3687)</f>
        <v>48</v>
      </c>
      <c r="J15" s="415">
        <f>SUMIF('Diags Raw Data'!$A$6:$A$3687,"*"&amp;$A15&amp;"*",'Diags Raw Data'!$L$6:$L$3687)</f>
        <v>2</v>
      </c>
      <c r="K15" s="445" cm="1">
        <f t="array" ref="K15">IF(D15="",0, SUMPRODUCT(--(ISNUMBER(SEARCH($A15,'Diags Raw Data'!$A$6:$A$3687))),'Diags Raw Data'!$L$6:$L$3687,'Diags Raw Data'!$N$6:$N$3687)/J15)</f>
        <v>1</v>
      </c>
      <c r="L15" s="446" cm="1">
        <f t="array" ref="L15">IF(D15="",0, SUMPRODUCT(--(ISNUMBER(SEARCH($A15,'Diags Raw Data'!$A$6:$A$3687))),'Diags Raw Data'!$L$6:$L$3687,'Diags Raw Data'!$P$6:$P$3687)/J15)</f>
        <v>1</v>
      </c>
      <c r="M15" s="447" cm="1">
        <f t="array" ref="M15">SUMPRODUCT(--(ISNUMBER(SEARCH($A15,'Diags Raw Data'!$A$6:$A$3687))),--('Diags Raw Data'!$Q$6:$Q$3687&lt;&gt;"N/A"),'Diags Raw Data'!$R$6:$R$3687)</f>
        <v>2</v>
      </c>
      <c r="N15" s="448" cm="1">
        <f t="array" ref="N15">SUMPRODUCT(--(ISNUMBER(SEARCH($A15,'Diags Raw Data'!$A$6:$A$3687))),--('Diags Raw Data'!$Q$6:$Q$3687&lt;&gt;"N/A"),'Diags Raw Data'!$T$6:$T$3687)+SUMPRODUCT(--(ISNUMBER(SEARCH($A15,'Diags Raw Data'!$A$6:$A$3687))),--('Diags Raw Data'!$Q$6:$Q$3687&lt;&gt;"N/A"),'Diags Raw Data'!$U$6:$U$3687)</f>
        <v>2</v>
      </c>
      <c r="O15" s="449">
        <f t="shared" si="2"/>
        <v>1</v>
      </c>
      <c r="P15" s="450">
        <f>SUMIF('Diags Raw Data'!$A$6:$A$3687,"*"&amp;$A15&amp;"*",'Diags Raw Data'!$Z$6:$Z$3687)</f>
        <v>0</v>
      </c>
      <c r="Q15" s="451">
        <f>SUM(SUMIF('Diags Raw Data'!$A$6:$A$3687,"*"&amp;$A15&amp;"*",'Diags Raw Data'!$AA$6:$AA$3687),SUMIF('Diags Raw Data'!$A$6:$A$3687,"*"&amp;$A15&amp;"*",'Diags Raw Data'!$AB$6:$AB$3687))</f>
        <v>0</v>
      </c>
      <c r="R15" s="452">
        <f t="shared" si="3"/>
        <v>0</v>
      </c>
      <c r="S15" s="452">
        <f t="shared" si="4"/>
        <v>0</v>
      </c>
      <c r="T15" s="453">
        <f t="shared" si="5"/>
        <v>0</v>
      </c>
      <c r="U15" s="416" t="s">
        <v>557</v>
      </c>
      <c r="V15" s="180"/>
    </row>
    <row r="16" spans="1:23" ht="30" x14ac:dyDescent="0.25">
      <c r="A16" s="498" t="s">
        <v>339</v>
      </c>
      <c r="B16" s="412" t="str">
        <f>VLOOKUP(A16,'Feature Raw Data'!$A$3:$B$3996,2,FALSE)</f>
        <v>ASP: CRU: Access Violation Interrupt control</v>
      </c>
      <c r="C16" s="413" t="str">
        <f>VLOOKUP(A16,'Feature Raw Data'!$A$3:$C$3996,3,FALSE)</f>
        <v>P3</v>
      </c>
      <c r="D16" s="414" t="str" cm="1">
        <f t="array" ref="D16">_xlfn.TEXTJOIN("",TRUE,IF(ISNUMBER(SEARCH($A16,'Diags Raw Data'!$A$6:$A$3687)),CONCATENATE('Diags Raw Data'!$H$6:$H$3687,", "),""))</f>
        <v xml:space="preserve">psp1.97, </v>
      </c>
      <c r="E16" s="335" t="str">
        <f>VLOOKUP(A16,'Diags Raw Data'!$A$6:$D$3687,4,FALSE)</f>
        <v>MPASP</v>
      </c>
      <c r="F16" s="335" t="str">
        <f>VLOOKUP(A16,'Feature Raw Data'!$A$3:$E$3996,5,FALSE)</f>
        <v>Legacy</v>
      </c>
      <c r="G16" s="335" t="str">
        <f t="shared" si="0"/>
        <v>Yes</v>
      </c>
      <c r="H16" s="335" t="str">
        <f t="shared" si="1"/>
        <v>Yes</v>
      </c>
      <c r="I16" s="413">
        <f>SUMIF('Diags Raw Data'!$A$6:$A$3687,"*"&amp;$A16&amp;"*",'Diags Raw Data'!$K$6:$K$3687)</f>
        <v>32</v>
      </c>
      <c r="J16" s="415">
        <f>SUMIF('Diags Raw Data'!$A$6:$A$3687,"*"&amp;$A16&amp;"*",'Diags Raw Data'!$L$6:$L$3687)</f>
        <v>1</v>
      </c>
      <c r="K16" s="445" cm="1">
        <f t="array" ref="K16">IF(D16="",0, SUMPRODUCT(--(ISNUMBER(SEARCH($A16,'Diags Raw Data'!$A$6:$A$3687))),'Diags Raw Data'!$L$6:$L$3687,'Diags Raw Data'!$N$6:$N$3687)/J16)</f>
        <v>1</v>
      </c>
      <c r="L16" s="446" cm="1">
        <f t="array" ref="L16">IF(D16="",0, SUMPRODUCT(--(ISNUMBER(SEARCH($A16,'Diags Raw Data'!$A$6:$A$3687))),'Diags Raw Data'!$L$6:$L$3687,'Diags Raw Data'!$P$6:$P$3687)/J16)</f>
        <v>1</v>
      </c>
      <c r="M16" s="447" cm="1">
        <f t="array" ref="M16">SUMPRODUCT(--(ISNUMBER(SEARCH($A16,'Diags Raw Data'!$A$6:$A$3687))),--('Diags Raw Data'!$Q$6:$Q$3687&lt;&gt;"N/A"),'Diags Raw Data'!$R$6:$R$3687)</f>
        <v>0</v>
      </c>
      <c r="N16" s="448" cm="1">
        <f t="array" ref="N16">SUMPRODUCT(--(ISNUMBER(SEARCH($A16,'Diags Raw Data'!$A$6:$A$3687))),--('Diags Raw Data'!$Q$6:$Q$3687&lt;&gt;"N/A"),'Diags Raw Data'!$T$6:$T$3687)+SUMPRODUCT(--(ISNUMBER(SEARCH($A16,'Diags Raw Data'!$A$6:$A$3687))),--('Diags Raw Data'!$Q$6:$Q$3687&lt;&gt;"N/A"),'Diags Raw Data'!$U$6:$U$3687)</f>
        <v>0</v>
      </c>
      <c r="O16" s="449">
        <f t="shared" si="2"/>
        <v>0</v>
      </c>
      <c r="P16" s="450">
        <f>SUMIF('Diags Raw Data'!$A$6:$A$3687,"*"&amp;$A16&amp;"*",'Diags Raw Data'!$Z$6:$Z$3687)</f>
        <v>0</v>
      </c>
      <c r="Q16" s="451">
        <f>SUM(SUMIF('Diags Raw Data'!$A$6:$A$3687,"*"&amp;$A16&amp;"*",'Diags Raw Data'!$AA$6:$AA$3687),SUMIF('Diags Raw Data'!$A$6:$A$3687,"*"&amp;$A16&amp;"*",'Diags Raw Data'!$AB$6:$AB$3687))</f>
        <v>0</v>
      </c>
      <c r="R16" s="452">
        <f t="shared" si="3"/>
        <v>0</v>
      </c>
      <c r="S16" s="452">
        <f t="shared" si="4"/>
        <v>0</v>
      </c>
      <c r="T16" s="453">
        <f t="shared" si="5"/>
        <v>0</v>
      </c>
      <c r="U16" s="416" t="s">
        <v>286</v>
      </c>
      <c r="V16" s="180"/>
    </row>
    <row r="17" spans="1:22" s="183" customFormat="1" ht="30" x14ac:dyDescent="0.25">
      <c r="A17" s="498" t="s">
        <v>343</v>
      </c>
      <c r="B17" s="412" t="str">
        <f>VLOOKUP(A17,'Feature Raw Data'!$A$3:$B$3996,2,FALSE)</f>
        <v>ASP: CRU: Timer control registers and interrupt</v>
      </c>
      <c r="C17" s="413" t="str">
        <f>VLOOKUP(A17,'Feature Raw Data'!$A$3:$C$3996,3,FALSE)</f>
        <v>P3</v>
      </c>
      <c r="D17" s="414" t="str" cm="1">
        <f t="array" ref="D17">_xlfn.TEXTJOIN("",TRUE,IF(ISNUMBER(SEARCH($A17,'Diags Raw Data'!$A$6:$A$3687)),CONCATENATE('Diags Raw Data'!$H$6:$H$3687,", "),""))</f>
        <v xml:space="preserve">psp1.21, </v>
      </c>
      <c r="E17" s="335" t="str">
        <f>VLOOKUP(A17,'Diags Raw Data'!$A$6:$D$3687,4,FALSE)</f>
        <v>MPASP</v>
      </c>
      <c r="F17" s="335" t="str">
        <f>VLOOKUP(A17,'Feature Raw Data'!$A$3:$E$3996,5,FALSE)</f>
        <v>Legacy</v>
      </c>
      <c r="G17" s="335" t="str">
        <f t="shared" si="0"/>
        <v>Yes</v>
      </c>
      <c r="H17" s="335" t="str">
        <f t="shared" si="1"/>
        <v>Yes</v>
      </c>
      <c r="I17" s="413">
        <f>SUMIF('Diags Raw Data'!$A$6:$A$3687,"*"&amp;$A17&amp;"*",'Diags Raw Data'!$K$6:$K$3687)</f>
        <v>32</v>
      </c>
      <c r="J17" s="415">
        <f>SUMIF('Diags Raw Data'!$A$6:$A$3687,"*"&amp;$A17&amp;"*",'Diags Raw Data'!$L$6:$L$3687)</f>
        <v>1</v>
      </c>
      <c r="K17" s="445" cm="1">
        <f t="array" ref="K17">IF(D17="",0, SUMPRODUCT(--(ISNUMBER(SEARCH($A17,'Diags Raw Data'!$A$6:$A$3687))),'Diags Raw Data'!$L$6:$L$3687,'Diags Raw Data'!$N$6:$N$3687)/J17)</f>
        <v>1</v>
      </c>
      <c r="L17" s="446" cm="1">
        <f t="array" ref="L17">IF(D17="",0, SUMPRODUCT(--(ISNUMBER(SEARCH($A17,'Diags Raw Data'!$A$6:$A$3687))),'Diags Raw Data'!$L$6:$L$3687,'Diags Raw Data'!$P$6:$P$3687)/J17)</f>
        <v>1</v>
      </c>
      <c r="M17" s="447" cm="1">
        <f t="array" ref="M17">SUMPRODUCT(--(ISNUMBER(SEARCH($A17,'Diags Raw Data'!$A$6:$A$3687))),--('Diags Raw Data'!$Q$6:$Q$3687&lt;&gt;"N/A"),'Diags Raw Data'!$R$6:$R$3687)</f>
        <v>0</v>
      </c>
      <c r="N17" s="448" cm="1">
        <f t="array" ref="N17">SUMPRODUCT(--(ISNUMBER(SEARCH($A17,'Diags Raw Data'!$A$6:$A$3687))),--('Diags Raw Data'!$Q$6:$Q$3687&lt;&gt;"N/A"),'Diags Raw Data'!$T$6:$T$3687)+SUMPRODUCT(--(ISNUMBER(SEARCH($A17,'Diags Raw Data'!$A$6:$A$3687))),--('Diags Raw Data'!$Q$6:$Q$3687&lt;&gt;"N/A"),'Diags Raw Data'!$U$6:$U$3687)</f>
        <v>0</v>
      </c>
      <c r="O17" s="449">
        <f t="shared" si="2"/>
        <v>0</v>
      </c>
      <c r="P17" s="450">
        <f>SUMIF('Diags Raw Data'!$A$6:$A$3687,"*"&amp;$A17&amp;"*",'Diags Raw Data'!$Z$6:$Z$3687)</f>
        <v>0</v>
      </c>
      <c r="Q17" s="451">
        <f>SUM(SUMIF('Diags Raw Data'!$A$6:$A$3687,"*"&amp;$A17&amp;"*",'Diags Raw Data'!$AA$6:$AA$3687),SUMIF('Diags Raw Data'!$A$6:$A$3687,"*"&amp;$A17&amp;"*",'Diags Raw Data'!$AB$6:$AB$3687))</f>
        <v>0</v>
      </c>
      <c r="R17" s="452">
        <f t="shared" si="3"/>
        <v>0</v>
      </c>
      <c r="S17" s="452">
        <f t="shared" si="4"/>
        <v>0</v>
      </c>
      <c r="T17" s="453">
        <f t="shared" si="5"/>
        <v>0</v>
      </c>
      <c r="U17" s="416" t="s">
        <v>559</v>
      </c>
      <c r="V17" s="182"/>
    </row>
    <row r="18" spans="1:22" ht="30" x14ac:dyDescent="0.25">
      <c r="A18" s="498" t="s">
        <v>541</v>
      </c>
      <c r="B18" s="412" t="str">
        <f>VLOOKUP(A18,'Feature Raw Data'!$A$3:$B$3996,2,FALSE)</f>
        <v>ASP: CRU: C2PMSG and interrupts</v>
      </c>
      <c r="C18" s="413" t="str">
        <f>VLOOKUP(A18,'Feature Raw Data'!$A$3:$C$3996,3,FALSE)</f>
        <v>P1</v>
      </c>
      <c r="D18" s="414" t="str" cm="1">
        <f t="array" ref="D18">_xlfn.TEXTJOIN("",TRUE,IF(ISNUMBER(SEARCH($A18,'Diags Raw Data'!$A$6:$A$3687)),CONCATENATE('Diags Raw Data'!$H$6:$H$3687,", "),""))</f>
        <v xml:space="preserve">asp.basic.register_access, </v>
      </c>
      <c r="E18" s="335" t="str">
        <f>VLOOKUP(A18,'Diags Raw Data'!$A$6:$D$3687,4,FALSE)</f>
        <v>MPASP</v>
      </c>
      <c r="F18" s="335" t="str">
        <f>VLOOKUP(A18,'Feature Raw Data'!$A$3:$E$3996,5,FALSE)</f>
        <v>Legacy</v>
      </c>
      <c r="G18" s="335" t="str">
        <f t="shared" si="0"/>
        <v>Yes</v>
      </c>
      <c r="H18" s="335" t="str">
        <f t="shared" si="1"/>
        <v>Yes</v>
      </c>
      <c r="I18" s="413">
        <f>SUMIF('Diags Raw Data'!$A$6:$A$3687,"*"&amp;$A18&amp;"*",'Diags Raw Data'!$K$6:$K$3687)</f>
        <v>24</v>
      </c>
      <c r="J18" s="415">
        <f>SUMIF('Diags Raw Data'!$A$6:$A$3687,"*"&amp;$A18&amp;"*",'Diags Raw Data'!$L$6:$L$3687)</f>
        <v>1</v>
      </c>
      <c r="K18" s="445" cm="1">
        <f t="array" ref="K18">IF(D18="",0, SUMPRODUCT(--(ISNUMBER(SEARCH($A18,'Diags Raw Data'!$A$6:$A$3687))),'Diags Raw Data'!$L$6:$L$3687,'Diags Raw Data'!$N$6:$N$3687)/J18)</f>
        <v>1</v>
      </c>
      <c r="L18" s="446" cm="1">
        <f t="array" ref="L18">IF(D18="",0, SUMPRODUCT(--(ISNUMBER(SEARCH($A18,'Diags Raw Data'!$A$6:$A$3687))),'Diags Raw Data'!$L$6:$L$3687,'Diags Raw Data'!$P$6:$P$3687)/J18)</f>
        <v>1</v>
      </c>
      <c r="M18" s="447" cm="1">
        <f t="array" ref="M18">SUMPRODUCT(--(ISNUMBER(SEARCH($A18,'Diags Raw Data'!$A$6:$A$3687))),--('Diags Raw Data'!$Q$6:$Q$3687&lt;&gt;"N/A"),'Diags Raw Data'!$R$6:$R$3687)</f>
        <v>1</v>
      </c>
      <c r="N18" s="448" cm="1">
        <f t="array" ref="N18">SUMPRODUCT(--(ISNUMBER(SEARCH($A18,'Diags Raw Data'!$A$6:$A$3687))),--('Diags Raw Data'!$Q$6:$Q$3687&lt;&gt;"N/A"),'Diags Raw Data'!$T$6:$T$3687)+SUMPRODUCT(--(ISNUMBER(SEARCH($A18,'Diags Raw Data'!$A$6:$A$3687))),--('Diags Raw Data'!$Q$6:$Q$3687&lt;&gt;"N/A"),'Diags Raw Data'!$U$6:$U$3687)</f>
        <v>1</v>
      </c>
      <c r="O18" s="449">
        <f t="shared" si="2"/>
        <v>1</v>
      </c>
      <c r="P18" s="450">
        <f>SUMIF('Diags Raw Data'!$A$6:$A$3687,"*"&amp;$A18&amp;"*",'Diags Raw Data'!$Z$6:$Z$3687)</f>
        <v>0</v>
      </c>
      <c r="Q18" s="451">
        <f>SUM(SUMIF('Diags Raw Data'!$A$6:$A$3687,"*"&amp;$A18&amp;"*",'Diags Raw Data'!$AA$6:$AA$3687),SUMIF('Diags Raw Data'!$A$6:$A$3687,"*"&amp;$A18&amp;"*",'Diags Raw Data'!$AB$6:$AB$3687))</f>
        <v>0</v>
      </c>
      <c r="R18" s="452">
        <f t="shared" si="3"/>
        <v>0</v>
      </c>
      <c r="S18" s="452">
        <f t="shared" si="4"/>
        <v>0</v>
      </c>
      <c r="T18" s="453">
        <f t="shared" si="5"/>
        <v>0</v>
      </c>
      <c r="U18" s="416" t="s">
        <v>560</v>
      </c>
      <c r="V18" s="180"/>
    </row>
    <row r="19" spans="1:22" ht="30" x14ac:dyDescent="0.25">
      <c r="A19" s="498" t="s">
        <v>327</v>
      </c>
      <c r="B19" s="412" t="str">
        <f>VLOOKUP(A19,'Feature Raw Data'!$A$3:$B$3996,2,FALSE)</f>
        <v>ASP: CRU: A5 interrupt to x86 CPU</v>
      </c>
      <c r="C19" s="413" t="str">
        <f>VLOOKUP(A19,'Feature Raw Data'!$A$3:$C$3996,3,FALSE)</f>
        <v>P3</v>
      </c>
      <c r="D19" s="414" t="str" cm="1">
        <f t="array" ref="D19">_xlfn.TEXTJOIN("",TRUE,IF(ISNUMBER(SEARCH($A19,'Diags Raw Data'!$A$6:$A$3687)),CONCATENATE('Diags Raw Data'!$H$6:$H$3687,", "),""))</f>
        <v xml:space="preserve">psp1.13, </v>
      </c>
      <c r="E19" s="335" t="str">
        <f>VLOOKUP(A19,'Diags Raw Data'!$A$6:$D$3687,4,FALSE)</f>
        <v>MPASP</v>
      </c>
      <c r="F19" s="335" t="str">
        <f>VLOOKUP(A19,'Feature Raw Data'!$A$3:$E$3996,5,FALSE)</f>
        <v>Legacy</v>
      </c>
      <c r="G19" s="335" t="str">
        <f t="shared" si="0"/>
        <v>Yes</v>
      </c>
      <c r="H19" s="335" t="str">
        <f t="shared" si="1"/>
        <v>Yes</v>
      </c>
      <c r="I19" s="413">
        <f>SUMIF('Diags Raw Data'!$A$6:$A$3687,"*"&amp;$A19&amp;"*",'Diags Raw Data'!$K$6:$K$3687)</f>
        <v>40</v>
      </c>
      <c r="J19" s="415">
        <f>SUMIF('Diags Raw Data'!$A$6:$A$3687,"*"&amp;$A19&amp;"*",'Diags Raw Data'!$L$6:$L$3687)</f>
        <v>1</v>
      </c>
      <c r="K19" s="445" cm="1">
        <f t="array" ref="K19">IF(D19="",0, SUMPRODUCT(--(ISNUMBER(SEARCH($A19,'Diags Raw Data'!$A$6:$A$3687))),'Diags Raw Data'!$L$6:$L$3687,'Diags Raw Data'!$N$6:$N$3687)/J19)</f>
        <v>1</v>
      </c>
      <c r="L19" s="446" cm="1">
        <f t="array" ref="L19">IF(D19="",0, SUMPRODUCT(--(ISNUMBER(SEARCH($A19,'Diags Raw Data'!$A$6:$A$3687))),'Diags Raw Data'!$L$6:$L$3687,'Diags Raw Data'!$P$6:$P$3687)/J19)</f>
        <v>1</v>
      </c>
      <c r="M19" s="447" cm="1">
        <f t="array" ref="M19">SUMPRODUCT(--(ISNUMBER(SEARCH($A19,'Diags Raw Data'!$A$6:$A$3687))),--('Diags Raw Data'!$Q$6:$Q$3687&lt;&gt;"N/A"),'Diags Raw Data'!$R$6:$R$3687)</f>
        <v>0</v>
      </c>
      <c r="N19" s="448" cm="1">
        <f t="array" ref="N19">SUMPRODUCT(--(ISNUMBER(SEARCH($A19,'Diags Raw Data'!$A$6:$A$3687))),--('Diags Raw Data'!$Q$6:$Q$3687&lt;&gt;"N/A"),'Diags Raw Data'!$T$6:$T$3687)+SUMPRODUCT(--(ISNUMBER(SEARCH($A19,'Diags Raw Data'!$A$6:$A$3687))),--('Diags Raw Data'!$Q$6:$Q$3687&lt;&gt;"N/A"),'Diags Raw Data'!$U$6:$U$3687)</f>
        <v>0</v>
      </c>
      <c r="O19" s="449">
        <f t="shared" si="2"/>
        <v>0</v>
      </c>
      <c r="P19" s="450">
        <f>SUMIF('Diags Raw Data'!$A$6:$A$3687,"*"&amp;$A19&amp;"*",'Diags Raw Data'!$Z$6:$Z$3687)</f>
        <v>0</v>
      </c>
      <c r="Q19" s="451">
        <f>SUM(SUMIF('Diags Raw Data'!$A$6:$A$3687,"*"&amp;$A19&amp;"*",'Diags Raw Data'!$AA$6:$AA$3687),SUMIF('Diags Raw Data'!$A$6:$A$3687,"*"&amp;$A19&amp;"*",'Diags Raw Data'!$AB$6:$AB$3687))</f>
        <v>0</v>
      </c>
      <c r="R19" s="452">
        <f t="shared" si="3"/>
        <v>0</v>
      </c>
      <c r="S19" s="452">
        <f t="shared" si="4"/>
        <v>0</v>
      </c>
      <c r="T19" s="453">
        <f t="shared" si="5"/>
        <v>0</v>
      </c>
      <c r="U19" s="416" t="s">
        <v>561</v>
      </c>
      <c r="V19" s="180"/>
    </row>
    <row r="20" spans="1:22" ht="60" x14ac:dyDescent="0.25">
      <c r="A20" s="498" t="s">
        <v>323</v>
      </c>
      <c r="B20" s="412" t="str">
        <f>VLOOKUP(A20,'Feature Raw Data'!$A$3:$B$3996,2,FALSE)</f>
        <v>ASP: CRU: ASP SMU conmunication via P2SMSG/S2PMSG and interrupts</v>
      </c>
      <c r="C20" s="413" t="str">
        <f>VLOOKUP(A20,'Feature Raw Data'!$A$3:$C$3996,3,FALSE)</f>
        <v>P2</v>
      </c>
      <c r="D20" s="414" t="str" cm="1">
        <f t="array" ref="D20">_xlfn.TEXTJOIN("",TRUE,IF(ISNUMBER(SEARCH($A20,'Diags Raw Data'!$A$6:$A$3687)),CONCATENATE('Diags Raw Data'!$H$6:$H$3687,", "),""))</f>
        <v xml:space="preserve">psp1.7, </v>
      </c>
      <c r="E20" s="335" t="str">
        <f>VLOOKUP(A20,'Diags Raw Data'!$A$6:$D$3687,4,FALSE)</f>
        <v>MPASP</v>
      </c>
      <c r="F20" s="335" t="str">
        <f>VLOOKUP(A20,'Feature Raw Data'!$A$3:$E$3996,5,FALSE)</f>
        <v>Legacy</v>
      </c>
      <c r="G20" s="335" t="str">
        <f t="shared" si="0"/>
        <v>Yes</v>
      </c>
      <c r="H20" s="335" t="str">
        <f t="shared" si="1"/>
        <v>Yes</v>
      </c>
      <c r="I20" s="413">
        <f>SUMIF('Diags Raw Data'!$A$6:$A$3687,"*"&amp;$A20&amp;"*",'Diags Raw Data'!$K$6:$K$3687)</f>
        <v>24</v>
      </c>
      <c r="J20" s="415">
        <f>SUMIF('Diags Raw Data'!$A$6:$A$3687,"*"&amp;$A20&amp;"*",'Diags Raw Data'!$L$6:$L$3687)</f>
        <v>1</v>
      </c>
      <c r="K20" s="445" cm="1">
        <f t="array" ref="K20">IF(D20="",0, SUMPRODUCT(--(ISNUMBER(SEARCH($A20,'Diags Raw Data'!$A$6:$A$3687))),'Diags Raw Data'!$L$6:$L$3687,'Diags Raw Data'!$N$6:$N$3687)/J20)</f>
        <v>1</v>
      </c>
      <c r="L20" s="446" cm="1">
        <f t="array" ref="L20">IF(D20="",0, SUMPRODUCT(--(ISNUMBER(SEARCH($A20,'Diags Raw Data'!$A$6:$A$3687))),'Diags Raw Data'!$L$6:$L$3687,'Diags Raw Data'!$P$6:$P$3687)/J20)</f>
        <v>1</v>
      </c>
      <c r="M20" s="447" cm="1">
        <f t="array" ref="M20">SUMPRODUCT(--(ISNUMBER(SEARCH($A20,'Diags Raw Data'!$A$6:$A$3687))),--('Diags Raw Data'!$Q$6:$Q$3687&lt;&gt;"N/A"),'Diags Raw Data'!$R$6:$R$3687)</f>
        <v>1</v>
      </c>
      <c r="N20" s="448" cm="1">
        <f t="array" ref="N20">SUMPRODUCT(--(ISNUMBER(SEARCH($A20,'Diags Raw Data'!$A$6:$A$3687))),--('Diags Raw Data'!$Q$6:$Q$3687&lt;&gt;"N/A"),'Diags Raw Data'!$T$6:$T$3687)+SUMPRODUCT(--(ISNUMBER(SEARCH($A20,'Diags Raw Data'!$A$6:$A$3687))),--('Diags Raw Data'!$Q$6:$Q$3687&lt;&gt;"N/A"),'Diags Raw Data'!$U$6:$U$3687)</f>
        <v>1</v>
      </c>
      <c r="O20" s="449">
        <f t="shared" si="2"/>
        <v>1</v>
      </c>
      <c r="P20" s="450">
        <f>SUMIF('Diags Raw Data'!$A$6:$A$3687,"*"&amp;$A20&amp;"*",'Diags Raw Data'!$Z$6:$Z$3687)</f>
        <v>0</v>
      </c>
      <c r="Q20" s="451">
        <f>SUM(SUMIF('Diags Raw Data'!$A$6:$A$3687,"*"&amp;$A20&amp;"*",'Diags Raw Data'!$AA$6:$AA$3687),SUMIF('Diags Raw Data'!$A$6:$A$3687,"*"&amp;$A20&amp;"*",'Diags Raw Data'!$AB$6:$AB$3687))</f>
        <v>0</v>
      </c>
      <c r="R20" s="452">
        <f t="shared" si="3"/>
        <v>0</v>
      </c>
      <c r="S20" s="452">
        <f t="shared" si="4"/>
        <v>0</v>
      </c>
      <c r="T20" s="453">
        <f t="shared" si="5"/>
        <v>0</v>
      </c>
      <c r="U20" s="416" t="s">
        <v>562</v>
      </c>
      <c r="V20" s="180"/>
    </row>
    <row r="21" spans="1:22" x14ac:dyDescent="0.25">
      <c r="A21" s="498" t="s">
        <v>317</v>
      </c>
      <c r="B21" s="412" t="str">
        <f>VLOOKUP(A21,'Feature Raw Data'!$A$3:$B$3996,2,FALSE)</f>
        <v>ASP: SMNIF TLB Mapping</v>
      </c>
      <c r="C21" s="413" t="str">
        <f>VLOOKUP(A21,'Feature Raw Data'!$A$3:$C$3996,3,FALSE)</f>
        <v>P3</v>
      </c>
      <c r="D21" s="414" t="str" cm="1">
        <f t="array" ref="D21">_xlfn.TEXTJOIN("",TRUE,IF(ISNUMBER(SEARCH($A21,'Diags Raw Data'!$A$6:$A$3687)),CONCATENATE('Diags Raw Data'!$H$6:$H$3687,", "),""))</f>
        <v xml:space="preserve">psp1.4, </v>
      </c>
      <c r="E21" s="335" t="str">
        <f>VLOOKUP(A21,'Diags Raw Data'!$A$6:$D$3687,4,FALSE)</f>
        <v>MPASP</v>
      </c>
      <c r="F21" s="335" t="str">
        <f>VLOOKUP(A21,'Feature Raw Data'!$A$3:$E$3996,5,FALSE)</f>
        <v>Legacy</v>
      </c>
      <c r="G21" s="335" t="str">
        <f t="shared" si="0"/>
        <v>Yes</v>
      </c>
      <c r="H21" s="335" t="str">
        <f t="shared" si="1"/>
        <v>Yes</v>
      </c>
      <c r="I21" s="413">
        <f>SUMIF('Diags Raw Data'!$A$6:$A$3687,"*"&amp;$A21&amp;"*",'Diags Raw Data'!$K$6:$K$3687)</f>
        <v>32</v>
      </c>
      <c r="J21" s="415">
        <f>SUMIF('Diags Raw Data'!$A$6:$A$3687,"*"&amp;$A21&amp;"*",'Diags Raw Data'!$L$6:$L$3687)</f>
        <v>1</v>
      </c>
      <c r="K21" s="445" cm="1">
        <f t="array" ref="K21">IF(D21="",0, SUMPRODUCT(--(ISNUMBER(SEARCH($A21,'Diags Raw Data'!$A$6:$A$3687))),'Diags Raw Data'!$L$6:$L$3687,'Diags Raw Data'!$N$6:$N$3687)/J21)</f>
        <v>1</v>
      </c>
      <c r="L21" s="446" cm="1">
        <f t="array" ref="L21">IF(D21="",0, SUMPRODUCT(--(ISNUMBER(SEARCH($A21,'Diags Raw Data'!$A$6:$A$3687))),'Diags Raw Data'!$L$6:$L$3687,'Diags Raw Data'!$P$6:$P$3687)/J21)</f>
        <v>1</v>
      </c>
      <c r="M21" s="447" cm="1">
        <f t="array" ref="M21">SUMPRODUCT(--(ISNUMBER(SEARCH($A21,'Diags Raw Data'!$A$6:$A$3687))),--('Diags Raw Data'!$Q$6:$Q$3687&lt;&gt;"N/A"),'Diags Raw Data'!$R$6:$R$3687)</f>
        <v>1</v>
      </c>
      <c r="N21" s="448" cm="1">
        <f t="array" ref="N21">SUMPRODUCT(--(ISNUMBER(SEARCH($A21,'Diags Raw Data'!$A$6:$A$3687))),--('Diags Raw Data'!$Q$6:$Q$3687&lt;&gt;"N/A"),'Diags Raw Data'!$T$6:$T$3687)+SUMPRODUCT(--(ISNUMBER(SEARCH($A21,'Diags Raw Data'!$A$6:$A$3687))),--('Diags Raw Data'!$Q$6:$Q$3687&lt;&gt;"N/A"),'Diags Raw Data'!$U$6:$U$3687)</f>
        <v>1</v>
      </c>
      <c r="O21" s="449">
        <f t="shared" si="2"/>
        <v>1</v>
      </c>
      <c r="P21" s="450">
        <f>SUMIF('Diags Raw Data'!$A$6:$A$3687,"*"&amp;$A21&amp;"*",'Diags Raw Data'!$Z$6:$Z$3687)</f>
        <v>0</v>
      </c>
      <c r="Q21" s="451">
        <f>SUM(SUMIF('Diags Raw Data'!$A$6:$A$3687,"*"&amp;$A21&amp;"*",'Diags Raw Data'!$AA$6:$AA$3687),SUMIF('Diags Raw Data'!$A$6:$A$3687,"*"&amp;$A21&amp;"*",'Diags Raw Data'!$AB$6:$AB$3687))</f>
        <v>0</v>
      </c>
      <c r="R21" s="452">
        <f t="shared" si="3"/>
        <v>0</v>
      </c>
      <c r="S21" s="452">
        <f t="shared" si="4"/>
        <v>0</v>
      </c>
      <c r="T21" s="453">
        <f t="shared" si="5"/>
        <v>0</v>
      </c>
      <c r="U21" s="416" t="s">
        <v>559</v>
      </c>
      <c r="V21" s="180"/>
    </row>
    <row r="22" spans="1:22" ht="30" x14ac:dyDescent="0.25">
      <c r="A22" s="498" t="s">
        <v>335</v>
      </c>
      <c r="B22" s="412" t="str">
        <f>VLOOKUP(A22,'Feature Raw Data'!$A$3:$B$3996,2,FALSE)</f>
        <v>ASP: RSMU access violation and interrupt</v>
      </c>
      <c r="C22" s="413" t="str">
        <f>VLOOKUP(A22,'Feature Raw Data'!$A$3:$C$3996,3,FALSE)</f>
        <v>P3</v>
      </c>
      <c r="D22" s="414" t="str" cm="1">
        <f t="array" ref="D22">_xlfn.TEXTJOIN("",TRUE,IF(ISNUMBER(SEARCH($A22,'Diags Raw Data'!$A$6:$A$3687)),CONCATENATE('Diags Raw Data'!$H$6:$H$3687,", "),""))</f>
        <v xml:space="preserve">psp1.17, </v>
      </c>
      <c r="E22" s="335" t="str">
        <f>VLOOKUP(A22,'Diags Raw Data'!$A$6:$D$3687,4,FALSE)</f>
        <v>MPASP</v>
      </c>
      <c r="F22" s="335" t="str">
        <f>VLOOKUP(A22,'Feature Raw Data'!$A$3:$E$3996,5,FALSE)</f>
        <v>Legacy</v>
      </c>
      <c r="G22" s="335" t="str">
        <f t="shared" si="0"/>
        <v>Yes</v>
      </c>
      <c r="H22" s="335" t="str">
        <f t="shared" si="1"/>
        <v>Yes</v>
      </c>
      <c r="I22" s="413">
        <f>SUMIF('Diags Raw Data'!$A$6:$A$3687,"*"&amp;$A22&amp;"*",'Diags Raw Data'!$K$6:$K$3687)</f>
        <v>40</v>
      </c>
      <c r="J22" s="415">
        <f>SUMIF('Diags Raw Data'!$A$6:$A$3687,"*"&amp;$A22&amp;"*",'Diags Raw Data'!$L$6:$L$3687)</f>
        <v>1</v>
      </c>
      <c r="K22" s="445" cm="1">
        <f t="array" ref="K22">IF(D22="",0, SUMPRODUCT(--(ISNUMBER(SEARCH($A22,'Diags Raw Data'!$A$6:$A$3687))),'Diags Raw Data'!$L$6:$L$3687,'Diags Raw Data'!$N$6:$N$3687)/J22)</f>
        <v>1</v>
      </c>
      <c r="L22" s="446" cm="1">
        <f t="array" ref="L22">IF(D22="",0, SUMPRODUCT(--(ISNUMBER(SEARCH($A22,'Diags Raw Data'!$A$6:$A$3687))),'Diags Raw Data'!$L$6:$L$3687,'Diags Raw Data'!$P$6:$P$3687)/J22)</f>
        <v>1</v>
      </c>
      <c r="M22" s="447" cm="1">
        <f t="array" ref="M22">SUMPRODUCT(--(ISNUMBER(SEARCH($A22,'Diags Raw Data'!$A$6:$A$3687))),--('Diags Raw Data'!$Q$6:$Q$3687&lt;&gt;"N/A"),'Diags Raw Data'!$R$6:$R$3687)</f>
        <v>0</v>
      </c>
      <c r="N22" s="448" cm="1">
        <f t="array" ref="N22">SUMPRODUCT(--(ISNUMBER(SEARCH($A22,'Diags Raw Data'!$A$6:$A$3687))),--('Diags Raw Data'!$Q$6:$Q$3687&lt;&gt;"N/A"),'Diags Raw Data'!$T$6:$T$3687)+SUMPRODUCT(--(ISNUMBER(SEARCH($A22,'Diags Raw Data'!$A$6:$A$3687))),--('Diags Raw Data'!$Q$6:$Q$3687&lt;&gt;"N/A"),'Diags Raw Data'!$U$6:$U$3687)</f>
        <v>0</v>
      </c>
      <c r="O22" s="449">
        <f t="shared" si="2"/>
        <v>0</v>
      </c>
      <c r="P22" s="450">
        <f>SUMIF('Diags Raw Data'!$A$6:$A$3687,"*"&amp;$A22&amp;"*",'Diags Raw Data'!$Z$6:$Z$3687)</f>
        <v>0</v>
      </c>
      <c r="Q22" s="451">
        <f>SUM(SUMIF('Diags Raw Data'!$A$6:$A$3687,"*"&amp;$A22&amp;"*",'Diags Raw Data'!$AA$6:$AA$3687),SUMIF('Diags Raw Data'!$A$6:$A$3687,"*"&amp;$A22&amp;"*",'Diags Raw Data'!$AB$6:$AB$3687))</f>
        <v>0</v>
      </c>
      <c r="R22" s="452">
        <f t="shared" si="3"/>
        <v>0</v>
      </c>
      <c r="S22" s="452">
        <f t="shared" si="4"/>
        <v>0</v>
      </c>
      <c r="T22" s="453">
        <f t="shared" si="5"/>
        <v>0</v>
      </c>
      <c r="U22" s="416" t="s">
        <v>286</v>
      </c>
      <c r="V22" s="180"/>
    </row>
    <row r="23" spans="1:22" x14ac:dyDescent="0.25">
      <c r="A23" s="498" t="s">
        <v>347</v>
      </c>
      <c r="B23" s="412" t="str">
        <f>VLOOKUP(A23,'Feature Raw Data'!$A$3:$B$3996,2,FALSE)</f>
        <v>ASP: Mutex</v>
      </c>
      <c r="C23" s="413" t="str">
        <f>VLOOKUP(A23,'Feature Raw Data'!$A$3:$C$3996,3,FALSE)</f>
        <v>P3</v>
      </c>
      <c r="D23" s="414" t="str" cm="1">
        <f t="array" ref="D23">_xlfn.TEXTJOIN("",TRUE,IF(ISNUMBER(SEARCH($A23,'Diags Raw Data'!$A$6:$A$3687)),CONCATENATE('Diags Raw Data'!$H$6:$H$3687,", "),""))</f>
        <v xml:space="preserve">psp1.22, </v>
      </c>
      <c r="E23" s="335" t="str">
        <f>VLOOKUP(A23,'Diags Raw Data'!$A$6:$D$3687,4,FALSE)</f>
        <v>MPASP</v>
      </c>
      <c r="F23" s="335" t="str">
        <f>VLOOKUP(A23,'Feature Raw Data'!$A$3:$E$3996,5,FALSE)</f>
        <v>Legacy</v>
      </c>
      <c r="G23" s="335" t="str">
        <f t="shared" si="0"/>
        <v>Yes</v>
      </c>
      <c r="H23" s="335" t="str">
        <f t="shared" si="1"/>
        <v>Yes</v>
      </c>
      <c r="I23" s="413">
        <f>SUMIF('Diags Raw Data'!$A$6:$A$3687,"*"&amp;$A23&amp;"*",'Diags Raw Data'!$K$6:$K$3687)</f>
        <v>32</v>
      </c>
      <c r="J23" s="415">
        <f>SUMIF('Diags Raw Data'!$A$6:$A$3687,"*"&amp;$A23&amp;"*",'Diags Raw Data'!$L$6:$L$3687)</f>
        <v>1</v>
      </c>
      <c r="K23" s="445" cm="1">
        <f t="array" ref="K23">IF(D23="",0, SUMPRODUCT(--(ISNUMBER(SEARCH($A23,'Diags Raw Data'!$A$6:$A$3687))),'Diags Raw Data'!$L$6:$L$3687,'Diags Raw Data'!$N$6:$N$3687)/J23)</f>
        <v>1</v>
      </c>
      <c r="L23" s="446" cm="1">
        <f t="array" ref="L23">IF(D23="",0, SUMPRODUCT(--(ISNUMBER(SEARCH($A23,'Diags Raw Data'!$A$6:$A$3687))),'Diags Raw Data'!$L$6:$L$3687,'Diags Raw Data'!$P$6:$P$3687)/J23)</f>
        <v>1</v>
      </c>
      <c r="M23" s="447" cm="1">
        <f t="array" ref="M23">SUMPRODUCT(--(ISNUMBER(SEARCH($A23,'Diags Raw Data'!$A$6:$A$3687))),--('Diags Raw Data'!$Q$6:$Q$3687&lt;&gt;"N/A"),'Diags Raw Data'!$R$6:$R$3687)</f>
        <v>0</v>
      </c>
      <c r="N23" s="448" cm="1">
        <f t="array" ref="N23">SUMPRODUCT(--(ISNUMBER(SEARCH($A23,'Diags Raw Data'!$A$6:$A$3687))),--('Diags Raw Data'!$Q$6:$Q$3687&lt;&gt;"N/A"),'Diags Raw Data'!$T$6:$T$3687)+SUMPRODUCT(--(ISNUMBER(SEARCH($A23,'Diags Raw Data'!$A$6:$A$3687))),--('Diags Raw Data'!$Q$6:$Q$3687&lt;&gt;"N/A"),'Diags Raw Data'!$U$6:$U$3687)</f>
        <v>0</v>
      </c>
      <c r="O23" s="449">
        <f t="shared" si="2"/>
        <v>0</v>
      </c>
      <c r="P23" s="450">
        <f>SUMIF('Diags Raw Data'!$A$6:$A$3687,"*"&amp;$A23&amp;"*",'Diags Raw Data'!$Z$6:$Z$3687)</f>
        <v>0</v>
      </c>
      <c r="Q23" s="451">
        <f>SUM(SUMIF('Diags Raw Data'!$A$6:$A$3687,"*"&amp;$A23&amp;"*",'Diags Raw Data'!$AA$6:$AA$3687),SUMIF('Diags Raw Data'!$A$6:$A$3687,"*"&amp;$A23&amp;"*",'Diags Raw Data'!$AB$6:$AB$3687))</f>
        <v>0</v>
      </c>
      <c r="R23" s="452">
        <f t="shared" si="3"/>
        <v>0</v>
      </c>
      <c r="S23" s="452">
        <f t="shared" si="4"/>
        <v>0</v>
      </c>
      <c r="T23" s="453">
        <f t="shared" si="5"/>
        <v>0</v>
      </c>
      <c r="U23" s="416" t="s">
        <v>559</v>
      </c>
      <c r="V23" s="180"/>
    </row>
    <row r="24" spans="1:22" x14ac:dyDescent="0.25">
      <c r="A24" s="498" t="s">
        <v>383</v>
      </c>
      <c r="B24" s="412" t="str">
        <f>VLOOKUP(A24,'Feature Raw Data'!$A$3:$B$3996,2,FALSE)</f>
        <v>CCP: AES engine</v>
      </c>
      <c r="C24" s="413" t="str">
        <f>VLOOKUP(A24,'Feature Raw Data'!$A$3:$C$3996,3,FALSE)</f>
        <v>P1</v>
      </c>
      <c r="D24" s="414" t="str" cm="1">
        <f t="array" ref="D24">_xlfn.TEXTJOIN("",TRUE,IF(ISNUMBER(SEARCH($A24,'Diags Raw Data'!$A$6:$A$3687)),CONCATENATE('Diags Raw Data'!$H$6:$H$3687,", "),""))</f>
        <v xml:space="preserve">psp2.2, ccp.basic.aes, </v>
      </c>
      <c r="E24" s="335" t="str">
        <f>VLOOKUP(A24,'Diags Raw Data'!$A$6:$D$3687,4,FALSE)</f>
        <v>CCP</v>
      </c>
      <c r="F24" s="335" t="str">
        <f>VLOOKUP(A24,'Feature Raw Data'!$A$3:$E$3996,5,FALSE)</f>
        <v>Delta</v>
      </c>
      <c r="G24" s="335" t="str">
        <f t="shared" si="0"/>
        <v>Yes</v>
      </c>
      <c r="H24" s="335" t="str">
        <f t="shared" si="1"/>
        <v>Yes</v>
      </c>
      <c r="I24" s="413">
        <f>SUMIF('Diags Raw Data'!$A$6:$A$3687,"*"&amp;$A24&amp;"*",'Diags Raw Data'!$K$6:$K$3687)</f>
        <v>120</v>
      </c>
      <c r="J24" s="415">
        <f>SUMIF('Diags Raw Data'!$A$6:$A$3687,"*"&amp;$A24&amp;"*",'Diags Raw Data'!$L$6:$L$3687)</f>
        <v>2</v>
      </c>
      <c r="K24" s="445" cm="1">
        <f t="array" ref="K24">IF(D24="",0, SUMPRODUCT(--(ISNUMBER(SEARCH($A24,'Diags Raw Data'!$A$6:$A$3687))),'Diags Raw Data'!$L$6:$L$3687,'Diags Raw Data'!$N$6:$N$3687)/J24)</f>
        <v>1</v>
      </c>
      <c r="L24" s="446" cm="1">
        <f t="array" ref="L24">IF(D24="",0, SUMPRODUCT(--(ISNUMBER(SEARCH($A24,'Diags Raw Data'!$A$6:$A$3687))),'Diags Raw Data'!$L$6:$L$3687,'Diags Raw Data'!$P$6:$P$3687)/J24)</f>
        <v>1</v>
      </c>
      <c r="M24" s="447" cm="1">
        <f t="array" ref="M24">SUMPRODUCT(--(ISNUMBER(SEARCH($A24,'Diags Raw Data'!$A$6:$A$3687))),--('Diags Raw Data'!$Q$6:$Q$3687&lt;&gt;"N/A"),'Diags Raw Data'!$R$6:$R$3687)</f>
        <v>2</v>
      </c>
      <c r="N24" s="448" cm="1">
        <f t="array" ref="N24">SUMPRODUCT(--(ISNUMBER(SEARCH($A24,'Diags Raw Data'!$A$6:$A$3687))),--('Diags Raw Data'!$Q$6:$Q$3687&lt;&gt;"N/A"),'Diags Raw Data'!$T$6:$T$3687)+SUMPRODUCT(--(ISNUMBER(SEARCH($A24,'Diags Raw Data'!$A$6:$A$3687))),--('Diags Raw Data'!$Q$6:$Q$3687&lt;&gt;"N/A"),'Diags Raw Data'!$U$6:$U$3687)</f>
        <v>2</v>
      </c>
      <c r="O24" s="449">
        <f t="shared" si="2"/>
        <v>1</v>
      </c>
      <c r="P24" s="450">
        <f>SUMIF('Diags Raw Data'!$A$6:$A$3687,"*"&amp;$A24&amp;"*",'Diags Raw Data'!$Z$6:$Z$3687)</f>
        <v>0</v>
      </c>
      <c r="Q24" s="451">
        <f>SUM(SUMIF('Diags Raw Data'!$A$6:$A$3687,"*"&amp;$A24&amp;"*",'Diags Raw Data'!$AA$6:$AA$3687),SUMIF('Diags Raw Data'!$A$6:$A$3687,"*"&amp;$A24&amp;"*",'Diags Raw Data'!$AB$6:$AB$3687))</f>
        <v>0</v>
      </c>
      <c r="R24" s="452">
        <f t="shared" si="3"/>
        <v>0</v>
      </c>
      <c r="S24" s="452">
        <f t="shared" si="4"/>
        <v>0</v>
      </c>
      <c r="T24" s="453">
        <f t="shared" si="5"/>
        <v>0</v>
      </c>
      <c r="U24" s="416" t="s">
        <v>558</v>
      </c>
      <c r="V24" s="180"/>
    </row>
    <row r="25" spans="1:22" ht="30" x14ac:dyDescent="0.25">
      <c r="A25" s="498" t="s">
        <v>387</v>
      </c>
      <c r="B25" s="412" t="str">
        <f>VLOOKUP(A25,'Feature Raw Data'!$A$3:$B$3996,2,FALSE)</f>
        <v>CCP: SHA engine</v>
      </c>
      <c r="C25" s="413" t="str">
        <f>VLOOKUP(A25,'Feature Raw Data'!$A$3:$C$3996,3,FALSE)</f>
        <v>P1</v>
      </c>
      <c r="D25" s="414" t="str" cm="1">
        <f t="array" ref="D25">_xlfn.TEXTJOIN("",TRUE,IF(ISNUMBER(SEARCH($A25,'Diags Raw Data'!$A$6:$A$3687)),CONCATENATE('Diags Raw Data'!$H$6:$H$3687,", "),""))</f>
        <v xml:space="preserve">psp2.2, psp203.1, ccp.basic.sha, ccp.basic.sha, </v>
      </c>
      <c r="E25" s="335" t="str">
        <f>VLOOKUP(A25,'Diags Raw Data'!$A$6:$D$3687,4,FALSE)</f>
        <v>CCP</v>
      </c>
      <c r="F25" s="335" t="str">
        <f>VLOOKUP(A25,'Feature Raw Data'!$A$3:$E$3996,5,FALSE)</f>
        <v>Delta</v>
      </c>
      <c r="G25" s="335" t="str">
        <f t="shared" si="0"/>
        <v>Yes</v>
      </c>
      <c r="H25" s="335" t="str">
        <f t="shared" si="1"/>
        <v>Yes</v>
      </c>
      <c r="I25" s="413">
        <f>SUMIF('Diags Raw Data'!$A$6:$A$3687,"*"&amp;$A25&amp;"*",'Diags Raw Data'!$K$6:$K$3687)</f>
        <v>200</v>
      </c>
      <c r="J25" s="415">
        <f>SUMIF('Diags Raw Data'!$A$6:$A$3687,"*"&amp;$A25&amp;"*",'Diags Raw Data'!$L$6:$L$3687)</f>
        <v>4</v>
      </c>
      <c r="K25" s="445" cm="1">
        <f t="array" ref="K25">IF(D25="",0, SUMPRODUCT(--(ISNUMBER(SEARCH($A25,'Diags Raw Data'!$A$6:$A$3687))),'Diags Raw Data'!$L$6:$L$3687,'Diags Raw Data'!$N$6:$N$3687)/J25)</f>
        <v>1</v>
      </c>
      <c r="L25" s="446" cm="1">
        <f t="array" ref="L25">IF(D25="",0, SUMPRODUCT(--(ISNUMBER(SEARCH($A25,'Diags Raw Data'!$A$6:$A$3687))),'Diags Raw Data'!$L$6:$L$3687,'Diags Raw Data'!$P$6:$P$3687)/J25)</f>
        <v>1</v>
      </c>
      <c r="M25" s="447" cm="1">
        <f t="array" ref="M25">SUMPRODUCT(--(ISNUMBER(SEARCH($A25,'Diags Raw Data'!$A$6:$A$3687))),--('Diags Raw Data'!$Q$6:$Q$3687&lt;&gt;"N/A"),'Diags Raw Data'!$R$6:$R$3687)</f>
        <v>4</v>
      </c>
      <c r="N25" s="448" cm="1">
        <f t="array" ref="N25">SUMPRODUCT(--(ISNUMBER(SEARCH($A25,'Diags Raw Data'!$A$6:$A$3687))),--('Diags Raw Data'!$Q$6:$Q$3687&lt;&gt;"N/A"),'Diags Raw Data'!$T$6:$T$3687)+SUMPRODUCT(--(ISNUMBER(SEARCH($A25,'Diags Raw Data'!$A$6:$A$3687))),--('Diags Raw Data'!$Q$6:$Q$3687&lt;&gt;"N/A"),'Diags Raw Data'!$U$6:$U$3687)</f>
        <v>4</v>
      </c>
      <c r="O25" s="449">
        <f t="shared" si="2"/>
        <v>1</v>
      </c>
      <c r="P25" s="450">
        <f>SUMIF('Diags Raw Data'!$A$6:$A$3687,"*"&amp;$A25&amp;"*",'Diags Raw Data'!$Z$6:$Z$3687)</f>
        <v>0</v>
      </c>
      <c r="Q25" s="451">
        <f>SUM(SUMIF('Diags Raw Data'!$A$6:$A$3687,"*"&amp;$A25&amp;"*",'Diags Raw Data'!$AA$6:$AA$3687),SUMIF('Diags Raw Data'!$A$6:$A$3687,"*"&amp;$A25&amp;"*",'Diags Raw Data'!$AB$6:$AB$3687))</f>
        <v>0</v>
      </c>
      <c r="R25" s="452">
        <f t="shared" si="3"/>
        <v>0</v>
      </c>
      <c r="S25" s="452">
        <f t="shared" si="4"/>
        <v>0</v>
      </c>
      <c r="T25" s="453">
        <f t="shared" si="5"/>
        <v>0</v>
      </c>
      <c r="U25" s="416" t="s">
        <v>558</v>
      </c>
      <c r="V25" s="180"/>
    </row>
    <row r="26" spans="1:22" x14ac:dyDescent="0.25">
      <c r="A26" s="498" t="s">
        <v>391</v>
      </c>
      <c r="B26" s="412" t="str">
        <f>VLOOKUP(A26,'Feature Raw Data'!$A$3:$B$3996,2,FALSE)</f>
        <v>CCP: RSA engine</v>
      </c>
      <c r="C26" s="413" t="str">
        <f>VLOOKUP(A26,'Feature Raw Data'!$A$3:$C$3996,3,FALSE)</f>
        <v>P1</v>
      </c>
      <c r="D26" s="414" t="str" cm="1">
        <f t="array" ref="D26">_xlfn.TEXTJOIN("",TRUE,IF(ISNUMBER(SEARCH($A26,'Diags Raw Data'!$A$6:$A$3687)),CONCATENATE('Diags Raw Data'!$H$6:$H$3687,", "),""))</f>
        <v xml:space="preserve">psp204.1, </v>
      </c>
      <c r="E26" s="335" t="str">
        <f>VLOOKUP(A26,'Diags Raw Data'!$A$6:$D$3687,4,FALSE)</f>
        <v>CCP</v>
      </c>
      <c r="F26" s="335" t="str">
        <f>VLOOKUP(A26,'Feature Raw Data'!$A$3:$E$3996,5,FALSE)</f>
        <v>Delta</v>
      </c>
      <c r="G26" s="335" t="str">
        <f t="shared" si="0"/>
        <v>Yes</v>
      </c>
      <c r="H26" s="335" t="str">
        <f t="shared" si="1"/>
        <v>Yes</v>
      </c>
      <c r="I26" s="413">
        <f>SUMIF('Diags Raw Data'!$A$6:$A$3687,"*"&amp;$A26&amp;"*",'Diags Raw Data'!$K$6:$K$3687)</f>
        <v>40</v>
      </c>
      <c r="J26" s="415">
        <f>SUMIF('Diags Raw Data'!$A$6:$A$3687,"*"&amp;$A26&amp;"*",'Diags Raw Data'!$L$6:$L$3687)</f>
        <v>1</v>
      </c>
      <c r="K26" s="445" cm="1">
        <f t="array" ref="K26">IF(D26="",0, SUMPRODUCT(--(ISNUMBER(SEARCH($A26,'Diags Raw Data'!$A$6:$A$3687))),'Diags Raw Data'!$L$6:$L$3687,'Diags Raw Data'!$N$6:$N$3687)/J26)</f>
        <v>1</v>
      </c>
      <c r="L26" s="446" cm="1">
        <f t="array" ref="L26">IF(D26="",0, SUMPRODUCT(--(ISNUMBER(SEARCH($A26,'Diags Raw Data'!$A$6:$A$3687))),'Diags Raw Data'!$L$6:$L$3687,'Diags Raw Data'!$P$6:$P$3687)/J26)</f>
        <v>1</v>
      </c>
      <c r="M26" s="447" cm="1">
        <f t="array" ref="M26">SUMPRODUCT(--(ISNUMBER(SEARCH($A26,'Diags Raw Data'!$A$6:$A$3687))),--('Diags Raw Data'!$Q$6:$Q$3687&lt;&gt;"N/A"),'Diags Raw Data'!$R$6:$R$3687)</f>
        <v>1</v>
      </c>
      <c r="N26" s="448" cm="1">
        <f t="array" ref="N26">SUMPRODUCT(--(ISNUMBER(SEARCH($A26,'Diags Raw Data'!$A$6:$A$3687))),--('Diags Raw Data'!$Q$6:$Q$3687&lt;&gt;"N/A"),'Diags Raw Data'!$T$6:$T$3687)+SUMPRODUCT(--(ISNUMBER(SEARCH($A26,'Diags Raw Data'!$A$6:$A$3687))),--('Diags Raw Data'!$Q$6:$Q$3687&lt;&gt;"N/A"),'Diags Raw Data'!$U$6:$U$3687)</f>
        <v>1</v>
      </c>
      <c r="O26" s="449">
        <f t="shared" si="2"/>
        <v>1</v>
      </c>
      <c r="P26" s="450">
        <f>SUMIF('Diags Raw Data'!$A$6:$A$3687,"*"&amp;$A26&amp;"*",'Diags Raw Data'!$Z$6:$Z$3687)</f>
        <v>0</v>
      </c>
      <c r="Q26" s="451">
        <f>SUM(SUMIF('Diags Raw Data'!$A$6:$A$3687,"*"&amp;$A26&amp;"*",'Diags Raw Data'!$AA$6:$AA$3687),SUMIF('Diags Raw Data'!$A$6:$A$3687,"*"&amp;$A26&amp;"*",'Diags Raw Data'!$AB$6:$AB$3687))</f>
        <v>0</v>
      </c>
      <c r="R26" s="452">
        <f t="shared" si="3"/>
        <v>0</v>
      </c>
      <c r="S26" s="452">
        <f t="shared" si="4"/>
        <v>0</v>
      </c>
      <c r="T26" s="453">
        <f t="shared" si="5"/>
        <v>0</v>
      </c>
      <c r="U26" s="416" t="s">
        <v>558</v>
      </c>
      <c r="V26" s="180"/>
    </row>
    <row r="27" spans="1:22" x14ac:dyDescent="0.25">
      <c r="A27" s="498" t="s">
        <v>395</v>
      </c>
      <c r="B27" s="412" t="str">
        <f>VLOOKUP(A27,'Feature Raw Data'!$A$3:$B$3996,2,FALSE)</f>
        <v>CCP: ECC engine</v>
      </c>
      <c r="C27" s="413" t="str">
        <f>VLOOKUP(A27,'Feature Raw Data'!$A$3:$C$3996,3,FALSE)</f>
        <v>P1</v>
      </c>
      <c r="D27" s="414" t="str" cm="1">
        <f t="array" ref="D27">_xlfn.TEXTJOIN("",TRUE,IF(ISNUMBER(SEARCH($A27,'Diags Raw Data'!$A$6:$A$3687)),CONCATENATE('Diags Raw Data'!$H$6:$H$3687,", "),""))</f>
        <v xml:space="preserve">psp205.1, </v>
      </c>
      <c r="E27" s="335" t="str">
        <f>VLOOKUP(A27,'Diags Raw Data'!$A$6:$D$3687,4,FALSE)</f>
        <v>CCP</v>
      </c>
      <c r="F27" s="335" t="str">
        <f>VLOOKUP(A27,'Feature Raw Data'!$A$3:$E$3996,5,FALSE)</f>
        <v>Delta</v>
      </c>
      <c r="G27" s="335" t="str">
        <f t="shared" si="0"/>
        <v>Yes</v>
      </c>
      <c r="H27" s="335" t="str">
        <f t="shared" si="1"/>
        <v>Yes</v>
      </c>
      <c r="I27" s="413">
        <f>SUMIF('Diags Raw Data'!$A$6:$A$3687,"*"&amp;$A27&amp;"*",'Diags Raw Data'!$K$6:$K$3687)</f>
        <v>40</v>
      </c>
      <c r="J27" s="415">
        <f>SUMIF('Diags Raw Data'!$A$6:$A$3687,"*"&amp;$A27&amp;"*",'Diags Raw Data'!$L$6:$L$3687)</f>
        <v>1</v>
      </c>
      <c r="K27" s="445" cm="1">
        <f t="array" ref="K27">IF(D27="",0, SUMPRODUCT(--(ISNUMBER(SEARCH($A27,'Diags Raw Data'!$A$6:$A$3687))),'Diags Raw Data'!$L$6:$L$3687,'Diags Raw Data'!$N$6:$N$3687)/J27)</f>
        <v>1</v>
      </c>
      <c r="L27" s="446" cm="1">
        <f t="array" ref="L27">IF(D27="",0, SUMPRODUCT(--(ISNUMBER(SEARCH($A27,'Diags Raw Data'!$A$6:$A$3687))),'Diags Raw Data'!$L$6:$L$3687,'Diags Raw Data'!$P$6:$P$3687)/J27)</f>
        <v>1</v>
      </c>
      <c r="M27" s="447" cm="1">
        <f t="array" ref="M27">SUMPRODUCT(--(ISNUMBER(SEARCH($A27,'Diags Raw Data'!$A$6:$A$3687))),--('Diags Raw Data'!$Q$6:$Q$3687&lt;&gt;"N/A"),'Diags Raw Data'!$R$6:$R$3687)</f>
        <v>1</v>
      </c>
      <c r="N27" s="448" cm="1">
        <f t="array" ref="N27">SUMPRODUCT(--(ISNUMBER(SEARCH($A27,'Diags Raw Data'!$A$6:$A$3687))),--('Diags Raw Data'!$Q$6:$Q$3687&lt;&gt;"N/A"),'Diags Raw Data'!$T$6:$T$3687)+SUMPRODUCT(--(ISNUMBER(SEARCH($A27,'Diags Raw Data'!$A$6:$A$3687))),--('Diags Raw Data'!$Q$6:$Q$3687&lt;&gt;"N/A"),'Diags Raw Data'!$U$6:$U$3687)</f>
        <v>1</v>
      </c>
      <c r="O27" s="449">
        <f t="shared" si="2"/>
        <v>1</v>
      </c>
      <c r="P27" s="450">
        <f>SUMIF('Diags Raw Data'!$A$6:$A$3687,"*"&amp;$A27&amp;"*",'Diags Raw Data'!$Z$6:$Z$3687)</f>
        <v>0</v>
      </c>
      <c r="Q27" s="451">
        <f>SUM(SUMIF('Diags Raw Data'!$A$6:$A$3687,"*"&amp;$A27&amp;"*",'Diags Raw Data'!$AA$6:$AA$3687),SUMIF('Diags Raw Data'!$A$6:$A$3687,"*"&amp;$A27&amp;"*",'Diags Raw Data'!$AB$6:$AB$3687))</f>
        <v>0</v>
      </c>
      <c r="R27" s="452">
        <f t="shared" si="3"/>
        <v>0</v>
      </c>
      <c r="S27" s="452">
        <f t="shared" si="4"/>
        <v>0</v>
      </c>
      <c r="T27" s="453">
        <f t="shared" si="5"/>
        <v>0</v>
      </c>
      <c r="U27" s="416" t="s">
        <v>558</v>
      </c>
      <c r="V27" s="180"/>
    </row>
    <row r="28" spans="1:22" x14ac:dyDescent="0.25">
      <c r="A28" s="498" t="s">
        <v>399</v>
      </c>
      <c r="B28" s="412" t="str">
        <f>VLOOKUP(A28,'Feature Raw Data'!$A$3:$B$3996,2,FALSE)</f>
        <v>CCP: Zlib decompression</v>
      </c>
      <c r="C28" s="413" t="str">
        <f>VLOOKUP(A28,'Feature Raw Data'!$A$3:$C$3996,3,FALSE)</f>
        <v>P1</v>
      </c>
      <c r="D28" s="414" t="str" cm="1">
        <f t="array" ref="D28">_xlfn.TEXTJOIN("",TRUE,IF(ISNUMBER(SEARCH($A28,'Diags Raw Data'!$A$6:$A$3687)),CONCATENATE('Diags Raw Data'!$H$6:$H$3687,", "),""))</f>
        <v xml:space="preserve">psp2.2, psp206.1, </v>
      </c>
      <c r="E28" s="335" t="str">
        <f>VLOOKUP(A28,'Diags Raw Data'!$A$6:$D$3687,4,FALSE)</f>
        <v>CCP</v>
      </c>
      <c r="F28" s="335" t="str">
        <f>VLOOKUP(A28,'Feature Raw Data'!$A$3:$E$3996,5,FALSE)</f>
        <v>Delta</v>
      </c>
      <c r="G28" s="335" t="str">
        <f t="shared" si="0"/>
        <v>Yes</v>
      </c>
      <c r="H28" s="335" t="str">
        <f t="shared" si="1"/>
        <v>Yes</v>
      </c>
      <c r="I28" s="413">
        <f>SUMIF('Diags Raw Data'!$A$6:$A$3687,"*"&amp;$A28&amp;"*",'Diags Raw Data'!$K$6:$K$3687)</f>
        <v>120</v>
      </c>
      <c r="J28" s="415">
        <f>SUMIF('Diags Raw Data'!$A$6:$A$3687,"*"&amp;$A28&amp;"*",'Diags Raw Data'!$L$6:$L$3687)</f>
        <v>2</v>
      </c>
      <c r="K28" s="445" cm="1">
        <f t="array" ref="K28">IF(D28="",0, SUMPRODUCT(--(ISNUMBER(SEARCH($A28,'Diags Raw Data'!$A$6:$A$3687))),'Diags Raw Data'!$L$6:$L$3687,'Diags Raw Data'!$N$6:$N$3687)/J28)</f>
        <v>1</v>
      </c>
      <c r="L28" s="446" cm="1">
        <f t="array" ref="L28">IF(D28="",0, SUMPRODUCT(--(ISNUMBER(SEARCH($A28,'Diags Raw Data'!$A$6:$A$3687))),'Diags Raw Data'!$L$6:$L$3687,'Diags Raw Data'!$P$6:$P$3687)/J28)</f>
        <v>1</v>
      </c>
      <c r="M28" s="447" cm="1">
        <f t="array" ref="M28">SUMPRODUCT(--(ISNUMBER(SEARCH($A28,'Diags Raw Data'!$A$6:$A$3687))),--('Diags Raw Data'!$Q$6:$Q$3687&lt;&gt;"N/A"),'Diags Raw Data'!$R$6:$R$3687)</f>
        <v>2</v>
      </c>
      <c r="N28" s="448" cm="1">
        <f t="array" ref="N28">SUMPRODUCT(--(ISNUMBER(SEARCH($A28,'Diags Raw Data'!$A$6:$A$3687))),--('Diags Raw Data'!$Q$6:$Q$3687&lt;&gt;"N/A"),'Diags Raw Data'!$T$6:$T$3687)+SUMPRODUCT(--(ISNUMBER(SEARCH($A28,'Diags Raw Data'!$A$6:$A$3687))),--('Diags Raw Data'!$Q$6:$Q$3687&lt;&gt;"N/A"),'Diags Raw Data'!$U$6:$U$3687)</f>
        <v>2</v>
      </c>
      <c r="O28" s="449">
        <f t="shared" si="2"/>
        <v>1</v>
      </c>
      <c r="P28" s="450">
        <f>SUMIF('Diags Raw Data'!$A$6:$A$3687,"*"&amp;$A28&amp;"*",'Diags Raw Data'!$Z$6:$Z$3687)</f>
        <v>0</v>
      </c>
      <c r="Q28" s="451">
        <f>SUM(SUMIF('Diags Raw Data'!$A$6:$A$3687,"*"&amp;$A28&amp;"*",'Diags Raw Data'!$AA$6:$AA$3687),SUMIF('Diags Raw Data'!$A$6:$A$3687,"*"&amp;$A28&amp;"*",'Diags Raw Data'!$AB$6:$AB$3687))</f>
        <v>0</v>
      </c>
      <c r="R28" s="452">
        <f t="shared" si="3"/>
        <v>0</v>
      </c>
      <c r="S28" s="452">
        <f t="shared" si="4"/>
        <v>0</v>
      </c>
      <c r="T28" s="453">
        <f t="shared" si="5"/>
        <v>0</v>
      </c>
      <c r="U28" s="416" t="s">
        <v>558</v>
      </c>
      <c r="V28" s="180"/>
    </row>
    <row r="29" spans="1:22" ht="15.75" thickBot="1" x14ac:dyDescent="0.3">
      <c r="A29" s="498" t="s">
        <v>379</v>
      </c>
      <c r="B29" s="412" t="str">
        <f>VLOOKUP(A29,'Feature Raw Data'!$A$3:$B$3996,2,FALSE)</f>
        <v>CCP: Pass-through</v>
      </c>
      <c r="C29" s="413" t="str">
        <f>VLOOKUP(A29,'Feature Raw Data'!$A$3:$C$3996,3,FALSE)</f>
        <v>P1</v>
      </c>
      <c r="D29" s="414" t="str" cm="1">
        <f t="array" ref="D29">_xlfn.TEXTJOIN("",TRUE,IF(ISNUMBER(SEARCH($A29,'Diags Raw Data'!$A$6:$A$3687)),CONCATENATE('Diags Raw Data'!$H$6:$H$3687,", "),""))</f>
        <v xml:space="preserve">psp2.2, ccp.basic.pt, </v>
      </c>
      <c r="E29" s="335" t="str">
        <f>VLOOKUP(A29,'Diags Raw Data'!$A$6:$D$3687,4,FALSE)</f>
        <v>CCP</v>
      </c>
      <c r="F29" s="335" t="str">
        <f>VLOOKUP(A29,'Feature Raw Data'!$A$3:$E$3996,5,FALSE)</f>
        <v>Delta</v>
      </c>
      <c r="G29" s="335" t="str">
        <f t="shared" si="0"/>
        <v>Yes</v>
      </c>
      <c r="H29" s="335" t="str">
        <f t="shared" si="1"/>
        <v>Yes</v>
      </c>
      <c r="I29" s="413">
        <f>SUMIF('Diags Raw Data'!$A$6:$A$3687,"*"&amp;$A29&amp;"*",'Diags Raw Data'!$K$6:$K$3687)</f>
        <v>120</v>
      </c>
      <c r="J29" s="415">
        <f>SUMIF('Diags Raw Data'!$A$6:$A$3687,"*"&amp;$A29&amp;"*",'Diags Raw Data'!$L$6:$L$3687)</f>
        <v>2</v>
      </c>
      <c r="K29" s="445" cm="1">
        <f t="array" ref="K29">IF(D29="",0, SUMPRODUCT(--(ISNUMBER(SEARCH($A29,'Diags Raw Data'!$A$6:$A$3687))),'Diags Raw Data'!$L$6:$L$3687,'Diags Raw Data'!$N$6:$N$3687)/J29)</f>
        <v>1</v>
      </c>
      <c r="L29" s="446" cm="1">
        <f t="array" ref="L29">IF(D29="",0, SUMPRODUCT(--(ISNUMBER(SEARCH($A29,'Diags Raw Data'!$A$6:$A$3687))),'Diags Raw Data'!$L$6:$L$3687,'Diags Raw Data'!$P$6:$P$3687)/J29)</f>
        <v>1</v>
      </c>
      <c r="M29" s="447" cm="1">
        <f t="array" ref="M29">SUMPRODUCT(--(ISNUMBER(SEARCH($A29,'Diags Raw Data'!$A$6:$A$3687))),--('Diags Raw Data'!$Q$6:$Q$3687&lt;&gt;"N/A"),'Diags Raw Data'!$R$6:$R$3687)</f>
        <v>2</v>
      </c>
      <c r="N29" s="448" cm="1">
        <f t="array" ref="N29">SUMPRODUCT(--(ISNUMBER(SEARCH($A29,'Diags Raw Data'!$A$6:$A$3687))),--('Diags Raw Data'!$Q$6:$Q$3687&lt;&gt;"N/A"),'Diags Raw Data'!$T$6:$T$3687)+SUMPRODUCT(--(ISNUMBER(SEARCH($A29,'Diags Raw Data'!$A$6:$A$3687))),--('Diags Raw Data'!$Q$6:$Q$3687&lt;&gt;"N/A"),'Diags Raw Data'!$U$6:$U$3687)</f>
        <v>2</v>
      </c>
      <c r="O29" s="449">
        <f t="shared" si="2"/>
        <v>1</v>
      </c>
      <c r="P29" s="450">
        <f>SUMIF('Diags Raw Data'!$A$6:$A$3687,"*"&amp;$A29&amp;"*",'Diags Raw Data'!$Z$6:$Z$3687)</f>
        <v>0</v>
      </c>
      <c r="Q29" s="451">
        <f>SUM(SUMIF('Diags Raw Data'!$A$6:$A$3687,"*"&amp;$A29&amp;"*",'Diags Raw Data'!$AA$6:$AA$3687),SUMIF('Diags Raw Data'!$A$6:$A$3687,"*"&amp;$A29&amp;"*",'Diags Raw Data'!$AB$6:$AB$3687))</f>
        <v>0</v>
      </c>
      <c r="R29" s="452">
        <f t="shared" si="3"/>
        <v>0</v>
      </c>
      <c r="S29" s="452">
        <f t="shared" si="4"/>
        <v>0</v>
      </c>
      <c r="T29" s="453">
        <f t="shared" si="5"/>
        <v>0</v>
      </c>
      <c r="U29" s="416" t="s">
        <v>558</v>
      </c>
      <c r="V29" s="180"/>
    </row>
    <row r="30" spans="1:22" x14ac:dyDescent="0.25">
      <c r="A30" s="498" t="s">
        <v>543</v>
      </c>
      <c r="B30" s="412" t="str">
        <f>VLOOKUP(A30,'Feature Raw Data'!$A$3:$B$3996,2,FALSE)</f>
        <v>CCP: Pass-through AXI burst</v>
      </c>
      <c r="C30" s="413" t="str">
        <f>VLOOKUP(A30,'Feature Raw Data'!$A$3:$C$3996,3,FALSE)</f>
        <v>P3</v>
      </c>
      <c r="D30" s="414" t="str" cm="1">
        <f t="array" ref="D30">_xlfn.TEXTJOIN("",TRUE,IF(ISNUMBER(SEARCH($A30,'Diags Raw Data'!$A$6:$A$3687)),CONCATENATE('Diags Raw Data'!$H$6:$H$3687,", "),""))</f>
        <v/>
      </c>
      <c r="E30" s="335" t="e">
        <f>VLOOKUP(A30,'Diags Raw Data'!$A$6:$D$3687,4,FALSE)</f>
        <v>#N/A</v>
      </c>
      <c r="F30" s="335" t="str">
        <f>VLOOKUP(A30,'Feature Raw Data'!$A$3:$E$3996,5,FALSE)</f>
        <v>Delta</v>
      </c>
      <c r="G30" s="335" t="str">
        <f t="shared" si="0"/>
        <v>No</v>
      </c>
      <c r="H30" s="335" t="str">
        <f t="shared" si="1"/>
        <v>No</v>
      </c>
      <c r="I30" s="413">
        <f>SUMIF('Diags Raw Data'!$A$6:$A$3687,"*"&amp;$A30&amp;"*",'Diags Raw Data'!$K$6:$K$3687)</f>
        <v>0</v>
      </c>
      <c r="J30" s="415">
        <f>SUMIF('Diags Raw Data'!$A$6:$A$3687,"*"&amp;$A30&amp;"*",'Diags Raw Data'!$L$6:$L$3687)</f>
        <v>0</v>
      </c>
      <c r="K30" s="445" cm="1">
        <f t="array" ref="K30">IF(D30="",0, SUMPRODUCT(--(ISNUMBER(SEARCH($A30,'Diags Raw Data'!$A$6:$A$3687))),'Diags Raw Data'!$L$6:$L$3687,'Diags Raw Data'!$N$6:$N$3687)/J30)</f>
        <v>0</v>
      </c>
      <c r="L30" s="446" cm="1">
        <f t="array" ref="L30">IF(D30="",0, SUMPRODUCT(--(ISNUMBER(SEARCH($A30,'Diags Raw Data'!$A$6:$A$3687))),'Diags Raw Data'!$L$6:$L$3687,'Diags Raw Data'!$P$6:$P$3687)/J30)</f>
        <v>0</v>
      </c>
      <c r="M30" s="447" cm="1">
        <f t="array" ref="M30">SUMPRODUCT(--(ISNUMBER(SEARCH($A30,'Diags Raw Data'!$A$6:$A$3687))),--('Diags Raw Data'!$Q$6:$Q$3687&lt;&gt;"N/A"),'Diags Raw Data'!$R$6:$R$3687)</f>
        <v>0</v>
      </c>
      <c r="N30" s="448" cm="1">
        <f t="array" ref="N30">SUMPRODUCT(--(ISNUMBER(SEARCH($A30,'Diags Raw Data'!$A$6:$A$3687))),--('Diags Raw Data'!$Q$6:$Q$3687&lt;&gt;"N/A"),'Diags Raw Data'!$T$6:$T$3687)+SUMPRODUCT(--(ISNUMBER(SEARCH($A30,'Diags Raw Data'!$A$6:$A$3687))),--('Diags Raw Data'!$Q$6:$Q$3687&lt;&gt;"N/A"),'Diags Raw Data'!$U$6:$U$3687)</f>
        <v>0</v>
      </c>
      <c r="O30" s="449">
        <f>IF((M30=0),0,N30/M30)</f>
        <v>0</v>
      </c>
      <c r="P30" s="450">
        <f>SUMIF('Diags Raw Data'!$A$6:$A$3687,"*"&amp;$A30&amp;"*",'Diags Raw Data'!$Z$6:$Z$3687)</f>
        <v>0</v>
      </c>
      <c r="Q30" s="451">
        <f>SUM(SUMIF('Diags Raw Data'!$A$6:$A$3687,"*"&amp;$A30&amp;"*",'Diags Raw Data'!$AA$6:$AA$3687),SUMIF('Diags Raw Data'!$A$6:$A$3687,"*"&amp;$A30&amp;"*",'Diags Raw Data'!$AB$6:$AB$3687))</f>
        <v>0</v>
      </c>
      <c r="R30" s="452">
        <f>IF((J30=0),0,P30/J30)</f>
        <v>0</v>
      </c>
      <c r="S30" s="452">
        <f>IF((P30=0),0,Q30/P30)</f>
        <v>0</v>
      </c>
      <c r="T30" s="453">
        <f>R30*S30</f>
        <v>0</v>
      </c>
      <c r="U30" s="411" t="s">
        <v>47</v>
      </c>
      <c r="V30" s="180"/>
    </row>
    <row r="31" spans="1:22" x14ac:dyDescent="0.25">
      <c r="A31" s="498" t="s">
        <v>371</v>
      </c>
      <c r="B31" s="412" t="str">
        <f>VLOOKUP(A31,'Feature Raw Data'!$A$3:$B$3996,2,FALSE)</f>
        <v>CCP: Interrupts and Status</v>
      </c>
      <c r="C31" s="413" t="str">
        <f>VLOOKUP(A31,'Feature Raw Data'!$A$3:$C$3996,3,FALSE)</f>
        <v>P1</v>
      </c>
      <c r="D31" s="414" t="str" cm="1">
        <f t="array" ref="D31">_xlfn.TEXTJOIN("",TRUE,IF(ISNUMBER(SEARCH($A31,'Diags Raw Data'!$A$6:$A$3687)),CONCATENATE('Diags Raw Data'!$H$6:$H$3687,", "),""))</f>
        <v xml:space="preserve">ccp.basic.interrupt, </v>
      </c>
      <c r="E31" s="335" t="str">
        <f>VLOOKUP(A31,'Diags Raw Data'!$A$6:$D$3687,4,FALSE)</f>
        <v>CCP</v>
      </c>
      <c r="F31" s="335" t="str">
        <f>VLOOKUP(A31,'Feature Raw Data'!$A$3:$E$3996,5,FALSE)</f>
        <v>Delta</v>
      </c>
      <c r="G31" s="335" t="str">
        <f t="shared" si="0"/>
        <v>Yes</v>
      </c>
      <c r="H31" s="335" t="str">
        <f t="shared" si="1"/>
        <v>Yes</v>
      </c>
      <c r="I31" s="413">
        <f>SUMIF('Diags Raw Data'!$A$6:$A$3687,"*"&amp;$A31&amp;"*",'Diags Raw Data'!$K$6:$K$3687)</f>
        <v>40</v>
      </c>
      <c r="J31" s="415">
        <f>SUMIF('Diags Raw Data'!$A$6:$A$3687,"*"&amp;$A31&amp;"*",'Diags Raw Data'!$L$6:$L$3687)</f>
        <v>1</v>
      </c>
      <c r="K31" s="445" cm="1">
        <f t="array" ref="K31">IF(D31="",0, SUMPRODUCT(--(ISNUMBER(SEARCH($A31,'Diags Raw Data'!$A$6:$A$3687))),'Diags Raw Data'!$L$6:$L$3687,'Diags Raw Data'!$N$6:$N$3687)/J31)</f>
        <v>1</v>
      </c>
      <c r="L31" s="446" cm="1">
        <f t="array" ref="L31">IF(D31="",0, SUMPRODUCT(--(ISNUMBER(SEARCH($A31,'Diags Raw Data'!$A$6:$A$3687))),'Diags Raw Data'!$L$6:$L$3687,'Diags Raw Data'!$P$6:$P$3687)/J31)</f>
        <v>1</v>
      </c>
      <c r="M31" s="447" cm="1">
        <f t="array" ref="M31">SUMPRODUCT(--(ISNUMBER(SEARCH($A31,'Diags Raw Data'!$A$6:$A$3687))),--('Diags Raw Data'!$Q$6:$Q$3687&lt;&gt;"N/A"),'Diags Raw Data'!$R$6:$R$3687)</f>
        <v>1</v>
      </c>
      <c r="N31" s="448" cm="1">
        <f t="array" ref="N31">SUMPRODUCT(--(ISNUMBER(SEARCH($A31,'Diags Raw Data'!$A$6:$A$3687))),--('Diags Raw Data'!$Q$6:$Q$3687&lt;&gt;"N/A"),'Diags Raw Data'!$T$6:$T$3687)+SUMPRODUCT(--(ISNUMBER(SEARCH($A31,'Diags Raw Data'!$A$6:$A$3687))),--('Diags Raw Data'!$Q$6:$Q$3687&lt;&gt;"N/A"),'Diags Raw Data'!$U$6:$U$3687)</f>
        <v>1</v>
      </c>
      <c r="O31" s="449">
        <f t="shared" si="2"/>
        <v>1</v>
      </c>
      <c r="P31" s="450">
        <f>SUMIF('Diags Raw Data'!$A$6:$A$3687,"*"&amp;$A31&amp;"*",'Diags Raw Data'!$Z$6:$Z$3687)</f>
        <v>0</v>
      </c>
      <c r="Q31" s="451">
        <f>SUM(SUMIF('Diags Raw Data'!$A$6:$A$3687,"*"&amp;$A31&amp;"*",'Diags Raw Data'!$AA$6:$AA$3687),SUMIF('Diags Raw Data'!$A$6:$A$3687,"*"&amp;$A31&amp;"*",'Diags Raw Data'!$AB$6:$AB$3687))</f>
        <v>0</v>
      </c>
      <c r="R31" s="452">
        <f t="shared" si="3"/>
        <v>0</v>
      </c>
      <c r="S31" s="452">
        <f t="shared" si="4"/>
        <v>0</v>
      </c>
      <c r="T31" s="453">
        <f t="shared" si="5"/>
        <v>0</v>
      </c>
      <c r="U31" s="416" t="s">
        <v>558</v>
      </c>
      <c r="V31" s="180"/>
    </row>
    <row r="32" spans="1:22" x14ac:dyDescent="0.25">
      <c r="A32" s="498" t="s">
        <v>367</v>
      </c>
      <c r="B32" s="412" t="str">
        <f>VLOOKUP(A32,'Feature Raw Data'!$A$3:$B$3996,2,FALSE)</f>
        <v>CCP: Memory interface</v>
      </c>
      <c r="C32" s="413" t="str">
        <f>VLOOKUP(A32,'Feature Raw Data'!$A$3:$C$3996,3,FALSE)</f>
        <v>P1</v>
      </c>
      <c r="D32" s="414" t="str" cm="1">
        <f t="array" ref="D32">_xlfn.TEXTJOIN("",TRUE,IF(ISNUMBER(SEARCH($A32,'Diags Raw Data'!$A$6:$A$3687)),CONCATENATE('Diags Raw Data'!$H$6:$H$3687,", "),""))</f>
        <v xml:space="preserve">psp2.3, </v>
      </c>
      <c r="E32" s="335" t="str">
        <f>VLOOKUP(A32,'Diags Raw Data'!$A$6:$D$3687,4,FALSE)</f>
        <v>CCP</v>
      </c>
      <c r="F32" s="335" t="str">
        <f>VLOOKUP(A32,'Feature Raw Data'!$A$3:$E$3996,5,FALSE)</f>
        <v>Delta</v>
      </c>
      <c r="G32" s="335" t="str">
        <f t="shared" si="0"/>
        <v>Yes</v>
      </c>
      <c r="H32" s="335" t="str">
        <f t="shared" si="1"/>
        <v>Yes</v>
      </c>
      <c r="I32" s="413">
        <f>SUMIF('Diags Raw Data'!$A$6:$A$3687,"*"&amp;$A32&amp;"*",'Diags Raw Data'!$K$6:$K$3687)</f>
        <v>120</v>
      </c>
      <c r="J32" s="415">
        <f>SUMIF('Diags Raw Data'!$A$6:$A$3687,"*"&amp;$A32&amp;"*",'Diags Raw Data'!$L$6:$L$3687)</f>
        <v>1</v>
      </c>
      <c r="K32" s="445" cm="1">
        <f t="array" ref="K32">IF(D32="",0, SUMPRODUCT(--(ISNUMBER(SEARCH($A32,'Diags Raw Data'!$A$6:$A$3687))),'Diags Raw Data'!$L$6:$L$3687,'Diags Raw Data'!$N$6:$N$3687)/J32)</f>
        <v>1</v>
      </c>
      <c r="L32" s="446" cm="1">
        <f t="array" ref="L32">IF(D32="",0, SUMPRODUCT(--(ISNUMBER(SEARCH($A32,'Diags Raw Data'!$A$6:$A$3687))),'Diags Raw Data'!$L$6:$L$3687,'Diags Raw Data'!$P$6:$P$3687)/J32)</f>
        <v>1</v>
      </c>
      <c r="M32" s="447" cm="1">
        <f t="array" ref="M32">SUMPRODUCT(--(ISNUMBER(SEARCH($A32,'Diags Raw Data'!$A$6:$A$3687))),--('Diags Raw Data'!$Q$6:$Q$3687&lt;&gt;"N/A"),'Diags Raw Data'!$R$6:$R$3687)</f>
        <v>1</v>
      </c>
      <c r="N32" s="448" cm="1">
        <f t="array" ref="N32">SUMPRODUCT(--(ISNUMBER(SEARCH($A32,'Diags Raw Data'!$A$6:$A$3687))),--('Diags Raw Data'!$Q$6:$Q$3687&lt;&gt;"N/A"),'Diags Raw Data'!$T$6:$T$3687)+SUMPRODUCT(--(ISNUMBER(SEARCH($A32,'Diags Raw Data'!$A$6:$A$3687))),--('Diags Raw Data'!$Q$6:$Q$3687&lt;&gt;"N/A"),'Diags Raw Data'!$U$6:$U$3687)</f>
        <v>1</v>
      </c>
      <c r="O32" s="449">
        <f t="shared" si="2"/>
        <v>1</v>
      </c>
      <c r="P32" s="450">
        <f>SUMIF('Diags Raw Data'!$A$6:$A$3687,"*"&amp;$A32&amp;"*",'Diags Raw Data'!$Z$6:$Z$3687)</f>
        <v>0</v>
      </c>
      <c r="Q32" s="451">
        <f>SUM(SUMIF('Diags Raw Data'!$A$6:$A$3687,"*"&amp;$A32&amp;"*",'Diags Raw Data'!$AA$6:$AA$3687),SUMIF('Diags Raw Data'!$A$6:$A$3687,"*"&amp;$A32&amp;"*",'Diags Raw Data'!$AB$6:$AB$3687))</f>
        <v>0</v>
      </c>
      <c r="R32" s="452">
        <f t="shared" si="3"/>
        <v>0</v>
      </c>
      <c r="S32" s="452">
        <f t="shared" si="4"/>
        <v>0</v>
      </c>
      <c r="T32" s="453">
        <f t="shared" si="5"/>
        <v>0</v>
      </c>
      <c r="U32" s="416" t="s">
        <v>558</v>
      </c>
      <c r="V32" s="180"/>
    </row>
    <row r="33" spans="1:22" ht="30" x14ac:dyDescent="0.25">
      <c r="A33" s="498" t="s">
        <v>360</v>
      </c>
      <c r="B33" s="412" t="str">
        <f>VLOOKUP(A33,'Feature Raw Data'!$A$3:$B$3996,2,FALSE)</f>
        <v>CCP: Side channel attack countermeasure</v>
      </c>
      <c r="C33" s="413" t="str">
        <f>VLOOKUP(A33,'Feature Raw Data'!$A$3:$C$3996,3,FALSE)</f>
        <v>P1</v>
      </c>
      <c r="D33" s="414" t="str" cm="1">
        <f t="array" ref="D33">_xlfn.TEXTJOIN("",TRUE,IF(ISNUMBER(SEARCH($A33,'Diags Raw Data'!$A$6:$A$3687)),CONCATENATE('Diags Raw Data'!$H$6:$H$3687,", "),""))</f>
        <v xml:space="preserve">psp2.1, </v>
      </c>
      <c r="E33" s="335" t="str">
        <f>VLOOKUP(A33,'Diags Raw Data'!$A$6:$D$3687,4,FALSE)</f>
        <v>CCP</v>
      </c>
      <c r="F33" s="335" t="str">
        <f>VLOOKUP(A33,'Feature Raw Data'!$A$3:$E$3996,5,FALSE)</f>
        <v>Delta</v>
      </c>
      <c r="G33" s="335" t="str">
        <f t="shared" si="0"/>
        <v>Yes</v>
      </c>
      <c r="H33" s="335" t="str">
        <f t="shared" si="1"/>
        <v>Yes</v>
      </c>
      <c r="I33" s="413">
        <f>SUMIF('Diags Raw Data'!$A$6:$A$3687,"*"&amp;$A33&amp;"*",'Diags Raw Data'!$K$6:$K$3687)</f>
        <v>32</v>
      </c>
      <c r="J33" s="415">
        <f>SUMIF('Diags Raw Data'!$A$6:$A$3687,"*"&amp;$A33&amp;"*",'Diags Raw Data'!$L$6:$L$3687)</f>
        <v>1</v>
      </c>
      <c r="K33" s="445" cm="1">
        <f t="array" ref="K33">IF(D33="",0, SUMPRODUCT(--(ISNUMBER(SEARCH($A33,'Diags Raw Data'!$A$6:$A$3687))),'Diags Raw Data'!$L$6:$L$3687,'Diags Raw Data'!$N$6:$N$3687)/J33)</f>
        <v>1</v>
      </c>
      <c r="L33" s="446" cm="1">
        <f t="array" ref="L33">IF(D33="",0, SUMPRODUCT(--(ISNUMBER(SEARCH($A33,'Diags Raw Data'!$A$6:$A$3687))),'Diags Raw Data'!$L$6:$L$3687,'Diags Raw Data'!$P$6:$P$3687)/J33)</f>
        <v>1</v>
      </c>
      <c r="M33" s="447" cm="1">
        <f t="array" ref="M33">SUMPRODUCT(--(ISNUMBER(SEARCH($A33,'Diags Raw Data'!$A$6:$A$3687))),--('Diags Raw Data'!$Q$6:$Q$3687&lt;&gt;"N/A"),'Diags Raw Data'!$R$6:$R$3687)</f>
        <v>1</v>
      </c>
      <c r="N33" s="448" cm="1">
        <f t="array" ref="N33">SUMPRODUCT(--(ISNUMBER(SEARCH($A33,'Diags Raw Data'!$A$6:$A$3687))),--('Diags Raw Data'!$Q$6:$Q$3687&lt;&gt;"N/A"),'Diags Raw Data'!$T$6:$T$3687)+SUMPRODUCT(--(ISNUMBER(SEARCH($A33,'Diags Raw Data'!$A$6:$A$3687))),--('Diags Raw Data'!$Q$6:$Q$3687&lt;&gt;"N/A"),'Diags Raw Data'!$U$6:$U$3687)</f>
        <v>1</v>
      </c>
      <c r="O33" s="449">
        <f t="shared" si="2"/>
        <v>1</v>
      </c>
      <c r="P33" s="450">
        <f>SUMIF('Diags Raw Data'!$A$6:$A$3687,"*"&amp;$A33&amp;"*",'Diags Raw Data'!$Z$6:$Z$3687)</f>
        <v>0</v>
      </c>
      <c r="Q33" s="451">
        <f>SUM(SUMIF('Diags Raw Data'!$A$6:$A$3687,"*"&amp;$A33&amp;"*",'Diags Raw Data'!$AA$6:$AA$3687),SUMIF('Diags Raw Data'!$A$6:$A$3687,"*"&amp;$A33&amp;"*",'Diags Raw Data'!$AB$6:$AB$3687))</f>
        <v>0</v>
      </c>
      <c r="R33" s="452">
        <f t="shared" si="3"/>
        <v>0</v>
      </c>
      <c r="S33" s="452">
        <f t="shared" si="4"/>
        <v>0</v>
      </c>
      <c r="T33" s="453">
        <f t="shared" si="5"/>
        <v>0</v>
      </c>
      <c r="U33" s="416" t="s">
        <v>563</v>
      </c>
      <c r="V33" s="180"/>
    </row>
    <row r="34" spans="1:22" ht="30" x14ac:dyDescent="0.25">
      <c r="A34" s="498" t="s">
        <v>375</v>
      </c>
      <c r="B34" s="412" t="str">
        <f>VLOOKUP(A34,'Feature Raw Data'!$A$3:$B$3996,2,FALSE)</f>
        <v>CCP: Error handling for all CCP error cases</v>
      </c>
      <c r="C34" s="413" t="str">
        <f>VLOOKUP(A34,'Feature Raw Data'!$A$3:$C$3996,3,FALSE)</f>
        <v>P3</v>
      </c>
      <c r="D34" s="414" t="str" cm="1">
        <f t="array" ref="D34">_xlfn.TEXTJOIN("",TRUE,IF(ISNUMBER(SEARCH($A34,'Diags Raw Data'!$A$6:$A$3687)),CONCATENATE('Diags Raw Data'!$H$6:$H$3687,", "),""))</f>
        <v xml:space="preserve">psp2.7, </v>
      </c>
      <c r="E34" s="335" t="str">
        <f>VLOOKUP(A34,'Diags Raw Data'!$A$6:$D$3687,4,FALSE)</f>
        <v>CCP</v>
      </c>
      <c r="F34" s="335" t="str">
        <f>VLOOKUP(A34,'Feature Raw Data'!$A$3:$E$3996,5,FALSE)</f>
        <v>Delta</v>
      </c>
      <c r="G34" s="335" t="str">
        <f t="shared" si="0"/>
        <v>Yes</v>
      </c>
      <c r="H34" s="335" t="str">
        <f t="shared" si="1"/>
        <v>Yes</v>
      </c>
      <c r="I34" s="413">
        <f>SUMIF('Diags Raw Data'!$A$6:$A$3687,"*"&amp;$A34&amp;"*",'Diags Raw Data'!$K$6:$K$3687)</f>
        <v>120</v>
      </c>
      <c r="J34" s="415">
        <f>SUMIF('Diags Raw Data'!$A$6:$A$3687,"*"&amp;$A34&amp;"*",'Diags Raw Data'!$L$6:$L$3687)</f>
        <v>1</v>
      </c>
      <c r="K34" s="445" cm="1">
        <f t="array" ref="K34">IF(D34="",0, SUMPRODUCT(--(ISNUMBER(SEARCH($A34,'Diags Raw Data'!$A$6:$A$3687))),'Diags Raw Data'!$L$6:$L$3687,'Diags Raw Data'!$N$6:$N$3687)/J34)</f>
        <v>1</v>
      </c>
      <c r="L34" s="446" cm="1">
        <f t="array" ref="L34">IF(D34="",0, SUMPRODUCT(--(ISNUMBER(SEARCH($A34,'Diags Raw Data'!$A$6:$A$3687))),'Diags Raw Data'!$L$6:$L$3687,'Diags Raw Data'!$P$6:$P$3687)/J34)</f>
        <v>1</v>
      </c>
      <c r="M34" s="447" cm="1">
        <f t="array" ref="M34">SUMPRODUCT(--(ISNUMBER(SEARCH($A34,'Diags Raw Data'!$A$6:$A$3687))),--('Diags Raw Data'!$Q$6:$Q$3687&lt;&gt;"N/A"),'Diags Raw Data'!$R$6:$R$3687)</f>
        <v>1</v>
      </c>
      <c r="N34" s="448" cm="1">
        <f t="array" ref="N34">SUMPRODUCT(--(ISNUMBER(SEARCH($A34,'Diags Raw Data'!$A$6:$A$3687))),--('Diags Raw Data'!$Q$6:$Q$3687&lt;&gt;"N/A"),'Diags Raw Data'!$T$6:$T$3687)+SUMPRODUCT(--(ISNUMBER(SEARCH($A34,'Diags Raw Data'!$A$6:$A$3687))),--('Diags Raw Data'!$Q$6:$Q$3687&lt;&gt;"N/A"),'Diags Raw Data'!$U$6:$U$3687)</f>
        <v>1</v>
      </c>
      <c r="O34" s="449">
        <f t="shared" si="2"/>
        <v>1</v>
      </c>
      <c r="P34" s="450">
        <f>SUMIF('Diags Raw Data'!$A$6:$A$3687,"*"&amp;$A34&amp;"*",'Diags Raw Data'!$Z$6:$Z$3687)</f>
        <v>0</v>
      </c>
      <c r="Q34" s="451">
        <f>SUM(SUMIF('Diags Raw Data'!$A$6:$A$3687,"*"&amp;$A34&amp;"*",'Diags Raw Data'!$AA$6:$AA$3687),SUMIF('Diags Raw Data'!$A$6:$A$3687,"*"&amp;$A34&amp;"*",'Diags Raw Data'!$AB$6:$AB$3687))</f>
        <v>0</v>
      </c>
      <c r="R34" s="452">
        <f t="shared" si="3"/>
        <v>0</v>
      </c>
      <c r="S34" s="452">
        <f t="shared" si="4"/>
        <v>0</v>
      </c>
      <c r="T34" s="453">
        <f t="shared" si="5"/>
        <v>0</v>
      </c>
      <c r="U34" s="416" t="s">
        <v>564</v>
      </c>
      <c r="V34" s="180"/>
    </row>
    <row r="35" spans="1:22" ht="15.75" thickBot="1" x14ac:dyDescent="0.3">
      <c r="A35" s="498" t="s">
        <v>426</v>
      </c>
      <c r="B35" s="412" t="str">
        <f>VLOOKUP(A35,'Feature Raw Data'!$A$3:$B$3996,2,FALSE)</f>
        <v>CCP: Clock gating</v>
      </c>
      <c r="C35" s="413" t="str">
        <f>VLOOKUP(A35,'Feature Raw Data'!$A$3:$C$3996,3,FALSE)</f>
        <v>P3</v>
      </c>
      <c r="D35" s="414" t="str" cm="1">
        <f t="array" ref="D35">_xlfn.TEXTJOIN("",TRUE,IF(ISNUMBER(SEARCH($A35,'Diags Raw Data'!$A$6:$A$3687)),CONCATENATE('Diags Raw Data'!$H$6:$H$3687,", "),""))</f>
        <v xml:space="preserve">psp2.106, </v>
      </c>
      <c r="E35" s="335" t="str">
        <f>VLOOKUP(A35,'Diags Raw Data'!$A$6:$D$3687,4,FALSE)</f>
        <v>CCP</v>
      </c>
      <c r="F35" s="335" t="str">
        <f>VLOOKUP(A35,'Feature Raw Data'!$A$3:$E$3996,5,FALSE)</f>
        <v>Delta</v>
      </c>
      <c r="G35" s="335" t="str">
        <f t="shared" si="0"/>
        <v>Yes</v>
      </c>
      <c r="H35" s="335" t="str">
        <f t="shared" si="1"/>
        <v>Yes</v>
      </c>
      <c r="I35" s="413">
        <f>SUMIF('Diags Raw Data'!$A$6:$A$3687,"*"&amp;$A35&amp;"*",'Diags Raw Data'!$K$6:$K$3687)</f>
        <v>40</v>
      </c>
      <c r="J35" s="415">
        <f>SUMIF('Diags Raw Data'!$A$6:$A$3687,"*"&amp;$A35&amp;"*",'Diags Raw Data'!$L$6:$L$3687)</f>
        <v>1</v>
      </c>
      <c r="K35" s="445" cm="1">
        <f t="array" ref="K35">IF(D35="",0, SUMPRODUCT(--(ISNUMBER(SEARCH($A35,'Diags Raw Data'!$A$6:$A$3687))),'Diags Raw Data'!$L$6:$L$3687,'Diags Raw Data'!$N$6:$N$3687)/J35)</f>
        <v>1</v>
      </c>
      <c r="L35" s="446" cm="1">
        <f t="array" ref="L35">IF(D35="",0, SUMPRODUCT(--(ISNUMBER(SEARCH($A35,'Diags Raw Data'!$A$6:$A$3687))),'Diags Raw Data'!$L$6:$L$3687,'Diags Raw Data'!$P$6:$P$3687)/J35)</f>
        <v>1</v>
      </c>
      <c r="M35" s="447" cm="1">
        <f t="array" ref="M35">SUMPRODUCT(--(ISNUMBER(SEARCH($A35,'Diags Raw Data'!$A$6:$A$3687))),--('Diags Raw Data'!$Q$6:$Q$3687&lt;&gt;"N/A"),'Diags Raw Data'!$R$6:$R$3687)</f>
        <v>1</v>
      </c>
      <c r="N35" s="448" cm="1">
        <f t="array" ref="N35">SUMPRODUCT(--(ISNUMBER(SEARCH($A35,'Diags Raw Data'!$A$6:$A$3687))),--('Diags Raw Data'!$Q$6:$Q$3687&lt;&gt;"N/A"),'Diags Raw Data'!$T$6:$T$3687)+SUMPRODUCT(--(ISNUMBER(SEARCH($A35,'Diags Raw Data'!$A$6:$A$3687))),--('Diags Raw Data'!$Q$6:$Q$3687&lt;&gt;"N/A"),'Diags Raw Data'!$U$6:$U$3687)</f>
        <v>1</v>
      </c>
      <c r="O35" s="449">
        <f t="shared" si="2"/>
        <v>1</v>
      </c>
      <c r="P35" s="450">
        <f>SUMIF('Diags Raw Data'!$A$6:$A$3687,"*"&amp;$A35&amp;"*",'Diags Raw Data'!$Z$6:$Z$3687)</f>
        <v>0</v>
      </c>
      <c r="Q35" s="451">
        <f>SUM(SUMIF('Diags Raw Data'!$A$6:$A$3687,"*"&amp;$A35&amp;"*",'Diags Raw Data'!$AA$6:$AA$3687),SUMIF('Diags Raw Data'!$A$6:$A$3687,"*"&amp;$A35&amp;"*",'Diags Raw Data'!$AB$6:$AB$3687))</f>
        <v>0</v>
      </c>
      <c r="R35" s="452">
        <f t="shared" si="3"/>
        <v>0</v>
      </c>
      <c r="S35" s="452">
        <f t="shared" si="4"/>
        <v>0</v>
      </c>
      <c r="T35" s="453">
        <f t="shared" si="5"/>
        <v>0</v>
      </c>
      <c r="U35" s="416" t="s">
        <v>564</v>
      </c>
      <c r="V35" s="180"/>
    </row>
    <row r="36" spans="1:22" ht="30.75" thickBot="1" x14ac:dyDescent="0.3">
      <c r="A36" s="498" t="s">
        <v>545</v>
      </c>
      <c r="B36" s="412" t="str">
        <f>VLOOKUP(A36,'Feature Raw Data'!$A$3:$B$3996,2,FALSE)</f>
        <v>ASP: MP0CLK gating/deep sleep</v>
      </c>
      <c r="C36" s="413" t="str">
        <f>VLOOKUP(A36,'Feature Raw Data'!$A$3:$C$3996,3,FALSE)</f>
        <v>P3</v>
      </c>
      <c r="D36" s="414" t="str" cm="1">
        <f t="array" ref="D36">_xlfn.TEXTJOIN("",TRUE,IF(ISNUMBER(SEARCH($A36,'Diags Raw Data'!$A$6:$A$3687)),CONCATENATE('Diags Raw Data'!$H$6:$H$3687,", "),""))</f>
        <v/>
      </c>
      <c r="E36" s="335" t="e">
        <f>VLOOKUP(A36,'Diags Raw Data'!$A$6:$D$3687,4,FALSE)</f>
        <v>#N/A</v>
      </c>
      <c r="F36" s="335" t="str">
        <f>VLOOKUP(A36,'Feature Raw Data'!$A$3:$E$3996,5,FALSE)</f>
        <v>Legacy</v>
      </c>
      <c r="G36" s="335" t="str">
        <f t="shared" si="0"/>
        <v>No</v>
      </c>
      <c r="H36" s="335" t="str">
        <f t="shared" si="1"/>
        <v>No</v>
      </c>
      <c r="I36" s="413">
        <f>SUMIF('Diags Raw Data'!$A$6:$A$3687,"*"&amp;$A36&amp;"*",'Diags Raw Data'!$K$6:$K$3687)</f>
        <v>0</v>
      </c>
      <c r="J36" s="415">
        <f>SUMIF('Diags Raw Data'!$A$6:$A$3687,"*"&amp;$A36&amp;"*",'Diags Raw Data'!$L$6:$L$3687)</f>
        <v>0</v>
      </c>
      <c r="K36" s="445" cm="1">
        <f t="array" ref="K36">IF(D36="",0, SUMPRODUCT(--(ISNUMBER(SEARCH($A36,'Diags Raw Data'!$A$6:$A$3687))),'Diags Raw Data'!$L$6:$L$3687,'Diags Raw Data'!$N$6:$N$3687)/J36)</f>
        <v>0</v>
      </c>
      <c r="L36" s="446" cm="1">
        <f t="array" ref="L36">IF(D36="",0, SUMPRODUCT(--(ISNUMBER(SEARCH($A36,'Diags Raw Data'!$A$6:$A$3687))),'Diags Raw Data'!$L$6:$L$3687,'Diags Raw Data'!$P$6:$P$3687)/J36)</f>
        <v>0</v>
      </c>
      <c r="M36" s="447" cm="1">
        <f t="array" ref="M36">SUMPRODUCT(--(ISNUMBER(SEARCH($A36,'Diags Raw Data'!$A$6:$A$3687))),--('Diags Raw Data'!$Q$6:$Q$3687&lt;&gt;"N/A"),'Diags Raw Data'!$R$6:$R$3687)</f>
        <v>0</v>
      </c>
      <c r="N36" s="448" cm="1">
        <f t="array" ref="N36">SUMPRODUCT(--(ISNUMBER(SEARCH($A36,'Diags Raw Data'!$A$6:$A$3687))),--('Diags Raw Data'!$Q$6:$Q$3687&lt;&gt;"N/A"),'Diags Raw Data'!$T$6:$T$3687)+SUMPRODUCT(--(ISNUMBER(SEARCH($A36,'Diags Raw Data'!$A$6:$A$3687))),--('Diags Raw Data'!$Q$6:$Q$3687&lt;&gt;"N/A"),'Diags Raw Data'!$U$6:$U$3687)</f>
        <v>0</v>
      </c>
      <c r="O36" s="449">
        <f t="shared" si="2"/>
        <v>0</v>
      </c>
      <c r="P36" s="450">
        <f>SUMIF('Diags Raw Data'!$A$6:$A$3687,"*"&amp;$A36&amp;"*",'Diags Raw Data'!$Z$6:$Z$3687)</f>
        <v>0</v>
      </c>
      <c r="Q36" s="451">
        <f>SUM(SUMIF('Diags Raw Data'!$A$6:$A$3687,"*"&amp;$A36&amp;"*",'Diags Raw Data'!$AA$6:$AA$3687),SUMIF('Diags Raw Data'!$A$6:$A$3687,"*"&amp;$A36&amp;"*",'Diags Raw Data'!$AB$6:$AB$3687))</f>
        <v>0</v>
      </c>
      <c r="R36" s="452">
        <f t="shared" si="3"/>
        <v>0</v>
      </c>
      <c r="S36" s="452">
        <f t="shared" si="4"/>
        <v>0</v>
      </c>
      <c r="T36" s="453">
        <f t="shared" si="5"/>
        <v>0</v>
      </c>
      <c r="U36" s="411" t="s">
        <v>47</v>
      </c>
      <c r="V36" s="180"/>
    </row>
    <row r="37" spans="1:22" ht="30.75" thickBot="1" x14ac:dyDescent="0.3">
      <c r="A37" s="498" t="s">
        <v>547</v>
      </c>
      <c r="B37" s="412" t="str">
        <f>VLOOKUP(A37,'Feature Raw Data'!$A$3:$B$3996,2,FALSE)</f>
        <v>ASP: SRAM clock gating/deep sleep</v>
      </c>
      <c r="C37" s="413" t="str">
        <f>VLOOKUP(A37,'Feature Raw Data'!$A$3:$C$3996,3,FALSE)</f>
        <v>P3</v>
      </c>
      <c r="D37" s="414" t="str" cm="1">
        <f t="array" ref="D37">_xlfn.TEXTJOIN("",TRUE,IF(ISNUMBER(SEARCH($A37,'Diags Raw Data'!$A$6:$A$3687)),CONCATENATE('Diags Raw Data'!$H$6:$H$3687,", "),""))</f>
        <v/>
      </c>
      <c r="E37" s="335" t="e">
        <f>VLOOKUP(A37,'Diags Raw Data'!$A$6:$D$3687,4,FALSE)</f>
        <v>#N/A</v>
      </c>
      <c r="F37" s="335" t="str">
        <f>VLOOKUP(A37,'Feature Raw Data'!$A$3:$E$3996,5,FALSE)</f>
        <v>Legacy</v>
      </c>
      <c r="G37" s="335" t="str">
        <f t="shared" si="0"/>
        <v>No</v>
      </c>
      <c r="H37" s="335" t="str">
        <f t="shared" si="1"/>
        <v>No</v>
      </c>
      <c r="I37" s="413">
        <f>SUMIF('Diags Raw Data'!$A$6:$A$3687,"*"&amp;$A37&amp;"*",'Diags Raw Data'!$K$6:$K$3687)</f>
        <v>0</v>
      </c>
      <c r="J37" s="415">
        <f>SUMIF('Diags Raw Data'!$A$6:$A$3687,"*"&amp;$A37&amp;"*",'Diags Raw Data'!$L$6:$L$3687)</f>
        <v>0</v>
      </c>
      <c r="K37" s="445" cm="1">
        <f t="array" ref="K37">IF(D37="",0, SUMPRODUCT(--(ISNUMBER(SEARCH($A37,'Diags Raw Data'!$A$6:$A$3687))),'Diags Raw Data'!$L$6:$L$3687,'Diags Raw Data'!$N$6:$N$3687)/J37)</f>
        <v>0</v>
      </c>
      <c r="L37" s="446" cm="1">
        <f t="array" ref="L37">IF(D37="",0, SUMPRODUCT(--(ISNUMBER(SEARCH($A37,'Diags Raw Data'!$A$6:$A$3687))),'Diags Raw Data'!$L$6:$L$3687,'Diags Raw Data'!$P$6:$P$3687)/J37)</f>
        <v>0</v>
      </c>
      <c r="M37" s="447" cm="1">
        <f t="array" ref="M37">SUMPRODUCT(--(ISNUMBER(SEARCH($A37,'Diags Raw Data'!$A$6:$A$3687))),--('Diags Raw Data'!$Q$6:$Q$3687&lt;&gt;"N/A"),'Diags Raw Data'!$R$6:$R$3687)</f>
        <v>0</v>
      </c>
      <c r="N37" s="448" cm="1">
        <f t="array" ref="N37">SUMPRODUCT(--(ISNUMBER(SEARCH($A37,'Diags Raw Data'!$A$6:$A$3687))),--('Diags Raw Data'!$Q$6:$Q$3687&lt;&gt;"N/A"),'Diags Raw Data'!$T$6:$T$3687)+SUMPRODUCT(--(ISNUMBER(SEARCH($A37,'Diags Raw Data'!$A$6:$A$3687))),--('Diags Raw Data'!$Q$6:$Q$3687&lt;&gt;"N/A"),'Diags Raw Data'!$U$6:$U$3687)</f>
        <v>0</v>
      </c>
      <c r="O37" s="449">
        <f t="shared" si="2"/>
        <v>0</v>
      </c>
      <c r="P37" s="450">
        <f>SUMIF('Diags Raw Data'!$A$6:$A$3687,"*"&amp;$A37&amp;"*",'Diags Raw Data'!$Z$6:$Z$3687)</f>
        <v>0</v>
      </c>
      <c r="Q37" s="451">
        <f>SUM(SUMIF('Diags Raw Data'!$A$6:$A$3687,"*"&amp;$A37&amp;"*",'Diags Raw Data'!$AA$6:$AA$3687),SUMIF('Diags Raw Data'!$A$6:$A$3687,"*"&amp;$A37&amp;"*",'Diags Raw Data'!$AB$6:$AB$3687))</f>
        <v>0</v>
      </c>
      <c r="R37" s="452">
        <f t="shared" si="3"/>
        <v>0</v>
      </c>
      <c r="S37" s="452">
        <f t="shared" si="4"/>
        <v>0</v>
      </c>
      <c r="T37" s="453">
        <f t="shared" si="5"/>
        <v>0</v>
      </c>
      <c r="U37" s="411" t="s">
        <v>47</v>
      </c>
      <c r="V37" s="180"/>
    </row>
    <row r="38" spans="1:22" s="185" customFormat="1" x14ac:dyDescent="0.25">
      <c r="A38" s="498" t="s">
        <v>549</v>
      </c>
      <c r="B38" s="412" t="str">
        <f>VLOOKUP(A38,'Feature Raw Data'!$A$3:$B$3996,2,FALSE)</f>
        <v>ASP: Power gating</v>
      </c>
      <c r="C38" s="413" t="str">
        <f>VLOOKUP(A38,'Feature Raw Data'!$A$3:$C$3996,3,FALSE)</f>
        <v>P3</v>
      </c>
      <c r="D38" s="414" t="str" cm="1">
        <f t="array" ref="D38">_xlfn.TEXTJOIN("",TRUE,IF(ISNUMBER(SEARCH($A38,'Diags Raw Data'!$A$6:$A$3687)),CONCATENATE('Diags Raw Data'!$H$6:$H$3687,", "),""))</f>
        <v/>
      </c>
      <c r="E38" s="335" t="e">
        <f>VLOOKUP(A38,'Diags Raw Data'!$A$6:$D$3687,4,FALSE)</f>
        <v>#N/A</v>
      </c>
      <c r="F38" s="335" t="str">
        <f>VLOOKUP(A38,'Feature Raw Data'!$A$3:$E$3996,5,FALSE)</f>
        <v>Legacy</v>
      </c>
      <c r="G38" s="335" t="str">
        <f t="shared" si="0"/>
        <v>No</v>
      </c>
      <c r="H38" s="335" t="str">
        <f t="shared" si="1"/>
        <v>No</v>
      </c>
      <c r="I38" s="413">
        <f>SUMIF('Diags Raw Data'!$A$6:$A$3687,"*"&amp;$A38&amp;"*",'Diags Raw Data'!$K$6:$K$3687)</f>
        <v>0</v>
      </c>
      <c r="J38" s="415">
        <f>SUMIF('Diags Raw Data'!$A$6:$A$3687,"*"&amp;$A38&amp;"*",'Diags Raw Data'!$L$6:$L$3687)</f>
        <v>0</v>
      </c>
      <c r="K38" s="445" cm="1">
        <f t="array" ref="K38">IF(D38="",0, SUMPRODUCT(--(ISNUMBER(SEARCH($A38,'Diags Raw Data'!$A$6:$A$3687))),'Diags Raw Data'!$L$6:$L$3687,'Diags Raw Data'!$N$6:$N$3687)/J38)</f>
        <v>0</v>
      </c>
      <c r="L38" s="446" cm="1">
        <f t="array" ref="L38">IF(D38="",0, SUMPRODUCT(--(ISNUMBER(SEARCH($A38,'Diags Raw Data'!$A$6:$A$3687))),'Diags Raw Data'!$L$6:$L$3687,'Diags Raw Data'!$P$6:$P$3687)/J38)</f>
        <v>0</v>
      </c>
      <c r="M38" s="447" cm="1">
        <f t="array" ref="M38">SUMPRODUCT(--(ISNUMBER(SEARCH($A38,'Diags Raw Data'!$A$6:$A$3687))),--('Diags Raw Data'!$Q$6:$Q$3687&lt;&gt;"N/A"),'Diags Raw Data'!$R$6:$R$3687)</f>
        <v>0</v>
      </c>
      <c r="N38" s="448" cm="1">
        <f t="array" ref="N38">SUMPRODUCT(--(ISNUMBER(SEARCH($A38,'Diags Raw Data'!$A$6:$A$3687))),--('Diags Raw Data'!$Q$6:$Q$3687&lt;&gt;"N/A"),'Diags Raw Data'!$T$6:$T$3687)+SUMPRODUCT(--(ISNUMBER(SEARCH($A38,'Diags Raw Data'!$A$6:$A$3687))),--('Diags Raw Data'!$Q$6:$Q$3687&lt;&gt;"N/A"),'Diags Raw Data'!$U$6:$U$3687)</f>
        <v>0</v>
      </c>
      <c r="O38" s="449">
        <f t="shared" si="2"/>
        <v>0</v>
      </c>
      <c r="P38" s="450">
        <f>SUMIF('Diags Raw Data'!$A$6:$A$3687,"*"&amp;$A38&amp;"*",'Diags Raw Data'!$Z$6:$Z$3687)</f>
        <v>0</v>
      </c>
      <c r="Q38" s="451">
        <f>SUM(SUMIF('Diags Raw Data'!$A$6:$A$3687,"*"&amp;$A38&amp;"*",'Diags Raw Data'!$AA$6:$AA$3687),SUMIF('Diags Raw Data'!$A$6:$A$3687,"*"&amp;$A38&amp;"*",'Diags Raw Data'!$AB$6:$AB$3687))</f>
        <v>0</v>
      </c>
      <c r="R38" s="452">
        <f t="shared" si="3"/>
        <v>0</v>
      </c>
      <c r="S38" s="452">
        <f t="shared" si="4"/>
        <v>0</v>
      </c>
      <c r="T38" s="453">
        <f t="shared" si="5"/>
        <v>0</v>
      </c>
      <c r="U38" s="411" t="s">
        <v>47</v>
      </c>
      <c r="V38" s="184"/>
    </row>
    <row r="39" spans="1:22" x14ac:dyDescent="0.25">
      <c r="A39" s="498" t="s">
        <v>551</v>
      </c>
      <c r="B39" s="412" t="str">
        <f>VLOOKUP(A39,'Feature Raw Data'!$A$3:$B$3996,2,FALSE)</f>
        <v>ASP: HUBIF clock gating</v>
      </c>
      <c r="C39" s="413" t="str">
        <f>VLOOKUP(A39,'Feature Raw Data'!$A$3:$C$3996,3,FALSE)</f>
        <v>P3</v>
      </c>
      <c r="D39" s="414" t="str" cm="1">
        <f t="array" ref="D39">_xlfn.TEXTJOIN("",TRUE,IF(ISNUMBER(SEARCH($A39,'Diags Raw Data'!$A$6:$A$3687)),CONCATENATE('Diags Raw Data'!$H$6:$H$3687,", "),""))</f>
        <v/>
      </c>
      <c r="E39" s="335" t="e">
        <f>VLOOKUP(A39,'Diags Raw Data'!$A$6:$D$3687,4,FALSE)</f>
        <v>#N/A</v>
      </c>
      <c r="F39" s="335" t="str">
        <f>VLOOKUP(A39,'Feature Raw Data'!$A$3:$E$3996,5,FALSE)</f>
        <v>Legacy</v>
      </c>
      <c r="G39" s="335" t="str">
        <f t="shared" ref="G39:G48" si="6">IF(D39="","No","Yes")</f>
        <v>No</v>
      </c>
      <c r="H39" s="335" t="str">
        <f t="shared" ref="H39:H48" si="7">IF(D39="","No","Yes")</f>
        <v>No</v>
      </c>
      <c r="I39" s="413">
        <f>SUMIF('Diags Raw Data'!$A$6:$A$3687,"*"&amp;$A39&amp;"*",'Diags Raw Data'!$K$6:$K$3687)</f>
        <v>0</v>
      </c>
      <c r="J39" s="415">
        <f>SUMIF('Diags Raw Data'!$A$6:$A$3687,"*"&amp;$A39&amp;"*",'Diags Raw Data'!$L$6:$L$3687)</f>
        <v>0</v>
      </c>
      <c r="K39" s="445" cm="1">
        <f t="array" ref="K39">IF(D39="",0, SUMPRODUCT(--(ISNUMBER(SEARCH($A39,'Diags Raw Data'!$A$6:$A$3687))),'Diags Raw Data'!$L$6:$L$3687,'Diags Raw Data'!$N$6:$N$3687)/J39)</f>
        <v>0</v>
      </c>
      <c r="L39" s="446" cm="1">
        <f t="array" ref="L39">IF(D39="",0, SUMPRODUCT(--(ISNUMBER(SEARCH($A39,'Diags Raw Data'!$A$6:$A$3687))),'Diags Raw Data'!$L$6:$L$3687,'Diags Raw Data'!$P$6:$P$3687)/J39)</f>
        <v>0</v>
      </c>
      <c r="M39" s="447" cm="1">
        <f t="array" ref="M39">SUMPRODUCT(--(ISNUMBER(SEARCH($A39,'Diags Raw Data'!$A$6:$A$3687))),--('Diags Raw Data'!$Q$6:$Q$3687&lt;&gt;"N/A"),'Diags Raw Data'!$R$6:$R$3687)</f>
        <v>0</v>
      </c>
      <c r="N39" s="448" cm="1">
        <f t="array" ref="N39">SUMPRODUCT(--(ISNUMBER(SEARCH($A39,'Diags Raw Data'!$A$6:$A$3687))),--('Diags Raw Data'!$Q$6:$Q$3687&lt;&gt;"N/A"),'Diags Raw Data'!$T$6:$T$3687)+SUMPRODUCT(--(ISNUMBER(SEARCH($A39,'Diags Raw Data'!$A$6:$A$3687))),--('Diags Raw Data'!$Q$6:$Q$3687&lt;&gt;"N/A"),'Diags Raw Data'!$U$6:$U$3687)</f>
        <v>0</v>
      </c>
      <c r="O39" s="449">
        <f t="shared" si="2"/>
        <v>0</v>
      </c>
      <c r="P39" s="450">
        <f>SUMIF('Diags Raw Data'!$A$6:$A$3687,"*"&amp;$A39&amp;"*",'Diags Raw Data'!$Z$6:$Z$3687)</f>
        <v>0</v>
      </c>
      <c r="Q39" s="451">
        <f>SUM(SUMIF('Diags Raw Data'!$A$6:$A$3687,"*"&amp;$A39&amp;"*",'Diags Raw Data'!$AA$6:$AA$3687),SUMIF('Diags Raw Data'!$A$6:$A$3687,"*"&amp;$A39&amp;"*",'Diags Raw Data'!$AB$6:$AB$3687))</f>
        <v>0</v>
      </c>
      <c r="R39" s="452">
        <f t="shared" si="3"/>
        <v>0</v>
      </c>
      <c r="S39" s="452">
        <f t="shared" si="4"/>
        <v>0</v>
      </c>
      <c r="T39" s="453">
        <f t="shared" si="5"/>
        <v>0</v>
      </c>
      <c r="U39" s="416" t="s">
        <v>47</v>
      </c>
      <c r="V39" s="180"/>
    </row>
    <row r="40" spans="1:22" ht="45" x14ac:dyDescent="0.25">
      <c r="A40" s="498" t="s">
        <v>403</v>
      </c>
      <c r="B40" s="412" t="str">
        <f>VLOOKUP(A40,'Feature Raw Data'!$A$3:$B$3996,2,FALSE)</f>
        <v>CCP: Module Reset</v>
      </c>
      <c r="C40" s="413" t="str">
        <f>VLOOKUP(A40,'Feature Raw Data'!$A$3:$C$3996,3,FALSE)</f>
        <v>P2</v>
      </c>
      <c r="D40" s="414" t="str" cm="1">
        <f t="array" ref="D40">_xlfn.TEXTJOIN("",TRUE,IF(ISNUMBER(SEARCH($A40,'Diags Raw Data'!$A$6:$A$3687)),CONCATENATE('Diags Raw Data'!$H$6:$H$3687,", "),""))</f>
        <v xml:space="preserve">psp201.3, psp202.3, psp203.3, psp204.3, psp205.3, psp206.3, psp2.201, psp2.202, psp2.203, </v>
      </c>
      <c r="E40" s="335" t="str">
        <f>VLOOKUP(A40,'Diags Raw Data'!$A$6:$D$3687,4,FALSE)</f>
        <v>CCP</v>
      </c>
      <c r="F40" s="335" t="str">
        <f>VLOOKUP(A40,'Feature Raw Data'!$A$3:$E$3996,5,FALSE)</f>
        <v>Delta</v>
      </c>
      <c r="G40" s="335" t="str">
        <f t="shared" si="6"/>
        <v>Yes</v>
      </c>
      <c r="H40" s="335" t="str">
        <f t="shared" si="7"/>
        <v>Yes</v>
      </c>
      <c r="I40" s="413">
        <f>SUMIF('Diags Raw Data'!$A$6:$A$3687,"*"&amp;$A40&amp;"*",'Diags Raw Data'!$K$6:$K$3687)</f>
        <v>216</v>
      </c>
      <c r="J40" s="415">
        <f>SUMIF('Diags Raw Data'!$A$6:$A$3687,"*"&amp;$A40&amp;"*",'Diags Raw Data'!$L$6:$L$3687)</f>
        <v>9</v>
      </c>
      <c r="K40" s="445" cm="1">
        <f t="array" ref="K40">IF(D40="",0, SUMPRODUCT(--(ISNUMBER(SEARCH($A40,'Diags Raw Data'!$A$6:$A$3687))),'Diags Raw Data'!$L$6:$L$3687,'Diags Raw Data'!$N$6:$N$3687)/J40)</f>
        <v>1</v>
      </c>
      <c r="L40" s="446" cm="1">
        <f t="array" ref="L40">IF(D40="",0, SUMPRODUCT(--(ISNUMBER(SEARCH($A40,'Diags Raw Data'!$A$6:$A$3687))),'Diags Raw Data'!$L$6:$L$3687,'Diags Raw Data'!$P$6:$P$3687)/J40)</f>
        <v>1</v>
      </c>
      <c r="M40" s="447" cm="1">
        <f t="array" ref="M40">SUMPRODUCT(--(ISNUMBER(SEARCH($A40,'Diags Raw Data'!$A$6:$A$3687))),--('Diags Raw Data'!$Q$6:$Q$3687&lt;&gt;"N/A"),'Diags Raw Data'!$R$6:$R$3687)</f>
        <v>9</v>
      </c>
      <c r="N40" s="448" cm="1">
        <f t="array" ref="N40">SUMPRODUCT(--(ISNUMBER(SEARCH($A40,'Diags Raw Data'!$A$6:$A$3687))),--('Diags Raw Data'!$Q$6:$Q$3687&lt;&gt;"N/A"),'Diags Raw Data'!$T$6:$T$3687)+SUMPRODUCT(--(ISNUMBER(SEARCH($A40,'Diags Raw Data'!$A$6:$A$3687))),--('Diags Raw Data'!$Q$6:$Q$3687&lt;&gt;"N/A"),'Diags Raw Data'!$U$6:$U$3687)</f>
        <v>9</v>
      </c>
      <c r="O40" s="449">
        <f t="shared" si="2"/>
        <v>1</v>
      </c>
      <c r="P40" s="450">
        <f>SUMIF('Diags Raw Data'!$A$6:$A$3687,"*"&amp;$A40&amp;"*",'Diags Raw Data'!$Z$6:$Z$3687)</f>
        <v>0</v>
      </c>
      <c r="Q40" s="451">
        <f>SUM(SUMIF('Diags Raw Data'!$A$6:$A$3687,"*"&amp;$A40&amp;"*",'Diags Raw Data'!$AA$6:$AA$3687),SUMIF('Diags Raw Data'!$A$6:$A$3687,"*"&amp;$A40&amp;"*",'Diags Raw Data'!$AB$6:$AB$3687))</f>
        <v>0</v>
      </c>
      <c r="R40" s="452">
        <f t="shared" si="3"/>
        <v>0</v>
      </c>
      <c r="S40" s="452">
        <f t="shared" si="4"/>
        <v>0</v>
      </c>
      <c r="T40" s="453">
        <f t="shared" si="5"/>
        <v>0</v>
      </c>
      <c r="U40" s="416" t="s">
        <v>558</v>
      </c>
      <c r="V40" s="180"/>
    </row>
    <row r="41" spans="1:22" x14ac:dyDescent="0.25">
      <c r="A41" s="498" t="s">
        <v>351</v>
      </c>
      <c r="B41" s="412" t="str">
        <f>VLOOKUP(A41,'Feature Raw Data'!$A$3:$B$3996,2,FALSE)</f>
        <v>ASP: SRAM/ROM Disable</v>
      </c>
      <c r="C41" s="413" t="str">
        <f>VLOOKUP(A41,'Feature Raw Data'!$A$3:$C$3996,3,FALSE)</f>
        <v>P1</v>
      </c>
      <c r="D41" s="414" t="str" cm="1">
        <f t="array" ref="D41">_xlfn.TEXTJOIN("",TRUE,IF(ISNUMBER(SEARCH($A41,'Diags Raw Data'!$A$6:$A$3687)),CONCATENATE('Diags Raw Data'!$H$6:$H$3687,", "),""))</f>
        <v xml:space="preserve">psp103, </v>
      </c>
      <c r="E41" s="335" t="str">
        <f>VLOOKUP(A41,'Diags Raw Data'!$A$6:$D$3687,4,FALSE)</f>
        <v>MPASP</v>
      </c>
      <c r="F41" s="335" t="str">
        <f>VLOOKUP(A41,'Feature Raw Data'!$A$3:$E$3996,5,FALSE)</f>
        <v>New</v>
      </c>
      <c r="G41" s="335" t="str">
        <f t="shared" si="6"/>
        <v>Yes</v>
      </c>
      <c r="H41" s="335" t="str">
        <f t="shared" si="7"/>
        <v>Yes</v>
      </c>
      <c r="I41" s="413">
        <f>SUMIF('Diags Raw Data'!$A$6:$A$3687,"*"&amp;$A41&amp;"*",'Diags Raw Data'!$K$6:$K$3687)</f>
        <v>32</v>
      </c>
      <c r="J41" s="415">
        <f>SUMIF('Diags Raw Data'!$A$6:$A$3687,"*"&amp;$A41&amp;"*",'Diags Raw Data'!$L$6:$L$3687)</f>
        <v>1</v>
      </c>
      <c r="K41" s="445" cm="1">
        <f t="array" ref="K41">IF(D41="",0, SUMPRODUCT(--(ISNUMBER(SEARCH($A41,'Diags Raw Data'!$A$6:$A$3687))),'Diags Raw Data'!$L$6:$L$3687,'Diags Raw Data'!$N$6:$N$3687)/J41)</f>
        <v>1</v>
      </c>
      <c r="L41" s="446" cm="1">
        <f t="array" ref="L41">IF(D41="",0, SUMPRODUCT(--(ISNUMBER(SEARCH($A41,'Diags Raw Data'!$A$6:$A$3687))),'Diags Raw Data'!$L$6:$L$3687,'Diags Raw Data'!$P$6:$P$3687)/J41)</f>
        <v>1</v>
      </c>
      <c r="M41" s="447" cm="1">
        <f t="array" ref="M41">SUMPRODUCT(--(ISNUMBER(SEARCH($A41,'Diags Raw Data'!$A$6:$A$3687))),--('Diags Raw Data'!$Q$6:$Q$3687&lt;&gt;"N/A"),'Diags Raw Data'!$R$6:$R$3687)</f>
        <v>1</v>
      </c>
      <c r="N41" s="448" cm="1">
        <f t="array" ref="N41">SUMPRODUCT(--(ISNUMBER(SEARCH($A41,'Diags Raw Data'!$A$6:$A$3687))),--('Diags Raw Data'!$Q$6:$Q$3687&lt;&gt;"N/A"),'Diags Raw Data'!$T$6:$T$3687)+SUMPRODUCT(--(ISNUMBER(SEARCH($A41,'Diags Raw Data'!$A$6:$A$3687))),--('Diags Raw Data'!$Q$6:$Q$3687&lt;&gt;"N/A"),'Diags Raw Data'!$U$6:$U$3687)</f>
        <v>1</v>
      </c>
      <c r="O41" s="449">
        <f t="shared" si="2"/>
        <v>1</v>
      </c>
      <c r="P41" s="450">
        <f>SUMIF('Diags Raw Data'!$A$6:$A$3687,"*"&amp;$A41&amp;"*",'Diags Raw Data'!$Z$6:$Z$3687)</f>
        <v>0</v>
      </c>
      <c r="Q41" s="451">
        <f>SUM(SUMIF('Diags Raw Data'!$A$6:$A$3687,"*"&amp;$A41&amp;"*",'Diags Raw Data'!$AA$6:$AA$3687),SUMIF('Diags Raw Data'!$A$6:$A$3687,"*"&amp;$A41&amp;"*",'Diags Raw Data'!$AB$6:$AB$3687))</f>
        <v>0</v>
      </c>
      <c r="R41" s="452">
        <f t="shared" si="3"/>
        <v>0</v>
      </c>
      <c r="S41" s="452">
        <f t="shared" si="4"/>
        <v>0</v>
      </c>
      <c r="T41" s="453">
        <f t="shared" si="5"/>
        <v>0</v>
      </c>
      <c r="U41" s="416" t="s">
        <v>563</v>
      </c>
      <c r="V41" s="180"/>
    </row>
    <row r="42" spans="1:22" ht="30" x14ac:dyDescent="0.25">
      <c r="A42" s="498" t="s">
        <v>429</v>
      </c>
      <c r="B42" s="412" t="str">
        <f>VLOOKUP(A42,'Feature Raw Data'!$A$3:$B$3996,2,FALSE)</f>
        <v>CCP: Memory range protection</v>
      </c>
      <c r="C42" s="413" t="str">
        <f>VLOOKUP(A42,'Feature Raw Data'!$A$3:$C$3996,3,FALSE)</f>
        <v>P1</v>
      </c>
      <c r="D42" s="414" t="str" cm="1">
        <f t="array" ref="D42">_xlfn.TEXTJOIN("",TRUE,IF(ISNUMBER(SEARCH($A42,'Diags Raw Data'!$A$6:$A$3687)),CONCATENATE('Diags Raw Data'!$H$6:$H$3687,", "),""))</f>
        <v xml:space="preserve">psp2.23, </v>
      </c>
      <c r="E42" s="335" t="str">
        <f>VLOOKUP(A42,'Diags Raw Data'!$A$6:$D$3687,4,FALSE)</f>
        <v>CCP</v>
      </c>
      <c r="F42" s="335" t="str">
        <f>VLOOKUP(A42,'Feature Raw Data'!$A$3:$E$3996,5,FALSE)</f>
        <v>New</v>
      </c>
      <c r="G42" s="335" t="str">
        <f t="shared" si="6"/>
        <v>Yes</v>
      </c>
      <c r="H42" s="335" t="str">
        <f t="shared" si="7"/>
        <v>Yes</v>
      </c>
      <c r="I42" s="413">
        <f>SUMIF('Diags Raw Data'!$A$6:$A$3687,"*"&amp;$A42&amp;"*",'Diags Raw Data'!$K$6:$K$3687)</f>
        <v>40</v>
      </c>
      <c r="J42" s="415">
        <f>SUMIF('Diags Raw Data'!$A$6:$A$3687,"*"&amp;$A42&amp;"*",'Diags Raw Data'!$L$6:$L$3687)</f>
        <v>1</v>
      </c>
      <c r="K42" s="445" cm="1">
        <f t="array" ref="K42">IF(D42="",0, SUMPRODUCT(--(ISNUMBER(SEARCH($A42,'Diags Raw Data'!$A$6:$A$3687))),'Diags Raw Data'!$L$6:$L$3687,'Diags Raw Data'!$N$6:$N$3687)/J42)</f>
        <v>1</v>
      </c>
      <c r="L42" s="446" cm="1">
        <f t="array" ref="L42">IF(D42="",0, SUMPRODUCT(--(ISNUMBER(SEARCH($A42,'Diags Raw Data'!$A$6:$A$3687))),'Diags Raw Data'!$L$6:$L$3687,'Diags Raw Data'!$P$6:$P$3687)/J42)</f>
        <v>1</v>
      </c>
      <c r="M42" s="447" cm="1">
        <f t="array" ref="M42">SUMPRODUCT(--(ISNUMBER(SEARCH($A42,'Diags Raw Data'!$A$6:$A$3687))),--('Diags Raw Data'!$Q$6:$Q$3687&lt;&gt;"N/A"),'Diags Raw Data'!$R$6:$R$3687)</f>
        <v>1</v>
      </c>
      <c r="N42" s="448" cm="1">
        <f t="array" ref="N42">SUMPRODUCT(--(ISNUMBER(SEARCH($A42,'Diags Raw Data'!$A$6:$A$3687))),--('Diags Raw Data'!$Q$6:$Q$3687&lt;&gt;"N/A"),'Diags Raw Data'!$T$6:$T$3687)+SUMPRODUCT(--(ISNUMBER(SEARCH($A42,'Diags Raw Data'!$A$6:$A$3687))),--('Diags Raw Data'!$Q$6:$Q$3687&lt;&gt;"N/A"),'Diags Raw Data'!$U$6:$U$3687)</f>
        <v>1</v>
      </c>
      <c r="O42" s="449">
        <f t="shared" si="2"/>
        <v>1</v>
      </c>
      <c r="P42" s="450">
        <f>SUMIF('Diags Raw Data'!$A$6:$A$3687,"*"&amp;$A42&amp;"*",'Diags Raw Data'!$Z$6:$Z$3687)</f>
        <v>0</v>
      </c>
      <c r="Q42" s="451">
        <f>SUM(SUMIF('Diags Raw Data'!$A$6:$A$3687,"*"&amp;$A42&amp;"*",'Diags Raw Data'!$AA$6:$AA$3687),SUMIF('Diags Raw Data'!$A$6:$A$3687,"*"&amp;$A42&amp;"*",'Diags Raw Data'!$AB$6:$AB$3687))</f>
        <v>0</v>
      </c>
      <c r="R42" s="452">
        <f t="shared" si="3"/>
        <v>0</v>
      </c>
      <c r="S42" s="452">
        <f t="shared" si="4"/>
        <v>0</v>
      </c>
      <c r="T42" s="453">
        <f t="shared" si="5"/>
        <v>0</v>
      </c>
      <c r="U42" s="416" t="s">
        <v>556</v>
      </c>
      <c r="V42" s="180"/>
    </row>
    <row r="43" spans="1:22" ht="30" x14ac:dyDescent="0.25">
      <c r="A43" s="498" t="s">
        <v>433</v>
      </c>
      <c r="B43" s="412" t="str">
        <f>VLOOKUP(A43,'Feature Raw Data'!$A$3:$B$3996,2,FALSE)</f>
        <v>SIB: KSB functional</v>
      </c>
      <c r="C43" s="413" t="str">
        <f>VLOOKUP(A43,'Feature Raw Data'!$A$3:$C$3996,3,FALSE)</f>
        <v>P1</v>
      </c>
      <c r="D43" s="414" t="str" cm="1">
        <f t="array" ref="D43">_xlfn.TEXTJOIN("",TRUE,IF(ISNUMBER(SEARCH($A43,'Diags Raw Data'!$A$6:$A$3687)),CONCATENATE('Diags Raw Data'!$H$6:$H$3687,", "),""))</f>
        <v xml:space="preserve">sib.basic.ksb_access, sib.basic.ksb_attributes, </v>
      </c>
      <c r="E43" s="335" t="str">
        <f>VLOOKUP(A43,'Diags Raw Data'!$A$6:$D$3687,4,FALSE)</f>
        <v>SIB</v>
      </c>
      <c r="F43" s="335" t="str">
        <f>VLOOKUP(A43,'Feature Raw Data'!$A$3:$E$3996,5,FALSE)</f>
        <v>New</v>
      </c>
      <c r="G43" s="335" t="str">
        <f t="shared" si="6"/>
        <v>Yes</v>
      </c>
      <c r="H43" s="335" t="str">
        <f t="shared" si="7"/>
        <v>Yes</v>
      </c>
      <c r="I43" s="413">
        <f>SUMIF('Diags Raw Data'!$A$6:$A$3687,"*"&amp;$A43&amp;"*",'Diags Raw Data'!$K$6:$K$3687)</f>
        <v>80</v>
      </c>
      <c r="J43" s="415">
        <f>SUMIF('Diags Raw Data'!$A$6:$A$3687,"*"&amp;$A43&amp;"*",'Diags Raw Data'!$L$6:$L$3687)</f>
        <v>2</v>
      </c>
      <c r="K43" s="445" cm="1">
        <f t="array" ref="K43">IF(D43="",0, SUMPRODUCT(--(ISNUMBER(SEARCH($A43,'Diags Raw Data'!$A$6:$A$3687))),'Diags Raw Data'!$L$6:$L$3687,'Diags Raw Data'!$N$6:$N$3687)/J43)</f>
        <v>1</v>
      </c>
      <c r="L43" s="446" cm="1">
        <f t="array" ref="L43">IF(D43="",0, SUMPRODUCT(--(ISNUMBER(SEARCH($A43,'Diags Raw Data'!$A$6:$A$3687))),'Diags Raw Data'!$L$6:$L$3687,'Diags Raw Data'!$P$6:$P$3687)/J43)</f>
        <v>1</v>
      </c>
      <c r="M43" s="447" cm="1">
        <f t="array" ref="M43">SUMPRODUCT(--(ISNUMBER(SEARCH($A43,'Diags Raw Data'!$A$6:$A$3687))),--('Diags Raw Data'!$Q$6:$Q$3687&lt;&gt;"N/A"),'Diags Raw Data'!$R$6:$R$3687)</f>
        <v>2</v>
      </c>
      <c r="N43" s="448" cm="1">
        <f t="array" ref="N43">SUMPRODUCT(--(ISNUMBER(SEARCH($A43,'Diags Raw Data'!$A$6:$A$3687))),--('Diags Raw Data'!$Q$6:$Q$3687&lt;&gt;"N/A"),'Diags Raw Data'!$T$6:$T$3687)+SUMPRODUCT(--(ISNUMBER(SEARCH($A43,'Diags Raw Data'!$A$6:$A$3687))),--('Diags Raw Data'!$Q$6:$Q$3687&lt;&gt;"N/A"),'Diags Raw Data'!$U$6:$U$3687)</f>
        <v>2</v>
      </c>
      <c r="O43" s="449">
        <f t="shared" si="2"/>
        <v>1</v>
      </c>
      <c r="P43" s="450">
        <f>SUMIF('Diags Raw Data'!$A$6:$A$3687,"*"&amp;$A43&amp;"*",'Diags Raw Data'!$Z$6:$Z$3687)</f>
        <v>0</v>
      </c>
      <c r="Q43" s="451">
        <f>SUM(SUMIF('Diags Raw Data'!$A$6:$A$3687,"*"&amp;$A43&amp;"*",'Diags Raw Data'!$AA$6:$AA$3687),SUMIF('Diags Raw Data'!$A$6:$A$3687,"*"&amp;$A43&amp;"*",'Diags Raw Data'!$AB$6:$AB$3687))</f>
        <v>0</v>
      </c>
      <c r="R43" s="452">
        <f t="shared" si="3"/>
        <v>0</v>
      </c>
      <c r="S43" s="452">
        <f t="shared" si="4"/>
        <v>0</v>
      </c>
      <c r="T43" s="453">
        <f t="shared" si="5"/>
        <v>0</v>
      </c>
      <c r="U43" s="416" t="s">
        <v>556</v>
      </c>
      <c r="V43" s="180"/>
    </row>
    <row r="44" spans="1:22" x14ac:dyDescent="0.25">
      <c r="A44" s="498" t="s">
        <v>444</v>
      </c>
      <c r="B44" s="412" t="str">
        <f>VLOOKUP(A44,'Feature Raw Data'!$A$3:$B$3996,2,FALSE)</f>
        <v>SIB: KSB errors</v>
      </c>
      <c r="C44" s="413" t="str">
        <f>VLOOKUP(A44,'Feature Raw Data'!$A$3:$C$3996,3,FALSE)</f>
        <v>P2</v>
      </c>
      <c r="D44" s="414" t="str" cm="1">
        <f t="array" ref="D44">_xlfn.TEXTJOIN("",TRUE,IF(ISNUMBER(SEARCH($A44,'Diags Raw Data'!$A$6:$A$3687)),CONCATENATE('Diags Raw Data'!$H$6:$H$3687,", "),""))</f>
        <v xml:space="preserve">sib.basic.ksb_attributes, </v>
      </c>
      <c r="E44" s="335" t="str">
        <f>VLOOKUP(A44,'Diags Raw Data'!$A$6:$D$3687,4,FALSE)</f>
        <v>SIB</v>
      </c>
      <c r="F44" s="335" t="str">
        <f>VLOOKUP(A44,'Feature Raw Data'!$A$3:$E$3996,5,FALSE)</f>
        <v>New</v>
      </c>
      <c r="G44" s="335" t="str">
        <f t="shared" si="6"/>
        <v>Yes</v>
      </c>
      <c r="H44" s="335" t="str">
        <f t="shared" si="7"/>
        <v>Yes</v>
      </c>
      <c r="I44" s="413">
        <f>SUMIF('Diags Raw Data'!$A$6:$A$3687,"*"&amp;$A44&amp;"*",'Diags Raw Data'!$K$6:$K$3687)</f>
        <v>40</v>
      </c>
      <c r="J44" s="415">
        <f>SUMIF('Diags Raw Data'!$A$6:$A$3687,"*"&amp;$A44&amp;"*",'Diags Raw Data'!$L$6:$L$3687)</f>
        <v>1</v>
      </c>
      <c r="K44" s="445" cm="1">
        <f t="array" ref="K44">IF(D44="",0, SUMPRODUCT(--(ISNUMBER(SEARCH($A44,'Diags Raw Data'!$A$6:$A$3687))),'Diags Raw Data'!$L$6:$L$3687,'Diags Raw Data'!$N$6:$N$3687)/J44)</f>
        <v>1</v>
      </c>
      <c r="L44" s="446" cm="1">
        <f t="array" ref="L44">IF(D44="",0, SUMPRODUCT(--(ISNUMBER(SEARCH($A44,'Diags Raw Data'!$A$6:$A$3687))),'Diags Raw Data'!$L$6:$L$3687,'Diags Raw Data'!$P$6:$P$3687)/J44)</f>
        <v>1</v>
      </c>
      <c r="M44" s="447" cm="1">
        <f t="array" ref="M44">SUMPRODUCT(--(ISNUMBER(SEARCH($A44,'Diags Raw Data'!$A$6:$A$3687))),--('Diags Raw Data'!$Q$6:$Q$3687&lt;&gt;"N/A"),'Diags Raw Data'!$R$6:$R$3687)</f>
        <v>1</v>
      </c>
      <c r="N44" s="448" cm="1">
        <f t="array" ref="N44">SUMPRODUCT(--(ISNUMBER(SEARCH($A44,'Diags Raw Data'!$A$6:$A$3687))),--('Diags Raw Data'!$Q$6:$Q$3687&lt;&gt;"N/A"),'Diags Raw Data'!$T$6:$T$3687)+SUMPRODUCT(--(ISNUMBER(SEARCH($A44,'Diags Raw Data'!$A$6:$A$3687))),--('Diags Raw Data'!$Q$6:$Q$3687&lt;&gt;"N/A"),'Diags Raw Data'!$U$6:$U$3687)</f>
        <v>1</v>
      </c>
      <c r="O44" s="449">
        <f t="shared" si="2"/>
        <v>1</v>
      </c>
      <c r="P44" s="450">
        <f>SUMIF('Diags Raw Data'!$A$6:$A$3687,"*"&amp;$A44&amp;"*",'Diags Raw Data'!$Z$6:$Z$3687)</f>
        <v>0</v>
      </c>
      <c r="Q44" s="451">
        <f>SUM(SUMIF('Diags Raw Data'!$A$6:$A$3687,"*"&amp;$A44&amp;"*",'Diags Raw Data'!$AA$6:$AA$3687),SUMIF('Diags Raw Data'!$A$6:$A$3687,"*"&amp;$A44&amp;"*",'Diags Raw Data'!$AB$6:$AB$3687))</f>
        <v>0</v>
      </c>
      <c r="R44" s="452">
        <f t="shared" si="3"/>
        <v>0</v>
      </c>
      <c r="S44" s="452">
        <f t="shared" si="4"/>
        <v>0</v>
      </c>
      <c r="T44" s="453">
        <f t="shared" si="5"/>
        <v>0</v>
      </c>
      <c r="U44" s="416" t="s">
        <v>565</v>
      </c>
      <c r="V44" s="180"/>
    </row>
    <row r="45" spans="1:22" ht="30" x14ac:dyDescent="0.25">
      <c r="A45" s="498" t="s">
        <v>447</v>
      </c>
      <c r="B45" s="412" t="str">
        <f>VLOOKUP(A45,'Feature Raw Data'!$A$3:$B$3996,2,FALSE)</f>
        <v>SIB: ISB functional</v>
      </c>
      <c r="C45" s="413" t="str">
        <f>VLOOKUP(A45,'Feature Raw Data'!$A$3:$C$3996,3,FALSE)</f>
        <v>P1</v>
      </c>
      <c r="D45" s="414" t="str" cm="1">
        <f t="array" ref="D45">_xlfn.TEXTJOIN("",TRUE,IF(ISNUMBER(SEARCH($A45,'Diags Raw Data'!$A$6:$A$3687)),CONCATENATE('Diags Raw Data'!$H$6:$H$3687,", "),""))</f>
        <v xml:space="preserve">sib.basic.isb_access, sib.basic.pkdb.isb_sram_clearing, </v>
      </c>
      <c r="E45" s="335" t="str">
        <f>VLOOKUP(A45,'Diags Raw Data'!$A$6:$D$3687,4,FALSE)</f>
        <v>SIB</v>
      </c>
      <c r="F45" s="335" t="str">
        <f>VLOOKUP(A45,'Feature Raw Data'!$A$3:$E$3996,5,FALSE)</f>
        <v>New</v>
      </c>
      <c r="G45" s="335" t="str">
        <f t="shared" si="6"/>
        <v>Yes</v>
      </c>
      <c r="H45" s="335" t="str">
        <f t="shared" si="7"/>
        <v>Yes</v>
      </c>
      <c r="I45" s="413">
        <f>SUMIF('Diags Raw Data'!$A$6:$A$3687,"*"&amp;$A45&amp;"*",'Diags Raw Data'!$K$6:$K$3687)</f>
        <v>64</v>
      </c>
      <c r="J45" s="415">
        <f>SUMIF('Diags Raw Data'!$A$6:$A$3687,"*"&amp;$A45&amp;"*",'Diags Raw Data'!$L$6:$L$3687)</f>
        <v>2</v>
      </c>
      <c r="K45" s="445" cm="1">
        <f t="array" ref="K45">IF(D45="",0, SUMPRODUCT(--(ISNUMBER(SEARCH($A45,'Diags Raw Data'!$A$6:$A$3687))),'Diags Raw Data'!$L$6:$L$3687,'Diags Raw Data'!$N$6:$N$3687)/J45)</f>
        <v>1</v>
      </c>
      <c r="L45" s="446" cm="1">
        <f t="array" ref="L45">IF(D45="",0, SUMPRODUCT(--(ISNUMBER(SEARCH($A45,'Diags Raw Data'!$A$6:$A$3687))),'Diags Raw Data'!$L$6:$L$3687,'Diags Raw Data'!$P$6:$P$3687)/J45)</f>
        <v>1</v>
      </c>
      <c r="M45" s="447" cm="1">
        <f t="array" ref="M45">SUMPRODUCT(--(ISNUMBER(SEARCH($A45,'Diags Raw Data'!$A$6:$A$3687))),--('Diags Raw Data'!$Q$6:$Q$3687&lt;&gt;"N/A"),'Diags Raw Data'!$R$6:$R$3687)</f>
        <v>2</v>
      </c>
      <c r="N45" s="448" cm="1">
        <f t="array" ref="N45">SUMPRODUCT(--(ISNUMBER(SEARCH($A45,'Diags Raw Data'!$A$6:$A$3687))),--('Diags Raw Data'!$Q$6:$Q$3687&lt;&gt;"N/A"),'Diags Raw Data'!$T$6:$T$3687)+SUMPRODUCT(--(ISNUMBER(SEARCH($A45,'Diags Raw Data'!$A$6:$A$3687))),--('Diags Raw Data'!$Q$6:$Q$3687&lt;&gt;"N/A"),'Diags Raw Data'!$U$6:$U$3687)</f>
        <v>2</v>
      </c>
      <c r="O45" s="449">
        <f t="shared" si="2"/>
        <v>1</v>
      </c>
      <c r="P45" s="450">
        <f>SUMIF('Diags Raw Data'!$A$6:$A$3687,"*"&amp;$A45&amp;"*",'Diags Raw Data'!$Z$6:$Z$3687)</f>
        <v>0</v>
      </c>
      <c r="Q45" s="451">
        <f>SUM(SUMIF('Diags Raw Data'!$A$6:$A$3687,"*"&amp;$A45&amp;"*",'Diags Raw Data'!$AA$6:$AA$3687),SUMIF('Diags Raw Data'!$A$6:$A$3687,"*"&amp;$A45&amp;"*",'Diags Raw Data'!$AB$6:$AB$3687))</f>
        <v>0</v>
      </c>
      <c r="R45" s="452">
        <f t="shared" si="3"/>
        <v>0</v>
      </c>
      <c r="S45" s="452">
        <f t="shared" si="4"/>
        <v>0</v>
      </c>
      <c r="T45" s="453">
        <f t="shared" si="5"/>
        <v>0</v>
      </c>
      <c r="U45" s="416" t="s">
        <v>556</v>
      </c>
      <c r="V45" s="180"/>
    </row>
    <row r="46" spans="1:22" x14ac:dyDescent="0.25">
      <c r="A46" s="498" t="s">
        <v>453</v>
      </c>
      <c r="B46" s="412" t="str">
        <f>VLOOKUP(A46,'Feature Raw Data'!$A$3:$B$3996,2,FALSE)</f>
        <v>SIB: ISB errors</v>
      </c>
      <c r="C46" s="413" t="str">
        <f>VLOOKUP(A46,'Feature Raw Data'!$A$3:$C$3996,3,FALSE)</f>
        <v>P2</v>
      </c>
      <c r="D46" s="414" t="str" cm="1">
        <f t="array" ref="D46">_xlfn.TEXTJOIN("",TRUE,IF(ISNUMBER(SEARCH($A46,'Diags Raw Data'!$A$6:$A$3687)),CONCATENATE('Diags Raw Data'!$H$6:$H$3687,", "),""))</f>
        <v xml:space="preserve">TestID.PlaceHolder.49, </v>
      </c>
      <c r="E46" s="335" t="str">
        <f>VLOOKUP(A46,'Diags Raw Data'!$A$6:$D$3687,4,FALSE)</f>
        <v>SIB</v>
      </c>
      <c r="F46" s="335" t="str">
        <f>VLOOKUP(A46,'Feature Raw Data'!$A$3:$E$3996,5,FALSE)</f>
        <v>New</v>
      </c>
      <c r="G46" s="335" t="str">
        <f t="shared" si="6"/>
        <v>Yes</v>
      </c>
      <c r="H46" s="335" t="str">
        <f t="shared" si="7"/>
        <v>Yes</v>
      </c>
      <c r="I46" s="413">
        <f>SUMIF('Diags Raw Data'!$A$6:$A$3687,"*"&amp;$A46&amp;"*",'Diags Raw Data'!$K$6:$K$3687)</f>
        <v>24</v>
      </c>
      <c r="J46" s="415">
        <f>SUMIF('Diags Raw Data'!$A$6:$A$3687,"*"&amp;$A46&amp;"*",'Diags Raw Data'!$L$6:$L$3687)</f>
        <v>1</v>
      </c>
      <c r="K46" s="445" cm="1">
        <f t="array" ref="K46">IF(D46="",0, SUMPRODUCT(--(ISNUMBER(SEARCH($A46,'Diags Raw Data'!$A$6:$A$3687))),'Diags Raw Data'!$L$6:$L$3687,'Diags Raw Data'!$N$6:$N$3687)/J46)</f>
        <v>1</v>
      </c>
      <c r="L46" s="446" cm="1">
        <f t="array" ref="L46">IF(D46="",0, SUMPRODUCT(--(ISNUMBER(SEARCH($A46,'Diags Raw Data'!$A$6:$A$3687))),'Diags Raw Data'!$L$6:$L$3687,'Diags Raw Data'!$P$6:$P$3687)/J46)</f>
        <v>0</v>
      </c>
      <c r="M46" s="447" cm="1">
        <f t="array" ref="M46">SUMPRODUCT(--(ISNUMBER(SEARCH($A46,'Diags Raw Data'!$A$6:$A$3687))),--('Diags Raw Data'!$Q$6:$Q$3687&lt;&gt;"N/A"),'Diags Raw Data'!$R$6:$R$3687)</f>
        <v>1</v>
      </c>
      <c r="N46" s="448" cm="1">
        <f t="array" ref="N46">SUMPRODUCT(--(ISNUMBER(SEARCH($A46,'Diags Raw Data'!$A$6:$A$3687))),--('Diags Raw Data'!$Q$6:$Q$3687&lt;&gt;"N/A"),'Diags Raw Data'!$T$6:$T$3687)+SUMPRODUCT(--(ISNUMBER(SEARCH($A46,'Diags Raw Data'!$A$6:$A$3687))),--('Diags Raw Data'!$Q$6:$Q$3687&lt;&gt;"N/A"),'Diags Raw Data'!$U$6:$U$3687)</f>
        <v>0</v>
      </c>
      <c r="O46" s="449">
        <f t="shared" si="2"/>
        <v>0</v>
      </c>
      <c r="P46" s="450">
        <f>SUMIF('Diags Raw Data'!$A$6:$A$3687,"*"&amp;$A46&amp;"*",'Diags Raw Data'!$Z$6:$Z$3687)</f>
        <v>0</v>
      </c>
      <c r="Q46" s="451">
        <f>SUM(SUMIF('Diags Raw Data'!$A$6:$A$3687,"*"&amp;$A46&amp;"*",'Diags Raw Data'!$AA$6:$AA$3687),SUMIF('Diags Raw Data'!$A$6:$A$3687,"*"&amp;$A46&amp;"*",'Diags Raw Data'!$AB$6:$AB$3687))</f>
        <v>0</v>
      </c>
      <c r="R46" s="452">
        <f t="shared" si="3"/>
        <v>0</v>
      </c>
      <c r="S46" s="452">
        <f t="shared" si="4"/>
        <v>0</v>
      </c>
      <c r="T46" s="453">
        <f t="shared" si="5"/>
        <v>0</v>
      </c>
      <c r="U46" s="416" t="s">
        <v>565</v>
      </c>
      <c r="V46" s="180"/>
    </row>
    <row r="47" spans="1:22" ht="30" x14ac:dyDescent="0.25">
      <c r="A47" s="498" t="s">
        <v>457</v>
      </c>
      <c r="B47" s="412" t="str">
        <f>VLOOKUP(A47,'Feature Raw Data'!$A$3:$B$3996,2,FALSE)</f>
        <v>SIB: TRNG, Health check function, and DRBG function</v>
      </c>
      <c r="C47" s="413" t="str">
        <f>VLOOKUP(A47,'Feature Raw Data'!$A$3:$C$3996,3,FALSE)</f>
        <v>P1</v>
      </c>
      <c r="D47" s="414" t="str" cm="1">
        <f t="array" ref="D47">_xlfn.TEXTJOIN("",TRUE,IF(ISNUMBER(SEARCH($A47,'Diags Raw Data'!$A$6:$A$3687)),CONCATENATE('Diags Raw Data'!$H$6:$H$3687,", "),""))</f>
        <v xml:space="preserve">psp2.9, psp2.17, </v>
      </c>
      <c r="E47" s="335" t="str">
        <f>VLOOKUP(A47,'Diags Raw Data'!$A$6:$D$3687,4,FALSE)</f>
        <v>SIB</v>
      </c>
      <c r="F47" s="335" t="str">
        <f>VLOOKUP(A47,'Feature Raw Data'!$A$3:$E$3996,5,FALSE)</f>
        <v>Delta</v>
      </c>
      <c r="G47" s="335" t="str">
        <f t="shared" si="6"/>
        <v>Yes</v>
      </c>
      <c r="H47" s="335" t="str">
        <f t="shared" si="7"/>
        <v>Yes</v>
      </c>
      <c r="I47" s="413">
        <f>SUMIF('Diags Raw Data'!$A$6:$A$3687,"*"&amp;$A47&amp;"*",'Diags Raw Data'!$K$6:$K$3687)</f>
        <v>64</v>
      </c>
      <c r="J47" s="415">
        <f>SUMIF('Diags Raw Data'!$A$6:$A$3687,"*"&amp;$A47&amp;"*",'Diags Raw Data'!$L$6:$L$3687)</f>
        <v>2</v>
      </c>
      <c r="K47" s="445" cm="1">
        <f t="array" ref="K47">IF(D47="",0, SUMPRODUCT(--(ISNUMBER(SEARCH($A47,'Diags Raw Data'!$A$6:$A$3687))),'Diags Raw Data'!$L$6:$L$3687,'Diags Raw Data'!$N$6:$N$3687)/J47)</f>
        <v>1</v>
      </c>
      <c r="L47" s="446" cm="1">
        <f t="array" ref="L47">IF(D47="",0, SUMPRODUCT(--(ISNUMBER(SEARCH($A47,'Diags Raw Data'!$A$6:$A$3687))),'Diags Raw Data'!$L$6:$L$3687,'Diags Raw Data'!$P$6:$P$3687)/J47)</f>
        <v>1</v>
      </c>
      <c r="M47" s="447" cm="1">
        <f t="array" ref="M47">SUMPRODUCT(--(ISNUMBER(SEARCH($A47,'Diags Raw Data'!$A$6:$A$3687))),--('Diags Raw Data'!$Q$6:$Q$3687&lt;&gt;"N/A"),'Diags Raw Data'!$R$6:$R$3687)</f>
        <v>2</v>
      </c>
      <c r="N47" s="448" cm="1">
        <f t="array" ref="N47">SUMPRODUCT(--(ISNUMBER(SEARCH($A47,'Diags Raw Data'!$A$6:$A$3687))),--('Diags Raw Data'!$Q$6:$Q$3687&lt;&gt;"N/A"),'Diags Raw Data'!$T$6:$T$3687)+SUMPRODUCT(--(ISNUMBER(SEARCH($A47,'Diags Raw Data'!$A$6:$A$3687))),--('Diags Raw Data'!$Q$6:$Q$3687&lt;&gt;"N/A"),'Diags Raw Data'!$U$6:$U$3687)</f>
        <v>2</v>
      </c>
      <c r="O47" s="449">
        <f t="shared" si="2"/>
        <v>1</v>
      </c>
      <c r="P47" s="450">
        <f>SUMIF('Diags Raw Data'!$A$6:$A$3687,"*"&amp;$A47&amp;"*",'Diags Raw Data'!$Z$6:$Z$3687)</f>
        <v>0</v>
      </c>
      <c r="Q47" s="451">
        <f>SUM(SUMIF('Diags Raw Data'!$A$6:$A$3687,"*"&amp;$A47&amp;"*",'Diags Raw Data'!$AA$6:$AA$3687),SUMIF('Diags Raw Data'!$A$6:$A$3687,"*"&amp;$A47&amp;"*",'Diags Raw Data'!$AB$6:$AB$3687))</f>
        <v>0</v>
      </c>
      <c r="R47" s="452">
        <f t="shared" si="3"/>
        <v>0</v>
      </c>
      <c r="S47" s="452">
        <f t="shared" si="4"/>
        <v>0</v>
      </c>
      <c r="T47" s="453">
        <f t="shared" si="5"/>
        <v>0</v>
      </c>
      <c r="U47" s="416" t="s">
        <v>556</v>
      </c>
      <c r="V47" s="180"/>
    </row>
    <row r="48" spans="1:22" x14ac:dyDescent="0.25">
      <c r="A48" s="498" t="s">
        <v>463</v>
      </c>
      <c r="B48" s="412" t="str">
        <f>VLOOKUP(A48,'Feature Raw Data'!$A$3:$B$3996,2,FALSE)</f>
        <v>SIB: WDT</v>
      </c>
      <c r="C48" s="413" t="str">
        <f>VLOOKUP(A48,'Feature Raw Data'!$A$3:$C$3996,3,FALSE)</f>
        <v>P2</v>
      </c>
      <c r="D48" s="414" t="str" cm="1">
        <f t="array" ref="D48">_xlfn.TEXTJOIN("",TRUE,IF(ISNUMBER(SEARCH($A48,'Diags Raw Data'!$A$6:$A$3687)),CONCATENATE('Diags Raw Data'!$H$6:$H$3687,", "),""))</f>
        <v xml:space="preserve">psp1.27, </v>
      </c>
      <c r="E48" s="335" t="str">
        <f>VLOOKUP(A48,'Diags Raw Data'!$A$6:$D$3687,4,FALSE)</f>
        <v>SIB</v>
      </c>
      <c r="F48" s="335" t="str">
        <f>VLOOKUP(A48,'Feature Raw Data'!$A$3:$E$3996,5,FALSE)</f>
        <v>New</v>
      </c>
      <c r="G48" s="335" t="str">
        <f t="shared" si="6"/>
        <v>Yes</v>
      </c>
      <c r="H48" s="335" t="str">
        <f t="shared" si="7"/>
        <v>Yes</v>
      </c>
      <c r="I48" s="413">
        <f>SUMIF('Diags Raw Data'!$A$6:$A$3687,"*"&amp;$A48&amp;"*",'Diags Raw Data'!$K$6:$K$3687)</f>
        <v>32</v>
      </c>
      <c r="J48" s="415">
        <f>SUMIF('Diags Raw Data'!$A$6:$A$3687,"*"&amp;$A48&amp;"*",'Diags Raw Data'!$L$6:$L$3687)</f>
        <v>1</v>
      </c>
      <c r="K48" s="445" cm="1">
        <f t="array" ref="K48">IF(D48="",0, SUMPRODUCT(--(ISNUMBER(SEARCH($A48,'Diags Raw Data'!$A$6:$A$3687))),'Diags Raw Data'!$L$6:$L$3687,'Diags Raw Data'!$N$6:$N$3687)/J48)</f>
        <v>1</v>
      </c>
      <c r="L48" s="446" cm="1">
        <f t="array" ref="L48">IF(D48="",0, SUMPRODUCT(--(ISNUMBER(SEARCH($A48,'Diags Raw Data'!$A$6:$A$3687))),'Diags Raw Data'!$L$6:$L$3687,'Diags Raw Data'!$P$6:$P$3687)/J48)</f>
        <v>1</v>
      </c>
      <c r="M48" s="447" cm="1">
        <f t="array" ref="M48">SUMPRODUCT(--(ISNUMBER(SEARCH($A48,'Diags Raw Data'!$A$6:$A$3687))),--('Diags Raw Data'!$Q$6:$Q$3687&lt;&gt;"N/A"),'Diags Raw Data'!$R$6:$R$3687)</f>
        <v>1</v>
      </c>
      <c r="N48" s="448" cm="1">
        <f t="array" ref="N48">SUMPRODUCT(--(ISNUMBER(SEARCH($A48,'Diags Raw Data'!$A$6:$A$3687))),--('Diags Raw Data'!$Q$6:$Q$3687&lt;&gt;"N/A"),'Diags Raw Data'!$T$6:$T$3687)+SUMPRODUCT(--(ISNUMBER(SEARCH($A48,'Diags Raw Data'!$A$6:$A$3687))),--('Diags Raw Data'!$Q$6:$Q$3687&lt;&gt;"N/A"),'Diags Raw Data'!$U$6:$U$3687)</f>
        <v>1</v>
      </c>
      <c r="O48" s="449">
        <f t="shared" si="2"/>
        <v>1</v>
      </c>
      <c r="P48" s="450">
        <f>SUMIF('Diags Raw Data'!$A$6:$A$3687,"*"&amp;$A48&amp;"*",'Diags Raw Data'!$Z$6:$Z$3687)</f>
        <v>0</v>
      </c>
      <c r="Q48" s="451">
        <f>SUM(SUMIF('Diags Raw Data'!$A$6:$A$3687,"*"&amp;$A48&amp;"*",'Diags Raw Data'!$AA$6:$AA$3687),SUMIF('Diags Raw Data'!$A$6:$A$3687,"*"&amp;$A48&amp;"*",'Diags Raw Data'!$AB$6:$AB$3687))</f>
        <v>0</v>
      </c>
      <c r="R48" s="452">
        <f t="shared" si="3"/>
        <v>0</v>
      </c>
      <c r="S48" s="452">
        <f t="shared" si="4"/>
        <v>0</v>
      </c>
      <c r="T48" s="453">
        <f t="shared" si="5"/>
        <v>0</v>
      </c>
      <c r="U48" s="416" t="s">
        <v>562</v>
      </c>
      <c r="V48" s="180"/>
    </row>
    <row r="49" spans="1:22" x14ac:dyDescent="0.25">
      <c r="A49" s="498" t="s">
        <v>467</v>
      </c>
      <c r="B49" s="412" t="str">
        <f>VLOOKUP(A49,'Feature Raw Data'!$A$3:$B$3996,2,FALSE)</f>
        <v>CCP: SHA3 Frame Size Update</v>
      </c>
      <c r="C49" s="413" t="str">
        <f>VLOOKUP(A49,'Feature Raw Data'!$A$3:$C$3996,3,FALSE)</f>
        <v>P2</v>
      </c>
      <c r="D49" s="414" t="str" cm="1">
        <f t="array" ref="D49">_xlfn.TEXTJOIN("",TRUE,IF(ISNUMBER(SEARCH($A49,'Diags Raw Data'!$A$6:$A$3687)),CONCATENATE('Diags Raw Data'!$H$6:$H$3687,", "),""))</f>
        <v xml:space="preserve">psp203.4, </v>
      </c>
      <c r="E49" s="335" t="str">
        <f>VLOOKUP(A49,'Diags Raw Data'!$A$6:$D$3687,4,FALSE)</f>
        <v>CCP</v>
      </c>
      <c r="F49" s="335" t="str">
        <f>VLOOKUP(A49,'Feature Raw Data'!$A$3:$E$3996,5,FALSE)</f>
        <v>Delta</v>
      </c>
      <c r="G49" s="335" t="str">
        <f t="shared" ref="G49:G55" si="8">IF(D49="","No","Yes")</f>
        <v>Yes</v>
      </c>
      <c r="H49" s="335" t="str">
        <f t="shared" ref="H49:H55" si="9">IF(D49="","No","Yes")</f>
        <v>Yes</v>
      </c>
      <c r="I49" s="413">
        <f>SUMIF('Diags Raw Data'!$A$6:$A$3687,"*"&amp;$A49&amp;"*",'Diags Raw Data'!$K$6:$K$3687)</f>
        <v>32</v>
      </c>
      <c r="J49" s="415">
        <f>SUMIF('Diags Raw Data'!$A$6:$A$3687,"*"&amp;$A49&amp;"*",'Diags Raw Data'!$L$6:$L$3687)</f>
        <v>1</v>
      </c>
      <c r="K49" s="445" cm="1">
        <f t="array" ref="K49">IF(D49="",0, SUMPRODUCT(--(ISNUMBER(SEARCH($A49,'Diags Raw Data'!$A$6:$A$3687))),'Diags Raw Data'!$L$6:$L$3687,'Diags Raw Data'!$N$6:$N$3687)/J49)</f>
        <v>1</v>
      </c>
      <c r="L49" s="446" cm="1">
        <f t="array" ref="L49">IF(D49="",0, SUMPRODUCT(--(ISNUMBER(SEARCH($A49,'Diags Raw Data'!$A$6:$A$3687))),'Diags Raw Data'!$L$6:$L$3687,'Diags Raw Data'!$P$6:$P$3687)/J49)</f>
        <v>1</v>
      </c>
      <c r="M49" s="447" cm="1">
        <f t="array" ref="M49">SUMPRODUCT(--(ISNUMBER(SEARCH($A49,'Diags Raw Data'!$A$6:$A$3687))),--('Diags Raw Data'!$Q$6:$Q$3687&lt;&gt;"N/A"),'Diags Raw Data'!$R$6:$R$3687)</f>
        <v>1</v>
      </c>
      <c r="N49" s="448" cm="1">
        <f t="array" ref="N49">SUMPRODUCT(--(ISNUMBER(SEARCH($A49,'Diags Raw Data'!$A$6:$A$3687))),--('Diags Raw Data'!$Q$6:$Q$3687&lt;&gt;"N/A"),'Diags Raw Data'!$T$6:$T$3687)+SUMPRODUCT(--(ISNUMBER(SEARCH($A49,'Diags Raw Data'!$A$6:$A$3687))),--('Diags Raw Data'!$Q$6:$Q$3687&lt;&gt;"N/A"),'Diags Raw Data'!$U$6:$U$3687)</f>
        <v>1</v>
      </c>
      <c r="O49" s="449">
        <f t="shared" ref="O49:O55" si="10">IF((M49=0),0,N49/M49)</f>
        <v>1</v>
      </c>
      <c r="P49" s="450">
        <f>SUMIF('Diags Raw Data'!$A$6:$A$3687,"*"&amp;$A49&amp;"*",'Diags Raw Data'!$Z$6:$Z$3687)</f>
        <v>0</v>
      </c>
      <c r="Q49" s="451">
        <f>SUM(SUMIF('Diags Raw Data'!$A$6:$A$3687,"*"&amp;$A49&amp;"*",'Diags Raw Data'!$AA$6:$AA$3687),SUMIF('Diags Raw Data'!$A$6:$A$3687,"*"&amp;$A49&amp;"*",'Diags Raw Data'!$AB$6:$AB$3687))</f>
        <v>0</v>
      </c>
      <c r="R49" s="452">
        <f t="shared" ref="R49:R55" si="11">IF((J49=0),0,P49/J49)</f>
        <v>0</v>
      </c>
      <c r="S49" s="452">
        <f t="shared" ref="S49:S55" si="12">IF((P49=0),0,Q49/P49)</f>
        <v>0</v>
      </c>
      <c r="T49" s="453">
        <f t="shared" ref="T49:T55" si="13">R49*S49</f>
        <v>0</v>
      </c>
      <c r="U49" s="416" t="s">
        <v>556</v>
      </c>
      <c r="V49" s="180"/>
    </row>
    <row r="50" spans="1:22" ht="30" x14ac:dyDescent="0.25">
      <c r="A50" s="498" t="s">
        <v>471</v>
      </c>
      <c r="B50" s="412" t="str">
        <f>VLOOKUP(A50,'Feature Raw Data'!$A$3:$B$3996,2,FALSE)</f>
        <v>CCP: SHA-PT Destination Address Pointer</v>
      </c>
      <c r="C50" s="413" t="str">
        <f>VLOOKUP(A50,'Feature Raw Data'!$A$3:$C$3996,3,FALSE)</f>
        <v>P2</v>
      </c>
      <c r="D50" s="414" t="str" cm="1">
        <f t="array" ref="D50">_xlfn.TEXTJOIN("",TRUE,IF(ISNUMBER(SEARCH($A50,'Diags Raw Data'!$A$6:$A$3687)),CONCATENATE('Diags Raw Data'!$H$6:$H$3687,", "),""))</f>
        <v xml:space="preserve">ccp.basic.sha, </v>
      </c>
      <c r="E50" s="335" t="str">
        <f>VLOOKUP(A50,'Diags Raw Data'!$A$6:$D$3687,4,FALSE)</f>
        <v>CCP</v>
      </c>
      <c r="F50" s="335" t="str">
        <f>VLOOKUP(A50,'Feature Raw Data'!$A$3:$E$3996,5,FALSE)</f>
        <v>Delta</v>
      </c>
      <c r="G50" s="335" t="str">
        <f t="shared" si="8"/>
        <v>Yes</v>
      </c>
      <c r="H50" s="335" t="str">
        <f t="shared" si="9"/>
        <v>Yes</v>
      </c>
      <c r="I50" s="413">
        <f>SUMIF('Diags Raw Data'!$A$6:$A$3687,"*"&amp;$A50&amp;"*",'Diags Raw Data'!$K$6:$K$3687)</f>
        <v>32</v>
      </c>
      <c r="J50" s="415">
        <f>SUMIF('Diags Raw Data'!$A$6:$A$3687,"*"&amp;$A50&amp;"*",'Diags Raw Data'!$L$6:$L$3687)</f>
        <v>1</v>
      </c>
      <c r="K50" s="445" cm="1">
        <f t="array" ref="K50">IF(D50="",0, SUMPRODUCT(--(ISNUMBER(SEARCH($A50,'Diags Raw Data'!$A$6:$A$3687))),'Diags Raw Data'!$L$6:$L$3687,'Diags Raw Data'!$N$6:$N$3687)/J50)</f>
        <v>1</v>
      </c>
      <c r="L50" s="446" cm="1">
        <f t="array" ref="L50">IF(D50="",0, SUMPRODUCT(--(ISNUMBER(SEARCH($A50,'Diags Raw Data'!$A$6:$A$3687))),'Diags Raw Data'!$L$6:$L$3687,'Diags Raw Data'!$P$6:$P$3687)/J50)</f>
        <v>1</v>
      </c>
      <c r="M50" s="447" cm="1">
        <f t="array" ref="M50">SUMPRODUCT(--(ISNUMBER(SEARCH($A50,'Diags Raw Data'!$A$6:$A$3687))),--('Diags Raw Data'!$Q$6:$Q$3687&lt;&gt;"N/A"),'Diags Raw Data'!$R$6:$R$3687)</f>
        <v>1</v>
      </c>
      <c r="N50" s="448" cm="1">
        <f t="array" ref="N50">SUMPRODUCT(--(ISNUMBER(SEARCH($A50,'Diags Raw Data'!$A$6:$A$3687))),--('Diags Raw Data'!$Q$6:$Q$3687&lt;&gt;"N/A"),'Diags Raw Data'!$T$6:$T$3687)+SUMPRODUCT(--(ISNUMBER(SEARCH($A50,'Diags Raw Data'!$A$6:$A$3687))),--('Diags Raw Data'!$Q$6:$Q$3687&lt;&gt;"N/A"),'Diags Raw Data'!$U$6:$U$3687)</f>
        <v>1</v>
      </c>
      <c r="O50" s="449">
        <f t="shared" si="10"/>
        <v>1</v>
      </c>
      <c r="P50" s="450">
        <f>SUMIF('Diags Raw Data'!$A$6:$A$3687,"*"&amp;$A50&amp;"*",'Diags Raw Data'!$Z$6:$Z$3687)</f>
        <v>0</v>
      </c>
      <c r="Q50" s="451">
        <f>SUM(SUMIF('Diags Raw Data'!$A$6:$A$3687,"*"&amp;$A50&amp;"*",'Diags Raw Data'!$AA$6:$AA$3687),SUMIF('Diags Raw Data'!$A$6:$A$3687,"*"&amp;$A50&amp;"*",'Diags Raw Data'!$AB$6:$AB$3687))</f>
        <v>0</v>
      </c>
      <c r="R50" s="452">
        <f t="shared" si="11"/>
        <v>0</v>
      </c>
      <c r="S50" s="452">
        <f t="shared" si="12"/>
        <v>0</v>
      </c>
      <c r="T50" s="453">
        <f t="shared" si="13"/>
        <v>0</v>
      </c>
      <c r="U50" s="416" t="s">
        <v>556</v>
      </c>
      <c r="V50" s="180"/>
    </row>
    <row r="51" spans="1:22" ht="30" x14ac:dyDescent="0.25">
      <c r="A51" s="498" t="s">
        <v>474</v>
      </c>
      <c r="B51" s="412" t="str">
        <f>VLOOKUP(A51,'Feature Raw Data'!$A$3:$B$3996,2,FALSE)</f>
        <v>CCP: SHA3 HMAC - Key update - 384/512 bits</v>
      </c>
      <c r="C51" s="413" t="str">
        <f>VLOOKUP(A51,'Feature Raw Data'!$A$3:$C$3996,3,FALSE)</f>
        <v>P2</v>
      </c>
      <c r="D51" s="414" t="str" cm="1">
        <f t="array" ref="D51">_xlfn.TEXTJOIN("",TRUE,IF(ISNUMBER(SEARCH($A51,'Diags Raw Data'!$A$6:$A$3687)),CONCATENATE('Diags Raw Data'!$H$6:$H$3687,", "),""))</f>
        <v xml:space="preserve">TestID.PlaceHolder.55, </v>
      </c>
      <c r="E51" s="335" t="str">
        <f>VLOOKUP(A51,'Diags Raw Data'!$A$6:$D$3687,4,FALSE)</f>
        <v>CCP</v>
      </c>
      <c r="F51" s="335" t="str">
        <f>VLOOKUP(A51,'Feature Raw Data'!$A$3:$E$3996,5,FALSE)</f>
        <v>Delta</v>
      </c>
      <c r="G51" s="335" t="str">
        <f t="shared" si="8"/>
        <v>Yes</v>
      </c>
      <c r="H51" s="335" t="str">
        <f t="shared" si="9"/>
        <v>Yes</v>
      </c>
      <c r="I51" s="413">
        <f>SUMIF('Diags Raw Data'!$A$6:$A$3687,"*"&amp;$A51&amp;"*",'Diags Raw Data'!$K$6:$K$3687)</f>
        <v>32</v>
      </c>
      <c r="J51" s="415">
        <f>SUMIF('Diags Raw Data'!$A$6:$A$3687,"*"&amp;$A51&amp;"*",'Diags Raw Data'!$L$6:$L$3687)</f>
        <v>1</v>
      </c>
      <c r="K51" s="445" cm="1">
        <f t="array" ref="K51">IF(D51="",0, SUMPRODUCT(--(ISNUMBER(SEARCH($A51,'Diags Raw Data'!$A$6:$A$3687))),'Diags Raw Data'!$L$6:$L$3687,'Diags Raw Data'!$N$6:$N$3687)/J51)</f>
        <v>1</v>
      </c>
      <c r="L51" s="446" cm="1">
        <f t="array" ref="L51">IF(D51="",0, SUMPRODUCT(--(ISNUMBER(SEARCH($A51,'Diags Raw Data'!$A$6:$A$3687))),'Diags Raw Data'!$L$6:$L$3687,'Diags Raw Data'!$P$6:$P$3687)/J51)</f>
        <v>0.5</v>
      </c>
      <c r="M51" s="447" cm="1">
        <f t="array" ref="M51">SUMPRODUCT(--(ISNUMBER(SEARCH($A51,'Diags Raw Data'!$A$6:$A$3687))),--('Diags Raw Data'!$Q$6:$Q$3687&lt;&gt;"N/A"),'Diags Raw Data'!$R$6:$R$3687)</f>
        <v>1</v>
      </c>
      <c r="N51" s="448" cm="1">
        <f t="array" ref="N51">SUMPRODUCT(--(ISNUMBER(SEARCH($A51,'Diags Raw Data'!$A$6:$A$3687))),--('Diags Raw Data'!$Q$6:$Q$3687&lt;&gt;"N/A"),'Diags Raw Data'!$T$6:$T$3687)+SUMPRODUCT(--(ISNUMBER(SEARCH($A51,'Diags Raw Data'!$A$6:$A$3687))),--('Diags Raw Data'!$Q$6:$Q$3687&lt;&gt;"N/A"),'Diags Raw Data'!$U$6:$U$3687)</f>
        <v>0</v>
      </c>
      <c r="O51" s="449">
        <f t="shared" si="10"/>
        <v>0</v>
      </c>
      <c r="P51" s="450">
        <f>SUMIF('Diags Raw Data'!$A$6:$A$3687,"*"&amp;$A51&amp;"*",'Diags Raw Data'!$Z$6:$Z$3687)</f>
        <v>0</v>
      </c>
      <c r="Q51" s="451">
        <f>SUM(SUMIF('Diags Raw Data'!$A$6:$A$3687,"*"&amp;$A51&amp;"*",'Diags Raw Data'!$AA$6:$AA$3687),SUMIF('Diags Raw Data'!$A$6:$A$3687,"*"&amp;$A51&amp;"*",'Diags Raw Data'!$AB$6:$AB$3687))</f>
        <v>0</v>
      </c>
      <c r="R51" s="452">
        <f t="shared" si="11"/>
        <v>0</v>
      </c>
      <c r="S51" s="452">
        <f t="shared" si="12"/>
        <v>0</v>
      </c>
      <c r="T51" s="453">
        <f t="shared" si="13"/>
        <v>0</v>
      </c>
      <c r="U51" s="416" t="s">
        <v>556</v>
      </c>
      <c r="V51" s="180"/>
    </row>
    <row r="52" spans="1:22" ht="30" x14ac:dyDescent="0.25">
      <c r="A52" s="498" t="s">
        <v>478</v>
      </c>
      <c r="B52" s="412" t="str">
        <f>VLOOKUP(A52,'Feature Raw Data'!$A$3:$B$3996,2,FALSE)</f>
        <v>CCP: SHAKE128/256 Digest Length</v>
      </c>
      <c r="C52" s="413" t="str">
        <f>VLOOKUP(A52,'Feature Raw Data'!$A$3:$C$3996,3,FALSE)</f>
        <v>P2</v>
      </c>
      <c r="D52" s="414" t="str" cm="1">
        <f t="array" ref="D52">_xlfn.TEXTJOIN("",TRUE,IF(ISNUMBER(SEARCH($A52,'Diags Raw Data'!$A$6:$A$3687)),CONCATENATE('Diags Raw Data'!$H$6:$H$3687,", "),""))</f>
        <v xml:space="preserve">TestID.PlaceHolder.56, </v>
      </c>
      <c r="E52" s="335" t="str">
        <f>VLOOKUP(A52,'Diags Raw Data'!$A$6:$D$3687,4,FALSE)</f>
        <v>CCP</v>
      </c>
      <c r="F52" s="335" t="str">
        <f>VLOOKUP(A52,'Feature Raw Data'!$A$3:$E$3996,5,FALSE)</f>
        <v>Delta</v>
      </c>
      <c r="G52" s="335" t="str">
        <f t="shared" si="8"/>
        <v>Yes</v>
      </c>
      <c r="H52" s="335" t="str">
        <f t="shared" si="9"/>
        <v>Yes</v>
      </c>
      <c r="I52" s="413">
        <f>SUMIF('Diags Raw Data'!$A$6:$A$3687,"*"&amp;$A52&amp;"*",'Diags Raw Data'!$K$6:$K$3687)</f>
        <v>32</v>
      </c>
      <c r="J52" s="415">
        <f>SUMIF('Diags Raw Data'!$A$6:$A$3687,"*"&amp;$A52&amp;"*",'Diags Raw Data'!$L$6:$L$3687)</f>
        <v>1</v>
      </c>
      <c r="K52" s="445" cm="1">
        <f t="array" ref="K52">IF(D52="",0, SUMPRODUCT(--(ISNUMBER(SEARCH($A52,'Diags Raw Data'!$A$6:$A$3687))),'Diags Raw Data'!$L$6:$L$3687,'Diags Raw Data'!$N$6:$N$3687)/J52)</f>
        <v>1</v>
      </c>
      <c r="L52" s="446" cm="1">
        <f t="array" ref="L52">IF(D52="",0, SUMPRODUCT(--(ISNUMBER(SEARCH($A52,'Diags Raw Data'!$A$6:$A$3687))),'Diags Raw Data'!$L$6:$L$3687,'Diags Raw Data'!$P$6:$P$3687)/J52)</f>
        <v>0.5</v>
      </c>
      <c r="M52" s="447" cm="1">
        <f t="array" ref="M52">SUMPRODUCT(--(ISNUMBER(SEARCH($A52,'Diags Raw Data'!$A$6:$A$3687))),--('Diags Raw Data'!$Q$6:$Q$3687&lt;&gt;"N/A"),'Diags Raw Data'!$R$6:$R$3687)</f>
        <v>1</v>
      </c>
      <c r="N52" s="448" cm="1">
        <f t="array" ref="N52">SUMPRODUCT(--(ISNUMBER(SEARCH($A52,'Diags Raw Data'!$A$6:$A$3687))),--('Diags Raw Data'!$Q$6:$Q$3687&lt;&gt;"N/A"),'Diags Raw Data'!$T$6:$T$3687)+SUMPRODUCT(--(ISNUMBER(SEARCH($A52,'Diags Raw Data'!$A$6:$A$3687))),--('Diags Raw Data'!$Q$6:$Q$3687&lt;&gt;"N/A"),'Diags Raw Data'!$U$6:$U$3687)</f>
        <v>0</v>
      </c>
      <c r="O52" s="449">
        <f t="shared" si="10"/>
        <v>0</v>
      </c>
      <c r="P52" s="450">
        <f>SUMIF('Diags Raw Data'!$A$6:$A$3687,"*"&amp;$A52&amp;"*",'Diags Raw Data'!$Z$6:$Z$3687)</f>
        <v>0</v>
      </c>
      <c r="Q52" s="451">
        <f>SUM(SUMIF('Diags Raw Data'!$A$6:$A$3687,"*"&amp;$A52&amp;"*",'Diags Raw Data'!$AA$6:$AA$3687),SUMIF('Diags Raw Data'!$A$6:$A$3687,"*"&amp;$A52&amp;"*",'Diags Raw Data'!$AB$6:$AB$3687))</f>
        <v>0</v>
      </c>
      <c r="R52" s="452">
        <f t="shared" si="11"/>
        <v>0</v>
      </c>
      <c r="S52" s="452">
        <f t="shared" si="12"/>
        <v>0</v>
      </c>
      <c r="T52" s="453">
        <f t="shared" si="13"/>
        <v>0</v>
      </c>
      <c r="U52" s="416" t="s">
        <v>556</v>
      </c>
      <c r="V52" s="180"/>
    </row>
    <row r="53" spans="1:22" ht="30" x14ac:dyDescent="0.25">
      <c r="A53" s="498" t="s">
        <v>482</v>
      </c>
      <c r="B53" s="412" t="str">
        <f>VLOOKUP(A53,'Feature Raw Data'!$A$3:$B$3996,2,FALSE)</f>
        <v>SIB: KSB Errors ASP/CCP Seperation</v>
      </c>
      <c r="C53" s="413" t="str">
        <f>VLOOKUP(A53,'Feature Raw Data'!$A$3:$C$3996,3,FALSE)</f>
        <v>P3</v>
      </c>
      <c r="D53" s="414" t="str" cm="1">
        <f t="array" ref="D53">_xlfn.TEXTJOIN("",TRUE,IF(ISNUMBER(SEARCH($A53,'Diags Raw Data'!$A$6:$A$3687)),CONCATENATE('Diags Raw Data'!$H$6:$H$3687,", "),""))</f>
        <v xml:space="preserve">TestID.PlaceHolder.57, </v>
      </c>
      <c r="E53" s="335" t="str">
        <f>VLOOKUP(A53,'Diags Raw Data'!$A$6:$D$3687,4,FALSE)</f>
        <v>SIB</v>
      </c>
      <c r="F53" s="335" t="str">
        <f>VLOOKUP(A53,'Feature Raw Data'!$A$3:$E$3996,5,FALSE)</f>
        <v>Delta</v>
      </c>
      <c r="G53" s="335" t="str">
        <f t="shared" si="8"/>
        <v>Yes</v>
      </c>
      <c r="H53" s="335" t="str">
        <f t="shared" si="9"/>
        <v>Yes</v>
      </c>
      <c r="I53" s="413">
        <f>SUMIF('Diags Raw Data'!$A$6:$A$3687,"*"&amp;$A53&amp;"*",'Diags Raw Data'!$K$6:$K$3687)</f>
        <v>24</v>
      </c>
      <c r="J53" s="415">
        <f>SUMIF('Diags Raw Data'!$A$6:$A$3687,"*"&amp;$A53&amp;"*",'Diags Raw Data'!$L$6:$L$3687)</f>
        <v>1</v>
      </c>
      <c r="K53" s="445" cm="1">
        <f t="array" ref="K53">IF(D53="",0, SUMPRODUCT(--(ISNUMBER(SEARCH($A53,'Diags Raw Data'!$A$6:$A$3687))),'Diags Raw Data'!$L$6:$L$3687,'Diags Raw Data'!$N$6:$N$3687)/J53)</f>
        <v>1</v>
      </c>
      <c r="L53" s="446" cm="1">
        <f t="array" ref="L53">IF(D53="",0, SUMPRODUCT(--(ISNUMBER(SEARCH($A53,'Diags Raw Data'!$A$6:$A$3687))),'Diags Raw Data'!$L$6:$L$3687,'Diags Raw Data'!$P$6:$P$3687)/J53)</f>
        <v>0.15</v>
      </c>
      <c r="M53" s="447" cm="1">
        <f t="array" ref="M53">SUMPRODUCT(--(ISNUMBER(SEARCH($A53,'Diags Raw Data'!$A$6:$A$3687))),--('Diags Raw Data'!$Q$6:$Q$3687&lt;&gt;"N/A"),'Diags Raw Data'!$R$6:$R$3687)</f>
        <v>1</v>
      </c>
      <c r="N53" s="448" cm="1">
        <f t="array" ref="N53">SUMPRODUCT(--(ISNUMBER(SEARCH($A53,'Diags Raw Data'!$A$6:$A$3687))),--('Diags Raw Data'!$Q$6:$Q$3687&lt;&gt;"N/A"),'Diags Raw Data'!$T$6:$T$3687)+SUMPRODUCT(--(ISNUMBER(SEARCH($A53,'Diags Raw Data'!$A$6:$A$3687))),--('Diags Raw Data'!$Q$6:$Q$3687&lt;&gt;"N/A"),'Diags Raw Data'!$U$6:$U$3687)</f>
        <v>0</v>
      </c>
      <c r="O53" s="449">
        <f t="shared" si="10"/>
        <v>0</v>
      </c>
      <c r="P53" s="450">
        <f>SUMIF('Diags Raw Data'!$A$6:$A$3687,"*"&amp;$A53&amp;"*",'Diags Raw Data'!$Z$6:$Z$3687)</f>
        <v>0</v>
      </c>
      <c r="Q53" s="451">
        <f>SUM(SUMIF('Diags Raw Data'!$A$6:$A$3687,"*"&amp;$A53&amp;"*",'Diags Raw Data'!$AA$6:$AA$3687),SUMIF('Diags Raw Data'!$A$6:$A$3687,"*"&amp;$A53&amp;"*",'Diags Raw Data'!$AB$6:$AB$3687))</f>
        <v>0</v>
      </c>
      <c r="R53" s="452">
        <f t="shared" si="11"/>
        <v>0</v>
      </c>
      <c r="S53" s="452">
        <f t="shared" si="12"/>
        <v>0</v>
      </c>
      <c r="T53" s="453">
        <f t="shared" si="13"/>
        <v>0</v>
      </c>
      <c r="U53" s="416" t="s">
        <v>564</v>
      </c>
      <c r="V53" s="180"/>
    </row>
    <row r="54" spans="1:22" x14ac:dyDescent="0.25">
      <c r="A54" s="498" t="s">
        <v>486</v>
      </c>
      <c r="B54" s="412" t="str">
        <f>VLOOKUP(A54,'Feature Raw Data'!$A$3:$B$3996,2,FALSE)</f>
        <v>SIB: KSB Mass Clear</v>
      </c>
      <c r="C54" s="413" t="str">
        <f>VLOOKUP(A54,'Feature Raw Data'!$A$3:$C$3996,3,FALSE)</f>
        <v>P3</v>
      </c>
      <c r="D54" s="414" t="str" cm="1">
        <f t="array" ref="D54">_xlfn.TEXTJOIN("",TRUE,IF(ISNUMBER(SEARCH($A54,'Diags Raw Data'!$A$6:$A$3687)),CONCATENATE('Diags Raw Data'!$H$6:$H$3687,", "),""))</f>
        <v xml:space="preserve">TestID.PlaceHolder.58, </v>
      </c>
      <c r="E54" s="335" t="str">
        <f>VLOOKUP(A54,'Diags Raw Data'!$A$6:$D$3687,4,FALSE)</f>
        <v>SIB</v>
      </c>
      <c r="F54" s="335" t="str">
        <f>VLOOKUP(A54,'Feature Raw Data'!$A$3:$E$3996,5,FALSE)</f>
        <v>Delta</v>
      </c>
      <c r="G54" s="335" t="str">
        <f t="shared" si="8"/>
        <v>Yes</v>
      </c>
      <c r="H54" s="335" t="str">
        <f t="shared" si="9"/>
        <v>Yes</v>
      </c>
      <c r="I54" s="413">
        <f>SUMIF('Diags Raw Data'!$A$6:$A$3687,"*"&amp;$A54&amp;"*",'Diags Raw Data'!$K$6:$K$3687)</f>
        <v>24</v>
      </c>
      <c r="J54" s="415">
        <f>SUMIF('Diags Raw Data'!$A$6:$A$3687,"*"&amp;$A54&amp;"*",'Diags Raw Data'!$L$6:$L$3687)</f>
        <v>1</v>
      </c>
      <c r="K54" s="445" cm="1">
        <f t="array" ref="K54">IF(D54="",0, SUMPRODUCT(--(ISNUMBER(SEARCH($A54,'Diags Raw Data'!$A$6:$A$3687))),'Diags Raw Data'!$L$6:$L$3687,'Diags Raw Data'!$N$6:$N$3687)/J54)</f>
        <v>1</v>
      </c>
      <c r="L54" s="446" cm="1">
        <f t="array" ref="L54">IF(D54="",0, SUMPRODUCT(--(ISNUMBER(SEARCH($A54,'Diags Raw Data'!$A$6:$A$3687))),'Diags Raw Data'!$L$6:$L$3687,'Diags Raw Data'!$P$6:$P$3687)/J54)</f>
        <v>0</v>
      </c>
      <c r="M54" s="447" cm="1">
        <f t="array" ref="M54">SUMPRODUCT(--(ISNUMBER(SEARCH($A54,'Diags Raw Data'!$A$6:$A$3687))),--('Diags Raw Data'!$Q$6:$Q$3687&lt;&gt;"N/A"),'Diags Raw Data'!$R$6:$R$3687)</f>
        <v>1</v>
      </c>
      <c r="N54" s="448" cm="1">
        <f t="array" ref="N54">SUMPRODUCT(--(ISNUMBER(SEARCH($A54,'Diags Raw Data'!$A$6:$A$3687))),--('Diags Raw Data'!$Q$6:$Q$3687&lt;&gt;"N/A"),'Diags Raw Data'!$T$6:$T$3687)+SUMPRODUCT(--(ISNUMBER(SEARCH($A54,'Diags Raw Data'!$A$6:$A$3687))),--('Diags Raw Data'!$Q$6:$Q$3687&lt;&gt;"N/A"),'Diags Raw Data'!$U$6:$U$3687)</f>
        <v>0</v>
      </c>
      <c r="O54" s="449">
        <f t="shared" si="10"/>
        <v>0</v>
      </c>
      <c r="P54" s="450">
        <f>SUMIF('Diags Raw Data'!$A$6:$A$3687,"*"&amp;$A54&amp;"*",'Diags Raw Data'!$Z$6:$Z$3687)</f>
        <v>0</v>
      </c>
      <c r="Q54" s="451">
        <f>SUM(SUMIF('Diags Raw Data'!$A$6:$A$3687,"*"&amp;$A54&amp;"*",'Diags Raw Data'!$AA$6:$AA$3687),SUMIF('Diags Raw Data'!$A$6:$A$3687,"*"&amp;$A54&amp;"*",'Diags Raw Data'!$AB$6:$AB$3687))</f>
        <v>0</v>
      </c>
      <c r="R54" s="452">
        <f t="shared" si="11"/>
        <v>0</v>
      </c>
      <c r="S54" s="452">
        <f t="shared" si="12"/>
        <v>0</v>
      </c>
      <c r="T54" s="453">
        <f t="shared" si="13"/>
        <v>0</v>
      </c>
      <c r="U54" s="416" t="s">
        <v>564</v>
      </c>
      <c r="V54" s="180"/>
    </row>
    <row r="55" spans="1:22" x14ac:dyDescent="0.25">
      <c r="A55" s="498" t="s">
        <v>490</v>
      </c>
      <c r="B55" s="412" t="str">
        <f>VLOOKUP(A55,'Feature Raw Data'!$A$3:$B$3996,2,FALSE)</f>
        <v>SIB: KSB Slot Search</v>
      </c>
      <c r="C55" s="413" t="str">
        <f>VLOOKUP(A55,'Feature Raw Data'!$A$3:$C$3996,3,FALSE)</f>
        <v>P3</v>
      </c>
      <c r="D55" s="414" t="str" cm="1">
        <f t="array" ref="D55">_xlfn.TEXTJOIN("",TRUE,IF(ISNUMBER(SEARCH($A55,'Diags Raw Data'!$A$6:$A$3687)),CONCATENATE('Diags Raw Data'!$H$6:$H$3687,", "),""))</f>
        <v xml:space="preserve">TestID.PlaceHolder.59, </v>
      </c>
      <c r="E55" s="335" t="str">
        <f>VLOOKUP(A55,'Diags Raw Data'!$A$6:$D$3687,4,FALSE)</f>
        <v>SIB</v>
      </c>
      <c r="F55" s="335" t="str">
        <f>VLOOKUP(A55,'Feature Raw Data'!$A$3:$E$3996,5,FALSE)</f>
        <v>Delta</v>
      </c>
      <c r="G55" s="335" t="str">
        <f t="shared" si="8"/>
        <v>Yes</v>
      </c>
      <c r="H55" s="335" t="str">
        <f t="shared" si="9"/>
        <v>Yes</v>
      </c>
      <c r="I55" s="413">
        <f>SUMIF('Diags Raw Data'!$A$6:$A$3687,"*"&amp;$A55&amp;"*",'Diags Raw Data'!$K$6:$K$3687)</f>
        <v>24</v>
      </c>
      <c r="J55" s="415">
        <f>SUMIF('Diags Raw Data'!$A$6:$A$3687,"*"&amp;$A55&amp;"*",'Diags Raw Data'!$L$6:$L$3687)</f>
        <v>1</v>
      </c>
      <c r="K55" s="445" cm="1">
        <f t="array" ref="K55">IF(D55="",0, SUMPRODUCT(--(ISNUMBER(SEARCH($A55,'Diags Raw Data'!$A$6:$A$3687))),'Diags Raw Data'!$L$6:$L$3687,'Diags Raw Data'!$N$6:$N$3687)/J55)</f>
        <v>1</v>
      </c>
      <c r="L55" s="446" cm="1">
        <f t="array" ref="L55">IF(D55="",0, SUMPRODUCT(--(ISNUMBER(SEARCH($A55,'Diags Raw Data'!$A$6:$A$3687))),'Diags Raw Data'!$L$6:$L$3687,'Diags Raw Data'!$P$6:$P$3687)/J55)</f>
        <v>0</v>
      </c>
      <c r="M55" s="447" cm="1">
        <f t="array" ref="M55">SUMPRODUCT(--(ISNUMBER(SEARCH($A55,'Diags Raw Data'!$A$6:$A$3687))),--('Diags Raw Data'!$Q$6:$Q$3687&lt;&gt;"N/A"),'Diags Raw Data'!$R$6:$R$3687)</f>
        <v>1</v>
      </c>
      <c r="N55" s="448" cm="1">
        <f t="array" ref="N55">SUMPRODUCT(--(ISNUMBER(SEARCH($A55,'Diags Raw Data'!$A$6:$A$3687))),--('Diags Raw Data'!$Q$6:$Q$3687&lt;&gt;"N/A"),'Diags Raw Data'!$T$6:$T$3687)+SUMPRODUCT(--(ISNUMBER(SEARCH($A55,'Diags Raw Data'!$A$6:$A$3687))),--('Diags Raw Data'!$Q$6:$Q$3687&lt;&gt;"N/A"),'Diags Raw Data'!$U$6:$U$3687)</f>
        <v>0</v>
      </c>
      <c r="O55" s="449">
        <f t="shared" si="10"/>
        <v>0</v>
      </c>
      <c r="P55" s="450">
        <f>SUMIF('Diags Raw Data'!$A$6:$A$3687,"*"&amp;$A55&amp;"*",'Diags Raw Data'!$Z$6:$Z$3687)</f>
        <v>0</v>
      </c>
      <c r="Q55" s="451">
        <f>SUM(SUMIF('Diags Raw Data'!$A$6:$A$3687,"*"&amp;$A55&amp;"*",'Diags Raw Data'!$AA$6:$AA$3687),SUMIF('Diags Raw Data'!$A$6:$A$3687,"*"&amp;$A55&amp;"*",'Diags Raw Data'!$AB$6:$AB$3687))</f>
        <v>0</v>
      </c>
      <c r="R55" s="452">
        <f t="shared" si="11"/>
        <v>0</v>
      </c>
      <c r="S55" s="452">
        <f t="shared" si="12"/>
        <v>0</v>
      </c>
      <c r="T55" s="453">
        <f t="shared" si="13"/>
        <v>0</v>
      </c>
      <c r="U55" s="416" t="s">
        <v>564</v>
      </c>
      <c r="V55" s="180"/>
    </row>
    <row r="56" spans="1:22" ht="45" x14ac:dyDescent="0.25">
      <c r="A56" s="498" t="s">
        <v>494</v>
      </c>
      <c r="B56" s="412" t="str">
        <f>VLOOKUP(A56,'Feature Raw Data'!$A$3:$B$3996,2,FALSE)</f>
        <v>ASP: Si-Five Mem Port/Front Port</v>
      </c>
      <c r="C56" s="413" t="str">
        <f>VLOOKUP(A56,'Feature Raw Data'!$A$3:$C$3996,3,FALSE)</f>
        <v>P1</v>
      </c>
      <c r="D56" s="414" t="str" cm="1">
        <f t="array" ref="D56">_xlfn.TEXTJOIN("",TRUE,IF(ISNUMBER(SEARCH($A56,'Diags Raw Data'!$A$6:$A$3687)),CONCATENATE('Diags Raw Data'!$H$6:$H$3687,", "),""))</f>
        <v xml:space="preserve">psp207.1, psp207.2, psp207.3, psp107.3, psp107.4, psp107.1, psp107.2, </v>
      </c>
      <c r="E56" s="335" t="str">
        <f>VLOOKUP(A56,'Diags Raw Data'!$A$6:$D$3687,4,FALSE)</f>
        <v>ASP</v>
      </c>
      <c r="F56" s="335" t="str">
        <f>VLOOKUP(A56,'Feature Raw Data'!$A$3:$E$3996,5,FALSE)</f>
        <v>New</v>
      </c>
      <c r="G56" s="335" t="str">
        <f t="shared" ref="G56" si="14">IF(D56="","No","Yes")</f>
        <v>Yes</v>
      </c>
      <c r="H56" s="335" t="str">
        <f t="shared" ref="H56" si="15">IF(D56="","No","Yes")</f>
        <v>Yes</v>
      </c>
      <c r="I56" s="413">
        <f>SUMIF('Diags Raw Data'!$A$6:$A$3687,"*"&amp;$A56&amp;"*",'Diags Raw Data'!$K$6:$K$3687)</f>
        <v>168</v>
      </c>
      <c r="J56" s="415">
        <f>SUMIF('Diags Raw Data'!$A$6:$A$3687,"*"&amp;$A56&amp;"*",'Diags Raw Data'!$L$6:$L$3687)</f>
        <v>7</v>
      </c>
      <c r="K56" s="445" cm="1">
        <f t="array" ref="K56">IF(D56="",0, SUMPRODUCT(--(ISNUMBER(SEARCH($A56,'Diags Raw Data'!$A$6:$A$3687))),'Diags Raw Data'!$L$6:$L$3687,'Diags Raw Data'!$N$6:$N$3687)/J56)</f>
        <v>1</v>
      </c>
      <c r="L56" s="446" cm="1">
        <f t="array" ref="L56">IF(D56="",0, SUMPRODUCT(--(ISNUMBER(SEARCH($A56,'Diags Raw Data'!$A$6:$A$3687))),'Diags Raw Data'!$L$6:$L$3687,'Diags Raw Data'!$P$6:$P$3687)/J56)</f>
        <v>1</v>
      </c>
      <c r="M56" s="447" cm="1">
        <f t="array" ref="M56">SUMPRODUCT(--(ISNUMBER(SEARCH($A56,'Diags Raw Data'!$A$6:$A$3687))),--('Diags Raw Data'!$Q$6:$Q$3687&lt;&gt;"N/A"),'Diags Raw Data'!$R$6:$R$3687)</f>
        <v>7</v>
      </c>
      <c r="N56" s="448" cm="1">
        <f t="array" ref="N56">SUMPRODUCT(--(ISNUMBER(SEARCH($A56,'Diags Raw Data'!$A$6:$A$3687))),--('Diags Raw Data'!$Q$6:$Q$3687&lt;&gt;"N/A"),'Diags Raw Data'!$T$6:$T$3687)+SUMPRODUCT(--(ISNUMBER(SEARCH($A56,'Diags Raw Data'!$A$6:$A$3687))),--('Diags Raw Data'!$Q$6:$Q$3687&lt;&gt;"N/A"),'Diags Raw Data'!$U$6:$U$3687)</f>
        <v>7</v>
      </c>
      <c r="O56" s="449">
        <f t="shared" ref="O56" si="16">IF((M56=0),0,N56/M56)</f>
        <v>1</v>
      </c>
      <c r="P56" s="450">
        <f>SUMIF('Diags Raw Data'!$A$6:$A$3687,"*"&amp;$A56&amp;"*",'Diags Raw Data'!$Z$6:$Z$3687)</f>
        <v>0</v>
      </c>
      <c r="Q56" s="451">
        <f>SUM(SUMIF('Diags Raw Data'!$A$6:$A$3687,"*"&amp;$A56&amp;"*",'Diags Raw Data'!$AA$6:$AA$3687),SUMIF('Diags Raw Data'!$A$6:$A$3687,"*"&amp;$A56&amp;"*",'Diags Raw Data'!$AB$6:$AB$3687))</f>
        <v>0</v>
      </c>
      <c r="R56" s="452">
        <f t="shared" ref="R56" si="17">IF((J56=0),0,P56/J56)</f>
        <v>0</v>
      </c>
      <c r="S56" s="452">
        <f t="shared" ref="S56" si="18">IF((P56=0),0,Q56/P56)</f>
        <v>0</v>
      </c>
      <c r="T56" s="453">
        <f t="shared" ref="T56" si="19">R56*S56</f>
        <v>0</v>
      </c>
      <c r="U56" s="416" t="s">
        <v>561</v>
      </c>
      <c r="V56" s="180"/>
    </row>
    <row r="57" spans="1:22" x14ac:dyDescent="0.25">
      <c r="A57" s="498"/>
      <c r="B57" s="412"/>
      <c r="C57" s="413"/>
      <c r="D57" s="414"/>
      <c r="E57" s="335"/>
      <c r="F57" s="335"/>
      <c r="G57" s="335"/>
      <c r="H57" s="335"/>
      <c r="I57" s="413"/>
      <c r="J57" s="415"/>
      <c r="K57" s="445"/>
      <c r="L57" s="446"/>
      <c r="M57" s="447"/>
      <c r="N57" s="448"/>
      <c r="O57" s="449"/>
      <c r="P57" s="450"/>
      <c r="Q57" s="451"/>
      <c r="R57" s="452"/>
      <c r="S57" s="452"/>
      <c r="T57" s="453"/>
      <c r="U57" s="416"/>
      <c r="V57" s="180"/>
    </row>
    <row r="58" spans="1:22" ht="15.75" thickBot="1" x14ac:dyDescent="0.3">
      <c r="A58" s="363"/>
      <c r="B58" s="386"/>
      <c r="C58" s="364"/>
      <c r="D58" s="365"/>
      <c r="E58" s="366"/>
      <c r="F58" s="366"/>
      <c r="G58" s="366"/>
      <c r="H58" s="366"/>
      <c r="I58" s="364"/>
      <c r="J58" s="367"/>
      <c r="K58" s="454"/>
      <c r="L58" s="455"/>
      <c r="M58" s="456"/>
      <c r="N58" s="457"/>
      <c r="O58" s="458"/>
      <c r="P58" s="459"/>
      <c r="Q58" s="460"/>
      <c r="R58" s="461"/>
      <c r="S58" s="461"/>
      <c r="T58" s="462"/>
      <c r="U58" s="368"/>
      <c r="V58" s="180"/>
    </row>
    <row r="59" spans="1:22" x14ac:dyDescent="0.25">
      <c r="A59" s="556" t="s">
        <v>566</v>
      </c>
      <c r="B59" s="651"/>
      <c r="C59" s="651"/>
      <c r="D59" s="651"/>
      <c r="E59" s="651"/>
      <c r="F59" s="651"/>
      <c r="G59" s="651"/>
      <c r="H59" s="651"/>
      <c r="I59" s="651"/>
      <c r="J59" s="651"/>
      <c r="K59" s="651"/>
      <c r="L59" s="651"/>
      <c r="M59" s="651"/>
      <c r="N59" s="651"/>
      <c r="O59" s="651"/>
      <c r="P59" s="651"/>
      <c r="Q59" s="651"/>
      <c r="R59" s="651"/>
      <c r="S59" s="651"/>
      <c r="T59" s="651"/>
      <c r="U59" s="652"/>
      <c r="V59" s="180"/>
    </row>
    <row r="60" spans="1:22" ht="15.75" thickBot="1" x14ac:dyDescent="0.3">
      <c r="A60" s="653"/>
      <c r="B60" s="654"/>
      <c r="C60" s="654"/>
      <c r="D60" s="654"/>
      <c r="E60" s="654"/>
      <c r="F60" s="654"/>
      <c r="G60" s="654"/>
      <c r="H60" s="654"/>
      <c r="I60" s="654"/>
      <c r="J60" s="654"/>
      <c r="K60" s="654"/>
      <c r="L60" s="654"/>
      <c r="M60" s="654"/>
      <c r="N60" s="654"/>
      <c r="O60" s="654"/>
      <c r="P60" s="654"/>
      <c r="Q60" s="654"/>
      <c r="R60" s="654"/>
      <c r="S60" s="654"/>
      <c r="T60" s="654"/>
      <c r="U60" s="655"/>
      <c r="V60" s="180"/>
    </row>
    <row r="61" spans="1:22" s="187" customFormat="1" ht="18.75" x14ac:dyDescent="0.25">
      <c r="A61" s="604" t="s">
        <v>302</v>
      </c>
      <c r="B61" s="605"/>
      <c r="C61" s="605"/>
      <c r="D61" s="605"/>
      <c r="E61" s="605"/>
      <c r="F61" s="606"/>
      <c r="G61" s="377">
        <f>COUNTIF(G7:G58,"Yes")</f>
        <v>44</v>
      </c>
      <c r="H61" s="377">
        <f>COUNTIF(H7:H58,"Yes")</f>
        <v>44</v>
      </c>
      <c r="I61" s="602">
        <f>'Diags Raw Data'!K77</f>
        <v>2464</v>
      </c>
      <c r="J61" s="638">
        <f>'Diags Raw Data'!L77</f>
        <v>68</v>
      </c>
      <c r="K61" s="628">
        <f>'Diags Raw Data'!N77</f>
        <v>1</v>
      </c>
      <c r="L61" s="630">
        <f>'Diags Raw Data'!P77</f>
        <v>0.94951298701298703</v>
      </c>
      <c r="M61" s="632">
        <f>'Diags Raw Data'!R77</f>
        <v>60</v>
      </c>
      <c r="N61" s="624">
        <f>SUM('Diags Raw Data'!T77+'Diags Raw Data'!U77)</f>
        <v>54</v>
      </c>
      <c r="O61" s="656">
        <f>IF((M61=0),0,N61/M61)</f>
        <v>0.9</v>
      </c>
      <c r="P61" s="658">
        <f>'Diags Raw Data'!Z77</f>
        <v>0</v>
      </c>
      <c r="Q61" s="614">
        <f>SUM('Diags Raw Data'!AA77+'Diags Raw Data'!AB77)</f>
        <v>0</v>
      </c>
      <c r="R61" s="634">
        <f>IF((J61=0),0,P61/J61)</f>
        <v>0</v>
      </c>
      <c r="S61" s="634">
        <f>IF((P61=0),0,Q61/P61)</f>
        <v>0</v>
      </c>
      <c r="T61" s="634">
        <f>R61*S61</f>
        <v>0</v>
      </c>
      <c r="U61" s="636"/>
      <c r="V61" s="186"/>
    </row>
    <row r="62" spans="1:22" ht="19.5" thickBot="1" x14ac:dyDescent="0.3">
      <c r="A62" s="607"/>
      <c r="B62" s="608"/>
      <c r="C62" s="608"/>
      <c r="D62" s="608"/>
      <c r="E62" s="608"/>
      <c r="F62" s="609"/>
      <c r="G62" s="378">
        <f>COUNTIF(G7:G58,"Yes")/COUNTA(A7:A58)</f>
        <v>0.88</v>
      </c>
      <c r="H62" s="378">
        <f>(COUNTIF(H7:H58,"Yes")/G61)</f>
        <v>1</v>
      </c>
      <c r="I62" s="603"/>
      <c r="J62" s="639"/>
      <c r="K62" s="629"/>
      <c r="L62" s="631"/>
      <c r="M62" s="633"/>
      <c r="N62" s="625"/>
      <c r="O62" s="657"/>
      <c r="P62" s="659"/>
      <c r="Q62" s="615"/>
      <c r="R62" s="635"/>
      <c r="S62" s="635"/>
      <c r="T62" s="635"/>
      <c r="U62" s="637"/>
      <c r="V62" s="180"/>
    </row>
    <row r="63" spans="1:22" x14ac:dyDescent="0.25">
      <c r="A63" s="188"/>
      <c r="B63" s="189"/>
      <c r="C63" s="189"/>
      <c r="D63" s="188"/>
      <c r="E63" s="189"/>
      <c r="F63" s="189"/>
      <c r="G63" s="359"/>
      <c r="H63" s="189"/>
      <c r="I63" s="369"/>
      <c r="J63" s="369"/>
      <c r="K63" s="193"/>
      <c r="L63" s="193"/>
      <c r="M63" s="194"/>
      <c r="N63" s="194"/>
      <c r="O63" s="193"/>
      <c r="P63" s="191"/>
      <c r="Q63" s="191"/>
      <c r="R63" s="197"/>
      <c r="S63" s="197"/>
      <c r="T63" s="198"/>
      <c r="U63" s="188"/>
    </row>
  </sheetData>
  <sheetProtection insertColumns="0" insertRows="0" deleteRows="0" sort="0"/>
  <autoFilter ref="A6:U62" xr:uid="{00000000-0009-0000-0000-000004000000}"/>
  <mergeCells count="36">
    <mergeCell ref="K5:L5"/>
    <mergeCell ref="A5:J5"/>
    <mergeCell ref="M5:O5"/>
    <mergeCell ref="P5:U5"/>
    <mergeCell ref="A61:F62"/>
    <mergeCell ref="A59:U60"/>
    <mergeCell ref="O61:O62"/>
    <mergeCell ref="P61:P62"/>
    <mergeCell ref="N61:N62"/>
    <mergeCell ref="V2:V3"/>
    <mergeCell ref="A4:U4"/>
    <mergeCell ref="K61:K62"/>
    <mergeCell ref="L61:L62"/>
    <mergeCell ref="M61:M62"/>
    <mergeCell ref="T2:T3"/>
    <mergeCell ref="U2:U3"/>
    <mergeCell ref="R2:R3"/>
    <mergeCell ref="S2:S3"/>
    <mergeCell ref="S61:S62"/>
    <mergeCell ref="T61:T62"/>
    <mergeCell ref="U61:U62"/>
    <mergeCell ref="Q61:Q62"/>
    <mergeCell ref="R61:R62"/>
    <mergeCell ref="I61:I62"/>
    <mergeCell ref="J61:J62"/>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567</v>
      </c>
      <c r="C1" s="36" t="s">
        <v>568</v>
      </c>
      <c r="D1" s="36" t="s">
        <v>569</v>
      </c>
      <c r="E1" s="36" t="s">
        <v>570</v>
      </c>
      <c r="F1" s="36" t="s">
        <v>571</v>
      </c>
      <c r="G1" s="37" t="s">
        <v>572</v>
      </c>
      <c r="H1" s="12"/>
      <c r="I1" s="12"/>
      <c r="J1" s="12"/>
      <c r="K1" s="12"/>
      <c r="L1" s="13"/>
      <c r="M1" s="1"/>
      <c r="N1" s="11"/>
      <c r="X1" s="11"/>
      <c r="AB1" s="660" t="s">
        <v>573</v>
      </c>
      <c r="AM1" s="660" t="s">
        <v>574</v>
      </c>
    </row>
    <row r="2" spans="1:40" s="14" customFormat="1" ht="12" x14ac:dyDescent="0.2">
      <c r="A2" s="35" t="s">
        <v>575</v>
      </c>
      <c r="B2" s="15">
        <v>42994</v>
      </c>
      <c r="C2" s="15">
        <v>43190</v>
      </c>
      <c r="D2" s="16" t="e">
        <f>#REF!</f>
        <v>#REF!</v>
      </c>
      <c r="E2" s="16" t="e">
        <f>#REF!</f>
        <v>#REF!</v>
      </c>
      <c r="F2" s="16">
        <f>(C2-B2)/7</f>
        <v>28</v>
      </c>
      <c r="G2" s="17" t="e">
        <f>E2/F2</f>
        <v>#REF!</v>
      </c>
      <c r="H2" s="18"/>
      <c r="I2" s="18"/>
      <c r="J2" s="18"/>
      <c r="K2" s="18"/>
      <c r="L2" s="19"/>
      <c r="M2" s="20"/>
      <c r="N2" s="21"/>
      <c r="X2" s="21"/>
      <c r="AB2" s="661"/>
      <c r="AM2" s="661"/>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62" t="s">
        <v>576</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63"/>
      <c r="B5" s="47" t="s">
        <v>577</v>
      </c>
      <c r="C5" s="47" t="s">
        <v>578</v>
      </c>
      <c r="D5" s="47" t="s">
        <v>579</v>
      </c>
      <c r="E5" s="47" t="s">
        <v>580</v>
      </c>
      <c r="F5" s="47" t="s">
        <v>581</v>
      </c>
      <c r="G5" s="47" t="s">
        <v>582</v>
      </c>
      <c r="H5" s="47" t="s">
        <v>583</v>
      </c>
      <c r="I5" s="47" t="s">
        <v>584</v>
      </c>
      <c r="J5" s="47" t="s">
        <v>585</v>
      </c>
      <c r="K5" s="47" t="s">
        <v>586</v>
      </c>
      <c r="L5" s="47" t="s">
        <v>587</v>
      </c>
      <c r="M5" s="47" t="s">
        <v>588</v>
      </c>
      <c r="N5" s="47" t="s">
        <v>589</v>
      </c>
      <c r="O5" s="47" t="s">
        <v>590</v>
      </c>
      <c r="P5" s="47" t="s">
        <v>591</v>
      </c>
      <c r="Q5" s="47" t="s">
        <v>592</v>
      </c>
      <c r="R5" s="47" t="s">
        <v>593</v>
      </c>
      <c r="S5" s="47" t="s">
        <v>594</v>
      </c>
      <c r="T5" s="47" t="s">
        <v>595</v>
      </c>
      <c r="U5" s="47" t="s">
        <v>596</v>
      </c>
      <c r="V5" s="47" t="s">
        <v>597</v>
      </c>
      <c r="W5" s="47" t="s">
        <v>598</v>
      </c>
      <c r="X5" s="47" t="s">
        <v>599</v>
      </c>
      <c r="Y5" s="47" t="s">
        <v>600</v>
      </c>
      <c r="Z5" s="47" t="s">
        <v>601</v>
      </c>
      <c r="AA5" s="47" t="s">
        <v>602</v>
      </c>
      <c r="AB5" s="47" t="s">
        <v>603</v>
      </c>
      <c r="AC5" s="47" t="s">
        <v>604</v>
      </c>
      <c r="AD5" s="47" t="s">
        <v>605</v>
      </c>
      <c r="AE5" s="47" t="s">
        <v>606</v>
      </c>
      <c r="AF5" s="47" t="s">
        <v>607</v>
      </c>
      <c r="AG5" s="47" t="s">
        <v>608</v>
      </c>
      <c r="AH5" s="47" t="s">
        <v>609</v>
      </c>
      <c r="AI5" s="47" t="s">
        <v>610</v>
      </c>
      <c r="AJ5" s="47" t="s">
        <v>611</v>
      </c>
      <c r="AK5" s="47" t="s">
        <v>612</v>
      </c>
      <c r="AL5" s="66" t="s">
        <v>613</v>
      </c>
      <c r="AM5" s="65" t="s">
        <v>614</v>
      </c>
      <c r="AN5" s="50"/>
    </row>
    <row r="6" spans="1:40" ht="12" x14ac:dyDescent="0.2">
      <c r="A6" s="48" t="s">
        <v>615</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616</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62" t="s">
        <v>617</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64"/>
      <c r="B10" s="32" t="s">
        <v>577</v>
      </c>
      <c r="C10" s="32" t="s">
        <v>578</v>
      </c>
      <c r="D10" s="32" t="s">
        <v>579</v>
      </c>
      <c r="E10" s="32" t="s">
        <v>580</v>
      </c>
      <c r="F10" s="32" t="s">
        <v>581</v>
      </c>
      <c r="G10" s="32" t="s">
        <v>582</v>
      </c>
      <c r="H10" s="32" t="s">
        <v>583</v>
      </c>
      <c r="I10" s="32" t="s">
        <v>584</v>
      </c>
      <c r="J10" s="32" t="s">
        <v>585</v>
      </c>
      <c r="K10" s="32" t="s">
        <v>586</v>
      </c>
      <c r="L10" s="32" t="s">
        <v>587</v>
      </c>
      <c r="M10" s="32" t="s">
        <v>588</v>
      </c>
      <c r="N10" s="32" t="s">
        <v>589</v>
      </c>
      <c r="O10" s="32" t="s">
        <v>590</v>
      </c>
      <c r="P10" s="32" t="s">
        <v>591</v>
      </c>
      <c r="Q10" s="32" t="s">
        <v>592</v>
      </c>
      <c r="R10" s="32" t="s">
        <v>593</v>
      </c>
      <c r="S10" s="32" t="s">
        <v>594</v>
      </c>
      <c r="T10" s="32" t="s">
        <v>595</v>
      </c>
      <c r="U10" s="32" t="s">
        <v>596</v>
      </c>
      <c r="V10" s="32" t="s">
        <v>597</v>
      </c>
      <c r="W10" s="32" t="s">
        <v>598</v>
      </c>
      <c r="X10" s="32" t="s">
        <v>599</v>
      </c>
      <c r="Y10" s="32" t="s">
        <v>600</v>
      </c>
      <c r="Z10" s="32" t="s">
        <v>601</v>
      </c>
      <c r="AA10" s="32" t="s">
        <v>602</v>
      </c>
      <c r="AB10" s="32" t="s">
        <v>603</v>
      </c>
      <c r="AC10" s="32" t="s">
        <v>604</v>
      </c>
      <c r="AD10" s="32" t="s">
        <v>605</v>
      </c>
      <c r="AE10" s="32" t="s">
        <v>606</v>
      </c>
      <c r="AF10" s="32" t="s">
        <v>607</v>
      </c>
      <c r="AG10" s="32" t="s">
        <v>608</v>
      </c>
      <c r="AH10" s="32" t="s">
        <v>609</v>
      </c>
      <c r="AI10" s="32" t="s">
        <v>610</v>
      </c>
      <c r="AJ10" s="64" t="s">
        <v>611</v>
      </c>
      <c r="AK10" s="63" t="s">
        <v>612</v>
      </c>
      <c r="AL10" s="47" t="s">
        <v>613</v>
      </c>
      <c r="AM10" s="72" t="s">
        <v>614</v>
      </c>
      <c r="AN10" s="68"/>
    </row>
    <row r="11" spans="1:40" x14ac:dyDescent="0.25">
      <c r="A11" s="42" t="s">
        <v>615</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616</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618</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619</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620</v>
      </c>
      <c r="B1" s="157" t="s">
        <v>621</v>
      </c>
      <c r="C1" s="158" t="s">
        <v>622</v>
      </c>
      <c r="D1" s="158" t="s">
        <v>623</v>
      </c>
      <c r="E1" s="158" t="s">
        <v>624</v>
      </c>
      <c r="F1" s="158" t="s">
        <v>625</v>
      </c>
      <c r="G1" s="158" t="s">
        <v>626</v>
      </c>
      <c r="H1" s="158" t="s">
        <v>627</v>
      </c>
      <c r="I1" s="158" t="s">
        <v>628</v>
      </c>
      <c r="J1" s="158" t="s">
        <v>629</v>
      </c>
      <c r="K1" s="158" t="s">
        <v>630</v>
      </c>
      <c r="L1" s="158" t="s">
        <v>631</v>
      </c>
      <c r="M1" s="158" t="s">
        <v>632</v>
      </c>
      <c r="N1" s="158" t="s">
        <v>633</v>
      </c>
      <c r="O1" s="158" t="s">
        <v>634</v>
      </c>
      <c r="P1" s="158" t="s">
        <v>635</v>
      </c>
      <c r="Q1" s="158" t="s">
        <v>636</v>
      </c>
      <c r="R1" s="158" t="s">
        <v>637</v>
      </c>
      <c r="S1" s="158" t="s">
        <v>638</v>
      </c>
      <c r="T1" s="158" t="s">
        <v>639</v>
      </c>
      <c r="U1" s="158" t="s">
        <v>640</v>
      </c>
      <c r="V1" s="158" t="s">
        <v>641</v>
      </c>
      <c r="W1" s="158" t="s">
        <v>642</v>
      </c>
      <c r="X1" s="158" t="s">
        <v>643</v>
      </c>
      <c r="Y1" s="158" t="s">
        <v>644</v>
      </c>
      <c r="Z1" s="158" t="s">
        <v>645</v>
      </c>
      <c r="AA1" s="158" t="s">
        <v>646</v>
      </c>
      <c r="AB1" s="158" t="s">
        <v>647</v>
      </c>
      <c r="AC1" s="158" t="s">
        <v>648</v>
      </c>
      <c r="AD1" s="158" t="s">
        <v>649</v>
      </c>
      <c r="AE1" s="158" t="s">
        <v>650</v>
      </c>
      <c r="AF1" s="158" t="s">
        <v>651</v>
      </c>
      <c r="AG1" s="158" t="s">
        <v>652</v>
      </c>
      <c r="AH1" s="158" t="s">
        <v>653</v>
      </c>
      <c r="AI1" s="158" t="s">
        <v>654</v>
      </c>
      <c r="AJ1" s="158" t="s">
        <v>655</v>
      </c>
      <c r="AK1" s="158" t="s">
        <v>656</v>
      </c>
      <c r="AL1" s="158" t="s">
        <v>657</v>
      </c>
      <c r="AM1" s="158" t="s">
        <v>658</v>
      </c>
      <c r="AN1" s="158" t="s">
        <v>659</v>
      </c>
      <c r="AO1" s="158" t="s">
        <v>660</v>
      </c>
      <c r="AP1" s="158" t="s">
        <v>661</v>
      </c>
      <c r="AQ1" s="158" t="s">
        <v>662</v>
      </c>
      <c r="AR1" s="158" t="s">
        <v>663</v>
      </c>
      <c r="AS1" s="158" t="s">
        <v>664</v>
      </c>
      <c r="AT1" s="158" t="s">
        <v>665</v>
      </c>
      <c r="AU1" s="158" t="s">
        <v>666</v>
      </c>
      <c r="AV1" s="158" t="s">
        <v>667</v>
      </c>
      <c r="AW1" s="158" t="s">
        <v>668</v>
      </c>
      <c r="AX1" s="158" t="s">
        <v>669</v>
      </c>
      <c r="AY1" s="158" t="s">
        <v>670</v>
      </c>
      <c r="AZ1" s="158" t="s">
        <v>671</v>
      </c>
      <c r="BA1" s="158" t="s">
        <v>672</v>
      </c>
      <c r="BB1" s="159" t="s">
        <v>673</v>
      </c>
    </row>
    <row r="2" spans="1:54" s="135" customFormat="1" x14ac:dyDescent="0.2">
      <c r="A2" s="151" t="s">
        <v>616</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619</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617</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616</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618</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674</v>
      </c>
      <c r="B3" s="129" t="s">
        <v>675</v>
      </c>
      <c r="C3" s="129"/>
      <c r="D3" s="217"/>
      <c r="E3" s="129"/>
    </row>
    <row r="4" spans="1:5" x14ac:dyDescent="0.25">
      <c r="A4" s="79" t="s">
        <v>47</v>
      </c>
      <c r="B4">
        <v>0</v>
      </c>
    </row>
    <row r="5" spans="1:5" x14ac:dyDescent="0.25">
      <c r="A5" s="79" t="s">
        <v>676</v>
      </c>
      <c r="B5">
        <v>85</v>
      </c>
      <c r="D5" s="130">
        <f>GETPIVOTDATA("#Tests",$A$3,"ETA","wk-1")/GETPIVOTDATA("#Tests",$A$3)</f>
        <v>0.17</v>
      </c>
      <c r="E5" s="131">
        <f>D5</f>
        <v>0.17</v>
      </c>
    </row>
    <row r="6" spans="1:5" x14ac:dyDescent="0.25">
      <c r="A6" s="79" t="s">
        <v>677</v>
      </c>
      <c r="B6">
        <v>48</v>
      </c>
      <c r="D6" s="130">
        <f>GETPIVOTDATA("#Tests",$A$3,"ETA","wk-2")/GETPIVOTDATA("#Tests",$A$3)</f>
        <v>9.6000000000000002E-2</v>
      </c>
      <c r="E6" s="131">
        <f t="shared" ref="E6:E12" si="0">E5+D6</f>
        <v>0.26600000000000001</v>
      </c>
    </row>
    <row r="7" spans="1:5" x14ac:dyDescent="0.25">
      <c r="A7" s="79" t="s">
        <v>678</v>
      </c>
      <c r="B7">
        <v>96</v>
      </c>
      <c r="D7" s="130">
        <f>GETPIVOTDATA("#Tests",$A$3,"ETA","wk-3")/GETPIVOTDATA("#Tests",$A$3)</f>
        <v>0.192</v>
      </c>
      <c r="E7" s="131">
        <f t="shared" si="0"/>
        <v>0.45800000000000002</v>
      </c>
    </row>
    <row r="8" spans="1:5" x14ac:dyDescent="0.25">
      <c r="A8" s="79" t="s">
        <v>679</v>
      </c>
      <c r="B8">
        <v>79</v>
      </c>
      <c r="D8" s="130">
        <f>GETPIVOTDATA("#Tests",$A$3,"ETA","wk-4")/GETPIVOTDATA("#Tests",$A$3)</f>
        <v>0.158</v>
      </c>
      <c r="E8" s="131">
        <f t="shared" si="0"/>
        <v>0.61599999999999999</v>
      </c>
    </row>
    <row r="9" spans="1:5" x14ac:dyDescent="0.25">
      <c r="A9" s="79" t="s">
        <v>680</v>
      </c>
      <c r="B9">
        <v>82</v>
      </c>
      <c r="D9" s="130">
        <f>GETPIVOTDATA("#Tests",$A$3,"ETA","wk-5")/GETPIVOTDATA("#Tests",$A$3)</f>
        <v>0.16400000000000001</v>
      </c>
      <c r="E9" s="131">
        <f t="shared" si="0"/>
        <v>0.78</v>
      </c>
    </row>
    <row r="10" spans="1:5" x14ac:dyDescent="0.25">
      <c r="A10" s="79" t="s">
        <v>681</v>
      </c>
      <c r="B10">
        <v>60</v>
      </c>
      <c r="D10" s="130">
        <f>GETPIVOTDATA("#Tests",$A$3,"ETA","wk-6")/GETPIVOTDATA("#Tests",$A$3)</f>
        <v>0.12</v>
      </c>
      <c r="E10" s="131">
        <f t="shared" si="0"/>
        <v>0.9</v>
      </c>
    </row>
    <row r="11" spans="1:5" x14ac:dyDescent="0.25">
      <c r="A11" s="79" t="s">
        <v>682</v>
      </c>
      <c r="B11">
        <v>30</v>
      </c>
      <c r="D11" s="130">
        <f>GETPIVOTDATA("#Tests",$A$3,"ETA","wk-7")/GETPIVOTDATA("#Tests",$A$3)</f>
        <v>0.06</v>
      </c>
      <c r="E11" s="131">
        <f t="shared" si="0"/>
        <v>0.96</v>
      </c>
    </row>
    <row r="12" spans="1:5" x14ac:dyDescent="0.25">
      <c r="A12" s="79" t="s">
        <v>683</v>
      </c>
      <c r="B12">
        <v>20</v>
      </c>
      <c r="D12" s="130">
        <f>GETPIVOTDATA("#Tests",$A$3,"ETA","wk-8")/GETPIVOTDATA("#Tests",$A$3)</f>
        <v>0.04</v>
      </c>
      <c r="E12" s="131">
        <f t="shared" si="0"/>
        <v>1</v>
      </c>
    </row>
    <row r="13" spans="1:5" x14ac:dyDescent="0.25">
      <c r="A13" s="79" t="s">
        <v>516</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2024-03-15T21:19:16Z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