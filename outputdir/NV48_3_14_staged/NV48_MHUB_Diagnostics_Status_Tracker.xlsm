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4.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outputdir\NV48_3_14_staged\"/>
    </mc:Choice>
  </mc:AlternateContent>
  <xr:revisionPtr revIDLastSave="0" documentId="13_ncr:1_{2474A18E-94CE-4E01-9870-37A3D12CDFEF}" xr6:coauthVersionLast="47" xr6:coauthVersionMax="47" xr10:uidLastSave="{00000000-0000-0000-0000-000000000000}"/>
  <bookViews>
    <workbookView xWindow="-27285" yWindow="825" windowWidth="27165" windowHeight="14340" tabRatio="462" firstSheet="5" activeTab="5" xr2:uid="{00000000-000D-0000-FFFF-FFFF00000000}"/>
  </bookViews>
  <sheets>
    <sheet name="Log" sheetId="47" state="hidden" r:id="rId1"/>
    <sheet name="List Options" sheetId="31" state="hidden" r:id="rId2"/>
    <sheet name="Usage" sheetId="56" r:id="rId3"/>
    <sheet name="Cross-IP trackingHowTo" sheetId="64" r:id="rId4"/>
    <sheet name="Revision History" sheetId="58" r:id="rId5"/>
    <sheet name="Diags Raw Data" sheetId="53" r:id="rId6"/>
    <sheet name="Feature Raw Data" sheetId="52" r:id="rId7"/>
    <sheet name="Sub-IP Block Summary" sheetId="59" r:id="rId8"/>
    <sheet name="Progress (WIP)" sheetId="26" state="hidden" r:id="rId9"/>
    <sheet name="Feature Summary" sheetId="55" r:id="rId10"/>
    <sheet name="Progress" sheetId="51" r:id="rId11"/>
    <sheet name="Coverage Plan" sheetId="57" state="hidden" r:id="rId12"/>
  </sheets>
  <definedNames>
    <definedName name="_xlnm._FilterDatabase" localSheetId="5" hidden="1">'Diags Raw Data'!$A$5:$AH$302</definedName>
    <definedName name="_xlnm._FilterDatabase" localSheetId="6" hidden="1">'Feature Raw Data'!$A$2:$E$305</definedName>
    <definedName name="_xlnm._FilterDatabase" localSheetId="9" hidden="1">'Feature Summary'!$A$6:$U$213</definedName>
    <definedName name="_Toc71666059" localSheetId="5">'Diags Raw Data'!$AH$96</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0"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T299" i="53" l="1"/>
  <c r="AG300" i="53"/>
  <c r="Z300" i="53"/>
  <c r="AE300" i="53" s="1"/>
  <c r="S300" i="53"/>
  <c r="X300" i="53" s="1"/>
  <c r="P300" i="53"/>
  <c r="U299" i="53"/>
  <c r="R299" i="53"/>
  <c r="M211" i="55" s="1"/>
  <c r="K299" i="53"/>
  <c r="N302" i="53" s="1"/>
  <c r="C132" i="55"/>
  <c r="B84" i="55"/>
  <c r="E194" i="55"/>
  <c r="B199" i="55"/>
  <c r="P186" i="55"/>
  <c r="S186" i="55" s="1"/>
  <c r="L2" i="53"/>
  <c r="D193" i="55" a="1"/>
  <c r="D193" i="55" s="1"/>
  <c r="D7" i="55" a="1"/>
  <c r="D7" i="55" s="1"/>
  <c r="H7" i="55" s="1"/>
  <c r="D8" i="55" a="1"/>
  <c r="D8" i="55" s="1"/>
  <c r="D9" i="55" a="1"/>
  <c r="D9" i="55" s="1"/>
  <c r="D10" i="55" a="1"/>
  <c r="D10" i="55" s="1"/>
  <c r="G10" i="55" s="1"/>
  <c r="D13" i="55" a="1"/>
  <c r="D13" i="55" s="1"/>
  <c r="G13" i="55" s="1"/>
  <c r="D14" i="55" a="1"/>
  <c r="D14" i="55" s="1"/>
  <c r="D15" i="55" a="1"/>
  <c r="D15" i="55" s="1"/>
  <c r="D16" i="55" a="1"/>
  <c r="D16" i="55" s="1"/>
  <c r="D17" i="55" a="1"/>
  <c r="D17" i="55" s="1"/>
  <c r="D18" i="55" a="1"/>
  <c r="D18" i="55" s="1"/>
  <c r="D19" i="55" a="1"/>
  <c r="D19" i="55" s="1"/>
  <c r="L19" i="55" s="1" a="1"/>
  <c r="L19" i="55" s="1"/>
  <c r="D20" i="55" a="1"/>
  <c r="D20" i="55" s="1"/>
  <c r="D21" i="55" a="1"/>
  <c r="D21" i="55" s="1"/>
  <c r="L21" i="55" s="1" a="1"/>
  <c r="L21" i="55" s="1"/>
  <c r="D24" i="55" a="1"/>
  <c r="D24" i="55" s="1"/>
  <c r="D25" i="55" a="1"/>
  <c r="D25" i="55" s="1"/>
  <c r="D27" i="55" a="1"/>
  <c r="D27" i="55" s="1"/>
  <c r="D29" i="55" a="1"/>
  <c r="D29" i="55" s="1"/>
  <c r="G29" i="55" s="1"/>
  <c r="D30" i="55" a="1"/>
  <c r="D30" i="55" s="1"/>
  <c r="D31" i="55" a="1"/>
  <c r="D31" i="55" s="1"/>
  <c r="D32" i="55" a="1"/>
  <c r="D32" i="55" s="1"/>
  <c r="D36" i="55" a="1"/>
  <c r="D36" i="55" s="1"/>
  <c r="D37" i="55" a="1"/>
  <c r="D37" i="55" s="1"/>
  <c r="D38" i="55" a="1"/>
  <c r="D38" i="55" s="1"/>
  <c r="D39" i="55" a="1"/>
  <c r="D39" i="55" s="1"/>
  <c r="D40" i="55" a="1"/>
  <c r="D40" i="55" s="1"/>
  <c r="D41" i="55" a="1"/>
  <c r="D41" i="55" s="1"/>
  <c r="D44" i="55" a="1"/>
  <c r="D44" i="55" s="1"/>
  <c r="D45" i="55" a="1"/>
  <c r="D45" i="55" s="1"/>
  <c r="D46" i="55" a="1"/>
  <c r="D46" i="55" s="1"/>
  <c r="D47" i="55" a="1"/>
  <c r="D47" i="55" s="1"/>
  <c r="D48" i="55" a="1"/>
  <c r="D48" i="55" s="1"/>
  <c r="G48" i="55" s="1"/>
  <c r="D49" i="55" a="1"/>
  <c r="D49" i="55" s="1"/>
  <c r="D50" i="55" a="1"/>
  <c r="D50" i="55" s="1"/>
  <c r="D51" i="55" a="1"/>
  <c r="D51" i="55" s="1"/>
  <c r="D52" i="55" a="1"/>
  <c r="D52" i="55" s="1"/>
  <c r="D53" i="55" a="1"/>
  <c r="D53" i="55" s="1"/>
  <c r="D54" i="55" a="1"/>
  <c r="D54" i="55" s="1"/>
  <c r="D55" i="55" a="1"/>
  <c r="D55" i="55" s="1"/>
  <c r="D56" i="55" a="1"/>
  <c r="D56" i="55" s="1"/>
  <c r="D57" i="55" a="1"/>
  <c r="D57" i="55" s="1"/>
  <c r="D58" i="55" a="1"/>
  <c r="D58" i="55" s="1"/>
  <c r="D59" i="55" a="1"/>
  <c r="D59" i="55" s="1"/>
  <c r="D60" i="55" a="1"/>
  <c r="D60" i="55" s="1"/>
  <c r="H60" i="55" s="1"/>
  <c r="D61" i="55" a="1"/>
  <c r="D61" i="55" s="1"/>
  <c r="D62" i="55" a="1"/>
  <c r="D62" i="55" s="1"/>
  <c r="D66" i="55" a="1"/>
  <c r="D66" i="55" s="1"/>
  <c r="D67" i="55" a="1"/>
  <c r="D67" i="55" s="1"/>
  <c r="D71" i="55" a="1"/>
  <c r="D71" i="55" s="1"/>
  <c r="D72" i="55" a="1"/>
  <c r="D72" i="55" s="1"/>
  <c r="D73" i="55" a="1"/>
  <c r="D73" i="55" s="1"/>
  <c r="D76" i="55" a="1"/>
  <c r="D76" i="55" s="1"/>
  <c r="D77" i="55" a="1"/>
  <c r="D77" i="55" s="1"/>
  <c r="D78" i="55" a="1"/>
  <c r="D78" i="55" s="1"/>
  <c r="D80" i="55" a="1"/>
  <c r="D80" i="55" s="1"/>
  <c r="H80" i="55" s="1"/>
  <c r="D81" i="55" a="1"/>
  <c r="D81" i="55" s="1"/>
  <c r="D82" i="55" a="1"/>
  <c r="D82" i="55" s="1"/>
  <c r="D83" i="55" a="1"/>
  <c r="D83" i="55" s="1"/>
  <c r="D84" i="55" a="1"/>
  <c r="D84" i="55" s="1"/>
  <c r="G84" i="55" s="1"/>
  <c r="D86" i="55" a="1"/>
  <c r="D86" i="55" s="1"/>
  <c r="D87" i="55" a="1"/>
  <c r="D87" i="55" s="1"/>
  <c r="D88" i="55" a="1"/>
  <c r="D88" i="55" s="1"/>
  <c r="L88" i="55" s="1" a="1"/>
  <c r="L88" i="55" s="1"/>
  <c r="D90" i="55" a="1"/>
  <c r="D90" i="55" s="1"/>
  <c r="D93" i="55" a="1"/>
  <c r="D93" i="55" s="1"/>
  <c r="H93" i="55" s="1"/>
  <c r="D96" i="55" a="1"/>
  <c r="D96" i="55" s="1"/>
  <c r="D97" i="55" a="1"/>
  <c r="D97" i="55" s="1"/>
  <c r="D98" i="55" a="1"/>
  <c r="D98" i="55" s="1"/>
  <c r="G98" i="55" s="1"/>
  <c r="D99" i="55" a="1"/>
  <c r="D99" i="55" s="1"/>
  <c r="D102" i="55" a="1"/>
  <c r="D102" i="55" s="1"/>
  <c r="D103" i="55" a="1"/>
  <c r="D103" i="55" s="1"/>
  <c r="D104" i="55" a="1"/>
  <c r="D104" i="55" s="1"/>
  <c r="D105" i="55" a="1"/>
  <c r="D105" i="55" s="1"/>
  <c r="D107" i="55" a="1"/>
  <c r="D107" i="55" s="1"/>
  <c r="G107" i="55" s="1"/>
  <c r="D108" i="55" a="1"/>
  <c r="D108" i="55" s="1"/>
  <c r="D109" i="55" a="1"/>
  <c r="D109" i="55" s="1"/>
  <c r="D110" i="55" a="1"/>
  <c r="D110" i="55" s="1"/>
  <c r="G110" i="55" s="1"/>
  <c r="D111" i="55" a="1"/>
  <c r="D111" i="55" s="1"/>
  <c r="D112" i="55" a="1"/>
  <c r="D112" i="55" s="1"/>
  <c r="D114" i="55" a="1"/>
  <c r="D114" i="55" s="1"/>
  <c r="D115" i="55" a="1"/>
  <c r="D115" i="55" s="1"/>
  <c r="D116" i="55" a="1"/>
  <c r="D116" i="55" s="1"/>
  <c r="D117" i="55" a="1"/>
  <c r="D117" i="55" s="1"/>
  <c r="G117" i="55" s="1"/>
  <c r="D118" i="55" a="1"/>
  <c r="D118" i="55" s="1"/>
  <c r="D119" i="55" a="1"/>
  <c r="D119" i="55" s="1"/>
  <c r="D120" i="55" a="1"/>
  <c r="D120" i="55" s="1"/>
  <c r="D121" i="55" a="1"/>
  <c r="D121" i="55" s="1"/>
  <c r="D122" i="55" a="1"/>
  <c r="D122" i="55" s="1"/>
  <c r="D123" i="55" a="1"/>
  <c r="D123" i="55" s="1"/>
  <c r="D124" i="55" a="1"/>
  <c r="D124" i="55" s="1"/>
  <c r="H124" i="55" s="1"/>
  <c r="D126" i="55" a="1"/>
  <c r="D126" i="55" s="1"/>
  <c r="D128" i="55" a="1"/>
  <c r="D128" i="55" s="1"/>
  <c r="D130" i="55" a="1"/>
  <c r="D130" i="55" s="1"/>
  <c r="D131" i="55" a="1"/>
  <c r="D131" i="55" s="1"/>
  <c r="D132" i="55" a="1"/>
  <c r="D132" i="55" s="1"/>
  <c r="D133" i="55" a="1"/>
  <c r="D133" i="55" s="1"/>
  <c r="D134" i="55" a="1"/>
  <c r="D134" i="55" s="1"/>
  <c r="D136" i="55" a="1"/>
  <c r="D136" i="55" s="1"/>
  <c r="G136" i="55" s="1"/>
  <c r="D137" i="55" a="1"/>
  <c r="D137" i="55" s="1"/>
  <c r="D138" i="55" a="1"/>
  <c r="D138" i="55" s="1"/>
  <c r="D140" i="55" a="1"/>
  <c r="D140" i="55" s="1"/>
  <c r="D159" i="55" a="1"/>
  <c r="D159" i="55" s="1"/>
  <c r="D160" i="55" a="1"/>
  <c r="D160" i="55" s="1"/>
  <c r="D161" i="55" a="1"/>
  <c r="D161" i="55" s="1"/>
  <c r="D162" i="55" a="1"/>
  <c r="D162" i="55" s="1"/>
  <c r="H162" i="55" s="1"/>
  <c r="D165" i="55" a="1"/>
  <c r="D165" i="55" s="1"/>
  <c r="H165" i="55" s="1"/>
  <c r="D167" i="55" a="1"/>
  <c r="D167" i="55" s="1"/>
  <c r="D168" i="55" a="1"/>
  <c r="D168" i="55" s="1"/>
  <c r="D169" i="55" a="1"/>
  <c r="D169" i="55" s="1"/>
  <c r="D170" i="55" a="1"/>
  <c r="D170" i="55" s="1"/>
  <c r="D171" i="55" a="1"/>
  <c r="D171" i="55" s="1"/>
  <c r="D174" i="55" a="1"/>
  <c r="D174" i="55" s="1"/>
  <c r="D175" i="55" a="1"/>
  <c r="D175" i="55" s="1"/>
  <c r="G175" i="55" s="1"/>
  <c r="D176" i="55" a="1"/>
  <c r="D176" i="55" s="1"/>
  <c r="H176" i="55" s="1"/>
  <c r="D177" i="55" a="1"/>
  <c r="D177" i="55" s="1"/>
  <c r="D179" i="55" a="1"/>
  <c r="D179" i="55" s="1"/>
  <c r="G179" i="55" s="1"/>
  <c r="D181" i="55" a="1"/>
  <c r="D181" i="55" s="1"/>
  <c r="L181" i="55" s="1" a="1"/>
  <c r="L181" i="55" s="1"/>
  <c r="D182" i="55" a="1"/>
  <c r="D182" i="55" s="1"/>
  <c r="D183" i="55" a="1"/>
  <c r="D183" i="55" s="1"/>
  <c r="D184" i="55" a="1"/>
  <c r="D184" i="55" s="1"/>
  <c r="G184" i="55" s="1"/>
  <c r="D185" i="55" a="1"/>
  <c r="D185" i="55" s="1"/>
  <c r="D186" i="55" a="1"/>
  <c r="D186" i="55" s="1"/>
  <c r="L299" i="53"/>
  <c r="J211" i="55" s="1"/>
  <c r="J186" i="55"/>
  <c r="D187" i="55" a="1"/>
  <c r="D187" i="55" s="1"/>
  <c r="H187" i="55" s="1"/>
  <c r="D188" i="55" a="1"/>
  <c r="D188" i="55" s="1"/>
  <c r="H188" i="55" s="1"/>
  <c r="D189" i="55" a="1"/>
  <c r="D189" i="55" s="1"/>
  <c r="D190" i="55" a="1"/>
  <c r="D190" i="55" s="1"/>
  <c r="D191" i="55" a="1"/>
  <c r="D191" i="55" s="1"/>
  <c r="G191" i="55" s="1"/>
  <c r="D192" i="55" a="1"/>
  <c r="D192" i="55" s="1"/>
  <c r="D194" i="55" a="1"/>
  <c r="D194" i="55" s="1"/>
  <c r="D196" i="55" a="1"/>
  <c r="D196" i="55" s="1"/>
  <c r="D197" i="55" a="1"/>
  <c r="D197" i="55" s="1"/>
  <c r="D198" i="55" a="1"/>
  <c r="D198" i="55" s="1"/>
  <c r="D199" i="55" a="1"/>
  <c r="D199" i="55" s="1"/>
  <c r="D200" i="55" a="1"/>
  <c r="D200" i="55" s="1"/>
  <c r="D201" i="55" a="1"/>
  <c r="D201" i="55" s="1"/>
  <c r="H201" i="55" s="1"/>
  <c r="I3" i="52"/>
  <c r="I7" i="52"/>
  <c r="I8" i="52"/>
  <c r="D180" i="55" a="1"/>
  <c r="D180" i="55" s="1"/>
  <c r="J13" i="55"/>
  <c r="R13" i="55" s="1"/>
  <c r="P13" i="55"/>
  <c r="S13" i="55" s="1"/>
  <c r="Q13" i="55"/>
  <c r="I13" i="55"/>
  <c r="F13" i="55"/>
  <c r="E13" i="55"/>
  <c r="C13" i="55"/>
  <c r="B13" i="55"/>
  <c r="G89" i="55"/>
  <c r="B188" i="55"/>
  <c r="P171" i="55"/>
  <c r="P84" i="55"/>
  <c r="S84" i="55" s="1"/>
  <c r="J83" i="55"/>
  <c r="R83" i="55" s="1"/>
  <c r="J84" i="55"/>
  <c r="R84" i="55" s="1"/>
  <c r="Q83" i="55"/>
  <c r="Q84" i="55"/>
  <c r="M171" i="55" a="1"/>
  <c r="M171" i="55" s="1"/>
  <c r="N194" i="55" a="1"/>
  <c r="N194" i="55" s="1"/>
  <c r="J82" i="55"/>
  <c r="I82" i="55"/>
  <c r="I83" i="55"/>
  <c r="I84" i="55"/>
  <c r="F82" i="55"/>
  <c r="F83" i="55"/>
  <c r="F84" i="55"/>
  <c r="E82" i="55"/>
  <c r="E83" i="55"/>
  <c r="E84" i="55"/>
  <c r="C83" i="55"/>
  <c r="C84" i="55"/>
  <c r="B83" i="55"/>
  <c r="J170" i="55"/>
  <c r="P62" i="55"/>
  <c r="P51" i="55"/>
  <c r="P109" i="55"/>
  <c r="P110" i="55"/>
  <c r="P14" i="55"/>
  <c r="P162" i="55"/>
  <c r="S162" i="55" s="1"/>
  <c r="P44" i="55"/>
  <c r="S44" i="55" s="1"/>
  <c r="P108" i="55"/>
  <c r="S108" i="55" s="1"/>
  <c r="P97" i="55"/>
  <c r="P134" i="55"/>
  <c r="Q170" i="55"/>
  <c r="N170" i="55" a="1"/>
  <c r="N170" i="55" s="1"/>
  <c r="I170" i="55"/>
  <c r="F170" i="55"/>
  <c r="E170" i="55"/>
  <c r="C170" i="55"/>
  <c r="B170" i="55"/>
  <c r="I10" i="52"/>
  <c r="I9" i="52"/>
  <c r="Q82" i="55"/>
  <c r="N82" i="55" a="1"/>
  <c r="N82" i="55" s="1"/>
  <c r="C82" i="55"/>
  <c r="B82" i="55"/>
  <c r="J188" i="55"/>
  <c r="R188" i="55" s="1"/>
  <c r="P188" i="55"/>
  <c r="S188" i="55" s="1"/>
  <c r="J189" i="55"/>
  <c r="R189" i="55" s="1"/>
  <c r="P189" i="55"/>
  <c r="S189" i="55" s="1"/>
  <c r="J190" i="55"/>
  <c r="R190" i="55" s="1"/>
  <c r="P190" i="55"/>
  <c r="S190" i="55" s="1"/>
  <c r="J191" i="55"/>
  <c r="R191" i="55" s="1"/>
  <c r="P191" i="55"/>
  <c r="S191" i="55" s="1"/>
  <c r="J192" i="55"/>
  <c r="R192" i="55" s="1"/>
  <c r="P192" i="55"/>
  <c r="S192" i="55" s="1"/>
  <c r="J193" i="55"/>
  <c r="K193" i="55" s="1" a="1"/>
  <c r="K193" i="55" s="1"/>
  <c r="J194" i="55"/>
  <c r="Q188" i="55"/>
  <c r="Q189" i="55"/>
  <c r="Q190" i="55"/>
  <c r="Q191" i="55"/>
  <c r="Q192" i="55"/>
  <c r="Q193" i="55"/>
  <c r="Q194" i="55"/>
  <c r="N191" i="55" a="1"/>
  <c r="N191" i="55" s="1"/>
  <c r="I188" i="55"/>
  <c r="I189" i="55"/>
  <c r="I190" i="55"/>
  <c r="I191" i="55"/>
  <c r="I192" i="55"/>
  <c r="I193" i="55"/>
  <c r="I194" i="55"/>
  <c r="F188" i="55"/>
  <c r="F189" i="55"/>
  <c r="F190" i="55"/>
  <c r="F191" i="55"/>
  <c r="F192" i="55"/>
  <c r="F193" i="55"/>
  <c r="F194" i="55"/>
  <c r="E188" i="55"/>
  <c r="E189" i="55"/>
  <c r="E190" i="55"/>
  <c r="E191" i="55"/>
  <c r="E192" i="55"/>
  <c r="E193" i="55"/>
  <c r="C188" i="55"/>
  <c r="C189" i="55"/>
  <c r="C190" i="55"/>
  <c r="C191" i="55"/>
  <c r="C192" i="55"/>
  <c r="C193" i="55"/>
  <c r="C194" i="55"/>
  <c r="B189" i="55"/>
  <c r="B190" i="55"/>
  <c r="B191" i="55"/>
  <c r="B192" i="55"/>
  <c r="B193" i="55"/>
  <c r="B194" i="55"/>
  <c r="J171" i="55"/>
  <c r="Q171" i="55"/>
  <c r="N171" i="55" a="1"/>
  <c r="N171" i="55" s="1"/>
  <c r="I171" i="55"/>
  <c r="F171" i="55"/>
  <c r="E171" i="55"/>
  <c r="C171" i="55"/>
  <c r="B171" i="55"/>
  <c r="J201" i="55"/>
  <c r="R201" i="55" s="1"/>
  <c r="P201" i="55"/>
  <c r="S201" i="55" s="1"/>
  <c r="Q201" i="55"/>
  <c r="I201" i="55"/>
  <c r="F201" i="55"/>
  <c r="E201" i="55"/>
  <c r="C201" i="55"/>
  <c r="B201" i="55"/>
  <c r="J89" i="55"/>
  <c r="R89" i="55" s="1"/>
  <c r="P89" i="55"/>
  <c r="S89" i="55" s="1"/>
  <c r="Q89" i="55"/>
  <c r="L89" i="55" a="1"/>
  <c r="L89" i="55" s="1"/>
  <c r="K89" i="55" a="1"/>
  <c r="K89" i="55" s="1"/>
  <c r="I89" i="55"/>
  <c r="H89" i="55"/>
  <c r="F89" i="55"/>
  <c r="E89" i="55"/>
  <c r="C89" i="55"/>
  <c r="B89" i="55"/>
  <c r="J198" i="55"/>
  <c r="R198" i="55" s="1"/>
  <c r="P198" i="55"/>
  <c r="S198" i="55" s="1"/>
  <c r="Q198" i="55"/>
  <c r="I198" i="55"/>
  <c r="F198" i="55"/>
  <c r="E198" i="55"/>
  <c r="C198" i="55"/>
  <c r="B198" i="55"/>
  <c r="J184" i="55"/>
  <c r="R184" i="55" s="1"/>
  <c r="P184" i="55"/>
  <c r="S184" i="55" s="1"/>
  <c r="Q184" i="55"/>
  <c r="I184" i="55"/>
  <c r="F184" i="55"/>
  <c r="E184" i="55"/>
  <c r="C184" i="55"/>
  <c r="B184" i="55"/>
  <c r="J180" i="55"/>
  <c r="R180" i="55" s="1"/>
  <c r="P180" i="55"/>
  <c r="S180" i="55" s="1"/>
  <c r="J181" i="55"/>
  <c r="R181" i="55" s="1"/>
  <c r="P181" i="55"/>
  <c r="S181" i="55" s="1"/>
  <c r="Q180" i="55"/>
  <c r="Q181" i="55"/>
  <c r="I180" i="55"/>
  <c r="I181" i="55"/>
  <c r="F180" i="55"/>
  <c r="F181" i="55"/>
  <c r="E180" i="55"/>
  <c r="E181" i="55"/>
  <c r="C180" i="55"/>
  <c r="C181" i="55"/>
  <c r="B180" i="55"/>
  <c r="B181" i="55"/>
  <c r="J140" i="55"/>
  <c r="Q140" i="55"/>
  <c r="I140" i="55"/>
  <c r="F140" i="55"/>
  <c r="E140" i="55"/>
  <c r="C140" i="55"/>
  <c r="B140" i="55"/>
  <c r="J52" i="55"/>
  <c r="Q52" i="55"/>
  <c r="I52" i="55"/>
  <c r="F52" i="55"/>
  <c r="E52" i="55"/>
  <c r="C52" i="55"/>
  <c r="C51" i="55"/>
  <c r="B52" i="55"/>
  <c r="I5" i="52"/>
  <c r="Q199" i="55"/>
  <c r="Q200" i="55"/>
  <c r="J199" i="55"/>
  <c r="J200" i="55"/>
  <c r="I199" i="55"/>
  <c r="I200" i="55"/>
  <c r="E199" i="55"/>
  <c r="F199" i="55"/>
  <c r="F200" i="55"/>
  <c r="E200" i="55"/>
  <c r="C199" i="55"/>
  <c r="C200" i="55"/>
  <c r="B200" i="55"/>
  <c r="Q179" i="55"/>
  <c r="Q182" i="55"/>
  <c r="Q183" i="55"/>
  <c r="Q185" i="55"/>
  <c r="Q186" i="55"/>
  <c r="Q187" i="55"/>
  <c r="Q196" i="55"/>
  <c r="Q197" i="55"/>
  <c r="P179" i="55"/>
  <c r="S179" i="55" s="1"/>
  <c r="P182" i="55"/>
  <c r="S182" i="55" s="1"/>
  <c r="P185" i="55"/>
  <c r="S185" i="55" s="1"/>
  <c r="P187" i="55"/>
  <c r="S187" i="55" s="1"/>
  <c r="P196" i="55"/>
  <c r="S196" i="55" s="1"/>
  <c r="P197" i="55"/>
  <c r="J179" i="55"/>
  <c r="J182" i="55"/>
  <c r="J183" i="55"/>
  <c r="J185" i="55"/>
  <c r="J187" i="55"/>
  <c r="J196" i="55"/>
  <c r="J197" i="55"/>
  <c r="I179" i="55"/>
  <c r="I182" i="55"/>
  <c r="I183" i="55"/>
  <c r="I185" i="55"/>
  <c r="I186" i="55"/>
  <c r="I187" i="55"/>
  <c r="I196" i="55"/>
  <c r="I197" i="55"/>
  <c r="F179" i="55"/>
  <c r="F182" i="55"/>
  <c r="F183" i="55"/>
  <c r="F185" i="55"/>
  <c r="F186" i="55"/>
  <c r="F187" i="55"/>
  <c r="F196" i="55"/>
  <c r="F197" i="55"/>
  <c r="E179" i="55"/>
  <c r="E182" i="55"/>
  <c r="E183" i="55"/>
  <c r="E185" i="55"/>
  <c r="E186" i="55"/>
  <c r="E187" i="55"/>
  <c r="E196" i="55"/>
  <c r="E197" i="55"/>
  <c r="C179" i="55"/>
  <c r="C182" i="55"/>
  <c r="C183" i="55"/>
  <c r="C185" i="55"/>
  <c r="C186" i="55"/>
  <c r="C187" i="55"/>
  <c r="C196" i="55"/>
  <c r="C197" i="55"/>
  <c r="B187" i="55"/>
  <c r="B196" i="55"/>
  <c r="B197" i="55"/>
  <c r="B183" i="55"/>
  <c r="B185" i="55"/>
  <c r="B186" i="55"/>
  <c r="B179" i="55"/>
  <c r="B182" i="55"/>
  <c r="B177" i="55"/>
  <c r="G13" i="59"/>
  <c r="H13" i="59"/>
  <c r="I13" i="59"/>
  <c r="D11" i="59"/>
  <c r="D12" i="59"/>
  <c r="D13" i="59"/>
  <c r="E11" i="59"/>
  <c r="E12" i="59"/>
  <c r="E13" i="59"/>
  <c r="C11" i="59"/>
  <c r="C12" i="59"/>
  <c r="C13" i="59"/>
  <c r="B11" i="59"/>
  <c r="B12" i="59"/>
  <c r="B13" i="59"/>
  <c r="AB299" i="53"/>
  <c r="J105" i="55"/>
  <c r="R105" i="55" s="1"/>
  <c r="Q105" i="55"/>
  <c r="I105" i="55"/>
  <c r="F105" i="55"/>
  <c r="E105" i="55"/>
  <c r="C105" i="55"/>
  <c r="B105" i="55"/>
  <c r="J81" i="55"/>
  <c r="R81" i="55" s="1"/>
  <c r="Q81" i="55"/>
  <c r="I81" i="55"/>
  <c r="F81" i="55"/>
  <c r="E81" i="55"/>
  <c r="C81" i="55"/>
  <c r="B81" i="55"/>
  <c r="J44" i="55"/>
  <c r="R44" i="55" s="1"/>
  <c r="Q44" i="55"/>
  <c r="I44" i="55"/>
  <c r="F44" i="55"/>
  <c r="E44" i="55"/>
  <c r="C44" i="55"/>
  <c r="B44" i="55"/>
  <c r="J39" i="55"/>
  <c r="R39" i="55" s="1"/>
  <c r="Q39" i="55"/>
  <c r="I39" i="55"/>
  <c r="F39" i="55"/>
  <c r="E39" i="55"/>
  <c r="C39" i="55"/>
  <c r="B39" i="55"/>
  <c r="J32" i="55"/>
  <c r="Q32" i="55"/>
  <c r="I32" i="55"/>
  <c r="F32" i="55"/>
  <c r="E32" i="55"/>
  <c r="C32" i="55"/>
  <c r="B32" i="55"/>
  <c r="J162" i="55"/>
  <c r="R162" i="55" s="1"/>
  <c r="Q162" i="55"/>
  <c r="I162" i="55"/>
  <c r="F162" i="55"/>
  <c r="E162" i="55"/>
  <c r="C162" i="55"/>
  <c r="B162" i="55"/>
  <c r="J10" i="55"/>
  <c r="R10" i="55" s="1"/>
  <c r="Q10" i="55"/>
  <c r="I10" i="55"/>
  <c r="F10" i="55"/>
  <c r="E10" i="55"/>
  <c r="C10" i="55"/>
  <c r="B10" i="55"/>
  <c r="C7" i="55"/>
  <c r="H4" i="59"/>
  <c r="H5" i="59"/>
  <c r="H6" i="59"/>
  <c r="B131" i="55"/>
  <c r="B114" i="55"/>
  <c r="I5" i="59"/>
  <c r="I4" i="59"/>
  <c r="C4" i="59"/>
  <c r="Q20" i="55"/>
  <c r="P20" i="55"/>
  <c r="S20" i="55" s="1"/>
  <c r="J20" i="55"/>
  <c r="R20" i="55" s="1"/>
  <c r="I20" i="55"/>
  <c r="F20" i="55"/>
  <c r="E20" i="55"/>
  <c r="C20" i="55"/>
  <c r="B20" i="55"/>
  <c r="Q19" i="55"/>
  <c r="P19" i="55"/>
  <c r="S19" i="55" s="1"/>
  <c r="J19" i="55"/>
  <c r="R19" i="55" s="1"/>
  <c r="I19" i="55"/>
  <c r="F19" i="55"/>
  <c r="E19" i="55"/>
  <c r="C19" i="55"/>
  <c r="B19" i="55"/>
  <c r="Q134" i="55"/>
  <c r="Q97" i="55"/>
  <c r="J97" i="55"/>
  <c r="I97" i="55"/>
  <c r="F97" i="55"/>
  <c r="E97" i="55"/>
  <c r="C97" i="55"/>
  <c r="B97" i="55"/>
  <c r="Q37" i="55"/>
  <c r="J37" i="55"/>
  <c r="I37" i="55"/>
  <c r="F37" i="55"/>
  <c r="E37" i="55"/>
  <c r="C37" i="55"/>
  <c r="B37" i="55"/>
  <c r="Q177" i="55"/>
  <c r="P177" i="55"/>
  <c r="S177" i="55" s="1"/>
  <c r="J177" i="55"/>
  <c r="R177" i="55" s="1"/>
  <c r="I177" i="55"/>
  <c r="F177" i="55"/>
  <c r="E177" i="55"/>
  <c r="C177" i="55"/>
  <c r="Q176" i="55"/>
  <c r="P176" i="55"/>
  <c r="S176" i="55" s="1"/>
  <c r="J176" i="55"/>
  <c r="R176" i="55" s="1"/>
  <c r="I176" i="55"/>
  <c r="F176" i="55"/>
  <c r="E176" i="55"/>
  <c r="C176" i="55"/>
  <c r="B176" i="55"/>
  <c r="Q175" i="55"/>
  <c r="P175" i="55"/>
  <c r="S175" i="55" s="1"/>
  <c r="J175" i="55"/>
  <c r="R175" i="55" s="1"/>
  <c r="I175" i="55"/>
  <c r="F175" i="55"/>
  <c r="E175" i="55"/>
  <c r="C175" i="55"/>
  <c r="B175" i="55"/>
  <c r="Q174" i="55"/>
  <c r="P174" i="55"/>
  <c r="S174" i="55" s="1"/>
  <c r="J174" i="55"/>
  <c r="R174" i="55" s="1"/>
  <c r="I174" i="55"/>
  <c r="F174" i="55"/>
  <c r="E174" i="55"/>
  <c r="C174" i="55"/>
  <c r="B174" i="55"/>
  <c r="Q169" i="55"/>
  <c r="P169" i="55"/>
  <c r="S169" i="55" s="1"/>
  <c r="J169" i="55"/>
  <c r="R169" i="55" s="1"/>
  <c r="I169" i="55"/>
  <c r="F169" i="55"/>
  <c r="E169" i="55"/>
  <c r="C169" i="55"/>
  <c r="B169" i="55"/>
  <c r="Q168" i="55"/>
  <c r="P168" i="55"/>
  <c r="S168" i="55" s="1"/>
  <c r="J168" i="55"/>
  <c r="R168" i="55" s="1"/>
  <c r="I168" i="55"/>
  <c r="F168" i="55"/>
  <c r="E168" i="55"/>
  <c r="C168" i="55"/>
  <c r="B168" i="55"/>
  <c r="Q167" i="55"/>
  <c r="P167" i="55"/>
  <c r="S167" i="55" s="1"/>
  <c r="J167" i="55"/>
  <c r="R167" i="55" s="1"/>
  <c r="I167" i="55"/>
  <c r="F167" i="55"/>
  <c r="E167" i="55"/>
  <c r="C167" i="55"/>
  <c r="B167" i="55"/>
  <c r="Q165" i="55"/>
  <c r="P165" i="55"/>
  <c r="S165" i="55" s="1"/>
  <c r="J165" i="55"/>
  <c r="R165" i="55" s="1"/>
  <c r="I165" i="55"/>
  <c r="F165" i="55"/>
  <c r="E165" i="55"/>
  <c r="C165" i="55"/>
  <c r="B165" i="55"/>
  <c r="Q161" i="55"/>
  <c r="P161" i="55"/>
  <c r="S161" i="55" s="1"/>
  <c r="J161" i="55"/>
  <c r="R161" i="55" s="1"/>
  <c r="I161" i="55"/>
  <c r="F161" i="55"/>
  <c r="E161" i="55"/>
  <c r="C161" i="55"/>
  <c r="B161" i="55"/>
  <c r="Q160" i="55"/>
  <c r="J160" i="55"/>
  <c r="I160" i="55"/>
  <c r="F160" i="55"/>
  <c r="E160" i="55"/>
  <c r="C160" i="55"/>
  <c r="B160" i="55"/>
  <c r="Q159" i="55"/>
  <c r="J159" i="55"/>
  <c r="I159" i="55"/>
  <c r="F159" i="55"/>
  <c r="E159" i="55"/>
  <c r="C159" i="55"/>
  <c r="B159" i="55"/>
  <c r="Q138" i="55"/>
  <c r="J138" i="55"/>
  <c r="R138" i="55" s="1"/>
  <c r="I138" i="55"/>
  <c r="F138" i="55"/>
  <c r="E138" i="55"/>
  <c r="C138" i="55"/>
  <c r="B138" i="55"/>
  <c r="Q137" i="55"/>
  <c r="J137" i="55"/>
  <c r="I137" i="55"/>
  <c r="F137" i="55"/>
  <c r="E137" i="55"/>
  <c r="C137" i="55"/>
  <c r="B137" i="55"/>
  <c r="Q136" i="55"/>
  <c r="J136" i="55"/>
  <c r="I136" i="55"/>
  <c r="F136" i="55"/>
  <c r="E136" i="55"/>
  <c r="C136" i="55"/>
  <c r="B136" i="55"/>
  <c r="J134" i="55"/>
  <c r="I134" i="55"/>
  <c r="F134" i="55"/>
  <c r="E134" i="55"/>
  <c r="C134" i="55"/>
  <c r="B134" i="55"/>
  <c r="Q133" i="55"/>
  <c r="J133" i="55"/>
  <c r="R133" i="55" s="1"/>
  <c r="I133" i="55"/>
  <c r="F133" i="55"/>
  <c r="E133" i="55"/>
  <c r="C133" i="55"/>
  <c r="B133" i="55"/>
  <c r="Q132" i="55"/>
  <c r="J132" i="55"/>
  <c r="K132" i="55" s="1" a="1"/>
  <c r="K132" i="55" s="1"/>
  <c r="I132" i="55"/>
  <c r="F132" i="55"/>
  <c r="E132" i="55"/>
  <c r="B132" i="55"/>
  <c r="Q131" i="55"/>
  <c r="J131" i="55"/>
  <c r="I131" i="55"/>
  <c r="F131" i="55"/>
  <c r="E131" i="55"/>
  <c r="C131" i="55"/>
  <c r="Q130" i="55"/>
  <c r="J130" i="55"/>
  <c r="I130" i="55"/>
  <c r="F130" i="55"/>
  <c r="E130" i="55"/>
  <c r="C130" i="55"/>
  <c r="B130" i="55"/>
  <c r="Q128" i="55"/>
  <c r="J128" i="55"/>
  <c r="I128" i="55"/>
  <c r="F128" i="55"/>
  <c r="E128" i="55"/>
  <c r="C128" i="55"/>
  <c r="B128" i="55"/>
  <c r="Q126" i="55"/>
  <c r="J126" i="55"/>
  <c r="I126" i="55"/>
  <c r="F126" i="55"/>
  <c r="E126" i="55"/>
  <c r="C126" i="55"/>
  <c r="B126" i="55"/>
  <c r="Q124" i="55"/>
  <c r="P124" i="55"/>
  <c r="S124" i="55" s="1"/>
  <c r="J124" i="55"/>
  <c r="R124" i="55" s="1"/>
  <c r="I124" i="55"/>
  <c r="F124" i="55"/>
  <c r="E124" i="55"/>
  <c r="C124" i="55"/>
  <c r="B124" i="55"/>
  <c r="Q123" i="55"/>
  <c r="J123" i="55"/>
  <c r="I123" i="55"/>
  <c r="F123" i="55"/>
  <c r="E123" i="55"/>
  <c r="C123" i="55"/>
  <c r="B123" i="55"/>
  <c r="Q122" i="55"/>
  <c r="J122" i="55"/>
  <c r="I122" i="55"/>
  <c r="F122" i="55"/>
  <c r="E122" i="55"/>
  <c r="C122" i="55"/>
  <c r="B122" i="55"/>
  <c r="Q121" i="55"/>
  <c r="J121" i="55"/>
  <c r="I121" i="55"/>
  <c r="F121" i="55"/>
  <c r="E121" i="55"/>
  <c r="C121" i="55"/>
  <c r="B121" i="55"/>
  <c r="Q120" i="55"/>
  <c r="J120" i="55"/>
  <c r="I120" i="55"/>
  <c r="F120" i="55"/>
  <c r="E120" i="55"/>
  <c r="C120" i="55"/>
  <c r="B120" i="55"/>
  <c r="Q119" i="55"/>
  <c r="J119" i="55"/>
  <c r="I119" i="55"/>
  <c r="F119" i="55"/>
  <c r="E119" i="55"/>
  <c r="C119" i="55"/>
  <c r="B119" i="55"/>
  <c r="Q118" i="55"/>
  <c r="J118" i="55"/>
  <c r="I118" i="55"/>
  <c r="F118" i="55"/>
  <c r="E118" i="55"/>
  <c r="C118" i="55"/>
  <c r="B118" i="55"/>
  <c r="Q117" i="55"/>
  <c r="J117" i="55"/>
  <c r="I117" i="55"/>
  <c r="F117" i="55"/>
  <c r="E117" i="55"/>
  <c r="C117" i="55"/>
  <c r="B117" i="55"/>
  <c r="Q116" i="55"/>
  <c r="J116" i="55"/>
  <c r="I116" i="55"/>
  <c r="F116" i="55"/>
  <c r="E116" i="55"/>
  <c r="C116" i="55"/>
  <c r="B116" i="55"/>
  <c r="Q115" i="55"/>
  <c r="J115" i="55"/>
  <c r="I115" i="55"/>
  <c r="F115" i="55"/>
  <c r="E115" i="55"/>
  <c r="C115" i="55"/>
  <c r="B115" i="55"/>
  <c r="Q114" i="55"/>
  <c r="J114" i="55"/>
  <c r="I114" i="55"/>
  <c r="F114" i="55"/>
  <c r="E114" i="55"/>
  <c r="C114" i="55"/>
  <c r="Q112" i="55"/>
  <c r="J112" i="55"/>
  <c r="K112" i="55" s="1" a="1"/>
  <c r="K112" i="55" s="1"/>
  <c r="I112" i="55"/>
  <c r="F112" i="55"/>
  <c r="E112" i="55"/>
  <c r="C112" i="55"/>
  <c r="B112" i="55"/>
  <c r="Q111" i="55"/>
  <c r="J111" i="55"/>
  <c r="I111" i="55"/>
  <c r="F111" i="55"/>
  <c r="E111" i="55"/>
  <c r="C111" i="55"/>
  <c r="B111" i="55"/>
  <c r="Q110" i="55"/>
  <c r="J110" i="55"/>
  <c r="I110" i="55"/>
  <c r="F110" i="55"/>
  <c r="E110" i="55"/>
  <c r="C110" i="55"/>
  <c r="B110" i="55"/>
  <c r="Q109" i="55"/>
  <c r="J109" i="55"/>
  <c r="I109" i="55"/>
  <c r="F109" i="55"/>
  <c r="E109" i="55"/>
  <c r="C109" i="55"/>
  <c r="B109" i="55"/>
  <c r="Q108" i="55"/>
  <c r="J108" i="55"/>
  <c r="R108" i="55" s="1"/>
  <c r="I108" i="55"/>
  <c r="F108" i="55"/>
  <c r="E108" i="55"/>
  <c r="C108" i="55"/>
  <c r="B108" i="55"/>
  <c r="Q107" i="55"/>
  <c r="J107" i="55"/>
  <c r="R107" i="55" s="1"/>
  <c r="I107" i="55"/>
  <c r="F107" i="55"/>
  <c r="E107" i="55"/>
  <c r="C107" i="55"/>
  <c r="B107" i="55"/>
  <c r="Q104" i="55"/>
  <c r="J104" i="55"/>
  <c r="I104" i="55"/>
  <c r="F104" i="55"/>
  <c r="E104" i="55"/>
  <c r="C104" i="55"/>
  <c r="B104" i="55"/>
  <c r="Q103" i="55"/>
  <c r="J103" i="55"/>
  <c r="I103" i="55"/>
  <c r="F103" i="55"/>
  <c r="E103" i="55"/>
  <c r="C103" i="55"/>
  <c r="B103" i="55"/>
  <c r="Q102" i="55"/>
  <c r="J102" i="55"/>
  <c r="I102" i="55"/>
  <c r="F102" i="55"/>
  <c r="E102" i="55"/>
  <c r="C102" i="55"/>
  <c r="B102" i="55"/>
  <c r="Q99" i="55"/>
  <c r="J99" i="55"/>
  <c r="I99" i="55"/>
  <c r="F99" i="55"/>
  <c r="E99" i="55"/>
  <c r="C99" i="55"/>
  <c r="B99" i="55"/>
  <c r="Q98" i="55"/>
  <c r="J98" i="55"/>
  <c r="I98" i="55"/>
  <c r="F98" i="55"/>
  <c r="E98" i="55"/>
  <c r="C98" i="55"/>
  <c r="B98" i="55"/>
  <c r="Q96" i="55"/>
  <c r="J96" i="55"/>
  <c r="I96" i="55"/>
  <c r="F96" i="55"/>
  <c r="E96" i="55"/>
  <c r="C96" i="55"/>
  <c r="B96" i="55"/>
  <c r="Q93" i="55"/>
  <c r="J93" i="55"/>
  <c r="R93" i="55" s="1"/>
  <c r="I93" i="55"/>
  <c r="F93" i="55"/>
  <c r="E93" i="55"/>
  <c r="C93" i="55"/>
  <c r="B93" i="55"/>
  <c r="Q90" i="55"/>
  <c r="P90" i="55"/>
  <c r="S90" i="55" s="1"/>
  <c r="J90" i="55"/>
  <c r="R90" i="55" s="1"/>
  <c r="I90" i="55"/>
  <c r="F90" i="55"/>
  <c r="E90" i="55"/>
  <c r="C90" i="55"/>
  <c r="B90" i="55"/>
  <c r="Q88" i="55"/>
  <c r="P88" i="55"/>
  <c r="S88" i="55" s="1"/>
  <c r="J88" i="55"/>
  <c r="R88" i="55" s="1"/>
  <c r="I88" i="55"/>
  <c r="F88" i="55"/>
  <c r="E88" i="55"/>
  <c r="C88" i="55"/>
  <c r="B88" i="55"/>
  <c r="Q87" i="55"/>
  <c r="P87" i="55"/>
  <c r="S87" i="55" s="1"/>
  <c r="J87" i="55"/>
  <c r="R87" i="55" s="1"/>
  <c r="I87" i="55"/>
  <c r="F87" i="55"/>
  <c r="E87" i="55"/>
  <c r="C87" i="55"/>
  <c r="B87" i="55"/>
  <c r="I6" i="52"/>
  <c r="B20" i="59"/>
  <c r="B18" i="59"/>
  <c r="E17" i="55"/>
  <c r="B7" i="55"/>
  <c r="B4" i="59"/>
  <c r="B5" i="59"/>
  <c r="B6" i="59"/>
  <c r="T2" i="53"/>
  <c r="O299" i="53"/>
  <c r="K2" i="53"/>
  <c r="K20" i="59"/>
  <c r="I7" i="55"/>
  <c r="D20" i="59"/>
  <c r="D18" i="59"/>
  <c r="D19" i="59"/>
  <c r="D6" i="59"/>
  <c r="D5" i="59"/>
  <c r="D4" i="59"/>
  <c r="I8" i="55"/>
  <c r="AD2" i="53"/>
  <c r="AC2" i="53"/>
  <c r="AB2" i="53"/>
  <c r="W2" i="53"/>
  <c r="V2" i="53"/>
  <c r="U2" i="53"/>
  <c r="R2" i="53"/>
  <c r="O2" i="53"/>
  <c r="S6" i="59"/>
  <c r="R6" i="59"/>
  <c r="Q6" i="59"/>
  <c r="P6" i="59"/>
  <c r="K6" i="59"/>
  <c r="J6" i="59"/>
  <c r="I6" i="59"/>
  <c r="E6" i="59"/>
  <c r="C6" i="59"/>
  <c r="S5" i="59"/>
  <c r="R5" i="59"/>
  <c r="Q5" i="59"/>
  <c r="P5" i="59"/>
  <c r="Q4" i="59"/>
  <c r="K5" i="59"/>
  <c r="J5" i="59"/>
  <c r="E5" i="59"/>
  <c r="C5" i="59"/>
  <c r="S4" i="59"/>
  <c r="R4" i="59"/>
  <c r="K4" i="59"/>
  <c r="J4" i="59"/>
  <c r="E4" i="59"/>
  <c r="J17" i="55"/>
  <c r="R17" i="55" s="1"/>
  <c r="P17" i="55"/>
  <c r="S17" i="55" s="1"/>
  <c r="J18" i="55"/>
  <c r="R18" i="55" s="1"/>
  <c r="J15" i="55"/>
  <c r="D79" i="55" a="1"/>
  <c r="D79" i="55" s="1"/>
  <c r="H79" i="55" s="1"/>
  <c r="I9" i="55"/>
  <c r="I14" i="55"/>
  <c r="I15" i="55"/>
  <c r="I16" i="55"/>
  <c r="I17" i="55"/>
  <c r="I18" i="55"/>
  <c r="I21" i="55"/>
  <c r="I24" i="55"/>
  <c r="I25" i="55"/>
  <c r="I27" i="55"/>
  <c r="I29" i="55"/>
  <c r="I30" i="55"/>
  <c r="I31" i="55"/>
  <c r="Q9" i="55"/>
  <c r="Q14" i="55"/>
  <c r="Q15" i="55"/>
  <c r="Q16" i="55"/>
  <c r="Q17" i="55"/>
  <c r="Q18" i="55"/>
  <c r="Q21" i="55"/>
  <c r="Q24" i="55"/>
  <c r="Q25" i="55"/>
  <c r="Q27" i="55"/>
  <c r="Q29" i="55"/>
  <c r="Q30" i="55"/>
  <c r="Q31" i="55"/>
  <c r="Q8" i="55"/>
  <c r="Q7" i="55"/>
  <c r="J9" i="55"/>
  <c r="J14" i="55"/>
  <c r="K14" i="55" s="1" a="1"/>
  <c r="K14" i="55" s="1"/>
  <c r="J16" i="55"/>
  <c r="R16" i="55" s="1"/>
  <c r="J21" i="55"/>
  <c r="R21" i="55" s="1"/>
  <c r="J24" i="55"/>
  <c r="J25" i="55"/>
  <c r="J27" i="55"/>
  <c r="J29" i="55"/>
  <c r="J30" i="55"/>
  <c r="J31" i="55"/>
  <c r="J8" i="55"/>
  <c r="J7" i="55"/>
  <c r="E9" i="55"/>
  <c r="E14" i="55"/>
  <c r="E15" i="55"/>
  <c r="E16" i="55"/>
  <c r="E18" i="55"/>
  <c r="E21" i="55"/>
  <c r="E24" i="55"/>
  <c r="E25" i="55"/>
  <c r="E27" i="55"/>
  <c r="E29" i="55"/>
  <c r="E30" i="55"/>
  <c r="E31" i="55"/>
  <c r="E36" i="55"/>
  <c r="E38" i="55"/>
  <c r="E40" i="55"/>
  <c r="E41" i="55"/>
  <c r="E45" i="55"/>
  <c r="E46" i="55"/>
  <c r="E47" i="55"/>
  <c r="E48" i="55"/>
  <c r="E49" i="55"/>
  <c r="E50" i="55"/>
  <c r="E51" i="55"/>
  <c r="E53" i="55"/>
  <c r="E54" i="55"/>
  <c r="E55" i="55"/>
  <c r="E56" i="55"/>
  <c r="E57" i="55"/>
  <c r="E58" i="55"/>
  <c r="E59" i="55"/>
  <c r="E60" i="55"/>
  <c r="E61" i="55"/>
  <c r="E62" i="55"/>
  <c r="E66" i="55"/>
  <c r="E67" i="55"/>
  <c r="E71" i="55"/>
  <c r="E72" i="55"/>
  <c r="E73" i="55"/>
  <c r="E76" i="55"/>
  <c r="E77" i="55"/>
  <c r="E78" i="55"/>
  <c r="E79" i="55"/>
  <c r="E80" i="55"/>
  <c r="E86" i="55"/>
  <c r="E8" i="55"/>
  <c r="E7" i="55"/>
  <c r="B14" i="55"/>
  <c r="B15" i="55"/>
  <c r="B16" i="55"/>
  <c r="B17" i="55"/>
  <c r="B18" i="55"/>
  <c r="B21" i="55"/>
  <c r="B24" i="55"/>
  <c r="B25" i="55"/>
  <c r="B27" i="55"/>
  <c r="B29" i="55"/>
  <c r="B30" i="55"/>
  <c r="B31" i="55"/>
  <c r="B36" i="55"/>
  <c r="B38" i="55"/>
  <c r="B40" i="55"/>
  <c r="B41" i="55"/>
  <c r="B45" i="55"/>
  <c r="B46" i="55"/>
  <c r="B47" i="55"/>
  <c r="B48" i="55"/>
  <c r="B49" i="55"/>
  <c r="B50" i="55"/>
  <c r="B51" i="55"/>
  <c r="B53" i="55"/>
  <c r="B54" i="55"/>
  <c r="B55" i="55"/>
  <c r="B56" i="55"/>
  <c r="B57" i="55"/>
  <c r="B58" i="55"/>
  <c r="B59" i="55"/>
  <c r="B60" i="55"/>
  <c r="B61" i="55"/>
  <c r="B62" i="55"/>
  <c r="B66" i="55"/>
  <c r="B67" i="55"/>
  <c r="B71" i="55"/>
  <c r="B72" i="55"/>
  <c r="B73" i="55"/>
  <c r="B76" i="55"/>
  <c r="B77" i="55"/>
  <c r="B78" i="55"/>
  <c r="B79" i="55"/>
  <c r="B80" i="55"/>
  <c r="B86" i="55"/>
  <c r="B9" i="55"/>
  <c r="B8" i="55"/>
  <c r="F15" i="55"/>
  <c r="F17" i="55"/>
  <c r="F25" i="55"/>
  <c r="F50" i="55"/>
  <c r="F58" i="55"/>
  <c r="F60" i="55"/>
  <c r="F67" i="55"/>
  <c r="F73" i="55"/>
  <c r="F8" i="55"/>
  <c r="F9" i="55"/>
  <c r="F14" i="55"/>
  <c r="F16" i="55"/>
  <c r="F18" i="55"/>
  <c r="F21" i="55"/>
  <c r="F24" i="55"/>
  <c r="F27" i="55"/>
  <c r="F29" i="55"/>
  <c r="F30" i="55"/>
  <c r="F31" i="55"/>
  <c r="F36" i="55"/>
  <c r="F38" i="55"/>
  <c r="F40" i="55"/>
  <c r="F41" i="55"/>
  <c r="F45" i="55"/>
  <c r="F46" i="55"/>
  <c r="F47" i="55"/>
  <c r="F48" i="55"/>
  <c r="F49" i="55"/>
  <c r="F51" i="55"/>
  <c r="F53" i="55"/>
  <c r="F54" i="55"/>
  <c r="F55" i="55"/>
  <c r="F56" i="55"/>
  <c r="F57" i="55"/>
  <c r="F59" i="55"/>
  <c r="F61" i="55"/>
  <c r="F62" i="55"/>
  <c r="F66" i="55"/>
  <c r="F71" i="55"/>
  <c r="F72" i="55"/>
  <c r="F76" i="55"/>
  <c r="F77" i="55"/>
  <c r="F78" i="55"/>
  <c r="F79" i="55"/>
  <c r="F80" i="55"/>
  <c r="F86" i="55"/>
  <c r="C16" i="55"/>
  <c r="C17" i="55"/>
  <c r="C18" i="55"/>
  <c r="C21" i="55"/>
  <c r="C24" i="55"/>
  <c r="C25" i="55"/>
  <c r="C27" i="55"/>
  <c r="C29" i="55"/>
  <c r="C30" i="55"/>
  <c r="C31" i="55"/>
  <c r="C36" i="55"/>
  <c r="C38" i="55"/>
  <c r="C40" i="55"/>
  <c r="C41" i="55"/>
  <c r="C45" i="55"/>
  <c r="C46" i="55"/>
  <c r="C47" i="55"/>
  <c r="C48" i="55"/>
  <c r="C49" i="55"/>
  <c r="C50" i="55"/>
  <c r="C53" i="55"/>
  <c r="C54" i="55"/>
  <c r="C55" i="55"/>
  <c r="C56" i="55"/>
  <c r="C57" i="55"/>
  <c r="C58" i="55"/>
  <c r="C59" i="55"/>
  <c r="C60" i="55"/>
  <c r="C61" i="55"/>
  <c r="C62" i="55"/>
  <c r="C66" i="55"/>
  <c r="C67" i="55"/>
  <c r="C71" i="55"/>
  <c r="C72" i="55"/>
  <c r="C73" i="55"/>
  <c r="C76" i="55"/>
  <c r="C77" i="55"/>
  <c r="C78" i="55"/>
  <c r="C79" i="55"/>
  <c r="C80" i="55"/>
  <c r="C86" i="55"/>
  <c r="C9" i="55"/>
  <c r="C14" i="55"/>
  <c r="C15" i="55"/>
  <c r="C8" i="55"/>
  <c r="I13" i="52"/>
  <c r="I12" i="52"/>
  <c r="I11" i="52"/>
  <c r="I4" i="52"/>
  <c r="B19" i="59"/>
  <c r="I12" i="59"/>
  <c r="J20" i="59"/>
  <c r="J18" i="59"/>
  <c r="J19" i="59"/>
  <c r="K19" i="59"/>
  <c r="K18" i="59"/>
  <c r="K13" i="59"/>
  <c r="K11" i="59"/>
  <c r="K12" i="59"/>
  <c r="J13" i="59"/>
  <c r="J12" i="59"/>
  <c r="J11" i="59"/>
  <c r="S11" i="59"/>
  <c r="S12" i="59"/>
  <c r="S13" i="59"/>
  <c r="S20" i="59"/>
  <c r="S18" i="59"/>
  <c r="S19" i="59"/>
  <c r="R20" i="59"/>
  <c r="R18" i="59"/>
  <c r="R19" i="59"/>
  <c r="R13" i="59"/>
  <c r="R11" i="59"/>
  <c r="R12" i="59"/>
  <c r="AD299" i="53"/>
  <c r="AC299" i="53"/>
  <c r="W299" i="53"/>
  <c r="V299" i="53"/>
  <c r="H18" i="59"/>
  <c r="H19" i="59"/>
  <c r="H20" i="59"/>
  <c r="C19" i="59"/>
  <c r="I19" i="59"/>
  <c r="C20" i="59"/>
  <c r="C18" i="59"/>
  <c r="I18" i="59"/>
  <c r="H11" i="59"/>
  <c r="H12" i="59"/>
  <c r="I11" i="59"/>
  <c r="Q12" i="59"/>
  <c r="P12" i="59"/>
  <c r="Q13" i="59"/>
  <c r="P13" i="59"/>
  <c r="P11" i="59"/>
  <c r="Q11" i="59"/>
  <c r="E19" i="59"/>
  <c r="E20" i="59"/>
  <c r="Q19" i="59"/>
  <c r="P19" i="59"/>
  <c r="Q18" i="59"/>
  <c r="P20" i="59"/>
  <c r="Q20" i="59"/>
  <c r="I20" i="59"/>
  <c r="E18" i="59"/>
  <c r="Q80" i="55"/>
  <c r="J41" i="55"/>
  <c r="J51" i="55"/>
  <c r="Q47" i="55"/>
  <c r="J62" i="55"/>
  <c r="Q62" i="55"/>
  <c r="Q56" i="55"/>
  <c r="J56" i="55"/>
  <c r="C7" i="26"/>
  <c r="D7" i="26" s="1"/>
  <c r="C9" i="26"/>
  <c r="D9" i="26"/>
  <c r="E9" i="26"/>
  <c r="F9" i="26" s="1"/>
  <c r="G9" i="26" s="1"/>
  <c r="H9" i="26" s="1"/>
  <c r="I9" i="26" s="1"/>
  <c r="J9" i="26" s="1"/>
  <c r="K9" i="26" s="1"/>
  <c r="L9" i="26" s="1"/>
  <c r="M9" i="26" s="1"/>
  <c r="N9" i="26"/>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Y12" i="26" s="1"/>
  <c r="F7" i="55"/>
  <c r="O13" i="59"/>
  <c r="U13" i="59" s="1"/>
  <c r="P16" i="55"/>
  <c r="S16" i="55" s="1"/>
  <c r="P21" i="55"/>
  <c r="S21" i="55" s="1"/>
  <c r="I59" i="55"/>
  <c r="Q50" i="55"/>
  <c r="Q73" i="55"/>
  <c r="Q51" i="55"/>
  <c r="Q72" i="55"/>
  <c r="Q66" i="55"/>
  <c r="Q49" i="55"/>
  <c r="P78" i="55"/>
  <c r="S78" i="55" s="1"/>
  <c r="J78" i="55"/>
  <c r="R78" i="55" s="1"/>
  <c r="Q59" i="55"/>
  <c r="Q41" i="55"/>
  <c r="Q58" i="55"/>
  <c r="Q57" i="55"/>
  <c r="Q67" i="55"/>
  <c r="Q60" i="55"/>
  <c r="J60" i="55"/>
  <c r="P86" i="55"/>
  <c r="S86" i="55" s="1"/>
  <c r="J86" i="55"/>
  <c r="R86" i="55" s="1"/>
  <c r="P77" i="55"/>
  <c r="S77" i="55" s="1"/>
  <c r="J77" i="55"/>
  <c r="R77" i="55" s="1"/>
  <c r="Q79" i="55"/>
  <c r="Q71" i="55"/>
  <c r="Q48" i="55"/>
  <c r="Q40" i="55"/>
  <c r="P76" i="55"/>
  <c r="S76" i="55" s="1"/>
  <c r="J76" i="55"/>
  <c r="R76" i="55" s="1"/>
  <c r="Q86" i="55"/>
  <c r="Q78" i="55"/>
  <c r="Q55" i="55"/>
  <c r="Q77" i="55"/>
  <c r="Q54" i="55"/>
  <c r="Q46" i="55"/>
  <c r="J46" i="55"/>
  <c r="Q38" i="55"/>
  <c r="P79" i="55"/>
  <c r="S79" i="55" s="1"/>
  <c r="J79" i="55"/>
  <c r="R79" i="55" s="1"/>
  <c r="Q76" i="55"/>
  <c r="Q61" i="55"/>
  <c r="Q53" i="55"/>
  <c r="Q45" i="55"/>
  <c r="Q36" i="55"/>
  <c r="I58" i="55"/>
  <c r="J55" i="55"/>
  <c r="I51" i="55"/>
  <c r="J47" i="55"/>
  <c r="I80" i="55"/>
  <c r="I49" i="55"/>
  <c r="I73" i="55"/>
  <c r="I41" i="55"/>
  <c r="I66" i="55"/>
  <c r="J54" i="55"/>
  <c r="J38" i="55"/>
  <c r="J61" i="55"/>
  <c r="J53" i="55"/>
  <c r="J45" i="55"/>
  <c r="J36" i="55"/>
  <c r="J67" i="55"/>
  <c r="J66" i="55"/>
  <c r="J59" i="55"/>
  <c r="J73" i="55"/>
  <c r="J58" i="55"/>
  <c r="J50" i="55"/>
  <c r="J80" i="55"/>
  <c r="J72" i="55"/>
  <c r="J57" i="55"/>
  <c r="K57" i="55" s="1" a="1"/>
  <c r="K57" i="55" s="1"/>
  <c r="J49" i="55"/>
  <c r="J71" i="55"/>
  <c r="J48" i="55"/>
  <c r="J40" i="55"/>
  <c r="I67" i="55"/>
  <c r="I60" i="55"/>
  <c r="I50" i="55"/>
  <c r="I72" i="55"/>
  <c r="I57" i="55"/>
  <c r="I48" i="55"/>
  <c r="I40" i="55"/>
  <c r="I79" i="55"/>
  <c r="I71" i="55"/>
  <c r="I56" i="55"/>
  <c r="I47" i="55"/>
  <c r="I86" i="55"/>
  <c r="I78" i="55"/>
  <c r="I55" i="55"/>
  <c r="I46" i="55"/>
  <c r="I38" i="55"/>
  <c r="I77" i="55"/>
  <c r="I62" i="55"/>
  <c r="I54" i="55"/>
  <c r="I45" i="55"/>
  <c r="I36" i="55"/>
  <c r="I76" i="55"/>
  <c r="I61" i="55"/>
  <c r="I53" i="55"/>
  <c r="N199" i="55" a="1"/>
  <c r="N199" i="55" s="1"/>
  <c r="N196" i="55" a="1"/>
  <c r="N196" i="55" s="1"/>
  <c r="N179" i="55" a="1"/>
  <c r="N179" i="55" s="1"/>
  <c r="N182" i="55" a="1"/>
  <c r="N182" i="55" s="1"/>
  <c r="N183" i="55" a="1"/>
  <c r="N183" i="55" s="1"/>
  <c r="N185" i="55" a="1"/>
  <c r="N185" i="55" s="1"/>
  <c r="N187" i="55" a="1"/>
  <c r="N187" i="55" s="1"/>
  <c r="N197" i="55" a="1"/>
  <c r="N197" i="55" s="1"/>
  <c r="N186" i="55" a="1"/>
  <c r="N186" i="55" s="1"/>
  <c r="N104" i="55" a="1"/>
  <c r="N104" i="55" s="1"/>
  <c r="N162" i="55" a="1"/>
  <c r="N162" i="55" s="1"/>
  <c r="N128" i="55" a="1"/>
  <c r="N128" i="55" s="1"/>
  <c r="N112" i="55" a="1"/>
  <c r="N112" i="55" s="1"/>
  <c r="N27" i="55" a="1"/>
  <c r="N27" i="55" s="1"/>
  <c r="N117" i="55" a="1"/>
  <c r="N117" i="55" s="1"/>
  <c r="N14" i="55" a="1"/>
  <c r="N14" i="55" s="1"/>
  <c r="P18" i="55"/>
  <c r="S18" i="55" s="1"/>
  <c r="I211" i="55"/>
  <c r="N39" i="55" a="1"/>
  <c r="N39" i="55" s="1"/>
  <c r="N81" i="55" a="1"/>
  <c r="N81" i="55" s="1"/>
  <c r="N51" i="55" a="1"/>
  <c r="N51" i="55" s="1"/>
  <c r="N10" i="55" a="1"/>
  <c r="N10" i="55" s="1"/>
  <c r="N76" i="55" a="1"/>
  <c r="N76" i="55" s="1"/>
  <c r="N32" i="55" a="1"/>
  <c r="N32" i="55" s="1"/>
  <c r="N44" i="55" a="1"/>
  <c r="N44" i="55" s="1"/>
  <c r="N50" i="55" a="1"/>
  <c r="N50" i="55" s="1"/>
  <c r="N21" i="55" a="1"/>
  <c r="N21" i="55" s="1"/>
  <c r="N60" i="55" a="1"/>
  <c r="N60" i="55" s="1"/>
  <c r="N59" i="55" a="1"/>
  <c r="N59" i="55" s="1"/>
  <c r="N115" i="55" a="1"/>
  <c r="N115" i="55" s="1"/>
  <c r="N15" i="55" a="1"/>
  <c r="N15" i="55" s="1"/>
  <c r="N20" i="55" a="1"/>
  <c r="N20" i="55" s="1"/>
  <c r="M114" i="55" a="1"/>
  <c r="M114" i="55" s="1"/>
  <c r="N30" i="55" a="1"/>
  <c r="N30" i="55" s="1"/>
  <c r="N7" i="55" a="1"/>
  <c r="N7" i="55" s="1"/>
  <c r="N93" i="55" a="1"/>
  <c r="N93" i="55" s="1"/>
  <c r="N167" i="55" a="1"/>
  <c r="N167" i="55" s="1"/>
  <c r="N120" i="55" a="1"/>
  <c r="N120" i="55" s="1"/>
  <c r="N175" i="55" a="1"/>
  <c r="N175" i="55" s="1"/>
  <c r="N122" i="55" a="1"/>
  <c r="N122" i="55" s="1"/>
  <c r="N8" i="55" a="1"/>
  <c r="N8" i="55" s="1"/>
  <c r="N137" i="55" a="1"/>
  <c r="N137" i="55" s="1"/>
  <c r="N130" i="55" a="1"/>
  <c r="N130" i="55" s="1"/>
  <c r="N57" i="55" a="1"/>
  <c r="N57" i="55" s="1"/>
  <c r="N105" i="55" a="1"/>
  <c r="N105" i="55" s="1"/>
  <c r="N102" i="55" a="1"/>
  <c r="N102" i="55" s="1"/>
  <c r="M102" i="55" a="1"/>
  <c r="M102" i="55" s="1"/>
  <c r="N48" i="55" a="1"/>
  <c r="N48" i="55" s="1"/>
  <c r="N99" i="55" a="1"/>
  <c r="N99" i="55" s="1"/>
  <c r="N31" i="55" a="1"/>
  <c r="N31" i="55" s="1"/>
  <c r="M59" i="55" a="1"/>
  <c r="M59" i="55" s="1"/>
  <c r="N77" i="55" a="1"/>
  <c r="N77" i="55" s="1"/>
  <c r="N86" i="55" a="1"/>
  <c r="N86" i="55" s="1"/>
  <c r="N49" i="55" a="1"/>
  <c r="N49" i="55" s="1"/>
  <c r="N169" i="55" a="1"/>
  <c r="N169" i="55" s="1"/>
  <c r="N160" i="55" a="1"/>
  <c r="N160" i="55" s="1"/>
  <c r="N110" i="55" a="1"/>
  <c r="N110" i="55" s="1"/>
  <c r="N47" i="55" a="1"/>
  <c r="N47" i="55" s="1"/>
  <c r="N123" i="55" a="1"/>
  <c r="N123" i="55" s="1"/>
  <c r="N78" i="55" a="1"/>
  <c r="N78" i="55" s="1"/>
  <c r="N61" i="55" a="1"/>
  <c r="N61" i="55" s="1"/>
  <c r="N108" i="55" a="1"/>
  <c r="N108" i="55" s="1"/>
  <c r="N25" i="55" a="1"/>
  <c r="N25" i="55" s="1"/>
  <c r="N54" i="55" a="1"/>
  <c r="N54" i="55" s="1"/>
  <c r="N40" i="55" a="1"/>
  <c r="N40" i="55" s="1"/>
  <c r="N132" i="55" a="1"/>
  <c r="N132" i="55" s="1"/>
  <c r="M132" i="55" a="1"/>
  <c r="M132" i="55" s="1"/>
  <c r="N98" i="55" a="1"/>
  <c r="N98" i="55" s="1"/>
  <c r="N71" i="55" a="1"/>
  <c r="N71" i="55" s="1"/>
  <c r="M54" i="55" a="1"/>
  <c r="M54" i="55" s="1"/>
  <c r="M136" i="55" a="1"/>
  <c r="M136" i="55" s="1"/>
  <c r="N103" i="55" a="1"/>
  <c r="N103" i="55" s="1"/>
  <c r="M118" i="55" a="1"/>
  <c r="M118" i="55" s="1"/>
  <c r="M123" i="55" a="1"/>
  <c r="M123" i="55" s="1"/>
  <c r="N18" i="55" a="1"/>
  <c r="N18" i="55" s="1"/>
  <c r="N66" i="55" a="1"/>
  <c r="N66" i="55" s="1"/>
  <c r="N90" i="55" a="1"/>
  <c r="N90" i="55" s="1"/>
  <c r="N165" i="55" a="1"/>
  <c r="N165" i="55" s="1"/>
  <c r="N73" i="55" a="1"/>
  <c r="N73" i="55" s="1"/>
  <c r="N36" i="55" a="1"/>
  <c r="N36" i="55" s="1"/>
  <c r="P123" i="55"/>
  <c r="M72" i="55" a="1"/>
  <c r="M72" i="55" s="1"/>
  <c r="M48" i="55" a="1"/>
  <c r="M48" i="55" s="1"/>
  <c r="N9" i="55" a="1"/>
  <c r="N9" i="55" s="1"/>
  <c r="N96" i="55" a="1"/>
  <c r="N96" i="55" s="1"/>
  <c r="N176" i="55" a="1"/>
  <c r="N176" i="55" s="1"/>
  <c r="N116" i="55" a="1"/>
  <c r="N116" i="55" s="1"/>
  <c r="M17" i="55" a="1"/>
  <c r="M17" i="55" s="1"/>
  <c r="O17" i="55" s="1"/>
  <c r="M51" i="55" a="1"/>
  <c r="M51" i="55" s="1"/>
  <c r="M111" i="55" a="1"/>
  <c r="M111" i="55" s="1"/>
  <c r="P50" i="55"/>
  <c r="M27" i="55" a="1"/>
  <c r="M27" i="55" s="1"/>
  <c r="N37" i="55" a="1"/>
  <c r="N37" i="55" s="1"/>
  <c r="M37" i="55" a="1"/>
  <c r="M37" i="55" s="1"/>
  <c r="O37" i="55" s="1"/>
  <c r="N177" i="55" a="1"/>
  <c r="N177" i="55" s="1"/>
  <c r="P54" i="55"/>
  <c r="M174" i="55" a="1"/>
  <c r="M174" i="55" s="1"/>
  <c r="O174" i="55" s="1"/>
  <c r="M169" i="55" a="1"/>
  <c r="M169" i="55" s="1"/>
  <c r="O169" i="55" s="1"/>
  <c r="M56" i="55" a="1"/>
  <c r="M56" i="55" s="1"/>
  <c r="N159" i="55" a="1"/>
  <c r="N159" i="55" s="1"/>
  <c r="N79" i="55" a="1"/>
  <c r="N79" i="55" s="1"/>
  <c r="N38" i="55" a="1"/>
  <c r="N38" i="55" s="1"/>
  <c r="N131" i="55" a="1"/>
  <c r="N131" i="55" s="1"/>
  <c r="N114" i="55" a="1"/>
  <c r="N114" i="55" s="1"/>
  <c r="O114" i="55" s="1"/>
  <c r="M124" i="55" a="1"/>
  <c r="M124" i="55" s="1"/>
  <c r="O124" i="55" s="1"/>
  <c r="M175" i="55" a="1"/>
  <c r="M175" i="55" s="1"/>
  <c r="O175" i="55" s="1"/>
  <c r="N45" i="55" a="1"/>
  <c r="N45" i="55" s="1"/>
  <c r="N133" i="55" a="1"/>
  <c r="N133" i="55" s="1"/>
  <c r="N161" i="55" a="1"/>
  <c r="N161" i="55" s="1"/>
  <c r="N29" i="55" a="1"/>
  <c r="N29" i="55" s="1"/>
  <c r="N174" i="55" a="1"/>
  <c r="N174" i="55" s="1"/>
  <c r="N55" i="55" a="1"/>
  <c r="N55" i="55" s="1"/>
  <c r="M138" i="55" a="1"/>
  <c r="M138" i="55" s="1"/>
  <c r="O138" i="55" s="1"/>
  <c r="N46" i="55" a="1"/>
  <c r="N46" i="55" s="1"/>
  <c r="N87" i="55" a="1"/>
  <c r="N87" i="55" s="1"/>
  <c r="N118" i="55" a="1"/>
  <c r="N118" i="55" s="1"/>
  <c r="N121" i="55" a="1"/>
  <c r="N121" i="55" s="1"/>
  <c r="M121" i="55" a="1"/>
  <c r="M121" i="55" s="1"/>
  <c r="N56" i="55" a="1"/>
  <c r="N56" i="55" s="1"/>
  <c r="O56" i="55" s="1"/>
  <c r="N109" i="55" a="1"/>
  <c r="N109" i="55" s="1"/>
  <c r="N19" i="55" a="1"/>
  <c r="N19" i="55" s="1"/>
  <c r="N72" i="55" a="1"/>
  <c r="N72" i="55" s="1"/>
  <c r="N16" i="55" a="1"/>
  <c r="N16" i="55" s="1"/>
  <c r="M53" i="55" a="1"/>
  <c r="M53" i="55" s="1"/>
  <c r="N17" i="55" a="1"/>
  <c r="N17" i="55" s="1"/>
  <c r="N67" i="55" a="1"/>
  <c r="N67" i="55" s="1"/>
  <c r="N111" i="55" a="1"/>
  <c r="N111" i="55" s="1"/>
  <c r="O111" i="55" s="1"/>
  <c r="N107" i="55" a="1"/>
  <c r="N107" i="55" s="1"/>
  <c r="N119" i="55" a="1"/>
  <c r="N119" i="55" s="1"/>
  <c r="M119" i="55" a="1"/>
  <c r="M119" i="55" s="1"/>
  <c r="N124" i="55" a="1"/>
  <c r="N124" i="55" s="1"/>
  <c r="P131" i="55"/>
  <c r="R131" i="55" s="1"/>
  <c r="N138" i="55" a="1"/>
  <c r="N138" i="55" s="1"/>
  <c r="P40" i="55"/>
  <c r="P25" i="55"/>
  <c r="P53" i="55"/>
  <c r="P80" i="55"/>
  <c r="S80" i="55" s="1"/>
  <c r="O12" i="59"/>
  <c r="T12" i="59" s="1"/>
  <c r="P61" i="55"/>
  <c r="P121" i="55"/>
  <c r="P71" i="55"/>
  <c r="P138" i="55"/>
  <c r="S138" i="55" s="1"/>
  <c r="Q7" i="59"/>
  <c r="N168" i="55" a="1"/>
  <c r="N168" i="55" s="1"/>
  <c r="H10" i="55"/>
  <c r="M24" i="55" a="1"/>
  <c r="M24" i="55" s="1"/>
  <c r="M47" i="55" a="1"/>
  <c r="M47" i="55" s="1"/>
  <c r="M21" i="55" a="1"/>
  <c r="M21" i="55" s="1"/>
  <c r="O21" i="55" s="1"/>
  <c r="M177" i="55" a="1"/>
  <c r="M177" i="55" s="1"/>
  <c r="O177" i="55" s="1"/>
  <c r="M90" i="55" a="1"/>
  <c r="M90" i="55" s="1"/>
  <c r="O90" i="55" s="1"/>
  <c r="M18" i="55" a="1"/>
  <c r="M18" i="55" s="1"/>
  <c r="O18" i="55" s="1"/>
  <c r="N41" i="55" a="1"/>
  <c r="N41" i="55" s="1"/>
  <c r="M76" i="55" a="1"/>
  <c r="M76" i="55" s="1"/>
  <c r="O76" i="55" s="1"/>
  <c r="M116" i="55" a="1"/>
  <c r="M116" i="55" s="1"/>
  <c r="M131" i="55" a="1"/>
  <c r="M131" i="55" s="1"/>
  <c r="M31" i="55" a="1"/>
  <c r="M31" i="55" s="1"/>
  <c r="O31" i="55" s="1"/>
  <c r="M20" i="55" a="1"/>
  <c r="M20" i="55" s="1"/>
  <c r="O20" i="55" s="1"/>
  <c r="M104" i="55" a="1"/>
  <c r="M104" i="55" s="1"/>
  <c r="O104" i="55" s="1"/>
  <c r="M49" i="55" a="1"/>
  <c r="M49" i="55" s="1"/>
  <c r="M108" i="55" a="1"/>
  <c r="M108" i="55" s="1"/>
  <c r="O108" i="55" s="1"/>
  <c r="M167" i="55" a="1"/>
  <c r="M167" i="55" s="1"/>
  <c r="O167" i="55" s="1"/>
  <c r="P160" i="55"/>
  <c r="M77" i="55" a="1"/>
  <c r="M77" i="55" s="1"/>
  <c r="O77" i="55" s="1"/>
  <c r="N53" i="55" a="1"/>
  <c r="N53" i="55" s="1"/>
  <c r="M93" i="55" a="1"/>
  <c r="M93" i="55" s="1"/>
  <c r="O93" i="55" s="1"/>
  <c r="M80" i="55" a="1"/>
  <c r="M80" i="55" s="1"/>
  <c r="N80" i="55" a="1"/>
  <c r="N80" i="55" s="1"/>
  <c r="M19" i="55" a="1"/>
  <c r="M19" i="55" s="1"/>
  <c r="O19" i="55" s="1"/>
  <c r="N97" i="55" a="1"/>
  <c r="N97" i="55" s="1"/>
  <c r="N134" i="55" a="1"/>
  <c r="N134" i="55" s="1"/>
  <c r="M134" i="55" a="1"/>
  <c r="M134" i="55" s="1"/>
  <c r="N62" i="55" a="1"/>
  <c r="N62" i="55" s="1"/>
  <c r="M62" i="55" a="1"/>
  <c r="M62" i="55" s="1"/>
  <c r="M88" i="55" a="1"/>
  <c r="M88" i="55" s="1"/>
  <c r="O88" i="55" s="1"/>
  <c r="M126" i="55" a="1"/>
  <c r="M126" i="55" s="1"/>
  <c r="N88" i="55" a="1"/>
  <c r="N88" i="55" s="1"/>
  <c r="N24" i="55" a="1"/>
  <c r="N24" i="55" s="1"/>
  <c r="M30" i="55" a="1"/>
  <c r="M30" i="55" s="1"/>
  <c r="M16" i="55" a="1"/>
  <c r="M16" i="55" s="1"/>
  <c r="O16" i="55" s="1"/>
  <c r="M96" i="55" a="1"/>
  <c r="M96" i="55" s="1"/>
  <c r="N58" i="55" a="1"/>
  <c r="N58" i="55" s="1"/>
  <c r="M58" i="55" a="1"/>
  <c r="M58" i="55" s="1"/>
  <c r="M71" i="55" a="1"/>
  <c r="M71" i="55" s="1"/>
  <c r="O71" i="55" s="1"/>
  <c r="M61" i="55" a="1"/>
  <c r="M61" i="55" s="1"/>
  <c r="M115" i="55" a="1"/>
  <c r="M115" i="55" s="1"/>
  <c r="O115" i="55" s="1"/>
  <c r="M159" i="55" a="1"/>
  <c r="M159" i="55" s="1"/>
  <c r="M38" i="55" a="1"/>
  <c r="M38" i="55" s="1"/>
  <c r="N126" i="55" a="1"/>
  <c r="N126" i="55" s="1"/>
  <c r="N136" i="55" a="1"/>
  <c r="N136" i="55" s="1"/>
  <c r="M165" i="55" a="1"/>
  <c r="M165" i="55" s="1"/>
  <c r="O165" i="55" s="1"/>
  <c r="M128" i="55" a="1"/>
  <c r="M128" i="55" s="1"/>
  <c r="M66" i="55" a="1"/>
  <c r="M66" i="55" s="1"/>
  <c r="O66" i="55" s="1"/>
  <c r="H98" i="55"/>
  <c r="P46" i="55"/>
  <c r="S46" i="55" s="1"/>
  <c r="R14" i="26"/>
  <c r="AB12" i="26"/>
  <c r="J14" i="26"/>
  <c r="Z14" i="26"/>
  <c r="AH12" i="26"/>
  <c r="AA14" i="26"/>
  <c r="AI14" i="26"/>
  <c r="T12" i="26"/>
  <c r="G12" i="59"/>
  <c r="P18" i="59"/>
  <c r="P4" i="59"/>
  <c r="AA299" i="53"/>
  <c r="Q211" i="55" s="1"/>
  <c r="AA2" i="53"/>
  <c r="B12" i="26"/>
  <c r="AG12" i="26"/>
  <c r="D12" i="26"/>
  <c r="W14" i="26"/>
  <c r="O12" i="26"/>
  <c r="AC12" i="26"/>
  <c r="M14" i="26"/>
  <c r="L12" i="26"/>
  <c r="Q14" i="26"/>
  <c r="AE12" i="26"/>
  <c r="AF14" i="26"/>
  <c r="AE14" i="26"/>
  <c r="T14" i="26"/>
  <c r="L14" i="26"/>
  <c r="N14" i="26"/>
  <c r="V12" i="26"/>
  <c r="P12" i="26"/>
  <c r="F14" i="26"/>
  <c r="Y14" i="26"/>
  <c r="H14" i="26"/>
  <c r="X12" i="26"/>
  <c r="W12" i="26"/>
  <c r="AL12" i="26"/>
  <c r="I12" i="26"/>
  <c r="R12" i="26"/>
  <c r="B6" i="26"/>
  <c r="E12" i="26"/>
  <c r="P14" i="26"/>
  <c r="AG14" i="26"/>
  <c r="J12" i="26"/>
  <c r="U14" i="26"/>
  <c r="F12" i="26"/>
  <c r="AL14" i="26"/>
  <c r="Q12" i="26"/>
  <c r="S12" i="26"/>
  <c r="AK14" i="26"/>
  <c r="AB14" i="26"/>
  <c r="AI12" i="26"/>
  <c r="AD14" i="26"/>
  <c r="U12" i="26"/>
  <c r="C6" i="26"/>
  <c r="E7" i="26"/>
  <c r="F7" i="26" s="1"/>
  <c r="C12" i="26"/>
  <c r="H12" i="26"/>
  <c r="O14" i="26"/>
  <c r="AJ12" i="26"/>
  <c r="AK12" i="26"/>
  <c r="X14" i="26"/>
  <c r="AF12" i="26"/>
  <c r="I14" i="26"/>
  <c r="N84" i="55" a="1"/>
  <c r="N84" i="55" s="1"/>
  <c r="N13" i="55" a="1"/>
  <c r="N13" i="55" s="1"/>
  <c r="N200" i="55" a="1"/>
  <c r="N200" i="55" s="1"/>
  <c r="N180" i="55" a="1"/>
  <c r="N180" i="55" s="1"/>
  <c r="N198" i="55" a="1"/>
  <c r="N198" i="55" s="1"/>
  <c r="N188" i="55" a="1"/>
  <c r="N188" i="55" s="1"/>
  <c r="N192" i="55" a="1"/>
  <c r="N192" i="55" s="1"/>
  <c r="N52" i="55" a="1"/>
  <c r="N52" i="55" s="1"/>
  <c r="N83" i="55" a="1"/>
  <c r="N83" i="55" s="1"/>
  <c r="N190" i="55" a="1"/>
  <c r="N190" i="55" s="1"/>
  <c r="N184" i="55" a="1"/>
  <c r="N184" i="55" s="1"/>
  <c r="N181" i="55" a="1"/>
  <c r="N181" i="55" s="1"/>
  <c r="N201" i="55" a="1"/>
  <c r="N201" i="55" s="1"/>
  <c r="N189" i="55" a="1"/>
  <c r="N189" i="55" s="1"/>
  <c r="N140" i="55" a="1"/>
  <c r="N140" i="55" s="1"/>
  <c r="N89" i="55" a="1"/>
  <c r="N89" i="55" s="1"/>
  <c r="N2" i="53"/>
  <c r="N193" i="55" a="1"/>
  <c r="N193" i="55" s="1"/>
  <c r="M13" i="55" a="1"/>
  <c r="M13" i="55" s="1"/>
  <c r="O13" i="55" s="1"/>
  <c r="M190" i="55" a="1"/>
  <c r="M190" i="55" s="1"/>
  <c r="O190" i="55" s="1"/>
  <c r="M189" i="55" a="1"/>
  <c r="M189" i="55" s="1"/>
  <c r="O189" i="55" s="1"/>
  <c r="N5" i="59"/>
  <c r="G37" i="55"/>
  <c r="H37" i="55"/>
  <c r="L13" i="55" a="1"/>
  <c r="L13" i="55" s="1"/>
  <c r="K13" i="55" a="1"/>
  <c r="K13" i="55" s="1"/>
  <c r="H13" i="55"/>
  <c r="G73" i="55"/>
  <c r="H71" i="55"/>
  <c r="G71" i="55"/>
  <c r="J2" i="55"/>
  <c r="P83" i="55"/>
  <c r="S83" i="55" s="1"/>
  <c r="M188" i="55" a="1"/>
  <c r="M188" i="55" s="1"/>
  <c r="O188" i="55" s="1"/>
  <c r="P102" i="55"/>
  <c r="R102" i="55" s="1"/>
  <c r="M170" i="55" a="1"/>
  <c r="M170" i="55" s="1"/>
  <c r="O170" i="55" s="1"/>
  <c r="P93" i="55"/>
  <c r="S93" i="55" s="1"/>
  <c r="H16" i="55"/>
  <c r="G16" i="55"/>
  <c r="H52" i="55"/>
  <c r="G52" i="55"/>
  <c r="G6" i="59"/>
  <c r="L6" i="59" s="1"/>
  <c r="G193" i="55"/>
  <c r="H193" i="55"/>
  <c r="V14" i="26"/>
  <c r="G2" i="26"/>
  <c r="M89" i="55" a="1"/>
  <c r="M89" i="55" s="1"/>
  <c r="O89" i="55" s="1"/>
  <c r="M194" i="55" a="1"/>
  <c r="M194" i="55" s="1"/>
  <c r="O194" i="55" s="1"/>
  <c r="G86" i="55"/>
  <c r="L86" i="55" a="1"/>
  <c r="L86" i="55" s="1"/>
  <c r="C7" i="59"/>
  <c r="P114" i="55"/>
  <c r="S114" i="55" s="1"/>
  <c r="M192" i="55" a="1"/>
  <c r="M192" i="55" s="1"/>
  <c r="O192" i="55" s="1"/>
  <c r="H48" i="55"/>
  <c r="G66" i="55"/>
  <c r="G21" i="55"/>
  <c r="K21" i="55" a="1"/>
  <c r="K21" i="55" s="1"/>
  <c r="H21" i="55"/>
  <c r="M181" i="55" a="1"/>
  <c r="M181" i="55" s="1"/>
  <c r="O181" i="55" s="1"/>
  <c r="P200" i="55"/>
  <c r="M180" i="55" a="1"/>
  <c r="M180" i="55" s="1"/>
  <c r="O180" i="55" s="1"/>
  <c r="M184" i="55" a="1"/>
  <c r="M184" i="55" s="1"/>
  <c r="O184" i="55" s="1"/>
  <c r="M193" i="55" a="1"/>
  <c r="M193" i="55" s="1"/>
  <c r="M191" i="55" a="1"/>
  <c r="M191" i="55" s="1"/>
  <c r="O191" i="55" s="1"/>
  <c r="M197" i="55" a="1"/>
  <c r="M197" i="55" s="1"/>
  <c r="I7" i="59"/>
  <c r="N12" i="26"/>
  <c r="G88" i="55"/>
  <c r="H88" i="55"/>
  <c r="P39" i="55"/>
  <c r="S39" i="55" s="1"/>
  <c r="G12" i="26"/>
  <c r="K12" i="26"/>
  <c r="S14" i="26"/>
  <c r="P37" i="55"/>
  <c r="S37" i="55" s="1"/>
  <c r="AH14" i="26"/>
  <c r="K14" i="26"/>
  <c r="AJ14" i="26"/>
  <c r="Z12" i="26"/>
  <c r="AD12" i="26"/>
  <c r="M12" i="26"/>
  <c r="G14" i="26"/>
  <c r="AC14" i="26"/>
  <c r="K169" i="55" a="1"/>
  <c r="K169" i="55" s="1"/>
  <c r="L20" i="55" a="1"/>
  <c r="L20" i="55" s="1"/>
  <c r="K20" i="55" a="1"/>
  <c r="K20" i="55" s="1"/>
  <c r="N4" i="59"/>
  <c r="H110" i="55"/>
  <c r="G56" i="55"/>
  <c r="H56" i="55"/>
  <c r="G60" i="55"/>
  <c r="G58" i="55"/>
  <c r="H58" i="55"/>
  <c r="L17" i="55" a="1"/>
  <c r="L17" i="55" s="1"/>
  <c r="H17" i="55"/>
  <c r="K17" i="55" a="1"/>
  <c r="K17" i="55" s="1"/>
  <c r="G17" i="55"/>
  <c r="K88" i="55" a="1"/>
  <c r="K88" i="55" s="1"/>
  <c r="L124" i="55" a="1"/>
  <c r="L124" i="55" s="1"/>
  <c r="K19" i="55" a="1"/>
  <c r="K19" i="55" s="1"/>
  <c r="G19" i="55"/>
  <c r="H19" i="55"/>
  <c r="P133" i="55"/>
  <c r="S133" i="55" s="1"/>
  <c r="P199" i="55"/>
  <c r="R199" i="55" s="1"/>
  <c r="M82" i="55" a="1"/>
  <c r="M82" i="55" s="1"/>
  <c r="O82" i="55" s="1"/>
  <c r="D6" i="26"/>
  <c r="M13" i="59"/>
  <c r="N18" i="59"/>
  <c r="H24" i="55"/>
  <c r="G24" i="55"/>
  <c r="G82" i="55"/>
  <c r="G80" i="55"/>
  <c r="H86" i="55"/>
  <c r="K86" i="55" a="1"/>
  <c r="K86" i="55" s="1"/>
  <c r="G25" i="55"/>
  <c r="H25" i="55"/>
  <c r="G121" i="55"/>
  <c r="H121" i="55"/>
  <c r="G20" i="55"/>
  <c r="H20" i="55"/>
  <c r="G114" i="55"/>
  <c r="G36" i="55"/>
  <c r="P32" i="55"/>
  <c r="R32" i="55" s="1"/>
  <c r="J7" i="59"/>
  <c r="E6" i="26"/>
  <c r="K16" i="55" a="1"/>
  <c r="K16" i="55" s="1"/>
  <c r="L16" i="55" a="1"/>
  <c r="L16" i="55" s="1"/>
  <c r="G14" i="55"/>
  <c r="H14" i="55"/>
  <c r="P10" i="55"/>
  <c r="S10" i="55" s="1"/>
  <c r="AA12" i="26"/>
  <c r="G162" i="55"/>
  <c r="J14" i="59"/>
  <c r="I21" i="59"/>
  <c r="L13" i="59"/>
  <c r="Q21" i="59"/>
  <c r="C21" i="59"/>
  <c r="N13" i="59"/>
  <c r="Q14" i="59"/>
  <c r="N19" i="59"/>
  <c r="P47" i="55"/>
  <c r="P48" i="55"/>
  <c r="P58" i="55"/>
  <c r="R58" i="55" s="1"/>
  <c r="H174" i="55"/>
  <c r="B14" i="59"/>
  <c r="H84" i="55"/>
  <c r="H136" i="55"/>
  <c r="H184" i="55"/>
  <c r="L184" i="55" a="1"/>
  <c r="L184" i="55" s="1"/>
  <c r="K7" i="59"/>
  <c r="P49" i="55"/>
  <c r="K176" i="55" a="1"/>
  <c r="K176" i="55" s="1"/>
  <c r="K184" i="55" a="1"/>
  <c r="K184" i="55" s="1"/>
  <c r="P24" i="55"/>
  <c r="O123" i="55"/>
  <c r="F19" i="59"/>
  <c r="I14" i="59"/>
  <c r="K14" i="59"/>
  <c r="P103" i="55"/>
  <c r="P38" i="55"/>
  <c r="G7" i="55"/>
  <c r="G97" i="55"/>
  <c r="P31" i="55"/>
  <c r="R31" i="55" s="1"/>
  <c r="P52" i="55"/>
  <c r="N11" i="59"/>
  <c r="P111" i="55"/>
  <c r="R111" i="55" s="1"/>
  <c r="P159" i="55"/>
  <c r="P81" i="55"/>
  <c r="S81" i="55" s="1"/>
  <c r="H117" i="55"/>
  <c r="P9" i="55"/>
  <c r="R9" i="55" s="1"/>
  <c r="P98" i="55"/>
  <c r="R98" i="55" s="1"/>
  <c r="P122" i="55"/>
  <c r="H29" i="55"/>
  <c r="P136" i="55"/>
  <c r="S136" i="55" s="1"/>
  <c r="P126" i="55"/>
  <c r="R126" i="55" s="1"/>
  <c r="P105" i="55"/>
  <c r="S105" i="55" s="1"/>
  <c r="B7" i="59"/>
  <c r="K48" i="55" a="1"/>
  <c r="K48" i="55" s="1"/>
  <c r="K24" i="55" a="1"/>
  <c r="K24" i="55" s="1"/>
  <c r="K52" i="55" a="1"/>
  <c r="K52" i="55" s="1"/>
  <c r="K10" i="55" a="1"/>
  <c r="K10" i="55" s="1"/>
  <c r="K25" i="55" a="1"/>
  <c r="K25" i="55" s="1"/>
  <c r="K84" i="55" a="1"/>
  <c r="K84" i="55" s="1"/>
  <c r="K211" i="55"/>
  <c r="K71" i="55" a="1"/>
  <c r="K71" i="55" s="1"/>
  <c r="K37" i="55" a="1"/>
  <c r="K37" i="55" s="1"/>
  <c r="K136" i="55" a="1"/>
  <c r="K136" i="55" s="1"/>
  <c r="K98" i="55" a="1"/>
  <c r="K98" i="55" s="1"/>
  <c r="K29" i="55" a="1"/>
  <c r="K29" i="55" s="1"/>
  <c r="K80" i="55" a="1"/>
  <c r="K80" i="55" s="1"/>
  <c r="K162" i="55" a="1"/>
  <c r="K162" i="55" s="1"/>
  <c r="K58" i="55" a="1"/>
  <c r="K58" i="55" s="1"/>
  <c r="K171" i="55" a="1"/>
  <c r="K171" i="55" s="1"/>
  <c r="K117" i="55" a="1"/>
  <c r="K117" i="55" s="1"/>
  <c r="K2" i="55"/>
  <c r="K60" i="55" a="1"/>
  <c r="K60" i="55" s="1"/>
  <c r="K56" i="55" a="1"/>
  <c r="K56" i="55" s="1"/>
  <c r="K7" i="55" a="1"/>
  <c r="K7" i="55" s="1"/>
  <c r="I2" i="55"/>
  <c r="D14" i="59"/>
  <c r="F13" i="59"/>
  <c r="K121" i="55" a="1"/>
  <c r="K121" i="55" s="1"/>
  <c r="D7" i="59"/>
  <c r="D21" i="59"/>
  <c r="B21" i="59"/>
  <c r="O132" i="55"/>
  <c r="N6" i="59"/>
  <c r="F4" i="59"/>
  <c r="F12" i="59"/>
  <c r="K114" i="55" a="1"/>
  <c r="K114" i="55" s="1"/>
  <c r="K138" i="55" a="1"/>
  <c r="K138" i="55" s="1"/>
  <c r="L176" i="55" a="1"/>
  <c r="L176" i="55" s="1"/>
  <c r="G174" i="55"/>
  <c r="K179" i="55" a="1"/>
  <c r="K179" i="55" s="1"/>
  <c r="H179" i="55"/>
  <c r="G76" i="55"/>
  <c r="L76" i="55" a="1"/>
  <c r="L76" i="55" s="1"/>
  <c r="H76" i="55"/>
  <c r="K76" i="55" a="1"/>
  <c r="K76" i="55" s="1"/>
  <c r="H116" i="55"/>
  <c r="K116" i="55" a="1"/>
  <c r="K116" i="55" s="1"/>
  <c r="G49" i="55"/>
  <c r="H49" i="55"/>
  <c r="K49" i="55" a="1"/>
  <c r="K49" i="55" s="1"/>
  <c r="K187" i="55" a="1"/>
  <c r="K187" i="55" s="1"/>
  <c r="G187" i="55"/>
  <c r="L77" i="55" a="1"/>
  <c r="L77" i="55" s="1"/>
  <c r="K77" i="55" a="1"/>
  <c r="K77" i="55" s="1"/>
  <c r="H77" i="55"/>
  <c r="G77" i="55"/>
  <c r="L180" i="55" a="1"/>
  <c r="L180" i="55" s="1"/>
  <c r="H180" i="55"/>
  <c r="H168" i="55"/>
  <c r="L168" i="55" a="1"/>
  <c r="L168" i="55" s="1"/>
  <c r="K61" i="55" a="1"/>
  <c r="K61" i="55" s="1"/>
  <c r="G61" i="55"/>
  <c r="H61" i="55"/>
  <c r="K109" i="55" a="1"/>
  <c r="K109" i="55" s="1"/>
  <c r="G109" i="55"/>
  <c r="H109" i="55"/>
  <c r="K185" i="55" a="1"/>
  <c r="K185" i="55" s="1"/>
  <c r="H185" i="55"/>
  <c r="G185" i="55"/>
  <c r="H197" i="55"/>
  <c r="K197" i="55" a="1"/>
  <c r="K197" i="55" s="1"/>
  <c r="H114" i="55"/>
  <c r="K181" i="55" a="1"/>
  <c r="K181" i="55" s="1"/>
  <c r="G93" i="55"/>
  <c r="G116" i="55"/>
  <c r="K110" i="55" a="1"/>
  <c r="K110" i="55" s="1"/>
  <c r="H132" i="55"/>
  <c r="L201" i="55" a="1"/>
  <c r="L201" i="55" s="1"/>
  <c r="G132" i="55"/>
  <c r="G96" i="55"/>
  <c r="H96" i="55"/>
  <c r="K96" i="55" a="1"/>
  <c r="K96" i="55" s="1"/>
  <c r="G53" i="55"/>
  <c r="K131" i="55" a="1"/>
  <c r="K131" i="55" s="1"/>
  <c r="H131" i="55"/>
  <c r="G131" i="55"/>
  <c r="G112" i="55"/>
  <c r="H112" i="55"/>
  <c r="G32" i="55"/>
  <c r="K32" i="55" a="1"/>
  <c r="K32" i="55" s="1"/>
  <c r="H32" i="55"/>
  <c r="H67" i="55"/>
  <c r="G67" i="55"/>
  <c r="K67" i="55" a="1"/>
  <c r="K67" i="55" s="1"/>
  <c r="G9" i="55"/>
  <c r="H9" i="55"/>
  <c r="K9" i="55" a="1"/>
  <c r="K9" i="55" s="1"/>
  <c r="L198" i="55" a="1"/>
  <c r="L198" i="55" s="1"/>
  <c r="H198" i="55"/>
  <c r="G198" i="55"/>
  <c r="K198" i="55" a="1"/>
  <c r="K198" i="55" s="1"/>
  <c r="G128" i="55"/>
  <c r="K87" i="55" a="1"/>
  <c r="K87" i="55" s="1"/>
  <c r="G87" i="55"/>
  <c r="L87" i="55" a="1"/>
  <c r="L87" i="55" s="1"/>
  <c r="H87" i="55"/>
  <c r="K167" i="55" a="1"/>
  <c r="K167" i="55" s="1"/>
  <c r="L167" i="55" a="1"/>
  <c r="L167" i="55" s="1"/>
  <c r="H167" i="55"/>
  <c r="H126" i="55"/>
  <c r="G126" i="55"/>
  <c r="K126" i="55" a="1"/>
  <c r="K126" i="55" s="1"/>
  <c r="G194" i="55"/>
  <c r="H160" i="55"/>
  <c r="K160" i="55" a="1"/>
  <c r="K160" i="55" s="1"/>
  <c r="G160" i="55"/>
  <c r="H120" i="55"/>
  <c r="K120" i="55" a="1"/>
  <c r="K120" i="55" s="1"/>
  <c r="G120" i="55"/>
  <c r="K59" i="55" a="1"/>
  <c r="K59" i="55" s="1"/>
  <c r="L78" i="55" a="1"/>
  <c r="L78" i="55" s="1"/>
  <c r="H78" i="55"/>
  <c r="K102" i="55" a="1"/>
  <c r="K102" i="55" s="1"/>
  <c r="H102" i="55"/>
  <c r="G102" i="55"/>
  <c r="G40" i="55"/>
  <c r="H40" i="55"/>
  <c r="K40" i="55" a="1"/>
  <c r="K40" i="55" s="1"/>
  <c r="K39" i="55" a="1"/>
  <c r="K39" i="55" s="1"/>
  <c r="G39" i="55"/>
  <c r="H39" i="55"/>
  <c r="K38" i="55" a="1"/>
  <c r="K38" i="55" s="1"/>
  <c r="H62" i="55"/>
  <c r="L79" i="55" a="1"/>
  <c r="L79" i="55" s="1"/>
  <c r="G197" i="55"/>
  <c r="G201" i="55"/>
  <c r="K168" i="55" a="1"/>
  <c r="K168" i="55" s="1"/>
  <c r="K79" i="55" a="1"/>
  <c r="K79" i="55" s="1"/>
  <c r="K180" i="55" a="1"/>
  <c r="K180" i="55" s="1"/>
  <c r="H181" i="55"/>
  <c r="K124" i="55" a="1"/>
  <c r="K124" i="55" s="1"/>
  <c r="K191" i="55" a="1"/>
  <c r="K191" i="55" s="1"/>
  <c r="K196" i="55" a="1"/>
  <c r="K196" i="55" s="1"/>
  <c r="G181" i="55"/>
  <c r="K201" i="55" a="1"/>
  <c r="K201" i="55" s="1"/>
  <c r="G161" i="55"/>
  <c r="H161" i="55"/>
  <c r="K161" i="55" a="1"/>
  <c r="K161" i="55" s="1"/>
  <c r="L161" i="55" a="1"/>
  <c r="L161" i="55" s="1"/>
  <c r="H46" i="55"/>
  <c r="G57" i="55"/>
  <c r="K188" i="55" a="1"/>
  <c r="K188" i="55" s="1"/>
  <c r="G188" i="55"/>
  <c r="G140" i="55"/>
  <c r="K140" i="55" a="1"/>
  <c r="K140" i="55" s="1"/>
  <c r="H140" i="55"/>
  <c r="H57" i="55"/>
  <c r="G72" i="55"/>
  <c r="H72" i="55"/>
  <c r="K72" i="55" a="1"/>
  <c r="K72" i="55" s="1"/>
  <c r="H200" i="55"/>
  <c r="H122" i="55"/>
  <c r="G122" i="55"/>
  <c r="G171" i="55"/>
  <c r="H170" i="55"/>
  <c r="K66" i="55" a="1"/>
  <c r="K66" i="55" s="1"/>
  <c r="H66" i="55"/>
  <c r="G133" i="55"/>
  <c r="K133" i="55" a="1"/>
  <c r="K133" i="55" s="1"/>
  <c r="H133" i="55"/>
  <c r="H83" i="55"/>
  <c r="G50" i="55"/>
  <c r="H50" i="55"/>
  <c r="G81" i="55"/>
  <c r="H81" i="55"/>
  <c r="K81" i="55" a="1"/>
  <c r="K81" i="55" s="1"/>
  <c r="L165" i="55" a="1"/>
  <c r="L165" i="55" s="1"/>
  <c r="K165" i="55" a="1"/>
  <c r="K165" i="55" s="1"/>
  <c r="G165" i="55"/>
  <c r="K99" i="55" a="1"/>
  <c r="K99" i="55" s="1"/>
  <c r="K36" i="55" a="1"/>
  <c r="K36" i="55" s="1"/>
  <c r="H36" i="55"/>
  <c r="G15" i="55"/>
  <c r="H15" i="55"/>
  <c r="K15" i="55" a="1"/>
  <c r="K15" i="55" s="1"/>
  <c r="M60" i="55" a="1"/>
  <c r="M60" i="55" s="1"/>
  <c r="O60" i="55" s="1"/>
  <c r="M15" i="55" a="1"/>
  <c r="M15" i="55" s="1"/>
  <c r="O15" i="55" s="1"/>
  <c r="M112" i="55" a="1"/>
  <c r="M112" i="55" s="1"/>
  <c r="O112" i="55" s="1"/>
  <c r="M133" i="55" a="1"/>
  <c r="M133" i="55" s="1"/>
  <c r="O133" i="55" s="1"/>
  <c r="M45" i="55" a="1"/>
  <c r="M45" i="55" s="1"/>
  <c r="M57" i="55" a="1"/>
  <c r="M57" i="55" s="1"/>
  <c r="P107" i="55"/>
  <c r="S107" i="55" s="1"/>
  <c r="M140" i="55" a="1"/>
  <c r="M140" i="55" s="1"/>
  <c r="M185" i="55" a="1"/>
  <c r="M185" i="55" s="1"/>
  <c r="O185" i="55" s="1"/>
  <c r="M40" i="55" a="1"/>
  <c r="M40" i="55" s="1"/>
  <c r="M97" i="55" a="1"/>
  <c r="M97" i="55" s="1"/>
  <c r="O97" i="55" s="1"/>
  <c r="M161" i="55" a="1"/>
  <c r="M161" i="55" s="1"/>
  <c r="O161" i="55" s="1"/>
  <c r="M120" i="55" a="1"/>
  <c r="M120" i="55" s="1"/>
  <c r="M186" i="55" a="1"/>
  <c r="M186" i="55" s="1"/>
  <c r="O186" i="55" s="1"/>
  <c r="H7" i="59"/>
  <c r="M201" i="55" a="1"/>
  <c r="M201" i="55" s="1"/>
  <c r="O201" i="55" s="1"/>
  <c r="M110" i="55" a="1"/>
  <c r="M110" i="55" s="1"/>
  <c r="O110" i="55" s="1"/>
  <c r="M55" i="55" a="1"/>
  <c r="M55" i="55" s="1"/>
  <c r="O55" i="55" s="1"/>
  <c r="M8" i="55" a="1"/>
  <c r="M8" i="55" s="1"/>
  <c r="O8" i="55" s="1"/>
  <c r="M67" i="55" a="1"/>
  <c r="M67" i="55" s="1"/>
  <c r="O67" i="55" s="1"/>
  <c r="M78" i="55" a="1"/>
  <c r="M78" i="55" s="1"/>
  <c r="O78" i="55" s="1"/>
  <c r="M187" i="55" a="1"/>
  <c r="M187" i="55" s="1"/>
  <c r="M36" i="55" a="1"/>
  <c r="M36" i="55" s="1"/>
  <c r="M103" i="55" a="1"/>
  <c r="M103" i="55" s="1"/>
  <c r="M130" i="55" a="1"/>
  <c r="M130" i="55" s="1"/>
  <c r="O130" i="55" s="1"/>
  <c r="M39" i="55" a="1"/>
  <c r="M39" i="55" s="1"/>
  <c r="O39" i="55" s="1"/>
  <c r="M99" i="55" a="1"/>
  <c r="M99" i="55" s="1"/>
  <c r="O99" i="55" s="1"/>
  <c r="M183" i="55" a="1"/>
  <c r="M183" i="55" s="1"/>
  <c r="M199" i="55" a="1"/>
  <c r="M199" i="55" s="1"/>
  <c r="O199" i="55" s="1"/>
  <c r="M50" i="55" a="1"/>
  <c r="M50" i="55" s="1"/>
  <c r="O50" i="55" s="1"/>
  <c r="M182" i="55" a="1"/>
  <c r="M182" i="55" s="1"/>
  <c r="O182" i="55" s="1"/>
  <c r="M87" i="55" a="1"/>
  <c r="M87" i="55" s="1"/>
  <c r="O87" i="55" s="1"/>
  <c r="M109" i="55" a="1"/>
  <c r="M109" i="55" s="1"/>
  <c r="M14" i="55" a="1"/>
  <c r="M14" i="55" s="1"/>
  <c r="O14" i="55" s="1"/>
  <c r="M107" i="55" a="1"/>
  <c r="M107" i="55" s="1"/>
  <c r="O107" i="55" s="1"/>
  <c r="M86" i="55" a="1"/>
  <c r="M86" i="55" s="1"/>
  <c r="O86" i="55" s="1"/>
  <c r="M105" i="55" a="1"/>
  <c r="M105" i="55" s="1"/>
  <c r="O105" i="55" s="1"/>
  <c r="M179" i="55" a="1"/>
  <c r="M179" i="55" s="1"/>
  <c r="M73" i="55" a="1"/>
  <c r="M73" i="55" s="1"/>
  <c r="M44" i="55" a="1"/>
  <c r="M44" i="55" s="1"/>
  <c r="O44" i="55" s="1"/>
  <c r="M196" i="55" a="1"/>
  <c r="M196" i="55" s="1"/>
  <c r="O196" i="55" s="1"/>
  <c r="M52" i="55" a="1"/>
  <c r="M52" i="55" s="1"/>
  <c r="O52" i="55" s="1"/>
  <c r="M83" i="55" a="1"/>
  <c r="M83" i="55" s="1"/>
  <c r="O83" i="55" s="1"/>
  <c r="M46" i="55" a="1"/>
  <c r="M46" i="55" s="1"/>
  <c r="M41" i="55" a="1"/>
  <c r="M41" i="55" s="1"/>
  <c r="O41" i="55" s="1"/>
  <c r="M29" i="55" a="1"/>
  <c r="M29" i="55" s="1"/>
  <c r="O29" i="55" s="1"/>
  <c r="M122" i="55" a="1"/>
  <c r="M122" i="55" s="1"/>
  <c r="M160" i="55" a="1"/>
  <c r="M160" i="55" s="1"/>
  <c r="M168" i="55" a="1"/>
  <c r="M168" i="55" s="1"/>
  <c r="O168" i="55" s="1"/>
  <c r="M32" i="55" a="1"/>
  <c r="M32" i="55" s="1"/>
  <c r="M200" i="55" a="1"/>
  <c r="M200" i="55" s="1"/>
  <c r="M137" i="55" a="1"/>
  <c r="M137" i="55" s="1"/>
  <c r="O137" i="55" s="1"/>
  <c r="M79" i="55" a="1"/>
  <c r="M79" i="55" s="1"/>
  <c r="O79" i="55" s="1"/>
  <c r="M7" i="55" a="1"/>
  <c r="M7" i="55" s="1"/>
  <c r="O7" i="55" s="1"/>
  <c r="M117" i="55" a="1"/>
  <c r="M117" i="55" s="1"/>
  <c r="M9" i="55" a="1"/>
  <c r="M9" i="55" s="1"/>
  <c r="M98" i="55" a="1"/>
  <c r="M98" i="55" s="1"/>
  <c r="M10" i="55" a="1"/>
  <c r="M10" i="55" s="1"/>
  <c r="O10" i="55" s="1"/>
  <c r="M162" i="55" a="1"/>
  <c r="M162" i="55" s="1"/>
  <c r="O162" i="55" s="1"/>
  <c r="M198" i="55" a="1"/>
  <c r="M198" i="55" s="1"/>
  <c r="O198" i="55" s="1"/>
  <c r="O121" i="55"/>
  <c r="M84" i="55" a="1"/>
  <c r="M84" i="55" s="1"/>
  <c r="O84" i="55" s="1"/>
  <c r="M176" i="55" a="1"/>
  <c r="M176" i="55" s="1"/>
  <c r="O176" i="55" s="1"/>
  <c r="M25" i="55" a="1"/>
  <c r="M25" i="55" s="1"/>
  <c r="M81" i="55" a="1"/>
  <c r="M81" i="55" s="1"/>
  <c r="O81" i="55" s="1"/>
  <c r="R37" i="55"/>
  <c r="P29" i="55"/>
  <c r="P183" i="55"/>
  <c r="S183" i="55" s="1"/>
  <c r="D8" i="57"/>
  <c r="D11" i="57"/>
  <c r="D12" i="57"/>
  <c r="D7" i="57"/>
  <c r="D6" i="57"/>
  <c r="D5" i="57"/>
  <c r="D9" i="57"/>
  <c r="D10" i="57"/>
  <c r="O25" i="55" l="1"/>
  <c r="K50" i="55" a="1"/>
  <c r="K50" i="55" s="1"/>
  <c r="N211" i="55"/>
  <c r="O211" i="55" s="1"/>
  <c r="N2" i="55"/>
  <c r="F6" i="59"/>
  <c r="O118" i="55"/>
  <c r="R109" i="55"/>
  <c r="G20" i="59"/>
  <c r="M20" i="59" s="1"/>
  <c r="V19" i="59"/>
  <c r="R51" i="55"/>
  <c r="F20" i="59"/>
  <c r="N20" i="59"/>
  <c r="F5" i="59"/>
  <c r="E14" i="59"/>
  <c r="R53" i="55"/>
  <c r="O183" i="55"/>
  <c r="O171" i="55"/>
  <c r="S134" i="55"/>
  <c r="S38" i="55"/>
  <c r="F11" i="59"/>
  <c r="P7" i="55"/>
  <c r="S7" i="55" s="1"/>
  <c r="R159" i="55"/>
  <c r="E7" i="59"/>
  <c r="P193" i="55"/>
  <c r="R193" i="55" s="1"/>
  <c r="P82" i="55"/>
  <c r="O160" i="55"/>
  <c r="P27" i="55"/>
  <c r="S27" i="55" s="1"/>
  <c r="P115" i="55"/>
  <c r="R115" i="55" s="1"/>
  <c r="O122" i="55"/>
  <c r="K93" i="55" a="1"/>
  <c r="K93" i="55" s="1"/>
  <c r="P60" i="55"/>
  <c r="R60" i="55" s="1"/>
  <c r="P30" i="55"/>
  <c r="R30" i="55" s="1"/>
  <c r="P8" i="55"/>
  <c r="S8" i="55" s="1"/>
  <c r="P116" i="55"/>
  <c r="R116" i="55" s="1"/>
  <c r="L175" i="55" a="1"/>
  <c r="L175" i="55" s="1"/>
  <c r="H21" i="59"/>
  <c r="P66" i="55"/>
  <c r="S66" i="55" s="1"/>
  <c r="V13" i="59"/>
  <c r="O46" i="55"/>
  <c r="P104" i="55"/>
  <c r="S104" i="55" s="1"/>
  <c r="H175" i="55"/>
  <c r="H191" i="55"/>
  <c r="G11" i="59"/>
  <c r="G14" i="59" s="1"/>
  <c r="K175" i="55" a="1"/>
  <c r="K175" i="55" s="1"/>
  <c r="L191" i="55" a="1"/>
  <c r="L191" i="55" s="1"/>
  <c r="P140" i="55"/>
  <c r="R140" i="55" s="1"/>
  <c r="O103" i="55"/>
  <c r="P55" i="55"/>
  <c r="R55" i="55" s="1"/>
  <c r="P117" i="55"/>
  <c r="S117" i="55" s="1"/>
  <c r="S25" i="55"/>
  <c r="S40" i="55"/>
  <c r="S14" i="55"/>
  <c r="S71" i="55"/>
  <c r="T188" i="55"/>
  <c r="S122" i="55"/>
  <c r="T180" i="55"/>
  <c r="S103" i="55"/>
  <c r="P137" i="55"/>
  <c r="R137" i="55" s="1"/>
  <c r="P99" i="55"/>
  <c r="R99" i="55" s="1"/>
  <c r="S109" i="55"/>
  <c r="T109" i="55" s="1"/>
  <c r="K119" i="55" a="1"/>
  <c r="K119" i="55" s="1"/>
  <c r="V11" i="59"/>
  <c r="V6" i="59"/>
  <c r="R97" i="55"/>
  <c r="R197" i="55"/>
  <c r="V20" i="59"/>
  <c r="S197" i="55"/>
  <c r="R186" i="55"/>
  <c r="T186" i="55" s="1"/>
  <c r="T189" i="55"/>
  <c r="R187" i="55"/>
  <c r="R134" i="55"/>
  <c r="T181" i="55"/>
  <c r="S200" i="55"/>
  <c r="S29" i="55"/>
  <c r="S47" i="55"/>
  <c r="R182" i="55"/>
  <c r="T182" i="55" s="1"/>
  <c r="S51" i="55"/>
  <c r="T51" i="55" s="1"/>
  <c r="T39" i="55"/>
  <c r="T84" i="55"/>
  <c r="S121" i="55"/>
  <c r="T190" i="55"/>
  <c r="S24" i="55"/>
  <c r="T191" i="55"/>
  <c r="P7" i="59"/>
  <c r="V7" i="59" s="1"/>
  <c r="S49" i="55"/>
  <c r="T44" i="55"/>
  <c r="T184" i="55"/>
  <c r="T192" i="55"/>
  <c r="T162" i="55"/>
  <c r="R179" i="55"/>
  <c r="T179" i="55" s="1"/>
  <c r="T83" i="55"/>
  <c r="T81" i="55"/>
  <c r="R121" i="55"/>
  <c r="H186" i="55"/>
  <c r="K186" i="55" a="1"/>
  <c r="K186" i="55" s="1"/>
  <c r="G186" i="55"/>
  <c r="G182" i="55"/>
  <c r="K182" i="55" a="1"/>
  <c r="K182" i="55" s="1"/>
  <c r="H182" i="55"/>
  <c r="K27" i="55" a="1"/>
  <c r="K27" i="55" s="1"/>
  <c r="M2" i="55"/>
  <c r="O47" i="55"/>
  <c r="K21" i="59"/>
  <c r="R171" i="55"/>
  <c r="T89" i="55"/>
  <c r="K54" i="55" a="1"/>
  <c r="K54" i="55" s="1"/>
  <c r="O40" i="55"/>
  <c r="O131" i="55"/>
  <c r="O57" i="55"/>
  <c r="R62" i="55"/>
  <c r="O32" i="55"/>
  <c r="O96" i="55"/>
  <c r="O80" i="55"/>
  <c r="L189" i="55" a="1"/>
  <c r="L189" i="55" s="1"/>
  <c r="K189" i="55" a="1"/>
  <c r="K189" i="55" s="1"/>
  <c r="H189" i="55"/>
  <c r="G189" i="55"/>
  <c r="H130" i="55"/>
  <c r="K130" i="55" a="1"/>
  <c r="K130" i="55" s="1"/>
  <c r="G130" i="55"/>
  <c r="H44" i="55"/>
  <c r="G44" i="55"/>
  <c r="G199" i="55"/>
  <c r="H199" i="55"/>
  <c r="K199" i="55" a="1"/>
  <c r="K199" i="55" s="1"/>
  <c r="R110" i="55"/>
  <c r="S110" i="55"/>
  <c r="H104" i="55"/>
  <c r="G104" i="55"/>
  <c r="K104" i="55" a="1"/>
  <c r="K104" i="55" s="1"/>
  <c r="L177" i="55" a="1"/>
  <c r="L177" i="55" s="1"/>
  <c r="H177" i="55"/>
  <c r="G177" i="55"/>
  <c r="K177" i="55" a="1"/>
  <c r="K177" i="55" s="1"/>
  <c r="G137" i="55"/>
  <c r="H137" i="55"/>
  <c r="K137" i="55" a="1"/>
  <c r="K137" i="55" s="1"/>
  <c r="K51" i="55" a="1"/>
  <c r="K51" i="55" s="1"/>
  <c r="G51" i="55"/>
  <c r="H51" i="55"/>
  <c r="O187" i="55"/>
  <c r="O72" i="55"/>
  <c r="N21" i="59"/>
  <c r="T161" i="55"/>
  <c r="T13" i="55"/>
  <c r="O73" i="55"/>
  <c r="O9" i="55"/>
  <c r="O27" i="55"/>
  <c r="T167" i="55"/>
  <c r="T169" i="55"/>
  <c r="O45" i="55"/>
  <c r="O48" i="55"/>
  <c r="V12" i="59"/>
  <c r="T108" i="55"/>
  <c r="O134" i="55"/>
  <c r="O38" i="55"/>
  <c r="M6" i="59"/>
  <c r="O102" i="55"/>
  <c r="R21" i="59"/>
  <c r="K8" i="55" a="1"/>
  <c r="K8" i="55" s="1"/>
  <c r="O120" i="55"/>
  <c r="V5" i="59"/>
  <c r="O30" i="55"/>
  <c r="O54" i="55"/>
  <c r="O128" i="55"/>
  <c r="O24" i="55"/>
  <c r="O116" i="55"/>
  <c r="P96" i="55"/>
  <c r="S96" i="55" s="1"/>
  <c r="P112" i="55"/>
  <c r="S112" i="55" s="1"/>
  <c r="K190" i="55" a="1"/>
  <c r="K190" i="55" s="1"/>
  <c r="L190" i="55" a="1"/>
  <c r="L190" i="55" s="1"/>
  <c r="H190" i="55"/>
  <c r="G190" i="55"/>
  <c r="K105" i="55" a="1"/>
  <c r="K105" i="55" s="1"/>
  <c r="H105" i="55"/>
  <c r="G105" i="55"/>
  <c r="K82" i="55" a="1"/>
  <c r="K82" i="55" s="1"/>
  <c r="H82" i="55"/>
  <c r="L48" i="55" a="1"/>
  <c r="L48" i="55" s="1"/>
  <c r="L60" i="55" a="1"/>
  <c r="L60" i="55" s="1"/>
  <c r="P299" i="53"/>
  <c r="L193" i="55" s="1" a="1"/>
  <c r="L193" i="55" s="1"/>
  <c r="L186" i="55" a="1"/>
  <c r="L186" i="55" s="1"/>
  <c r="L188" i="55" a="1"/>
  <c r="L188" i="55" s="1"/>
  <c r="F21" i="59" a="1"/>
  <c r="F21" i="59" s="1"/>
  <c r="L98" i="55" a="1"/>
  <c r="L98" i="55" s="1"/>
  <c r="L117" i="55" a="1"/>
  <c r="L117" i="55" s="1"/>
  <c r="L120" i="55" a="1"/>
  <c r="L120" i="55" s="1"/>
  <c r="L52" i="55" a="1"/>
  <c r="L52" i="55" s="1"/>
  <c r="L66" i="55" a="1"/>
  <c r="L66" i="55" s="1"/>
  <c r="P2" i="53"/>
  <c r="L58" i="55" a="1"/>
  <c r="L58" i="55" s="1"/>
  <c r="L61" i="55" a="1"/>
  <c r="L61" i="55" s="1"/>
  <c r="L10" i="55" a="1"/>
  <c r="L10" i="55" s="1"/>
  <c r="L80" i="55" a="1"/>
  <c r="L80" i="55" s="1"/>
  <c r="L71" i="55" a="1"/>
  <c r="L71" i="55" s="1"/>
  <c r="L140" i="55" a="1"/>
  <c r="L140" i="55" s="1"/>
  <c r="L104" i="55" a="1"/>
  <c r="L104" i="55" s="1"/>
  <c r="L50" i="55" a="1"/>
  <c r="L50" i="55" s="1"/>
  <c r="L130" i="55" a="1"/>
  <c r="L130" i="55" s="1"/>
  <c r="L109" i="55" a="1"/>
  <c r="L109" i="55" s="1"/>
  <c r="L121" i="55" a="1"/>
  <c r="L121" i="55" s="1"/>
  <c r="L24" i="55" a="1"/>
  <c r="L24" i="55" s="1"/>
  <c r="L51" i="55" a="1"/>
  <c r="L51" i="55" s="1"/>
  <c r="L9" i="55" a="1"/>
  <c r="L9" i="55" s="1"/>
  <c r="L39" i="55" a="1"/>
  <c r="L39" i="55" s="1"/>
  <c r="H138" i="55"/>
  <c r="G138" i="55"/>
  <c r="K41" i="55" a="1"/>
  <c r="K41" i="55" s="1"/>
  <c r="L41" i="55" a="1"/>
  <c r="L41" i="55" s="1"/>
  <c r="G41" i="55"/>
  <c r="H41" i="55"/>
  <c r="G119" i="55"/>
  <c r="H119" i="55"/>
  <c r="K55" i="55" a="1"/>
  <c r="K55" i="55" s="1"/>
  <c r="G55" i="55"/>
  <c r="H55" i="55"/>
  <c r="H18" i="55"/>
  <c r="K18" i="55" a="1"/>
  <c r="K18" i="55" s="1"/>
  <c r="L18" i="55" a="1"/>
  <c r="L18" i="55" s="1"/>
  <c r="P128" i="55"/>
  <c r="S128" i="55" s="1"/>
  <c r="H103" i="55"/>
  <c r="L103" i="55" a="1"/>
  <c r="L103" i="55" s="1"/>
  <c r="G103" i="55"/>
  <c r="K103" i="55" a="1"/>
  <c r="K103" i="55" s="1"/>
  <c r="G78" i="55"/>
  <c r="K78" i="55" a="1"/>
  <c r="K78" i="55" s="1"/>
  <c r="O5" i="59"/>
  <c r="U5" i="59" s="1"/>
  <c r="O19" i="59"/>
  <c r="T19" i="59" s="1"/>
  <c r="O4" i="59"/>
  <c r="T4" i="59" s="1"/>
  <c r="P56" i="55"/>
  <c r="R56" i="55" s="1"/>
  <c r="Z299" i="53"/>
  <c r="AE2" i="53" s="1"/>
  <c r="O18" i="59"/>
  <c r="T18" i="59" s="1"/>
  <c r="H118" i="55"/>
  <c r="K118" i="55" a="1"/>
  <c r="K118" i="55" s="1"/>
  <c r="L118" i="55" a="1"/>
  <c r="L118" i="55" s="1"/>
  <c r="G118" i="55"/>
  <c r="G38" i="55"/>
  <c r="H38" i="55"/>
  <c r="L38" i="55" a="1"/>
  <c r="L38" i="55" s="1"/>
  <c r="L174" i="55" a="1"/>
  <c r="L174" i="55" s="1"/>
  <c r="K174" i="55" a="1"/>
  <c r="K174" i="55" s="1"/>
  <c r="L134" i="55" a="1"/>
  <c r="L134" i="55" s="1"/>
  <c r="H134" i="55"/>
  <c r="G134" i="55"/>
  <c r="K134" i="55" a="1"/>
  <c r="K134" i="55" s="1"/>
  <c r="G99" i="55"/>
  <c r="H99" i="55"/>
  <c r="K53" i="55" a="1"/>
  <c r="K53" i="55" s="1"/>
  <c r="L53" i="55" a="1"/>
  <c r="L53" i="55" s="1"/>
  <c r="H53" i="55"/>
  <c r="P130" i="55"/>
  <c r="S130" i="55" s="1"/>
  <c r="P59" i="55"/>
  <c r="R59" i="55" s="1"/>
  <c r="P120" i="55"/>
  <c r="S120" i="55" s="1"/>
  <c r="H171" i="55"/>
  <c r="L171" i="55" a="1"/>
  <c r="L171" i="55" s="1"/>
  <c r="K73" i="55" a="1"/>
  <c r="K73" i="55" s="1"/>
  <c r="H73" i="55"/>
  <c r="P45" i="55"/>
  <c r="R45" i="55" s="1"/>
  <c r="G200" i="55"/>
  <c r="K200" i="55" a="1"/>
  <c r="K200" i="55" s="1"/>
  <c r="G170" i="55"/>
  <c r="K170" i="55" a="1"/>
  <c r="K170" i="55" s="1"/>
  <c r="L170" i="55" a="1"/>
  <c r="L170" i="55" s="1"/>
  <c r="G115" i="55"/>
  <c r="K115" i="55" a="1"/>
  <c r="K115" i="55" s="1"/>
  <c r="H115" i="55"/>
  <c r="L115" i="55" a="1"/>
  <c r="L115" i="55" s="1"/>
  <c r="H97" i="55"/>
  <c r="L97" i="55" a="1"/>
  <c r="L97" i="55" s="1"/>
  <c r="K97" i="55" a="1"/>
  <c r="K97" i="55" s="1"/>
  <c r="E21" i="59"/>
  <c r="F18" i="59"/>
  <c r="H14" i="59"/>
  <c r="M12" i="59"/>
  <c r="G169" i="55"/>
  <c r="H169" i="55"/>
  <c r="L169" i="55" a="1"/>
  <c r="L169" i="55" s="1"/>
  <c r="G31" i="55"/>
  <c r="H31" i="55"/>
  <c r="L31" i="55" a="1"/>
  <c r="L31" i="55" s="1"/>
  <c r="K31" i="55" a="1"/>
  <c r="K31" i="55" s="1"/>
  <c r="O20" i="59"/>
  <c r="T20" i="59" s="1"/>
  <c r="P194" i="55"/>
  <c r="S194" i="55" s="1"/>
  <c r="P170" i="55"/>
  <c r="S170" i="55" s="1"/>
  <c r="O6" i="59"/>
  <c r="T6" i="59" s="1"/>
  <c r="K30" i="55" a="1"/>
  <c r="K30" i="55" s="1"/>
  <c r="L30" i="55" a="1"/>
  <c r="L30" i="55" s="1"/>
  <c r="G30" i="55"/>
  <c r="H30" i="55"/>
  <c r="P41" i="55"/>
  <c r="S41" i="55" s="1"/>
  <c r="P36" i="55"/>
  <c r="S36" i="55" s="1"/>
  <c r="P57" i="55"/>
  <c r="R57" i="55" s="1"/>
  <c r="L111" i="55" a="1"/>
  <c r="L111" i="55" s="1"/>
  <c r="K111" i="55" a="1"/>
  <c r="K111" i="55" s="1"/>
  <c r="G111" i="55"/>
  <c r="H111" i="55"/>
  <c r="L90" i="55" a="1"/>
  <c r="L90" i="55" s="1"/>
  <c r="H90" i="55"/>
  <c r="K90" i="55" a="1"/>
  <c r="K90" i="55" s="1"/>
  <c r="G4" i="59"/>
  <c r="L128" i="55" a="1"/>
  <c r="L128" i="55" s="1"/>
  <c r="K128" i="55" a="1"/>
  <c r="K128" i="55" s="1"/>
  <c r="H128" i="55"/>
  <c r="G62" i="55"/>
  <c r="K62" i="55" a="1"/>
  <c r="K62" i="55" s="1"/>
  <c r="Z2" i="53"/>
  <c r="G18" i="59"/>
  <c r="S2" i="53"/>
  <c r="L12" i="59"/>
  <c r="C14" i="59"/>
  <c r="N14" i="59" s="1"/>
  <c r="N12" i="59"/>
  <c r="P72" i="55"/>
  <c r="S72" i="55" s="1"/>
  <c r="G196" i="55"/>
  <c r="H196" i="55"/>
  <c r="G183" i="55"/>
  <c r="H183" i="55"/>
  <c r="K183" i="55" a="1"/>
  <c r="K183" i="55" s="1"/>
  <c r="L183" i="55" a="1"/>
  <c r="L183" i="55" s="1"/>
  <c r="H47" i="55"/>
  <c r="K47" i="55" a="1"/>
  <c r="K47" i="55" s="1"/>
  <c r="G47" i="55"/>
  <c r="P15" i="55"/>
  <c r="S15" i="55" s="1"/>
  <c r="P67" i="55"/>
  <c r="S67" i="55" s="1"/>
  <c r="O11" i="59"/>
  <c r="T11" i="59" s="1"/>
  <c r="H194" i="55"/>
  <c r="K194" i="55" a="1"/>
  <c r="K194" i="55" s="1"/>
  <c r="L194" i="55" a="1"/>
  <c r="L194" i="55" s="1"/>
  <c r="G108" i="55"/>
  <c r="L108" i="55" a="1"/>
  <c r="L108" i="55" s="1"/>
  <c r="H108" i="55"/>
  <c r="K108" i="55" a="1"/>
  <c r="K108" i="55" s="1"/>
  <c r="G46" i="55"/>
  <c r="K46" i="55" a="1"/>
  <c r="K46" i="55" s="1"/>
  <c r="L46" i="55" a="1"/>
  <c r="L46" i="55" s="1"/>
  <c r="G19" i="59"/>
  <c r="G5" i="59"/>
  <c r="P132" i="55"/>
  <c r="S132" i="55" s="1"/>
  <c r="G192" i="55"/>
  <c r="K192" i="55" a="1"/>
  <c r="K192" i="55" s="1"/>
  <c r="H192" i="55"/>
  <c r="L192" i="55" a="1"/>
  <c r="L192" i="55" s="1"/>
  <c r="K123" i="55" a="1"/>
  <c r="K123" i="55" s="1"/>
  <c r="G123" i="55"/>
  <c r="H123" i="55"/>
  <c r="H107" i="55"/>
  <c r="K107" i="55" a="1"/>
  <c r="K107" i="55" s="1"/>
  <c r="L59" i="55" a="1"/>
  <c r="L59" i="55" s="1"/>
  <c r="G59" i="55"/>
  <c r="H59" i="55"/>
  <c r="G45" i="55"/>
  <c r="H45" i="55"/>
  <c r="K45" i="55" a="1"/>
  <c r="K45" i="55" s="1"/>
  <c r="H159" i="55"/>
  <c r="G159" i="55"/>
  <c r="K159" i="55" a="1"/>
  <c r="K159" i="55" s="1"/>
  <c r="K122" i="55" a="1"/>
  <c r="K122" i="55" s="1"/>
  <c r="L122" i="55" a="1"/>
  <c r="L122" i="55" s="1"/>
  <c r="L83" i="55" a="1"/>
  <c r="L83" i="55" s="1"/>
  <c r="G83" i="55"/>
  <c r="K83" i="55" a="1"/>
  <c r="K83" i="55" s="1"/>
  <c r="O58" i="55"/>
  <c r="O62" i="55"/>
  <c r="O2" i="55"/>
  <c r="K44" i="55" a="1"/>
  <c r="K44" i="55" s="1"/>
  <c r="N7" i="59"/>
  <c r="O197" i="55"/>
  <c r="O98" i="55"/>
  <c r="H54" i="55"/>
  <c r="F14" i="59" a="1"/>
  <c r="F14" i="59" s="1"/>
  <c r="O193" i="55"/>
  <c r="O49" i="55"/>
  <c r="M11" i="59"/>
  <c r="O179" i="55"/>
  <c r="G54" i="55"/>
  <c r="T105" i="55"/>
  <c r="S52" i="55"/>
  <c r="O36" i="55"/>
  <c r="O59" i="55"/>
  <c r="L11" i="59"/>
  <c r="O117" i="55"/>
  <c r="O140" i="55"/>
  <c r="H27" i="55"/>
  <c r="O136" i="55"/>
  <c r="P119" i="55"/>
  <c r="S119" i="55" s="1"/>
  <c r="G27" i="55"/>
  <c r="T107" i="55"/>
  <c r="T175" i="55"/>
  <c r="L44" i="55" a="1"/>
  <c r="L44" i="55" s="1"/>
  <c r="O159" i="55"/>
  <c r="T201" i="55"/>
  <c r="L27" i="55" a="1"/>
  <c r="L27" i="55" s="1"/>
  <c r="O200" i="55"/>
  <c r="O61" i="55"/>
  <c r="J21" i="59"/>
  <c r="T138" i="55"/>
  <c r="R185" i="55"/>
  <c r="T185" i="55" s="1"/>
  <c r="R196" i="55"/>
  <c r="T196" i="55" s="1"/>
  <c r="T165" i="55"/>
  <c r="T168" i="55"/>
  <c r="T174" i="55"/>
  <c r="S14" i="59"/>
  <c r="S7" i="59"/>
  <c r="T133" i="55"/>
  <c r="S123" i="55"/>
  <c r="U12" i="59"/>
  <c r="S48" i="55"/>
  <c r="P21" i="59"/>
  <c r="V21" i="59" s="1"/>
  <c r="Q2" i="55"/>
  <c r="S160" i="55"/>
  <c r="S54" i="55"/>
  <c r="S62" i="55"/>
  <c r="T176" i="55"/>
  <c r="R7" i="59"/>
  <c r="R14" i="55"/>
  <c r="T87" i="55"/>
  <c r="R14" i="59"/>
  <c r="T76" i="55"/>
  <c r="T78" i="55"/>
  <c r="R40" i="55"/>
  <c r="T40" i="55" s="1"/>
  <c r="T90" i="55"/>
  <c r="T198" i="55"/>
  <c r="T20" i="55"/>
  <c r="T21" i="55"/>
  <c r="S102" i="55"/>
  <c r="T102" i="55" s="1"/>
  <c r="S159" i="55"/>
  <c r="T159" i="55" s="1"/>
  <c r="P14" i="59"/>
  <c r="V14" i="59" s="1"/>
  <c r="S53" i="55"/>
  <c r="T53" i="55" s="1"/>
  <c r="T18" i="55"/>
  <c r="S131" i="55"/>
  <c r="T131" i="55" s="1"/>
  <c r="V4" i="59"/>
  <c r="R48" i="55"/>
  <c r="T79" i="55"/>
  <c r="T77" i="55"/>
  <c r="T86" i="55"/>
  <c r="T124" i="55"/>
  <c r="R46" i="55"/>
  <c r="T46" i="55" s="1"/>
  <c r="S61" i="55"/>
  <c r="S50" i="55"/>
  <c r="S97" i="55"/>
  <c r="T93" i="55"/>
  <c r="T177" i="55"/>
  <c r="R160" i="55"/>
  <c r="S111" i="55"/>
  <c r="T111" i="55" s="1"/>
  <c r="R25" i="55"/>
  <c r="T25" i="55" s="1"/>
  <c r="R200" i="55"/>
  <c r="T17" i="55"/>
  <c r="S98" i="55"/>
  <c r="T98" i="55" s="1"/>
  <c r="R114" i="55"/>
  <c r="T114" i="55" s="1"/>
  <c r="R50" i="55"/>
  <c r="T37" i="55"/>
  <c r="T10" i="55"/>
  <c r="R136" i="55"/>
  <c r="T136" i="55" s="1"/>
  <c r="R80" i="55"/>
  <c r="T80" i="55" s="1"/>
  <c r="R123" i="55"/>
  <c r="R47" i="55"/>
  <c r="T19" i="55"/>
  <c r="R24" i="55"/>
  <c r="R61" i="55"/>
  <c r="R38" i="55"/>
  <c r="T38" i="55" s="1"/>
  <c r="S21" i="59"/>
  <c r="T88" i="55"/>
  <c r="T16" i="55"/>
  <c r="S9" i="55"/>
  <c r="T9" i="55" s="1"/>
  <c r="S31" i="55"/>
  <c r="T31" i="55" s="1"/>
  <c r="S126" i="55"/>
  <c r="T126" i="55" s="1"/>
  <c r="T13" i="59"/>
  <c r="R52" i="55"/>
  <c r="T187" i="55"/>
  <c r="R29" i="55"/>
  <c r="R54" i="55"/>
  <c r="S58" i="55"/>
  <c r="T58" i="55" s="1"/>
  <c r="R103" i="55"/>
  <c r="T103" i="55" s="1"/>
  <c r="E5" i="57"/>
  <c r="E6" i="57" s="1"/>
  <c r="E7" i="57" s="1"/>
  <c r="E8" i="57" s="1"/>
  <c r="E9" i="57" s="1"/>
  <c r="E10" i="57" s="1"/>
  <c r="E11" i="57" s="1"/>
  <c r="E12" i="57" s="1"/>
  <c r="D13" i="57"/>
  <c r="M14" i="59"/>
  <c r="O119" i="55"/>
  <c r="F6" i="26"/>
  <c r="G7" i="26"/>
  <c r="O126" i="55"/>
  <c r="O53" i="55"/>
  <c r="O109" i="55"/>
  <c r="R183" i="55"/>
  <c r="T183" i="55" s="1"/>
  <c r="S32" i="55"/>
  <c r="T32" i="55" s="1"/>
  <c r="R49" i="55"/>
  <c r="S199" i="55"/>
  <c r="T199" i="55" s="1"/>
  <c r="R122" i="55"/>
  <c r="L20" i="59"/>
  <c r="R71" i="55"/>
  <c r="S299" i="53"/>
  <c r="H8" i="55"/>
  <c r="G8" i="55"/>
  <c r="V18" i="59"/>
  <c r="O51" i="55"/>
  <c r="P118" i="55"/>
  <c r="P73" i="55"/>
  <c r="T134" i="55" l="1"/>
  <c r="T71" i="55"/>
  <c r="T14" i="55"/>
  <c r="S115" i="55"/>
  <c r="S193" i="55"/>
  <c r="T193" i="55" s="1"/>
  <c r="T122" i="55"/>
  <c r="R27" i="55"/>
  <c r="T27" i="55" s="1"/>
  <c r="S30" i="55"/>
  <c r="T30" i="55" s="1"/>
  <c r="T62" i="55"/>
  <c r="S116" i="55"/>
  <c r="T116" i="55" s="1"/>
  <c r="R117" i="55"/>
  <c r="T117" i="55" s="1"/>
  <c r="R7" i="55"/>
  <c r="T7" i="55" s="1"/>
  <c r="R104" i="55"/>
  <c r="T104" i="55" s="1"/>
  <c r="S140" i="55"/>
  <c r="T140" i="55" s="1"/>
  <c r="R66" i="55"/>
  <c r="T66" i="55" s="1"/>
  <c r="S60" i="55"/>
  <c r="T60" i="55" s="1"/>
  <c r="S55" i="55"/>
  <c r="T55" i="55" s="1"/>
  <c r="L116" i="55" a="1"/>
  <c r="L116" i="55" s="1"/>
  <c r="R8" i="55"/>
  <c r="T8" i="55" s="1"/>
  <c r="L14" i="55" a="1"/>
  <c r="L14" i="55" s="1"/>
  <c r="R82" i="55"/>
  <c r="S82" i="55"/>
  <c r="L114" i="55" a="1"/>
  <c r="L114" i="55" s="1"/>
  <c r="L112" i="55" a="1"/>
  <c r="L112" i="55" s="1"/>
  <c r="L199" i="55" a="1"/>
  <c r="L199" i="55" s="1"/>
  <c r="T97" i="55"/>
  <c r="T197" i="55"/>
  <c r="T47" i="55"/>
  <c r="S137" i="55"/>
  <c r="T137" i="55" s="1"/>
  <c r="S99" i="55"/>
  <c r="T99" i="55" s="1"/>
  <c r="U4" i="59"/>
  <c r="T200" i="55"/>
  <c r="T29" i="55"/>
  <c r="T49" i="55"/>
  <c r="T121" i="55"/>
  <c r="AE299" i="53"/>
  <c r="T24" i="55"/>
  <c r="T110" i="55"/>
  <c r="O21" i="59"/>
  <c r="T21" i="59" s="1"/>
  <c r="U18" i="59"/>
  <c r="R128" i="55"/>
  <c r="T128" i="55" s="1"/>
  <c r="U20" i="59"/>
  <c r="U19" i="59"/>
  <c r="T48" i="55"/>
  <c r="R170" i="55"/>
  <c r="T170" i="55" s="1"/>
  <c r="O14" i="59"/>
  <c r="T14" i="59" s="1"/>
  <c r="R67" i="55"/>
  <c r="T67" i="55" s="1"/>
  <c r="S56" i="55"/>
  <c r="T56" i="55" s="1"/>
  <c r="R132" i="55"/>
  <c r="T132" i="55" s="1"/>
  <c r="S45" i="55"/>
  <c r="T45" i="55" s="1"/>
  <c r="R36" i="55"/>
  <c r="T36" i="55" s="1"/>
  <c r="S57" i="55"/>
  <c r="T57" i="55" s="1"/>
  <c r="R112" i="55"/>
  <c r="T112" i="55" s="1"/>
  <c r="R130" i="55"/>
  <c r="T130" i="55" s="1"/>
  <c r="R194" i="55"/>
  <c r="T194" i="55" s="1"/>
  <c r="R96" i="55"/>
  <c r="T96" i="55" s="1"/>
  <c r="R72" i="55"/>
  <c r="T72" i="55" s="1"/>
  <c r="R120" i="55"/>
  <c r="T120" i="55" s="1"/>
  <c r="R15" i="55"/>
  <c r="T15" i="55" s="1"/>
  <c r="L25" i="55" a="1"/>
  <c r="L25" i="55" s="1"/>
  <c r="L133" i="55" a="1"/>
  <c r="L133" i="55" s="1"/>
  <c r="T123" i="55"/>
  <c r="L96" i="55" a="1"/>
  <c r="L96" i="55" s="1"/>
  <c r="L49" i="55" a="1"/>
  <c r="L49" i="55" s="1"/>
  <c r="L182" i="55" a="1"/>
  <c r="L182" i="55" s="1"/>
  <c r="L72" i="55" a="1"/>
  <c r="L72" i="55" s="1"/>
  <c r="R119" i="55"/>
  <c r="T119" i="55" s="1"/>
  <c r="F7" i="59" a="1"/>
  <c r="F7" i="59" s="1"/>
  <c r="S59" i="55"/>
  <c r="T59" i="55" s="1"/>
  <c r="L14" i="59"/>
  <c r="R41" i="55"/>
  <c r="T41" i="55" s="1"/>
  <c r="L197" i="55" a="1"/>
  <c r="L197" i="55" s="1"/>
  <c r="L4" i="59"/>
  <c r="M4" i="59"/>
  <c r="G7" i="59"/>
  <c r="L82" i="55" a="1"/>
  <c r="L82" i="55" s="1"/>
  <c r="T52" i="55"/>
  <c r="U6" i="59"/>
  <c r="T5" i="59"/>
  <c r="L5" i="59"/>
  <c r="M5" i="59"/>
  <c r="M18" i="59"/>
  <c r="G21" i="59"/>
  <c r="L18" i="59"/>
  <c r="U11" i="59"/>
  <c r="M19" i="59"/>
  <c r="L19" i="59"/>
  <c r="L211" i="55"/>
  <c r="L107" i="55" a="1"/>
  <c r="L107" i="55" s="1"/>
  <c r="L62" i="55" a="1"/>
  <c r="L62" i="55" s="1"/>
  <c r="L67" i="55" a="1"/>
  <c r="L67" i="55" s="1"/>
  <c r="L110" i="55" a="1"/>
  <c r="L110" i="55" s="1"/>
  <c r="L162" i="55" a="1"/>
  <c r="L162" i="55" s="1"/>
  <c r="L29" i="55" a="1"/>
  <c r="L29" i="55" s="1"/>
  <c r="L93" i="55" a="1"/>
  <c r="L93" i="55" s="1"/>
  <c r="L160" i="55" a="1"/>
  <c r="L160" i="55" s="1"/>
  <c r="L2" i="55"/>
  <c r="L8" i="55" a="1"/>
  <c r="L8" i="55" s="1"/>
  <c r="L55" i="55" a="1"/>
  <c r="L55" i="55" s="1"/>
  <c r="L138" i="55" a="1"/>
  <c r="L138" i="55" s="1"/>
  <c r="L179" i="55" a="1"/>
  <c r="L179" i="55" s="1"/>
  <c r="L119" i="55" a="1"/>
  <c r="L119" i="55" s="1"/>
  <c r="L123" i="55" a="1"/>
  <c r="L123" i="55" s="1"/>
  <c r="L200" i="55" a="1"/>
  <c r="L200" i="55" s="1"/>
  <c r="L15" i="55" a="1"/>
  <c r="L15" i="55" s="1"/>
  <c r="L57" i="55" a="1"/>
  <c r="L57" i="55" s="1"/>
  <c r="L36" i="55" a="1"/>
  <c r="L36" i="55" s="1"/>
  <c r="L187" i="55" a="1"/>
  <c r="L187" i="55" s="1"/>
  <c r="L185" i="55" a="1"/>
  <c r="L185" i="55" s="1"/>
  <c r="L137" i="55" a="1"/>
  <c r="L137" i="55" s="1"/>
  <c r="L136" i="55" a="1"/>
  <c r="L136" i="55" s="1"/>
  <c r="L32" i="55" a="1"/>
  <c r="L32" i="55" s="1"/>
  <c r="L81" i="55" a="1"/>
  <c r="L81" i="55" s="1"/>
  <c r="L99" i="55" a="1"/>
  <c r="L99" i="55" s="1"/>
  <c r="L84" i="55" a="1"/>
  <c r="L84" i="55" s="1"/>
  <c r="L73" i="55" a="1"/>
  <c r="L73" i="55" s="1"/>
  <c r="L7" i="55" a="1"/>
  <c r="L7" i="55" s="1"/>
  <c r="L54" i="55" a="1"/>
  <c r="L54" i="55" s="1"/>
  <c r="L131" i="55" a="1"/>
  <c r="L131" i="55" s="1"/>
  <c r="L47" i="55" a="1"/>
  <c r="L47" i="55" s="1"/>
  <c r="L45" i="55" a="1"/>
  <c r="L45" i="55" s="1"/>
  <c r="L102" i="55" a="1"/>
  <c r="L102" i="55" s="1"/>
  <c r="L159" i="55" a="1"/>
  <c r="L159" i="55" s="1"/>
  <c r="L196" i="55" a="1"/>
  <c r="L196" i="55" s="1"/>
  <c r="L56" i="55" a="1"/>
  <c r="L56" i="55" s="1"/>
  <c r="O7" i="59"/>
  <c r="U7" i="59" s="1"/>
  <c r="P2" i="55"/>
  <c r="P211" i="55"/>
  <c r="L105" i="55" a="1"/>
  <c r="L105" i="55" s="1"/>
  <c r="L37" i="55" a="1"/>
  <c r="L37" i="55" s="1"/>
  <c r="L132" i="55" a="1"/>
  <c r="L132" i="55" s="1"/>
  <c r="L40" i="55" a="1"/>
  <c r="L40" i="55" s="1"/>
  <c r="L126" i="55" a="1"/>
  <c r="L126" i="55" s="1"/>
  <c r="T54" i="55"/>
  <c r="T115" i="55"/>
  <c r="T160" i="55"/>
  <c r="T61" i="55"/>
  <c r="T50" i="55"/>
  <c r="G6" i="26"/>
  <c r="H7" i="26"/>
  <c r="S118" i="55"/>
  <c r="R118" i="55"/>
  <c r="S73" i="55"/>
  <c r="R73" i="55"/>
  <c r="G212" i="55"/>
  <c r="G211" i="55"/>
  <c r="G2" i="55"/>
  <c r="G3" i="55"/>
  <c r="H211" i="55"/>
  <c r="H2" i="55"/>
  <c r="X2" i="53"/>
  <c r="X299" i="53"/>
  <c r="T82" i="55" l="1"/>
  <c r="U21" i="59"/>
  <c r="U14" i="59"/>
  <c r="T7" i="59"/>
  <c r="M21" i="59"/>
  <c r="L21" i="59"/>
  <c r="R2" i="55"/>
  <c r="R211" i="55"/>
  <c r="S211" i="55"/>
  <c r="S2" i="55"/>
  <c r="M7" i="59"/>
  <c r="L7" i="59"/>
  <c r="T118" i="55"/>
  <c r="I7" i="26"/>
  <c r="H6" i="26"/>
  <c r="H212" i="55"/>
  <c r="H3" i="55"/>
  <c r="T73" i="55"/>
  <c r="T2" i="55" l="1"/>
  <c r="T211" i="55"/>
  <c r="J7" i="26"/>
  <c r="I6" i="26"/>
  <c r="J6" i="26" l="1"/>
  <c r="K7" i="26"/>
  <c r="K6" i="26" l="1"/>
  <c r="L7" i="26"/>
  <c r="M7" i="26" l="1"/>
  <c r="L6" i="26"/>
  <c r="M6" i="26" l="1"/>
  <c r="N7" i="26"/>
  <c r="N6" i="26" l="1"/>
  <c r="O7" i="26"/>
  <c r="O6" i="26" l="1"/>
  <c r="P7" i="26"/>
  <c r="Q7" i="26" l="1"/>
  <c r="P6" i="26"/>
  <c r="Q6" i="26" l="1"/>
  <c r="R7" i="26"/>
  <c r="R6" i="26" l="1"/>
  <c r="S7" i="26"/>
  <c r="T7" i="26" l="1"/>
  <c r="S6" i="26"/>
  <c r="U7" i="26" l="1"/>
  <c r="T6" i="26"/>
  <c r="U6" i="26" l="1"/>
  <c r="V7" i="26"/>
  <c r="W7" i="26" l="1"/>
  <c r="V6" i="26"/>
  <c r="W6" i="26" l="1"/>
  <c r="X7" i="26"/>
  <c r="Y7" i="26" l="1"/>
  <c r="X6" i="26"/>
  <c r="Z7" i="26" l="1"/>
  <c r="Y6" i="26"/>
  <c r="AA7" i="26" l="1"/>
  <c r="Z6" i="26"/>
  <c r="AB7" i="26" l="1"/>
  <c r="AA6" i="26"/>
  <c r="AB6" i="26" l="1"/>
  <c r="AC7" i="26"/>
  <c r="AC6" i="26" l="1"/>
  <c r="AD7" i="26"/>
  <c r="AD6" i="26" l="1"/>
  <c r="AE7" i="26"/>
  <c r="AE6" i="26" l="1"/>
  <c r="AF7" i="26"/>
  <c r="AG7" i="26" l="1"/>
  <c r="AF6" i="26"/>
  <c r="AG6" i="26" l="1"/>
  <c r="AH7" i="26"/>
  <c r="AI7" i="26" l="1"/>
  <c r="AH6" i="26"/>
  <c r="AJ7" i="26" l="1"/>
  <c r="AI6" i="26"/>
  <c r="AJ6" i="26" l="1"/>
  <c r="AK7"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0"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U25" authorId="0" shapeId="0" xr:uid="{4D980F8B-C888-46C2-AEDB-44DEC0675BF3}">
      <text>
        <r>
          <rPr>
            <b/>
            <sz val="10"/>
            <color indexed="81"/>
            <rFont val="Tahoma"/>
            <family val="2"/>
          </rPr>
          <t>Administrator:</t>
        </r>
        <r>
          <rPr>
            <sz val="10"/>
            <color indexed="81"/>
            <rFont val="Tahoma"/>
            <family val="2"/>
          </rPr>
          <t xml:space="preserve">
This is mission mode use case, may be indirectly covered by driver. Evan will follow up with SW on their use scenario and coverage plan. 
Diag risk: Tcore lib, etc are all new. 
Pre-silicon: Alex help to request emulator priority , so Diag can cover basic test case . 
Diag plan: try to cover basic case in pre-silicon, but still risk for full feature verification. 
</t>
        </r>
      </text>
    </comment>
    <comment ref="U40" authorId="0" shapeId="0" xr:uid="{9774FC1B-7716-4E66-BF33-F8636D88DE85}">
      <text>
        <r>
          <rPr>
            <b/>
            <sz val="10"/>
            <color indexed="81"/>
            <rFont val="Tahoma"/>
            <family val="2"/>
          </rPr>
          <t>Administrator:</t>
        </r>
        <r>
          <rPr>
            <sz val="10"/>
            <color indexed="81"/>
            <rFont val="Tahoma"/>
            <family val="2"/>
          </rPr>
          <t xml:space="preserve">
This is mission mode use case, may be indirectly covered by driver. Evan will follow up with SW on their use scenario and coverage plan. 
Diag risk: Tcore lib, etc are all new. 
Pre-silicon: Alex help to request emulator priority , so Diag can cover basic test case . 
Diag plan: try to cover basic case in pre-silicon, but still risk for full feature verification. 
Same as 1015</t>
        </r>
      </text>
    </comment>
    <comment ref="U67" authorId="0" shapeId="0" xr:uid="{A275BB40-AC64-47A3-93D8-B7DFE9A26F23}">
      <text>
        <r>
          <rPr>
            <b/>
            <sz val="10"/>
            <color indexed="81"/>
            <rFont val="Tahoma"/>
            <family val="2"/>
          </rPr>
          <t>Administrator:</t>
        </r>
        <r>
          <rPr>
            <sz val="10"/>
            <color indexed="81"/>
            <rFont val="Tahoma"/>
            <family val="2"/>
          </rPr>
          <t xml:space="preserve">
Refer to 1007</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<sst xmlns="http://schemas.openxmlformats.org/spreadsheetml/2006/main" count="8701" uniqueCount="1624">
  <si>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</si>
  <si>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</si>
  <si>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</si>
  <si>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</si>
  <si>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</si>
  <si>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</si>
  <si>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</si>
  <si>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</si>
  <si>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</si>
  <si>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</si>
  <si>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</si>
  <si>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</si>
  <si>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</si>
  <si>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</si>
  <si>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</si>
  <si>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</si>
  <si>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</si>
  <si>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</si>
  <si>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</si>
  <si>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</si>
  <si>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</si>
  <si>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</si>
  <si>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</si>
  <si>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</si>
  <si>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</si>
  <si>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</si>
  <si>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</si>
  <si>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</si>
  <si>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</si>
  <si>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</si>
  <si>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</si>
  <si>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</si>
  <si>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</si>
  <si>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</si>
  <si>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</si>
  <si>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</si>
  <si>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</si>
  <si>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</si>
  <si>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</si>
  <si>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</si>
  <si>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</si>
  <si>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</si>
  <si>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</si>
  <si>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</si>
  <si>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</si>
  <si>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</si>
  <si>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</si>
  <si>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</si>
  <si>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</si>
  <si>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</si>
  <si>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</si>
  <si>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</si>
  <si>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</si>
  <si>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</si>
  <si>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</si>
  <si>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</si>
  <si>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</si>
  <si>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</si>
  <si>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</si>
  <si>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</si>
  <si>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</si>
  <si>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</si>
  <si>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</si>
  <si>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</si>
  <si>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</si>
  <si>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</si>
  <si>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</si>
  <si>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</si>
  <si>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</si>
  <si>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</si>
  <si>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</si>
  <si>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</si>
  <si>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</si>
  <si>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</si>
  <si>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</si>
  <si>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</si>
  <si>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</si>
  <si>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</si>
  <si>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</si>
  <si>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</si>
  <si>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</si>
  <si>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</si>
  <si>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</si>
  <si>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</si>
  <si>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</si>
  <si>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</si>
  <si>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</si>
  <si>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</si>
  <si>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</si>
  <si>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</si>
  <si>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</si>
  <si>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</si>
  <si>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</si>
  <si>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</si>
  <si>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</si>
  <si>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</si>
  <si>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</si>
  <si>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</si>
  <si>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</si>
  <si>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</si>
  <si>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</si>
  <si>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</si>
  <si>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</si>
  <si>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</si>
  <si>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</si>
  <si>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</si>
  <si>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</si>
  <si>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</si>
  <si>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</si>
  <si>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</si>
  <si>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</si>
  <si>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</si>
  <si>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</si>
  <si>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</si>
  <si>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</si>
  <si>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</si>
  <si>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</si>
  <si>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</si>
  <si>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</si>
  <si>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</si>
  <si>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</si>
  <si>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</si>
  <si>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</si>
  <si>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</si>
  <si>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</si>
  <si>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</si>
  <si>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</si>
  <si>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</si>
  <si>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</si>
  <si>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</si>
  <si>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</si>
  <si>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</si>
  <si>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</si>
  <si>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</si>
  <si>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</si>
  <si>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</si>
  <si>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</si>
  <si>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</si>
  <si>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</si>
  <si>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</si>
  <si>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</si>
  <si>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</si>
  <si>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</si>
  <si>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</si>
  <si>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</si>
  <si>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</si>
  <si>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</si>
  <si>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</si>
  <si>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</si>
  <si>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</si>
  <si>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</si>
  <si>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</si>
  <si>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</si>
  <si>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</si>
  <si>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</si>
  <si>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</si>
  <si>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</si>
  <si>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</si>
  <si>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</si>
  <si>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</si>
  <si>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</si>
  <si>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</si>
  <si>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</si>
  <si>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</si>
  <si>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</si>
  <si>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</si>
  <si>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</si>
  <si>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</si>
  <si>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</si>
  <si>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</si>
  <si>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</si>
  <si>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</si>
  <si>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</si>
  <si>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</si>
  <si>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</si>
  <si>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</si>
  <si>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</si>
  <si>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</si>
  <si>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</si>
  <si>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</si>
  <si>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</si>
  <si>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</si>
  <si>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</si>
  <si>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</si>
  <si>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</si>
  <si>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</si>
  <si>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</si>
  <si>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</si>
  <si>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</si>
  <si>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</si>
  <si>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</si>
  <si>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</si>
  <si>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</si>
  <si>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</si>
  <si>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</si>
  <si>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</si>
  <si>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</si>
  <si>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</si>
  <si>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</si>
  <si>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</si>
  <si>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</si>
  <si>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</si>
  <si>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</si>
  <si>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</si>
  <si>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</si>
  <si>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</si>
  <si>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</si>
  <si>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</si>
  <si>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</si>
  <si>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</si>
  <si>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</si>
  <si>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</si>
  <si>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</si>
  <si>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</si>
  <si>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</si>
  <si>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</si>
  <si>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</si>
  <si>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</si>
  <si>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</si>
  <si>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</si>
  <si>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</si>
  <si>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</si>
  <si>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</si>
  <si>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</si>
  <si>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</si>
  <si>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</si>
  <si>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</si>
  <si>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</si>
  <si>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</si>
  <si>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</si>
  <si>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</si>
  <si>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</si>
  <si>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</si>
  <si>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</si>
  <si>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</si>
  <si>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</si>
  <si>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</si>
  <si>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</si>
  <si>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</si>
  <si>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</si>
  <si>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</si>
  <si>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</si>
  <si>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</si>
  <si>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</si>
  <si>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</si>
  <si>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</si>
  <si>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</si>
  <si>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</si>
  <si>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</si>
  <si>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</si>
  <si>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</si>
  <si>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</si>
  <si>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</si>
  <si>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</si>
  <si>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</si>
  <si>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</si>
  <si>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</si>
  <si>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</si>
  <si>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</si>
  <si>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</si>
  <si>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</si>
  <si>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</si>
  <si>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</si>
  <si>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</si>
  <si>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</si>
  <si>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</si>
  <si>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</si>
  <si>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</si>
  <si>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</si>
  <si>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</si>
  <si>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</si>
  <si>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</si>
  <si>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</si>
  <si>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</si>
  <si>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</si>
  <si>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</si>
  <si>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</si>
  <si>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</si>
  <si>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</si>
  <si>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</si>
  <si>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</si>
  <si>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</si>
  <si>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</si>
  <si>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</si>
  <si>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</si>
  <si>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</si>
  <si>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</si>
  <si>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</si>
  <si>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</si>
  <si>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</si>
  <si>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</si>
  <si>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</si>
  <si>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</si>
  <si>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</si>
  <si>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</si>
  <si>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</si>
  <si>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</si>
  <si>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</si>
  <si>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</si>
  <si>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</si>
  <si>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</si>
  <si>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</si>
  <si>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</si>
  <si>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NV48-HUBS-1000, NV48-HUBS-1001, NV48-HUBS-1002, NV48-HUBS-1021, NV48-HUBS-3000, NV48-HUBS-3028</t>
  </si>
  <si>
    <t>MMHUB:SOC - SOC-15 SDP Interfaces</t>
  </si>
  <si>
    <t>Trevor</t>
  </si>
  <si>
    <t>MMHUB</t>
  </si>
  <si>
    <t> MMHUB FB Aperture Address Boundary</t>
  </si>
  <si>
    <t>mhub001.1</t>
  </si>
  <si>
    <t>Tserver</t>
  </si>
  <si>
    <t>-novm</t>
  </si>
  <si>
    <t>MMHUB AGP Aperture Address Boundary</t>
  </si>
  <si>
    <t>mhub001.2</t>
  </si>
  <si>
    <t>NV48-HUBS-1000, NV48-HUBS-1001, NV48-HUBS-1002, NV48-HUBS-1021, NV48-HUBS-3000</t>
  </si>
  <si>
    <t> MMHUB FB Aperture Address Range</t>
  </si>
  <si>
    <t>mhub001.3</t>
  </si>
  <si>
    <t>MMHUB AGP Aperture Address Range</t>
  </si>
  <si>
    <t>mhub001.4</t>
  </si>
  <si>
    <t>MMHUB System Aperture Address Boundary</t>
  </si>
  <si>
    <t>mhub001.5</t>
  </si>
  <si>
    <t>MMHUB System Aperture Address Range</t>
  </si>
  <si>
    <t>mhub001.6</t>
  </si>
  <si>
    <t>MMHUB Unmapped System Memory</t>
  </si>
  <si>
    <t>mhub001.7</t>
  </si>
  <si>
    <t>MMHUB System Aperture Access Mode</t>
  </si>
  <si>
    <t>mhub001.9</t>
  </si>
  <si>
    <t>-vm</t>
  </si>
  <si>
    <t>NV48-HUBS-1000, NV48-HUBS-1001, NV48-HUBS-1002, NV48-HUBS-1021, NV48-HUBS-1038, NV48-HUBS-3001</t>
  </si>
  <si>
    <t>MMHUB Independent VM Context Aperture Address Range/Boundary</t>
  </si>
  <si>
    <t>mhub002.1-15</t>
  </si>
  <si>
    <t>TNG</t>
  </si>
  <si>
    <t>mhub002.16</t>
  </si>
  <si>
    <t>8d0cc7a1d6</t>
  </si>
  <si>
    <t>NV48-HUBS-1000, NV48-HUBS-1001, NV48-HUBS-1002, NV48-HUBS-1021</t>
  </si>
  <si>
    <t>MMHUB Concurrent Access to Multiple Apertures</t>
  </si>
  <si>
    <t>mhub002.17</t>
  </si>
  <si>
    <t>Access to a VM FB region mapped to the 1st 16MB of FB</t>
  </si>
  <si>
    <t>mhub002.18</t>
  </si>
  <si>
    <t>No test variation 18</t>
  </si>
  <si>
    <t>Zi Harn</t>
  </si>
  <si>
    <t>VM Non-ADM Mode</t>
  </si>
  <si>
    <t>mhub003</t>
  </si>
  <si>
    <t>-vm -UseSdmaPio</t>
  </si>
  <si>
    <t>NV48-HUBS-1045</t>
  </si>
  <si>
    <t>MMHUB:MMUTCL2:VML2 - PDE Attributes</t>
  </si>
  <si>
    <t>MMHUB PDE C attribute</t>
  </si>
  <si>
    <t>mhub005</t>
  </si>
  <si>
    <t>-vm -tcoreptloc=1</t>
  </si>
  <si>
    <t>[error][GMC] Access 2: checkBuf does not contain the expected data!_x000D_
[error][GMC] Access 2: checkBuf does not contain the expected data!</t>
  </si>
  <si>
    <t>NV48-HUBS-1046</t>
  </si>
  <si>
    <t>MMHUB:MMUTCL2:VML2 - PTE Attributes</t>
  </si>
  <si>
    <t>MMHUB PTE SVT Address Space attributes - VM FB Page Access</t>
  </si>
  <si>
    <t>PTE C attribute</t>
  </si>
  <si>
    <t>mhub007.4</t>
  </si>
  <si>
    <t>Chengchun</t>
  </si>
  <si>
    <t>MMHUB PTE WR Permission attributes</t>
  </si>
  <si>
    <t>NV48-HUBS-1044, NV48-HUBS-1045</t>
  </si>
  <si>
    <t>MMHUB:MMUTCL2:VML2 - Page Table Levels</t>
  </si>
  <si>
    <t>MMHUB PDE "P"te attribute</t>
  </si>
  <si>
    <t>MHUB010.002
TCoreAssert FAIL : 0_x000D_
  in TCoreNavi48::GPUResource* TCoreNavi48::GPUPageTable::LookUpResList(bool, TC_uint64) at /home/jtellian/branches/navi48/external/amd/lib/gfx12/tcore2/tcore2/src/lib/ip/mc/GPUPageTable.cpp:1134</t>
  </si>
  <si>
    <t>NV48-HUBS-1044, NV48-HUBS-1046, NV48-HUBS-1050</t>
  </si>
  <si>
    <t>Zhongli</t>
  </si>
  <si>
    <t>MMHUB PTE Translate "F"urther attribute</t>
  </si>
  <si>
    <t>mhub011.1</t>
  </si>
  <si>
    <t>MMHUB PTE Translate "F"urther attribute in active page migration mode for NonRT BigK cache</t>
  </si>
  <si>
    <t>mhub011.2</t>
  </si>
  <si>
    <t>-vm -tc_BigkCacheFragSize=4</t>
  </si>
  <si>
    <t>MMHUB PTE Translate "F"urther attribute in active page migration mode for SoftRT BigK cache</t>
  </si>
  <si>
    <t>mhub011.3</t>
  </si>
  <si>
    <t>MMHUB PTE Translate "F"urther attribute in active page migration mode for NonRT SmallK cache</t>
  </si>
  <si>
    <t>mhub011.4</t>
  </si>
  <si>
    <t>-vm -tc_SmallkCacheFragSize=4</t>
  </si>
  <si>
    <t>MMHUB PTE Translate "F"urther attribute in active page migration mode for SoftRT SmallK cache</t>
  </si>
  <si>
    <t>mhub011.5</t>
  </si>
  <si>
    <t>NV48-HUBS-1046, NV48-HUBS-1049, NV48-HUBS-1051</t>
  </si>
  <si>
    <t>MMHUB VM Page Table Block &amp; Fragment Sizes</t>
  </si>
  <si>
    <t>mhub012</t>
  </si>
  <si>
    <t>NV48-HUBS-1046, NV48-HUBS-1063</t>
  </si>
  <si>
    <t>MMHUB VMC_TAP_PDE/PTE_REQUEST PHYSICAL</t>
  </si>
  <si>
    <t>mhub013.1</t>
  </si>
  <si>
    <t>mhub013.2</t>
  </si>
  <si>
    <t>MMHUB Heterogeneous PTE/PDE in the same Cache Line</t>
  </si>
  <si>
    <t>GFXHUB</t>
  </si>
  <si>
    <t>SDMA 0 Queue Entry Reuse</t>
  </si>
  <si>
    <t>SDMA 0 Queue Prefetch/Unordered AT Completion</t>
  </si>
  <si>
    <t>mhub016.5-8</t>
  </si>
  <si>
    <t>Feature and rd/wr pointers of Reorder FIFO from sdma*_utcl1_rd/wr_xnack1.xnack_vector field no longer exist.</t>
  </si>
  <si>
    <t>NV48-HUBS-2034</t>
  </si>
  <si>
    <t>GFXHUB:GCUTCL2:VML2 - GPUVM fault with retry/Xnack interface</t>
  </si>
  <si>
    <t>SDMA 0 XNACK=1</t>
  </si>
  <si>
    <t>The proper XNACK value for Page Retry is not set!</t>
  </si>
  <si>
    <t>SDMA 0 XNACK=2;PRT page</t>
  </si>
  <si>
    <t>SDMA 0 XNACK=3;Page Fault - Context Switch</t>
  </si>
  <si>
    <t>NV48-HUBS-1014, NV48-HUBS-1022</t>
  </si>
  <si>
    <t>MMHUB:UTCL1 - TLBs</t>
  </si>
  <si>
    <t>Sukaina</t>
  </si>
  <si>
    <t>VM L1 Read/Write TLB Hits/Misses</t>
  </si>
  <si>
    <t>• Refer to TP section 4.3.3.2 UTCL1
• Refer to TP section 4.3.3.4 AXI4 client interface (considered as part of MMUTCL1 and MMUTCL2)
• Note the removal of SEM from HW, thus tests will no longer suppport SEM, and should switch to L_SDMA in most cases. 
• MMHUB L1 tests will be impacted more due to the client switch.
• Multiple legacy MMHUB L1 tests will need to be reviewed/updated (not limited to this row) to accommodate TLB size changes, L1 hit/miss, L1 eviction, XNACK, attributes, fragment processing, invalidation. New tests may be necessary for some cases.
• FB_GPA might be for FFBM only (not POR)</t>
  </si>
  <si>
    <t>VM L1 Read/Write TLB Eviction</t>
  </si>
  <si>
    <t>VM L1 Fragment Processing</t>
  </si>
  <si>
    <t>mhub030.1-3</t>
  </si>
  <si>
    <t>NV48-HUBS-1026, NV48-HUBS-1044 </t>
  </si>
  <si>
    <t>MMHUB:MMUTCL2:VML2 - Caches</t>
  </si>
  <si>
    <t>MMHUB VM L2 Cache Hits/Misses(PDE all-levels, PTE Bigk/4K/Reserer4K)</t>
  </si>
  <si>
    <t>mhub031.1</t>
  </si>
  <si>
    <t>•  Refer to TP section 4.3.3.3 UTCL2
•  HDP VM will be cover by other dedicated tests
• Review legacy L2 tests (not lmited to this row), and ensure they are updated to work with the cache size changes, library changes, etc.</t>
  </si>
  <si>
    <t>NV48-HUBS-1026, NV48-HUBS-1044</t>
  </si>
  <si>
    <t>mhub031.3-5</t>
  </si>
  <si>
    <t xml:space="preserve">NV48-HUBS-1026, NV48-HUBS-1044 </t>
  </si>
  <si>
    <t>mhub031.2</t>
  </si>
  <si>
    <t>-vm -tc_BigkCacheFragSize=4 -tc_SmallkCacheFragSize=0</t>
  </si>
  <si>
    <t>mhub031.6-9</t>
  </si>
  <si>
    <t>NV48-HUBS-1034</t>
  </si>
  <si>
    <t>MMHUB:MMUTCL2:VML2 - MMHUB Programmable SmallK</t>
  </si>
  <si>
    <t>PDE0 Cache Line (bigK=64K)</t>
  </si>
  <si>
    <t>mhub032.10</t>
  </si>
  <si>
    <t>-vm -tc_BigkCacheFragSize=1  -tc_SmallkCacheFragSize=4</t>
  </si>
  <si>
    <t>PTE Cache Line (smallK=8K)</t>
  </si>
  <si>
    <t>mhub032.11</t>
  </si>
  <si>
    <t>-vm -tc_BigkCacheFragSize=4  -tc_SmallkCacheFragSize=1 -tc_ulVidmemFragmentSize=2</t>
  </si>
  <si>
    <t>PDE0 Cache Line (smallK=8K)</t>
  </si>
  <si>
    <t>mhub032.12</t>
  </si>
  <si>
    <t>MMHUB VM L2 PTE BigK Cache Line</t>
  </si>
  <si>
    <t>mhub032.1</t>
  </si>
  <si>
    <t>-vm -tc_SmallkCacheFragSize=4 -tc_ulVidmemFragmentSize=2</t>
  </si>
  <si>
    <t>MMHUB VM L2 PDE0 BigK Cache Line</t>
  </si>
  <si>
    <t>mhub032.2</t>
  </si>
  <si>
    <t>PTE Cache Line (bigK=64K)</t>
  </si>
  <si>
    <t>mhub032.3</t>
  </si>
  <si>
    <t>-vm -tc_BigkCacheFragSize=4  -tc_SmallkCacheFragSize=1</t>
  </si>
  <si>
    <t>mhub032.4</t>
  </si>
  <si>
    <t>-vm -tc_BigkCacheFragSize=4 -tc_SmallkCacheFragSize=1</t>
  </si>
  <si>
    <t>PTE Cache Line (bigK=8K)</t>
  </si>
  <si>
    <t>mhub032.5</t>
  </si>
  <si>
    <t>-vm -tc_BigkCacheFragSize=1 -tc_SmallkCacheFragSize=4 -tc_ulVidmemFragmentSize=2</t>
  </si>
  <si>
    <t>mhub032.6</t>
  </si>
  <si>
    <t>MMHUB VM L2 PDE/PTE SmallK Cache Line</t>
  </si>
  <si>
    <t>mhub032.7-8</t>
  </si>
  <si>
    <t>-vm -tc_BigkCacheFragSize=4 (For var7 only, add -tc_ulVidmemFragmentSize=2)</t>
  </si>
  <si>
    <t>PTE Cache Line (smallK=64K)</t>
  </si>
  <si>
    <t>mhub032.9</t>
  </si>
  <si>
    <t>-vm -tc_BigkCacheFragSize=1 -tc_SmallkCacheFragSize=4</t>
  </si>
  <si>
    <t>NV48-HUBS-1026</t>
  </si>
  <si>
    <t>VM L2 PDE/PTE Cache Eviction</t>
  </si>
  <si>
    <t>NV48-HUBS-1034, NV48-HUBS-1056</t>
  </si>
  <si>
    <t>Small(4)K/BigK Cache Swap</t>
  </si>
  <si>
    <t>mhub034.1</t>
  </si>
  <si>
    <t>-vm -tc_SmallkCacheFragSize=0 -tc_BigkCacheFragSize=4</t>
  </si>
  <si>
    <t>mhub034.2</t>
  </si>
  <si>
    <t>-vm -tc_SmallkCacheFragSize=4 -tc_BigkCacheFragSize=0</t>
  </si>
  <si>
    <t>Small(8)K/BigK Cache Swap</t>
  </si>
  <si>
    <t>mhub034.3</t>
  </si>
  <si>
    <t>-vm -tc_SmallkCacheFragSize=1 -tc_BigkCacheFragSize=4</t>
  </si>
  <si>
    <t>mhub034.4</t>
  </si>
  <si>
    <t>-vm -tc_SmallkCacheFragSize=4 -tc_BigkCacheFragSize=1</t>
  </si>
  <si>
    <t>NV48-HUBS-1036</t>
  </si>
  <si>
    <t>MMHUB:MMUTCL2:VML2 - Range-based UTCL1 and VML1 invalidation</t>
  </si>
  <si>
    <t>MMHUB Per-VM Context Invalidations (normal)</t>
  </si>
  <si>
    <t>MMHUB VM PDE/PTE Only Invalidation (normal)</t>
  </si>
  <si>
    <t>mhub053.1</t>
  </si>
  <si>
    <t>NV48-HUBS-1042, NV48-HUBS-1043</t>
  </si>
  <si>
    <t>MMHUB:MMUTCL2:VML2 - Invalidate by Address Range and VMID aka "Sharpshooting"</t>
  </si>
  <si>
    <t>MMHUB VM L2 Address Range/Boundary Invalidation (normal)</t>
  </si>
  <si>
    <t>mhub054.1</t>
  </si>
  <si>
    <t>NV48-HUBS-1043</t>
  </si>
  <si>
    <t>MMHUB:MMUTCL2:VML2 - Lightweight/Heavyweight flush-type invalidation</t>
  </si>
  <si>
    <t>MMHUB VM L2 Legacy/Lightweight/Heavyweight/Heavyweight 2 Invalidation</t>
  </si>
  <si>
    <t>mhub054.5-8</t>
  </si>
  <si>
    <t>NV48-HUBS-1020, NV48-HUBS-1036, NV48-HUBS-1042</t>
  </si>
  <si>
    <t>MMHUB:UTCL1 - Support both GPUVM invalidate and ATC invalidate</t>
  </si>
  <si>
    <t xml:space="preserve">MMHUB L1 Range Invalidation </t>
  </si>
  <si>
    <t>mhub055</t>
  </si>
  <si>
    <t>See notes for mhub028</t>
  </si>
  <si>
    <t>NV48-HUBS-1037, NV48-HUBS-1042, NV48-HUBS-1043</t>
  </si>
  <si>
    <t>MMHUB:MMUTCL2:VML2 - Per invalidate engine registers</t>
  </si>
  <si>
    <t>MMHUB VM Invalidation Stress Test</t>
  </si>
  <si>
    <t>mhub057.6</t>
  </si>
  <si>
    <t>Chriz</t>
  </si>
  <si>
    <t>MMHUB Permission &amp; Invalid Fault: PTE WRX &amp; SVT Attribute</t>
  </si>
  <si>
    <t>NV48-HUBS-1026, NV48-HUBS-1045</t>
  </si>
  <si>
    <t>MMHUB Address/Walker Error: PDE V Attribute</t>
  </si>
  <si>
    <t>mhub082</t>
  </si>
  <si>
    <t>MMHUB Address/Walker Error: Dummy Page Fault</t>
  </si>
  <si>
    <t>mhub083</t>
  </si>
  <si>
    <t>MMHUB Address/Walker Error: VM/System Aperture Fault</t>
  </si>
  <si>
    <t>MMHUB Address/Walker Error: Page Table Setup Fault</t>
  </si>
  <si>
    <t>mhub085</t>
  </si>
  <si>
    <t>NV48-HUBS-1026, NV48-HUBS-1046</t>
  </si>
  <si>
    <t>MMHUB Mapping Error: PTE SVT Address Space</t>
  </si>
  <si>
    <t>MMHUB Retry on Faults</t>
  </si>
  <si>
    <t>mhub089</t>
  </si>
  <si>
    <t>MMHUB No Caching of VM/ATHUB Faulted Requests</t>
  </si>
  <si>
    <t>mhub093.1</t>
  </si>
  <si>
    <t>Multiple Faults</t>
  </si>
  <si>
    <t>mhub094</t>
  </si>
  <si>
    <t>NV48-HUBS-1038</t>
  </si>
  <si>
    <t>MMHUB:MMUTCL2:VML2 - Per VMID Context registers</t>
  </si>
  <si>
    <t>MMHUB Multiple Faults on Multiple VM Context</t>
  </si>
  <si>
    <t>mhub095</t>
  </si>
  <si>
    <t>NV48-HUBS-1035</t>
  </si>
  <si>
    <t>MMHUB:MMUTCL2:VML2 - CAM/filter to avoid duplicate table-walk reads</t>
  </si>
  <si>
    <t>PTW Fetch QoS enable</t>
  </si>
  <si>
    <t>mhub598.17</t>
  </si>
  <si>
    <t>PTW Fetch QoS disable</t>
  </si>
  <si>
    <t>mhub598.18</t>
  </si>
  <si>
    <t>NV48-HUBS-1047</t>
  </si>
  <si>
    <t>MMHUB:MMUTCL2:VML2 - PTE permissions returned</t>
  </si>
  <si>
    <t xml:space="preserve">PTE permissions returned - Read after write </t>
  </si>
  <si>
    <t>mhub141.1</t>
  </si>
  <si>
    <t>• The feature was "half" implemented in HW in NV2x, check to see if anything has changed for both MMHUB &amp; GFXHUB side.</t>
  </si>
  <si>
    <t xml:space="preserve">PTE permissions returned - Write after read </t>
  </si>
  <si>
    <t>mhub141.2</t>
  </si>
  <si>
    <t>NV48-HUBS-1039</t>
  </si>
  <si>
    <t>MMHUB:MMUTCL2:VML2 - Register bits that enable software to control hit/miss behaviour on invalid ptes in cache</t>
  </si>
  <si>
    <t xml:space="preserve">MMHUB Invalid PTEs in Cache Behaviour </t>
  </si>
  <si>
    <t>mhub145.1-2</t>
  </si>
  <si>
    <t>LSDMA_QUEUE0:WaitForIdle timeout!</t>
  </si>
  <si>
    <t>NV48-HUBS-1040</t>
  </si>
  <si>
    <t>MMHUB:MMUTCL2:VML2 - Register bits that enable software to control hit/miss behaviour on permission mismatch in cache</t>
  </si>
  <si>
    <t xml:space="preserve">MMHUB Valid PTE with Permission Mismatch in Cache </t>
  </si>
  <si>
    <t>mhub146.1-2</t>
  </si>
  <si>
    <t xml:space="preserve"> GFXHUB FB Aperture Address Boundary</t>
  </si>
  <si>
    <t>mhub201.1</t>
  </si>
  <si>
    <t>-novm -UseCpDirReg=1</t>
  </si>
  <si>
    <t xml:space="preserve"> GFXHUB AGP Aperture Address Boundary</t>
  </si>
  <si>
    <t>mhub201.2</t>
  </si>
  <si>
    <t>GFXHUB FB Aperture Address Range</t>
  </si>
  <si>
    <t>mhub201.3</t>
  </si>
  <si>
    <t>GFXHUB AGP Aperture Address Range</t>
  </si>
  <si>
    <t>mhub201.4</t>
  </si>
  <si>
    <t>GFXHUB System Aperture Address Boundary</t>
  </si>
  <si>
    <t>mhub201.5</t>
  </si>
  <si>
    <t>GFXHUB System Aperture Address Range</t>
  </si>
  <si>
    <t>mhub201.6</t>
  </si>
  <si>
    <t>GFXHUB Unmapped System Memory</t>
  </si>
  <si>
    <t>mhub201.7</t>
  </si>
  <si>
    <t>GFXHUB System Aperture Access Mode</t>
  </si>
  <si>
    <t>mhub201.9</t>
  </si>
  <si>
    <t>-vm -UseCpDirReg=1</t>
  </si>
  <si>
    <t>NV48-HUBS-2005</t>
  </si>
  <si>
    <t>GFXHUB MARC Aperture</t>
  </si>
  <si>
    <t>mhub201.11</t>
  </si>
  <si>
    <t>-vm  -tc_DisableIommuHostTranslation=0</t>
  </si>
  <si>
    <t xml:space="preserve">• Refer to TP section 4.3.2.2 MARC for Secure P2P
• Need to take the expansion to 16 apertures into account, VF/SRIOV isn't POR
SRIOV + Cloud gaming ONLY. NV32 Item
</t>
  </si>
  <si>
    <t>GFXHUB all MARC Apertures</t>
  </si>
  <si>
    <t>mhub201.12</t>
  </si>
  <si>
    <t>-vm  -tc_DisableIommuHostTranslation=0</t>
  </si>
  <si>
    <t>SRIOV + Cloud gaming ONLY. NV32 Item</t>
  </si>
  <si>
    <t>NV48-HUBS-2008</t>
  </si>
  <si>
    <t>GFXHUB:GCUTCL2:VML2 - Caches</t>
  </si>
  <si>
    <t>GFXHUB Independent VM Context Aperture Address Range/Boundary</t>
  </si>
  <si>
    <t>mhub202.1-15</t>
  </si>
  <si>
    <t>mhub202.16</t>
  </si>
  <si>
    <t>GFXHUB Concurrent Access to Multiple Apertures</t>
  </si>
  <si>
    <t>mhub202.17</t>
  </si>
  <si>
    <t>NV48-HUBS-2029</t>
  </si>
  <si>
    <t>GFXHUB:GCUTCL2:VML2 - PDE Attributes</t>
  </si>
  <si>
    <t xml:space="preserve"> GFXHUB PDE C attribute</t>
  </si>
  <si>
    <t>mhub205</t>
  </si>
  <si>
    <t>NV48-HUBS-2030</t>
  </si>
  <si>
    <r>
      <t>GFXHUB:GCUTCL2:VML2 -</t>
    </r>
    <r>
      <rPr>
        <b/>
        <sz val="11"/>
        <color theme="1"/>
        <rFont val="Calibri"/>
        <family val="2"/>
        <scheme val="minor"/>
      </rPr>
      <t xml:space="preserve"> </t>
    </r>
    <r>
      <rPr>
        <sz val="11"/>
        <color theme="1"/>
        <rFont val="Calibri"/>
        <family val="2"/>
        <scheme val="minor"/>
      </rPr>
      <t>PTE Attributes</t>
    </r>
  </si>
  <si>
    <t>GFXHUB PTE SVT Address Space attributes - VM FB Page Access</t>
  </si>
  <si>
    <t>GFXHUB PTE C Attribute</t>
  </si>
  <si>
    <t>mhub207.2</t>
  </si>
  <si>
    <t>GFXHUB PTE WRX Permission attributes</t>
  </si>
  <si>
    <t>NV48-HUBS-2030, NV48-HUBS-2043</t>
  </si>
  <si>
    <t>mhub208.3</t>
  </si>
  <si>
    <t>-vm -q</t>
  </si>
  <si>
    <t>NV48-HUBS-2022, NV48-HUBS-2038, NV48-HUBS-1041</t>
  </si>
  <si>
    <t>GFXHUB:GCUTCL2:VML2 - Register bits that enable software to control hit/miss behaviour on page migration(R=W=0) in cache</t>
  </si>
  <si>
    <t>GFXHUB SDMA Page Migration Read-Only</t>
  </si>
  <si>
    <t>mhub209.3</t>
  </si>
  <si>
    <t>GFXHUB SDMA Page Migration Read-Write-Retry</t>
  </si>
  <si>
    <t>mhub209.4</t>
  </si>
  <si>
    <t>GFXHUB SDMA Per PTE Page Migration Read-Only</t>
  </si>
  <si>
    <t>mhub209.5</t>
  </si>
  <si>
    <t>GFXHUB SDMA Per PTE Page Migration Read-Write-Retry</t>
  </si>
  <si>
    <t>mhub209.6</t>
  </si>
  <si>
    <t>NV48-HUBS-2028, NV48-HUBS-2029</t>
  </si>
  <si>
    <t>GFXHUB:GCUTCL2:VML2 - Page Tables Levels</t>
  </si>
  <si>
    <t>GFXHUB PDE "P"te attribute</t>
  </si>
  <si>
    <t>mhub210.1-2</t>
  </si>
  <si>
    <t>NV48-HUBS-2028,  NV48-HUBS-2029, NV48-HUBS-2030, NV48-HUBS-2033</t>
  </si>
  <si>
    <t>GFXHUB PTE Translate "F"urther attribute</t>
  </si>
  <si>
    <t>mhub211.1</t>
  </si>
  <si>
    <t>NV48-HUBS-2028, NV48-HUBS-2033</t>
  </si>
  <si>
    <t>GFXHUB PTE Translate "F"urther attribute in active page migration mode for BigK cache</t>
  </si>
  <si>
    <t>mhub211.2</t>
  </si>
  <si>
    <t xml:space="preserve"> </t>
  </si>
  <si>
    <t>GFXHUB PTE Translate "F"urther attribute in active page migration mode for SmallK cache</t>
  </si>
  <si>
    <t>mhub211.4</t>
  </si>
  <si>
    <t>NV48-HUBS-2028, NV48-HUBS-2035</t>
  </si>
  <si>
    <t>GFXHUB VM Page Table Block &amp; Fragment Sizes</t>
  </si>
  <si>
    <t>mhub212</t>
  </si>
  <si>
    <t>GFXHUB VMC_TAP_PDE/PTE_REQUEST PHYSICAL</t>
  </si>
  <si>
    <t>mhub213.1</t>
  </si>
  <si>
    <t>mhub213.2</t>
  </si>
  <si>
    <t>-vm -tcoreptloc=1 -pm4rb=system</t>
  </si>
  <si>
    <t>GFXHUB Heterogeneous PTE/PDE in the same Cache Line</t>
  </si>
  <si>
    <t>mhub214.1-2</t>
  </si>
  <si>
    <t>UTC L1 TLB Hits/Misses - VM FB</t>
  </si>
  <si>
    <t>mhub215.3-4</t>
  </si>
  <si>
    <t>-vm -pm4rb=fb</t>
  </si>
  <si>
    <t>UTC L1 XNACK=1</t>
  </si>
  <si>
    <t>mhub218</t>
  </si>
  <si>
    <t>UTC L1 XNACK=2</t>
  </si>
  <si>
    <t>mhub219</t>
  </si>
  <si>
    <t>UTC L1 XNACK=3</t>
  </si>
  <si>
    <t>mhub220</t>
  </si>
  <si>
    <t>GFXHUB VM L2 Cache Hits/Misses(PDE all-levels, PTE Bigk/4K/Reserer4K)</t>
  </si>
  <si>
    <t>mhub231.6-9</t>
  </si>
  <si>
    <t>Similar to MMHUB UTCL2 delta notes. Please take the cache size update, library updates into account when enabling the tests.</t>
  </si>
  <si>
    <t xml:space="preserve">NV48-HUBS-2008, NV48-HUBS-2023 </t>
  </si>
  <si>
    <t>GFXHUB VM L2 PDE/PTE Cache Line</t>
  </si>
  <si>
    <t>mhub232.1</t>
  </si>
  <si>
    <t>-vm -UseCpDirReg -pm4rb=fb -tc_SmallkCacheFragSize=4 -tc_ulVidmemFragmentSize=2</t>
  </si>
  <si>
    <t>PDE0 Cache Line (smallK=64K)</t>
  </si>
  <si>
    <t>mhub232.10</t>
  </si>
  <si>
    <t>-vm -tc_SmallkCacheFragSize=4 -pm4rb=fb -UseSdma -tc_BigkCacheFragSize=1</t>
  </si>
  <si>
    <t>mhub232.11</t>
  </si>
  <si>
    <t>-vm -tc_SmallkCacheFragSize=1 -tc_BigkCacheFragSize=4 -tc_ulVidmemFragmentSize=2 -pm4rb=fb -UseSdma</t>
  </si>
  <si>
    <t>mhub232.12</t>
  </si>
  <si>
    <t>mhub232.2</t>
  </si>
  <si>
    <t>-vm -pm4rb=fb -tc_SmallkCacheFragSize=4 -UseCpDirReg -CpDirRegVm</t>
  </si>
  <si>
    <t>mhub232.3</t>
  </si>
  <si>
    <t>-vm -tc_BigkCacheFragSize=4 -pm4rb=fb -tc_SmallkCacheFragSize=1</t>
  </si>
  <si>
    <t>mhub232.4</t>
  </si>
  <si>
    <t>-vm -tc_BlockFragmentSize=4 -pm4rb=fb  -tc_BigkCacheFragSize=4 -tc_SmallkCacheFragSize=1 -CpDirRegVm -UseCpDirReg</t>
  </si>
  <si>
    <t>mhub232.5</t>
  </si>
  <si>
    <t>-vm -tc_BlockFragmentSize=1 -tc_ulVidmemFragmentSize=2 -pm4rb=fb -tc_BigkCacheFragSize=1 -tc_SmallkCacheFragSize=4 -UseSdma</t>
  </si>
  <si>
    <t>mhub232.6</t>
  </si>
  <si>
    <t>-vm -tc_BlockFragmentSize=1 -tc_ulVidmemFragmentSize=2 -pm4rb=fb -tc_BigkCacheFragSize=1 -tc_SmallkCacheFragSize=4 -CpDirRegVm -UseCpDirReg</t>
  </si>
  <si>
    <t>mhub232.7</t>
  </si>
  <si>
    <t>-vm -UseCpDirReg -pm4rb=fb -tc_BigkCacheFragSize=4 -CpDirRegVm -tc_ulVidmemFragmentSize=2</t>
  </si>
  <si>
    <t>mhub232.8</t>
  </si>
  <si>
    <t>-vm -pm4rb=fb -tc_BigkCacheFragSize=4 -CpDirRegVm</t>
  </si>
  <si>
    <t>mhub232.9</t>
  </si>
  <si>
    <t>NV48-HUBS-2023, NV48-HUBS-2040</t>
  </si>
  <si>
    <t>GFXHUB:GCUTCL2:VML2 - Programmable “smallK” size</t>
  </si>
  <si>
    <t>mhub234.1</t>
  </si>
  <si>
    <t>-vm -tc_BigkCacheFragSize=4 -pm4rb=fb</t>
  </si>
  <si>
    <t>mhub234.2</t>
  </si>
  <si>
    <t>-vm -tc_SmallkCacheFragSize=4 -pm4rb=fb</t>
  </si>
  <si>
    <t>mhub234.3</t>
  </si>
  <si>
    <t>-vm -tc_SmallkCacheFragSize=1 -tc_BigkCacheFragSize=4 -pm4rb=fb</t>
  </si>
  <si>
    <t>mhub234.4</t>
  </si>
  <si>
    <t>-vm -tc_SmallkCacheFragSize=4 -tc_BigkCacheFragSize=1 -pm4rb=fb</t>
  </si>
  <si>
    <t>NV48-HUBS-2012</t>
  </si>
  <si>
    <t>GFXHUB:GCUTCL2:VML2 - Translation bypass by VMID</t>
  </si>
  <si>
    <t>GFXHUB Translation Bypass by VMID</t>
  </si>
  <si>
    <t>mhub246.1-8</t>
  </si>
  <si>
    <t>SCBU only feature</t>
  </si>
  <si>
    <t>NV48-HUBS-2074,NV48-HUBS-2026, NV48-HUBS-2027,NV48-HUBS-2074,NV48-HUBS-2073</t>
  </si>
  <si>
    <t>GFXHUB:GCUTCL2:VML2 - Invalidate by Address Range and VMID aka "Sharpshooting"</t>
  </si>
  <si>
    <t>GFXHUB Per-VM Context Invalidations (normal)</t>
  </si>
  <si>
    <t>mhub252.1</t>
  </si>
  <si>
    <t>diag_gpu_main@16b02e8fc0ef</t>
  </si>
  <si>
    <t>NV48-HUBS-2074,NV48-HUBS-2026, NV48-HUBS-2027,NV48-HUBS-2073</t>
  </si>
  <si>
    <t>GFXHUB VM PDE/PTE Only Invalidation (normal)</t>
  </si>
  <si>
    <t>mhub253.1</t>
  </si>
  <si>
    <t>NV48-HUBS-2015, NV48-HUBS-2026, NV48-HUBS-2027</t>
  </si>
  <si>
    <t>GFXHUB:GCUTCL2:VML2 - Range-based UTCL1 and VML1 invalidation</t>
  </si>
  <si>
    <t>GFXHUB VM L2 Address Range/Boundary Invalidation (normal)</t>
  </si>
  <si>
    <t>NV48-HUBS-2015, NV48-HUBS-2027</t>
  </si>
  <si>
    <t xml:space="preserve">GFXHUB UTC L0/L1 Range Invalidation </t>
  </si>
  <si>
    <t>mhub255.1-2</t>
  </si>
  <si>
    <t>GFXHUB VM Invalidation Stress Test</t>
  </si>
  <si>
    <t>mhub257.6</t>
  </si>
  <si>
    <t>Cannot use ZFB</t>
  </si>
  <si>
    <t>NV48-HUBS-2030, NV48-HUBS-2034</t>
  </si>
  <si>
    <t>GFXHUB Permission &amp; Invalid Fault: PTE WRX &amp; SVT Attribute</t>
  </si>
  <si>
    <t>NV48-HUBS-2029, NV48-HUBS-2034</t>
  </si>
  <si>
    <t>GFXHUB Address/Walker Error: PDE V Attribute</t>
  </si>
  <si>
    <t>mhub282</t>
  </si>
  <si>
    <t>GFXHUB Address/Walker Error: Dummy Page Fault</t>
  </si>
  <si>
    <t>mhub283</t>
  </si>
  <si>
    <t>GFXHUB Address/Walker Error: VM/System Aperture Fault</t>
  </si>
  <si>
    <t>GFXHUB Address/Walker Error: Page Table Setup Fault</t>
  </si>
  <si>
    <t>mhub285</t>
  </si>
  <si>
    <t>GFXHUB Mapping Error: PTE SVT Address Space</t>
  </si>
  <si>
    <t>GFXHUB PRT Fault</t>
  </si>
  <si>
    <t>mhub287</t>
  </si>
  <si>
    <t>GFXHUB Retry on Faults</t>
  </si>
  <si>
    <t>mhub289</t>
  </si>
  <si>
    <t>GFXHUB No Caching of VM/ATHUB Faulted Requests</t>
  </si>
  <si>
    <t>mhub293.1</t>
  </si>
  <si>
    <t>GFXHUB Multiple Faults Test</t>
  </si>
  <si>
    <t>mhub294.1</t>
  </si>
  <si>
    <t>GFXHUB Multiple Faults on Multiple VM Context</t>
  </si>
  <si>
    <t>mhub295</t>
  </si>
  <si>
    <t>NV48-HUBS-2052</t>
  </si>
  <si>
    <t>GFXHUB:GCUTCL2:VML2 - Page Size Optimization</t>
  </si>
  <si>
    <t>GFXHUB UTCL2 Page Size Calculation - gpa_nat/gpa_frag/spa_nat(4K/64k/1M)</t>
  </si>
  <si>
    <t>mhub248.1</t>
  </si>
  <si>
    <t>-vm -atc -tc_ulSysmemFragmentSize=4 -tc_LogHostPageSize=20 -CpDirRegVm</t>
  </si>
  <si>
    <t>GFXHUB UTCL2 Page Size Calculation - gpa_nat/gpa_frag/spa_nat(32K/64k/1M)</t>
  </si>
  <si>
    <t>mhub248.2</t>
  </si>
  <si>
    <t>GFXHUB UTCL2 Page Size Calculation - gpa_nat/gpa_frag/spa_nat(2M/64k/1M)</t>
  </si>
  <si>
    <t>mhub248.3</t>
  </si>
  <si>
    <t>-vm -atc -tc_ulSysmemFragmentSize=9 -tc_LogHostPageSize=20 -CpDirRegVm</t>
  </si>
  <si>
    <t>NV48-HUBS-2013</t>
  </si>
  <si>
    <t>GFXHUB:GCUTCL2:VML2 - CAM/filter to avoid duplicate table-walk reads</t>
  </si>
  <si>
    <t>mhub340.1</t>
  </si>
  <si>
    <t>mhub340.2</t>
  </si>
  <si>
    <t>NV48-HUBS-2031</t>
  </si>
  <si>
    <t>GFXHUB:GCUTCL2:VML2 - PTE permissions returned</t>
  </si>
  <si>
    <t>mhub341.1</t>
  </si>
  <si>
    <t>Refer to notes for mhub141</t>
  </si>
  <si>
    <t>mhub341.2</t>
  </si>
  <si>
    <t>NV48-HUBS-2014</t>
  </si>
  <si>
    <t>GFXHUB:GCUTCL2:VML2 - GPA Mode</t>
  </si>
  <si>
    <t>UTC L2 GPA Translation - GPA=1 &amp; 2</t>
  </si>
  <si>
    <t>UTC L2 GPA Translation - GPA=3</t>
  </si>
  <si>
    <t>mhub344.3</t>
  </si>
  <si>
    <t>NV48-HUBS-2020</t>
  </si>
  <si>
    <t>GFXHUB:GCUTCL2:VML2 - Register bits that enable software to control hit/miss behaviour on invalid ptes in cache</t>
  </si>
  <si>
    <t xml:space="preserve">GFXHUB Invalid PTEs in Cache Behaviour </t>
  </si>
  <si>
    <t>mhub345.1-2</t>
  </si>
  <si>
    <t>NV48-HUBS-2021</t>
  </si>
  <si>
    <t>GFXHUB:GCUTCL2:VML2 - Register bits that enable software to control hit/miss behaviour on permission mismatch in cache</t>
  </si>
  <si>
    <t xml:space="preserve">GFXHUB Valid PTE with Permission Mismatch in Cache </t>
  </si>
  <si>
    <t>mhub346.1-2</t>
  </si>
  <si>
    <t>NV48-HUBS-2037</t>
  </si>
  <si>
    <t>GFXHUB:GCUTCL2:VML2 - L bit in PTE</t>
  </si>
  <si>
    <t>NV48-HUBS-3007</t>
  </si>
  <si>
    <t>ATHUB:RPB - Supports write grouping (de-interleave ea write stream)
formerly:RPB to reassemble writes (Total GCEA/MMEA/DCE)</t>
  </si>
  <si>
    <t>MMHUB ATHUB Address Translation</t>
  </si>
  <si>
    <t>mhub401.34-35</t>
  </si>
  <si>
    <t>-vm -tc_DisableIommuHostTranslation=0 -tc_EnableNonIdentityMapping  -gpu_copyengine=tcore -nohws</t>
  </si>
  <si>
    <t>• Refer to TP section 4.3.4.1 RPB:  Write re-assemble
• Performance counters may need update due to the removal of MMHUB EA, might need to check the DAGB counters instead.</t>
  </si>
  <si>
    <t>GFXHUB ATHUB Address Translation</t>
  </si>
  <si>
    <t>mhub402.34</t>
  </si>
  <si>
    <t>Radhika</t>
  </si>
  <si>
    <t>Multi-Client and VM Stress test</t>
  </si>
  <si>
    <t>mhub407.1</t>
  </si>
  <si>
    <t>mhub407.6</t>
  </si>
  <si>
    <t>NV48-HUBS-1018, NV48-HUBS-1048, , NV48-HUBS-2042, NV48-HUBS-2059</t>
  </si>
  <si>
    <t xml:space="preserve">MMHUB:UTCL1 - “GPU Snoop” aka ‘gcc’ support in GPUVM L1, GFXHUB:GCEA - Removal of DF invalidation probe </t>
  </si>
  <si>
    <t>CPU – Producer, CPDMA – Consumer, MTYPE=3</t>
  </si>
  <si>
    <t>mhub408.101</t>
  </si>
  <si>
    <t>• Refer to TP section 4.3.2.10 [11.323] DF Invalidation Probe Removal (DEGFX11-1085). Some test conditions may need to be updated.
• Also watch out for possible client changes on MMHUB side (need to use L_SDMA or VCN etc.), and also perf counter changes</t>
  </si>
  <si>
    <t>CPU – Producer, CPDMA – Consumer, MTYPE=2</t>
  </si>
  <si>
    <t>mhub408.103</t>
  </si>
  <si>
    <t>CPU – Producer, CPDMA – Consumer, MTYPE=4</t>
  </si>
  <si>
    <t>mhub408.105</t>
  </si>
  <si>
    <t>CPU – Producer, CPDMA – Consumer, MTYPE=6</t>
  </si>
  <si>
    <t>mhub408.107</t>
  </si>
  <si>
    <t>CPDMA – Producer, CPU – Consumer, MTYPE=3</t>
  </si>
  <si>
    <t>mhub408.151</t>
  </si>
  <si>
    <t>NV48-HUBS-1018, NV48-HUBS-1048, , , NV48-HUBS-2042, NV48-HUBS-2059</t>
  </si>
  <si>
    <t>CPDMA – Producer, CPU – Consumer, MTYPE=2</t>
  </si>
  <si>
    <t>mhub408.153</t>
  </si>
  <si>
    <t>CPDMA – Producer, CPU – Consumer, MTYPE=4</t>
  </si>
  <si>
    <t>mhub408.155</t>
  </si>
  <si>
    <t>CPDMA – Producer, CPU – Consumer, MTYPE=6</t>
  </si>
  <si>
    <t>mhub408.157</t>
  </si>
  <si>
    <t>MMHUB – Producer, CPDMA – Consumer, MTYPE=3</t>
  </si>
  <si>
    <t>mhub408.161</t>
  </si>
  <si>
    <t>MMHUB – Producer, CPDMA – Consumer, MTYPE=2</t>
  </si>
  <si>
    <t>mhub408.163</t>
  </si>
  <si>
    <t>MMHUB – Producer, CPDMA – Consumer, MTYPE=4</t>
  </si>
  <si>
    <t>mhub408.165</t>
  </si>
  <si>
    <t>MMHUB – Producer, CPDMA – Consumer, MTYPE=6</t>
  </si>
  <si>
    <t>mhub408.167</t>
  </si>
  <si>
    <t>CPDMA – Producer, MMHUB – Consumer, MTYPE=3</t>
  </si>
  <si>
    <t>mhub408.171</t>
  </si>
  <si>
    <t>CPDMA – Producer, MMHUB – Consumer, MTYPE=2</t>
  </si>
  <si>
    <t>mhub408.173</t>
  </si>
  <si>
    <t>CPDMA – Producer, MMHUB – Consumer, MTYPE=4</t>
  </si>
  <si>
    <t>mhub408.175</t>
  </si>
  <si>
    <t>CPDMA – Producer, MMHUB – Consumer, MTYPE=6</t>
  </si>
  <si>
    <t>mhub408.177</t>
  </si>
  <si>
    <t>CPU – Producer, MMHUB – Consumer, MTYPE=3</t>
  </si>
  <si>
    <t>mhub408.81</t>
  </si>
  <si>
    <t>CPU – Producer, MMHUB – Consumer, MTYPE=2</t>
  </si>
  <si>
    <t>mhub408.83</t>
  </si>
  <si>
    <t>CPU – Producer, MMHUB – Consumer, MTYPE=4</t>
  </si>
  <si>
    <t>mhub408.85</t>
  </si>
  <si>
    <t>CPU – Producer, MMHUB – Consumer, MTYPE=6</t>
  </si>
  <si>
    <t>mhub408.87</t>
  </si>
  <si>
    <t>MMHUB – Producer, CPU – Consumer, MTYPE=3</t>
  </si>
  <si>
    <t>mhub408.91</t>
  </si>
  <si>
    <t>MMHUB – Producer, CPU – Consumer, MTYPE=2</t>
  </si>
  <si>
    <t>mhub408.93</t>
  </si>
  <si>
    <t>MMHUB – Producer, CPU – Consumer, MTYPE=4</t>
  </si>
  <si>
    <t>mhub408.95</t>
  </si>
  <si>
    <t>MMHUB – Producer, CPU – Consumer, MTYPE=6</t>
  </si>
  <si>
    <t>mhub408.97</t>
  </si>
  <si>
    <t>NV48-HUBS-2066</t>
  </si>
  <si>
    <t>GFXHUB:GUS - CH Interface</t>
  </si>
  <si>
    <t>ATHUB</t>
  </si>
  <si>
    <t>GUS EA in GFXHUB supported by RPB in ATHUB</t>
  </si>
  <si>
    <t>mhub411.1-2</t>
  </si>
  <si>
    <t>NV48-HUBS-1030</t>
  </si>
  <si>
    <t>MMHUB:MMUTCL2:VML2 - GPUVA,VMID translation assist</t>
  </si>
  <si>
    <t>MMHUB GPUVA, VMID Translation Assist</t>
  </si>
  <si>
    <t>mhub060.1-32</t>
  </si>
  <si>
    <t>mhub060.61-64</t>
  </si>
  <si>
    <t>-vm (variations 63-64 require -vmid="Non-zero #")</t>
  </si>
  <si>
    <t>GPUVA VMID Translation Assist - GPUVA-&gt;FB_SPA in VMID0 with the feature disabled</t>
  </si>
  <si>
    <t>mhub060.80</t>
  </si>
  <si>
    <t>GPUVA VMID Translation Assist - GPUVA-&gt;FB_SPA in non-zero VMID  with the feature disabled</t>
  </si>
  <si>
    <t>mhub060.81</t>
  </si>
  <si>
    <t>GPUVA VMID Translation Assist - GPUVA-&gt;SYSMEM_SPA in VMID0 with the feature disabled</t>
  </si>
  <si>
    <t>mhub060.82</t>
  </si>
  <si>
    <t>GPUVA VMID Translation Assist - GPUVA-&gt;SYSMEM_SPA in non-zero VMID  with the feature disabled</t>
  </si>
  <si>
    <t>mhub060.83</t>
  </si>
  <si>
    <t>GPUVA VMID Translation Assist - SYSTEM_SPA-&gt;SYSTEM_SPA with feature disabled</t>
  </si>
  <si>
    <t>mhub060.86</t>
  </si>
  <si>
    <t>GPUVA VMID Translation Assist - FB_SPA-&gt;FB_SPA with feature disabled</t>
  </si>
  <si>
    <t>mhub060.87</t>
  </si>
  <si>
    <t>NV48-HUBS-2010</t>
  </si>
  <si>
    <t>GFXHUB:GCUTCL2:VML2 - GPUVA,VMID translation assist</t>
  </si>
  <si>
    <t>GFXHUB GPUVA, VMID Translation Assist</t>
  </si>
  <si>
    <t>mhub260.80</t>
  </si>
  <si>
    <t>mhub260.81</t>
  </si>
  <si>
    <t>mhub260.82</t>
  </si>
  <si>
    <t>mhub260.83</t>
  </si>
  <si>
    <t>mhub260.86</t>
  </si>
  <si>
    <t>mhub260.87</t>
  </si>
  <si>
    <t>NV48-HUBS-1062</t>
  </si>
  <si>
    <t>MMHUB:MMUTCL2:VML2 - GPUVM L2 cache read/dump capabilities</t>
  </si>
  <si>
    <t>MMHUB-GPUVM L2 Cache Dump Capabilities</t>
  </si>
  <si>
    <t>-vm -tc_BigkCacheFragSize=4 -UseSdmaPio</t>
  </si>
  <si>
    <t>mhub033.104</t>
  </si>
  <si>
    <t>-vm -tc_BigkCacheFragSize=4 -tc_ulVidmemFragmentSize=0</t>
  </si>
  <si>
    <t>MMHUB-GPUVM L2 Hits/Misses with Multiple Acceses (to test Cache Dump Capabilities)</t>
  </si>
  <si>
    <t>-vm -tc_SmallkCacheFragSize=0 -tc_BigkCacheFragSize=4 -UseSdmaPio</t>
  </si>
  <si>
    <t>NV48-HUBS-2049</t>
  </si>
  <si>
    <t>GFXHUB:GCUTCL2:VML2 - GPUVM L2 cache read/dump capabilities</t>
  </si>
  <si>
    <t>GFXHUB-GPUVM L2 Cache Dump Capabilities</t>
  </si>
  <si>
    <t>-vm -tc_BigkCacheFragSize=4 -CpDirRegVm</t>
  </si>
  <si>
    <t>mhub233.2</t>
  </si>
  <si>
    <t>-vm -tc_BigkCacheFragSize=4 -tc_SmallkCacheFragSize=0 -CpDirRegVm</t>
  </si>
  <si>
    <t>GFXHUB-GPUVM L2 Hits/Misses with Multiple Acceses (to test Cache Dump Capabilities)</t>
  </si>
  <si>
    <t>-vm -CpDirRegVm -tc_SmallkCacheFragSize=0 -tc_BigkCacheFragSize=4</t>
  </si>
  <si>
    <t>NV48-HUBS-1034, NV48-HUBS-1060, NV48-HUBS-1061</t>
  </si>
  <si>
    <t>MMHUB UTCL2 Per-VMID BigK/SmallK Settings</t>
  </si>
  <si>
    <t>mhub059.1-32</t>
  </si>
  <si>
    <t>-vm -tc_ulVidmemFragmentSize=0 -UseSdmaPio</t>
  </si>
  <si>
    <t>NV48-HUBS-2047, NV48-HUBS-2048</t>
  </si>
  <si>
    <t>GFXHUB:GCUTCL2:VML2 - Per VF BigK/SmallK/Bank_Select Support</t>
  </si>
  <si>
    <t>GFXHUB UTCL2 Per-VMID BigK/SmallK Settings</t>
  </si>
  <si>
    <t>mhub259.1-32</t>
  </si>
  <si>
    <t>-vm -CpDirRegVm -tc_ulVidmemFragmentSize=0</t>
  </si>
  <si>
    <t>NV48-HUBS-1007, NV48-HUBS-1017, NV48-HUBS-1057</t>
  </si>
  <si>
    <t>MMHUB:DAGB - MALL ("noalloc") support</t>
  </si>
  <si>
    <t>MMHUB ‘NoAlloc/ReUseHint’ Override on Walker Fetches (Page Table Location : FB)</t>
  </si>
  <si>
    <t>-cf=reusehint-tserver-soc.cf -vm -dal_use_dmcub -pm4rb=system -mall_flush_enable -tcoreptloc=0 -UseSdmaPio -mhub_lite_variation -log -df_bypass_smc_check -df_bypass_talib_check -mhub_gmcdf_flushmall</t>
  </si>
  <si>
    <t>• Refer to TP section 4.3.1.2 UTCL2: Programmable walker MTYPE &amp; noAlloc. PDE.Y and PDE.MTYPE are not applicable to the MMHUB side
• SEM is now removed, need to replace with L_SDMA/VCN instead
• GPA mode NoAlloc testing may be passed on to VCN team leveraging VSCH client, currently still under discussion.</t>
  </si>
  <si>
    <t>-vm -dal_use_dmcub -pm4rb=system -mall_flush_enable -tcoreptloc=0 -UseSdmaPio</t>
  </si>
  <si>
    <t>MMHUB ‘NoAlloc’ Override on Walker Fetches  - LeafPTE (Page Table Location : FB)</t>
  </si>
  <si>
    <t>-vm -dal_use_dmcub -mall_flush_enable -mall_bypass_frwk=0 -norlc -tcoreptloc=0 -UseSdmaPio</t>
  </si>
  <si>
    <t>MMHUB ‘NoAlloc’ Override on Walker Fetches - PDEasPTE (Page Table Location : FB)</t>
  </si>
  <si>
    <t>MMHUB ‘NoAlloc’ Override on Walker Fetches (Page Table Location : Sysmem)</t>
  </si>
  <si>
    <t>-vm -mall_flush_enable -mall_bypass_frwk=0 -norlc -tcoreptloc=1 -dal_use_dmcub -UseSdmaPio</t>
  </si>
  <si>
    <t>MMHUB ‘NoAlloc’ Override on Walker Fetches - LeafPTE (Page Table Location : Sysmem)</t>
  </si>
  <si>
    <t>MMHUB ‘NoAlloc’ Override on Walker Fetches - PDEasPTE (Page Table Location : Sysmem)</t>
  </si>
  <si>
    <t>MMHUB ReUseHint on walker fetches with different PDE.U values (Page Table Location : FB)</t>
  </si>
  <si>
    <t>MMHUB ReUseHint on walker fetches with different PDE.U values (Page Table Location : Sysmem)</t>
  </si>
  <si>
    <t>-cf=reusehint-tserver-soc.cf -vm -dal_use_dmcub -pm4rb=system -mall_flush_enable -tcoreptloc=1 -UseSdmaPio -mhub_lite_variation -log -df_bypass_smc_check -df_bypass_talib_check -mhub_gmcdf_flushmall</t>
  </si>
  <si>
    <t>MMHUB (DAGB) per client read, dagb0_rdcli_reuse_hint_override test, client reuse_hint=0/1/2/3,override_enable=0/1,override_reuse_hint=0/1/2/3</t>
  </si>
  <si>
    <t>mhub153.221-252</t>
  </si>
  <si>
    <t>-cf=reusehint-tserver-soc.cf -vm -dal_use_dmcub -pm4rb=system -mall_flush_enable -UseSdmaPio -mhub_lite_variation -tcorelog -log -df_bypass_smc_check -df_bypass_talib_check -tcoreptloc=1 -df_bypass_talib_check -mhub_gmcdf_flushmall</t>
  </si>
  <si>
    <t>MMHUB (DAGB) per client write, dagb0_wrcli_reuse_hint_override test, client reuse_hint=0/1/2/3,override_enable=0/1,override_reuse_hint=0/1/2/3</t>
  </si>
  <si>
    <t>mhub153.321-352</t>
  </si>
  <si>
    <t>MMHUB (DAGB) per client read, dagb1_rdcli_reuse_hint_override test, client reuse_hint=0/1/2/3,override_enable=0/1,override_reuse_hint=0/1/2/3</t>
  </si>
  <si>
    <t>mhub153.421-452</t>
  </si>
  <si>
    <t>-cf=reusehint-tserver-soc.cf -vm -dal_use_dmcub -pm4rb=system -mall_flush_enable -mhub_lite_variation -tcorelog -log -df_bypass_smc_check -df_bypass_talib_check -tcoreptloc=1 -df_bypass_talib_check -mhub_gmcdf_flushmall</t>
  </si>
  <si>
    <t>NV48-HUBS-2044</t>
  </si>
  <si>
    <t>GFXHUB:GCUTCL2:VML2 - "noalloc" support (MALL)</t>
  </si>
  <si>
    <t>NoAlloc on walker fetches, page table location = FB, destination:Sysmem(GPUVM) with PDE.U=0/1/2/3</t>
  </si>
  <si>
    <t>-cf=reusehint-tserver-soc.cf -vm -dal_use_dmcub -pm4rb=system -mall_flush_enable -tcoreptloc=0 -pm4rb=system -CpDirRegVm -UseCpDirReg -mhub_lite_variation -log -df_bypass_smc_check -df_bypass_talib_check -mhub_gmcdf_flushmall</t>
  </si>
  <si>
    <t>• Refer to TP section 4.3.1.2 UTCL2: Programmable walker MTYPE &amp; noAlloc for details
• Cover the addition of PDE.Y bit in for all page depth, should create new tests for this (use the 'GFXHUB PDE Y NoAlloc Tests' Row), and just update existing test for NV48 to test the legacy features.
• PDE.MTYPE testing will mainly be covered by GFX diag team</t>
  </si>
  <si>
    <t>NoAlloc on walker fetches, page table location = Sysmem, destination:Sysmem(GPUVM) with PDE.U=0/1/2/3</t>
  </si>
  <si>
    <t>-cf=reusehint-tserver-soc.cf -vm -dal_use_dmcub -pm4rb=system -mall_flush_enable -tcoreptloc=1 -pm4rb=system -CpDirRegVm -UseCpDirReg -mhub_lite_variation -log -df_bypass_smc_check -df_bypass_talib_check -mhub_gmcdf_flushmall</t>
  </si>
  <si>
    <t>NoAlloc on walker fetches, page table location = FB, destination:Sysmem(GPUVM) with PDE.U=0/1/2/3 LeafPTE</t>
  </si>
  <si>
    <t>NoAlloc on walker fetches, page table location = Sysmem, destination:Sysmem(GPUVM) with PDE.U=0/1/2/3 LeafPTE</t>
  </si>
  <si>
    <t>NoAlloc on walker fetches, page table location = FB, destination:Sysmem(GPUVM) with PDE.U=0/1/2/3 PDEasPTE</t>
  </si>
  <si>
    <t>NoAlloc on walker fetches, page table location = Sysmem, destination:Sysmem(GPUVM) with PDE.U=0/1/2/3 PDEasPTE</t>
  </si>
  <si>
    <t>GFXHUB ‘NoAlloc’ Support - Using all page table depths, test each level of PDEx.Y (+ TF-PTE.Y) to validate caching of the data at PDEx.PA into MALL/eL3</t>
  </si>
  <si>
    <t>mhub353.102</t>
  </si>
  <si>
    <t>-vm -mall_flush_enable -mall_bypass_frwk=0 -norlc -tcoreptloc=0 -pm4rb=system -CpDirRegVm -UseCpDirReg -doorbellLoc=system</t>
  </si>
  <si>
    <t>NV48-HUBS-1070</t>
  </si>
  <si>
    <t>MMHUB:Security - Trusted Memory Zone (TMZ)</t>
  </si>
  <si>
    <t>MMHUB TMZ System Level Testing</t>
  </si>
  <si>
    <t>-vm -load_ucode=tcore -no_toollib -norlc -vcn_instance_id=0 -tmzmode=tmz -tc_SecureMode=0 </t>
  </si>
  <si>
    <t>• Refer to TP section 4.3.3.5 MARC and 4.3.3.6 MMEA Removal
• MMEA registers to be replaced with DAGB ones</t>
  </si>
  <si>
    <t>NV48-HUBS-2025</t>
  </si>
  <si>
    <t>GFXHUB:GCUTCL2:VML2 - Trusted Memory Zone (TMZ) Secure Filtering</t>
  </si>
  <si>
    <t>GFXHUB TMZ System Level Testing</t>
  </si>
  <si>
    <t>Paul H</t>
  </si>
  <si>
    <t>GFXHUB TMZ System Level Testing - Partial Access</t>
  </si>
  <si>
    <t>mhub350.5-8</t>
  </si>
  <si>
    <t>NV48-HUBS-1063</t>
  </si>
  <si>
    <t>MMHUB:MMUTCL2:VML2 - Walker fetch behavior: REQUEST_PHYSICAL and PDE.S/C</t>
  </si>
  <si>
    <t>MMHUB Re-definition of register fields VM_L2_CNTL4 . VMC_TAP_(PDE|PTE)_REQUEST_PHYSICAL</t>
  </si>
  <si>
    <t>mhub013.3-6</t>
  </si>
  <si>
    <t>mhub013.7-10</t>
  </si>
  <si>
    <t>GFXHUB Re-definition of register fields VM_L2_CNTL4 . VMC_TAP_(PDE|PTE)_REQUEST_PHYSICAL</t>
  </si>
  <si>
    <t>mhub213.3-4</t>
  </si>
  <si>
    <t>mhub213.5-6</t>
  </si>
  <si>
    <t>• Refer to TP section 4.3.2.5 IO is incorrect when VM_L2_CNTL4.VMC_TAP_P[D|T]E_REQUEST_PHYSICAL=0
• ECO PLAT-58025 should be fixed now, make sure test is ready to cover this (DEGSIGMH30-70)</t>
  </si>
  <si>
    <t>mhub213.7-10</t>
  </si>
  <si>
    <t>NV48-HUBS-1006</t>
  </si>
  <si>
    <t>MMHUB:DAGB - “GPU Snoop” aka ‘gcc’ support in DAGB</t>
  </si>
  <si>
    <t>MMHUB:SOC:“GPU Snoop” aka ‘gcc’ support in DAGB: DAGB Snoop Override</t>
  </si>
  <si>
    <t>Mtype 2, 4 does not support in NV3x and so that waived 2,4,12,14,22,24,32,34 variations</t>
  </si>
  <si>
    <t>MMHUB:SOC - OpenCL Platform Atomics</t>
  </si>
  <si>
    <t>NV48-HUBS-1015, NV48-HUBS-1029</t>
  </si>
  <si>
    <t>MMHUB:UTCL1 - CPU Visible Frame-Buffer Surface Remapping, MMHUB:MMUTCL2:VML2 - Reserved Caches</t>
  </si>
  <si>
    <t>MMHUB HDP VM Tests</t>
  </si>
  <si>
    <t>mhub165.1-9</t>
  </si>
  <si>
    <t>• Refer to TP section 4.4.3.1 CPU Visible Frame-Buffer Surface Remapping. This item would require multiple tests
• Should cover HDP VM testing (POR for LFB only), HDP reserved cache (cache hit/miss, replacement policy, attributes, invalidations, and combo test if possible))
• New diags to test HDP reserved cache invalidations by private invalidations. On top of that, also have a test case to confirm HDP reserved cache invalidations from VM_INVALIDATE_ENG will *not* go through.  Both are reflected in the diag test plan already. (DEGSIGMH30-447)</t>
  </si>
  <si>
    <t>NV48-HUBS-1015</t>
  </si>
  <si>
    <t>MMHUB:UTCL1 - CPU Visible Frame-Buffer Surface Remapping</t>
  </si>
  <si>
    <t>MMHUB HDP VM Basic Sanity Test</t>
  </si>
  <si>
    <t>mhub999.277</t>
  </si>
  <si>
    <t>NV48-HUBS-1023</t>
  </si>
  <si>
    <t>MMHUB:MMUTCL2 - Sideband translation path</t>
  </si>
  <si>
    <t>MMUTCL2 sideband invalidation</t>
  </si>
  <si>
    <t>mhub57.1</t>
  </si>
  <si>
    <t>NV32-HUBS-2006</t>
  </si>
  <si>
    <t>GFXHUB:GCUTCL2 - Remove 2MB max page size limit</t>
  </si>
  <si>
    <t>GFXHUB Page Size Limit tests</t>
  </si>
  <si>
    <t>mhub249</t>
  </si>
  <si>
    <t>• Refer to TP section 4.3.2.1 Remove 2M Page Size Limit (UTCL0, UTCL1, UTCL2)_x000D_
• GFX diag team will have UTCL0/L1 diags for this feature</t>
  </si>
  <si>
    <t>NV48-HUBS-1027</t>
  </si>
  <si>
    <t xml:space="preserve">MMHUB:MMUTCL2:VML2 - Common PSP-only default page </t>
  </si>
  <si>
    <t>MMHUB Common PSP-only default page test</t>
  </si>
  <si>
    <t>mhub091.1-4</t>
  </si>
  <si>
    <t>• Refer to TP section 4.3.1.3 Common PSP-only Default Page</t>
  </si>
  <si>
    <t>-vm -tc_DisableIommuHostTranslation=0</t>
  </si>
  <si>
    <t xml:space="preserve">MMHUB:MMUTCL2:VML2 - DWB Scatter/Gather </t>
  </si>
  <si>
    <t>NV48-HUBS-1033</t>
  </si>
  <si>
    <t>MMHUB:MMUTCL2:VML2 - GPA Mode</t>
  </si>
  <si>
    <t>NV48-HUBS-1071</t>
  </si>
  <si>
    <t>MMHUB:Security - SOC15 Datapath/Controlpath Security</t>
  </si>
  <si>
    <t>NV48-HUBS-2006</t>
  </si>
  <si>
    <t>NV48-HUBS-2009</t>
  </si>
  <si>
    <t>GFXHUB:GCUTCL2:VML2 - Common PSP-only default page</t>
  </si>
  <si>
    <t>GFXHUB Common PSP-only default page test</t>
  </si>
  <si>
    <t>mhub291.1-4</t>
  </si>
  <si>
    <t>NV48-HUBS-2016</t>
  </si>
  <si>
    <t>GFXHUB:GCUTCL2:VML2 - TLBi Support - Invalidation rates of  1TB VA, 32M invalidates/sec</t>
  </si>
  <si>
    <t>GFXHUB:GCUTCL2:VML2 - Full GCR Support</t>
  </si>
  <si>
    <t>NV48-HUBS-1050</t>
  </si>
  <si>
    <t>MMHUB:MMUTCL2:VML2 - Translate Further/PTE.F bit</t>
  </si>
  <si>
    <t>MMHUB Link micro-PTB to leaf PTB Test</t>
  </si>
  <si>
    <t>mhub127.1</t>
  </si>
  <si>
    <t>-vm -tc_BlockFragmentSize=4 -tc_PageTableDepth=1</t>
  </si>
  <si>
    <t>Refer to TP section 4.3.2.6 Link micro-PTB to leaf PTB (aka macro-PTB)</t>
  </si>
  <si>
    <t>mhub127.2</t>
  </si>
  <si>
    <t>-vm -tc_BlockFragmentSize=4 -tc_PageTableDepth=1 -tc_LinkMicroPtb</t>
  </si>
  <si>
    <t>mhub127.3</t>
  </si>
  <si>
    <t>-vm -tc_BlockFragmentSize=4 -tc_PageTableDepth=1 -tcoreptloc</t>
  </si>
  <si>
    <t>mhub127.4</t>
  </si>
  <si>
    <t>-vm -tc_LinkMicroPtb -tcoreptloc -tc_BlockFragmentSize=4 -tc_PageTableDepth=1</t>
  </si>
  <si>
    <t>NV48-HUBS-2033</t>
  </si>
  <si>
    <t>GFXHUB:GCUTCL2:VML2 - Translate Further/PTE.F bit</t>
  </si>
  <si>
    <t>GFXHUB Link micro-PTB to leaf PTB Test</t>
  </si>
  <si>
    <t>mhub327.1</t>
  </si>
  <si>
    <t>mhub327.2</t>
  </si>
  <si>
    <t>mhub327.3</t>
  </si>
  <si>
    <t>mhub327.4</t>
  </si>
  <si>
    <t>-vm -tc_BlockFragmentSize=4 -tc_PageTableDepth=1 -tc_LinkMicroPtb -tcoreptloc</t>
  </si>
  <si>
    <t>NV48-HUBS-1077</t>
  </si>
  <si>
    <t>MMHUB:MMUTCL2:VML2 - GPUVM fault status register</t>
  </si>
  <si>
    <t>NV48-HUBS-2071</t>
  </si>
  <si>
    <t>GFXHUB:GCUTCL2:VML2 - GPUVM fault status register</t>
  </si>
  <si>
    <t>Refer to TP section 4.3.2.3 Add Fault Status Bits to Indicate a PRT Fault</t>
  </si>
  <si>
    <t>NV48-HUBS-1002, NV48-HUBS-1021</t>
  </si>
  <si>
    <t>MMHUB:SOC - AXI4 client interface</t>
  </si>
  <si>
    <t>VCN AXI Space Test</t>
  </si>
  <si>
    <t>mhub164.1</t>
  </si>
  <si>
    <t>• Refer to TP section 4.3.3.2 MMHUB – UTCL1 ECO - Reserved AxUSER.spaces (0x5,0x6,0x7) should be treated like GPUVAs rather than pretranslated, section 4.3.3.3 UTCL1, section 4.3.3.4 UTCL2, and section 4.3.3.5 AXI4 client interface (considered as part of MMUTCL1 and MMUTCL2)
• Need a new diag to test the new AxUSER space bits 0x0 to 0x4 (exlcuding 0x1 - XGMI), these of which were the initial valid test cases.  The 0x5 to 0x7 values are for the ECO (DEGSIGMH30-429).  So I think both the original feature and the ECO tests can be combined into 1 test to validate AxUSER values 0x0 to 0x7. (Can use lmi_space_internal1 register to configure the AXI space)</t>
  </si>
  <si>
    <t>NV48-HUBS-1013</t>
  </si>
  <si>
    <t>MMHUB:MAM - Dirty RAM</t>
  </si>
  <si>
    <t>NV48-HUBS-2046</t>
  </si>
  <si>
    <t>GFXHUB:GCUTCL2:VML2 - Programmable bank select in UTCL1/UTCL2</t>
  </si>
  <si>
    <t>GFXHUB Programmable Bank Select Test</t>
  </si>
  <si>
    <t>• Refer to TP section 4.3.1.1 Programmable bank select in UTCL1/UTCL2
• Cover UTCL2 supporting a programmable bank select hash function
• UTCL1 coverage will be from GFX diag team</t>
  </si>
  <si>
    <t>NV48-HUBS-2050</t>
  </si>
  <si>
    <t>GFXHUB:GCUTCL2:VML2 - Virtual FIFOs to maximize bank probes</t>
  </si>
  <si>
    <t>NV48-HUBS-2045</t>
  </si>
  <si>
    <t>GFXHUB:GCUTCL2:VML2 - SA/SE Harvesting</t>
  </si>
  <si>
    <t>NV48-HUBS-1021</t>
  </si>
  <si>
    <t>MMHUB:UTCL1 - Aperture Checks</t>
  </si>
  <si>
    <t>Aperture Fault on L2 Return Test</t>
  </si>
  <si>
    <t>Test re-designed - more info in DIAG-12797
• Refer to TP section 4.3.3.10 Aperture Fault on L2 Return Test
"-NV48/32 all APT check will be done in UTCL2 as there is not APT only TLB; APT only TLBs are part of PHX
-NV48/32 have new aperture fault feature (DEGSIGMH30-301) to replace the VML1 aperture fault feature.  New register to control feature is MMMC_VM_MX_L1_TLB*_DEBUG. ENABLE_APERTURE_FAULTS_ON_L2_RETURN"
Test Procedure
•	Set MMMC_VM_MX_L1_TLB*_DEBUG. ENABLE_APERTURE_FAULTS_ON_L2_RETURN = 1
•	Generate a UTCL2 return with IO=1 with any MMUTCL1 client
•	Check
o	MMMC_VM_MX_L1_TLB*_STATUS. FOUND_APERTURE_FAULTS == 1
o	Client received a nack=3 / has hung (depends if client hangs on nack=3)
•	Set MMMC_VM_MX_L1_TLB*_DEBUG.CLEAR_APERTURE_FAULTS = 1
•	Check MMMC_VM_MX_L1_TLB*_STATUS. FOUND_APERTURE_FAULTS == 0</t>
  </si>
  <si>
    <t>MM UTC L1 Invalidation - GPUVM</t>
  </si>
  <si>
    <t>• Refer to TP section 4.3.3.2 UTCL1
• L_SDMA should replace SDMA when applicable
• For variation 8 (mmutcl1 combo invalidation test), we can keep region[0] and [1] testing, but need to update the test to support GPUVA-&gt;SYSMEM_GPA testing as well</t>
  </si>
  <si>
    <t>MM UTC L1 Invalidation - Combo</t>
  </si>
  <si>
    <t>mhub026.8</t>
  </si>
  <si>
    <t>MM UTCL1 Read Write TLB Hit Miss - NonRT GPUVA-&gt;FB_GPA(GPUVM) using L_SDMA</t>
  </si>
  <si>
    <t>• Refer to TP section 4.3.3.2 UTCL1
• L_SDMA should replace SDMA when applicable
• Other variations of mhub043 not included here previously related to ATC host/IOTLB should be replaced with GPUVA-&gt;SYSMEM_GPA coverages whenever applicable</t>
  </si>
  <si>
    <t xml:space="preserve">MM UTCL1 Read Write TLB Hit Miss - SoftRT GPUVA-&gt;FB_GPA(GPUVM) using VCN0 </t>
  </si>
  <si>
    <t>-vm -mhub_vcn_init -UseVcnClient</t>
  </si>
  <si>
    <t>MM UTCL1 Read Write TLB Hit Miss - SoftRT GPUVA-&gt;FB_GPA(GPUVM) using VCN1</t>
  </si>
  <si>
    <t>MM UTCL1 Read Write TLB Hit Miss - including GPUVA-&gt;SYSMEM_GPA</t>
  </si>
  <si>
    <t>mhub043.1-4</t>
  </si>
  <si>
    <t>MM UTCL1 Read Write TLB Eviction - Wr/Rd for NonRT client(L_SDMA) using PTE physical addr, GPUVA-&gt;FB_GPA(GPUVM)</t>
  </si>
  <si>
    <t>• Refer to TP section 4.3.3.2 UTCL1
• L_SDMA should replace SDMA when applicable
• Other variations of mhub044 not included here previously related to ATC host/IOTLB should be replaced with GPUVA-&gt;SYSMEM_GPA coverages whenever applicable</t>
  </si>
  <si>
    <t>MM UTCL1 Read Write TLB Eviction - Wr/Rd for SoftRT client(VCN0) using PTE physical addr, GPUVA-&gt;FB_GPA(GPUVM)</t>
  </si>
  <si>
    <t>mhub044.11</t>
  </si>
  <si>
    <t>mhub044.12</t>
  </si>
  <si>
    <t>MM UTCL1 Read Write TLB Eviction - Wr/Rd for SoftRT client(VCN1) using PTE physical addr, GPUVA-&gt;FB_GPA(GPUVM)</t>
  </si>
  <si>
    <t>MM UTCL1 Read Write TLB Eviction - including GPUVA-&gt;SYSMEM_GPA</t>
  </si>
  <si>
    <t>mhub044.1-4</t>
  </si>
  <si>
    <t>MM UTCL1 Super Test</t>
  </si>
  <si>
    <t>mhub045.1-5</t>
  </si>
  <si>
    <t>-vm -mhub_vcn_init=0 (for SoftRT variations)</t>
  </si>
  <si>
    <t>• Refer to TP section 4.3.3.2 UTCL1
• L_SDMA should replace SDMA when applicable
• Other variations of mhub045 not included here previously related to ATC host/IOTLB should be replaced with GPUVA-&gt;SYSMEM_GPA coverages whenever applicable</t>
  </si>
  <si>
    <t>NV48-HUBS-1072</t>
  </si>
  <si>
    <t>MMHUB:RAS - Data Poison Propergation</t>
  </si>
  <si>
    <t>Charlie</t>
  </si>
  <si>
    <t>RAS</t>
  </si>
  <si>
    <t>MMHUB RAS Data Poison Propergation</t>
  </si>
  <si>
    <t>mhub609.1</t>
  </si>
  <si>
    <t>NV48-HUBS-3013</t>
  </si>
  <si>
    <t>ATHUB:RAS - Poison Data propergation</t>
  </si>
  <si>
    <t>ATHUB RAS Poison Data propergation</t>
  </si>
  <si>
    <t>mhub609.3</t>
  </si>
  <si>
    <t>NV48-HUBS-1073</t>
  </si>
  <si>
    <t>MMHUB:RAS - Data-path Parity Protection</t>
  </si>
  <si>
    <t>NV48-HUBS-1075</t>
  </si>
  <si>
    <t>MMHUB:RAS - Fatal Error Generation/Handling</t>
  </si>
  <si>
    <t>NV48-HUBS-3011</t>
  </si>
  <si>
    <t>ATHUB:RAS - Datapath Parity</t>
  </si>
  <si>
    <t>Write Without Parity</t>
  </si>
  <si>
    <t>mhub611.1</t>
  </si>
  <si>
    <t>NV48-HUBS-3011,
NV48-HUBS-3029</t>
  </si>
  <si>
    <t>ATHUB:RAS - Datapath Parity
ATHUB:RAS - Datapath Parity Injection</t>
  </si>
  <si>
    <t>Write With DF Parity</t>
  </si>
  <si>
    <t>mhub611.2</t>
  </si>
  <si>
    <t>Write With Host Parity</t>
  </si>
  <si>
    <t>mhub611.3</t>
  </si>
  <si>
    <t>NV48-HUBS-3011
NV48-HUBS-3029</t>
  </si>
  <si>
    <t>THUB:RAS - Datapath Parity
ATHUB:RAS - Datapath Parity Injection</t>
  </si>
  <si>
    <t>Write With DF Host Parity</t>
  </si>
  <si>
    <t>mhub611.4</t>
  </si>
  <si>
    <t>THUB:RAS - Datapath Parity</t>
  </si>
  <si>
    <t>Read Without Parity</t>
  </si>
  <si>
    <t>mhub611.5</t>
  </si>
  <si>
    <t>Read With DMA Parity</t>
  </si>
  <si>
    <t>mhub611.6</t>
  </si>
  <si>
    <t>NV48-HUBS-3022</t>
  </si>
  <si>
    <t>ATHUB:Fatal Error Propgation</t>
  </si>
  <si>
    <t>NV48-HUBS-1082</t>
  </si>
  <si>
    <t>MMHUB:Delta Color Compression (DCC)</t>
  </si>
  <si>
    <t>DCC Test on MMHUB</t>
  </si>
  <si>
    <t>mhub167.1</t>
  </si>
  <si>
    <t>NV48-HUBS-2077</t>
  </si>
  <si>
    <t>GCHUB:Delta Color Compression (DCC)</t>
  </si>
  <si>
    <t>DCC Test on GCHUB</t>
  </si>
  <si>
    <t>mhub367.1</t>
  </si>
  <si>
    <t>NV48-HUBS-1085</t>
  </si>
  <si>
    <t>MMHUB:Native large writes</t>
  </si>
  <si>
    <t>Nigel</t>
  </si>
  <si>
    <t>Native large write</t>
  </si>
  <si>
    <t>30 Loops X 256B Written
Reqs sent from DAGB = 33. Reqs out of RPB = 121
30 Loops x 64B Written
Reqs sent from DAGB = 31. Reqs out of RPB = 31</t>
  </si>
  <si>
    <t>NV48-HUBS-3019</t>
  </si>
  <si>
    <t>ATHUB:Native large write for IO</t>
  </si>
  <si>
    <t>mhub468.1</t>
  </si>
  <si>
    <t>NOTE:This feature is covered with MHUB168</t>
  </si>
  <si>
    <t>NV48-HUBS-3020</t>
  </si>
  <si>
    <t>ATHUB:RAW Check</t>
  </si>
  <si>
    <t>Nikhil</t>
  </si>
  <si>
    <t>Read after write test</t>
  </si>
  <si>
    <t>mhub469.1</t>
  </si>
  <si>
    <t>NV48-HUBS-3021</t>
  </si>
  <si>
    <t>ATHUB:Single VC (Virtual Channel) for GFX IO</t>
  </si>
  <si>
    <t>Single VC test</t>
  </si>
  <si>
    <t>mhub470.1</t>
  </si>
  <si>
    <t>NV48-HUBS-1087</t>
  </si>
  <si>
    <t>MMHUB:UTCL1 - TMZ</t>
  </si>
  <si>
    <t>MHUB UTCL1 TMZ test</t>
  </si>
  <si>
    <t>mhub150.42</t>
  </si>
  <si>
    <t>NV48-HUBS-1088</t>
  </si>
  <si>
    <t>MMHUB:UTCL1 - Compression Enable (PTE.D)</t>
  </si>
  <si>
    <t>MHUB DCC Test</t>
  </si>
  <si>
    <t>mhub167.2</t>
  </si>
  <si>
    <t>MMHUB:DAGB Read Write Boundary</t>
  </si>
  <si>
    <t>DAGB 256B Read Write Boundary</t>
  </si>
  <si>
    <t xml:space="preserve">PLEASE DO NOT CROSS THIS LINE.   Insert New Rows OR Copied Cells "Above" The Last Known Good Row Only So Each Copied Cells &amp; Rows Still Contains The Right Formulas (Similar Concept for Removing or Deleting Rows)        </t>
  </si>
  <si>
    <t>NV48-HUBS-3029</t>
  </si>
  <si>
    <t>ATHUB:RAS - Datapath Parity Injection</t>
  </si>
  <si>
    <t>Rayyan</t>
  </si>
  <si>
    <t>ATHUB data path parity</t>
  </si>
  <si>
    <t>mhub611.1-7</t>
  </si>
  <si>
    <t>-vm -atc -q -disable_fatal_errevent=1</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</si>
  <si>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</si>
  <si>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NV48-HUBS-1000</t>
  </si>
  <si>
    <t>Total # of Features</t>
  </si>
  <si>
    <t>NV48-HUBS-1001</t>
  </si>
  <si>
    <t>MMHUB:SOC - SOC-15 SCF/SMN interfaces</t>
  </si>
  <si>
    <t>Total # of P1</t>
  </si>
  <si>
    <t>NV48-HUBS-1002</t>
  </si>
  <si>
    <t>Total # of P2</t>
  </si>
  <si>
    <t>NV48-HUBS-1003</t>
  </si>
  <si>
    <t>Coverage by VCN diag vcn005.1-4</t>
  </si>
  <si>
    <t>Total # of P3</t>
  </si>
  <si>
    <t>NV48-HUBS-1004</t>
  </si>
  <si>
    <t>MMHUB:SOC - SRIOV</t>
  </si>
  <si>
    <t>Removed NV48</t>
  </si>
  <si>
    <t>Total # of Diagnostics</t>
  </si>
  <si>
    <t>NV48-HUBS-1005</t>
  </si>
  <si>
    <t>MMHUB:DAGB - DF sends “unsolicited error response” across SDP to MMHUB</t>
  </si>
  <si>
    <t>RAS, RAS need SRIOV to cover it. NV48 does not support SRIOV</t>
  </si>
  <si>
    <t>Total # of Driver</t>
  </si>
  <si>
    <t>Total # of IPSE</t>
  </si>
  <si>
    <t>Total # of N/A</t>
  </si>
  <si>
    <t>NV48-HUBS-1007</t>
  </si>
  <si>
    <t>Total # of Legacy</t>
  </si>
  <si>
    <t>NV48-HUBS-1008</t>
  </si>
  <si>
    <t>MMHUB:DAGB - Safe TDR for GPU Driver Reset Mode 2 Support</t>
  </si>
  <si>
    <t>Total # of Delta</t>
  </si>
  <si>
    <t>NV48-HUBS-1009</t>
  </si>
  <si>
    <t>MMHUB:DAGB - HDP Performance for Mixed RD/WR</t>
  </si>
  <si>
    <t>Total # of New</t>
  </si>
  <si>
    <t>NV48-HUBS-1010</t>
  </si>
  <si>
    <t>MMHUB:DAGB - SDP arbitration and interface capability</t>
  </si>
  <si>
    <t>NV48-HUBS-1011</t>
  </si>
  <si>
    <t>MMHUB:Performance - SOC-15 QoS 1.0</t>
  </si>
  <si>
    <t>NV48-HUBS-1012</t>
  </si>
  <si>
    <t>MMHUB:SOC - Register Access Resilience</t>
  </si>
  <si>
    <t>Removed</t>
  </si>
  <si>
    <t>NV48-HUBS-1014</t>
  </si>
  <si>
    <t>NV48-HUBS-1016</t>
  </si>
  <si>
    <t>MMHUB:UTCL1 - Flexible Frame-Buffer Mapping (FFBM)</t>
  </si>
  <si>
    <t>SRIOV</t>
  </si>
  <si>
    <t>NV48-HUBS-1017</t>
  </si>
  <si>
    <t>MMHUB:UTCL1 - "noalloc" support (MALL)</t>
  </si>
  <si>
    <t>NV48-HUBS-1018</t>
  </si>
  <si>
    <t>MMHUB:UTCL1 - “GPU Snoop” aka ‘gcc’ support in GPUVM L1</t>
  </si>
  <si>
    <t>NV48-HUBS-1019</t>
  </si>
  <si>
    <t>MMHUB:UTCL1 - Retry Support (formally "No Retry Supported")</t>
  </si>
  <si>
    <t>NV48-HUBS-1020</t>
  </si>
  <si>
    <t>NV48-HUBS-1022</t>
  </si>
  <si>
    <t>MMHUB:UTCL1 - CAM/TLB stores these translations:
GPUVA-&gt;SYSMEM_GPA
GPUVA-&gt;SYSMEM_SPA
GPUVA-&gt;FB_SPA
SYSMEM _GPA-&gt;SYSMEM_SPA (L2TLB only + ATC enabled)          
FB_GPA-&gt;FB_SPA (L2TLB, VFs only + FFBM) </t>
  </si>
  <si>
    <t>NV48-HUBS-1024</t>
  </si>
  <si>
    <t>MMHUB:SOC - Reliable Reset Recovery</t>
  </si>
  <si>
    <t>NV48-HUBS-1025</t>
  </si>
  <si>
    <t>MMHUB:MMUTCL2 - Flexible Frame-Buffer Mapping (FFBM)</t>
  </si>
  <si>
    <t>NV48-HUBS-1028</t>
  </si>
  <si>
    <t>Coverage by DCN diag dwb2,3,15-19</t>
  </si>
  <si>
    <t>NV48-HUBS-1029</t>
  </si>
  <si>
    <t>MMHUB:MMUTCL2:VML2 - Reserved Caches</t>
  </si>
  <si>
    <t>Also covered by DCN diag dwb2,3,15-19</t>
  </si>
  <si>
    <t>NV48-HUBS-1031</t>
  </si>
  <si>
    <t>MMHUB:MMUTCL2:VML2 - Translation bypass by VMID</t>
  </si>
  <si>
    <t>Console Program</t>
  </si>
  <si>
    <t>NV48-HUBS-1032</t>
  </si>
  <si>
    <t>MMHUB:MMUTCL2:VML2 - GPUVM Table Walks to Sysmem</t>
  </si>
  <si>
    <t>L2TLB is not present</t>
  </si>
  <si>
    <t>Coverage by VCN diag</t>
  </si>
  <si>
    <t>NV48-HUBS-1037</t>
  </si>
  <si>
    <t>NV48-HUBS-1041</t>
  </si>
  <si>
    <t>MMHUB:MMUTCL2:VML2 - Register bits that enable software to control hit/miss behaviour on page migration(R=W=0) in cache</t>
  </si>
  <si>
    <t>NV48-HUBS-1042</t>
  </si>
  <si>
    <t>NV48-HUBS-1044</t>
  </si>
  <si>
    <t>NV48-HUBS-1048</t>
  </si>
  <si>
    <t>MMHUB:MMUTCL2:VML2 - Mtype Attribute</t>
  </si>
  <si>
    <t>NV48-HUBS-1049</t>
  </si>
  <si>
    <t>MMHUB:MMUTCL2:VML2 - Page table block size, PDE and PTE Fragment sizes</t>
  </si>
  <si>
    <t>NV48-HUBS-1051</t>
  </si>
  <si>
    <t>MMHUB:MMUTCL2:VML2 - Support for 2MB, 1G, 512GB pages aka PDE Block Fragment Size</t>
  </si>
  <si>
    <t>NV48-HUBS-1052</t>
  </si>
  <si>
    <t>MMHUB:MMUTCL2:VML2 - L bit in PTE</t>
  </si>
  <si>
    <t>NV48-HUBS-1053</t>
  </si>
  <si>
    <t>MMHUB:MMUTCL2:VML2 - Page Migration Retry state</t>
  </si>
  <si>
    <t>MMHUB page migration is not POR unless otherwise stated</t>
  </si>
  <si>
    <t>NV48-HUBS-1054</t>
  </si>
  <si>
    <t>MMHUB:MMUTCL2:VML2 - Steering Registers</t>
  </si>
  <si>
    <t>NV48-HUBS-1055</t>
  </si>
  <si>
    <t>MMHUB:MMUTCL2:VML2 - is_local" enable / disable register</t>
  </si>
  <si>
    <t>not applicable</t>
  </si>
  <si>
    <t>NV48-HUBS-1056</t>
  </si>
  <si>
    <t>MMHUB:MMUTCL2:VML2 - VML2 BigK/4K cache swap</t>
  </si>
  <si>
    <t>NV48-HUBS-1057</t>
  </si>
  <si>
    <t>MMHUB:MMUTCL2:VML2 - "noalloc" support (MALL)</t>
  </si>
  <si>
    <t>NV48-HUBS-1058</t>
  </si>
  <si>
    <t>MMHUB:MMUTCL2:VML2 - Client group harvesting_x000D_
(was SA/SE Harvesting)</t>
  </si>
  <si>
    <t>NV48-HUBS-1059</t>
  </si>
  <si>
    <t>MMHUB:MMUTCL2:VML2 - Programmable bank select in UTCL1/UTCL2</t>
  </si>
  <si>
    <t>Not applicale for MMHUB due to only having one bank</t>
  </si>
  <si>
    <t>NV48-HUBS-1060</t>
  </si>
  <si>
    <t>MMHUB:MMUTCL2:VML2 - Per VF BigK/SmallK/Bank_Select Support</t>
  </si>
  <si>
    <t>NV48-HUBS-1061</t>
  </si>
  <si>
    <t>MMHUB:MMUTCL2:VML2 - Per VMID BigK/SmallK/Bank_Select Support</t>
  </si>
  <si>
    <t>NV48-HUBS-1064</t>
  </si>
  <si>
    <t>MMHUB:MMUTCL2:ATCL2 - Caches</t>
  </si>
  <si>
    <t>NV48-HUBS-1065</t>
  </si>
  <si>
    <t>MMHUB:MMUTCL2:ATCL2 - Flexible Frame-Buffer Mapping (FFBM)</t>
  </si>
  <si>
    <t>NV48-HUBS-1066</t>
  </si>
  <si>
    <t>MMHUB:Power/PCTL - SOCCLK Deep Sleep</t>
  </si>
  <si>
    <t>NV48-HUBS-1067</t>
  </si>
  <si>
    <t>MMHUB:Power/PCTL - MMHUB Power Gating</t>
  </si>
  <si>
    <t>NV48-HUBS-1068</t>
  </si>
  <si>
    <t>MMHUB:PCTL - Register Save and Restore</t>
  </si>
  <si>
    <t>NV48-HUBS-1069</t>
  </si>
  <si>
    <t>MMHUB:PCTL - RSMU Timer</t>
  </si>
  <si>
    <t>Coverage by DF diag DF003.1-4</t>
  </si>
  <si>
    <t>RAS (not support)</t>
  </si>
  <si>
    <t>RAS (not support)</t>
  </si>
  <si>
    <t>NV48-HUBS-1074</t>
  </si>
  <si>
    <t>MMHUB:RAS - Data Poison Consumption</t>
  </si>
  <si>
    <t>NV48-HUBS-1076</t>
  </si>
  <si>
    <t>MMHUB:Debug - Debug Bus</t>
  </si>
  <si>
    <t>NV48-HUBS-1078</t>
  </si>
  <si>
    <t>MMHUB:DAGB - Clock Gating (was Repeater FGCG in tap chain)</t>
  </si>
  <si>
    <t>NV48-HUBS-1079</t>
  </si>
  <si>
    <t>MMHUB:DAGB - Programmable priority per VC on SDP</t>
  </si>
  <si>
    <t>NV48-HUBS-1080</t>
  </si>
  <si>
    <t xml:space="preserve">MMHUB:DAGB - Programmable override priority per client on SDP </t>
  </si>
  <si>
    <t>NV48-HUBS-1081</t>
  </si>
  <si>
    <t>MMHUB:MMUTCL2 - Programmable credits</t>
  </si>
  <si>
    <t>2TLB not present in Navi44/48</t>
  </si>
  <si>
    <t>MMHUB:DAGB - Delta Color Compression (DCC)</t>
  </si>
  <si>
    <t>NV48-HUBS-1083</t>
  </si>
  <si>
    <t>MMHUB:DAGB - Client Read/Write Override</t>
  </si>
  <si>
    <t>Debug feature</t>
  </si>
  <si>
    <t>NV48-HUBS-1084</t>
  </si>
  <si>
    <t>MMHUB:SOC - SRAM FGCG</t>
  </si>
  <si>
    <t>MMHUB:DAGB - Native large writes</t>
  </si>
  <si>
    <t>NV48-HUBS-1086</t>
  </si>
  <si>
    <t>MMHUB:DAGB - Safe TDR for GPU Driver Reset Mode 3 Support</t>
  </si>
  <si>
    <t>NV48-HUBS-1089</t>
  </si>
  <si>
    <t>MMHUB:PCTL - MMHUB Interlock Support</t>
  </si>
  <si>
    <t>NV48-HUBS-1090</t>
  </si>
  <si>
    <t>MMHUB:MMUTCL2:VML2 - Page Size Optimization</t>
  </si>
  <si>
    <t>Not applicable to NV48 as there is no ATCL2</t>
  </si>
  <si>
    <t>NV48-HUBS-1091</t>
  </si>
  <si>
    <t>MMHUB:MMUTCL2 - IO/SPA for APU system</t>
  </si>
  <si>
    <t>NV48-HUBS-2000</t>
  </si>
  <si>
    <t>GFXHUB:GCUTCL2 - SRAM FGCG</t>
  </si>
  <si>
    <t>NV48-HUBS-2001</t>
  </si>
  <si>
    <t>GFXHUB:GCUTCL2 - Repeater FGCG</t>
  </si>
  <si>
    <t>NV48-HUBS-2002</t>
  </si>
  <si>
    <t>GFXHUB:GCUTCL2 - RDL parameter inhancement</t>
  </si>
  <si>
    <t>IPSE FYI item, not testable</t>
  </si>
  <si>
    <t>NV48-HUBS-2003</t>
  </si>
  <si>
    <t>GFXHUB:GCUTCL2 - Expand GRBM address bus range</t>
  </si>
  <si>
    <t>NV48-HUBS-2004</t>
  </si>
  <si>
    <t>GFXHUB:GCUTCL2 - SRIOV</t>
  </si>
  <si>
    <t>GFXHUB:GCUTCL2 - MARC for secured P2P</t>
  </si>
  <si>
    <t>Covered by GFX Diag (utci10.1-8) by checking the UTC L0 perf counters and feature is only supported for shader clients.</t>
  </si>
  <si>
    <t>NV48-HUBS-2007</t>
  </si>
  <si>
    <t>GFXHUB:GCUTCL2:RAS - Translation response data from DF (HBM / PCIE) 
(Data Poison Consumption)</t>
  </si>
  <si>
    <t>No RAS support on NV48</t>
  </si>
  <si>
    <t>NV48-HUBS-2011</t>
  </si>
  <si>
    <t>GFXHUB:GCUTCL2:VML2 - GPUVM Table Walks to Sysmem/FB</t>
  </si>
  <si>
    <t>GFXHUB:GCUTCL2 - Spatial Paritioning</t>
  </si>
  <si>
    <t>NV4X Chiplet</t>
  </si>
  <si>
    <t>NV48-HUBS-2015</t>
  </si>
  <si>
    <t>Coverage by OSS diag sdma86.1-14,87.1,91.1 and GFX diag utci2.1 </t>
  </si>
  <si>
    <t>NV48-HUBS-2017</t>
  </si>
  <si>
    <t>GFXHUB:GCUTCL2:VML2 - Page table walker read throttling</t>
  </si>
  <si>
    <t>SCBU Specific</t>
  </si>
  <si>
    <t>NV48-HUBS-2018</t>
  </si>
  <si>
    <t>Coverage by GFX diag utci7.1-6</t>
  </si>
  <si>
    <t>NV48-HUBS-2019</t>
  </si>
  <si>
    <t>GFXHUB:GCUTCL2:VML2 - Return invalid V=0 PA to GCR w/o generating an intr - UTC L2 typically fires an interrupt on a page fault (V=0) but, for GCR translation requests, that’s not case. V=0 is a legal setting.</t>
  </si>
  <si>
    <t>NV48-HUBS-2022</t>
  </si>
  <si>
    <t>NV48-HUBS-2023</t>
  </si>
  <si>
    <t>NV48-HUBS-2024</t>
  </si>
  <si>
    <t>Also covered by GFX diag utci6.1-2</t>
  </si>
  <si>
    <t>NV48-HUBS-2026</t>
  </si>
  <si>
    <t>NV48-HUBS-2027</t>
  </si>
  <si>
    <t>GFXHUB:GCUTCL2:VML2 - Lightweight/Heavyweight flush-type invalidation aka GPUVM –ATC like invalidations</t>
  </si>
  <si>
    <t>NV48-HUBS-2028</t>
  </si>
  <si>
    <t>Also covered by GFX glxi diag (GC PDE MTYPE Test)</t>
  </si>
  <si>
    <t>NV48-HUBS-2032</t>
  </si>
  <si>
    <t>GFXHUB:GCUTCL2:VML2 - is_local" enable / disable register</t>
  </si>
  <si>
    <t>Not Applicable</t>
  </si>
  <si>
    <t>NV48-HUBS-2035</t>
  </si>
  <si>
    <t>GFXHUB:GCUTCL2:VML2 - Support for 2MB, 1G, 512GB pages aka PDE Block Fragment Size</t>
  </si>
  <si>
    <t>NV48-HUBS-2036</t>
  </si>
  <si>
    <t>GFXHUB:GCUTCL2:VML2 - 44b PA</t>
  </si>
  <si>
    <t>NV48-HUBS-2038</t>
  </si>
  <si>
    <t>GFXHUB:GCUTCL2:VML2 - Page Migration Retry state</t>
  </si>
  <si>
    <t>NV48-HUBS-2039</t>
  </si>
  <si>
    <t>GFXHUB:GCUTCL2:VML2 - PTE.M - Mtype - Override “CC” to “UC”</t>
  </si>
  <si>
    <t>NV48-HUBS-2040</t>
  </si>
  <si>
    <t>GFXHUB:GCUTCL2:VML2 - VML2 BigK/4K cache swap</t>
  </si>
  <si>
    <t>NV48-HUBS-2041</t>
  </si>
  <si>
    <t>GFXHUB:GCUTCL2:VML2 - Steering Registers</t>
  </si>
  <si>
    <t>NV48-HUBS-2042</t>
  </si>
  <si>
    <t>GFXHUB:GCUTCL2:VML2 - Mtype Attribute</t>
  </si>
  <si>
    <t>NV48-HUBS-2043</t>
  </si>
  <si>
    <t>GFXHUB:GCUTCL2:VML2 - Qualify eXecute bit for gfx clients</t>
  </si>
  <si>
    <t>Coverage by GFX diag shci601.3,4</t>
  </si>
  <si>
    <t>NV48-HUBS-2047</t>
  </si>
  <si>
    <t>NV48-HUBS-2048</t>
  </si>
  <si>
    <t>GFXHUB:GCUTCL2:VML2 - Per VMID BigK support/SmallK/Bank_Select Support</t>
  </si>
  <si>
    <t>Coverage by GFX diag gci30.900 and performance team</t>
  </si>
  <si>
    <t>NV48-HUBS-2051</t>
  </si>
  <si>
    <t>GFXHUB:GCUTCL2 - IO/SPA for APU system</t>
  </si>
  <si>
    <t>APU</t>
  </si>
  <si>
    <t>GFXHUB:GCUTCL2:VML2 - Page Size Optimization</t>
  </si>
  <si>
    <t>NV48-HUBS-2053</t>
  </si>
  <si>
    <t>GFXHUB:GCUTCL2 - Flexible Frame-Buffer Mapping (FFBM)</t>
  </si>
  <si>
    <t xml:space="preserve">SRIOV </t>
  </si>
  <si>
    <t>NV48-HUBS-2072</t>
  </si>
  <si>
    <t>GFXHUB:GCUTCL2 - Programmable credits</t>
  </si>
  <si>
    <t>NV48-HUBS-2073</t>
  </si>
  <si>
    <t>GFXHUB:GCUTCL2:VMl2 - Remove dummy invalidation interfaces</t>
  </si>
  <si>
    <t>NV48-HUBS-2074</t>
  </si>
  <si>
    <t>GFXHUB:GCUTCL2:VMl2 - RLC busy handshake protocol for GPUVM invalidations</t>
  </si>
  <si>
    <t>NV48-HUBS-2075</t>
  </si>
  <si>
    <t>GFXHUB:GCUTCL2:VMl2 - UTCL2 Idle Signals for IMU</t>
  </si>
  <si>
    <t>GFXHUB:GCUTCL2:VMl2 - Delta Color Compress (DCC) Support</t>
  </si>
  <si>
    <t>NV48-HUBS-3000</t>
  </si>
  <si>
    <t>ATHUB:SOC - SOC-15 SDP interfaces (SOC-15 baseline)</t>
  </si>
  <si>
    <t>NV48-HUBS-3001</t>
  </si>
  <si>
    <t>ATHUB:SOC - SOC-15 SCF interfaces (SOC-15 baseline)</t>
  </si>
  <si>
    <t>Also need IPSE manual checks and Windows driver loads</t>
  </si>
  <si>
    <t>NV48-HUBS-3002</t>
  </si>
  <si>
    <t>ATHUB:SOC - VDCI on DF SDP interfaces</t>
  </si>
  <si>
    <t>NV48-HUBS-3003</t>
  </si>
  <si>
    <t>ATHUB:SOC - OpenCL Platform Atomics</t>
  </si>
  <si>
    <t>NV48-HUBS-3004</t>
  </si>
  <si>
    <t>ATHUB:SOC - GPU virtualization</t>
  </si>
  <si>
    <t>NV48-HUBS-3005</t>
  </si>
  <si>
    <t>ATHUB:ATS - SOC-15 QoS 1.0 (Qos for mmhub translation)</t>
  </si>
  <si>
    <t>NV48-HUBS-3006</t>
  </si>
  <si>
    <t>ATHUB:RPB - Supports multiple VCs (SDP Virtual Channel)</t>
  </si>
  <si>
    <t>NV48-HUBS-3008</t>
  </si>
  <si>
    <t>ATHUB:RPB - Support configurable tag partition for read/write requests</t>
  </si>
  <si>
    <t>NV48-HUBS-3009</t>
  </si>
  <si>
    <t>ATHUB:RPB - Support more arbitration method between different streams and channels</t>
  </si>
  <si>
    <t>NV48-HUBS-3010</t>
  </si>
  <si>
    <t>ATHUB:RPB - P2P Traffic</t>
  </si>
  <si>
    <t xml:space="preserve">RAS </t>
  </si>
  <si>
    <t>NV48-HUBS-3012</t>
  </si>
  <si>
    <t>ATHUB:RAS - SRAM ECC + error injection</t>
  </si>
  <si>
    <t>not applicable as ATHUB doens't SRAM ECC + error injection</t>
  </si>
  <si>
    <t>NV48-HUBS-3014</t>
  </si>
  <si>
    <t>ATHUB:RAS - Fatal Error Generation</t>
  </si>
  <si>
    <t>NV48-HUBS-3015</t>
  </si>
  <si>
    <t>ATHUB:Power - Dynamic Clock Gating</t>
  </si>
  <si>
    <t>NV48-HUBS-3016</t>
  </si>
  <si>
    <t>ATHUB:Power - Dynamic Power Gating</t>
  </si>
  <si>
    <t>NV48-HUBS-3017</t>
  </si>
  <si>
    <t>ATHUB:Security - SOC15 Security</t>
  </si>
  <si>
    <t>NV48-HUBS-3018</t>
  </si>
  <si>
    <t>ATHUB:Debug - Debug Bus</t>
  </si>
  <si>
    <t>NV48-HUBS-3023</t>
  </si>
  <si>
    <t>ATHUB:VDCI on GFX SDP interfaces</t>
  </si>
  <si>
    <t>NV48-HUBS-3024</t>
  </si>
  <si>
    <t>ATHUB:Safe TDR for GPU Driver Reset(enhanced SDP port control)</t>
  </si>
  <si>
    <t>NV48-HUBS-3025</t>
  </si>
  <si>
    <t>ATHUB:Register Access Resilience</t>
  </si>
  <si>
    <t>NV48-HUBS-3026</t>
  </si>
  <si>
    <t>ATHUB - RPB:Add vc0 in IO traffic to support ZFB</t>
  </si>
  <si>
    <t>NV48-HUBS-3027</t>
  </si>
  <si>
    <t>ATHUB:Power - SOCCLK Deep Sleep</t>
  </si>
  <si>
    <t>NV48-HUBS-3028</t>
  </si>
  <si>
    <t>ATHUB:SOC-15 Address Width</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</si>
  <si>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</si>
  <si>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</si>
  <si>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</si>
  <si>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</si>
  <si>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</si>
  <si>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</si>
  <si>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</si>
  <si>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</si>
  <si>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</si>
  <si>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</si>
  <si>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</si>
  <si>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</si>
  <si>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</si>
  <si>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</si>
  <si>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</si>
  <si>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</si>
  <si>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</si>
  <si>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</si>
  <si>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</si>
  <si>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</si>
  <si>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</si>
  <si>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</si>
  <si>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</si>
  <si>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</si>
  <si>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</si>
  <si>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</si>
  <si>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</si>
  <si>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</si>
  <si>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</si>
  <si>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</si>
  <si>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</si>
  <si>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</si>
  <si>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</si>
  <si>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</si>
  <si>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</si>
  <si>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</si>
  <si>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</si>
  <si>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</si>
  <si>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</si>
  <si>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</si>
  <si>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</si>
  <si>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</si>
  <si>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</si>
  <si>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</si>
  <si>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</si>
  <si>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</si>
  <si>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</si>
  <si>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</si>
  <si>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</si>
  <si>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</si>
  <si>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</si>
  <si>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</si>
  <si>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</si>
  <si>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</si>
  <si>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</si>
  <si>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</si>
  <si>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</si>
  <si>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</si>
  <si>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</si>
  <si>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</si>
  <si>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</si>
  <si>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Why the Feature is not Entitled</t>
  </si>
  <si>
    <t>Why the Feature is Entitled, while not Commited</t>
  </si>
  <si>
    <t>A/B + 4wks</t>
  </si>
  <si>
    <t>A/B + 5wks</t>
  </si>
  <si>
    <t>Require manual power measurement, IPSE to cover</t>
  </si>
  <si>
    <t>A/B + 8wks</t>
  </si>
  <si>
    <t>Covered by IPSE, sequence will cause system hang</t>
  </si>
  <si>
    <t>Legacy feature to be covered by IPSE, should need Windows based testing.</t>
  </si>
  <si>
    <t>Not visible by Diag</t>
  </si>
  <si>
    <t>Windows based performance verification coverage</t>
  </si>
  <si>
    <t>Not required on post-si per FET team</t>
  </si>
  <si>
    <t>Need coverage from Windows based VCN performance test</t>
  </si>
  <si>
    <t>A/B + 7wks</t>
  </si>
  <si>
    <t>Power related manual testing by IPSE</t>
  </si>
  <si>
    <t>Windows based manual testing</t>
  </si>
  <si>
    <t>Legacy feature to be covered by IPSE manually. Requires modifying libs accessing undefined registers</t>
  </si>
  <si>
    <t>IPSE manual testing, and kysy related</t>
  </si>
  <si>
    <t>Covered by GFX workload test by IPSE</t>
  </si>
  <si>
    <t>Should be covered by register signoff process</t>
  </si>
  <si>
    <t>A/B + 6wks</t>
  </si>
  <si>
    <t>Coverage by GFX Diag</t>
  </si>
  <si>
    <t>Also covered by GFX diags</t>
  </si>
  <si>
    <t>Implicitly tested by Windows driver booting up</t>
  </si>
  <si>
    <t>Requires 3D workload testing and under certain clock settings</t>
  </si>
  <si>
    <t>Legacy feature to be covered by IPSE implicitly. Should need Windows based testing</t>
  </si>
  <si>
    <t>Legacy feature to be covered by IPSE implicitly via Sysmem testing. Not visible to diags</t>
  </si>
  <si>
    <t>Windows driver testing coverage</t>
  </si>
  <si>
    <t>Power related IPSE manual verification</t>
  </si>
  <si>
    <t>Legacy feature to be covered by IPSE. Covered inherently by ATHUB testing.</t>
  </si>
  <si>
    <t>A/B + 10wks</t>
  </si>
  <si>
    <t>After OSS/GFX/VCN DCC test</t>
  </si>
  <si>
    <t>IPSE manual testing, debug feature</t>
  </si>
  <si>
    <t>IPSE manual testing</t>
  </si>
  <si>
    <t>After OSS/GFX DCC test</t>
  </si>
  <si>
    <t>PLEASE DO NOT CROSS THIS LINE.   Insert New Rows OR Copied Cells "Above" The Last Known Good Row Only So Each Copied Cells &amp; Rows Still Contains The Right Formulas (Similar Concept for Removing or Deleting Rows)</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</si>
  <si>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</si>
  <si>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</si>
  <si>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</si>
  <si>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</si>
  <si>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</si>
  <si>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</si>
  <si>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</si>
  <si>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</si>
  <si>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</si>
  <si>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</si>
  <si>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</si>
  <si>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</si>
  <si>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</si>
  <si>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</si>
  <si>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</si>
  <si>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</si>
  <si>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</si>
  <si>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</si>
  <si>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</si>
  <si>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</si>
  <si>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</si>
  <si>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</si>
  <si>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</si>
  <si>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</si>
  <si>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</si>
  <si>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</si>
  <si>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</si>
  <si>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</si>
  <si>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</si>
  <si>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</si>
  <si>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</si>
  <si>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</si>
  <si>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</si>
  <si>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</si>
  <si>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</si>
  <si>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</si>
  <si>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</si>
  <si>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</si>
  <si>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</si>
  <si>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</si>
  <si>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</si>
  <si>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</si>
  <si>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</si>
  <si>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</si>
  <si>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</si>
  <si>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</si>
  <si>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</si>
  <si>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</si>
  <si>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</si>
  <si>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</si>
  <si>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</si>
  <si>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</si>
  <si>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</si>
  <si>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</si>
  <si>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</si>
  <si>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</si>
  <si>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</si>
  <si>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</si>
  <si>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</si>
  <si>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</si>
  <si>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</si>
  <si>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</si>
  <si>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</si>
  <si>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</si>
  <si>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TCoreAssert FAIL : 0
  in TCoreNavi48::GPUResource* TCoreNavi48::GPUPageTable::LookUpResList(bool, TC_uint64) at /data/lindzhan/diag_gpu_main/external/amd/lib/gfx12/tcore2/tcore2/src/lib/ip/mc/GPUPageTable.cpp:1134</t>
  </si>
  <si>
    <t>[error][GMC] Unsupported device!</t>
  </si>
  <si>
    <t>28245e236a5d</t>
  </si>
  <si>
    <t>28245e236a5d
[error][GMC] [device=1] Expected 2 misses, but got 1 misses
[error][GMC] [device=1] Expected 0 hits, but got 0 hits</t>
  </si>
  <si>
    <t>28245e236a5d
[error][GMC] Walker Error:Pde0Valid fault bit NOT set!</t>
  </si>
  <si>
    <t>[error][GMC] [mhub] VMID0:Addr@f4016f000 written = a5a5a5a5: read = 298c001</t>
  </si>
  <si>
    <t>TCore exception : HostCopy()-&gt;Poll( _npFenceResource, 0, (void*)&amp;nFence, 0, sizeof( f ) ) in virtual TCoreNavi48::RingStatus::Code TCoreNavi48::RingServerCPG::WaitForFence(TCoreNavi48::RingServer::Fence) at /data/lindzhan/diag_gpu_main/external/amd/lib/gfx12/tcore2/tcore2/src/lib/ip/gc/RingServerCPG.cpp:1404</t>
  </si>
  <si>
    <t>[error][Logger] virtual int MmUtcL1Navi48::SetDabgVirtChanForCli(bool, uint32_t) is deprecated!  Those tests that call this function with or without Save/RestoreVmL1Settings() should use Get/SetDagbVirtChanForCli() pair instead.</t>
  </si>
  <si>
    <t>[error][Logger] ts::Test::Result MhubVmL2HitMissTest::checkPTE(bool) Invalid GFX Gen.</t>
  </si>
  <si>
    <t>[error][Logger] ts::Test::Result MhubVmL2HitMissTest::vml2_hitmiss_test(int, bool) Invalid GFX Gen</t>
  </si>
  <si>
    <t>28245e236a5d
[error][GMC] PTE0[39] Read = 0000
[error][GMC] PTE0[39] Expected = efefefef</t>
  </si>
  <si>
    <t>[error][Logger] ts::Test::Result MhubVmL2CacheLineTest::vml2_cacheline_test(int, int) Invalid GFX Gen.</t>
  </si>
  <si>
    <t>[error][Logger] GmcAl::AmdRegDwordOffset::throw:: Undefined AmdRegIndex error! (~0u) The AmdRegIndex is: 2012198</t>
  </si>
  <si>
    <t>[error][Logger] ts::Test::Result MhubUtcL2SmallKBigKTest::test(int, int) Invalid GFX Gen.</t>
  </si>
  <si>
    <t>[error][Logger] LSDMA_QUEUE0:WaitForIdle timeout!</t>
  </si>
  <si>
    <t>[error][GMC] [device=1] Expected Interrupt not detected!
[error][GMC] [device=1] Mapping Error bit NOT set!</t>
  </si>
  <si>
    <t>Segfault</t>
  </si>
  <si>
    <t>TCore exception : _rbResourceType != "PhysicalVidmem" in bool TCoreNavi48::RingServerCPG::Allocate() at /data/lindzhan/diag_gpu_main/external/amd/lib/gfx12/tcore2/tcore2/src/lib/ip/gc/RingServerCPG.cpp:79</t>
  </si>
  <si>
    <t>[error][GMC] The expected XNACK value for Page Null is not set!</t>
  </si>
  <si>
    <t>[error][GMC] bool MhubCommonPspOnlyDefaultPageTest::hasValidConfiguration() - This test can only be executed on unsecure devices.</t>
  </si>
  <si>
    <t>[error][Logger] Exception during attempt to execute test: TcoreInterface ATC: ATC feature need ATS,PAGEREQ and PCIE_PASID CAPs! Please enable it in VBIOS.</t>
  </si>
  <si>
    <t>[error][GMC] [1] Expected zero hits, but got 8 hits
[error][GMC] [1] Expected zero misses, but got 5 misses</t>
  </si>
  <si>
    <t xml:space="preserve"> MhubProducerConsumer::TestModule() Invalid GFX Gen.</t>
  </si>
  <si>
    <t>[error][GMC] UtcL2Navi48::VmL2PteCacheDump - Timeout: Data not ready!
103, 106: [error][Logger] ts::Test::Result MhubVmL2EvictionTest::l2_BigK_eviction(bool) Invalid GFX Gen.</t>
  </si>
  <si>
    <t>[error][Logger] void MhubTest::SetClientToSoftRT(GmcDma::GmcDmaPtr, MhubTest::VML1_CLIENT_MAPPING&amp;) Invalid GFX Gen.</t>
  </si>
  <si>
    <t>[error][Logger] ts::Test::Result MhubVmL2EvictionTest::l2_BigK_eviction(bool) Invalid GFX Gen.</t>
  </si>
  <si>
    <t>[error][GMC] Unexpected entry
[error][Logger] ts::Test::Result MhubVmL2HitMissTest::vml2_hitmiss_test(int, bool) Invalid GFX Gen.</t>
  </si>
  <si>
    <t>[error][GMC] [device=1] mhub59.1-32 - Skip! Option -UseSem is required!</t>
  </si>
  <si>
    <t>Where's reuse-hint CF file?</t>
  </si>
  <si>
    <t>[error][Logger] virtual ts::Test::Result MhubHdpVmTest::Main() - Unsupported device type.</t>
  </si>
  <si>
    <t>[error][GMC] [device=1] bool MhubCommonPspOnlyDefaultPageTest::hasValidConfiguration() - This test can only be executed on unsecure devices.</t>
  </si>
  <si>
    <t>[error][GMC] vGpuVmPTE[0] doesn't match PTE[0] address from Page table walk, vGpuVmPTE[0] = 1000000001b80271 PTE[0] from page walk = 0000000000000000</t>
  </si>
  <si>
    <t>[error][GMC] PDE0.A is not set to 1</t>
  </si>
  <si>
    <t>[error][GMC] vGpuVmPTE[0] doesn't match PTE[0] address from Page table walk, vGpuVmPTE[0] = 1000000001b70271 PTE[0] from page walk = 0000000000000000</t>
  </si>
  <si>
    <t>[error][GMC] [device=1] Cannot be tested with devices other than Navi3x!</t>
  </si>
  <si>
    <t>28245e236a5d
Invalid GFX_GEN</t>
  </si>
  <si>
    <t>[error][GMC] Device is not supported!</t>
  </si>
  <si>
    <t>[warn][GMC] [device=1] SdmaUtcL1Gfx11::GetRdXnackRWPtrPosition(): Reorder FIFO pointers are not available in GFX11.</t>
  </si>
  <si>
    <t>Total Run.1</t>
  </si>
  <si>
    <t>Pass.1</t>
  </si>
  <si>
    <t>Waived.1</t>
  </si>
  <si>
    <t>Fail.1</t>
  </si>
  <si>
    <t>Skip.1</t>
  </si>
  <si>
    <t>% Pass Rate.1</t>
  </si>
  <si>
    <t/>
  </si>
  <si>
    <t>mhub006.1,mhub006.2,mhub006.4</t>
  </si>
  <si>
    <t>mhub008.1,mhub008.2</t>
  </si>
  <si>
    <t>mhub010.1,mhub010.2</t>
  </si>
  <si>
    <t>mhub014.1,mhub014.2</t>
  </si>
  <si>
    <t>mhub015.3,mhub015.4</t>
  </si>
  <si>
    <t>mhub018.3,mhub018.4</t>
  </si>
  <si>
    <t>mhub019.3,mhub019.4</t>
  </si>
  <si>
    <t>mhub020.3,mhub020.4</t>
  </si>
  <si>
    <t>mhub028.1,mhub028.2</t>
  </si>
  <si>
    <t>mhub029.1,mhub029.2</t>
  </si>
  <si>
    <t>mhub033.1,mhub033.2,mhub033.3</t>
  </si>
  <si>
    <t>mhub052.3,mhub052.4,mhub052.5</t>
  </si>
  <si>
    <t>mhub057.11,mhub057.12,mhub057.13</t>
  </si>
  <si>
    <t>mhub081.1,mhub081.2</t>
  </si>
  <si>
    <t>mhub084.1,mhub084.2</t>
  </si>
  <si>
    <t>mhub086.1,mhub086.2</t>
  </si>
  <si>
    <t>GFXHUB:GCUTCL2:VML2 - PTE Attributes</t>
  </si>
  <si>
    <t>mhub206.1,mhub206.2,mhub206.4</t>
  </si>
  <si>
    <t>mhub208.1,mhub208.2</t>
  </si>
  <si>
    <t>mhub254.1,mhub254.3,mhub254.5-8</t>
  </si>
  <si>
    <t>mhub281.1,mhub281.2</t>
  </si>
  <si>
    <t>mhub284.1,mhub284.2</t>
  </si>
  <si>
    <t>mhub286.1,mhub286.2</t>
  </si>
  <si>
    <t>mhub344.1,mhub344.2</t>
  </si>
  <si>
    <t>mhub260.1-32,mhub260.61-64</t>
  </si>
  <si>
    <t>mhub033.101,mhub033.103,mhub033.106</t>
  </si>
  <si>
    <t>mhub031.10,mhub031.11,mhub031.12,mhub031.13</t>
  </si>
  <si>
    <t>mhub233.1,mhub233.3,mhub233.101,mhub233.103</t>
  </si>
  <si>
    <t>mhub231.10,mhub231.11</t>
  </si>
  <si>
    <t>mhub153.1,mhub153.7,mhub153.401,mhub153.407</t>
  </si>
  <si>
    <t>mhub153.2,mhub153.8,mhub153.402,mhub153.408</t>
  </si>
  <si>
    <t>mhub153.201,mhub153.204,mhub153.211,mhub153.214</t>
  </si>
  <si>
    <t>mhub153.301,mhub153.304,mhub153.311,mhub153.314</t>
  </si>
  <si>
    <t>mhub153.5-6,mhub153.11-12,mhub153.405-406,mhub153.411-412</t>
  </si>
  <si>
    <t>mhub153.203,mhub153.206,mhub153.213,mhub153.216</t>
  </si>
  <si>
    <t>mhub153.303,mhub153.306,mhub153.313,mhub153.316</t>
  </si>
  <si>
    <t>mhub153.525,mhub153.531,mhub153.533,mhub153.539</t>
  </si>
  <si>
    <t>mhub153.526,mhub153.532,mhub153.534,mhub153.540</t>
  </si>
  <si>
    <t>mhub353.525,mhub353.531,mhub353.533,mhub353.539</t>
  </si>
  <si>
    <t>mhub353.526,mhub353.532,mhub353.534,mhub353.540</t>
  </si>
  <si>
    <t>mhub353.541,mhub353.543,mhub353.545,mhub353.547</t>
  </si>
  <si>
    <t>mhub353.542,mhub353.544,mhub353.546,mhub353.548</t>
  </si>
  <si>
    <t>mhub353.549,mhub353.551,mhub353.553,mhub353.555</t>
  </si>
  <si>
    <t>mhub353.550,mhub353.552,mhub353.554,mhub353.556</t>
  </si>
  <si>
    <t>mhub150.1-4,mhub150.10,mhub150.12,mhub150.20,mhub150.30-41</t>
  </si>
  <si>
    <t>mhub350.1-4,mhub350.10,mhub350.20,mhub350.30-37</t>
  </si>
  <si>
    <t>mhub415.1-4,mhub415.11-14,mhub415.21-24,mhub415.31-34</t>
  </si>
  <si>
    <t>mhub091.5,mhub091.6</t>
  </si>
  <si>
    <t>mhub291.5,mhub291.6</t>
  </si>
  <si>
    <t>This feature is covered by mhub287 (GFXHUB VML2 fault status register PRT field)</t>
  </si>
  <si>
    <t>mhub354.1,mhub354.2</t>
  </si>
  <si>
    <t>mhub162.1,mhub162.2</t>
  </si>
  <si>
    <t>mhub026.75,mhub026.76,mhub026.77</t>
  </si>
  <si>
    <t>mhub043.5,mhub043.6</t>
  </si>
  <si>
    <t>mhub043.7,mhub043.8</t>
  </si>
  <si>
    <t>mhub043.31,mhub043.32</t>
  </si>
  <si>
    <t>mhub044.9,mhub044.10</t>
  </si>
  <si>
    <t>mhub044.53,mhub044.54</t>
  </si>
  <si>
    <t>mhub168.1,mhub168.2,mhub168.3,mhub168.4</t>
  </si>
  <si>
    <t>mhub169.1,mhub169.2,mhub169.3,mhub169.4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</si>
</sst>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trike/>
      <sz val="11"/>
      <color theme="1"/>
      <name val="Calibri"/>
      <family val="2"/>
      <scheme val="minor"/>
    </font>
    <font>
      <strike/>
      <sz val="11"/>
      <name val="Calibri"/>
      <family val="2"/>
      <scheme val="minor"/>
    </font>
    <font>
      <sz val="10"/>
      <color indexed="81"/>
      <name val="Tahoma"/>
      <family val="2"/>
    </font>
    <font>
      <b/>
      <sz val="10"/>
      <color indexed="81"/>
      <name val="Tahoma"/>
      <family val="2"/>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11"/>
      <name val="Calibri"/>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
      <left style="medium">
        <color auto="1"/>
      </left>
      <right/>
      <top style="thin">
        <color auto="1"/>
      </top>
      <bottom/>
      <diagonal/>
    </border>
    <border>
      <left style="medium">
        <color indexed="64"/>
      </left>
      <right style="medium">
        <color indexed="64"/>
      </right>
      <top style="thin">
        <color auto="1"/>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37">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0" fillId="52" borderId="13" xfId="0" applyFill="1" applyBorder="1" applyProtection="1">
      <protection locked="0"/>
    </xf>
    <xf numFmtId="0" fontId="0" fillId="52" borderId="10" xfId="0" applyFill="1" applyBorder="1" applyProtection="1">
      <protection locked="0"/>
    </xf>
    <xf numFmtId="0" fontId="0" fillId="52" borderId="23" xfId="0" applyFill="1" applyBorder="1" applyProtection="1">
      <protection locked="0"/>
    </xf>
    <xf numFmtId="0" fontId="0" fillId="52" borderId="24"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0" borderId="49" xfId="0" applyBorder="1" applyAlignment="1">
      <alignment vertical="center"/>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164" fontId="16" fillId="44" borderId="63" xfId="0" applyNumberFormat="1" applyFont="1" applyFill="1" applyBorder="1" applyAlignment="1">
      <alignment horizontal="center" vertical="center"/>
    </xf>
    <xf numFmtId="0" fontId="16" fillId="44" borderId="51" xfId="0" applyFont="1" applyFill="1" applyBorder="1" applyAlignment="1">
      <alignment vertical="center"/>
    </xf>
    <xf numFmtId="164" fontId="0" fillId="0" borderId="16"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3" xfId="0" applyNumberFormat="1" applyBorder="1" applyAlignment="1">
      <alignment horizontal="center" vertical="center"/>
    </xf>
    <xf numFmtId="0" fontId="16" fillId="44" borderId="63" xfId="0" applyFont="1" applyFill="1" applyBorder="1" applyAlignment="1">
      <alignment vertical="center"/>
    </xf>
    <xf numFmtId="0" fontId="0" fillId="0" borderId="39" xfId="0" applyBorder="1" applyAlignment="1">
      <alignment vertical="center"/>
    </xf>
    <xf numFmtId="0" fontId="0" fillId="0" borderId="57" xfId="0" applyBorder="1" applyAlignment="1">
      <alignment vertical="center" wrapText="1"/>
    </xf>
    <xf numFmtId="0" fontId="0" fillId="0" borderId="57" xfId="0" applyBorder="1" applyAlignment="1">
      <alignment vertical="center"/>
    </xf>
    <xf numFmtId="0" fontId="0" fillId="0" borderId="40" xfId="0" applyBorder="1" applyAlignment="1">
      <alignment vertical="center" wrapText="1"/>
    </xf>
    <xf numFmtId="0" fontId="0" fillId="0" borderId="56" xfId="0" applyBorder="1" applyAlignment="1">
      <alignment vertical="center"/>
    </xf>
    <xf numFmtId="0" fontId="0" fillId="0" borderId="50" xfId="0" applyBorder="1" applyAlignment="1">
      <alignment vertical="center"/>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57" xfId="44" applyFont="1" applyFill="1" applyBorder="1" applyAlignment="1" applyProtection="1">
      <alignment horizontal="center"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9" fontId="18" fillId="52" borderId="13" xfId="0"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24"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2" borderId="36" xfId="0" applyFill="1" applyBorder="1" applyAlignment="1" applyProtection="1">
      <alignment horizontal="center"/>
      <protection locked="0"/>
    </xf>
    <xf numFmtId="0" fontId="0" fillId="53" borderId="25" xfId="0" applyFill="1" applyBorder="1" applyAlignment="1">
      <alignment vertical="center" wrapText="1"/>
    </xf>
    <xf numFmtId="0" fontId="0" fillId="52" borderId="17" xfId="0" applyFill="1" applyBorder="1" applyAlignment="1">
      <alignment vertical="center" wrapText="1"/>
    </xf>
    <xf numFmtId="0" fontId="0" fillId="52" borderId="10" xfId="0" applyFill="1" applyBorder="1" applyAlignment="1">
      <alignment vertical="center" wrapText="1"/>
    </xf>
    <xf numFmtId="0" fontId="0" fillId="52" borderId="10" xfId="0" applyFill="1" applyBorder="1" applyAlignment="1">
      <alignment horizontal="left" vertical="center" wrapText="1"/>
    </xf>
    <xf numFmtId="49" fontId="0" fillId="52" borderId="10" xfId="0" applyNumberFormat="1" applyFill="1" applyBorder="1" applyAlignment="1">
      <alignment horizontal="left" vertical="center" wrapText="1"/>
    </xf>
    <xf numFmtId="0" fontId="0" fillId="52" borderId="10" xfId="0" applyFill="1" applyBorder="1" applyAlignment="1" applyProtection="1">
      <alignment horizontal="center" vertical="center"/>
      <protection locked="0"/>
    </xf>
    <xf numFmtId="0" fontId="18" fillId="52" borderId="10" xfId="0" applyFont="1" applyFill="1" applyBorder="1" applyAlignment="1">
      <alignment horizontal="center" vertical="center"/>
    </xf>
    <xf numFmtId="0" fontId="0" fillId="0" borderId="0" xfId="0" applyAlignment="1" applyProtection="1">
      <alignment horizontal="left" vertical="center" wrapText="1"/>
      <protection locked="0"/>
    </xf>
    <xf numFmtId="0" fontId="0" fillId="52" borderId="16" xfId="0" applyFill="1" applyBorder="1" applyAlignment="1">
      <alignment vertical="center"/>
    </xf>
    <xf numFmtId="0" fontId="0" fillId="52" borderId="13" xfId="0" applyFill="1" applyBorder="1" applyAlignment="1">
      <alignment vertical="center"/>
    </xf>
    <xf numFmtId="0" fontId="0" fillId="52" borderId="37" xfId="0" applyFill="1" applyBorder="1" applyProtection="1">
      <protection locked="0"/>
    </xf>
    <xf numFmtId="0" fontId="0" fillId="52" borderId="19" xfId="0" applyFill="1" applyBorder="1" applyProtection="1">
      <protection locked="0"/>
    </xf>
    <xf numFmtId="0" fontId="0" fillId="52" borderId="19" xfId="0" applyFill="1" applyBorder="1" applyAlignment="1" applyProtection="1">
      <alignment horizontal="center"/>
      <protection locked="0"/>
    </xf>
    <xf numFmtId="0" fontId="0" fillId="52" borderId="20" xfId="0" applyFill="1" applyBorder="1" applyAlignment="1" applyProtection="1">
      <alignment horizontal="center"/>
      <protection locked="0"/>
    </xf>
    <xf numFmtId="0" fontId="0" fillId="52" borderId="10" xfId="0" applyFill="1" applyBorder="1" applyAlignment="1">
      <alignment vertical="center"/>
    </xf>
    <xf numFmtId="0" fontId="18" fillId="52" borderId="20" xfId="0" applyFont="1" applyFill="1" applyBorder="1" applyAlignment="1" applyProtection="1">
      <alignment vertical="center" wrapText="1"/>
      <protection locked="0"/>
    </xf>
    <xf numFmtId="0" fontId="18" fillId="52" borderId="10" xfId="0" applyFont="1" applyFill="1" applyBorder="1" applyAlignment="1" applyProtection="1">
      <alignment vertical="center" wrapText="1"/>
      <protection locked="0"/>
    </xf>
    <xf numFmtId="0" fontId="0" fillId="40" borderId="10" xfId="0" applyFill="1" applyBorder="1" applyAlignment="1" applyProtection="1">
      <alignment vertical="center" wrapText="1"/>
      <protection locked="0"/>
    </xf>
    <xf numFmtId="0" fontId="0" fillId="40" borderId="24" xfId="0" applyFill="1" applyBorder="1" applyAlignment="1" applyProtection="1">
      <alignment vertical="center" wrapText="1"/>
      <protection locked="0"/>
    </xf>
    <xf numFmtId="0" fontId="0" fillId="35" borderId="84" xfId="0" applyFill="1" applyBorder="1" applyAlignment="1">
      <alignment horizontal="left" vertical="top"/>
    </xf>
    <xf numFmtId="0" fontId="42" fillId="35" borderId="84" xfId="0" applyFont="1" applyFill="1" applyBorder="1" applyAlignment="1">
      <alignment horizontal="center" vertical="top"/>
    </xf>
    <xf numFmtId="0" fontId="41" fillId="33" borderId="15" xfId="0" applyFont="1" applyFill="1" applyBorder="1" applyAlignment="1" applyProtection="1">
      <alignment vertical="center" wrapText="1"/>
      <protection locked="0"/>
    </xf>
    <xf numFmtId="0" fontId="16" fillId="0" borderId="0" xfId="0" applyFont="1"/>
    <xf numFmtId="0" fontId="16" fillId="43" borderId="26" xfId="0" applyFont="1" applyFill="1" applyBorder="1" applyAlignment="1" applyProtection="1">
      <alignment horizontal="left" vertical="center" wrapText="1"/>
      <protection locked="0"/>
    </xf>
    <xf numFmtId="0" fontId="16" fillId="43" borderId="10" xfId="0" applyFont="1" applyFill="1" applyBorder="1" applyAlignment="1" applyProtection="1">
      <alignment horizontal="left" vertical="center" wrapText="1"/>
      <protection locked="0"/>
    </xf>
    <xf numFmtId="0" fontId="45" fillId="0" borderId="0" xfId="0" applyFont="1" applyAlignment="1" applyProtection="1">
      <alignment vertical="center"/>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49" fillId="43" borderId="10" xfId="0" applyFont="1" applyFill="1" applyBorder="1" applyAlignment="1">
      <alignment vertical="center" wrapText="1"/>
    </xf>
    <xf numFmtId="0" fontId="50"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9" fillId="55" borderId="10" xfId="0" applyFont="1" applyFill="1" applyBorder="1" applyAlignment="1">
      <alignment vertical="center" wrapText="1"/>
    </xf>
    <xf numFmtId="0" fontId="51" fillId="55" borderId="10" xfId="0" applyFont="1" applyFill="1" applyBorder="1" applyAlignment="1">
      <alignment vertical="center"/>
    </xf>
    <xf numFmtId="0" fontId="51" fillId="43" borderId="10" xfId="0" applyFont="1" applyFill="1" applyBorder="1" applyAlignment="1">
      <alignment vertical="center"/>
    </xf>
    <xf numFmtId="0" fontId="52" fillId="55" borderId="10" xfId="0" applyFont="1" applyFill="1" applyBorder="1" applyAlignment="1">
      <alignment vertical="center"/>
    </xf>
    <xf numFmtId="0" fontId="51" fillId="56" borderId="10" xfId="0" applyFont="1" applyFill="1" applyBorder="1" applyAlignment="1">
      <alignment vertical="center"/>
    </xf>
    <xf numFmtId="0" fontId="53" fillId="0" borderId="10" xfId="0" applyFont="1" applyBorder="1" applyAlignment="1">
      <alignment vertical="center" wrapText="1"/>
    </xf>
    <xf numFmtId="0" fontId="53" fillId="0" borderId="10" xfId="0" applyFont="1" applyBorder="1" applyAlignment="1">
      <alignment vertical="center"/>
    </xf>
    <xf numFmtId="0" fontId="53" fillId="0" borderId="10" xfId="0" applyFont="1" applyBorder="1" applyAlignment="1">
      <alignment horizontal="center" vertical="center"/>
    </xf>
    <xf numFmtId="0" fontId="50" fillId="0" borderId="10" xfId="0" applyFont="1" applyBorder="1" applyAlignment="1">
      <alignment vertical="center"/>
    </xf>
    <xf numFmtId="0" fontId="16" fillId="52" borderId="0" xfId="0" applyFont="1" applyFill="1" applyAlignment="1">
      <alignment vertical="center"/>
    </xf>
    <xf numFmtId="0" fontId="52" fillId="56" borderId="10" xfId="0" applyFont="1" applyFill="1" applyBorder="1" applyAlignment="1">
      <alignment vertical="center"/>
    </xf>
    <xf numFmtId="9" fontId="53" fillId="0" borderId="10" xfId="0" applyNumberFormat="1" applyFont="1" applyBorder="1" applyAlignment="1">
      <alignment horizontal="center" vertical="center"/>
    </xf>
    <xf numFmtId="0" fontId="54" fillId="0" borderId="10" xfId="0" applyFont="1" applyBorder="1" applyAlignment="1">
      <alignment horizontal="center" vertical="center"/>
    </xf>
    <xf numFmtId="0" fontId="54" fillId="0" borderId="10" xfId="0" applyFont="1" applyBorder="1" applyAlignment="1">
      <alignment vertical="center"/>
    </xf>
    <xf numFmtId="164" fontId="0" fillId="0" borderId="28" xfId="0" applyNumberFormat="1" applyBorder="1" applyAlignment="1">
      <alignment horizontal="center" vertical="center"/>
    </xf>
    <xf numFmtId="0" fontId="0" fillId="0" borderId="66" xfId="0" applyBorder="1" applyAlignment="1">
      <alignment vertical="center" wrapText="1"/>
    </xf>
    <xf numFmtId="0" fontId="0" fillId="52" borderId="10" xfId="0" quotePrefix="1" applyFill="1" applyBorder="1" applyAlignment="1">
      <alignment vertical="center" wrapText="1"/>
    </xf>
    <xf numFmtId="0" fontId="0" fillId="52" borderId="0" xfId="0" applyFill="1" applyAlignment="1" applyProtection="1">
      <alignment horizontal="center"/>
      <protection locked="0"/>
    </xf>
    <xf numFmtId="0" fontId="18" fillId="52" borderId="19" xfId="42" applyNumberFormat="1" applyFont="1" applyFill="1" applyBorder="1" applyAlignment="1" applyProtection="1">
      <alignment horizontal="center" vertical="center"/>
      <protection locked="0"/>
    </xf>
    <xf numFmtId="0" fontId="0" fillId="35" borderId="84" xfId="0" applyFill="1" applyBorder="1"/>
    <xf numFmtId="0" fontId="42" fillId="35" borderId="32" xfId="0" applyFont="1" applyFill="1" applyBorder="1" applyAlignment="1">
      <alignment horizontal="center"/>
    </xf>
    <xf numFmtId="0" fontId="46" fillId="0" borderId="0" xfId="0" applyFont="1" applyAlignment="1" applyProtection="1">
      <alignment vertical="center"/>
      <protection locked="0"/>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wrapText="1"/>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3"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3"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lignment horizontal="center" vertical="center"/>
    </xf>
    <xf numFmtId="0" fontId="0" fillId="52" borderId="68" xfId="0" applyFill="1" applyBorder="1" applyAlignment="1">
      <alignment horizontal="center" vertical="center"/>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55" fillId="0" borderId="10" xfId="0" applyFont="1" applyBorder="1" applyAlignment="1">
      <alignment horizontal="center" vertical="top"/>
    </xf>
    <xf numFmtId="0" fontId="0" fillId="0" borderId="0" xfId="0" applyAlignment="1">
      <alignment horizont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24">
                  <c:v>0.94</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0.02</c:v>
                </c:pt>
                <c:pt idx="27">
                  <c:v>0.06</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0.13</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42578125" style="78" bestFit="1" customWidth="1"/>
    <col min="5" max="5" width="40.140625" style="81" bestFit="1" customWidth="1"/>
    <col min="6" max="6" width="35.42578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ht="30"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selection activeCell="E7" sqref="E7"/>
    </sheetView>
  </sheetViews>
  <sheetFormatPr defaultColWidth="8.42578125" defaultRowHeight="15" x14ac:dyDescent="0.25"/>
  <cols>
    <col min="1" max="1" width="8.42578125" style="79"/>
    <col min="5" max="5" width="9" style="79" bestFit="1" customWidth="1"/>
    <col min="9" max="9" width="11" bestFit="1" customWidth="1"/>
  </cols>
  <sheetData>
    <row r="1" spans="1:9" x14ac:dyDescent="0.25">
      <c r="A1" s="79" t="s">
        <v>30</v>
      </c>
      <c r="C1" t="s">
        <v>31</v>
      </c>
      <c r="E1" s="79" t="s">
        <v>32</v>
      </c>
      <c r="G1" t="s">
        <v>33</v>
      </c>
      <c r="I1" t="s">
        <v>34</v>
      </c>
    </row>
    <row r="2" spans="1:9" x14ac:dyDescent="0.25">
      <c r="A2" s="79" t="s">
        <v>35</v>
      </c>
      <c r="C2" t="s">
        <v>36</v>
      </c>
      <c r="E2" s="79" t="s">
        <v>37</v>
      </c>
      <c r="G2" t="s">
        <v>38</v>
      </c>
      <c r="I2" t="s">
        <v>39</v>
      </c>
    </row>
    <row r="3" spans="1:9" x14ac:dyDescent="0.25">
      <c r="A3" s="79" t="s">
        <v>40</v>
      </c>
      <c r="E3" s="79" t="s">
        <v>41</v>
      </c>
      <c r="G3" t="s">
        <v>42</v>
      </c>
      <c r="I3" t="s">
        <v>43</v>
      </c>
    </row>
    <row r="4" spans="1:9" x14ac:dyDescent="0.25">
      <c r="A4" s="79" t="s">
        <v>44</v>
      </c>
      <c r="E4" s="79" t="s">
        <v>45</v>
      </c>
      <c r="I4" t="s">
        <v>44</v>
      </c>
    </row>
    <row r="5" spans="1:9" x14ac:dyDescent="0.25">
      <c r="E5" s="79" t="s">
        <v>46</v>
      </c>
    </row>
    <row r="6" spans="1:9" x14ac:dyDescent="0.25">
      <c r="E6" s="79" t="s">
        <v>47</v>
      </c>
    </row>
    <row r="7" spans="1:9" x14ac:dyDescent="0.25">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64" activePane="bottomRight" state="frozen"/>
      <selection pane="topRight" activeCell="D1" sqref="D1"/>
      <selection pane="bottomLeft" activeCell="A9" sqref="A9"/>
      <selection pane="bottomRight" activeCell="D70" sqref="D70"/>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42578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48</v>
      </c>
      <c r="B1" s="593" t="s">
        <v>49</v>
      </c>
      <c r="C1" s="594"/>
      <c r="D1" s="594"/>
      <c r="E1" s="167" t="s">
        <v>50</v>
      </c>
      <c r="F1" s="167" t="s">
        <v>51</v>
      </c>
      <c r="G1" s="110" t="s">
        <v>52</v>
      </c>
    </row>
    <row r="2" spans="1:7" x14ac:dyDescent="0.25">
      <c r="A2" s="116" t="s">
        <v>53</v>
      </c>
      <c r="B2" s="595" t="s">
        <v>54</v>
      </c>
      <c r="C2" s="596"/>
      <c r="D2" s="596"/>
      <c r="E2" s="279" t="s">
        <v>55</v>
      </c>
      <c r="F2" s="279" t="s">
        <v>56</v>
      </c>
      <c r="G2" s="310" t="s">
        <v>57</v>
      </c>
    </row>
    <row r="3" spans="1:7" s="81" customFormat="1" x14ac:dyDescent="0.25">
      <c r="A3" s="202" t="s">
        <v>58</v>
      </c>
      <c r="B3" s="602" t="s">
        <v>59</v>
      </c>
      <c r="C3" s="603"/>
      <c r="D3" s="604"/>
      <c r="E3" s="80" t="s">
        <v>55</v>
      </c>
      <c r="F3" s="80" t="s">
        <v>56</v>
      </c>
      <c r="G3" s="311" t="s">
        <v>57</v>
      </c>
    </row>
    <row r="4" spans="1:7" x14ac:dyDescent="0.25">
      <c r="A4" s="202" t="s">
        <v>60</v>
      </c>
      <c r="B4" s="599" t="s">
        <v>61</v>
      </c>
      <c r="C4" s="600"/>
      <c r="D4" s="601"/>
      <c r="E4" s="80" t="s">
        <v>62</v>
      </c>
      <c r="F4" s="80" t="s">
        <v>56</v>
      </c>
      <c r="G4" s="311" t="s">
        <v>57</v>
      </c>
    </row>
    <row r="5" spans="1:7" x14ac:dyDescent="0.25">
      <c r="A5" s="117" t="s">
        <v>63</v>
      </c>
      <c r="B5" s="599" t="s">
        <v>64</v>
      </c>
      <c r="C5" s="600"/>
      <c r="D5" s="601"/>
      <c r="E5" s="80" t="s">
        <v>62</v>
      </c>
      <c r="F5" s="80" t="s">
        <v>56</v>
      </c>
      <c r="G5" s="311" t="s">
        <v>57</v>
      </c>
    </row>
    <row r="6" spans="1:7" x14ac:dyDescent="0.25">
      <c r="A6" s="117" t="s">
        <v>65</v>
      </c>
      <c r="B6" s="599" t="s">
        <v>66</v>
      </c>
      <c r="C6" s="600"/>
      <c r="D6" s="601"/>
      <c r="E6" s="80" t="s">
        <v>67</v>
      </c>
      <c r="F6" s="80" t="s">
        <v>56</v>
      </c>
      <c r="G6" s="85"/>
    </row>
    <row r="7" spans="1:7" ht="15.75" thickBot="1" x14ac:dyDescent="0.3">
      <c r="A7" s="118" t="s">
        <v>68</v>
      </c>
      <c r="B7" s="597" t="s">
        <v>69</v>
      </c>
      <c r="C7" s="598"/>
      <c r="D7" s="598"/>
      <c r="E7" s="86" t="s">
        <v>67</v>
      </c>
      <c r="F7" s="86"/>
      <c r="G7" s="87"/>
    </row>
    <row r="8" spans="1:7" s="84" customFormat="1" ht="15.75" thickBot="1" x14ac:dyDescent="0.3">
      <c r="A8" s="115" t="s">
        <v>48</v>
      </c>
      <c r="B8" s="407" t="s">
        <v>1</v>
      </c>
      <c r="C8" s="167" t="s">
        <v>70</v>
      </c>
      <c r="D8" s="167" t="s">
        <v>49</v>
      </c>
      <c r="E8" s="167" t="s">
        <v>50</v>
      </c>
      <c r="F8" s="167" t="s">
        <v>51</v>
      </c>
      <c r="G8" s="110" t="s">
        <v>52</v>
      </c>
    </row>
    <row r="9" spans="1:7" ht="105" x14ac:dyDescent="0.25">
      <c r="A9" s="579" t="s">
        <v>53</v>
      </c>
      <c r="B9" s="582" t="s">
        <v>71</v>
      </c>
      <c r="C9" s="317" t="s">
        <v>72</v>
      </c>
      <c r="D9" s="94" t="s">
        <v>73</v>
      </c>
      <c r="E9" s="94" t="s">
        <v>55</v>
      </c>
      <c r="F9" s="94" t="s">
        <v>74</v>
      </c>
      <c r="G9" s="408" t="s">
        <v>75</v>
      </c>
    </row>
    <row r="10" spans="1:7" ht="75" x14ac:dyDescent="0.25">
      <c r="A10" s="580"/>
      <c r="B10" s="583"/>
      <c r="C10" s="313" t="s">
        <v>76</v>
      </c>
      <c r="D10" s="82" t="s">
        <v>77</v>
      </c>
      <c r="E10" s="82" t="s">
        <v>55</v>
      </c>
      <c r="F10" s="82" t="s">
        <v>74</v>
      </c>
      <c r="G10" s="306" t="s">
        <v>78</v>
      </c>
    </row>
    <row r="11" spans="1:7" ht="45" x14ac:dyDescent="0.25">
      <c r="A11" s="580"/>
      <c r="B11" s="583"/>
      <c r="C11" s="313" t="s">
        <v>79</v>
      </c>
      <c r="D11" s="82" t="s">
        <v>80</v>
      </c>
      <c r="E11" s="82" t="s">
        <v>81</v>
      </c>
      <c r="F11" s="82" t="s">
        <v>74</v>
      </c>
      <c r="G11" s="95" t="s">
        <v>82</v>
      </c>
    </row>
    <row r="12" spans="1:7" ht="120" x14ac:dyDescent="0.25">
      <c r="A12" s="580"/>
      <c r="B12" s="583"/>
      <c r="C12" s="313" t="s">
        <v>83</v>
      </c>
      <c r="D12" s="334" t="s">
        <v>84</v>
      </c>
      <c r="E12" s="82" t="s">
        <v>81</v>
      </c>
      <c r="F12" s="82" t="s">
        <v>74</v>
      </c>
      <c r="G12" s="306" t="s">
        <v>85</v>
      </c>
    </row>
    <row r="13" spans="1:7" ht="30" x14ac:dyDescent="0.25">
      <c r="A13" s="580"/>
      <c r="B13" s="583"/>
      <c r="C13" s="313" t="s">
        <v>86</v>
      </c>
      <c r="D13" s="82" t="s">
        <v>87</v>
      </c>
      <c r="E13" s="82" t="s">
        <v>81</v>
      </c>
      <c r="F13" s="82" t="s">
        <v>74</v>
      </c>
      <c r="G13" s="95" t="s">
        <v>88</v>
      </c>
    </row>
    <row r="14" spans="1:7" ht="30" x14ac:dyDescent="0.25">
      <c r="A14" s="580"/>
      <c r="B14" s="583"/>
      <c r="C14" s="313" t="s">
        <v>89</v>
      </c>
      <c r="D14" s="82" t="s">
        <v>90</v>
      </c>
      <c r="E14" s="82" t="s">
        <v>81</v>
      </c>
      <c r="F14" s="82" t="s">
        <v>74</v>
      </c>
      <c r="G14" s="95" t="s">
        <v>88</v>
      </c>
    </row>
    <row r="15" spans="1:7" ht="30" x14ac:dyDescent="0.25">
      <c r="A15" s="580"/>
      <c r="B15" s="583"/>
      <c r="C15" s="121" t="s">
        <v>91</v>
      </c>
      <c r="D15" s="82" t="s">
        <v>92</v>
      </c>
      <c r="E15" s="82" t="s">
        <v>55</v>
      </c>
      <c r="F15" s="82" t="s">
        <v>74</v>
      </c>
      <c r="G15" s="95" t="s">
        <v>93</v>
      </c>
    </row>
    <row r="16" spans="1:7" ht="60" x14ac:dyDescent="0.25">
      <c r="A16" s="580"/>
      <c r="B16" s="583"/>
      <c r="C16" s="313" t="s">
        <v>94</v>
      </c>
      <c r="D16" s="334" t="s">
        <v>95</v>
      </c>
      <c r="E16" s="82" t="s">
        <v>81</v>
      </c>
      <c r="F16" s="82" t="s">
        <v>74</v>
      </c>
      <c r="G16" s="306" t="s">
        <v>96</v>
      </c>
    </row>
    <row r="17" spans="1:7" ht="30" x14ac:dyDescent="0.25">
      <c r="A17" s="580"/>
      <c r="B17" s="583"/>
      <c r="C17" s="313" t="s">
        <v>97</v>
      </c>
      <c r="D17" s="82" t="s">
        <v>98</v>
      </c>
      <c r="E17" s="82" t="s">
        <v>81</v>
      </c>
      <c r="F17" s="82" t="s">
        <v>74</v>
      </c>
      <c r="G17" s="95" t="s">
        <v>99</v>
      </c>
    </row>
    <row r="18" spans="1:7" ht="45" x14ac:dyDescent="0.25">
      <c r="A18" s="580"/>
      <c r="B18" s="583"/>
      <c r="C18" s="313" t="s">
        <v>100</v>
      </c>
      <c r="D18" s="82" t="s">
        <v>101</v>
      </c>
      <c r="E18" s="82" t="s">
        <v>81</v>
      </c>
      <c r="F18" s="82" t="s">
        <v>74</v>
      </c>
      <c r="G18" s="95" t="s">
        <v>102</v>
      </c>
    </row>
    <row r="19" spans="1:7" x14ac:dyDescent="0.25">
      <c r="A19" s="580"/>
      <c r="B19" s="583"/>
      <c r="C19" s="313" t="s">
        <v>103</v>
      </c>
      <c r="D19" s="82" t="s">
        <v>104</v>
      </c>
      <c r="E19" s="82" t="s">
        <v>81</v>
      </c>
      <c r="F19" s="82" t="s">
        <v>74</v>
      </c>
      <c r="G19" s="95" t="s">
        <v>105</v>
      </c>
    </row>
    <row r="20" spans="1:7" ht="105.75" thickBot="1" x14ac:dyDescent="0.3">
      <c r="A20" s="580"/>
      <c r="B20" s="584"/>
      <c r="C20" s="409" t="s">
        <v>1</v>
      </c>
      <c r="D20" s="515" t="s">
        <v>106</v>
      </c>
      <c r="E20" s="366" t="s">
        <v>81</v>
      </c>
      <c r="F20" s="366" t="s">
        <v>74</v>
      </c>
      <c r="G20" s="410" t="s">
        <v>107</v>
      </c>
    </row>
    <row r="21" spans="1:7" ht="45" x14ac:dyDescent="0.25">
      <c r="A21" s="580"/>
      <c r="B21" s="616" t="s">
        <v>108</v>
      </c>
      <c r="C21" s="314" t="s">
        <v>109</v>
      </c>
      <c r="D21" s="105" t="s">
        <v>110</v>
      </c>
      <c r="E21" s="105" t="s">
        <v>81</v>
      </c>
      <c r="F21" s="105" t="s">
        <v>111</v>
      </c>
      <c r="G21" s="168" t="s">
        <v>112</v>
      </c>
    </row>
    <row r="22" spans="1:7" ht="30" x14ac:dyDescent="0.25">
      <c r="A22" s="580"/>
      <c r="B22" s="617"/>
      <c r="C22" s="315" t="s">
        <v>113</v>
      </c>
      <c r="D22" s="414" t="s">
        <v>114</v>
      </c>
      <c r="E22" s="414" t="s">
        <v>81</v>
      </c>
      <c r="F22" s="414" t="s">
        <v>111</v>
      </c>
      <c r="G22" s="415" t="s">
        <v>115</v>
      </c>
    </row>
    <row r="23" spans="1:7" ht="15.75" thickBot="1" x14ac:dyDescent="0.3">
      <c r="A23" s="580"/>
      <c r="B23" s="618"/>
      <c r="C23" s="416" t="s">
        <v>116</v>
      </c>
      <c r="D23" s="107" t="s">
        <v>117</v>
      </c>
      <c r="E23" s="107" t="s">
        <v>81</v>
      </c>
      <c r="F23" s="107" t="s">
        <v>111</v>
      </c>
      <c r="G23" s="108" t="s">
        <v>118</v>
      </c>
    </row>
    <row r="24" spans="1:7" ht="30" customHeight="1" x14ac:dyDescent="0.25">
      <c r="A24" s="580"/>
      <c r="B24" s="619" t="s">
        <v>119</v>
      </c>
      <c r="C24" s="411" t="s">
        <v>120</v>
      </c>
      <c r="D24" s="412" t="s">
        <v>121</v>
      </c>
      <c r="E24" s="412" t="s">
        <v>81</v>
      </c>
      <c r="F24" s="412" t="s">
        <v>74</v>
      </c>
      <c r="G24" s="413" t="s">
        <v>122</v>
      </c>
    </row>
    <row r="25" spans="1:7" ht="30" customHeight="1" x14ac:dyDescent="0.25">
      <c r="A25" s="580"/>
      <c r="B25" s="620"/>
      <c r="C25" s="315" t="s">
        <v>123</v>
      </c>
      <c r="D25" s="109" t="s">
        <v>124</v>
      </c>
      <c r="E25" s="109" t="s">
        <v>81</v>
      </c>
      <c r="F25" s="109" t="s">
        <v>125</v>
      </c>
      <c r="G25" s="573" t="s">
        <v>126</v>
      </c>
    </row>
    <row r="26" spans="1:7" ht="30" x14ac:dyDescent="0.25">
      <c r="A26" s="580"/>
      <c r="B26" s="620"/>
      <c r="C26" s="260" t="s">
        <v>127</v>
      </c>
      <c r="D26" s="109" t="s">
        <v>128</v>
      </c>
      <c r="E26" s="109" t="s">
        <v>81</v>
      </c>
      <c r="F26" s="109" t="s">
        <v>125</v>
      </c>
      <c r="G26" s="574"/>
    </row>
    <row r="27" spans="1:7" x14ac:dyDescent="0.25">
      <c r="A27" s="580"/>
      <c r="B27" s="620"/>
      <c r="C27" s="315" t="s">
        <v>30</v>
      </c>
      <c r="D27" s="109" t="s">
        <v>129</v>
      </c>
      <c r="E27" s="109" t="s">
        <v>81</v>
      </c>
      <c r="F27" s="109" t="s">
        <v>125</v>
      </c>
      <c r="G27" s="574"/>
    </row>
    <row r="28" spans="1:7" x14ac:dyDescent="0.25">
      <c r="A28" s="580"/>
      <c r="B28" s="620"/>
      <c r="C28" s="315" t="s">
        <v>130</v>
      </c>
      <c r="D28" s="109" t="s">
        <v>131</v>
      </c>
      <c r="E28" s="109" t="s">
        <v>81</v>
      </c>
      <c r="F28" s="109" t="s">
        <v>125</v>
      </c>
      <c r="G28" s="574"/>
    </row>
    <row r="29" spans="1:7" x14ac:dyDescent="0.25">
      <c r="A29" s="580"/>
      <c r="B29" s="620"/>
      <c r="C29" s="315" t="s">
        <v>35</v>
      </c>
      <c r="D29" s="109" t="s">
        <v>132</v>
      </c>
      <c r="E29" s="109" t="s">
        <v>81</v>
      </c>
      <c r="F29" s="109" t="s">
        <v>125</v>
      </c>
      <c r="G29" s="574"/>
    </row>
    <row r="30" spans="1:7" x14ac:dyDescent="0.25">
      <c r="A30" s="580"/>
      <c r="B30" s="620"/>
      <c r="C30" s="315" t="s">
        <v>133</v>
      </c>
      <c r="D30" s="109" t="s">
        <v>134</v>
      </c>
      <c r="E30" s="109" t="s">
        <v>81</v>
      </c>
      <c r="F30" s="109" t="s">
        <v>125</v>
      </c>
      <c r="G30" s="574"/>
    </row>
    <row r="31" spans="1:7" x14ac:dyDescent="0.25">
      <c r="A31" s="580"/>
      <c r="B31" s="620"/>
      <c r="C31" s="260" t="s">
        <v>135</v>
      </c>
      <c r="D31" s="109" t="s">
        <v>136</v>
      </c>
      <c r="E31" s="109" t="s">
        <v>81</v>
      </c>
      <c r="F31" s="109" t="s">
        <v>125</v>
      </c>
      <c r="G31" s="574"/>
    </row>
    <row r="32" spans="1:7" ht="30.75" thickBot="1" x14ac:dyDescent="0.3">
      <c r="A32" s="580"/>
      <c r="B32" s="621"/>
      <c r="C32" s="316" t="s">
        <v>137</v>
      </c>
      <c r="D32" s="104" t="s">
        <v>138</v>
      </c>
      <c r="E32" s="104" t="s">
        <v>81</v>
      </c>
      <c r="F32" s="104" t="s">
        <v>125</v>
      </c>
      <c r="G32" s="575"/>
    </row>
    <row r="33" spans="1:7" ht="30" x14ac:dyDescent="0.25">
      <c r="A33" s="580"/>
      <c r="B33" s="622" t="s">
        <v>139</v>
      </c>
      <c r="C33" s="295" t="s">
        <v>127</v>
      </c>
      <c r="D33" s="258" t="s">
        <v>140</v>
      </c>
      <c r="E33" s="258" t="s">
        <v>81</v>
      </c>
      <c r="F33" s="258" t="s">
        <v>141</v>
      </c>
      <c r="G33" s="259" t="s">
        <v>142</v>
      </c>
    </row>
    <row r="34" spans="1:7" x14ac:dyDescent="0.25">
      <c r="A34" s="580"/>
      <c r="B34" s="623"/>
      <c r="C34" s="313" t="s">
        <v>30</v>
      </c>
      <c r="D34" s="83" t="s">
        <v>143</v>
      </c>
      <c r="E34" s="83" t="s">
        <v>81</v>
      </c>
      <c r="F34" s="83" t="s">
        <v>141</v>
      </c>
      <c r="G34" s="99"/>
    </row>
    <row r="35" spans="1:7" x14ac:dyDescent="0.25">
      <c r="A35" s="580"/>
      <c r="B35" s="623"/>
      <c r="C35" s="313" t="s">
        <v>130</v>
      </c>
      <c r="D35" s="83" t="s">
        <v>144</v>
      </c>
      <c r="E35" s="83" t="s">
        <v>81</v>
      </c>
      <c r="F35" s="83" t="s">
        <v>141</v>
      </c>
      <c r="G35" s="99" t="s">
        <v>145</v>
      </c>
    </row>
    <row r="36" spans="1:7" x14ac:dyDescent="0.25">
      <c r="A36" s="580"/>
      <c r="B36" s="623"/>
      <c r="C36" s="313" t="s">
        <v>35</v>
      </c>
      <c r="D36" s="83" t="s">
        <v>146</v>
      </c>
      <c r="E36" s="83" t="s">
        <v>81</v>
      </c>
      <c r="F36" s="83" t="s">
        <v>141</v>
      </c>
      <c r="G36" s="113"/>
    </row>
    <row r="37" spans="1:7" x14ac:dyDescent="0.25">
      <c r="A37" s="580"/>
      <c r="B37" s="623"/>
      <c r="C37" s="313" t="s">
        <v>133</v>
      </c>
      <c r="D37" s="83" t="s">
        <v>147</v>
      </c>
      <c r="E37" s="83" t="s">
        <v>81</v>
      </c>
      <c r="F37" s="83" t="s">
        <v>141</v>
      </c>
      <c r="G37" s="99" t="s">
        <v>148</v>
      </c>
    </row>
    <row r="38" spans="1:7" x14ac:dyDescent="0.25">
      <c r="A38" s="580"/>
      <c r="B38" s="623"/>
      <c r="C38" s="261" t="s">
        <v>135</v>
      </c>
      <c r="D38" s="83" t="s">
        <v>149</v>
      </c>
      <c r="E38" s="83" t="s">
        <v>81</v>
      </c>
      <c r="F38" s="83" t="s">
        <v>141</v>
      </c>
      <c r="G38" s="99"/>
    </row>
    <row r="39" spans="1:7" ht="30" x14ac:dyDescent="0.25">
      <c r="A39" s="580"/>
      <c r="B39" s="623"/>
      <c r="C39" s="315" t="s">
        <v>150</v>
      </c>
      <c r="D39" s="83" t="s">
        <v>151</v>
      </c>
      <c r="E39" s="83" t="s">
        <v>81</v>
      </c>
      <c r="F39" s="83" t="s">
        <v>141</v>
      </c>
      <c r="G39" s="99"/>
    </row>
    <row r="40" spans="1:7" ht="30" x14ac:dyDescent="0.25">
      <c r="A40" s="580"/>
      <c r="B40" s="623"/>
      <c r="C40" s="261" t="s">
        <v>152</v>
      </c>
      <c r="D40" s="83" t="s">
        <v>153</v>
      </c>
      <c r="E40" s="83" t="s">
        <v>55</v>
      </c>
      <c r="F40" s="83" t="s">
        <v>141</v>
      </c>
      <c r="G40" s="99" t="s">
        <v>154</v>
      </c>
    </row>
    <row r="41" spans="1:7" ht="45.75" thickBot="1" x14ac:dyDescent="0.3">
      <c r="A41" s="580"/>
      <c r="B41" s="624"/>
      <c r="C41" s="312" t="s">
        <v>155</v>
      </c>
      <c r="D41" s="100" t="s">
        <v>156</v>
      </c>
      <c r="E41" s="100" t="s">
        <v>81</v>
      </c>
      <c r="F41" s="100" t="s">
        <v>141</v>
      </c>
      <c r="G41" s="101" t="s">
        <v>157</v>
      </c>
    </row>
    <row r="42" spans="1:7" ht="135.75" thickBot="1" x14ac:dyDescent="0.3">
      <c r="A42" s="579" t="s">
        <v>58</v>
      </c>
      <c r="B42" s="417" t="s">
        <v>158</v>
      </c>
      <c r="C42" s="317" t="s">
        <v>83</v>
      </c>
      <c r="D42" s="418" t="s">
        <v>159</v>
      </c>
      <c r="E42" s="418" t="s">
        <v>81</v>
      </c>
      <c r="F42" s="418" t="s">
        <v>74</v>
      </c>
      <c r="G42" s="419" t="s">
        <v>160</v>
      </c>
    </row>
    <row r="43" spans="1:7" ht="15" customHeight="1" x14ac:dyDescent="0.25">
      <c r="A43" s="580"/>
      <c r="B43" s="608" t="s">
        <v>161</v>
      </c>
      <c r="C43" s="292" t="s">
        <v>162</v>
      </c>
      <c r="D43" s="280" t="s">
        <v>163</v>
      </c>
      <c r="E43" s="280" t="s">
        <v>62</v>
      </c>
      <c r="F43" s="280" t="s">
        <v>74</v>
      </c>
      <c r="G43" s="263" t="s">
        <v>164</v>
      </c>
    </row>
    <row r="44" spans="1:7" ht="30" x14ac:dyDescent="0.25">
      <c r="A44" s="580"/>
      <c r="B44" s="609"/>
      <c r="C44" s="293" t="s">
        <v>123</v>
      </c>
      <c r="D44" s="281" t="s">
        <v>165</v>
      </c>
      <c r="E44" s="281" t="s">
        <v>62</v>
      </c>
      <c r="F44" s="281" t="s">
        <v>74</v>
      </c>
      <c r="G44" s="264" t="s">
        <v>164</v>
      </c>
    </row>
    <row r="45" spans="1:7" ht="30" x14ac:dyDescent="0.25">
      <c r="A45" s="580"/>
      <c r="B45" s="609"/>
      <c r="C45" s="293" t="s">
        <v>100</v>
      </c>
      <c r="D45" s="281" t="s">
        <v>166</v>
      </c>
      <c r="E45" s="281" t="s">
        <v>62</v>
      </c>
      <c r="F45" s="281" t="s">
        <v>74</v>
      </c>
      <c r="G45" s="264" t="s">
        <v>167</v>
      </c>
    </row>
    <row r="46" spans="1:7" x14ac:dyDescent="0.25">
      <c r="A46" s="580"/>
      <c r="B46" s="609"/>
      <c r="C46" s="293" t="s">
        <v>168</v>
      </c>
      <c r="D46" s="281" t="s">
        <v>169</v>
      </c>
      <c r="E46" s="281" t="s">
        <v>62</v>
      </c>
      <c r="F46" s="281" t="s">
        <v>74</v>
      </c>
      <c r="G46" s="264" t="s">
        <v>164</v>
      </c>
    </row>
    <row r="47" spans="1:7" ht="15.75" thickBot="1" x14ac:dyDescent="0.3">
      <c r="A47" s="580"/>
      <c r="B47" s="610"/>
      <c r="C47" s="294" t="s">
        <v>170</v>
      </c>
      <c r="D47" s="282" t="s">
        <v>171</v>
      </c>
      <c r="E47" s="281" t="s">
        <v>62</v>
      </c>
      <c r="F47" s="282" t="s">
        <v>74</v>
      </c>
      <c r="G47" s="265" t="s">
        <v>164</v>
      </c>
    </row>
    <row r="48" spans="1:7" ht="30" x14ac:dyDescent="0.25">
      <c r="A48" s="580"/>
      <c r="B48" s="611" t="s">
        <v>172</v>
      </c>
      <c r="C48" s="289" t="s">
        <v>127</v>
      </c>
      <c r="D48" s="283" t="s">
        <v>173</v>
      </c>
      <c r="E48" s="283" t="s">
        <v>62</v>
      </c>
      <c r="F48" s="283" t="s">
        <v>125</v>
      </c>
      <c r="G48" s="576" t="s">
        <v>174</v>
      </c>
    </row>
    <row r="49" spans="1:7" ht="30" x14ac:dyDescent="0.25">
      <c r="A49" s="580"/>
      <c r="B49" s="611"/>
      <c r="C49" s="290" t="s">
        <v>30</v>
      </c>
      <c r="D49" s="266" t="s">
        <v>175</v>
      </c>
      <c r="E49" s="266" t="s">
        <v>62</v>
      </c>
      <c r="F49" s="266" t="s">
        <v>125</v>
      </c>
      <c r="G49" s="577"/>
    </row>
    <row r="50" spans="1:7" ht="30" x14ac:dyDescent="0.25">
      <c r="A50" s="580"/>
      <c r="B50" s="611"/>
      <c r="C50" s="290" t="s">
        <v>130</v>
      </c>
      <c r="D50" s="266" t="s">
        <v>176</v>
      </c>
      <c r="E50" s="266" t="s">
        <v>62</v>
      </c>
      <c r="F50" s="266" t="s">
        <v>125</v>
      </c>
      <c r="G50" s="577"/>
    </row>
    <row r="51" spans="1:7" ht="30" x14ac:dyDescent="0.25">
      <c r="A51" s="580"/>
      <c r="B51" s="611"/>
      <c r="C51" s="290" t="s">
        <v>35</v>
      </c>
      <c r="D51" s="266" t="s">
        <v>177</v>
      </c>
      <c r="E51" s="266" t="s">
        <v>62</v>
      </c>
      <c r="F51" s="266" t="s">
        <v>125</v>
      </c>
      <c r="G51" s="577"/>
    </row>
    <row r="52" spans="1:7" ht="30" x14ac:dyDescent="0.25">
      <c r="A52" s="580"/>
      <c r="B52" s="611"/>
      <c r="C52" s="290" t="s">
        <v>133</v>
      </c>
      <c r="D52" s="266" t="s">
        <v>178</v>
      </c>
      <c r="E52" s="266" t="s">
        <v>62</v>
      </c>
      <c r="F52" s="266" t="s">
        <v>125</v>
      </c>
      <c r="G52" s="577"/>
    </row>
    <row r="53" spans="1:7" ht="30" x14ac:dyDescent="0.25">
      <c r="A53" s="580"/>
      <c r="B53" s="611"/>
      <c r="C53" s="290" t="s">
        <v>179</v>
      </c>
      <c r="D53" s="266" t="s">
        <v>180</v>
      </c>
      <c r="E53" s="266" t="s">
        <v>62</v>
      </c>
      <c r="F53" s="266" t="s">
        <v>125</v>
      </c>
      <c r="G53" s="577"/>
    </row>
    <row r="54" spans="1:7" x14ac:dyDescent="0.25">
      <c r="A54" s="580"/>
      <c r="B54" s="611"/>
      <c r="C54" s="290" t="s">
        <v>135</v>
      </c>
      <c r="D54" s="266" t="s">
        <v>181</v>
      </c>
      <c r="E54" s="266" t="s">
        <v>62</v>
      </c>
      <c r="F54" s="266" t="s">
        <v>125</v>
      </c>
      <c r="G54" s="577"/>
    </row>
    <row r="55" spans="1:7" ht="30.75" thickBot="1" x14ac:dyDescent="0.3">
      <c r="A55" s="580"/>
      <c r="B55" s="612"/>
      <c r="C55" s="291" t="s">
        <v>182</v>
      </c>
      <c r="D55" s="284" t="s">
        <v>183</v>
      </c>
      <c r="E55" s="284" t="s">
        <v>62</v>
      </c>
      <c r="F55" s="284" t="s">
        <v>125</v>
      </c>
      <c r="G55" s="578"/>
    </row>
    <row r="56" spans="1:7" ht="30" x14ac:dyDescent="0.25">
      <c r="A56" s="580"/>
      <c r="B56" s="613" t="s">
        <v>139</v>
      </c>
      <c r="C56" s="404" t="s">
        <v>127</v>
      </c>
      <c r="D56" s="405" t="s">
        <v>184</v>
      </c>
      <c r="E56" s="405" t="s">
        <v>62</v>
      </c>
      <c r="F56" s="405" t="s">
        <v>141</v>
      </c>
      <c r="G56" s="406" t="s">
        <v>164</v>
      </c>
    </row>
    <row r="57" spans="1:7" ht="30" x14ac:dyDescent="0.25">
      <c r="A57" s="580"/>
      <c r="B57" s="614"/>
      <c r="C57" s="287" t="s">
        <v>30</v>
      </c>
      <c r="D57" s="285" t="s">
        <v>185</v>
      </c>
      <c r="E57" s="285" t="s">
        <v>62</v>
      </c>
      <c r="F57" s="285" t="s">
        <v>141</v>
      </c>
      <c r="G57" s="262" t="s">
        <v>164</v>
      </c>
    </row>
    <row r="58" spans="1:7" ht="30" x14ac:dyDescent="0.25">
      <c r="A58" s="580"/>
      <c r="B58" s="614"/>
      <c r="C58" s="287" t="s">
        <v>130</v>
      </c>
      <c r="D58" s="285" t="s">
        <v>186</v>
      </c>
      <c r="E58" s="285" t="s">
        <v>62</v>
      </c>
      <c r="F58" s="285" t="s">
        <v>141</v>
      </c>
      <c r="G58" s="262" t="s">
        <v>164</v>
      </c>
    </row>
    <row r="59" spans="1:7" x14ac:dyDescent="0.25">
      <c r="A59" s="580"/>
      <c r="B59" s="614"/>
      <c r="C59" s="287" t="s">
        <v>35</v>
      </c>
      <c r="D59" s="285" t="s">
        <v>187</v>
      </c>
      <c r="E59" s="285" t="s">
        <v>62</v>
      </c>
      <c r="F59" s="285" t="s">
        <v>141</v>
      </c>
      <c r="G59" s="262" t="s">
        <v>164</v>
      </c>
    </row>
    <row r="60" spans="1:7" ht="30" x14ac:dyDescent="0.25">
      <c r="A60" s="580"/>
      <c r="B60" s="614"/>
      <c r="C60" s="287" t="s">
        <v>133</v>
      </c>
      <c r="D60" s="285" t="s">
        <v>188</v>
      </c>
      <c r="E60" s="285" t="s">
        <v>62</v>
      </c>
      <c r="F60" s="285" t="s">
        <v>141</v>
      </c>
      <c r="G60" s="262" t="s">
        <v>164</v>
      </c>
    </row>
    <row r="61" spans="1:7" x14ac:dyDescent="0.25">
      <c r="A61" s="580"/>
      <c r="B61" s="614"/>
      <c r="C61" s="287" t="s">
        <v>179</v>
      </c>
      <c r="D61" s="285" t="s">
        <v>189</v>
      </c>
      <c r="E61" s="285" t="s">
        <v>62</v>
      </c>
      <c r="F61" s="285" t="s">
        <v>141</v>
      </c>
      <c r="G61" s="262" t="s">
        <v>164</v>
      </c>
    </row>
    <row r="62" spans="1:7" x14ac:dyDescent="0.25">
      <c r="A62" s="580"/>
      <c r="B62" s="614"/>
      <c r="C62" s="287" t="s">
        <v>135</v>
      </c>
      <c r="D62" s="285" t="s">
        <v>190</v>
      </c>
      <c r="E62" s="285" t="s">
        <v>62</v>
      </c>
      <c r="F62" s="285" t="s">
        <v>141</v>
      </c>
      <c r="G62" s="262" t="s">
        <v>164</v>
      </c>
    </row>
    <row r="63" spans="1:7" ht="15.75" thickBot="1" x14ac:dyDescent="0.3">
      <c r="A63" s="581"/>
      <c r="B63" s="615"/>
      <c r="C63" s="288" t="s">
        <v>182</v>
      </c>
      <c r="D63" s="286" t="s">
        <v>191</v>
      </c>
      <c r="E63" s="286" t="s">
        <v>62</v>
      </c>
      <c r="F63" s="286" t="s">
        <v>141</v>
      </c>
      <c r="G63" s="267" t="s">
        <v>164</v>
      </c>
    </row>
    <row r="64" spans="1:7" ht="120" x14ac:dyDescent="0.25">
      <c r="A64" s="580" t="s">
        <v>60</v>
      </c>
      <c r="B64" s="605" t="s">
        <v>192</v>
      </c>
      <c r="C64" s="314" t="s">
        <v>72</v>
      </c>
      <c r="D64" s="269" t="s">
        <v>193</v>
      </c>
      <c r="E64" s="269" t="s">
        <v>55</v>
      </c>
      <c r="F64" s="269" t="s">
        <v>74</v>
      </c>
      <c r="G64" s="420" t="s">
        <v>194</v>
      </c>
    </row>
    <row r="65" spans="1:7" ht="60" x14ac:dyDescent="0.25">
      <c r="A65" s="580"/>
      <c r="B65" s="606"/>
      <c r="C65" s="315" t="s">
        <v>76</v>
      </c>
      <c r="D65" s="270" t="s">
        <v>77</v>
      </c>
      <c r="E65" s="270" t="s">
        <v>55</v>
      </c>
      <c r="F65" s="270" t="s">
        <v>74</v>
      </c>
      <c r="G65" s="422" t="s">
        <v>195</v>
      </c>
    </row>
    <row r="66" spans="1:7" ht="30" x14ac:dyDescent="0.25">
      <c r="A66" s="580"/>
      <c r="B66" s="606"/>
      <c r="C66" s="315" t="s">
        <v>91</v>
      </c>
      <c r="D66" s="270" t="s">
        <v>92</v>
      </c>
      <c r="E66" s="270" t="s">
        <v>55</v>
      </c>
      <c r="F66" s="270" t="s">
        <v>74</v>
      </c>
      <c r="G66" s="271" t="s">
        <v>196</v>
      </c>
    </row>
    <row r="67" spans="1:7" ht="30" x14ac:dyDescent="0.25">
      <c r="A67" s="580"/>
      <c r="B67" s="606"/>
      <c r="C67" s="315" t="s">
        <v>197</v>
      </c>
      <c r="D67" s="270" t="s">
        <v>198</v>
      </c>
      <c r="E67" s="270" t="s">
        <v>55</v>
      </c>
      <c r="F67" s="270" t="s">
        <v>74</v>
      </c>
      <c r="G67" s="271" t="s">
        <v>199</v>
      </c>
    </row>
    <row r="68" spans="1:7" x14ac:dyDescent="0.25">
      <c r="A68" s="580"/>
      <c r="B68" s="606"/>
      <c r="C68" s="315" t="s">
        <v>1</v>
      </c>
      <c r="D68" s="270" t="s">
        <v>200</v>
      </c>
      <c r="E68" s="270" t="s">
        <v>55</v>
      </c>
      <c r="F68" s="270" t="s">
        <v>74</v>
      </c>
      <c r="G68" s="271" t="s">
        <v>201</v>
      </c>
    </row>
    <row r="69" spans="1:7" ht="15.75" thickBot="1" x14ac:dyDescent="0.3">
      <c r="A69" s="580"/>
      <c r="B69" s="607"/>
      <c r="C69" s="316" t="s">
        <v>202</v>
      </c>
      <c r="D69" s="272" t="s">
        <v>203</v>
      </c>
      <c r="E69" s="272" t="s">
        <v>55</v>
      </c>
      <c r="F69" s="272" t="s">
        <v>74</v>
      </c>
      <c r="G69" s="273"/>
    </row>
    <row r="70" spans="1:7" ht="150" x14ac:dyDescent="0.25">
      <c r="A70" s="579" t="s">
        <v>63</v>
      </c>
      <c r="B70" s="582" t="s">
        <v>71</v>
      </c>
      <c r="C70" s="326" t="s">
        <v>72</v>
      </c>
      <c r="D70" s="268" t="s">
        <v>204</v>
      </c>
      <c r="E70" s="268" t="s">
        <v>55</v>
      </c>
      <c r="F70" s="268" t="s">
        <v>74</v>
      </c>
      <c r="G70" s="421" t="s">
        <v>205</v>
      </c>
    </row>
    <row r="71" spans="1:7" x14ac:dyDescent="0.25">
      <c r="A71" s="580"/>
      <c r="B71" s="583"/>
      <c r="C71" s="121" t="s">
        <v>76</v>
      </c>
      <c r="D71" s="82" t="s">
        <v>77</v>
      </c>
      <c r="E71" s="82" t="s">
        <v>55</v>
      </c>
      <c r="F71" s="82" t="s">
        <v>74</v>
      </c>
      <c r="G71" s="95" t="s">
        <v>164</v>
      </c>
    </row>
    <row r="72" spans="1:7" ht="30" x14ac:dyDescent="0.25">
      <c r="A72" s="580"/>
      <c r="B72" s="583"/>
      <c r="C72" s="121" t="s">
        <v>91</v>
      </c>
      <c r="D72" s="82" t="s">
        <v>92</v>
      </c>
      <c r="E72" s="82" t="s">
        <v>55</v>
      </c>
      <c r="F72" s="82" t="s">
        <v>74</v>
      </c>
      <c r="G72" s="95" t="s">
        <v>206</v>
      </c>
    </row>
    <row r="73" spans="1:7" x14ac:dyDescent="0.25">
      <c r="A73" s="580"/>
      <c r="B73" s="583"/>
      <c r="C73" s="121" t="s">
        <v>207</v>
      </c>
      <c r="D73" s="82" t="s">
        <v>208</v>
      </c>
      <c r="E73" s="82" t="s">
        <v>81</v>
      </c>
      <c r="F73" s="82" t="s">
        <v>74</v>
      </c>
      <c r="G73" s="95" t="s">
        <v>164</v>
      </c>
    </row>
    <row r="74" spans="1:7" ht="60" customHeight="1" x14ac:dyDescent="0.25">
      <c r="A74" s="580"/>
      <c r="B74" s="583"/>
      <c r="C74" s="121" t="s">
        <v>83</v>
      </c>
      <c r="D74" s="82" t="s">
        <v>209</v>
      </c>
      <c r="E74" s="82" t="s">
        <v>81</v>
      </c>
      <c r="F74" s="82" t="s">
        <v>74</v>
      </c>
      <c r="G74" s="95" t="s">
        <v>164</v>
      </c>
    </row>
    <row r="75" spans="1:7" x14ac:dyDescent="0.25">
      <c r="A75" s="580"/>
      <c r="B75" s="583"/>
      <c r="C75" s="121" t="s">
        <v>1</v>
      </c>
      <c r="D75" s="82" t="s">
        <v>200</v>
      </c>
      <c r="E75" s="82" t="s">
        <v>81</v>
      </c>
      <c r="F75" s="82" t="s">
        <v>74</v>
      </c>
      <c r="G75" s="95" t="s">
        <v>164</v>
      </c>
    </row>
    <row r="76" spans="1:7" ht="90" x14ac:dyDescent="0.25">
      <c r="A76" s="580"/>
      <c r="B76" s="583"/>
      <c r="C76" s="121" t="s">
        <v>210</v>
      </c>
      <c r="D76" s="82" t="s">
        <v>211</v>
      </c>
      <c r="E76" s="82" t="s">
        <v>55</v>
      </c>
      <c r="F76" s="82" t="s">
        <v>74</v>
      </c>
      <c r="G76" s="306" t="s">
        <v>212</v>
      </c>
    </row>
    <row r="77" spans="1:7" ht="90" x14ac:dyDescent="0.25">
      <c r="A77" s="580"/>
      <c r="B77" s="583"/>
      <c r="C77" s="121" t="s">
        <v>213</v>
      </c>
      <c r="D77" s="82" t="s">
        <v>214</v>
      </c>
      <c r="E77" s="82" t="s">
        <v>55</v>
      </c>
      <c r="F77" s="82" t="s">
        <v>74</v>
      </c>
      <c r="G77" s="306" t="s">
        <v>215</v>
      </c>
    </row>
    <row r="78" spans="1:7" ht="30" x14ac:dyDescent="0.25">
      <c r="A78" s="580"/>
      <c r="B78" s="583"/>
      <c r="C78" s="121" t="s">
        <v>100</v>
      </c>
      <c r="D78" s="82" t="s">
        <v>166</v>
      </c>
      <c r="E78" s="82" t="s">
        <v>81</v>
      </c>
      <c r="F78" s="82" t="s">
        <v>74</v>
      </c>
      <c r="G78" s="95" t="s">
        <v>167</v>
      </c>
    </row>
    <row r="79" spans="1:7" ht="30.75" thickBot="1" x14ac:dyDescent="0.3">
      <c r="A79" s="580"/>
      <c r="B79" s="584"/>
      <c r="C79" s="122" t="s">
        <v>216</v>
      </c>
      <c r="D79" s="96" t="s">
        <v>217</v>
      </c>
      <c r="E79" s="96" t="s">
        <v>55</v>
      </c>
      <c r="F79" s="96" t="s">
        <v>74</v>
      </c>
      <c r="G79" s="97" t="s">
        <v>218</v>
      </c>
    </row>
    <row r="80" spans="1:7" ht="30" x14ac:dyDescent="0.25">
      <c r="A80" s="580"/>
      <c r="B80" s="585" t="s">
        <v>108</v>
      </c>
      <c r="C80" s="123" t="s">
        <v>109</v>
      </c>
      <c r="D80" s="105" t="s">
        <v>219</v>
      </c>
      <c r="E80" s="105" t="s">
        <v>55</v>
      </c>
      <c r="F80" s="105" t="s">
        <v>220</v>
      </c>
      <c r="G80" s="106" t="s">
        <v>218</v>
      </c>
    </row>
    <row r="81" spans="1:7" ht="30.75" thickBot="1" x14ac:dyDescent="0.3">
      <c r="A81" s="580"/>
      <c r="B81" s="586"/>
      <c r="C81" s="124" t="s">
        <v>116</v>
      </c>
      <c r="D81" s="107" t="s">
        <v>221</v>
      </c>
      <c r="E81" s="107" t="s">
        <v>55</v>
      </c>
      <c r="F81" s="107" t="s">
        <v>220</v>
      </c>
      <c r="G81" s="108" t="s">
        <v>218</v>
      </c>
    </row>
    <row r="82" spans="1:7" ht="30" x14ac:dyDescent="0.25">
      <c r="A82" s="580"/>
      <c r="B82" s="587" t="s">
        <v>119</v>
      </c>
      <c r="C82" s="125" t="s">
        <v>222</v>
      </c>
      <c r="D82" s="102" t="s">
        <v>223</v>
      </c>
      <c r="E82" s="102" t="s">
        <v>55</v>
      </c>
      <c r="F82" s="102" t="s">
        <v>74</v>
      </c>
      <c r="G82" s="103" t="s">
        <v>218</v>
      </c>
    </row>
    <row r="83" spans="1:7" ht="30" x14ac:dyDescent="0.25">
      <c r="A83" s="580"/>
      <c r="B83" s="588"/>
      <c r="C83" s="127" t="s">
        <v>224</v>
      </c>
      <c r="D83" s="109" t="s">
        <v>225</v>
      </c>
      <c r="E83" s="109" t="s">
        <v>55</v>
      </c>
      <c r="F83" s="109" t="s">
        <v>220</v>
      </c>
      <c r="G83" s="114" t="s">
        <v>218</v>
      </c>
    </row>
    <row r="84" spans="1:7" ht="30.75" thickBot="1" x14ac:dyDescent="0.3">
      <c r="A84" s="580"/>
      <c r="B84" s="589"/>
      <c r="C84" s="128" t="s">
        <v>182</v>
      </c>
      <c r="D84" s="119" t="s">
        <v>226</v>
      </c>
      <c r="E84" s="119" t="s">
        <v>55</v>
      </c>
      <c r="F84" s="119" t="s">
        <v>220</v>
      </c>
      <c r="G84" s="120" t="s">
        <v>218</v>
      </c>
    </row>
    <row r="85" spans="1:7" ht="30" x14ac:dyDescent="0.25">
      <c r="A85" s="580"/>
      <c r="B85" s="590" t="s">
        <v>139</v>
      </c>
      <c r="C85" s="126" t="s">
        <v>227</v>
      </c>
      <c r="D85" s="111" t="s">
        <v>228</v>
      </c>
      <c r="E85" s="111" t="s">
        <v>55</v>
      </c>
      <c r="F85" s="111" t="s">
        <v>220</v>
      </c>
      <c r="G85" s="112" t="s">
        <v>218</v>
      </c>
    </row>
    <row r="86" spans="1:7" ht="30" x14ac:dyDescent="0.25">
      <c r="A86" s="580"/>
      <c r="B86" s="591"/>
      <c r="C86" s="98" t="s">
        <v>224</v>
      </c>
      <c r="D86" s="83" t="s">
        <v>229</v>
      </c>
      <c r="E86" s="83" t="s">
        <v>55</v>
      </c>
      <c r="F86" s="83" t="s">
        <v>220</v>
      </c>
      <c r="G86" s="99" t="s">
        <v>218</v>
      </c>
    </row>
    <row r="87" spans="1:7" ht="30" x14ac:dyDescent="0.25">
      <c r="A87" s="580"/>
      <c r="B87" s="591"/>
      <c r="C87" s="98" t="s">
        <v>179</v>
      </c>
      <c r="D87" s="83" t="s">
        <v>230</v>
      </c>
      <c r="E87" s="83" t="s">
        <v>55</v>
      </c>
      <c r="F87" s="83" t="s">
        <v>220</v>
      </c>
      <c r="G87" s="99" t="s">
        <v>218</v>
      </c>
    </row>
    <row r="88" spans="1:7" ht="30" x14ac:dyDescent="0.25">
      <c r="A88" s="580"/>
      <c r="B88" s="591"/>
      <c r="C88" s="98" t="s">
        <v>135</v>
      </c>
      <c r="D88" s="83" t="s">
        <v>231</v>
      </c>
      <c r="E88" s="83" t="s">
        <v>55</v>
      </c>
      <c r="F88" s="83" t="s">
        <v>220</v>
      </c>
      <c r="G88" s="99" t="s">
        <v>218</v>
      </c>
    </row>
    <row r="89" spans="1:7" ht="45" customHeight="1" x14ac:dyDescent="0.25">
      <c r="A89" s="580"/>
      <c r="B89" s="591"/>
      <c r="C89" s="98" t="s">
        <v>182</v>
      </c>
      <c r="D89" s="83" t="s">
        <v>232</v>
      </c>
      <c r="E89" s="83" t="s">
        <v>55</v>
      </c>
      <c r="F89" s="83" t="s">
        <v>220</v>
      </c>
      <c r="G89" s="99" t="s">
        <v>218</v>
      </c>
    </row>
    <row r="90" spans="1:7" ht="30.75" thickBot="1" x14ac:dyDescent="0.3">
      <c r="A90" s="581"/>
      <c r="B90" s="592"/>
      <c r="C90" s="312" t="s">
        <v>152</v>
      </c>
      <c r="D90" s="100" t="s">
        <v>153</v>
      </c>
      <c r="E90" s="100" t="s">
        <v>55</v>
      </c>
      <c r="F90" s="100" t="s">
        <v>233</v>
      </c>
      <c r="G90" s="101" t="s">
        <v>234</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EC5CD-16F1-449E-81C5-35E660845E9A}">
  <dimension ref="A2:S17"/>
  <sheetViews>
    <sheetView topLeftCell="A3" workbookViewId="0">
      <selection activeCell="B19" sqref="B19"/>
    </sheetView>
  </sheetViews>
  <sheetFormatPr defaultRowHeight="15" x14ac:dyDescent="0.25"/>
  <cols>
    <col min="1" max="1" width="15.140625" customWidth="1"/>
    <col min="2" max="2" width="25.5703125" customWidth="1"/>
    <col min="3" max="3" width="12" customWidth="1"/>
    <col min="4" max="4" width="10.85546875" customWidth="1"/>
    <col min="5" max="5" width="22.7109375" customWidth="1"/>
    <col min="6" max="6" width="37.140625" customWidth="1"/>
    <col min="8" max="8" width="17.140625" customWidth="1"/>
  </cols>
  <sheetData>
    <row r="2" spans="1:19" ht="62.45" customHeight="1" x14ac:dyDescent="0.25">
      <c r="A2" s="625" t="s">
        <v>235</v>
      </c>
      <c r="B2" s="625"/>
      <c r="C2" s="625"/>
      <c r="D2" s="625"/>
      <c r="E2" s="625"/>
      <c r="F2" s="89"/>
      <c r="G2" s="89"/>
      <c r="H2" s="89"/>
      <c r="I2" s="89"/>
      <c r="J2" s="89"/>
      <c r="K2" s="89"/>
      <c r="L2" s="89"/>
      <c r="M2" s="89"/>
      <c r="N2" s="89"/>
      <c r="O2" s="89"/>
      <c r="P2" s="89"/>
      <c r="Q2" s="89"/>
      <c r="R2" s="89"/>
    </row>
    <row r="3" spans="1:19" ht="60" x14ac:dyDescent="0.25">
      <c r="A3" s="547" t="s">
        <v>236</v>
      </c>
      <c r="B3" s="547" t="s">
        <v>237</v>
      </c>
      <c r="C3" s="547" t="s">
        <v>238</v>
      </c>
      <c r="D3" s="547" t="s">
        <v>239</v>
      </c>
      <c r="E3" s="547" t="s">
        <v>240</v>
      </c>
    </row>
    <row r="4" spans="1:19" ht="15.6" customHeight="1" x14ac:dyDescent="0.25">
      <c r="A4" s="548" t="s">
        <v>241</v>
      </c>
      <c r="B4" s="548" t="s">
        <v>242</v>
      </c>
      <c r="C4" s="548" t="s">
        <v>243</v>
      </c>
      <c r="D4" s="548" t="s">
        <v>244</v>
      </c>
      <c r="E4" s="548" t="s">
        <v>243</v>
      </c>
    </row>
    <row r="5" spans="1:19" ht="14.1" customHeight="1" x14ac:dyDescent="0.25">
      <c r="A5" s="548" t="s">
        <v>245</v>
      </c>
      <c r="B5" s="548" t="s">
        <v>246</v>
      </c>
      <c r="C5" s="548" t="s">
        <v>247</v>
      </c>
      <c r="D5" s="548" t="s">
        <v>244</v>
      </c>
      <c r="E5" s="548" t="s">
        <v>243</v>
      </c>
    </row>
    <row r="6" spans="1:19" x14ac:dyDescent="0.25">
      <c r="A6" s="81"/>
    </row>
    <row r="7" spans="1:19" ht="57.6" customHeight="1" x14ac:dyDescent="0.25">
      <c r="A7" s="625" t="s">
        <v>248</v>
      </c>
      <c r="B7" s="626"/>
      <c r="C7" s="626"/>
      <c r="D7" s="626"/>
      <c r="E7" s="626"/>
      <c r="F7" s="626"/>
      <c r="G7" s="626"/>
      <c r="H7" s="626"/>
      <c r="I7" s="626"/>
      <c r="J7" s="626"/>
      <c r="K7" s="626"/>
      <c r="L7" s="626"/>
      <c r="M7" s="89"/>
      <c r="N7" s="89"/>
      <c r="O7" s="89"/>
      <c r="P7" s="89"/>
      <c r="Q7" s="89"/>
      <c r="R7" s="89"/>
      <c r="S7" s="89"/>
    </row>
    <row r="8" spans="1:19" ht="15.95" customHeight="1" x14ac:dyDescent="0.25">
      <c r="A8" s="549" t="s">
        <v>249</v>
      </c>
      <c r="B8" s="550"/>
      <c r="C8" s="550"/>
      <c r="D8" s="550"/>
      <c r="E8" s="550"/>
      <c r="F8" s="550"/>
      <c r="G8" s="550"/>
      <c r="H8" s="550"/>
      <c r="I8" s="550"/>
      <c r="J8" s="550"/>
      <c r="K8" s="550"/>
      <c r="L8" s="550"/>
      <c r="M8" s="89"/>
      <c r="N8" s="89"/>
      <c r="O8" s="89"/>
      <c r="P8" s="89"/>
      <c r="Q8" s="89"/>
      <c r="R8" s="89"/>
      <c r="S8" s="89"/>
    </row>
    <row r="9" spans="1:19" ht="12.6" customHeight="1" x14ac:dyDescent="0.25">
      <c r="A9" s="551" t="s">
        <v>72</v>
      </c>
      <c r="B9" s="552" t="s">
        <v>76</v>
      </c>
      <c r="C9" s="552" t="s">
        <v>79</v>
      </c>
      <c r="D9" s="553" t="s">
        <v>83</v>
      </c>
      <c r="E9" s="552" t="s">
        <v>86</v>
      </c>
      <c r="F9" s="552" t="s">
        <v>89</v>
      </c>
      <c r="G9" s="552" t="s">
        <v>91</v>
      </c>
      <c r="H9" s="552" t="s">
        <v>94</v>
      </c>
      <c r="I9" s="552" t="s">
        <v>97</v>
      </c>
      <c r="J9" s="554" t="s">
        <v>100</v>
      </c>
      <c r="K9" s="554" t="s">
        <v>103</v>
      </c>
      <c r="L9" s="555" t="s">
        <v>1</v>
      </c>
    </row>
    <row r="10" spans="1:19" ht="12.95" customHeight="1" x14ac:dyDescent="0.25">
      <c r="A10" s="556" t="s">
        <v>250</v>
      </c>
      <c r="B10" s="557" t="s">
        <v>251</v>
      </c>
      <c r="C10" s="557"/>
      <c r="D10" s="558" t="s">
        <v>252</v>
      </c>
      <c r="E10" s="559"/>
      <c r="F10" s="557" t="s">
        <v>253</v>
      </c>
      <c r="G10" s="558" t="s">
        <v>254</v>
      </c>
      <c r="H10" s="557" t="s">
        <v>255</v>
      </c>
      <c r="I10" s="557"/>
      <c r="J10" s="558">
        <v>1</v>
      </c>
      <c r="K10" s="558">
        <v>1</v>
      </c>
      <c r="L10" s="558" t="s">
        <v>256</v>
      </c>
    </row>
    <row r="11" spans="1:19" ht="17.45" customHeight="1" x14ac:dyDescent="0.25">
      <c r="A11" s="556" t="s">
        <v>257</v>
      </c>
      <c r="B11" s="557" t="s">
        <v>258</v>
      </c>
      <c r="C11" s="557"/>
      <c r="D11" s="558" t="s">
        <v>259</v>
      </c>
      <c r="E11" s="559"/>
      <c r="F11" s="557" t="s">
        <v>260</v>
      </c>
      <c r="G11" s="558" t="s">
        <v>254</v>
      </c>
      <c r="H11" s="557" t="s">
        <v>261</v>
      </c>
      <c r="I11" s="557"/>
      <c r="J11" s="558">
        <v>1</v>
      </c>
      <c r="K11" s="558">
        <v>1</v>
      </c>
      <c r="L11" s="558" t="s">
        <v>262</v>
      </c>
    </row>
    <row r="12" spans="1:19" ht="30.6" customHeight="1" x14ac:dyDescent="0.25">
      <c r="A12" s="556" t="s">
        <v>263</v>
      </c>
      <c r="B12" s="556" t="s">
        <v>264</v>
      </c>
      <c r="C12" s="557"/>
      <c r="D12" s="558" t="s">
        <v>242</v>
      </c>
      <c r="E12" s="559"/>
      <c r="F12" s="557" t="s">
        <v>265</v>
      </c>
      <c r="G12" s="558" t="e">
        <v>#N/A</v>
      </c>
      <c r="H12" s="557" t="s">
        <v>244</v>
      </c>
      <c r="I12" s="557"/>
      <c r="J12" s="558">
        <v>1</v>
      </c>
      <c r="K12" s="558">
        <v>1</v>
      </c>
      <c r="L12" s="558" t="s">
        <v>256</v>
      </c>
    </row>
    <row r="13" spans="1:19" x14ac:dyDescent="0.25">
      <c r="A13" s="560" t="s">
        <v>266</v>
      </c>
    </row>
    <row r="14" spans="1:19" ht="12.95" customHeight="1" x14ac:dyDescent="0.25">
      <c r="A14" s="551" t="s">
        <v>72</v>
      </c>
      <c r="B14" s="552" t="s">
        <v>76</v>
      </c>
      <c r="C14" s="552" t="s">
        <v>79</v>
      </c>
      <c r="D14" s="553" t="s">
        <v>83</v>
      </c>
      <c r="E14" s="552" t="s">
        <v>86</v>
      </c>
      <c r="F14" s="552" t="s">
        <v>89</v>
      </c>
      <c r="G14" s="552" t="s">
        <v>91</v>
      </c>
      <c r="H14" s="552" t="s">
        <v>94</v>
      </c>
      <c r="I14" s="552" t="s">
        <v>97</v>
      </c>
      <c r="J14" s="554" t="s">
        <v>100</v>
      </c>
      <c r="K14" s="554" t="s">
        <v>103</v>
      </c>
      <c r="L14" s="561" t="s">
        <v>1</v>
      </c>
      <c r="M14" s="554" t="s">
        <v>109</v>
      </c>
      <c r="N14" s="554" t="s">
        <v>113</v>
      </c>
      <c r="O14" s="554" t="s">
        <v>116</v>
      </c>
      <c r="P14" s="554" t="s">
        <v>120</v>
      </c>
      <c r="Q14" s="554" t="s">
        <v>123</v>
      </c>
      <c r="R14" s="554" t="s">
        <v>127</v>
      </c>
      <c r="S14" s="554" t="s">
        <v>152</v>
      </c>
    </row>
    <row r="15" spans="1:19" ht="15.95" customHeight="1" x14ac:dyDescent="0.25">
      <c r="A15" s="556" t="s">
        <v>267</v>
      </c>
      <c r="B15" s="557" t="s">
        <v>268</v>
      </c>
      <c r="C15" s="557"/>
      <c r="D15" s="558" t="s">
        <v>247</v>
      </c>
      <c r="E15" s="557"/>
      <c r="F15" s="557" t="s">
        <v>269</v>
      </c>
      <c r="G15" s="558" t="s">
        <v>254</v>
      </c>
      <c r="H15" s="557" t="s">
        <v>270</v>
      </c>
      <c r="I15" s="557"/>
      <c r="J15" s="558">
        <v>1</v>
      </c>
      <c r="K15" s="558">
        <v>1</v>
      </c>
      <c r="L15" s="558" t="s">
        <v>271</v>
      </c>
      <c r="M15" s="562">
        <v>0</v>
      </c>
      <c r="N15" s="558"/>
      <c r="O15" s="562">
        <v>0</v>
      </c>
      <c r="P15" s="557" t="s">
        <v>45</v>
      </c>
      <c r="Q15" s="558">
        <v>1</v>
      </c>
      <c r="R15" s="558">
        <v>0</v>
      </c>
      <c r="S15" s="557" t="s">
        <v>272</v>
      </c>
    </row>
    <row r="16" spans="1:19" ht="12.95" customHeight="1" x14ac:dyDescent="0.25">
      <c r="A16" s="556" t="s">
        <v>245</v>
      </c>
      <c r="B16" s="557" t="s">
        <v>273</v>
      </c>
      <c r="C16" s="557"/>
      <c r="D16" s="563" t="s">
        <v>242</v>
      </c>
      <c r="E16" s="557"/>
      <c r="F16" s="557" t="s">
        <v>274</v>
      </c>
      <c r="G16" s="558" t="s">
        <v>275</v>
      </c>
      <c r="H16" s="564" t="s">
        <v>244</v>
      </c>
      <c r="I16" s="557"/>
      <c r="J16" s="558">
        <v>1</v>
      </c>
      <c r="K16" s="558">
        <v>1</v>
      </c>
      <c r="L16" s="558" t="s">
        <v>256</v>
      </c>
      <c r="M16" s="562">
        <v>0</v>
      </c>
      <c r="N16" s="558"/>
      <c r="O16" s="562">
        <v>0</v>
      </c>
      <c r="P16" s="557" t="s">
        <v>45</v>
      </c>
      <c r="Q16" s="558">
        <v>1</v>
      </c>
      <c r="R16" s="558">
        <v>0</v>
      </c>
      <c r="S16" s="557" t="s">
        <v>272</v>
      </c>
    </row>
    <row r="17" spans="1:19" ht="15.6" customHeight="1" x14ac:dyDescent="0.25">
      <c r="A17" s="556" t="s">
        <v>276</v>
      </c>
      <c r="B17" s="557" t="s">
        <v>277</v>
      </c>
      <c r="C17" s="557"/>
      <c r="D17" s="558" t="s">
        <v>247</v>
      </c>
      <c r="E17" s="557"/>
      <c r="F17" s="557" t="s">
        <v>278</v>
      </c>
      <c r="G17" s="558" t="s">
        <v>279</v>
      </c>
      <c r="H17" s="557" t="s">
        <v>280</v>
      </c>
      <c r="I17" s="557"/>
      <c r="J17" s="558">
        <v>1</v>
      </c>
      <c r="K17" s="558">
        <v>1</v>
      </c>
      <c r="L17" s="558" t="s">
        <v>271</v>
      </c>
      <c r="M17" s="562">
        <v>0</v>
      </c>
      <c r="N17" s="558"/>
      <c r="O17" s="562">
        <v>0</v>
      </c>
      <c r="P17" s="557" t="s">
        <v>45</v>
      </c>
      <c r="Q17" s="558">
        <v>1</v>
      </c>
      <c r="R17" s="558">
        <v>0</v>
      </c>
      <c r="S17" s="557" t="s">
        <v>281</v>
      </c>
    </row>
  </sheetData>
  <mergeCells count="2">
    <mergeCell ref="A2:E2"/>
    <mergeCell ref="A7:L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16" activePane="bottomRight" state="frozen"/>
      <selection pane="topRight" activeCell="B1" sqref="B1"/>
      <selection pane="bottomLeft" activeCell="A2" sqref="A2"/>
      <selection pane="bottomRight" activeCell="B15" sqref="B15"/>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ht="15.75" thickBot="1" x14ac:dyDescent="0.3">
      <c r="A1" s="387" t="s">
        <v>0</v>
      </c>
      <c r="B1" s="392" t="s">
        <v>282</v>
      </c>
      <c r="C1" s="388" t="s">
        <v>283</v>
      </c>
    </row>
    <row r="2" spans="1:3" x14ac:dyDescent="0.25">
      <c r="A2" s="389">
        <v>43807</v>
      </c>
      <c r="B2" s="393" t="s">
        <v>284</v>
      </c>
      <c r="C2" s="397" t="s">
        <v>11</v>
      </c>
    </row>
    <row r="3" spans="1:3" ht="30" x14ac:dyDescent="0.25">
      <c r="A3" s="390">
        <v>43937</v>
      </c>
      <c r="B3" s="394" t="s">
        <v>285</v>
      </c>
      <c r="C3" s="325" t="s">
        <v>11</v>
      </c>
    </row>
    <row r="4" spans="1:3" x14ac:dyDescent="0.25">
      <c r="A4" s="390">
        <v>43941</v>
      </c>
      <c r="B4" s="395" t="s">
        <v>286</v>
      </c>
      <c r="C4" s="325" t="s">
        <v>11</v>
      </c>
    </row>
    <row r="5" spans="1:3" x14ac:dyDescent="0.25">
      <c r="A5" s="390">
        <v>43942</v>
      </c>
      <c r="B5" s="395" t="s">
        <v>287</v>
      </c>
      <c r="C5" s="325" t="s">
        <v>11</v>
      </c>
    </row>
    <row r="6" spans="1:3" x14ac:dyDescent="0.25">
      <c r="A6" s="390">
        <v>43963</v>
      </c>
      <c r="B6" s="395" t="s">
        <v>288</v>
      </c>
      <c r="C6" s="325" t="s">
        <v>11</v>
      </c>
    </row>
    <row r="7" spans="1:3" x14ac:dyDescent="0.25">
      <c r="A7" s="390">
        <v>43990</v>
      </c>
      <c r="B7" s="395" t="s">
        <v>289</v>
      </c>
      <c r="C7" s="325" t="s">
        <v>11</v>
      </c>
    </row>
    <row r="8" spans="1:3" ht="30" x14ac:dyDescent="0.25">
      <c r="A8" s="390">
        <v>44104</v>
      </c>
      <c r="B8" s="394" t="s">
        <v>290</v>
      </c>
      <c r="C8" s="325" t="s">
        <v>291</v>
      </c>
    </row>
    <row r="9" spans="1:3" ht="150.75" thickBot="1" x14ac:dyDescent="0.3">
      <c r="A9" s="565">
        <v>44128</v>
      </c>
      <c r="B9" s="566" t="s">
        <v>292</v>
      </c>
      <c r="C9" s="398" t="s">
        <v>291</v>
      </c>
    </row>
    <row r="10" spans="1:3" ht="15.75" thickBot="1" x14ac:dyDescent="0.3">
      <c r="A10" s="565">
        <v>44361</v>
      </c>
      <c r="B10" s="566" t="s">
        <v>293</v>
      </c>
      <c r="C10" s="398" t="s">
        <v>294</v>
      </c>
    </row>
    <row r="11" spans="1:3" ht="15.75" thickBot="1" x14ac:dyDescent="0.3">
      <c r="A11" s="391">
        <v>44813</v>
      </c>
      <c r="B11" s="396" t="s">
        <v>295</v>
      </c>
      <c r="C11" s="398" t="s">
        <v>291</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302"/>
  <sheetViews>
    <sheetView tabSelected="1" zoomScale="70" zoomScaleNormal="70" workbookViewId="0">
      <pane xSplit="8" ySplit="5" topLeftCell="I274" activePane="bottomRight" state="frozen"/>
      <selection pane="topRight" activeCell="I1" sqref="I1"/>
      <selection pane="bottomLeft" activeCell="A6" sqref="A6"/>
      <selection pane="bottomRight" activeCell="M305" sqref="M305"/>
    </sheetView>
  </sheetViews>
  <sheetFormatPr defaultColWidth="9.140625" defaultRowHeight="15" x14ac:dyDescent="0.25"/>
  <cols>
    <col min="1" max="1" width="25.5703125" style="172" customWidth="1"/>
    <col min="2" max="2" width="38.42578125" style="170" customWidth="1"/>
    <col min="3" max="3" width="13.28515625" style="170" customWidth="1"/>
    <col min="4" max="4" width="10" style="173" customWidth="1"/>
    <col min="5" max="5" width="10.140625" style="170" customWidth="1"/>
    <col min="6" max="6" width="16.42578125" style="172" customWidth="1"/>
    <col min="7" max="7" width="9.85546875" style="170" bestFit="1" customWidth="1"/>
    <col min="8" max="8" width="16.42578125" style="173" customWidth="1"/>
    <col min="9" max="9" width="12.140625" style="173" customWidth="1"/>
    <col min="10" max="10" width="22.5703125" style="172" customWidth="1"/>
    <col min="11" max="11" width="7.42578125" style="170" customWidth="1"/>
    <col min="12" max="12" width="9.7109375" style="170" customWidth="1"/>
    <col min="13" max="13" width="9.140625" style="170" customWidth="1"/>
    <col min="14" max="14" width="10" style="170" customWidth="1"/>
    <col min="15" max="15" width="9" style="170" customWidth="1"/>
    <col min="16" max="16" width="11.42578125" style="170" customWidth="1"/>
    <col min="17" max="17" width="10.42578125" style="170" customWidth="1"/>
    <col min="18" max="18" width="16.140625" style="175" customWidth="1"/>
    <col min="19" max="19" width="11.42578125" style="175" customWidth="1"/>
    <col min="20" max="20" width="7.140625" style="174" customWidth="1"/>
    <col min="21" max="22" width="7.85546875" style="174" customWidth="1"/>
    <col min="23" max="24" width="13.42578125" style="174" customWidth="1"/>
    <col min="25" max="25" width="45.7109375" style="175" customWidth="1"/>
    <col min="26" max="26" width="11.42578125" style="175" bestFit="1" customWidth="1"/>
    <col min="27" max="27" width="7.140625" style="174" bestFit="1" customWidth="1"/>
    <col min="28" max="28" width="10.140625" style="174" bestFit="1" customWidth="1"/>
    <col min="29" max="29" width="6.42578125" style="174" bestFit="1" customWidth="1"/>
    <col min="30" max="30" width="7" style="174" bestFit="1" customWidth="1"/>
    <col min="31" max="31" width="13.42578125" style="174" bestFit="1" customWidth="1"/>
    <col min="32" max="32" width="45.7109375" style="170" customWidth="1"/>
    <col min="33" max="33" width="12.7109375" style="170" customWidth="1"/>
    <col min="34" max="34" width="62.140625" style="172" customWidth="1"/>
    <col min="35" max="16384" width="9.140625" style="170"/>
  </cols>
  <sheetData>
    <row r="1" spans="1:34" ht="19.5" thickBot="1" x14ac:dyDescent="0.3">
      <c r="A1" s="627" t="s">
        <v>296</v>
      </c>
      <c r="B1" s="628"/>
      <c r="C1" s="628"/>
      <c r="D1" s="628"/>
      <c r="E1" s="628"/>
      <c r="F1" s="628"/>
      <c r="G1" s="628"/>
      <c r="H1" s="628"/>
      <c r="I1" s="628"/>
      <c r="J1" s="628"/>
      <c r="K1" s="628"/>
      <c r="L1" s="628"/>
      <c r="M1" s="628"/>
      <c r="N1" s="628"/>
      <c r="O1" s="628"/>
      <c r="P1" s="628"/>
      <c r="Q1" s="628"/>
      <c r="R1" s="628"/>
      <c r="S1" s="628"/>
      <c r="T1" s="628"/>
      <c r="U1" s="628"/>
      <c r="V1" s="628"/>
      <c r="W1" s="628"/>
      <c r="X1" s="628"/>
      <c r="Y1" s="628"/>
      <c r="Z1" s="628"/>
      <c r="AA1" s="628"/>
      <c r="AB1" s="628"/>
      <c r="AC1" s="628"/>
      <c r="AD1" s="628"/>
      <c r="AE1" s="628"/>
      <c r="AF1" s="628"/>
      <c r="AG1" s="628"/>
      <c r="AH1" s="629"/>
    </row>
    <row r="2" spans="1:34" ht="19.5" thickBot="1" x14ac:dyDescent="0.3">
      <c r="A2" s="630" t="s">
        <v>297</v>
      </c>
      <c r="B2" s="631"/>
      <c r="C2" s="631"/>
      <c r="D2" s="631"/>
      <c r="E2" s="631"/>
      <c r="F2" s="631"/>
      <c r="G2" s="631"/>
      <c r="H2" s="631"/>
      <c r="I2" s="631"/>
      <c r="J2" s="632"/>
      <c r="K2" s="371">
        <f>SUM(K6:K296)</f>
        <v>472</v>
      </c>
      <c r="L2" s="371">
        <f>SUM(L6:L296)</f>
        <v>779</v>
      </c>
      <c r="M2" s="372"/>
      <c r="N2" s="442">
        <f>SUMPRODUCT(K6:K296,N6:N296)/K299</f>
        <v>1</v>
      </c>
      <c r="O2" s="443">
        <f>SUM(O6:O296)</f>
        <v>776</v>
      </c>
      <c r="P2" s="444">
        <f>SUMPRODUCT(L6:L296,P6:P296)/L299</f>
        <v>0.99614890885750962</v>
      </c>
      <c r="Q2" s="373"/>
      <c r="R2" s="374">
        <f>SUM(R6:R296)</f>
        <v>651</v>
      </c>
      <c r="S2" s="445">
        <f>SUM(S6:S296)</f>
        <v>610</v>
      </c>
      <c r="T2" s="445">
        <f>SUM(T6:T296)</f>
        <v>579</v>
      </c>
      <c r="U2" s="445">
        <f>SUM(U6:U296)</f>
        <v>31</v>
      </c>
      <c r="V2" s="445">
        <f>SUM(V6:V296)</f>
        <v>0</v>
      </c>
      <c r="W2" s="445">
        <f>SUM(W6:W296)</f>
        <v>0</v>
      </c>
      <c r="X2" s="446">
        <f>IF((S299=0),0,((T299+U299)/S299*100%))</f>
        <v>1</v>
      </c>
      <c r="Y2" s="375"/>
      <c r="Z2" s="459">
        <f>SUM(Z6:Z296)</f>
        <v>488</v>
      </c>
      <c r="AA2" s="460">
        <f>SUM(AA6:AA296)</f>
        <v>226</v>
      </c>
      <c r="AB2" s="460">
        <f>SUM(AB6:AB296)</f>
        <v>0</v>
      </c>
      <c r="AC2" s="460">
        <f>SUM(AC6:AC296)</f>
        <v>90</v>
      </c>
      <c r="AD2" s="460">
        <f>SUM(AD6:AD296)</f>
        <v>172</v>
      </c>
      <c r="AE2" s="449">
        <f>IF((Z299=0),0,((AA299+AB299)/Z299*100%))</f>
        <v>0.46311475409836067</v>
      </c>
      <c r="AF2" s="376"/>
      <c r="AG2" s="376"/>
      <c r="AH2" s="536"/>
    </row>
    <row r="3" spans="1:34" ht="33.6" customHeight="1" thickBot="1" x14ac:dyDescent="0.3">
      <c r="A3" s="627" t="s">
        <v>298</v>
      </c>
      <c r="B3" s="628"/>
      <c r="C3" s="628"/>
      <c r="D3" s="628"/>
      <c r="E3" s="628"/>
      <c r="F3" s="628"/>
      <c r="G3" s="628"/>
      <c r="H3" s="628"/>
      <c r="I3" s="628"/>
      <c r="J3" s="628"/>
      <c r="K3" s="628"/>
      <c r="L3" s="628"/>
      <c r="M3" s="628"/>
      <c r="N3" s="628"/>
      <c r="O3" s="628"/>
      <c r="P3" s="628"/>
      <c r="Q3" s="628"/>
      <c r="R3" s="628"/>
      <c r="S3" s="628"/>
      <c r="T3" s="628"/>
      <c r="U3" s="628"/>
      <c r="V3" s="628"/>
      <c r="W3" s="628"/>
      <c r="X3" s="628"/>
      <c r="Y3" s="628"/>
      <c r="Z3" s="628"/>
      <c r="AA3" s="628"/>
      <c r="AB3" s="628"/>
      <c r="AC3" s="628"/>
      <c r="AD3" s="628"/>
      <c r="AE3" s="628"/>
      <c r="AF3" s="628"/>
      <c r="AG3" s="628"/>
      <c r="AH3" s="629"/>
    </row>
    <row r="4" spans="1:34" ht="31.5" customHeight="1" x14ac:dyDescent="0.25">
      <c r="A4" s="633" t="s">
        <v>71</v>
      </c>
      <c r="B4" s="634"/>
      <c r="C4" s="634"/>
      <c r="D4" s="634"/>
      <c r="E4" s="634"/>
      <c r="F4" s="634"/>
      <c r="G4" s="634"/>
      <c r="H4" s="634"/>
      <c r="I4" s="634"/>
      <c r="J4" s="634"/>
      <c r="K4" s="634"/>
      <c r="L4" s="634"/>
      <c r="M4" s="635"/>
      <c r="N4" s="636" t="s">
        <v>299</v>
      </c>
      <c r="O4" s="637"/>
      <c r="P4" s="638"/>
      <c r="Q4" s="643" t="s">
        <v>300</v>
      </c>
      <c r="R4" s="644"/>
      <c r="S4" s="644"/>
      <c r="T4" s="644"/>
      <c r="U4" s="644"/>
      <c r="V4" s="644"/>
      <c r="W4" s="644"/>
      <c r="X4" s="644"/>
      <c r="Y4" s="645"/>
      <c r="Z4" s="639" t="s">
        <v>301</v>
      </c>
      <c r="AA4" s="640"/>
      <c r="AB4" s="640"/>
      <c r="AC4" s="640"/>
      <c r="AD4" s="640"/>
      <c r="AE4" s="641"/>
      <c r="AF4" s="641"/>
      <c r="AG4" s="641"/>
      <c r="AH4" s="642"/>
    </row>
    <row r="5" spans="1:34" s="522" customFormat="1" x14ac:dyDescent="0.25">
      <c r="A5" s="735" t="s">
        <v>72</v>
      </c>
      <c r="B5" s="735" t="s">
        <v>76</v>
      </c>
      <c r="C5" s="735" t="s">
        <v>79</v>
      </c>
      <c r="D5" s="735" t="s">
        <v>83</v>
      </c>
      <c r="E5" s="735" t="s">
        <v>86</v>
      </c>
      <c r="F5" s="735" t="s">
        <v>89</v>
      </c>
      <c r="G5" s="735" t="s">
        <v>91</v>
      </c>
      <c r="H5" s="735" t="s">
        <v>94</v>
      </c>
      <c r="I5" s="735" t="s">
        <v>302</v>
      </c>
      <c r="J5" s="735" t="s">
        <v>97</v>
      </c>
      <c r="K5" s="735" t="s">
        <v>100</v>
      </c>
      <c r="L5" s="735" t="s">
        <v>103</v>
      </c>
      <c r="M5" s="735" t="s">
        <v>1</v>
      </c>
      <c r="N5" s="735" t="s">
        <v>109</v>
      </c>
      <c r="O5" s="735" t="s">
        <v>113</v>
      </c>
      <c r="P5" s="735" t="s">
        <v>116</v>
      </c>
      <c r="Q5" s="735" t="s">
        <v>120</v>
      </c>
      <c r="R5" s="735" t="s">
        <v>123</v>
      </c>
      <c r="S5" s="735" t="s">
        <v>127</v>
      </c>
      <c r="T5" s="735" t="s">
        <v>30</v>
      </c>
      <c r="U5" s="735" t="s">
        <v>130</v>
      </c>
      <c r="V5" s="735" t="s">
        <v>35</v>
      </c>
      <c r="W5" s="735" t="s">
        <v>133</v>
      </c>
      <c r="X5" s="735" t="s">
        <v>135</v>
      </c>
      <c r="Y5" s="735" t="s">
        <v>137</v>
      </c>
      <c r="Z5" s="735" t="s">
        <v>1557</v>
      </c>
      <c r="AA5" s="735" t="s">
        <v>1558</v>
      </c>
      <c r="AB5" s="735" t="s">
        <v>1559</v>
      </c>
      <c r="AC5" s="735" t="s">
        <v>1560</v>
      </c>
      <c r="AD5" s="735" t="s">
        <v>1561</v>
      </c>
      <c r="AE5" s="735" t="s">
        <v>1562</v>
      </c>
      <c r="AF5" s="735" t="s">
        <v>150</v>
      </c>
      <c r="AG5" s="735" t="s">
        <v>152</v>
      </c>
      <c r="AH5" s="735" t="s">
        <v>155</v>
      </c>
    </row>
    <row r="6" spans="1:34" x14ac:dyDescent="0.25">
      <c r="A6" t="s">
        <v>303</v>
      </c>
      <c r="B6" t="s">
        <v>304</v>
      </c>
      <c r="C6" t="s">
        <v>305</v>
      </c>
      <c r="D6" t="s">
        <v>306</v>
      </c>
      <c r="E6" t="s">
        <v>1563</v>
      </c>
      <c r="F6" t="s">
        <v>307</v>
      </c>
      <c r="G6" t="s">
        <v>1563</v>
      </c>
      <c r="H6" s="736" t="s">
        <v>308</v>
      </c>
      <c r="I6" t="s">
        <v>309</v>
      </c>
      <c r="J6" t="s">
        <v>310</v>
      </c>
      <c r="K6">
        <v>1</v>
      </c>
      <c r="L6" s="736">
        <v>1</v>
      </c>
      <c r="M6" s="736" t="s">
        <v>38</v>
      </c>
      <c r="N6" s="736">
        <v>1</v>
      </c>
      <c r="O6" s="736">
        <v>1</v>
      </c>
      <c r="P6" s="736">
        <v>1</v>
      </c>
      <c r="Q6" s="736" t="s">
        <v>45</v>
      </c>
      <c r="R6" s="736">
        <v>1</v>
      </c>
      <c r="S6">
        <v>1</v>
      </c>
      <c r="T6">
        <v>1</v>
      </c>
      <c r="U6" t="s">
        <v>1563</v>
      </c>
      <c r="V6" t="s">
        <v>1563</v>
      </c>
      <c r="W6" t="s">
        <v>1563</v>
      </c>
      <c r="X6">
        <v>1</v>
      </c>
      <c r="Y6" t="s">
        <v>1563</v>
      </c>
      <c r="Z6">
        <v>1</v>
      </c>
      <c r="AA6">
        <v>1</v>
      </c>
      <c r="AB6" t="s">
        <v>1563</v>
      </c>
      <c r="AC6" t="s">
        <v>1563</v>
      </c>
      <c r="AD6" t="s">
        <v>1563</v>
      </c>
      <c r="AE6">
        <v>1</v>
      </c>
      <c r="AF6" t="s">
        <v>1563</v>
      </c>
      <c r="AG6" t="s">
        <v>1422</v>
      </c>
      <c r="AH6" t="s">
        <v>1563</v>
      </c>
    </row>
    <row r="7" spans="1:34" x14ac:dyDescent="0.25">
      <c r="A7" t="s">
        <v>303</v>
      </c>
      <c r="B7" t="s">
        <v>304</v>
      </c>
      <c r="C7" t="s">
        <v>305</v>
      </c>
      <c r="D7" t="s">
        <v>306</v>
      </c>
      <c r="E7" t="s">
        <v>1563</v>
      </c>
      <c r="F7" t="s">
        <v>311</v>
      </c>
      <c r="G7" t="s">
        <v>1563</v>
      </c>
      <c r="H7" s="736" t="s">
        <v>312</v>
      </c>
      <c r="I7" t="s">
        <v>309</v>
      </c>
      <c r="J7" t="s">
        <v>310</v>
      </c>
      <c r="K7">
        <v>1</v>
      </c>
      <c r="L7" s="736">
        <v>1</v>
      </c>
      <c r="M7" s="736" t="s">
        <v>38</v>
      </c>
      <c r="N7" s="736">
        <v>1</v>
      </c>
      <c r="O7" s="736">
        <v>1</v>
      </c>
      <c r="P7" s="736">
        <v>1</v>
      </c>
      <c r="Q7" s="736" t="s">
        <v>45</v>
      </c>
      <c r="R7" s="736">
        <v>1</v>
      </c>
      <c r="S7">
        <v>1</v>
      </c>
      <c r="T7">
        <v>1</v>
      </c>
      <c r="U7" t="s">
        <v>1563</v>
      </c>
      <c r="V7" t="s">
        <v>1563</v>
      </c>
      <c r="W7" t="s">
        <v>1563</v>
      </c>
      <c r="X7">
        <v>1</v>
      </c>
      <c r="Y7" t="s">
        <v>1563</v>
      </c>
      <c r="Z7">
        <v>1</v>
      </c>
      <c r="AA7">
        <v>1</v>
      </c>
      <c r="AB7" t="s">
        <v>1563</v>
      </c>
      <c r="AC7" t="s">
        <v>1563</v>
      </c>
      <c r="AD7" t="s">
        <v>1563</v>
      </c>
      <c r="AE7">
        <v>1</v>
      </c>
      <c r="AF7" t="s">
        <v>1563</v>
      </c>
      <c r="AG7" t="s">
        <v>1422</v>
      </c>
      <c r="AH7" t="s">
        <v>1563</v>
      </c>
    </row>
    <row r="8" spans="1:34" x14ac:dyDescent="0.25">
      <c r="A8" t="s">
        <v>313</v>
      </c>
      <c r="B8" t="s">
        <v>304</v>
      </c>
      <c r="C8" t="s">
        <v>305</v>
      </c>
      <c r="D8" t="s">
        <v>306</v>
      </c>
      <c r="E8" t="s">
        <v>1563</v>
      </c>
      <c r="F8" t="s">
        <v>314</v>
      </c>
      <c r="G8" t="s">
        <v>1563</v>
      </c>
      <c r="H8" s="736" t="s">
        <v>315</v>
      </c>
      <c r="I8" t="s">
        <v>309</v>
      </c>
      <c r="J8" t="s">
        <v>310</v>
      </c>
      <c r="K8">
        <v>1</v>
      </c>
      <c r="L8" s="736">
        <v>1</v>
      </c>
      <c r="M8" s="736" t="s">
        <v>38</v>
      </c>
      <c r="N8" s="736">
        <v>1</v>
      </c>
      <c r="O8" s="736">
        <v>1</v>
      </c>
      <c r="P8" s="736">
        <v>1</v>
      </c>
      <c r="Q8" s="736" t="s">
        <v>45</v>
      </c>
      <c r="R8" s="736">
        <v>1</v>
      </c>
      <c r="S8">
        <v>1</v>
      </c>
      <c r="T8">
        <v>1</v>
      </c>
      <c r="U8" t="s">
        <v>1563</v>
      </c>
      <c r="V8" t="s">
        <v>1563</v>
      </c>
      <c r="W8" t="s">
        <v>1563</v>
      </c>
      <c r="X8">
        <v>1</v>
      </c>
      <c r="Y8" t="s">
        <v>1563</v>
      </c>
      <c r="Z8">
        <v>1</v>
      </c>
      <c r="AA8">
        <v>1</v>
      </c>
      <c r="AB8" t="s">
        <v>1563</v>
      </c>
      <c r="AC8" t="s">
        <v>1563</v>
      </c>
      <c r="AD8" t="s">
        <v>1563</v>
      </c>
      <c r="AE8">
        <v>1</v>
      </c>
      <c r="AF8" t="s">
        <v>1563</v>
      </c>
      <c r="AG8" t="s">
        <v>1422</v>
      </c>
      <c r="AH8" t="s">
        <v>1563</v>
      </c>
    </row>
    <row r="9" spans="1:34" x14ac:dyDescent="0.25">
      <c r="A9" t="s">
        <v>313</v>
      </c>
      <c r="B9" t="s">
        <v>304</v>
      </c>
      <c r="C9" t="s">
        <v>305</v>
      </c>
      <c r="D9" t="s">
        <v>306</v>
      </c>
      <c r="E9" t="s">
        <v>1563</v>
      </c>
      <c r="F9" t="s">
        <v>316</v>
      </c>
      <c r="G9" t="s">
        <v>1563</v>
      </c>
      <c r="H9" s="736" t="s">
        <v>317</v>
      </c>
      <c r="I9" t="s">
        <v>309</v>
      </c>
      <c r="J9" t="s">
        <v>310</v>
      </c>
      <c r="K9">
        <v>1</v>
      </c>
      <c r="L9" s="736">
        <v>1</v>
      </c>
      <c r="M9" s="736" t="s">
        <v>38</v>
      </c>
      <c r="N9" s="736">
        <v>1</v>
      </c>
      <c r="O9" s="736">
        <v>1</v>
      </c>
      <c r="P9" s="736">
        <v>1</v>
      </c>
      <c r="Q9" s="736" t="s">
        <v>45</v>
      </c>
      <c r="R9" s="736">
        <v>1</v>
      </c>
      <c r="S9">
        <v>1</v>
      </c>
      <c r="T9">
        <v>1</v>
      </c>
      <c r="U9" t="s">
        <v>1563</v>
      </c>
      <c r="V9" t="s">
        <v>1563</v>
      </c>
      <c r="W9" t="s">
        <v>1563</v>
      </c>
      <c r="X9">
        <v>1</v>
      </c>
      <c r="Y9" t="s">
        <v>1563</v>
      </c>
      <c r="Z9">
        <v>1</v>
      </c>
      <c r="AA9">
        <v>1</v>
      </c>
      <c r="AB9" t="s">
        <v>1563</v>
      </c>
      <c r="AC9" t="s">
        <v>1563</v>
      </c>
      <c r="AD9" t="s">
        <v>1563</v>
      </c>
      <c r="AE9">
        <v>1</v>
      </c>
      <c r="AF9" t="s">
        <v>1563</v>
      </c>
      <c r="AG9" t="s">
        <v>1422</v>
      </c>
      <c r="AH9" t="s">
        <v>1563</v>
      </c>
    </row>
    <row r="10" spans="1:34" x14ac:dyDescent="0.25">
      <c r="A10" t="s">
        <v>313</v>
      </c>
      <c r="B10" t="s">
        <v>304</v>
      </c>
      <c r="C10" t="s">
        <v>305</v>
      </c>
      <c r="D10" t="s">
        <v>306</v>
      </c>
      <c r="E10" t="s">
        <v>1563</v>
      </c>
      <c r="F10" t="s">
        <v>318</v>
      </c>
      <c r="G10" t="s">
        <v>1563</v>
      </c>
      <c r="H10" s="736" t="s">
        <v>319</v>
      </c>
      <c r="I10" t="s">
        <v>309</v>
      </c>
      <c r="J10" t="s">
        <v>310</v>
      </c>
      <c r="K10">
        <v>1</v>
      </c>
      <c r="L10" s="736">
        <v>1</v>
      </c>
      <c r="M10" s="736" t="s">
        <v>38</v>
      </c>
      <c r="N10" s="736">
        <v>1</v>
      </c>
      <c r="O10" s="736">
        <v>1</v>
      </c>
      <c r="P10" s="736">
        <v>1</v>
      </c>
      <c r="Q10" s="736" t="s">
        <v>45</v>
      </c>
      <c r="R10" s="736">
        <v>1</v>
      </c>
      <c r="S10">
        <v>1</v>
      </c>
      <c r="T10">
        <v>1</v>
      </c>
      <c r="U10" t="s">
        <v>1563</v>
      </c>
      <c r="V10" t="s">
        <v>1563</v>
      </c>
      <c r="W10" t="s">
        <v>1563</v>
      </c>
      <c r="X10">
        <v>1</v>
      </c>
      <c r="Y10" t="s">
        <v>1563</v>
      </c>
      <c r="Z10">
        <v>1</v>
      </c>
      <c r="AA10">
        <v>1</v>
      </c>
      <c r="AB10" t="s">
        <v>1563</v>
      </c>
      <c r="AC10" t="s">
        <v>1563</v>
      </c>
      <c r="AD10" t="s">
        <v>1563</v>
      </c>
      <c r="AE10">
        <v>1</v>
      </c>
      <c r="AF10" t="s">
        <v>1563</v>
      </c>
      <c r="AG10" t="s">
        <v>1422</v>
      </c>
      <c r="AH10" t="s">
        <v>1563</v>
      </c>
    </row>
    <row r="11" spans="1:34" x14ac:dyDescent="0.25">
      <c r="A11" t="s">
        <v>313</v>
      </c>
      <c r="B11" t="s">
        <v>304</v>
      </c>
      <c r="C11" t="s">
        <v>305</v>
      </c>
      <c r="D11" t="s">
        <v>306</v>
      </c>
      <c r="E11" t="s">
        <v>1563</v>
      </c>
      <c r="F11" t="s">
        <v>320</v>
      </c>
      <c r="G11" t="s">
        <v>1563</v>
      </c>
      <c r="H11" s="736" t="s">
        <v>321</v>
      </c>
      <c r="I11" t="s">
        <v>309</v>
      </c>
      <c r="J11" t="s">
        <v>310</v>
      </c>
      <c r="K11">
        <v>1</v>
      </c>
      <c r="L11" s="736">
        <v>1</v>
      </c>
      <c r="M11" s="736" t="s">
        <v>38</v>
      </c>
      <c r="N11" s="736">
        <v>1</v>
      </c>
      <c r="O11" s="736">
        <v>1</v>
      </c>
      <c r="P11" s="736">
        <v>1</v>
      </c>
      <c r="Q11" s="736" t="s">
        <v>45</v>
      </c>
      <c r="R11" s="736">
        <v>1</v>
      </c>
      <c r="S11">
        <v>1</v>
      </c>
      <c r="T11">
        <v>1</v>
      </c>
      <c r="U11" t="s">
        <v>1563</v>
      </c>
      <c r="V11" t="s">
        <v>1563</v>
      </c>
      <c r="W11" t="s">
        <v>1563</v>
      </c>
      <c r="X11">
        <v>1</v>
      </c>
      <c r="Y11" t="s">
        <v>1563</v>
      </c>
      <c r="Z11">
        <v>1</v>
      </c>
      <c r="AA11">
        <v>1</v>
      </c>
      <c r="AB11" t="s">
        <v>1563</v>
      </c>
      <c r="AC11" t="s">
        <v>1563</v>
      </c>
      <c r="AD11" t="s">
        <v>1563</v>
      </c>
      <c r="AE11">
        <v>1</v>
      </c>
      <c r="AF11" t="s">
        <v>1563</v>
      </c>
      <c r="AG11" t="s">
        <v>1422</v>
      </c>
      <c r="AH11" t="s">
        <v>1563</v>
      </c>
    </row>
    <row r="12" spans="1:34" x14ac:dyDescent="0.25">
      <c r="A12" t="s">
        <v>313</v>
      </c>
      <c r="B12" t="s">
        <v>304</v>
      </c>
      <c r="C12" t="s">
        <v>305</v>
      </c>
      <c r="D12" t="s">
        <v>306</v>
      </c>
      <c r="E12" t="s">
        <v>1563</v>
      </c>
      <c r="F12" t="s">
        <v>322</v>
      </c>
      <c r="G12" t="s">
        <v>1563</v>
      </c>
      <c r="H12" s="736" t="s">
        <v>323</v>
      </c>
      <c r="I12" t="s">
        <v>309</v>
      </c>
      <c r="J12" t="s">
        <v>310</v>
      </c>
      <c r="K12">
        <v>1</v>
      </c>
      <c r="L12" s="736">
        <v>1</v>
      </c>
      <c r="M12" s="736" t="s">
        <v>38</v>
      </c>
      <c r="N12" s="736">
        <v>1</v>
      </c>
      <c r="O12" s="736">
        <v>1</v>
      </c>
      <c r="P12" s="736">
        <v>1</v>
      </c>
      <c r="Q12" s="736" t="s">
        <v>45</v>
      </c>
      <c r="R12" s="736">
        <v>1</v>
      </c>
      <c r="S12">
        <v>1</v>
      </c>
      <c r="T12">
        <v>1</v>
      </c>
      <c r="U12" t="s">
        <v>1563</v>
      </c>
      <c r="V12" t="s">
        <v>1563</v>
      </c>
      <c r="W12" t="s">
        <v>1563</v>
      </c>
      <c r="X12">
        <v>1</v>
      </c>
      <c r="Y12" t="s">
        <v>1563</v>
      </c>
      <c r="Z12">
        <v>1</v>
      </c>
      <c r="AA12">
        <v>1</v>
      </c>
      <c r="AB12" t="s">
        <v>1563</v>
      </c>
      <c r="AC12" t="s">
        <v>1563</v>
      </c>
      <c r="AD12" t="s">
        <v>1563</v>
      </c>
      <c r="AE12">
        <v>1</v>
      </c>
      <c r="AF12" t="s">
        <v>1563</v>
      </c>
      <c r="AG12" t="s">
        <v>1422</v>
      </c>
      <c r="AH12" t="s">
        <v>1563</v>
      </c>
    </row>
    <row r="13" spans="1:34" x14ac:dyDescent="0.25">
      <c r="A13" t="s">
        <v>303</v>
      </c>
      <c r="B13" t="s">
        <v>304</v>
      </c>
      <c r="C13" t="s">
        <v>305</v>
      </c>
      <c r="D13" t="s">
        <v>306</v>
      </c>
      <c r="E13" t="s">
        <v>1563</v>
      </c>
      <c r="F13" t="s">
        <v>324</v>
      </c>
      <c r="G13" t="s">
        <v>1563</v>
      </c>
      <c r="H13" s="736" t="s">
        <v>325</v>
      </c>
      <c r="I13" t="s">
        <v>309</v>
      </c>
      <c r="J13" t="s">
        <v>326</v>
      </c>
      <c r="K13">
        <v>1</v>
      </c>
      <c r="L13" s="736">
        <v>1</v>
      </c>
      <c r="M13" s="736" t="s">
        <v>38</v>
      </c>
      <c r="N13" s="736">
        <v>1</v>
      </c>
      <c r="O13" s="736">
        <v>1</v>
      </c>
      <c r="P13" s="736">
        <v>1</v>
      </c>
      <c r="Q13" s="736" t="s">
        <v>45</v>
      </c>
      <c r="R13" s="736">
        <v>1</v>
      </c>
      <c r="S13">
        <v>1</v>
      </c>
      <c r="T13">
        <v>1</v>
      </c>
      <c r="U13" t="s">
        <v>1563</v>
      </c>
      <c r="V13" t="s">
        <v>1563</v>
      </c>
      <c r="W13" t="s">
        <v>1563</v>
      </c>
      <c r="X13">
        <v>1</v>
      </c>
      <c r="Y13" t="s">
        <v>1563</v>
      </c>
      <c r="Z13">
        <v>1</v>
      </c>
      <c r="AA13">
        <v>1</v>
      </c>
      <c r="AB13" t="s">
        <v>1563</v>
      </c>
      <c r="AC13" t="s">
        <v>1563</v>
      </c>
      <c r="AD13" t="s">
        <v>1563</v>
      </c>
      <c r="AE13">
        <v>1</v>
      </c>
      <c r="AF13" t="s">
        <v>1563</v>
      </c>
      <c r="AG13" t="s">
        <v>1422</v>
      </c>
      <c r="AH13" t="s">
        <v>1563</v>
      </c>
    </row>
    <row r="14" spans="1:34" x14ac:dyDescent="0.25">
      <c r="A14" t="s">
        <v>327</v>
      </c>
      <c r="B14" t="s">
        <v>304</v>
      </c>
      <c r="C14" t="s">
        <v>305</v>
      </c>
      <c r="D14" t="s">
        <v>306</v>
      </c>
      <c r="E14" t="s">
        <v>1563</v>
      </c>
      <c r="F14" t="s">
        <v>328</v>
      </c>
      <c r="G14" t="s">
        <v>1563</v>
      </c>
      <c r="H14" s="736" t="s">
        <v>329</v>
      </c>
      <c r="I14" t="s">
        <v>309</v>
      </c>
      <c r="J14" t="s">
        <v>326</v>
      </c>
      <c r="K14">
        <v>1</v>
      </c>
      <c r="L14" s="736">
        <v>15</v>
      </c>
      <c r="M14" s="736" t="s">
        <v>38</v>
      </c>
      <c r="N14" s="736">
        <v>1</v>
      </c>
      <c r="O14" s="736">
        <v>15</v>
      </c>
      <c r="P14" s="736">
        <v>1</v>
      </c>
      <c r="Q14" s="736" t="s">
        <v>46</v>
      </c>
      <c r="R14" s="736">
        <v>15</v>
      </c>
      <c r="S14">
        <v>15</v>
      </c>
      <c r="T14">
        <v>15</v>
      </c>
      <c r="U14" t="s">
        <v>1563</v>
      </c>
      <c r="V14" t="s">
        <v>1563</v>
      </c>
      <c r="W14" t="s">
        <v>1563</v>
      </c>
      <c r="X14">
        <v>1</v>
      </c>
      <c r="Y14" t="s">
        <v>1563</v>
      </c>
      <c r="Z14">
        <v>15</v>
      </c>
      <c r="AA14">
        <v>15</v>
      </c>
      <c r="AB14" t="s">
        <v>1563</v>
      </c>
      <c r="AC14" t="s">
        <v>1563</v>
      </c>
      <c r="AD14" t="s">
        <v>1563</v>
      </c>
      <c r="AE14">
        <v>1</v>
      </c>
      <c r="AF14" t="s">
        <v>1563</v>
      </c>
      <c r="AG14" t="s">
        <v>1422</v>
      </c>
      <c r="AH14" t="s">
        <v>1563</v>
      </c>
    </row>
    <row r="15" spans="1:34" x14ac:dyDescent="0.25">
      <c r="A15" t="s">
        <v>327</v>
      </c>
      <c r="B15" t="s">
        <v>304</v>
      </c>
      <c r="C15" t="s">
        <v>305</v>
      </c>
      <c r="D15" t="s">
        <v>306</v>
      </c>
      <c r="E15" t="s">
        <v>1563</v>
      </c>
      <c r="F15" t="s">
        <v>328</v>
      </c>
      <c r="G15" t="s">
        <v>1563</v>
      </c>
      <c r="H15" s="736" t="s">
        <v>329</v>
      </c>
      <c r="I15" t="s">
        <v>330</v>
      </c>
      <c r="J15" t="s">
        <v>326</v>
      </c>
      <c r="K15">
        <v>1</v>
      </c>
      <c r="L15" s="736">
        <v>15</v>
      </c>
      <c r="M15" s="736" t="s">
        <v>38</v>
      </c>
      <c r="N15" s="736">
        <v>1</v>
      </c>
      <c r="O15" s="736">
        <v>15</v>
      </c>
      <c r="P15" s="736">
        <v>1</v>
      </c>
      <c r="Q15" s="736" t="s">
        <v>45</v>
      </c>
      <c r="R15" s="736">
        <v>15</v>
      </c>
      <c r="S15">
        <v>0</v>
      </c>
      <c r="T15" t="s">
        <v>1563</v>
      </c>
      <c r="U15" t="s">
        <v>1563</v>
      </c>
      <c r="V15" t="s">
        <v>1563</v>
      </c>
      <c r="W15" t="s">
        <v>1563</v>
      </c>
      <c r="X15">
        <v>0</v>
      </c>
      <c r="Y15" t="s">
        <v>1563</v>
      </c>
      <c r="Z15">
        <v>0</v>
      </c>
      <c r="AA15" t="s">
        <v>1563</v>
      </c>
      <c r="AB15" t="s">
        <v>1563</v>
      </c>
      <c r="AC15" t="s">
        <v>1563</v>
      </c>
      <c r="AD15" t="s">
        <v>1563</v>
      </c>
      <c r="AE15">
        <v>0</v>
      </c>
      <c r="AF15" t="s">
        <v>1563</v>
      </c>
      <c r="AG15" t="s">
        <v>1422</v>
      </c>
      <c r="AH15" t="s">
        <v>1563</v>
      </c>
    </row>
    <row r="16" spans="1:34" x14ac:dyDescent="0.25">
      <c r="A16" t="s">
        <v>327</v>
      </c>
      <c r="B16" t="s">
        <v>304</v>
      </c>
      <c r="C16" t="s">
        <v>305</v>
      </c>
      <c r="D16" t="s">
        <v>306</v>
      </c>
      <c r="E16" t="s">
        <v>1563</v>
      </c>
      <c r="F16" t="s">
        <v>328</v>
      </c>
      <c r="G16" t="s">
        <v>1563</v>
      </c>
      <c r="H16" s="736" t="s">
        <v>331</v>
      </c>
      <c r="I16" t="s">
        <v>309</v>
      </c>
      <c r="J16" t="s">
        <v>326</v>
      </c>
      <c r="K16">
        <v>1</v>
      </c>
      <c r="L16" s="736">
        <v>1</v>
      </c>
      <c r="M16" s="736" t="s">
        <v>38</v>
      </c>
      <c r="N16" s="736">
        <v>1</v>
      </c>
      <c r="O16" s="736">
        <v>1</v>
      </c>
      <c r="P16" s="736">
        <v>1</v>
      </c>
      <c r="Q16" s="736" t="s">
        <v>45</v>
      </c>
      <c r="R16" s="736">
        <v>1</v>
      </c>
      <c r="S16">
        <v>1</v>
      </c>
      <c r="T16">
        <v>1</v>
      </c>
      <c r="U16" t="s">
        <v>1563</v>
      </c>
      <c r="V16" t="s">
        <v>1563</v>
      </c>
      <c r="W16" t="s">
        <v>1563</v>
      </c>
      <c r="X16">
        <v>1</v>
      </c>
      <c r="Y16" t="s">
        <v>1563</v>
      </c>
      <c r="Z16">
        <v>1</v>
      </c>
      <c r="AA16">
        <v>1</v>
      </c>
      <c r="AB16" t="s">
        <v>1563</v>
      </c>
      <c r="AC16" t="s">
        <v>1563</v>
      </c>
      <c r="AD16" t="s">
        <v>1563</v>
      </c>
      <c r="AE16">
        <v>1</v>
      </c>
      <c r="AF16" t="s">
        <v>1563</v>
      </c>
      <c r="AG16" t="s">
        <v>1422</v>
      </c>
      <c r="AH16" t="s">
        <v>1563</v>
      </c>
    </row>
    <row r="17" spans="1:34" x14ac:dyDescent="0.25">
      <c r="A17" t="s">
        <v>327</v>
      </c>
      <c r="B17" t="s">
        <v>304</v>
      </c>
      <c r="C17" t="s">
        <v>305</v>
      </c>
      <c r="D17" t="s">
        <v>306</v>
      </c>
      <c r="E17" t="s">
        <v>1563</v>
      </c>
      <c r="F17" t="s">
        <v>328</v>
      </c>
      <c r="G17" t="s">
        <v>1563</v>
      </c>
      <c r="H17" s="736" t="s">
        <v>331</v>
      </c>
      <c r="I17" t="s">
        <v>330</v>
      </c>
      <c r="J17" t="s">
        <v>326</v>
      </c>
      <c r="K17">
        <v>1</v>
      </c>
      <c r="L17" s="736">
        <v>1</v>
      </c>
      <c r="M17" s="736" t="s">
        <v>38</v>
      </c>
      <c r="N17" s="736">
        <v>1</v>
      </c>
      <c r="O17" s="736">
        <v>1</v>
      </c>
      <c r="P17" s="736">
        <v>1</v>
      </c>
      <c r="Q17" s="736" t="s">
        <v>1563</v>
      </c>
      <c r="R17" s="736">
        <v>1</v>
      </c>
      <c r="S17">
        <v>1</v>
      </c>
      <c r="T17">
        <v>1</v>
      </c>
      <c r="U17" t="s">
        <v>1563</v>
      </c>
      <c r="V17" t="s">
        <v>1563</v>
      </c>
      <c r="W17" t="s">
        <v>1563</v>
      </c>
      <c r="X17">
        <v>1</v>
      </c>
      <c r="Y17" t="s">
        <v>1563</v>
      </c>
      <c r="Z17">
        <v>1</v>
      </c>
      <c r="AA17">
        <v>1</v>
      </c>
      <c r="AB17" t="s">
        <v>1563</v>
      </c>
      <c r="AC17" t="s">
        <v>1563</v>
      </c>
      <c r="AD17" t="s">
        <v>1563</v>
      </c>
      <c r="AE17">
        <v>1</v>
      </c>
      <c r="AF17" t="s">
        <v>1563</v>
      </c>
      <c r="AG17" t="s">
        <v>1422</v>
      </c>
      <c r="AH17" t="s">
        <v>332</v>
      </c>
    </row>
    <row r="18" spans="1:34" x14ac:dyDescent="0.25">
      <c r="A18" t="s">
        <v>333</v>
      </c>
      <c r="B18" t="s">
        <v>304</v>
      </c>
      <c r="C18" t="s">
        <v>305</v>
      </c>
      <c r="D18" t="s">
        <v>306</v>
      </c>
      <c r="E18" t="s">
        <v>1563</v>
      </c>
      <c r="F18" t="s">
        <v>334</v>
      </c>
      <c r="G18" t="s">
        <v>1563</v>
      </c>
      <c r="H18" s="736" t="s">
        <v>335</v>
      </c>
      <c r="I18" t="s">
        <v>309</v>
      </c>
      <c r="J18" t="s">
        <v>326</v>
      </c>
      <c r="K18">
        <v>1</v>
      </c>
      <c r="L18" s="736">
        <v>1</v>
      </c>
      <c r="M18" s="736" t="s">
        <v>38</v>
      </c>
      <c r="N18" s="736">
        <v>1</v>
      </c>
      <c r="O18" s="736">
        <v>1</v>
      </c>
      <c r="P18" s="736">
        <v>1</v>
      </c>
      <c r="Q18" s="736" t="s">
        <v>45</v>
      </c>
      <c r="R18" s="736">
        <v>1</v>
      </c>
      <c r="S18">
        <v>1</v>
      </c>
      <c r="T18">
        <v>1</v>
      </c>
      <c r="U18" t="s">
        <v>1563</v>
      </c>
      <c r="V18" t="s">
        <v>1563</v>
      </c>
      <c r="W18" t="s">
        <v>1563</v>
      </c>
      <c r="X18">
        <v>1</v>
      </c>
      <c r="Y18" t="s">
        <v>1563</v>
      </c>
      <c r="Z18">
        <v>1</v>
      </c>
      <c r="AA18">
        <v>1</v>
      </c>
      <c r="AB18" t="s">
        <v>1563</v>
      </c>
      <c r="AC18" t="s">
        <v>1563</v>
      </c>
      <c r="AD18" t="s">
        <v>1563</v>
      </c>
      <c r="AE18">
        <v>1</v>
      </c>
      <c r="AF18" t="s">
        <v>1563</v>
      </c>
      <c r="AG18" t="s">
        <v>1422</v>
      </c>
      <c r="AH18" t="s">
        <v>1563</v>
      </c>
    </row>
    <row r="19" spans="1:34" x14ac:dyDescent="0.25">
      <c r="A19" t="s">
        <v>333</v>
      </c>
      <c r="B19" t="s">
        <v>304</v>
      </c>
      <c r="C19" t="s">
        <v>305</v>
      </c>
      <c r="D19" t="s">
        <v>306</v>
      </c>
      <c r="E19" t="s">
        <v>1563</v>
      </c>
      <c r="F19" t="s">
        <v>336</v>
      </c>
      <c r="G19" t="s">
        <v>1563</v>
      </c>
      <c r="H19" s="736" t="s">
        <v>337</v>
      </c>
      <c r="I19" t="s">
        <v>309</v>
      </c>
      <c r="J19" t="s">
        <v>326</v>
      </c>
      <c r="K19">
        <v>1</v>
      </c>
      <c r="L19" s="736">
        <v>1</v>
      </c>
      <c r="M19" s="736" t="s">
        <v>38</v>
      </c>
      <c r="N19" s="736">
        <v>1</v>
      </c>
      <c r="O19" s="736">
        <v>1</v>
      </c>
      <c r="P19" s="736">
        <v>1</v>
      </c>
      <c r="Q19" s="736" t="s">
        <v>45</v>
      </c>
      <c r="R19" s="736">
        <v>1</v>
      </c>
      <c r="S19">
        <v>1</v>
      </c>
      <c r="T19">
        <v>1</v>
      </c>
      <c r="U19" t="s">
        <v>1563</v>
      </c>
      <c r="V19" t="s">
        <v>1563</v>
      </c>
      <c r="W19" t="s">
        <v>1563</v>
      </c>
      <c r="X19">
        <v>1</v>
      </c>
      <c r="Y19" t="s">
        <v>1563</v>
      </c>
      <c r="Z19">
        <v>0</v>
      </c>
      <c r="AA19" t="s">
        <v>1563</v>
      </c>
      <c r="AB19" t="s">
        <v>1563</v>
      </c>
      <c r="AC19" t="s">
        <v>1563</v>
      </c>
      <c r="AD19" t="s">
        <v>1563</v>
      </c>
      <c r="AE19">
        <v>0</v>
      </c>
      <c r="AF19" t="s">
        <v>338</v>
      </c>
      <c r="AG19" t="s">
        <v>1422</v>
      </c>
      <c r="AH19" t="s">
        <v>1563</v>
      </c>
    </row>
    <row r="20" spans="1:34" x14ac:dyDescent="0.25">
      <c r="A20" t="s">
        <v>1563</v>
      </c>
      <c r="B20" t="s">
        <v>1563</v>
      </c>
      <c r="C20" t="s">
        <v>339</v>
      </c>
      <c r="D20" t="s">
        <v>306</v>
      </c>
      <c r="E20" t="s">
        <v>1563</v>
      </c>
      <c r="F20" t="s">
        <v>340</v>
      </c>
      <c r="G20" t="s">
        <v>1563</v>
      </c>
      <c r="H20" s="736" t="s">
        <v>341</v>
      </c>
      <c r="I20" t="s">
        <v>309</v>
      </c>
      <c r="J20" t="s">
        <v>342</v>
      </c>
      <c r="K20">
        <v>1</v>
      </c>
      <c r="L20" s="736">
        <v>1</v>
      </c>
      <c r="M20" s="736" t="s">
        <v>33</v>
      </c>
      <c r="N20" s="736">
        <v>1</v>
      </c>
      <c r="O20" s="736">
        <v>1</v>
      </c>
      <c r="P20" s="736">
        <v>1</v>
      </c>
      <c r="Q20" s="736" t="s">
        <v>45</v>
      </c>
      <c r="R20" s="736">
        <v>1</v>
      </c>
      <c r="S20">
        <v>1</v>
      </c>
      <c r="T20">
        <v>1</v>
      </c>
      <c r="U20" t="s">
        <v>1563</v>
      </c>
      <c r="V20" t="s">
        <v>1563</v>
      </c>
      <c r="W20" t="s">
        <v>1563</v>
      </c>
      <c r="X20">
        <v>1</v>
      </c>
      <c r="Y20" t="s">
        <v>1563</v>
      </c>
      <c r="Z20">
        <v>1</v>
      </c>
      <c r="AA20">
        <v>1</v>
      </c>
      <c r="AB20" t="s">
        <v>1563</v>
      </c>
      <c r="AC20" t="s">
        <v>1563</v>
      </c>
      <c r="AD20" t="s">
        <v>1563</v>
      </c>
      <c r="AE20">
        <v>1</v>
      </c>
      <c r="AF20" t="s">
        <v>1521</v>
      </c>
      <c r="AG20" t="s">
        <v>1563</v>
      </c>
      <c r="AH20" t="s">
        <v>1563</v>
      </c>
    </row>
    <row r="21" spans="1:34" x14ac:dyDescent="0.25">
      <c r="A21" t="s">
        <v>343</v>
      </c>
      <c r="B21" t="s">
        <v>344</v>
      </c>
      <c r="C21" t="s">
        <v>305</v>
      </c>
      <c r="D21" t="s">
        <v>306</v>
      </c>
      <c r="E21" t="s">
        <v>1563</v>
      </c>
      <c r="F21" t="s">
        <v>345</v>
      </c>
      <c r="G21" t="s">
        <v>254</v>
      </c>
      <c r="H21" s="736" t="s">
        <v>346</v>
      </c>
      <c r="I21" t="s">
        <v>309</v>
      </c>
      <c r="J21" t="s">
        <v>347</v>
      </c>
      <c r="K21">
        <v>1</v>
      </c>
      <c r="L21" s="736">
        <v>1</v>
      </c>
      <c r="M21" s="736" t="s">
        <v>33</v>
      </c>
      <c r="N21" s="736">
        <v>1</v>
      </c>
      <c r="O21" s="736">
        <v>1</v>
      </c>
      <c r="P21" s="736">
        <v>1</v>
      </c>
      <c r="Q21" s="736" t="s">
        <v>45</v>
      </c>
      <c r="R21" s="736">
        <v>1</v>
      </c>
      <c r="S21">
        <v>1</v>
      </c>
      <c r="T21">
        <v>1</v>
      </c>
      <c r="U21" t="s">
        <v>1563</v>
      </c>
      <c r="V21" t="s">
        <v>1563</v>
      </c>
      <c r="W21" t="s">
        <v>1563</v>
      </c>
      <c r="X21">
        <v>1</v>
      </c>
      <c r="Y21" t="s">
        <v>1563</v>
      </c>
      <c r="Z21">
        <v>1</v>
      </c>
      <c r="AA21" t="s">
        <v>1563</v>
      </c>
      <c r="AB21" t="s">
        <v>1563</v>
      </c>
      <c r="AC21">
        <v>1</v>
      </c>
      <c r="AD21" t="s">
        <v>1563</v>
      </c>
      <c r="AE21">
        <v>0</v>
      </c>
      <c r="AF21" t="s">
        <v>348</v>
      </c>
      <c r="AG21" t="s">
        <v>1423</v>
      </c>
      <c r="AH21" t="s">
        <v>1563</v>
      </c>
    </row>
    <row r="22" spans="1:34" x14ac:dyDescent="0.25">
      <c r="A22" t="s">
        <v>349</v>
      </c>
      <c r="B22" t="s">
        <v>350</v>
      </c>
      <c r="C22" t="s">
        <v>305</v>
      </c>
      <c r="D22" t="s">
        <v>306</v>
      </c>
      <c r="E22" t="s">
        <v>1563</v>
      </c>
      <c r="F22" t="s">
        <v>351</v>
      </c>
      <c r="G22" t="s">
        <v>275</v>
      </c>
      <c r="H22" s="736" t="s">
        <v>1564</v>
      </c>
      <c r="I22" t="s">
        <v>309</v>
      </c>
      <c r="J22" t="s">
        <v>326</v>
      </c>
      <c r="K22">
        <v>1</v>
      </c>
      <c r="L22" s="736">
        <v>3</v>
      </c>
      <c r="M22" s="736" t="s">
        <v>33</v>
      </c>
      <c r="N22" s="736">
        <v>1</v>
      </c>
      <c r="O22" s="736">
        <v>3</v>
      </c>
      <c r="P22" s="736">
        <v>1</v>
      </c>
      <c r="Q22" s="736" t="s">
        <v>45</v>
      </c>
      <c r="R22" s="736">
        <v>3</v>
      </c>
      <c r="S22">
        <v>3</v>
      </c>
      <c r="T22">
        <v>3</v>
      </c>
      <c r="U22" t="s">
        <v>1563</v>
      </c>
      <c r="V22" t="s">
        <v>1563</v>
      </c>
      <c r="W22" t="s">
        <v>1563</v>
      </c>
      <c r="X22">
        <v>1</v>
      </c>
      <c r="Y22" t="s">
        <v>1563</v>
      </c>
      <c r="Z22">
        <v>3</v>
      </c>
      <c r="AA22">
        <v>3</v>
      </c>
      <c r="AB22" t="s">
        <v>1563</v>
      </c>
      <c r="AC22" t="s">
        <v>1563</v>
      </c>
      <c r="AD22" t="s">
        <v>1563</v>
      </c>
      <c r="AE22">
        <v>1</v>
      </c>
      <c r="AF22" t="s">
        <v>1563</v>
      </c>
      <c r="AG22" t="s">
        <v>1423</v>
      </c>
      <c r="AH22" t="s">
        <v>1563</v>
      </c>
    </row>
    <row r="23" spans="1:34" x14ac:dyDescent="0.25">
      <c r="A23" t="s">
        <v>349</v>
      </c>
      <c r="B23" t="s">
        <v>350</v>
      </c>
      <c r="C23" t="s">
        <v>305</v>
      </c>
      <c r="D23" t="s">
        <v>306</v>
      </c>
      <c r="E23" t="s">
        <v>1563</v>
      </c>
      <c r="F23" t="s">
        <v>352</v>
      </c>
      <c r="G23" t="s">
        <v>275</v>
      </c>
      <c r="H23" s="736" t="s">
        <v>353</v>
      </c>
      <c r="I23" t="s">
        <v>309</v>
      </c>
      <c r="J23" t="s">
        <v>326</v>
      </c>
      <c r="K23">
        <v>1</v>
      </c>
      <c r="L23" s="736">
        <v>1</v>
      </c>
      <c r="M23" s="736" t="s">
        <v>33</v>
      </c>
      <c r="N23" s="736">
        <v>1</v>
      </c>
      <c r="O23" s="736">
        <v>1</v>
      </c>
      <c r="P23" s="736">
        <v>1</v>
      </c>
      <c r="Q23" s="736" t="s">
        <v>45</v>
      </c>
      <c r="R23" s="736">
        <v>1</v>
      </c>
      <c r="S23">
        <v>1</v>
      </c>
      <c r="T23">
        <v>1</v>
      </c>
      <c r="U23" t="s">
        <v>1563</v>
      </c>
      <c r="V23" t="s">
        <v>1563</v>
      </c>
      <c r="W23" t="s">
        <v>1563</v>
      </c>
      <c r="X23">
        <v>1</v>
      </c>
      <c r="Y23" t="s">
        <v>1563</v>
      </c>
      <c r="Z23">
        <v>1</v>
      </c>
      <c r="AA23">
        <v>1</v>
      </c>
      <c r="AB23" t="s">
        <v>1563</v>
      </c>
      <c r="AC23" t="s">
        <v>1563</v>
      </c>
      <c r="AD23" t="s">
        <v>1563</v>
      </c>
      <c r="AE23">
        <v>1</v>
      </c>
      <c r="AF23" t="s">
        <v>1563</v>
      </c>
      <c r="AG23" t="s">
        <v>1423</v>
      </c>
      <c r="AH23" t="s">
        <v>1563</v>
      </c>
    </row>
    <row r="24" spans="1:34" x14ac:dyDescent="0.25">
      <c r="A24" t="s">
        <v>349</v>
      </c>
      <c r="B24" t="s">
        <v>350</v>
      </c>
      <c r="C24" t="s">
        <v>354</v>
      </c>
      <c r="D24" t="s">
        <v>306</v>
      </c>
      <c r="E24" t="s">
        <v>1563</v>
      </c>
      <c r="F24" t="s">
        <v>355</v>
      </c>
      <c r="G24" t="s">
        <v>275</v>
      </c>
      <c r="H24" s="736" t="s">
        <v>1565</v>
      </c>
      <c r="I24" t="s">
        <v>309</v>
      </c>
      <c r="J24" t="s">
        <v>326</v>
      </c>
      <c r="K24">
        <v>1</v>
      </c>
      <c r="L24" s="736">
        <v>2</v>
      </c>
      <c r="M24" s="736" t="s">
        <v>33</v>
      </c>
      <c r="N24" s="736">
        <v>1</v>
      </c>
      <c r="O24" s="736">
        <v>2</v>
      </c>
      <c r="P24" s="736">
        <v>1</v>
      </c>
      <c r="Q24" s="736" t="s">
        <v>45</v>
      </c>
      <c r="R24" s="736">
        <v>2</v>
      </c>
      <c r="S24">
        <v>2</v>
      </c>
      <c r="T24">
        <v>2</v>
      </c>
      <c r="U24" t="s">
        <v>1563</v>
      </c>
      <c r="V24" t="s">
        <v>1563</v>
      </c>
      <c r="W24" t="s">
        <v>1563</v>
      </c>
      <c r="X24">
        <v>1</v>
      </c>
      <c r="Y24" t="s">
        <v>1563</v>
      </c>
      <c r="Z24">
        <v>2</v>
      </c>
      <c r="AA24">
        <v>2</v>
      </c>
      <c r="AB24" t="s">
        <v>1563</v>
      </c>
      <c r="AC24" t="s">
        <v>1563</v>
      </c>
      <c r="AD24" t="s">
        <v>1563</v>
      </c>
      <c r="AE24">
        <v>1</v>
      </c>
      <c r="AF24" t="s">
        <v>1563</v>
      </c>
      <c r="AG24" t="s">
        <v>1423</v>
      </c>
      <c r="AH24" t="s">
        <v>1563</v>
      </c>
    </row>
    <row r="25" spans="1:34" x14ac:dyDescent="0.25">
      <c r="A25" t="s">
        <v>356</v>
      </c>
      <c r="B25" t="s">
        <v>357</v>
      </c>
      <c r="C25" t="s">
        <v>305</v>
      </c>
      <c r="D25" t="s">
        <v>306</v>
      </c>
      <c r="E25" t="s">
        <v>1563</v>
      </c>
      <c r="F25" t="s">
        <v>358</v>
      </c>
      <c r="G25" t="s">
        <v>1563</v>
      </c>
      <c r="H25" s="736" t="s">
        <v>1566</v>
      </c>
      <c r="I25" t="s">
        <v>309</v>
      </c>
      <c r="J25" t="s">
        <v>326</v>
      </c>
      <c r="K25">
        <v>1</v>
      </c>
      <c r="L25" s="736">
        <v>2</v>
      </c>
      <c r="M25" s="736" t="s">
        <v>33</v>
      </c>
      <c r="N25" s="736">
        <v>1</v>
      </c>
      <c r="O25" s="736">
        <v>2</v>
      </c>
      <c r="P25" s="736">
        <v>1</v>
      </c>
      <c r="Q25" s="736" t="s">
        <v>45</v>
      </c>
      <c r="R25" s="736">
        <v>2</v>
      </c>
      <c r="S25">
        <v>2</v>
      </c>
      <c r="T25">
        <v>2</v>
      </c>
      <c r="U25" t="s">
        <v>1563</v>
      </c>
      <c r="V25" t="s">
        <v>1563</v>
      </c>
      <c r="W25" t="s">
        <v>1563</v>
      </c>
      <c r="X25">
        <v>1</v>
      </c>
      <c r="Y25" t="s">
        <v>1563</v>
      </c>
      <c r="Z25">
        <v>2</v>
      </c>
      <c r="AA25">
        <v>1</v>
      </c>
      <c r="AB25" t="s">
        <v>1563</v>
      </c>
      <c r="AC25">
        <v>1</v>
      </c>
      <c r="AD25" t="s">
        <v>1563</v>
      </c>
      <c r="AE25">
        <v>0.5</v>
      </c>
      <c r="AF25" t="s">
        <v>359</v>
      </c>
      <c r="AG25" t="s">
        <v>1423</v>
      </c>
      <c r="AH25" t="s">
        <v>1563</v>
      </c>
    </row>
    <row r="26" spans="1:34" x14ac:dyDescent="0.25">
      <c r="A26" t="s">
        <v>360</v>
      </c>
      <c r="B26" t="s">
        <v>357</v>
      </c>
      <c r="C26" t="s">
        <v>361</v>
      </c>
      <c r="D26" t="s">
        <v>306</v>
      </c>
      <c r="E26" t="s">
        <v>1563</v>
      </c>
      <c r="F26" t="s">
        <v>362</v>
      </c>
      <c r="G26" t="s">
        <v>1563</v>
      </c>
      <c r="H26" s="736" t="s">
        <v>363</v>
      </c>
      <c r="I26" t="s">
        <v>309</v>
      </c>
      <c r="J26" t="s">
        <v>326</v>
      </c>
      <c r="K26">
        <v>1</v>
      </c>
      <c r="L26" s="736">
        <v>1</v>
      </c>
      <c r="M26" s="736" t="s">
        <v>33</v>
      </c>
      <c r="N26" s="736">
        <v>1</v>
      </c>
      <c r="O26" s="736">
        <v>1</v>
      </c>
      <c r="P26" s="736">
        <v>1</v>
      </c>
      <c r="Q26" s="736" t="s">
        <v>46</v>
      </c>
      <c r="R26" s="736">
        <v>1</v>
      </c>
      <c r="S26">
        <v>1</v>
      </c>
      <c r="T26">
        <v>1</v>
      </c>
      <c r="U26" t="s">
        <v>1563</v>
      </c>
      <c r="V26" t="s">
        <v>1563</v>
      </c>
      <c r="W26" t="s">
        <v>1563</v>
      </c>
      <c r="X26">
        <v>1</v>
      </c>
      <c r="Y26" t="s">
        <v>1563</v>
      </c>
      <c r="Z26">
        <v>1</v>
      </c>
      <c r="AA26">
        <v>1</v>
      </c>
      <c r="AB26" t="s">
        <v>1563</v>
      </c>
      <c r="AC26" t="s">
        <v>1563</v>
      </c>
      <c r="AD26" t="s">
        <v>1563</v>
      </c>
      <c r="AE26">
        <v>1</v>
      </c>
      <c r="AF26" t="s">
        <v>1563</v>
      </c>
      <c r="AG26" t="s">
        <v>1423</v>
      </c>
      <c r="AH26" t="s">
        <v>1563</v>
      </c>
    </row>
    <row r="27" spans="1:34" x14ac:dyDescent="0.25">
      <c r="A27" t="s">
        <v>360</v>
      </c>
      <c r="B27" t="s">
        <v>357</v>
      </c>
      <c r="C27" t="s">
        <v>361</v>
      </c>
      <c r="D27" t="s">
        <v>306</v>
      </c>
      <c r="E27" t="s">
        <v>1563</v>
      </c>
      <c r="F27" t="s">
        <v>364</v>
      </c>
      <c r="G27" t="s">
        <v>1563</v>
      </c>
      <c r="H27" s="736" t="s">
        <v>365</v>
      </c>
      <c r="I27" t="s">
        <v>309</v>
      </c>
      <c r="J27" t="s">
        <v>366</v>
      </c>
      <c r="K27">
        <v>1</v>
      </c>
      <c r="L27" s="736">
        <v>1</v>
      </c>
      <c r="M27" s="736" t="s">
        <v>33</v>
      </c>
      <c r="N27" s="736">
        <v>1</v>
      </c>
      <c r="O27" s="736">
        <v>1</v>
      </c>
      <c r="P27" s="736">
        <v>1</v>
      </c>
      <c r="Q27" s="736" t="s">
        <v>45</v>
      </c>
      <c r="R27" s="736">
        <v>1</v>
      </c>
      <c r="S27">
        <v>1</v>
      </c>
      <c r="T27">
        <v>1</v>
      </c>
      <c r="U27" t="s">
        <v>1563</v>
      </c>
      <c r="V27" t="s">
        <v>1563</v>
      </c>
      <c r="W27" t="s">
        <v>1563</v>
      </c>
      <c r="X27">
        <v>1</v>
      </c>
      <c r="Y27" t="s">
        <v>1563</v>
      </c>
      <c r="Z27">
        <v>1</v>
      </c>
      <c r="AA27" t="s">
        <v>1563</v>
      </c>
      <c r="AB27" t="s">
        <v>1563</v>
      </c>
      <c r="AC27" t="s">
        <v>1563</v>
      </c>
      <c r="AD27">
        <v>1</v>
      </c>
      <c r="AE27">
        <v>0</v>
      </c>
      <c r="AF27" t="s">
        <v>1563</v>
      </c>
      <c r="AG27" t="s">
        <v>1423</v>
      </c>
      <c r="AH27" t="s">
        <v>1563</v>
      </c>
    </row>
    <row r="28" spans="1:34" x14ac:dyDescent="0.25">
      <c r="A28" t="s">
        <v>360</v>
      </c>
      <c r="B28" t="s">
        <v>357</v>
      </c>
      <c r="C28" t="s">
        <v>361</v>
      </c>
      <c r="D28" t="s">
        <v>306</v>
      </c>
      <c r="E28" t="s">
        <v>1563</v>
      </c>
      <c r="F28" t="s">
        <v>367</v>
      </c>
      <c r="G28" t="s">
        <v>1563</v>
      </c>
      <c r="H28" s="736" t="s">
        <v>368</v>
      </c>
      <c r="I28" t="s">
        <v>309</v>
      </c>
      <c r="J28" t="s">
        <v>366</v>
      </c>
      <c r="K28">
        <v>1</v>
      </c>
      <c r="L28" s="736">
        <v>1</v>
      </c>
      <c r="M28" s="736" t="s">
        <v>33</v>
      </c>
      <c r="N28" s="736">
        <v>1</v>
      </c>
      <c r="O28" s="736">
        <v>1</v>
      </c>
      <c r="P28" s="736">
        <v>1</v>
      </c>
      <c r="Q28" s="736" t="s">
        <v>45</v>
      </c>
      <c r="R28" s="736">
        <v>1</v>
      </c>
      <c r="S28">
        <v>1</v>
      </c>
      <c r="T28">
        <v>1</v>
      </c>
      <c r="U28" t="s">
        <v>1563</v>
      </c>
      <c r="V28" t="s">
        <v>1563</v>
      </c>
      <c r="W28" t="s">
        <v>1563</v>
      </c>
      <c r="X28">
        <v>1</v>
      </c>
      <c r="Y28" t="s">
        <v>1563</v>
      </c>
      <c r="Z28">
        <v>1</v>
      </c>
      <c r="AA28">
        <v>1</v>
      </c>
      <c r="AB28" t="s">
        <v>1563</v>
      </c>
      <c r="AC28" t="s">
        <v>1563</v>
      </c>
      <c r="AD28" t="s">
        <v>1563</v>
      </c>
      <c r="AE28">
        <v>1</v>
      </c>
      <c r="AF28" t="s">
        <v>1563</v>
      </c>
      <c r="AG28" t="s">
        <v>1423</v>
      </c>
      <c r="AH28" t="s">
        <v>1563</v>
      </c>
    </row>
    <row r="29" spans="1:34" x14ac:dyDescent="0.25">
      <c r="A29" t="s">
        <v>360</v>
      </c>
      <c r="B29" t="s">
        <v>357</v>
      </c>
      <c r="C29" t="s">
        <v>361</v>
      </c>
      <c r="D29" t="s">
        <v>306</v>
      </c>
      <c r="E29" t="s">
        <v>1563</v>
      </c>
      <c r="F29" t="s">
        <v>369</v>
      </c>
      <c r="G29" t="s">
        <v>1563</v>
      </c>
      <c r="H29" s="736" t="s">
        <v>370</v>
      </c>
      <c r="I29" t="s">
        <v>309</v>
      </c>
      <c r="J29" t="s">
        <v>371</v>
      </c>
      <c r="K29">
        <v>1</v>
      </c>
      <c r="L29" s="736">
        <v>1</v>
      </c>
      <c r="M29" s="736" t="s">
        <v>33</v>
      </c>
      <c r="N29" s="736">
        <v>1</v>
      </c>
      <c r="O29" s="736">
        <v>1</v>
      </c>
      <c r="P29" s="736">
        <v>1</v>
      </c>
      <c r="Q29" s="736" t="s">
        <v>45</v>
      </c>
      <c r="R29" s="736">
        <v>1</v>
      </c>
      <c r="S29">
        <v>1</v>
      </c>
      <c r="T29">
        <v>1</v>
      </c>
      <c r="U29" t="s">
        <v>1563</v>
      </c>
      <c r="V29" t="s">
        <v>1563</v>
      </c>
      <c r="W29" t="s">
        <v>1563</v>
      </c>
      <c r="X29">
        <v>1</v>
      </c>
      <c r="Y29" t="s">
        <v>1563</v>
      </c>
      <c r="Z29">
        <v>1</v>
      </c>
      <c r="AA29" t="s">
        <v>1563</v>
      </c>
      <c r="AB29" t="s">
        <v>1563</v>
      </c>
      <c r="AC29" t="s">
        <v>1563</v>
      </c>
      <c r="AD29">
        <v>1</v>
      </c>
      <c r="AE29">
        <v>0</v>
      </c>
      <c r="AF29" t="s">
        <v>1563</v>
      </c>
      <c r="AG29" t="s">
        <v>1423</v>
      </c>
      <c r="AH29" t="s">
        <v>1563</v>
      </c>
    </row>
    <row r="30" spans="1:34" x14ac:dyDescent="0.25">
      <c r="A30" t="s">
        <v>360</v>
      </c>
      <c r="B30" t="s">
        <v>357</v>
      </c>
      <c r="C30" t="s">
        <v>361</v>
      </c>
      <c r="D30" t="s">
        <v>306</v>
      </c>
      <c r="E30" t="s">
        <v>1563</v>
      </c>
      <c r="F30" t="s">
        <v>372</v>
      </c>
      <c r="G30" t="s">
        <v>1563</v>
      </c>
      <c r="H30" s="736" t="s">
        <v>373</v>
      </c>
      <c r="I30" t="s">
        <v>309</v>
      </c>
      <c r="J30" t="s">
        <v>371</v>
      </c>
      <c r="K30">
        <v>1</v>
      </c>
      <c r="L30" s="736">
        <v>1</v>
      </c>
      <c r="M30" s="736" t="s">
        <v>33</v>
      </c>
      <c r="N30" s="736">
        <v>1</v>
      </c>
      <c r="O30" s="736">
        <v>1</v>
      </c>
      <c r="P30" s="736">
        <v>1</v>
      </c>
      <c r="Q30" s="736" t="s">
        <v>45</v>
      </c>
      <c r="R30" s="736">
        <v>1</v>
      </c>
      <c r="S30">
        <v>1</v>
      </c>
      <c r="T30">
        <v>1</v>
      </c>
      <c r="U30" t="s">
        <v>1563</v>
      </c>
      <c r="V30" t="s">
        <v>1563</v>
      </c>
      <c r="W30" t="s">
        <v>1563</v>
      </c>
      <c r="X30">
        <v>1</v>
      </c>
      <c r="Y30" t="s">
        <v>1563</v>
      </c>
      <c r="Z30">
        <v>1</v>
      </c>
      <c r="AA30">
        <v>1</v>
      </c>
      <c r="AB30" t="s">
        <v>1563</v>
      </c>
      <c r="AC30" t="s">
        <v>1563</v>
      </c>
      <c r="AD30" t="s">
        <v>1563</v>
      </c>
      <c r="AE30">
        <v>1</v>
      </c>
      <c r="AF30" t="s">
        <v>1563</v>
      </c>
      <c r="AG30" t="s">
        <v>1423</v>
      </c>
      <c r="AH30" t="s">
        <v>1563</v>
      </c>
    </row>
    <row r="31" spans="1:34" x14ac:dyDescent="0.25">
      <c r="A31" t="s">
        <v>374</v>
      </c>
      <c r="B31" t="s">
        <v>350</v>
      </c>
      <c r="C31" t="s">
        <v>339</v>
      </c>
      <c r="D31" t="s">
        <v>306</v>
      </c>
      <c r="E31" t="s">
        <v>1563</v>
      </c>
      <c r="F31" t="s">
        <v>375</v>
      </c>
      <c r="G31" t="s">
        <v>1563</v>
      </c>
      <c r="H31" s="736" t="s">
        <v>376</v>
      </c>
      <c r="I31" t="s">
        <v>309</v>
      </c>
      <c r="J31" t="s">
        <v>326</v>
      </c>
      <c r="K31">
        <v>1</v>
      </c>
      <c r="L31" s="736">
        <v>1</v>
      </c>
      <c r="M31" s="736" t="s">
        <v>33</v>
      </c>
      <c r="N31" s="736">
        <v>1</v>
      </c>
      <c r="O31" s="736">
        <v>1</v>
      </c>
      <c r="P31" s="736">
        <v>1</v>
      </c>
      <c r="Q31" s="736" t="s">
        <v>45</v>
      </c>
      <c r="R31" s="736">
        <v>1</v>
      </c>
      <c r="S31">
        <v>1</v>
      </c>
      <c r="T31">
        <v>1</v>
      </c>
      <c r="U31" t="s">
        <v>1563</v>
      </c>
      <c r="V31" t="s">
        <v>1563</v>
      </c>
      <c r="W31" t="s">
        <v>1563</v>
      </c>
      <c r="X31">
        <v>1</v>
      </c>
      <c r="Y31" t="s">
        <v>1563</v>
      </c>
      <c r="Z31">
        <v>1</v>
      </c>
      <c r="AA31">
        <v>1</v>
      </c>
      <c r="AB31" t="s">
        <v>1563</v>
      </c>
      <c r="AC31" t="s">
        <v>1563</v>
      </c>
      <c r="AD31" t="s">
        <v>1563</v>
      </c>
      <c r="AE31">
        <v>1</v>
      </c>
      <c r="AF31" t="s">
        <v>1563</v>
      </c>
      <c r="AG31" t="s">
        <v>1423</v>
      </c>
      <c r="AH31" t="s">
        <v>1563</v>
      </c>
    </row>
    <row r="32" spans="1:34" x14ac:dyDescent="0.25">
      <c r="A32" t="s">
        <v>377</v>
      </c>
      <c r="B32" t="s">
        <v>350</v>
      </c>
      <c r="C32" t="s">
        <v>305</v>
      </c>
      <c r="D32" t="s">
        <v>306</v>
      </c>
      <c r="E32" t="s">
        <v>1563</v>
      </c>
      <c r="F32" t="s">
        <v>378</v>
      </c>
      <c r="G32" t="s">
        <v>1563</v>
      </c>
      <c r="H32" s="736" t="s">
        <v>379</v>
      </c>
      <c r="I32" t="s">
        <v>309</v>
      </c>
      <c r="J32" t="s">
        <v>326</v>
      </c>
      <c r="K32">
        <v>1</v>
      </c>
      <c r="L32" s="736">
        <v>1</v>
      </c>
      <c r="M32" s="736" t="s">
        <v>33</v>
      </c>
      <c r="N32" s="736">
        <v>1</v>
      </c>
      <c r="O32" s="736">
        <v>1</v>
      </c>
      <c r="P32" s="736">
        <v>1</v>
      </c>
      <c r="Q32" s="736" t="s">
        <v>45</v>
      </c>
      <c r="R32" s="736">
        <v>1</v>
      </c>
      <c r="S32">
        <v>1</v>
      </c>
      <c r="T32">
        <v>1</v>
      </c>
      <c r="U32" t="s">
        <v>1563</v>
      </c>
      <c r="V32" t="s">
        <v>1563</v>
      </c>
      <c r="W32" t="s">
        <v>1563</v>
      </c>
      <c r="X32">
        <v>1</v>
      </c>
      <c r="Y32" t="s">
        <v>1563</v>
      </c>
      <c r="Z32">
        <v>1</v>
      </c>
      <c r="AA32">
        <v>1</v>
      </c>
      <c r="AB32" t="s">
        <v>1563</v>
      </c>
      <c r="AC32" t="s">
        <v>1563</v>
      </c>
      <c r="AD32" t="s">
        <v>1563</v>
      </c>
      <c r="AE32">
        <v>1</v>
      </c>
      <c r="AF32" t="s">
        <v>1563</v>
      </c>
      <c r="AG32" t="s">
        <v>1423</v>
      </c>
      <c r="AH32" t="s">
        <v>1563</v>
      </c>
    </row>
    <row r="33" spans="1:34" x14ac:dyDescent="0.25">
      <c r="A33" t="s">
        <v>377</v>
      </c>
      <c r="B33" t="s">
        <v>350</v>
      </c>
      <c r="C33" t="s">
        <v>305</v>
      </c>
      <c r="D33" t="s">
        <v>306</v>
      </c>
      <c r="E33" t="s">
        <v>1563</v>
      </c>
      <c r="F33" t="s">
        <v>378</v>
      </c>
      <c r="G33" t="s">
        <v>1563</v>
      </c>
      <c r="H33" s="736" t="s">
        <v>380</v>
      </c>
      <c r="I33" t="s">
        <v>309</v>
      </c>
      <c r="J33" t="s">
        <v>347</v>
      </c>
      <c r="K33">
        <v>1</v>
      </c>
      <c r="L33" s="736">
        <v>1</v>
      </c>
      <c r="M33" s="736" t="s">
        <v>33</v>
      </c>
      <c r="N33" s="736">
        <v>1</v>
      </c>
      <c r="O33" s="736">
        <v>1</v>
      </c>
      <c r="P33" s="736">
        <v>1</v>
      </c>
      <c r="Q33" s="736" t="s">
        <v>45</v>
      </c>
      <c r="R33" s="736">
        <v>1</v>
      </c>
      <c r="S33">
        <v>1</v>
      </c>
      <c r="T33">
        <v>1</v>
      </c>
      <c r="U33" t="s">
        <v>1563</v>
      </c>
      <c r="V33" t="s">
        <v>1563</v>
      </c>
      <c r="W33" t="s">
        <v>1563</v>
      </c>
      <c r="X33">
        <v>1</v>
      </c>
      <c r="Y33" t="s">
        <v>1563</v>
      </c>
      <c r="Z33">
        <v>1</v>
      </c>
      <c r="AA33">
        <v>1</v>
      </c>
      <c r="AB33" t="s">
        <v>1563</v>
      </c>
      <c r="AC33" t="s">
        <v>1563</v>
      </c>
      <c r="AD33" t="s">
        <v>1563</v>
      </c>
      <c r="AE33">
        <v>1</v>
      </c>
      <c r="AF33" t="s">
        <v>1563</v>
      </c>
      <c r="AG33" t="s">
        <v>1423</v>
      </c>
      <c r="AH33" t="s">
        <v>1563</v>
      </c>
    </row>
    <row r="34" spans="1:34" x14ac:dyDescent="0.25">
      <c r="A34" t="s">
        <v>349</v>
      </c>
      <c r="B34" t="s">
        <v>350</v>
      </c>
      <c r="C34" t="s">
        <v>339</v>
      </c>
      <c r="D34" t="s">
        <v>306</v>
      </c>
      <c r="E34" t="s">
        <v>1563</v>
      </c>
      <c r="F34" t="s">
        <v>381</v>
      </c>
      <c r="G34" t="s">
        <v>275</v>
      </c>
      <c r="H34" s="736" t="s">
        <v>1567</v>
      </c>
      <c r="I34" t="s">
        <v>309</v>
      </c>
      <c r="J34" t="s">
        <v>326</v>
      </c>
      <c r="K34">
        <v>1</v>
      </c>
      <c r="L34" s="736">
        <v>2</v>
      </c>
      <c r="M34" s="736" t="s">
        <v>33</v>
      </c>
      <c r="N34" s="736">
        <v>1</v>
      </c>
      <c r="O34" s="736">
        <v>2</v>
      </c>
      <c r="P34" s="736">
        <v>1</v>
      </c>
      <c r="Q34" s="736" t="s">
        <v>45</v>
      </c>
      <c r="R34" s="736">
        <v>2</v>
      </c>
      <c r="S34">
        <v>2</v>
      </c>
      <c r="T34">
        <v>2</v>
      </c>
      <c r="U34" t="s">
        <v>1563</v>
      </c>
      <c r="V34" t="s">
        <v>1563</v>
      </c>
      <c r="W34" t="s">
        <v>1563</v>
      </c>
      <c r="X34">
        <v>1</v>
      </c>
      <c r="Y34" t="s">
        <v>1563</v>
      </c>
      <c r="Z34">
        <v>2</v>
      </c>
      <c r="AA34">
        <v>2</v>
      </c>
      <c r="AB34" t="s">
        <v>1563</v>
      </c>
      <c r="AC34" t="s">
        <v>1563</v>
      </c>
      <c r="AD34" t="s">
        <v>1563</v>
      </c>
      <c r="AE34">
        <v>1</v>
      </c>
      <c r="AF34" t="s">
        <v>1563</v>
      </c>
      <c r="AG34" t="s">
        <v>1423</v>
      </c>
      <c r="AH34" t="s">
        <v>1563</v>
      </c>
    </row>
    <row r="35" spans="1:34" x14ac:dyDescent="0.25">
      <c r="A35" t="s">
        <v>1563</v>
      </c>
      <c r="B35" t="s">
        <v>1563</v>
      </c>
      <c r="C35" t="s">
        <v>339</v>
      </c>
      <c r="D35" t="s">
        <v>382</v>
      </c>
      <c r="E35" t="s">
        <v>1563</v>
      </c>
      <c r="F35" t="s">
        <v>383</v>
      </c>
      <c r="G35" t="s">
        <v>1563</v>
      </c>
      <c r="H35" s="736" t="s">
        <v>1568</v>
      </c>
      <c r="I35" t="s">
        <v>309</v>
      </c>
      <c r="J35" t="s">
        <v>326</v>
      </c>
      <c r="K35">
        <v>1</v>
      </c>
      <c r="L35" s="736">
        <v>2</v>
      </c>
      <c r="M35" s="736" t="s">
        <v>33</v>
      </c>
      <c r="N35" s="736">
        <v>1</v>
      </c>
      <c r="O35" s="736">
        <v>2</v>
      </c>
      <c r="P35" s="736">
        <v>1</v>
      </c>
      <c r="Q35" s="736" t="s">
        <v>45</v>
      </c>
      <c r="R35" s="736">
        <v>2</v>
      </c>
      <c r="S35">
        <v>2</v>
      </c>
      <c r="T35">
        <v>2</v>
      </c>
      <c r="U35" t="s">
        <v>1563</v>
      </c>
      <c r="V35" t="s">
        <v>1563</v>
      </c>
      <c r="W35" t="s">
        <v>1563</v>
      </c>
      <c r="X35">
        <v>1</v>
      </c>
      <c r="Y35" t="s">
        <v>1563</v>
      </c>
      <c r="Z35">
        <v>2</v>
      </c>
      <c r="AA35">
        <v>2</v>
      </c>
      <c r="AB35" t="s">
        <v>1563</v>
      </c>
      <c r="AC35" t="s">
        <v>1563</v>
      </c>
      <c r="AD35" t="s">
        <v>1563</v>
      </c>
      <c r="AE35">
        <v>1</v>
      </c>
      <c r="AF35" t="s">
        <v>1563</v>
      </c>
      <c r="AG35" t="s">
        <v>1563</v>
      </c>
      <c r="AH35" t="s">
        <v>1563</v>
      </c>
    </row>
    <row r="36" spans="1:34" x14ac:dyDescent="0.25">
      <c r="A36" t="s">
        <v>1563</v>
      </c>
      <c r="B36" t="s">
        <v>1563</v>
      </c>
      <c r="C36" t="s">
        <v>339</v>
      </c>
      <c r="D36" t="s">
        <v>382</v>
      </c>
      <c r="E36" t="s">
        <v>1563</v>
      </c>
      <c r="F36" t="s">
        <v>384</v>
      </c>
      <c r="G36" t="s">
        <v>1563</v>
      </c>
      <c r="H36" s="736" t="s">
        <v>385</v>
      </c>
      <c r="I36" t="s">
        <v>309</v>
      </c>
      <c r="J36" t="s">
        <v>326</v>
      </c>
      <c r="K36">
        <v>1</v>
      </c>
      <c r="L36" s="736">
        <v>4</v>
      </c>
      <c r="M36" s="736" t="s">
        <v>33</v>
      </c>
      <c r="N36" s="736">
        <v>1</v>
      </c>
      <c r="O36" s="736">
        <v>4</v>
      </c>
      <c r="P36" s="736">
        <v>1</v>
      </c>
      <c r="Q36" s="736" t="s">
        <v>45</v>
      </c>
      <c r="R36" s="736">
        <v>4</v>
      </c>
      <c r="S36">
        <v>4</v>
      </c>
      <c r="T36">
        <v>4</v>
      </c>
      <c r="U36" t="s">
        <v>1563</v>
      </c>
      <c r="V36" t="s">
        <v>1563</v>
      </c>
      <c r="W36" t="s">
        <v>1563</v>
      </c>
      <c r="X36">
        <v>1</v>
      </c>
      <c r="Y36" t="s">
        <v>1563</v>
      </c>
      <c r="Z36">
        <v>4</v>
      </c>
      <c r="AA36" t="s">
        <v>1563</v>
      </c>
      <c r="AB36" t="s">
        <v>1563</v>
      </c>
      <c r="AC36">
        <v>4</v>
      </c>
      <c r="AD36" t="s">
        <v>1563</v>
      </c>
      <c r="AE36">
        <v>0</v>
      </c>
      <c r="AF36" t="s">
        <v>1556</v>
      </c>
      <c r="AG36" t="s">
        <v>1563</v>
      </c>
      <c r="AH36" t="s">
        <v>386</v>
      </c>
    </row>
    <row r="37" spans="1:34" x14ac:dyDescent="0.25">
      <c r="A37" t="s">
        <v>387</v>
      </c>
      <c r="B37" t="s">
        <v>388</v>
      </c>
      <c r="C37" t="s">
        <v>354</v>
      </c>
      <c r="D37" t="s">
        <v>382</v>
      </c>
      <c r="E37" t="s">
        <v>1563</v>
      </c>
      <c r="F37" t="s">
        <v>389</v>
      </c>
      <c r="G37" t="s">
        <v>275</v>
      </c>
      <c r="H37" s="736" t="s">
        <v>1569</v>
      </c>
      <c r="I37" t="s">
        <v>309</v>
      </c>
      <c r="J37" t="s">
        <v>326</v>
      </c>
      <c r="K37">
        <v>1</v>
      </c>
      <c r="L37" s="736">
        <v>2</v>
      </c>
      <c r="M37" s="736" t="s">
        <v>33</v>
      </c>
      <c r="N37" s="736">
        <v>1</v>
      </c>
      <c r="O37" s="736">
        <v>2</v>
      </c>
      <c r="P37" s="736">
        <v>1</v>
      </c>
      <c r="Q37" s="736" t="s">
        <v>45</v>
      </c>
      <c r="R37" s="736">
        <v>2</v>
      </c>
      <c r="S37">
        <v>2</v>
      </c>
      <c r="T37">
        <v>2</v>
      </c>
      <c r="U37" t="s">
        <v>1563</v>
      </c>
      <c r="V37" t="s">
        <v>1563</v>
      </c>
      <c r="W37" t="s">
        <v>1563</v>
      </c>
      <c r="X37">
        <v>1</v>
      </c>
      <c r="Y37" t="s">
        <v>1563</v>
      </c>
      <c r="Z37">
        <v>2</v>
      </c>
      <c r="AA37" t="s">
        <v>1563</v>
      </c>
      <c r="AB37" t="s">
        <v>1563</v>
      </c>
      <c r="AC37">
        <v>1</v>
      </c>
      <c r="AD37">
        <v>1</v>
      </c>
      <c r="AE37">
        <v>0</v>
      </c>
      <c r="AF37" t="s">
        <v>390</v>
      </c>
      <c r="AG37" t="s">
        <v>1425</v>
      </c>
      <c r="AH37" t="s">
        <v>1563</v>
      </c>
    </row>
    <row r="38" spans="1:34" x14ac:dyDescent="0.25">
      <c r="A38" t="s">
        <v>387</v>
      </c>
      <c r="B38" t="s">
        <v>388</v>
      </c>
      <c r="C38" t="s">
        <v>354</v>
      </c>
      <c r="D38" t="s">
        <v>382</v>
      </c>
      <c r="E38" t="s">
        <v>1563</v>
      </c>
      <c r="F38" t="s">
        <v>391</v>
      </c>
      <c r="G38" t="s">
        <v>275</v>
      </c>
      <c r="H38" s="736" t="s">
        <v>1570</v>
      </c>
      <c r="I38" t="s">
        <v>309</v>
      </c>
      <c r="J38" t="s">
        <v>326</v>
      </c>
      <c r="K38">
        <v>1</v>
      </c>
      <c r="L38" s="736">
        <v>2</v>
      </c>
      <c r="M38" s="736" t="s">
        <v>33</v>
      </c>
      <c r="N38" s="736">
        <v>1</v>
      </c>
      <c r="O38" s="736">
        <v>2</v>
      </c>
      <c r="P38" s="736">
        <v>1</v>
      </c>
      <c r="Q38" s="736" t="s">
        <v>45</v>
      </c>
      <c r="R38" s="736">
        <v>2</v>
      </c>
      <c r="S38">
        <v>2</v>
      </c>
      <c r="T38">
        <v>2</v>
      </c>
      <c r="U38" t="s">
        <v>1563</v>
      </c>
      <c r="V38" t="s">
        <v>1563</v>
      </c>
      <c r="W38" t="s">
        <v>1563</v>
      </c>
      <c r="X38">
        <v>1</v>
      </c>
      <c r="Y38" t="s">
        <v>1563</v>
      </c>
      <c r="Z38">
        <v>2</v>
      </c>
      <c r="AA38" t="s">
        <v>1563</v>
      </c>
      <c r="AB38" t="s">
        <v>1563</v>
      </c>
      <c r="AC38">
        <v>1</v>
      </c>
      <c r="AD38">
        <v>1</v>
      </c>
      <c r="AE38">
        <v>0</v>
      </c>
      <c r="AF38" t="s">
        <v>390</v>
      </c>
      <c r="AG38" t="s">
        <v>1425</v>
      </c>
      <c r="AH38" t="s">
        <v>1563</v>
      </c>
    </row>
    <row r="39" spans="1:34" x14ac:dyDescent="0.25">
      <c r="A39" t="s">
        <v>387</v>
      </c>
      <c r="B39" t="s">
        <v>388</v>
      </c>
      <c r="C39" t="s">
        <v>354</v>
      </c>
      <c r="D39" t="s">
        <v>382</v>
      </c>
      <c r="E39" t="s">
        <v>1563</v>
      </c>
      <c r="F39" t="s">
        <v>392</v>
      </c>
      <c r="G39" t="s">
        <v>275</v>
      </c>
      <c r="H39" s="736" t="s">
        <v>1571</v>
      </c>
      <c r="I39" t="s">
        <v>309</v>
      </c>
      <c r="J39" t="s">
        <v>326</v>
      </c>
      <c r="K39">
        <v>1</v>
      </c>
      <c r="L39" s="736">
        <v>2</v>
      </c>
      <c r="M39" s="736" t="s">
        <v>33</v>
      </c>
      <c r="N39" s="736">
        <v>1</v>
      </c>
      <c r="O39" s="736">
        <v>2</v>
      </c>
      <c r="P39" s="736">
        <v>1</v>
      </c>
      <c r="Q39" s="736" t="s">
        <v>45</v>
      </c>
      <c r="R39" s="736">
        <v>2</v>
      </c>
      <c r="S39">
        <v>2</v>
      </c>
      <c r="T39">
        <v>2</v>
      </c>
      <c r="U39" t="s">
        <v>1563</v>
      </c>
      <c r="V39" t="s">
        <v>1563</v>
      </c>
      <c r="W39" t="s">
        <v>1563</v>
      </c>
      <c r="X39">
        <v>1</v>
      </c>
      <c r="Y39" t="s">
        <v>1563</v>
      </c>
      <c r="Z39">
        <v>2</v>
      </c>
      <c r="AA39" t="s">
        <v>1563</v>
      </c>
      <c r="AB39" t="s">
        <v>1563</v>
      </c>
      <c r="AC39">
        <v>1</v>
      </c>
      <c r="AD39">
        <v>1</v>
      </c>
      <c r="AE39">
        <v>0</v>
      </c>
      <c r="AF39" t="s">
        <v>390</v>
      </c>
      <c r="AG39" t="s">
        <v>1425</v>
      </c>
      <c r="AH39" t="s">
        <v>1563</v>
      </c>
    </row>
    <row r="40" spans="1:34" x14ac:dyDescent="0.25">
      <c r="A40" t="s">
        <v>393</v>
      </c>
      <c r="B40" t="s">
        <v>394</v>
      </c>
      <c r="C40" t="s">
        <v>395</v>
      </c>
      <c r="D40" t="s">
        <v>306</v>
      </c>
      <c r="E40" t="s">
        <v>1563</v>
      </c>
      <c r="F40" t="s">
        <v>396</v>
      </c>
      <c r="G40" t="s">
        <v>1563</v>
      </c>
      <c r="H40" s="736" t="s">
        <v>1572</v>
      </c>
      <c r="I40" t="s">
        <v>309</v>
      </c>
      <c r="J40" t="s">
        <v>326</v>
      </c>
      <c r="K40">
        <v>9</v>
      </c>
      <c r="L40" s="736">
        <v>2</v>
      </c>
      <c r="M40" s="736" t="s">
        <v>33</v>
      </c>
      <c r="N40" s="736">
        <v>1</v>
      </c>
      <c r="O40" s="736">
        <v>2</v>
      </c>
      <c r="P40" s="736">
        <v>1</v>
      </c>
      <c r="Q40" s="736" t="s">
        <v>45</v>
      </c>
      <c r="R40" s="736">
        <v>2</v>
      </c>
      <c r="S40">
        <v>2</v>
      </c>
      <c r="T40">
        <v>2</v>
      </c>
      <c r="U40" t="s">
        <v>1563</v>
      </c>
      <c r="V40" t="s">
        <v>1563</v>
      </c>
      <c r="W40" t="s">
        <v>1563</v>
      </c>
      <c r="X40">
        <v>1</v>
      </c>
      <c r="Y40" t="s">
        <v>1563</v>
      </c>
      <c r="Z40">
        <v>2</v>
      </c>
      <c r="AA40" t="s">
        <v>1563</v>
      </c>
      <c r="AB40" t="s">
        <v>1563</v>
      </c>
      <c r="AC40" t="s">
        <v>1563</v>
      </c>
      <c r="AD40">
        <v>2</v>
      </c>
      <c r="AE40">
        <v>0</v>
      </c>
      <c r="AF40" t="s">
        <v>1526</v>
      </c>
      <c r="AG40" t="s">
        <v>1425</v>
      </c>
      <c r="AH40" t="s">
        <v>397</v>
      </c>
    </row>
    <row r="41" spans="1:34" x14ac:dyDescent="0.25">
      <c r="A41" t="s">
        <v>393</v>
      </c>
      <c r="B41" t="s">
        <v>394</v>
      </c>
      <c r="C41" t="s">
        <v>395</v>
      </c>
      <c r="D41" t="s">
        <v>306</v>
      </c>
      <c r="E41" t="s">
        <v>1563</v>
      </c>
      <c r="F41" t="s">
        <v>398</v>
      </c>
      <c r="G41" t="s">
        <v>1563</v>
      </c>
      <c r="H41" s="736" t="s">
        <v>1573</v>
      </c>
      <c r="I41" t="s">
        <v>309</v>
      </c>
      <c r="J41" t="s">
        <v>342</v>
      </c>
      <c r="K41">
        <v>2</v>
      </c>
      <c r="L41" s="736">
        <v>2</v>
      </c>
      <c r="M41" s="736" t="s">
        <v>33</v>
      </c>
      <c r="N41" s="736">
        <v>1</v>
      </c>
      <c r="O41" s="736">
        <v>2</v>
      </c>
      <c r="P41" s="736">
        <v>1</v>
      </c>
      <c r="Q41" s="736" t="s">
        <v>45</v>
      </c>
      <c r="R41" s="736">
        <v>2</v>
      </c>
      <c r="S41">
        <v>2</v>
      </c>
      <c r="T41">
        <v>2</v>
      </c>
      <c r="U41" t="s">
        <v>1563</v>
      </c>
      <c r="V41" t="s">
        <v>1563</v>
      </c>
      <c r="W41" t="s">
        <v>1563</v>
      </c>
      <c r="X41">
        <v>1</v>
      </c>
      <c r="Y41" t="s">
        <v>1563</v>
      </c>
      <c r="Z41">
        <v>2</v>
      </c>
      <c r="AA41" t="s">
        <v>1563</v>
      </c>
      <c r="AB41" t="s">
        <v>1563</v>
      </c>
      <c r="AC41" t="s">
        <v>1563</v>
      </c>
      <c r="AD41">
        <v>2</v>
      </c>
      <c r="AE41">
        <v>0</v>
      </c>
      <c r="AF41" t="s">
        <v>1526</v>
      </c>
      <c r="AG41" t="s">
        <v>1425</v>
      </c>
      <c r="AH41" t="s">
        <v>1563</v>
      </c>
    </row>
    <row r="42" spans="1:34" x14ac:dyDescent="0.25">
      <c r="A42" t="s">
        <v>393</v>
      </c>
      <c r="B42" t="s">
        <v>394</v>
      </c>
      <c r="C42" t="s">
        <v>395</v>
      </c>
      <c r="D42" t="s">
        <v>306</v>
      </c>
      <c r="E42" t="s">
        <v>1563</v>
      </c>
      <c r="F42" t="s">
        <v>399</v>
      </c>
      <c r="G42" t="s">
        <v>1563</v>
      </c>
      <c r="H42" s="736" t="s">
        <v>400</v>
      </c>
      <c r="I42" t="s">
        <v>309</v>
      </c>
      <c r="J42" t="s">
        <v>326</v>
      </c>
      <c r="K42">
        <v>1</v>
      </c>
      <c r="L42" s="736">
        <v>3</v>
      </c>
      <c r="M42" s="736" t="s">
        <v>33</v>
      </c>
      <c r="N42" s="736">
        <v>1</v>
      </c>
      <c r="O42" s="736">
        <v>3</v>
      </c>
      <c r="P42" s="736">
        <v>1</v>
      </c>
      <c r="Q42" s="736" t="s">
        <v>45</v>
      </c>
      <c r="R42" s="736">
        <v>3</v>
      </c>
      <c r="S42">
        <v>3</v>
      </c>
      <c r="T42">
        <v>3</v>
      </c>
      <c r="U42" t="s">
        <v>1563</v>
      </c>
      <c r="V42" t="s">
        <v>1563</v>
      </c>
      <c r="W42" t="s">
        <v>1563</v>
      </c>
      <c r="X42">
        <v>1</v>
      </c>
      <c r="Y42" t="s">
        <v>1563</v>
      </c>
      <c r="Z42">
        <v>3</v>
      </c>
      <c r="AA42" t="s">
        <v>1563</v>
      </c>
      <c r="AB42" t="s">
        <v>1563</v>
      </c>
      <c r="AC42" t="s">
        <v>1563</v>
      </c>
      <c r="AD42">
        <v>3</v>
      </c>
      <c r="AE42">
        <v>0</v>
      </c>
      <c r="AF42" t="s">
        <v>1526</v>
      </c>
      <c r="AG42" t="s">
        <v>1425</v>
      </c>
      <c r="AH42" t="s">
        <v>1563</v>
      </c>
    </row>
    <row r="43" spans="1:34" x14ac:dyDescent="0.25">
      <c r="A43" t="s">
        <v>401</v>
      </c>
      <c r="B43" t="s">
        <v>402</v>
      </c>
      <c r="C43" t="s">
        <v>395</v>
      </c>
      <c r="D43" t="s">
        <v>306</v>
      </c>
      <c r="E43" t="s">
        <v>1563</v>
      </c>
      <c r="F43" t="s">
        <v>403</v>
      </c>
      <c r="G43" t="s">
        <v>1563</v>
      </c>
      <c r="H43" s="736" t="s">
        <v>404</v>
      </c>
      <c r="I43" t="s">
        <v>309</v>
      </c>
      <c r="J43" t="s">
        <v>326</v>
      </c>
      <c r="K43">
        <v>9</v>
      </c>
      <c r="L43" s="736">
        <v>1</v>
      </c>
      <c r="M43" s="736" t="s">
        <v>33</v>
      </c>
      <c r="N43" s="736">
        <v>1</v>
      </c>
      <c r="O43" s="736">
        <v>1</v>
      </c>
      <c r="P43" s="736">
        <v>1</v>
      </c>
      <c r="Q43" s="736" t="s">
        <v>45</v>
      </c>
      <c r="R43" s="736">
        <v>1</v>
      </c>
      <c r="S43">
        <v>1</v>
      </c>
      <c r="T43">
        <v>1</v>
      </c>
      <c r="U43" t="s">
        <v>1563</v>
      </c>
      <c r="V43" t="s">
        <v>1563</v>
      </c>
      <c r="W43" t="s">
        <v>1563</v>
      </c>
      <c r="X43">
        <v>1</v>
      </c>
      <c r="Y43" t="s">
        <v>1563</v>
      </c>
      <c r="Z43">
        <v>1</v>
      </c>
      <c r="AA43" t="s">
        <v>1563</v>
      </c>
      <c r="AB43" t="s">
        <v>1563</v>
      </c>
      <c r="AC43" t="s">
        <v>1563</v>
      </c>
      <c r="AD43">
        <v>1</v>
      </c>
      <c r="AE43">
        <v>0</v>
      </c>
      <c r="AF43" t="s">
        <v>1527</v>
      </c>
      <c r="AG43" t="s">
        <v>1425</v>
      </c>
      <c r="AH43" t="s">
        <v>405</v>
      </c>
    </row>
    <row r="44" spans="1:34" x14ac:dyDescent="0.25">
      <c r="A44" t="s">
        <v>406</v>
      </c>
      <c r="B44" t="s">
        <v>402</v>
      </c>
      <c r="C44" t="s">
        <v>395</v>
      </c>
      <c r="D44" t="s">
        <v>306</v>
      </c>
      <c r="E44" t="s">
        <v>1563</v>
      </c>
      <c r="F44" t="s">
        <v>403</v>
      </c>
      <c r="G44" t="s">
        <v>1563</v>
      </c>
      <c r="H44" s="736" t="s">
        <v>407</v>
      </c>
      <c r="I44" t="s">
        <v>309</v>
      </c>
      <c r="J44" t="s">
        <v>326</v>
      </c>
      <c r="K44">
        <v>1</v>
      </c>
      <c r="L44" s="736">
        <v>3</v>
      </c>
      <c r="M44" s="736" t="s">
        <v>33</v>
      </c>
      <c r="N44" s="736">
        <v>1</v>
      </c>
      <c r="O44" s="736">
        <v>3</v>
      </c>
      <c r="P44" s="736">
        <v>1</v>
      </c>
      <c r="Q44" s="736" t="s">
        <v>45</v>
      </c>
      <c r="R44" s="736">
        <v>3</v>
      </c>
      <c r="S44">
        <v>3</v>
      </c>
      <c r="T44">
        <v>3</v>
      </c>
      <c r="U44" t="s">
        <v>1563</v>
      </c>
      <c r="V44" t="s">
        <v>1563</v>
      </c>
      <c r="W44" t="s">
        <v>1563</v>
      </c>
      <c r="X44">
        <v>1</v>
      </c>
      <c r="Y44" t="s">
        <v>1563</v>
      </c>
      <c r="Z44">
        <v>3</v>
      </c>
      <c r="AA44">
        <v>3</v>
      </c>
      <c r="AB44" t="s">
        <v>1563</v>
      </c>
      <c r="AC44" t="s">
        <v>1563</v>
      </c>
      <c r="AD44" t="s">
        <v>1563</v>
      </c>
      <c r="AE44">
        <v>1</v>
      </c>
      <c r="AF44" t="s">
        <v>1521</v>
      </c>
      <c r="AG44" t="s">
        <v>1425</v>
      </c>
      <c r="AH44" t="s">
        <v>1563</v>
      </c>
    </row>
    <row r="45" spans="1:34" x14ac:dyDescent="0.25">
      <c r="A45" t="s">
        <v>408</v>
      </c>
      <c r="B45" t="s">
        <v>402</v>
      </c>
      <c r="C45" t="s">
        <v>395</v>
      </c>
      <c r="D45" t="s">
        <v>306</v>
      </c>
      <c r="E45" t="s">
        <v>1563</v>
      </c>
      <c r="F45" t="s">
        <v>403</v>
      </c>
      <c r="G45" t="s">
        <v>1563</v>
      </c>
      <c r="H45" s="736" t="s">
        <v>409</v>
      </c>
      <c r="I45" t="s">
        <v>309</v>
      </c>
      <c r="J45" t="s">
        <v>410</v>
      </c>
      <c r="K45">
        <v>1</v>
      </c>
      <c r="L45" s="736">
        <v>1</v>
      </c>
      <c r="M45" s="736" t="s">
        <v>33</v>
      </c>
      <c r="N45" s="736">
        <v>1</v>
      </c>
      <c r="O45" s="736">
        <v>1</v>
      </c>
      <c r="P45" s="736">
        <v>1</v>
      </c>
      <c r="Q45" s="736" t="s">
        <v>45</v>
      </c>
      <c r="R45" s="736">
        <v>1</v>
      </c>
      <c r="S45">
        <v>1</v>
      </c>
      <c r="T45">
        <v>1</v>
      </c>
      <c r="U45" t="s">
        <v>1563</v>
      </c>
      <c r="V45" t="s">
        <v>1563</v>
      </c>
      <c r="W45" t="s">
        <v>1563</v>
      </c>
      <c r="X45">
        <v>1</v>
      </c>
      <c r="Y45" t="s">
        <v>1563</v>
      </c>
      <c r="Z45">
        <v>1</v>
      </c>
      <c r="AA45" t="s">
        <v>1563</v>
      </c>
      <c r="AB45" t="s">
        <v>1563</v>
      </c>
      <c r="AC45" t="s">
        <v>1563</v>
      </c>
      <c r="AD45">
        <v>1</v>
      </c>
      <c r="AE45">
        <v>0</v>
      </c>
      <c r="AF45" t="s">
        <v>1528</v>
      </c>
      <c r="AG45" t="s">
        <v>1425</v>
      </c>
      <c r="AH45" t="s">
        <v>1563</v>
      </c>
    </row>
    <row r="46" spans="1:34" x14ac:dyDescent="0.25">
      <c r="A46" t="s">
        <v>408</v>
      </c>
      <c r="B46" t="s">
        <v>402</v>
      </c>
      <c r="C46" t="s">
        <v>395</v>
      </c>
      <c r="D46" t="s">
        <v>306</v>
      </c>
      <c r="E46" t="s">
        <v>1563</v>
      </c>
      <c r="F46" t="s">
        <v>403</v>
      </c>
      <c r="G46" t="s">
        <v>1563</v>
      </c>
      <c r="H46" s="736" t="s">
        <v>411</v>
      </c>
      <c r="I46" t="s">
        <v>309</v>
      </c>
      <c r="J46" t="s">
        <v>326</v>
      </c>
      <c r="K46">
        <v>1</v>
      </c>
      <c r="L46" s="736">
        <v>4</v>
      </c>
      <c r="M46" s="736" t="s">
        <v>33</v>
      </c>
      <c r="N46" s="736">
        <v>1</v>
      </c>
      <c r="O46" s="736">
        <v>4</v>
      </c>
      <c r="P46" s="736">
        <v>1</v>
      </c>
      <c r="Q46" s="736" t="s">
        <v>45</v>
      </c>
      <c r="R46" s="736">
        <v>4</v>
      </c>
      <c r="S46">
        <v>4</v>
      </c>
      <c r="T46">
        <v>4</v>
      </c>
      <c r="U46" t="s">
        <v>1563</v>
      </c>
      <c r="V46" t="s">
        <v>1563</v>
      </c>
      <c r="W46" t="s">
        <v>1563</v>
      </c>
      <c r="X46">
        <v>1</v>
      </c>
      <c r="Y46" t="s">
        <v>1563</v>
      </c>
      <c r="Z46">
        <v>4</v>
      </c>
      <c r="AA46">
        <v>4</v>
      </c>
      <c r="AB46" t="s">
        <v>1563</v>
      </c>
      <c r="AC46" t="s">
        <v>1563</v>
      </c>
      <c r="AD46" t="s">
        <v>1563</v>
      </c>
      <c r="AE46">
        <v>1</v>
      </c>
      <c r="AF46" t="s">
        <v>1521</v>
      </c>
      <c r="AG46" t="s">
        <v>1425</v>
      </c>
      <c r="AH46" t="s">
        <v>1563</v>
      </c>
    </row>
    <row r="47" spans="1:34" x14ac:dyDescent="0.25">
      <c r="A47" t="s">
        <v>412</v>
      </c>
      <c r="B47" t="s">
        <v>413</v>
      </c>
      <c r="C47" t="s">
        <v>395</v>
      </c>
      <c r="D47" t="s">
        <v>306</v>
      </c>
      <c r="E47" t="s">
        <v>1563</v>
      </c>
      <c r="F47" t="s">
        <v>414</v>
      </c>
      <c r="G47" t="s">
        <v>275</v>
      </c>
      <c r="H47" s="736" t="s">
        <v>415</v>
      </c>
      <c r="I47" t="s">
        <v>309</v>
      </c>
      <c r="J47" t="s">
        <v>416</v>
      </c>
      <c r="K47">
        <v>1</v>
      </c>
      <c r="L47" s="736">
        <v>1</v>
      </c>
      <c r="M47" s="736" t="s">
        <v>33</v>
      </c>
      <c r="N47" s="736">
        <v>1</v>
      </c>
      <c r="O47" s="736">
        <v>1</v>
      </c>
      <c r="P47" s="736">
        <v>1</v>
      </c>
      <c r="Q47" s="736" t="s">
        <v>45</v>
      </c>
      <c r="R47" s="736">
        <v>1</v>
      </c>
      <c r="S47">
        <v>1</v>
      </c>
      <c r="T47">
        <v>1</v>
      </c>
      <c r="U47" t="s">
        <v>1563</v>
      </c>
      <c r="V47" t="s">
        <v>1563</v>
      </c>
      <c r="W47" t="s">
        <v>1563</v>
      </c>
      <c r="X47">
        <v>1</v>
      </c>
      <c r="Y47" t="s">
        <v>1563</v>
      </c>
      <c r="Z47">
        <v>1</v>
      </c>
      <c r="AA47">
        <v>1</v>
      </c>
      <c r="AB47" t="s">
        <v>1563</v>
      </c>
      <c r="AC47" t="s">
        <v>1563</v>
      </c>
      <c r="AD47" t="s">
        <v>1563</v>
      </c>
      <c r="AE47">
        <v>1</v>
      </c>
      <c r="AF47" t="s">
        <v>1521</v>
      </c>
      <c r="AG47" t="s">
        <v>1425</v>
      </c>
      <c r="AH47" t="s">
        <v>1563</v>
      </c>
    </row>
    <row r="48" spans="1:34" x14ac:dyDescent="0.25">
      <c r="A48" t="s">
        <v>412</v>
      </c>
      <c r="B48" t="s">
        <v>413</v>
      </c>
      <c r="C48" t="s">
        <v>395</v>
      </c>
      <c r="D48" t="s">
        <v>306</v>
      </c>
      <c r="E48" t="s">
        <v>1563</v>
      </c>
      <c r="F48" t="s">
        <v>417</v>
      </c>
      <c r="G48" t="s">
        <v>275</v>
      </c>
      <c r="H48" s="736" t="s">
        <v>418</v>
      </c>
      <c r="I48" t="s">
        <v>309</v>
      </c>
      <c r="J48" t="s">
        <v>419</v>
      </c>
      <c r="K48">
        <v>1</v>
      </c>
      <c r="L48" s="736">
        <v>1</v>
      </c>
      <c r="M48" s="736" t="s">
        <v>33</v>
      </c>
      <c r="N48" s="736">
        <v>1</v>
      </c>
      <c r="O48" s="736">
        <v>1</v>
      </c>
      <c r="P48" s="736">
        <v>1</v>
      </c>
      <c r="Q48" s="736" t="s">
        <v>45</v>
      </c>
      <c r="R48" s="736">
        <v>1</v>
      </c>
      <c r="S48">
        <v>1</v>
      </c>
      <c r="T48">
        <v>1</v>
      </c>
      <c r="U48" t="s">
        <v>1563</v>
      </c>
      <c r="V48" t="s">
        <v>1563</v>
      </c>
      <c r="W48" t="s">
        <v>1563</v>
      </c>
      <c r="X48">
        <v>1</v>
      </c>
      <c r="Y48" t="s">
        <v>1563</v>
      </c>
      <c r="Z48">
        <v>1</v>
      </c>
      <c r="AA48" t="s">
        <v>1563</v>
      </c>
      <c r="AB48" t="s">
        <v>1563</v>
      </c>
      <c r="AC48">
        <v>1</v>
      </c>
      <c r="AD48" t="s">
        <v>1563</v>
      </c>
      <c r="AE48">
        <v>0</v>
      </c>
      <c r="AF48" t="s">
        <v>1529</v>
      </c>
      <c r="AG48" t="s">
        <v>1425</v>
      </c>
      <c r="AH48" t="s">
        <v>1563</v>
      </c>
    </row>
    <row r="49" spans="1:34" x14ac:dyDescent="0.25">
      <c r="A49" t="s">
        <v>412</v>
      </c>
      <c r="B49" t="s">
        <v>413</v>
      </c>
      <c r="C49" t="s">
        <v>395</v>
      </c>
      <c r="D49" t="s">
        <v>306</v>
      </c>
      <c r="E49" t="s">
        <v>1563</v>
      </c>
      <c r="F49" t="s">
        <v>420</v>
      </c>
      <c r="G49" t="s">
        <v>275</v>
      </c>
      <c r="H49" s="736" t="s">
        <v>421</v>
      </c>
      <c r="I49" t="s">
        <v>309</v>
      </c>
      <c r="J49" t="s">
        <v>419</v>
      </c>
      <c r="K49">
        <v>1</v>
      </c>
      <c r="L49" s="736">
        <v>1</v>
      </c>
      <c r="M49" s="736" t="s">
        <v>33</v>
      </c>
      <c r="N49" s="736">
        <v>1</v>
      </c>
      <c r="O49" s="736">
        <v>1</v>
      </c>
      <c r="P49" s="736">
        <v>1</v>
      </c>
      <c r="Q49" s="736" t="s">
        <v>45</v>
      </c>
      <c r="R49" s="736">
        <v>1</v>
      </c>
      <c r="S49">
        <v>1</v>
      </c>
      <c r="T49">
        <v>1</v>
      </c>
      <c r="U49" t="s">
        <v>1563</v>
      </c>
      <c r="V49" t="s">
        <v>1563</v>
      </c>
      <c r="W49" t="s">
        <v>1563</v>
      </c>
      <c r="X49">
        <v>1</v>
      </c>
      <c r="Y49" t="s">
        <v>1563</v>
      </c>
      <c r="Z49">
        <v>1</v>
      </c>
      <c r="AA49">
        <v>1</v>
      </c>
      <c r="AB49" t="s">
        <v>1563</v>
      </c>
      <c r="AC49" t="s">
        <v>1563</v>
      </c>
      <c r="AD49" t="s">
        <v>1563</v>
      </c>
      <c r="AE49">
        <v>1</v>
      </c>
      <c r="AF49" t="s">
        <v>1521</v>
      </c>
      <c r="AG49" t="s">
        <v>1425</v>
      </c>
      <c r="AH49" t="s">
        <v>1563</v>
      </c>
    </row>
    <row r="50" spans="1:34" x14ac:dyDescent="0.25">
      <c r="A50" t="s">
        <v>412</v>
      </c>
      <c r="B50" t="s">
        <v>413</v>
      </c>
      <c r="C50" t="s">
        <v>395</v>
      </c>
      <c r="D50" t="s">
        <v>306</v>
      </c>
      <c r="E50" t="s">
        <v>1563</v>
      </c>
      <c r="F50" t="s">
        <v>422</v>
      </c>
      <c r="G50" t="s">
        <v>275</v>
      </c>
      <c r="H50" s="736" t="s">
        <v>423</v>
      </c>
      <c r="I50" t="s">
        <v>309</v>
      </c>
      <c r="J50" t="s">
        <v>424</v>
      </c>
      <c r="K50">
        <v>1</v>
      </c>
      <c r="L50" s="736">
        <v>1</v>
      </c>
      <c r="M50" s="736" t="s">
        <v>33</v>
      </c>
      <c r="N50" s="736">
        <v>1</v>
      </c>
      <c r="O50" s="736">
        <v>1</v>
      </c>
      <c r="P50" s="736">
        <v>1</v>
      </c>
      <c r="Q50" s="736" t="s">
        <v>45</v>
      </c>
      <c r="R50" s="736">
        <v>1</v>
      </c>
      <c r="S50">
        <v>1</v>
      </c>
      <c r="T50">
        <v>1</v>
      </c>
      <c r="U50" t="s">
        <v>1563</v>
      </c>
      <c r="V50" t="s">
        <v>1563</v>
      </c>
      <c r="W50" t="s">
        <v>1563</v>
      </c>
      <c r="X50">
        <v>1</v>
      </c>
      <c r="Y50" t="s">
        <v>1563</v>
      </c>
      <c r="Z50">
        <v>1</v>
      </c>
      <c r="AA50">
        <v>1</v>
      </c>
      <c r="AB50" t="s">
        <v>1563</v>
      </c>
      <c r="AC50" t="s">
        <v>1563</v>
      </c>
      <c r="AD50" t="s">
        <v>1563</v>
      </c>
      <c r="AE50">
        <v>1</v>
      </c>
      <c r="AF50" t="s">
        <v>1521</v>
      </c>
      <c r="AG50" t="s">
        <v>1425</v>
      </c>
      <c r="AH50" t="s">
        <v>1563</v>
      </c>
    </row>
    <row r="51" spans="1:34" x14ac:dyDescent="0.25">
      <c r="A51" t="s">
        <v>412</v>
      </c>
      <c r="B51" t="s">
        <v>413</v>
      </c>
      <c r="C51" t="s">
        <v>395</v>
      </c>
      <c r="D51" t="s">
        <v>306</v>
      </c>
      <c r="E51" t="s">
        <v>1563</v>
      </c>
      <c r="F51" t="s">
        <v>425</v>
      </c>
      <c r="G51" t="s">
        <v>275</v>
      </c>
      <c r="H51" s="736" t="s">
        <v>426</v>
      </c>
      <c r="I51" t="s">
        <v>309</v>
      </c>
      <c r="J51" t="s">
        <v>371</v>
      </c>
      <c r="K51">
        <v>1</v>
      </c>
      <c r="L51" s="736">
        <v>1</v>
      </c>
      <c r="M51" s="736" t="s">
        <v>33</v>
      </c>
      <c r="N51" s="736">
        <v>1</v>
      </c>
      <c r="O51" s="736">
        <v>1</v>
      </c>
      <c r="P51" s="736">
        <v>1</v>
      </c>
      <c r="Q51" s="736" t="s">
        <v>45</v>
      </c>
      <c r="R51" s="736">
        <v>1</v>
      </c>
      <c r="S51">
        <v>1</v>
      </c>
      <c r="T51">
        <v>1</v>
      </c>
      <c r="U51" t="s">
        <v>1563</v>
      </c>
      <c r="V51" t="s">
        <v>1563</v>
      </c>
      <c r="W51" t="s">
        <v>1563</v>
      </c>
      <c r="X51">
        <v>1</v>
      </c>
      <c r="Y51" t="s">
        <v>1563</v>
      </c>
      <c r="Z51">
        <v>1</v>
      </c>
      <c r="AA51">
        <v>1</v>
      </c>
      <c r="AB51" t="s">
        <v>1563</v>
      </c>
      <c r="AC51" t="s">
        <v>1563</v>
      </c>
      <c r="AD51" t="s">
        <v>1563</v>
      </c>
      <c r="AE51">
        <v>1</v>
      </c>
      <c r="AF51" t="s">
        <v>1521</v>
      </c>
      <c r="AG51" t="s">
        <v>1425</v>
      </c>
      <c r="AH51" t="s">
        <v>1563</v>
      </c>
    </row>
    <row r="52" spans="1:34" x14ac:dyDescent="0.25">
      <c r="A52" t="s">
        <v>412</v>
      </c>
      <c r="B52" t="s">
        <v>413</v>
      </c>
      <c r="C52" t="s">
        <v>395</v>
      </c>
      <c r="D52" t="s">
        <v>306</v>
      </c>
      <c r="E52" t="s">
        <v>1563</v>
      </c>
      <c r="F52" t="s">
        <v>427</v>
      </c>
      <c r="G52" t="s">
        <v>275</v>
      </c>
      <c r="H52" s="736" t="s">
        <v>428</v>
      </c>
      <c r="I52" t="s">
        <v>309</v>
      </c>
      <c r="J52" t="s">
        <v>429</v>
      </c>
      <c r="K52">
        <v>1</v>
      </c>
      <c r="L52" s="736">
        <v>1</v>
      </c>
      <c r="M52" s="736" t="s">
        <v>33</v>
      </c>
      <c r="N52" s="736">
        <v>1</v>
      </c>
      <c r="O52" s="736">
        <v>1</v>
      </c>
      <c r="P52" s="736">
        <v>1</v>
      </c>
      <c r="Q52" s="736" t="s">
        <v>45</v>
      </c>
      <c r="R52" s="736">
        <v>1</v>
      </c>
      <c r="S52">
        <v>1</v>
      </c>
      <c r="T52">
        <v>1</v>
      </c>
      <c r="U52" t="s">
        <v>1563</v>
      </c>
      <c r="V52" t="s">
        <v>1563</v>
      </c>
      <c r="W52" t="s">
        <v>1563</v>
      </c>
      <c r="X52">
        <v>1</v>
      </c>
      <c r="Y52" t="s">
        <v>1563</v>
      </c>
      <c r="Z52">
        <v>1</v>
      </c>
      <c r="AA52" t="s">
        <v>1563</v>
      </c>
      <c r="AB52" t="s">
        <v>1563</v>
      </c>
      <c r="AC52" t="s">
        <v>1563</v>
      </c>
      <c r="AD52">
        <v>1</v>
      </c>
      <c r="AE52">
        <v>0</v>
      </c>
      <c r="AF52" t="s">
        <v>1530</v>
      </c>
      <c r="AG52" t="s">
        <v>1425</v>
      </c>
      <c r="AH52" t="s">
        <v>1563</v>
      </c>
    </row>
    <row r="53" spans="1:34" x14ac:dyDescent="0.25">
      <c r="A53" t="s">
        <v>412</v>
      </c>
      <c r="B53" t="s">
        <v>413</v>
      </c>
      <c r="C53" t="s">
        <v>395</v>
      </c>
      <c r="D53" t="s">
        <v>306</v>
      </c>
      <c r="E53" t="s">
        <v>1563</v>
      </c>
      <c r="F53" t="s">
        <v>414</v>
      </c>
      <c r="G53" t="s">
        <v>275</v>
      </c>
      <c r="H53" s="736" t="s">
        <v>430</v>
      </c>
      <c r="I53" t="s">
        <v>309</v>
      </c>
      <c r="J53" t="s">
        <v>431</v>
      </c>
      <c r="K53">
        <v>1</v>
      </c>
      <c r="L53" s="736">
        <v>1</v>
      </c>
      <c r="M53" s="736" t="s">
        <v>33</v>
      </c>
      <c r="N53" s="736">
        <v>1</v>
      </c>
      <c r="O53" s="736">
        <v>1</v>
      </c>
      <c r="P53" s="736">
        <v>1</v>
      </c>
      <c r="Q53" s="736" t="s">
        <v>45</v>
      </c>
      <c r="R53" s="736">
        <v>1</v>
      </c>
      <c r="S53">
        <v>1</v>
      </c>
      <c r="T53">
        <v>1</v>
      </c>
      <c r="U53" t="s">
        <v>1563</v>
      </c>
      <c r="V53" t="s">
        <v>1563</v>
      </c>
      <c r="W53" t="s">
        <v>1563</v>
      </c>
      <c r="X53">
        <v>1</v>
      </c>
      <c r="Y53" t="s">
        <v>1563</v>
      </c>
      <c r="Z53">
        <v>1</v>
      </c>
      <c r="AA53" t="s">
        <v>1563</v>
      </c>
      <c r="AB53" t="s">
        <v>1563</v>
      </c>
      <c r="AC53" t="s">
        <v>1563</v>
      </c>
      <c r="AD53">
        <v>1</v>
      </c>
      <c r="AE53">
        <v>0</v>
      </c>
      <c r="AF53" t="s">
        <v>1530</v>
      </c>
      <c r="AG53" t="s">
        <v>1425</v>
      </c>
      <c r="AH53" t="s">
        <v>1563</v>
      </c>
    </row>
    <row r="54" spans="1:34" x14ac:dyDescent="0.25">
      <c r="A54" t="s">
        <v>412</v>
      </c>
      <c r="B54" t="s">
        <v>413</v>
      </c>
      <c r="C54" t="s">
        <v>395</v>
      </c>
      <c r="D54" t="s">
        <v>306</v>
      </c>
      <c r="E54" t="s">
        <v>1563</v>
      </c>
      <c r="F54" t="s">
        <v>432</v>
      </c>
      <c r="G54" t="s">
        <v>275</v>
      </c>
      <c r="H54" s="736" t="s">
        <v>433</v>
      </c>
      <c r="I54" t="s">
        <v>309</v>
      </c>
      <c r="J54" t="s">
        <v>434</v>
      </c>
      <c r="K54">
        <v>1</v>
      </c>
      <c r="L54" s="736">
        <v>1</v>
      </c>
      <c r="M54" s="736" t="s">
        <v>33</v>
      </c>
      <c r="N54" s="736">
        <v>1</v>
      </c>
      <c r="O54" s="736">
        <v>1</v>
      </c>
      <c r="P54" s="736">
        <v>1</v>
      </c>
      <c r="Q54" s="736" t="s">
        <v>45</v>
      </c>
      <c r="R54" s="736">
        <v>1</v>
      </c>
      <c r="S54">
        <v>1</v>
      </c>
      <c r="T54">
        <v>1</v>
      </c>
      <c r="U54" t="s">
        <v>1563</v>
      </c>
      <c r="V54" t="s">
        <v>1563</v>
      </c>
      <c r="W54" t="s">
        <v>1563</v>
      </c>
      <c r="X54">
        <v>1</v>
      </c>
      <c r="Y54" t="s">
        <v>1563</v>
      </c>
      <c r="Z54">
        <v>1</v>
      </c>
      <c r="AA54" t="s">
        <v>1563</v>
      </c>
      <c r="AB54" t="s">
        <v>1563</v>
      </c>
      <c r="AC54" t="s">
        <v>1563</v>
      </c>
      <c r="AD54">
        <v>1</v>
      </c>
      <c r="AE54">
        <v>0</v>
      </c>
      <c r="AF54" t="s">
        <v>1530</v>
      </c>
      <c r="AG54" t="s">
        <v>1425</v>
      </c>
      <c r="AH54" t="s">
        <v>1563</v>
      </c>
    </row>
    <row r="55" spans="1:34" x14ac:dyDescent="0.25">
      <c r="A55" t="s">
        <v>412</v>
      </c>
      <c r="B55" t="s">
        <v>413</v>
      </c>
      <c r="C55" t="s">
        <v>395</v>
      </c>
      <c r="D55" t="s">
        <v>306</v>
      </c>
      <c r="E55" t="s">
        <v>1563</v>
      </c>
      <c r="F55" t="s">
        <v>420</v>
      </c>
      <c r="G55" t="s">
        <v>275</v>
      </c>
      <c r="H55" s="736" t="s">
        <v>435</v>
      </c>
      <c r="I55" t="s">
        <v>309</v>
      </c>
      <c r="J55" t="s">
        <v>434</v>
      </c>
      <c r="K55">
        <v>1</v>
      </c>
      <c r="L55" s="736">
        <v>1</v>
      </c>
      <c r="M55" s="736" t="s">
        <v>33</v>
      </c>
      <c r="N55" s="736">
        <v>1</v>
      </c>
      <c r="O55" s="736">
        <v>1</v>
      </c>
      <c r="P55" s="736">
        <v>1</v>
      </c>
      <c r="Q55" s="736" t="s">
        <v>45</v>
      </c>
      <c r="R55" s="736">
        <v>1</v>
      </c>
      <c r="S55">
        <v>1</v>
      </c>
      <c r="T55">
        <v>1</v>
      </c>
      <c r="U55" t="s">
        <v>1563</v>
      </c>
      <c r="V55" t="s">
        <v>1563</v>
      </c>
      <c r="W55" t="s">
        <v>1563</v>
      </c>
      <c r="X55">
        <v>1</v>
      </c>
      <c r="Y55" t="s">
        <v>1563</v>
      </c>
      <c r="Z55">
        <v>1</v>
      </c>
      <c r="AA55" t="s">
        <v>1563</v>
      </c>
      <c r="AB55" t="s">
        <v>1563</v>
      </c>
      <c r="AC55" t="s">
        <v>1563</v>
      </c>
      <c r="AD55">
        <v>1</v>
      </c>
      <c r="AE55">
        <v>0</v>
      </c>
      <c r="AF55" t="s">
        <v>1530</v>
      </c>
      <c r="AG55" t="s">
        <v>1425</v>
      </c>
      <c r="AH55" t="s">
        <v>1563</v>
      </c>
    </row>
    <row r="56" spans="1:34" x14ac:dyDescent="0.25">
      <c r="A56" t="s">
        <v>412</v>
      </c>
      <c r="B56" t="s">
        <v>413</v>
      </c>
      <c r="C56" t="s">
        <v>395</v>
      </c>
      <c r="D56" t="s">
        <v>306</v>
      </c>
      <c r="E56" t="s">
        <v>1563</v>
      </c>
      <c r="F56" t="s">
        <v>436</v>
      </c>
      <c r="G56" t="s">
        <v>275</v>
      </c>
      <c r="H56" s="736" t="s">
        <v>437</v>
      </c>
      <c r="I56" t="s">
        <v>309</v>
      </c>
      <c r="J56" t="s">
        <v>438</v>
      </c>
      <c r="K56">
        <v>1</v>
      </c>
      <c r="L56" s="736">
        <v>2</v>
      </c>
      <c r="M56" s="736" t="s">
        <v>33</v>
      </c>
      <c r="N56" s="736">
        <v>1</v>
      </c>
      <c r="O56" s="736">
        <v>2</v>
      </c>
      <c r="P56" s="736">
        <v>1</v>
      </c>
      <c r="Q56" s="736" t="s">
        <v>45</v>
      </c>
      <c r="R56" s="736">
        <v>2</v>
      </c>
      <c r="S56">
        <v>2</v>
      </c>
      <c r="T56">
        <v>2</v>
      </c>
      <c r="U56" t="s">
        <v>1563</v>
      </c>
      <c r="V56" t="s">
        <v>1563</v>
      </c>
      <c r="W56" t="s">
        <v>1563</v>
      </c>
      <c r="X56">
        <v>1</v>
      </c>
      <c r="Y56" t="s">
        <v>1563</v>
      </c>
      <c r="Z56">
        <v>1</v>
      </c>
      <c r="AA56" t="s">
        <v>1563</v>
      </c>
      <c r="AB56" t="s">
        <v>1563</v>
      </c>
      <c r="AC56" t="s">
        <v>1563</v>
      </c>
      <c r="AD56">
        <v>1</v>
      </c>
      <c r="AE56">
        <v>0</v>
      </c>
      <c r="AF56" t="s">
        <v>1530</v>
      </c>
      <c r="AG56" t="s">
        <v>1425</v>
      </c>
      <c r="AH56" t="s">
        <v>1563</v>
      </c>
    </row>
    <row r="57" spans="1:34" x14ac:dyDescent="0.25">
      <c r="A57" t="s">
        <v>412</v>
      </c>
      <c r="B57" t="s">
        <v>413</v>
      </c>
      <c r="C57" t="s">
        <v>395</v>
      </c>
      <c r="D57" t="s">
        <v>306</v>
      </c>
      <c r="E57" t="s">
        <v>1563</v>
      </c>
      <c r="F57" t="s">
        <v>439</v>
      </c>
      <c r="G57" t="s">
        <v>275</v>
      </c>
      <c r="H57" s="736" t="s">
        <v>440</v>
      </c>
      <c r="I57" t="s">
        <v>309</v>
      </c>
      <c r="J57" t="s">
        <v>441</v>
      </c>
      <c r="K57">
        <v>1</v>
      </c>
      <c r="L57" s="736">
        <v>1</v>
      </c>
      <c r="M57" s="736" t="s">
        <v>33</v>
      </c>
      <c r="N57" s="736">
        <v>1</v>
      </c>
      <c r="O57" s="736">
        <v>1</v>
      </c>
      <c r="P57" s="736">
        <v>1</v>
      </c>
      <c r="Q57" s="736" t="s">
        <v>45</v>
      </c>
      <c r="R57" s="736">
        <v>1</v>
      </c>
      <c r="S57">
        <v>1</v>
      </c>
      <c r="T57">
        <v>1</v>
      </c>
      <c r="U57" t="s">
        <v>1563</v>
      </c>
      <c r="V57" t="s">
        <v>1563</v>
      </c>
      <c r="W57" t="s">
        <v>1563</v>
      </c>
      <c r="X57">
        <v>1</v>
      </c>
      <c r="Y57" t="s">
        <v>1563</v>
      </c>
      <c r="Z57">
        <v>1</v>
      </c>
      <c r="AA57" t="s">
        <v>1563</v>
      </c>
      <c r="AB57" t="s">
        <v>1563</v>
      </c>
      <c r="AC57" t="s">
        <v>1563</v>
      </c>
      <c r="AD57">
        <v>1</v>
      </c>
      <c r="AE57">
        <v>0</v>
      </c>
      <c r="AF57" t="s">
        <v>1530</v>
      </c>
      <c r="AG57" t="s">
        <v>1425</v>
      </c>
      <c r="AH57" t="s">
        <v>1563</v>
      </c>
    </row>
    <row r="58" spans="1:34" x14ac:dyDescent="0.25">
      <c r="A58" t="s">
        <v>442</v>
      </c>
      <c r="B58" t="s">
        <v>402</v>
      </c>
      <c r="C58" t="s">
        <v>395</v>
      </c>
      <c r="D58" t="s">
        <v>306</v>
      </c>
      <c r="E58" t="s">
        <v>1563</v>
      </c>
      <c r="F58" t="s">
        <v>443</v>
      </c>
      <c r="G58" t="s">
        <v>254</v>
      </c>
      <c r="H58" s="736" t="s">
        <v>1574</v>
      </c>
      <c r="I58" t="s">
        <v>309</v>
      </c>
      <c r="J58" t="s">
        <v>366</v>
      </c>
      <c r="K58">
        <v>3</v>
      </c>
      <c r="L58" s="736">
        <v>3</v>
      </c>
      <c r="M58" s="736" t="s">
        <v>33</v>
      </c>
      <c r="N58" s="736">
        <v>1</v>
      </c>
      <c r="O58" s="736">
        <v>3</v>
      </c>
      <c r="P58" s="736">
        <v>1</v>
      </c>
      <c r="Q58" s="736" t="s">
        <v>45</v>
      </c>
      <c r="R58" s="736">
        <v>3</v>
      </c>
      <c r="S58">
        <v>3</v>
      </c>
      <c r="T58">
        <v>3</v>
      </c>
      <c r="U58" t="s">
        <v>1563</v>
      </c>
      <c r="V58" t="s">
        <v>1563</v>
      </c>
      <c r="W58" t="s">
        <v>1563</v>
      </c>
      <c r="X58">
        <v>1</v>
      </c>
      <c r="Y58" t="s">
        <v>1563</v>
      </c>
      <c r="Z58">
        <v>4</v>
      </c>
      <c r="AA58" t="s">
        <v>1563</v>
      </c>
      <c r="AB58" t="s">
        <v>1563</v>
      </c>
      <c r="AC58">
        <v>1</v>
      </c>
      <c r="AD58">
        <v>3</v>
      </c>
      <c r="AE58">
        <v>0</v>
      </c>
      <c r="AF58" t="s">
        <v>1531</v>
      </c>
      <c r="AG58" t="s">
        <v>1425</v>
      </c>
      <c r="AH58" t="s">
        <v>1563</v>
      </c>
    </row>
    <row r="59" spans="1:34" x14ac:dyDescent="0.25">
      <c r="A59" t="s">
        <v>444</v>
      </c>
      <c r="B59" t="s">
        <v>413</v>
      </c>
      <c r="C59" t="s">
        <v>361</v>
      </c>
      <c r="D59" t="s">
        <v>306</v>
      </c>
      <c r="E59" t="s">
        <v>1563</v>
      </c>
      <c r="F59" t="s">
        <v>445</v>
      </c>
      <c r="G59" t="s">
        <v>1563</v>
      </c>
      <c r="H59" s="736" t="s">
        <v>446</v>
      </c>
      <c r="I59" t="s">
        <v>309</v>
      </c>
      <c r="J59" t="s">
        <v>447</v>
      </c>
      <c r="K59">
        <v>1</v>
      </c>
      <c r="L59" s="736">
        <v>1</v>
      </c>
      <c r="M59" s="736" t="s">
        <v>33</v>
      </c>
      <c r="N59" s="736">
        <v>1</v>
      </c>
      <c r="O59" s="736">
        <v>1</v>
      </c>
      <c r="P59" s="736">
        <v>1</v>
      </c>
      <c r="Q59" s="736" t="s">
        <v>45</v>
      </c>
      <c r="R59" s="736">
        <v>1</v>
      </c>
      <c r="S59">
        <v>1</v>
      </c>
      <c r="T59">
        <v>1</v>
      </c>
      <c r="U59" t="s">
        <v>1563</v>
      </c>
      <c r="V59" t="s">
        <v>1563</v>
      </c>
      <c r="W59" t="s">
        <v>1563</v>
      </c>
      <c r="X59">
        <v>1</v>
      </c>
      <c r="Y59" t="s">
        <v>1563</v>
      </c>
      <c r="Z59">
        <v>1</v>
      </c>
      <c r="AA59" t="s">
        <v>1563</v>
      </c>
      <c r="AB59" t="s">
        <v>1563</v>
      </c>
      <c r="AC59" t="s">
        <v>1563</v>
      </c>
      <c r="AD59">
        <v>1</v>
      </c>
      <c r="AE59">
        <v>0</v>
      </c>
      <c r="AF59" t="s">
        <v>1532</v>
      </c>
      <c r="AG59" t="s">
        <v>1425</v>
      </c>
      <c r="AH59" t="s">
        <v>1563</v>
      </c>
    </row>
    <row r="60" spans="1:34" x14ac:dyDescent="0.25">
      <c r="A60" t="s">
        <v>444</v>
      </c>
      <c r="B60" t="s">
        <v>413</v>
      </c>
      <c r="C60" t="s">
        <v>361</v>
      </c>
      <c r="D60" t="s">
        <v>306</v>
      </c>
      <c r="E60" t="s">
        <v>1563</v>
      </c>
      <c r="F60" t="s">
        <v>445</v>
      </c>
      <c r="G60" t="s">
        <v>1563</v>
      </c>
      <c r="H60" s="736" t="s">
        <v>448</v>
      </c>
      <c r="I60" t="s">
        <v>309</v>
      </c>
      <c r="J60" t="s">
        <v>449</v>
      </c>
      <c r="K60">
        <v>1</v>
      </c>
      <c r="L60" s="736">
        <v>1</v>
      </c>
      <c r="M60" s="736" t="s">
        <v>33</v>
      </c>
      <c r="N60" s="736">
        <v>1</v>
      </c>
      <c r="O60" s="736">
        <v>1</v>
      </c>
      <c r="P60" s="736">
        <v>1</v>
      </c>
      <c r="Q60" s="736" t="s">
        <v>45</v>
      </c>
      <c r="R60" s="736">
        <v>1</v>
      </c>
      <c r="S60">
        <v>1</v>
      </c>
      <c r="T60">
        <v>1</v>
      </c>
      <c r="U60" t="s">
        <v>1563</v>
      </c>
      <c r="V60" t="s">
        <v>1563</v>
      </c>
      <c r="W60" t="s">
        <v>1563</v>
      </c>
      <c r="X60">
        <v>1</v>
      </c>
      <c r="Y60" t="s">
        <v>1563</v>
      </c>
      <c r="Z60">
        <v>1</v>
      </c>
      <c r="AA60" t="s">
        <v>1563</v>
      </c>
      <c r="AB60" t="s">
        <v>1563</v>
      </c>
      <c r="AC60" t="s">
        <v>1563</v>
      </c>
      <c r="AD60">
        <v>1</v>
      </c>
      <c r="AE60">
        <v>0</v>
      </c>
      <c r="AF60" t="s">
        <v>1532</v>
      </c>
      <c r="AG60" t="s">
        <v>1425</v>
      </c>
      <c r="AH60" t="s">
        <v>1563</v>
      </c>
    </row>
    <row r="61" spans="1:34" x14ac:dyDescent="0.25">
      <c r="A61" t="s">
        <v>444</v>
      </c>
      <c r="B61" t="s">
        <v>413</v>
      </c>
      <c r="C61" t="s">
        <v>361</v>
      </c>
      <c r="D61" t="s">
        <v>306</v>
      </c>
      <c r="E61" t="s">
        <v>1563</v>
      </c>
      <c r="F61" t="s">
        <v>450</v>
      </c>
      <c r="G61" t="s">
        <v>1563</v>
      </c>
      <c r="H61" s="736" t="s">
        <v>451</v>
      </c>
      <c r="I61" t="s">
        <v>309</v>
      </c>
      <c r="J61" t="s">
        <v>452</v>
      </c>
      <c r="K61">
        <v>1</v>
      </c>
      <c r="L61" s="736">
        <v>1</v>
      </c>
      <c r="M61" s="736" t="s">
        <v>33</v>
      </c>
      <c r="N61" s="736">
        <v>1</v>
      </c>
      <c r="O61" s="736">
        <v>1</v>
      </c>
      <c r="P61" s="736">
        <v>1</v>
      </c>
      <c r="Q61" s="736" t="s">
        <v>45</v>
      </c>
      <c r="R61" s="736">
        <v>1</v>
      </c>
      <c r="S61">
        <v>1</v>
      </c>
      <c r="T61">
        <v>1</v>
      </c>
      <c r="U61" t="s">
        <v>1563</v>
      </c>
      <c r="V61" t="s">
        <v>1563</v>
      </c>
      <c r="W61" t="s">
        <v>1563</v>
      </c>
      <c r="X61">
        <v>1</v>
      </c>
      <c r="Y61" t="s">
        <v>1563</v>
      </c>
      <c r="Z61">
        <v>1</v>
      </c>
      <c r="AA61" t="s">
        <v>1563</v>
      </c>
      <c r="AB61" t="s">
        <v>1563</v>
      </c>
      <c r="AC61" t="s">
        <v>1563</v>
      </c>
      <c r="AD61">
        <v>1</v>
      </c>
      <c r="AE61">
        <v>0</v>
      </c>
      <c r="AF61" t="s">
        <v>1532</v>
      </c>
      <c r="AG61" t="s">
        <v>1425</v>
      </c>
      <c r="AH61" t="s">
        <v>1563</v>
      </c>
    </row>
    <row r="62" spans="1:34" x14ac:dyDescent="0.25">
      <c r="A62" t="s">
        <v>444</v>
      </c>
      <c r="B62" t="s">
        <v>413</v>
      </c>
      <c r="C62" t="s">
        <v>361</v>
      </c>
      <c r="D62" t="s">
        <v>306</v>
      </c>
      <c r="E62" t="s">
        <v>1563</v>
      </c>
      <c r="F62" t="s">
        <v>450</v>
      </c>
      <c r="G62" t="s">
        <v>1563</v>
      </c>
      <c r="H62" s="736" t="s">
        <v>453</v>
      </c>
      <c r="I62" t="s">
        <v>309</v>
      </c>
      <c r="J62" t="s">
        <v>454</v>
      </c>
      <c r="K62">
        <v>1</v>
      </c>
      <c r="L62" s="736">
        <v>1</v>
      </c>
      <c r="M62" s="736" t="s">
        <v>33</v>
      </c>
      <c r="N62" s="736">
        <v>1</v>
      </c>
      <c r="O62" s="736">
        <v>1</v>
      </c>
      <c r="P62" s="736">
        <v>1</v>
      </c>
      <c r="Q62" s="736" t="s">
        <v>45</v>
      </c>
      <c r="R62" s="736">
        <v>1</v>
      </c>
      <c r="S62">
        <v>1</v>
      </c>
      <c r="T62">
        <v>1</v>
      </c>
      <c r="U62" t="s">
        <v>1563</v>
      </c>
      <c r="V62" t="s">
        <v>1563</v>
      </c>
      <c r="W62" t="s">
        <v>1563</v>
      </c>
      <c r="X62">
        <v>1</v>
      </c>
      <c r="Y62" t="s">
        <v>1563</v>
      </c>
      <c r="Z62">
        <v>1</v>
      </c>
      <c r="AA62" t="s">
        <v>1563</v>
      </c>
      <c r="AB62" t="s">
        <v>1563</v>
      </c>
      <c r="AC62" t="s">
        <v>1563</v>
      </c>
      <c r="AD62">
        <v>1</v>
      </c>
      <c r="AE62">
        <v>0</v>
      </c>
      <c r="AF62" t="s">
        <v>1532</v>
      </c>
      <c r="AG62" t="s">
        <v>1425</v>
      </c>
      <c r="AH62" t="s">
        <v>1563</v>
      </c>
    </row>
    <row r="63" spans="1:34" x14ac:dyDescent="0.25">
      <c r="A63" t="s">
        <v>455</v>
      </c>
      <c r="B63" t="s">
        <v>456</v>
      </c>
      <c r="C63" t="s">
        <v>354</v>
      </c>
      <c r="D63" t="s">
        <v>306</v>
      </c>
      <c r="E63" t="s">
        <v>1563</v>
      </c>
      <c r="F63" t="s">
        <v>457</v>
      </c>
      <c r="G63" t="s">
        <v>275</v>
      </c>
      <c r="H63" s="736" t="s">
        <v>1575</v>
      </c>
      <c r="I63" t="s">
        <v>309</v>
      </c>
      <c r="J63" t="s">
        <v>326</v>
      </c>
      <c r="K63">
        <v>1</v>
      </c>
      <c r="L63" s="736">
        <v>3</v>
      </c>
      <c r="M63" s="736" t="s">
        <v>33</v>
      </c>
      <c r="N63" s="736">
        <v>1</v>
      </c>
      <c r="O63" s="736">
        <v>3</v>
      </c>
      <c r="P63" s="736">
        <v>1</v>
      </c>
      <c r="Q63" s="736" t="s">
        <v>45</v>
      </c>
      <c r="R63" s="736">
        <v>3</v>
      </c>
      <c r="S63">
        <v>3</v>
      </c>
      <c r="T63">
        <v>3</v>
      </c>
      <c r="U63" t="s">
        <v>1563</v>
      </c>
      <c r="V63" t="s">
        <v>1563</v>
      </c>
      <c r="W63" t="s">
        <v>1563</v>
      </c>
      <c r="X63">
        <v>1</v>
      </c>
      <c r="Y63" t="s">
        <v>1563</v>
      </c>
      <c r="Z63">
        <v>3</v>
      </c>
      <c r="AA63">
        <v>3</v>
      </c>
      <c r="AB63" t="s">
        <v>1563</v>
      </c>
      <c r="AC63" t="s">
        <v>1563</v>
      </c>
      <c r="AD63" t="s">
        <v>1563</v>
      </c>
      <c r="AE63">
        <v>1</v>
      </c>
      <c r="AF63" t="s">
        <v>1563</v>
      </c>
      <c r="AG63" t="s">
        <v>1423</v>
      </c>
      <c r="AH63" t="s">
        <v>1563</v>
      </c>
    </row>
    <row r="64" spans="1:34" x14ac:dyDescent="0.25">
      <c r="A64" t="s">
        <v>455</v>
      </c>
      <c r="B64" t="s">
        <v>456</v>
      </c>
      <c r="C64" t="s">
        <v>354</v>
      </c>
      <c r="D64" t="s">
        <v>306</v>
      </c>
      <c r="E64" t="s">
        <v>1563</v>
      </c>
      <c r="F64" t="s">
        <v>458</v>
      </c>
      <c r="G64" t="s">
        <v>275</v>
      </c>
      <c r="H64" s="736" t="s">
        <v>459</v>
      </c>
      <c r="I64" t="s">
        <v>309</v>
      </c>
      <c r="J64" t="s">
        <v>326</v>
      </c>
      <c r="K64">
        <v>1</v>
      </c>
      <c r="L64" s="736">
        <v>1</v>
      </c>
      <c r="M64" s="736" t="s">
        <v>33</v>
      </c>
      <c r="N64" s="736">
        <v>1</v>
      </c>
      <c r="O64" s="736">
        <v>1</v>
      </c>
      <c r="P64" s="736">
        <v>1</v>
      </c>
      <c r="Q64" s="736" t="s">
        <v>45</v>
      </c>
      <c r="R64" s="736">
        <v>1</v>
      </c>
      <c r="S64">
        <v>1</v>
      </c>
      <c r="T64">
        <v>1</v>
      </c>
      <c r="U64" t="s">
        <v>1563</v>
      </c>
      <c r="V64" t="s">
        <v>1563</v>
      </c>
      <c r="W64" t="s">
        <v>1563</v>
      </c>
      <c r="X64">
        <v>1</v>
      </c>
      <c r="Y64" t="s">
        <v>1563</v>
      </c>
      <c r="Z64">
        <v>1</v>
      </c>
      <c r="AA64">
        <v>1</v>
      </c>
      <c r="AB64" t="s">
        <v>1563</v>
      </c>
      <c r="AC64" t="s">
        <v>1563</v>
      </c>
      <c r="AD64" t="s">
        <v>1563</v>
      </c>
      <c r="AE64">
        <v>1</v>
      </c>
      <c r="AF64" t="s">
        <v>1563</v>
      </c>
      <c r="AG64" t="s">
        <v>1423</v>
      </c>
      <c r="AH64" t="s">
        <v>1563</v>
      </c>
    </row>
    <row r="65" spans="1:34" x14ac:dyDescent="0.25">
      <c r="A65" t="s">
        <v>460</v>
      </c>
      <c r="B65" t="s">
        <v>461</v>
      </c>
      <c r="C65" t="s">
        <v>305</v>
      </c>
      <c r="D65" t="s">
        <v>306</v>
      </c>
      <c r="E65" t="s">
        <v>1563</v>
      </c>
      <c r="F65" t="s">
        <v>462</v>
      </c>
      <c r="G65" t="s">
        <v>1563</v>
      </c>
      <c r="H65" s="736" t="s">
        <v>463</v>
      </c>
      <c r="I65" t="s">
        <v>309</v>
      </c>
      <c r="J65" t="s">
        <v>326</v>
      </c>
      <c r="K65">
        <v>3</v>
      </c>
      <c r="L65" s="736">
        <v>1</v>
      </c>
      <c r="M65" s="736" t="s">
        <v>33</v>
      </c>
      <c r="N65" s="736">
        <v>1</v>
      </c>
      <c r="O65" s="736">
        <v>1</v>
      </c>
      <c r="P65" s="736">
        <v>1</v>
      </c>
      <c r="Q65" s="736" t="s">
        <v>45</v>
      </c>
      <c r="R65" s="736">
        <v>1</v>
      </c>
      <c r="S65">
        <v>1</v>
      </c>
      <c r="T65">
        <v>1</v>
      </c>
      <c r="U65" t="s">
        <v>1563</v>
      </c>
      <c r="V65" t="s">
        <v>1563</v>
      </c>
      <c r="W65" t="s">
        <v>1563</v>
      </c>
      <c r="X65">
        <v>1</v>
      </c>
      <c r="Y65" t="s">
        <v>1563</v>
      </c>
      <c r="Z65">
        <v>1</v>
      </c>
      <c r="AA65">
        <v>1</v>
      </c>
      <c r="AB65" t="s">
        <v>1563</v>
      </c>
      <c r="AC65" t="s">
        <v>1563</v>
      </c>
      <c r="AD65" t="s">
        <v>1563</v>
      </c>
      <c r="AE65">
        <v>1</v>
      </c>
      <c r="AF65" t="s">
        <v>1563</v>
      </c>
      <c r="AG65" t="s">
        <v>1423</v>
      </c>
      <c r="AH65" t="s">
        <v>1563</v>
      </c>
    </row>
    <row r="66" spans="1:34" x14ac:dyDescent="0.25">
      <c r="A66" t="s">
        <v>464</v>
      </c>
      <c r="B66" t="s">
        <v>465</v>
      </c>
      <c r="C66" t="s">
        <v>305</v>
      </c>
      <c r="D66" t="s">
        <v>306</v>
      </c>
      <c r="E66" t="s">
        <v>1563</v>
      </c>
      <c r="F66" t="s">
        <v>466</v>
      </c>
      <c r="G66" t="s">
        <v>254</v>
      </c>
      <c r="H66" s="736" t="s">
        <v>467</v>
      </c>
      <c r="I66" t="s">
        <v>309</v>
      </c>
      <c r="J66" t="s">
        <v>326</v>
      </c>
      <c r="K66">
        <v>1</v>
      </c>
      <c r="L66" s="736">
        <v>4</v>
      </c>
      <c r="M66" s="736" t="s">
        <v>33</v>
      </c>
      <c r="N66" s="736">
        <v>1</v>
      </c>
      <c r="O66" s="736">
        <v>4</v>
      </c>
      <c r="P66" s="736">
        <v>1</v>
      </c>
      <c r="Q66" s="736" t="s">
        <v>45</v>
      </c>
      <c r="R66" s="736">
        <v>4</v>
      </c>
      <c r="S66">
        <v>4</v>
      </c>
      <c r="T66">
        <v>4</v>
      </c>
      <c r="U66" t="s">
        <v>1563</v>
      </c>
      <c r="V66" t="s">
        <v>1563</v>
      </c>
      <c r="W66" t="s">
        <v>1563</v>
      </c>
      <c r="X66">
        <v>1</v>
      </c>
      <c r="Y66" t="s">
        <v>1563</v>
      </c>
      <c r="Z66">
        <v>4</v>
      </c>
      <c r="AA66" t="s">
        <v>1563</v>
      </c>
      <c r="AB66" t="s">
        <v>1563</v>
      </c>
      <c r="AC66" t="s">
        <v>1563</v>
      </c>
      <c r="AD66">
        <v>4</v>
      </c>
      <c r="AE66">
        <v>0</v>
      </c>
      <c r="AF66" t="s">
        <v>1526</v>
      </c>
      <c r="AG66" t="s">
        <v>1425</v>
      </c>
      <c r="AH66" t="s">
        <v>1563</v>
      </c>
    </row>
    <row r="67" spans="1:34" x14ac:dyDescent="0.25">
      <c r="A67" t="s">
        <v>468</v>
      </c>
      <c r="B67" t="s">
        <v>469</v>
      </c>
      <c r="C67" t="s">
        <v>305</v>
      </c>
      <c r="D67" t="s">
        <v>306</v>
      </c>
      <c r="E67" t="s">
        <v>1563</v>
      </c>
      <c r="F67" t="s">
        <v>470</v>
      </c>
      <c r="G67" t="s">
        <v>1563</v>
      </c>
      <c r="H67" s="736" t="s">
        <v>471</v>
      </c>
      <c r="I67" t="s">
        <v>309</v>
      </c>
      <c r="J67" t="s">
        <v>326</v>
      </c>
      <c r="K67">
        <v>4</v>
      </c>
      <c r="L67" s="736">
        <v>1</v>
      </c>
      <c r="M67" s="736" t="s">
        <v>33</v>
      </c>
      <c r="N67" s="736">
        <v>1</v>
      </c>
      <c r="O67" s="736">
        <v>1</v>
      </c>
      <c r="P67" s="736">
        <v>1</v>
      </c>
      <c r="Q67" s="736" t="s">
        <v>45</v>
      </c>
      <c r="R67" s="736">
        <v>1</v>
      </c>
      <c r="S67">
        <v>1</v>
      </c>
      <c r="T67">
        <v>1</v>
      </c>
      <c r="U67" t="s">
        <v>1563</v>
      </c>
      <c r="V67" t="s">
        <v>1563</v>
      </c>
      <c r="W67" t="s">
        <v>1563</v>
      </c>
      <c r="X67">
        <v>1</v>
      </c>
      <c r="Y67" t="s">
        <v>1563</v>
      </c>
      <c r="Z67">
        <v>1</v>
      </c>
      <c r="AA67" t="s">
        <v>1563</v>
      </c>
      <c r="AB67" t="s">
        <v>1563</v>
      </c>
      <c r="AC67" t="s">
        <v>1563</v>
      </c>
      <c r="AD67">
        <v>1</v>
      </c>
      <c r="AE67">
        <v>0</v>
      </c>
      <c r="AF67" t="s">
        <v>1526</v>
      </c>
      <c r="AG67" t="s">
        <v>1425</v>
      </c>
      <c r="AH67" t="s">
        <v>472</v>
      </c>
    </row>
    <row r="68" spans="1:34" x14ac:dyDescent="0.25">
      <c r="A68" t="s">
        <v>473</v>
      </c>
      <c r="B68" t="s">
        <v>474</v>
      </c>
      <c r="C68" t="s">
        <v>354</v>
      </c>
      <c r="D68" t="s">
        <v>306</v>
      </c>
      <c r="E68" t="s">
        <v>1563</v>
      </c>
      <c r="F68" t="s">
        <v>475</v>
      </c>
      <c r="G68" t="s">
        <v>1563</v>
      </c>
      <c r="H68" s="736" t="s">
        <v>1576</v>
      </c>
      <c r="I68" t="s">
        <v>309</v>
      </c>
      <c r="J68" t="s">
        <v>326</v>
      </c>
      <c r="K68">
        <v>1</v>
      </c>
      <c r="L68" s="736">
        <v>3</v>
      </c>
      <c r="M68" s="736" t="s">
        <v>33</v>
      </c>
      <c r="N68" s="736">
        <v>1</v>
      </c>
      <c r="O68" s="736">
        <v>3</v>
      </c>
      <c r="P68" s="736">
        <v>1</v>
      </c>
      <c r="Q68" s="736" t="s">
        <v>45</v>
      </c>
      <c r="R68" s="736">
        <v>3</v>
      </c>
      <c r="S68">
        <v>3</v>
      </c>
      <c r="T68">
        <v>3</v>
      </c>
      <c r="U68" t="s">
        <v>1563</v>
      </c>
      <c r="V68" t="s">
        <v>1563</v>
      </c>
      <c r="W68" t="s">
        <v>1563</v>
      </c>
      <c r="X68">
        <v>1</v>
      </c>
      <c r="Y68" t="s">
        <v>1563</v>
      </c>
      <c r="Z68">
        <v>3</v>
      </c>
      <c r="AA68">
        <v>3</v>
      </c>
      <c r="AB68" t="s">
        <v>1563</v>
      </c>
      <c r="AC68" t="s">
        <v>1563</v>
      </c>
      <c r="AD68" t="s">
        <v>1563</v>
      </c>
      <c r="AE68">
        <v>1</v>
      </c>
      <c r="AF68" t="s">
        <v>1563</v>
      </c>
      <c r="AG68" t="s">
        <v>1423</v>
      </c>
      <c r="AH68" t="s">
        <v>1563</v>
      </c>
    </row>
    <row r="69" spans="1:34" x14ac:dyDescent="0.25">
      <c r="A69" t="s">
        <v>473</v>
      </c>
      <c r="B69" t="s">
        <v>474</v>
      </c>
      <c r="C69" t="s">
        <v>354</v>
      </c>
      <c r="D69" t="s">
        <v>306</v>
      </c>
      <c r="E69" t="s">
        <v>1563</v>
      </c>
      <c r="F69" t="s">
        <v>475</v>
      </c>
      <c r="G69" t="s">
        <v>1563</v>
      </c>
      <c r="H69" s="736" t="s">
        <v>476</v>
      </c>
      <c r="I69" t="s">
        <v>330</v>
      </c>
      <c r="J69" t="s">
        <v>326</v>
      </c>
      <c r="K69">
        <v>1</v>
      </c>
      <c r="L69" s="736">
        <v>1</v>
      </c>
      <c r="M69" s="736" t="s">
        <v>33</v>
      </c>
      <c r="N69" s="736">
        <v>1</v>
      </c>
      <c r="O69" s="736">
        <v>1</v>
      </c>
      <c r="P69" s="736">
        <v>1</v>
      </c>
      <c r="Q69" s="736" t="s">
        <v>45</v>
      </c>
      <c r="R69" s="736">
        <v>1</v>
      </c>
      <c r="S69">
        <v>1</v>
      </c>
      <c r="T69">
        <v>1</v>
      </c>
      <c r="U69" t="s">
        <v>1563</v>
      </c>
      <c r="V69" t="s">
        <v>1563</v>
      </c>
      <c r="W69" t="s">
        <v>1563</v>
      </c>
      <c r="X69">
        <v>1</v>
      </c>
      <c r="Y69" t="s">
        <v>1563</v>
      </c>
      <c r="Z69">
        <v>1</v>
      </c>
      <c r="AA69">
        <v>1</v>
      </c>
      <c r="AB69" t="s">
        <v>1563</v>
      </c>
      <c r="AC69" t="s">
        <v>1563</v>
      </c>
      <c r="AD69" t="s">
        <v>1563</v>
      </c>
      <c r="AE69">
        <v>1</v>
      </c>
      <c r="AF69" t="s">
        <v>1563</v>
      </c>
      <c r="AG69" t="s">
        <v>1423</v>
      </c>
      <c r="AH69" t="s">
        <v>332</v>
      </c>
    </row>
    <row r="70" spans="1:34" x14ac:dyDescent="0.25">
      <c r="A70" t="s">
        <v>442</v>
      </c>
      <c r="B70" t="s">
        <v>402</v>
      </c>
      <c r="C70" t="s">
        <v>477</v>
      </c>
      <c r="D70" t="s">
        <v>306</v>
      </c>
      <c r="E70" t="s">
        <v>1563</v>
      </c>
      <c r="F70" t="s">
        <v>478</v>
      </c>
      <c r="G70" t="s">
        <v>254</v>
      </c>
      <c r="H70" s="736" t="s">
        <v>1577</v>
      </c>
      <c r="I70" t="s">
        <v>309</v>
      </c>
      <c r="J70" t="s">
        <v>326</v>
      </c>
      <c r="K70">
        <v>1</v>
      </c>
      <c r="L70" s="736">
        <v>2</v>
      </c>
      <c r="M70" s="736" t="s">
        <v>33</v>
      </c>
      <c r="N70" s="736">
        <v>1</v>
      </c>
      <c r="O70" s="736">
        <v>2</v>
      </c>
      <c r="P70" s="736">
        <v>1</v>
      </c>
      <c r="Q70" s="736" t="s">
        <v>45</v>
      </c>
      <c r="R70" s="736">
        <v>2</v>
      </c>
      <c r="S70">
        <v>2</v>
      </c>
      <c r="T70">
        <v>2</v>
      </c>
      <c r="U70" t="s">
        <v>1563</v>
      </c>
      <c r="V70" t="s">
        <v>1563</v>
      </c>
      <c r="W70" t="s">
        <v>1563</v>
      </c>
      <c r="X70">
        <v>1</v>
      </c>
      <c r="Y70" t="s">
        <v>1563</v>
      </c>
      <c r="Z70">
        <v>2</v>
      </c>
      <c r="AA70">
        <v>2</v>
      </c>
      <c r="AB70" t="s">
        <v>1563</v>
      </c>
      <c r="AC70" t="s">
        <v>1563</v>
      </c>
      <c r="AD70" t="s">
        <v>1563</v>
      </c>
      <c r="AE70">
        <v>1</v>
      </c>
      <c r="AF70" t="s">
        <v>1521</v>
      </c>
      <c r="AG70" t="s">
        <v>1425</v>
      </c>
      <c r="AH70" t="s">
        <v>1563</v>
      </c>
    </row>
    <row r="71" spans="1:34" x14ac:dyDescent="0.25">
      <c r="A71" t="s">
        <v>479</v>
      </c>
      <c r="B71" t="s">
        <v>402</v>
      </c>
      <c r="C71" t="s">
        <v>477</v>
      </c>
      <c r="D71" t="s">
        <v>306</v>
      </c>
      <c r="E71" t="s">
        <v>1563</v>
      </c>
      <c r="F71" t="s">
        <v>480</v>
      </c>
      <c r="G71" t="s">
        <v>1563</v>
      </c>
      <c r="H71" s="736" t="s">
        <v>481</v>
      </c>
      <c r="I71" t="s">
        <v>309</v>
      </c>
      <c r="J71" t="s">
        <v>326</v>
      </c>
      <c r="K71">
        <v>1</v>
      </c>
      <c r="L71" s="736">
        <v>1</v>
      </c>
      <c r="M71" s="736" t="s">
        <v>33</v>
      </c>
      <c r="N71" s="736">
        <v>1</v>
      </c>
      <c r="O71" s="736">
        <v>1</v>
      </c>
      <c r="P71" s="736">
        <v>1</v>
      </c>
      <c r="Q71" s="736" t="s">
        <v>45</v>
      </c>
      <c r="R71" s="736">
        <v>1</v>
      </c>
      <c r="S71">
        <v>1</v>
      </c>
      <c r="T71">
        <v>1</v>
      </c>
      <c r="U71" t="s">
        <v>1563</v>
      </c>
      <c r="V71" t="s">
        <v>1563</v>
      </c>
      <c r="W71" t="s">
        <v>1563</v>
      </c>
      <c r="X71">
        <v>1</v>
      </c>
      <c r="Y71" t="s">
        <v>1563</v>
      </c>
      <c r="Z71">
        <v>1</v>
      </c>
      <c r="AA71">
        <v>1</v>
      </c>
      <c r="AB71" t="s">
        <v>1563</v>
      </c>
      <c r="AC71" t="s">
        <v>1563</v>
      </c>
      <c r="AD71" t="s">
        <v>1563</v>
      </c>
      <c r="AE71">
        <v>1</v>
      </c>
      <c r="AF71" t="s">
        <v>1521</v>
      </c>
      <c r="AG71" t="s">
        <v>1425</v>
      </c>
      <c r="AH71" t="s">
        <v>1563</v>
      </c>
    </row>
    <row r="72" spans="1:34" x14ac:dyDescent="0.25">
      <c r="A72" t="s">
        <v>442</v>
      </c>
      <c r="B72" t="s">
        <v>402</v>
      </c>
      <c r="C72" t="s">
        <v>477</v>
      </c>
      <c r="D72" t="s">
        <v>306</v>
      </c>
      <c r="E72" t="s">
        <v>1563</v>
      </c>
      <c r="F72" t="s">
        <v>482</v>
      </c>
      <c r="G72" t="s">
        <v>254</v>
      </c>
      <c r="H72" s="736" t="s">
        <v>483</v>
      </c>
      <c r="I72" t="s">
        <v>309</v>
      </c>
      <c r="J72" t="s">
        <v>326</v>
      </c>
      <c r="K72">
        <v>1</v>
      </c>
      <c r="L72" s="736">
        <v>1</v>
      </c>
      <c r="M72" s="736" t="s">
        <v>33</v>
      </c>
      <c r="N72" s="736">
        <v>1</v>
      </c>
      <c r="O72" s="736">
        <v>1</v>
      </c>
      <c r="P72" s="736">
        <v>1</v>
      </c>
      <c r="Q72" s="736" t="s">
        <v>45</v>
      </c>
      <c r="R72" s="736">
        <v>1</v>
      </c>
      <c r="S72">
        <v>1</v>
      </c>
      <c r="T72">
        <v>1</v>
      </c>
      <c r="U72" t="s">
        <v>1563</v>
      </c>
      <c r="V72" t="s">
        <v>1563</v>
      </c>
      <c r="W72" t="s">
        <v>1563</v>
      </c>
      <c r="X72">
        <v>1</v>
      </c>
      <c r="Y72" t="s">
        <v>1563</v>
      </c>
      <c r="Z72">
        <v>1</v>
      </c>
      <c r="AA72">
        <v>1</v>
      </c>
      <c r="AB72" t="s">
        <v>1563</v>
      </c>
      <c r="AC72" t="s">
        <v>1563</v>
      </c>
      <c r="AD72" t="s">
        <v>1563</v>
      </c>
      <c r="AE72">
        <v>1</v>
      </c>
      <c r="AF72" t="s">
        <v>1521</v>
      </c>
      <c r="AG72" t="s">
        <v>1425</v>
      </c>
      <c r="AH72" t="s">
        <v>1563</v>
      </c>
    </row>
    <row r="73" spans="1:34" x14ac:dyDescent="0.25">
      <c r="A73" t="s">
        <v>442</v>
      </c>
      <c r="B73" t="s">
        <v>402</v>
      </c>
      <c r="C73" t="s">
        <v>477</v>
      </c>
      <c r="D73" t="s">
        <v>306</v>
      </c>
      <c r="E73" t="s">
        <v>1563</v>
      </c>
      <c r="F73" t="s">
        <v>484</v>
      </c>
      <c r="G73" t="s">
        <v>254</v>
      </c>
      <c r="H73" s="736" t="s">
        <v>1578</v>
      </c>
      <c r="I73" t="s">
        <v>309</v>
      </c>
      <c r="J73" t="s">
        <v>326</v>
      </c>
      <c r="K73">
        <v>1</v>
      </c>
      <c r="L73" s="736">
        <v>2</v>
      </c>
      <c r="M73" s="736" t="s">
        <v>33</v>
      </c>
      <c r="N73" s="736">
        <v>1</v>
      </c>
      <c r="O73" s="736">
        <v>2</v>
      </c>
      <c r="P73" s="736">
        <v>1</v>
      </c>
      <c r="Q73" s="736" t="s">
        <v>45</v>
      </c>
      <c r="R73" s="736">
        <v>2</v>
      </c>
      <c r="S73">
        <v>2</v>
      </c>
      <c r="T73">
        <v>2</v>
      </c>
      <c r="U73" t="s">
        <v>1563</v>
      </c>
      <c r="V73" t="s">
        <v>1563</v>
      </c>
      <c r="W73" t="s">
        <v>1563</v>
      </c>
      <c r="X73">
        <v>1</v>
      </c>
      <c r="Y73" t="s">
        <v>1563</v>
      </c>
      <c r="Z73">
        <v>2</v>
      </c>
      <c r="AA73">
        <v>2</v>
      </c>
      <c r="AB73" t="s">
        <v>1563</v>
      </c>
      <c r="AC73" t="s">
        <v>1563</v>
      </c>
      <c r="AD73" t="s">
        <v>1563</v>
      </c>
      <c r="AE73">
        <v>1</v>
      </c>
      <c r="AF73" t="s">
        <v>1521</v>
      </c>
      <c r="AG73" t="s">
        <v>1425</v>
      </c>
      <c r="AH73" t="s">
        <v>1563</v>
      </c>
    </row>
    <row r="74" spans="1:34" x14ac:dyDescent="0.25">
      <c r="A74" t="s">
        <v>442</v>
      </c>
      <c r="B74" t="s">
        <v>402</v>
      </c>
      <c r="C74" t="s">
        <v>477</v>
      </c>
      <c r="D74" t="s">
        <v>306</v>
      </c>
      <c r="E74" t="s">
        <v>1563</v>
      </c>
      <c r="F74" t="s">
        <v>485</v>
      </c>
      <c r="G74" t="s">
        <v>254</v>
      </c>
      <c r="H74" s="736" t="s">
        <v>486</v>
      </c>
      <c r="I74" t="s">
        <v>309</v>
      </c>
      <c r="J74" t="s">
        <v>326</v>
      </c>
      <c r="K74">
        <v>1</v>
      </c>
      <c r="L74" s="736">
        <v>1</v>
      </c>
      <c r="M74" s="736" t="s">
        <v>33</v>
      </c>
      <c r="N74" s="736">
        <v>1</v>
      </c>
      <c r="O74" s="736">
        <v>1</v>
      </c>
      <c r="P74" s="736">
        <v>1</v>
      </c>
      <c r="Q74" s="736" t="s">
        <v>45</v>
      </c>
      <c r="R74" s="736">
        <v>1</v>
      </c>
      <c r="S74">
        <v>1</v>
      </c>
      <c r="T74">
        <v>1</v>
      </c>
      <c r="U74" t="s">
        <v>1563</v>
      </c>
      <c r="V74" t="s">
        <v>1563</v>
      </c>
      <c r="W74" t="s">
        <v>1563</v>
      </c>
      <c r="X74">
        <v>1</v>
      </c>
      <c r="Y74" t="s">
        <v>1563</v>
      </c>
      <c r="Z74">
        <v>1</v>
      </c>
      <c r="AA74" t="s">
        <v>1563</v>
      </c>
      <c r="AB74" t="s">
        <v>1563</v>
      </c>
      <c r="AC74" t="s">
        <v>1563</v>
      </c>
      <c r="AD74">
        <v>1</v>
      </c>
      <c r="AE74">
        <v>0</v>
      </c>
      <c r="AF74" t="s">
        <v>1533</v>
      </c>
      <c r="AG74" t="s">
        <v>1425</v>
      </c>
      <c r="AH74" t="s">
        <v>1563</v>
      </c>
    </row>
    <row r="75" spans="1:34" x14ac:dyDescent="0.25">
      <c r="A75" t="s">
        <v>487</v>
      </c>
      <c r="B75" t="s">
        <v>402</v>
      </c>
      <c r="C75" t="s">
        <v>477</v>
      </c>
      <c r="D75" t="s">
        <v>306</v>
      </c>
      <c r="E75" t="s">
        <v>1563</v>
      </c>
      <c r="F75" t="s">
        <v>488</v>
      </c>
      <c r="G75" t="s">
        <v>1563</v>
      </c>
      <c r="H75" s="736" t="s">
        <v>1579</v>
      </c>
      <c r="I75" t="s">
        <v>309</v>
      </c>
      <c r="J75" t="s">
        <v>326</v>
      </c>
      <c r="K75">
        <v>1</v>
      </c>
      <c r="L75" s="736">
        <v>2</v>
      </c>
      <c r="M75" s="736" t="s">
        <v>33</v>
      </c>
      <c r="N75" s="736">
        <v>1</v>
      </c>
      <c r="O75" s="736">
        <v>2</v>
      </c>
      <c r="P75" s="736">
        <v>1</v>
      </c>
      <c r="Q75" s="736" t="s">
        <v>45</v>
      </c>
      <c r="R75" s="736">
        <v>2</v>
      </c>
      <c r="S75">
        <v>2</v>
      </c>
      <c r="T75">
        <v>2</v>
      </c>
      <c r="U75" t="s">
        <v>1563</v>
      </c>
      <c r="V75" t="s">
        <v>1563</v>
      </c>
      <c r="W75" t="s">
        <v>1563</v>
      </c>
      <c r="X75">
        <v>1</v>
      </c>
      <c r="Y75" t="s">
        <v>1563</v>
      </c>
      <c r="Z75">
        <v>2</v>
      </c>
      <c r="AA75">
        <v>1</v>
      </c>
      <c r="AB75" t="s">
        <v>1563</v>
      </c>
      <c r="AC75">
        <v>1</v>
      </c>
      <c r="AD75" t="s">
        <v>1563</v>
      </c>
      <c r="AE75">
        <v>0.5</v>
      </c>
      <c r="AF75" t="s">
        <v>1534</v>
      </c>
      <c r="AG75" t="s">
        <v>1425</v>
      </c>
      <c r="AH75" t="s">
        <v>1563</v>
      </c>
    </row>
    <row r="76" spans="1:34" x14ac:dyDescent="0.25">
      <c r="A76" t="s">
        <v>442</v>
      </c>
      <c r="B76" t="s">
        <v>402</v>
      </c>
      <c r="C76" t="s">
        <v>477</v>
      </c>
      <c r="D76" t="s">
        <v>306</v>
      </c>
      <c r="E76" t="s">
        <v>1563</v>
      </c>
      <c r="F76" t="s">
        <v>489</v>
      </c>
      <c r="G76" t="s">
        <v>254</v>
      </c>
      <c r="H76" s="736" t="s">
        <v>490</v>
      </c>
      <c r="I76" t="s">
        <v>309</v>
      </c>
      <c r="J76" t="s">
        <v>326</v>
      </c>
      <c r="K76">
        <v>1</v>
      </c>
      <c r="L76" s="736">
        <v>1</v>
      </c>
      <c r="M76" s="736" t="s">
        <v>33</v>
      </c>
      <c r="N76" s="736">
        <v>1</v>
      </c>
      <c r="O76" s="736">
        <v>1</v>
      </c>
      <c r="P76" s="736">
        <v>1</v>
      </c>
      <c r="Q76" s="736" t="s">
        <v>45</v>
      </c>
      <c r="R76" s="736">
        <v>1</v>
      </c>
      <c r="S76">
        <v>1</v>
      </c>
      <c r="T76">
        <v>1</v>
      </c>
      <c r="U76" t="s">
        <v>1563</v>
      </c>
      <c r="V76" t="s">
        <v>1563</v>
      </c>
      <c r="W76" t="s">
        <v>1563</v>
      </c>
      <c r="X76">
        <v>1</v>
      </c>
      <c r="Y76" t="s">
        <v>1563</v>
      </c>
      <c r="Z76">
        <v>1</v>
      </c>
      <c r="AA76">
        <v>1</v>
      </c>
      <c r="AB76" t="s">
        <v>1563</v>
      </c>
      <c r="AC76" t="s">
        <v>1563</v>
      </c>
      <c r="AD76" t="s">
        <v>1563</v>
      </c>
      <c r="AE76">
        <v>1</v>
      </c>
      <c r="AF76" t="s">
        <v>1521</v>
      </c>
      <c r="AG76" t="s">
        <v>1425</v>
      </c>
      <c r="AH76" t="s">
        <v>1563</v>
      </c>
    </row>
    <row r="77" spans="1:34" x14ac:dyDescent="0.25">
      <c r="A77" t="s">
        <v>442</v>
      </c>
      <c r="B77" t="s">
        <v>402</v>
      </c>
      <c r="C77" t="s">
        <v>477</v>
      </c>
      <c r="D77" t="s">
        <v>306</v>
      </c>
      <c r="E77" t="s">
        <v>1563</v>
      </c>
      <c r="F77" t="s">
        <v>491</v>
      </c>
      <c r="G77" t="s">
        <v>254</v>
      </c>
      <c r="H77" s="736" t="s">
        <v>492</v>
      </c>
      <c r="I77" t="s">
        <v>309</v>
      </c>
      <c r="J77" t="s">
        <v>326</v>
      </c>
      <c r="K77">
        <v>1</v>
      </c>
      <c r="L77" s="736">
        <v>1</v>
      </c>
      <c r="M77" s="736" t="s">
        <v>33</v>
      </c>
      <c r="N77" s="736">
        <v>1</v>
      </c>
      <c r="O77" s="736">
        <v>1</v>
      </c>
      <c r="P77" s="736">
        <v>1</v>
      </c>
      <c r="Q77" s="736" t="s">
        <v>1563</v>
      </c>
      <c r="R77" s="736">
        <v>1</v>
      </c>
      <c r="S77">
        <v>1</v>
      </c>
      <c r="T77">
        <v>1</v>
      </c>
      <c r="U77" t="s">
        <v>1563</v>
      </c>
      <c r="V77" t="s">
        <v>1563</v>
      </c>
      <c r="W77" t="s">
        <v>1563</v>
      </c>
      <c r="X77">
        <v>1</v>
      </c>
      <c r="Y77" t="s">
        <v>1563</v>
      </c>
      <c r="Z77">
        <v>1</v>
      </c>
      <c r="AA77">
        <v>1</v>
      </c>
      <c r="AB77" t="s">
        <v>1563</v>
      </c>
      <c r="AC77" t="s">
        <v>1563</v>
      </c>
      <c r="AD77" t="s">
        <v>1563</v>
      </c>
      <c r="AE77">
        <v>1</v>
      </c>
      <c r="AF77" t="s">
        <v>1521</v>
      </c>
      <c r="AG77" t="s">
        <v>1425</v>
      </c>
      <c r="AH77" t="s">
        <v>1563</v>
      </c>
    </row>
    <row r="78" spans="1:34" x14ac:dyDescent="0.25">
      <c r="A78" t="s">
        <v>442</v>
      </c>
      <c r="B78" t="s">
        <v>402</v>
      </c>
      <c r="C78" t="s">
        <v>305</v>
      </c>
      <c r="D78" t="s">
        <v>306</v>
      </c>
      <c r="E78" t="s">
        <v>1563</v>
      </c>
      <c r="F78" t="s">
        <v>493</v>
      </c>
      <c r="G78" t="s">
        <v>254</v>
      </c>
      <c r="H78" s="736" t="s">
        <v>494</v>
      </c>
      <c r="I78" t="s">
        <v>309</v>
      </c>
      <c r="J78" t="s">
        <v>326</v>
      </c>
      <c r="K78">
        <v>1</v>
      </c>
      <c r="L78" s="736">
        <v>1</v>
      </c>
      <c r="M78" s="736" t="s">
        <v>33</v>
      </c>
      <c r="N78" s="736">
        <v>1</v>
      </c>
      <c r="O78" s="736">
        <v>1</v>
      </c>
      <c r="P78" s="736">
        <v>1</v>
      </c>
      <c r="Q78" s="736" t="s">
        <v>45</v>
      </c>
      <c r="R78" s="736">
        <v>1</v>
      </c>
      <c r="S78">
        <v>1</v>
      </c>
      <c r="T78">
        <v>1</v>
      </c>
      <c r="U78" t="s">
        <v>1563</v>
      </c>
      <c r="V78" t="s">
        <v>1563</v>
      </c>
      <c r="W78" t="s">
        <v>1563</v>
      </c>
      <c r="X78">
        <v>1</v>
      </c>
      <c r="Y78" t="s">
        <v>1563</v>
      </c>
      <c r="Z78">
        <v>1</v>
      </c>
      <c r="AA78">
        <v>1</v>
      </c>
      <c r="AB78" t="s">
        <v>1563</v>
      </c>
      <c r="AC78" t="s">
        <v>1563</v>
      </c>
      <c r="AD78" t="s">
        <v>1563</v>
      </c>
      <c r="AE78">
        <v>1</v>
      </c>
      <c r="AF78" t="s">
        <v>1521</v>
      </c>
      <c r="AG78" t="s">
        <v>1425</v>
      </c>
      <c r="AH78" t="s">
        <v>1563</v>
      </c>
    </row>
    <row r="79" spans="1:34" x14ac:dyDescent="0.25">
      <c r="A79" t="s">
        <v>495</v>
      </c>
      <c r="B79" t="s">
        <v>496</v>
      </c>
      <c r="C79" t="s">
        <v>305</v>
      </c>
      <c r="D79" t="s">
        <v>306</v>
      </c>
      <c r="E79" t="s">
        <v>1563</v>
      </c>
      <c r="F79" t="s">
        <v>497</v>
      </c>
      <c r="G79" t="s">
        <v>275</v>
      </c>
      <c r="H79" s="736" t="s">
        <v>498</v>
      </c>
      <c r="I79" t="s">
        <v>330</v>
      </c>
      <c r="J79" t="s">
        <v>326</v>
      </c>
      <c r="K79">
        <v>1</v>
      </c>
      <c r="L79" s="736">
        <v>1</v>
      </c>
      <c r="M79" s="736" t="s">
        <v>33</v>
      </c>
      <c r="N79" s="736">
        <v>1</v>
      </c>
      <c r="O79" s="736">
        <v>1</v>
      </c>
      <c r="P79" s="736">
        <v>1</v>
      </c>
      <c r="Q79" s="736" t="s">
        <v>45</v>
      </c>
      <c r="R79" s="736">
        <v>1</v>
      </c>
      <c r="S79">
        <v>1</v>
      </c>
      <c r="T79">
        <v>1</v>
      </c>
      <c r="U79" t="s">
        <v>1563</v>
      </c>
      <c r="V79" t="s">
        <v>1563</v>
      </c>
      <c r="W79" t="s">
        <v>1563</v>
      </c>
      <c r="X79">
        <v>1</v>
      </c>
      <c r="Y79" t="s">
        <v>1563</v>
      </c>
      <c r="Z79">
        <v>1</v>
      </c>
      <c r="AA79">
        <v>1</v>
      </c>
      <c r="AB79" t="s">
        <v>1563</v>
      </c>
      <c r="AC79" t="s">
        <v>1563</v>
      </c>
      <c r="AD79" t="s">
        <v>1563</v>
      </c>
      <c r="AE79">
        <v>1</v>
      </c>
      <c r="AF79" t="s">
        <v>1563</v>
      </c>
      <c r="AG79" t="s">
        <v>1423</v>
      </c>
      <c r="AH79" t="s">
        <v>332</v>
      </c>
    </row>
    <row r="80" spans="1:34" x14ac:dyDescent="0.25">
      <c r="A80" t="s">
        <v>499</v>
      </c>
      <c r="B80" t="s">
        <v>500</v>
      </c>
      <c r="C80" t="s">
        <v>354</v>
      </c>
      <c r="D80" t="s">
        <v>306</v>
      </c>
      <c r="E80" t="s">
        <v>1563</v>
      </c>
      <c r="F80" t="s">
        <v>501</v>
      </c>
      <c r="G80" t="s">
        <v>275</v>
      </c>
      <c r="H80" s="736" t="s">
        <v>502</v>
      </c>
      <c r="I80" t="s">
        <v>309</v>
      </c>
      <c r="J80" t="s">
        <v>602</v>
      </c>
      <c r="K80">
        <v>1</v>
      </c>
      <c r="L80" s="736">
        <v>1</v>
      </c>
      <c r="M80" s="736" t="s">
        <v>33</v>
      </c>
      <c r="N80" s="736">
        <v>1</v>
      </c>
      <c r="O80" s="736">
        <v>1</v>
      </c>
      <c r="P80" s="736">
        <v>1</v>
      </c>
      <c r="Q80" s="736" t="s">
        <v>45</v>
      </c>
      <c r="R80" s="736">
        <v>1</v>
      </c>
      <c r="S80">
        <v>1</v>
      </c>
      <c r="T80">
        <v>1</v>
      </c>
      <c r="U80" t="s">
        <v>1563</v>
      </c>
      <c r="V80" t="s">
        <v>1563</v>
      </c>
      <c r="W80" t="s">
        <v>1563</v>
      </c>
      <c r="X80">
        <v>1</v>
      </c>
      <c r="Y80" t="s">
        <v>1563</v>
      </c>
      <c r="Z80">
        <v>1</v>
      </c>
      <c r="AA80" t="s">
        <v>1563</v>
      </c>
      <c r="AB80" t="s">
        <v>1563</v>
      </c>
      <c r="AC80">
        <v>1</v>
      </c>
      <c r="AD80" t="s">
        <v>1563</v>
      </c>
      <c r="AE80">
        <v>0</v>
      </c>
      <c r="AF80" t="s">
        <v>1536</v>
      </c>
      <c r="AG80" t="s">
        <v>1425</v>
      </c>
      <c r="AH80" t="s">
        <v>1563</v>
      </c>
    </row>
    <row r="81" spans="1:34" x14ac:dyDescent="0.25">
      <c r="A81" t="s">
        <v>499</v>
      </c>
      <c r="B81" t="s">
        <v>500</v>
      </c>
      <c r="C81" t="s">
        <v>354</v>
      </c>
      <c r="D81" t="s">
        <v>306</v>
      </c>
      <c r="E81" t="s">
        <v>1563</v>
      </c>
      <c r="F81" t="s">
        <v>503</v>
      </c>
      <c r="G81" t="s">
        <v>275</v>
      </c>
      <c r="H81" s="736" t="s">
        <v>504</v>
      </c>
      <c r="I81" t="s">
        <v>309</v>
      </c>
      <c r="J81" t="s">
        <v>326</v>
      </c>
      <c r="K81">
        <v>1</v>
      </c>
      <c r="L81" s="736">
        <v>1</v>
      </c>
      <c r="M81" s="736" t="s">
        <v>33</v>
      </c>
      <c r="N81" s="736">
        <v>1</v>
      </c>
      <c r="O81" s="736">
        <v>1</v>
      </c>
      <c r="P81" s="736">
        <v>1</v>
      </c>
      <c r="Q81" s="736" t="s">
        <v>45</v>
      </c>
      <c r="R81" s="736">
        <v>1</v>
      </c>
      <c r="S81">
        <v>1</v>
      </c>
      <c r="T81">
        <v>1</v>
      </c>
      <c r="U81" t="s">
        <v>1563</v>
      </c>
      <c r="V81" t="s">
        <v>1563</v>
      </c>
      <c r="W81" t="s">
        <v>1563</v>
      </c>
      <c r="X81">
        <v>1</v>
      </c>
      <c r="Y81" t="s">
        <v>1563</v>
      </c>
      <c r="Z81">
        <v>1</v>
      </c>
      <c r="AA81" t="s">
        <v>1563</v>
      </c>
      <c r="AB81" t="s">
        <v>1563</v>
      </c>
      <c r="AC81">
        <v>1</v>
      </c>
      <c r="AD81" t="s">
        <v>1563</v>
      </c>
      <c r="AE81">
        <v>0</v>
      </c>
      <c r="AF81" t="s">
        <v>1536</v>
      </c>
      <c r="AG81" t="s">
        <v>1425</v>
      </c>
      <c r="AH81" t="s">
        <v>1563</v>
      </c>
    </row>
    <row r="82" spans="1:34" x14ac:dyDescent="0.25">
      <c r="A82" t="s">
        <v>505</v>
      </c>
      <c r="B82" t="s">
        <v>506</v>
      </c>
      <c r="C82" t="s">
        <v>354</v>
      </c>
      <c r="D82" t="s">
        <v>306</v>
      </c>
      <c r="E82" t="s">
        <v>1563</v>
      </c>
      <c r="F82" t="s">
        <v>507</v>
      </c>
      <c r="G82" t="s">
        <v>275</v>
      </c>
      <c r="H82" s="736" t="s">
        <v>508</v>
      </c>
      <c r="I82" t="s">
        <v>309</v>
      </c>
      <c r="J82" t="s">
        <v>326</v>
      </c>
      <c r="K82">
        <v>2</v>
      </c>
      <c r="L82" s="736">
        <v>1</v>
      </c>
      <c r="M82" s="736" t="s">
        <v>33</v>
      </c>
      <c r="N82" s="736">
        <v>1</v>
      </c>
      <c r="O82" s="736">
        <v>1</v>
      </c>
      <c r="P82" s="736">
        <v>1</v>
      </c>
      <c r="Q82" s="736" t="s">
        <v>45</v>
      </c>
      <c r="R82" s="736">
        <v>1</v>
      </c>
      <c r="S82">
        <v>1</v>
      </c>
      <c r="T82">
        <v>1</v>
      </c>
      <c r="U82" t="s">
        <v>1563</v>
      </c>
      <c r="V82" t="s">
        <v>1563</v>
      </c>
      <c r="W82" t="s">
        <v>1563</v>
      </c>
      <c r="X82">
        <v>1</v>
      </c>
      <c r="Y82" t="s">
        <v>1563</v>
      </c>
      <c r="Z82">
        <v>1</v>
      </c>
      <c r="AA82" t="s">
        <v>1563</v>
      </c>
      <c r="AB82" t="s">
        <v>1563</v>
      </c>
      <c r="AC82">
        <v>1</v>
      </c>
      <c r="AD82" t="s">
        <v>1563</v>
      </c>
      <c r="AE82">
        <v>0</v>
      </c>
      <c r="AF82" t="s">
        <v>1535</v>
      </c>
      <c r="AG82" t="s">
        <v>1425</v>
      </c>
      <c r="AH82" t="s">
        <v>509</v>
      </c>
    </row>
    <row r="83" spans="1:34" x14ac:dyDescent="0.25">
      <c r="A83" t="s">
        <v>505</v>
      </c>
      <c r="B83" t="s">
        <v>506</v>
      </c>
      <c r="C83" t="s">
        <v>354</v>
      </c>
      <c r="D83" t="s">
        <v>306</v>
      </c>
      <c r="E83" t="s">
        <v>1563</v>
      </c>
      <c r="F83" t="s">
        <v>510</v>
      </c>
      <c r="G83" t="s">
        <v>275</v>
      </c>
      <c r="H83" s="736" t="s">
        <v>511</v>
      </c>
      <c r="I83" t="s">
        <v>309</v>
      </c>
      <c r="J83" t="s">
        <v>326</v>
      </c>
      <c r="K83">
        <v>2</v>
      </c>
      <c r="L83" s="736">
        <v>1</v>
      </c>
      <c r="M83" s="736" t="s">
        <v>33</v>
      </c>
      <c r="N83" s="736">
        <v>1</v>
      </c>
      <c r="O83" s="736">
        <v>1</v>
      </c>
      <c r="P83" s="736">
        <v>1</v>
      </c>
      <c r="Q83" s="736" t="s">
        <v>45</v>
      </c>
      <c r="R83" s="736">
        <v>1</v>
      </c>
      <c r="S83">
        <v>1</v>
      </c>
      <c r="T83">
        <v>1</v>
      </c>
      <c r="U83" t="s">
        <v>1563</v>
      </c>
      <c r="V83" t="s">
        <v>1563</v>
      </c>
      <c r="W83" t="s">
        <v>1563</v>
      </c>
      <c r="X83">
        <v>1</v>
      </c>
      <c r="Y83" t="s">
        <v>1563</v>
      </c>
      <c r="Z83">
        <v>1</v>
      </c>
      <c r="AA83" t="s">
        <v>1563</v>
      </c>
      <c r="AB83" t="s">
        <v>1563</v>
      </c>
      <c r="AC83">
        <v>1</v>
      </c>
      <c r="AD83" t="s">
        <v>1563</v>
      </c>
      <c r="AE83">
        <v>0</v>
      </c>
      <c r="AF83" t="s">
        <v>1535</v>
      </c>
      <c r="AG83" t="s">
        <v>1425</v>
      </c>
      <c r="AH83" t="s">
        <v>509</v>
      </c>
    </row>
    <row r="84" spans="1:34" x14ac:dyDescent="0.25">
      <c r="A84" t="s">
        <v>512</v>
      </c>
      <c r="B84" t="s">
        <v>513</v>
      </c>
      <c r="C84" t="s">
        <v>395</v>
      </c>
      <c r="D84" t="s">
        <v>306</v>
      </c>
      <c r="E84" t="s">
        <v>1563</v>
      </c>
      <c r="F84" t="s">
        <v>514</v>
      </c>
      <c r="G84" t="s">
        <v>275</v>
      </c>
      <c r="H84" s="736" t="s">
        <v>515</v>
      </c>
      <c r="I84" t="s">
        <v>309</v>
      </c>
      <c r="J84" t="s">
        <v>326</v>
      </c>
      <c r="K84">
        <v>1</v>
      </c>
      <c r="L84" s="736">
        <v>2</v>
      </c>
      <c r="M84" s="736" t="s">
        <v>33</v>
      </c>
      <c r="N84" s="736">
        <v>1</v>
      </c>
      <c r="O84" s="736">
        <v>2</v>
      </c>
      <c r="P84" s="736">
        <v>1</v>
      </c>
      <c r="Q84" s="736" t="s">
        <v>45</v>
      </c>
      <c r="R84" s="736">
        <v>2</v>
      </c>
      <c r="S84">
        <v>2</v>
      </c>
      <c r="T84">
        <v>2</v>
      </c>
      <c r="U84" t="s">
        <v>1563</v>
      </c>
      <c r="V84" t="s">
        <v>1563</v>
      </c>
      <c r="W84" t="s">
        <v>1563</v>
      </c>
      <c r="X84">
        <v>1</v>
      </c>
      <c r="Y84" t="s">
        <v>1563</v>
      </c>
      <c r="Z84">
        <v>2</v>
      </c>
      <c r="AA84">
        <v>1</v>
      </c>
      <c r="AB84" t="s">
        <v>1563</v>
      </c>
      <c r="AC84" t="s">
        <v>1563</v>
      </c>
      <c r="AD84">
        <v>1</v>
      </c>
      <c r="AE84">
        <v>0.5</v>
      </c>
      <c r="AF84" t="s">
        <v>516</v>
      </c>
      <c r="AG84" t="s">
        <v>1423</v>
      </c>
      <c r="AH84" t="s">
        <v>1563</v>
      </c>
    </row>
    <row r="85" spans="1:34" x14ac:dyDescent="0.25">
      <c r="A85" t="s">
        <v>517</v>
      </c>
      <c r="B85" t="s">
        <v>518</v>
      </c>
      <c r="C85" t="s">
        <v>395</v>
      </c>
      <c r="D85" t="s">
        <v>306</v>
      </c>
      <c r="E85" t="s">
        <v>1563</v>
      </c>
      <c r="F85" t="s">
        <v>519</v>
      </c>
      <c r="G85" t="s">
        <v>275</v>
      </c>
      <c r="H85" s="736" t="s">
        <v>520</v>
      </c>
      <c r="I85" t="s">
        <v>309</v>
      </c>
      <c r="J85" t="s">
        <v>326</v>
      </c>
      <c r="K85">
        <v>1</v>
      </c>
      <c r="L85" s="736">
        <v>2</v>
      </c>
      <c r="M85" s="736" t="s">
        <v>33</v>
      </c>
      <c r="N85" s="736">
        <v>1</v>
      </c>
      <c r="O85" s="736">
        <v>2</v>
      </c>
      <c r="P85" s="736">
        <v>1</v>
      </c>
      <c r="Q85" s="736" t="s">
        <v>45</v>
      </c>
      <c r="R85" s="736">
        <v>2</v>
      </c>
      <c r="S85">
        <v>2</v>
      </c>
      <c r="T85">
        <v>2</v>
      </c>
      <c r="U85" t="s">
        <v>1563</v>
      </c>
      <c r="V85" t="s">
        <v>1563</v>
      </c>
      <c r="W85" t="s">
        <v>1563</v>
      </c>
      <c r="X85">
        <v>1</v>
      </c>
      <c r="Y85" t="s">
        <v>1563</v>
      </c>
      <c r="Z85">
        <v>2</v>
      </c>
      <c r="AA85" t="s">
        <v>1563</v>
      </c>
      <c r="AB85" t="s">
        <v>1563</v>
      </c>
      <c r="AC85" t="s">
        <v>1563</v>
      </c>
      <c r="AD85">
        <v>2</v>
      </c>
      <c r="AE85">
        <v>0</v>
      </c>
      <c r="AF85" t="s">
        <v>1563</v>
      </c>
      <c r="AG85" t="s">
        <v>1423</v>
      </c>
      <c r="AH85" t="s">
        <v>1563</v>
      </c>
    </row>
    <row r="86" spans="1:34" x14ac:dyDescent="0.25">
      <c r="A86" t="s">
        <v>1563</v>
      </c>
      <c r="B86" t="s">
        <v>1563</v>
      </c>
      <c r="C86" t="s">
        <v>339</v>
      </c>
      <c r="D86" t="s">
        <v>382</v>
      </c>
      <c r="E86" t="s">
        <v>1563</v>
      </c>
      <c r="F86" t="s">
        <v>521</v>
      </c>
      <c r="G86" t="s">
        <v>1563</v>
      </c>
      <c r="H86" s="736" t="s">
        <v>522</v>
      </c>
      <c r="I86" t="s">
        <v>309</v>
      </c>
      <c r="J86" t="s">
        <v>523</v>
      </c>
      <c r="K86">
        <v>1</v>
      </c>
      <c r="L86" s="736">
        <v>1</v>
      </c>
      <c r="M86" s="736" t="s">
        <v>33</v>
      </c>
      <c r="N86" s="736">
        <v>1</v>
      </c>
      <c r="O86" s="736">
        <v>1</v>
      </c>
      <c r="P86" s="736">
        <v>1</v>
      </c>
      <c r="Q86" s="736" t="s">
        <v>45</v>
      </c>
      <c r="R86" s="736">
        <v>1</v>
      </c>
      <c r="S86">
        <v>1</v>
      </c>
      <c r="T86">
        <v>1</v>
      </c>
      <c r="U86" t="s">
        <v>1563</v>
      </c>
      <c r="V86" t="s">
        <v>1563</v>
      </c>
      <c r="W86" t="s">
        <v>1563</v>
      </c>
      <c r="X86">
        <v>1</v>
      </c>
      <c r="Y86" t="s">
        <v>1563</v>
      </c>
      <c r="Z86">
        <v>1</v>
      </c>
      <c r="AA86">
        <v>1</v>
      </c>
      <c r="AB86" t="s">
        <v>1563</v>
      </c>
      <c r="AC86" t="s">
        <v>1563</v>
      </c>
      <c r="AD86" t="s">
        <v>1563</v>
      </c>
      <c r="AE86">
        <v>1</v>
      </c>
      <c r="AF86" t="s">
        <v>1563</v>
      </c>
      <c r="AG86" t="s">
        <v>1563</v>
      </c>
      <c r="AH86" t="s">
        <v>1563</v>
      </c>
    </row>
    <row r="87" spans="1:34" x14ac:dyDescent="0.25">
      <c r="A87" t="s">
        <v>1563</v>
      </c>
      <c r="B87" t="s">
        <v>1563</v>
      </c>
      <c r="C87" t="s">
        <v>339</v>
      </c>
      <c r="D87" t="s">
        <v>382</v>
      </c>
      <c r="E87" t="s">
        <v>1563</v>
      </c>
      <c r="F87" t="s">
        <v>524</v>
      </c>
      <c r="G87" t="s">
        <v>1563</v>
      </c>
      <c r="H87" s="736" t="s">
        <v>525</v>
      </c>
      <c r="I87" t="s">
        <v>309</v>
      </c>
      <c r="J87" t="s">
        <v>523</v>
      </c>
      <c r="K87">
        <v>1</v>
      </c>
      <c r="L87" s="736">
        <v>1</v>
      </c>
      <c r="M87" s="736" t="s">
        <v>33</v>
      </c>
      <c r="N87" s="736">
        <v>1</v>
      </c>
      <c r="O87" s="736">
        <v>1</v>
      </c>
      <c r="P87" s="736">
        <v>1</v>
      </c>
      <c r="Q87" s="736" t="s">
        <v>45</v>
      </c>
      <c r="R87" s="736">
        <v>1</v>
      </c>
      <c r="S87">
        <v>1</v>
      </c>
      <c r="T87">
        <v>1</v>
      </c>
      <c r="U87" t="s">
        <v>1563</v>
      </c>
      <c r="V87" t="s">
        <v>1563</v>
      </c>
      <c r="W87" t="s">
        <v>1563</v>
      </c>
      <c r="X87">
        <v>1</v>
      </c>
      <c r="Y87" t="s">
        <v>1563</v>
      </c>
      <c r="Z87">
        <v>1</v>
      </c>
      <c r="AA87">
        <v>1</v>
      </c>
      <c r="AB87" t="s">
        <v>1563</v>
      </c>
      <c r="AC87" t="s">
        <v>1563</v>
      </c>
      <c r="AD87" t="s">
        <v>1563</v>
      </c>
      <c r="AE87">
        <v>1</v>
      </c>
      <c r="AF87" t="s">
        <v>1563</v>
      </c>
      <c r="AG87" t="s">
        <v>1563</v>
      </c>
      <c r="AH87" t="s">
        <v>1563</v>
      </c>
    </row>
    <row r="88" spans="1:34" x14ac:dyDescent="0.25">
      <c r="A88" t="s">
        <v>1563</v>
      </c>
      <c r="B88" t="s">
        <v>1563</v>
      </c>
      <c r="C88" t="s">
        <v>339</v>
      </c>
      <c r="D88" t="s">
        <v>382</v>
      </c>
      <c r="E88" t="s">
        <v>1563</v>
      </c>
      <c r="F88" t="s">
        <v>526</v>
      </c>
      <c r="G88" t="s">
        <v>1563</v>
      </c>
      <c r="H88" s="736" t="s">
        <v>527</v>
      </c>
      <c r="I88" t="s">
        <v>309</v>
      </c>
      <c r="J88" t="s">
        <v>523</v>
      </c>
      <c r="K88">
        <v>1</v>
      </c>
      <c r="L88" s="736">
        <v>1</v>
      </c>
      <c r="M88" s="736" t="s">
        <v>33</v>
      </c>
      <c r="N88" s="736">
        <v>1</v>
      </c>
      <c r="O88" s="736">
        <v>1</v>
      </c>
      <c r="P88" s="736">
        <v>1</v>
      </c>
      <c r="Q88" s="736" t="s">
        <v>45</v>
      </c>
      <c r="R88" s="736">
        <v>1</v>
      </c>
      <c r="S88">
        <v>1</v>
      </c>
      <c r="T88">
        <v>1</v>
      </c>
      <c r="U88" t="s">
        <v>1563</v>
      </c>
      <c r="V88" t="s">
        <v>1563</v>
      </c>
      <c r="W88" t="s">
        <v>1563</v>
      </c>
      <c r="X88">
        <v>1</v>
      </c>
      <c r="Y88" t="s">
        <v>1563</v>
      </c>
      <c r="Z88">
        <v>1</v>
      </c>
      <c r="AA88">
        <v>1</v>
      </c>
      <c r="AB88" t="s">
        <v>1563</v>
      </c>
      <c r="AC88" t="s">
        <v>1563</v>
      </c>
      <c r="AD88" t="s">
        <v>1563</v>
      </c>
      <c r="AE88">
        <v>1</v>
      </c>
      <c r="AF88" t="s">
        <v>1563</v>
      </c>
      <c r="AG88" t="s">
        <v>1563</v>
      </c>
      <c r="AH88" t="s">
        <v>1563</v>
      </c>
    </row>
    <row r="89" spans="1:34" x14ac:dyDescent="0.25">
      <c r="A89" t="s">
        <v>1563</v>
      </c>
      <c r="B89" t="s">
        <v>1563</v>
      </c>
      <c r="C89" t="s">
        <v>339</v>
      </c>
      <c r="D89" t="s">
        <v>382</v>
      </c>
      <c r="E89" t="s">
        <v>1563</v>
      </c>
      <c r="F89" t="s">
        <v>528</v>
      </c>
      <c r="G89" t="s">
        <v>1563</v>
      </c>
      <c r="H89" s="736" t="s">
        <v>529</v>
      </c>
      <c r="I89" t="s">
        <v>309</v>
      </c>
      <c r="J89" t="s">
        <v>523</v>
      </c>
      <c r="K89">
        <v>1</v>
      </c>
      <c r="L89" s="736">
        <v>1</v>
      </c>
      <c r="M89" s="736" t="s">
        <v>33</v>
      </c>
      <c r="N89" s="736">
        <v>1</v>
      </c>
      <c r="O89" s="736">
        <v>1</v>
      </c>
      <c r="P89" s="736">
        <v>1</v>
      </c>
      <c r="Q89" s="736" t="s">
        <v>45</v>
      </c>
      <c r="R89" s="736">
        <v>1</v>
      </c>
      <c r="S89">
        <v>1</v>
      </c>
      <c r="T89">
        <v>1</v>
      </c>
      <c r="U89" t="s">
        <v>1563</v>
      </c>
      <c r="V89" t="s">
        <v>1563</v>
      </c>
      <c r="W89" t="s">
        <v>1563</v>
      </c>
      <c r="X89">
        <v>1</v>
      </c>
      <c r="Y89" t="s">
        <v>1563</v>
      </c>
      <c r="Z89">
        <v>1</v>
      </c>
      <c r="AA89">
        <v>1</v>
      </c>
      <c r="AB89" t="s">
        <v>1563</v>
      </c>
      <c r="AC89" t="s">
        <v>1563</v>
      </c>
      <c r="AD89" t="s">
        <v>1563</v>
      </c>
      <c r="AE89">
        <v>1</v>
      </c>
      <c r="AF89" t="s">
        <v>1563</v>
      </c>
      <c r="AG89" t="s">
        <v>1563</v>
      </c>
      <c r="AH89" t="s">
        <v>1563</v>
      </c>
    </row>
    <row r="90" spans="1:34" x14ac:dyDescent="0.25">
      <c r="A90" t="s">
        <v>1563</v>
      </c>
      <c r="B90" t="s">
        <v>1563</v>
      </c>
      <c r="C90" t="s">
        <v>339</v>
      </c>
      <c r="D90" t="s">
        <v>382</v>
      </c>
      <c r="E90" t="s">
        <v>1563</v>
      </c>
      <c r="F90" t="s">
        <v>530</v>
      </c>
      <c r="G90" t="s">
        <v>1563</v>
      </c>
      <c r="H90" s="736" t="s">
        <v>531</v>
      </c>
      <c r="I90" t="s">
        <v>309</v>
      </c>
      <c r="J90" t="s">
        <v>523</v>
      </c>
      <c r="K90">
        <v>1</v>
      </c>
      <c r="L90" s="736">
        <v>1</v>
      </c>
      <c r="M90" s="736" t="s">
        <v>33</v>
      </c>
      <c r="N90" s="736">
        <v>1</v>
      </c>
      <c r="O90" s="736">
        <v>1</v>
      </c>
      <c r="P90" s="736">
        <v>1</v>
      </c>
      <c r="Q90" s="736" t="s">
        <v>45</v>
      </c>
      <c r="R90" s="736">
        <v>1</v>
      </c>
      <c r="S90">
        <v>1</v>
      </c>
      <c r="T90">
        <v>1</v>
      </c>
      <c r="U90" t="s">
        <v>1563</v>
      </c>
      <c r="V90" t="s">
        <v>1563</v>
      </c>
      <c r="W90" t="s">
        <v>1563</v>
      </c>
      <c r="X90">
        <v>1</v>
      </c>
      <c r="Y90" t="s">
        <v>1563</v>
      </c>
      <c r="Z90">
        <v>1</v>
      </c>
      <c r="AA90">
        <v>1</v>
      </c>
      <c r="AB90" t="s">
        <v>1563</v>
      </c>
      <c r="AC90" t="s">
        <v>1563</v>
      </c>
      <c r="AD90" t="s">
        <v>1563</v>
      </c>
      <c r="AE90">
        <v>1</v>
      </c>
      <c r="AF90" t="s">
        <v>1563</v>
      </c>
      <c r="AG90" t="s">
        <v>1563</v>
      </c>
      <c r="AH90" t="s">
        <v>1563</v>
      </c>
    </row>
    <row r="91" spans="1:34" x14ac:dyDescent="0.25">
      <c r="A91" t="s">
        <v>1563</v>
      </c>
      <c r="B91" t="s">
        <v>1563</v>
      </c>
      <c r="C91" t="s">
        <v>339</v>
      </c>
      <c r="D91" t="s">
        <v>382</v>
      </c>
      <c r="E91" t="s">
        <v>1563</v>
      </c>
      <c r="F91" t="s">
        <v>532</v>
      </c>
      <c r="G91" t="s">
        <v>1563</v>
      </c>
      <c r="H91" s="736" t="s">
        <v>533</v>
      </c>
      <c r="I91" t="s">
        <v>309</v>
      </c>
      <c r="J91" t="s">
        <v>523</v>
      </c>
      <c r="K91">
        <v>1</v>
      </c>
      <c r="L91" s="736">
        <v>1</v>
      </c>
      <c r="M91" s="736" t="s">
        <v>33</v>
      </c>
      <c r="N91" s="736">
        <v>1</v>
      </c>
      <c r="O91" s="736">
        <v>1</v>
      </c>
      <c r="P91" s="736">
        <v>1</v>
      </c>
      <c r="Q91" s="736" t="s">
        <v>45</v>
      </c>
      <c r="R91" s="736">
        <v>1</v>
      </c>
      <c r="S91">
        <v>1</v>
      </c>
      <c r="T91">
        <v>1</v>
      </c>
      <c r="U91" t="s">
        <v>1563</v>
      </c>
      <c r="V91" t="s">
        <v>1563</v>
      </c>
      <c r="W91" t="s">
        <v>1563</v>
      </c>
      <c r="X91">
        <v>1</v>
      </c>
      <c r="Y91" t="s">
        <v>1563</v>
      </c>
      <c r="Z91">
        <v>1</v>
      </c>
      <c r="AA91">
        <v>1</v>
      </c>
      <c r="AB91" t="s">
        <v>1563</v>
      </c>
      <c r="AC91" t="s">
        <v>1563</v>
      </c>
      <c r="AD91" t="s">
        <v>1563</v>
      </c>
      <c r="AE91">
        <v>1</v>
      </c>
      <c r="AF91" t="s">
        <v>1563</v>
      </c>
      <c r="AG91" t="s">
        <v>1563</v>
      </c>
      <c r="AH91" t="s">
        <v>1563</v>
      </c>
    </row>
    <row r="92" spans="1:34" x14ac:dyDescent="0.25">
      <c r="A92" t="s">
        <v>1563</v>
      </c>
      <c r="B92" t="s">
        <v>1563</v>
      </c>
      <c r="C92" t="s">
        <v>339</v>
      </c>
      <c r="D92" t="s">
        <v>382</v>
      </c>
      <c r="E92" t="s">
        <v>1563</v>
      </c>
      <c r="F92" t="s">
        <v>534</v>
      </c>
      <c r="G92" t="s">
        <v>1563</v>
      </c>
      <c r="H92" s="736" t="s">
        <v>535</v>
      </c>
      <c r="I92" t="s">
        <v>309</v>
      </c>
      <c r="J92" t="s">
        <v>523</v>
      </c>
      <c r="K92">
        <v>1</v>
      </c>
      <c r="L92" s="736">
        <v>1</v>
      </c>
      <c r="M92" s="736" t="s">
        <v>33</v>
      </c>
      <c r="N92" s="736">
        <v>1</v>
      </c>
      <c r="O92" s="736">
        <v>1</v>
      </c>
      <c r="P92" s="736">
        <v>1</v>
      </c>
      <c r="Q92" s="736" t="s">
        <v>45</v>
      </c>
      <c r="R92" s="736">
        <v>1</v>
      </c>
      <c r="S92">
        <v>1</v>
      </c>
      <c r="T92">
        <v>1</v>
      </c>
      <c r="U92" t="s">
        <v>1563</v>
      </c>
      <c r="V92" t="s">
        <v>1563</v>
      </c>
      <c r="W92" t="s">
        <v>1563</v>
      </c>
      <c r="X92">
        <v>1</v>
      </c>
      <c r="Y92" t="s">
        <v>1563</v>
      </c>
      <c r="Z92">
        <v>1</v>
      </c>
      <c r="AA92">
        <v>1</v>
      </c>
      <c r="AB92" t="s">
        <v>1563</v>
      </c>
      <c r="AC92" t="s">
        <v>1563</v>
      </c>
      <c r="AD92" t="s">
        <v>1563</v>
      </c>
      <c r="AE92">
        <v>1</v>
      </c>
      <c r="AF92" t="s">
        <v>1563</v>
      </c>
      <c r="AG92" t="s">
        <v>1563</v>
      </c>
      <c r="AH92" t="s">
        <v>1563</v>
      </c>
    </row>
    <row r="93" spans="1:34" x14ac:dyDescent="0.25">
      <c r="A93" t="s">
        <v>1563</v>
      </c>
      <c r="B93" t="s">
        <v>1563</v>
      </c>
      <c r="C93" t="s">
        <v>339</v>
      </c>
      <c r="D93" t="s">
        <v>382</v>
      </c>
      <c r="E93" t="s">
        <v>1563</v>
      </c>
      <c r="F93" t="s">
        <v>536</v>
      </c>
      <c r="G93" t="s">
        <v>1563</v>
      </c>
      <c r="H93" s="736" t="s">
        <v>537</v>
      </c>
      <c r="I93" t="s">
        <v>309</v>
      </c>
      <c r="J93" t="s">
        <v>538</v>
      </c>
      <c r="K93">
        <v>1</v>
      </c>
      <c r="L93" s="736">
        <v>1</v>
      </c>
      <c r="M93" s="736" t="s">
        <v>33</v>
      </c>
      <c r="N93" s="736">
        <v>1</v>
      </c>
      <c r="O93" s="736">
        <v>1</v>
      </c>
      <c r="P93" s="736">
        <v>1</v>
      </c>
      <c r="Q93" s="736" t="s">
        <v>45</v>
      </c>
      <c r="R93" s="736">
        <v>1</v>
      </c>
      <c r="S93">
        <v>1</v>
      </c>
      <c r="T93">
        <v>1</v>
      </c>
      <c r="U93" t="s">
        <v>1563</v>
      </c>
      <c r="V93" t="s">
        <v>1563</v>
      </c>
      <c r="W93" t="s">
        <v>1563</v>
      </c>
      <c r="X93">
        <v>1</v>
      </c>
      <c r="Y93" t="s">
        <v>1563</v>
      </c>
      <c r="Z93">
        <v>1</v>
      </c>
      <c r="AA93">
        <v>1</v>
      </c>
      <c r="AB93" t="s">
        <v>1563</v>
      </c>
      <c r="AC93" t="s">
        <v>1563</v>
      </c>
      <c r="AD93" t="s">
        <v>1563</v>
      </c>
      <c r="AE93">
        <v>1</v>
      </c>
      <c r="AF93" t="s">
        <v>1563</v>
      </c>
      <c r="AG93" t="s">
        <v>1563</v>
      </c>
      <c r="AH93" t="s">
        <v>1563</v>
      </c>
    </row>
    <row r="94" spans="1:34" x14ac:dyDescent="0.25">
      <c r="A94" t="s">
        <v>539</v>
      </c>
      <c r="B94" t="s">
        <v>1563</v>
      </c>
      <c r="C94" t="s">
        <v>361</v>
      </c>
      <c r="D94" t="s">
        <v>382</v>
      </c>
      <c r="E94" t="s">
        <v>1563</v>
      </c>
      <c r="F94" t="s">
        <v>540</v>
      </c>
      <c r="G94" t="s">
        <v>1563</v>
      </c>
      <c r="H94" s="736" t="s">
        <v>541</v>
      </c>
      <c r="I94" t="s">
        <v>309</v>
      </c>
      <c r="J94" t="s">
        <v>542</v>
      </c>
      <c r="K94">
        <v>5</v>
      </c>
      <c r="L94" s="736">
        <v>1</v>
      </c>
      <c r="M94" s="736" t="s">
        <v>33</v>
      </c>
      <c r="N94" s="736">
        <v>1</v>
      </c>
      <c r="O94" s="736">
        <v>1</v>
      </c>
      <c r="P94" s="736">
        <v>1</v>
      </c>
      <c r="Q94" s="736" t="s">
        <v>1563</v>
      </c>
      <c r="R94" s="736">
        <v>1</v>
      </c>
      <c r="S94">
        <v>1</v>
      </c>
      <c r="T94">
        <v>1</v>
      </c>
      <c r="U94" t="s">
        <v>1563</v>
      </c>
      <c r="V94" t="s">
        <v>1563</v>
      </c>
      <c r="W94" t="s">
        <v>1563</v>
      </c>
      <c r="X94">
        <v>1</v>
      </c>
      <c r="Y94" t="s">
        <v>1563</v>
      </c>
      <c r="Z94">
        <v>0</v>
      </c>
      <c r="AA94" t="s">
        <v>1563</v>
      </c>
      <c r="AB94" t="s">
        <v>1563</v>
      </c>
      <c r="AC94" t="s">
        <v>1563</v>
      </c>
      <c r="AD94" t="s">
        <v>1563</v>
      </c>
      <c r="AE94">
        <v>0</v>
      </c>
      <c r="AF94" t="s">
        <v>1563</v>
      </c>
      <c r="AG94" t="s">
        <v>1563</v>
      </c>
      <c r="AH94" t="s">
        <v>543</v>
      </c>
    </row>
    <row r="95" spans="1:34" x14ac:dyDescent="0.25">
      <c r="A95" t="s">
        <v>539</v>
      </c>
      <c r="B95" t="s">
        <v>1563</v>
      </c>
      <c r="C95" t="s">
        <v>361</v>
      </c>
      <c r="D95" t="s">
        <v>382</v>
      </c>
      <c r="E95" t="s">
        <v>1563</v>
      </c>
      <c r="F95" t="s">
        <v>544</v>
      </c>
      <c r="G95" t="s">
        <v>1563</v>
      </c>
      <c r="H95" s="736" t="s">
        <v>545</v>
      </c>
      <c r="I95" t="s">
        <v>309</v>
      </c>
      <c r="J95" t="s">
        <v>546</v>
      </c>
      <c r="K95">
        <v>3</v>
      </c>
      <c r="L95" s="736">
        <v>1</v>
      </c>
      <c r="M95" s="736" t="s">
        <v>33</v>
      </c>
      <c r="N95" s="736">
        <v>1</v>
      </c>
      <c r="O95" s="736">
        <v>1</v>
      </c>
      <c r="P95" s="736">
        <v>1</v>
      </c>
      <c r="Q95" s="736" t="s">
        <v>1563</v>
      </c>
      <c r="R95" s="736">
        <v>1</v>
      </c>
      <c r="S95">
        <v>1</v>
      </c>
      <c r="T95">
        <v>1</v>
      </c>
      <c r="U95" t="s">
        <v>1563</v>
      </c>
      <c r="V95" t="s">
        <v>1563</v>
      </c>
      <c r="W95" t="s">
        <v>1563</v>
      </c>
      <c r="X95">
        <v>1</v>
      </c>
      <c r="Y95" t="s">
        <v>1563</v>
      </c>
      <c r="Z95">
        <v>0</v>
      </c>
      <c r="AA95" t="s">
        <v>1563</v>
      </c>
      <c r="AB95" t="s">
        <v>1563</v>
      </c>
      <c r="AC95" t="s">
        <v>1563</v>
      </c>
      <c r="AD95" t="s">
        <v>1563</v>
      </c>
      <c r="AE95">
        <v>0</v>
      </c>
      <c r="AF95" t="s">
        <v>1563</v>
      </c>
      <c r="AG95" t="s">
        <v>1563</v>
      </c>
      <c r="AH95" t="s">
        <v>547</v>
      </c>
    </row>
    <row r="96" spans="1:34" x14ac:dyDescent="0.25">
      <c r="A96" t="s">
        <v>548</v>
      </c>
      <c r="B96" t="s">
        <v>549</v>
      </c>
      <c r="C96" t="s">
        <v>305</v>
      </c>
      <c r="D96" t="s">
        <v>382</v>
      </c>
      <c r="E96" t="s">
        <v>1563</v>
      </c>
      <c r="F96" t="s">
        <v>550</v>
      </c>
      <c r="G96" t="s">
        <v>254</v>
      </c>
      <c r="H96" s="736" t="s">
        <v>551</v>
      </c>
      <c r="I96" t="s">
        <v>330</v>
      </c>
      <c r="J96" t="s">
        <v>326</v>
      </c>
      <c r="K96">
        <v>1</v>
      </c>
      <c r="L96" s="736">
        <v>15</v>
      </c>
      <c r="M96" s="736" t="s">
        <v>33</v>
      </c>
      <c r="N96" s="736">
        <v>1</v>
      </c>
      <c r="O96" s="736">
        <v>15</v>
      </c>
      <c r="P96" s="736">
        <v>1</v>
      </c>
      <c r="Q96" s="736" t="s">
        <v>45</v>
      </c>
      <c r="R96" s="736">
        <v>15</v>
      </c>
      <c r="S96">
        <v>0</v>
      </c>
      <c r="T96" t="s">
        <v>1563</v>
      </c>
      <c r="U96" t="s">
        <v>1563</v>
      </c>
      <c r="V96" t="s">
        <v>1563</v>
      </c>
      <c r="W96" t="s">
        <v>1563</v>
      </c>
      <c r="X96">
        <v>0</v>
      </c>
      <c r="Y96" t="s">
        <v>1563</v>
      </c>
      <c r="Z96">
        <v>0</v>
      </c>
      <c r="AA96" t="s">
        <v>1563</v>
      </c>
      <c r="AB96" t="s">
        <v>1563</v>
      </c>
      <c r="AC96" t="s">
        <v>1563</v>
      </c>
      <c r="AD96" t="s">
        <v>1563</v>
      </c>
      <c r="AE96">
        <v>0</v>
      </c>
      <c r="AF96" t="s">
        <v>1563</v>
      </c>
      <c r="AG96" t="s">
        <v>1425</v>
      </c>
      <c r="AH96" t="s">
        <v>1563</v>
      </c>
    </row>
    <row r="97" spans="1:34" x14ac:dyDescent="0.25">
      <c r="A97" t="s">
        <v>548</v>
      </c>
      <c r="B97" t="s">
        <v>549</v>
      </c>
      <c r="C97" t="s">
        <v>305</v>
      </c>
      <c r="D97" t="s">
        <v>382</v>
      </c>
      <c r="E97" t="s">
        <v>1563</v>
      </c>
      <c r="F97" t="s">
        <v>550</v>
      </c>
      <c r="G97" t="s">
        <v>254</v>
      </c>
      <c r="H97" s="736" t="s">
        <v>552</v>
      </c>
      <c r="I97" t="s">
        <v>330</v>
      </c>
      <c r="J97" t="s">
        <v>326</v>
      </c>
      <c r="K97">
        <v>1</v>
      </c>
      <c r="L97" s="736">
        <v>1</v>
      </c>
      <c r="M97" s="736" t="s">
        <v>33</v>
      </c>
      <c r="N97" s="736">
        <v>1</v>
      </c>
      <c r="O97" s="736">
        <v>1</v>
      </c>
      <c r="P97" s="736">
        <v>1</v>
      </c>
      <c r="Q97" s="736" t="s">
        <v>45</v>
      </c>
      <c r="R97" s="736">
        <v>1</v>
      </c>
      <c r="S97">
        <v>1</v>
      </c>
      <c r="T97">
        <v>1</v>
      </c>
      <c r="U97" t="s">
        <v>1563</v>
      </c>
      <c r="V97" t="s">
        <v>1563</v>
      </c>
      <c r="W97" t="s">
        <v>1563</v>
      </c>
      <c r="X97">
        <v>1</v>
      </c>
      <c r="Y97" t="s">
        <v>1563</v>
      </c>
      <c r="Z97">
        <v>1</v>
      </c>
      <c r="AA97">
        <v>1</v>
      </c>
      <c r="AB97" t="s">
        <v>1563</v>
      </c>
      <c r="AC97" t="s">
        <v>1563</v>
      </c>
      <c r="AD97" t="s">
        <v>1563</v>
      </c>
      <c r="AE97">
        <v>1</v>
      </c>
      <c r="AF97" t="s">
        <v>1563</v>
      </c>
      <c r="AG97" t="s">
        <v>1425</v>
      </c>
      <c r="AH97" t="s">
        <v>332</v>
      </c>
    </row>
    <row r="98" spans="1:34" x14ac:dyDescent="0.25">
      <c r="A98" t="s">
        <v>548</v>
      </c>
      <c r="B98" t="s">
        <v>549</v>
      </c>
      <c r="C98" t="s">
        <v>305</v>
      </c>
      <c r="D98" t="s">
        <v>382</v>
      </c>
      <c r="E98" t="s">
        <v>1563</v>
      </c>
      <c r="F98" t="s">
        <v>553</v>
      </c>
      <c r="G98" t="s">
        <v>254</v>
      </c>
      <c r="H98" s="736" t="s">
        <v>554</v>
      </c>
      <c r="I98" t="s">
        <v>309</v>
      </c>
      <c r="J98" t="s">
        <v>326</v>
      </c>
      <c r="K98">
        <v>1</v>
      </c>
      <c r="L98" s="736">
        <v>1</v>
      </c>
      <c r="M98" s="736" t="s">
        <v>33</v>
      </c>
      <c r="N98" s="736">
        <v>1</v>
      </c>
      <c r="O98" s="736">
        <v>1</v>
      </c>
      <c r="P98" s="736">
        <v>1</v>
      </c>
      <c r="Q98" s="736" t="s">
        <v>45</v>
      </c>
      <c r="R98" s="736">
        <v>1</v>
      </c>
      <c r="S98">
        <v>1</v>
      </c>
      <c r="T98">
        <v>1</v>
      </c>
      <c r="U98" t="s">
        <v>1563</v>
      </c>
      <c r="V98" t="s">
        <v>1563</v>
      </c>
      <c r="W98" t="s">
        <v>1563</v>
      </c>
      <c r="X98">
        <v>1</v>
      </c>
      <c r="Y98" t="s">
        <v>1563</v>
      </c>
      <c r="Z98">
        <v>1</v>
      </c>
      <c r="AA98">
        <v>1</v>
      </c>
      <c r="AB98" t="s">
        <v>1563</v>
      </c>
      <c r="AC98" t="s">
        <v>1563</v>
      </c>
      <c r="AD98" t="s">
        <v>1563</v>
      </c>
      <c r="AE98">
        <v>1</v>
      </c>
      <c r="AF98" t="s">
        <v>1521</v>
      </c>
      <c r="AG98" t="s">
        <v>1425</v>
      </c>
      <c r="AH98" t="s">
        <v>1563</v>
      </c>
    </row>
    <row r="99" spans="1:34" x14ac:dyDescent="0.25">
      <c r="A99" t="s">
        <v>555</v>
      </c>
      <c r="B99" t="s">
        <v>556</v>
      </c>
      <c r="C99" t="s">
        <v>305</v>
      </c>
      <c r="D99" t="s">
        <v>382</v>
      </c>
      <c r="E99" t="s">
        <v>1563</v>
      </c>
      <c r="F99" t="s">
        <v>557</v>
      </c>
      <c r="G99" t="s">
        <v>254</v>
      </c>
      <c r="H99" s="736" t="s">
        <v>558</v>
      </c>
      <c r="I99" t="s">
        <v>309</v>
      </c>
      <c r="J99" t="s">
        <v>347</v>
      </c>
      <c r="K99">
        <v>1</v>
      </c>
      <c r="L99" s="736">
        <v>1</v>
      </c>
      <c r="M99" s="736" t="s">
        <v>33</v>
      </c>
      <c r="N99" s="736">
        <v>1</v>
      </c>
      <c r="O99" s="736">
        <v>1</v>
      </c>
      <c r="P99" s="736">
        <v>1</v>
      </c>
      <c r="Q99" s="736" t="s">
        <v>45</v>
      </c>
      <c r="R99" s="736">
        <v>1</v>
      </c>
      <c r="S99">
        <v>1</v>
      </c>
      <c r="T99">
        <v>1</v>
      </c>
      <c r="U99" t="s">
        <v>1563</v>
      </c>
      <c r="V99" t="s">
        <v>1563</v>
      </c>
      <c r="W99" t="s">
        <v>1563</v>
      </c>
      <c r="X99">
        <v>1</v>
      </c>
      <c r="Y99" t="s">
        <v>1563</v>
      </c>
      <c r="Z99">
        <v>1</v>
      </c>
      <c r="AA99" t="s">
        <v>1563</v>
      </c>
      <c r="AB99" t="s">
        <v>1563</v>
      </c>
      <c r="AC99">
        <v>1</v>
      </c>
      <c r="AD99" t="s">
        <v>1563</v>
      </c>
      <c r="AE99">
        <v>0</v>
      </c>
      <c r="AF99" t="s">
        <v>348</v>
      </c>
      <c r="AG99" t="s">
        <v>1423</v>
      </c>
      <c r="AH99" t="s">
        <v>1563</v>
      </c>
    </row>
    <row r="100" spans="1:34" x14ac:dyDescent="0.25">
      <c r="A100" t="s">
        <v>559</v>
      </c>
      <c r="B100" t="s">
        <v>1580</v>
      </c>
      <c r="C100" t="s">
        <v>305</v>
      </c>
      <c r="D100" t="s">
        <v>382</v>
      </c>
      <c r="E100" t="s">
        <v>1563</v>
      </c>
      <c r="F100" t="s">
        <v>561</v>
      </c>
      <c r="G100" t="s">
        <v>275</v>
      </c>
      <c r="H100" s="736" t="s">
        <v>1581</v>
      </c>
      <c r="I100" t="s">
        <v>309</v>
      </c>
      <c r="J100" t="s">
        <v>326</v>
      </c>
      <c r="K100">
        <v>1</v>
      </c>
      <c r="L100" s="736">
        <v>3</v>
      </c>
      <c r="M100" s="736" t="s">
        <v>33</v>
      </c>
      <c r="N100" s="736">
        <v>1</v>
      </c>
      <c r="O100" s="736">
        <v>3</v>
      </c>
      <c r="P100" s="736">
        <v>1</v>
      </c>
      <c r="Q100" s="736" t="s">
        <v>45</v>
      </c>
      <c r="R100" s="736">
        <v>3</v>
      </c>
      <c r="S100">
        <v>3</v>
      </c>
      <c r="T100">
        <v>3</v>
      </c>
      <c r="U100" t="s">
        <v>1563</v>
      </c>
      <c r="V100" t="s">
        <v>1563</v>
      </c>
      <c r="W100" t="s">
        <v>1563</v>
      </c>
      <c r="X100">
        <v>1</v>
      </c>
      <c r="Y100" t="s">
        <v>1563</v>
      </c>
      <c r="Z100">
        <v>3</v>
      </c>
      <c r="AA100">
        <v>3</v>
      </c>
      <c r="AB100" t="s">
        <v>1563</v>
      </c>
      <c r="AC100" t="s">
        <v>1563</v>
      </c>
      <c r="AD100" t="s">
        <v>1563</v>
      </c>
      <c r="AE100">
        <v>1</v>
      </c>
      <c r="AF100" t="s">
        <v>1563</v>
      </c>
      <c r="AG100" t="s">
        <v>1423</v>
      </c>
      <c r="AH100" t="s">
        <v>1563</v>
      </c>
    </row>
    <row r="101" spans="1:34" x14ac:dyDescent="0.25">
      <c r="A101" t="s">
        <v>559</v>
      </c>
      <c r="B101" t="s">
        <v>1580</v>
      </c>
      <c r="C101" t="s">
        <v>305</v>
      </c>
      <c r="D101" t="s">
        <v>382</v>
      </c>
      <c r="E101" t="s">
        <v>1563</v>
      </c>
      <c r="F101" t="s">
        <v>562</v>
      </c>
      <c r="G101" t="s">
        <v>275</v>
      </c>
      <c r="H101" s="736" t="s">
        <v>563</v>
      </c>
      <c r="I101" t="s">
        <v>309</v>
      </c>
      <c r="J101" t="s">
        <v>326</v>
      </c>
      <c r="K101">
        <v>1</v>
      </c>
      <c r="L101" s="736">
        <v>1</v>
      </c>
      <c r="M101" s="736" t="s">
        <v>33</v>
      </c>
      <c r="N101" s="736">
        <v>1</v>
      </c>
      <c r="O101" s="736">
        <v>1</v>
      </c>
      <c r="P101" s="736">
        <v>1</v>
      </c>
      <c r="Q101" s="736" t="s">
        <v>45</v>
      </c>
      <c r="R101" s="736">
        <v>1</v>
      </c>
      <c r="S101">
        <v>1</v>
      </c>
      <c r="T101">
        <v>1</v>
      </c>
      <c r="U101" t="s">
        <v>1563</v>
      </c>
      <c r="V101" t="s">
        <v>1563</v>
      </c>
      <c r="W101" t="s">
        <v>1563</v>
      </c>
      <c r="X101">
        <v>1</v>
      </c>
      <c r="Y101" t="s">
        <v>1563</v>
      </c>
      <c r="Z101">
        <v>1</v>
      </c>
      <c r="AA101">
        <v>1</v>
      </c>
      <c r="AB101" t="s">
        <v>1563</v>
      </c>
      <c r="AC101" t="s">
        <v>1563</v>
      </c>
      <c r="AD101" t="s">
        <v>1563</v>
      </c>
      <c r="AE101">
        <v>1</v>
      </c>
      <c r="AF101" t="s">
        <v>1563</v>
      </c>
      <c r="AG101" t="s">
        <v>1423</v>
      </c>
      <c r="AH101" t="s">
        <v>1563</v>
      </c>
    </row>
    <row r="102" spans="1:34" x14ac:dyDescent="0.25">
      <c r="A102" t="s">
        <v>559</v>
      </c>
      <c r="B102" t="s">
        <v>1580</v>
      </c>
      <c r="C102" t="s">
        <v>354</v>
      </c>
      <c r="D102" t="s">
        <v>382</v>
      </c>
      <c r="E102" t="s">
        <v>1563</v>
      </c>
      <c r="F102" t="s">
        <v>564</v>
      </c>
      <c r="G102" t="s">
        <v>275</v>
      </c>
      <c r="H102" s="736" t="s">
        <v>1582</v>
      </c>
      <c r="I102" t="s">
        <v>309</v>
      </c>
      <c r="J102" t="s">
        <v>326</v>
      </c>
      <c r="K102">
        <v>1</v>
      </c>
      <c r="L102" s="736">
        <v>2</v>
      </c>
      <c r="M102" s="736" t="s">
        <v>33</v>
      </c>
      <c r="N102" s="736">
        <v>1</v>
      </c>
      <c r="O102" s="736">
        <v>2</v>
      </c>
      <c r="P102" s="736">
        <v>1</v>
      </c>
      <c r="Q102" s="736" t="s">
        <v>45</v>
      </c>
      <c r="R102" s="736">
        <v>2</v>
      </c>
      <c r="S102">
        <v>2</v>
      </c>
      <c r="T102">
        <v>2</v>
      </c>
      <c r="U102" t="s">
        <v>1563</v>
      </c>
      <c r="V102" t="s">
        <v>1563</v>
      </c>
      <c r="W102" t="s">
        <v>1563</v>
      </c>
      <c r="X102">
        <v>1</v>
      </c>
      <c r="Y102" t="s">
        <v>1563</v>
      </c>
      <c r="Z102">
        <v>2</v>
      </c>
      <c r="AA102">
        <v>2</v>
      </c>
      <c r="AB102" t="s">
        <v>1563</v>
      </c>
      <c r="AC102" t="s">
        <v>1563</v>
      </c>
      <c r="AD102" t="s">
        <v>1563</v>
      </c>
      <c r="AE102">
        <v>1</v>
      </c>
      <c r="AF102" t="s">
        <v>1563</v>
      </c>
      <c r="AG102" t="s">
        <v>1423</v>
      </c>
      <c r="AH102" t="s">
        <v>1563</v>
      </c>
    </row>
    <row r="103" spans="1:34" x14ac:dyDescent="0.25">
      <c r="A103" t="s">
        <v>565</v>
      </c>
      <c r="B103" t="s">
        <v>1580</v>
      </c>
      <c r="C103" t="s">
        <v>354</v>
      </c>
      <c r="D103" t="s">
        <v>382</v>
      </c>
      <c r="E103" t="s">
        <v>1563</v>
      </c>
      <c r="F103" t="s">
        <v>564</v>
      </c>
      <c r="G103" t="s">
        <v>1563</v>
      </c>
      <c r="H103" s="736" t="s">
        <v>566</v>
      </c>
      <c r="I103" t="s">
        <v>309</v>
      </c>
      <c r="J103" t="s">
        <v>567</v>
      </c>
      <c r="K103">
        <v>1</v>
      </c>
      <c r="L103" s="736">
        <v>1</v>
      </c>
      <c r="M103" s="736" t="s">
        <v>33</v>
      </c>
      <c r="N103" s="736">
        <v>1</v>
      </c>
      <c r="O103" s="736">
        <v>1</v>
      </c>
      <c r="P103" s="736">
        <v>1</v>
      </c>
      <c r="Q103" s="736" t="s">
        <v>45</v>
      </c>
      <c r="R103" s="736">
        <v>1</v>
      </c>
      <c r="S103">
        <v>1</v>
      </c>
      <c r="T103">
        <v>1</v>
      </c>
      <c r="U103" t="s">
        <v>1563</v>
      </c>
      <c r="V103" t="s">
        <v>1563</v>
      </c>
      <c r="W103" t="s">
        <v>1563</v>
      </c>
      <c r="X103">
        <v>1</v>
      </c>
      <c r="Y103" t="s">
        <v>1563</v>
      </c>
      <c r="Z103">
        <v>0</v>
      </c>
      <c r="AA103" t="s">
        <v>1563</v>
      </c>
      <c r="AB103" t="s">
        <v>1563</v>
      </c>
      <c r="AC103" t="s">
        <v>1563</v>
      </c>
      <c r="AD103" t="s">
        <v>1563</v>
      </c>
      <c r="AE103">
        <v>0</v>
      </c>
      <c r="AF103" t="s">
        <v>1563</v>
      </c>
      <c r="AG103" t="s">
        <v>1423</v>
      </c>
      <c r="AH103" t="s">
        <v>1563</v>
      </c>
    </row>
    <row r="104" spans="1:34" x14ac:dyDescent="0.25">
      <c r="A104" t="s">
        <v>568</v>
      </c>
      <c r="B104" t="s">
        <v>569</v>
      </c>
      <c r="C104" t="s">
        <v>354</v>
      </c>
      <c r="D104" t="s">
        <v>382</v>
      </c>
      <c r="E104" t="s">
        <v>1563</v>
      </c>
      <c r="F104" t="s">
        <v>570</v>
      </c>
      <c r="G104" t="s">
        <v>1563</v>
      </c>
      <c r="H104" s="736" t="s">
        <v>571</v>
      </c>
      <c r="I104" t="s">
        <v>309</v>
      </c>
      <c r="J104" t="s">
        <v>326</v>
      </c>
      <c r="K104">
        <v>1</v>
      </c>
      <c r="L104" s="736">
        <v>1</v>
      </c>
      <c r="M104" s="736" t="s">
        <v>33</v>
      </c>
      <c r="N104" s="736">
        <v>1</v>
      </c>
      <c r="O104" s="736">
        <v>1</v>
      </c>
      <c r="P104" s="736">
        <v>1</v>
      </c>
      <c r="Q104" s="736" t="s">
        <v>45</v>
      </c>
      <c r="R104" s="736">
        <v>1</v>
      </c>
      <c r="S104">
        <v>1</v>
      </c>
      <c r="T104">
        <v>1</v>
      </c>
      <c r="U104" t="s">
        <v>1563</v>
      </c>
      <c r="V104" t="s">
        <v>1563</v>
      </c>
      <c r="W104" t="s">
        <v>1563</v>
      </c>
      <c r="X104">
        <v>1</v>
      </c>
      <c r="Y104" t="s">
        <v>1563</v>
      </c>
      <c r="Z104">
        <v>0</v>
      </c>
      <c r="AA104" t="s">
        <v>1563</v>
      </c>
      <c r="AB104" t="s">
        <v>1563</v>
      </c>
      <c r="AC104" t="s">
        <v>1563</v>
      </c>
      <c r="AD104" t="s">
        <v>1563</v>
      </c>
      <c r="AE104">
        <v>0</v>
      </c>
      <c r="AF104" t="s">
        <v>1563</v>
      </c>
      <c r="AG104" t="s">
        <v>1423</v>
      </c>
      <c r="AH104" t="s">
        <v>1563</v>
      </c>
    </row>
    <row r="105" spans="1:34" x14ac:dyDescent="0.25">
      <c r="A105" t="s">
        <v>568</v>
      </c>
      <c r="B105" t="s">
        <v>569</v>
      </c>
      <c r="C105" t="s">
        <v>354</v>
      </c>
      <c r="D105" t="s">
        <v>382</v>
      </c>
      <c r="E105" t="s">
        <v>1563</v>
      </c>
      <c r="F105" t="s">
        <v>572</v>
      </c>
      <c r="G105" t="s">
        <v>1563</v>
      </c>
      <c r="H105" s="736" t="s">
        <v>573</v>
      </c>
      <c r="I105" t="s">
        <v>309</v>
      </c>
      <c r="J105" t="s">
        <v>326</v>
      </c>
      <c r="K105">
        <v>1</v>
      </c>
      <c r="L105" s="736">
        <v>1</v>
      </c>
      <c r="M105" s="736" t="s">
        <v>33</v>
      </c>
      <c r="N105" s="736">
        <v>1</v>
      </c>
      <c r="O105" s="736">
        <v>1</v>
      </c>
      <c r="P105" s="736">
        <v>1</v>
      </c>
      <c r="Q105" s="736" t="s">
        <v>45</v>
      </c>
      <c r="R105" s="736">
        <v>1</v>
      </c>
      <c r="S105">
        <v>1</v>
      </c>
      <c r="T105">
        <v>1</v>
      </c>
      <c r="U105" t="s">
        <v>1563</v>
      </c>
      <c r="V105" t="s">
        <v>1563</v>
      </c>
      <c r="W105" t="s">
        <v>1563</v>
      </c>
      <c r="X105">
        <v>1</v>
      </c>
      <c r="Y105" t="s">
        <v>1563</v>
      </c>
      <c r="Z105">
        <v>0</v>
      </c>
      <c r="AA105" t="s">
        <v>1563</v>
      </c>
      <c r="AB105" t="s">
        <v>1563</v>
      </c>
      <c r="AC105" t="s">
        <v>1563</v>
      </c>
      <c r="AD105" t="s">
        <v>1563</v>
      </c>
      <c r="AE105">
        <v>0</v>
      </c>
      <c r="AF105" t="s">
        <v>1563</v>
      </c>
      <c r="AG105" t="s">
        <v>1423</v>
      </c>
      <c r="AH105" t="s">
        <v>1563</v>
      </c>
    </row>
    <row r="106" spans="1:34" x14ac:dyDescent="0.25">
      <c r="A106" t="s">
        <v>568</v>
      </c>
      <c r="B106" t="s">
        <v>569</v>
      </c>
      <c r="C106" t="s">
        <v>354</v>
      </c>
      <c r="D106" t="s">
        <v>382</v>
      </c>
      <c r="E106" t="s">
        <v>1563</v>
      </c>
      <c r="F106" t="s">
        <v>574</v>
      </c>
      <c r="G106" t="s">
        <v>1563</v>
      </c>
      <c r="H106" s="736" t="s">
        <v>575</v>
      </c>
      <c r="I106" t="s">
        <v>309</v>
      </c>
      <c r="J106" t="s">
        <v>326</v>
      </c>
      <c r="K106">
        <v>1</v>
      </c>
      <c r="L106" s="736">
        <v>1</v>
      </c>
      <c r="M106" s="736" t="s">
        <v>33</v>
      </c>
      <c r="N106" s="736">
        <v>1</v>
      </c>
      <c r="O106" s="736">
        <v>1</v>
      </c>
      <c r="P106" s="736">
        <v>1</v>
      </c>
      <c r="Q106" s="736" t="s">
        <v>45</v>
      </c>
      <c r="R106" s="736">
        <v>1</v>
      </c>
      <c r="S106">
        <v>1</v>
      </c>
      <c r="T106">
        <v>1</v>
      </c>
      <c r="U106" t="s">
        <v>1563</v>
      </c>
      <c r="V106" t="s">
        <v>1563</v>
      </c>
      <c r="W106" t="s">
        <v>1563</v>
      </c>
      <c r="X106">
        <v>1</v>
      </c>
      <c r="Y106" t="s">
        <v>1563</v>
      </c>
      <c r="Z106">
        <v>0</v>
      </c>
      <c r="AA106" t="s">
        <v>1563</v>
      </c>
      <c r="AB106" t="s">
        <v>1563</v>
      </c>
      <c r="AC106" t="s">
        <v>1563</v>
      </c>
      <c r="AD106" t="s">
        <v>1563</v>
      </c>
      <c r="AE106">
        <v>0</v>
      </c>
      <c r="AF106" t="s">
        <v>1563</v>
      </c>
      <c r="AG106" t="s">
        <v>1423</v>
      </c>
      <c r="AH106" t="s">
        <v>1563</v>
      </c>
    </row>
    <row r="107" spans="1:34" x14ac:dyDescent="0.25">
      <c r="A107" t="s">
        <v>568</v>
      </c>
      <c r="B107" t="s">
        <v>569</v>
      </c>
      <c r="C107" t="s">
        <v>354</v>
      </c>
      <c r="D107" t="s">
        <v>382</v>
      </c>
      <c r="E107" t="s">
        <v>1563</v>
      </c>
      <c r="F107" t="s">
        <v>576</v>
      </c>
      <c r="G107" t="s">
        <v>1563</v>
      </c>
      <c r="H107" s="736" t="s">
        <v>577</v>
      </c>
      <c r="I107" t="s">
        <v>309</v>
      </c>
      <c r="J107" t="s">
        <v>326</v>
      </c>
      <c r="K107">
        <v>1</v>
      </c>
      <c r="L107" s="736">
        <v>1</v>
      </c>
      <c r="M107" s="736" t="s">
        <v>33</v>
      </c>
      <c r="N107" s="736">
        <v>1</v>
      </c>
      <c r="O107" s="736">
        <v>1</v>
      </c>
      <c r="P107" s="736">
        <v>1</v>
      </c>
      <c r="Q107" s="736" t="s">
        <v>45</v>
      </c>
      <c r="R107" s="736">
        <v>1</v>
      </c>
      <c r="S107">
        <v>1</v>
      </c>
      <c r="T107">
        <v>1</v>
      </c>
      <c r="U107" t="s">
        <v>1563</v>
      </c>
      <c r="V107" t="s">
        <v>1563</v>
      </c>
      <c r="W107" t="s">
        <v>1563</v>
      </c>
      <c r="X107">
        <v>1</v>
      </c>
      <c r="Y107" t="s">
        <v>1563</v>
      </c>
      <c r="Z107">
        <v>1</v>
      </c>
      <c r="AA107" t="s">
        <v>1563</v>
      </c>
      <c r="AB107" t="s">
        <v>1563</v>
      </c>
      <c r="AC107" t="s">
        <v>1563</v>
      </c>
      <c r="AD107">
        <v>1</v>
      </c>
      <c r="AE107">
        <v>0</v>
      </c>
      <c r="AF107" t="s">
        <v>1525</v>
      </c>
      <c r="AG107" t="s">
        <v>1423</v>
      </c>
      <c r="AH107" t="s">
        <v>1563</v>
      </c>
    </row>
    <row r="108" spans="1:34" x14ac:dyDescent="0.25">
      <c r="A108" t="s">
        <v>578</v>
      </c>
      <c r="B108" t="s">
        <v>579</v>
      </c>
      <c r="C108" t="s">
        <v>305</v>
      </c>
      <c r="D108" t="s">
        <v>382</v>
      </c>
      <c r="E108" t="s">
        <v>1563</v>
      </c>
      <c r="F108" t="s">
        <v>580</v>
      </c>
      <c r="G108" t="s">
        <v>1563</v>
      </c>
      <c r="H108" s="736" t="s">
        <v>581</v>
      </c>
      <c r="I108" t="s">
        <v>309</v>
      </c>
      <c r="J108" t="s">
        <v>326</v>
      </c>
      <c r="K108">
        <v>1</v>
      </c>
      <c r="L108" s="736">
        <v>2</v>
      </c>
      <c r="M108" s="736" t="s">
        <v>33</v>
      </c>
      <c r="N108" s="736">
        <v>1</v>
      </c>
      <c r="O108" s="736">
        <v>2</v>
      </c>
      <c r="P108" s="736">
        <v>1</v>
      </c>
      <c r="Q108" s="736" t="s">
        <v>45</v>
      </c>
      <c r="R108" s="736">
        <v>2</v>
      </c>
      <c r="S108">
        <v>2</v>
      </c>
      <c r="T108">
        <v>2</v>
      </c>
      <c r="U108" t="s">
        <v>1563</v>
      </c>
      <c r="V108" t="s">
        <v>1563</v>
      </c>
      <c r="W108" t="s">
        <v>1563</v>
      </c>
      <c r="X108">
        <v>1</v>
      </c>
      <c r="Y108" t="s">
        <v>1563</v>
      </c>
      <c r="Z108">
        <v>1</v>
      </c>
      <c r="AA108" t="s">
        <v>1563</v>
      </c>
      <c r="AB108" t="s">
        <v>1563</v>
      </c>
      <c r="AC108" t="s">
        <v>1563</v>
      </c>
      <c r="AD108">
        <v>1</v>
      </c>
      <c r="AE108">
        <v>0</v>
      </c>
      <c r="AF108" t="s">
        <v>1519</v>
      </c>
      <c r="AG108" t="s">
        <v>1423</v>
      </c>
      <c r="AH108" t="s">
        <v>1563</v>
      </c>
    </row>
    <row r="109" spans="1:34" x14ac:dyDescent="0.25">
      <c r="A109" t="s">
        <v>582</v>
      </c>
      <c r="B109" t="s">
        <v>579</v>
      </c>
      <c r="C109" t="s">
        <v>361</v>
      </c>
      <c r="D109" t="s">
        <v>382</v>
      </c>
      <c r="E109" t="s">
        <v>1563</v>
      </c>
      <c r="F109" t="s">
        <v>583</v>
      </c>
      <c r="G109" t="s">
        <v>1563</v>
      </c>
      <c r="H109" s="736" t="s">
        <v>584</v>
      </c>
      <c r="I109" t="s">
        <v>309</v>
      </c>
      <c r="J109" t="s">
        <v>326</v>
      </c>
      <c r="K109">
        <v>1</v>
      </c>
      <c r="L109" s="736">
        <v>1</v>
      </c>
      <c r="M109" s="736" t="s">
        <v>33</v>
      </c>
      <c r="N109" s="736">
        <v>1</v>
      </c>
      <c r="O109" s="736">
        <v>1</v>
      </c>
      <c r="P109" s="736">
        <v>1</v>
      </c>
      <c r="Q109" s="736" t="s">
        <v>46</v>
      </c>
      <c r="R109" s="736">
        <v>1</v>
      </c>
      <c r="S109">
        <v>1</v>
      </c>
      <c r="T109">
        <v>1</v>
      </c>
      <c r="U109" t="s">
        <v>1563</v>
      </c>
      <c r="V109" t="s">
        <v>1563</v>
      </c>
      <c r="W109" t="s">
        <v>1563</v>
      </c>
      <c r="X109">
        <v>1</v>
      </c>
      <c r="Y109" t="s">
        <v>1563</v>
      </c>
      <c r="Z109">
        <v>1</v>
      </c>
      <c r="AA109">
        <v>1</v>
      </c>
      <c r="AB109" t="s">
        <v>1563</v>
      </c>
      <c r="AC109" t="s">
        <v>1563</v>
      </c>
      <c r="AD109" t="s">
        <v>1563</v>
      </c>
      <c r="AE109">
        <v>1</v>
      </c>
      <c r="AF109" t="s">
        <v>1521</v>
      </c>
      <c r="AG109" t="s">
        <v>1423</v>
      </c>
      <c r="AH109" t="s">
        <v>1563</v>
      </c>
    </row>
    <row r="110" spans="1:34" x14ac:dyDescent="0.25">
      <c r="A110" t="s">
        <v>585</v>
      </c>
      <c r="B110" t="s">
        <v>579</v>
      </c>
      <c r="C110" t="s">
        <v>361</v>
      </c>
      <c r="D110" t="s">
        <v>382</v>
      </c>
      <c r="E110" t="s">
        <v>1563</v>
      </c>
      <c r="F110" t="s">
        <v>586</v>
      </c>
      <c r="G110" t="s">
        <v>1563</v>
      </c>
      <c r="H110" s="736" t="s">
        <v>587</v>
      </c>
      <c r="I110" t="s">
        <v>309</v>
      </c>
      <c r="J110" t="s">
        <v>366</v>
      </c>
      <c r="K110">
        <v>1</v>
      </c>
      <c r="L110" s="736">
        <v>1</v>
      </c>
      <c r="M110" s="736" t="s">
        <v>33</v>
      </c>
      <c r="N110" s="736">
        <v>1</v>
      </c>
      <c r="O110" s="736">
        <v>1</v>
      </c>
      <c r="P110" s="736">
        <v>1</v>
      </c>
      <c r="Q110" s="736" t="s">
        <v>45</v>
      </c>
      <c r="R110" s="736">
        <v>1</v>
      </c>
      <c r="S110">
        <v>1</v>
      </c>
      <c r="T110">
        <v>1</v>
      </c>
      <c r="U110" t="s">
        <v>1563</v>
      </c>
      <c r="V110" t="s">
        <v>1563</v>
      </c>
      <c r="W110" t="s">
        <v>1563</v>
      </c>
      <c r="X110">
        <v>1</v>
      </c>
      <c r="Y110" t="s">
        <v>1563</v>
      </c>
      <c r="Z110">
        <v>1</v>
      </c>
      <c r="AA110">
        <v>1</v>
      </c>
      <c r="AB110" t="s">
        <v>1563</v>
      </c>
      <c r="AC110" t="s">
        <v>1563</v>
      </c>
      <c r="AD110" t="s">
        <v>1563</v>
      </c>
      <c r="AE110">
        <v>1</v>
      </c>
      <c r="AF110" t="s">
        <v>1521</v>
      </c>
      <c r="AG110" t="s">
        <v>1423</v>
      </c>
      <c r="AH110" t="s">
        <v>1563</v>
      </c>
    </row>
    <row r="111" spans="1:34" x14ac:dyDescent="0.25">
      <c r="A111" t="s">
        <v>585</v>
      </c>
      <c r="B111" t="s">
        <v>579</v>
      </c>
      <c r="C111" t="s">
        <v>361</v>
      </c>
      <c r="D111" t="s">
        <v>382</v>
      </c>
      <c r="E111" t="s">
        <v>1563</v>
      </c>
      <c r="F111" t="s">
        <v>589</v>
      </c>
      <c r="G111" t="s">
        <v>1563</v>
      </c>
      <c r="H111" s="736" t="s">
        <v>590</v>
      </c>
      <c r="I111" t="s">
        <v>309</v>
      </c>
      <c r="J111" t="s">
        <v>371</v>
      </c>
      <c r="K111">
        <v>1</v>
      </c>
      <c r="L111" s="736">
        <v>1</v>
      </c>
      <c r="M111" s="736" t="s">
        <v>33</v>
      </c>
      <c r="N111" s="736">
        <v>1</v>
      </c>
      <c r="O111" s="736">
        <v>1</v>
      </c>
      <c r="P111" s="736">
        <v>1</v>
      </c>
      <c r="Q111" s="736" t="s">
        <v>45</v>
      </c>
      <c r="R111" s="736">
        <v>1</v>
      </c>
      <c r="S111">
        <v>1</v>
      </c>
      <c r="T111">
        <v>1</v>
      </c>
      <c r="U111" t="s">
        <v>1563</v>
      </c>
      <c r="V111" t="s">
        <v>1563</v>
      </c>
      <c r="W111" t="s">
        <v>1563</v>
      </c>
      <c r="X111">
        <v>1</v>
      </c>
      <c r="Y111" t="s">
        <v>1563</v>
      </c>
      <c r="Z111">
        <v>1</v>
      </c>
      <c r="AA111">
        <v>1</v>
      </c>
      <c r="AB111" t="s">
        <v>1563</v>
      </c>
      <c r="AC111" t="s">
        <v>1563</v>
      </c>
      <c r="AD111" t="s">
        <v>1563</v>
      </c>
      <c r="AE111">
        <v>1</v>
      </c>
      <c r="AF111" t="s">
        <v>1521</v>
      </c>
      <c r="AG111" t="s">
        <v>1423</v>
      </c>
      <c r="AH111" t="s">
        <v>1563</v>
      </c>
    </row>
    <row r="112" spans="1:34" x14ac:dyDescent="0.25">
      <c r="A112" t="s">
        <v>591</v>
      </c>
      <c r="B112" t="s">
        <v>579</v>
      </c>
      <c r="C112" t="s">
        <v>339</v>
      </c>
      <c r="D112" t="s">
        <v>382</v>
      </c>
      <c r="E112" t="s">
        <v>1563</v>
      </c>
      <c r="F112" t="s">
        <v>592</v>
      </c>
      <c r="G112" t="s">
        <v>1563</v>
      </c>
      <c r="H112" s="736" t="s">
        <v>593</v>
      </c>
      <c r="I112" t="s">
        <v>309</v>
      </c>
      <c r="J112" t="s">
        <v>326</v>
      </c>
      <c r="K112">
        <v>1</v>
      </c>
      <c r="L112" s="736">
        <v>1</v>
      </c>
      <c r="M112" s="736" t="s">
        <v>33</v>
      </c>
      <c r="N112" s="736">
        <v>1</v>
      </c>
      <c r="O112" s="736">
        <v>1</v>
      </c>
      <c r="P112" s="736">
        <v>1</v>
      </c>
      <c r="Q112" s="736" t="s">
        <v>45</v>
      </c>
      <c r="R112" s="736">
        <v>1</v>
      </c>
      <c r="S112">
        <v>1</v>
      </c>
      <c r="T112">
        <v>1</v>
      </c>
      <c r="U112" t="s">
        <v>1563</v>
      </c>
      <c r="V112" t="s">
        <v>1563</v>
      </c>
      <c r="W112" t="s">
        <v>1563</v>
      </c>
      <c r="X112">
        <v>1</v>
      </c>
      <c r="Y112" t="s">
        <v>1563</v>
      </c>
      <c r="Z112">
        <v>1</v>
      </c>
      <c r="AA112" t="s">
        <v>1563</v>
      </c>
      <c r="AB112" t="s">
        <v>1563</v>
      </c>
      <c r="AC112">
        <v>1</v>
      </c>
      <c r="AD112" t="s">
        <v>1563</v>
      </c>
      <c r="AE112">
        <v>0</v>
      </c>
      <c r="AF112" t="s">
        <v>1524</v>
      </c>
      <c r="AG112" t="s">
        <v>1423</v>
      </c>
      <c r="AH112" t="s">
        <v>1563</v>
      </c>
    </row>
    <row r="113" spans="1:34" x14ac:dyDescent="0.25">
      <c r="A113" t="s">
        <v>1563</v>
      </c>
      <c r="B113" t="s">
        <v>1563</v>
      </c>
      <c r="C113" t="s">
        <v>305</v>
      </c>
      <c r="D113" t="s">
        <v>382</v>
      </c>
      <c r="E113" t="s">
        <v>1563</v>
      </c>
      <c r="F113" t="s">
        <v>594</v>
      </c>
      <c r="G113" t="s">
        <v>1563</v>
      </c>
      <c r="H113" s="736" t="s">
        <v>595</v>
      </c>
      <c r="I113" t="s">
        <v>309</v>
      </c>
      <c r="J113" t="s">
        <v>326</v>
      </c>
      <c r="K113">
        <v>1</v>
      </c>
      <c r="L113" s="736">
        <v>1</v>
      </c>
      <c r="M113" s="736" t="s">
        <v>33</v>
      </c>
      <c r="N113" s="736">
        <v>1</v>
      </c>
      <c r="O113" s="736">
        <v>1</v>
      </c>
      <c r="P113" s="736">
        <v>1</v>
      </c>
      <c r="Q113" s="736" t="s">
        <v>45</v>
      </c>
      <c r="R113" s="736">
        <v>1</v>
      </c>
      <c r="S113">
        <v>1</v>
      </c>
      <c r="T113">
        <v>1</v>
      </c>
      <c r="U113" t="s">
        <v>1563</v>
      </c>
      <c r="V113" t="s">
        <v>1563</v>
      </c>
      <c r="W113" t="s">
        <v>1563</v>
      </c>
      <c r="X113">
        <v>1</v>
      </c>
      <c r="Y113" t="s">
        <v>1563</v>
      </c>
      <c r="Z113">
        <v>0</v>
      </c>
      <c r="AA113" t="s">
        <v>1563</v>
      </c>
      <c r="AB113" t="s">
        <v>1563</v>
      </c>
      <c r="AC113" t="s">
        <v>1563</v>
      </c>
      <c r="AD113" t="s">
        <v>1563</v>
      </c>
      <c r="AE113">
        <v>0</v>
      </c>
      <c r="AF113" t="s">
        <v>1563</v>
      </c>
      <c r="AG113" t="s">
        <v>1563</v>
      </c>
      <c r="AH113" t="s">
        <v>1563</v>
      </c>
    </row>
    <row r="114" spans="1:34" x14ac:dyDescent="0.25">
      <c r="A114" t="s">
        <v>1563</v>
      </c>
      <c r="B114" t="s">
        <v>1563</v>
      </c>
      <c r="C114" t="s">
        <v>305</v>
      </c>
      <c r="D114" t="s">
        <v>382</v>
      </c>
      <c r="E114" t="s">
        <v>1563</v>
      </c>
      <c r="F114" t="s">
        <v>594</v>
      </c>
      <c r="G114" t="s">
        <v>1563</v>
      </c>
      <c r="H114" s="736" t="s">
        <v>596</v>
      </c>
      <c r="I114" t="s">
        <v>309</v>
      </c>
      <c r="J114" t="s">
        <v>597</v>
      </c>
      <c r="K114">
        <v>1</v>
      </c>
      <c r="L114" s="736">
        <v>1</v>
      </c>
      <c r="M114" s="736" t="s">
        <v>33</v>
      </c>
      <c r="N114" s="736">
        <v>1</v>
      </c>
      <c r="O114" s="736">
        <v>1</v>
      </c>
      <c r="P114" s="736">
        <v>1</v>
      </c>
      <c r="Q114" s="736" t="s">
        <v>45</v>
      </c>
      <c r="R114" s="736">
        <v>1</v>
      </c>
      <c r="S114">
        <v>1</v>
      </c>
      <c r="T114">
        <v>1</v>
      </c>
      <c r="U114" t="s">
        <v>1563</v>
      </c>
      <c r="V114" t="s">
        <v>1563</v>
      </c>
      <c r="W114" t="s">
        <v>1563</v>
      </c>
      <c r="X114">
        <v>1</v>
      </c>
      <c r="Y114" t="s">
        <v>1563</v>
      </c>
      <c r="Z114">
        <v>0</v>
      </c>
      <c r="AA114" t="s">
        <v>1563</v>
      </c>
      <c r="AB114" t="s">
        <v>1563</v>
      </c>
      <c r="AC114" t="s">
        <v>1563</v>
      </c>
      <c r="AD114" t="s">
        <v>1563</v>
      </c>
      <c r="AE114">
        <v>0</v>
      </c>
      <c r="AF114" t="s">
        <v>1563</v>
      </c>
      <c r="AG114" t="s">
        <v>1563</v>
      </c>
      <c r="AH114" t="s">
        <v>1563</v>
      </c>
    </row>
    <row r="115" spans="1:34" x14ac:dyDescent="0.25">
      <c r="A115" t="s">
        <v>1563</v>
      </c>
      <c r="B115" t="s">
        <v>1563</v>
      </c>
      <c r="C115" t="s">
        <v>339</v>
      </c>
      <c r="D115" t="s">
        <v>382</v>
      </c>
      <c r="E115" t="s">
        <v>1563</v>
      </c>
      <c r="F115" t="s">
        <v>598</v>
      </c>
      <c r="G115" t="s">
        <v>1563</v>
      </c>
      <c r="H115" s="736" t="s">
        <v>599</v>
      </c>
      <c r="I115" t="s">
        <v>309</v>
      </c>
      <c r="J115" t="s">
        <v>326</v>
      </c>
      <c r="K115">
        <v>1</v>
      </c>
      <c r="L115" s="736">
        <v>2</v>
      </c>
      <c r="M115" s="736" t="s">
        <v>33</v>
      </c>
      <c r="N115" s="736">
        <v>1</v>
      </c>
      <c r="O115" s="736">
        <v>2</v>
      </c>
      <c r="P115" s="736">
        <v>1</v>
      </c>
      <c r="Q115" s="736" t="s">
        <v>45</v>
      </c>
      <c r="R115" s="736">
        <v>2</v>
      </c>
      <c r="S115">
        <v>2</v>
      </c>
      <c r="T115">
        <v>2</v>
      </c>
      <c r="U115" t="s">
        <v>1563</v>
      </c>
      <c r="V115" t="s">
        <v>1563</v>
      </c>
      <c r="W115" t="s">
        <v>1563</v>
      </c>
      <c r="X115">
        <v>1</v>
      </c>
      <c r="Y115" t="s">
        <v>1563</v>
      </c>
      <c r="Z115">
        <v>0</v>
      </c>
      <c r="AA115" t="s">
        <v>1563</v>
      </c>
      <c r="AB115" t="s">
        <v>1563</v>
      </c>
      <c r="AC115" t="s">
        <v>1563</v>
      </c>
      <c r="AD115" t="s">
        <v>1563</v>
      </c>
      <c r="AE115">
        <v>0</v>
      </c>
      <c r="AF115" t="s">
        <v>1563</v>
      </c>
      <c r="AG115" t="s">
        <v>1563</v>
      </c>
      <c r="AH115" t="s">
        <v>1563</v>
      </c>
    </row>
    <row r="116" spans="1:34" x14ac:dyDescent="0.25">
      <c r="A116" t="s">
        <v>548</v>
      </c>
      <c r="B116" t="s">
        <v>549</v>
      </c>
      <c r="C116" t="s">
        <v>339</v>
      </c>
      <c r="D116" t="s">
        <v>382</v>
      </c>
      <c r="E116" t="s">
        <v>1563</v>
      </c>
      <c r="F116" t="s">
        <v>600</v>
      </c>
      <c r="G116" t="s">
        <v>254</v>
      </c>
      <c r="H116" s="736" t="s">
        <v>601</v>
      </c>
      <c r="I116" t="s">
        <v>309</v>
      </c>
      <c r="J116" t="s">
        <v>602</v>
      </c>
      <c r="K116">
        <v>1</v>
      </c>
      <c r="L116" s="736">
        <v>2</v>
      </c>
      <c r="M116" s="736" t="s">
        <v>33</v>
      </c>
      <c r="N116" s="736">
        <v>1</v>
      </c>
      <c r="O116" s="736">
        <v>2</v>
      </c>
      <c r="P116" s="736">
        <v>1</v>
      </c>
      <c r="Q116" s="736" t="s">
        <v>45</v>
      </c>
      <c r="R116" s="736">
        <v>2</v>
      </c>
      <c r="S116">
        <v>2</v>
      </c>
      <c r="T116">
        <v>2</v>
      </c>
      <c r="U116" t="s">
        <v>1563</v>
      </c>
      <c r="V116" t="s">
        <v>1563</v>
      </c>
      <c r="W116" t="s">
        <v>1563</v>
      </c>
      <c r="X116">
        <v>1</v>
      </c>
      <c r="Y116" t="s">
        <v>1563</v>
      </c>
      <c r="Z116">
        <v>2</v>
      </c>
      <c r="AA116" t="s">
        <v>1563</v>
      </c>
      <c r="AB116" t="s">
        <v>1563</v>
      </c>
      <c r="AC116">
        <v>2</v>
      </c>
      <c r="AD116" t="s">
        <v>1563</v>
      </c>
      <c r="AE116">
        <v>0</v>
      </c>
      <c r="AF116" t="s">
        <v>1536</v>
      </c>
      <c r="AG116" t="s">
        <v>1425</v>
      </c>
      <c r="AH116" t="s">
        <v>1563</v>
      </c>
    </row>
    <row r="117" spans="1:34" x14ac:dyDescent="0.25">
      <c r="A117" t="s">
        <v>387</v>
      </c>
      <c r="B117" t="s">
        <v>388</v>
      </c>
      <c r="C117" t="s">
        <v>354</v>
      </c>
      <c r="D117" t="s">
        <v>382</v>
      </c>
      <c r="E117" t="s">
        <v>1563</v>
      </c>
      <c r="F117" t="s">
        <v>603</v>
      </c>
      <c r="G117" t="s">
        <v>275</v>
      </c>
      <c r="H117" s="736" t="s">
        <v>604</v>
      </c>
      <c r="I117" t="s">
        <v>309</v>
      </c>
      <c r="J117" t="s">
        <v>326</v>
      </c>
      <c r="K117">
        <v>1</v>
      </c>
      <c r="L117" s="736">
        <v>1</v>
      </c>
      <c r="M117" s="736" t="s">
        <v>33</v>
      </c>
      <c r="N117" s="736">
        <v>1</v>
      </c>
      <c r="O117" s="736">
        <v>1</v>
      </c>
      <c r="P117" s="736">
        <v>1</v>
      </c>
      <c r="Q117" s="736" t="s">
        <v>45</v>
      </c>
      <c r="R117" s="736">
        <v>1</v>
      </c>
      <c r="S117">
        <v>1</v>
      </c>
      <c r="T117">
        <v>1</v>
      </c>
      <c r="U117" t="s">
        <v>1563</v>
      </c>
      <c r="V117" t="s">
        <v>1563</v>
      </c>
      <c r="W117" t="s">
        <v>1563</v>
      </c>
      <c r="X117">
        <v>1</v>
      </c>
      <c r="Y117" t="s">
        <v>1563</v>
      </c>
      <c r="Z117">
        <v>1</v>
      </c>
      <c r="AA117">
        <v>1</v>
      </c>
      <c r="AB117" t="s">
        <v>1563</v>
      </c>
      <c r="AC117" t="s">
        <v>1563</v>
      </c>
      <c r="AD117" t="s">
        <v>1563</v>
      </c>
      <c r="AE117">
        <v>1</v>
      </c>
      <c r="AF117" t="s">
        <v>1521</v>
      </c>
      <c r="AG117" t="s">
        <v>1425</v>
      </c>
      <c r="AH117" t="s">
        <v>1563</v>
      </c>
    </row>
    <row r="118" spans="1:34" x14ac:dyDescent="0.25">
      <c r="A118" t="s">
        <v>387</v>
      </c>
      <c r="B118" t="s">
        <v>388</v>
      </c>
      <c r="C118" t="s">
        <v>354</v>
      </c>
      <c r="D118" t="s">
        <v>382</v>
      </c>
      <c r="E118" t="s">
        <v>1563</v>
      </c>
      <c r="F118" t="s">
        <v>605</v>
      </c>
      <c r="G118" t="s">
        <v>275</v>
      </c>
      <c r="H118" s="736" t="s">
        <v>606</v>
      </c>
      <c r="I118" t="s">
        <v>309</v>
      </c>
      <c r="J118" t="s">
        <v>326</v>
      </c>
      <c r="K118">
        <v>1</v>
      </c>
      <c r="L118" s="736">
        <v>1</v>
      </c>
      <c r="M118" s="736" t="s">
        <v>33</v>
      </c>
      <c r="N118" s="736">
        <v>1</v>
      </c>
      <c r="O118" s="736">
        <v>1</v>
      </c>
      <c r="P118" s="736">
        <v>1</v>
      </c>
      <c r="Q118" s="736" t="s">
        <v>45</v>
      </c>
      <c r="R118" s="736">
        <v>1</v>
      </c>
      <c r="S118">
        <v>1</v>
      </c>
      <c r="T118">
        <v>1</v>
      </c>
      <c r="U118" t="s">
        <v>1563</v>
      </c>
      <c r="V118" t="s">
        <v>1563</v>
      </c>
      <c r="W118" t="s">
        <v>1563</v>
      </c>
      <c r="X118">
        <v>1</v>
      </c>
      <c r="Y118" t="s">
        <v>1563</v>
      </c>
      <c r="Z118">
        <v>1</v>
      </c>
      <c r="AA118" t="s">
        <v>1563</v>
      </c>
      <c r="AB118" t="s">
        <v>1563</v>
      </c>
      <c r="AC118">
        <v>1</v>
      </c>
      <c r="AD118" t="s">
        <v>1563</v>
      </c>
      <c r="AE118">
        <v>0</v>
      </c>
      <c r="AF118" t="s">
        <v>1537</v>
      </c>
      <c r="AG118" t="s">
        <v>1425</v>
      </c>
      <c r="AH118" t="s">
        <v>1563</v>
      </c>
    </row>
    <row r="119" spans="1:34" x14ac:dyDescent="0.25">
      <c r="A119" t="s">
        <v>387</v>
      </c>
      <c r="B119" t="s">
        <v>388</v>
      </c>
      <c r="C119" t="s">
        <v>354</v>
      </c>
      <c r="D119" t="s">
        <v>382</v>
      </c>
      <c r="E119" t="s">
        <v>1563</v>
      </c>
      <c r="F119" t="s">
        <v>607</v>
      </c>
      <c r="G119" t="s">
        <v>275</v>
      </c>
      <c r="H119" s="736" t="s">
        <v>608</v>
      </c>
      <c r="I119" t="s">
        <v>309</v>
      </c>
      <c r="J119" t="s">
        <v>326</v>
      </c>
      <c r="K119">
        <v>1</v>
      </c>
      <c r="L119" s="736">
        <v>1</v>
      </c>
      <c r="M119" s="736" t="s">
        <v>33</v>
      </c>
      <c r="N119" s="736">
        <v>1</v>
      </c>
      <c r="O119" s="736">
        <v>1</v>
      </c>
      <c r="P119" s="736">
        <v>1</v>
      </c>
      <c r="Q119" s="736" t="s">
        <v>45</v>
      </c>
      <c r="R119" s="736">
        <v>1</v>
      </c>
      <c r="S119">
        <v>1</v>
      </c>
      <c r="T119">
        <v>1</v>
      </c>
      <c r="U119" t="s">
        <v>1563</v>
      </c>
      <c r="V119" t="s">
        <v>1563</v>
      </c>
      <c r="W119" t="s">
        <v>1563</v>
      </c>
      <c r="X119">
        <v>1</v>
      </c>
      <c r="Y119" t="s">
        <v>1563</v>
      </c>
      <c r="Z119">
        <v>1</v>
      </c>
      <c r="AA119">
        <v>1</v>
      </c>
      <c r="AB119" t="s">
        <v>1563</v>
      </c>
      <c r="AC119" t="s">
        <v>1563</v>
      </c>
      <c r="AD119" t="s">
        <v>1563</v>
      </c>
      <c r="AE119">
        <v>1</v>
      </c>
      <c r="AF119" t="s">
        <v>1521</v>
      </c>
      <c r="AG119" t="s">
        <v>1425</v>
      </c>
      <c r="AH119" t="s">
        <v>1563</v>
      </c>
    </row>
    <row r="120" spans="1:34" x14ac:dyDescent="0.25">
      <c r="A120" t="s">
        <v>548</v>
      </c>
      <c r="B120" t="s">
        <v>549</v>
      </c>
      <c r="C120" t="s">
        <v>395</v>
      </c>
      <c r="D120" t="s">
        <v>382</v>
      </c>
      <c r="E120" t="s">
        <v>1563</v>
      </c>
      <c r="F120" t="s">
        <v>609</v>
      </c>
      <c r="G120" t="s">
        <v>254</v>
      </c>
      <c r="H120" s="736" t="s">
        <v>610</v>
      </c>
      <c r="I120" t="s">
        <v>309</v>
      </c>
      <c r="J120" t="s">
        <v>326</v>
      </c>
      <c r="K120">
        <v>6</v>
      </c>
      <c r="L120" s="736">
        <v>4</v>
      </c>
      <c r="M120" s="736" t="s">
        <v>33</v>
      </c>
      <c r="N120" s="736">
        <v>1</v>
      </c>
      <c r="O120" s="736">
        <v>4</v>
      </c>
      <c r="P120" s="736">
        <v>1</v>
      </c>
      <c r="Q120" s="736" t="s">
        <v>45</v>
      </c>
      <c r="R120" s="736">
        <v>4</v>
      </c>
      <c r="S120">
        <v>4</v>
      </c>
      <c r="T120">
        <v>4</v>
      </c>
      <c r="U120" t="s">
        <v>1563</v>
      </c>
      <c r="V120" t="s">
        <v>1563</v>
      </c>
      <c r="W120" t="s">
        <v>1563</v>
      </c>
      <c r="X120">
        <v>1</v>
      </c>
      <c r="Y120" t="s">
        <v>1563</v>
      </c>
      <c r="Z120">
        <v>4</v>
      </c>
      <c r="AA120" t="s">
        <v>1563</v>
      </c>
      <c r="AB120" t="s">
        <v>1563</v>
      </c>
      <c r="AC120">
        <v>4</v>
      </c>
      <c r="AD120" t="s">
        <v>1563</v>
      </c>
      <c r="AE120">
        <v>0</v>
      </c>
      <c r="AF120" t="s">
        <v>1535</v>
      </c>
      <c r="AG120" t="s">
        <v>1425</v>
      </c>
      <c r="AH120" t="s">
        <v>611</v>
      </c>
    </row>
    <row r="121" spans="1:34" x14ac:dyDescent="0.25">
      <c r="A121" t="s">
        <v>612</v>
      </c>
      <c r="B121" t="s">
        <v>549</v>
      </c>
      <c r="C121" t="s">
        <v>395</v>
      </c>
      <c r="D121" t="s">
        <v>382</v>
      </c>
      <c r="E121" t="s">
        <v>1563</v>
      </c>
      <c r="F121" t="s">
        <v>613</v>
      </c>
      <c r="G121" t="s">
        <v>1563</v>
      </c>
      <c r="H121" s="736" t="s">
        <v>614</v>
      </c>
      <c r="I121" t="s">
        <v>309</v>
      </c>
      <c r="J121" t="s">
        <v>615</v>
      </c>
      <c r="K121">
        <v>1</v>
      </c>
      <c r="L121" s="736">
        <v>1</v>
      </c>
      <c r="M121" s="736" t="s">
        <v>33</v>
      </c>
      <c r="N121" s="736">
        <v>1</v>
      </c>
      <c r="O121" s="736">
        <v>1</v>
      </c>
      <c r="P121" s="736">
        <v>1</v>
      </c>
      <c r="Q121" s="736" t="s">
        <v>45</v>
      </c>
      <c r="R121" s="736">
        <v>1</v>
      </c>
      <c r="S121">
        <v>1</v>
      </c>
      <c r="T121">
        <v>1</v>
      </c>
      <c r="U121" t="s">
        <v>1563</v>
      </c>
      <c r="V121" t="s">
        <v>1563</v>
      </c>
      <c r="W121" t="s">
        <v>1563</v>
      </c>
      <c r="X121">
        <v>1</v>
      </c>
      <c r="Y121" t="s">
        <v>1563</v>
      </c>
      <c r="Z121">
        <v>1</v>
      </c>
      <c r="AA121" t="s">
        <v>1563</v>
      </c>
      <c r="AB121" t="s">
        <v>1563</v>
      </c>
      <c r="AC121">
        <v>1</v>
      </c>
      <c r="AD121" t="s">
        <v>1563</v>
      </c>
      <c r="AE121">
        <v>0</v>
      </c>
      <c r="AF121" t="s">
        <v>1536</v>
      </c>
      <c r="AG121" t="s">
        <v>1425</v>
      </c>
      <c r="AH121" t="s">
        <v>1563</v>
      </c>
    </row>
    <row r="122" spans="1:34" x14ac:dyDescent="0.25">
      <c r="A122" t="s">
        <v>612</v>
      </c>
      <c r="B122" t="s">
        <v>549</v>
      </c>
      <c r="C122" t="s">
        <v>395</v>
      </c>
      <c r="D122" t="s">
        <v>382</v>
      </c>
      <c r="E122" t="s">
        <v>1563</v>
      </c>
      <c r="F122" t="s">
        <v>616</v>
      </c>
      <c r="G122" t="s">
        <v>1563</v>
      </c>
      <c r="H122" s="736" t="s">
        <v>617</v>
      </c>
      <c r="I122" t="s">
        <v>309</v>
      </c>
      <c r="J122" t="s">
        <v>618</v>
      </c>
      <c r="K122">
        <v>1</v>
      </c>
      <c r="L122" s="736">
        <v>1</v>
      </c>
      <c r="M122" s="736" t="s">
        <v>33</v>
      </c>
      <c r="N122" s="736">
        <v>1</v>
      </c>
      <c r="O122" s="736">
        <v>1</v>
      </c>
      <c r="P122" s="736">
        <v>1</v>
      </c>
      <c r="Q122" s="736" t="s">
        <v>45</v>
      </c>
      <c r="R122" s="736">
        <v>1</v>
      </c>
      <c r="S122">
        <v>1</v>
      </c>
      <c r="T122">
        <v>1</v>
      </c>
      <c r="U122" t="s">
        <v>1563</v>
      </c>
      <c r="V122" t="s">
        <v>1563</v>
      </c>
      <c r="W122" t="s">
        <v>1563</v>
      </c>
      <c r="X122">
        <v>1</v>
      </c>
      <c r="Y122" t="s">
        <v>1563</v>
      </c>
      <c r="Z122">
        <v>1</v>
      </c>
      <c r="AA122" t="s">
        <v>1563</v>
      </c>
      <c r="AB122" t="s">
        <v>1563</v>
      </c>
      <c r="AC122">
        <v>1</v>
      </c>
      <c r="AD122" t="s">
        <v>1563</v>
      </c>
      <c r="AE122">
        <v>0</v>
      </c>
      <c r="AF122" t="s">
        <v>1536</v>
      </c>
      <c r="AG122" t="s">
        <v>1425</v>
      </c>
      <c r="AH122" t="s">
        <v>1563</v>
      </c>
    </row>
    <row r="123" spans="1:34" x14ac:dyDescent="0.25">
      <c r="A123" t="s">
        <v>612</v>
      </c>
      <c r="B123" t="s">
        <v>549</v>
      </c>
      <c r="C123" t="s">
        <v>395</v>
      </c>
      <c r="D123" t="s">
        <v>382</v>
      </c>
      <c r="E123" t="s">
        <v>1563</v>
      </c>
      <c r="F123" t="s">
        <v>417</v>
      </c>
      <c r="G123" t="s">
        <v>1563</v>
      </c>
      <c r="H123" s="736" t="s">
        <v>619</v>
      </c>
      <c r="I123" t="s">
        <v>309</v>
      </c>
      <c r="J123" t="s">
        <v>620</v>
      </c>
      <c r="K123">
        <v>1</v>
      </c>
      <c r="L123" s="736">
        <v>1</v>
      </c>
      <c r="M123" s="736" t="s">
        <v>33</v>
      </c>
      <c r="N123" s="736">
        <v>1</v>
      </c>
      <c r="O123" s="736">
        <v>1</v>
      </c>
      <c r="P123" s="736">
        <v>1</v>
      </c>
      <c r="Q123" s="736" t="s">
        <v>45</v>
      </c>
      <c r="R123" s="736">
        <v>1</v>
      </c>
      <c r="S123">
        <v>1</v>
      </c>
      <c r="T123">
        <v>1</v>
      </c>
      <c r="U123" t="s">
        <v>1563</v>
      </c>
      <c r="V123" t="s">
        <v>1563</v>
      </c>
      <c r="W123" t="s">
        <v>1563</v>
      </c>
      <c r="X123">
        <v>1</v>
      </c>
      <c r="Y123" t="s">
        <v>1563</v>
      </c>
      <c r="Z123">
        <v>1</v>
      </c>
      <c r="AA123" t="s">
        <v>1563</v>
      </c>
      <c r="AB123" t="s">
        <v>1563</v>
      </c>
      <c r="AC123">
        <v>1</v>
      </c>
      <c r="AD123" t="s">
        <v>1563</v>
      </c>
      <c r="AE123">
        <v>0</v>
      </c>
      <c r="AF123" t="s">
        <v>1536</v>
      </c>
      <c r="AG123" t="s">
        <v>1425</v>
      </c>
      <c r="AH123" t="s">
        <v>1563</v>
      </c>
    </row>
    <row r="124" spans="1:34" x14ac:dyDescent="0.25">
      <c r="A124" t="s">
        <v>612</v>
      </c>
      <c r="B124" t="s">
        <v>549</v>
      </c>
      <c r="C124" t="s">
        <v>395</v>
      </c>
      <c r="D124" t="s">
        <v>382</v>
      </c>
      <c r="E124" t="s">
        <v>1563</v>
      </c>
      <c r="F124" t="s">
        <v>420</v>
      </c>
      <c r="G124" t="s">
        <v>1563</v>
      </c>
      <c r="H124" s="736" t="s">
        <v>621</v>
      </c>
      <c r="I124" t="s">
        <v>309</v>
      </c>
      <c r="J124" t="s">
        <v>620</v>
      </c>
      <c r="K124">
        <v>1</v>
      </c>
      <c r="L124" s="736">
        <v>1</v>
      </c>
      <c r="M124" s="736" t="s">
        <v>33</v>
      </c>
      <c r="N124" s="736">
        <v>1</v>
      </c>
      <c r="O124" s="736">
        <v>1</v>
      </c>
      <c r="P124" s="736">
        <v>1</v>
      </c>
      <c r="Q124" s="736" t="s">
        <v>45</v>
      </c>
      <c r="R124" s="736">
        <v>1</v>
      </c>
      <c r="S124">
        <v>1</v>
      </c>
      <c r="T124">
        <v>1</v>
      </c>
      <c r="U124" t="s">
        <v>1563</v>
      </c>
      <c r="V124" t="s">
        <v>1563</v>
      </c>
      <c r="W124" t="s">
        <v>1563</v>
      </c>
      <c r="X124">
        <v>1</v>
      </c>
      <c r="Y124" t="s">
        <v>1563</v>
      </c>
      <c r="Z124">
        <v>1</v>
      </c>
      <c r="AA124" t="s">
        <v>1563</v>
      </c>
      <c r="AB124" t="s">
        <v>1563</v>
      </c>
      <c r="AC124">
        <v>1</v>
      </c>
      <c r="AD124" t="s">
        <v>1563</v>
      </c>
      <c r="AE124">
        <v>0</v>
      </c>
      <c r="AF124" t="s">
        <v>1536</v>
      </c>
      <c r="AG124" t="s">
        <v>1425</v>
      </c>
      <c r="AH124" t="s">
        <v>1563</v>
      </c>
    </row>
    <row r="125" spans="1:34" x14ac:dyDescent="0.25">
      <c r="A125" t="s">
        <v>612</v>
      </c>
      <c r="B125" t="s">
        <v>549</v>
      </c>
      <c r="C125" t="s">
        <v>395</v>
      </c>
      <c r="D125" t="s">
        <v>382</v>
      </c>
      <c r="E125" t="s">
        <v>1563</v>
      </c>
      <c r="F125" t="s">
        <v>613</v>
      </c>
      <c r="G125" t="s">
        <v>1563</v>
      </c>
      <c r="H125" s="736" t="s">
        <v>622</v>
      </c>
      <c r="I125" t="s">
        <v>309</v>
      </c>
      <c r="J125" t="s">
        <v>623</v>
      </c>
      <c r="K125">
        <v>1</v>
      </c>
      <c r="L125" s="736">
        <v>1</v>
      </c>
      <c r="M125" s="736" t="s">
        <v>33</v>
      </c>
      <c r="N125" s="736">
        <v>1</v>
      </c>
      <c r="O125" s="736">
        <v>1</v>
      </c>
      <c r="P125" s="736">
        <v>1</v>
      </c>
      <c r="Q125" s="736" t="s">
        <v>45</v>
      </c>
      <c r="R125" s="736">
        <v>1</v>
      </c>
      <c r="S125">
        <v>1</v>
      </c>
      <c r="T125">
        <v>1</v>
      </c>
      <c r="U125" t="s">
        <v>1563</v>
      </c>
      <c r="V125" t="s">
        <v>1563</v>
      </c>
      <c r="W125" t="s">
        <v>1563</v>
      </c>
      <c r="X125">
        <v>1</v>
      </c>
      <c r="Y125" t="s">
        <v>1563</v>
      </c>
      <c r="Z125">
        <v>1</v>
      </c>
      <c r="AA125" t="s">
        <v>1563</v>
      </c>
      <c r="AB125" t="s">
        <v>1563</v>
      </c>
      <c r="AC125">
        <v>1</v>
      </c>
      <c r="AD125" t="s">
        <v>1563</v>
      </c>
      <c r="AE125">
        <v>0</v>
      </c>
      <c r="AF125" t="s">
        <v>1536</v>
      </c>
      <c r="AG125" t="s">
        <v>1425</v>
      </c>
      <c r="AH125" t="s">
        <v>1563</v>
      </c>
    </row>
    <row r="126" spans="1:34" x14ac:dyDescent="0.25">
      <c r="A126" t="s">
        <v>612</v>
      </c>
      <c r="B126" t="s">
        <v>549</v>
      </c>
      <c r="C126" t="s">
        <v>395</v>
      </c>
      <c r="D126" t="s">
        <v>382</v>
      </c>
      <c r="E126" t="s">
        <v>1563</v>
      </c>
      <c r="F126" t="s">
        <v>439</v>
      </c>
      <c r="G126" t="s">
        <v>1563</v>
      </c>
      <c r="H126" s="736" t="s">
        <v>624</v>
      </c>
      <c r="I126" t="s">
        <v>309</v>
      </c>
      <c r="J126" t="s">
        <v>625</v>
      </c>
      <c r="K126">
        <v>1</v>
      </c>
      <c r="L126" s="736">
        <v>1</v>
      </c>
      <c r="M126" s="736" t="s">
        <v>33</v>
      </c>
      <c r="N126" s="736">
        <v>1</v>
      </c>
      <c r="O126" s="736">
        <v>1</v>
      </c>
      <c r="P126" s="736">
        <v>1</v>
      </c>
      <c r="Q126" s="736" t="s">
        <v>45</v>
      </c>
      <c r="R126" s="736">
        <v>1</v>
      </c>
      <c r="S126">
        <v>1</v>
      </c>
      <c r="T126">
        <v>1</v>
      </c>
      <c r="U126" t="s">
        <v>1563</v>
      </c>
      <c r="V126" t="s">
        <v>1563</v>
      </c>
      <c r="W126" t="s">
        <v>1563</v>
      </c>
      <c r="X126">
        <v>1</v>
      </c>
      <c r="Y126" t="s">
        <v>1563</v>
      </c>
      <c r="Z126">
        <v>1</v>
      </c>
      <c r="AA126" t="s">
        <v>1563</v>
      </c>
      <c r="AB126" t="s">
        <v>1563</v>
      </c>
      <c r="AC126">
        <v>1</v>
      </c>
      <c r="AD126" t="s">
        <v>1563</v>
      </c>
      <c r="AE126">
        <v>0</v>
      </c>
      <c r="AF126" t="s">
        <v>1536</v>
      </c>
      <c r="AG126" t="s">
        <v>1425</v>
      </c>
      <c r="AH126" t="s">
        <v>1563</v>
      </c>
    </row>
    <row r="127" spans="1:34" x14ac:dyDescent="0.25">
      <c r="A127" t="s">
        <v>612</v>
      </c>
      <c r="B127" t="s">
        <v>549</v>
      </c>
      <c r="C127" t="s">
        <v>395</v>
      </c>
      <c r="D127" t="s">
        <v>382</v>
      </c>
      <c r="E127" t="s">
        <v>1563</v>
      </c>
      <c r="F127" t="s">
        <v>616</v>
      </c>
      <c r="G127" t="s">
        <v>1563</v>
      </c>
      <c r="H127" s="736" t="s">
        <v>626</v>
      </c>
      <c r="I127" t="s">
        <v>309</v>
      </c>
      <c r="J127" t="s">
        <v>627</v>
      </c>
      <c r="K127">
        <v>1</v>
      </c>
      <c r="L127" s="736">
        <v>1</v>
      </c>
      <c r="M127" s="736" t="s">
        <v>33</v>
      </c>
      <c r="N127" s="736">
        <v>1</v>
      </c>
      <c r="O127" s="736">
        <v>1</v>
      </c>
      <c r="P127" s="736">
        <v>1</v>
      </c>
      <c r="Q127" s="736" t="s">
        <v>45</v>
      </c>
      <c r="R127" s="736">
        <v>1</v>
      </c>
      <c r="S127">
        <v>1</v>
      </c>
      <c r="T127">
        <v>1</v>
      </c>
      <c r="U127" t="s">
        <v>1563</v>
      </c>
      <c r="V127" t="s">
        <v>1563</v>
      </c>
      <c r="W127" t="s">
        <v>1563</v>
      </c>
      <c r="X127">
        <v>1</v>
      </c>
      <c r="Y127" t="s">
        <v>1563</v>
      </c>
      <c r="Z127">
        <v>1</v>
      </c>
      <c r="AA127" t="s">
        <v>1563</v>
      </c>
      <c r="AB127" t="s">
        <v>1563</v>
      </c>
      <c r="AC127">
        <v>1</v>
      </c>
      <c r="AD127" t="s">
        <v>1563</v>
      </c>
      <c r="AE127">
        <v>0</v>
      </c>
      <c r="AF127" t="s">
        <v>1536</v>
      </c>
      <c r="AG127" t="s">
        <v>1425</v>
      </c>
      <c r="AH127" t="s">
        <v>1563</v>
      </c>
    </row>
    <row r="128" spans="1:34" x14ac:dyDescent="0.25">
      <c r="A128" t="s">
        <v>612</v>
      </c>
      <c r="B128" t="s">
        <v>549</v>
      </c>
      <c r="C128" t="s">
        <v>395</v>
      </c>
      <c r="D128" t="s">
        <v>382</v>
      </c>
      <c r="E128" t="s">
        <v>1563</v>
      </c>
      <c r="F128" t="s">
        <v>417</v>
      </c>
      <c r="G128" t="s">
        <v>1563</v>
      </c>
      <c r="H128" s="736" t="s">
        <v>628</v>
      </c>
      <c r="I128" t="s">
        <v>309</v>
      </c>
      <c r="J128" t="s">
        <v>629</v>
      </c>
      <c r="K128">
        <v>1</v>
      </c>
      <c r="L128" s="736">
        <v>1</v>
      </c>
      <c r="M128" s="736" t="s">
        <v>33</v>
      </c>
      <c r="N128" s="736">
        <v>1</v>
      </c>
      <c r="O128" s="736">
        <v>1</v>
      </c>
      <c r="P128" s="736">
        <v>1</v>
      </c>
      <c r="Q128" s="736" t="s">
        <v>45</v>
      </c>
      <c r="R128" s="736">
        <v>1</v>
      </c>
      <c r="S128">
        <v>1</v>
      </c>
      <c r="T128">
        <v>1</v>
      </c>
      <c r="U128" t="s">
        <v>1563</v>
      </c>
      <c r="V128" t="s">
        <v>1563</v>
      </c>
      <c r="W128" t="s">
        <v>1563</v>
      </c>
      <c r="X128">
        <v>1</v>
      </c>
      <c r="Y128" t="s">
        <v>1563</v>
      </c>
      <c r="Z128">
        <v>1</v>
      </c>
      <c r="AA128" t="s">
        <v>1563</v>
      </c>
      <c r="AB128" t="s">
        <v>1563</v>
      </c>
      <c r="AC128">
        <v>1</v>
      </c>
      <c r="AD128" t="s">
        <v>1563</v>
      </c>
      <c r="AE128">
        <v>0</v>
      </c>
      <c r="AF128" t="s">
        <v>1536</v>
      </c>
      <c r="AG128" t="s">
        <v>1425</v>
      </c>
      <c r="AH128" t="s">
        <v>1563</v>
      </c>
    </row>
    <row r="129" spans="1:34" x14ac:dyDescent="0.25">
      <c r="A129" t="s">
        <v>612</v>
      </c>
      <c r="B129" t="s">
        <v>549</v>
      </c>
      <c r="C129" t="s">
        <v>395</v>
      </c>
      <c r="D129" t="s">
        <v>382</v>
      </c>
      <c r="E129" t="s">
        <v>1563</v>
      </c>
      <c r="F129" t="s">
        <v>420</v>
      </c>
      <c r="G129" t="s">
        <v>1563</v>
      </c>
      <c r="H129" s="736" t="s">
        <v>630</v>
      </c>
      <c r="I129" t="s">
        <v>309</v>
      </c>
      <c r="J129" t="s">
        <v>631</v>
      </c>
      <c r="K129">
        <v>1</v>
      </c>
      <c r="L129" s="736">
        <v>1</v>
      </c>
      <c r="M129" s="736" t="s">
        <v>33</v>
      </c>
      <c r="N129" s="736">
        <v>1</v>
      </c>
      <c r="O129" s="736">
        <v>1</v>
      </c>
      <c r="P129" s="736">
        <v>1</v>
      </c>
      <c r="Q129" s="736" t="s">
        <v>45</v>
      </c>
      <c r="R129" s="736">
        <v>1</v>
      </c>
      <c r="S129">
        <v>1</v>
      </c>
      <c r="T129">
        <v>1</v>
      </c>
      <c r="U129" t="s">
        <v>1563</v>
      </c>
      <c r="V129" t="s">
        <v>1563</v>
      </c>
      <c r="W129" t="s">
        <v>1563</v>
      </c>
      <c r="X129">
        <v>1</v>
      </c>
      <c r="Y129" t="s">
        <v>1563</v>
      </c>
      <c r="Z129">
        <v>1</v>
      </c>
      <c r="AA129" t="s">
        <v>1563</v>
      </c>
      <c r="AB129" t="s">
        <v>1563</v>
      </c>
      <c r="AC129">
        <v>1</v>
      </c>
      <c r="AD129" t="s">
        <v>1563</v>
      </c>
      <c r="AE129">
        <v>0</v>
      </c>
      <c r="AF129" t="s">
        <v>1536</v>
      </c>
      <c r="AG129" t="s">
        <v>1425</v>
      </c>
      <c r="AH129" t="s">
        <v>1563</v>
      </c>
    </row>
    <row r="130" spans="1:34" x14ac:dyDescent="0.25">
      <c r="A130" t="s">
        <v>612</v>
      </c>
      <c r="B130" t="s">
        <v>549</v>
      </c>
      <c r="C130" t="s">
        <v>395</v>
      </c>
      <c r="D130" t="s">
        <v>382</v>
      </c>
      <c r="E130" t="s">
        <v>1563</v>
      </c>
      <c r="F130" t="s">
        <v>613</v>
      </c>
      <c r="G130" t="s">
        <v>1563</v>
      </c>
      <c r="H130" s="736" t="s">
        <v>632</v>
      </c>
      <c r="I130" t="s">
        <v>309</v>
      </c>
      <c r="J130" t="s">
        <v>633</v>
      </c>
      <c r="K130">
        <v>1</v>
      </c>
      <c r="L130" s="736">
        <v>1</v>
      </c>
      <c r="M130" s="736" t="s">
        <v>33</v>
      </c>
      <c r="N130" s="736">
        <v>1</v>
      </c>
      <c r="O130" s="736">
        <v>1</v>
      </c>
      <c r="P130" s="736">
        <v>1</v>
      </c>
      <c r="Q130" s="736" t="s">
        <v>45</v>
      </c>
      <c r="R130" s="736">
        <v>1</v>
      </c>
      <c r="S130">
        <v>1</v>
      </c>
      <c r="T130">
        <v>1</v>
      </c>
      <c r="U130" t="s">
        <v>1563</v>
      </c>
      <c r="V130" t="s">
        <v>1563</v>
      </c>
      <c r="W130" t="s">
        <v>1563</v>
      </c>
      <c r="X130">
        <v>1</v>
      </c>
      <c r="Y130" t="s">
        <v>1563</v>
      </c>
      <c r="Z130">
        <v>1</v>
      </c>
      <c r="AA130" t="s">
        <v>1563</v>
      </c>
      <c r="AB130" t="s">
        <v>1563</v>
      </c>
      <c r="AC130">
        <v>1</v>
      </c>
      <c r="AD130" t="s">
        <v>1563</v>
      </c>
      <c r="AE130">
        <v>0</v>
      </c>
      <c r="AF130" t="s">
        <v>1536</v>
      </c>
      <c r="AG130" t="s">
        <v>1425</v>
      </c>
      <c r="AH130" t="s">
        <v>1563</v>
      </c>
    </row>
    <row r="131" spans="1:34" x14ac:dyDescent="0.25">
      <c r="A131" t="s">
        <v>612</v>
      </c>
      <c r="B131" t="s">
        <v>549</v>
      </c>
      <c r="C131" t="s">
        <v>395</v>
      </c>
      <c r="D131" t="s">
        <v>382</v>
      </c>
      <c r="E131" t="s">
        <v>1563</v>
      </c>
      <c r="F131" t="s">
        <v>613</v>
      </c>
      <c r="G131" t="s">
        <v>1563</v>
      </c>
      <c r="H131" s="736" t="s">
        <v>634</v>
      </c>
      <c r="I131" t="s">
        <v>309</v>
      </c>
      <c r="J131" t="s">
        <v>635</v>
      </c>
      <c r="K131">
        <v>1</v>
      </c>
      <c r="L131" s="736">
        <v>1</v>
      </c>
      <c r="M131" s="736" t="s">
        <v>33</v>
      </c>
      <c r="N131" s="736">
        <v>1</v>
      </c>
      <c r="O131" s="736">
        <v>1</v>
      </c>
      <c r="P131" s="736">
        <v>1</v>
      </c>
      <c r="Q131" s="736" t="s">
        <v>45</v>
      </c>
      <c r="R131" s="736">
        <v>1</v>
      </c>
      <c r="S131">
        <v>1</v>
      </c>
      <c r="T131">
        <v>1</v>
      </c>
      <c r="U131" t="s">
        <v>1563</v>
      </c>
      <c r="V131" t="s">
        <v>1563</v>
      </c>
      <c r="W131" t="s">
        <v>1563</v>
      </c>
      <c r="X131">
        <v>1</v>
      </c>
      <c r="Y131" t="s">
        <v>1563</v>
      </c>
      <c r="Z131">
        <v>1</v>
      </c>
      <c r="AA131" t="s">
        <v>1563</v>
      </c>
      <c r="AB131" t="s">
        <v>1563</v>
      </c>
      <c r="AC131">
        <v>1</v>
      </c>
      <c r="AD131" t="s">
        <v>1563</v>
      </c>
      <c r="AE131">
        <v>0</v>
      </c>
      <c r="AF131" t="s">
        <v>1536</v>
      </c>
      <c r="AG131" t="s">
        <v>1425</v>
      </c>
      <c r="AH131" t="s">
        <v>1563</v>
      </c>
    </row>
    <row r="132" spans="1:34" x14ac:dyDescent="0.25">
      <c r="A132" t="s">
        <v>612</v>
      </c>
      <c r="B132" t="s">
        <v>549</v>
      </c>
      <c r="C132" t="s">
        <v>395</v>
      </c>
      <c r="D132" t="s">
        <v>382</v>
      </c>
      <c r="E132" t="s">
        <v>1563</v>
      </c>
      <c r="F132" t="s">
        <v>439</v>
      </c>
      <c r="G132" t="s">
        <v>1563</v>
      </c>
      <c r="H132" s="736" t="s">
        <v>636</v>
      </c>
      <c r="I132" t="s">
        <v>309</v>
      </c>
      <c r="J132" t="s">
        <v>618</v>
      </c>
      <c r="K132">
        <v>1</v>
      </c>
      <c r="L132" s="736">
        <v>1</v>
      </c>
      <c r="M132" s="736" t="s">
        <v>33</v>
      </c>
      <c r="N132" s="736">
        <v>1</v>
      </c>
      <c r="O132" s="736">
        <v>1</v>
      </c>
      <c r="P132" s="736">
        <v>1</v>
      </c>
      <c r="Q132" s="736" t="s">
        <v>45</v>
      </c>
      <c r="R132" s="736">
        <v>1</v>
      </c>
      <c r="S132">
        <v>1</v>
      </c>
      <c r="T132">
        <v>1</v>
      </c>
      <c r="U132" t="s">
        <v>1563</v>
      </c>
      <c r="V132" t="s">
        <v>1563</v>
      </c>
      <c r="W132" t="s">
        <v>1563</v>
      </c>
      <c r="X132">
        <v>1</v>
      </c>
      <c r="Y132" t="s">
        <v>1563</v>
      </c>
      <c r="Z132">
        <v>1</v>
      </c>
      <c r="AA132" t="s">
        <v>1563</v>
      </c>
      <c r="AB132" t="s">
        <v>1563</v>
      </c>
      <c r="AC132">
        <v>1</v>
      </c>
      <c r="AD132" t="s">
        <v>1563</v>
      </c>
      <c r="AE132">
        <v>0</v>
      </c>
      <c r="AF132" t="s">
        <v>1536</v>
      </c>
      <c r="AG132" t="s">
        <v>1425</v>
      </c>
      <c r="AH132" t="s">
        <v>1563</v>
      </c>
    </row>
    <row r="133" spans="1:34" x14ac:dyDescent="0.25">
      <c r="A133" t="s">
        <v>637</v>
      </c>
      <c r="B133" t="s">
        <v>638</v>
      </c>
      <c r="C133" t="s">
        <v>361</v>
      </c>
      <c r="D133" t="s">
        <v>382</v>
      </c>
      <c r="E133" t="s">
        <v>1563</v>
      </c>
      <c r="F133" t="s">
        <v>450</v>
      </c>
      <c r="G133" t="s">
        <v>1563</v>
      </c>
      <c r="H133" s="736" t="s">
        <v>639</v>
      </c>
      <c r="I133" t="s">
        <v>309</v>
      </c>
      <c r="J133" t="s">
        <v>640</v>
      </c>
      <c r="K133">
        <v>1</v>
      </c>
      <c r="L133" s="736">
        <v>1</v>
      </c>
      <c r="M133" s="736" t="s">
        <v>33</v>
      </c>
      <c r="N133" s="736">
        <v>1</v>
      </c>
      <c r="O133" s="736">
        <v>1</v>
      </c>
      <c r="P133" s="736">
        <v>1</v>
      </c>
      <c r="Q133" s="736" t="s">
        <v>45</v>
      </c>
      <c r="R133" s="736">
        <v>1</v>
      </c>
      <c r="S133">
        <v>1</v>
      </c>
      <c r="T133">
        <v>1</v>
      </c>
      <c r="U133" t="s">
        <v>1563</v>
      </c>
      <c r="V133" t="s">
        <v>1563</v>
      </c>
      <c r="W133" t="s">
        <v>1563</v>
      </c>
      <c r="X133">
        <v>1</v>
      </c>
      <c r="Y133" t="s">
        <v>1563</v>
      </c>
      <c r="Z133">
        <v>1</v>
      </c>
      <c r="AA133" t="s">
        <v>1563</v>
      </c>
      <c r="AB133" t="s">
        <v>1563</v>
      </c>
      <c r="AC133">
        <v>1</v>
      </c>
      <c r="AD133" t="s">
        <v>1563</v>
      </c>
      <c r="AE133">
        <v>0</v>
      </c>
      <c r="AF133" t="s">
        <v>1536</v>
      </c>
      <c r="AG133" t="s">
        <v>1425</v>
      </c>
      <c r="AH133" t="s">
        <v>1563</v>
      </c>
    </row>
    <row r="134" spans="1:34" x14ac:dyDescent="0.25">
      <c r="A134" t="s">
        <v>637</v>
      </c>
      <c r="B134" t="s">
        <v>638</v>
      </c>
      <c r="C134" t="s">
        <v>361</v>
      </c>
      <c r="D134" t="s">
        <v>382</v>
      </c>
      <c r="E134" t="s">
        <v>1563</v>
      </c>
      <c r="F134" t="s">
        <v>450</v>
      </c>
      <c r="G134" t="s">
        <v>1563</v>
      </c>
      <c r="H134" s="736" t="s">
        <v>641</v>
      </c>
      <c r="I134" t="s">
        <v>309</v>
      </c>
      <c r="J134" t="s">
        <v>642</v>
      </c>
      <c r="K134">
        <v>1</v>
      </c>
      <c r="L134" s="736">
        <v>1</v>
      </c>
      <c r="M134" s="736" t="s">
        <v>33</v>
      </c>
      <c r="N134" s="736">
        <v>1</v>
      </c>
      <c r="O134" s="736">
        <v>1</v>
      </c>
      <c r="P134" s="736">
        <v>1</v>
      </c>
      <c r="Q134" s="736" t="s">
        <v>45</v>
      </c>
      <c r="R134" s="736">
        <v>1</v>
      </c>
      <c r="S134">
        <v>1</v>
      </c>
      <c r="T134">
        <v>1</v>
      </c>
      <c r="U134" t="s">
        <v>1563</v>
      </c>
      <c r="V134" t="s">
        <v>1563</v>
      </c>
      <c r="W134" t="s">
        <v>1563</v>
      </c>
      <c r="X134">
        <v>1</v>
      </c>
      <c r="Y134" t="s">
        <v>1563</v>
      </c>
      <c r="Z134">
        <v>1</v>
      </c>
      <c r="AA134" t="s">
        <v>1563</v>
      </c>
      <c r="AB134" t="s">
        <v>1563</v>
      </c>
      <c r="AC134">
        <v>1</v>
      </c>
      <c r="AD134" t="s">
        <v>1563</v>
      </c>
      <c r="AE134">
        <v>0</v>
      </c>
      <c r="AF134" t="s">
        <v>1536</v>
      </c>
      <c r="AG134" t="s">
        <v>1425</v>
      </c>
      <c r="AH134" t="s">
        <v>1563</v>
      </c>
    </row>
    <row r="135" spans="1:34" x14ac:dyDescent="0.25">
      <c r="A135" t="s">
        <v>637</v>
      </c>
      <c r="B135" t="s">
        <v>638</v>
      </c>
      <c r="C135" t="s">
        <v>361</v>
      </c>
      <c r="D135" t="s">
        <v>382</v>
      </c>
      <c r="E135" t="s">
        <v>1563</v>
      </c>
      <c r="F135" t="s">
        <v>450</v>
      </c>
      <c r="G135" t="s">
        <v>1563</v>
      </c>
      <c r="H135" s="736" t="s">
        <v>643</v>
      </c>
      <c r="I135" t="s">
        <v>309</v>
      </c>
      <c r="J135" t="s">
        <v>644</v>
      </c>
      <c r="K135">
        <v>1</v>
      </c>
      <c r="L135" s="736">
        <v>1</v>
      </c>
      <c r="M135" s="736" t="s">
        <v>33</v>
      </c>
      <c r="N135" s="736">
        <v>1</v>
      </c>
      <c r="O135" s="736">
        <v>1</v>
      </c>
      <c r="P135" s="736">
        <v>1</v>
      </c>
      <c r="Q135" s="736" t="s">
        <v>45</v>
      </c>
      <c r="R135" s="736">
        <v>1</v>
      </c>
      <c r="S135">
        <v>1</v>
      </c>
      <c r="T135">
        <v>1</v>
      </c>
      <c r="U135" t="s">
        <v>1563</v>
      </c>
      <c r="V135" t="s">
        <v>1563</v>
      </c>
      <c r="W135" t="s">
        <v>1563</v>
      </c>
      <c r="X135">
        <v>1</v>
      </c>
      <c r="Y135" t="s">
        <v>1563</v>
      </c>
      <c r="Z135">
        <v>1</v>
      </c>
      <c r="AA135" t="s">
        <v>1563</v>
      </c>
      <c r="AB135" t="s">
        <v>1563</v>
      </c>
      <c r="AC135">
        <v>1</v>
      </c>
      <c r="AD135" t="s">
        <v>1563</v>
      </c>
      <c r="AE135">
        <v>0</v>
      </c>
      <c r="AF135" t="s">
        <v>1536</v>
      </c>
      <c r="AG135" t="s">
        <v>1425</v>
      </c>
      <c r="AH135" t="s">
        <v>1563</v>
      </c>
    </row>
    <row r="136" spans="1:34" x14ac:dyDescent="0.25">
      <c r="A136" t="s">
        <v>637</v>
      </c>
      <c r="B136" t="s">
        <v>638</v>
      </c>
      <c r="C136" t="s">
        <v>361</v>
      </c>
      <c r="D136" t="s">
        <v>382</v>
      </c>
      <c r="E136" t="s">
        <v>1563</v>
      </c>
      <c r="F136" t="s">
        <v>450</v>
      </c>
      <c r="G136" t="s">
        <v>1563</v>
      </c>
      <c r="H136" s="736" t="s">
        <v>645</v>
      </c>
      <c r="I136" t="s">
        <v>309</v>
      </c>
      <c r="J136" t="s">
        <v>646</v>
      </c>
      <c r="K136">
        <v>1</v>
      </c>
      <c r="L136" s="736">
        <v>1</v>
      </c>
      <c r="M136" s="736" t="s">
        <v>33</v>
      </c>
      <c r="N136" s="736">
        <v>1</v>
      </c>
      <c r="O136" s="736">
        <v>1</v>
      </c>
      <c r="P136" s="736">
        <v>1</v>
      </c>
      <c r="Q136" s="736" t="s">
        <v>45</v>
      </c>
      <c r="R136" s="736">
        <v>1</v>
      </c>
      <c r="S136">
        <v>1</v>
      </c>
      <c r="T136">
        <v>1</v>
      </c>
      <c r="U136" t="s">
        <v>1563</v>
      </c>
      <c r="V136" t="s">
        <v>1563</v>
      </c>
      <c r="W136" t="s">
        <v>1563</v>
      </c>
      <c r="X136">
        <v>1</v>
      </c>
      <c r="Y136" t="s">
        <v>1563</v>
      </c>
      <c r="Z136">
        <v>1</v>
      </c>
      <c r="AA136" t="s">
        <v>1563</v>
      </c>
      <c r="AB136" t="s">
        <v>1563</v>
      </c>
      <c r="AC136">
        <v>1</v>
      </c>
      <c r="AD136" t="s">
        <v>1563</v>
      </c>
      <c r="AE136">
        <v>0</v>
      </c>
      <c r="AF136" t="s">
        <v>1536</v>
      </c>
      <c r="AG136" t="s">
        <v>1425</v>
      </c>
      <c r="AH136" t="s">
        <v>1563</v>
      </c>
    </row>
    <row r="137" spans="1:34" x14ac:dyDescent="0.25">
      <c r="A137" t="s">
        <v>647</v>
      </c>
      <c r="B137" t="s">
        <v>648</v>
      </c>
      <c r="C137" t="s">
        <v>477</v>
      </c>
      <c r="D137" t="s">
        <v>382</v>
      </c>
      <c r="E137" t="s">
        <v>1563</v>
      </c>
      <c r="F137" t="s">
        <v>649</v>
      </c>
      <c r="G137" t="s">
        <v>1563</v>
      </c>
      <c r="H137" s="736" t="s">
        <v>650</v>
      </c>
      <c r="I137" t="s">
        <v>309</v>
      </c>
      <c r="J137" t="s">
        <v>326</v>
      </c>
      <c r="K137">
        <v>1</v>
      </c>
      <c r="L137" s="736">
        <v>8</v>
      </c>
      <c r="M137" s="736" t="s">
        <v>33</v>
      </c>
      <c r="N137" s="736">
        <v>1</v>
      </c>
      <c r="O137" s="736">
        <v>8</v>
      </c>
      <c r="P137" s="736">
        <v>1</v>
      </c>
      <c r="Q137" s="736" t="s">
        <v>45</v>
      </c>
      <c r="R137" s="736">
        <v>8</v>
      </c>
      <c r="S137">
        <v>1</v>
      </c>
      <c r="T137">
        <v>1</v>
      </c>
      <c r="U137" t="s">
        <v>1563</v>
      </c>
      <c r="V137" t="s">
        <v>1563</v>
      </c>
      <c r="W137" t="s">
        <v>1563</v>
      </c>
      <c r="X137">
        <v>1</v>
      </c>
      <c r="Y137" t="s">
        <v>1563</v>
      </c>
      <c r="Z137">
        <v>0</v>
      </c>
      <c r="AA137" t="s">
        <v>1563</v>
      </c>
      <c r="AB137" t="s">
        <v>1563</v>
      </c>
      <c r="AC137" t="s">
        <v>1563</v>
      </c>
      <c r="AD137" t="s">
        <v>1563</v>
      </c>
      <c r="AE137">
        <v>0</v>
      </c>
      <c r="AF137" t="s">
        <v>1563</v>
      </c>
      <c r="AG137" t="s">
        <v>1563</v>
      </c>
      <c r="AH137" t="s">
        <v>651</v>
      </c>
    </row>
    <row r="138" spans="1:34" x14ac:dyDescent="0.25">
      <c r="A138" t="s">
        <v>652</v>
      </c>
      <c r="B138" t="s">
        <v>653</v>
      </c>
      <c r="C138" t="s">
        <v>354</v>
      </c>
      <c r="D138" t="s">
        <v>382</v>
      </c>
      <c r="E138" t="s">
        <v>1563</v>
      </c>
      <c r="F138" t="s">
        <v>654</v>
      </c>
      <c r="G138" t="s">
        <v>1563</v>
      </c>
      <c r="H138" s="736" t="s">
        <v>655</v>
      </c>
      <c r="I138" t="s">
        <v>309</v>
      </c>
      <c r="J138" t="s">
        <v>326</v>
      </c>
      <c r="K138">
        <v>1</v>
      </c>
      <c r="L138" s="736">
        <v>1</v>
      </c>
      <c r="M138" s="736" t="s">
        <v>33</v>
      </c>
      <c r="N138" s="736">
        <v>1</v>
      </c>
      <c r="O138" s="736">
        <v>1</v>
      </c>
      <c r="P138" s="736">
        <v>1</v>
      </c>
      <c r="Q138" s="736" t="s">
        <v>45</v>
      </c>
      <c r="R138" s="736">
        <v>1</v>
      </c>
      <c r="S138">
        <v>1</v>
      </c>
      <c r="T138">
        <v>1</v>
      </c>
      <c r="U138" t="s">
        <v>1563</v>
      </c>
      <c r="V138" t="s">
        <v>1563</v>
      </c>
      <c r="W138" t="s">
        <v>1563</v>
      </c>
      <c r="X138">
        <v>1</v>
      </c>
      <c r="Y138" t="s">
        <v>656</v>
      </c>
      <c r="Z138">
        <v>1</v>
      </c>
      <c r="AA138">
        <v>1</v>
      </c>
      <c r="AB138" t="s">
        <v>1563</v>
      </c>
      <c r="AC138" t="s">
        <v>1563</v>
      </c>
      <c r="AD138" t="s">
        <v>1563</v>
      </c>
      <c r="AE138">
        <v>1</v>
      </c>
      <c r="AF138" t="s">
        <v>1521</v>
      </c>
      <c r="AG138" t="s">
        <v>1422</v>
      </c>
      <c r="AH138" t="s">
        <v>1563</v>
      </c>
    </row>
    <row r="139" spans="1:34" x14ac:dyDescent="0.25">
      <c r="A139" t="s">
        <v>657</v>
      </c>
      <c r="B139" t="s">
        <v>653</v>
      </c>
      <c r="C139" t="s">
        <v>354</v>
      </c>
      <c r="D139" t="s">
        <v>382</v>
      </c>
      <c r="E139" t="s">
        <v>1563</v>
      </c>
      <c r="F139" t="s">
        <v>658</v>
      </c>
      <c r="G139" t="s">
        <v>1563</v>
      </c>
      <c r="H139" s="736" t="s">
        <v>659</v>
      </c>
      <c r="I139" t="s">
        <v>309</v>
      </c>
      <c r="J139" t="s">
        <v>326</v>
      </c>
      <c r="K139">
        <v>1</v>
      </c>
      <c r="L139" s="736">
        <v>1</v>
      </c>
      <c r="M139" s="736" t="s">
        <v>33</v>
      </c>
      <c r="N139" s="736">
        <v>1</v>
      </c>
      <c r="O139" s="736">
        <v>1</v>
      </c>
      <c r="P139" s="736">
        <v>1</v>
      </c>
      <c r="Q139" s="736" t="s">
        <v>45</v>
      </c>
      <c r="R139" s="736">
        <v>1</v>
      </c>
      <c r="S139">
        <v>1</v>
      </c>
      <c r="T139">
        <v>1</v>
      </c>
      <c r="U139" t="s">
        <v>1563</v>
      </c>
      <c r="V139" t="s">
        <v>1563</v>
      </c>
      <c r="W139" t="s">
        <v>1563</v>
      </c>
      <c r="X139">
        <v>1</v>
      </c>
      <c r="Y139" t="s">
        <v>656</v>
      </c>
      <c r="Z139">
        <v>1</v>
      </c>
      <c r="AA139">
        <v>1</v>
      </c>
      <c r="AB139" t="s">
        <v>1563</v>
      </c>
      <c r="AC139" t="s">
        <v>1563</v>
      </c>
      <c r="AD139" t="s">
        <v>1563</v>
      </c>
      <c r="AE139">
        <v>1</v>
      </c>
      <c r="AF139" t="s">
        <v>1521</v>
      </c>
      <c r="AG139" t="s">
        <v>1422</v>
      </c>
      <c r="AH139" t="s">
        <v>1563</v>
      </c>
    </row>
    <row r="140" spans="1:34" x14ac:dyDescent="0.25">
      <c r="A140" t="s">
        <v>660</v>
      </c>
      <c r="B140" t="s">
        <v>661</v>
      </c>
      <c r="C140" t="s">
        <v>305</v>
      </c>
      <c r="D140" t="s">
        <v>382</v>
      </c>
      <c r="E140" t="s">
        <v>1563</v>
      </c>
      <c r="F140" t="s">
        <v>662</v>
      </c>
      <c r="G140" t="s">
        <v>1563</v>
      </c>
      <c r="H140" s="736" t="s">
        <v>1583</v>
      </c>
      <c r="I140" t="s">
        <v>309</v>
      </c>
      <c r="J140" t="s">
        <v>326</v>
      </c>
      <c r="K140">
        <v>2</v>
      </c>
      <c r="L140" s="736">
        <v>6</v>
      </c>
      <c r="M140" s="736" t="s">
        <v>33</v>
      </c>
      <c r="N140" s="736">
        <v>1</v>
      </c>
      <c r="O140" s="736">
        <v>6</v>
      </c>
      <c r="P140" s="736">
        <v>1</v>
      </c>
      <c r="Q140" s="736" t="s">
        <v>45</v>
      </c>
      <c r="R140" s="736">
        <v>6</v>
      </c>
      <c r="S140">
        <v>6</v>
      </c>
      <c r="T140">
        <v>6</v>
      </c>
      <c r="U140" t="s">
        <v>1563</v>
      </c>
      <c r="V140" t="s">
        <v>1563</v>
      </c>
      <c r="W140" t="s">
        <v>1563</v>
      </c>
      <c r="X140">
        <v>1</v>
      </c>
      <c r="Y140" t="s">
        <v>656</v>
      </c>
      <c r="Z140">
        <v>6</v>
      </c>
      <c r="AA140">
        <v>6</v>
      </c>
      <c r="AB140" t="s">
        <v>1563</v>
      </c>
      <c r="AC140" t="s">
        <v>1563</v>
      </c>
      <c r="AD140" t="s">
        <v>1563</v>
      </c>
      <c r="AE140">
        <v>1</v>
      </c>
      <c r="AF140" t="s">
        <v>1521</v>
      </c>
      <c r="AG140" t="s">
        <v>1425</v>
      </c>
      <c r="AH140" t="s">
        <v>1563</v>
      </c>
    </row>
    <row r="141" spans="1:34" x14ac:dyDescent="0.25">
      <c r="A141" t="s">
        <v>663</v>
      </c>
      <c r="B141" t="s">
        <v>661</v>
      </c>
      <c r="C141" t="s">
        <v>305</v>
      </c>
      <c r="D141" t="s">
        <v>382</v>
      </c>
      <c r="E141" t="s">
        <v>1563</v>
      </c>
      <c r="F141" t="s">
        <v>664</v>
      </c>
      <c r="G141" t="s">
        <v>1563</v>
      </c>
      <c r="H141" s="736" t="s">
        <v>665</v>
      </c>
      <c r="I141" t="s">
        <v>309</v>
      </c>
      <c r="J141" t="s">
        <v>326</v>
      </c>
      <c r="K141">
        <v>1</v>
      </c>
      <c r="L141" s="736">
        <v>2</v>
      </c>
      <c r="M141" s="736" t="s">
        <v>33</v>
      </c>
      <c r="N141" s="736">
        <v>1</v>
      </c>
      <c r="O141" s="736">
        <v>2</v>
      </c>
      <c r="P141" s="736">
        <v>1</v>
      </c>
      <c r="Q141" s="736" t="s">
        <v>45</v>
      </c>
      <c r="R141" s="736">
        <v>2</v>
      </c>
      <c r="S141">
        <v>2</v>
      </c>
      <c r="T141">
        <v>2</v>
      </c>
      <c r="U141" t="s">
        <v>1563</v>
      </c>
      <c r="V141" t="s">
        <v>1563</v>
      </c>
      <c r="W141" t="s">
        <v>1563</v>
      </c>
      <c r="X141">
        <v>1</v>
      </c>
      <c r="Y141" t="s">
        <v>1563</v>
      </c>
      <c r="Z141">
        <v>2</v>
      </c>
      <c r="AA141" t="s">
        <v>1563</v>
      </c>
      <c r="AB141" t="s">
        <v>1563</v>
      </c>
      <c r="AC141">
        <v>2</v>
      </c>
      <c r="AD141" t="s">
        <v>1563</v>
      </c>
      <c r="AE141">
        <v>0</v>
      </c>
      <c r="AF141" t="s">
        <v>1535</v>
      </c>
      <c r="AG141" t="s">
        <v>1425</v>
      </c>
      <c r="AH141" t="s">
        <v>1563</v>
      </c>
    </row>
    <row r="142" spans="1:34" x14ac:dyDescent="0.25">
      <c r="A142" t="s">
        <v>657</v>
      </c>
      <c r="B142" t="s">
        <v>653</v>
      </c>
      <c r="C142" t="s">
        <v>354</v>
      </c>
      <c r="D142" t="s">
        <v>382</v>
      </c>
      <c r="E142" t="s">
        <v>1563</v>
      </c>
      <c r="F142" t="s">
        <v>666</v>
      </c>
      <c r="G142" t="s">
        <v>1563</v>
      </c>
      <c r="H142" s="736" t="s">
        <v>667</v>
      </c>
      <c r="I142" t="s">
        <v>330</v>
      </c>
      <c r="J142" t="s">
        <v>326</v>
      </c>
      <c r="K142">
        <v>1</v>
      </c>
      <c r="L142" s="736">
        <v>1</v>
      </c>
      <c r="M142" s="736" t="s">
        <v>33</v>
      </c>
      <c r="N142" s="736">
        <v>1</v>
      </c>
      <c r="O142" s="736">
        <v>1</v>
      </c>
      <c r="P142" s="736">
        <v>1</v>
      </c>
      <c r="Q142" s="736" t="s">
        <v>45</v>
      </c>
      <c r="R142" s="736">
        <v>1</v>
      </c>
      <c r="S142">
        <v>1</v>
      </c>
      <c r="T142">
        <v>1</v>
      </c>
      <c r="U142" t="s">
        <v>1563</v>
      </c>
      <c r="V142" t="s">
        <v>1563</v>
      </c>
      <c r="W142" t="s">
        <v>1563</v>
      </c>
      <c r="X142">
        <v>1</v>
      </c>
      <c r="Y142" t="s">
        <v>668</v>
      </c>
      <c r="Z142">
        <v>1</v>
      </c>
      <c r="AA142">
        <v>1</v>
      </c>
      <c r="AB142" t="s">
        <v>1563</v>
      </c>
      <c r="AC142" t="s">
        <v>1563</v>
      </c>
      <c r="AD142" t="s">
        <v>1563</v>
      </c>
      <c r="AE142">
        <v>1</v>
      </c>
      <c r="AF142" t="s">
        <v>1563</v>
      </c>
      <c r="AG142" t="s">
        <v>1422</v>
      </c>
      <c r="AH142" t="s">
        <v>332</v>
      </c>
    </row>
    <row r="143" spans="1:34" x14ac:dyDescent="0.25">
      <c r="A143" t="s">
        <v>669</v>
      </c>
      <c r="B143" t="s">
        <v>1580</v>
      </c>
      <c r="C143" t="s">
        <v>477</v>
      </c>
      <c r="D143" t="s">
        <v>382</v>
      </c>
      <c r="E143" t="s">
        <v>1563</v>
      </c>
      <c r="F143" t="s">
        <v>670</v>
      </c>
      <c r="G143" t="s">
        <v>1563</v>
      </c>
      <c r="H143" s="736" t="s">
        <v>1584</v>
      </c>
      <c r="I143" t="s">
        <v>309</v>
      </c>
      <c r="J143" t="s">
        <v>326</v>
      </c>
      <c r="K143">
        <v>1</v>
      </c>
      <c r="L143" s="736">
        <v>2</v>
      </c>
      <c r="M143" s="736" t="s">
        <v>33</v>
      </c>
      <c r="N143" s="736">
        <v>1</v>
      </c>
      <c r="O143" s="736">
        <v>2</v>
      </c>
      <c r="P143" s="736">
        <v>1</v>
      </c>
      <c r="Q143" s="736" t="s">
        <v>45</v>
      </c>
      <c r="R143" s="736">
        <v>2</v>
      </c>
      <c r="S143">
        <v>2</v>
      </c>
      <c r="T143">
        <v>2</v>
      </c>
      <c r="U143" t="s">
        <v>1563</v>
      </c>
      <c r="V143" t="s">
        <v>1563</v>
      </c>
      <c r="W143" t="s">
        <v>1563</v>
      </c>
      <c r="X143">
        <v>1</v>
      </c>
      <c r="Y143" t="s">
        <v>1563</v>
      </c>
      <c r="Z143">
        <v>2</v>
      </c>
      <c r="AA143">
        <v>2</v>
      </c>
      <c r="AB143" t="s">
        <v>1563</v>
      </c>
      <c r="AC143" t="s">
        <v>1563</v>
      </c>
      <c r="AD143" t="s">
        <v>1563</v>
      </c>
      <c r="AE143">
        <v>1</v>
      </c>
      <c r="AF143" t="s">
        <v>1521</v>
      </c>
      <c r="AG143" t="s">
        <v>1423</v>
      </c>
      <c r="AH143" t="s">
        <v>1563</v>
      </c>
    </row>
    <row r="144" spans="1:34" x14ac:dyDescent="0.25">
      <c r="A144" t="s">
        <v>671</v>
      </c>
      <c r="B144" t="s">
        <v>556</v>
      </c>
      <c r="C144" t="s">
        <v>477</v>
      </c>
      <c r="D144" t="s">
        <v>382</v>
      </c>
      <c r="E144" t="s">
        <v>1563</v>
      </c>
      <c r="F144" t="s">
        <v>672</v>
      </c>
      <c r="G144" t="s">
        <v>1563</v>
      </c>
      <c r="H144" s="736" t="s">
        <v>673</v>
      </c>
      <c r="I144" t="s">
        <v>309</v>
      </c>
      <c r="J144" t="s">
        <v>326</v>
      </c>
      <c r="K144">
        <v>1</v>
      </c>
      <c r="L144" s="736">
        <v>1</v>
      </c>
      <c r="M144" s="736" t="s">
        <v>33</v>
      </c>
      <c r="N144" s="736">
        <v>1</v>
      </c>
      <c r="O144" s="736">
        <v>1</v>
      </c>
      <c r="P144" s="736">
        <v>1</v>
      </c>
      <c r="Q144" s="736" t="s">
        <v>45</v>
      </c>
      <c r="R144" s="736">
        <v>1</v>
      </c>
      <c r="S144">
        <v>1</v>
      </c>
      <c r="T144">
        <v>1</v>
      </c>
      <c r="U144" t="s">
        <v>1563</v>
      </c>
      <c r="V144" t="s">
        <v>1563</v>
      </c>
      <c r="W144" t="s">
        <v>1563</v>
      </c>
      <c r="X144">
        <v>1</v>
      </c>
      <c r="Y144" t="s">
        <v>1563</v>
      </c>
      <c r="Z144">
        <v>1</v>
      </c>
      <c r="AA144" t="s">
        <v>1563</v>
      </c>
      <c r="AB144" t="s">
        <v>1563</v>
      </c>
      <c r="AC144">
        <v>1</v>
      </c>
      <c r="AD144" t="s">
        <v>1563</v>
      </c>
      <c r="AE144">
        <v>0</v>
      </c>
      <c r="AF144" t="s">
        <v>1523</v>
      </c>
      <c r="AG144" t="s">
        <v>1423</v>
      </c>
      <c r="AH144" t="s">
        <v>1563</v>
      </c>
    </row>
    <row r="145" spans="1:34" x14ac:dyDescent="0.25">
      <c r="A145" t="s">
        <v>387</v>
      </c>
      <c r="B145" t="s">
        <v>388</v>
      </c>
      <c r="C145" t="s">
        <v>477</v>
      </c>
      <c r="D145" t="s">
        <v>382</v>
      </c>
      <c r="E145" t="s">
        <v>1563</v>
      </c>
      <c r="F145" t="s">
        <v>674</v>
      </c>
      <c r="G145" t="s">
        <v>275</v>
      </c>
      <c r="H145" s="736" t="s">
        <v>675</v>
      </c>
      <c r="I145" t="s">
        <v>309</v>
      </c>
      <c r="J145" t="s">
        <v>326</v>
      </c>
      <c r="K145">
        <v>1</v>
      </c>
      <c r="L145" s="736">
        <v>1</v>
      </c>
      <c r="M145" s="736" t="s">
        <v>33</v>
      </c>
      <c r="N145" s="736">
        <v>1</v>
      </c>
      <c r="O145" s="736">
        <v>1</v>
      </c>
      <c r="P145" s="736">
        <v>1</v>
      </c>
      <c r="Q145" s="736" t="s">
        <v>45</v>
      </c>
      <c r="R145" s="736">
        <v>1</v>
      </c>
      <c r="S145">
        <v>1</v>
      </c>
      <c r="T145">
        <v>1</v>
      </c>
      <c r="U145" t="s">
        <v>1563</v>
      </c>
      <c r="V145" t="s">
        <v>1563</v>
      </c>
      <c r="W145" t="s">
        <v>1563</v>
      </c>
      <c r="X145">
        <v>1</v>
      </c>
      <c r="Y145" t="s">
        <v>1563</v>
      </c>
      <c r="Z145">
        <v>1</v>
      </c>
      <c r="AA145">
        <v>1</v>
      </c>
      <c r="AB145" t="s">
        <v>1563</v>
      </c>
      <c r="AC145" t="s">
        <v>1563</v>
      </c>
      <c r="AD145" t="s">
        <v>1563</v>
      </c>
      <c r="AE145">
        <v>1</v>
      </c>
      <c r="AF145" t="s">
        <v>1521</v>
      </c>
      <c r="AG145" t="s">
        <v>1425</v>
      </c>
      <c r="AH145" t="s">
        <v>1563</v>
      </c>
    </row>
    <row r="146" spans="1:34" x14ac:dyDescent="0.25">
      <c r="A146" t="s">
        <v>387</v>
      </c>
      <c r="B146" t="s">
        <v>388</v>
      </c>
      <c r="C146" t="s">
        <v>477</v>
      </c>
      <c r="D146" t="s">
        <v>382</v>
      </c>
      <c r="E146" t="s">
        <v>1563</v>
      </c>
      <c r="F146" t="s">
        <v>676</v>
      </c>
      <c r="G146" t="s">
        <v>275</v>
      </c>
      <c r="H146" s="736" t="s">
        <v>1585</v>
      </c>
      <c r="I146" t="s">
        <v>309</v>
      </c>
      <c r="J146" t="s">
        <v>326</v>
      </c>
      <c r="K146">
        <v>1</v>
      </c>
      <c r="L146" s="736">
        <v>2</v>
      </c>
      <c r="M146" s="736" t="s">
        <v>33</v>
      </c>
      <c r="N146" s="736">
        <v>1</v>
      </c>
      <c r="O146" s="736">
        <v>2</v>
      </c>
      <c r="P146" s="736">
        <v>1</v>
      </c>
      <c r="Q146" s="736" t="s">
        <v>45</v>
      </c>
      <c r="R146" s="736">
        <v>2</v>
      </c>
      <c r="S146">
        <v>2</v>
      </c>
      <c r="T146">
        <v>2</v>
      </c>
      <c r="U146" t="s">
        <v>1563</v>
      </c>
      <c r="V146" t="s">
        <v>1563</v>
      </c>
      <c r="W146" t="s">
        <v>1563</v>
      </c>
      <c r="X146">
        <v>1</v>
      </c>
      <c r="Y146" t="s">
        <v>1563</v>
      </c>
      <c r="Z146">
        <v>2</v>
      </c>
      <c r="AA146">
        <v>2</v>
      </c>
      <c r="AB146" t="s">
        <v>1563</v>
      </c>
      <c r="AC146" t="s">
        <v>1563</v>
      </c>
      <c r="AD146" t="s">
        <v>1563</v>
      </c>
      <c r="AE146">
        <v>1</v>
      </c>
      <c r="AF146" t="s">
        <v>1521</v>
      </c>
      <c r="AG146" t="s">
        <v>1425</v>
      </c>
      <c r="AH146" t="s">
        <v>1563</v>
      </c>
    </row>
    <row r="147" spans="1:34" x14ac:dyDescent="0.25">
      <c r="A147" t="s">
        <v>387</v>
      </c>
      <c r="B147" t="s">
        <v>388</v>
      </c>
      <c r="C147" t="s">
        <v>477</v>
      </c>
      <c r="D147" t="s">
        <v>382</v>
      </c>
      <c r="E147" t="s">
        <v>1563</v>
      </c>
      <c r="F147" t="s">
        <v>677</v>
      </c>
      <c r="G147" t="s">
        <v>275</v>
      </c>
      <c r="H147" s="736" t="s">
        <v>678</v>
      </c>
      <c r="I147" t="s">
        <v>309</v>
      </c>
      <c r="J147" t="s">
        <v>602</v>
      </c>
      <c r="K147">
        <v>1</v>
      </c>
      <c r="L147" s="736">
        <v>1</v>
      </c>
      <c r="M147" s="736" t="s">
        <v>33</v>
      </c>
      <c r="N147" s="736">
        <v>1</v>
      </c>
      <c r="O147" s="736">
        <v>1</v>
      </c>
      <c r="P147" s="736">
        <v>1</v>
      </c>
      <c r="Q147" s="736" t="s">
        <v>45</v>
      </c>
      <c r="R147" s="736">
        <v>1</v>
      </c>
      <c r="S147">
        <v>1</v>
      </c>
      <c r="T147">
        <v>1</v>
      </c>
      <c r="U147" t="s">
        <v>1563</v>
      </c>
      <c r="V147" t="s">
        <v>1563</v>
      </c>
      <c r="W147" t="s">
        <v>1563</v>
      </c>
      <c r="X147">
        <v>1</v>
      </c>
      <c r="Y147" t="s">
        <v>1563</v>
      </c>
      <c r="Z147">
        <v>1</v>
      </c>
      <c r="AA147" t="s">
        <v>1563</v>
      </c>
      <c r="AB147" t="s">
        <v>1563</v>
      </c>
      <c r="AC147">
        <v>1</v>
      </c>
      <c r="AD147" t="s">
        <v>1563</v>
      </c>
      <c r="AE147">
        <v>0</v>
      </c>
      <c r="AF147" t="s">
        <v>1536</v>
      </c>
      <c r="AG147" t="s">
        <v>1425</v>
      </c>
      <c r="AH147" t="s">
        <v>1563</v>
      </c>
    </row>
    <row r="148" spans="1:34" x14ac:dyDescent="0.25">
      <c r="A148" t="s">
        <v>669</v>
      </c>
      <c r="B148" t="s">
        <v>1580</v>
      </c>
      <c r="C148" t="s">
        <v>477</v>
      </c>
      <c r="D148" t="s">
        <v>382</v>
      </c>
      <c r="E148" t="s">
        <v>1563</v>
      </c>
      <c r="F148" t="s">
        <v>679</v>
      </c>
      <c r="G148" t="s">
        <v>1563</v>
      </c>
      <c r="H148" s="736" t="s">
        <v>1586</v>
      </c>
      <c r="I148" t="s">
        <v>309</v>
      </c>
      <c r="J148" t="s">
        <v>326</v>
      </c>
      <c r="K148">
        <v>1</v>
      </c>
      <c r="L148" s="736">
        <v>2</v>
      </c>
      <c r="M148" s="736" t="s">
        <v>33</v>
      </c>
      <c r="N148" s="736">
        <v>1</v>
      </c>
      <c r="O148" s="736">
        <v>2</v>
      </c>
      <c r="P148" s="736">
        <v>1</v>
      </c>
      <c r="Q148" s="736" t="s">
        <v>45</v>
      </c>
      <c r="R148" s="736">
        <v>2</v>
      </c>
      <c r="S148">
        <v>2</v>
      </c>
      <c r="T148">
        <v>2</v>
      </c>
      <c r="U148" t="s">
        <v>1563</v>
      </c>
      <c r="V148" t="s">
        <v>1563</v>
      </c>
      <c r="W148" t="s">
        <v>1563</v>
      </c>
      <c r="X148">
        <v>1</v>
      </c>
      <c r="Y148" t="s">
        <v>1563</v>
      </c>
      <c r="Z148">
        <v>2</v>
      </c>
      <c r="AA148">
        <v>1</v>
      </c>
      <c r="AB148" t="s">
        <v>1563</v>
      </c>
      <c r="AC148">
        <v>1</v>
      </c>
      <c r="AD148" t="s">
        <v>1563</v>
      </c>
      <c r="AE148">
        <v>0.5</v>
      </c>
      <c r="AF148" t="s">
        <v>1522</v>
      </c>
      <c r="AG148" t="s">
        <v>1423</v>
      </c>
      <c r="AH148" t="s">
        <v>1563</v>
      </c>
    </row>
    <row r="149" spans="1:34" x14ac:dyDescent="0.25">
      <c r="A149" t="s">
        <v>387</v>
      </c>
      <c r="B149" t="s">
        <v>388</v>
      </c>
      <c r="C149" t="s">
        <v>477</v>
      </c>
      <c r="D149" t="s">
        <v>382</v>
      </c>
      <c r="E149" t="s">
        <v>1563</v>
      </c>
      <c r="F149" t="s">
        <v>680</v>
      </c>
      <c r="G149" t="s">
        <v>275</v>
      </c>
      <c r="H149" s="736" t="s">
        <v>681</v>
      </c>
      <c r="I149" t="s">
        <v>309</v>
      </c>
      <c r="J149" t="s">
        <v>326</v>
      </c>
      <c r="K149">
        <v>1</v>
      </c>
      <c r="L149" s="736">
        <v>1</v>
      </c>
      <c r="M149" s="736" t="s">
        <v>33</v>
      </c>
      <c r="N149" s="736">
        <v>1</v>
      </c>
      <c r="O149" s="736">
        <v>1</v>
      </c>
      <c r="P149" s="736">
        <v>1</v>
      </c>
      <c r="Q149" s="736" t="s">
        <v>45</v>
      </c>
      <c r="R149" s="736">
        <v>1</v>
      </c>
      <c r="S149">
        <v>1</v>
      </c>
      <c r="T149">
        <v>1</v>
      </c>
      <c r="U149" t="s">
        <v>1563</v>
      </c>
      <c r="V149" t="s">
        <v>1563</v>
      </c>
      <c r="W149" t="s">
        <v>1563</v>
      </c>
      <c r="X149">
        <v>1</v>
      </c>
      <c r="Y149" t="s">
        <v>1563</v>
      </c>
      <c r="Z149">
        <v>1</v>
      </c>
      <c r="AA149">
        <v>1</v>
      </c>
      <c r="AB149" t="s">
        <v>1563</v>
      </c>
      <c r="AC149" t="s">
        <v>1563</v>
      </c>
      <c r="AD149" t="s">
        <v>1563</v>
      </c>
      <c r="AE149">
        <v>1</v>
      </c>
      <c r="AF149" t="s">
        <v>1521</v>
      </c>
      <c r="AG149" t="s">
        <v>1425</v>
      </c>
      <c r="AH149" t="s">
        <v>1563</v>
      </c>
    </row>
    <row r="150" spans="1:34" x14ac:dyDescent="0.25">
      <c r="A150" t="s">
        <v>387</v>
      </c>
      <c r="B150" t="s">
        <v>388</v>
      </c>
      <c r="C150" t="s">
        <v>477</v>
      </c>
      <c r="D150" t="s">
        <v>382</v>
      </c>
      <c r="E150" t="s">
        <v>1563</v>
      </c>
      <c r="F150" t="s">
        <v>682</v>
      </c>
      <c r="G150" t="s">
        <v>275</v>
      </c>
      <c r="H150" s="736" t="s">
        <v>683</v>
      </c>
      <c r="I150" t="s">
        <v>309</v>
      </c>
      <c r="J150" t="s">
        <v>326</v>
      </c>
      <c r="K150">
        <v>1</v>
      </c>
      <c r="L150" s="736">
        <v>1</v>
      </c>
      <c r="M150" s="736" t="s">
        <v>33</v>
      </c>
      <c r="N150" s="736">
        <v>1</v>
      </c>
      <c r="O150" s="736">
        <v>1</v>
      </c>
      <c r="P150" s="736">
        <v>1</v>
      </c>
      <c r="Q150" s="736" t="s">
        <v>45</v>
      </c>
      <c r="R150" s="736">
        <v>1</v>
      </c>
      <c r="S150">
        <v>1</v>
      </c>
      <c r="T150">
        <v>1</v>
      </c>
      <c r="U150" t="s">
        <v>1563</v>
      </c>
      <c r="V150" t="s">
        <v>1563</v>
      </c>
      <c r="W150" t="s">
        <v>1563</v>
      </c>
      <c r="X150">
        <v>1</v>
      </c>
      <c r="Y150" t="s">
        <v>1563</v>
      </c>
      <c r="Z150">
        <v>1</v>
      </c>
      <c r="AA150">
        <v>1</v>
      </c>
      <c r="AB150" t="s">
        <v>1563</v>
      </c>
      <c r="AC150" t="s">
        <v>1563</v>
      </c>
      <c r="AD150" t="s">
        <v>1563</v>
      </c>
      <c r="AE150">
        <v>1</v>
      </c>
      <c r="AF150" t="s">
        <v>1521</v>
      </c>
      <c r="AG150" t="s">
        <v>1425</v>
      </c>
      <c r="AH150" t="s">
        <v>1563</v>
      </c>
    </row>
    <row r="151" spans="1:34" x14ac:dyDescent="0.25">
      <c r="A151" t="s">
        <v>387</v>
      </c>
      <c r="B151" t="s">
        <v>388</v>
      </c>
      <c r="C151" t="s">
        <v>477</v>
      </c>
      <c r="D151" t="s">
        <v>382</v>
      </c>
      <c r="E151" t="s">
        <v>1563</v>
      </c>
      <c r="F151" t="s">
        <v>684</v>
      </c>
      <c r="G151" t="s">
        <v>275</v>
      </c>
      <c r="H151" s="736" t="s">
        <v>685</v>
      </c>
      <c r="I151" t="s">
        <v>309</v>
      </c>
      <c r="J151" t="s">
        <v>538</v>
      </c>
      <c r="K151">
        <v>1</v>
      </c>
      <c r="L151" s="736">
        <v>1</v>
      </c>
      <c r="M151" s="736" t="s">
        <v>33</v>
      </c>
      <c r="N151" s="736">
        <v>1</v>
      </c>
      <c r="O151" s="736">
        <v>1</v>
      </c>
      <c r="P151" s="736">
        <v>1</v>
      </c>
      <c r="Q151" s="736" t="s">
        <v>45</v>
      </c>
      <c r="R151" s="736">
        <v>1</v>
      </c>
      <c r="S151">
        <v>1</v>
      </c>
      <c r="T151">
        <v>1</v>
      </c>
      <c r="U151" t="s">
        <v>1563</v>
      </c>
      <c r="V151" t="s">
        <v>1563</v>
      </c>
      <c r="W151" t="s">
        <v>1563</v>
      </c>
      <c r="X151">
        <v>1</v>
      </c>
      <c r="Y151" t="s">
        <v>1563</v>
      </c>
      <c r="Z151">
        <v>1</v>
      </c>
      <c r="AA151">
        <v>1</v>
      </c>
      <c r="AB151" t="s">
        <v>1563</v>
      </c>
      <c r="AC151" t="s">
        <v>1563</v>
      </c>
      <c r="AD151" t="s">
        <v>1563</v>
      </c>
      <c r="AE151">
        <v>1</v>
      </c>
      <c r="AF151" t="s">
        <v>1521</v>
      </c>
      <c r="AG151" t="s">
        <v>1425</v>
      </c>
      <c r="AH151" t="s">
        <v>1563</v>
      </c>
    </row>
    <row r="152" spans="1:34" x14ac:dyDescent="0.25">
      <c r="A152" t="s">
        <v>387</v>
      </c>
      <c r="B152" t="s">
        <v>388</v>
      </c>
      <c r="C152" t="s">
        <v>305</v>
      </c>
      <c r="D152" t="s">
        <v>382</v>
      </c>
      <c r="E152" t="s">
        <v>1563</v>
      </c>
      <c r="F152" t="s">
        <v>686</v>
      </c>
      <c r="G152" t="s">
        <v>275</v>
      </c>
      <c r="H152" s="736" t="s">
        <v>687</v>
      </c>
      <c r="I152" t="s">
        <v>309</v>
      </c>
      <c r="J152" t="s">
        <v>326</v>
      </c>
      <c r="K152">
        <v>1</v>
      </c>
      <c r="L152" s="736">
        <v>1</v>
      </c>
      <c r="M152" s="736" t="s">
        <v>33</v>
      </c>
      <c r="N152" s="736">
        <v>1</v>
      </c>
      <c r="O152" s="736">
        <v>1</v>
      </c>
      <c r="P152" s="736">
        <v>1</v>
      </c>
      <c r="Q152" s="736" t="s">
        <v>45</v>
      </c>
      <c r="R152" s="736">
        <v>1</v>
      </c>
      <c r="S152">
        <v>1</v>
      </c>
      <c r="T152">
        <v>1</v>
      </c>
      <c r="U152" t="s">
        <v>1563</v>
      </c>
      <c r="V152" t="s">
        <v>1563</v>
      </c>
      <c r="W152" t="s">
        <v>1563</v>
      </c>
      <c r="X152">
        <v>1</v>
      </c>
      <c r="Y152" t="s">
        <v>1563</v>
      </c>
      <c r="Z152">
        <v>1</v>
      </c>
      <c r="AA152">
        <v>1</v>
      </c>
      <c r="AB152" t="s">
        <v>1563</v>
      </c>
      <c r="AC152" t="s">
        <v>1563</v>
      </c>
      <c r="AD152" t="s">
        <v>1563</v>
      </c>
      <c r="AE152">
        <v>1</v>
      </c>
      <c r="AF152" t="s">
        <v>1521</v>
      </c>
      <c r="AG152" t="s">
        <v>1425</v>
      </c>
      <c r="AH152" t="s">
        <v>1563</v>
      </c>
    </row>
    <row r="153" spans="1:34" x14ac:dyDescent="0.25">
      <c r="A153" t="s">
        <v>387</v>
      </c>
      <c r="B153" t="s">
        <v>388</v>
      </c>
      <c r="C153" t="s">
        <v>305</v>
      </c>
      <c r="D153" t="s">
        <v>382</v>
      </c>
      <c r="E153" t="s">
        <v>1563</v>
      </c>
      <c r="F153" t="s">
        <v>688</v>
      </c>
      <c r="G153" t="s">
        <v>275</v>
      </c>
      <c r="H153" s="736" t="s">
        <v>689</v>
      </c>
      <c r="I153" t="s">
        <v>330</v>
      </c>
      <c r="J153" t="s">
        <v>326</v>
      </c>
      <c r="K153">
        <v>1</v>
      </c>
      <c r="L153" s="736">
        <v>1</v>
      </c>
      <c r="M153" s="736" t="s">
        <v>33</v>
      </c>
      <c r="N153" s="736">
        <v>1</v>
      </c>
      <c r="O153" s="736">
        <v>1</v>
      </c>
      <c r="P153" s="736">
        <v>1</v>
      </c>
      <c r="Q153" s="736" t="s">
        <v>45</v>
      </c>
      <c r="R153" s="736">
        <v>1</v>
      </c>
      <c r="S153">
        <v>1</v>
      </c>
      <c r="T153">
        <v>1</v>
      </c>
      <c r="U153" t="s">
        <v>1563</v>
      </c>
      <c r="V153" t="s">
        <v>1563</v>
      </c>
      <c r="W153" t="s">
        <v>1563</v>
      </c>
      <c r="X153">
        <v>1</v>
      </c>
      <c r="Y153" t="s">
        <v>1563</v>
      </c>
      <c r="Z153">
        <v>1</v>
      </c>
      <c r="AA153">
        <v>1</v>
      </c>
      <c r="AB153" t="s">
        <v>1563</v>
      </c>
      <c r="AC153" t="s">
        <v>1563</v>
      </c>
      <c r="AD153" t="s">
        <v>1563</v>
      </c>
      <c r="AE153">
        <v>1</v>
      </c>
      <c r="AF153" t="s">
        <v>1563</v>
      </c>
      <c r="AG153" t="s">
        <v>1425</v>
      </c>
      <c r="AH153" t="s">
        <v>332</v>
      </c>
    </row>
    <row r="154" spans="1:34" x14ac:dyDescent="0.25">
      <c r="A154" t="s">
        <v>690</v>
      </c>
      <c r="B154" t="s">
        <v>691</v>
      </c>
      <c r="C154" t="s">
        <v>354</v>
      </c>
      <c r="D154" t="s">
        <v>382</v>
      </c>
      <c r="E154" t="s">
        <v>1563</v>
      </c>
      <c r="F154" t="s">
        <v>692</v>
      </c>
      <c r="G154" t="s">
        <v>275</v>
      </c>
      <c r="H154" s="736" t="s">
        <v>693</v>
      </c>
      <c r="I154" t="s">
        <v>309</v>
      </c>
      <c r="J154" t="s">
        <v>694</v>
      </c>
      <c r="K154">
        <v>1</v>
      </c>
      <c r="L154" s="736">
        <v>1</v>
      </c>
      <c r="M154" s="736" t="s">
        <v>33</v>
      </c>
      <c r="N154" s="736">
        <v>1</v>
      </c>
      <c r="O154" s="736">
        <v>1</v>
      </c>
      <c r="P154" s="736">
        <v>1</v>
      </c>
      <c r="Q154" s="736" t="s">
        <v>45</v>
      </c>
      <c r="R154" s="736">
        <v>1</v>
      </c>
      <c r="S154">
        <v>1</v>
      </c>
      <c r="T154">
        <v>1</v>
      </c>
      <c r="U154" t="s">
        <v>1563</v>
      </c>
      <c r="V154" t="s">
        <v>1563</v>
      </c>
      <c r="W154" t="s">
        <v>1563</v>
      </c>
      <c r="X154">
        <v>1</v>
      </c>
      <c r="Y154" t="s">
        <v>1563</v>
      </c>
      <c r="Z154">
        <v>1</v>
      </c>
      <c r="AA154" t="s">
        <v>1563</v>
      </c>
      <c r="AB154" t="s">
        <v>1563</v>
      </c>
      <c r="AC154">
        <v>1</v>
      </c>
      <c r="AD154" t="s">
        <v>1563</v>
      </c>
      <c r="AE154">
        <v>0</v>
      </c>
      <c r="AF154" t="s">
        <v>1539</v>
      </c>
      <c r="AG154" t="s">
        <v>1439</v>
      </c>
      <c r="AH154" t="s">
        <v>1563</v>
      </c>
    </row>
    <row r="155" spans="1:34" x14ac:dyDescent="0.25">
      <c r="A155" t="s">
        <v>690</v>
      </c>
      <c r="B155" t="s">
        <v>691</v>
      </c>
      <c r="C155" t="s">
        <v>354</v>
      </c>
      <c r="D155" t="s">
        <v>382</v>
      </c>
      <c r="E155" t="s">
        <v>1563</v>
      </c>
      <c r="F155" t="s">
        <v>695</v>
      </c>
      <c r="G155" t="s">
        <v>275</v>
      </c>
      <c r="H155" s="736" t="s">
        <v>696</v>
      </c>
      <c r="I155" t="s">
        <v>309</v>
      </c>
      <c r="J155" t="s">
        <v>694</v>
      </c>
      <c r="K155">
        <v>1</v>
      </c>
      <c r="L155" s="736">
        <v>1</v>
      </c>
      <c r="M155" s="736" t="s">
        <v>33</v>
      </c>
      <c r="N155" s="736">
        <v>1</v>
      </c>
      <c r="O155" s="736">
        <v>1</v>
      </c>
      <c r="P155" s="736">
        <v>1</v>
      </c>
      <c r="Q155" s="736" t="s">
        <v>45</v>
      </c>
      <c r="R155" s="736">
        <v>1</v>
      </c>
      <c r="S155">
        <v>1</v>
      </c>
      <c r="T155">
        <v>1</v>
      </c>
      <c r="U155" t="s">
        <v>1563</v>
      </c>
      <c r="V155" t="s">
        <v>1563</v>
      </c>
      <c r="W155" t="s">
        <v>1563</v>
      </c>
      <c r="X155">
        <v>1</v>
      </c>
      <c r="Y155" t="s">
        <v>1563</v>
      </c>
      <c r="Z155">
        <v>1</v>
      </c>
      <c r="AA155" t="s">
        <v>1563</v>
      </c>
      <c r="AB155" t="s">
        <v>1563</v>
      </c>
      <c r="AC155">
        <v>1</v>
      </c>
      <c r="AD155" t="s">
        <v>1563</v>
      </c>
      <c r="AE155">
        <v>0</v>
      </c>
      <c r="AF155" t="s">
        <v>1539</v>
      </c>
      <c r="AG155" t="s">
        <v>1439</v>
      </c>
      <c r="AH155" t="s">
        <v>1563</v>
      </c>
    </row>
    <row r="156" spans="1:34" x14ac:dyDescent="0.25">
      <c r="A156" t="s">
        <v>690</v>
      </c>
      <c r="B156" t="s">
        <v>691</v>
      </c>
      <c r="C156" t="s">
        <v>354</v>
      </c>
      <c r="D156" t="s">
        <v>382</v>
      </c>
      <c r="E156" t="s">
        <v>1563</v>
      </c>
      <c r="F156" t="s">
        <v>697</v>
      </c>
      <c r="G156" t="s">
        <v>275</v>
      </c>
      <c r="H156" s="736" t="s">
        <v>698</v>
      </c>
      <c r="I156" t="s">
        <v>309</v>
      </c>
      <c r="J156" t="s">
        <v>699</v>
      </c>
      <c r="K156">
        <v>1</v>
      </c>
      <c r="L156" s="736">
        <v>1</v>
      </c>
      <c r="M156" s="736" t="s">
        <v>33</v>
      </c>
      <c r="N156" s="736">
        <v>1</v>
      </c>
      <c r="O156" s="736">
        <v>1</v>
      </c>
      <c r="P156" s="736">
        <v>1</v>
      </c>
      <c r="Q156" s="736" t="s">
        <v>45</v>
      </c>
      <c r="R156" s="736">
        <v>1</v>
      </c>
      <c r="S156">
        <v>1</v>
      </c>
      <c r="T156">
        <v>1</v>
      </c>
      <c r="U156" t="s">
        <v>1563</v>
      </c>
      <c r="V156" t="s">
        <v>1563</v>
      </c>
      <c r="W156" t="s">
        <v>1563</v>
      </c>
      <c r="X156">
        <v>1</v>
      </c>
      <c r="Y156" t="s">
        <v>1563</v>
      </c>
      <c r="Z156">
        <v>1</v>
      </c>
      <c r="AA156" t="s">
        <v>1563</v>
      </c>
      <c r="AB156" t="s">
        <v>1563</v>
      </c>
      <c r="AC156">
        <v>1</v>
      </c>
      <c r="AD156" t="s">
        <v>1563</v>
      </c>
      <c r="AE156">
        <v>0</v>
      </c>
      <c r="AF156" t="s">
        <v>1539</v>
      </c>
      <c r="AG156" t="s">
        <v>1439</v>
      </c>
      <c r="AH156" t="s">
        <v>1563</v>
      </c>
    </row>
    <row r="157" spans="1:34" x14ac:dyDescent="0.25">
      <c r="A157" t="s">
        <v>700</v>
      </c>
      <c r="B157" t="s">
        <v>701</v>
      </c>
      <c r="C157" t="s">
        <v>354</v>
      </c>
      <c r="D157" t="s">
        <v>382</v>
      </c>
      <c r="E157" t="s">
        <v>1563</v>
      </c>
      <c r="F157" t="s">
        <v>501</v>
      </c>
      <c r="G157" t="s">
        <v>275</v>
      </c>
      <c r="H157" s="736" t="s">
        <v>702</v>
      </c>
      <c r="I157" t="s">
        <v>309</v>
      </c>
      <c r="J157" t="s">
        <v>326</v>
      </c>
      <c r="K157">
        <v>1</v>
      </c>
      <c r="L157" s="736">
        <v>1</v>
      </c>
      <c r="M157" s="736" t="s">
        <v>33</v>
      </c>
      <c r="N157" s="736">
        <v>1</v>
      </c>
      <c r="O157" s="736">
        <v>1</v>
      </c>
      <c r="P157" s="736">
        <v>1</v>
      </c>
      <c r="Q157" s="736" t="s">
        <v>45</v>
      </c>
      <c r="R157" s="736">
        <v>1</v>
      </c>
      <c r="S157">
        <v>1</v>
      </c>
      <c r="T157">
        <v>1</v>
      </c>
      <c r="U157" t="s">
        <v>1563</v>
      </c>
      <c r="V157" t="s">
        <v>1563</v>
      </c>
      <c r="W157" t="s">
        <v>1563</v>
      </c>
      <c r="X157">
        <v>1</v>
      </c>
      <c r="Y157" t="s">
        <v>1563</v>
      </c>
      <c r="Z157">
        <v>0</v>
      </c>
      <c r="AA157" t="s">
        <v>1563</v>
      </c>
      <c r="AB157" t="s">
        <v>1563</v>
      </c>
      <c r="AC157" t="s">
        <v>1563</v>
      </c>
      <c r="AD157" t="s">
        <v>1563</v>
      </c>
      <c r="AE157">
        <v>0</v>
      </c>
      <c r="AF157" t="s">
        <v>1563</v>
      </c>
      <c r="AG157" t="s">
        <v>1563</v>
      </c>
      <c r="AH157" t="s">
        <v>1563</v>
      </c>
    </row>
    <row r="158" spans="1:34" x14ac:dyDescent="0.25">
      <c r="A158" t="s">
        <v>700</v>
      </c>
      <c r="B158" t="s">
        <v>701</v>
      </c>
      <c r="C158" t="s">
        <v>354</v>
      </c>
      <c r="D158" t="s">
        <v>382</v>
      </c>
      <c r="E158" t="s">
        <v>1563</v>
      </c>
      <c r="F158" t="s">
        <v>503</v>
      </c>
      <c r="G158" t="s">
        <v>275</v>
      </c>
      <c r="H158" s="736" t="s">
        <v>703</v>
      </c>
      <c r="I158" t="s">
        <v>309</v>
      </c>
      <c r="J158" t="s">
        <v>326</v>
      </c>
      <c r="K158">
        <v>1</v>
      </c>
      <c r="L158" s="736">
        <v>1</v>
      </c>
      <c r="M158" s="736" t="s">
        <v>33</v>
      </c>
      <c r="N158" s="736">
        <v>1</v>
      </c>
      <c r="O158" s="736">
        <v>1</v>
      </c>
      <c r="P158" s="736">
        <v>1</v>
      </c>
      <c r="Q158" s="736" t="s">
        <v>45</v>
      </c>
      <c r="R158" s="736">
        <v>1</v>
      </c>
      <c r="S158">
        <v>1</v>
      </c>
      <c r="T158">
        <v>1</v>
      </c>
      <c r="U158" t="s">
        <v>1563</v>
      </c>
      <c r="V158" t="s">
        <v>1563</v>
      </c>
      <c r="W158" t="s">
        <v>1563</v>
      </c>
      <c r="X158">
        <v>1</v>
      </c>
      <c r="Y158" t="s">
        <v>1563</v>
      </c>
      <c r="Z158">
        <v>0</v>
      </c>
      <c r="AA158" t="s">
        <v>1563</v>
      </c>
      <c r="AB158" t="s">
        <v>1563</v>
      </c>
      <c r="AC158" t="s">
        <v>1563</v>
      </c>
      <c r="AD158" t="s">
        <v>1563</v>
      </c>
      <c r="AE158">
        <v>0</v>
      </c>
      <c r="AF158" t="s">
        <v>1563</v>
      </c>
      <c r="AG158" t="s">
        <v>1563</v>
      </c>
      <c r="AH158" t="s">
        <v>1563</v>
      </c>
    </row>
    <row r="159" spans="1:34" x14ac:dyDescent="0.25">
      <c r="A159" t="s">
        <v>704</v>
      </c>
      <c r="B159" t="s">
        <v>705</v>
      </c>
      <c r="C159" t="s">
        <v>354</v>
      </c>
      <c r="D159" t="s">
        <v>382</v>
      </c>
      <c r="E159" t="s">
        <v>1563</v>
      </c>
      <c r="F159" t="s">
        <v>507</v>
      </c>
      <c r="G159" t="s">
        <v>275</v>
      </c>
      <c r="H159" s="736" t="s">
        <v>706</v>
      </c>
      <c r="I159" t="s">
        <v>309</v>
      </c>
      <c r="J159" t="s">
        <v>326</v>
      </c>
      <c r="K159">
        <v>1</v>
      </c>
      <c r="L159" s="736">
        <v>1</v>
      </c>
      <c r="M159" s="736" t="s">
        <v>33</v>
      </c>
      <c r="N159" s="736">
        <v>1</v>
      </c>
      <c r="O159" s="736">
        <v>1</v>
      </c>
      <c r="P159" s="736">
        <v>1</v>
      </c>
      <c r="Q159" s="736" t="s">
        <v>45</v>
      </c>
      <c r="R159" s="736">
        <v>1</v>
      </c>
      <c r="S159">
        <v>1</v>
      </c>
      <c r="T159">
        <v>1</v>
      </c>
      <c r="U159" t="s">
        <v>1563</v>
      </c>
      <c r="V159" t="s">
        <v>1563</v>
      </c>
      <c r="W159" t="s">
        <v>1563</v>
      </c>
      <c r="X159">
        <v>1</v>
      </c>
      <c r="Y159" t="s">
        <v>1563</v>
      </c>
      <c r="Z159">
        <v>1</v>
      </c>
      <c r="AA159" t="s">
        <v>1563</v>
      </c>
      <c r="AB159" t="s">
        <v>1563</v>
      </c>
      <c r="AC159">
        <v>1</v>
      </c>
      <c r="AD159" t="s">
        <v>1563</v>
      </c>
      <c r="AE159">
        <v>0</v>
      </c>
      <c r="AF159" t="s">
        <v>1535</v>
      </c>
      <c r="AG159" t="s">
        <v>1425</v>
      </c>
      <c r="AH159" t="s">
        <v>707</v>
      </c>
    </row>
    <row r="160" spans="1:34" x14ac:dyDescent="0.25">
      <c r="A160" t="s">
        <v>704</v>
      </c>
      <c r="B160" t="s">
        <v>705</v>
      </c>
      <c r="C160" t="s">
        <v>354</v>
      </c>
      <c r="D160" t="s">
        <v>382</v>
      </c>
      <c r="E160" t="s">
        <v>1563</v>
      </c>
      <c r="F160" t="s">
        <v>510</v>
      </c>
      <c r="G160" t="s">
        <v>275</v>
      </c>
      <c r="H160" s="736" t="s">
        <v>708</v>
      </c>
      <c r="I160" t="s">
        <v>309</v>
      </c>
      <c r="J160" t="s">
        <v>326</v>
      </c>
      <c r="K160">
        <v>1</v>
      </c>
      <c r="L160" s="736">
        <v>1</v>
      </c>
      <c r="M160" s="736" t="s">
        <v>33</v>
      </c>
      <c r="N160" s="736">
        <v>1</v>
      </c>
      <c r="O160" s="736">
        <v>1</v>
      </c>
      <c r="P160" s="736">
        <v>1</v>
      </c>
      <c r="Q160" s="736" t="s">
        <v>45</v>
      </c>
      <c r="R160" s="736">
        <v>1</v>
      </c>
      <c r="S160">
        <v>1</v>
      </c>
      <c r="T160">
        <v>1</v>
      </c>
      <c r="U160" t="s">
        <v>1563</v>
      </c>
      <c r="V160" t="s">
        <v>1563</v>
      </c>
      <c r="W160" t="s">
        <v>1563</v>
      </c>
      <c r="X160">
        <v>1</v>
      </c>
      <c r="Y160" t="s">
        <v>1563</v>
      </c>
      <c r="Z160">
        <v>1</v>
      </c>
      <c r="AA160" t="s">
        <v>1563</v>
      </c>
      <c r="AB160" t="s">
        <v>1563</v>
      </c>
      <c r="AC160">
        <v>1</v>
      </c>
      <c r="AD160" t="s">
        <v>1563</v>
      </c>
      <c r="AE160">
        <v>0</v>
      </c>
      <c r="AF160" t="s">
        <v>1535</v>
      </c>
      <c r="AG160" t="s">
        <v>1425</v>
      </c>
      <c r="AH160" t="s">
        <v>707</v>
      </c>
    </row>
    <row r="161" spans="1:34" x14ac:dyDescent="0.25">
      <c r="A161" t="s">
        <v>709</v>
      </c>
      <c r="B161" t="s">
        <v>710</v>
      </c>
      <c r="C161" t="s">
        <v>305</v>
      </c>
      <c r="D161" t="s">
        <v>382</v>
      </c>
      <c r="E161" t="s">
        <v>1563</v>
      </c>
      <c r="F161" t="s">
        <v>711</v>
      </c>
      <c r="G161" t="s">
        <v>275</v>
      </c>
      <c r="H161" s="736" t="s">
        <v>1587</v>
      </c>
      <c r="I161" t="s">
        <v>309</v>
      </c>
      <c r="J161" t="s">
        <v>326</v>
      </c>
      <c r="K161">
        <v>1</v>
      </c>
      <c r="L161" s="736">
        <v>2</v>
      </c>
      <c r="M161" s="736" t="s">
        <v>33</v>
      </c>
      <c r="N161" s="736">
        <v>1</v>
      </c>
      <c r="O161" s="736">
        <v>2</v>
      </c>
      <c r="P161" s="736">
        <v>1</v>
      </c>
      <c r="Q161" s="736" t="s">
        <v>45</v>
      </c>
      <c r="R161" s="736">
        <v>2</v>
      </c>
      <c r="S161">
        <v>2</v>
      </c>
      <c r="T161">
        <v>2</v>
      </c>
      <c r="U161" t="s">
        <v>1563</v>
      </c>
      <c r="V161" t="s">
        <v>1563</v>
      </c>
      <c r="W161" t="s">
        <v>1563</v>
      </c>
      <c r="X161">
        <v>1</v>
      </c>
      <c r="Y161" t="s">
        <v>1563</v>
      </c>
      <c r="Z161">
        <v>2</v>
      </c>
      <c r="AA161" t="s">
        <v>1563</v>
      </c>
      <c r="AB161" t="s">
        <v>1563</v>
      </c>
      <c r="AC161">
        <v>2</v>
      </c>
      <c r="AD161" t="s">
        <v>1563</v>
      </c>
      <c r="AE161">
        <v>0</v>
      </c>
      <c r="AF161" t="s">
        <v>1535</v>
      </c>
      <c r="AG161" t="s">
        <v>1425</v>
      </c>
      <c r="AH161" t="s">
        <v>1563</v>
      </c>
    </row>
    <row r="162" spans="1:34" x14ac:dyDescent="0.25">
      <c r="A162" t="s">
        <v>709</v>
      </c>
      <c r="B162" t="s">
        <v>710</v>
      </c>
      <c r="C162" t="s">
        <v>305</v>
      </c>
      <c r="D162" t="s">
        <v>382</v>
      </c>
      <c r="E162" t="s">
        <v>1563</v>
      </c>
      <c r="F162" t="s">
        <v>712</v>
      </c>
      <c r="G162" t="s">
        <v>275</v>
      </c>
      <c r="H162" s="736" t="s">
        <v>713</v>
      </c>
      <c r="I162" t="s">
        <v>309</v>
      </c>
      <c r="J162" t="s">
        <v>310</v>
      </c>
      <c r="K162">
        <v>1</v>
      </c>
      <c r="L162" s="736">
        <v>1</v>
      </c>
      <c r="M162" s="736" t="s">
        <v>33</v>
      </c>
      <c r="N162" s="736">
        <v>1</v>
      </c>
      <c r="O162" s="736">
        <v>1</v>
      </c>
      <c r="P162" s="736">
        <v>1</v>
      </c>
      <c r="Q162" s="736" t="s">
        <v>45</v>
      </c>
      <c r="R162" s="736">
        <v>1</v>
      </c>
      <c r="S162">
        <v>1</v>
      </c>
      <c r="T162">
        <v>1</v>
      </c>
      <c r="U162" t="s">
        <v>1563</v>
      </c>
      <c r="V162" t="s">
        <v>1563</v>
      </c>
      <c r="W162" t="s">
        <v>1563</v>
      </c>
      <c r="X162">
        <v>1</v>
      </c>
      <c r="Y162" t="s">
        <v>1563</v>
      </c>
      <c r="Z162">
        <v>1</v>
      </c>
      <c r="AA162" t="s">
        <v>1563</v>
      </c>
      <c r="AB162" t="s">
        <v>1563</v>
      </c>
      <c r="AC162">
        <v>1</v>
      </c>
      <c r="AD162" t="s">
        <v>1563</v>
      </c>
      <c r="AE162">
        <v>0</v>
      </c>
      <c r="AF162" t="s">
        <v>1540</v>
      </c>
      <c r="AG162" t="s">
        <v>1425</v>
      </c>
      <c r="AH162" t="s">
        <v>1563</v>
      </c>
    </row>
    <row r="163" spans="1:34" x14ac:dyDescent="0.25">
      <c r="A163" t="s">
        <v>714</v>
      </c>
      <c r="B163" t="s">
        <v>715</v>
      </c>
      <c r="C163" t="s">
        <v>395</v>
      </c>
      <c r="D163" t="s">
        <v>382</v>
      </c>
      <c r="E163" t="s">
        <v>1563</v>
      </c>
      <c r="F163" t="s">
        <v>716</v>
      </c>
      <c r="G163" t="s">
        <v>275</v>
      </c>
      <c r="H163" s="736" t="s">
        <v>717</v>
      </c>
      <c r="I163" t="s">
        <v>309</v>
      </c>
      <c r="J163" t="s">
        <v>326</v>
      </c>
      <c r="K163">
        <v>1</v>
      </c>
      <c r="L163" s="736">
        <v>2</v>
      </c>
      <c r="M163" s="736" t="s">
        <v>33</v>
      </c>
      <c r="N163" s="736">
        <v>1</v>
      </c>
      <c r="O163" s="736">
        <v>2</v>
      </c>
      <c r="P163" s="736">
        <v>1</v>
      </c>
      <c r="Q163" s="736" t="s">
        <v>45</v>
      </c>
      <c r="R163" s="736">
        <v>2</v>
      </c>
      <c r="S163">
        <v>2</v>
      </c>
      <c r="T163">
        <v>2</v>
      </c>
      <c r="U163" t="s">
        <v>1563</v>
      </c>
      <c r="V163" t="s">
        <v>1563</v>
      </c>
      <c r="W163" t="s">
        <v>1563</v>
      </c>
      <c r="X163">
        <v>1</v>
      </c>
      <c r="Y163" t="s">
        <v>1563</v>
      </c>
      <c r="Z163">
        <v>2</v>
      </c>
      <c r="AA163">
        <v>1</v>
      </c>
      <c r="AB163" t="s">
        <v>1563</v>
      </c>
      <c r="AC163">
        <v>1</v>
      </c>
      <c r="AD163" t="s">
        <v>1563</v>
      </c>
      <c r="AE163">
        <v>0.5</v>
      </c>
      <c r="AF163" t="s">
        <v>1522</v>
      </c>
      <c r="AG163" t="s">
        <v>1423</v>
      </c>
      <c r="AH163" t="s">
        <v>1563</v>
      </c>
    </row>
    <row r="164" spans="1:34" x14ac:dyDescent="0.25">
      <c r="A164" t="s">
        <v>718</v>
      </c>
      <c r="B164" t="s">
        <v>719</v>
      </c>
      <c r="C164" t="s">
        <v>395</v>
      </c>
      <c r="D164" t="s">
        <v>382</v>
      </c>
      <c r="E164" t="s">
        <v>1563</v>
      </c>
      <c r="F164" t="s">
        <v>720</v>
      </c>
      <c r="G164" t="s">
        <v>275</v>
      </c>
      <c r="H164" s="736" t="s">
        <v>721</v>
      </c>
      <c r="I164" t="s">
        <v>309</v>
      </c>
      <c r="J164" t="s">
        <v>326</v>
      </c>
      <c r="K164">
        <v>1</v>
      </c>
      <c r="L164" s="736">
        <v>2</v>
      </c>
      <c r="M164" s="736" t="s">
        <v>33</v>
      </c>
      <c r="N164" s="736">
        <v>1</v>
      </c>
      <c r="O164" s="736">
        <v>2</v>
      </c>
      <c r="P164" s="736">
        <v>1</v>
      </c>
      <c r="Q164" s="736" t="s">
        <v>45</v>
      </c>
      <c r="R164" s="736">
        <v>2</v>
      </c>
      <c r="S164">
        <v>2</v>
      </c>
      <c r="T164">
        <v>2</v>
      </c>
      <c r="U164" t="s">
        <v>1563</v>
      </c>
      <c r="V164" t="s">
        <v>1563</v>
      </c>
      <c r="W164" t="s">
        <v>1563</v>
      </c>
      <c r="X164">
        <v>1</v>
      </c>
      <c r="Y164" t="s">
        <v>1563</v>
      </c>
      <c r="Z164">
        <v>2</v>
      </c>
      <c r="AA164">
        <v>2</v>
      </c>
      <c r="AB164" t="s">
        <v>1563</v>
      </c>
      <c r="AC164" t="s">
        <v>1563</v>
      </c>
      <c r="AD164" t="s">
        <v>1563</v>
      </c>
      <c r="AE164">
        <v>1</v>
      </c>
      <c r="AF164" t="s">
        <v>1521</v>
      </c>
      <c r="AG164" t="s">
        <v>1423</v>
      </c>
      <c r="AH164" t="s">
        <v>1563</v>
      </c>
    </row>
    <row r="165" spans="1:34" x14ac:dyDescent="0.25">
      <c r="A165" t="s">
        <v>724</v>
      </c>
      <c r="B165" t="s">
        <v>725</v>
      </c>
      <c r="C165" t="s">
        <v>395</v>
      </c>
      <c r="D165" t="s">
        <v>306</v>
      </c>
      <c r="E165" t="s">
        <v>1563</v>
      </c>
      <c r="F165" t="s">
        <v>726</v>
      </c>
      <c r="G165" t="s">
        <v>1563</v>
      </c>
      <c r="H165" s="736" t="s">
        <v>727</v>
      </c>
      <c r="I165" t="s">
        <v>309</v>
      </c>
      <c r="J165" t="s">
        <v>728</v>
      </c>
      <c r="K165">
        <v>4</v>
      </c>
      <c r="L165" s="736">
        <v>2</v>
      </c>
      <c r="M165" s="736" t="s">
        <v>33</v>
      </c>
      <c r="N165" s="736">
        <v>1</v>
      </c>
      <c r="O165" s="736">
        <v>2</v>
      </c>
      <c r="P165" s="736">
        <v>1</v>
      </c>
      <c r="Q165" s="736" t="s">
        <v>45</v>
      </c>
      <c r="R165" s="736">
        <v>2</v>
      </c>
      <c r="S165">
        <v>2</v>
      </c>
      <c r="T165">
        <v>2</v>
      </c>
      <c r="U165" t="s">
        <v>1563</v>
      </c>
      <c r="V165" t="s">
        <v>1563</v>
      </c>
      <c r="W165" t="s">
        <v>1563</v>
      </c>
      <c r="X165">
        <v>1</v>
      </c>
      <c r="Y165" t="s">
        <v>1563</v>
      </c>
      <c r="Z165">
        <v>0</v>
      </c>
      <c r="AA165" t="s">
        <v>1563</v>
      </c>
      <c r="AB165" t="s">
        <v>1563</v>
      </c>
      <c r="AC165" t="s">
        <v>1563</v>
      </c>
      <c r="AD165" t="s">
        <v>1563</v>
      </c>
      <c r="AE165">
        <v>0</v>
      </c>
      <c r="AF165" t="s">
        <v>1563</v>
      </c>
      <c r="AG165" t="s">
        <v>1563</v>
      </c>
      <c r="AH165" t="s">
        <v>729</v>
      </c>
    </row>
    <row r="166" spans="1:34" x14ac:dyDescent="0.25">
      <c r="A166" t="s">
        <v>724</v>
      </c>
      <c r="B166" t="s">
        <v>725</v>
      </c>
      <c r="C166" t="s">
        <v>395</v>
      </c>
      <c r="D166" t="s">
        <v>382</v>
      </c>
      <c r="E166" t="s">
        <v>1563</v>
      </c>
      <c r="F166" t="s">
        <v>730</v>
      </c>
      <c r="G166" t="s">
        <v>1563</v>
      </c>
      <c r="H166" s="736" t="s">
        <v>731</v>
      </c>
      <c r="I166" t="s">
        <v>309</v>
      </c>
      <c r="J166" t="s">
        <v>728</v>
      </c>
      <c r="K166">
        <v>1</v>
      </c>
      <c r="L166" s="736">
        <v>1</v>
      </c>
      <c r="M166" s="736" t="s">
        <v>33</v>
      </c>
      <c r="N166" s="736">
        <v>1</v>
      </c>
      <c r="O166" s="736">
        <v>1</v>
      </c>
      <c r="P166" s="736">
        <v>1</v>
      </c>
      <c r="Q166" s="736" t="s">
        <v>45</v>
      </c>
      <c r="R166" s="736">
        <v>1</v>
      </c>
      <c r="S166">
        <v>1</v>
      </c>
      <c r="T166">
        <v>1</v>
      </c>
      <c r="U166" t="s">
        <v>1563</v>
      </c>
      <c r="V166" t="s">
        <v>1563</v>
      </c>
      <c r="W166" t="s">
        <v>1563</v>
      </c>
      <c r="X166">
        <v>1</v>
      </c>
      <c r="Y166" t="s">
        <v>1563</v>
      </c>
      <c r="Z166">
        <v>0</v>
      </c>
      <c r="AA166" t="s">
        <v>1563</v>
      </c>
      <c r="AB166" t="s">
        <v>1563</v>
      </c>
      <c r="AC166" t="s">
        <v>1563</v>
      </c>
      <c r="AD166" t="s">
        <v>1563</v>
      </c>
      <c r="AE166">
        <v>0</v>
      </c>
      <c r="AF166" t="s">
        <v>1563</v>
      </c>
      <c r="AG166" t="s">
        <v>1563</v>
      </c>
      <c r="AH166" t="s">
        <v>1563</v>
      </c>
    </row>
    <row r="167" spans="1:34" ht="28.9" customHeight="1" x14ac:dyDescent="0.25">
      <c r="A167" t="s">
        <v>548</v>
      </c>
      <c r="B167" t="s">
        <v>549</v>
      </c>
      <c r="C167" t="s">
        <v>732</v>
      </c>
      <c r="D167" t="s">
        <v>306</v>
      </c>
      <c r="E167" t="s">
        <v>1563</v>
      </c>
      <c r="F167" t="s">
        <v>733</v>
      </c>
      <c r="G167" t="s">
        <v>254</v>
      </c>
      <c r="H167" s="736" t="s">
        <v>734</v>
      </c>
      <c r="I167" t="s">
        <v>309</v>
      </c>
      <c r="J167" t="s">
        <v>326</v>
      </c>
      <c r="K167">
        <v>1</v>
      </c>
      <c r="L167" s="736">
        <v>1</v>
      </c>
      <c r="M167" s="736" t="s">
        <v>33</v>
      </c>
      <c r="N167" s="736">
        <v>1</v>
      </c>
      <c r="O167" s="736">
        <v>1</v>
      </c>
      <c r="P167" s="736">
        <v>1</v>
      </c>
      <c r="Q167" s="736" t="s">
        <v>45</v>
      </c>
      <c r="R167" s="736">
        <v>1</v>
      </c>
      <c r="S167">
        <v>1</v>
      </c>
      <c r="T167">
        <v>1</v>
      </c>
      <c r="U167" t="s">
        <v>1563</v>
      </c>
      <c r="V167" t="s">
        <v>1563</v>
      </c>
      <c r="W167" t="s">
        <v>1563</v>
      </c>
      <c r="X167">
        <v>1</v>
      </c>
      <c r="Y167" t="s">
        <v>1563</v>
      </c>
      <c r="Z167">
        <v>1</v>
      </c>
      <c r="AA167">
        <v>1</v>
      </c>
      <c r="AB167" t="s">
        <v>1563</v>
      </c>
      <c r="AC167" t="s">
        <v>1563</v>
      </c>
      <c r="AD167" t="s">
        <v>1563</v>
      </c>
      <c r="AE167">
        <v>1</v>
      </c>
      <c r="AF167" t="s">
        <v>1521</v>
      </c>
      <c r="AG167" t="s">
        <v>1425</v>
      </c>
      <c r="AH167" t="s">
        <v>1563</v>
      </c>
    </row>
    <row r="168" spans="1:34" ht="101.25" customHeight="1" x14ac:dyDescent="0.25">
      <c r="A168" t="s">
        <v>548</v>
      </c>
      <c r="B168" t="s">
        <v>549</v>
      </c>
      <c r="C168" t="s">
        <v>732</v>
      </c>
      <c r="D168" t="s">
        <v>306</v>
      </c>
      <c r="E168" t="s">
        <v>1563</v>
      </c>
      <c r="F168" t="s">
        <v>733</v>
      </c>
      <c r="G168" t="s">
        <v>254</v>
      </c>
      <c r="H168" s="736" t="s">
        <v>735</v>
      </c>
      <c r="I168" t="s">
        <v>330</v>
      </c>
      <c r="J168" t="s">
        <v>326</v>
      </c>
      <c r="K168">
        <v>1</v>
      </c>
      <c r="L168" s="736">
        <v>1</v>
      </c>
      <c r="M168" s="736" t="s">
        <v>33</v>
      </c>
      <c r="N168" s="736">
        <v>1</v>
      </c>
      <c r="O168" s="736">
        <v>1</v>
      </c>
      <c r="P168" s="736">
        <v>1</v>
      </c>
      <c r="Q168" s="736" t="s">
        <v>45</v>
      </c>
      <c r="R168" s="736">
        <v>1</v>
      </c>
      <c r="S168">
        <v>1</v>
      </c>
      <c r="T168">
        <v>1</v>
      </c>
      <c r="U168" t="s">
        <v>1563</v>
      </c>
      <c r="V168" t="s">
        <v>1563</v>
      </c>
      <c r="W168" t="s">
        <v>1563</v>
      </c>
      <c r="X168">
        <v>1</v>
      </c>
      <c r="Y168" t="s">
        <v>1563</v>
      </c>
      <c r="Z168">
        <v>0</v>
      </c>
      <c r="AA168" t="s">
        <v>1563</v>
      </c>
      <c r="AB168" t="s">
        <v>1563</v>
      </c>
      <c r="AC168" t="s">
        <v>1563</v>
      </c>
      <c r="AD168" t="s">
        <v>1563</v>
      </c>
      <c r="AE168">
        <v>0</v>
      </c>
      <c r="AF168" t="s">
        <v>1563</v>
      </c>
      <c r="AG168" t="s">
        <v>1425</v>
      </c>
      <c r="AH168" t="s">
        <v>1563</v>
      </c>
    </row>
    <row r="169" spans="1:34" ht="105.75" customHeight="1" x14ac:dyDescent="0.25">
      <c r="A169" t="s">
        <v>736</v>
      </c>
      <c r="B169" t="s">
        <v>737</v>
      </c>
      <c r="C169" t="s">
        <v>732</v>
      </c>
      <c r="D169" t="s">
        <v>382</v>
      </c>
      <c r="E169" t="s">
        <v>1563</v>
      </c>
      <c r="F169" t="s">
        <v>738</v>
      </c>
      <c r="G169" t="s">
        <v>1563</v>
      </c>
      <c r="H169" s="736" t="s">
        <v>739</v>
      </c>
      <c r="I169" t="s">
        <v>309</v>
      </c>
      <c r="J169" t="s">
        <v>326</v>
      </c>
      <c r="K169">
        <v>4</v>
      </c>
      <c r="L169" s="736">
        <v>1</v>
      </c>
      <c r="M169" s="736" t="s">
        <v>33</v>
      </c>
      <c r="N169" s="736">
        <v>1</v>
      </c>
      <c r="O169" s="736">
        <v>1</v>
      </c>
      <c r="P169" s="736">
        <v>1</v>
      </c>
      <c r="Q169" s="736" t="s">
        <v>45</v>
      </c>
      <c r="R169" s="736">
        <v>1</v>
      </c>
      <c r="S169">
        <v>1</v>
      </c>
      <c r="T169">
        <v>1</v>
      </c>
      <c r="U169" t="s">
        <v>1563</v>
      </c>
      <c r="V169" t="s">
        <v>1563</v>
      </c>
      <c r="W169" t="s">
        <v>1563</v>
      </c>
      <c r="X169">
        <v>1</v>
      </c>
      <c r="Y169" t="s">
        <v>1563</v>
      </c>
      <c r="Z169">
        <v>1</v>
      </c>
      <c r="AA169" t="s">
        <v>1563</v>
      </c>
      <c r="AB169" t="s">
        <v>1563</v>
      </c>
      <c r="AC169" t="s">
        <v>1563</v>
      </c>
      <c r="AD169">
        <v>1</v>
      </c>
      <c r="AE169">
        <v>0</v>
      </c>
      <c r="AF169" t="s">
        <v>1541</v>
      </c>
      <c r="AG169" t="s">
        <v>1425</v>
      </c>
      <c r="AH169" t="s">
        <v>740</v>
      </c>
    </row>
    <row r="170" spans="1:34" x14ac:dyDescent="0.25">
      <c r="A170" t="s">
        <v>736</v>
      </c>
      <c r="B170" t="s">
        <v>737</v>
      </c>
      <c r="C170" t="s">
        <v>732</v>
      </c>
      <c r="D170" t="s">
        <v>306</v>
      </c>
      <c r="E170" t="s">
        <v>1563</v>
      </c>
      <c r="F170" t="s">
        <v>741</v>
      </c>
      <c r="G170" t="s">
        <v>1563</v>
      </c>
      <c r="H170" s="736" t="s">
        <v>742</v>
      </c>
      <c r="I170" t="s">
        <v>309</v>
      </c>
      <c r="J170" t="s">
        <v>326</v>
      </c>
      <c r="K170">
        <v>1</v>
      </c>
      <c r="L170" s="736">
        <v>1</v>
      </c>
      <c r="M170" s="736" t="s">
        <v>33</v>
      </c>
      <c r="N170" s="736">
        <v>1</v>
      </c>
      <c r="O170" s="736">
        <v>1</v>
      </c>
      <c r="P170" s="736">
        <v>1</v>
      </c>
      <c r="Q170" s="736" t="s">
        <v>45</v>
      </c>
      <c r="R170" s="736">
        <v>1</v>
      </c>
      <c r="S170">
        <v>1</v>
      </c>
      <c r="T170">
        <v>1</v>
      </c>
      <c r="U170" t="s">
        <v>1563</v>
      </c>
      <c r="V170" t="s">
        <v>1563</v>
      </c>
      <c r="W170" t="s">
        <v>1563</v>
      </c>
      <c r="X170">
        <v>1</v>
      </c>
      <c r="Y170" t="s">
        <v>1563</v>
      </c>
      <c r="Z170">
        <v>1</v>
      </c>
      <c r="AA170" t="s">
        <v>1563</v>
      </c>
      <c r="AB170" t="s">
        <v>1563</v>
      </c>
      <c r="AC170" t="s">
        <v>1563</v>
      </c>
      <c r="AD170">
        <v>1</v>
      </c>
      <c r="AE170">
        <v>0</v>
      </c>
      <c r="AF170" t="s">
        <v>1541</v>
      </c>
      <c r="AG170" t="s">
        <v>1425</v>
      </c>
      <c r="AH170" t="s">
        <v>1563</v>
      </c>
    </row>
    <row r="171" spans="1:34" x14ac:dyDescent="0.25">
      <c r="A171" t="s">
        <v>736</v>
      </c>
      <c r="B171" t="s">
        <v>737</v>
      </c>
      <c r="C171" t="s">
        <v>732</v>
      </c>
      <c r="D171" t="s">
        <v>306</v>
      </c>
      <c r="E171" t="s">
        <v>1563</v>
      </c>
      <c r="F171" t="s">
        <v>743</v>
      </c>
      <c r="G171" t="s">
        <v>1563</v>
      </c>
      <c r="H171" s="736" t="s">
        <v>744</v>
      </c>
      <c r="I171" t="s">
        <v>309</v>
      </c>
      <c r="J171" t="s">
        <v>326</v>
      </c>
      <c r="K171">
        <v>1</v>
      </c>
      <c r="L171" s="736">
        <v>1</v>
      </c>
      <c r="M171" s="736" t="s">
        <v>33</v>
      </c>
      <c r="N171" s="736">
        <v>1</v>
      </c>
      <c r="O171" s="736">
        <v>1</v>
      </c>
      <c r="P171" s="736">
        <v>1</v>
      </c>
      <c r="Q171" s="736" t="s">
        <v>45</v>
      </c>
      <c r="R171" s="736">
        <v>1</v>
      </c>
      <c r="S171">
        <v>1</v>
      </c>
      <c r="T171">
        <v>1</v>
      </c>
      <c r="U171" t="s">
        <v>1563</v>
      </c>
      <c r="V171" t="s">
        <v>1563</v>
      </c>
      <c r="W171" t="s">
        <v>1563</v>
      </c>
      <c r="X171">
        <v>1</v>
      </c>
      <c r="Y171" t="s">
        <v>1563</v>
      </c>
      <c r="Z171">
        <v>1</v>
      </c>
      <c r="AA171" t="s">
        <v>1563</v>
      </c>
      <c r="AB171" t="s">
        <v>1563</v>
      </c>
      <c r="AC171" t="s">
        <v>1563</v>
      </c>
      <c r="AD171">
        <v>1</v>
      </c>
      <c r="AE171">
        <v>0</v>
      </c>
      <c r="AF171" t="s">
        <v>1541</v>
      </c>
      <c r="AG171" t="s">
        <v>1425</v>
      </c>
      <c r="AH171" t="s">
        <v>1563</v>
      </c>
    </row>
    <row r="172" spans="1:34" x14ac:dyDescent="0.25">
      <c r="A172" t="s">
        <v>736</v>
      </c>
      <c r="B172" t="s">
        <v>737</v>
      </c>
      <c r="C172" t="s">
        <v>732</v>
      </c>
      <c r="D172" t="s">
        <v>306</v>
      </c>
      <c r="E172" t="s">
        <v>1563</v>
      </c>
      <c r="F172" t="s">
        <v>745</v>
      </c>
      <c r="G172" t="s">
        <v>1563</v>
      </c>
      <c r="H172" s="736" t="s">
        <v>746</v>
      </c>
      <c r="I172" t="s">
        <v>309</v>
      </c>
      <c r="J172" t="s">
        <v>326</v>
      </c>
      <c r="K172">
        <v>1</v>
      </c>
      <c r="L172" s="736">
        <v>1</v>
      </c>
      <c r="M172" s="736" t="s">
        <v>33</v>
      </c>
      <c r="N172" s="736">
        <v>1</v>
      </c>
      <c r="O172" s="736">
        <v>1</v>
      </c>
      <c r="P172" s="736">
        <v>1</v>
      </c>
      <c r="Q172" s="736" t="s">
        <v>45</v>
      </c>
      <c r="R172" s="736">
        <v>1</v>
      </c>
      <c r="S172">
        <v>1</v>
      </c>
      <c r="T172">
        <v>1</v>
      </c>
      <c r="U172" t="s">
        <v>1563</v>
      </c>
      <c r="V172" t="s">
        <v>1563</v>
      </c>
      <c r="W172" t="s">
        <v>1563</v>
      </c>
      <c r="X172">
        <v>1</v>
      </c>
      <c r="Y172" t="s">
        <v>1563</v>
      </c>
      <c r="Z172">
        <v>1</v>
      </c>
      <c r="AA172" t="s">
        <v>1563</v>
      </c>
      <c r="AB172" t="s">
        <v>1563</v>
      </c>
      <c r="AC172" t="s">
        <v>1563</v>
      </c>
      <c r="AD172">
        <v>1</v>
      </c>
      <c r="AE172">
        <v>0</v>
      </c>
      <c r="AF172" t="s">
        <v>1541</v>
      </c>
      <c r="AG172" t="s">
        <v>1425</v>
      </c>
      <c r="AH172" t="s">
        <v>1563</v>
      </c>
    </row>
    <row r="173" spans="1:34" x14ac:dyDescent="0.25">
      <c r="A173" t="s">
        <v>736</v>
      </c>
      <c r="B173" t="s">
        <v>737</v>
      </c>
      <c r="C173" t="s">
        <v>732</v>
      </c>
      <c r="D173" t="s">
        <v>306</v>
      </c>
      <c r="E173" t="s">
        <v>1563</v>
      </c>
      <c r="F173" t="s">
        <v>747</v>
      </c>
      <c r="G173" t="s">
        <v>1563</v>
      </c>
      <c r="H173" s="736" t="s">
        <v>748</v>
      </c>
      <c r="I173" t="s">
        <v>309</v>
      </c>
      <c r="J173" t="s">
        <v>326</v>
      </c>
      <c r="K173">
        <v>1</v>
      </c>
      <c r="L173" s="736">
        <v>1</v>
      </c>
      <c r="M173" s="736" t="s">
        <v>33</v>
      </c>
      <c r="N173" s="736">
        <v>1</v>
      </c>
      <c r="O173" s="736">
        <v>1</v>
      </c>
      <c r="P173" s="736">
        <v>1</v>
      </c>
      <c r="Q173" s="736" t="s">
        <v>45</v>
      </c>
      <c r="R173" s="736">
        <v>1</v>
      </c>
      <c r="S173">
        <v>1</v>
      </c>
      <c r="T173">
        <v>1</v>
      </c>
      <c r="U173" t="s">
        <v>1563</v>
      </c>
      <c r="V173" t="s">
        <v>1563</v>
      </c>
      <c r="W173" t="s">
        <v>1563</v>
      </c>
      <c r="X173">
        <v>1</v>
      </c>
      <c r="Y173" t="s">
        <v>1563</v>
      </c>
      <c r="Z173">
        <v>1</v>
      </c>
      <c r="AA173" t="s">
        <v>1563</v>
      </c>
      <c r="AB173" t="s">
        <v>1563</v>
      </c>
      <c r="AC173" t="s">
        <v>1563</v>
      </c>
      <c r="AD173">
        <v>1</v>
      </c>
      <c r="AE173">
        <v>0</v>
      </c>
      <c r="AF173" t="s">
        <v>1541</v>
      </c>
      <c r="AG173" t="s">
        <v>1425</v>
      </c>
      <c r="AH173" t="s">
        <v>1563</v>
      </c>
    </row>
    <row r="174" spans="1:34" x14ac:dyDescent="0.25">
      <c r="A174" t="s">
        <v>749</v>
      </c>
      <c r="B174" t="s">
        <v>737</v>
      </c>
      <c r="C174" t="s">
        <v>732</v>
      </c>
      <c r="D174" t="s">
        <v>306</v>
      </c>
      <c r="E174" t="s">
        <v>1563</v>
      </c>
      <c r="F174" t="s">
        <v>750</v>
      </c>
      <c r="G174" t="s">
        <v>1563</v>
      </c>
      <c r="H174" s="736" t="s">
        <v>751</v>
      </c>
      <c r="I174" t="s">
        <v>309</v>
      </c>
      <c r="J174" t="s">
        <v>326</v>
      </c>
      <c r="K174">
        <v>1</v>
      </c>
      <c r="L174" s="736">
        <v>1</v>
      </c>
      <c r="M174" s="736" t="s">
        <v>33</v>
      </c>
      <c r="N174" s="736">
        <v>1</v>
      </c>
      <c r="O174" s="736">
        <v>1</v>
      </c>
      <c r="P174" s="736">
        <v>1</v>
      </c>
      <c r="Q174" s="736" t="s">
        <v>45</v>
      </c>
      <c r="R174" s="736">
        <v>1</v>
      </c>
      <c r="S174">
        <v>1</v>
      </c>
      <c r="T174">
        <v>1</v>
      </c>
      <c r="U174" t="s">
        <v>1563</v>
      </c>
      <c r="V174" t="s">
        <v>1563</v>
      </c>
      <c r="W174" t="s">
        <v>1563</v>
      </c>
      <c r="X174">
        <v>1</v>
      </c>
      <c r="Y174" t="s">
        <v>1563</v>
      </c>
      <c r="Z174">
        <v>1</v>
      </c>
      <c r="AA174" t="s">
        <v>1563</v>
      </c>
      <c r="AB174" t="s">
        <v>1563</v>
      </c>
      <c r="AC174" t="s">
        <v>1563</v>
      </c>
      <c r="AD174">
        <v>1</v>
      </c>
      <c r="AE174">
        <v>0</v>
      </c>
      <c r="AF174" t="s">
        <v>1541</v>
      </c>
      <c r="AG174" t="s">
        <v>1425</v>
      </c>
      <c r="AH174" t="s">
        <v>1563</v>
      </c>
    </row>
    <row r="175" spans="1:34" x14ac:dyDescent="0.25">
      <c r="A175" t="s">
        <v>749</v>
      </c>
      <c r="B175" t="s">
        <v>737</v>
      </c>
      <c r="C175" t="s">
        <v>732</v>
      </c>
      <c r="D175" t="s">
        <v>306</v>
      </c>
      <c r="E175" t="s">
        <v>1563</v>
      </c>
      <c r="F175" t="s">
        <v>752</v>
      </c>
      <c r="G175" t="s">
        <v>1563</v>
      </c>
      <c r="H175" s="736" t="s">
        <v>753</v>
      </c>
      <c r="I175" t="s">
        <v>309</v>
      </c>
      <c r="J175" t="s">
        <v>326</v>
      </c>
      <c r="K175">
        <v>1</v>
      </c>
      <c r="L175" s="736">
        <v>1</v>
      </c>
      <c r="M175" s="736" t="s">
        <v>33</v>
      </c>
      <c r="N175" s="736">
        <v>1</v>
      </c>
      <c r="O175" s="736">
        <v>1</v>
      </c>
      <c r="P175" s="736">
        <v>1</v>
      </c>
      <c r="Q175" s="736" t="s">
        <v>45</v>
      </c>
      <c r="R175" s="736">
        <v>1</v>
      </c>
      <c r="S175">
        <v>1</v>
      </c>
      <c r="T175">
        <v>1</v>
      </c>
      <c r="U175" t="s">
        <v>1563</v>
      </c>
      <c r="V175" t="s">
        <v>1563</v>
      </c>
      <c r="W175" t="s">
        <v>1563</v>
      </c>
      <c r="X175">
        <v>1</v>
      </c>
      <c r="Y175" t="s">
        <v>1563</v>
      </c>
      <c r="Z175">
        <v>1</v>
      </c>
      <c r="AA175" t="s">
        <v>1563</v>
      </c>
      <c r="AB175" t="s">
        <v>1563</v>
      </c>
      <c r="AC175" t="s">
        <v>1563</v>
      </c>
      <c r="AD175">
        <v>1</v>
      </c>
      <c r="AE175">
        <v>0</v>
      </c>
      <c r="AF175" t="s">
        <v>1541</v>
      </c>
      <c r="AG175" t="s">
        <v>1425</v>
      </c>
      <c r="AH175" t="s">
        <v>1563</v>
      </c>
    </row>
    <row r="176" spans="1:34" x14ac:dyDescent="0.25">
      <c r="A176" t="s">
        <v>749</v>
      </c>
      <c r="B176" t="s">
        <v>737</v>
      </c>
      <c r="C176" t="s">
        <v>732</v>
      </c>
      <c r="D176" t="s">
        <v>306</v>
      </c>
      <c r="E176" t="s">
        <v>1563</v>
      </c>
      <c r="F176" t="s">
        <v>754</v>
      </c>
      <c r="G176" t="s">
        <v>1563</v>
      </c>
      <c r="H176" s="736" t="s">
        <v>755</v>
      </c>
      <c r="I176" t="s">
        <v>309</v>
      </c>
      <c r="J176" t="s">
        <v>326</v>
      </c>
      <c r="K176">
        <v>1</v>
      </c>
      <c r="L176" s="736">
        <v>1</v>
      </c>
      <c r="M176" s="736" t="s">
        <v>33</v>
      </c>
      <c r="N176" s="736">
        <v>1</v>
      </c>
      <c r="O176" s="736">
        <v>1</v>
      </c>
      <c r="P176" s="736">
        <v>1</v>
      </c>
      <c r="Q176" s="736" t="s">
        <v>45</v>
      </c>
      <c r="R176" s="736">
        <v>1</v>
      </c>
      <c r="S176">
        <v>1</v>
      </c>
      <c r="T176">
        <v>1</v>
      </c>
      <c r="U176" t="s">
        <v>1563</v>
      </c>
      <c r="V176" t="s">
        <v>1563</v>
      </c>
      <c r="W176" t="s">
        <v>1563</v>
      </c>
      <c r="X176">
        <v>1</v>
      </c>
      <c r="Y176" t="s">
        <v>1563</v>
      </c>
      <c r="Z176">
        <v>1</v>
      </c>
      <c r="AA176" t="s">
        <v>1563</v>
      </c>
      <c r="AB176" t="s">
        <v>1563</v>
      </c>
      <c r="AC176" t="s">
        <v>1563</v>
      </c>
      <c r="AD176">
        <v>1</v>
      </c>
      <c r="AE176">
        <v>0</v>
      </c>
      <c r="AF176" t="s">
        <v>1541</v>
      </c>
      <c r="AG176" t="s">
        <v>1425</v>
      </c>
      <c r="AH176" t="s">
        <v>1563</v>
      </c>
    </row>
    <row r="177" spans="1:34" x14ac:dyDescent="0.25">
      <c r="A177" t="s">
        <v>749</v>
      </c>
      <c r="B177" t="s">
        <v>737</v>
      </c>
      <c r="C177" t="s">
        <v>732</v>
      </c>
      <c r="D177" t="s">
        <v>306</v>
      </c>
      <c r="E177" t="s">
        <v>1563</v>
      </c>
      <c r="F177" t="s">
        <v>756</v>
      </c>
      <c r="G177" t="s">
        <v>1563</v>
      </c>
      <c r="H177" s="736" t="s">
        <v>757</v>
      </c>
      <c r="I177" t="s">
        <v>309</v>
      </c>
      <c r="J177" t="s">
        <v>326</v>
      </c>
      <c r="K177">
        <v>1</v>
      </c>
      <c r="L177" s="736">
        <v>1</v>
      </c>
      <c r="M177" s="736" t="s">
        <v>33</v>
      </c>
      <c r="N177" s="736">
        <v>1</v>
      </c>
      <c r="O177" s="736">
        <v>1</v>
      </c>
      <c r="P177" s="736">
        <v>1</v>
      </c>
      <c r="Q177" s="736" t="s">
        <v>45</v>
      </c>
      <c r="R177" s="736">
        <v>1</v>
      </c>
      <c r="S177">
        <v>1</v>
      </c>
      <c r="T177">
        <v>1</v>
      </c>
      <c r="U177" t="s">
        <v>1563</v>
      </c>
      <c r="V177" t="s">
        <v>1563</v>
      </c>
      <c r="W177" t="s">
        <v>1563</v>
      </c>
      <c r="X177">
        <v>1</v>
      </c>
      <c r="Y177" t="s">
        <v>1563</v>
      </c>
      <c r="Z177">
        <v>1</v>
      </c>
      <c r="AA177" t="s">
        <v>1563</v>
      </c>
      <c r="AB177" t="s">
        <v>1563</v>
      </c>
      <c r="AC177" t="s">
        <v>1563</v>
      </c>
      <c r="AD177">
        <v>1</v>
      </c>
      <c r="AE177">
        <v>0</v>
      </c>
      <c r="AF177" t="s">
        <v>1541</v>
      </c>
      <c r="AG177" t="s">
        <v>1425</v>
      </c>
      <c r="AH177" t="s">
        <v>1563</v>
      </c>
    </row>
    <row r="178" spans="1:34" x14ac:dyDescent="0.25">
      <c r="A178" t="s">
        <v>736</v>
      </c>
      <c r="B178" t="s">
        <v>737</v>
      </c>
      <c r="C178" t="s">
        <v>732</v>
      </c>
      <c r="D178" t="s">
        <v>306</v>
      </c>
      <c r="E178" t="s">
        <v>1563</v>
      </c>
      <c r="F178" t="s">
        <v>758</v>
      </c>
      <c r="G178" t="s">
        <v>1563</v>
      </c>
      <c r="H178" s="736" t="s">
        <v>759</v>
      </c>
      <c r="I178" t="s">
        <v>309</v>
      </c>
      <c r="J178" t="s">
        <v>326</v>
      </c>
      <c r="K178">
        <v>1</v>
      </c>
      <c r="L178" s="736">
        <v>1</v>
      </c>
      <c r="M178" s="736" t="s">
        <v>33</v>
      </c>
      <c r="N178" s="736">
        <v>1</v>
      </c>
      <c r="O178" s="736">
        <v>1</v>
      </c>
      <c r="P178" s="736">
        <v>1</v>
      </c>
      <c r="Q178" s="736" t="s">
        <v>45</v>
      </c>
      <c r="R178" s="736">
        <v>1</v>
      </c>
      <c r="S178">
        <v>1</v>
      </c>
      <c r="T178">
        <v>1</v>
      </c>
      <c r="U178" t="s">
        <v>1563</v>
      </c>
      <c r="V178" t="s">
        <v>1563</v>
      </c>
      <c r="W178" t="s">
        <v>1563</v>
      </c>
      <c r="X178">
        <v>1</v>
      </c>
      <c r="Y178" t="s">
        <v>1563</v>
      </c>
      <c r="Z178">
        <v>1</v>
      </c>
      <c r="AA178" t="s">
        <v>1563</v>
      </c>
      <c r="AB178" t="s">
        <v>1563</v>
      </c>
      <c r="AC178" t="s">
        <v>1563</v>
      </c>
      <c r="AD178">
        <v>1</v>
      </c>
      <c r="AE178">
        <v>0</v>
      </c>
      <c r="AF178" t="s">
        <v>1541</v>
      </c>
      <c r="AG178" t="s">
        <v>1425</v>
      </c>
      <c r="AH178" t="s">
        <v>1563</v>
      </c>
    </row>
    <row r="179" spans="1:34" x14ac:dyDescent="0.25">
      <c r="A179" t="s">
        <v>749</v>
      </c>
      <c r="B179" t="s">
        <v>737</v>
      </c>
      <c r="C179" t="s">
        <v>732</v>
      </c>
      <c r="D179" t="s">
        <v>306</v>
      </c>
      <c r="E179" t="s">
        <v>1563</v>
      </c>
      <c r="F179" t="s">
        <v>760</v>
      </c>
      <c r="G179" t="s">
        <v>1563</v>
      </c>
      <c r="H179" s="736" t="s">
        <v>761</v>
      </c>
      <c r="I179" t="s">
        <v>309</v>
      </c>
      <c r="J179" t="s">
        <v>326</v>
      </c>
      <c r="K179">
        <v>1</v>
      </c>
      <c r="L179" s="736">
        <v>1</v>
      </c>
      <c r="M179" s="736" t="s">
        <v>33</v>
      </c>
      <c r="N179" s="736">
        <v>1</v>
      </c>
      <c r="O179" s="736">
        <v>1</v>
      </c>
      <c r="P179" s="736">
        <v>1</v>
      </c>
      <c r="Q179" s="736" t="s">
        <v>45</v>
      </c>
      <c r="R179" s="736">
        <v>1</v>
      </c>
      <c r="S179">
        <v>1</v>
      </c>
      <c r="T179">
        <v>1</v>
      </c>
      <c r="U179" t="s">
        <v>1563</v>
      </c>
      <c r="V179" t="s">
        <v>1563</v>
      </c>
      <c r="W179" t="s">
        <v>1563</v>
      </c>
      <c r="X179">
        <v>1</v>
      </c>
      <c r="Y179" t="s">
        <v>1563</v>
      </c>
      <c r="Z179">
        <v>1</v>
      </c>
      <c r="AA179" t="s">
        <v>1563</v>
      </c>
      <c r="AB179" t="s">
        <v>1563</v>
      </c>
      <c r="AC179" t="s">
        <v>1563</v>
      </c>
      <c r="AD179">
        <v>1</v>
      </c>
      <c r="AE179">
        <v>0</v>
      </c>
      <c r="AF179" t="s">
        <v>1541</v>
      </c>
      <c r="AG179" t="s">
        <v>1425</v>
      </c>
      <c r="AH179" t="s">
        <v>1563</v>
      </c>
    </row>
    <row r="180" spans="1:34" s="171" customFormat="1" x14ac:dyDescent="0.25">
      <c r="A180" t="s">
        <v>736</v>
      </c>
      <c r="B180" t="s">
        <v>737</v>
      </c>
      <c r="C180" t="s">
        <v>732</v>
      </c>
      <c r="D180" t="s">
        <v>306</v>
      </c>
      <c r="E180" t="s">
        <v>1563</v>
      </c>
      <c r="F180" t="s">
        <v>762</v>
      </c>
      <c r="G180" t="s">
        <v>1563</v>
      </c>
      <c r="H180" s="736" t="s">
        <v>763</v>
      </c>
      <c r="I180" t="s">
        <v>309</v>
      </c>
      <c r="J180" t="s">
        <v>326</v>
      </c>
      <c r="K180">
        <v>1</v>
      </c>
      <c r="L180" s="736">
        <v>1</v>
      </c>
      <c r="M180" s="736" t="s">
        <v>33</v>
      </c>
      <c r="N180" s="736">
        <v>1</v>
      </c>
      <c r="O180" s="736">
        <v>1</v>
      </c>
      <c r="P180" s="736">
        <v>1</v>
      </c>
      <c r="Q180" s="736" t="s">
        <v>45</v>
      </c>
      <c r="R180" s="736">
        <v>1</v>
      </c>
      <c r="S180">
        <v>1</v>
      </c>
      <c r="T180">
        <v>1</v>
      </c>
      <c r="U180" t="s">
        <v>1563</v>
      </c>
      <c r="V180" t="s">
        <v>1563</v>
      </c>
      <c r="W180" t="s">
        <v>1563</v>
      </c>
      <c r="X180">
        <v>1</v>
      </c>
      <c r="Y180" t="s">
        <v>1563</v>
      </c>
      <c r="Z180">
        <v>1</v>
      </c>
      <c r="AA180" t="s">
        <v>1563</v>
      </c>
      <c r="AB180" t="s">
        <v>1563</v>
      </c>
      <c r="AC180" t="s">
        <v>1563</v>
      </c>
      <c r="AD180">
        <v>1</v>
      </c>
      <c r="AE180">
        <v>0</v>
      </c>
      <c r="AF180" t="s">
        <v>1541</v>
      </c>
      <c r="AG180" t="s">
        <v>1425</v>
      </c>
      <c r="AH180" t="s">
        <v>1563</v>
      </c>
    </row>
    <row r="181" spans="1:34" x14ac:dyDescent="0.25">
      <c r="A181" t="s">
        <v>736</v>
      </c>
      <c r="B181" t="s">
        <v>737</v>
      </c>
      <c r="C181" t="s">
        <v>732</v>
      </c>
      <c r="D181" t="s">
        <v>306</v>
      </c>
      <c r="E181" t="s">
        <v>1563</v>
      </c>
      <c r="F181" t="s">
        <v>764</v>
      </c>
      <c r="G181" t="s">
        <v>1563</v>
      </c>
      <c r="H181" s="736" t="s">
        <v>765</v>
      </c>
      <c r="I181" t="s">
        <v>309</v>
      </c>
      <c r="J181" t="s">
        <v>326</v>
      </c>
      <c r="K181">
        <v>1</v>
      </c>
      <c r="L181" s="736">
        <v>1</v>
      </c>
      <c r="M181" s="736" t="s">
        <v>33</v>
      </c>
      <c r="N181" s="736">
        <v>1</v>
      </c>
      <c r="O181" s="736">
        <v>1</v>
      </c>
      <c r="P181" s="736">
        <v>1</v>
      </c>
      <c r="Q181" s="736" t="s">
        <v>45</v>
      </c>
      <c r="R181" s="736">
        <v>1</v>
      </c>
      <c r="S181">
        <v>1</v>
      </c>
      <c r="T181">
        <v>1</v>
      </c>
      <c r="U181" t="s">
        <v>1563</v>
      </c>
      <c r="V181" t="s">
        <v>1563</v>
      </c>
      <c r="W181" t="s">
        <v>1563</v>
      </c>
      <c r="X181">
        <v>1</v>
      </c>
      <c r="Y181" t="s">
        <v>1563</v>
      </c>
      <c r="Z181">
        <v>1</v>
      </c>
      <c r="AA181" t="s">
        <v>1563</v>
      </c>
      <c r="AB181" t="s">
        <v>1563</v>
      </c>
      <c r="AC181" t="s">
        <v>1563</v>
      </c>
      <c r="AD181">
        <v>1</v>
      </c>
      <c r="AE181">
        <v>0</v>
      </c>
      <c r="AF181" t="s">
        <v>1541</v>
      </c>
      <c r="AG181" t="s">
        <v>1425</v>
      </c>
      <c r="AH181" t="s">
        <v>1563</v>
      </c>
    </row>
    <row r="182" spans="1:34" x14ac:dyDescent="0.25">
      <c r="A182" t="s">
        <v>736</v>
      </c>
      <c r="B182" t="s">
        <v>737</v>
      </c>
      <c r="C182" t="s">
        <v>732</v>
      </c>
      <c r="D182" t="s">
        <v>306</v>
      </c>
      <c r="E182" t="s">
        <v>1563</v>
      </c>
      <c r="F182" t="s">
        <v>766</v>
      </c>
      <c r="G182" t="s">
        <v>1563</v>
      </c>
      <c r="H182" s="736" t="s">
        <v>767</v>
      </c>
      <c r="I182" t="s">
        <v>309</v>
      </c>
      <c r="J182" t="s">
        <v>326</v>
      </c>
      <c r="K182">
        <v>1</v>
      </c>
      <c r="L182" s="736">
        <v>1</v>
      </c>
      <c r="M182" s="736" t="s">
        <v>33</v>
      </c>
      <c r="N182" s="736">
        <v>1</v>
      </c>
      <c r="O182" s="736">
        <v>1</v>
      </c>
      <c r="P182" s="736">
        <v>1</v>
      </c>
      <c r="Q182" s="736" t="s">
        <v>45</v>
      </c>
      <c r="R182" s="736">
        <v>1</v>
      </c>
      <c r="S182">
        <v>1</v>
      </c>
      <c r="T182">
        <v>1</v>
      </c>
      <c r="U182" t="s">
        <v>1563</v>
      </c>
      <c r="V182" t="s">
        <v>1563</v>
      </c>
      <c r="W182" t="s">
        <v>1563</v>
      </c>
      <c r="X182">
        <v>1</v>
      </c>
      <c r="Y182" t="s">
        <v>1563</v>
      </c>
      <c r="Z182">
        <v>1</v>
      </c>
      <c r="AA182" t="s">
        <v>1563</v>
      </c>
      <c r="AB182" t="s">
        <v>1563</v>
      </c>
      <c r="AC182" t="s">
        <v>1563</v>
      </c>
      <c r="AD182">
        <v>1</v>
      </c>
      <c r="AE182">
        <v>0</v>
      </c>
      <c r="AF182" t="s">
        <v>1541</v>
      </c>
      <c r="AG182" t="s">
        <v>1425</v>
      </c>
      <c r="AH182" t="s">
        <v>1563</v>
      </c>
    </row>
    <row r="183" spans="1:34" x14ac:dyDescent="0.25">
      <c r="A183" t="s">
        <v>736</v>
      </c>
      <c r="B183" t="s">
        <v>737</v>
      </c>
      <c r="C183" t="s">
        <v>732</v>
      </c>
      <c r="D183" t="s">
        <v>306</v>
      </c>
      <c r="E183" t="s">
        <v>1563</v>
      </c>
      <c r="F183" t="s">
        <v>768</v>
      </c>
      <c r="G183" t="s">
        <v>1563</v>
      </c>
      <c r="H183" s="736" t="s">
        <v>769</v>
      </c>
      <c r="I183" t="s">
        <v>309</v>
      </c>
      <c r="J183" t="s">
        <v>326</v>
      </c>
      <c r="K183">
        <v>1</v>
      </c>
      <c r="L183" s="736">
        <v>1</v>
      </c>
      <c r="M183" s="736" t="s">
        <v>33</v>
      </c>
      <c r="N183" s="736">
        <v>1</v>
      </c>
      <c r="O183" s="736">
        <v>1</v>
      </c>
      <c r="P183" s="736">
        <v>1</v>
      </c>
      <c r="Q183" s="736" t="s">
        <v>45</v>
      </c>
      <c r="R183" s="736">
        <v>1</v>
      </c>
      <c r="S183">
        <v>1</v>
      </c>
      <c r="T183">
        <v>1</v>
      </c>
      <c r="U183" t="s">
        <v>1563</v>
      </c>
      <c r="V183" t="s">
        <v>1563</v>
      </c>
      <c r="W183" t="s">
        <v>1563</v>
      </c>
      <c r="X183">
        <v>1</v>
      </c>
      <c r="Y183" t="s">
        <v>1563</v>
      </c>
      <c r="Z183">
        <v>1</v>
      </c>
      <c r="AA183" t="s">
        <v>1563</v>
      </c>
      <c r="AB183" t="s">
        <v>1563</v>
      </c>
      <c r="AC183" t="s">
        <v>1563</v>
      </c>
      <c r="AD183">
        <v>1</v>
      </c>
      <c r="AE183">
        <v>0</v>
      </c>
      <c r="AF183" t="s">
        <v>1541</v>
      </c>
      <c r="AG183" t="s">
        <v>1425</v>
      </c>
      <c r="AH183" t="s">
        <v>1563</v>
      </c>
    </row>
    <row r="184" spans="1:34" x14ac:dyDescent="0.25">
      <c r="A184" t="s">
        <v>736</v>
      </c>
      <c r="B184" t="s">
        <v>737</v>
      </c>
      <c r="C184" t="s">
        <v>732</v>
      </c>
      <c r="D184" t="s">
        <v>306</v>
      </c>
      <c r="E184" t="s">
        <v>1563</v>
      </c>
      <c r="F184" t="s">
        <v>770</v>
      </c>
      <c r="G184" t="s">
        <v>1563</v>
      </c>
      <c r="H184" s="736" t="s">
        <v>771</v>
      </c>
      <c r="I184" t="s">
        <v>309</v>
      </c>
      <c r="J184" t="s">
        <v>326</v>
      </c>
      <c r="K184">
        <v>1</v>
      </c>
      <c r="L184" s="736">
        <v>1</v>
      </c>
      <c r="M184" s="736" t="s">
        <v>33</v>
      </c>
      <c r="N184" s="736">
        <v>1</v>
      </c>
      <c r="O184" s="736">
        <v>1</v>
      </c>
      <c r="P184" s="736">
        <v>1</v>
      </c>
      <c r="Q184" s="736" t="s">
        <v>45</v>
      </c>
      <c r="R184" s="736">
        <v>1</v>
      </c>
      <c r="S184">
        <v>1</v>
      </c>
      <c r="T184">
        <v>1</v>
      </c>
      <c r="U184" t="s">
        <v>1563</v>
      </c>
      <c r="V184" t="s">
        <v>1563</v>
      </c>
      <c r="W184" t="s">
        <v>1563</v>
      </c>
      <c r="X184">
        <v>1</v>
      </c>
      <c r="Y184" t="s">
        <v>1563</v>
      </c>
      <c r="Z184">
        <v>1</v>
      </c>
      <c r="AA184" t="s">
        <v>1563</v>
      </c>
      <c r="AB184" t="s">
        <v>1563</v>
      </c>
      <c r="AC184" t="s">
        <v>1563</v>
      </c>
      <c r="AD184">
        <v>1</v>
      </c>
      <c r="AE184">
        <v>0</v>
      </c>
      <c r="AF184" t="s">
        <v>1541</v>
      </c>
      <c r="AG184" t="s">
        <v>1425</v>
      </c>
      <c r="AH184" t="s">
        <v>1563</v>
      </c>
    </row>
    <row r="185" spans="1:34" x14ac:dyDescent="0.25">
      <c r="A185" t="s">
        <v>736</v>
      </c>
      <c r="B185" t="s">
        <v>737</v>
      </c>
      <c r="C185" t="s">
        <v>732</v>
      </c>
      <c r="D185" t="s">
        <v>306</v>
      </c>
      <c r="E185" t="s">
        <v>1563</v>
      </c>
      <c r="F185" t="s">
        <v>772</v>
      </c>
      <c r="G185" t="s">
        <v>1563</v>
      </c>
      <c r="H185" s="736" t="s">
        <v>773</v>
      </c>
      <c r="I185" t="s">
        <v>309</v>
      </c>
      <c r="J185" t="s">
        <v>567</v>
      </c>
      <c r="K185">
        <v>1</v>
      </c>
      <c r="L185" s="736">
        <v>1</v>
      </c>
      <c r="M185" s="736" t="s">
        <v>33</v>
      </c>
      <c r="N185" s="736">
        <v>1</v>
      </c>
      <c r="O185" s="736">
        <v>1</v>
      </c>
      <c r="P185" s="736">
        <v>1</v>
      </c>
      <c r="Q185" s="736" t="s">
        <v>45</v>
      </c>
      <c r="R185" s="736">
        <v>1</v>
      </c>
      <c r="S185">
        <v>1</v>
      </c>
      <c r="T185">
        <v>1</v>
      </c>
      <c r="U185" t="s">
        <v>1563</v>
      </c>
      <c r="V185" t="s">
        <v>1563</v>
      </c>
      <c r="W185" t="s">
        <v>1563</v>
      </c>
      <c r="X185">
        <v>1</v>
      </c>
      <c r="Y185" t="s">
        <v>1563</v>
      </c>
      <c r="Z185">
        <v>1</v>
      </c>
      <c r="AA185" t="s">
        <v>1563</v>
      </c>
      <c r="AB185" t="s">
        <v>1563</v>
      </c>
      <c r="AC185" t="s">
        <v>1563</v>
      </c>
      <c r="AD185">
        <v>1</v>
      </c>
      <c r="AE185">
        <v>0</v>
      </c>
      <c r="AF185" t="s">
        <v>1541</v>
      </c>
      <c r="AG185" t="s">
        <v>1425</v>
      </c>
      <c r="AH185" t="s">
        <v>1563</v>
      </c>
    </row>
    <row r="186" spans="1:34" x14ac:dyDescent="0.25">
      <c r="A186" t="s">
        <v>736</v>
      </c>
      <c r="B186" t="s">
        <v>737</v>
      </c>
      <c r="C186" t="s">
        <v>732</v>
      </c>
      <c r="D186" t="s">
        <v>306</v>
      </c>
      <c r="E186" t="s">
        <v>1563</v>
      </c>
      <c r="F186" t="s">
        <v>774</v>
      </c>
      <c r="G186" t="s">
        <v>1563</v>
      </c>
      <c r="H186" s="736" t="s">
        <v>775</v>
      </c>
      <c r="I186" t="s">
        <v>309</v>
      </c>
      <c r="J186" t="s">
        <v>567</v>
      </c>
      <c r="K186">
        <v>1</v>
      </c>
      <c r="L186" s="736">
        <v>1</v>
      </c>
      <c r="M186" s="736" t="s">
        <v>33</v>
      </c>
      <c r="N186" s="736">
        <v>1</v>
      </c>
      <c r="O186" s="736">
        <v>1</v>
      </c>
      <c r="P186" s="736">
        <v>1</v>
      </c>
      <c r="Q186" s="736" t="s">
        <v>45</v>
      </c>
      <c r="R186" s="736">
        <v>1</v>
      </c>
      <c r="S186">
        <v>1</v>
      </c>
      <c r="T186">
        <v>1</v>
      </c>
      <c r="U186" t="s">
        <v>1563</v>
      </c>
      <c r="V186" t="s">
        <v>1563</v>
      </c>
      <c r="W186" t="s">
        <v>1563</v>
      </c>
      <c r="X186">
        <v>1</v>
      </c>
      <c r="Y186" t="s">
        <v>1563</v>
      </c>
      <c r="Z186">
        <v>1</v>
      </c>
      <c r="AA186" t="s">
        <v>1563</v>
      </c>
      <c r="AB186" t="s">
        <v>1563</v>
      </c>
      <c r="AC186" t="s">
        <v>1563</v>
      </c>
      <c r="AD186">
        <v>1</v>
      </c>
      <c r="AE186">
        <v>0</v>
      </c>
      <c r="AF186" t="s">
        <v>1541</v>
      </c>
      <c r="AG186" t="s">
        <v>1425</v>
      </c>
      <c r="AH186" t="s">
        <v>1563</v>
      </c>
    </row>
    <row r="187" spans="1:34" x14ac:dyDescent="0.25">
      <c r="A187" t="s">
        <v>736</v>
      </c>
      <c r="B187" t="s">
        <v>737</v>
      </c>
      <c r="C187" t="s">
        <v>732</v>
      </c>
      <c r="D187" t="s">
        <v>306</v>
      </c>
      <c r="E187" t="s">
        <v>1563</v>
      </c>
      <c r="F187" t="s">
        <v>776</v>
      </c>
      <c r="G187" t="s">
        <v>1563</v>
      </c>
      <c r="H187" s="736" t="s">
        <v>777</v>
      </c>
      <c r="I187" t="s">
        <v>309</v>
      </c>
      <c r="J187" t="s">
        <v>567</v>
      </c>
      <c r="K187">
        <v>1</v>
      </c>
      <c r="L187" s="736">
        <v>1</v>
      </c>
      <c r="M187" s="736" t="s">
        <v>33</v>
      </c>
      <c r="N187" s="736">
        <v>1</v>
      </c>
      <c r="O187" s="736">
        <v>1</v>
      </c>
      <c r="P187" s="736">
        <v>1</v>
      </c>
      <c r="Q187" s="736" t="s">
        <v>45</v>
      </c>
      <c r="R187" s="736">
        <v>1</v>
      </c>
      <c r="S187">
        <v>1</v>
      </c>
      <c r="T187">
        <v>1</v>
      </c>
      <c r="U187" t="s">
        <v>1563</v>
      </c>
      <c r="V187" t="s">
        <v>1563</v>
      </c>
      <c r="W187" t="s">
        <v>1563</v>
      </c>
      <c r="X187">
        <v>1</v>
      </c>
      <c r="Y187" t="s">
        <v>1563</v>
      </c>
      <c r="Z187">
        <v>1</v>
      </c>
      <c r="AA187" t="s">
        <v>1563</v>
      </c>
      <c r="AB187" t="s">
        <v>1563</v>
      </c>
      <c r="AC187" t="s">
        <v>1563</v>
      </c>
      <c r="AD187">
        <v>1</v>
      </c>
      <c r="AE187">
        <v>0</v>
      </c>
      <c r="AF187" t="s">
        <v>1541</v>
      </c>
      <c r="AG187" t="s">
        <v>1425</v>
      </c>
      <c r="AH187" t="s">
        <v>1563</v>
      </c>
    </row>
    <row r="188" spans="1:34" x14ac:dyDescent="0.25">
      <c r="A188" t="s">
        <v>736</v>
      </c>
      <c r="B188" t="s">
        <v>737</v>
      </c>
      <c r="C188" t="s">
        <v>732</v>
      </c>
      <c r="D188" t="s">
        <v>306</v>
      </c>
      <c r="E188" t="s">
        <v>1563</v>
      </c>
      <c r="F188" t="s">
        <v>778</v>
      </c>
      <c r="G188" t="s">
        <v>1563</v>
      </c>
      <c r="H188" s="736" t="s">
        <v>779</v>
      </c>
      <c r="I188" t="s">
        <v>309</v>
      </c>
      <c r="J188" t="s">
        <v>567</v>
      </c>
      <c r="K188">
        <v>1</v>
      </c>
      <c r="L188" s="736">
        <v>1</v>
      </c>
      <c r="M188" s="736" t="s">
        <v>33</v>
      </c>
      <c r="N188" s="736">
        <v>1</v>
      </c>
      <c r="O188" s="736">
        <v>1</v>
      </c>
      <c r="P188" s="736">
        <v>1</v>
      </c>
      <c r="Q188" s="736" t="s">
        <v>45</v>
      </c>
      <c r="R188" s="736">
        <v>1</v>
      </c>
      <c r="S188">
        <v>1</v>
      </c>
      <c r="T188">
        <v>1</v>
      </c>
      <c r="U188" t="s">
        <v>1563</v>
      </c>
      <c r="V188" t="s">
        <v>1563</v>
      </c>
      <c r="W188" t="s">
        <v>1563</v>
      </c>
      <c r="X188">
        <v>1</v>
      </c>
      <c r="Y188" t="s">
        <v>1563</v>
      </c>
      <c r="Z188">
        <v>1</v>
      </c>
      <c r="AA188" t="s">
        <v>1563</v>
      </c>
      <c r="AB188" t="s">
        <v>1563</v>
      </c>
      <c r="AC188" t="s">
        <v>1563</v>
      </c>
      <c r="AD188">
        <v>1</v>
      </c>
      <c r="AE188">
        <v>0</v>
      </c>
      <c r="AF188" t="s">
        <v>1541</v>
      </c>
      <c r="AG188" t="s">
        <v>1425</v>
      </c>
      <c r="AH188" t="s">
        <v>1563</v>
      </c>
    </row>
    <row r="189" spans="1:34" x14ac:dyDescent="0.25">
      <c r="A189" t="s">
        <v>736</v>
      </c>
      <c r="B189" t="s">
        <v>737</v>
      </c>
      <c r="C189" t="s">
        <v>732</v>
      </c>
      <c r="D189" t="s">
        <v>306</v>
      </c>
      <c r="E189" t="s">
        <v>1563</v>
      </c>
      <c r="F189" t="s">
        <v>780</v>
      </c>
      <c r="G189" t="s">
        <v>1563</v>
      </c>
      <c r="H189" s="736" t="s">
        <v>781</v>
      </c>
      <c r="I189" t="s">
        <v>309</v>
      </c>
      <c r="J189" t="s">
        <v>567</v>
      </c>
      <c r="K189">
        <v>1</v>
      </c>
      <c r="L189" s="736">
        <v>1</v>
      </c>
      <c r="M189" s="736" t="s">
        <v>33</v>
      </c>
      <c r="N189" s="736">
        <v>1</v>
      </c>
      <c r="O189" s="736">
        <v>1</v>
      </c>
      <c r="P189" s="736">
        <v>1</v>
      </c>
      <c r="Q189" s="736" t="s">
        <v>45</v>
      </c>
      <c r="R189" s="736">
        <v>1</v>
      </c>
      <c r="S189">
        <v>1</v>
      </c>
      <c r="T189">
        <v>1</v>
      </c>
      <c r="U189" t="s">
        <v>1563</v>
      </c>
      <c r="V189" t="s">
        <v>1563</v>
      </c>
      <c r="W189" t="s">
        <v>1563</v>
      </c>
      <c r="X189">
        <v>1</v>
      </c>
      <c r="Y189" t="s">
        <v>1563</v>
      </c>
      <c r="Z189">
        <v>1</v>
      </c>
      <c r="AA189" t="s">
        <v>1563</v>
      </c>
      <c r="AB189" t="s">
        <v>1563</v>
      </c>
      <c r="AC189" t="s">
        <v>1563</v>
      </c>
      <c r="AD189">
        <v>1</v>
      </c>
      <c r="AE189">
        <v>0</v>
      </c>
      <c r="AF189" t="s">
        <v>1541</v>
      </c>
      <c r="AG189" t="s">
        <v>1425</v>
      </c>
      <c r="AH189" t="s">
        <v>1563</v>
      </c>
    </row>
    <row r="190" spans="1:34" x14ac:dyDescent="0.25">
      <c r="A190" t="s">
        <v>736</v>
      </c>
      <c r="B190" t="s">
        <v>737</v>
      </c>
      <c r="C190" t="s">
        <v>732</v>
      </c>
      <c r="D190" t="s">
        <v>306</v>
      </c>
      <c r="E190" t="s">
        <v>1563</v>
      </c>
      <c r="F190" t="s">
        <v>782</v>
      </c>
      <c r="G190" t="s">
        <v>1563</v>
      </c>
      <c r="H190" s="736" t="s">
        <v>783</v>
      </c>
      <c r="I190" t="s">
        <v>309</v>
      </c>
      <c r="J190" t="s">
        <v>567</v>
      </c>
      <c r="K190">
        <v>1</v>
      </c>
      <c r="L190" s="736">
        <v>1</v>
      </c>
      <c r="M190" s="736" t="s">
        <v>33</v>
      </c>
      <c r="N190" s="736">
        <v>1</v>
      </c>
      <c r="O190" s="736">
        <v>1</v>
      </c>
      <c r="P190" s="736">
        <v>1</v>
      </c>
      <c r="Q190" s="736" t="s">
        <v>45</v>
      </c>
      <c r="R190" s="736">
        <v>1</v>
      </c>
      <c r="S190">
        <v>1</v>
      </c>
      <c r="T190">
        <v>1</v>
      </c>
      <c r="U190" t="s">
        <v>1563</v>
      </c>
      <c r="V190" t="s">
        <v>1563</v>
      </c>
      <c r="W190" t="s">
        <v>1563</v>
      </c>
      <c r="X190">
        <v>1</v>
      </c>
      <c r="Y190" t="s">
        <v>1563</v>
      </c>
      <c r="Z190">
        <v>1</v>
      </c>
      <c r="AA190" t="s">
        <v>1563</v>
      </c>
      <c r="AB190" t="s">
        <v>1563</v>
      </c>
      <c r="AC190" t="s">
        <v>1563</v>
      </c>
      <c r="AD190">
        <v>1</v>
      </c>
      <c r="AE190">
        <v>0</v>
      </c>
      <c r="AF190" t="s">
        <v>1541</v>
      </c>
      <c r="AG190" t="s">
        <v>1425</v>
      </c>
      <c r="AH190" t="s">
        <v>1563</v>
      </c>
    </row>
    <row r="191" spans="1:34" x14ac:dyDescent="0.25">
      <c r="A191" t="s">
        <v>749</v>
      </c>
      <c r="B191" t="s">
        <v>737</v>
      </c>
      <c r="C191" t="s">
        <v>732</v>
      </c>
      <c r="D191" t="s">
        <v>306</v>
      </c>
      <c r="E191" t="s">
        <v>1563</v>
      </c>
      <c r="F191" t="s">
        <v>784</v>
      </c>
      <c r="G191" t="s">
        <v>1563</v>
      </c>
      <c r="H191" s="736" t="s">
        <v>785</v>
      </c>
      <c r="I191" t="s">
        <v>309</v>
      </c>
      <c r="J191" t="s">
        <v>567</v>
      </c>
      <c r="K191">
        <v>1</v>
      </c>
      <c r="L191" s="736">
        <v>1</v>
      </c>
      <c r="M191" s="736" t="s">
        <v>33</v>
      </c>
      <c r="N191" s="736">
        <v>1</v>
      </c>
      <c r="O191" s="736">
        <v>1</v>
      </c>
      <c r="P191" s="736">
        <v>1</v>
      </c>
      <c r="Q191" s="736" t="s">
        <v>45</v>
      </c>
      <c r="R191" s="736">
        <v>1</v>
      </c>
      <c r="S191">
        <v>1</v>
      </c>
      <c r="T191">
        <v>1</v>
      </c>
      <c r="U191" t="s">
        <v>1563</v>
      </c>
      <c r="V191" t="s">
        <v>1563</v>
      </c>
      <c r="W191" t="s">
        <v>1563</v>
      </c>
      <c r="X191">
        <v>1</v>
      </c>
      <c r="Y191" t="s">
        <v>1563</v>
      </c>
      <c r="Z191">
        <v>1</v>
      </c>
      <c r="AA191" t="s">
        <v>1563</v>
      </c>
      <c r="AB191" t="s">
        <v>1563</v>
      </c>
      <c r="AC191" t="s">
        <v>1563</v>
      </c>
      <c r="AD191">
        <v>1</v>
      </c>
      <c r="AE191">
        <v>0</v>
      </c>
      <c r="AF191" t="s">
        <v>1541</v>
      </c>
      <c r="AG191" t="s">
        <v>1425</v>
      </c>
      <c r="AH191" t="s">
        <v>1563</v>
      </c>
    </row>
    <row r="192" spans="1:34" x14ac:dyDescent="0.25">
      <c r="A192" t="s">
        <v>749</v>
      </c>
      <c r="B192" t="s">
        <v>737</v>
      </c>
      <c r="C192" t="s">
        <v>732</v>
      </c>
      <c r="D192" t="s">
        <v>306</v>
      </c>
      <c r="E192" t="s">
        <v>1563</v>
      </c>
      <c r="F192" t="s">
        <v>786</v>
      </c>
      <c r="G192" t="s">
        <v>1563</v>
      </c>
      <c r="H192" s="736" t="s">
        <v>787</v>
      </c>
      <c r="I192" t="s">
        <v>309</v>
      </c>
      <c r="J192" t="s">
        <v>567</v>
      </c>
      <c r="K192">
        <v>1</v>
      </c>
      <c r="L192" s="736">
        <v>1</v>
      </c>
      <c r="M192" s="736" t="s">
        <v>33</v>
      </c>
      <c r="N192" s="736">
        <v>1</v>
      </c>
      <c r="O192" s="736">
        <v>1</v>
      </c>
      <c r="P192" s="736">
        <v>1</v>
      </c>
      <c r="Q192" s="736" t="s">
        <v>45</v>
      </c>
      <c r="R192" s="736">
        <v>1</v>
      </c>
      <c r="S192">
        <v>1</v>
      </c>
      <c r="T192">
        <v>1</v>
      </c>
      <c r="U192" t="s">
        <v>1563</v>
      </c>
      <c r="V192" t="s">
        <v>1563</v>
      </c>
      <c r="W192" t="s">
        <v>1563</v>
      </c>
      <c r="X192">
        <v>1</v>
      </c>
      <c r="Y192" t="s">
        <v>1563</v>
      </c>
      <c r="Z192">
        <v>1</v>
      </c>
      <c r="AA192" t="s">
        <v>1563</v>
      </c>
      <c r="AB192" t="s">
        <v>1563</v>
      </c>
      <c r="AC192" t="s">
        <v>1563</v>
      </c>
      <c r="AD192">
        <v>1</v>
      </c>
      <c r="AE192">
        <v>0</v>
      </c>
      <c r="AF192" t="s">
        <v>1541</v>
      </c>
      <c r="AG192" t="s">
        <v>1425</v>
      </c>
      <c r="AH192" t="s">
        <v>1563</v>
      </c>
    </row>
    <row r="193" spans="1:34" x14ac:dyDescent="0.25">
      <c r="A193" t="s">
        <v>788</v>
      </c>
      <c r="B193" t="s">
        <v>789</v>
      </c>
      <c r="C193" t="s">
        <v>339</v>
      </c>
      <c r="D193" t="s">
        <v>790</v>
      </c>
      <c r="E193" t="s">
        <v>1563</v>
      </c>
      <c r="F193" t="s">
        <v>791</v>
      </c>
      <c r="G193" t="s">
        <v>1563</v>
      </c>
      <c r="H193" s="736" t="s">
        <v>792</v>
      </c>
      <c r="I193" t="s">
        <v>309</v>
      </c>
      <c r="J193" t="s">
        <v>326</v>
      </c>
      <c r="K193">
        <v>1</v>
      </c>
      <c r="L193" s="736">
        <v>2</v>
      </c>
      <c r="M193" s="736" t="s">
        <v>33</v>
      </c>
      <c r="N193" s="736">
        <v>1</v>
      </c>
      <c r="O193" s="736">
        <v>2</v>
      </c>
      <c r="P193" s="736">
        <v>1</v>
      </c>
      <c r="Q193" s="736" t="s">
        <v>45</v>
      </c>
      <c r="R193" s="736">
        <v>2</v>
      </c>
      <c r="S193">
        <v>2</v>
      </c>
      <c r="T193">
        <v>2</v>
      </c>
      <c r="U193" t="s">
        <v>1563</v>
      </c>
      <c r="V193" t="s">
        <v>1563</v>
      </c>
      <c r="W193" t="s">
        <v>1563</v>
      </c>
      <c r="X193">
        <v>1</v>
      </c>
      <c r="Y193" t="s">
        <v>1563</v>
      </c>
      <c r="Z193">
        <v>0</v>
      </c>
      <c r="AA193" t="s">
        <v>1563</v>
      </c>
      <c r="AB193" t="s">
        <v>1563</v>
      </c>
      <c r="AC193" t="s">
        <v>1563</v>
      </c>
      <c r="AD193" t="s">
        <v>1563</v>
      </c>
      <c r="AE193">
        <v>0</v>
      </c>
      <c r="AF193" t="s">
        <v>1563</v>
      </c>
      <c r="AG193" t="s">
        <v>1563</v>
      </c>
      <c r="AH193" t="s">
        <v>1563</v>
      </c>
    </row>
    <row r="194" spans="1:34" x14ac:dyDescent="0.25">
      <c r="A194" t="s">
        <v>793</v>
      </c>
      <c r="B194" t="s">
        <v>794</v>
      </c>
      <c r="C194" t="s">
        <v>477</v>
      </c>
      <c r="D194" t="s">
        <v>306</v>
      </c>
      <c r="E194" t="s">
        <v>1563</v>
      </c>
      <c r="F194" t="s">
        <v>795</v>
      </c>
      <c r="G194" t="s">
        <v>275</v>
      </c>
      <c r="H194" s="736" t="s">
        <v>796</v>
      </c>
      <c r="I194" t="s">
        <v>309</v>
      </c>
      <c r="J194" t="s">
        <v>326</v>
      </c>
      <c r="K194">
        <v>1</v>
      </c>
      <c r="L194" s="736">
        <v>32</v>
      </c>
      <c r="M194" s="736" t="s">
        <v>33</v>
      </c>
      <c r="N194" s="736">
        <v>1</v>
      </c>
      <c r="O194" s="736">
        <v>32</v>
      </c>
      <c r="P194" s="736">
        <v>1</v>
      </c>
      <c r="Q194" s="736" t="s">
        <v>46</v>
      </c>
      <c r="R194" s="736">
        <v>32</v>
      </c>
      <c r="S194">
        <v>32</v>
      </c>
      <c r="T194">
        <v>19</v>
      </c>
      <c r="U194">
        <v>13</v>
      </c>
      <c r="V194" t="s">
        <v>1563</v>
      </c>
      <c r="W194" t="s">
        <v>1563</v>
      </c>
      <c r="X194">
        <v>1</v>
      </c>
      <c r="Y194" t="s">
        <v>1563</v>
      </c>
      <c r="Z194">
        <v>32</v>
      </c>
      <c r="AA194">
        <v>32</v>
      </c>
      <c r="AB194" t="s">
        <v>1563</v>
      </c>
      <c r="AC194" t="s">
        <v>1563</v>
      </c>
      <c r="AD194" t="s">
        <v>1563</v>
      </c>
      <c r="AE194">
        <v>1</v>
      </c>
      <c r="AF194" t="s">
        <v>1521</v>
      </c>
      <c r="AG194" t="s">
        <v>1425</v>
      </c>
      <c r="AH194" t="s">
        <v>1563</v>
      </c>
    </row>
    <row r="195" spans="1:34" x14ac:dyDescent="0.25">
      <c r="A195" t="s">
        <v>793</v>
      </c>
      <c r="B195" t="s">
        <v>794</v>
      </c>
      <c r="C195" t="s">
        <v>477</v>
      </c>
      <c r="D195" t="s">
        <v>306</v>
      </c>
      <c r="E195" t="s">
        <v>1563</v>
      </c>
      <c r="F195" t="s">
        <v>795</v>
      </c>
      <c r="G195" t="s">
        <v>275</v>
      </c>
      <c r="H195" s="736" t="s">
        <v>797</v>
      </c>
      <c r="I195" t="s">
        <v>309</v>
      </c>
      <c r="J195" t="s">
        <v>798</v>
      </c>
      <c r="K195">
        <v>1</v>
      </c>
      <c r="L195" s="736">
        <v>4</v>
      </c>
      <c r="M195" s="736" t="s">
        <v>33</v>
      </c>
      <c r="N195" s="736">
        <v>1</v>
      </c>
      <c r="O195" s="736">
        <v>4</v>
      </c>
      <c r="P195" s="736">
        <v>1</v>
      </c>
      <c r="Q195" s="736" t="s">
        <v>46</v>
      </c>
      <c r="R195" s="736">
        <v>4</v>
      </c>
      <c r="S195">
        <v>4</v>
      </c>
      <c r="T195">
        <v>3</v>
      </c>
      <c r="U195">
        <v>1</v>
      </c>
      <c r="V195" t="s">
        <v>1563</v>
      </c>
      <c r="W195" t="s">
        <v>1563</v>
      </c>
      <c r="X195">
        <v>1</v>
      </c>
      <c r="Y195" t="s">
        <v>1563</v>
      </c>
      <c r="Z195">
        <v>4</v>
      </c>
      <c r="AA195">
        <v>4</v>
      </c>
      <c r="AB195" t="s">
        <v>1563</v>
      </c>
      <c r="AC195" t="s">
        <v>1563</v>
      </c>
      <c r="AD195" t="s">
        <v>1563</v>
      </c>
      <c r="AE195">
        <v>1</v>
      </c>
      <c r="AF195" t="s">
        <v>1521</v>
      </c>
      <c r="AG195" t="s">
        <v>1425</v>
      </c>
      <c r="AH195" t="s">
        <v>1563</v>
      </c>
    </row>
    <row r="196" spans="1:34" x14ac:dyDescent="0.25">
      <c r="A196" t="s">
        <v>793</v>
      </c>
      <c r="B196" t="s">
        <v>794</v>
      </c>
      <c r="C196" t="s">
        <v>477</v>
      </c>
      <c r="D196" t="s">
        <v>306</v>
      </c>
      <c r="E196" t="s">
        <v>1563</v>
      </c>
      <c r="F196" t="s">
        <v>799</v>
      </c>
      <c r="G196" t="s">
        <v>275</v>
      </c>
      <c r="H196" s="736" t="s">
        <v>800</v>
      </c>
      <c r="I196" t="s">
        <v>309</v>
      </c>
      <c r="J196" t="s">
        <v>326</v>
      </c>
      <c r="K196">
        <v>1</v>
      </c>
      <c r="L196" s="736">
        <v>1</v>
      </c>
      <c r="M196" s="736" t="s">
        <v>33</v>
      </c>
      <c r="N196" s="736">
        <v>1</v>
      </c>
      <c r="O196" s="736">
        <v>1</v>
      </c>
      <c r="P196" s="736">
        <v>1</v>
      </c>
      <c r="Q196" s="736" t="s">
        <v>46</v>
      </c>
      <c r="R196" s="736">
        <v>1</v>
      </c>
      <c r="S196">
        <v>1</v>
      </c>
      <c r="T196">
        <v>1</v>
      </c>
      <c r="U196" t="s">
        <v>1563</v>
      </c>
      <c r="V196" t="s">
        <v>1563</v>
      </c>
      <c r="W196" t="s">
        <v>1563</v>
      </c>
      <c r="X196">
        <v>1</v>
      </c>
      <c r="Y196" t="s">
        <v>1563</v>
      </c>
      <c r="Z196">
        <v>1</v>
      </c>
      <c r="AA196">
        <v>1</v>
      </c>
      <c r="AB196" t="s">
        <v>1563</v>
      </c>
      <c r="AC196" t="s">
        <v>1563</v>
      </c>
      <c r="AD196" t="s">
        <v>1563</v>
      </c>
      <c r="AE196">
        <v>1</v>
      </c>
      <c r="AF196" t="s">
        <v>1521</v>
      </c>
      <c r="AG196" t="s">
        <v>1425</v>
      </c>
      <c r="AH196" t="s">
        <v>1563</v>
      </c>
    </row>
    <row r="197" spans="1:34" x14ac:dyDescent="0.25">
      <c r="A197" t="s">
        <v>793</v>
      </c>
      <c r="B197" t="s">
        <v>794</v>
      </c>
      <c r="C197" t="s">
        <v>477</v>
      </c>
      <c r="D197" t="s">
        <v>306</v>
      </c>
      <c r="E197" t="s">
        <v>1563</v>
      </c>
      <c r="F197" t="s">
        <v>801</v>
      </c>
      <c r="G197" t="s">
        <v>275</v>
      </c>
      <c r="H197" s="736" t="s">
        <v>802</v>
      </c>
      <c r="I197" t="s">
        <v>309</v>
      </c>
      <c r="J197" t="s">
        <v>326</v>
      </c>
      <c r="K197">
        <v>1</v>
      </c>
      <c r="L197" s="736">
        <v>1</v>
      </c>
      <c r="M197" s="736" t="s">
        <v>33</v>
      </c>
      <c r="N197" s="736">
        <v>1</v>
      </c>
      <c r="O197" s="736">
        <v>1</v>
      </c>
      <c r="P197" s="736">
        <v>1</v>
      </c>
      <c r="Q197" s="736" t="s">
        <v>46</v>
      </c>
      <c r="R197" s="736">
        <v>1</v>
      </c>
      <c r="S197">
        <v>1</v>
      </c>
      <c r="T197">
        <v>1</v>
      </c>
      <c r="U197" t="s">
        <v>1563</v>
      </c>
      <c r="V197" t="s">
        <v>1563</v>
      </c>
      <c r="W197" t="s">
        <v>1563</v>
      </c>
      <c r="X197">
        <v>1</v>
      </c>
      <c r="Y197" t="s">
        <v>1563</v>
      </c>
      <c r="Z197">
        <v>1</v>
      </c>
      <c r="AA197">
        <v>1</v>
      </c>
      <c r="AB197" t="s">
        <v>1563</v>
      </c>
      <c r="AC197" t="s">
        <v>1563</v>
      </c>
      <c r="AD197" t="s">
        <v>1563</v>
      </c>
      <c r="AE197">
        <v>1</v>
      </c>
      <c r="AF197" t="s">
        <v>1521</v>
      </c>
      <c r="AG197" t="s">
        <v>1425</v>
      </c>
      <c r="AH197" t="s">
        <v>1563</v>
      </c>
    </row>
    <row r="198" spans="1:34" x14ac:dyDescent="0.25">
      <c r="A198" t="s">
        <v>793</v>
      </c>
      <c r="B198" t="s">
        <v>794</v>
      </c>
      <c r="C198" t="s">
        <v>477</v>
      </c>
      <c r="D198" t="s">
        <v>306</v>
      </c>
      <c r="E198" t="s">
        <v>1563</v>
      </c>
      <c r="F198" t="s">
        <v>803</v>
      </c>
      <c r="G198" t="s">
        <v>275</v>
      </c>
      <c r="H198" s="736" t="s">
        <v>804</v>
      </c>
      <c r="I198" t="s">
        <v>309</v>
      </c>
      <c r="J198" t="s">
        <v>326</v>
      </c>
      <c r="K198">
        <v>1</v>
      </c>
      <c r="L198" s="736">
        <v>1</v>
      </c>
      <c r="M198" s="736" t="s">
        <v>33</v>
      </c>
      <c r="N198" s="736">
        <v>1</v>
      </c>
      <c r="O198" s="736">
        <v>1</v>
      </c>
      <c r="P198" s="736">
        <v>1</v>
      </c>
      <c r="Q198" s="736" t="s">
        <v>46</v>
      </c>
      <c r="R198" s="736">
        <v>1</v>
      </c>
      <c r="S198">
        <v>1</v>
      </c>
      <c r="T198">
        <v>1</v>
      </c>
      <c r="U198" t="s">
        <v>1563</v>
      </c>
      <c r="V198" t="s">
        <v>1563</v>
      </c>
      <c r="W198" t="s">
        <v>1563</v>
      </c>
      <c r="X198">
        <v>1</v>
      </c>
      <c r="Y198" t="s">
        <v>1563</v>
      </c>
      <c r="Z198">
        <v>1</v>
      </c>
      <c r="AA198">
        <v>1</v>
      </c>
      <c r="AB198" t="s">
        <v>1563</v>
      </c>
      <c r="AC198" t="s">
        <v>1563</v>
      </c>
      <c r="AD198" t="s">
        <v>1563</v>
      </c>
      <c r="AE198">
        <v>1</v>
      </c>
      <c r="AF198" t="s">
        <v>1521</v>
      </c>
      <c r="AG198" t="s">
        <v>1425</v>
      </c>
      <c r="AH198" t="s">
        <v>1563</v>
      </c>
    </row>
    <row r="199" spans="1:34" x14ac:dyDescent="0.25">
      <c r="A199" t="s">
        <v>793</v>
      </c>
      <c r="B199" t="s">
        <v>794</v>
      </c>
      <c r="C199" t="s">
        <v>477</v>
      </c>
      <c r="D199" t="s">
        <v>306</v>
      </c>
      <c r="E199" t="s">
        <v>1563</v>
      </c>
      <c r="F199" t="s">
        <v>805</v>
      </c>
      <c r="G199" t="s">
        <v>275</v>
      </c>
      <c r="H199" s="736" t="s">
        <v>806</v>
      </c>
      <c r="I199" t="s">
        <v>309</v>
      </c>
      <c r="J199" t="s">
        <v>326</v>
      </c>
      <c r="K199">
        <v>1</v>
      </c>
      <c r="L199" s="736">
        <v>1</v>
      </c>
      <c r="M199" s="736" t="s">
        <v>33</v>
      </c>
      <c r="N199" s="736">
        <v>1</v>
      </c>
      <c r="O199" s="736">
        <v>1</v>
      </c>
      <c r="P199" s="736">
        <v>1</v>
      </c>
      <c r="Q199" s="736" t="s">
        <v>46</v>
      </c>
      <c r="R199" s="736">
        <v>1</v>
      </c>
      <c r="S199">
        <v>1</v>
      </c>
      <c r="T199">
        <v>1</v>
      </c>
      <c r="U199" t="s">
        <v>1563</v>
      </c>
      <c r="V199" t="s">
        <v>1563</v>
      </c>
      <c r="W199" t="s">
        <v>1563</v>
      </c>
      <c r="X199">
        <v>1</v>
      </c>
      <c r="Y199" t="s">
        <v>1563</v>
      </c>
      <c r="Z199">
        <v>1</v>
      </c>
      <c r="AA199">
        <v>1</v>
      </c>
      <c r="AB199" t="s">
        <v>1563</v>
      </c>
      <c r="AC199" t="s">
        <v>1563</v>
      </c>
      <c r="AD199" t="s">
        <v>1563</v>
      </c>
      <c r="AE199">
        <v>1</v>
      </c>
      <c r="AF199" t="s">
        <v>1521</v>
      </c>
      <c r="AG199" t="s">
        <v>1425</v>
      </c>
      <c r="AH199" t="s">
        <v>1563</v>
      </c>
    </row>
    <row r="200" spans="1:34" x14ac:dyDescent="0.25">
      <c r="A200" t="s">
        <v>793</v>
      </c>
      <c r="B200" t="s">
        <v>794</v>
      </c>
      <c r="C200" t="s">
        <v>477</v>
      </c>
      <c r="D200" t="s">
        <v>306</v>
      </c>
      <c r="E200" t="s">
        <v>1563</v>
      </c>
      <c r="F200" t="s">
        <v>807</v>
      </c>
      <c r="G200" t="s">
        <v>275</v>
      </c>
      <c r="H200" s="736" t="s">
        <v>808</v>
      </c>
      <c r="I200" t="s">
        <v>309</v>
      </c>
      <c r="J200" t="s">
        <v>310</v>
      </c>
      <c r="K200">
        <v>1</v>
      </c>
      <c r="L200" s="736">
        <v>1</v>
      </c>
      <c r="M200" s="736" t="s">
        <v>33</v>
      </c>
      <c r="N200" s="736">
        <v>1</v>
      </c>
      <c r="O200" s="736">
        <v>1</v>
      </c>
      <c r="P200" s="736">
        <v>1</v>
      </c>
      <c r="Q200" s="736" t="s">
        <v>46</v>
      </c>
      <c r="R200" s="736">
        <v>1</v>
      </c>
      <c r="S200">
        <v>1</v>
      </c>
      <c r="T200">
        <v>1</v>
      </c>
      <c r="U200" t="s">
        <v>1563</v>
      </c>
      <c r="V200" t="s">
        <v>1563</v>
      </c>
      <c r="W200" t="s">
        <v>1563</v>
      </c>
      <c r="X200">
        <v>1</v>
      </c>
      <c r="Y200" t="s">
        <v>1563</v>
      </c>
      <c r="Z200">
        <v>1</v>
      </c>
      <c r="AA200">
        <v>1</v>
      </c>
      <c r="AB200" t="s">
        <v>1563</v>
      </c>
      <c r="AC200" t="s">
        <v>1563</v>
      </c>
      <c r="AD200" t="s">
        <v>1563</v>
      </c>
      <c r="AE200">
        <v>1</v>
      </c>
      <c r="AF200" t="s">
        <v>1521</v>
      </c>
      <c r="AG200" t="s">
        <v>1425</v>
      </c>
      <c r="AH200" t="s">
        <v>1563</v>
      </c>
    </row>
    <row r="201" spans="1:34" x14ac:dyDescent="0.25">
      <c r="A201" t="s">
        <v>793</v>
      </c>
      <c r="B201" t="s">
        <v>794</v>
      </c>
      <c r="C201" t="s">
        <v>477</v>
      </c>
      <c r="D201" t="s">
        <v>306</v>
      </c>
      <c r="E201" t="s">
        <v>1563</v>
      </c>
      <c r="F201" t="s">
        <v>809</v>
      </c>
      <c r="G201" t="s">
        <v>275</v>
      </c>
      <c r="H201" s="736" t="s">
        <v>810</v>
      </c>
      <c r="I201" t="s">
        <v>309</v>
      </c>
      <c r="J201" t="s">
        <v>310</v>
      </c>
      <c r="K201">
        <v>1</v>
      </c>
      <c r="L201" s="736">
        <v>1</v>
      </c>
      <c r="M201" s="736" t="s">
        <v>33</v>
      </c>
      <c r="N201" s="736">
        <v>1</v>
      </c>
      <c r="O201" s="736">
        <v>1</v>
      </c>
      <c r="P201" s="736">
        <v>1</v>
      </c>
      <c r="Q201" s="736" t="s">
        <v>46</v>
      </c>
      <c r="R201" s="736">
        <v>1</v>
      </c>
      <c r="S201">
        <v>1</v>
      </c>
      <c r="T201">
        <v>1</v>
      </c>
      <c r="U201" t="s">
        <v>1563</v>
      </c>
      <c r="V201" t="s">
        <v>1563</v>
      </c>
      <c r="W201" t="s">
        <v>1563</v>
      </c>
      <c r="X201">
        <v>1</v>
      </c>
      <c r="Y201" t="s">
        <v>1563</v>
      </c>
      <c r="Z201">
        <v>1</v>
      </c>
      <c r="AA201">
        <v>1</v>
      </c>
      <c r="AB201" t="s">
        <v>1563</v>
      </c>
      <c r="AC201" t="s">
        <v>1563</v>
      </c>
      <c r="AD201" t="s">
        <v>1563</v>
      </c>
      <c r="AE201">
        <v>1</v>
      </c>
      <c r="AF201" t="s">
        <v>1521</v>
      </c>
      <c r="AG201" t="s">
        <v>1425</v>
      </c>
      <c r="AH201" t="s">
        <v>1563</v>
      </c>
    </row>
    <row r="202" spans="1:34" x14ac:dyDescent="0.25">
      <c r="A202" t="s">
        <v>811</v>
      </c>
      <c r="B202" t="s">
        <v>812</v>
      </c>
      <c r="C202" t="s">
        <v>477</v>
      </c>
      <c r="D202" t="s">
        <v>382</v>
      </c>
      <c r="E202" t="s">
        <v>1563</v>
      </c>
      <c r="F202" t="s">
        <v>813</v>
      </c>
      <c r="G202" t="s">
        <v>275</v>
      </c>
      <c r="H202" s="736" t="s">
        <v>1588</v>
      </c>
      <c r="I202" t="s">
        <v>309</v>
      </c>
      <c r="J202" t="s">
        <v>798</v>
      </c>
      <c r="K202">
        <v>1</v>
      </c>
      <c r="L202" s="736">
        <v>36</v>
      </c>
      <c r="M202" s="736" t="s">
        <v>33</v>
      </c>
      <c r="N202" s="736">
        <v>1</v>
      </c>
      <c r="O202" s="736">
        <v>36</v>
      </c>
      <c r="P202" s="736">
        <v>1</v>
      </c>
      <c r="Q202" s="736" t="s">
        <v>45</v>
      </c>
      <c r="R202" s="736">
        <v>36</v>
      </c>
      <c r="S202">
        <v>36</v>
      </c>
      <c r="T202">
        <v>36</v>
      </c>
      <c r="U202" t="s">
        <v>1563</v>
      </c>
      <c r="V202" t="s">
        <v>1563</v>
      </c>
      <c r="W202" t="s">
        <v>1563</v>
      </c>
      <c r="X202">
        <v>1</v>
      </c>
      <c r="Y202" t="s">
        <v>1563</v>
      </c>
      <c r="Z202">
        <v>36</v>
      </c>
      <c r="AA202">
        <v>36</v>
      </c>
      <c r="AB202" t="s">
        <v>1563</v>
      </c>
      <c r="AC202" t="s">
        <v>1563</v>
      </c>
      <c r="AD202" t="s">
        <v>1563</v>
      </c>
      <c r="AE202">
        <v>1</v>
      </c>
      <c r="AF202" t="s">
        <v>1521</v>
      </c>
      <c r="AG202" t="s">
        <v>1425</v>
      </c>
      <c r="AH202" t="s">
        <v>1563</v>
      </c>
    </row>
    <row r="203" spans="1:34" x14ac:dyDescent="0.25">
      <c r="A203" t="s">
        <v>811</v>
      </c>
      <c r="B203" t="s">
        <v>812</v>
      </c>
      <c r="C203" t="s">
        <v>477</v>
      </c>
      <c r="D203" t="s">
        <v>382</v>
      </c>
      <c r="E203" t="s">
        <v>1563</v>
      </c>
      <c r="F203" t="s">
        <v>799</v>
      </c>
      <c r="G203" t="s">
        <v>275</v>
      </c>
      <c r="H203" s="736" t="s">
        <v>814</v>
      </c>
      <c r="I203" t="s">
        <v>309</v>
      </c>
      <c r="J203" t="s">
        <v>326</v>
      </c>
      <c r="K203">
        <v>1</v>
      </c>
      <c r="L203" s="736">
        <v>1</v>
      </c>
      <c r="M203" s="736" t="s">
        <v>33</v>
      </c>
      <c r="N203" s="736">
        <v>1</v>
      </c>
      <c r="O203" s="736">
        <v>1</v>
      </c>
      <c r="P203" s="736">
        <v>1</v>
      </c>
      <c r="Q203" s="736" t="s">
        <v>1563</v>
      </c>
      <c r="R203" s="736">
        <v>1</v>
      </c>
      <c r="S203">
        <v>1</v>
      </c>
      <c r="T203">
        <v>1</v>
      </c>
      <c r="U203" t="s">
        <v>1563</v>
      </c>
      <c r="V203" t="s">
        <v>1563</v>
      </c>
      <c r="W203" t="s">
        <v>1563</v>
      </c>
      <c r="X203">
        <v>1</v>
      </c>
      <c r="Y203" t="s">
        <v>1563</v>
      </c>
      <c r="Z203">
        <v>1</v>
      </c>
      <c r="AA203">
        <v>1</v>
      </c>
      <c r="AB203" t="s">
        <v>1563</v>
      </c>
      <c r="AC203" t="s">
        <v>1563</v>
      </c>
      <c r="AD203" t="s">
        <v>1563</v>
      </c>
      <c r="AE203">
        <v>1</v>
      </c>
      <c r="AF203" t="s">
        <v>1521</v>
      </c>
      <c r="AG203" t="s">
        <v>1425</v>
      </c>
      <c r="AH203" t="s">
        <v>1563</v>
      </c>
    </row>
    <row r="204" spans="1:34" x14ac:dyDescent="0.25">
      <c r="A204" t="s">
        <v>811</v>
      </c>
      <c r="B204" t="s">
        <v>812</v>
      </c>
      <c r="C204" t="s">
        <v>477</v>
      </c>
      <c r="D204" t="s">
        <v>382</v>
      </c>
      <c r="E204" t="s">
        <v>1563</v>
      </c>
      <c r="F204" t="s">
        <v>801</v>
      </c>
      <c r="G204" t="s">
        <v>275</v>
      </c>
      <c r="H204" s="736" t="s">
        <v>815</v>
      </c>
      <c r="I204" t="s">
        <v>309</v>
      </c>
      <c r="J204" t="s">
        <v>326</v>
      </c>
      <c r="K204">
        <v>1</v>
      </c>
      <c r="L204" s="736">
        <v>1</v>
      </c>
      <c r="M204" s="736" t="s">
        <v>33</v>
      </c>
      <c r="N204" s="736">
        <v>1</v>
      </c>
      <c r="O204" s="736">
        <v>1</v>
      </c>
      <c r="P204" s="736">
        <v>1</v>
      </c>
      <c r="Q204" s="736" t="s">
        <v>1563</v>
      </c>
      <c r="R204" s="736">
        <v>1</v>
      </c>
      <c r="S204">
        <v>1</v>
      </c>
      <c r="T204">
        <v>1</v>
      </c>
      <c r="U204" t="s">
        <v>1563</v>
      </c>
      <c r="V204" t="s">
        <v>1563</v>
      </c>
      <c r="W204" t="s">
        <v>1563</v>
      </c>
      <c r="X204">
        <v>1</v>
      </c>
      <c r="Y204" t="s">
        <v>1563</v>
      </c>
      <c r="Z204">
        <v>1</v>
      </c>
      <c r="AA204">
        <v>1</v>
      </c>
      <c r="AB204" t="s">
        <v>1563</v>
      </c>
      <c r="AC204" t="s">
        <v>1563</v>
      </c>
      <c r="AD204" t="s">
        <v>1563</v>
      </c>
      <c r="AE204">
        <v>1</v>
      </c>
      <c r="AF204" t="s">
        <v>1521</v>
      </c>
      <c r="AG204" t="s">
        <v>1425</v>
      </c>
      <c r="AH204" t="s">
        <v>1563</v>
      </c>
    </row>
    <row r="205" spans="1:34" x14ac:dyDescent="0.25">
      <c r="A205" t="s">
        <v>811</v>
      </c>
      <c r="B205" t="s">
        <v>812</v>
      </c>
      <c r="C205" t="s">
        <v>477</v>
      </c>
      <c r="D205" t="s">
        <v>382</v>
      </c>
      <c r="E205" t="s">
        <v>1563</v>
      </c>
      <c r="F205" t="s">
        <v>803</v>
      </c>
      <c r="G205" t="s">
        <v>275</v>
      </c>
      <c r="H205" s="736" t="s">
        <v>816</v>
      </c>
      <c r="I205" t="s">
        <v>309</v>
      </c>
      <c r="J205" t="s">
        <v>326</v>
      </c>
      <c r="K205">
        <v>1</v>
      </c>
      <c r="L205" s="736">
        <v>1</v>
      </c>
      <c r="M205" s="736" t="s">
        <v>33</v>
      </c>
      <c r="N205" s="736">
        <v>1</v>
      </c>
      <c r="O205" s="736">
        <v>1</v>
      </c>
      <c r="P205" s="736">
        <v>1</v>
      </c>
      <c r="Q205" s="736" t="s">
        <v>1563</v>
      </c>
      <c r="R205" s="736">
        <v>1</v>
      </c>
      <c r="S205">
        <v>1</v>
      </c>
      <c r="T205">
        <v>1</v>
      </c>
      <c r="U205" t="s">
        <v>1563</v>
      </c>
      <c r="V205" t="s">
        <v>1563</v>
      </c>
      <c r="W205" t="s">
        <v>1563</v>
      </c>
      <c r="X205">
        <v>1</v>
      </c>
      <c r="Y205" t="s">
        <v>1563</v>
      </c>
      <c r="Z205">
        <v>1</v>
      </c>
      <c r="AA205">
        <v>1</v>
      </c>
      <c r="AB205" t="s">
        <v>1563</v>
      </c>
      <c r="AC205" t="s">
        <v>1563</v>
      </c>
      <c r="AD205" t="s">
        <v>1563</v>
      </c>
      <c r="AE205">
        <v>1</v>
      </c>
      <c r="AF205" t="s">
        <v>1521</v>
      </c>
      <c r="AG205" t="s">
        <v>1425</v>
      </c>
      <c r="AH205" t="s">
        <v>1563</v>
      </c>
    </row>
    <row r="206" spans="1:34" x14ac:dyDescent="0.25">
      <c r="A206" t="s">
        <v>811</v>
      </c>
      <c r="B206" t="s">
        <v>812</v>
      </c>
      <c r="C206" t="s">
        <v>477</v>
      </c>
      <c r="D206" t="s">
        <v>382</v>
      </c>
      <c r="E206" t="s">
        <v>1563</v>
      </c>
      <c r="F206" t="s">
        <v>805</v>
      </c>
      <c r="G206" t="s">
        <v>275</v>
      </c>
      <c r="H206" s="736" t="s">
        <v>817</v>
      </c>
      <c r="I206" t="s">
        <v>309</v>
      </c>
      <c r="J206" t="s">
        <v>326</v>
      </c>
      <c r="K206">
        <v>1</v>
      </c>
      <c r="L206" s="736">
        <v>1</v>
      </c>
      <c r="M206" s="736" t="s">
        <v>33</v>
      </c>
      <c r="N206" s="736">
        <v>1</v>
      </c>
      <c r="O206" s="736">
        <v>1</v>
      </c>
      <c r="P206" s="736">
        <v>1</v>
      </c>
      <c r="Q206" s="736" t="s">
        <v>1563</v>
      </c>
      <c r="R206" s="736">
        <v>1</v>
      </c>
      <c r="S206">
        <v>1</v>
      </c>
      <c r="T206">
        <v>1</v>
      </c>
      <c r="U206" t="s">
        <v>1563</v>
      </c>
      <c r="V206" t="s">
        <v>1563</v>
      </c>
      <c r="W206" t="s">
        <v>1563</v>
      </c>
      <c r="X206">
        <v>1</v>
      </c>
      <c r="Y206" t="s">
        <v>1563</v>
      </c>
      <c r="Z206">
        <v>1</v>
      </c>
      <c r="AA206">
        <v>1</v>
      </c>
      <c r="AB206" t="s">
        <v>1563</v>
      </c>
      <c r="AC206" t="s">
        <v>1563</v>
      </c>
      <c r="AD206" t="s">
        <v>1563</v>
      </c>
      <c r="AE206">
        <v>1</v>
      </c>
      <c r="AF206" t="s">
        <v>1521</v>
      </c>
      <c r="AG206" t="s">
        <v>1425</v>
      </c>
      <c r="AH206" t="s">
        <v>1563</v>
      </c>
    </row>
    <row r="207" spans="1:34" x14ac:dyDescent="0.25">
      <c r="A207" t="s">
        <v>811</v>
      </c>
      <c r="B207" t="s">
        <v>812</v>
      </c>
      <c r="C207" t="s">
        <v>477</v>
      </c>
      <c r="D207" t="s">
        <v>382</v>
      </c>
      <c r="E207" t="s">
        <v>1563</v>
      </c>
      <c r="F207" t="s">
        <v>807</v>
      </c>
      <c r="G207" t="s">
        <v>275</v>
      </c>
      <c r="H207" s="736" t="s">
        <v>818</v>
      </c>
      <c r="I207" t="s">
        <v>309</v>
      </c>
      <c r="J207" t="s">
        <v>310</v>
      </c>
      <c r="K207">
        <v>1</v>
      </c>
      <c r="L207" s="736">
        <v>1</v>
      </c>
      <c r="M207" s="736" t="s">
        <v>33</v>
      </c>
      <c r="N207" s="736">
        <v>1</v>
      </c>
      <c r="O207" s="736">
        <v>1</v>
      </c>
      <c r="P207" s="736">
        <v>1</v>
      </c>
      <c r="Q207" s="736" t="s">
        <v>1563</v>
      </c>
      <c r="R207" s="736">
        <v>1</v>
      </c>
      <c r="S207">
        <v>1</v>
      </c>
      <c r="T207">
        <v>1</v>
      </c>
      <c r="U207" t="s">
        <v>1563</v>
      </c>
      <c r="V207" t="s">
        <v>1563</v>
      </c>
      <c r="W207" t="s">
        <v>1563</v>
      </c>
      <c r="X207">
        <v>1</v>
      </c>
      <c r="Y207" t="s">
        <v>1563</v>
      </c>
      <c r="Z207">
        <v>1</v>
      </c>
      <c r="AA207">
        <v>1</v>
      </c>
      <c r="AB207" t="s">
        <v>1563</v>
      </c>
      <c r="AC207" t="s">
        <v>1563</v>
      </c>
      <c r="AD207" t="s">
        <v>1563</v>
      </c>
      <c r="AE207">
        <v>1</v>
      </c>
      <c r="AF207" t="s">
        <v>1521</v>
      </c>
      <c r="AG207" t="s">
        <v>1425</v>
      </c>
      <c r="AH207" t="s">
        <v>1563</v>
      </c>
    </row>
    <row r="208" spans="1:34" x14ac:dyDescent="0.25">
      <c r="A208" t="s">
        <v>811</v>
      </c>
      <c r="B208" t="s">
        <v>812</v>
      </c>
      <c r="C208" t="s">
        <v>477</v>
      </c>
      <c r="D208" t="s">
        <v>382</v>
      </c>
      <c r="E208" t="s">
        <v>1563</v>
      </c>
      <c r="F208" t="s">
        <v>809</v>
      </c>
      <c r="G208" t="s">
        <v>275</v>
      </c>
      <c r="H208" s="736" t="s">
        <v>819</v>
      </c>
      <c r="I208" t="s">
        <v>309</v>
      </c>
      <c r="J208" t="s">
        <v>310</v>
      </c>
      <c r="K208">
        <v>1</v>
      </c>
      <c r="L208" s="736">
        <v>1</v>
      </c>
      <c r="M208" s="736" t="s">
        <v>33</v>
      </c>
      <c r="N208" s="736">
        <v>1</v>
      </c>
      <c r="O208" s="736">
        <v>1</v>
      </c>
      <c r="P208" s="736">
        <v>1</v>
      </c>
      <c r="Q208" s="736" t="s">
        <v>1563</v>
      </c>
      <c r="R208" s="736">
        <v>1</v>
      </c>
      <c r="S208">
        <v>1</v>
      </c>
      <c r="T208">
        <v>1</v>
      </c>
      <c r="U208" t="s">
        <v>1563</v>
      </c>
      <c r="V208" t="s">
        <v>1563</v>
      </c>
      <c r="W208" t="s">
        <v>1563</v>
      </c>
      <c r="X208">
        <v>1</v>
      </c>
      <c r="Y208" t="s">
        <v>1563</v>
      </c>
      <c r="Z208">
        <v>1</v>
      </c>
      <c r="AA208">
        <v>1</v>
      </c>
      <c r="AB208" t="s">
        <v>1563</v>
      </c>
      <c r="AC208" t="s">
        <v>1563</v>
      </c>
      <c r="AD208" t="s">
        <v>1563</v>
      </c>
      <c r="AE208">
        <v>1</v>
      </c>
      <c r="AF208" t="s">
        <v>1521</v>
      </c>
      <c r="AG208" t="s">
        <v>1425</v>
      </c>
      <c r="AH208" t="s">
        <v>1563</v>
      </c>
    </row>
    <row r="209" spans="1:34" x14ac:dyDescent="0.25">
      <c r="A209" t="s">
        <v>820</v>
      </c>
      <c r="B209" t="s">
        <v>821</v>
      </c>
      <c r="C209" t="s">
        <v>395</v>
      </c>
      <c r="D209" t="s">
        <v>306</v>
      </c>
      <c r="E209" t="s">
        <v>1563</v>
      </c>
      <c r="F209" t="s">
        <v>822</v>
      </c>
      <c r="G209" t="s">
        <v>275</v>
      </c>
      <c r="H209" s="736" t="s">
        <v>1589</v>
      </c>
      <c r="I209" t="s">
        <v>309</v>
      </c>
      <c r="J209" t="s">
        <v>823</v>
      </c>
      <c r="K209">
        <v>1</v>
      </c>
      <c r="L209" s="736">
        <v>3</v>
      </c>
      <c r="M209" s="736" t="s">
        <v>33</v>
      </c>
      <c r="N209" s="736">
        <v>1</v>
      </c>
      <c r="O209" s="736">
        <v>3</v>
      </c>
      <c r="P209" s="736">
        <v>1</v>
      </c>
      <c r="Q209" s="736" t="s">
        <v>45</v>
      </c>
      <c r="R209" s="736">
        <v>3</v>
      </c>
      <c r="S209">
        <v>3</v>
      </c>
      <c r="T209">
        <v>3</v>
      </c>
      <c r="U209" t="s">
        <v>1563</v>
      </c>
      <c r="V209" t="s">
        <v>1563</v>
      </c>
      <c r="W209" t="s">
        <v>1563</v>
      </c>
      <c r="X209">
        <v>1</v>
      </c>
      <c r="Y209" t="s">
        <v>1563</v>
      </c>
      <c r="Z209">
        <v>3</v>
      </c>
      <c r="AA209" t="s">
        <v>1563</v>
      </c>
      <c r="AB209" t="s">
        <v>1563</v>
      </c>
      <c r="AC209">
        <v>1</v>
      </c>
      <c r="AD209">
        <v>2</v>
      </c>
      <c r="AE209">
        <v>0</v>
      </c>
      <c r="AF209" t="s">
        <v>1542</v>
      </c>
      <c r="AG209" t="s">
        <v>1425</v>
      </c>
      <c r="AH209" t="s">
        <v>1563</v>
      </c>
    </row>
    <row r="210" spans="1:34" x14ac:dyDescent="0.25">
      <c r="A210" t="s">
        <v>820</v>
      </c>
      <c r="B210" t="s">
        <v>821</v>
      </c>
      <c r="C210" t="s">
        <v>395</v>
      </c>
      <c r="D210" t="s">
        <v>306</v>
      </c>
      <c r="E210" t="s">
        <v>1563</v>
      </c>
      <c r="F210" t="s">
        <v>822</v>
      </c>
      <c r="G210" t="s">
        <v>275</v>
      </c>
      <c r="H210" s="736" t="s">
        <v>824</v>
      </c>
      <c r="I210" t="s">
        <v>309</v>
      </c>
      <c r="J210" t="s">
        <v>825</v>
      </c>
      <c r="K210">
        <v>1</v>
      </c>
      <c r="L210" s="736">
        <v>1</v>
      </c>
      <c r="M210" s="736" t="s">
        <v>33</v>
      </c>
      <c r="N210" s="736">
        <v>1</v>
      </c>
      <c r="O210" s="736">
        <v>1</v>
      </c>
      <c r="P210" s="736">
        <v>1</v>
      </c>
      <c r="Q210" s="736" t="s">
        <v>45</v>
      </c>
      <c r="R210" s="736">
        <v>1</v>
      </c>
      <c r="S210">
        <v>1</v>
      </c>
      <c r="T210">
        <v>1</v>
      </c>
      <c r="U210" t="s">
        <v>1563</v>
      </c>
      <c r="V210" t="s">
        <v>1563</v>
      </c>
      <c r="W210" t="s">
        <v>1563</v>
      </c>
      <c r="X210">
        <v>1</v>
      </c>
      <c r="Y210" t="s">
        <v>1563</v>
      </c>
      <c r="Z210">
        <v>1</v>
      </c>
      <c r="AA210" t="s">
        <v>1563</v>
      </c>
      <c r="AB210" t="s">
        <v>1563</v>
      </c>
      <c r="AC210" t="s">
        <v>1563</v>
      </c>
      <c r="AD210">
        <v>1</v>
      </c>
      <c r="AE210">
        <v>0</v>
      </c>
      <c r="AF210" t="s">
        <v>1543</v>
      </c>
      <c r="AG210" t="s">
        <v>1425</v>
      </c>
      <c r="AH210" t="s">
        <v>1563</v>
      </c>
    </row>
    <row r="211" spans="1:34" x14ac:dyDescent="0.25">
      <c r="A211" t="s">
        <v>820</v>
      </c>
      <c r="B211" t="s">
        <v>821</v>
      </c>
      <c r="C211" t="s">
        <v>395</v>
      </c>
      <c r="D211" t="s">
        <v>306</v>
      </c>
      <c r="E211" t="s">
        <v>1563</v>
      </c>
      <c r="F211" t="s">
        <v>826</v>
      </c>
      <c r="G211" t="s">
        <v>275</v>
      </c>
      <c r="H211" s="736" t="s">
        <v>1590</v>
      </c>
      <c r="I211" t="s">
        <v>309</v>
      </c>
      <c r="J211" t="s">
        <v>827</v>
      </c>
      <c r="K211">
        <v>1</v>
      </c>
      <c r="L211" s="736">
        <v>4</v>
      </c>
      <c r="M211" s="736" t="s">
        <v>33</v>
      </c>
      <c r="N211" s="736">
        <v>1</v>
      </c>
      <c r="O211" s="736">
        <v>4</v>
      </c>
      <c r="P211" s="736">
        <v>1</v>
      </c>
      <c r="Q211" s="736" t="s">
        <v>45</v>
      </c>
      <c r="R211" s="736">
        <v>4</v>
      </c>
      <c r="S211">
        <v>4</v>
      </c>
      <c r="T211">
        <v>4</v>
      </c>
      <c r="U211" t="s">
        <v>1563</v>
      </c>
      <c r="V211" t="s">
        <v>1563</v>
      </c>
      <c r="W211" t="s">
        <v>1563</v>
      </c>
      <c r="X211">
        <v>1</v>
      </c>
      <c r="Y211" t="s">
        <v>1563</v>
      </c>
      <c r="Z211">
        <v>3</v>
      </c>
      <c r="AA211" t="s">
        <v>1563</v>
      </c>
      <c r="AB211" t="s">
        <v>1563</v>
      </c>
      <c r="AC211">
        <v>1</v>
      </c>
      <c r="AD211">
        <v>2</v>
      </c>
      <c r="AE211">
        <v>0</v>
      </c>
      <c r="AF211" t="s">
        <v>1542</v>
      </c>
      <c r="AG211" t="s">
        <v>1425</v>
      </c>
      <c r="AH211" t="s">
        <v>1563</v>
      </c>
    </row>
    <row r="212" spans="1:34" x14ac:dyDescent="0.25">
      <c r="A212" t="s">
        <v>828</v>
      </c>
      <c r="B212" t="s">
        <v>829</v>
      </c>
      <c r="C212" t="s">
        <v>395</v>
      </c>
      <c r="D212" t="s">
        <v>382</v>
      </c>
      <c r="E212" t="s">
        <v>1563</v>
      </c>
      <c r="F212" t="s">
        <v>830</v>
      </c>
      <c r="G212" t="s">
        <v>275</v>
      </c>
      <c r="H212" s="736" t="s">
        <v>1591</v>
      </c>
      <c r="I212" t="s">
        <v>309</v>
      </c>
      <c r="J212" t="s">
        <v>831</v>
      </c>
      <c r="K212">
        <v>1</v>
      </c>
      <c r="L212" s="736">
        <v>4</v>
      </c>
      <c r="M212" s="736" t="s">
        <v>33</v>
      </c>
      <c r="N212" s="736">
        <v>1</v>
      </c>
      <c r="O212" s="736">
        <v>4</v>
      </c>
      <c r="P212" s="736">
        <v>1</v>
      </c>
      <c r="Q212" s="736" t="s">
        <v>45</v>
      </c>
      <c r="R212" s="736">
        <v>4</v>
      </c>
      <c r="S212">
        <v>4</v>
      </c>
      <c r="T212">
        <v>4</v>
      </c>
      <c r="U212" t="s">
        <v>1563</v>
      </c>
      <c r="V212" t="s">
        <v>1563</v>
      </c>
      <c r="W212" t="s">
        <v>1563</v>
      </c>
      <c r="X212">
        <v>1</v>
      </c>
      <c r="Y212" t="s">
        <v>1563</v>
      </c>
      <c r="Z212">
        <v>4</v>
      </c>
      <c r="AA212">
        <v>2</v>
      </c>
      <c r="AB212" t="s">
        <v>1563</v>
      </c>
      <c r="AC212" t="s">
        <v>1563</v>
      </c>
      <c r="AD212">
        <v>2</v>
      </c>
      <c r="AE212">
        <v>0.5</v>
      </c>
      <c r="AF212" t="s">
        <v>1544</v>
      </c>
      <c r="AG212" t="s">
        <v>1432</v>
      </c>
      <c r="AH212" t="s">
        <v>1563</v>
      </c>
    </row>
    <row r="213" spans="1:34" x14ac:dyDescent="0.25">
      <c r="A213" t="s">
        <v>828</v>
      </c>
      <c r="B213" t="s">
        <v>829</v>
      </c>
      <c r="C213" t="s">
        <v>395</v>
      </c>
      <c r="D213" t="s">
        <v>382</v>
      </c>
      <c r="E213" t="s">
        <v>1563</v>
      </c>
      <c r="F213" t="s">
        <v>830</v>
      </c>
      <c r="G213" t="s">
        <v>275</v>
      </c>
      <c r="H213" s="736" t="s">
        <v>832</v>
      </c>
      <c r="I213" t="s">
        <v>309</v>
      </c>
      <c r="J213" t="s">
        <v>833</v>
      </c>
      <c r="K213">
        <v>1</v>
      </c>
      <c r="L213" s="736">
        <v>1</v>
      </c>
      <c r="M213" s="736" t="s">
        <v>33</v>
      </c>
      <c r="N213" s="736">
        <v>1</v>
      </c>
      <c r="O213" s="736">
        <v>1</v>
      </c>
      <c r="P213" s="736">
        <v>1</v>
      </c>
      <c r="Q213" s="736" t="s">
        <v>45</v>
      </c>
      <c r="R213" s="736">
        <v>1</v>
      </c>
      <c r="S213">
        <v>1</v>
      </c>
      <c r="T213">
        <v>1</v>
      </c>
      <c r="U213" t="s">
        <v>1563</v>
      </c>
      <c r="V213" t="s">
        <v>1563</v>
      </c>
      <c r="W213" t="s">
        <v>1563</v>
      </c>
      <c r="X213">
        <v>1</v>
      </c>
      <c r="Y213" t="s">
        <v>1563</v>
      </c>
      <c r="Z213">
        <v>1</v>
      </c>
      <c r="AA213">
        <v>1</v>
      </c>
      <c r="AB213" t="s">
        <v>1563</v>
      </c>
      <c r="AC213" t="s">
        <v>1563</v>
      </c>
      <c r="AD213" t="s">
        <v>1563</v>
      </c>
      <c r="AE213">
        <v>1</v>
      </c>
      <c r="AF213" t="s">
        <v>1521</v>
      </c>
      <c r="AG213" t="s">
        <v>1432</v>
      </c>
      <c r="AH213" t="s">
        <v>1563</v>
      </c>
    </row>
    <row r="214" spans="1:34" x14ac:dyDescent="0.25">
      <c r="A214" t="s">
        <v>828</v>
      </c>
      <c r="B214" t="s">
        <v>829</v>
      </c>
      <c r="C214" t="s">
        <v>395</v>
      </c>
      <c r="D214" t="s">
        <v>382</v>
      </c>
      <c r="E214" t="s">
        <v>1563</v>
      </c>
      <c r="F214" t="s">
        <v>834</v>
      </c>
      <c r="G214" t="s">
        <v>275</v>
      </c>
      <c r="H214" s="736" t="s">
        <v>1592</v>
      </c>
      <c r="I214" t="s">
        <v>309</v>
      </c>
      <c r="J214" t="s">
        <v>835</v>
      </c>
      <c r="K214">
        <v>1</v>
      </c>
      <c r="L214" s="736">
        <v>2</v>
      </c>
      <c r="M214" s="736" t="s">
        <v>33</v>
      </c>
      <c r="N214" s="736">
        <v>1</v>
      </c>
      <c r="O214" s="736">
        <v>2</v>
      </c>
      <c r="P214" s="736">
        <v>1</v>
      </c>
      <c r="Q214" s="736" t="s">
        <v>45</v>
      </c>
      <c r="R214" s="736">
        <v>2</v>
      </c>
      <c r="S214">
        <v>2</v>
      </c>
      <c r="T214">
        <v>2</v>
      </c>
      <c r="U214" t="s">
        <v>1563</v>
      </c>
      <c r="V214" t="s">
        <v>1563</v>
      </c>
      <c r="W214" t="s">
        <v>1563</v>
      </c>
      <c r="X214">
        <v>1</v>
      </c>
      <c r="Y214" t="s">
        <v>1563</v>
      </c>
      <c r="Z214">
        <v>2</v>
      </c>
      <c r="AA214" t="s">
        <v>1563</v>
      </c>
      <c r="AB214" t="s">
        <v>1563</v>
      </c>
      <c r="AC214">
        <v>1</v>
      </c>
      <c r="AD214">
        <v>1</v>
      </c>
      <c r="AE214">
        <v>0</v>
      </c>
      <c r="AF214" t="s">
        <v>1545</v>
      </c>
      <c r="AG214" t="s">
        <v>1432</v>
      </c>
      <c r="AH214" t="s">
        <v>1563</v>
      </c>
    </row>
    <row r="215" spans="1:34" x14ac:dyDescent="0.25">
      <c r="A215" t="s">
        <v>836</v>
      </c>
      <c r="B215" t="s">
        <v>413</v>
      </c>
      <c r="C215" t="s">
        <v>305</v>
      </c>
      <c r="D215" t="s">
        <v>306</v>
      </c>
      <c r="E215" t="s">
        <v>1563</v>
      </c>
      <c r="F215" t="s">
        <v>837</v>
      </c>
      <c r="G215" t="s">
        <v>1563</v>
      </c>
      <c r="H215" s="736" t="s">
        <v>838</v>
      </c>
      <c r="I215" t="s">
        <v>309</v>
      </c>
      <c r="J215" t="s">
        <v>839</v>
      </c>
      <c r="K215">
        <v>1</v>
      </c>
      <c r="L215" s="736">
        <v>32</v>
      </c>
      <c r="M215" s="736" t="s">
        <v>33</v>
      </c>
      <c r="N215" s="736">
        <v>1</v>
      </c>
      <c r="O215" s="736">
        <v>32</v>
      </c>
      <c r="P215" s="736">
        <v>1</v>
      </c>
      <c r="Q215" s="736" t="s">
        <v>45</v>
      </c>
      <c r="R215" s="736">
        <v>32</v>
      </c>
      <c r="S215">
        <v>32</v>
      </c>
      <c r="T215">
        <v>32</v>
      </c>
      <c r="U215" t="s">
        <v>1563</v>
      </c>
      <c r="V215" t="s">
        <v>1563</v>
      </c>
      <c r="W215" t="s">
        <v>1563</v>
      </c>
      <c r="X215">
        <v>1</v>
      </c>
      <c r="Y215" t="s">
        <v>1563</v>
      </c>
      <c r="Z215">
        <v>32</v>
      </c>
      <c r="AA215" t="s">
        <v>1563</v>
      </c>
      <c r="AB215" t="s">
        <v>1563</v>
      </c>
      <c r="AC215" t="s">
        <v>1563</v>
      </c>
      <c r="AD215">
        <v>32</v>
      </c>
      <c r="AE215">
        <v>0</v>
      </c>
      <c r="AF215" t="s">
        <v>1546</v>
      </c>
      <c r="AG215" t="s">
        <v>1425</v>
      </c>
      <c r="AH215" t="s">
        <v>1563</v>
      </c>
    </row>
    <row r="216" spans="1:34" x14ac:dyDescent="0.25">
      <c r="A216" t="s">
        <v>840</v>
      </c>
      <c r="B216" t="s">
        <v>841</v>
      </c>
      <c r="C216" t="s">
        <v>305</v>
      </c>
      <c r="D216" t="s">
        <v>382</v>
      </c>
      <c r="E216" t="s">
        <v>1563</v>
      </c>
      <c r="F216" t="s">
        <v>842</v>
      </c>
      <c r="G216" t="s">
        <v>1563</v>
      </c>
      <c r="H216" s="736" t="s">
        <v>843</v>
      </c>
      <c r="I216" t="s">
        <v>309</v>
      </c>
      <c r="J216" t="s">
        <v>844</v>
      </c>
      <c r="K216">
        <v>1</v>
      </c>
      <c r="L216" s="736">
        <v>32</v>
      </c>
      <c r="M216" s="736" t="s">
        <v>33</v>
      </c>
      <c r="N216" s="736">
        <v>1</v>
      </c>
      <c r="O216" s="736">
        <v>32</v>
      </c>
      <c r="P216" s="736">
        <v>1</v>
      </c>
      <c r="Q216" s="736" t="s">
        <v>45</v>
      </c>
      <c r="R216" s="736">
        <v>32</v>
      </c>
      <c r="S216">
        <v>32</v>
      </c>
      <c r="T216">
        <v>32</v>
      </c>
      <c r="U216" t="s">
        <v>1563</v>
      </c>
      <c r="V216" t="s">
        <v>1563</v>
      </c>
      <c r="W216" t="s">
        <v>1563</v>
      </c>
      <c r="X216">
        <v>1</v>
      </c>
      <c r="Y216" t="s">
        <v>1563</v>
      </c>
      <c r="Z216">
        <v>0</v>
      </c>
      <c r="AA216" t="s">
        <v>1563</v>
      </c>
      <c r="AB216" t="s">
        <v>1563</v>
      </c>
      <c r="AC216" t="s">
        <v>1563</v>
      </c>
      <c r="AD216" t="s">
        <v>1563</v>
      </c>
      <c r="AE216">
        <v>0</v>
      </c>
      <c r="AF216" t="s">
        <v>1563</v>
      </c>
      <c r="AG216" t="s">
        <v>1563</v>
      </c>
      <c r="AH216" t="s">
        <v>1563</v>
      </c>
    </row>
    <row r="217" spans="1:34" x14ac:dyDescent="0.25">
      <c r="A217" t="s">
        <v>845</v>
      </c>
      <c r="B217" t="s">
        <v>846</v>
      </c>
      <c r="C217" t="s">
        <v>732</v>
      </c>
      <c r="D217" t="s">
        <v>306</v>
      </c>
      <c r="E217" t="s">
        <v>1563</v>
      </c>
      <c r="F217" t="s">
        <v>847</v>
      </c>
      <c r="G217" t="s">
        <v>1563</v>
      </c>
      <c r="H217" s="736" t="s">
        <v>1593</v>
      </c>
      <c r="I217" t="s">
        <v>330</v>
      </c>
      <c r="J217" t="s">
        <v>848</v>
      </c>
      <c r="K217">
        <v>2</v>
      </c>
      <c r="L217" s="736">
        <v>4</v>
      </c>
      <c r="M217" s="736" t="s">
        <v>38</v>
      </c>
      <c r="N217" s="736">
        <v>1</v>
      </c>
      <c r="O217" s="736">
        <v>4</v>
      </c>
      <c r="P217" s="736">
        <v>1</v>
      </c>
      <c r="Q217" s="736" t="s">
        <v>46</v>
      </c>
      <c r="R217" s="736">
        <v>2</v>
      </c>
      <c r="S217">
        <v>4</v>
      </c>
      <c r="T217">
        <v>4</v>
      </c>
      <c r="U217" t="s">
        <v>1563</v>
      </c>
      <c r="V217" t="s">
        <v>1563</v>
      </c>
      <c r="W217" t="s">
        <v>1563</v>
      </c>
      <c r="X217">
        <v>1</v>
      </c>
      <c r="Y217" t="s">
        <v>1563</v>
      </c>
      <c r="Z217">
        <v>0</v>
      </c>
      <c r="AA217" t="s">
        <v>1563</v>
      </c>
      <c r="AB217" t="s">
        <v>1563</v>
      </c>
      <c r="AC217" t="s">
        <v>1563</v>
      </c>
      <c r="AD217" t="s">
        <v>1563</v>
      </c>
      <c r="AE217">
        <v>0</v>
      </c>
      <c r="AF217" t="s">
        <v>1563</v>
      </c>
      <c r="AG217" t="s">
        <v>1425</v>
      </c>
      <c r="AH217" t="s">
        <v>849</v>
      </c>
    </row>
    <row r="218" spans="1:34" x14ac:dyDescent="0.25">
      <c r="A218" t="s">
        <v>845</v>
      </c>
      <c r="B218" t="s">
        <v>846</v>
      </c>
      <c r="C218" t="s">
        <v>732</v>
      </c>
      <c r="D218" t="s">
        <v>306</v>
      </c>
      <c r="E218" t="s">
        <v>1563</v>
      </c>
      <c r="F218" t="s">
        <v>847</v>
      </c>
      <c r="G218" t="s">
        <v>1563</v>
      </c>
      <c r="H218" s="736" t="s">
        <v>1594</v>
      </c>
      <c r="I218" t="s">
        <v>309</v>
      </c>
      <c r="J218" t="s">
        <v>850</v>
      </c>
      <c r="K218">
        <v>2</v>
      </c>
      <c r="L218" s="736">
        <v>4</v>
      </c>
      <c r="M218" s="736" t="s">
        <v>38</v>
      </c>
      <c r="N218" s="736">
        <v>1</v>
      </c>
      <c r="O218" s="736">
        <v>4</v>
      </c>
      <c r="P218" s="736">
        <v>1</v>
      </c>
      <c r="Q218" s="736" t="s">
        <v>46</v>
      </c>
      <c r="R218" s="736">
        <v>2</v>
      </c>
      <c r="S218">
        <v>2</v>
      </c>
      <c r="T218">
        <v>2</v>
      </c>
      <c r="U218" t="s">
        <v>1563</v>
      </c>
      <c r="V218" t="s">
        <v>1563</v>
      </c>
      <c r="W218" t="s">
        <v>1563</v>
      </c>
      <c r="X218">
        <v>1</v>
      </c>
      <c r="Y218" t="s">
        <v>1563</v>
      </c>
      <c r="Z218">
        <v>4</v>
      </c>
      <c r="AA218" t="s">
        <v>1563</v>
      </c>
      <c r="AB218" t="s">
        <v>1563</v>
      </c>
      <c r="AC218">
        <v>4</v>
      </c>
      <c r="AD218" t="s">
        <v>1563</v>
      </c>
      <c r="AE218">
        <v>0</v>
      </c>
      <c r="AF218" t="s">
        <v>1535</v>
      </c>
      <c r="AG218" t="s">
        <v>1425</v>
      </c>
      <c r="AH218" t="s">
        <v>849</v>
      </c>
    </row>
    <row r="219" spans="1:34" x14ac:dyDescent="0.25">
      <c r="A219" t="s">
        <v>845</v>
      </c>
      <c r="B219" t="s">
        <v>846</v>
      </c>
      <c r="C219" t="s">
        <v>732</v>
      </c>
      <c r="D219" t="s">
        <v>306</v>
      </c>
      <c r="E219" t="s">
        <v>1563</v>
      </c>
      <c r="F219" t="s">
        <v>851</v>
      </c>
      <c r="G219" t="s">
        <v>1563</v>
      </c>
      <c r="H219" s="736" t="s">
        <v>1595</v>
      </c>
      <c r="I219" t="s">
        <v>309</v>
      </c>
      <c r="J219" t="s">
        <v>852</v>
      </c>
      <c r="K219">
        <v>4</v>
      </c>
      <c r="L219" s="736">
        <v>4</v>
      </c>
      <c r="M219" s="736" t="s">
        <v>38</v>
      </c>
      <c r="N219" s="736">
        <v>1</v>
      </c>
      <c r="O219" s="736">
        <v>4</v>
      </c>
      <c r="P219" s="736">
        <v>1</v>
      </c>
      <c r="Q219" s="736" t="s">
        <v>45</v>
      </c>
      <c r="R219" s="736">
        <v>2</v>
      </c>
      <c r="S219">
        <v>4</v>
      </c>
      <c r="T219">
        <v>4</v>
      </c>
      <c r="U219" t="s">
        <v>1563</v>
      </c>
      <c r="V219" t="s">
        <v>1563</v>
      </c>
      <c r="W219" t="s">
        <v>1563</v>
      </c>
      <c r="X219">
        <v>1</v>
      </c>
      <c r="Y219" t="s">
        <v>1563</v>
      </c>
      <c r="Z219">
        <v>4</v>
      </c>
      <c r="AA219" t="s">
        <v>1563</v>
      </c>
      <c r="AB219" t="s">
        <v>1563</v>
      </c>
      <c r="AC219">
        <v>4</v>
      </c>
      <c r="AD219" t="s">
        <v>1563</v>
      </c>
      <c r="AE219">
        <v>0</v>
      </c>
      <c r="AF219" t="s">
        <v>1535</v>
      </c>
      <c r="AG219" t="s">
        <v>1425</v>
      </c>
      <c r="AH219" t="s">
        <v>849</v>
      </c>
    </row>
    <row r="220" spans="1:34" x14ac:dyDescent="0.25">
      <c r="A220" t="s">
        <v>845</v>
      </c>
      <c r="B220" t="s">
        <v>846</v>
      </c>
      <c r="C220" t="s">
        <v>732</v>
      </c>
      <c r="D220" t="s">
        <v>306</v>
      </c>
      <c r="E220" t="s">
        <v>1563</v>
      </c>
      <c r="F220" t="s">
        <v>853</v>
      </c>
      <c r="G220" t="s">
        <v>1563</v>
      </c>
      <c r="H220" s="736" t="s">
        <v>1596</v>
      </c>
      <c r="I220" t="s">
        <v>309</v>
      </c>
      <c r="J220" t="s">
        <v>852</v>
      </c>
      <c r="K220">
        <v>4</v>
      </c>
      <c r="L220" s="736">
        <v>4</v>
      </c>
      <c r="M220" s="736" t="s">
        <v>38</v>
      </c>
      <c r="N220" s="736">
        <v>1</v>
      </c>
      <c r="O220" s="736">
        <v>4</v>
      </c>
      <c r="P220" s="736">
        <v>1</v>
      </c>
      <c r="Q220" s="736" t="s">
        <v>45</v>
      </c>
      <c r="R220" s="736">
        <v>2</v>
      </c>
      <c r="S220">
        <v>4</v>
      </c>
      <c r="T220">
        <v>4</v>
      </c>
      <c r="U220" t="s">
        <v>1563</v>
      </c>
      <c r="V220" t="s">
        <v>1563</v>
      </c>
      <c r="W220" t="s">
        <v>1563</v>
      </c>
      <c r="X220">
        <v>1</v>
      </c>
      <c r="Y220" t="s">
        <v>1563</v>
      </c>
      <c r="Z220">
        <v>4</v>
      </c>
      <c r="AA220" t="s">
        <v>1563</v>
      </c>
      <c r="AB220" t="s">
        <v>1563</v>
      </c>
      <c r="AC220">
        <v>4</v>
      </c>
      <c r="AD220" t="s">
        <v>1563</v>
      </c>
      <c r="AE220">
        <v>0</v>
      </c>
      <c r="AF220" t="s">
        <v>1535</v>
      </c>
      <c r="AG220" t="s">
        <v>1425</v>
      </c>
      <c r="AH220" t="s">
        <v>849</v>
      </c>
    </row>
    <row r="221" spans="1:34" x14ac:dyDescent="0.25">
      <c r="A221" t="s">
        <v>845</v>
      </c>
      <c r="B221" t="s">
        <v>846</v>
      </c>
      <c r="C221" t="s">
        <v>732</v>
      </c>
      <c r="D221" t="s">
        <v>306</v>
      </c>
      <c r="E221" t="s">
        <v>1563</v>
      </c>
      <c r="F221" t="s">
        <v>854</v>
      </c>
      <c r="G221" t="s">
        <v>1563</v>
      </c>
      <c r="H221" s="736" t="s">
        <v>1597</v>
      </c>
      <c r="I221" t="s">
        <v>309</v>
      </c>
      <c r="J221" t="s">
        <v>855</v>
      </c>
      <c r="K221">
        <v>1</v>
      </c>
      <c r="L221" s="736">
        <v>8</v>
      </c>
      <c r="M221" s="736" t="s">
        <v>38</v>
      </c>
      <c r="N221" s="736">
        <v>1</v>
      </c>
      <c r="O221" s="736">
        <v>8</v>
      </c>
      <c r="P221" s="736">
        <v>1</v>
      </c>
      <c r="Q221" s="736" t="s">
        <v>45</v>
      </c>
      <c r="R221" s="736">
        <v>4</v>
      </c>
      <c r="S221">
        <v>8</v>
      </c>
      <c r="T221">
        <v>8</v>
      </c>
      <c r="U221" t="s">
        <v>1563</v>
      </c>
      <c r="V221" t="s">
        <v>1563</v>
      </c>
      <c r="W221" t="s">
        <v>1563</v>
      </c>
      <c r="X221">
        <v>1</v>
      </c>
      <c r="Y221" t="s">
        <v>1563</v>
      </c>
      <c r="Z221">
        <v>4</v>
      </c>
      <c r="AA221" t="s">
        <v>1563</v>
      </c>
      <c r="AB221" t="s">
        <v>1563</v>
      </c>
      <c r="AC221">
        <v>4</v>
      </c>
      <c r="AD221" t="s">
        <v>1563</v>
      </c>
      <c r="AE221">
        <v>0</v>
      </c>
      <c r="AF221" t="s">
        <v>1535</v>
      </c>
      <c r="AG221" t="s">
        <v>1425</v>
      </c>
      <c r="AH221" t="s">
        <v>1563</v>
      </c>
    </row>
    <row r="222" spans="1:34" x14ac:dyDescent="0.25">
      <c r="A222" t="s">
        <v>845</v>
      </c>
      <c r="B222" t="s">
        <v>846</v>
      </c>
      <c r="C222" t="s">
        <v>732</v>
      </c>
      <c r="D222" t="s">
        <v>306</v>
      </c>
      <c r="E222" t="s">
        <v>1563</v>
      </c>
      <c r="F222" t="s">
        <v>856</v>
      </c>
      <c r="G222" t="s">
        <v>1563</v>
      </c>
      <c r="H222" s="736" t="s">
        <v>1598</v>
      </c>
      <c r="I222" t="s">
        <v>309</v>
      </c>
      <c r="J222" t="s">
        <v>855</v>
      </c>
      <c r="K222">
        <v>1</v>
      </c>
      <c r="L222" s="736">
        <v>4</v>
      </c>
      <c r="M222" s="736" t="s">
        <v>38</v>
      </c>
      <c r="N222" s="736">
        <v>1</v>
      </c>
      <c r="O222" s="736">
        <v>4</v>
      </c>
      <c r="P222" s="736">
        <v>1</v>
      </c>
      <c r="Q222" s="736" t="s">
        <v>45</v>
      </c>
      <c r="R222" s="736">
        <v>2</v>
      </c>
      <c r="S222">
        <v>4</v>
      </c>
      <c r="T222">
        <v>4</v>
      </c>
      <c r="U222" t="s">
        <v>1563</v>
      </c>
      <c r="V222" t="s">
        <v>1563</v>
      </c>
      <c r="W222" t="s">
        <v>1563</v>
      </c>
      <c r="X222">
        <v>1</v>
      </c>
      <c r="Y222" t="s">
        <v>1563</v>
      </c>
      <c r="Z222">
        <v>4</v>
      </c>
      <c r="AA222" t="s">
        <v>1563</v>
      </c>
      <c r="AB222" t="s">
        <v>1563</v>
      </c>
      <c r="AC222">
        <v>4</v>
      </c>
      <c r="AD222" t="s">
        <v>1563</v>
      </c>
      <c r="AE222">
        <v>0</v>
      </c>
      <c r="AF222" t="s">
        <v>1535</v>
      </c>
      <c r="AG222" t="s">
        <v>1425</v>
      </c>
      <c r="AH222" t="s">
        <v>1563</v>
      </c>
    </row>
    <row r="223" spans="1:34" x14ac:dyDescent="0.25">
      <c r="A223" t="s">
        <v>845</v>
      </c>
      <c r="B223" t="s">
        <v>846</v>
      </c>
      <c r="C223" t="s">
        <v>732</v>
      </c>
      <c r="D223" t="s">
        <v>306</v>
      </c>
      <c r="E223" t="s">
        <v>1563</v>
      </c>
      <c r="F223" t="s">
        <v>857</v>
      </c>
      <c r="G223" t="s">
        <v>1563</v>
      </c>
      <c r="H223" s="736" t="s">
        <v>1599</v>
      </c>
      <c r="I223" t="s">
        <v>309</v>
      </c>
      <c r="J223" t="s">
        <v>855</v>
      </c>
      <c r="K223">
        <v>1</v>
      </c>
      <c r="L223" s="736">
        <v>4</v>
      </c>
      <c r="M223" s="736" t="s">
        <v>38</v>
      </c>
      <c r="N223" s="736">
        <v>1</v>
      </c>
      <c r="O223" s="736">
        <v>4</v>
      </c>
      <c r="P223" s="736">
        <v>1</v>
      </c>
      <c r="Q223" s="736" t="s">
        <v>45</v>
      </c>
      <c r="R223" s="736">
        <v>2</v>
      </c>
      <c r="S223">
        <v>4</v>
      </c>
      <c r="T223">
        <v>4</v>
      </c>
      <c r="U223" t="s">
        <v>1563</v>
      </c>
      <c r="V223" t="s">
        <v>1563</v>
      </c>
      <c r="W223" t="s">
        <v>1563</v>
      </c>
      <c r="X223">
        <v>1</v>
      </c>
      <c r="Y223" t="s">
        <v>1563</v>
      </c>
      <c r="Z223">
        <v>4</v>
      </c>
      <c r="AA223" t="s">
        <v>1563</v>
      </c>
      <c r="AB223" t="s">
        <v>1563</v>
      </c>
      <c r="AC223">
        <v>4</v>
      </c>
      <c r="AD223" t="s">
        <v>1563</v>
      </c>
      <c r="AE223">
        <v>0</v>
      </c>
      <c r="AF223" t="s">
        <v>1535</v>
      </c>
      <c r="AG223" t="s">
        <v>1425</v>
      </c>
      <c r="AH223" t="s">
        <v>1563</v>
      </c>
    </row>
    <row r="224" spans="1:34" x14ac:dyDescent="0.25">
      <c r="A224" t="s">
        <v>845</v>
      </c>
      <c r="B224" t="s">
        <v>846</v>
      </c>
      <c r="C224" t="s">
        <v>732</v>
      </c>
      <c r="D224" t="s">
        <v>306</v>
      </c>
      <c r="E224" t="s">
        <v>1563</v>
      </c>
      <c r="F224" t="s">
        <v>858</v>
      </c>
      <c r="G224" t="s">
        <v>1563</v>
      </c>
      <c r="H224" s="736" t="s">
        <v>1600</v>
      </c>
      <c r="I224" t="s">
        <v>309</v>
      </c>
      <c r="J224" t="s">
        <v>848</v>
      </c>
      <c r="K224">
        <v>2</v>
      </c>
      <c r="L224" s="736">
        <v>4</v>
      </c>
      <c r="M224" s="736" t="s">
        <v>38</v>
      </c>
      <c r="N224" s="736">
        <v>1</v>
      </c>
      <c r="O224" s="736">
        <v>4</v>
      </c>
      <c r="P224" s="736">
        <v>1</v>
      </c>
      <c r="Q224" s="736" t="s">
        <v>46</v>
      </c>
      <c r="R224" s="736">
        <v>2</v>
      </c>
      <c r="S224">
        <v>4</v>
      </c>
      <c r="T224">
        <v>4</v>
      </c>
      <c r="U224" t="s">
        <v>1563</v>
      </c>
      <c r="V224" t="s">
        <v>1563</v>
      </c>
      <c r="W224" t="s">
        <v>1563</v>
      </c>
      <c r="X224">
        <v>1</v>
      </c>
      <c r="Y224" t="s">
        <v>1563</v>
      </c>
      <c r="Z224">
        <v>0</v>
      </c>
      <c r="AA224" t="s">
        <v>1563</v>
      </c>
      <c r="AB224" t="s">
        <v>1563</v>
      </c>
      <c r="AC224" t="s">
        <v>1563</v>
      </c>
      <c r="AD224" t="s">
        <v>1563</v>
      </c>
      <c r="AE224">
        <v>0</v>
      </c>
      <c r="AF224" t="s">
        <v>1547</v>
      </c>
      <c r="AG224" t="s">
        <v>1425</v>
      </c>
      <c r="AH224" t="s">
        <v>849</v>
      </c>
    </row>
    <row r="225" spans="1:34" x14ac:dyDescent="0.25">
      <c r="A225" t="s">
        <v>845</v>
      </c>
      <c r="B225" t="s">
        <v>846</v>
      </c>
      <c r="C225" t="s">
        <v>732</v>
      </c>
      <c r="D225" t="s">
        <v>306</v>
      </c>
      <c r="E225" t="s">
        <v>1563</v>
      </c>
      <c r="F225" t="s">
        <v>859</v>
      </c>
      <c r="G225" t="s">
        <v>1563</v>
      </c>
      <c r="H225" s="736" t="s">
        <v>1601</v>
      </c>
      <c r="I225" t="s">
        <v>309</v>
      </c>
      <c r="J225" t="s">
        <v>860</v>
      </c>
      <c r="K225">
        <v>2</v>
      </c>
      <c r="L225" s="736">
        <v>4</v>
      </c>
      <c r="M225" s="736" t="s">
        <v>38</v>
      </c>
      <c r="N225" s="736">
        <v>1</v>
      </c>
      <c r="O225" s="736">
        <v>4</v>
      </c>
      <c r="P225" s="736">
        <v>1</v>
      </c>
      <c r="Q225" s="736" t="s">
        <v>46</v>
      </c>
      <c r="R225" s="736">
        <v>2</v>
      </c>
      <c r="S225">
        <v>4</v>
      </c>
      <c r="T225">
        <v>4</v>
      </c>
      <c r="U225" t="s">
        <v>1563</v>
      </c>
      <c r="V225" t="s">
        <v>1563</v>
      </c>
      <c r="W225" t="s">
        <v>1563</v>
      </c>
      <c r="X225">
        <v>1</v>
      </c>
      <c r="Y225" t="s">
        <v>1563</v>
      </c>
      <c r="Z225">
        <v>0</v>
      </c>
      <c r="AA225" t="s">
        <v>1563</v>
      </c>
      <c r="AB225" t="s">
        <v>1563</v>
      </c>
      <c r="AC225" t="s">
        <v>1563</v>
      </c>
      <c r="AD225" t="s">
        <v>1563</v>
      </c>
      <c r="AE225">
        <v>0</v>
      </c>
      <c r="AF225" t="s">
        <v>1563</v>
      </c>
      <c r="AG225" t="s">
        <v>1425</v>
      </c>
      <c r="AH225" t="s">
        <v>849</v>
      </c>
    </row>
    <row r="226" spans="1:34" x14ac:dyDescent="0.25">
      <c r="A226" t="s">
        <v>845</v>
      </c>
      <c r="B226" t="s">
        <v>846</v>
      </c>
      <c r="C226" t="s">
        <v>732</v>
      </c>
      <c r="D226" t="s">
        <v>306</v>
      </c>
      <c r="E226" t="s">
        <v>1563</v>
      </c>
      <c r="F226" t="s">
        <v>861</v>
      </c>
      <c r="G226" t="s">
        <v>1563</v>
      </c>
      <c r="H226" s="736" t="s">
        <v>862</v>
      </c>
      <c r="I226" t="s">
        <v>309</v>
      </c>
      <c r="J226" t="s">
        <v>863</v>
      </c>
      <c r="K226" t="s">
        <v>1563</v>
      </c>
      <c r="L226" s="736">
        <v>32</v>
      </c>
      <c r="M226" s="736" t="s">
        <v>38</v>
      </c>
      <c r="N226" s="736">
        <v>1</v>
      </c>
      <c r="O226" s="736">
        <v>32</v>
      </c>
      <c r="P226" s="736">
        <v>1</v>
      </c>
      <c r="Q226" s="736" t="s">
        <v>46</v>
      </c>
      <c r="R226" s="736" t="s">
        <v>1563</v>
      </c>
      <c r="S226">
        <v>0</v>
      </c>
      <c r="T226" t="s">
        <v>1563</v>
      </c>
      <c r="U226" t="s">
        <v>1563</v>
      </c>
      <c r="V226" t="s">
        <v>1563</v>
      </c>
      <c r="W226" t="s">
        <v>1563</v>
      </c>
      <c r="X226">
        <v>0</v>
      </c>
      <c r="Y226" t="s">
        <v>1563</v>
      </c>
      <c r="Z226">
        <v>0</v>
      </c>
      <c r="AA226" t="s">
        <v>1563</v>
      </c>
      <c r="AB226" t="s">
        <v>1563</v>
      </c>
      <c r="AC226" t="s">
        <v>1563</v>
      </c>
      <c r="AD226" t="s">
        <v>1563</v>
      </c>
      <c r="AE226">
        <v>0</v>
      </c>
      <c r="AF226" t="s">
        <v>1563</v>
      </c>
      <c r="AG226" t="s">
        <v>1425</v>
      </c>
      <c r="AH226" t="s">
        <v>1563</v>
      </c>
    </row>
    <row r="227" spans="1:34" x14ac:dyDescent="0.25">
      <c r="A227" t="s">
        <v>845</v>
      </c>
      <c r="B227" t="s">
        <v>846</v>
      </c>
      <c r="C227" t="s">
        <v>732</v>
      </c>
      <c r="D227" t="s">
        <v>306</v>
      </c>
      <c r="E227" t="s">
        <v>1563</v>
      </c>
      <c r="F227" t="s">
        <v>864</v>
      </c>
      <c r="G227" t="s">
        <v>1563</v>
      </c>
      <c r="H227" s="736" t="s">
        <v>865</v>
      </c>
      <c r="I227" t="s">
        <v>309</v>
      </c>
      <c r="J227" t="s">
        <v>863</v>
      </c>
      <c r="K227" t="s">
        <v>1563</v>
      </c>
      <c r="L227" s="736">
        <v>32</v>
      </c>
      <c r="M227" s="736" t="s">
        <v>38</v>
      </c>
      <c r="N227" s="736">
        <v>1</v>
      </c>
      <c r="O227" s="736">
        <v>32</v>
      </c>
      <c r="P227" s="736">
        <v>1</v>
      </c>
      <c r="Q227" s="736" t="s">
        <v>46</v>
      </c>
      <c r="R227" s="736" t="s">
        <v>1563</v>
      </c>
      <c r="S227">
        <v>0</v>
      </c>
      <c r="T227" t="s">
        <v>1563</v>
      </c>
      <c r="U227" t="s">
        <v>1563</v>
      </c>
      <c r="V227" t="s">
        <v>1563</v>
      </c>
      <c r="W227" t="s">
        <v>1563</v>
      </c>
      <c r="X227">
        <v>0</v>
      </c>
      <c r="Y227" t="s">
        <v>1563</v>
      </c>
      <c r="Z227">
        <v>0</v>
      </c>
      <c r="AA227" t="s">
        <v>1563</v>
      </c>
      <c r="AB227" t="s">
        <v>1563</v>
      </c>
      <c r="AC227" t="s">
        <v>1563</v>
      </c>
      <c r="AD227" t="s">
        <v>1563</v>
      </c>
      <c r="AE227">
        <v>0</v>
      </c>
      <c r="AF227" t="s">
        <v>1563</v>
      </c>
      <c r="AG227" t="s">
        <v>1425</v>
      </c>
      <c r="AH227" t="s">
        <v>1563</v>
      </c>
    </row>
    <row r="228" spans="1:34" x14ac:dyDescent="0.25">
      <c r="A228" t="s">
        <v>845</v>
      </c>
      <c r="B228" t="s">
        <v>846</v>
      </c>
      <c r="C228" t="s">
        <v>732</v>
      </c>
      <c r="D228" t="s">
        <v>306</v>
      </c>
      <c r="E228" t="s">
        <v>1563</v>
      </c>
      <c r="F228" t="s">
        <v>866</v>
      </c>
      <c r="G228" t="s">
        <v>1563</v>
      </c>
      <c r="H228" s="736" t="s">
        <v>867</v>
      </c>
      <c r="I228" t="s">
        <v>309</v>
      </c>
      <c r="J228" t="s">
        <v>868</v>
      </c>
      <c r="K228" t="s">
        <v>1563</v>
      </c>
      <c r="L228" s="736">
        <v>32</v>
      </c>
      <c r="M228" s="736" t="s">
        <v>38</v>
      </c>
      <c r="N228" s="736">
        <v>1</v>
      </c>
      <c r="O228" s="736">
        <v>32</v>
      </c>
      <c r="P228" s="736">
        <v>1</v>
      </c>
      <c r="Q228" s="736" t="s">
        <v>46</v>
      </c>
      <c r="R228" s="736" t="s">
        <v>1563</v>
      </c>
      <c r="S228">
        <v>0</v>
      </c>
      <c r="T228" t="s">
        <v>1563</v>
      </c>
      <c r="U228" t="s">
        <v>1563</v>
      </c>
      <c r="V228" t="s">
        <v>1563</v>
      </c>
      <c r="W228" t="s">
        <v>1563</v>
      </c>
      <c r="X228">
        <v>0</v>
      </c>
      <c r="Y228" t="s">
        <v>1563</v>
      </c>
      <c r="Z228">
        <v>0</v>
      </c>
      <c r="AA228" t="s">
        <v>1563</v>
      </c>
      <c r="AB228" t="s">
        <v>1563</v>
      </c>
      <c r="AC228" t="s">
        <v>1563</v>
      </c>
      <c r="AD228" t="s">
        <v>1563</v>
      </c>
      <c r="AE228">
        <v>0</v>
      </c>
      <c r="AF228" t="s">
        <v>1563</v>
      </c>
      <c r="AG228" t="s">
        <v>1425</v>
      </c>
      <c r="AH228" t="s">
        <v>1563</v>
      </c>
    </row>
    <row r="229" spans="1:34" x14ac:dyDescent="0.25">
      <c r="A229" t="s">
        <v>869</v>
      </c>
      <c r="B229" t="s">
        <v>870</v>
      </c>
      <c r="C229" t="s">
        <v>732</v>
      </c>
      <c r="D229" t="s">
        <v>382</v>
      </c>
      <c r="E229" t="s">
        <v>1563</v>
      </c>
      <c r="F229" t="s">
        <v>871</v>
      </c>
      <c r="G229" t="s">
        <v>254</v>
      </c>
      <c r="H229" s="736" t="s">
        <v>1602</v>
      </c>
      <c r="I229" t="s">
        <v>309</v>
      </c>
      <c r="J229" t="s">
        <v>872</v>
      </c>
      <c r="K229">
        <v>1</v>
      </c>
      <c r="L229" s="736">
        <v>4</v>
      </c>
      <c r="M229" s="736" t="s">
        <v>38</v>
      </c>
      <c r="N229" s="736">
        <v>1</v>
      </c>
      <c r="O229" s="736">
        <v>4</v>
      </c>
      <c r="P229" s="736">
        <v>1</v>
      </c>
      <c r="Q229" s="736" t="s">
        <v>46</v>
      </c>
      <c r="R229" s="736">
        <v>2</v>
      </c>
      <c r="S229">
        <v>0</v>
      </c>
      <c r="T229" t="s">
        <v>1563</v>
      </c>
      <c r="U229" t="s">
        <v>1563</v>
      </c>
      <c r="V229" t="s">
        <v>1563</v>
      </c>
      <c r="W229" t="s">
        <v>1563</v>
      </c>
      <c r="X229">
        <v>0</v>
      </c>
      <c r="Y229" t="s">
        <v>1563</v>
      </c>
      <c r="Z229">
        <v>0</v>
      </c>
      <c r="AA229" t="s">
        <v>1563</v>
      </c>
      <c r="AB229" t="s">
        <v>1563</v>
      </c>
      <c r="AC229" t="s">
        <v>1563</v>
      </c>
      <c r="AD229" t="s">
        <v>1563</v>
      </c>
      <c r="AE229">
        <v>0</v>
      </c>
      <c r="AF229" t="s">
        <v>1563</v>
      </c>
      <c r="AG229" t="s">
        <v>1563</v>
      </c>
      <c r="AH229" t="s">
        <v>873</v>
      </c>
    </row>
    <row r="230" spans="1:34" x14ac:dyDescent="0.25">
      <c r="A230" t="s">
        <v>869</v>
      </c>
      <c r="B230" t="s">
        <v>870</v>
      </c>
      <c r="C230" t="s">
        <v>732</v>
      </c>
      <c r="D230" t="s">
        <v>382</v>
      </c>
      <c r="E230" t="s">
        <v>1563</v>
      </c>
      <c r="F230" t="s">
        <v>874</v>
      </c>
      <c r="G230" t="s">
        <v>254</v>
      </c>
      <c r="H230" s="736" t="s">
        <v>1603</v>
      </c>
      <c r="I230" t="s">
        <v>309</v>
      </c>
      <c r="J230" t="s">
        <v>875</v>
      </c>
      <c r="K230">
        <v>1</v>
      </c>
      <c r="L230" s="736">
        <v>4</v>
      </c>
      <c r="M230" s="736" t="s">
        <v>38</v>
      </c>
      <c r="N230" s="736">
        <v>1</v>
      </c>
      <c r="O230" s="736">
        <v>4</v>
      </c>
      <c r="P230" s="736">
        <v>1</v>
      </c>
      <c r="Q230" s="736" t="s">
        <v>46</v>
      </c>
      <c r="R230" s="736">
        <v>2</v>
      </c>
      <c r="S230">
        <v>0</v>
      </c>
      <c r="T230" t="s">
        <v>1563</v>
      </c>
      <c r="U230" t="s">
        <v>1563</v>
      </c>
      <c r="V230" t="s">
        <v>1563</v>
      </c>
      <c r="W230" t="s">
        <v>1563</v>
      </c>
      <c r="X230">
        <v>0</v>
      </c>
      <c r="Y230" t="s">
        <v>1563</v>
      </c>
      <c r="Z230">
        <v>0</v>
      </c>
      <c r="AA230" t="s">
        <v>1563</v>
      </c>
      <c r="AB230" t="s">
        <v>1563</v>
      </c>
      <c r="AC230" t="s">
        <v>1563</v>
      </c>
      <c r="AD230" t="s">
        <v>1563</v>
      </c>
      <c r="AE230">
        <v>0</v>
      </c>
      <c r="AF230" t="s">
        <v>1563</v>
      </c>
      <c r="AG230" t="s">
        <v>1563</v>
      </c>
      <c r="AH230" t="s">
        <v>873</v>
      </c>
    </row>
    <row r="231" spans="1:34" x14ac:dyDescent="0.25">
      <c r="A231" t="s">
        <v>869</v>
      </c>
      <c r="B231" t="s">
        <v>870</v>
      </c>
      <c r="C231" t="s">
        <v>732</v>
      </c>
      <c r="D231" t="s">
        <v>382</v>
      </c>
      <c r="E231" t="s">
        <v>1563</v>
      </c>
      <c r="F231" t="s">
        <v>876</v>
      </c>
      <c r="G231" t="s">
        <v>254</v>
      </c>
      <c r="H231" s="736" t="s">
        <v>1604</v>
      </c>
      <c r="I231" t="s">
        <v>309</v>
      </c>
      <c r="J231" t="s">
        <v>872</v>
      </c>
      <c r="K231">
        <v>1</v>
      </c>
      <c r="L231" s="736">
        <v>4</v>
      </c>
      <c r="M231" s="736" t="s">
        <v>38</v>
      </c>
      <c r="N231" s="736">
        <v>1</v>
      </c>
      <c r="O231" s="736">
        <v>4</v>
      </c>
      <c r="P231" s="736">
        <v>1</v>
      </c>
      <c r="Q231" s="736" t="s">
        <v>46</v>
      </c>
      <c r="R231" s="736">
        <v>2</v>
      </c>
      <c r="S231">
        <v>0</v>
      </c>
      <c r="T231" t="s">
        <v>1563</v>
      </c>
      <c r="U231" t="s">
        <v>1563</v>
      </c>
      <c r="V231" t="s">
        <v>1563</v>
      </c>
      <c r="W231" t="s">
        <v>1563</v>
      </c>
      <c r="X231">
        <v>0</v>
      </c>
      <c r="Y231" t="s">
        <v>1563</v>
      </c>
      <c r="Z231">
        <v>0</v>
      </c>
      <c r="AA231" t="s">
        <v>1563</v>
      </c>
      <c r="AB231" t="s">
        <v>1563</v>
      </c>
      <c r="AC231" t="s">
        <v>1563</v>
      </c>
      <c r="AD231" t="s">
        <v>1563</v>
      </c>
      <c r="AE231">
        <v>0</v>
      </c>
      <c r="AF231" t="s">
        <v>1563</v>
      </c>
      <c r="AG231" t="s">
        <v>1563</v>
      </c>
      <c r="AH231" t="s">
        <v>873</v>
      </c>
    </row>
    <row r="232" spans="1:34" s="171" customFormat="1" x14ac:dyDescent="0.25">
      <c r="A232" t="s">
        <v>869</v>
      </c>
      <c r="B232" t="s">
        <v>870</v>
      </c>
      <c r="C232" t="s">
        <v>732</v>
      </c>
      <c r="D232" t="s">
        <v>382</v>
      </c>
      <c r="E232" t="s">
        <v>1563</v>
      </c>
      <c r="F232" t="s">
        <v>877</v>
      </c>
      <c r="G232" t="s">
        <v>254</v>
      </c>
      <c r="H232" s="736" t="s">
        <v>1605</v>
      </c>
      <c r="I232" t="s">
        <v>309</v>
      </c>
      <c r="J232" t="s">
        <v>875</v>
      </c>
      <c r="K232">
        <v>1</v>
      </c>
      <c r="L232" s="736">
        <v>4</v>
      </c>
      <c r="M232" s="736" t="s">
        <v>38</v>
      </c>
      <c r="N232" s="736">
        <v>1</v>
      </c>
      <c r="O232" s="736">
        <v>4</v>
      </c>
      <c r="P232" s="736">
        <v>1</v>
      </c>
      <c r="Q232" s="736" t="s">
        <v>46</v>
      </c>
      <c r="R232" s="736">
        <v>2</v>
      </c>
      <c r="S232">
        <v>0</v>
      </c>
      <c r="T232" t="s">
        <v>1563</v>
      </c>
      <c r="U232" t="s">
        <v>1563</v>
      </c>
      <c r="V232" t="s">
        <v>1563</v>
      </c>
      <c r="W232" t="s">
        <v>1563</v>
      </c>
      <c r="X232">
        <v>0</v>
      </c>
      <c r="Y232" t="s">
        <v>1563</v>
      </c>
      <c r="Z232">
        <v>0</v>
      </c>
      <c r="AA232" t="s">
        <v>1563</v>
      </c>
      <c r="AB232" t="s">
        <v>1563</v>
      </c>
      <c r="AC232" t="s">
        <v>1563</v>
      </c>
      <c r="AD232" t="s">
        <v>1563</v>
      </c>
      <c r="AE232">
        <v>0</v>
      </c>
      <c r="AF232" t="s">
        <v>1563</v>
      </c>
      <c r="AG232" t="s">
        <v>1563</v>
      </c>
      <c r="AH232" t="s">
        <v>873</v>
      </c>
    </row>
    <row r="233" spans="1:34" s="171" customFormat="1" x14ac:dyDescent="0.25">
      <c r="A233" t="s">
        <v>869</v>
      </c>
      <c r="B233" t="s">
        <v>870</v>
      </c>
      <c r="C233" t="s">
        <v>732</v>
      </c>
      <c r="D233" t="s">
        <v>382</v>
      </c>
      <c r="E233" t="s">
        <v>1563</v>
      </c>
      <c r="F233" t="s">
        <v>878</v>
      </c>
      <c r="G233" t="s">
        <v>254</v>
      </c>
      <c r="H233" s="736" t="s">
        <v>1606</v>
      </c>
      <c r="I233" t="s">
        <v>309</v>
      </c>
      <c r="J233" t="s">
        <v>872</v>
      </c>
      <c r="K233">
        <v>1</v>
      </c>
      <c r="L233" s="736">
        <v>4</v>
      </c>
      <c r="M233" s="736" t="s">
        <v>38</v>
      </c>
      <c r="N233" s="736">
        <v>1</v>
      </c>
      <c r="O233" s="736">
        <v>4</v>
      </c>
      <c r="P233" s="736">
        <v>1</v>
      </c>
      <c r="Q233" s="736" t="s">
        <v>46</v>
      </c>
      <c r="R233" s="736">
        <v>2</v>
      </c>
      <c r="S233">
        <v>0</v>
      </c>
      <c r="T233" t="s">
        <v>1563</v>
      </c>
      <c r="U233" t="s">
        <v>1563</v>
      </c>
      <c r="V233" t="s">
        <v>1563</v>
      </c>
      <c r="W233" t="s">
        <v>1563</v>
      </c>
      <c r="X233">
        <v>0</v>
      </c>
      <c r="Y233" t="s">
        <v>1563</v>
      </c>
      <c r="Z233">
        <v>0</v>
      </c>
      <c r="AA233" t="s">
        <v>1563</v>
      </c>
      <c r="AB233" t="s">
        <v>1563</v>
      </c>
      <c r="AC233" t="s">
        <v>1563</v>
      </c>
      <c r="AD233" t="s">
        <v>1563</v>
      </c>
      <c r="AE233">
        <v>0</v>
      </c>
      <c r="AF233" t="s">
        <v>1563</v>
      </c>
      <c r="AG233" t="s">
        <v>1563</v>
      </c>
      <c r="AH233" t="s">
        <v>873</v>
      </c>
    </row>
    <row r="234" spans="1:34" s="171" customFormat="1" x14ac:dyDescent="0.25">
      <c r="A234" t="s">
        <v>869</v>
      </c>
      <c r="B234" t="s">
        <v>870</v>
      </c>
      <c r="C234" t="s">
        <v>732</v>
      </c>
      <c r="D234" t="s">
        <v>382</v>
      </c>
      <c r="E234" t="s">
        <v>1563</v>
      </c>
      <c r="F234" t="s">
        <v>879</v>
      </c>
      <c r="G234" t="s">
        <v>254</v>
      </c>
      <c r="H234" s="736" t="s">
        <v>1607</v>
      </c>
      <c r="I234" t="s">
        <v>309</v>
      </c>
      <c r="J234" t="s">
        <v>875</v>
      </c>
      <c r="K234">
        <v>1</v>
      </c>
      <c r="L234" s="736">
        <v>4</v>
      </c>
      <c r="M234" s="736" t="s">
        <v>38</v>
      </c>
      <c r="N234" s="736">
        <v>1</v>
      </c>
      <c r="O234" s="736">
        <v>4</v>
      </c>
      <c r="P234" s="736">
        <v>1</v>
      </c>
      <c r="Q234" s="736" t="s">
        <v>46</v>
      </c>
      <c r="R234" s="736">
        <v>2</v>
      </c>
      <c r="S234">
        <v>0</v>
      </c>
      <c r="T234" t="s">
        <v>1563</v>
      </c>
      <c r="U234" t="s">
        <v>1563</v>
      </c>
      <c r="V234" t="s">
        <v>1563</v>
      </c>
      <c r="W234" t="s">
        <v>1563</v>
      </c>
      <c r="X234">
        <v>0</v>
      </c>
      <c r="Y234" t="s">
        <v>1563</v>
      </c>
      <c r="Z234">
        <v>0</v>
      </c>
      <c r="AA234" t="s">
        <v>1563</v>
      </c>
      <c r="AB234" t="s">
        <v>1563</v>
      </c>
      <c r="AC234" t="s">
        <v>1563</v>
      </c>
      <c r="AD234" t="s">
        <v>1563</v>
      </c>
      <c r="AE234">
        <v>0</v>
      </c>
      <c r="AF234" t="s">
        <v>1563</v>
      </c>
      <c r="AG234" t="s">
        <v>1563</v>
      </c>
      <c r="AH234" t="s">
        <v>873</v>
      </c>
    </row>
    <row r="235" spans="1:34" s="171" customFormat="1" x14ac:dyDescent="0.25">
      <c r="A235" t="s">
        <v>869</v>
      </c>
      <c r="B235" t="s">
        <v>870</v>
      </c>
      <c r="C235" t="s">
        <v>1563</v>
      </c>
      <c r="D235" t="s">
        <v>382</v>
      </c>
      <c r="E235" t="s">
        <v>1563</v>
      </c>
      <c r="F235" t="s">
        <v>880</v>
      </c>
      <c r="G235" t="s">
        <v>254</v>
      </c>
      <c r="H235" s="736" t="s">
        <v>881</v>
      </c>
      <c r="I235" t="s">
        <v>309</v>
      </c>
      <c r="J235" t="s">
        <v>882</v>
      </c>
      <c r="K235">
        <v>1</v>
      </c>
      <c r="L235" s="736">
        <v>1</v>
      </c>
      <c r="M235" s="736" t="s">
        <v>33</v>
      </c>
      <c r="N235" s="736">
        <v>1</v>
      </c>
      <c r="O235" s="736">
        <v>1</v>
      </c>
      <c r="P235" s="736">
        <v>1</v>
      </c>
      <c r="Q235" s="736" t="s">
        <v>45</v>
      </c>
      <c r="R235" s="736">
        <v>1</v>
      </c>
      <c r="S235">
        <v>0</v>
      </c>
      <c r="T235" t="s">
        <v>1563</v>
      </c>
      <c r="U235" t="s">
        <v>1563</v>
      </c>
      <c r="V235" t="s">
        <v>1563</v>
      </c>
      <c r="W235" t="s">
        <v>1563</v>
      </c>
      <c r="X235">
        <v>0</v>
      </c>
      <c r="Y235" t="s">
        <v>1563</v>
      </c>
      <c r="Z235">
        <v>0</v>
      </c>
      <c r="AA235" t="s">
        <v>1563</v>
      </c>
      <c r="AB235" t="s">
        <v>1563</v>
      </c>
      <c r="AC235" t="s">
        <v>1563</v>
      </c>
      <c r="AD235" t="s">
        <v>1563</v>
      </c>
      <c r="AE235">
        <v>0</v>
      </c>
      <c r="AF235" t="s">
        <v>1563</v>
      </c>
      <c r="AG235" t="s">
        <v>1563</v>
      </c>
      <c r="AH235" t="s">
        <v>1563</v>
      </c>
    </row>
    <row r="236" spans="1:34" s="171" customFormat="1" x14ac:dyDescent="0.25">
      <c r="A236" t="s">
        <v>883</v>
      </c>
      <c r="B236" t="s">
        <v>884</v>
      </c>
      <c r="C236" t="s">
        <v>732</v>
      </c>
      <c r="D236" t="s">
        <v>306</v>
      </c>
      <c r="E236" t="s">
        <v>1563</v>
      </c>
      <c r="F236" t="s">
        <v>885</v>
      </c>
      <c r="G236" t="s">
        <v>254</v>
      </c>
      <c r="H236" s="736" t="s">
        <v>1608</v>
      </c>
      <c r="I236" t="s">
        <v>309</v>
      </c>
      <c r="J236" t="s">
        <v>886</v>
      </c>
      <c r="K236">
        <v>3</v>
      </c>
      <c r="L236" s="736">
        <v>19</v>
      </c>
      <c r="M236" s="736" t="s">
        <v>33</v>
      </c>
      <c r="N236" s="736">
        <v>1</v>
      </c>
      <c r="O236" s="736">
        <v>19</v>
      </c>
      <c r="P236" s="736">
        <v>1</v>
      </c>
      <c r="Q236" s="736" t="s">
        <v>45</v>
      </c>
      <c r="R236" s="736">
        <v>19</v>
      </c>
      <c r="S236">
        <v>19</v>
      </c>
      <c r="T236">
        <v>8</v>
      </c>
      <c r="U236">
        <v>11</v>
      </c>
      <c r="V236" t="s">
        <v>1563</v>
      </c>
      <c r="W236" t="s">
        <v>1563</v>
      </c>
      <c r="X236">
        <v>1</v>
      </c>
      <c r="Y236" t="s">
        <v>1563</v>
      </c>
      <c r="Z236">
        <v>0</v>
      </c>
      <c r="AA236" t="s">
        <v>1563</v>
      </c>
      <c r="AB236" t="s">
        <v>1563</v>
      </c>
      <c r="AC236" t="s">
        <v>1563</v>
      </c>
      <c r="AD236" t="s">
        <v>1563</v>
      </c>
      <c r="AE236">
        <v>0</v>
      </c>
      <c r="AF236" t="s">
        <v>1563</v>
      </c>
      <c r="AG236" t="s">
        <v>1432</v>
      </c>
      <c r="AH236" t="s">
        <v>887</v>
      </c>
    </row>
    <row r="237" spans="1:34" s="171" customFormat="1" x14ac:dyDescent="0.25">
      <c r="A237" t="s">
        <v>888</v>
      </c>
      <c r="B237" t="s">
        <v>889</v>
      </c>
      <c r="C237" t="s">
        <v>477</v>
      </c>
      <c r="D237" t="s">
        <v>382</v>
      </c>
      <c r="E237" t="s">
        <v>1563</v>
      </c>
      <c r="F237" t="s">
        <v>890</v>
      </c>
      <c r="G237" t="s">
        <v>275</v>
      </c>
      <c r="H237" s="736" t="s">
        <v>1609</v>
      </c>
      <c r="I237" t="s">
        <v>309</v>
      </c>
      <c r="J237" t="s">
        <v>886</v>
      </c>
      <c r="K237">
        <v>1</v>
      </c>
      <c r="L237" s="736">
        <v>14</v>
      </c>
      <c r="M237" s="736" t="s">
        <v>33</v>
      </c>
      <c r="N237" s="736">
        <v>1</v>
      </c>
      <c r="O237" s="736">
        <v>14</v>
      </c>
      <c r="P237" s="736">
        <v>1</v>
      </c>
      <c r="Q237" s="736" t="s">
        <v>45</v>
      </c>
      <c r="R237" s="736">
        <v>14</v>
      </c>
      <c r="S237">
        <v>14</v>
      </c>
      <c r="T237">
        <v>8</v>
      </c>
      <c r="U237">
        <v>6</v>
      </c>
      <c r="V237" t="s">
        <v>1563</v>
      </c>
      <c r="W237" t="s">
        <v>1563</v>
      </c>
      <c r="X237">
        <v>1</v>
      </c>
      <c r="Y237" t="s">
        <v>1563</v>
      </c>
      <c r="Z237">
        <v>0</v>
      </c>
      <c r="AA237" t="s">
        <v>1563</v>
      </c>
      <c r="AB237" t="s">
        <v>1563</v>
      </c>
      <c r="AC237" t="s">
        <v>1563</v>
      </c>
      <c r="AD237" t="s">
        <v>1563</v>
      </c>
      <c r="AE237">
        <v>0</v>
      </c>
      <c r="AF237" t="s">
        <v>1563</v>
      </c>
      <c r="AG237" t="s">
        <v>1432</v>
      </c>
      <c r="AH237" t="s">
        <v>1563</v>
      </c>
    </row>
    <row r="238" spans="1:34" x14ac:dyDescent="0.25">
      <c r="A238" t="s">
        <v>1563</v>
      </c>
      <c r="B238" t="s">
        <v>1563</v>
      </c>
      <c r="C238" t="s">
        <v>891</v>
      </c>
      <c r="D238" t="s">
        <v>382</v>
      </c>
      <c r="E238" t="s">
        <v>1563</v>
      </c>
      <c r="F238" t="s">
        <v>892</v>
      </c>
      <c r="G238" t="s">
        <v>1563</v>
      </c>
      <c r="H238" s="736" t="s">
        <v>893</v>
      </c>
      <c r="I238" t="s">
        <v>309</v>
      </c>
      <c r="J238" t="s">
        <v>886</v>
      </c>
      <c r="K238">
        <v>1</v>
      </c>
      <c r="L238" s="736">
        <v>4</v>
      </c>
      <c r="M238" s="736" t="s">
        <v>33</v>
      </c>
      <c r="N238" s="736">
        <v>1</v>
      </c>
      <c r="O238" s="736">
        <v>4</v>
      </c>
      <c r="P238" s="736">
        <v>1</v>
      </c>
      <c r="Q238" s="736" t="s">
        <v>45</v>
      </c>
      <c r="R238" s="736">
        <v>4</v>
      </c>
      <c r="S238">
        <v>4</v>
      </c>
      <c r="T238">
        <v>4</v>
      </c>
      <c r="U238" t="s">
        <v>1563</v>
      </c>
      <c r="V238" t="s">
        <v>1563</v>
      </c>
      <c r="W238" t="s">
        <v>1563</v>
      </c>
      <c r="X238">
        <v>1</v>
      </c>
      <c r="Y238" t="s">
        <v>1563</v>
      </c>
      <c r="Z238">
        <v>0</v>
      </c>
      <c r="AA238" t="s">
        <v>1563</v>
      </c>
      <c r="AB238" t="s">
        <v>1563</v>
      </c>
      <c r="AC238" t="s">
        <v>1563</v>
      </c>
      <c r="AD238" t="s">
        <v>1563</v>
      </c>
      <c r="AE238">
        <v>0</v>
      </c>
      <c r="AF238" t="s">
        <v>1563</v>
      </c>
      <c r="AG238" t="s">
        <v>1563</v>
      </c>
      <c r="AH238" t="s">
        <v>1563</v>
      </c>
    </row>
    <row r="239" spans="1:34" s="572" customFormat="1" x14ac:dyDescent="0.25">
      <c r="A239" t="s">
        <v>894</v>
      </c>
      <c r="B239" t="s">
        <v>895</v>
      </c>
      <c r="C239" t="s">
        <v>305</v>
      </c>
      <c r="D239" t="s">
        <v>306</v>
      </c>
      <c r="E239" t="s">
        <v>1563</v>
      </c>
      <c r="F239" t="s">
        <v>896</v>
      </c>
      <c r="G239" t="s">
        <v>275</v>
      </c>
      <c r="H239" s="736" t="s">
        <v>897</v>
      </c>
      <c r="I239" t="s">
        <v>309</v>
      </c>
      <c r="J239" t="s">
        <v>326</v>
      </c>
      <c r="K239">
        <v>1</v>
      </c>
      <c r="L239" s="736">
        <v>4</v>
      </c>
      <c r="M239" s="736" t="s">
        <v>33</v>
      </c>
      <c r="N239" s="736">
        <v>1</v>
      </c>
      <c r="O239" s="736">
        <v>4</v>
      </c>
      <c r="P239" s="736">
        <v>1</v>
      </c>
      <c r="Q239" s="736" t="s">
        <v>45</v>
      </c>
      <c r="R239" s="736">
        <v>4</v>
      </c>
      <c r="S239">
        <v>4</v>
      </c>
      <c r="T239">
        <v>4</v>
      </c>
      <c r="U239" t="s">
        <v>1563</v>
      </c>
      <c r="V239" t="s">
        <v>1563</v>
      </c>
      <c r="W239" t="s">
        <v>1563</v>
      </c>
      <c r="X239">
        <v>1</v>
      </c>
      <c r="Y239" t="s">
        <v>1563</v>
      </c>
      <c r="Z239">
        <v>4</v>
      </c>
      <c r="AA239">
        <v>4</v>
      </c>
      <c r="AB239" t="s">
        <v>1563</v>
      </c>
      <c r="AC239" t="s">
        <v>1563</v>
      </c>
      <c r="AD239" t="s">
        <v>1563</v>
      </c>
      <c r="AE239">
        <v>1</v>
      </c>
      <c r="AF239" t="s">
        <v>1521</v>
      </c>
      <c r="AG239" t="s">
        <v>1425</v>
      </c>
      <c r="AH239" t="s">
        <v>1563</v>
      </c>
    </row>
    <row r="240" spans="1:34" s="572" customFormat="1" x14ac:dyDescent="0.25">
      <c r="A240" t="s">
        <v>894</v>
      </c>
      <c r="B240" t="s">
        <v>895</v>
      </c>
      <c r="C240" t="s">
        <v>305</v>
      </c>
      <c r="D240" t="s">
        <v>306</v>
      </c>
      <c r="E240" t="s">
        <v>1563</v>
      </c>
      <c r="F240" t="s">
        <v>896</v>
      </c>
      <c r="G240" t="s">
        <v>275</v>
      </c>
      <c r="H240" s="736" t="s">
        <v>898</v>
      </c>
      <c r="I240" t="s">
        <v>309</v>
      </c>
      <c r="J240" t="s">
        <v>347</v>
      </c>
      <c r="K240">
        <v>1</v>
      </c>
      <c r="L240" s="736">
        <v>4</v>
      </c>
      <c r="M240" s="736" t="s">
        <v>33</v>
      </c>
      <c r="N240" s="736">
        <v>1</v>
      </c>
      <c r="O240" s="736">
        <v>4</v>
      </c>
      <c r="P240" s="736">
        <v>1</v>
      </c>
      <c r="Q240" s="736" t="s">
        <v>45</v>
      </c>
      <c r="R240" s="736">
        <v>4</v>
      </c>
      <c r="S240">
        <v>4</v>
      </c>
      <c r="T240">
        <v>4</v>
      </c>
      <c r="U240" t="s">
        <v>1563</v>
      </c>
      <c r="V240" t="s">
        <v>1563</v>
      </c>
      <c r="W240" t="s">
        <v>1563</v>
      </c>
      <c r="X240">
        <v>1</v>
      </c>
      <c r="Y240" t="s">
        <v>1563</v>
      </c>
      <c r="Z240">
        <v>4</v>
      </c>
      <c r="AA240">
        <v>4</v>
      </c>
      <c r="AB240" t="s">
        <v>1563</v>
      </c>
      <c r="AC240" t="s">
        <v>1563</v>
      </c>
      <c r="AD240" t="s">
        <v>1563</v>
      </c>
      <c r="AE240">
        <v>1</v>
      </c>
      <c r="AF240" t="s">
        <v>1521</v>
      </c>
      <c r="AG240" t="s">
        <v>1425</v>
      </c>
      <c r="AH240" t="s">
        <v>1563</v>
      </c>
    </row>
    <row r="241" spans="1:34" s="572" customFormat="1" x14ac:dyDescent="0.25">
      <c r="A241" t="s">
        <v>1563</v>
      </c>
      <c r="B241" t="s">
        <v>1563</v>
      </c>
      <c r="C241" t="s">
        <v>305</v>
      </c>
      <c r="D241" t="s">
        <v>382</v>
      </c>
      <c r="E241" t="s">
        <v>1563</v>
      </c>
      <c r="F241" t="s">
        <v>899</v>
      </c>
      <c r="G241" t="s">
        <v>1563</v>
      </c>
      <c r="H241" s="736" t="s">
        <v>900</v>
      </c>
      <c r="I241" t="s">
        <v>309</v>
      </c>
      <c r="J241" t="s">
        <v>326</v>
      </c>
      <c r="K241">
        <v>1</v>
      </c>
      <c r="L241" s="736">
        <v>2</v>
      </c>
      <c r="M241" s="736" t="s">
        <v>33</v>
      </c>
      <c r="N241" s="736">
        <v>1</v>
      </c>
      <c r="O241" s="736">
        <v>2</v>
      </c>
      <c r="P241" s="736">
        <v>1</v>
      </c>
      <c r="Q241" s="736" t="s">
        <v>45</v>
      </c>
      <c r="R241" s="736">
        <v>2</v>
      </c>
      <c r="S241">
        <v>2</v>
      </c>
      <c r="T241">
        <v>2</v>
      </c>
      <c r="U241" t="s">
        <v>1563</v>
      </c>
      <c r="V241" t="s">
        <v>1563</v>
      </c>
      <c r="W241" t="s">
        <v>1563</v>
      </c>
      <c r="X241">
        <v>1</v>
      </c>
      <c r="Y241" t="s">
        <v>1563</v>
      </c>
      <c r="Z241">
        <v>2</v>
      </c>
      <c r="AA241">
        <v>2</v>
      </c>
      <c r="AB241" t="s">
        <v>1563</v>
      </c>
      <c r="AC241" t="s">
        <v>1563</v>
      </c>
      <c r="AD241" t="s">
        <v>1563</v>
      </c>
      <c r="AE241">
        <v>1</v>
      </c>
      <c r="AF241" t="s">
        <v>1521</v>
      </c>
      <c r="AG241" t="s">
        <v>1563</v>
      </c>
      <c r="AH241" t="s">
        <v>1563</v>
      </c>
    </row>
    <row r="242" spans="1:34" s="572" customFormat="1" x14ac:dyDescent="0.25">
      <c r="A242" t="s">
        <v>1563</v>
      </c>
      <c r="B242" t="s">
        <v>1563</v>
      </c>
      <c r="C242" t="s">
        <v>305</v>
      </c>
      <c r="D242" t="s">
        <v>382</v>
      </c>
      <c r="E242" t="s">
        <v>1563</v>
      </c>
      <c r="F242" t="s">
        <v>899</v>
      </c>
      <c r="G242" t="s">
        <v>1563</v>
      </c>
      <c r="H242" s="736" t="s">
        <v>901</v>
      </c>
      <c r="I242" t="s">
        <v>309</v>
      </c>
      <c r="J242" t="s">
        <v>326</v>
      </c>
      <c r="K242">
        <v>3</v>
      </c>
      <c r="L242" s="736">
        <v>2</v>
      </c>
      <c r="M242" s="736" t="s">
        <v>33</v>
      </c>
      <c r="N242" s="736">
        <v>1</v>
      </c>
      <c r="O242" s="736">
        <v>2</v>
      </c>
      <c r="P242" s="736">
        <v>1</v>
      </c>
      <c r="Q242" s="736" t="s">
        <v>45</v>
      </c>
      <c r="R242" s="736">
        <v>2</v>
      </c>
      <c r="S242">
        <v>2</v>
      </c>
      <c r="T242">
        <v>2</v>
      </c>
      <c r="U242" t="s">
        <v>1563</v>
      </c>
      <c r="V242" t="s">
        <v>1563</v>
      </c>
      <c r="W242" t="s">
        <v>1563</v>
      </c>
      <c r="X242">
        <v>1</v>
      </c>
      <c r="Y242" t="s">
        <v>1563</v>
      </c>
      <c r="Z242">
        <v>2</v>
      </c>
      <c r="AA242">
        <v>2</v>
      </c>
      <c r="AB242" t="s">
        <v>1563</v>
      </c>
      <c r="AC242" t="s">
        <v>1563</v>
      </c>
      <c r="AD242" t="s">
        <v>1563</v>
      </c>
      <c r="AE242">
        <v>1</v>
      </c>
      <c r="AF242" t="s">
        <v>1521</v>
      </c>
      <c r="AG242" t="s">
        <v>1563</v>
      </c>
      <c r="AH242" t="s">
        <v>902</v>
      </c>
    </row>
    <row r="243" spans="1:34" s="540" customFormat="1" x14ac:dyDescent="0.25">
      <c r="A243" t="s">
        <v>1563</v>
      </c>
      <c r="B243" t="s">
        <v>1563</v>
      </c>
      <c r="C243" t="s">
        <v>305</v>
      </c>
      <c r="D243" t="s">
        <v>382</v>
      </c>
      <c r="E243" t="s">
        <v>1563</v>
      </c>
      <c r="F243" t="s">
        <v>899</v>
      </c>
      <c r="G243" t="s">
        <v>1563</v>
      </c>
      <c r="H243" s="736" t="s">
        <v>903</v>
      </c>
      <c r="I243" t="s">
        <v>309</v>
      </c>
      <c r="J243" t="s">
        <v>347</v>
      </c>
      <c r="K243">
        <v>1</v>
      </c>
      <c r="L243" s="736">
        <v>4</v>
      </c>
      <c r="M243" s="736" t="s">
        <v>33</v>
      </c>
      <c r="N243" s="736">
        <v>1</v>
      </c>
      <c r="O243" s="736">
        <v>4</v>
      </c>
      <c r="P243" s="736">
        <v>1</v>
      </c>
      <c r="Q243" s="736" t="s">
        <v>45</v>
      </c>
      <c r="R243" s="736">
        <v>4</v>
      </c>
      <c r="S243">
        <v>4</v>
      </c>
      <c r="T243">
        <v>4</v>
      </c>
      <c r="U243" t="s">
        <v>1563</v>
      </c>
      <c r="V243" t="s">
        <v>1563</v>
      </c>
      <c r="W243" t="s">
        <v>1563</v>
      </c>
      <c r="X243">
        <v>1</v>
      </c>
      <c r="Y243" t="s">
        <v>1563</v>
      </c>
      <c r="Z243">
        <v>3</v>
      </c>
      <c r="AA243">
        <v>3</v>
      </c>
      <c r="AB243" t="s">
        <v>1563</v>
      </c>
      <c r="AC243" t="s">
        <v>1563</v>
      </c>
      <c r="AD243" t="s">
        <v>1563</v>
      </c>
      <c r="AE243">
        <v>1</v>
      </c>
      <c r="AF243" t="s">
        <v>1521</v>
      </c>
      <c r="AG243" t="s">
        <v>1563</v>
      </c>
      <c r="AH243" t="s">
        <v>1563</v>
      </c>
    </row>
    <row r="244" spans="1:34" s="540" customFormat="1" x14ac:dyDescent="0.25">
      <c r="A244" t="s">
        <v>904</v>
      </c>
      <c r="B244" t="s">
        <v>905</v>
      </c>
      <c r="C244" t="s">
        <v>354</v>
      </c>
      <c r="D244" t="s">
        <v>306</v>
      </c>
      <c r="E244" t="s">
        <v>1563</v>
      </c>
      <c r="F244" t="s">
        <v>906</v>
      </c>
      <c r="G244" t="s">
        <v>275</v>
      </c>
      <c r="H244" s="736" t="s">
        <v>1610</v>
      </c>
      <c r="I244" t="s">
        <v>309</v>
      </c>
      <c r="J244" t="s">
        <v>326</v>
      </c>
      <c r="K244">
        <v>1</v>
      </c>
      <c r="L244" s="736">
        <v>16</v>
      </c>
      <c r="M244" s="736" t="s">
        <v>33</v>
      </c>
      <c r="N244" s="736">
        <v>1</v>
      </c>
      <c r="O244" s="736">
        <v>16</v>
      </c>
      <c r="P244" s="736">
        <v>1</v>
      </c>
      <c r="Q244" s="736" t="s">
        <v>45</v>
      </c>
      <c r="R244" s="736">
        <v>16</v>
      </c>
      <c r="S244">
        <v>16</v>
      </c>
      <c r="T244">
        <v>16</v>
      </c>
      <c r="U244" t="s">
        <v>1563</v>
      </c>
      <c r="V244" t="s">
        <v>1563</v>
      </c>
      <c r="W244" t="s">
        <v>1563</v>
      </c>
      <c r="X244">
        <v>1</v>
      </c>
      <c r="Y244" t="s">
        <v>1563</v>
      </c>
      <c r="Z244">
        <v>16</v>
      </c>
      <c r="AA244" t="s">
        <v>1563</v>
      </c>
      <c r="AB244" t="s">
        <v>1563</v>
      </c>
      <c r="AC244" t="s">
        <v>1563</v>
      </c>
      <c r="AD244">
        <v>16</v>
      </c>
      <c r="AE244">
        <v>0</v>
      </c>
      <c r="AF244" t="s">
        <v>1554</v>
      </c>
      <c r="AG244" t="s">
        <v>1425</v>
      </c>
      <c r="AH244" t="s">
        <v>907</v>
      </c>
    </row>
    <row r="245" spans="1:34" s="540" customFormat="1" x14ac:dyDescent="0.25">
      <c r="A245" t="s">
        <v>909</v>
      </c>
      <c r="B245" t="s">
        <v>910</v>
      </c>
      <c r="C245" t="s">
        <v>354</v>
      </c>
      <c r="D245" t="s">
        <v>306</v>
      </c>
      <c r="E245" t="s">
        <v>1563</v>
      </c>
      <c r="F245" t="s">
        <v>911</v>
      </c>
      <c r="G245" t="s">
        <v>1563</v>
      </c>
      <c r="H245" s="736" t="s">
        <v>912</v>
      </c>
      <c r="I245" t="s">
        <v>309</v>
      </c>
      <c r="J245" t="s">
        <v>326</v>
      </c>
      <c r="K245">
        <v>16</v>
      </c>
      <c r="L245" s="736">
        <v>9</v>
      </c>
      <c r="M245" s="736" t="s">
        <v>33</v>
      </c>
      <c r="N245" s="736">
        <v>1</v>
      </c>
      <c r="O245" s="736">
        <v>9</v>
      </c>
      <c r="P245" s="736">
        <v>1</v>
      </c>
      <c r="Q245" s="736" t="s">
        <v>1563</v>
      </c>
      <c r="R245" s="736">
        <v>9</v>
      </c>
      <c r="S245">
        <v>9</v>
      </c>
      <c r="T245">
        <v>9</v>
      </c>
      <c r="U245" t="s">
        <v>1563</v>
      </c>
      <c r="V245" t="s">
        <v>1563</v>
      </c>
      <c r="W245" t="s">
        <v>1563</v>
      </c>
      <c r="X245">
        <v>1</v>
      </c>
      <c r="Y245" t="s">
        <v>1563</v>
      </c>
      <c r="Z245">
        <v>10</v>
      </c>
      <c r="AA245" t="s">
        <v>1563</v>
      </c>
      <c r="AB245" t="s">
        <v>1563</v>
      </c>
      <c r="AC245" t="s">
        <v>1563</v>
      </c>
      <c r="AD245">
        <v>10</v>
      </c>
      <c r="AE245">
        <v>0</v>
      </c>
      <c r="AF245" t="s">
        <v>1548</v>
      </c>
      <c r="AG245" t="s">
        <v>1425</v>
      </c>
      <c r="AH245" t="s">
        <v>913</v>
      </c>
    </row>
    <row r="246" spans="1:34" s="540" customFormat="1" x14ac:dyDescent="0.25">
      <c r="A246" t="s">
        <v>914</v>
      </c>
      <c r="B246" t="s">
        <v>915</v>
      </c>
      <c r="C246" t="s">
        <v>305</v>
      </c>
      <c r="D246" t="s">
        <v>306</v>
      </c>
      <c r="E246" t="s">
        <v>1563</v>
      </c>
      <c r="F246" t="s">
        <v>916</v>
      </c>
      <c r="G246" t="s">
        <v>275</v>
      </c>
      <c r="H246" s="736" t="s">
        <v>917</v>
      </c>
      <c r="I246" t="s">
        <v>309</v>
      </c>
      <c r="J246" t="s">
        <v>326</v>
      </c>
      <c r="K246">
        <v>2</v>
      </c>
      <c r="L246" s="736">
        <v>1</v>
      </c>
      <c r="M246" s="736" t="s">
        <v>33</v>
      </c>
      <c r="N246" s="736">
        <v>1</v>
      </c>
      <c r="O246" s="736">
        <v>1</v>
      </c>
      <c r="P246" s="736">
        <v>1</v>
      </c>
      <c r="Q246" s="736" t="s">
        <v>1563</v>
      </c>
      <c r="R246" s="736">
        <v>1</v>
      </c>
      <c r="S246">
        <v>1</v>
      </c>
      <c r="T246">
        <v>1</v>
      </c>
      <c r="U246" t="s">
        <v>1563</v>
      </c>
      <c r="V246" t="s">
        <v>1563</v>
      </c>
      <c r="W246" t="s">
        <v>1563</v>
      </c>
      <c r="X246" t="s">
        <v>1563</v>
      </c>
      <c r="Y246" t="s">
        <v>1563</v>
      </c>
      <c r="Z246">
        <v>1</v>
      </c>
      <c r="AA246">
        <v>1</v>
      </c>
      <c r="AB246" t="s">
        <v>1563</v>
      </c>
      <c r="AC246" t="s">
        <v>1563</v>
      </c>
      <c r="AD246" t="s">
        <v>1563</v>
      </c>
      <c r="AE246">
        <v>1</v>
      </c>
      <c r="AF246" t="s">
        <v>1563</v>
      </c>
      <c r="AG246" t="s">
        <v>1425</v>
      </c>
      <c r="AH246" t="s">
        <v>1563</v>
      </c>
    </row>
    <row r="247" spans="1:34" s="572" customFormat="1" x14ac:dyDescent="0.25">
      <c r="A247" t="s">
        <v>918</v>
      </c>
      <c r="B247" t="s">
        <v>919</v>
      </c>
      <c r="C247" t="s">
        <v>1563</v>
      </c>
      <c r="D247" t="s">
        <v>306</v>
      </c>
      <c r="E247" t="s">
        <v>1563</v>
      </c>
      <c r="F247" t="s">
        <v>920</v>
      </c>
      <c r="G247" t="s">
        <v>254</v>
      </c>
      <c r="H247" s="736" t="s">
        <v>921</v>
      </c>
      <c r="I247" t="s">
        <v>309</v>
      </c>
      <c r="J247" t="s">
        <v>1563</v>
      </c>
      <c r="K247">
        <v>1</v>
      </c>
      <c r="L247" s="736">
        <v>1</v>
      </c>
      <c r="M247" s="736" t="s">
        <v>38</v>
      </c>
      <c r="N247" s="736">
        <v>1</v>
      </c>
      <c r="O247" s="736">
        <v>1</v>
      </c>
      <c r="P247" s="736">
        <v>1</v>
      </c>
      <c r="Q247" s="736" t="s">
        <v>46</v>
      </c>
      <c r="R247" s="736">
        <v>1</v>
      </c>
      <c r="S247">
        <v>1</v>
      </c>
      <c r="T247">
        <v>1</v>
      </c>
      <c r="U247" t="s">
        <v>1563</v>
      </c>
      <c r="V247" t="s">
        <v>1563</v>
      </c>
      <c r="W247" t="s">
        <v>1563</v>
      </c>
      <c r="X247">
        <v>1</v>
      </c>
      <c r="Y247" t="s">
        <v>1563</v>
      </c>
      <c r="Z247">
        <v>1</v>
      </c>
      <c r="AA247">
        <v>1</v>
      </c>
      <c r="AB247" t="s">
        <v>1563</v>
      </c>
      <c r="AC247" t="s">
        <v>1563</v>
      </c>
      <c r="AD247" t="s">
        <v>1563</v>
      </c>
      <c r="AE247">
        <v>1</v>
      </c>
      <c r="AF247" t="s">
        <v>1521</v>
      </c>
      <c r="AG247" t="s">
        <v>1423</v>
      </c>
      <c r="AH247" t="s">
        <v>1563</v>
      </c>
    </row>
    <row r="248" spans="1:34" s="572" customFormat="1" x14ac:dyDescent="0.25">
      <c r="A248" t="s">
        <v>922</v>
      </c>
      <c r="B248" t="s">
        <v>923</v>
      </c>
      <c r="C248" t="s">
        <v>361</v>
      </c>
      <c r="D248" t="s">
        <v>382</v>
      </c>
      <c r="E248" t="s">
        <v>1563</v>
      </c>
      <c r="F248" t="s">
        <v>924</v>
      </c>
      <c r="G248" t="s">
        <v>254</v>
      </c>
      <c r="H248" s="736" t="s">
        <v>925</v>
      </c>
      <c r="I248" t="s">
        <v>309</v>
      </c>
      <c r="J248" t="s">
        <v>326</v>
      </c>
      <c r="K248">
        <v>2</v>
      </c>
      <c r="L248" s="736">
        <v>1</v>
      </c>
      <c r="M248" s="736" t="s">
        <v>33</v>
      </c>
      <c r="N248" s="736">
        <v>1</v>
      </c>
      <c r="O248" s="736">
        <v>1</v>
      </c>
      <c r="P248" s="736">
        <v>1</v>
      </c>
      <c r="Q248" s="736" t="s">
        <v>45</v>
      </c>
      <c r="R248" s="736">
        <v>1</v>
      </c>
      <c r="S248">
        <v>1</v>
      </c>
      <c r="T248">
        <v>1</v>
      </c>
      <c r="U248" t="s">
        <v>1563</v>
      </c>
      <c r="V248" t="s">
        <v>1563</v>
      </c>
      <c r="W248" t="s">
        <v>1563</v>
      </c>
      <c r="X248">
        <v>1</v>
      </c>
      <c r="Y248" t="s">
        <v>1563</v>
      </c>
      <c r="Z248">
        <v>0</v>
      </c>
      <c r="AA248" t="s">
        <v>1563</v>
      </c>
      <c r="AB248" t="s">
        <v>1563</v>
      </c>
      <c r="AC248" t="s">
        <v>1563</v>
      </c>
      <c r="AD248" t="s">
        <v>1563</v>
      </c>
      <c r="AE248">
        <v>0</v>
      </c>
      <c r="AF248" t="s">
        <v>1563</v>
      </c>
      <c r="AG248" t="s">
        <v>1563</v>
      </c>
      <c r="AH248" t="s">
        <v>926</v>
      </c>
    </row>
    <row r="249" spans="1:34" s="572" customFormat="1" x14ac:dyDescent="0.25">
      <c r="A249" t="s">
        <v>927</v>
      </c>
      <c r="B249" t="s">
        <v>928</v>
      </c>
      <c r="C249" t="s">
        <v>305</v>
      </c>
      <c r="D249" t="s">
        <v>306</v>
      </c>
      <c r="E249" t="s">
        <v>1563</v>
      </c>
      <c r="F249" t="s">
        <v>929</v>
      </c>
      <c r="G249" t="s">
        <v>254</v>
      </c>
      <c r="H249" s="736" t="s">
        <v>930</v>
      </c>
      <c r="I249" t="s">
        <v>309</v>
      </c>
      <c r="J249" t="s">
        <v>326</v>
      </c>
      <c r="K249">
        <v>6</v>
      </c>
      <c r="L249" s="736">
        <v>4</v>
      </c>
      <c r="M249" s="736" t="s">
        <v>33</v>
      </c>
      <c r="N249" s="736">
        <v>1</v>
      </c>
      <c r="O249" s="736">
        <v>4</v>
      </c>
      <c r="P249" s="736">
        <v>1</v>
      </c>
      <c r="Q249" s="736" t="s">
        <v>1563</v>
      </c>
      <c r="R249" s="736">
        <v>4</v>
      </c>
      <c r="S249">
        <v>4</v>
      </c>
      <c r="T249">
        <v>4</v>
      </c>
      <c r="U249" t="s">
        <v>1563</v>
      </c>
      <c r="V249" t="s">
        <v>1563</v>
      </c>
      <c r="W249" t="s">
        <v>1563</v>
      </c>
      <c r="X249">
        <v>1</v>
      </c>
      <c r="Y249" t="s">
        <v>1563</v>
      </c>
      <c r="Z249">
        <v>4</v>
      </c>
      <c r="AA249" t="s">
        <v>1563</v>
      </c>
      <c r="AB249" t="s">
        <v>1563</v>
      </c>
      <c r="AC249" t="s">
        <v>1563</v>
      </c>
      <c r="AD249">
        <v>4</v>
      </c>
      <c r="AE249">
        <v>0</v>
      </c>
      <c r="AF249" t="s">
        <v>1549</v>
      </c>
      <c r="AG249" t="s">
        <v>1425</v>
      </c>
      <c r="AH249" t="s">
        <v>931</v>
      </c>
    </row>
    <row r="250" spans="1:34" s="572" customFormat="1" x14ac:dyDescent="0.25">
      <c r="A250" t="s">
        <v>927</v>
      </c>
      <c r="B250" t="s">
        <v>928</v>
      </c>
      <c r="C250" t="s">
        <v>305</v>
      </c>
      <c r="D250" t="s">
        <v>306</v>
      </c>
      <c r="E250" t="s">
        <v>1563</v>
      </c>
      <c r="F250" t="s">
        <v>929</v>
      </c>
      <c r="G250" t="s">
        <v>254</v>
      </c>
      <c r="H250" s="736" t="s">
        <v>1611</v>
      </c>
      <c r="I250" t="s">
        <v>309</v>
      </c>
      <c r="J250" t="s">
        <v>932</v>
      </c>
      <c r="K250">
        <v>6</v>
      </c>
      <c r="L250" s="736">
        <v>2</v>
      </c>
      <c r="M250" s="736" t="s">
        <v>33</v>
      </c>
      <c r="N250" s="736">
        <v>1</v>
      </c>
      <c r="O250" s="736">
        <v>2</v>
      </c>
      <c r="P250" s="736">
        <v>1</v>
      </c>
      <c r="Q250" s="736" t="s">
        <v>1563</v>
      </c>
      <c r="R250" s="736">
        <v>2</v>
      </c>
      <c r="S250">
        <v>2</v>
      </c>
      <c r="T250">
        <v>2</v>
      </c>
      <c r="U250" t="s">
        <v>1563</v>
      </c>
      <c r="V250" t="s">
        <v>1563</v>
      </c>
      <c r="W250" t="s">
        <v>1563</v>
      </c>
      <c r="X250">
        <v>1</v>
      </c>
      <c r="Y250" t="s">
        <v>1563</v>
      </c>
      <c r="Z250">
        <v>2</v>
      </c>
      <c r="AA250" t="s">
        <v>1563</v>
      </c>
      <c r="AB250" t="s">
        <v>1563</v>
      </c>
      <c r="AC250" t="s">
        <v>1563</v>
      </c>
      <c r="AD250">
        <v>2</v>
      </c>
      <c r="AE250">
        <v>0</v>
      </c>
      <c r="AF250" t="s">
        <v>1538</v>
      </c>
      <c r="AG250" t="s">
        <v>1425</v>
      </c>
      <c r="AH250" t="s">
        <v>931</v>
      </c>
    </row>
    <row r="251" spans="1:34" s="572" customFormat="1" x14ac:dyDescent="0.25">
      <c r="A251" t="s">
        <v>939</v>
      </c>
      <c r="B251" t="s">
        <v>940</v>
      </c>
      <c r="C251" t="s">
        <v>305</v>
      </c>
      <c r="D251" t="s">
        <v>382</v>
      </c>
      <c r="E251" t="s">
        <v>1563</v>
      </c>
      <c r="F251" t="s">
        <v>941</v>
      </c>
      <c r="G251" t="s">
        <v>275</v>
      </c>
      <c r="H251" s="736" t="s">
        <v>942</v>
      </c>
      <c r="I251" t="s">
        <v>309</v>
      </c>
      <c r="J251" t="s">
        <v>326</v>
      </c>
      <c r="K251">
        <v>5</v>
      </c>
      <c r="L251" s="736">
        <v>4</v>
      </c>
      <c r="M251" s="736" t="s">
        <v>33</v>
      </c>
      <c r="N251" s="736">
        <v>1</v>
      </c>
      <c r="O251" s="736">
        <v>4</v>
      </c>
      <c r="P251" s="736">
        <v>1</v>
      </c>
      <c r="Q251" s="736" t="s">
        <v>1563</v>
      </c>
      <c r="R251" s="736">
        <v>4</v>
      </c>
      <c r="S251">
        <v>4</v>
      </c>
      <c r="T251">
        <v>4</v>
      </c>
      <c r="U251" t="s">
        <v>1563</v>
      </c>
      <c r="V251" t="s">
        <v>1563</v>
      </c>
      <c r="W251" t="s">
        <v>1563</v>
      </c>
      <c r="X251">
        <v>1</v>
      </c>
      <c r="Y251" t="s">
        <v>1563</v>
      </c>
      <c r="Z251">
        <v>4</v>
      </c>
      <c r="AA251" t="s">
        <v>1563</v>
      </c>
      <c r="AB251" t="s">
        <v>1563</v>
      </c>
      <c r="AC251" t="s">
        <v>1563</v>
      </c>
      <c r="AD251">
        <v>4</v>
      </c>
      <c r="AE251">
        <v>0</v>
      </c>
      <c r="AF251" t="s">
        <v>1549</v>
      </c>
      <c r="AG251" t="s">
        <v>1425</v>
      </c>
      <c r="AH251" t="s">
        <v>931</v>
      </c>
    </row>
    <row r="252" spans="1:34" s="572" customFormat="1" x14ac:dyDescent="0.25">
      <c r="A252" t="s">
        <v>939</v>
      </c>
      <c r="B252" t="s">
        <v>940</v>
      </c>
      <c r="C252" t="s">
        <v>305</v>
      </c>
      <c r="D252" t="s">
        <v>382</v>
      </c>
      <c r="E252" t="s">
        <v>1563</v>
      </c>
      <c r="F252" t="s">
        <v>941</v>
      </c>
      <c r="G252" t="s">
        <v>275</v>
      </c>
      <c r="H252" s="736" t="s">
        <v>1612</v>
      </c>
      <c r="I252" t="s">
        <v>309</v>
      </c>
      <c r="J252" t="s">
        <v>932</v>
      </c>
      <c r="K252">
        <v>5</v>
      </c>
      <c r="L252" s="736">
        <v>2</v>
      </c>
      <c r="M252" s="736" t="s">
        <v>33</v>
      </c>
      <c r="N252" s="736">
        <v>1</v>
      </c>
      <c r="O252" s="736">
        <v>2</v>
      </c>
      <c r="P252" s="736">
        <v>1</v>
      </c>
      <c r="Q252" s="736" t="s">
        <v>1563</v>
      </c>
      <c r="R252" s="736">
        <v>2</v>
      </c>
      <c r="S252">
        <v>2</v>
      </c>
      <c r="T252">
        <v>2</v>
      </c>
      <c r="U252" t="s">
        <v>1563</v>
      </c>
      <c r="V252" t="s">
        <v>1563</v>
      </c>
      <c r="W252" t="s">
        <v>1563</v>
      </c>
      <c r="X252">
        <v>1</v>
      </c>
      <c r="Y252" t="s">
        <v>1563</v>
      </c>
      <c r="Z252">
        <v>2</v>
      </c>
      <c r="AA252" t="s">
        <v>1563</v>
      </c>
      <c r="AB252" t="s">
        <v>1563</v>
      </c>
      <c r="AC252" t="s">
        <v>1563</v>
      </c>
      <c r="AD252">
        <v>2</v>
      </c>
      <c r="AE252">
        <v>0</v>
      </c>
      <c r="AF252" t="s">
        <v>1549</v>
      </c>
      <c r="AG252" t="s">
        <v>1425</v>
      </c>
      <c r="AH252" t="s">
        <v>931</v>
      </c>
    </row>
    <row r="253" spans="1:34" s="540" customFormat="1" x14ac:dyDescent="0.25">
      <c r="A253" t="s">
        <v>946</v>
      </c>
      <c r="B253" t="s">
        <v>947</v>
      </c>
      <c r="C253" t="s">
        <v>395</v>
      </c>
      <c r="D253" t="s">
        <v>306</v>
      </c>
      <c r="E253" t="s">
        <v>1563</v>
      </c>
      <c r="F253" t="s">
        <v>948</v>
      </c>
      <c r="G253" t="s">
        <v>275</v>
      </c>
      <c r="H253" s="736" t="s">
        <v>949</v>
      </c>
      <c r="I253" t="s">
        <v>309</v>
      </c>
      <c r="J253" t="s">
        <v>950</v>
      </c>
      <c r="K253">
        <v>9</v>
      </c>
      <c r="L253" s="736">
        <v>1</v>
      </c>
      <c r="M253" s="736" t="s">
        <v>33</v>
      </c>
      <c r="N253" s="736">
        <v>1</v>
      </c>
      <c r="O253" s="736">
        <v>1</v>
      </c>
      <c r="P253" s="736">
        <v>1</v>
      </c>
      <c r="Q253" s="736" t="s">
        <v>1563</v>
      </c>
      <c r="R253" s="736">
        <v>1</v>
      </c>
      <c r="S253">
        <v>1</v>
      </c>
      <c r="T253">
        <v>1</v>
      </c>
      <c r="U253" t="s">
        <v>1563</v>
      </c>
      <c r="V253" t="s">
        <v>1563</v>
      </c>
      <c r="W253" t="s">
        <v>1563</v>
      </c>
      <c r="X253">
        <v>1</v>
      </c>
      <c r="Y253" t="s">
        <v>1563</v>
      </c>
      <c r="Z253">
        <v>1</v>
      </c>
      <c r="AA253" t="s">
        <v>1563</v>
      </c>
      <c r="AB253" t="s">
        <v>1563</v>
      </c>
      <c r="AC253">
        <v>1</v>
      </c>
      <c r="AD253" t="s">
        <v>1563</v>
      </c>
      <c r="AE253">
        <v>0</v>
      </c>
      <c r="AF253" t="s">
        <v>1550</v>
      </c>
      <c r="AG253" t="s">
        <v>1425</v>
      </c>
      <c r="AH253" t="s">
        <v>951</v>
      </c>
    </row>
    <row r="254" spans="1:34" s="540" customFormat="1" x14ac:dyDescent="0.25">
      <c r="A254" t="s">
        <v>946</v>
      </c>
      <c r="B254" t="s">
        <v>947</v>
      </c>
      <c r="C254" t="s">
        <v>395</v>
      </c>
      <c r="D254" t="s">
        <v>306</v>
      </c>
      <c r="E254" t="s">
        <v>1563</v>
      </c>
      <c r="F254" t="s">
        <v>948</v>
      </c>
      <c r="G254" t="s">
        <v>275</v>
      </c>
      <c r="H254" s="736" t="s">
        <v>952</v>
      </c>
      <c r="I254" t="s">
        <v>309</v>
      </c>
      <c r="J254" t="s">
        <v>953</v>
      </c>
      <c r="K254">
        <v>9</v>
      </c>
      <c r="L254" s="736">
        <v>1</v>
      </c>
      <c r="M254" s="736" t="s">
        <v>33</v>
      </c>
      <c r="N254" s="736">
        <v>1</v>
      </c>
      <c r="O254" s="736">
        <v>1</v>
      </c>
      <c r="P254" s="736">
        <v>1</v>
      </c>
      <c r="Q254" s="736" t="s">
        <v>1563</v>
      </c>
      <c r="R254" s="736">
        <v>1</v>
      </c>
      <c r="S254">
        <v>1</v>
      </c>
      <c r="T254">
        <v>1</v>
      </c>
      <c r="U254" t="s">
        <v>1563</v>
      </c>
      <c r="V254" t="s">
        <v>1563</v>
      </c>
      <c r="W254" t="s">
        <v>1563</v>
      </c>
      <c r="X254">
        <v>1</v>
      </c>
      <c r="Y254" t="s">
        <v>1563</v>
      </c>
      <c r="Z254">
        <v>1</v>
      </c>
      <c r="AA254" t="s">
        <v>1563</v>
      </c>
      <c r="AB254" t="s">
        <v>1563</v>
      </c>
      <c r="AC254">
        <v>1</v>
      </c>
      <c r="AD254" t="s">
        <v>1563</v>
      </c>
      <c r="AE254">
        <v>0</v>
      </c>
      <c r="AF254" t="s">
        <v>1551</v>
      </c>
      <c r="AG254" t="s">
        <v>1425</v>
      </c>
      <c r="AH254" t="s">
        <v>951</v>
      </c>
    </row>
    <row r="255" spans="1:34" s="540" customFormat="1" x14ac:dyDescent="0.25">
      <c r="A255" t="s">
        <v>946</v>
      </c>
      <c r="B255" t="s">
        <v>947</v>
      </c>
      <c r="C255" t="s">
        <v>395</v>
      </c>
      <c r="D255" t="s">
        <v>306</v>
      </c>
      <c r="E255" t="s">
        <v>1563</v>
      </c>
      <c r="F255" t="s">
        <v>948</v>
      </c>
      <c r="G255" t="s">
        <v>275</v>
      </c>
      <c r="H255" s="736" t="s">
        <v>954</v>
      </c>
      <c r="I255" t="s">
        <v>309</v>
      </c>
      <c r="J255" t="s">
        <v>955</v>
      </c>
      <c r="K255">
        <v>9</v>
      </c>
      <c r="L255" s="736">
        <v>1</v>
      </c>
      <c r="M255" s="736" t="s">
        <v>33</v>
      </c>
      <c r="N255" s="736">
        <v>1</v>
      </c>
      <c r="O255" s="736">
        <v>1</v>
      </c>
      <c r="P255" s="736">
        <v>1</v>
      </c>
      <c r="Q255" s="736" t="s">
        <v>1563</v>
      </c>
      <c r="R255" s="736">
        <v>1</v>
      </c>
      <c r="S255">
        <v>1</v>
      </c>
      <c r="T255">
        <v>1</v>
      </c>
      <c r="U255" t="s">
        <v>1563</v>
      </c>
      <c r="V255" t="s">
        <v>1563</v>
      </c>
      <c r="W255" t="s">
        <v>1563</v>
      </c>
      <c r="X255">
        <v>1</v>
      </c>
      <c r="Y255" t="s">
        <v>1563</v>
      </c>
      <c r="Z255">
        <v>1</v>
      </c>
      <c r="AA255" t="s">
        <v>1563</v>
      </c>
      <c r="AB255" t="s">
        <v>1563</v>
      </c>
      <c r="AC255">
        <v>1</v>
      </c>
      <c r="AD255" t="s">
        <v>1563</v>
      </c>
      <c r="AE255">
        <v>0</v>
      </c>
      <c r="AF255" t="s">
        <v>1552</v>
      </c>
      <c r="AG255" t="s">
        <v>1425</v>
      </c>
      <c r="AH255" t="s">
        <v>951</v>
      </c>
    </row>
    <row r="256" spans="1:34" s="540" customFormat="1" x14ac:dyDescent="0.25">
      <c r="A256" t="s">
        <v>946</v>
      </c>
      <c r="B256" t="s">
        <v>947</v>
      </c>
      <c r="C256" t="s">
        <v>395</v>
      </c>
      <c r="D256" t="s">
        <v>306</v>
      </c>
      <c r="E256" t="s">
        <v>1563</v>
      </c>
      <c r="F256" t="s">
        <v>948</v>
      </c>
      <c r="G256" t="s">
        <v>275</v>
      </c>
      <c r="H256" s="736" t="s">
        <v>956</v>
      </c>
      <c r="I256" t="s">
        <v>309</v>
      </c>
      <c r="J256" t="s">
        <v>957</v>
      </c>
      <c r="K256">
        <v>9</v>
      </c>
      <c r="L256" s="736">
        <v>1</v>
      </c>
      <c r="M256" s="736" t="s">
        <v>33</v>
      </c>
      <c r="N256" s="736">
        <v>1</v>
      </c>
      <c r="O256" s="736">
        <v>1</v>
      </c>
      <c r="P256" s="736">
        <v>1</v>
      </c>
      <c r="Q256" s="736" t="s">
        <v>1563</v>
      </c>
      <c r="R256" s="736">
        <v>1</v>
      </c>
      <c r="S256">
        <v>1</v>
      </c>
      <c r="T256">
        <v>1</v>
      </c>
      <c r="U256" t="s">
        <v>1563</v>
      </c>
      <c r="V256" t="s">
        <v>1563</v>
      </c>
      <c r="W256" t="s">
        <v>1563</v>
      </c>
      <c r="X256">
        <v>1</v>
      </c>
      <c r="Y256" t="s">
        <v>1563</v>
      </c>
      <c r="Z256">
        <v>1</v>
      </c>
      <c r="AA256" t="s">
        <v>1563</v>
      </c>
      <c r="AB256" t="s">
        <v>1563</v>
      </c>
      <c r="AC256">
        <v>1</v>
      </c>
      <c r="AD256" t="s">
        <v>1563</v>
      </c>
      <c r="AE256">
        <v>0</v>
      </c>
      <c r="AF256" t="s">
        <v>1551</v>
      </c>
      <c r="AG256" t="s">
        <v>1425</v>
      </c>
      <c r="AH256" t="s">
        <v>951</v>
      </c>
    </row>
    <row r="257" spans="1:34" x14ac:dyDescent="0.25">
      <c r="A257" t="s">
        <v>958</v>
      </c>
      <c r="B257" t="s">
        <v>959</v>
      </c>
      <c r="C257" t="s">
        <v>395</v>
      </c>
      <c r="D257" t="s">
        <v>382</v>
      </c>
      <c r="E257" t="s">
        <v>1563</v>
      </c>
      <c r="F257" t="s">
        <v>960</v>
      </c>
      <c r="G257" t="s">
        <v>254</v>
      </c>
      <c r="H257" s="736" t="s">
        <v>961</v>
      </c>
      <c r="I257" t="s">
        <v>309</v>
      </c>
      <c r="J257" t="s">
        <v>950</v>
      </c>
      <c r="K257">
        <v>7</v>
      </c>
      <c r="L257" s="736">
        <v>1</v>
      </c>
      <c r="M257" s="736" t="s">
        <v>33</v>
      </c>
      <c r="N257" s="736">
        <v>1</v>
      </c>
      <c r="O257" s="736">
        <v>1</v>
      </c>
      <c r="P257" s="736">
        <v>1</v>
      </c>
      <c r="Q257" s="736" t="s">
        <v>1563</v>
      </c>
      <c r="R257" s="736">
        <v>1</v>
      </c>
      <c r="S257">
        <v>1</v>
      </c>
      <c r="T257">
        <v>1</v>
      </c>
      <c r="U257" t="s">
        <v>1563</v>
      </c>
      <c r="V257" t="s">
        <v>1563</v>
      </c>
      <c r="W257" t="s">
        <v>1563</v>
      </c>
      <c r="X257">
        <v>1</v>
      </c>
      <c r="Y257" t="s">
        <v>1563</v>
      </c>
      <c r="Z257">
        <v>1</v>
      </c>
      <c r="AA257" t="s">
        <v>1563</v>
      </c>
      <c r="AB257" t="s">
        <v>1563</v>
      </c>
      <c r="AC257">
        <v>1</v>
      </c>
      <c r="AD257" t="s">
        <v>1563</v>
      </c>
      <c r="AE257">
        <v>0</v>
      </c>
      <c r="AF257" t="s">
        <v>1550</v>
      </c>
      <c r="AG257" t="s">
        <v>1425</v>
      </c>
      <c r="AH257" t="s">
        <v>951</v>
      </c>
    </row>
    <row r="258" spans="1:34" x14ac:dyDescent="0.25">
      <c r="A258" t="s">
        <v>958</v>
      </c>
      <c r="B258" t="s">
        <v>959</v>
      </c>
      <c r="C258" t="s">
        <v>395</v>
      </c>
      <c r="D258" t="s">
        <v>382</v>
      </c>
      <c r="E258" t="s">
        <v>1563</v>
      </c>
      <c r="F258" t="s">
        <v>960</v>
      </c>
      <c r="G258" t="s">
        <v>254</v>
      </c>
      <c r="H258" s="736" t="s">
        <v>962</v>
      </c>
      <c r="I258" t="s">
        <v>309</v>
      </c>
      <c r="J258" t="s">
        <v>953</v>
      </c>
      <c r="K258">
        <v>7</v>
      </c>
      <c r="L258" s="736">
        <v>1</v>
      </c>
      <c r="M258" s="736" t="s">
        <v>33</v>
      </c>
      <c r="N258" s="736">
        <v>1</v>
      </c>
      <c r="O258" s="736">
        <v>1</v>
      </c>
      <c r="P258" s="736">
        <v>1</v>
      </c>
      <c r="Q258" s="736" t="s">
        <v>1563</v>
      </c>
      <c r="R258" s="736">
        <v>1</v>
      </c>
      <c r="S258">
        <v>1</v>
      </c>
      <c r="T258">
        <v>1</v>
      </c>
      <c r="U258" t="s">
        <v>1563</v>
      </c>
      <c r="V258" t="s">
        <v>1563</v>
      </c>
      <c r="W258" t="s">
        <v>1563</v>
      </c>
      <c r="X258">
        <v>1</v>
      </c>
      <c r="Y258" t="s">
        <v>1563</v>
      </c>
      <c r="Z258">
        <v>1</v>
      </c>
      <c r="AA258" t="s">
        <v>1563</v>
      </c>
      <c r="AB258" t="s">
        <v>1563</v>
      </c>
      <c r="AC258">
        <v>1</v>
      </c>
      <c r="AD258" t="s">
        <v>1563</v>
      </c>
      <c r="AE258">
        <v>0</v>
      </c>
      <c r="AF258" t="s">
        <v>1551</v>
      </c>
      <c r="AG258" t="s">
        <v>1425</v>
      </c>
      <c r="AH258" t="s">
        <v>951</v>
      </c>
    </row>
    <row r="259" spans="1:34" x14ac:dyDescent="0.25">
      <c r="A259" t="s">
        <v>958</v>
      </c>
      <c r="B259" t="s">
        <v>959</v>
      </c>
      <c r="C259" t="s">
        <v>395</v>
      </c>
      <c r="D259" t="s">
        <v>382</v>
      </c>
      <c r="E259" t="s">
        <v>1563</v>
      </c>
      <c r="F259" t="s">
        <v>960</v>
      </c>
      <c r="G259" t="s">
        <v>254</v>
      </c>
      <c r="H259" s="736" t="s">
        <v>963</v>
      </c>
      <c r="I259" t="s">
        <v>309</v>
      </c>
      <c r="J259" t="s">
        <v>955</v>
      </c>
      <c r="K259">
        <v>7</v>
      </c>
      <c r="L259" s="736">
        <v>1</v>
      </c>
      <c r="M259" s="736" t="s">
        <v>33</v>
      </c>
      <c r="N259" s="736">
        <v>1</v>
      </c>
      <c r="O259" s="736">
        <v>1</v>
      </c>
      <c r="P259" s="736">
        <v>1</v>
      </c>
      <c r="Q259" s="736" t="s">
        <v>1563</v>
      </c>
      <c r="R259" s="736">
        <v>1</v>
      </c>
      <c r="S259">
        <v>1</v>
      </c>
      <c r="T259">
        <v>1</v>
      </c>
      <c r="U259" t="s">
        <v>1563</v>
      </c>
      <c r="V259" t="s">
        <v>1563</v>
      </c>
      <c r="W259" t="s">
        <v>1563</v>
      </c>
      <c r="X259">
        <v>1</v>
      </c>
      <c r="Y259" t="s">
        <v>1563</v>
      </c>
      <c r="Z259">
        <v>1</v>
      </c>
      <c r="AA259" t="s">
        <v>1563</v>
      </c>
      <c r="AB259" t="s">
        <v>1563</v>
      </c>
      <c r="AC259">
        <v>1</v>
      </c>
      <c r="AD259" t="s">
        <v>1563</v>
      </c>
      <c r="AE259">
        <v>0</v>
      </c>
      <c r="AF259" t="s">
        <v>1552</v>
      </c>
      <c r="AG259" t="s">
        <v>1425</v>
      </c>
      <c r="AH259" t="s">
        <v>951</v>
      </c>
    </row>
    <row r="260" spans="1:34" x14ac:dyDescent="0.25">
      <c r="A260" t="s">
        <v>958</v>
      </c>
      <c r="B260" t="s">
        <v>959</v>
      </c>
      <c r="C260" t="s">
        <v>395</v>
      </c>
      <c r="D260" t="s">
        <v>382</v>
      </c>
      <c r="E260" t="s">
        <v>1563</v>
      </c>
      <c r="F260" t="s">
        <v>960</v>
      </c>
      <c r="G260" t="s">
        <v>254</v>
      </c>
      <c r="H260" s="736" t="s">
        <v>964</v>
      </c>
      <c r="I260" t="s">
        <v>309</v>
      </c>
      <c r="J260" t="s">
        <v>965</v>
      </c>
      <c r="K260">
        <v>7</v>
      </c>
      <c r="L260" s="736">
        <v>1</v>
      </c>
      <c r="M260" s="736" t="s">
        <v>33</v>
      </c>
      <c r="N260" s="736">
        <v>1</v>
      </c>
      <c r="O260" s="736">
        <v>1</v>
      </c>
      <c r="P260" s="736">
        <v>1</v>
      </c>
      <c r="Q260" s="736" t="s">
        <v>1563</v>
      </c>
      <c r="R260" s="736">
        <v>1</v>
      </c>
      <c r="S260">
        <v>1</v>
      </c>
      <c r="T260">
        <v>1</v>
      </c>
      <c r="U260" t="s">
        <v>1563</v>
      </c>
      <c r="V260" t="s">
        <v>1563</v>
      </c>
      <c r="W260" t="s">
        <v>1563</v>
      </c>
      <c r="X260">
        <v>1</v>
      </c>
      <c r="Y260" t="s">
        <v>1563</v>
      </c>
      <c r="Z260">
        <v>1</v>
      </c>
      <c r="AA260" t="s">
        <v>1563</v>
      </c>
      <c r="AB260" t="s">
        <v>1563</v>
      </c>
      <c r="AC260">
        <v>1</v>
      </c>
      <c r="AD260" t="s">
        <v>1563</v>
      </c>
      <c r="AE260">
        <v>0</v>
      </c>
      <c r="AF260" t="s">
        <v>1551</v>
      </c>
      <c r="AG260" t="s">
        <v>1425</v>
      </c>
      <c r="AH260" t="s">
        <v>951</v>
      </c>
    </row>
    <row r="261" spans="1:34" x14ac:dyDescent="0.25">
      <c r="A261" t="s">
        <v>968</v>
      </c>
      <c r="B261" t="s">
        <v>969</v>
      </c>
      <c r="C261" t="s">
        <v>361</v>
      </c>
      <c r="D261" t="s">
        <v>382</v>
      </c>
      <c r="E261" t="s">
        <v>1563</v>
      </c>
      <c r="F261" t="s">
        <v>1613</v>
      </c>
      <c r="G261" t="s">
        <v>254</v>
      </c>
      <c r="H261" s="736" t="s">
        <v>681</v>
      </c>
      <c r="I261" t="s">
        <v>309</v>
      </c>
      <c r="J261" t="s">
        <v>326</v>
      </c>
      <c r="K261">
        <v>4</v>
      </c>
      <c r="L261" s="736">
        <v>1</v>
      </c>
      <c r="M261" s="736" t="s">
        <v>33</v>
      </c>
      <c r="N261" s="736">
        <v>1</v>
      </c>
      <c r="O261" s="736">
        <v>1</v>
      </c>
      <c r="P261" s="736">
        <v>1</v>
      </c>
      <c r="Q261" s="736" t="s">
        <v>46</v>
      </c>
      <c r="R261" s="736">
        <v>1</v>
      </c>
      <c r="S261">
        <v>1</v>
      </c>
      <c r="T261">
        <v>1</v>
      </c>
      <c r="U261" t="s">
        <v>1563</v>
      </c>
      <c r="V261" t="s">
        <v>1563</v>
      </c>
      <c r="W261" t="s">
        <v>1563</v>
      </c>
      <c r="X261">
        <v>1</v>
      </c>
      <c r="Y261" t="s">
        <v>1563</v>
      </c>
      <c r="Z261">
        <v>1</v>
      </c>
      <c r="AA261">
        <v>1</v>
      </c>
      <c r="AB261" t="s">
        <v>1563</v>
      </c>
      <c r="AC261" t="s">
        <v>1563</v>
      </c>
      <c r="AD261" t="s">
        <v>1563</v>
      </c>
      <c r="AE261">
        <v>1</v>
      </c>
      <c r="AF261" t="s">
        <v>1521</v>
      </c>
      <c r="AG261" t="s">
        <v>1423</v>
      </c>
      <c r="AH261" t="s">
        <v>970</v>
      </c>
    </row>
    <row r="262" spans="1:34" x14ac:dyDescent="0.25">
      <c r="A262" t="s">
        <v>971</v>
      </c>
      <c r="B262" t="s">
        <v>972</v>
      </c>
      <c r="C262" t="s">
        <v>339</v>
      </c>
      <c r="D262" t="s">
        <v>306</v>
      </c>
      <c r="E262" t="s">
        <v>1563</v>
      </c>
      <c r="F262" t="s">
        <v>973</v>
      </c>
      <c r="G262" t="s">
        <v>1563</v>
      </c>
      <c r="H262" s="736" t="s">
        <v>974</v>
      </c>
      <c r="I262" t="s">
        <v>309</v>
      </c>
      <c r="J262" t="s">
        <v>326</v>
      </c>
      <c r="K262">
        <v>12</v>
      </c>
      <c r="L262" s="736">
        <v>1</v>
      </c>
      <c r="M262" s="736" t="s">
        <v>38</v>
      </c>
      <c r="N262" s="736">
        <v>1</v>
      </c>
      <c r="O262" s="736">
        <v>1</v>
      </c>
      <c r="P262" s="736">
        <v>1</v>
      </c>
      <c r="Q262" s="736" t="s">
        <v>1563</v>
      </c>
      <c r="R262" s="736">
        <v>1</v>
      </c>
      <c r="S262">
        <v>1</v>
      </c>
      <c r="T262">
        <v>1</v>
      </c>
      <c r="U262" t="s">
        <v>1563</v>
      </c>
      <c r="V262" t="s">
        <v>1563</v>
      </c>
      <c r="W262" t="s">
        <v>1563</v>
      </c>
      <c r="X262">
        <v>1</v>
      </c>
      <c r="Y262" t="s">
        <v>1563</v>
      </c>
      <c r="Z262">
        <v>1</v>
      </c>
      <c r="AA262" t="s">
        <v>1563</v>
      </c>
      <c r="AB262" t="s">
        <v>1563</v>
      </c>
      <c r="AC262" t="s">
        <v>1563</v>
      </c>
      <c r="AD262">
        <v>1</v>
      </c>
      <c r="AE262">
        <v>0</v>
      </c>
      <c r="AF262" t="s">
        <v>1520</v>
      </c>
      <c r="AG262" t="s">
        <v>1423</v>
      </c>
      <c r="AH262" t="s">
        <v>975</v>
      </c>
    </row>
    <row r="263" spans="1:34" x14ac:dyDescent="0.25">
      <c r="A263" t="s">
        <v>978</v>
      </c>
      <c r="B263" t="s">
        <v>979</v>
      </c>
      <c r="C263" t="s">
        <v>339</v>
      </c>
      <c r="D263" t="s">
        <v>382</v>
      </c>
      <c r="E263" t="s">
        <v>1563</v>
      </c>
      <c r="F263" t="s">
        <v>980</v>
      </c>
      <c r="G263" t="s">
        <v>275</v>
      </c>
      <c r="H263" s="736" t="s">
        <v>1614</v>
      </c>
      <c r="I263" t="s">
        <v>309</v>
      </c>
      <c r="J263" t="s">
        <v>831</v>
      </c>
      <c r="K263">
        <v>6</v>
      </c>
      <c r="L263" s="736">
        <v>2</v>
      </c>
      <c r="M263" s="736" t="s">
        <v>33</v>
      </c>
      <c r="N263" s="736">
        <v>1</v>
      </c>
      <c r="O263" s="736">
        <v>2</v>
      </c>
      <c r="P263" s="736">
        <v>1</v>
      </c>
      <c r="Q263" s="736" t="s">
        <v>1563</v>
      </c>
      <c r="R263" s="736">
        <v>2</v>
      </c>
      <c r="S263">
        <v>2</v>
      </c>
      <c r="T263">
        <v>2</v>
      </c>
      <c r="U263" t="s">
        <v>1563</v>
      </c>
      <c r="V263" t="s">
        <v>1563</v>
      </c>
      <c r="W263" t="s">
        <v>1563</v>
      </c>
      <c r="X263">
        <v>1</v>
      </c>
      <c r="Y263" t="s">
        <v>1563</v>
      </c>
      <c r="Z263">
        <v>2</v>
      </c>
      <c r="AA263" t="s">
        <v>1563</v>
      </c>
      <c r="AB263" t="s">
        <v>1563</v>
      </c>
      <c r="AC263" t="s">
        <v>1563</v>
      </c>
      <c r="AD263">
        <v>2</v>
      </c>
      <c r="AE263">
        <v>0</v>
      </c>
      <c r="AF263" t="s">
        <v>1553</v>
      </c>
      <c r="AG263" t="s">
        <v>1425</v>
      </c>
      <c r="AH263" t="s">
        <v>981</v>
      </c>
    </row>
    <row r="264" spans="1:34" x14ac:dyDescent="0.25">
      <c r="A264" t="s">
        <v>986</v>
      </c>
      <c r="B264" t="s">
        <v>987</v>
      </c>
      <c r="C264" t="s">
        <v>339</v>
      </c>
      <c r="D264" t="s">
        <v>306</v>
      </c>
      <c r="E264" t="s">
        <v>1563</v>
      </c>
      <c r="F264" t="s">
        <v>988</v>
      </c>
      <c r="G264" t="s">
        <v>254</v>
      </c>
      <c r="H264" s="736" t="s">
        <v>1615</v>
      </c>
      <c r="I264" t="s">
        <v>309</v>
      </c>
      <c r="J264" t="s">
        <v>342</v>
      </c>
      <c r="K264">
        <v>9</v>
      </c>
      <c r="L264" s="736">
        <v>2</v>
      </c>
      <c r="M264" s="736" t="s">
        <v>33</v>
      </c>
      <c r="N264" s="736">
        <v>1</v>
      </c>
      <c r="O264" s="736">
        <v>2</v>
      </c>
      <c r="P264" s="736">
        <v>1</v>
      </c>
      <c r="Q264" s="736" t="s">
        <v>1563</v>
      </c>
      <c r="R264" s="736">
        <v>2</v>
      </c>
      <c r="S264">
        <v>2</v>
      </c>
      <c r="T264">
        <v>2</v>
      </c>
      <c r="U264" t="s">
        <v>1563</v>
      </c>
      <c r="V264" t="s">
        <v>1563</v>
      </c>
      <c r="W264" t="s">
        <v>1563</v>
      </c>
      <c r="X264">
        <v>1</v>
      </c>
      <c r="Y264" t="s">
        <v>1563</v>
      </c>
      <c r="Z264">
        <v>2</v>
      </c>
      <c r="AA264" t="s">
        <v>1563</v>
      </c>
      <c r="AB264" t="s">
        <v>1563</v>
      </c>
      <c r="AC264" t="s">
        <v>1563</v>
      </c>
      <c r="AD264">
        <v>2</v>
      </c>
      <c r="AE264">
        <v>0</v>
      </c>
      <c r="AF264" t="s">
        <v>1520</v>
      </c>
      <c r="AG264" t="s">
        <v>1423</v>
      </c>
      <c r="AH264" t="s">
        <v>989</v>
      </c>
    </row>
    <row r="265" spans="1:34" x14ac:dyDescent="0.25">
      <c r="A265" t="s">
        <v>1563</v>
      </c>
      <c r="B265" t="s">
        <v>1563</v>
      </c>
      <c r="C265" t="s">
        <v>395</v>
      </c>
      <c r="D265" t="s">
        <v>306</v>
      </c>
      <c r="E265" t="s">
        <v>1563</v>
      </c>
      <c r="F265" t="s">
        <v>990</v>
      </c>
      <c r="G265" t="s">
        <v>1563</v>
      </c>
      <c r="H265" s="736" t="s">
        <v>1616</v>
      </c>
      <c r="I265" t="s">
        <v>309</v>
      </c>
      <c r="J265" t="s">
        <v>326</v>
      </c>
      <c r="K265">
        <v>2</v>
      </c>
      <c r="L265" s="736">
        <v>3</v>
      </c>
      <c r="M265" s="736" t="s">
        <v>33</v>
      </c>
      <c r="N265" s="736">
        <v>1</v>
      </c>
      <c r="O265" s="736">
        <v>3</v>
      </c>
      <c r="P265" s="736">
        <v>1</v>
      </c>
      <c r="Q265" s="736" t="s">
        <v>45</v>
      </c>
      <c r="R265" s="736">
        <v>3</v>
      </c>
      <c r="S265">
        <v>3</v>
      </c>
      <c r="T265">
        <v>3</v>
      </c>
      <c r="U265" t="s">
        <v>1563</v>
      </c>
      <c r="V265" t="s">
        <v>1563</v>
      </c>
      <c r="W265" t="s">
        <v>1563</v>
      </c>
      <c r="X265">
        <v>1</v>
      </c>
      <c r="Y265" t="s">
        <v>1563</v>
      </c>
      <c r="Z265">
        <v>3</v>
      </c>
      <c r="AA265" t="s">
        <v>1563</v>
      </c>
      <c r="AB265" t="s">
        <v>1563</v>
      </c>
      <c r="AC265" t="s">
        <v>1563</v>
      </c>
      <c r="AD265">
        <v>3</v>
      </c>
      <c r="AE265">
        <v>0</v>
      </c>
      <c r="AF265" t="s">
        <v>1531</v>
      </c>
      <c r="AG265" t="s">
        <v>1563</v>
      </c>
      <c r="AH265" t="s">
        <v>991</v>
      </c>
    </row>
    <row r="266" spans="1:34" x14ac:dyDescent="0.25">
      <c r="A266" t="s">
        <v>1563</v>
      </c>
      <c r="B266" t="s">
        <v>1563</v>
      </c>
      <c r="C266" t="s">
        <v>395</v>
      </c>
      <c r="D266" t="s">
        <v>306</v>
      </c>
      <c r="E266" t="s">
        <v>1563</v>
      </c>
      <c r="F266" t="s">
        <v>992</v>
      </c>
      <c r="G266" t="s">
        <v>1563</v>
      </c>
      <c r="H266" s="736" t="s">
        <v>993</v>
      </c>
      <c r="I266" t="s">
        <v>309</v>
      </c>
      <c r="J266" t="s">
        <v>326</v>
      </c>
      <c r="K266">
        <v>5</v>
      </c>
      <c r="L266" s="736">
        <v>1</v>
      </c>
      <c r="M266" s="736" t="s">
        <v>33</v>
      </c>
      <c r="N266" s="736">
        <v>1</v>
      </c>
      <c r="O266" s="736">
        <v>1</v>
      </c>
      <c r="P266" s="736">
        <v>1</v>
      </c>
      <c r="Q266" s="736" t="s">
        <v>45</v>
      </c>
      <c r="R266" s="736">
        <v>1</v>
      </c>
      <c r="S266">
        <v>1</v>
      </c>
      <c r="T266">
        <v>1</v>
      </c>
      <c r="U266" t="s">
        <v>1563</v>
      </c>
      <c r="V266" t="s">
        <v>1563</v>
      </c>
      <c r="W266" t="s">
        <v>1563</v>
      </c>
      <c r="X266">
        <v>1</v>
      </c>
      <c r="Y266" t="s">
        <v>1563</v>
      </c>
      <c r="Z266">
        <v>1</v>
      </c>
      <c r="AA266" t="s">
        <v>1563</v>
      </c>
      <c r="AB266" t="s">
        <v>1563</v>
      </c>
      <c r="AC266" t="s">
        <v>1563</v>
      </c>
      <c r="AD266">
        <v>1</v>
      </c>
      <c r="AE266">
        <v>0</v>
      </c>
      <c r="AF266" t="s">
        <v>1555</v>
      </c>
      <c r="AG266" t="s">
        <v>1563</v>
      </c>
      <c r="AH266" t="s">
        <v>1563</v>
      </c>
    </row>
    <row r="267" spans="1:34" x14ac:dyDescent="0.25">
      <c r="A267" t="s">
        <v>1563</v>
      </c>
      <c r="B267" t="s">
        <v>1563</v>
      </c>
      <c r="C267" t="s">
        <v>395</v>
      </c>
      <c r="D267" t="s">
        <v>306</v>
      </c>
      <c r="E267" t="s">
        <v>1563</v>
      </c>
      <c r="F267" t="s">
        <v>994</v>
      </c>
      <c r="G267" t="s">
        <v>1563</v>
      </c>
      <c r="H267" s="736" t="s">
        <v>1617</v>
      </c>
      <c r="I267" t="s">
        <v>309</v>
      </c>
      <c r="J267" t="s">
        <v>326</v>
      </c>
      <c r="K267">
        <v>2</v>
      </c>
      <c r="L267" s="736">
        <v>2</v>
      </c>
      <c r="M267" s="736" t="s">
        <v>33</v>
      </c>
      <c r="N267" s="736">
        <v>1</v>
      </c>
      <c r="O267" s="736">
        <v>2</v>
      </c>
      <c r="P267" s="736">
        <v>1</v>
      </c>
      <c r="Q267" s="736" t="s">
        <v>45</v>
      </c>
      <c r="R267" s="736">
        <v>2</v>
      </c>
      <c r="S267">
        <v>2</v>
      </c>
      <c r="T267">
        <v>2</v>
      </c>
      <c r="U267" t="s">
        <v>1563</v>
      </c>
      <c r="V267" t="s">
        <v>1563</v>
      </c>
      <c r="W267" t="s">
        <v>1563</v>
      </c>
      <c r="X267">
        <v>1</v>
      </c>
      <c r="Y267" t="s">
        <v>1563</v>
      </c>
      <c r="Z267">
        <v>2</v>
      </c>
      <c r="AA267" t="s">
        <v>1563</v>
      </c>
      <c r="AB267" t="s">
        <v>1563</v>
      </c>
      <c r="AC267" t="s">
        <v>1563</v>
      </c>
      <c r="AD267">
        <v>2</v>
      </c>
      <c r="AE267">
        <v>0</v>
      </c>
      <c r="AF267" t="s">
        <v>1555</v>
      </c>
      <c r="AG267" t="s">
        <v>1563</v>
      </c>
      <c r="AH267" t="s">
        <v>995</v>
      </c>
    </row>
    <row r="268" spans="1:34" x14ac:dyDescent="0.25">
      <c r="A268" t="s">
        <v>1563</v>
      </c>
      <c r="B268" t="s">
        <v>1563</v>
      </c>
      <c r="C268" t="s">
        <v>395</v>
      </c>
      <c r="D268" t="s">
        <v>306</v>
      </c>
      <c r="E268" t="s">
        <v>1563</v>
      </c>
      <c r="F268" t="s">
        <v>996</v>
      </c>
      <c r="G268" t="s">
        <v>1563</v>
      </c>
      <c r="H268" s="736" t="s">
        <v>1618</v>
      </c>
      <c r="I268" t="s">
        <v>309</v>
      </c>
      <c r="J268" t="s">
        <v>997</v>
      </c>
      <c r="K268">
        <v>2</v>
      </c>
      <c r="L268" s="736">
        <v>2</v>
      </c>
      <c r="M268" s="736" t="s">
        <v>33</v>
      </c>
      <c r="N268" s="736">
        <v>1</v>
      </c>
      <c r="O268" s="736">
        <v>1</v>
      </c>
      <c r="P268" s="736">
        <v>0.5</v>
      </c>
      <c r="Q268" s="736" t="s">
        <v>45</v>
      </c>
      <c r="R268" s="736">
        <v>2</v>
      </c>
      <c r="S268">
        <v>1</v>
      </c>
      <c r="T268">
        <v>1</v>
      </c>
      <c r="U268" t="s">
        <v>1563</v>
      </c>
      <c r="V268" t="s">
        <v>1563</v>
      </c>
      <c r="W268" t="s">
        <v>1563</v>
      </c>
      <c r="X268">
        <v>1</v>
      </c>
      <c r="Y268" t="s">
        <v>1563</v>
      </c>
      <c r="Z268">
        <v>2</v>
      </c>
      <c r="AA268" t="s">
        <v>1563</v>
      </c>
      <c r="AB268" t="s">
        <v>1563</v>
      </c>
      <c r="AC268" t="s">
        <v>1563</v>
      </c>
      <c r="AD268">
        <v>2</v>
      </c>
      <c r="AE268">
        <v>0</v>
      </c>
      <c r="AF268" t="s">
        <v>1555</v>
      </c>
      <c r="AG268" t="s">
        <v>1563</v>
      </c>
      <c r="AH268" t="s">
        <v>1563</v>
      </c>
    </row>
    <row r="269" spans="1:34" x14ac:dyDescent="0.25">
      <c r="A269" t="s">
        <v>1563</v>
      </c>
      <c r="B269" t="s">
        <v>1563</v>
      </c>
      <c r="C269" t="s">
        <v>395</v>
      </c>
      <c r="D269" t="s">
        <v>306</v>
      </c>
      <c r="E269" t="s">
        <v>1563</v>
      </c>
      <c r="F269" t="s">
        <v>998</v>
      </c>
      <c r="G269" t="s">
        <v>1563</v>
      </c>
      <c r="H269" s="736" t="s">
        <v>1619</v>
      </c>
      <c r="I269" t="s">
        <v>309</v>
      </c>
      <c r="J269" t="s">
        <v>997</v>
      </c>
      <c r="K269">
        <v>1</v>
      </c>
      <c r="L269" s="736">
        <v>2</v>
      </c>
      <c r="M269" s="736" t="s">
        <v>33</v>
      </c>
      <c r="N269" s="736">
        <v>1</v>
      </c>
      <c r="O269" s="736">
        <v>1</v>
      </c>
      <c r="P269" s="736">
        <v>0.5</v>
      </c>
      <c r="Q269" s="736" t="s">
        <v>45</v>
      </c>
      <c r="R269" s="736">
        <v>2</v>
      </c>
      <c r="S269">
        <v>1</v>
      </c>
      <c r="T269">
        <v>1</v>
      </c>
      <c r="U269" t="s">
        <v>1563</v>
      </c>
      <c r="V269" t="s">
        <v>1563</v>
      </c>
      <c r="W269" t="s">
        <v>1563</v>
      </c>
      <c r="X269">
        <v>1</v>
      </c>
      <c r="Y269" t="s">
        <v>1563</v>
      </c>
      <c r="Z269">
        <v>2</v>
      </c>
      <c r="AA269" t="s">
        <v>1563</v>
      </c>
      <c r="AB269" t="s">
        <v>1563</v>
      </c>
      <c r="AC269" t="s">
        <v>1563</v>
      </c>
      <c r="AD269">
        <v>2</v>
      </c>
      <c r="AE269">
        <v>0</v>
      </c>
      <c r="AF269" t="s">
        <v>1555</v>
      </c>
      <c r="AG269" t="s">
        <v>1563</v>
      </c>
      <c r="AH269" t="s">
        <v>1563</v>
      </c>
    </row>
    <row r="270" spans="1:34" x14ac:dyDescent="0.25">
      <c r="A270" t="s">
        <v>1563</v>
      </c>
      <c r="B270" t="s">
        <v>1563</v>
      </c>
      <c r="C270" t="s">
        <v>395</v>
      </c>
      <c r="D270" t="s">
        <v>306</v>
      </c>
      <c r="E270" t="s">
        <v>1563</v>
      </c>
      <c r="F270" t="s">
        <v>999</v>
      </c>
      <c r="G270" t="s">
        <v>1563</v>
      </c>
      <c r="H270" s="736" t="s">
        <v>1000</v>
      </c>
      <c r="I270" t="s">
        <v>309</v>
      </c>
      <c r="J270" t="s">
        <v>326</v>
      </c>
      <c r="K270">
        <v>2</v>
      </c>
      <c r="L270" s="736">
        <v>4</v>
      </c>
      <c r="M270" s="736" t="s">
        <v>33</v>
      </c>
      <c r="N270" s="736">
        <v>1</v>
      </c>
      <c r="O270" s="736">
        <v>4</v>
      </c>
      <c r="P270" s="736">
        <v>1</v>
      </c>
      <c r="Q270" s="736" t="s">
        <v>45</v>
      </c>
      <c r="R270" s="736">
        <v>4</v>
      </c>
      <c r="S270">
        <v>4</v>
      </c>
      <c r="T270">
        <v>4</v>
      </c>
      <c r="U270" t="s">
        <v>1563</v>
      </c>
      <c r="V270" t="s">
        <v>1563</v>
      </c>
      <c r="W270" t="s">
        <v>1563</v>
      </c>
      <c r="X270">
        <v>1</v>
      </c>
      <c r="Y270" t="s">
        <v>1563</v>
      </c>
      <c r="Z270">
        <v>2</v>
      </c>
      <c r="AA270" t="s">
        <v>1563</v>
      </c>
      <c r="AB270" t="s">
        <v>1563</v>
      </c>
      <c r="AC270" t="s">
        <v>1563</v>
      </c>
      <c r="AD270">
        <v>2</v>
      </c>
      <c r="AE270">
        <v>0</v>
      </c>
      <c r="AF270" t="s">
        <v>1555</v>
      </c>
      <c r="AG270" t="s">
        <v>1563</v>
      </c>
      <c r="AH270" t="s">
        <v>995</v>
      </c>
    </row>
    <row r="271" spans="1:34" x14ac:dyDescent="0.25">
      <c r="A271" t="s">
        <v>1563</v>
      </c>
      <c r="B271" t="s">
        <v>1563</v>
      </c>
      <c r="C271" t="s">
        <v>395</v>
      </c>
      <c r="D271" t="s">
        <v>306</v>
      </c>
      <c r="E271" t="s">
        <v>1563</v>
      </c>
      <c r="F271" t="s">
        <v>1001</v>
      </c>
      <c r="G271" t="s">
        <v>1563</v>
      </c>
      <c r="H271" s="736" t="s">
        <v>1620</v>
      </c>
      <c r="I271" t="s">
        <v>309</v>
      </c>
      <c r="J271" t="s">
        <v>326</v>
      </c>
      <c r="K271">
        <v>2</v>
      </c>
      <c r="L271" s="736">
        <v>2</v>
      </c>
      <c r="M271" s="736" t="s">
        <v>33</v>
      </c>
      <c r="N271" s="736">
        <v>1</v>
      </c>
      <c r="O271" s="736">
        <v>2</v>
      </c>
      <c r="P271" s="736">
        <v>1</v>
      </c>
      <c r="Q271" s="736" t="s">
        <v>45</v>
      </c>
      <c r="R271" s="736">
        <v>2</v>
      </c>
      <c r="S271">
        <v>2</v>
      </c>
      <c r="T271">
        <v>2</v>
      </c>
      <c r="U271" t="s">
        <v>1563</v>
      </c>
      <c r="V271" t="s">
        <v>1563</v>
      </c>
      <c r="W271" t="s">
        <v>1563</v>
      </c>
      <c r="X271">
        <v>1</v>
      </c>
      <c r="Y271" t="s">
        <v>1563</v>
      </c>
      <c r="Z271">
        <v>2</v>
      </c>
      <c r="AA271" t="s">
        <v>1563</v>
      </c>
      <c r="AB271" t="s">
        <v>1563</v>
      </c>
      <c r="AC271" t="s">
        <v>1563</v>
      </c>
      <c r="AD271">
        <v>2</v>
      </c>
      <c r="AE271">
        <v>0</v>
      </c>
      <c r="AF271" t="s">
        <v>1555</v>
      </c>
      <c r="AG271" t="s">
        <v>1563</v>
      </c>
      <c r="AH271" t="s">
        <v>1002</v>
      </c>
    </row>
    <row r="272" spans="1:34" x14ac:dyDescent="0.25">
      <c r="A272" t="s">
        <v>1563</v>
      </c>
      <c r="B272" t="s">
        <v>1563</v>
      </c>
      <c r="C272" t="s">
        <v>395</v>
      </c>
      <c r="D272" t="s">
        <v>306</v>
      </c>
      <c r="E272" t="s">
        <v>1563</v>
      </c>
      <c r="F272" t="s">
        <v>1003</v>
      </c>
      <c r="G272" t="s">
        <v>1563</v>
      </c>
      <c r="H272" s="736" t="s">
        <v>1004</v>
      </c>
      <c r="I272" t="s">
        <v>309</v>
      </c>
      <c r="J272" t="s">
        <v>326</v>
      </c>
      <c r="K272">
        <v>1</v>
      </c>
      <c r="L272" s="736">
        <v>1</v>
      </c>
      <c r="M272" s="736" t="s">
        <v>33</v>
      </c>
      <c r="N272" s="736">
        <v>1</v>
      </c>
      <c r="O272" s="736">
        <v>1</v>
      </c>
      <c r="P272" s="736">
        <v>1</v>
      </c>
      <c r="Q272" s="736" t="s">
        <v>45</v>
      </c>
      <c r="R272" s="736">
        <v>1</v>
      </c>
      <c r="S272">
        <v>1</v>
      </c>
      <c r="T272">
        <v>1</v>
      </c>
      <c r="U272" t="s">
        <v>1563</v>
      </c>
      <c r="V272" t="s">
        <v>1563</v>
      </c>
      <c r="W272" t="s">
        <v>1563</v>
      </c>
      <c r="X272">
        <v>1</v>
      </c>
      <c r="Y272" t="s">
        <v>1563</v>
      </c>
      <c r="Z272">
        <v>1</v>
      </c>
      <c r="AA272" t="s">
        <v>1563</v>
      </c>
      <c r="AB272" t="s">
        <v>1563</v>
      </c>
      <c r="AC272" t="s">
        <v>1563</v>
      </c>
      <c r="AD272">
        <v>1</v>
      </c>
      <c r="AE272">
        <v>0</v>
      </c>
      <c r="AF272" t="s">
        <v>1555</v>
      </c>
      <c r="AG272" t="s">
        <v>1563</v>
      </c>
      <c r="AH272" t="s">
        <v>1563</v>
      </c>
    </row>
    <row r="273" spans="1:34" x14ac:dyDescent="0.25">
      <c r="A273" t="s">
        <v>1563</v>
      </c>
      <c r="B273" t="s">
        <v>1563</v>
      </c>
      <c r="C273" t="s">
        <v>395</v>
      </c>
      <c r="D273" t="s">
        <v>306</v>
      </c>
      <c r="E273" t="s">
        <v>1563</v>
      </c>
      <c r="F273" t="s">
        <v>1003</v>
      </c>
      <c r="G273" t="s">
        <v>1563</v>
      </c>
      <c r="H273" s="736" t="s">
        <v>1005</v>
      </c>
      <c r="I273" t="s">
        <v>309</v>
      </c>
      <c r="J273" t="s">
        <v>326</v>
      </c>
      <c r="K273">
        <v>1</v>
      </c>
      <c r="L273" s="736">
        <v>1</v>
      </c>
      <c r="M273" s="736" t="s">
        <v>33</v>
      </c>
      <c r="N273" s="736">
        <v>1</v>
      </c>
      <c r="O273" s="736">
        <v>1</v>
      </c>
      <c r="P273" s="736">
        <v>1</v>
      </c>
      <c r="Q273" s="736" t="s">
        <v>45</v>
      </c>
      <c r="R273" s="736">
        <v>1</v>
      </c>
      <c r="S273">
        <v>1</v>
      </c>
      <c r="T273">
        <v>1</v>
      </c>
      <c r="U273" t="s">
        <v>1563</v>
      </c>
      <c r="V273" t="s">
        <v>1563</v>
      </c>
      <c r="W273" t="s">
        <v>1563</v>
      </c>
      <c r="X273">
        <v>1</v>
      </c>
      <c r="Y273" t="s">
        <v>1563</v>
      </c>
      <c r="Z273">
        <v>1</v>
      </c>
      <c r="AA273" t="s">
        <v>1563</v>
      </c>
      <c r="AB273" t="s">
        <v>1563</v>
      </c>
      <c r="AC273" t="s">
        <v>1563</v>
      </c>
      <c r="AD273">
        <v>1</v>
      </c>
      <c r="AE273">
        <v>0</v>
      </c>
      <c r="AF273" t="s">
        <v>1555</v>
      </c>
      <c r="AG273" t="s">
        <v>1563</v>
      </c>
      <c r="AH273" t="s">
        <v>1563</v>
      </c>
    </row>
    <row r="274" spans="1:34" x14ac:dyDescent="0.25">
      <c r="A274" t="s">
        <v>1563</v>
      </c>
      <c r="B274" t="s">
        <v>1563</v>
      </c>
      <c r="C274" t="s">
        <v>395</v>
      </c>
      <c r="D274" t="s">
        <v>306</v>
      </c>
      <c r="E274" t="s">
        <v>1563</v>
      </c>
      <c r="F274" t="s">
        <v>1006</v>
      </c>
      <c r="G274" t="s">
        <v>1563</v>
      </c>
      <c r="H274" s="736" t="s">
        <v>1621</v>
      </c>
      <c r="I274" t="s">
        <v>309</v>
      </c>
      <c r="J274" t="s">
        <v>997</v>
      </c>
      <c r="K274">
        <v>1</v>
      </c>
      <c r="L274" s="736">
        <v>2</v>
      </c>
      <c r="M274" s="736" t="s">
        <v>33</v>
      </c>
      <c r="N274" s="736">
        <v>1</v>
      </c>
      <c r="O274" s="736">
        <v>1</v>
      </c>
      <c r="P274" s="736">
        <v>0.5</v>
      </c>
      <c r="Q274" s="736" t="s">
        <v>45</v>
      </c>
      <c r="R274" s="736">
        <v>2</v>
      </c>
      <c r="S274">
        <v>1</v>
      </c>
      <c r="T274">
        <v>1</v>
      </c>
      <c r="U274" t="s">
        <v>1563</v>
      </c>
      <c r="V274" t="s">
        <v>1563</v>
      </c>
      <c r="W274" t="s">
        <v>1563</v>
      </c>
      <c r="X274">
        <v>1</v>
      </c>
      <c r="Y274" t="s">
        <v>1563</v>
      </c>
      <c r="Z274">
        <v>2</v>
      </c>
      <c r="AA274" t="s">
        <v>1563</v>
      </c>
      <c r="AB274" t="s">
        <v>1563</v>
      </c>
      <c r="AC274" t="s">
        <v>1563</v>
      </c>
      <c r="AD274">
        <v>2</v>
      </c>
      <c r="AE274">
        <v>0</v>
      </c>
      <c r="AF274" t="s">
        <v>1555</v>
      </c>
      <c r="AG274" t="s">
        <v>1563</v>
      </c>
      <c r="AH274" t="s">
        <v>1563</v>
      </c>
    </row>
    <row r="275" spans="1:34" x14ac:dyDescent="0.25">
      <c r="A275" t="s">
        <v>1563</v>
      </c>
      <c r="B275" t="s">
        <v>1563</v>
      </c>
      <c r="C275" t="s">
        <v>395</v>
      </c>
      <c r="D275" t="s">
        <v>306</v>
      </c>
      <c r="E275" t="s">
        <v>1563</v>
      </c>
      <c r="F275" t="s">
        <v>1007</v>
      </c>
      <c r="G275" t="s">
        <v>1563</v>
      </c>
      <c r="H275" s="736" t="s">
        <v>1008</v>
      </c>
      <c r="I275" t="s">
        <v>309</v>
      </c>
      <c r="J275" t="s">
        <v>326</v>
      </c>
      <c r="K275">
        <v>2</v>
      </c>
      <c r="L275" s="736">
        <v>4</v>
      </c>
      <c r="M275" s="736" t="s">
        <v>33</v>
      </c>
      <c r="N275" s="736">
        <v>1</v>
      </c>
      <c r="O275" s="736">
        <v>4</v>
      </c>
      <c r="P275" s="736">
        <v>1</v>
      </c>
      <c r="Q275" s="736" t="s">
        <v>45</v>
      </c>
      <c r="R275" s="736">
        <v>4</v>
      </c>
      <c r="S275">
        <v>4</v>
      </c>
      <c r="T275">
        <v>4</v>
      </c>
      <c r="U275" t="s">
        <v>1563</v>
      </c>
      <c r="V275" t="s">
        <v>1563</v>
      </c>
      <c r="W275" t="s">
        <v>1563</v>
      </c>
      <c r="X275">
        <v>1</v>
      </c>
      <c r="Y275" t="s">
        <v>1563</v>
      </c>
      <c r="Z275">
        <v>4</v>
      </c>
      <c r="AA275" t="s">
        <v>1563</v>
      </c>
      <c r="AB275" t="s">
        <v>1563</v>
      </c>
      <c r="AC275" t="s">
        <v>1563</v>
      </c>
      <c r="AD275">
        <v>4</v>
      </c>
      <c r="AE275">
        <v>0</v>
      </c>
      <c r="AF275" t="s">
        <v>1555</v>
      </c>
      <c r="AG275" t="s">
        <v>1563</v>
      </c>
      <c r="AH275" t="s">
        <v>1002</v>
      </c>
    </row>
    <row r="276" spans="1:34" x14ac:dyDescent="0.25">
      <c r="A276" t="s">
        <v>1563</v>
      </c>
      <c r="B276" t="s">
        <v>1563</v>
      </c>
      <c r="C276" t="s">
        <v>395</v>
      </c>
      <c r="D276" t="s">
        <v>306</v>
      </c>
      <c r="E276" t="s">
        <v>1563</v>
      </c>
      <c r="F276" t="s">
        <v>1009</v>
      </c>
      <c r="G276" t="s">
        <v>1563</v>
      </c>
      <c r="H276" s="736" t="s">
        <v>1010</v>
      </c>
      <c r="I276" t="s">
        <v>309</v>
      </c>
      <c r="J276" t="s">
        <v>1011</v>
      </c>
      <c r="K276">
        <v>2</v>
      </c>
      <c r="L276" s="736">
        <v>5</v>
      </c>
      <c r="M276" s="736" t="s">
        <v>33</v>
      </c>
      <c r="N276" s="736">
        <v>1</v>
      </c>
      <c r="O276" s="736">
        <v>5</v>
      </c>
      <c r="P276" s="736">
        <v>1</v>
      </c>
      <c r="Q276" s="736" t="s">
        <v>45</v>
      </c>
      <c r="R276" s="736">
        <v>5</v>
      </c>
      <c r="S276">
        <v>5</v>
      </c>
      <c r="T276">
        <v>5</v>
      </c>
      <c r="U276" t="s">
        <v>1563</v>
      </c>
      <c r="V276" t="s">
        <v>1563</v>
      </c>
      <c r="W276" t="s">
        <v>1563</v>
      </c>
      <c r="X276">
        <v>1</v>
      </c>
      <c r="Y276" t="s">
        <v>1563</v>
      </c>
      <c r="Z276">
        <v>5</v>
      </c>
      <c r="AA276" t="s">
        <v>1563</v>
      </c>
      <c r="AB276" t="s">
        <v>1563</v>
      </c>
      <c r="AC276" t="s">
        <v>1563</v>
      </c>
      <c r="AD276">
        <v>5</v>
      </c>
      <c r="AE276">
        <v>0</v>
      </c>
      <c r="AF276" t="s">
        <v>1555</v>
      </c>
      <c r="AG276" t="s">
        <v>1563</v>
      </c>
      <c r="AH276" t="s">
        <v>1012</v>
      </c>
    </row>
    <row r="277" spans="1:34" x14ac:dyDescent="0.25">
      <c r="A277" t="s">
        <v>1013</v>
      </c>
      <c r="B277" t="s">
        <v>1014</v>
      </c>
      <c r="C277" t="s">
        <v>1015</v>
      </c>
      <c r="D277" t="s">
        <v>1016</v>
      </c>
      <c r="E277" t="s">
        <v>1563</v>
      </c>
      <c r="F277" t="s">
        <v>1017</v>
      </c>
      <c r="G277" t="s">
        <v>254</v>
      </c>
      <c r="H277" s="736" t="s">
        <v>1018</v>
      </c>
      <c r="I277" t="s">
        <v>309</v>
      </c>
      <c r="J277" t="s">
        <v>326</v>
      </c>
      <c r="K277">
        <v>1</v>
      </c>
      <c r="L277" s="736">
        <v>1</v>
      </c>
      <c r="M277" s="736" t="s">
        <v>38</v>
      </c>
      <c r="N277" s="736">
        <v>1</v>
      </c>
      <c r="O277" s="736">
        <v>1</v>
      </c>
      <c r="P277" s="736">
        <v>1</v>
      </c>
      <c r="Q277" s="736" t="s">
        <v>45</v>
      </c>
      <c r="R277" s="736">
        <v>1</v>
      </c>
      <c r="S277">
        <v>1</v>
      </c>
      <c r="T277">
        <v>1</v>
      </c>
      <c r="U277" t="s">
        <v>1563</v>
      </c>
      <c r="V277" t="s">
        <v>1563</v>
      </c>
      <c r="W277" t="s">
        <v>1563</v>
      </c>
      <c r="X277">
        <v>1</v>
      </c>
      <c r="Y277" t="s">
        <v>1563</v>
      </c>
      <c r="Z277">
        <v>0</v>
      </c>
      <c r="AA277" t="s">
        <v>1563</v>
      </c>
      <c r="AB277" t="s">
        <v>1563</v>
      </c>
      <c r="AC277" t="s">
        <v>1563</v>
      </c>
      <c r="AD277" t="s">
        <v>1563</v>
      </c>
      <c r="AE277">
        <v>0</v>
      </c>
      <c r="AF277" t="s">
        <v>1563</v>
      </c>
      <c r="AG277" t="s">
        <v>1563</v>
      </c>
      <c r="AH277" t="s">
        <v>1563</v>
      </c>
    </row>
    <row r="278" spans="1:34" x14ac:dyDescent="0.25">
      <c r="A278" t="s">
        <v>1019</v>
      </c>
      <c r="B278" t="s">
        <v>1020</v>
      </c>
      <c r="C278" t="s">
        <v>1015</v>
      </c>
      <c r="D278" t="s">
        <v>1016</v>
      </c>
      <c r="E278" t="s">
        <v>1563</v>
      </c>
      <c r="F278" t="s">
        <v>1021</v>
      </c>
      <c r="G278" t="s">
        <v>275</v>
      </c>
      <c r="H278" s="736" t="s">
        <v>1022</v>
      </c>
      <c r="I278" t="s">
        <v>309</v>
      </c>
      <c r="J278" t="s">
        <v>1563</v>
      </c>
      <c r="K278">
        <v>1</v>
      </c>
      <c r="L278" s="736">
        <v>1</v>
      </c>
      <c r="M278" s="736" t="s">
        <v>33</v>
      </c>
      <c r="N278" s="736">
        <v>1</v>
      </c>
      <c r="O278" s="736">
        <v>1</v>
      </c>
      <c r="P278" s="736">
        <v>1</v>
      </c>
      <c r="Q278" s="736" t="s">
        <v>45</v>
      </c>
      <c r="R278" s="736">
        <v>1</v>
      </c>
      <c r="S278">
        <v>1</v>
      </c>
      <c r="T278">
        <v>1</v>
      </c>
      <c r="U278" t="s">
        <v>1563</v>
      </c>
      <c r="V278" t="s">
        <v>1563</v>
      </c>
      <c r="W278" t="s">
        <v>1563</v>
      </c>
      <c r="X278">
        <v>1</v>
      </c>
      <c r="Y278" t="s">
        <v>1563</v>
      </c>
      <c r="Z278">
        <v>0</v>
      </c>
      <c r="AA278" t="s">
        <v>1563</v>
      </c>
      <c r="AB278" t="s">
        <v>1563</v>
      </c>
      <c r="AC278" t="s">
        <v>1563</v>
      </c>
      <c r="AD278" t="s">
        <v>1563</v>
      </c>
      <c r="AE278">
        <v>0</v>
      </c>
      <c r="AF278" t="s">
        <v>1563</v>
      </c>
      <c r="AG278" t="s">
        <v>1563</v>
      </c>
      <c r="AH278" t="s">
        <v>1563</v>
      </c>
    </row>
    <row r="279" spans="1:34" x14ac:dyDescent="0.25">
      <c r="A279" t="s">
        <v>1027</v>
      </c>
      <c r="B279" t="s">
        <v>1028</v>
      </c>
      <c r="C279" t="s">
        <v>1015</v>
      </c>
      <c r="D279" t="s">
        <v>790</v>
      </c>
      <c r="E279" t="s">
        <v>1563</v>
      </c>
      <c r="F279" t="s">
        <v>1029</v>
      </c>
      <c r="G279" t="s">
        <v>1563</v>
      </c>
      <c r="H279" s="736" t="s">
        <v>1030</v>
      </c>
      <c r="I279" t="s">
        <v>309</v>
      </c>
      <c r="J279" t="s">
        <v>326</v>
      </c>
      <c r="K279">
        <v>1</v>
      </c>
      <c r="L279" s="736">
        <v>1</v>
      </c>
      <c r="M279" s="736" t="s">
        <v>33</v>
      </c>
      <c r="N279" s="736">
        <v>1</v>
      </c>
      <c r="O279" s="736">
        <v>1</v>
      </c>
      <c r="P279" s="736">
        <v>1</v>
      </c>
      <c r="Q279" s="736" t="s">
        <v>45</v>
      </c>
      <c r="R279" s="736">
        <v>1</v>
      </c>
      <c r="S279">
        <v>0</v>
      </c>
      <c r="T279" t="s">
        <v>1563</v>
      </c>
      <c r="U279" t="s">
        <v>1563</v>
      </c>
      <c r="V279" t="s">
        <v>1563</v>
      </c>
      <c r="W279" t="s">
        <v>1563</v>
      </c>
      <c r="X279">
        <v>1</v>
      </c>
      <c r="Y279" t="s">
        <v>1563</v>
      </c>
      <c r="Z279">
        <v>0</v>
      </c>
      <c r="AA279" t="s">
        <v>1563</v>
      </c>
      <c r="AB279" t="s">
        <v>1563</v>
      </c>
      <c r="AC279" t="s">
        <v>1563</v>
      </c>
      <c r="AD279" t="s">
        <v>1563</v>
      </c>
      <c r="AE279">
        <v>1</v>
      </c>
      <c r="AF279" t="s">
        <v>1563</v>
      </c>
      <c r="AG279" t="s">
        <v>1563</v>
      </c>
      <c r="AH279" t="s">
        <v>1563</v>
      </c>
    </row>
    <row r="280" spans="1:34" x14ac:dyDescent="0.25">
      <c r="A280" t="s">
        <v>1031</v>
      </c>
      <c r="B280" t="s">
        <v>1032</v>
      </c>
      <c r="C280" t="s">
        <v>1015</v>
      </c>
      <c r="D280" t="s">
        <v>790</v>
      </c>
      <c r="E280" t="s">
        <v>1563</v>
      </c>
      <c r="F280" t="s">
        <v>1033</v>
      </c>
      <c r="G280" t="s">
        <v>1563</v>
      </c>
      <c r="H280" s="736" t="s">
        <v>1034</v>
      </c>
      <c r="I280" t="s">
        <v>309</v>
      </c>
      <c r="J280" t="s">
        <v>567</v>
      </c>
      <c r="K280">
        <v>1</v>
      </c>
      <c r="L280" s="736">
        <v>1</v>
      </c>
      <c r="M280" s="736" t="s">
        <v>33</v>
      </c>
      <c r="N280" s="736">
        <v>1</v>
      </c>
      <c r="O280" s="736">
        <v>1</v>
      </c>
      <c r="P280" s="736">
        <v>1</v>
      </c>
      <c r="Q280" s="736" t="s">
        <v>45</v>
      </c>
      <c r="R280" s="736">
        <v>1</v>
      </c>
      <c r="S280">
        <v>0</v>
      </c>
      <c r="T280" t="s">
        <v>1563</v>
      </c>
      <c r="U280" t="s">
        <v>1563</v>
      </c>
      <c r="V280" t="s">
        <v>1563</v>
      </c>
      <c r="W280" t="s">
        <v>1563</v>
      </c>
      <c r="X280">
        <v>1</v>
      </c>
      <c r="Y280" t="s">
        <v>1563</v>
      </c>
      <c r="Z280">
        <v>0</v>
      </c>
      <c r="AA280" t="s">
        <v>1563</v>
      </c>
      <c r="AB280" t="s">
        <v>1563</v>
      </c>
      <c r="AC280" t="s">
        <v>1563</v>
      </c>
      <c r="AD280" t="s">
        <v>1563</v>
      </c>
      <c r="AE280">
        <v>1</v>
      </c>
      <c r="AF280" t="s">
        <v>1563</v>
      </c>
      <c r="AG280" t="s">
        <v>1563</v>
      </c>
      <c r="AH280" t="s">
        <v>1563</v>
      </c>
    </row>
    <row r="281" spans="1:34" x14ac:dyDescent="0.25">
      <c r="A281" t="s">
        <v>1027</v>
      </c>
      <c r="B281" t="s">
        <v>1028</v>
      </c>
      <c r="C281" t="s">
        <v>1015</v>
      </c>
      <c r="D281" t="s">
        <v>790</v>
      </c>
      <c r="E281" t="s">
        <v>1563</v>
      </c>
      <c r="F281" t="s">
        <v>1035</v>
      </c>
      <c r="G281" t="s">
        <v>1563</v>
      </c>
      <c r="H281" s="736" t="s">
        <v>1036</v>
      </c>
      <c r="I281" t="s">
        <v>309</v>
      </c>
      <c r="J281" t="s">
        <v>567</v>
      </c>
      <c r="K281">
        <v>1</v>
      </c>
      <c r="L281" s="736">
        <v>1</v>
      </c>
      <c r="M281" s="736" t="s">
        <v>33</v>
      </c>
      <c r="N281" s="736">
        <v>1</v>
      </c>
      <c r="O281" s="736">
        <v>1</v>
      </c>
      <c r="P281" s="736">
        <v>1</v>
      </c>
      <c r="Q281" s="736" t="s">
        <v>1563</v>
      </c>
      <c r="R281" s="736">
        <v>1</v>
      </c>
      <c r="S281">
        <v>0</v>
      </c>
      <c r="T281" t="s">
        <v>1563</v>
      </c>
      <c r="U281" t="s">
        <v>1563</v>
      </c>
      <c r="V281" t="s">
        <v>1563</v>
      </c>
      <c r="W281" t="s">
        <v>1563</v>
      </c>
      <c r="X281">
        <v>1</v>
      </c>
      <c r="Y281" t="s">
        <v>1563</v>
      </c>
      <c r="Z281">
        <v>0</v>
      </c>
      <c r="AA281" t="s">
        <v>1563</v>
      </c>
      <c r="AB281" t="s">
        <v>1563</v>
      </c>
      <c r="AC281" t="s">
        <v>1563</v>
      </c>
      <c r="AD281" t="s">
        <v>1563</v>
      </c>
      <c r="AE281" t="s">
        <v>1563</v>
      </c>
      <c r="AF281" t="s">
        <v>1563</v>
      </c>
      <c r="AG281" t="s">
        <v>1563</v>
      </c>
      <c r="AH281" t="s">
        <v>1563</v>
      </c>
    </row>
    <row r="282" spans="1:34" x14ac:dyDescent="0.25">
      <c r="A282" t="s">
        <v>1037</v>
      </c>
      <c r="B282" t="s">
        <v>1038</v>
      </c>
      <c r="C282" t="s">
        <v>1015</v>
      </c>
      <c r="D282" t="s">
        <v>790</v>
      </c>
      <c r="E282" t="s">
        <v>1563</v>
      </c>
      <c r="F282" t="s">
        <v>1039</v>
      </c>
      <c r="G282" t="s">
        <v>1563</v>
      </c>
      <c r="H282" s="736" t="s">
        <v>1040</v>
      </c>
      <c r="I282" t="s">
        <v>309</v>
      </c>
      <c r="J282" t="s">
        <v>567</v>
      </c>
      <c r="K282">
        <v>1</v>
      </c>
      <c r="L282" s="736">
        <v>1</v>
      </c>
      <c r="M282" s="736" t="s">
        <v>33</v>
      </c>
      <c r="N282" s="736">
        <v>1</v>
      </c>
      <c r="O282" s="736">
        <v>1</v>
      </c>
      <c r="P282" s="736">
        <v>1</v>
      </c>
      <c r="Q282" s="736" t="s">
        <v>45</v>
      </c>
      <c r="R282" s="736">
        <v>1</v>
      </c>
      <c r="S282">
        <v>0</v>
      </c>
      <c r="T282" t="s">
        <v>1563</v>
      </c>
      <c r="U282" t="s">
        <v>1563</v>
      </c>
      <c r="V282" t="s">
        <v>1563</v>
      </c>
      <c r="W282" t="s">
        <v>1563</v>
      </c>
      <c r="X282">
        <v>1</v>
      </c>
      <c r="Y282" t="s">
        <v>1563</v>
      </c>
      <c r="Z282">
        <v>0</v>
      </c>
      <c r="AA282" t="s">
        <v>1563</v>
      </c>
      <c r="AB282" t="s">
        <v>1563</v>
      </c>
      <c r="AC282" t="s">
        <v>1563</v>
      </c>
      <c r="AD282" t="s">
        <v>1563</v>
      </c>
      <c r="AE282">
        <v>1</v>
      </c>
      <c r="AF282" t="s">
        <v>1563</v>
      </c>
      <c r="AG282" t="s">
        <v>1563</v>
      </c>
      <c r="AH282" t="s">
        <v>1563</v>
      </c>
    </row>
    <row r="283" spans="1:34" x14ac:dyDescent="0.25">
      <c r="A283" t="s">
        <v>1027</v>
      </c>
      <c r="B283" t="s">
        <v>1041</v>
      </c>
      <c r="C283" t="s">
        <v>1015</v>
      </c>
      <c r="D283" t="s">
        <v>790</v>
      </c>
      <c r="E283" t="s">
        <v>1563</v>
      </c>
      <c r="F283" t="s">
        <v>1042</v>
      </c>
      <c r="G283" t="s">
        <v>1563</v>
      </c>
      <c r="H283" s="736" t="s">
        <v>1043</v>
      </c>
      <c r="I283" t="s">
        <v>309</v>
      </c>
      <c r="J283" t="s">
        <v>326</v>
      </c>
      <c r="K283">
        <v>1</v>
      </c>
      <c r="L283" s="736">
        <v>1</v>
      </c>
      <c r="M283" s="736" t="s">
        <v>33</v>
      </c>
      <c r="N283" s="736">
        <v>1</v>
      </c>
      <c r="O283" s="736">
        <v>1</v>
      </c>
      <c r="P283" s="736">
        <v>1</v>
      </c>
      <c r="Q283" s="736" t="s">
        <v>45</v>
      </c>
      <c r="R283" s="736">
        <v>1</v>
      </c>
      <c r="S283">
        <v>0</v>
      </c>
      <c r="T283" t="s">
        <v>1563</v>
      </c>
      <c r="U283" t="s">
        <v>1563</v>
      </c>
      <c r="V283" t="s">
        <v>1563</v>
      </c>
      <c r="W283" t="s">
        <v>1563</v>
      </c>
      <c r="X283">
        <v>1</v>
      </c>
      <c r="Y283" t="s">
        <v>1563</v>
      </c>
      <c r="Z283">
        <v>0</v>
      </c>
      <c r="AA283" t="s">
        <v>1563</v>
      </c>
      <c r="AB283" t="s">
        <v>1563</v>
      </c>
      <c r="AC283" t="s">
        <v>1563</v>
      </c>
      <c r="AD283" t="s">
        <v>1563</v>
      </c>
      <c r="AE283">
        <v>1</v>
      </c>
      <c r="AF283" t="s">
        <v>1563</v>
      </c>
      <c r="AG283" t="s">
        <v>1563</v>
      </c>
      <c r="AH283" t="s">
        <v>1563</v>
      </c>
    </row>
    <row r="284" spans="1:34" x14ac:dyDescent="0.25">
      <c r="A284" t="s">
        <v>1031</v>
      </c>
      <c r="B284" t="s">
        <v>1032</v>
      </c>
      <c r="C284" t="s">
        <v>1015</v>
      </c>
      <c r="D284" t="s">
        <v>790</v>
      </c>
      <c r="E284" t="s">
        <v>1563</v>
      </c>
      <c r="F284" t="s">
        <v>1044</v>
      </c>
      <c r="G284" t="s">
        <v>1563</v>
      </c>
      <c r="H284" s="736" t="s">
        <v>1045</v>
      </c>
      <c r="I284" t="s">
        <v>309</v>
      </c>
      <c r="J284" t="s">
        <v>567</v>
      </c>
      <c r="K284">
        <v>1</v>
      </c>
      <c r="L284" s="736">
        <v>1</v>
      </c>
      <c r="M284" s="736" t="s">
        <v>33</v>
      </c>
      <c r="N284" s="736">
        <v>1</v>
      </c>
      <c r="O284" s="736">
        <v>1</v>
      </c>
      <c r="P284" s="736">
        <v>1</v>
      </c>
      <c r="Q284" s="736" t="s">
        <v>45</v>
      </c>
      <c r="R284" s="736">
        <v>1</v>
      </c>
      <c r="S284">
        <v>0</v>
      </c>
      <c r="T284" t="s">
        <v>1563</v>
      </c>
      <c r="U284" t="s">
        <v>1563</v>
      </c>
      <c r="V284" t="s">
        <v>1563</v>
      </c>
      <c r="W284" t="s">
        <v>1563</v>
      </c>
      <c r="X284">
        <v>1</v>
      </c>
      <c r="Y284" t="s">
        <v>1563</v>
      </c>
      <c r="Z284">
        <v>0</v>
      </c>
      <c r="AA284" t="s">
        <v>1563</v>
      </c>
      <c r="AB284" t="s">
        <v>1563</v>
      </c>
      <c r="AC284" t="s">
        <v>1563</v>
      </c>
      <c r="AD284" t="s">
        <v>1563</v>
      </c>
      <c r="AE284">
        <v>1</v>
      </c>
      <c r="AF284" t="s">
        <v>1563</v>
      </c>
      <c r="AG284" t="s">
        <v>1563</v>
      </c>
      <c r="AH284" t="s">
        <v>1563</v>
      </c>
    </row>
    <row r="285" spans="1:34" x14ac:dyDescent="0.25">
      <c r="A285" t="s">
        <v>1048</v>
      </c>
      <c r="B285" t="s">
        <v>1049</v>
      </c>
      <c r="C285" t="s">
        <v>354</v>
      </c>
      <c r="D285" t="s">
        <v>306</v>
      </c>
      <c r="E285" t="s">
        <v>1563</v>
      </c>
      <c r="F285" t="s">
        <v>1050</v>
      </c>
      <c r="G285" t="s">
        <v>1563</v>
      </c>
      <c r="H285" s="736" t="s">
        <v>1051</v>
      </c>
      <c r="I285" t="s">
        <v>330</v>
      </c>
      <c r="J285" t="s">
        <v>1563</v>
      </c>
      <c r="K285">
        <v>1</v>
      </c>
      <c r="L285" s="736">
        <v>1</v>
      </c>
      <c r="M285" s="736" t="s">
        <v>42</v>
      </c>
      <c r="N285" s="736">
        <v>1</v>
      </c>
      <c r="O285" s="736">
        <v>1</v>
      </c>
      <c r="P285" s="736">
        <v>1</v>
      </c>
      <c r="Q285" s="736" t="s">
        <v>46</v>
      </c>
      <c r="R285" s="736">
        <v>1</v>
      </c>
      <c r="S285">
        <v>1</v>
      </c>
      <c r="T285">
        <v>1</v>
      </c>
      <c r="U285" t="s">
        <v>1563</v>
      </c>
      <c r="V285" t="s">
        <v>1563</v>
      </c>
      <c r="W285" t="s">
        <v>1563</v>
      </c>
      <c r="X285">
        <v>1</v>
      </c>
      <c r="Y285" t="s">
        <v>1563</v>
      </c>
      <c r="Z285">
        <v>0</v>
      </c>
      <c r="AA285" t="s">
        <v>1563</v>
      </c>
      <c r="AB285" t="s">
        <v>1563</v>
      </c>
      <c r="AC285" t="s">
        <v>1563</v>
      </c>
      <c r="AD285" t="s">
        <v>1563</v>
      </c>
      <c r="AE285">
        <v>0</v>
      </c>
      <c r="AF285" t="s">
        <v>1563</v>
      </c>
      <c r="AG285" t="s">
        <v>1449</v>
      </c>
      <c r="AH285" t="s">
        <v>1563</v>
      </c>
    </row>
    <row r="286" spans="1:34" x14ac:dyDescent="0.25">
      <c r="A286" t="s">
        <v>1052</v>
      </c>
      <c r="B286" t="s">
        <v>1053</v>
      </c>
      <c r="C286" t="s">
        <v>354</v>
      </c>
      <c r="D286" t="s">
        <v>382</v>
      </c>
      <c r="E286" t="s">
        <v>1563</v>
      </c>
      <c r="F286" t="s">
        <v>1054</v>
      </c>
      <c r="G286" t="s">
        <v>1563</v>
      </c>
      <c r="H286" s="736" t="s">
        <v>1055</v>
      </c>
      <c r="I286" t="s">
        <v>330</v>
      </c>
      <c r="J286" t="s">
        <v>1563</v>
      </c>
      <c r="K286">
        <v>1</v>
      </c>
      <c r="L286" s="736">
        <v>1</v>
      </c>
      <c r="M286" s="736" t="s">
        <v>42</v>
      </c>
      <c r="N286" s="736">
        <v>1</v>
      </c>
      <c r="O286" s="736">
        <v>1</v>
      </c>
      <c r="P286" s="736">
        <v>1</v>
      </c>
      <c r="Q286" s="736" t="s">
        <v>46</v>
      </c>
      <c r="R286" s="736">
        <v>1</v>
      </c>
      <c r="S286">
        <v>1</v>
      </c>
      <c r="T286">
        <v>1</v>
      </c>
      <c r="U286" t="s">
        <v>1563</v>
      </c>
      <c r="V286" t="s">
        <v>1563</v>
      </c>
      <c r="W286" t="s">
        <v>1563</v>
      </c>
      <c r="X286">
        <v>1</v>
      </c>
      <c r="Y286" t="s">
        <v>1563</v>
      </c>
      <c r="Z286">
        <v>0</v>
      </c>
      <c r="AA286" t="s">
        <v>1563</v>
      </c>
      <c r="AB286" t="s">
        <v>1563</v>
      </c>
      <c r="AC286" t="s">
        <v>1563</v>
      </c>
      <c r="AD286" t="s">
        <v>1563</v>
      </c>
      <c r="AE286">
        <v>0</v>
      </c>
      <c r="AF286" t="s">
        <v>1563</v>
      </c>
      <c r="AG286" t="s">
        <v>1449</v>
      </c>
      <c r="AH286" t="s">
        <v>1563</v>
      </c>
    </row>
    <row r="287" spans="1:34" x14ac:dyDescent="0.25">
      <c r="A287" t="s">
        <v>1056</v>
      </c>
      <c r="B287" t="s">
        <v>1057</v>
      </c>
      <c r="C287" t="s">
        <v>1058</v>
      </c>
      <c r="D287" t="s">
        <v>306</v>
      </c>
      <c r="E287" t="s">
        <v>1563</v>
      </c>
      <c r="F287" t="s">
        <v>1059</v>
      </c>
      <c r="G287" t="s">
        <v>1563</v>
      </c>
      <c r="H287" s="736" t="s">
        <v>1622</v>
      </c>
      <c r="I287" t="s">
        <v>330</v>
      </c>
      <c r="J287" t="s">
        <v>1563</v>
      </c>
      <c r="K287">
        <v>1</v>
      </c>
      <c r="L287" s="736">
        <v>4</v>
      </c>
      <c r="M287" s="736" t="s">
        <v>42</v>
      </c>
      <c r="N287" s="736">
        <v>1</v>
      </c>
      <c r="O287" s="736">
        <v>4</v>
      </c>
      <c r="P287" s="736">
        <v>1</v>
      </c>
      <c r="Q287" s="736" t="s">
        <v>46</v>
      </c>
      <c r="R287" s="736">
        <v>4</v>
      </c>
      <c r="S287">
        <v>4</v>
      </c>
      <c r="T287">
        <v>4</v>
      </c>
      <c r="U287" t="s">
        <v>1563</v>
      </c>
      <c r="V287" t="s">
        <v>1563</v>
      </c>
      <c r="W287" t="s">
        <v>1563</v>
      </c>
      <c r="X287">
        <v>1</v>
      </c>
      <c r="Y287" t="s">
        <v>1060</v>
      </c>
      <c r="Z287">
        <v>0</v>
      </c>
      <c r="AA287" t="s">
        <v>1563</v>
      </c>
      <c r="AB287" t="s">
        <v>1563</v>
      </c>
      <c r="AC287" t="s">
        <v>1563</v>
      </c>
      <c r="AD287" t="s">
        <v>1563</v>
      </c>
      <c r="AE287">
        <v>0</v>
      </c>
      <c r="AF287" t="s">
        <v>1563</v>
      </c>
      <c r="AG287" t="s">
        <v>1423</v>
      </c>
      <c r="AH287" t="s">
        <v>1563</v>
      </c>
    </row>
    <row r="288" spans="1:34" x14ac:dyDescent="0.25">
      <c r="A288" t="s">
        <v>1061</v>
      </c>
      <c r="B288" t="s">
        <v>1062</v>
      </c>
      <c r="C288" t="s">
        <v>1058</v>
      </c>
      <c r="D288" t="s">
        <v>790</v>
      </c>
      <c r="E288" t="s">
        <v>1563</v>
      </c>
      <c r="F288" t="s">
        <v>1059</v>
      </c>
      <c r="G288" t="s">
        <v>1563</v>
      </c>
      <c r="H288" s="736" t="s">
        <v>1063</v>
      </c>
      <c r="I288" t="s">
        <v>330</v>
      </c>
      <c r="J288" t="s">
        <v>1563</v>
      </c>
      <c r="K288">
        <v>1</v>
      </c>
      <c r="L288" s="736">
        <v>1</v>
      </c>
      <c r="M288" s="736" t="s">
        <v>42</v>
      </c>
      <c r="N288" s="736">
        <v>1</v>
      </c>
      <c r="O288" s="736">
        <v>1</v>
      </c>
      <c r="P288" s="736">
        <v>1</v>
      </c>
      <c r="Q288" s="736" t="s">
        <v>46</v>
      </c>
      <c r="R288" s="736">
        <v>1</v>
      </c>
      <c r="S288">
        <v>1</v>
      </c>
      <c r="T288">
        <v>1</v>
      </c>
      <c r="U288" t="s">
        <v>1563</v>
      </c>
      <c r="V288" t="s">
        <v>1563</v>
      </c>
      <c r="W288" t="s">
        <v>1563</v>
      </c>
      <c r="X288">
        <v>1</v>
      </c>
      <c r="Y288" t="s">
        <v>1064</v>
      </c>
      <c r="Z288">
        <v>0</v>
      </c>
      <c r="AA288" t="s">
        <v>1563</v>
      </c>
      <c r="AB288" t="s">
        <v>1563</v>
      </c>
      <c r="AC288" t="s">
        <v>1563</v>
      </c>
      <c r="AD288" t="s">
        <v>1563</v>
      </c>
      <c r="AE288">
        <v>0</v>
      </c>
      <c r="AF288" t="s">
        <v>1563</v>
      </c>
      <c r="AG288" t="s">
        <v>1423</v>
      </c>
      <c r="AH288" t="s">
        <v>1563</v>
      </c>
    </row>
    <row r="289" spans="1:34" x14ac:dyDescent="0.25">
      <c r="A289" t="s">
        <v>1065</v>
      </c>
      <c r="B289" t="s">
        <v>1066</v>
      </c>
      <c r="C289" t="s">
        <v>1067</v>
      </c>
      <c r="D289" t="s">
        <v>790</v>
      </c>
      <c r="E289" t="s">
        <v>1563</v>
      </c>
      <c r="F289" t="s">
        <v>1068</v>
      </c>
      <c r="G289" t="s">
        <v>1563</v>
      </c>
      <c r="H289" s="736" t="s">
        <v>1069</v>
      </c>
      <c r="I289" t="s">
        <v>330</v>
      </c>
      <c r="J289" t="s">
        <v>1563</v>
      </c>
      <c r="K289">
        <v>1</v>
      </c>
      <c r="L289" s="736">
        <v>1</v>
      </c>
      <c r="M289" s="736" t="s">
        <v>42</v>
      </c>
      <c r="N289" s="736">
        <v>1</v>
      </c>
      <c r="O289" s="736">
        <v>1</v>
      </c>
      <c r="P289" s="736">
        <v>1</v>
      </c>
      <c r="Q289" s="736" t="s">
        <v>46</v>
      </c>
      <c r="R289" s="736">
        <v>1</v>
      </c>
      <c r="S289">
        <v>1</v>
      </c>
      <c r="T289">
        <v>1</v>
      </c>
      <c r="U289" t="s">
        <v>1563</v>
      </c>
      <c r="V289" t="s">
        <v>1563</v>
      </c>
      <c r="W289" t="s">
        <v>1563</v>
      </c>
      <c r="X289">
        <v>1</v>
      </c>
      <c r="Y289" t="s">
        <v>1563</v>
      </c>
      <c r="Z289">
        <v>0</v>
      </c>
      <c r="AA289" t="s">
        <v>1563</v>
      </c>
      <c r="AB289" t="s">
        <v>1563</v>
      </c>
      <c r="AC289" t="s">
        <v>1563</v>
      </c>
      <c r="AD289" t="s">
        <v>1563</v>
      </c>
      <c r="AE289">
        <v>0</v>
      </c>
      <c r="AF289" t="s">
        <v>1563</v>
      </c>
      <c r="AG289" t="s">
        <v>1423</v>
      </c>
      <c r="AH289" t="s">
        <v>1563</v>
      </c>
    </row>
    <row r="290" spans="1:34" x14ac:dyDescent="0.25">
      <c r="A290" t="s">
        <v>1070</v>
      </c>
      <c r="B290" t="s">
        <v>1071</v>
      </c>
      <c r="C290" t="s">
        <v>1067</v>
      </c>
      <c r="D290" t="s">
        <v>790</v>
      </c>
      <c r="E290" t="s">
        <v>1563</v>
      </c>
      <c r="F290" t="s">
        <v>1072</v>
      </c>
      <c r="G290" t="s">
        <v>1563</v>
      </c>
      <c r="H290" s="736" t="s">
        <v>1073</v>
      </c>
      <c r="I290" t="s">
        <v>330</v>
      </c>
      <c r="J290" t="s">
        <v>1563</v>
      </c>
      <c r="K290">
        <v>1</v>
      </c>
      <c r="L290" s="736">
        <v>1</v>
      </c>
      <c r="M290" s="736" t="s">
        <v>42</v>
      </c>
      <c r="N290" s="736">
        <v>1</v>
      </c>
      <c r="O290" s="736">
        <v>1</v>
      </c>
      <c r="P290" s="736">
        <v>1</v>
      </c>
      <c r="Q290" s="736" t="s">
        <v>46</v>
      </c>
      <c r="R290" s="736">
        <v>1</v>
      </c>
      <c r="S290">
        <v>1</v>
      </c>
      <c r="T290">
        <v>1</v>
      </c>
      <c r="U290" t="s">
        <v>1563</v>
      </c>
      <c r="V290" t="s">
        <v>1563</v>
      </c>
      <c r="W290" t="s">
        <v>1563</v>
      </c>
      <c r="X290">
        <v>1</v>
      </c>
      <c r="Y290" t="s">
        <v>1563</v>
      </c>
      <c r="Z290">
        <v>0</v>
      </c>
      <c r="AA290" t="s">
        <v>1563</v>
      </c>
      <c r="AB290" t="s">
        <v>1563</v>
      </c>
      <c r="AC290" t="s">
        <v>1563</v>
      </c>
      <c r="AD290" t="s">
        <v>1563</v>
      </c>
      <c r="AE290">
        <v>0</v>
      </c>
      <c r="AF290" t="s">
        <v>1563</v>
      </c>
      <c r="AG290" t="s">
        <v>1423</v>
      </c>
      <c r="AH290" t="s">
        <v>1563</v>
      </c>
    </row>
    <row r="291" spans="1:34" x14ac:dyDescent="0.25">
      <c r="A291" t="s">
        <v>1074</v>
      </c>
      <c r="B291" t="s">
        <v>1075</v>
      </c>
      <c r="C291" t="s">
        <v>477</v>
      </c>
      <c r="D291" t="s">
        <v>306</v>
      </c>
      <c r="E291" t="s">
        <v>1563</v>
      </c>
      <c r="F291" t="s">
        <v>1076</v>
      </c>
      <c r="G291" t="s">
        <v>1563</v>
      </c>
      <c r="H291" s="736" t="s">
        <v>1077</v>
      </c>
      <c r="I291" t="s">
        <v>309</v>
      </c>
      <c r="J291" t="s">
        <v>1563</v>
      </c>
      <c r="K291">
        <v>1</v>
      </c>
      <c r="L291" s="736">
        <v>1</v>
      </c>
      <c r="M291" s="736" t="s">
        <v>42</v>
      </c>
      <c r="N291" s="736">
        <v>1</v>
      </c>
      <c r="O291" s="736">
        <v>1</v>
      </c>
      <c r="P291" s="736">
        <v>1</v>
      </c>
      <c r="Q291" s="736" t="s">
        <v>1563</v>
      </c>
      <c r="R291" s="736">
        <v>1</v>
      </c>
      <c r="S291">
        <v>1</v>
      </c>
      <c r="T291">
        <v>1</v>
      </c>
      <c r="U291" t="s">
        <v>1563</v>
      </c>
      <c r="V291" t="s">
        <v>1563</v>
      </c>
      <c r="W291" t="s">
        <v>1563</v>
      </c>
      <c r="X291">
        <v>1</v>
      </c>
      <c r="Y291" t="s">
        <v>1563</v>
      </c>
      <c r="Z291" t="s">
        <v>1563</v>
      </c>
      <c r="AA291" t="s">
        <v>1563</v>
      </c>
      <c r="AB291" t="s">
        <v>1563</v>
      </c>
      <c r="AC291" t="s">
        <v>1563</v>
      </c>
      <c r="AD291" t="s">
        <v>1563</v>
      </c>
      <c r="AE291" t="s">
        <v>1563</v>
      </c>
      <c r="AF291" t="s">
        <v>1563</v>
      </c>
      <c r="AG291" t="s">
        <v>1425</v>
      </c>
      <c r="AH291" t="s">
        <v>1563</v>
      </c>
    </row>
    <row r="292" spans="1:34" x14ac:dyDescent="0.25">
      <c r="A292" t="s">
        <v>1078</v>
      </c>
      <c r="B292" t="s">
        <v>1079</v>
      </c>
      <c r="C292" t="s">
        <v>354</v>
      </c>
      <c r="D292" t="s">
        <v>306</v>
      </c>
      <c r="E292" t="s">
        <v>1563</v>
      </c>
      <c r="F292" t="s">
        <v>1080</v>
      </c>
      <c r="G292" t="s">
        <v>1563</v>
      </c>
      <c r="H292" s="736" t="s">
        <v>1081</v>
      </c>
      <c r="I292" t="s">
        <v>330</v>
      </c>
      <c r="J292" t="s">
        <v>1563</v>
      </c>
      <c r="K292">
        <v>1</v>
      </c>
      <c r="L292" s="736">
        <v>1</v>
      </c>
      <c r="M292" s="736" t="s">
        <v>42</v>
      </c>
      <c r="N292" s="736">
        <v>1</v>
      </c>
      <c r="O292" s="736">
        <v>1</v>
      </c>
      <c r="P292" s="736">
        <v>1</v>
      </c>
      <c r="Q292" s="736" t="s">
        <v>46</v>
      </c>
      <c r="R292" s="736">
        <v>1</v>
      </c>
      <c r="S292">
        <v>1</v>
      </c>
      <c r="T292">
        <v>1</v>
      </c>
      <c r="U292" t="s">
        <v>1563</v>
      </c>
      <c r="V292" t="s">
        <v>1563</v>
      </c>
      <c r="W292" t="s">
        <v>1563</v>
      </c>
      <c r="X292">
        <v>1</v>
      </c>
      <c r="Y292" t="s">
        <v>1563</v>
      </c>
      <c r="Z292">
        <v>0</v>
      </c>
      <c r="AA292" t="s">
        <v>1563</v>
      </c>
      <c r="AB292" t="s">
        <v>1563</v>
      </c>
      <c r="AC292" t="s">
        <v>1563</v>
      </c>
      <c r="AD292" t="s">
        <v>1563</v>
      </c>
      <c r="AE292">
        <v>0</v>
      </c>
      <c r="AF292" t="s">
        <v>1563</v>
      </c>
      <c r="AG292" t="s">
        <v>1449</v>
      </c>
      <c r="AH292" t="s">
        <v>1563</v>
      </c>
    </row>
    <row r="293" spans="1:34" x14ac:dyDescent="0.25">
      <c r="A293" t="s">
        <v>1056</v>
      </c>
      <c r="B293" t="s">
        <v>1082</v>
      </c>
      <c r="C293" t="s">
        <v>1058</v>
      </c>
      <c r="D293" t="s">
        <v>306</v>
      </c>
      <c r="E293" t="s">
        <v>1563</v>
      </c>
      <c r="F293" t="s">
        <v>1083</v>
      </c>
      <c r="G293" t="s">
        <v>1563</v>
      </c>
      <c r="H293" s="736" t="s">
        <v>1623</v>
      </c>
      <c r="I293" t="s">
        <v>330</v>
      </c>
      <c r="J293" t="s">
        <v>1563</v>
      </c>
      <c r="K293">
        <v>1</v>
      </c>
      <c r="L293" s="736">
        <v>4</v>
      </c>
      <c r="M293" s="736" t="s">
        <v>42</v>
      </c>
      <c r="N293" s="736">
        <v>1</v>
      </c>
      <c r="O293" s="736">
        <v>4</v>
      </c>
      <c r="P293" s="736">
        <v>1</v>
      </c>
      <c r="Q293" s="736" t="s">
        <v>46</v>
      </c>
      <c r="R293" s="736">
        <v>4</v>
      </c>
      <c r="S293">
        <v>4</v>
      </c>
      <c r="T293">
        <v>4</v>
      </c>
      <c r="U293" t="s">
        <v>1563</v>
      </c>
      <c r="V293" t="s">
        <v>1563</v>
      </c>
      <c r="W293" t="s">
        <v>1563</v>
      </c>
      <c r="X293">
        <v>1</v>
      </c>
      <c r="Y293" t="s">
        <v>1563</v>
      </c>
      <c r="Z293">
        <v>0</v>
      </c>
      <c r="AA293" t="s">
        <v>1563</v>
      </c>
      <c r="AB293" t="s">
        <v>1563</v>
      </c>
      <c r="AC293" t="s">
        <v>1563</v>
      </c>
      <c r="AD293" t="s">
        <v>1563</v>
      </c>
      <c r="AE293">
        <v>0</v>
      </c>
      <c r="AF293" t="s">
        <v>1563</v>
      </c>
      <c r="AG293" t="s">
        <v>1423</v>
      </c>
      <c r="AH293" t="s">
        <v>1563</v>
      </c>
    </row>
    <row r="294" spans="1:34" x14ac:dyDescent="0.25">
      <c r="A294" s="339"/>
      <c r="B294" s="340"/>
      <c r="C294" s="340"/>
      <c r="D294" s="341"/>
      <c r="E294" s="340"/>
      <c r="F294" s="532"/>
      <c r="G294" s="341"/>
      <c r="H294" s="399"/>
      <c r="I294" s="399"/>
      <c r="J294" s="532"/>
      <c r="K294" s="340"/>
      <c r="L294" s="342"/>
      <c r="M294" s="343"/>
      <c r="N294" s="435"/>
      <c r="O294" s="438"/>
      <c r="P294" s="436"/>
      <c r="Q294" s="349"/>
      <c r="R294" s="350"/>
      <c r="S294" s="463"/>
      <c r="T294" s="464"/>
      <c r="U294" s="464"/>
      <c r="V294" s="464"/>
      <c r="W294" s="464"/>
      <c r="X294" s="465"/>
      <c r="Y294" s="351"/>
      <c r="Z294" s="453"/>
      <c r="AA294" s="454"/>
      <c r="AB294" s="454"/>
      <c r="AC294" s="454"/>
      <c r="AD294" s="454"/>
      <c r="AE294" s="455"/>
      <c r="AF294" s="355"/>
      <c r="AG294" s="355"/>
      <c r="AH294" s="359"/>
    </row>
    <row r="295" spans="1:34" x14ac:dyDescent="0.25">
      <c r="A295" s="339"/>
      <c r="B295" s="340"/>
      <c r="C295" s="340"/>
      <c r="D295" s="341"/>
      <c r="E295" s="340"/>
      <c r="F295" s="532"/>
      <c r="G295" s="341"/>
      <c r="H295" s="399"/>
      <c r="I295" s="399"/>
      <c r="J295" s="532"/>
      <c r="K295" s="340"/>
      <c r="L295" s="342"/>
      <c r="M295" s="343"/>
      <c r="N295" s="435"/>
      <c r="O295" s="438"/>
      <c r="P295" s="436"/>
      <c r="Q295" s="349"/>
      <c r="R295" s="350"/>
      <c r="S295" s="463"/>
      <c r="T295" s="464"/>
      <c r="U295" s="464"/>
      <c r="V295" s="464"/>
      <c r="W295" s="464"/>
      <c r="X295" s="465"/>
      <c r="Y295" s="351"/>
      <c r="Z295" s="453"/>
      <c r="AA295" s="454"/>
      <c r="AB295" s="454"/>
      <c r="AC295" s="454"/>
      <c r="AD295" s="454"/>
      <c r="AE295" s="455"/>
      <c r="AF295" s="355"/>
      <c r="AG295" s="355"/>
      <c r="AH295" s="359"/>
    </row>
    <row r="296" spans="1:34" ht="15.75" thickBot="1" x14ac:dyDescent="0.3">
      <c r="A296" s="344"/>
      <c r="B296" s="345"/>
      <c r="C296" s="345"/>
      <c r="D296" s="346"/>
      <c r="E296" s="345"/>
      <c r="F296" s="533"/>
      <c r="G296" s="346"/>
      <c r="H296" s="400"/>
      <c r="I296" s="400"/>
      <c r="J296" s="533"/>
      <c r="K296" s="345"/>
      <c r="L296" s="347"/>
      <c r="M296" s="348"/>
      <c r="N296" s="435"/>
      <c r="O296" s="440"/>
      <c r="P296" s="441"/>
      <c r="Q296" s="352"/>
      <c r="R296" s="353"/>
      <c r="S296" s="466"/>
      <c r="T296" s="467"/>
      <c r="U296" s="467"/>
      <c r="V296" s="467"/>
      <c r="W296" s="467"/>
      <c r="X296" s="468"/>
      <c r="Y296" s="354"/>
      <c r="Z296" s="456"/>
      <c r="AA296" s="457"/>
      <c r="AB296" s="457"/>
      <c r="AC296" s="457"/>
      <c r="AD296" s="457"/>
      <c r="AE296" s="458"/>
      <c r="AF296" s="356"/>
      <c r="AG296" s="356"/>
      <c r="AH296" s="360"/>
    </row>
    <row r="297" spans="1:34" ht="14.45" customHeight="1" x14ac:dyDescent="0.25">
      <c r="A297" s="541" t="s">
        <v>1084</v>
      </c>
      <c r="B297" s="542"/>
      <c r="C297" s="542"/>
      <c r="D297" s="542"/>
      <c r="E297" s="542"/>
      <c r="F297" s="542"/>
      <c r="G297" s="542"/>
      <c r="H297" s="542"/>
      <c r="I297" s="542"/>
      <c r="J297" s="542"/>
      <c r="K297" s="542"/>
      <c r="L297" s="542"/>
      <c r="M297" s="542"/>
      <c r="N297" s="437"/>
      <c r="O297" s="542"/>
      <c r="P297" s="542"/>
      <c r="Q297" s="542"/>
      <c r="R297" s="542"/>
      <c r="S297" s="542"/>
      <c r="T297" s="542"/>
      <c r="U297" s="542"/>
      <c r="V297" s="542"/>
      <c r="W297" s="542"/>
      <c r="X297" s="542"/>
      <c r="Y297" s="542"/>
      <c r="Z297" s="542"/>
      <c r="AA297" s="542"/>
      <c r="AB297" s="542"/>
      <c r="AC297" s="542"/>
      <c r="AD297" s="542"/>
      <c r="AE297" s="542"/>
      <c r="AF297" s="542"/>
      <c r="AG297" s="542"/>
      <c r="AH297" s="543"/>
    </row>
    <row r="298" spans="1:34" ht="15" customHeight="1" thickBot="1" x14ac:dyDescent="0.3">
      <c r="A298" s="544"/>
      <c r="B298" s="545"/>
      <c r="C298" s="545"/>
      <c r="D298" s="545"/>
      <c r="E298" s="545"/>
      <c r="F298" s="545"/>
      <c r="G298" s="545"/>
      <c r="H298" s="545"/>
      <c r="I298" s="545"/>
      <c r="J298" s="545"/>
      <c r="K298" s="545"/>
      <c r="L298" s="545"/>
      <c r="M298" s="545"/>
      <c r="N298" s="437"/>
      <c r="O298" s="545"/>
      <c r="P298" s="545"/>
      <c r="Q298" s="545"/>
      <c r="R298" s="545"/>
      <c r="S298" s="545"/>
      <c r="T298" s="545"/>
      <c r="U298" s="545"/>
      <c r="V298" s="545"/>
      <c r="W298" s="545"/>
      <c r="X298" s="545"/>
      <c r="Y298" s="545"/>
      <c r="Z298" s="545"/>
      <c r="AA298" s="545"/>
      <c r="AB298" s="545"/>
      <c r="AC298" s="545"/>
      <c r="AD298" s="545"/>
      <c r="AE298" s="545"/>
      <c r="AF298" s="545"/>
      <c r="AG298" s="545"/>
      <c r="AH298" s="546"/>
    </row>
    <row r="299" spans="1:34" ht="19.5" thickBot="1" x14ac:dyDescent="0.3">
      <c r="A299" s="630" t="s">
        <v>297</v>
      </c>
      <c r="B299" s="631"/>
      <c r="C299" s="631"/>
      <c r="D299" s="631"/>
      <c r="E299" s="631"/>
      <c r="F299" s="631"/>
      <c r="G299" s="631"/>
      <c r="H299" s="631"/>
      <c r="I299" s="631"/>
      <c r="J299" s="632"/>
      <c r="K299" s="371">
        <f>SUM(K6:K296)</f>
        <v>472</v>
      </c>
      <c r="L299" s="371">
        <f>SUM(L6:L296)</f>
        <v>779</v>
      </c>
      <c r="M299" s="372"/>
      <c r="N299" s="439"/>
      <c r="O299" s="443">
        <f>SUM(O6:O296)</f>
        <v>776</v>
      </c>
      <c r="P299" s="444">
        <f>SUMPRODUCT(L6:L296,P6:P296)/L299</f>
        <v>0.99614890885750962</v>
      </c>
      <c r="Q299" s="373"/>
      <c r="R299" s="374">
        <f>SUM(R6:R296)</f>
        <v>651</v>
      </c>
      <c r="S299" s="445">
        <f>SUM(S6:S296)</f>
        <v>610</v>
      </c>
      <c r="T299" s="445">
        <f>SUM(T6:T296)</f>
        <v>579</v>
      </c>
      <c r="U299" s="445">
        <f>SUM(U6:U296)</f>
        <v>31</v>
      </c>
      <c r="V299" s="374">
        <f>SUM(V6:V296)</f>
        <v>0</v>
      </c>
      <c r="W299" s="374">
        <f>SUM(W6:W296)</f>
        <v>0</v>
      </c>
      <c r="X299" s="446">
        <f>IF((S299=0),0,((T299+U299)/S299*100%))</f>
        <v>1</v>
      </c>
      <c r="Y299" s="375"/>
      <c r="Z299" s="447">
        <f>SUM(Z6:Z296)</f>
        <v>488</v>
      </c>
      <c r="AA299" s="448">
        <f>SUM(AA6:AA296)</f>
        <v>226</v>
      </c>
      <c r="AB299" s="448">
        <f>SUM(AB6:AB296)</f>
        <v>0</v>
      </c>
      <c r="AC299" s="448">
        <f>SUM(AC6:AC296)</f>
        <v>90</v>
      </c>
      <c r="AD299" s="448">
        <f>SUM(AD6:AD296)</f>
        <v>172</v>
      </c>
      <c r="AE299" s="449">
        <f>IF((Z299=0),0,((AA299+AB299)/Z299*100%))</f>
        <v>0.46311475409836067</v>
      </c>
      <c r="AF299" s="376"/>
      <c r="AG299" s="376"/>
      <c r="AH299" s="377"/>
    </row>
    <row r="300" spans="1:34" ht="45" x14ac:dyDescent="0.25">
      <c r="A300" s="315" t="s">
        <v>1085</v>
      </c>
      <c r="B300" s="517" t="s">
        <v>1086</v>
      </c>
      <c r="C300" s="307" t="s">
        <v>1087</v>
      </c>
      <c r="D300" s="308" t="s">
        <v>1016</v>
      </c>
      <c r="E300" s="307"/>
      <c r="F300" s="517" t="s">
        <v>1088</v>
      </c>
      <c r="G300" s="231"/>
      <c r="H300" s="518" t="s">
        <v>1089</v>
      </c>
      <c r="I300" s="518" t="s">
        <v>309</v>
      </c>
      <c r="J300" s="519" t="s">
        <v>1090</v>
      </c>
      <c r="K300" s="520">
        <v>7</v>
      </c>
      <c r="L300" s="521">
        <v>7</v>
      </c>
      <c r="M300" s="401" t="s">
        <v>33</v>
      </c>
      <c r="N300" s="435">
        <v>1</v>
      </c>
      <c r="O300" s="569">
        <v>7</v>
      </c>
      <c r="P300" s="436">
        <f t="shared" ref="P300" si="0">IF((O300=0),0,(O300/L300))</f>
        <v>1</v>
      </c>
      <c r="Q300" s="423" t="s">
        <v>45</v>
      </c>
      <c r="R300" s="308">
        <v>7</v>
      </c>
      <c r="S300" s="461">
        <f t="shared" ref="S300" si="1">SUM(T300:W300)</f>
        <v>7</v>
      </c>
      <c r="T300" s="451">
        <v>7</v>
      </c>
      <c r="U300" s="451"/>
      <c r="V300" s="451"/>
      <c r="W300" s="451"/>
      <c r="X300" s="462">
        <f t="shared" ref="X300" si="2">IF((S300=0),0,((T300+U300)/S300*100%))</f>
        <v>1</v>
      </c>
      <c r="Y300" s="424"/>
      <c r="Z300" s="450">
        <f t="shared" ref="Z300" si="3">SUM(AA300:AD300)</f>
        <v>0</v>
      </c>
      <c r="AA300" s="451"/>
      <c r="AB300" s="451"/>
      <c r="AC300" s="451"/>
      <c r="AD300" s="451"/>
      <c r="AE300" s="452">
        <f t="shared" ref="AE300" si="4">IF((Z300=0),0,((AA300+AB300)/Z300*100%))</f>
        <v>0</v>
      </c>
      <c r="AF300" s="531"/>
      <c r="AG300" s="425" t="str">
        <f>VLOOKUP(A300,'Feature Summary'!$A$7:$U$4104,21,FALSE)</f>
        <v>A/B + 8wks</v>
      </c>
      <c r="AH300" s="309"/>
    </row>
    <row r="301" spans="1:34" ht="19.5" thickBot="1" x14ac:dyDescent="0.3">
      <c r="L301" s="170" t="s">
        <v>588</v>
      </c>
      <c r="N301" s="545"/>
    </row>
    <row r="302" spans="1:34" ht="19.5" thickBot="1" x14ac:dyDescent="0.3">
      <c r="N302" s="442">
        <f>SUMPRODUCT(K6:K296,N6:N296)/K299</f>
        <v>1</v>
      </c>
    </row>
  </sheetData>
  <sheetProtection insertColumns="0" insertRows="0" deleteRows="0" sort="0"/>
  <autoFilter ref="A5:AH302" xr:uid="{00000000-0001-0000-0200-000000000000}"/>
  <mergeCells count="8">
    <mergeCell ref="A1:AH1"/>
    <mergeCell ref="A3:AH3"/>
    <mergeCell ref="A2:J2"/>
    <mergeCell ref="A299:J299"/>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F3EA239A-476E-4590-924A-7BA0D177C467}">
          <x14:formula1>
            <xm:f>'List Options'!$E$1:$E$6</xm:f>
          </x14:formula1>
          <xm:sqref>Q294:Q296</xm:sqref>
        </x14:dataValidation>
        <x14:dataValidation type="list" allowBlank="1" showInputMessage="1" showErrorMessage="1" xr:uid="{5513F172-4253-4807-A8CE-34D720193895}">
          <x14:formula1>
            <xm:f>'List Options'!$G$1:$G$3</xm:f>
          </x14:formula1>
          <xm:sqref>M273 M300 M294:M296</xm:sqref>
        </x14:dataValidation>
        <x14:dataValidation type="list" allowBlank="1" showInputMessage="1" showErrorMessage="1" xr:uid="{237AC15D-702E-46B4-89E7-DAB1EF5DAEB1}">
          <x14:formula1>
            <xm:f>'List Options'!$E$1:$E$7</xm:f>
          </x14:formula1>
          <xm:sqref>Q6:Q293 Q300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305"/>
  <sheetViews>
    <sheetView workbookViewId="0">
      <pane ySplit="2" topLeftCell="A173" activePane="bottomLeft" state="frozen"/>
      <selection pane="bottomLeft" activeCell="B185" sqref="B185"/>
    </sheetView>
  </sheetViews>
  <sheetFormatPr defaultColWidth="8.85546875" defaultRowHeight="15" x14ac:dyDescent="0.25"/>
  <cols>
    <col min="1" max="1" width="16.85546875" bestFit="1" customWidth="1"/>
    <col min="2" max="2" width="93.5703125" customWidth="1"/>
    <col min="3" max="3" width="10" bestFit="1" customWidth="1"/>
    <col min="4" max="4" width="15.42578125" bestFit="1" customWidth="1"/>
    <col min="5" max="5" width="11.140625" bestFit="1" customWidth="1"/>
    <col min="6" max="6" width="44.140625" customWidth="1"/>
    <col min="7" max="7" width="15.85546875" customWidth="1"/>
    <col min="8" max="8" width="20.42578125" customWidth="1"/>
  </cols>
  <sheetData>
    <row r="1" spans="1:9" ht="39" customHeight="1" thickBot="1" x14ac:dyDescent="0.35">
      <c r="A1" s="655" t="s">
        <v>1091</v>
      </c>
      <c r="B1" s="656"/>
      <c r="C1" s="656"/>
      <c r="D1" s="656"/>
      <c r="E1" s="656"/>
      <c r="F1" s="656"/>
      <c r="G1" s="656"/>
      <c r="H1" s="656"/>
      <c r="I1" s="657"/>
    </row>
    <row r="2" spans="1:9" s="79" customFormat="1" ht="15.75" thickBot="1" x14ac:dyDescent="0.3">
      <c r="A2" s="380" t="s">
        <v>72</v>
      </c>
      <c r="B2" s="381" t="s">
        <v>76</v>
      </c>
      <c r="C2" s="382" t="s">
        <v>91</v>
      </c>
      <c r="D2" s="382" t="s">
        <v>197</v>
      </c>
      <c r="E2" s="383" t="s">
        <v>1</v>
      </c>
    </row>
    <row r="3" spans="1:9" ht="15.75" thickBot="1" x14ac:dyDescent="0.3">
      <c r="A3" s="523" t="s">
        <v>1092</v>
      </c>
      <c r="B3" s="516" t="s">
        <v>304</v>
      </c>
      <c r="C3" s="509" t="s">
        <v>254</v>
      </c>
      <c r="D3" s="510" t="s">
        <v>34</v>
      </c>
      <c r="E3" s="512" t="s">
        <v>38</v>
      </c>
      <c r="G3" s="274" t="s">
        <v>72</v>
      </c>
      <c r="H3" s="275" t="s">
        <v>1093</v>
      </c>
      <c r="I3" s="505">
        <f>COUNTIFS($D3:$D4204,"Driver") + COUNTIFS($D3:$D4204,"Diagnostics") + COUNTIFS($D3:$D4220,"IPSE")</f>
        <v>136</v>
      </c>
    </row>
    <row r="4" spans="1:9" x14ac:dyDescent="0.25">
      <c r="A4" s="524" t="s">
        <v>1094</v>
      </c>
      <c r="B4" s="517" t="s">
        <v>1095</v>
      </c>
      <c r="C4" s="510" t="s">
        <v>275</v>
      </c>
      <c r="D4" s="510" t="s">
        <v>34</v>
      </c>
      <c r="E4" s="528" t="s">
        <v>33</v>
      </c>
      <c r="G4" s="646" t="s">
        <v>91</v>
      </c>
      <c r="H4" s="276" t="s">
        <v>1096</v>
      </c>
      <c r="I4" s="506">
        <f>COUNTIFS($C3:$C4204,"P1")</f>
        <v>49</v>
      </c>
    </row>
    <row r="5" spans="1:9" x14ac:dyDescent="0.25">
      <c r="A5" s="524" t="s">
        <v>1097</v>
      </c>
      <c r="B5" s="517" t="s">
        <v>972</v>
      </c>
      <c r="C5" s="510" t="s">
        <v>254</v>
      </c>
      <c r="D5" s="510" t="s">
        <v>34</v>
      </c>
      <c r="E5" s="513" t="s">
        <v>38</v>
      </c>
      <c r="G5" s="647"/>
      <c r="H5" s="277" t="s">
        <v>1098</v>
      </c>
      <c r="I5" s="507">
        <f>COUNTIFS($C3:$C4204,"P2")</f>
        <v>93</v>
      </c>
    </row>
    <row r="6" spans="1:9" ht="14.45" customHeight="1" x14ac:dyDescent="0.25">
      <c r="A6" s="524" t="s">
        <v>1099</v>
      </c>
      <c r="B6" s="517" t="s">
        <v>908</v>
      </c>
      <c r="C6" s="510" t="s">
        <v>275</v>
      </c>
      <c r="D6" s="510" t="s">
        <v>34</v>
      </c>
      <c r="E6" s="513" t="s">
        <v>33</v>
      </c>
      <c r="F6" t="s">
        <v>1100</v>
      </c>
      <c r="G6" s="648"/>
      <c r="H6" s="534" t="s">
        <v>1101</v>
      </c>
      <c r="I6" s="535">
        <f>COUNTIFS($C3:$C4204,"P3")</f>
        <v>0</v>
      </c>
    </row>
    <row r="7" spans="1:9" x14ac:dyDescent="0.25">
      <c r="A7" s="524" t="s">
        <v>1102</v>
      </c>
      <c r="B7" s="517" t="s">
        <v>1103</v>
      </c>
      <c r="C7" s="510" t="s">
        <v>44</v>
      </c>
      <c r="D7" s="510" t="s">
        <v>44</v>
      </c>
      <c r="E7" s="513" t="s">
        <v>33</v>
      </c>
      <c r="F7" t="s">
        <v>1104</v>
      </c>
      <c r="G7" s="649" t="s">
        <v>197</v>
      </c>
      <c r="H7" s="276" t="s">
        <v>1105</v>
      </c>
      <c r="I7" s="506">
        <f>COUNTIFS($D3:$D4204,"Diagnostics")</f>
        <v>101</v>
      </c>
    </row>
    <row r="8" spans="1:9" x14ac:dyDescent="0.25">
      <c r="A8" s="524" t="s">
        <v>1106</v>
      </c>
      <c r="B8" s="517" t="s">
        <v>1107</v>
      </c>
      <c r="C8" s="510" t="s">
        <v>254</v>
      </c>
      <c r="D8" s="510" t="s">
        <v>44</v>
      </c>
      <c r="E8" s="513" t="s">
        <v>38</v>
      </c>
      <c r="F8" t="s">
        <v>1108</v>
      </c>
      <c r="G8" s="650"/>
      <c r="H8" s="277" t="s">
        <v>1109</v>
      </c>
      <c r="I8" s="507">
        <f>COUNTIFS($D3:$D4204,"Driver")</f>
        <v>2</v>
      </c>
    </row>
    <row r="9" spans="1:9" x14ac:dyDescent="0.25">
      <c r="A9" s="524"/>
      <c r="B9" s="517"/>
      <c r="C9" s="510"/>
      <c r="D9" s="510"/>
      <c r="E9" s="513"/>
      <c r="G9" s="651"/>
      <c r="H9" s="570" t="s">
        <v>1110</v>
      </c>
      <c r="I9" s="571">
        <f>COUNTIFS($D3:$D4220,"IPSE")</f>
        <v>33</v>
      </c>
    </row>
    <row r="10" spans="1:9" x14ac:dyDescent="0.25">
      <c r="A10" s="524" t="s">
        <v>904</v>
      </c>
      <c r="B10" s="517" t="s">
        <v>905</v>
      </c>
      <c r="C10" s="510" t="s">
        <v>275</v>
      </c>
      <c r="D10" s="510" t="s">
        <v>34</v>
      </c>
      <c r="E10" s="513" t="s">
        <v>33</v>
      </c>
      <c r="G10" s="652"/>
      <c r="H10" s="278" t="s">
        <v>1111</v>
      </c>
      <c r="I10" s="508">
        <f>COUNTIFS($D3:$D4204,"N/A")</f>
        <v>46</v>
      </c>
    </row>
    <row r="11" spans="1:9" ht="15.75" thickBot="1" x14ac:dyDescent="0.3">
      <c r="A11" s="524" t="s">
        <v>1112</v>
      </c>
      <c r="B11" s="517" t="s">
        <v>846</v>
      </c>
      <c r="C11" s="510" t="s">
        <v>254</v>
      </c>
      <c r="D11" s="510" t="s">
        <v>34</v>
      </c>
      <c r="E11" s="513" t="s">
        <v>38</v>
      </c>
      <c r="G11" s="649" t="s">
        <v>1</v>
      </c>
      <c r="H11" s="276" t="s">
        <v>1113</v>
      </c>
      <c r="I11" s="506">
        <f>COUNTIFS($E3:$E4204,"Legacy")</f>
        <v>132</v>
      </c>
    </row>
    <row r="12" spans="1:9" x14ac:dyDescent="0.25">
      <c r="A12" s="524" t="s">
        <v>1114</v>
      </c>
      <c r="B12" s="517" t="s">
        <v>1115</v>
      </c>
      <c r="C12" s="510" t="s">
        <v>275</v>
      </c>
      <c r="D12" s="510" t="s">
        <v>43</v>
      </c>
      <c r="E12" s="513" t="s">
        <v>33</v>
      </c>
      <c r="G12" s="650"/>
      <c r="H12" s="277" t="s">
        <v>1116</v>
      </c>
      <c r="I12" s="507">
        <f>COUNTIFS($E3:$E4204,"Delta")</f>
        <v>32</v>
      </c>
    </row>
    <row r="13" spans="1:9" ht="15.75" thickBot="1" x14ac:dyDescent="0.3">
      <c r="A13" s="524" t="s">
        <v>1117</v>
      </c>
      <c r="B13" s="517" t="s">
        <v>1118</v>
      </c>
      <c r="C13" s="510" t="s">
        <v>275</v>
      </c>
      <c r="D13" s="510" t="s">
        <v>43</v>
      </c>
      <c r="E13" s="513" t="s">
        <v>33</v>
      </c>
      <c r="G13" s="652"/>
      <c r="H13" s="278" t="s">
        <v>1119</v>
      </c>
      <c r="I13" s="508">
        <f>COUNTIFS($E3:$E4204,"New")</f>
        <v>18</v>
      </c>
    </row>
    <row r="14" spans="1:9" ht="15.75" thickBot="1" x14ac:dyDescent="0.3">
      <c r="A14" s="524" t="s">
        <v>1120</v>
      </c>
      <c r="B14" s="517" t="s">
        <v>1121</v>
      </c>
      <c r="C14" s="510" t="s">
        <v>254</v>
      </c>
      <c r="D14" s="510" t="s">
        <v>43</v>
      </c>
      <c r="E14" s="513" t="s">
        <v>38</v>
      </c>
      <c r="G14" s="384" t="s">
        <v>202</v>
      </c>
      <c r="H14" s="653">
        <v>4</v>
      </c>
      <c r="I14" s="654"/>
    </row>
    <row r="15" spans="1:9" x14ac:dyDescent="0.25">
      <c r="A15" s="524" t="s">
        <v>1122</v>
      </c>
      <c r="B15" s="517" t="s">
        <v>1123</v>
      </c>
      <c r="C15" s="510" t="s">
        <v>275</v>
      </c>
      <c r="D15" s="510" t="s">
        <v>43</v>
      </c>
      <c r="E15" s="513" t="s">
        <v>33</v>
      </c>
    </row>
    <row r="16" spans="1:9" x14ac:dyDescent="0.25">
      <c r="A16" s="524" t="s">
        <v>1124</v>
      </c>
      <c r="B16" s="517" t="s">
        <v>1125</v>
      </c>
      <c r="C16" s="510" t="s">
        <v>275</v>
      </c>
      <c r="D16" s="510" t="s">
        <v>44</v>
      </c>
      <c r="E16" s="513" t="s">
        <v>33</v>
      </c>
    </row>
    <row r="17" spans="1:6" x14ac:dyDescent="0.25">
      <c r="A17" s="524" t="s">
        <v>976</v>
      </c>
      <c r="B17" s="517" t="s">
        <v>977</v>
      </c>
      <c r="C17" s="510" t="s">
        <v>44</v>
      </c>
      <c r="D17" s="510" t="s">
        <v>44</v>
      </c>
      <c r="E17" s="513" t="s">
        <v>38</v>
      </c>
      <c r="F17" s="568" t="s">
        <v>1126</v>
      </c>
    </row>
    <row r="18" spans="1:6" x14ac:dyDescent="0.25">
      <c r="A18" s="524" t="s">
        <v>1127</v>
      </c>
      <c r="B18" s="517" t="s">
        <v>394</v>
      </c>
      <c r="C18" s="510" t="s">
        <v>254</v>
      </c>
      <c r="D18" s="510" t="s">
        <v>34</v>
      </c>
      <c r="E18" s="513" t="s">
        <v>33</v>
      </c>
    </row>
    <row r="19" spans="1:6" x14ac:dyDescent="0.25">
      <c r="A19" s="524" t="s">
        <v>914</v>
      </c>
      <c r="B19" s="517" t="s">
        <v>915</v>
      </c>
      <c r="C19" s="510" t="s">
        <v>275</v>
      </c>
      <c r="D19" s="510" t="s">
        <v>34</v>
      </c>
      <c r="E19" s="513" t="s">
        <v>33</v>
      </c>
    </row>
    <row r="20" spans="1:6" x14ac:dyDescent="0.25">
      <c r="A20" s="524" t="s">
        <v>1128</v>
      </c>
      <c r="B20" s="517" t="s">
        <v>1129</v>
      </c>
      <c r="C20" s="510" t="s">
        <v>44</v>
      </c>
      <c r="D20" s="510" t="s">
        <v>44</v>
      </c>
      <c r="E20" s="513" t="s">
        <v>33</v>
      </c>
      <c r="F20" t="s">
        <v>1130</v>
      </c>
    </row>
    <row r="21" spans="1:6" x14ac:dyDescent="0.25">
      <c r="A21" s="524" t="s">
        <v>1131</v>
      </c>
      <c r="B21" s="517" t="s">
        <v>1132</v>
      </c>
      <c r="C21" s="510" t="s">
        <v>44</v>
      </c>
      <c r="D21" s="510" t="s">
        <v>44</v>
      </c>
      <c r="E21" s="513" t="s">
        <v>33</v>
      </c>
      <c r="F21" t="s">
        <v>1126</v>
      </c>
    </row>
    <row r="22" spans="1:6" x14ac:dyDescent="0.25">
      <c r="A22" s="524" t="s">
        <v>1133</v>
      </c>
      <c r="B22" s="517" t="s">
        <v>1134</v>
      </c>
      <c r="C22" s="510" t="s">
        <v>275</v>
      </c>
      <c r="D22" s="510" t="s">
        <v>34</v>
      </c>
      <c r="E22" s="513" t="s">
        <v>38</v>
      </c>
    </row>
    <row r="23" spans="1:6" x14ac:dyDescent="0.25">
      <c r="A23" s="524" t="s">
        <v>1135</v>
      </c>
      <c r="B23" s="517" t="s">
        <v>1136</v>
      </c>
      <c r="C23" s="510" t="s">
        <v>44</v>
      </c>
      <c r="D23" s="510" t="s">
        <v>44</v>
      </c>
      <c r="E23" s="513" t="s">
        <v>33</v>
      </c>
    </row>
    <row r="24" spans="1:6" x14ac:dyDescent="0.25">
      <c r="A24" s="524" t="s">
        <v>1137</v>
      </c>
      <c r="B24" s="517" t="s">
        <v>469</v>
      </c>
      <c r="C24" s="510" t="s">
        <v>275</v>
      </c>
      <c r="D24" s="510" t="s">
        <v>34</v>
      </c>
      <c r="E24" s="513" t="s">
        <v>33</v>
      </c>
    </row>
    <row r="25" spans="1:6" x14ac:dyDescent="0.25">
      <c r="A25" s="524" t="s">
        <v>986</v>
      </c>
      <c r="B25" s="517" t="s">
        <v>987</v>
      </c>
      <c r="C25" s="510" t="s">
        <v>254</v>
      </c>
      <c r="D25" s="510" t="s">
        <v>34</v>
      </c>
      <c r="E25" s="513" t="s">
        <v>38</v>
      </c>
    </row>
    <row r="26" spans="1:6" ht="90" x14ac:dyDescent="0.25">
      <c r="A26" s="524" t="s">
        <v>1138</v>
      </c>
      <c r="B26" s="517" t="s">
        <v>1139</v>
      </c>
      <c r="C26" s="510" t="s">
        <v>275</v>
      </c>
      <c r="D26" s="510" t="s">
        <v>34</v>
      </c>
      <c r="E26" s="513" t="s">
        <v>33</v>
      </c>
    </row>
    <row r="27" spans="1:6" x14ac:dyDescent="0.25">
      <c r="A27" s="524" t="s">
        <v>918</v>
      </c>
      <c r="B27" s="517" t="s">
        <v>919</v>
      </c>
      <c r="C27" s="510" t="s">
        <v>254</v>
      </c>
      <c r="D27" s="510" t="s">
        <v>34</v>
      </c>
      <c r="E27" s="513" t="s">
        <v>38</v>
      </c>
    </row>
    <row r="28" spans="1:6" x14ac:dyDescent="0.25">
      <c r="A28" s="524" t="s">
        <v>1140</v>
      </c>
      <c r="B28" s="517" t="s">
        <v>1141</v>
      </c>
      <c r="C28" s="510" t="s">
        <v>44</v>
      </c>
      <c r="D28" s="510" t="s">
        <v>44</v>
      </c>
      <c r="E28" s="513" t="s">
        <v>33</v>
      </c>
    </row>
    <row r="29" spans="1:6" x14ac:dyDescent="0.25">
      <c r="A29" s="524" t="s">
        <v>1142</v>
      </c>
      <c r="B29" s="517" t="s">
        <v>1143</v>
      </c>
      <c r="C29" s="510" t="s">
        <v>44</v>
      </c>
      <c r="D29" s="510" t="s">
        <v>44</v>
      </c>
      <c r="E29" s="513" t="s">
        <v>33</v>
      </c>
      <c r="F29" t="s">
        <v>1130</v>
      </c>
    </row>
    <row r="30" spans="1:6" x14ac:dyDescent="0.25">
      <c r="A30" s="524" t="s">
        <v>442</v>
      </c>
      <c r="B30" s="517" t="s">
        <v>402</v>
      </c>
      <c r="C30" s="510" t="s">
        <v>254</v>
      </c>
      <c r="D30" s="510" t="s">
        <v>34</v>
      </c>
      <c r="E30" s="513" t="s">
        <v>33</v>
      </c>
    </row>
    <row r="31" spans="1:6" x14ac:dyDescent="0.25">
      <c r="A31" s="524" t="s">
        <v>927</v>
      </c>
      <c r="B31" s="517" t="s">
        <v>928</v>
      </c>
      <c r="C31" s="510" t="s">
        <v>254</v>
      </c>
      <c r="D31" s="510" t="s">
        <v>34</v>
      </c>
      <c r="E31" s="513" t="s">
        <v>33</v>
      </c>
    </row>
    <row r="32" spans="1:6" x14ac:dyDescent="0.25">
      <c r="A32" s="524" t="s">
        <v>1144</v>
      </c>
      <c r="B32" s="517" t="s">
        <v>933</v>
      </c>
      <c r="C32" s="510" t="s">
        <v>275</v>
      </c>
      <c r="D32" s="510" t="s">
        <v>34</v>
      </c>
      <c r="E32" s="513" t="s">
        <v>33</v>
      </c>
      <c r="F32" t="s">
        <v>1145</v>
      </c>
    </row>
    <row r="33" spans="1:6" x14ac:dyDescent="0.25">
      <c r="A33" s="524" t="s">
        <v>1146</v>
      </c>
      <c r="B33" s="517" t="s">
        <v>1147</v>
      </c>
      <c r="C33" s="510" t="s">
        <v>254</v>
      </c>
      <c r="D33" s="510" t="s">
        <v>34</v>
      </c>
      <c r="E33" s="513" t="s">
        <v>33</v>
      </c>
      <c r="F33" t="s">
        <v>1148</v>
      </c>
    </row>
    <row r="34" spans="1:6" x14ac:dyDescent="0.25">
      <c r="A34" s="524" t="s">
        <v>793</v>
      </c>
      <c r="B34" s="517" t="s">
        <v>794</v>
      </c>
      <c r="C34" s="510" t="s">
        <v>275</v>
      </c>
      <c r="D34" s="510" t="s">
        <v>34</v>
      </c>
      <c r="E34" s="513" t="s">
        <v>33</v>
      </c>
    </row>
    <row r="35" spans="1:6" x14ac:dyDescent="0.25">
      <c r="A35" s="524" t="s">
        <v>1149</v>
      </c>
      <c r="B35" s="517" t="s">
        <v>1150</v>
      </c>
      <c r="C35" s="510" t="s">
        <v>44</v>
      </c>
      <c r="D35" s="510" t="s">
        <v>44</v>
      </c>
      <c r="E35" s="513" t="s">
        <v>33</v>
      </c>
      <c r="F35" t="s">
        <v>1151</v>
      </c>
    </row>
    <row r="36" spans="1:6" x14ac:dyDescent="0.25">
      <c r="A36" s="524" t="s">
        <v>1152</v>
      </c>
      <c r="B36" s="517" t="s">
        <v>1153</v>
      </c>
      <c r="C36" s="510" t="s">
        <v>44</v>
      </c>
      <c r="D36" s="510" t="s">
        <v>44</v>
      </c>
      <c r="E36" s="513" t="s">
        <v>33</v>
      </c>
      <c r="F36" t="s">
        <v>1154</v>
      </c>
    </row>
    <row r="37" spans="1:6" x14ac:dyDescent="0.25">
      <c r="A37" s="524" t="s">
        <v>934</v>
      </c>
      <c r="B37" s="517" t="s">
        <v>935</v>
      </c>
      <c r="C37" s="510" t="s">
        <v>275</v>
      </c>
      <c r="D37" s="510" t="s">
        <v>34</v>
      </c>
      <c r="E37" s="513" t="s">
        <v>33</v>
      </c>
      <c r="F37" t="s">
        <v>1155</v>
      </c>
    </row>
    <row r="38" spans="1:6" x14ac:dyDescent="0.25">
      <c r="A38" s="524" t="s">
        <v>412</v>
      </c>
      <c r="B38" s="517" t="s">
        <v>413</v>
      </c>
      <c r="C38" s="510" t="s">
        <v>275</v>
      </c>
      <c r="D38" s="510" t="s">
        <v>34</v>
      </c>
      <c r="E38" s="513" t="s">
        <v>33</v>
      </c>
    </row>
    <row r="39" spans="1:6" x14ac:dyDescent="0.25">
      <c r="A39" s="524" t="s">
        <v>499</v>
      </c>
      <c r="B39" s="517" t="s">
        <v>500</v>
      </c>
      <c r="C39" s="510" t="s">
        <v>275</v>
      </c>
      <c r="D39" s="510" t="s">
        <v>34</v>
      </c>
      <c r="E39" s="513" t="s">
        <v>33</v>
      </c>
    </row>
    <row r="40" spans="1:6" x14ac:dyDescent="0.25">
      <c r="A40" s="524" t="s">
        <v>455</v>
      </c>
      <c r="B40" s="517" t="s">
        <v>456</v>
      </c>
      <c r="C40" s="510" t="s">
        <v>275</v>
      </c>
      <c r="D40" s="510" t="s">
        <v>34</v>
      </c>
      <c r="E40" s="513" t="s">
        <v>33</v>
      </c>
    </row>
    <row r="41" spans="1:6" x14ac:dyDescent="0.25">
      <c r="A41" s="524" t="s">
        <v>1156</v>
      </c>
      <c r="B41" s="517" t="s">
        <v>474</v>
      </c>
      <c r="C41" s="510" t="s">
        <v>275</v>
      </c>
      <c r="D41" s="510" t="s">
        <v>34</v>
      </c>
      <c r="E41" s="513" t="s">
        <v>33</v>
      </c>
    </row>
    <row r="42" spans="1:6" x14ac:dyDescent="0.25">
      <c r="A42" s="524" t="s">
        <v>495</v>
      </c>
      <c r="B42" s="517" t="s">
        <v>496</v>
      </c>
      <c r="C42" s="510" t="s">
        <v>275</v>
      </c>
      <c r="D42" s="510" t="s">
        <v>34</v>
      </c>
      <c r="E42" s="513" t="s">
        <v>33</v>
      </c>
    </row>
    <row r="43" spans="1:6" ht="30" x14ac:dyDescent="0.25">
      <c r="A43" s="524" t="s">
        <v>512</v>
      </c>
      <c r="B43" s="517" t="s">
        <v>513</v>
      </c>
      <c r="C43" s="510" t="s">
        <v>275</v>
      </c>
      <c r="D43" s="510" t="s">
        <v>34</v>
      </c>
      <c r="E43" s="513" t="s">
        <v>33</v>
      </c>
    </row>
    <row r="44" spans="1:6" ht="30" x14ac:dyDescent="0.25">
      <c r="A44" s="524" t="s">
        <v>517</v>
      </c>
      <c r="B44" s="517" t="s">
        <v>518</v>
      </c>
      <c r="C44" s="510" t="s">
        <v>275</v>
      </c>
      <c r="D44" s="510" t="s">
        <v>34</v>
      </c>
      <c r="E44" s="513" t="s">
        <v>33</v>
      </c>
    </row>
    <row r="45" spans="1:6" ht="30" x14ac:dyDescent="0.25">
      <c r="A45" s="524" t="s">
        <v>1157</v>
      </c>
      <c r="B45" s="517" t="s">
        <v>1158</v>
      </c>
      <c r="C45" s="510" t="s">
        <v>275</v>
      </c>
      <c r="D45" s="510" t="s">
        <v>34</v>
      </c>
      <c r="E45" s="513" t="s">
        <v>33</v>
      </c>
    </row>
    <row r="46" spans="1:6" x14ac:dyDescent="0.25">
      <c r="A46" s="524" t="s">
        <v>1159</v>
      </c>
      <c r="B46" s="517" t="s">
        <v>461</v>
      </c>
      <c r="C46" s="510" t="s">
        <v>275</v>
      </c>
      <c r="D46" s="510" t="s">
        <v>34</v>
      </c>
      <c r="E46" s="513" t="s">
        <v>33</v>
      </c>
    </row>
    <row r="47" spans="1:6" x14ac:dyDescent="0.25">
      <c r="A47" s="524" t="s">
        <v>464</v>
      </c>
      <c r="B47" s="517" t="s">
        <v>465</v>
      </c>
      <c r="C47" s="510" t="s">
        <v>254</v>
      </c>
      <c r="D47" s="510" t="s">
        <v>34</v>
      </c>
      <c r="E47" s="513" t="s">
        <v>38</v>
      </c>
    </row>
    <row r="48" spans="1:6" x14ac:dyDescent="0.25">
      <c r="A48" s="524" t="s">
        <v>1160</v>
      </c>
      <c r="B48" s="517" t="s">
        <v>357</v>
      </c>
      <c r="C48" s="510" t="s">
        <v>275</v>
      </c>
      <c r="D48" s="510" t="s">
        <v>34</v>
      </c>
      <c r="E48" s="513" t="s">
        <v>33</v>
      </c>
    </row>
    <row r="49" spans="1:6" x14ac:dyDescent="0.25">
      <c r="A49" s="524" t="s">
        <v>343</v>
      </c>
      <c r="B49" s="517" t="s">
        <v>344</v>
      </c>
      <c r="C49" s="510" t="s">
        <v>254</v>
      </c>
      <c r="D49" s="510" t="s">
        <v>34</v>
      </c>
      <c r="E49" s="513" t="s">
        <v>38</v>
      </c>
    </row>
    <row r="50" spans="1:6" x14ac:dyDescent="0.25">
      <c r="A50" s="524" t="s">
        <v>349</v>
      </c>
      <c r="B50" s="517" t="s">
        <v>350</v>
      </c>
      <c r="C50" s="510" t="s">
        <v>275</v>
      </c>
      <c r="D50" s="510" t="s">
        <v>34</v>
      </c>
      <c r="E50" s="513" t="s">
        <v>33</v>
      </c>
    </row>
    <row r="51" spans="1:6" x14ac:dyDescent="0.25">
      <c r="A51" s="524" t="s">
        <v>505</v>
      </c>
      <c r="B51" s="517" t="s">
        <v>506</v>
      </c>
      <c r="C51" s="510" t="s">
        <v>275</v>
      </c>
      <c r="D51" s="510" t="s">
        <v>34</v>
      </c>
      <c r="E51" s="513" t="s">
        <v>33</v>
      </c>
    </row>
    <row r="52" spans="1:6" x14ac:dyDescent="0.25">
      <c r="A52" s="524" t="s">
        <v>1161</v>
      </c>
      <c r="B52" s="517" t="s">
        <v>1162</v>
      </c>
      <c r="C52" s="510" t="s">
        <v>254</v>
      </c>
      <c r="D52" s="510" t="s">
        <v>34</v>
      </c>
      <c r="E52" s="513" t="s">
        <v>38</v>
      </c>
    </row>
    <row r="53" spans="1:6" ht="29.45" customHeight="1" x14ac:dyDescent="0.25">
      <c r="A53" s="524" t="s">
        <v>1163</v>
      </c>
      <c r="B53" s="517" t="s">
        <v>1164</v>
      </c>
      <c r="C53" s="510" t="s">
        <v>275</v>
      </c>
      <c r="D53" s="510" t="s">
        <v>34</v>
      </c>
      <c r="E53" s="513" t="s">
        <v>33</v>
      </c>
    </row>
    <row r="54" spans="1:6" x14ac:dyDescent="0.25">
      <c r="A54" s="524" t="s">
        <v>946</v>
      </c>
      <c r="B54" s="517" t="s">
        <v>947</v>
      </c>
      <c r="C54" s="510" t="s">
        <v>275</v>
      </c>
      <c r="D54" s="510" t="s">
        <v>34</v>
      </c>
      <c r="E54" s="513" t="s">
        <v>33</v>
      </c>
    </row>
    <row r="55" spans="1:6" x14ac:dyDescent="0.25">
      <c r="A55" s="524" t="s">
        <v>1165</v>
      </c>
      <c r="B55" s="517" t="s">
        <v>1166</v>
      </c>
      <c r="C55" s="510" t="s">
        <v>275</v>
      </c>
      <c r="D55" s="510" t="s">
        <v>34</v>
      </c>
      <c r="E55" s="513" t="s">
        <v>33</v>
      </c>
    </row>
    <row r="56" spans="1:6" x14ac:dyDescent="0.25">
      <c r="A56" s="524" t="s">
        <v>1167</v>
      </c>
      <c r="B56" s="517" t="s">
        <v>1168</v>
      </c>
      <c r="C56" s="510" t="s">
        <v>44</v>
      </c>
      <c r="D56" s="510" t="s">
        <v>44</v>
      </c>
      <c r="E56" s="513" t="s">
        <v>33</v>
      </c>
      <c r="F56" t="s">
        <v>1126</v>
      </c>
    </row>
    <row r="57" spans="1:6" x14ac:dyDescent="0.25">
      <c r="A57" s="524" t="s">
        <v>1169</v>
      </c>
      <c r="B57" s="517" t="s">
        <v>1170</v>
      </c>
      <c r="C57" s="510" t="s">
        <v>44</v>
      </c>
      <c r="D57" s="510" t="s">
        <v>44</v>
      </c>
      <c r="E57" s="513" t="s">
        <v>33</v>
      </c>
      <c r="F57" t="s">
        <v>1171</v>
      </c>
    </row>
    <row r="58" spans="1:6" x14ac:dyDescent="0.25">
      <c r="A58" s="524" t="s">
        <v>1172</v>
      </c>
      <c r="B58" s="517" t="s">
        <v>1173</v>
      </c>
      <c r="C58" s="510" t="s">
        <v>275</v>
      </c>
      <c r="D58" s="510" t="s">
        <v>44</v>
      </c>
      <c r="E58" s="513" t="s">
        <v>33</v>
      </c>
    </row>
    <row r="59" spans="1:6" x14ac:dyDescent="0.25">
      <c r="A59" s="524" t="s">
        <v>1174</v>
      </c>
      <c r="B59" s="517" t="s">
        <v>1175</v>
      </c>
      <c r="C59" s="510" t="s">
        <v>44</v>
      </c>
      <c r="D59" s="510" t="s">
        <v>44</v>
      </c>
      <c r="E59" s="513" t="s">
        <v>33</v>
      </c>
      <c r="F59" t="s">
        <v>1176</v>
      </c>
    </row>
    <row r="60" spans="1:6" x14ac:dyDescent="0.25">
      <c r="A60" s="524" t="s">
        <v>1177</v>
      </c>
      <c r="B60" s="517" t="s">
        <v>1178</v>
      </c>
      <c r="C60" s="510" t="s">
        <v>275</v>
      </c>
      <c r="D60" s="510" t="s">
        <v>34</v>
      </c>
      <c r="E60" s="513" t="s">
        <v>33</v>
      </c>
    </row>
    <row r="61" spans="1:6" x14ac:dyDescent="0.25">
      <c r="A61" s="524" t="s">
        <v>1179</v>
      </c>
      <c r="B61" s="517" t="s">
        <v>1180</v>
      </c>
      <c r="C61" s="510" t="s">
        <v>254</v>
      </c>
      <c r="D61" s="510" t="s">
        <v>34</v>
      </c>
      <c r="E61" s="513" t="s">
        <v>38</v>
      </c>
    </row>
    <row r="62" spans="1:6" ht="30" x14ac:dyDescent="0.25">
      <c r="A62" s="524" t="s">
        <v>1181</v>
      </c>
      <c r="B62" s="517" t="s">
        <v>1182</v>
      </c>
      <c r="C62" s="510" t="s">
        <v>44</v>
      </c>
      <c r="D62" s="510" t="s">
        <v>44</v>
      </c>
      <c r="E62" s="513" t="s">
        <v>38</v>
      </c>
    </row>
    <row r="63" spans="1:6" x14ac:dyDescent="0.25">
      <c r="A63" s="524" t="s">
        <v>1183</v>
      </c>
      <c r="B63" s="517" t="s">
        <v>1184</v>
      </c>
      <c r="C63" s="510" t="s">
        <v>44</v>
      </c>
      <c r="D63" s="510" t="s">
        <v>44</v>
      </c>
      <c r="E63" s="513" t="s">
        <v>33</v>
      </c>
      <c r="F63" t="s">
        <v>1185</v>
      </c>
    </row>
    <row r="64" spans="1:6" x14ac:dyDescent="0.25">
      <c r="A64" s="524" t="s">
        <v>1186</v>
      </c>
      <c r="B64" s="517" t="s">
        <v>1187</v>
      </c>
      <c r="C64" s="510" t="s">
        <v>44</v>
      </c>
      <c r="D64" s="510" t="s">
        <v>44</v>
      </c>
      <c r="E64" s="513" t="s">
        <v>33</v>
      </c>
      <c r="F64" t="s">
        <v>1130</v>
      </c>
    </row>
    <row r="65" spans="1:6" x14ac:dyDescent="0.25">
      <c r="A65" s="524" t="s">
        <v>1188</v>
      </c>
      <c r="B65" s="517" t="s">
        <v>1189</v>
      </c>
      <c r="C65" s="510" t="s">
        <v>275</v>
      </c>
      <c r="D65" s="510" t="s">
        <v>34</v>
      </c>
      <c r="E65" s="513" t="s">
        <v>33</v>
      </c>
    </row>
    <row r="66" spans="1:6" x14ac:dyDescent="0.25">
      <c r="A66" s="524" t="s">
        <v>820</v>
      </c>
      <c r="B66" s="517" t="s">
        <v>821</v>
      </c>
      <c r="C66" s="510" t="s">
        <v>275</v>
      </c>
      <c r="D66" s="510" t="s">
        <v>34</v>
      </c>
      <c r="E66" s="513" t="s">
        <v>33</v>
      </c>
    </row>
    <row r="67" spans="1:6" x14ac:dyDescent="0.25">
      <c r="A67" s="524" t="s">
        <v>894</v>
      </c>
      <c r="B67" s="517" t="s">
        <v>895</v>
      </c>
      <c r="C67" s="510" t="s">
        <v>275</v>
      </c>
      <c r="D67" s="510" t="s">
        <v>34</v>
      </c>
      <c r="E67" s="513" t="s">
        <v>33</v>
      </c>
    </row>
    <row r="68" spans="1:6" x14ac:dyDescent="0.25">
      <c r="A68" s="524" t="s">
        <v>1190</v>
      </c>
      <c r="B68" s="517" t="s">
        <v>1191</v>
      </c>
      <c r="C68" s="510" t="s">
        <v>44</v>
      </c>
      <c r="D68" s="510" t="s">
        <v>44</v>
      </c>
      <c r="E68" s="513" t="s">
        <v>33</v>
      </c>
      <c r="F68" t="s">
        <v>1130</v>
      </c>
    </row>
    <row r="69" spans="1:6" x14ac:dyDescent="0.25">
      <c r="A69" s="524" t="s">
        <v>1192</v>
      </c>
      <c r="B69" s="517" t="s">
        <v>1193</v>
      </c>
      <c r="C69" s="510" t="s">
        <v>44</v>
      </c>
      <c r="D69" s="510" t="s">
        <v>44</v>
      </c>
      <c r="E69" s="513" t="s">
        <v>33</v>
      </c>
      <c r="F69" t="s">
        <v>1130</v>
      </c>
    </row>
    <row r="70" spans="1:6" x14ac:dyDescent="0.25">
      <c r="A70" s="524" t="s">
        <v>1194</v>
      </c>
      <c r="B70" s="517" t="s">
        <v>1195</v>
      </c>
      <c r="C70" s="510" t="s">
        <v>275</v>
      </c>
      <c r="D70" s="510" t="s">
        <v>43</v>
      </c>
      <c r="E70" s="513" t="s">
        <v>33</v>
      </c>
    </row>
    <row r="71" spans="1:6" x14ac:dyDescent="0.25">
      <c r="A71" s="524" t="s">
        <v>1196</v>
      </c>
      <c r="B71" s="517" t="s">
        <v>1197</v>
      </c>
      <c r="C71" s="510" t="s">
        <v>275</v>
      </c>
      <c r="D71" s="510" t="s">
        <v>43</v>
      </c>
      <c r="E71" s="513" t="s">
        <v>33</v>
      </c>
    </row>
    <row r="72" spans="1:6" x14ac:dyDescent="0.25">
      <c r="A72" s="524" t="s">
        <v>1198</v>
      </c>
      <c r="B72" s="517" t="s">
        <v>1199</v>
      </c>
      <c r="C72" s="510" t="s">
        <v>275</v>
      </c>
      <c r="D72" s="510" t="s">
        <v>43</v>
      </c>
      <c r="E72" s="513" t="s">
        <v>33</v>
      </c>
    </row>
    <row r="73" spans="1:6" x14ac:dyDescent="0.25">
      <c r="A73" s="524" t="s">
        <v>1200</v>
      </c>
      <c r="B73" s="517" t="s">
        <v>1201</v>
      </c>
      <c r="C73" s="510" t="s">
        <v>275</v>
      </c>
      <c r="D73" s="510" t="s">
        <v>43</v>
      </c>
      <c r="E73" s="513" t="s">
        <v>33</v>
      </c>
    </row>
    <row r="74" spans="1:6" x14ac:dyDescent="0.25">
      <c r="A74" s="524" t="s">
        <v>883</v>
      </c>
      <c r="B74" s="517" t="s">
        <v>884</v>
      </c>
      <c r="C74" s="510" t="s">
        <v>254</v>
      </c>
      <c r="D74" s="510" t="s">
        <v>34</v>
      </c>
      <c r="E74" s="513" t="s">
        <v>38</v>
      </c>
    </row>
    <row r="75" spans="1:6" x14ac:dyDescent="0.25">
      <c r="A75" s="524" t="s">
        <v>936</v>
      </c>
      <c r="B75" s="517" t="s">
        <v>937</v>
      </c>
      <c r="C75" s="510" t="s">
        <v>275</v>
      </c>
      <c r="D75" s="510" t="s">
        <v>34</v>
      </c>
      <c r="E75" s="513" t="s">
        <v>33</v>
      </c>
      <c r="F75" t="s">
        <v>1202</v>
      </c>
    </row>
    <row r="76" spans="1:6" x14ac:dyDescent="0.25">
      <c r="A76" s="524" t="s">
        <v>1013</v>
      </c>
      <c r="B76" s="517" t="s">
        <v>1014</v>
      </c>
      <c r="C76" s="510" t="s">
        <v>254</v>
      </c>
      <c r="D76" s="510" t="s">
        <v>44</v>
      </c>
      <c r="E76" s="513" t="s">
        <v>38</v>
      </c>
      <c r="F76" t="s">
        <v>1203</v>
      </c>
    </row>
    <row r="77" spans="1:6" x14ac:dyDescent="0.25">
      <c r="A77" s="524" t="s">
        <v>1023</v>
      </c>
      <c r="B77" s="517" t="s">
        <v>1024</v>
      </c>
      <c r="C77" s="510" t="s">
        <v>254</v>
      </c>
      <c r="D77" s="510" t="s">
        <v>34</v>
      </c>
      <c r="E77" s="513" t="s">
        <v>38</v>
      </c>
      <c r="F77" t="s">
        <v>1204</v>
      </c>
    </row>
    <row r="78" spans="1:6" x14ac:dyDescent="0.25">
      <c r="A78" s="524" t="s">
        <v>1205</v>
      </c>
      <c r="B78" s="517" t="s">
        <v>1206</v>
      </c>
      <c r="C78" s="510" t="s">
        <v>44</v>
      </c>
      <c r="D78" s="510" t="s">
        <v>44</v>
      </c>
      <c r="E78" s="513" t="s">
        <v>33</v>
      </c>
      <c r="F78" t="s">
        <v>1204</v>
      </c>
    </row>
    <row r="79" spans="1:6" x14ac:dyDescent="0.25">
      <c r="A79" s="524" t="s">
        <v>1025</v>
      </c>
      <c r="B79" s="517" t="s">
        <v>1026</v>
      </c>
      <c r="C79" s="510" t="s">
        <v>254</v>
      </c>
      <c r="D79" s="510" t="s">
        <v>34</v>
      </c>
      <c r="E79" s="513" t="s">
        <v>42</v>
      </c>
      <c r="F79" t="s">
        <v>1204</v>
      </c>
    </row>
    <row r="80" spans="1:6" x14ac:dyDescent="0.25">
      <c r="A80" s="524" t="s">
        <v>1207</v>
      </c>
      <c r="B80" s="517" t="s">
        <v>1208</v>
      </c>
      <c r="C80" s="510" t="s">
        <v>275</v>
      </c>
      <c r="D80" s="510" t="s">
        <v>43</v>
      </c>
      <c r="E80" s="513" t="s">
        <v>33</v>
      </c>
    </row>
    <row r="81" spans="1:6" x14ac:dyDescent="0.25">
      <c r="A81" s="524" t="s">
        <v>966</v>
      </c>
      <c r="B81" s="517" t="s">
        <v>967</v>
      </c>
      <c r="C81" s="510" t="s">
        <v>254</v>
      </c>
      <c r="D81" s="510" t="s">
        <v>34</v>
      </c>
      <c r="E81" s="513" t="s">
        <v>38</v>
      </c>
    </row>
    <row r="82" spans="1:6" x14ac:dyDescent="0.25">
      <c r="A82" s="524" t="s">
        <v>1209</v>
      </c>
      <c r="B82" s="517" t="s">
        <v>1210</v>
      </c>
      <c r="C82" s="510" t="s">
        <v>275</v>
      </c>
      <c r="D82" s="510" t="s">
        <v>43</v>
      </c>
      <c r="E82" s="513" t="s">
        <v>33</v>
      </c>
    </row>
    <row r="83" spans="1:6" x14ac:dyDescent="0.25">
      <c r="A83" s="524" t="s">
        <v>1211</v>
      </c>
      <c r="B83" s="517" t="s">
        <v>1212</v>
      </c>
      <c r="C83" s="510" t="s">
        <v>275</v>
      </c>
      <c r="D83" s="510" t="s">
        <v>43</v>
      </c>
      <c r="E83" s="513" t="s">
        <v>33</v>
      </c>
    </row>
    <row r="84" spans="1:6" x14ac:dyDescent="0.25">
      <c r="A84" s="524" t="s">
        <v>1213</v>
      </c>
      <c r="B84" s="517" t="s">
        <v>1214</v>
      </c>
      <c r="C84" s="510" t="s">
        <v>275</v>
      </c>
      <c r="D84" s="510" t="s">
        <v>43</v>
      </c>
      <c r="E84" s="513" t="s">
        <v>33</v>
      </c>
    </row>
    <row r="85" spans="1:6" x14ac:dyDescent="0.25">
      <c r="A85" s="524" t="s">
        <v>1215</v>
      </c>
      <c r="B85" s="517" t="s">
        <v>1216</v>
      </c>
      <c r="C85" s="510" t="s">
        <v>44</v>
      </c>
      <c r="D85" s="510" t="s">
        <v>44</v>
      </c>
      <c r="E85" s="513" t="s">
        <v>33</v>
      </c>
      <c r="F85" t="s">
        <v>1217</v>
      </c>
    </row>
    <row r="86" spans="1:6" x14ac:dyDescent="0.25">
      <c r="A86" s="524" t="s">
        <v>1048</v>
      </c>
      <c r="B86" s="567" t="s">
        <v>1218</v>
      </c>
      <c r="C86" s="510" t="s">
        <v>254</v>
      </c>
      <c r="D86" s="510" t="s">
        <v>34</v>
      </c>
      <c r="E86" s="513" t="s">
        <v>42</v>
      </c>
    </row>
    <row r="87" spans="1:6" x14ac:dyDescent="0.25">
      <c r="A87" s="524" t="s">
        <v>1219</v>
      </c>
      <c r="B87" s="567" t="s">
        <v>1220</v>
      </c>
      <c r="C87" s="510" t="s">
        <v>275</v>
      </c>
      <c r="D87" s="510" t="s">
        <v>43</v>
      </c>
      <c r="E87" s="513" t="s">
        <v>42</v>
      </c>
      <c r="F87" t="s">
        <v>1221</v>
      </c>
    </row>
    <row r="88" spans="1:6" x14ac:dyDescent="0.25">
      <c r="A88" s="524" t="s">
        <v>1222</v>
      </c>
      <c r="B88" s="567" t="s">
        <v>1223</v>
      </c>
      <c r="C88" s="510" t="s">
        <v>254</v>
      </c>
      <c r="D88" s="510" t="s">
        <v>43</v>
      </c>
      <c r="E88" s="513" t="s">
        <v>42</v>
      </c>
    </row>
    <row r="89" spans="1:6" x14ac:dyDescent="0.25">
      <c r="A89" s="524" t="s">
        <v>1056</v>
      </c>
      <c r="B89" s="567" t="s">
        <v>1224</v>
      </c>
      <c r="C89" s="510" t="s">
        <v>254</v>
      </c>
      <c r="D89" s="510" t="s">
        <v>34</v>
      </c>
      <c r="E89" s="513" t="s">
        <v>42</v>
      </c>
    </row>
    <row r="90" spans="1:6" x14ac:dyDescent="0.25">
      <c r="A90" s="524" t="s">
        <v>1225</v>
      </c>
      <c r="B90" s="567" t="s">
        <v>1226</v>
      </c>
      <c r="C90" s="510" t="s">
        <v>254</v>
      </c>
      <c r="D90" s="510" t="s">
        <v>43</v>
      </c>
      <c r="E90" s="513" t="s">
        <v>42</v>
      </c>
    </row>
    <row r="91" spans="1:6" x14ac:dyDescent="0.25">
      <c r="A91" s="524" t="s">
        <v>1074</v>
      </c>
      <c r="B91" s="567" t="s">
        <v>1075</v>
      </c>
      <c r="C91" s="510" t="s">
        <v>254</v>
      </c>
      <c r="D91" s="510" t="s">
        <v>34</v>
      </c>
      <c r="E91" s="513" t="s">
        <v>42</v>
      </c>
    </row>
    <row r="92" spans="1:6" x14ac:dyDescent="0.25">
      <c r="A92" s="524" t="s">
        <v>1078</v>
      </c>
      <c r="B92" s="567" t="s">
        <v>1079</v>
      </c>
      <c r="C92" s="510" t="s">
        <v>254</v>
      </c>
      <c r="D92" s="510" t="s">
        <v>34</v>
      </c>
      <c r="E92" s="513" t="s">
        <v>42</v>
      </c>
    </row>
    <row r="93" spans="1:6" x14ac:dyDescent="0.25">
      <c r="A93" s="524" t="s">
        <v>1227</v>
      </c>
      <c r="B93" s="567" t="s">
        <v>1228</v>
      </c>
      <c r="C93" s="510" t="s">
        <v>254</v>
      </c>
      <c r="D93" s="510" t="s">
        <v>43</v>
      </c>
      <c r="E93" s="513" t="s">
        <v>42</v>
      </c>
    </row>
    <row r="94" spans="1:6" x14ac:dyDescent="0.25">
      <c r="A94" s="524" t="s">
        <v>1229</v>
      </c>
      <c r="B94" s="567" t="s">
        <v>1230</v>
      </c>
      <c r="C94" s="510" t="s">
        <v>275</v>
      </c>
      <c r="D94" s="510" t="s">
        <v>44</v>
      </c>
      <c r="E94" s="513" t="s">
        <v>33</v>
      </c>
      <c r="F94" t="s">
        <v>1231</v>
      </c>
    </row>
    <row r="95" spans="1:6" x14ac:dyDescent="0.25">
      <c r="A95" s="524" t="s">
        <v>1232</v>
      </c>
      <c r="B95" s="567" t="s">
        <v>1233</v>
      </c>
      <c r="C95" s="510" t="s">
        <v>44</v>
      </c>
      <c r="D95" s="510" t="s">
        <v>44</v>
      </c>
      <c r="E95" s="513" t="s">
        <v>33</v>
      </c>
      <c r="F95" t="s">
        <v>1176</v>
      </c>
    </row>
    <row r="96" spans="1:6" x14ac:dyDescent="0.25">
      <c r="A96" s="524" t="s">
        <v>1234</v>
      </c>
      <c r="B96" s="517" t="s">
        <v>1235</v>
      </c>
      <c r="C96" s="510" t="s">
        <v>254</v>
      </c>
      <c r="D96" s="510" t="s">
        <v>43</v>
      </c>
      <c r="E96" s="513" t="s">
        <v>38</v>
      </c>
    </row>
    <row r="97" spans="1:6" x14ac:dyDescent="0.25">
      <c r="A97" s="524" t="s">
        <v>1236</v>
      </c>
      <c r="B97" s="517" t="s">
        <v>1237</v>
      </c>
      <c r="C97" s="510" t="s">
        <v>254</v>
      </c>
      <c r="D97" s="510" t="s">
        <v>43</v>
      </c>
      <c r="E97" s="513" t="s">
        <v>33</v>
      </c>
    </row>
    <row r="98" spans="1:6" x14ac:dyDescent="0.25">
      <c r="A98" s="524" t="s">
        <v>1238</v>
      </c>
      <c r="B98" s="517" t="s">
        <v>1239</v>
      </c>
      <c r="C98" s="510" t="s">
        <v>254</v>
      </c>
      <c r="D98" s="510" t="s">
        <v>43</v>
      </c>
      <c r="E98" s="513" t="s">
        <v>38</v>
      </c>
      <c r="F98" t="s">
        <v>1240</v>
      </c>
    </row>
    <row r="99" spans="1:6" x14ac:dyDescent="0.25">
      <c r="A99" s="524" t="s">
        <v>1241</v>
      </c>
      <c r="B99" s="517" t="s">
        <v>1242</v>
      </c>
      <c r="C99" s="510" t="s">
        <v>275</v>
      </c>
      <c r="D99" s="510" t="s">
        <v>43</v>
      </c>
      <c r="E99" s="513" t="s">
        <v>33</v>
      </c>
    </row>
    <row r="100" spans="1:6" x14ac:dyDescent="0.25">
      <c r="A100" s="524" t="s">
        <v>1243</v>
      </c>
      <c r="B100" s="517" t="s">
        <v>1244</v>
      </c>
      <c r="C100" s="510" t="s">
        <v>44</v>
      </c>
      <c r="D100" s="510" t="s">
        <v>44</v>
      </c>
      <c r="E100" s="513" t="s">
        <v>33</v>
      </c>
      <c r="F100" t="s">
        <v>1130</v>
      </c>
    </row>
    <row r="101" spans="1:6" x14ac:dyDescent="0.25">
      <c r="A101" s="524" t="s">
        <v>539</v>
      </c>
      <c r="B101" s="517" t="s">
        <v>1245</v>
      </c>
      <c r="C101" s="510" t="s">
        <v>44</v>
      </c>
      <c r="D101" s="510" t="s">
        <v>44</v>
      </c>
      <c r="E101" s="513" t="s">
        <v>38</v>
      </c>
      <c r="F101" t="s">
        <v>1130</v>
      </c>
    </row>
    <row r="102" spans="1:6" ht="45" x14ac:dyDescent="0.25">
      <c r="A102" s="524" t="s">
        <v>938</v>
      </c>
      <c r="B102" s="517" t="s">
        <v>923</v>
      </c>
      <c r="C102" s="510" t="s">
        <v>275</v>
      </c>
      <c r="D102" s="510" t="s">
        <v>34</v>
      </c>
      <c r="E102" s="513" t="s">
        <v>33</v>
      </c>
      <c r="F102" s="236" t="s">
        <v>1246</v>
      </c>
    </row>
    <row r="103" spans="1:6" ht="30" x14ac:dyDescent="0.25">
      <c r="A103" s="524" t="s">
        <v>1247</v>
      </c>
      <c r="B103" s="517" t="s">
        <v>1248</v>
      </c>
      <c r="C103" s="510" t="s">
        <v>44</v>
      </c>
      <c r="D103" s="510" t="s">
        <v>44</v>
      </c>
      <c r="E103" s="513" t="s">
        <v>33</v>
      </c>
      <c r="F103" t="s">
        <v>1249</v>
      </c>
    </row>
    <row r="104" spans="1:6" x14ac:dyDescent="0.25">
      <c r="A104" s="524" t="s">
        <v>548</v>
      </c>
      <c r="B104" s="517" t="s">
        <v>549</v>
      </c>
      <c r="C104" s="510" t="s">
        <v>254</v>
      </c>
      <c r="D104" s="510" t="s">
        <v>34</v>
      </c>
      <c r="E104" s="513" t="s">
        <v>33</v>
      </c>
    </row>
    <row r="105" spans="1:6" x14ac:dyDescent="0.25">
      <c r="A105" s="524" t="s">
        <v>939</v>
      </c>
      <c r="B105" s="517" t="s">
        <v>940</v>
      </c>
      <c r="C105" s="510" t="s">
        <v>275</v>
      </c>
      <c r="D105" s="510" t="s">
        <v>34</v>
      </c>
      <c r="E105" s="513" t="s">
        <v>33</v>
      </c>
    </row>
    <row r="106" spans="1:6" x14ac:dyDescent="0.25">
      <c r="A106" s="524" t="s">
        <v>811</v>
      </c>
      <c r="B106" s="517" t="s">
        <v>812</v>
      </c>
      <c r="C106" s="510" t="s">
        <v>275</v>
      </c>
      <c r="D106" s="510" t="s">
        <v>34</v>
      </c>
      <c r="E106" s="513" t="s">
        <v>33</v>
      </c>
    </row>
    <row r="107" spans="1:6" x14ac:dyDescent="0.25">
      <c r="A107" s="524" t="s">
        <v>1250</v>
      </c>
      <c r="B107" s="517" t="s">
        <v>1251</v>
      </c>
      <c r="C107" s="510" t="s">
        <v>44</v>
      </c>
      <c r="D107" s="510" t="s">
        <v>44</v>
      </c>
      <c r="E107" s="513" t="s">
        <v>38</v>
      </c>
      <c r="F107" t="s">
        <v>1126</v>
      </c>
    </row>
    <row r="108" spans="1:6" x14ac:dyDescent="0.25">
      <c r="A108" s="524" t="s">
        <v>647</v>
      </c>
      <c r="B108" s="517" t="s">
        <v>1252</v>
      </c>
      <c r="C108" s="510" t="s">
        <v>44</v>
      </c>
      <c r="D108" s="510" t="s">
        <v>44</v>
      </c>
      <c r="E108" s="513" t="s">
        <v>42</v>
      </c>
      <c r="F108" t="s">
        <v>1253</v>
      </c>
    </row>
    <row r="109" spans="1:6" x14ac:dyDescent="0.25">
      <c r="A109" s="524" t="s">
        <v>700</v>
      </c>
      <c r="B109" s="517" t="s">
        <v>701</v>
      </c>
      <c r="C109" s="510" t="s">
        <v>275</v>
      </c>
      <c r="D109" s="510" t="s">
        <v>34</v>
      </c>
      <c r="E109" s="513" t="s">
        <v>33</v>
      </c>
    </row>
    <row r="110" spans="1:6" x14ac:dyDescent="0.25">
      <c r="A110" s="524" t="s">
        <v>709</v>
      </c>
      <c r="B110" s="517" t="s">
        <v>710</v>
      </c>
      <c r="C110" s="510" t="s">
        <v>275</v>
      </c>
      <c r="D110" s="510" t="s">
        <v>34</v>
      </c>
      <c r="E110" s="513" t="s">
        <v>33</v>
      </c>
    </row>
    <row r="111" spans="1:6" x14ac:dyDescent="0.25">
      <c r="A111" s="524" t="s">
        <v>1254</v>
      </c>
      <c r="B111" s="517" t="s">
        <v>661</v>
      </c>
      <c r="C111" s="510" t="s">
        <v>275</v>
      </c>
      <c r="D111" s="510" t="s">
        <v>34</v>
      </c>
      <c r="E111" s="513" t="s">
        <v>33</v>
      </c>
    </row>
    <row r="112" spans="1:6" x14ac:dyDescent="0.25">
      <c r="A112" s="524" t="s">
        <v>943</v>
      </c>
      <c r="B112" s="517" t="s">
        <v>944</v>
      </c>
      <c r="C112" s="510" t="s">
        <v>275</v>
      </c>
      <c r="D112" s="510" t="s">
        <v>34</v>
      </c>
      <c r="E112" s="513" t="s">
        <v>33</v>
      </c>
      <c r="F112" t="s">
        <v>1255</v>
      </c>
    </row>
    <row r="113" spans="1:6" x14ac:dyDescent="0.25">
      <c r="A113" s="524" t="s">
        <v>1256</v>
      </c>
      <c r="B113" s="517" t="s">
        <v>1257</v>
      </c>
      <c r="C113" s="510" t="s">
        <v>44</v>
      </c>
      <c r="D113" s="510" t="s">
        <v>44</v>
      </c>
      <c r="E113" s="513" t="s">
        <v>33</v>
      </c>
      <c r="F113" t="s">
        <v>1258</v>
      </c>
    </row>
    <row r="114" spans="1:6" x14ac:dyDescent="0.25">
      <c r="A114" s="524" t="s">
        <v>1259</v>
      </c>
      <c r="B114" s="517" t="s">
        <v>945</v>
      </c>
      <c r="C114" s="510" t="s">
        <v>254</v>
      </c>
      <c r="D114" s="510" t="s">
        <v>34</v>
      </c>
      <c r="E114" s="513" t="s">
        <v>38</v>
      </c>
      <c r="F114" t="s">
        <v>1260</v>
      </c>
    </row>
    <row r="115" spans="1:6" ht="45" x14ac:dyDescent="0.25">
      <c r="A115" s="524" t="s">
        <v>1261</v>
      </c>
      <c r="B115" s="517" t="s">
        <v>1262</v>
      </c>
      <c r="C115" s="510" t="s">
        <v>275</v>
      </c>
      <c r="D115" s="510" t="s">
        <v>34</v>
      </c>
      <c r="E115" s="513" t="s">
        <v>33</v>
      </c>
      <c r="F115" t="s">
        <v>1260</v>
      </c>
    </row>
    <row r="116" spans="1:6" ht="30" x14ac:dyDescent="0.25">
      <c r="A116" s="524" t="s">
        <v>714</v>
      </c>
      <c r="B116" s="517" t="s">
        <v>715</v>
      </c>
      <c r="C116" s="510" t="s">
        <v>275</v>
      </c>
      <c r="D116" s="510" t="s">
        <v>34</v>
      </c>
      <c r="E116" s="513" t="s">
        <v>33</v>
      </c>
    </row>
    <row r="117" spans="1:6" ht="30" x14ac:dyDescent="0.25">
      <c r="A117" s="524" t="s">
        <v>718</v>
      </c>
      <c r="B117" s="517" t="s">
        <v>719</v>
      </c>
      <c r="C117" s="510" t="s">
        <v>275</v>
      </c>
      <c r="D117" s="510" t="s">
        <v>34</v>
      </c>
      <c r="E117" s="513" t="s">
        <v>33</v>
      </c>
    </row>
    <row r="118" spans="1:6" ht="30" x14ac:dyDescent="0.25">
      <c r="A118" s="524" t="s">
        <v>1263</v>
      </c>
      <c r="B118" s="517" t="s">
        <v>569</v>
      </c>
      <c r="C118" s="510" t="s">
        <v>275</v>
      </c>
      <c r="D118" s="510" t="s">
        <v>34</v>
      </c>
      <c r="E118" s="513" t="s">
        <v>33</v>
      </c>
    </row>
    <row r="119" spans="1:6" x14ac:dyDescent="0.25">
      <c r="A119" s="524" t="s">
        <v>1264</v>
      </c>
      <c r="B119" s="517" t="s">
        <v>638</v>
      </c>
      <c r="C119" s="510" t="s">
        <v>275</v>
      </c>
      <c r="D119" s="510" t="s">
        <v>34</v>
      </c>
      <c r="E119" s="513" t="s">
        <v>33</v>
      </c>
    </row>
    <row r="120" spans="1:6" x14ac:dyDescent="0.25">
      <c r="A120" s="524" t="s">
        <v>1265</v>
      </c>
      <c r="B120" s="517" t="s">
        <v>1252</v>
      </c>
      <c r="C120" s="510" t="s">
        <v>44</v>
      </c>
      <c r="D120" s="510" t="s">
        <v>44</v>
      </c>
      <c r="E120" s="513" t="s">
        <v>42</v>
      </c>
      <c r="F120" t="s">
        <v>1253</v>
      </c>
    </row>
    <row r="121" spans="1:6" x14ac:dyDescent="0.25">
      <c r="A121" s="524" t="s">
        <v>888</v>
      </c>
      <c r="B121" s="517" t="s">
        <v>889</v>
      </c>
      <c r="C121" s="510" t="s">
        <v>275</v>
      </c>
      <c r="D121" s="510" t="s">
        <v>34</v>
      </c>
      <c r="E121" s="513" t="s">
        <v>33</v>
      </c>
      <c r="F121" t="s">
        <v>1266</v>
      </c>
    </row>
    <row r="122" spans="1:6" x14ac:dyDescent="0.25">
      <c r="A122" s="524" t="s">
        <v>1267</v>
      </c>
      <c r="B122" s="517" t="s">
        <v>653</v>
      </c>
      <c r="C122" s="510" t="s">
        <v>275</v>
      </c>
      <c r="D122" s="510" t="s">
        <v>34</v>
      </c>
      <c r="E122" s="513" t="s">
        <v>33</v>
      </c>
    </row>
    <row r="123" spans="1:6" ht="30" x14ac:dyDescent="0.25">
      <c r="A123" s="524" t="s">
        <v>1268</v>
      </c>
      <c r="B123" s="517" t="s">
        <v>1269</v>
      </c>
      <c r="C123" s="510" t="s">
        <v>254</v>
      </c>
      <c r="D123" s="510" t="s">
        <v>34</v>
      </c>
      <c r="E123" s="513" t="s">
        <v>33</v>
      </c>
    </row>
    <row r="124" spans="1:6" x14ac:dyDescent="0.25">
      <c r="A124" s="524" t="s">
        <v>1270</v>
      </c>
      <c r="B124" s="517" t="s">
        <v>579</v>
      </c>
      <c r="C124" s="510" t="s">
        <v>275</v>
      </c>
      <c r="D124" s="510" t="s">
        <v>34</v>
      </c>
      <c r="E124" s="513" t="s">
        <v>33</v>
      </c>
    </row>
    <row r="125" spans="1:6" x14ac:dyDescent="0.25">
      <c r="A125" s="524" t="s">
        <v>555</v>
      </c>
      <c r="B125" s="517" t="s">
        <v>556</v>
      </c>
      <c r="C125" s="510" t="s">
        <v>254</v>
      </c>
      <c r="D125" s="510" t="s">
        <v>34</v>
      </c>
      <c r="E125" s="513" t="s">
        <v>38</v>
      </c>
      <c r="F125" t="s">
        <v>1271</v>
      </c>
    </row>
    <row r="126" spans="1:6" x14ac:dyDescent="0.25">
      <c r="A126" s="524" t="s">
        <v>559</v>
      </c>
      <c r="B126" s="517" t="s">
        <v>560</v>
      </c>
      <c r="C126" s="510" t="s">
        <v>275</v>
      </c>
      <c r="D126" s="510" t="s">
        <v>34</v>
      </c>
      <c r="E126" s="513" t="s">
        <v>38</v>
      </c>
    </row>
    <row r="127" spans="1:6" x14ac:dyDescent="0.25">
      <c r="A127" s="524" t="s">
        <v>704</v>
      </c>
      <c r="B127" s="517" t="s">
        <v>705</v>
      </c>
      <c r="C127" s="510" t="s">
        <v>275</v>
      </c>
      <c r="D127" s="510" t="s">
        <v>34</v>
      </c>
      <c r="E127" s="513" t="s">
        <v>33</v>
      </c>
    </row>
    <row r="128" spans="1:6" x14ac:dyDescent="0.25">
      <c r="A128" s="524" t="s">
        <v>1272</v>
      </c>
      <c r="B128" s="517" t="s">
        <v>1273</v>
      </c>
      <c r="C128" s="510" t="s">
        <v>44</v>
      </c>
      <c r="D128" s="510" t="s">
        <v>44</v>
      </c>
      <c r="E128" s="513" t="s">
        <v>33</v>
      </c>
      <c r="F128" t="s">
        <v>1274</v>
      </c>
    </row>
    <row r="129" spans="1:6" x14ac:dyDescent="0.25">
      <c r="A129" s="524" t="s">
        <v>958</v>
      </c>
      <c r="B129" s="517" t="s">
        <v>959</v>
      </c>
      <c r="C129" s="510" t="s">
        <v>254</v>
      </c>
      <c r="D129" s="510" t="s">
        <v>34</v>
      </c>
      <c r="E129" s="513" t="s">
        <v>38</v>
      </c>
    </row>
    <row r="130" spans="1:6" x14ac:dyDescent="0.25">
      <c r="A130" s="524" t="s">
        <v>387</v>
      </c>
      <c r="B130" s="517" t="s">
        <v>388</v>
      </c>
      <c r="C130" s="510" t="s">
        <v>275</v>
      </c>
      <c r="D130" s="510" t="s">
        <v>34</v>
      </c>
      <c r="E130" s="513" t="s">
        <v>33</v>
      </c>
    </row>
    <row r="131" spans="1:6" x14ac:dyDescent="0.25">
      <c r="A131" s="524" t="s">
        <v>1275</v>
      </c>
      <c r="B131" s="517" t="s">
        <v>1276</v>
      </c>
      <c r="C131" s="510" t="s">
        <v>275</v>
      </c>
      <c r="D131" s="510" t="s">
        <v>34</v>
      </c>
      <c r="E131" s="513" t="s">
        <v>33</v>
      </c>
    </row>
    <row r="132" spans="1:6" x14ac:dyDescent="0.25">
      <c r="A132" s="524" t="s">
        <v>1277</v>
      </c>
      <c r="B132" s="517" t="s">
        <v>1278</v>
      </c>
      <c r="C132" s="510" t="s">
        <v>275</v>
      </c>
      <c r="D132" s="510" t="s">
        <v>39</v>
      </c>
      <c r="E132" s="513" t="s">
        <v>33</v>
      </c>
    </row>
    <row r="133" spans="1:6" x14ac:dyDescent="0.25">
      <c r="A133" s="524" t="s">
        <v>722</v>
      </c>
      <c r="B133" s="517" t="s">
        <v>723</v>
      </c>
      <c r="C133" s="510" t="s">
        <v>44</v>
      </c>
      <c r="D133" s="510" t="s">
        <v>44</v>
      </c>
      <c r="E133" s="513" t="s">
        <v>33</v>
      </c>
      <c r="F133" t="s">
        <v>1126</v>
      </c>
    </row>
    <row r="134" spans="1:6" x14ac:dyDescent="0.25">
      <c r="A134" s="524" t="s">
        <v>1279</v>
      </c>
      <c r="B134" s="517" t="s">
        <v>1280</v>
      </c>
      <c r="C134" s="510" t="s">
        <v>275</v>
      </c>
      <c r="D134" s="510" t="s">
        <v>34</v>
      </c>
      <c r="E134" s="513" t="s">
        <v>33</v>
      </c>
    </row>
    <row r="135" spans="1:6" x14ac:dyDescent="0.25">
      <c r="A135" s="524" t="s">
        <v>1281</v>
      </c>
      <c r="B135" s="517" t="s">
        <v>1282</v>
      </c>
      <c r="C135" s="510" t="s">
        <v>44</v>
      </c>
      <c r="D135" s="510" t="s">
        <v>44</v>
      </c>
      <c r="E135" s="513" t="s">
        <v>33</v>
      </c>
      <c r="F135" t="s">
        <v>1126</v>
      </c>
    </row>
    <row r="136" spans="1:6" x14ac:dyDescent="0.25">
      <c r="A136" s="524" t="s">
        <v>1283</v>
      </c>
      <c r="B136" s="517" t="s">
        <v>1284</v>
      </c>
      <c r="C136" s="510" t="s">
        <v>275</v>
      </c>
      <c r="D136" s="510" t="s">
        <v>34</v>
      </c>
      <c r="E136" s="513" t="s">
        <v>33</v>
      </c>
    </row>
    <row r="137" spans="1:6" x14ac:dyDescent="0.25">
      <c r="A137" s="524" t="s">
        <v>1285</v>
      </c>
      <c r="B137" s="517" t="s">
        <v>1286</v>
      </c>
      <c r="C137" s="510" t="s">
        <v>275</v>
      </c>
      <c r="D137" s="510" t="s">
        <v>44</v>
      </c>
      <c r="E137" s="513" t="s">
        <v>33</v>
      </c>
    </row>
    <row r="138" spans="1:6" x14ac:dyDescent="0.25">
      <c r="A138" s="524" t="s">
        <v>1287</v>
      </c>
      <c r="B138" s="517" t="s">
        <v>1288</v>
      </c>
      <c r="C138" s="510" t="s">
        <v>254</v>
      </c>
      <c r="D138" s="510" t="s">
        <v>34</v>
      </c>
      <c r="E138" s="513" t="s">
        <v>38</v>
      </c>
    </row>
    <row r="139" spans="1:6" x14ac:dyDescent="0.25">
      <c r="A139" s="524" t="s">
        <v>1289</v>
      </c>
      <c r="B139" s="517" t="s">
        <v>1290</v>
      </c>
      <c r="C139" s="510" t="s">
        <v>275</v>
      </c>
      <c r="D139" s="510" t="s">
        <v>34</v>
      </c>
      <c r="E139" s="513" t="s">
        <v>33</v>
      </c>
    </row>
    <row r="140" spans="1:6" x14ac:dyDescent="0.25">
      <c r="A140" s="524" t="s">
        <v>869</v>
      </c>
      <c r="B140" s="517" t="s">
        <v>870</v>
      </c>
      <c r="C140" s="510" t="s">
        <v>254</v>
      </c>
      <c r="D140" s="510" t="s">
        <v>34</v>
      </c>
      <c r="E140" s="513" t="s">
        <v>38</v>
      </c>
      <c r="F140" t="s">
        <v>1271</v>
      </c>
    </row>
    <row r="141" spans="1:6" x14ac:dyDescent="0.25">
      <c r="A141" s="524" t="s">
        <v>984</v>
      </c>
      <c r="B141" s="517" t="s">
        <v>985</v>
      </c>
      <c r="C141" s="510" t="s">
        <v>254</v>
      </c>
      <c r="D141" s="510" t="s">
        <v>34</v>
      </c>
      <c r="E141" s="513" t="s">
        <v>33</v>
      </c>
      <c r="F141" t="s">
        <v>1291</v>
      </c>
    </row>
    <row r="142" spans="1:6" x14ac:dyDescent="0.25">
      <c r="A142" s="524" t="s">
        <v>978</v>
      </c>
      <c r="B142" s="517" t="s">
        <v>979</v>
      </c>
      <c r="C142" s="510" t="s">
        <v>275</v>
      </c>
      <c r="D142" s="510" t="s">
        <v>34</v>
      </c>
      <c r="E142" s="513" t="s">
        <v>33</v>
      </c>
    </row>
    <row r="143" spans="1:6" x14ac:dyDescent="0.25">
      <c r="A143" s="524" t="s">
        <v>1292</v>
      </c>
      <c r="B143" s="517" t="s">
        <v>841</v>
      </c>
      <c r="C143" s="510" t="s">
        <v>44</v>
      </c>
      <c r="D143" s="510" t="s">
        <v>44</v>
      </c>
      <c r="E143" s="513" t="s">
        <v>33</v>
      </c>
    </row>
    <row r="144" spans="1:6" x14ac:dyDescent="0.25">
      <c r="A144" s="524" t="s">
        <v>1293</v>
      </c>
      <c r="B144" s="517" t="s">
        <v>1294</v>
      </c>
      <c r="C144" s="510" t="s">
        <v>275</v>
      </c>
      <c r="D144" s="510" t="s">
        <v>34</v>
      </c>
      <c r="E144" s="513" t="s">
        <v>33</v>
      </c>
    </row>
    <row r="145" spans="1:6" x14ac:dyDescent="0.25">
      <c r="A145" s="524" t="s">
        <v>828</v>
      </c>
      <c r="B145" s="517" t="s">
        <v>829</v>
      </c>
      <c r="C145" s="510" t="s">
        <v>275</v>
      </c>
      <c r="D145" s="510" t="s">
        <v>34</v>
      </c>
      <c r="E145" s="513" t="s">
        <v>33</v>
      </c>
    </row>
    <row r="146" spans="1:6" x14ac:dyDescent="0.25">
      <c r="A146" s="524" t="s">
        <v>982</v>
      </c>
      <c r="B146" s="517" t="s">
        <v>983</v>
      </c>
      <c r="C146" s="510" t="s">
        <v>254</v>
      </c>
      <c r="D146" s="510" t="s">
        <v>34</v>
      </c>
      <c r="E146" s="513" t="s">
        <v>33</v>
      </c>
      <c r="F146" t="s">
        <v>1295</v>
      </c>
    </row>
    <row r="147" spans="1:6" x14ac:dyDescent="0.25">
      <c r="A147" s="524" t="s">
        <v>1296</v>
      </c>
      <c r="B147" s="517" t="s">
        <v>1297</v>
      </c>
      <c r="C147" s="510" t="s">
        <v>44</v>
      </c>
      <c r="D147" s="510" t="s">
        <v>44</v>
      </c>
      <c r="E147" s="513" t="s">
        <v>33</v>
      </c>
      <c r="F147" t="s">
        <v>1298</v>
      </c>
    </row>
    <row r="148" spans="1:6" x14ac:dyDescent="0.25">
      <c r="A148" s="524" t="s">
        <v>690</v>
      </c>
      <c r="B148" s="517" t="s">
        <v>1299</v>
      </c>
      <c r="C148" s="510" t="s">
        <v>275</v>
      </c>
      <c r="D148" s="510" t="s">
        <v>34</v>
      </c>
      <c r="E148" s="513" t="s">
        <v>33</v>
      </c>
    </row>
    <row r="149" spans="1:6" x14ac:dyDescent="0.25">
      <c r="A149" s="524" t="s">
        <v>1300</v>
      </c>
      <c r="B149" s="517" t="s">
        <v>1301</v>
      </c>
      <c r="C149" s="510" t="s">
        <v>44</v>
      </c>
      <c r="D149" s="510" t="s">
        <v>44</v>
      </c>
      <c r="E149" s="513" t="s">
        <v>33</v>
      </c>
      <c r="F149" t="s">
        <v>1302</v>
      </c>
    </row>
    <row r="150" spans="1:6" x14ac:dyDescent="0.25">
      <c r="A150" s="524" t="s">
        <v>968</v>
      </c>
      <c r="B150" s="517" t="s">
        <v>969</v>
      </c>
      <c r="C150" s="510" t="s">
        <v>254</v>
      </c>
      <c r="D150" s="510" t="s">
        <v>34</v>
      </c>
      <c r="E150" s="513" t="s">
        <v>38</v>
      </c>
    </row>
    <row r="151" spans="1:6" x14ac:dyDescent="0.25">
      <c r="A151" s="524" t="s">
        <v>1303</v>
      </c>
      <c r="B151" s="517" t="s">
        <v>1304</v>
      </c>
      <c r="C151" s="510" t="s">
        <v>44</v>
      </c>
      <c r="D151" s="510" t="s">
        <v>44</v>
      </c>
      <c r="E151" s="513" t="s">
        <v>33</v>
      </c>
      <c r="F151" t="s">
        <v>1217</v>
      </c>
    </row>
    <row r="152" spans="1:6" x14ac:dyDescent="0.25">
      <c r="A152" s="524" t="s">
        <v>1305</v>
      </c>
      <c r="B152" s="517" t="s">
        <v>1306</v>
      </c>
      <c r="C152" s="510" t="s">
        <v>254</v>
      </c>
      <c r="D152" s="510" t="s">
        <v>34</v>
      </c>
      <c r="E152" s="513" t="s">
        <v>42</v>
      </c>
    </row>
    <row r="153" spans="1:6" x14ac:dyDescent="0.25">
      <c r="A153" s="524" t="s">
        <v>1307</v>
      </c>
      <c r="B153" s="517" t="s">
        <v>1308</v>
      </c>
      <c r="C153" s="510" t="s">
        <v>254</v>
      </c>
      <c r="D153" s="510" t="s">
        <v>34</v>
      </c>
      <c r="E153" s="513" t="s">
        <v>42</v>
      </c>
    </row>
    <row r="154" spans="1:6" x14ac:dyDescent="0.25">
      <c r="A154" s="524" t="s">
        <v>1309</v>
      </c>
      <c r="B154" s="517" t="s">
        <v>1310</v>
      </c>
      <c r="C154" s="510" t="s">
        <v>254</v>
      </c>
      <c r="D154" s="510" t="s">
        <v>43</v>
      </c>
      <c r="E154" s="513" t="s">
        <v>42</v>
      </c>
    </row>
    <row r="155" spans="1:6" x14ac:dyDescent="0.25">
      <c r="A155" s="524" t="s">
        <v>1052</v>
      </c>
      <c r="B155" s="517" t="s">
        <v>1311</v>
      </c>
      <c r="C155" s="510" t="s">
        <v>254</v>
      </c>
      <c r="D155" s="510" t="s">
        <v>34</v>
      </c>
      <c r="E155" s="513" t="s">
        <v>42</v>
      </c>
    </row>
    <row r="156" spans="1:6" x14ac:dyDescent="0.25">
      <c r="A156" s="524" t="s">
        <v>1312</v>
      </c>
      <c r="B156" s="517" t="s">
        <v>1313</v>
      </c>
      <c r="C156" s="510" t="s">
        <v>254</v>
      </c>
      <c r="D156" s="510" t="s">
        <v>34</v>
      </c>
      <c r="E156" s="513" t="s">
        <v>38</v>
      </c>
    </row>
    <row r="157" spans="1:6" x14ac:dyDescent="0.25">
      <c r="A157" s="524" t="s">
        <v>1314</v>
      </c>
      <c r="B157" s="517" t="s">
        <v>1315</v>
      </c>
      <c r="C157" s="510" t="s">
        <v>275</v>
      </c>
      <c r="D157" s="510" t="s">
        <v>34</v>
      </c>
      <c r="E157" s="513" t="s">
        <v>33</v>
      </c>
      <c r="F157" s="537" t="s">
        <v>1316</v>
      </c>
    </row>
    <row r="158" spans="1:6" x14ac:dyDescent="0.25">
      <c r="A158" s="524" t="s">
        <v>1317</v>
      </c>
      <c r="B158" s="517" t="s">
        <v>1318</v>
      </c>
      <c r="C158" s="510" t="s">
        <v>275</v>
      </c>
      <c r="D158" s="510" t="s">
        <v>43</v>
      </c>
      <c r="E158" s="513" t="s">
        <v>33</v>
      </c>
    </row>
    <row r="159" spans="1:6" x14ac:dyDescent="0.25">
      <c r="A159" s="524" t="s">
        <v>1319</v>
      </c>
      <c r="B159" s="517" t="s">
        <v>1320</v>
      </c>
      <c r="C159" s="510" t="s">
        <v>275</v>
      </c>
      <c r="D159" s="510" t="s">
        <v>34</v>
      </c>
      <c r="E159" s="513" t="s">
        <v>33</v>
      </c>
      <c r="F159" t="s">
        <v>1100</v>
      </c>
    </row>
    <row r="160" spans="1:6" x14ac:dyDescent="0.25">
      <c r="A160" s="524" t="s">
        <v>1321</v>
      </c>
      <c r="B160" s="517" t="s">
        <v>1322</v>
      </c>
      <c r="C160" s="510" t="s">
        <v>44</v>
      </c>
      <c r="D160" s="510" t="s">
        <v>44</v>
      </c>
      <c r="E160" s="513" t="s">
        <v>38</v>
      </c>
      <c r="F160" t="s">
        <v>1302</v>
      </c>
    </row>
    <row r="161" spans="1:6" x14ac:dyDescent="0.25">
      <c r="A161" s="524" t="s">
        <v>1323</v>
      </c>
      <c r="B161" s="517" t="s">
        <v>1324</v>
      </c>
      <c r="C161" s="510" t="s">
        <v>44</v>
      </c>
      <c r="D161" s="510" t="s">
        <v>44</v>
      </c>
      <c r="E161" s="513" t="s">
        <v>33</v>
      </c>
      <c r="F161" t="s">
        <v>1130</v>
      </c>
    </row>
    <row r="162" spans="1:6" x14ac:dyDescent="0.25">
      <c r="A162" s="524" t="s">
        <v>1325</v>
      </c>
      <c r="B162" s="517" t="s">
        <v>1326</v>
      </c>
      <c r="C162" s="510" t="s">
        <v>275</v>
      </c>
      <c r="D162" s="510" t="s">
        <v>43</v>
      </c>
      <c r="E162" s="513" t="s">
        <v>33</v>
      </c>
    </row>
    <row r="163" spans="1:6" ht="30" x14ac:dyDescent="0.25">
      <c r="A163" s="524" t="s">
        <v>724</v>
      </c>
      <c r="B163" s="517" t="s">
        <v>725</v>
      </c>
      <c r="C163" s="510" t="s">
        <v>44</v>
      </c>
      <c r="D163" s="510" t="s">
        <v>44</v>
      </c>
      <c r="E163" s="513" t="s">
        <v>33</v>
      </c>
      <c r="F163" t="s">
        <v>1126</v>
      </c>
    </row>
    <row r="164" spans="1:6" x14ac:dyDescent="0.25">
      <c r="A164" s="524" t="s">
        <v>1327</v>
      </c>
      <c r="B164" s="517" t="s">
        <v>1328</v>
      </c>
      <c r="C164" s="510" t="s">
        <v>275</v>
      </c>
      <c r="D164" s="510" t="s">
        <v>43</v>
      </c>
      <c r="E164" s="513" t="s">
        <v>33</v>
      </c>
    </row>
    <row r="165" spans="1:6" x14ac:dyDescent="0.25">
      <c r="A165" s="524" t="s">
        <v>1329</v>
      </c>
      <c r="B165" s="517" t="s">
        <v>1330</v>
      </c>
      <c r="C165" s="510" t="s">
        <v>275</v>
      </c>
      <c r="D165" s="510" t="s">
        <v>43</v>
      </c>
      <c r="E165" s="513" t="s">
        <v>33</v>
      </c>
    </row>
    <row r="166" spans="1:6" x14ac:dyDescent="0.25">
      <c r="A166" s="524" t="s">
        <v>1331</v>
      </c>
      <c r="B166" s="517" t="s">
        <v>1332</v>
      </c>
      <c r="C166" s="510" t="s">
        <v>275</v>
      </c>
      <c r="D166" s="510" t="s">
        <v>39</v>
      </c>
      <c r="E166" s="513" t="s">
        <v>33</v>
      </c>
    </row>
    <row r="167" spans="1:6" x14ac:dyDescent="0.25">
      <c r="A167" s="524" t="s">
        <v>1027</v>
      </c>
      <c r="B167" s="517" t="s">
        <v>1028</v>
      </c>
      <c r="C167" s="510" t="s">
        <v>275</v>
      </c>
      <c r="D167" s="510" t="s">
        <v>34</v>
      </c>
      <c r="E167" s="513" t="s">
        <v>33</v>
      </c>
      <c r="F167" t="s">
        <v>1333</v>
      </c>
    </row>
    <row r="168" spans="1:6" x14ac:dyDescent="0.25">
      <c r="A168" s="524" t="s">
        <v>1334</v>
      </c>
      <c r="B168" s="517" t="s">
        <v>1335</v>
      </c>
      <c r="C168" s="510" t="s">
        <v>44</v>
      </c>
      <c r="D168" s="510" t="s">
        <v>44</v>
      </c>
      <c r="E168" s="513" t="s">
        <v>33</v>
      </c>
      <c r="F168" t="s">
        <v>1336</v>
      </c>
    </row>
    <row r="169" spans="1:6" x14ac:dyDescent="0.25">
      <c r="A169" s="524" t="s">
        <v>1019</v>
      </c>
      <c r="B169" s="517" t="s">
        <v>1020</v>
      </c>
      <c r="C169" s="510" t="s">
        <v>275</v>
      </c>
      <c r="D169" s="510" t="s">
        <v>34</v>
      </c>
      <c r="E169" s="513" t="s">
        <v>33</v>
      </c>
      <c r="F169" t="s">
        <v>1203</v>
      </c>
    </row>
    <row r="170" spans="1:6" x14ac:dyDescent="0.25">
      <c r="A170" s="524" t="s">
        <v>1337</v>
      </c>
      <c r="B170" s="517" t="s">
        <v>1338</v>
      </c>
      <c r="C170" s="510" t="s">
        <v>44</v>
      </c>
      <c r="D170" s="510" t="s">
        <v>44</v>
      </c>
      <c r="E170" s="513" t="s">
        <v>33</v>
      </c>
      <c r="F170" t="s">
        <v>1203</v>
      </c>
    </row>
    <row r="171" spans="1:6" x14ac:dyDescent="0.25">
      <c r="A171" s="524" t="s">
        <v>1339</v>
      </c>
      <c r="B171" s="517" t="s">
        <v>1340</v>
      </c>
      <c r="C171" s="510" t="s">
        <v>275</v>
      </c>
      <c r="D171" s="510" t="s">
        <v>43</v>
      </c>
      <c r="E171" s="513" t="s">
        <v>33</v>
      </c>
    </row>
    <row r="172" spans="1:6" x14ac:dyDescent="0.25">
      <c r="A172" s="524" t="s">
        <v>1341</v>
      </c>
      <c r="B172" s="517" t="s">
        <v>1342</v>
      </c>
      <c r="C172" s="510" t="s">
        <v>275</v>
      </c>
      <c r="D172" s="510" t="s">
        <v>43</v>
      </c>
      <c r="E172" s="513" t="s">
        <v>33</v>
      </c>
    </row>
    <row r="173" spans="1:6" x14ac:dyDescent="0.25">
      <c r="A173" s="524" t="s">
        <v>1343</v>
      </c>
      <c r="B173" s="517" t="s">
        <v>1344</v>
      </c>
      <c r="C173" s="510" t="s">
        <v>275</v>
      </c>
      <c r="D173" s="510" t="s">
        <v>43</v>
      </c>
      <c r="E173" s="513" t="s">
        <v>33</v>
      </c>
    </row>
    <row r="174" spans="1:6" x14ac:dyDescent="0.25">
      <c r="A174" s="524" t="s">
        <v>1345</v>
      </c>
      <c r="B174" s="517" t="s">
        <v>1346</v>
      </c>
      <c r="C174" s="510" t="s">
        <v>275</v>
      </c>
      <c r="D174" s="510" t="s">
        <v>43</v>
      </c>
      <c r="E174" s="513" t="s">
        <v>33</v>
      </c>
    </row>
    <row r="175" spans="1:6" x14ac:dyDescent="0.25">
      <c r="A175" s="524" t="s">
        <v>1061</v>
      </c>
      <c r="B175" s="517" t="s">
        <v>1062</v>
      </c>
      <c r="C175" s="510" t="s">
        <v>254</v>
      </c>
      <c r="D175" s="510" t="s">
        <v>34</v>
      </c>
      <c r="E175" s="513" t="s">
        <v>42</v>
      </c>
    </row>
    <row r="176" spans="1:6" x14ac:dyDescent="0.25">
      <c r="A176" s="524" t="s">
        <v>1065</v>
      </c>
      <c r="B176" s="517" t="s">
        <v>1066</v>
      </c>
      <c r="C176" s="510" t="s">
        <v>254</v>
      </c>
      <c r="D176" s="510" t="s">
        <v>34</v>
      </c>
      <c r="E176" s="513" t="s">
        <v>42</v>
      </c>
    </row>
    <row r="177" spans="1:6" x14ac:dyDescent="0.25">
      <c r="A177" s="524" t="s">
        <v>1070</v>
      </c>
      <c r="B177" s="517" t="s">
        <v>1071</v>
      </c>
      <c r="C177" s="510" t="s">
        <v>254</v>
      </c>
      <c r="D177" s="510" t="s">
        <v>34</v>
      </c>
      <c r="E177" s="513" t="s">
        <v>42</v>
      </c>
    </row>
    <row r="178" spans="1:6" x14ac:dyDescent="0.25">
      <c r="A178" s="524" t="s">
        <v>1046</v>
      </c>
      <c r="B178" s="517" t="s">
        <v>1047</v>
      </c>
      <c r="C178" s="510" t="s">
        <v>254</v>
      </c>
      <c r="D178" s="510" t="s">
        <v>34</v>
      </c>
      <c r="E178" s="513" t="s">
        <v>38</v>
      </c>
      <c r="F178" t="s">
        <v>1203</v>
      </c>
    </row>
    <row r="179" spans="1:6" x14ac:dyDescent="0.25">
      <c r="A179" s="524" t="s">
        <v>1347</v>
      </c>
      <c r="B179" s="517" t="s">
        <v>1348</v>
      </c>
      <c r="C179" s="510" t="s">
        <v>275</v>
      </c>
      <c r="D179" s="510" t="s">
        <v>43</v>
      </c>
      <c r="E179" s="513" t="s">
        <v>33</v>
      </c>
    </row>
    <row r="180" spans="1:6" x14ac:dyDescent="0.25">
      <c r="A180" s="524" t="s">
        <v>1349</v>
      </c>
      <c r="B180" s="517" t="s">
        <v>1350</v>
      </c>
      <c r="C180" s="510" t="s">
        <v>275</v>
      </c>
      <c r="D180" s="510" t="s">
        <v>43</v>
      </c>
      <c r="E180" s="513" t="s">
        <v>33</v>
      </c>
    </row>
    <row r="181" spans="1:6" x14ac:dyDescent="0.25">
      <c r="A181" s="524" t="s">
        <v>1351</v>
      </c>
      <c r="B181" s="517" t="s">
        <v>1352</v>
      </c>
      <c r="C181" s="510" t="s">
        <v>275</v>
      </c>
      <c r="D181" s="510" t="s">
        <v>43</v>
      </c>
      <c r="E181" s="513" t="s">
        <v>33</v>
      </c>
    </row>
    <row r="182" spans="1:6" x14ac:dyDescent="0.25">
      <c r="A182" s="524" t="s">
        <v>1353</v>
      </c>
      <c r="B182" s="517" t="s">
        <v>1354</v>
      </c>
      <c r="C182" s="510" t="s">
        <v>44</v>
      </c>
      <c r="D182" s="510" t="s">
        <v>44</v>
      </c>
      <c r="E182" s="513" t="s">
        <v>33</v>
      </c>
    </row>
    <row r="183" spans="1:6" x14ac:dyDescent="0.25">
      <c r="A183" s="524" t="s">
        <v>1355</v>
      </c>
      <c r="B183" s="517" t="s">
        <v>1356</v>
      </c>
      <c r="C183" s="510" t="s">
        <v>275</v>
      </c>
      <c r="D183" s="510" t="s">
        <v>43</v>
      </c>
      <c r="E183" s="513" t="s">
        <v>33</v>
      </c>
    </row>
    <row r="184" spans="1:6" x14ac:dyDescent="0.25">
      <c r="A184" s="524" t="s">
        <v>1357</v>
      </c>
      <c r="B184" s="517" t="s">
        <v>1358</v>
      </c>
      <c r="C184" s="510" t="s">
        <v>275</v>
      </c>
      <c r="D184" s="510" t="s">
        <v>34</v>
      </c>
      <c r="E184" s="513" t="s">
        <v>33</v>
      </c>
    </row>
    <row r="185" spans="1:6" x14ac:dyDescent="0.25">
      <c r="A185" s="524" t="s">
        <v>1085</v>
      </c>
      <c r="B185" s="517" t="s">
        <v>1086</v>
      </c>
      <c r="C185" s="510" t="s">
        <v>275</v>
      </c>
      <c r="D185" s="510" t="s">
        <v>34</v>
      </c>
      <c r="E185" s="513" t="s">
        <v>33</v>
      </c>
      <c r="F185" t="s">
        <v>1016</v>
      </c>
    </row>
    <row r="186" spans="1:6" x14ac:dyDescent="0.25">
      <c r="A186" s="524"/>
      <c r="B186" s="517"/>
      <c r="C186" s="510"/>
      <c r="D186" s="510"/>
      <c r="E186" s="513"/>
    </row>
    <row r="187" spans="1:6" x14ac:dyDescent="0.25">
      <c r="A187" s="524"/>
      <c r="B187" s="517"/>
      <c r="C187" s="510"/>
      <c r="D187" s="510"/>
      <c r="E187" s="513"/>
    </row>
    <row r="188" spans="1:6" x14ac:dyDescent="0.25">
      <c r="A188" s="524"/>
      <c r="B188" s="517"/>
      <c r="C188" s="510"/>
      <c r="D188" s="510"/>
      <c r="E188" s="513"/>
    </row>
    <row r="189" spans="1:6" x14ac:dyDescent="0.25">
      <c r="A189" s="524"/>
      <c r="B189" s="517"/>
      <c r="C189" s="510"/>
      <c r="D189" s="510"/>
      <c r="E189" s="513"/>
    </row>
    <row r="190" spans="1:6" x14ac:dyDescent="0.25">
      <c r="A190" s="524"/>
      <c r="B190" s="517"/>
      <c r="C190" s="510"/>
      <c r="D190" s="510"/>
      <c r="E190" s="513"/>
    </row>
    <row r="191" spans="1:6" x14ac:dyDescent="0.25">
      <c r="A191" s="524"/>
      <c r="B191" s="517"/>
      <c r="C191" s="510"/>
      <c r="D191" s="510"/>
      <c r="E191" s="513"/>
    </row>
    <row r="192" spans="1:6" x14ac:dyDescent="0.25">
      <c r="A192" s="524"/>
      <c r="B192" s="517"/>
      <c r="C192" s="510"/>
      <c r="D192" s="510"/>
      <c r="E192" s="513"/>
    </row>
    <row r="193" spans="1:5" x14ac:dyDescent="0.25">
      <c r="A193" s="524"/>
      <c r="B193" s="517"/>
      <c r="C193" s="510"/>
      <c r="D193" s="510"/>
      <c r="E193" s="513"/>
    </row>
    <row r="194" spans="1:5" x14ac:dyDescent="0.25">
      <c r="A194" s="524"/>
      <c r="B194" s="517"/>
      <c r="C194" s="510"/>
      <c r="D194" s="510"/>
      <c r="E194" s="513"/>
    </row>
    <row r="195" spans="1:5" x14ac:dyDescent="0.25">
      <c r="A195" s="524"/>
      <c r="B195" s="517"/>
      <c r="C195" s="510"/>
      <c r="D195" s="510"/>
      <c r="E195" s="513"/>
    </row>
    <row r="196" spans="1:5" x14ac:dyDescent="0.25">
      <c r="A196" s="524"/>
      <c r="B196" s="517"/>
      <c r="C196" s="510"/>
      <c r="D196" s="510"/>
      <c r="E196" s="513"/>
    </row>
    <row r="197" spans="1:5" x14ac:dyDescent="0.25">
      <c r="A197" s="524"/>
      <c r="B197" s="517"/>
      <c r="C197" s="510"/>
      <c r="D197" s="510"/>
      <c r="E197" s="513"/>
    </row>
    <row r="198" spans="1:5" x14ac:dyDescent="0.25">
      <c r="A198" s="524"/>
      <c r="B198" s="517"/>
      <c r="C198" s="510"/>
      <c r="D198" s="510"/>
      <c r="E198" s="513"/>
    </row>
    <row r="199" spans="1:5" x14ac:dyDescent="0.25">
      <c r="A199" s="524"/>
      <c r="B199" s="517"/>
      <c r="C199" s="510"/>
      <c r="D199" s="510"/>
      <c r="E199" s="513"/>
    </row>
    <row r="200" spans="1:5" x14ac:dyDescent="0.25">
      <c r="A200" s="524"/>
      <c r="B200" s="517"/>
      <c r="C200" s="510"/>
      <c r="D200" s="510"/>
      <c r="E200" s="513"/>
    </row>
    <row r="201" spans="1:5" x14ac:dyDescent="0.25">
      <c r="A201" s="524"/>
      <c r="B201" s="517"/>
      <c r="C201" s="510"/>
      <c r="D201" s="510"/>
      <c r="E201" s="513"/>
    </row>
    <row r="202" spans="1:5" x14ac:dyDescent="0.25">
      <c r="A202" s="524"/>
      <c r="B202" s="517"/>
      <c r="C202" s="510"/>
      <c r="D202" s="510"/>
      <c r="E202" s="513"/>
    </row>
    <row r="203" spans="1:5" x14ac:dyDescent="0.25">
      <c r="A203" s="524"/>
      <c r="B203" s="517"/>
      <c r="C203" s="510"/>
      <c r="D203" s="510"/>
      <c r="E203" s="513"/>
    </row>
    <row r="204" spans="1:5" x14ac:dyDescent="0.25">
      <c r="A204" s="524"/>
      <c r="B204" s="517"/>
      <c r="C204" s="510"/>
      <c r="D204" s="510"/>
      <c r="E204" s="513"/>
    </row>
    <row r="205" spans="1:5" x14ac:dyDescent="0.25">
      <c r="A205" s="524"/>
      <c r="B205" s="517"/>
      <c r="C205" s="510"/>
      <c r="D205" s="510"/>
      <c r="E205" s="513"/>
    </row>
    <row r="206" spans="1:5" x14ac:dyDescent="0.25">
      <c r="A206" s="524"/>
      <c r="B206" s="517"/>
      <c r="C206" s="510"/>
      <c r="D206" s="510"/>
      <c r="E206" s="513"/>
    </row>
    <row r="207" spans="1:5" x14ac:dyDescent="0.25">
      <c r="A207" s="524"/>
      <c r="B207" s="517"/>
      <c r="C207" s="510"/>
      <c r="D207" s="510"/>
      <c r="E207" s="513"/>
    </row>
    <row r="208" spans="1:5" x14ac:dyDescent="0.25">
      <c r="A208" s="524"/>
      <c r="B208" s="517"/>
      <c r="C208" s="510"/>
      <c r="D208" s="510"/>
      <c r="E208" s="513"/>
    </row>
    <row r="209" spans="1:5" x14ac:dyDescent="0.25">
      <c r="A209" s="524"/>
      <c r="B209" s="517"/>
      <c r="C209" s="510"/>
      <c r="D209" s="510"/>
      <c r="E209" s="513"/>
    </row>
    <row r="210" spans="1:5" x14ac:dyDescent="0.25">
      <c r="A210" s="524"/>
      <c r="B210" s="517"/>
      <c r="C210" s="510"/>
      <c r="D210" s="510"/>
      <c r="E210" s="513"/>
    </row>
    <row r="211" spans="1:5" x14ac:dyDescent="0.25">
      <c r="A211" s="524"/>
      <c r="B211" s="517"/>
      <c r="C211" s="510"/>
      <c r="D211" s="510"/>
      <c r="E211" s="513"/>
    </row>
    <row r="212" spans="1:5" x14ac:dyDescent="0.25">
      <c r="A212" s="524"/>
      <c r="B212" s="517"/>
      <c r="C212" s="510"/>
      <c r="D212" s="510"/>
      <c r="E212" s="513"/>
    </row>
    <row r="213" spans="1:5" x14ac:dyDescent="0.25">
      <c r="A213" s="524"/>
      <c r="B213" s="517"/>
      <c r="C213" s="510"/>
      <c r="D213" s="510"/>
      <c r="E213" s="513"/>
    </row>
    <row r="214" spans="1:5" x14ac:dyDescent="0.25">
      <c r="A214" s="524"/>
      <c r="B214" s="517"/>
      <c r="C214" s="510"/>
      <c r="D214" s="510"/>
      <c r="E214" s="513"/>
    </row>
    <row r="215" spans="1:5" x14ac:dyDescent="0.25">
      <c r="A215" s="524"/>
      <c r="B215" s="517"/>
      <c r="C215" s="510"/>
      <c r="D215" s="510"/>
      <c r="E215" s="513"/>
    </row>
    <row r="216" spans="1:5" x14ac:dyDescent="0.25">
      <c r="A216" s="524"/>
      <c r="B216" s="517"/>
      <c r="C216" s="510"/>
      <c r="D216" s="510"/>
      <c r="E216" s="513"/>
    </row>
    <row r="217" spans="1:5" x14ac:dyDescent="0.25">
      <c r="A217" s="524"/>
      <c r="B217" s="517"/>
      <c r="C217" s="510"/>
      <c r="D217" s="510"/>
      <c r="E217" s="513"/>
    </row>
    <row r="218" spans="1:5" x14ac:dyDescent="0.25">
      <c r="A218" s="524"/>
      <c r="B218" s="517"/>
      <c r="C218" s="510"/>
      <c r="D218" s="510"/>
      <c r="E218" s="513"/>
    </row>
    <row r="219" spans="1:5" x14ac:dyDescent="0.25">
      <c r="A219" s="524"/>
      <c r="B219" s="517"/>
      <c r="C219" s="510"/>
      <c r="D219" s="510"/>
      <c r="E219" s="513"/>
    </row>
    <row r="220" spans="1:5" x14ac:dyDescent="0.25">
      <c r="A220" s="524"/>
      <c r="B220" s="517"/>
      <c r="C220" s="510"/>
      <c r="D220" s="510"/>
      <c r="E220" s="513"/>
    </row>
    <row r="221" spans="1:5" x14ac:dyDescent="0.25">
      <c r="A221" s="524"/>
      <c r="B221" s="517"/>
      <c r="C221" s="510"/>
      <c r="D221" s="510"/>
      <c r="E221" s="513"/>
    </row>
    <row r="222" spans="1:5" x14ac:dyDescent="0.25">
      <c r="A222" s="524"/>
      <c r="B222" s="517"/>
      <c r="C222" s="510"/>
      <c r="D222" s="510"/>
      <c r="E222" s="513"/>
    </row>
    <row r="223" spans="1:5" x14ac:dyDescent="0.25">
      <c r="A223" s="524"/>
      <c r="B223" s="517"/>
      <c r="C223" s="510"/>
      <c r="D223" s="510"/>
      <c r="E223" s="513"/>
    </row>
    <row r="224" spans="1:5" x14ac:dyDescent="0.25">
      <c r="A224" s="524"/>
      <c r="B224" s="517"/>
      <c r="C224" s="510"/>
      <c r="D224" s="510"/>
      <c r="E224" s="513"/>
    </row>
    <row r="225" spans="1:5" x14ac:dyDescent="0.25">
      <c r="A225" s="524"/>
      <c r="B225" s="517"/>
      <c r="C225" s="510"/>
      <c r="D225" s="510"/>
      <c r="E225" s="513"/>
    </row>
    <row r="226" spans="1:5" x14ac:dyDescent="0.25">
      <c r="A226" s="524"/>
      <c r="B226" s="517"/>
      <c r="C226" s="510"/>
      <c r="D226" s="510"/>
      <c r="E226" s="513"/>
    </row>
    <row r="227" spans="1:5" x14ac:dyDescent="0.25">
      <c r="A227" s="524"/>
      <c r="B227" s="517"/>
      <c r="C227" s="510"/>
      <c r="D227" s="510"/>
      <c r="E227" s="513"/>
    </row>
    <row r="228" spans="1:5" x14ac:dyDescent="0.25">
      <c r="A228" s="524"/>
      <c r="B228" s="517"/>
      <c r="C228" s="510"/>
      <c r="D228" s="510"/>
      <c r="E228" s="513"/>
    </row>
    <row r="229" spans="1:5" x14ac:dyDescent="0.25">
      <c r="A229" s="524"/>
      <c r="B229" s="517"/>
      <c r="C229" s="510"/>
      <c r="D229" s="510"/>
      <c r="E229" s="513"/>
    </row>
    <row r="230" spans="1:5" x14ac:dyDescent="0.25">
      <c r="A230" s="524"/>
      <c r="B230" s="517"/>
      <c r="C230" s="510"/>
      <c r="D230" s="510"/>
      <c r="E230" s="513"/>
    </row>
    <row r="231" spans="1:5" x14ac:dyDescent="0.25">
      <c r="A231" s="524"/>
      <c r="B231" s="517"/>
      <c r="C231" s="510"/>
      <c r="D231" s="510"/>
      <c r="E231" s="513"/>
    </row>
    <row r="232" spans="1:5" x14ac:dyDescent="0.25">
      <c r="A232" s="524"/>
      <c r="B232" s="517"/>
      <c r="C232" s="510"/>
      <c r="D232" s="510"/>
      <c r="E232" s="513"/>
    </row>
    <row r="233" spans="1:5" x14ac:dyDescent="0.25">
      <c r="A233" s="524"/>
      <c r="B233" s="517"/>
      <c r="C233" s="510"/>
      <c r="D233" s="510"/>
      <c r="E233" s="513"/>
    </row>
    <row r="234" spans="1:5" x14ac:dyDescent="0.25">
      <c r="A234" s="524"/>
      <c r="B234" s="517"/>
      <c r="C234" s="510"/>
      <c r="D234" s="510"/>
      <c r="E234" s="513"/>
    </row>
    <row r="235" spans="1:5" x14ac:dyDescent="0.25">
      <c r="A235" s="524"/>
      <c r="B235" s="517"/>
      <c r="C235" s="510"/>
      <c r="D235" s="510"/>
      <c r="E235" s="513"/>
    </row>
    <row r="236" spans="1:5" x14ac:dyDescent="0.25">
      <c r="A236" s="524"/>
      <c r="B236" s="517"/>
      <c r="C236" s="510"/>
      <c r="D236" s="510"/>
      <c r="E236" s="513"/>
    </row>
    <row r="237" spans="1:5" x14ac:dyDescent="0.25">
      <c r="A237" s="524"/>
      <c r="B237" s="517"/>
      <c r="C237" s="510"/>
      <c r="D237" s="510"/>
      <c r="E237" s="513"/>
    </row>
    <row r="238" spans="1:5" x14ac:dyDescent="0.25">
      <c r="A238" s="524"/>
      <c r="B238" s="517"/>
      <c r="C238" s="510"/>
      <c r="D238" s="510"/>
      <c r="E238" s="513"/>
    </row>
    <row r="239" spans="1:5" x14ac:dyDescent="0.25">
      <c r="A239" s="524"/>
      <c r="B239" s="517"/>
      <c r="C239" s="510"/>
      <c r="D239" s="510"/>
      <c r="E239" s="513"/>
    </row>
    <row r="240" spans="1:5" x14ac:dyDescent="0.25">
      <c r="A240" s="524"/>
      <c r="B240" s="517"/>
      <c r="C240" s="510"/>
      <c r="D240" s="510"/>
      <c r="E240" s="513"/>
    </row>
    <row r="241" spans="1:5" x14ac:dyDescent="0.25">
      <c r="A241" s="524"/>
      <c r="B241" s="517"/>
      <c r="C241" s="510"/>
      <c r="D241" s="510"/>
      <c r="E241" s="513"/>
    </row>
    <row r="242" spans="1:5" x14ac:dyDescent="0.25">
      <c r="A242" s="524"/>
      <c r="B242" s="517"/>
      <c r="C242" s="510"/>
      <c r="D242" s="510"/>
      <c r="E242" s="513"/>
    </row>
    <row r="243" spans="1:5" x14ac:dyDescent="0.25">
      <c r="A243" s="524"/>
      <c r="B243" s="517"/>
      <c r="C243" s="510"/>
      <c r="D243" s="510"/>
      <c r="E243" s="513"/>
    </row>
    <row r="244" spans="1:5" x14ac:dyDescent="0.25">
      <c r="A244" s="524"/>
      <c r="B244" s="517"/>
      <c r="C244" s="510"/>
      <c r="D244" s="510"/>
      <c r="E244" s="513"/>
    </row>
    <row r="245" spans="1:5" x14ac:dyDescent="0.25">
      <c r="A245" s="524"/>
      <c r="B245" s="517"/>
      <c r="C245" s="510"/>
      <c r="D245" s="510"/>
      <c r="E245" s="513"/>
    </row>
    <row r="246" spans="1:5" x14ac:dyDescent="0.25">
      <c r="A246" s="524"/>
      <c r="B246" s="517"/>
      <c r="C246" s="510"/>
      <c r="D246" s="510"/>
      <c r="E246" s="513"/>
    </row>
    <row r="247" spans="1:5" x14ac:dyDescent="0.25">
      <c r="A247" s="524"/>
      <c r="B247" s="517"/>
      <c r="C247" s="510"/>
      <c r="D247" s="510"/>
      <c r="E247" s="513"/>
    </row>
    <row r="248" spans="1:5" x14ac:dyDescent="0.25">
      <c r="A248" s="524"/>
      <c r="B248" s="517"/>
      <c r="C248" s="510"/>
      <c r="D248" s="510"/>
      <c r="E248" s="513"/>
    </row>
    <row r="249" spans="1:5" x14ac:dyDescent="0.25">
      <c r="A249" s="524"/>
      <c r="B249" s="517"/>
      <c r="C249" s="510"/>
      <c r="D249" s="510"/>
      <c r="E249" s="513"/>
    </row>
    <row r="250" spans="1:5" x14ac:dyDescent="0.25">
      <c r="A250" s="524"/>
      <c r="B250" s="517"/>
      <c r="C250" s="510"/>
      <c r="D250" s="510"/>
      <c r="E250" s="513"/>
    </row>
    <row r="251" spans="1:5" x14ac:dyDescent="0.25">
      <c r="A251" s="524"/>
      <c r="B251" s="517"/>
      <c r="C251" s="510"/>
      <c r="D251" s="510"/>
      <c r="E251" s="513"/>
    </row>
    <row r="252" spans="1:5" x14ac:dyDescent="0.25">
      <c r="A252" s="524"/>
      <c r="B252" s="517"/>
      <c r="C252" s="510"/>
      <c r="D252" s="510"/>
      <c r="E252" s="513"/>
    </row>
    <row r="253" spans="1:5" x14ac:dyDescent="0.25">
      <c r="A253" s="524"/>
      <c r="B253" s="517"/>
      <c r="C253" s="510"/>
      <c r="D253" s="510"/>
      <c r="E253" s="513"/>
    </row>
    <row r="254" spans="1:5" x14ac:dyDescent="0.25">
      <c r="A254" s="524"/>
      <c r="B254" s="517"/>
      <c r="C254" s="510"/>
      <c r="D254" s="510"/>
      <c r="E254" s="513"/>
    </row>
    <row r="255" spans="1:5" x14ac:dyDescent="0.25">
      <c r="A255" s="524"/>
      <c r="B255" s="517"/>
      <c r="C255" s="510"/>
      <c r="D255" s="510"/>
      <c r="E255" s="513"/>
    </row>
    <row r="256" spans="1:5" x14ac:dyDescent="0.25">
      <c r="A256" s="524"/>
      <c r="B256" s="517"/>
      <c r="C256" s="510"/>
      <c r="D256" s="510"/>
      <c r="E256" s="513"/>
    </row>
    <row r="257" spans="1:5" x14ac:dyDescent="0.25">
      <c r="A257" s="524"/>
      <c r="B257" s="517"/>
      <c r="C257" s="510"/>
      <c r="D257" s="510"/>
      <c r="E257" s="513"/>
    </row>
    <row r="258" spans="1:5" x14ac:dyDescent="0.25">
      <c r="A258" s="524"/>
      <c r="B258" s="517"/>
      <c r="C258" s="510"/>
      <c r="D258" s="510"/>
      <c r="E258" s="513"/>
    </row>
    <row r="259" spans="1:5" x14ac:dyDescent="0.25">
      <c r="A259" s="524"/>
      <c r="B259" s="517"/>
      <c r="C259" s="510"/>
      <c r="D259" s="510"/>
      <c r="E259" s="513"/>
    </row>
    <row r="260" spans="1:5" x14ac:dyDescent="0.25">
      <c r="A260" s="524"/>
      <c r="B260" s="517"/>
      <c r="C260" s="510"/>
      <c r="D260" s="510"/>
      <c r="E260" s="513"/>
    </row>
    <row r="261" spans="1:5" x14ac:dyDescent="0.25">
      <c r="A261" s="524"/>
      <c r="B261" s="517"/>
      <c r="C261" s="510"/>
      <c r="D261" s="510"/>
      <c r="E261" s="513"/>
    </row>
    <row r="262" spans="1:5" x14ac:dyDescent="0.25">
      <c r="A262" s="524"/>
      <c r="B262" s="517"/>
      <c r="C262" s="510"/>
      <c r="D262" s="510"/>
      <c r="E262" s="513"/>
    </row>
    <row r="263" spans="1:5" x14ac:dyDescent="0.25">
      <c r="A263" s="524"/>
      <c r="B263" s="517"/>
      <c r="C263" s="510"/>
      <c r="D263" s="510"/>
      <c r="E263" s="513"/>
    </row>
    <row r="264" spans="1:5" x14ac:dyDescent="0.25">
      <c r="A264" s="524"/>
      <c r="B264" s="517"/>
      <c r="C264" s="510"/>
      <c r="D264" s="510"/>
      <c r="E264" s="513"/>
    </row>
    <row r="265" spans="1:5" x14ac:dyDescent="0.25">
      <c r="A265" s="524"/>
      <c r="B265" s="517"/>
      <c r="C265" s="510"/>
      <c r="D265" s="510"/>
      <c r="E265" s="513"/>
    </row>
    <row r="266" spans="1:5" x14ac:dyDescent="0.25">
      <c r="A266" s="524"/>
      <c r="B266" s="517"/>
      <c r="C266" s="510"/>
      <c r="D266" s="510"/>
      <c r="E266" s="513"/>
    </row>
    <row r="267" spans="1:5" x14ac:dyDescent="0.25">
      <c r="A267" s="524"/>
      <c r="B267" s="517"/>
      <c r="C267" s="510"/>
      <c r="D267" s="510"/>
      <c r="E267" s="513"/>
    </row>
    <row r="268" spans="1:5" x14ac:dyDescent="0.25">
      <c r="A268" s="524"/>
      <c r="B268" s="517"/>
      <c r="C268" s="510"/>
      <c r="D268" s="510"/>
      <c r="E268" s="513"/>
    </row>
    <row r="269" spans="1:5" x14ac:dyDescent="0.25">
      <c r="A269" s="524"/>
      <c r="B269" s="517"/>
      <c r="C269" s="510"/>
      <c r="D269" s="510"/>
      <c r="E269" s="513"/>
    </row>
    <row r="270" spans="1:5" x14ac:dyDescent="0.25">
      <c r="A270" s="524"/>
      <c r="B270" s="517"/>
      <c r="C270" s="510"/>
      <c r="D270" s="510"/>
      <c r="E270" s="513"/>
    </row>
    <row r="271" spans="1:5" x14ac:dyDescent="0.25">
      <c r="A271" s="524"/>
      <c r="B271" s="517"/>
      <c r="C271" s="510"/>
      <c r="D271" s="510"/>
      <c r="E271" s="513"/>
    </row>
    <row r="272" spans="1:5" x14ac:dyDescent="0.25">
      <c r="A272" s="524"/>
      <c r="B272" s="517"/>
      <c r="C272" s="510"/>
      <c r="D272" s="510"/>
      <c r="E272" s="513"/>
    </row>
    <row r="273" spans="1:5" x14ac:dyDescent="0.25">
      <c r="A273" s="524"/>
      <c r="B273" s="517"/>
      <c r="C273" s="510"/>
      <c r="D273" s="510"/>
      <c r="E273" s="513"/>
    </row>
    <row r="274" spans="1:5" x14ac:dyDescent="0.25">
      <c r="A274" s="524"/>
      <c r="B274" s="517"/>
      <c r="C274" s="510"/>
      <c r="D274" s="510"/>
      <c r="E274" s="513"/>
    </row>
    <row r="275" spans="1:5" x14ac:dyDescent="0.25">
      <c r="A275" s="524"/>
      <c r="B275" s="517"/>
      <c r="C275" s="510"/>
      <c r="D275" s="510"/>
      <c r="E275" s="513"/>
    </row>
    <row r="276" spans="1:5" x14ac:dyDescent="0.25">
      <c r="A276" s="524"/>
      <c r="B276" s="517"/>
      <c r="C276" s="510"/>
      <c r="D276" s="510"/>
      <c r="E276" s="513"/>
    </row>
    <row r="277" spans="1:5" x14ac:dyDescent="0.25">
      <c r="A277" s="524"/>
      <c r="B277" s="517"/>
      <c r="C277" s="510"/>
      <c r="D277" s="510"/>
      <c r="E277" s="513"/>
    </row>
    <row r="278" spans="1:5" x14ac:dyDescent="0.25">
      <c r="A278" s="524"/>
      <c r="B278" s="517"/>
      <c r="C278" s="510"/>
      <c r="D278" s="510"/>
      <c r="E278" s="513"/>
    </row>
    <row r="279" spans="1:5" x14ac:dyDescent="0.25">
      <c r="A279" s="524"/>
      <c r="B279" s="517"/>
      <c r="C279" s="510"/>
      <c r="D279" s="510"/>
      <c r="E279" s="513"/>
    </row>
    <row r="280" spans="1:5" x14ac:dyDescent="0.25">
      <c r="A280" s="524"/>
      <c r="B280" s="517"/>
      <c r="C280" s="510"/>
      <c r="D280" s="510"/>
      <c r="E280" s="513"/>
    </row>
    <row r="281" spans="1:5" x14ac:dyDescent="0.25">
      <c r="A281" s="524"/>
      <c r="B281" s="517"/>
      <c r="C281" s="510"/>
      <c r="D281" s="510"/>
      <c r="E281" s="513"/>
    </row>
    <row r="282" spans="1:5" x14ac:dyDescent="0.25">
      <c r="A282" s="524"/>
      <c r="B282" s="517"/>
      <c r="C282" s="510"/>
      <c r="D282" s="510"/>
      <c r="E282" s="513"/>
    </row>
    <row r="283" spans="1:5" x14ac:dyDescent="0.25">
      <c r="A283" s="524"/>
      <c r="B283" s="517"/>
      <c r="C283" s="510"/>
      <c r="D283" s="510"/>
      <c r="E283" s="513"/>
    </row>
    <row r="284" spans="1:5" x14ac:dyDescent="0.25">
      <c r="A284" s="524"/>
      <c r="B284" s="517"/>
      <c r="C284" s="510"/>
      <c r="D284" s="510"/>
      <c r="E284" s="513"/>
    </row>
    <row r="285" spans="1:5" x14ac:dyDescent="0.25">
      <c r="A285" s="524"/>
      <c r="B285" s="517"/>
      <c r="C285" s="510"/>
      <c r="D285" s="510"/>
      <c r="E285" s="513"/>
    </row>
    <row r="286" spans="1:5" x14ac:dyDescent="0.25">
      <c r="A286" s="524"/>
      <c r="B286" s="517"/>
      <c r="C286" s="510"/>
      <c r="D286" s="510"/>
      <c r="E286" s="513"/>
    </row>
    <row r="287" spans="1:5" x14ac:dyDescent="0.25">
      <c r="A287" s="524"/>
      <c r="B287" s="517"/>
      <c r="C287" s="510"/>
      <c r="D287" s="510"/>
      <c r="E287" s="513"/>
    </row>
    <row r="288" spans="1:5" x14ac:dyDescent="0.25">
      <c r="A288" s="524"/>
      <c r="B288" s="517"/>
      <c r="C288" s="510"/>
      <c r="D288" s="510"/>
      <c r="E288" s="513"/>
    </row>
    <row r="289" spans="1:5" x14ac:dyDescent="0.25">
      <c r="A289" s="524"/>
      <c r="B289" s="517"/>
      <c r="C289" s="510"/>
      <c r="D289" s="510"/>
      <c r="E289" s="513"/>
    </row>
    <row r="290" spans="1:5" x14ac:dyDescent="0.25">
      <c r="A290" s="524"/>
      <c r="B290" s="517"/>
      <c r="C290" s="510"/>
      <c r="D290" s="510"/>
      <c r="E290" s="513"/>
    </row>
    <row r="291" spans="1:5" x14ac:dyDescent="0.25">
      <c r="A291" s="524"/>
      <c r="B291" s="517"/>
      <c r="C291" s="510"/>
      <c r="D291" s="510"/>
      <c r="E291" s="513"/>
    </row>
    <row r="292" spans="1:5" x14ac:dyDescent="0.25">
      <c r="A292" s="524"/>
      <c r="B292" s="517"/>
      <c r="C292" s="510"/>
      <c r="D292" s="510"/>
      <c r="E292" s="513"/>
    </row>
    <row r="293" spans="1:5" x14ac:dyDescent="0.25">
      <c r="A293" s="524"/>
      <c r="B293" s="517"/>
      <c r="C293" s="510"/>
      <c r="D293" s="510"/>
      <c r="E293" s="513"/>
    </row>
    <row r="294" spans="1:5" x14ac:dyDescent="0.25">
      <c r="A294" s="529"/>
      <c r="B294" s="517"/>
      <c r="C294" s="510"/>
      <c r="D294" s="510"/>
      <c r="E294" s="513"/>
    </row>
    <row r="295" spans="1:5" x14ac:dyDescent="0.25">
      <c r="A295" s="525"/>
      <c r="B295" s="526"/>
      <c r="C295" s="527"/>
      <c r="D295" s="527"/>
      <c r="E295" s="528"/>
    </row>
    <row r="296" spans="1:5" x14ac:dyDescent="0.25">
      <c r="A296" s="319"/>
      <c r="B296" s="320"/>
      <c r="C296" s="510"/>
      <c r="D296" s="510"/>
      <c r="E296" s="513"/>
    </row>
    <row r="297" spans="1:5" x14ac:dyDescent="0.25">
      <c r="A297" s="319"/>
      <c r="B297" s="320"/>
      <c r="C297" s="510"/>
      <c r="D297" s="510"/>
      <c r="E297" s="513"/>
    </row>
    <row r="298" spans="1:5" x14ac:dyDescent="0.25">
      <c r="A298" s="319"/>
      <c r="B298" s="320"/>
      <c r="C298" s="510"/>
      <c r="D298" s="510"/>
      <c r="E298" s="513"/>
    </row>
    <row r="299" spans="1:5" x14ac:dyDescent="0.25">
      <c r="A299" s="319"/>
      <c r="B299" s="320"/>
      <c r="C299" s="510"/>
      <c r="D299" s="510"/>
      <c r="E299" s="513"/>
    </row>
    <row r="300" spans="1:5" x14ac:dyDescent="0.25">
      <c r="A300" s="319"/>
      <c r="B300" s="320"/>
      <c r="C300" s="510"/>
      <c r="D300" s="510"/>
      <c r="E300" s="513"/>
    </row>
    <row r="301" spans="1:5" x14ac:dyDescent="0.25">
      <c r="A301" s="319"/>
      <c r="B301" s="320"/>
      <c r="C301" s="510"/>
      <c r="D301" s="510"/>
      <c r="E301" s="513"/>
    </row>
    <row r="302" spans="1:5" x14ac:dyDescent="0.25">
      <c r="A302" s="319"/>
      <c r="B302" s="320"/>
      <c r="C302" s="510"/>
      <c r="D302" s="510"/>
      <c r="E302" s="513"/>
    </row>
    <row r="303" spans="1:5" x14ac:dyDescent="0.25">
      <c r="A303" s="319"/>
      <c r="B303" s="320"/>
      <c r="C303" s="510"/>
      <c r="D303" s="510"/>
      <c r="E303" s="513"/>
    </row>
    <row r="304" spans="1:5" x14ac:dyDescent="0.25">
      <c r="A304" s="319"/>
      <c r="B304" s="320"/>
      <c r="C304" s="510"/>
      <c r="D304" s="510"/>
      <c r="E304" s="513"/>
    </row>
    <row r="305" spans="1:5" ht="15.75" thickBot="1" x14ac:dyDescent="0.3">
      <c r="A305" s="321"/>
      <c r="B305" s="322"/>
      <c r="C305" s="511"/>
      <c r="D305" s="511"/>
      <c r="E305" s="514"/>
    </row>
  </sheetData>
  <autoFilter ref="A2:E305"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D3:D305</xm:sqref>
        </x14:dataValidation>
        <x14:dataValidation type="list" allowBlank="1" showInputMessage="1" showErrorMessage="1" xr:uid="{AA1AC074-A7B7-4C8D-9132-118B458773B2}">
          <x14:formula1>
            <xm:f>'List Options'!$G$1:$G$3</xm:f>
          </x14:formula1>
          <xm:sqref>E3:E305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29"/>
  <sheetViews>
    <sheetView zoomScaleNormal="100" workbookViewId="0">
      <pane xSplit="1" ySplit="3" topLeftCell="B6" activePane="bottomRight" state="frozen"/>
      <selection pane="topRight" activeCell="B1" sqref="B1"/>
      <selection pane="bottomLeft" activeCell="A4" sqref="A4"/>
      <selection pane="bottomRight" activeCell="G14" sqref="G14"/>
    </sheetView>
  </sheetViews>
  <sheetFormatPr defaultColWidth="8.85546875" defaultRowHeight="15" x14ac:dyDescent="0.25"/>
  <cols>
    <col min="1" max="1" width="27.7109375" customWidth="1"/>
    <col min="2" max="2" width="15.7109375" bestFit="1" customWidth="1"/>
    <col min="3" max="3" width="27.85546875" bestFit="1" customWidth="1"/>
    <col min="4" max="4" width="6" bestFit="1" customWidth="1"/>
    <col min="5" max="5" width="14.42578125" bestFit="1" customWidth="1"/>
    <col min="6" max="6" width="15.140625" bestFit="1" customWidth="1"/>
    <col min="7" max="7" width="9.28515625" customWidth="1"/>
    <col min="8" max="8" width="5" bestFit="1" customWidth="1"/>
    <col min="9" max="10" width="9.140625" customWidth="1"/>
    <col min="11" max="11" width="9.140625" hidden="1" customWidth="1"/>
    <col min="12" max="13" width="11.28515625" customWidth="1"/>
    <col min="14" max="14" width="11.42578125" customWidth="1"/>
    <col min="15" max="15" width="9.28515625" customWidth="1"/>
    <col min="20" max="21" width="11.28515625" bestFit="1" customWidth="1"/>
    <col min="22" max="22" width="11.42578125" bestFit="1" customWidth="1"/>
  </cols>
  <sheetData>
    <row r="1" spans="1:22" ht="39" customHeight="1" thickBot="1" x14ac:dyDescent="0.3">
      <c r="A1" s="658" t="s">
        <v>1359</v>
      </c>
      <c r="B1" s="659"/>
      <c r="C1" s="659"/>
      <c r="D1" s="659"/>
      <c r="E1" s="659"/>
      <c r="F1" s="659"/>
      <c r="G1" s="659"/>
      <c r="H1" s="659"/>
      <c r="I1" s="659"/>
      <c r="J1" s="659"/>
      <c r="K1" s="659"/>
      <c r="L1" s="659"/>
      <c r="M1" s="659"/>
      <c r="N1" s="659"/>
      <c r="O1" s="659"/>
      <c r="P1" s="659"/>
      <c r="Q1" s="659"/>
      <c r="R1" s="659"/>
      <c r="S1" s="659"/>
      <c r="T1" s="659"/>
      <c r="U1" s="659"/>
      <c r="V1" s="660"/>
    </row>
    <row r="2" spans="1:22" ht="15.75" thickBot="1" x14ac:dyDescent="0.3">
      <c r="A2" s="213" t="s">
        <v>1360</v>
      </c>
      <c r="B2" s="661" t="s">
        <v>161</v>
      </c>
      <c r="C2" s="661"/>
      <c r="D2" s="661"/>
      <c r="E2" s="661"/>
      <c r="F2" s="661"/>
      <c r="G2" s="662" t="s">
        <v>172</v>
      </c>
      <c r="H2" s="663"/>
      <c r="I2" s="663"/>
      <c r="J2" s="663"/>
      <c r="K2" s="663"/>
      <c r="L2" s="663"/>
      <c r="M2" s="663"/>
      <c r="N2" s="664"/>
      <c r="O2" s="665" t="s">
        <v>139</v>
      </c>
      <c r="P2" s="666"/>
      <c r="Q2" s="666"/>
      <c r="R2" s="666"/>
      <c r="S2" s="666"/>
      <c r="T2" s="666"/>
      <c r="U2" s="666"/>
      <c r="V2" s="667"/>
    </row>
    <row r="3" spans="1:22" s="236" customFormat="1" ht="30.75" thickBot="1" x14ac:dyDescent="0.3">
      <c r="A3" s="239" t="s">
        <v>83</v>
      </c>
      <c r="B3" s="296" t="s">
        <v>162</v>
      </c>
      <c r="C3" s="297" t="s">
        <v>123</v>
      </c>
      <c r="D3" s="298" t="s">
        <v>100</v>
      </c>
      <c r="E3" s="298" t="s">
        <v>168</v>
      </c>
      <c r="F3" s="299" t="s">
        <v>170</v>
      </c>
      <c r="G3" s="300" t="s">
        <v>127</v>
      </c>
      <c r="H3" s="301" t="s">
        <v>30</v>
      </c>
      <c r="I3" s="301" t="s">
        <v>130</v>
      </c>
      <c r="J3" s="301" t="s">
        <v>35</v>
      </c>
      <c r="K3" s="301" t="s">
        <v>133</v>
      </c>
      <c r="L3" s="301" t="s">
        <v>179</v>
      </c>
      <c r="M3" s="301" t="s">
        <v>135</v>
      </c>
      <c r="N3" s="302" t="s">
        <v>182</v>
      </c>
      <c r="O3" s="303" t="s">
        <v>127</v>
      </c>
      <c r="P3" s="304" t="s">
        <v>30</v>
      </c>
      <c r="Q3" s="304" t="s">
        <v>130</v>
      </c>
      <c r="R3" s="304" t="s">
        <v>35</v>
      </c>
      <c r="S3" s="304" t="s">
        <v>133</v>
      </c>
      <c r="T3" s="304" t="s">
        <v>179</v>
      </c>
      <c r="U3" s="304" t="s">
        <v>135</v>
      </c>
      <c r="V3" s="305" t="s">
        <v>182</v>
      </c>
    </row>
    <row r="4" spans="1:22" x14ac:dyDescent="0.25">
      <c r="A4" s="318" t="s">
        <v>306</v>
      </c>
      <c r="B4" s="237">
        <f>SUMIFS('Diags Raw Data'!$L$6:$L$4911,'Diags Raw Data'!$D$6:$D$4911,$A4)</f>
        <v>484</v>
      </c>
      <c r="C4" s="230">
        <f>SUMIFS('Diags Raw Data'!$R$6:$R$4911,'Diags Raw Data'!$D$6:$D$4911,$A4)</f>
        <v>368</v>
      </c>
      <c r="D4" s="230">
        <f>SUMIFS('Diags Raw Data'!$K$6:$K$4911,'Diags Raw Data'!$D$6:$D$4911,$A4)</f>
        <v>283</v>
      </c>
      <c r="E4" s="230">
        <f>SUMIFS('Diags Raw Data'!$O$6:$O$4911,'Diags Raw Data'!$D$6:$D$4911,$A4)</f>
        <v>481</v>
      </c>
      <c r="F4" s="234">
        <f>IF(NOT($B4=0), E4/$B4, "---")</f>
        <v>0.99380165289256195</v>
      </c>
      <c r="G4" s="215">
        <f>SUMIFS('Diags Raw Data'!$S$6:$S$4911,'Diags Raw Data'!$D$6:$D$4911,$A4)</f>
        <v>368</v>
      </c>
      <c r="H4" s="216">
        <f>SUMIFS('Diags Raw Data'!$T$6:$T$4911,'Diags Raw Data'!$D$6:$D$4911,$A4)</f>
        <v>343</v>
      </c>
      <c r="I4" s="218">
        <f>SUMIFS('Diags Raw Data'!$U$6:$U$4911,'Diags Raw Data'!$D$6:$D$4911,$A4)</f>
        <v>25</v>
      </c>
      <c r="J4" s="216">
        <f>SUMIFS('Diags Raw Data'!$V$6:$V$4911,'Diags Raw Data'!$D$6:$D$4911,$A4)</f>
        <v>0</v>
      </c>
      <c r="K4" s="218">
        <f>SUMIFS('Diags Raw Data'!$W$6:$W$4911,'Diags Raw Data'!$D$6:$D$4911,$A4)</f>
        <v>0</v>
      </c>
      <c r="L4" s="217">
        <f>IF(NOT($C4=0), G4/$C4, "---")</f>
        <v>1</v>
      </c>
      <c r="M4" s="219">
        <f>IF(NOT($G4=0), (H4+I4)/$G4, "---")</f>
        <v>1</v>
      </c>
      <c r="N4" s="221">
        <f>IF(NOT($C4=0), (H4+I4)/$C4, "---")</f>
        <v>1</v>
      </c>
      <c r="O4" s="209">
        <f>SUMIFS('Diags Raw Data'!$Z$6:$Z$4911,'Diags Raw Data'!$D$6:$D$4911,$A4)</f>
        <v>321</v>
      </c>
      <c r="P4" s="206">
        <f>SUMIFS('Diags Raw Data'!$AA$6:$AA$4911,'Diags Raw Data'!$D$6:$D$4911,$A4)</f>
        <v>127</v>
      </c>
      <c r="Q4" s="208">
        <f>SUMIFS('Diags Raw Data'!$AB$6:$AB$4911,'Diags Raw Data'!$D$6:$D$4911,$A4)</f>
        <v>0</v>
      </c>
      <c r="R4" s="206">
        <f>SUMIFS('Diags Raw Data'!$AC$6:$AC$4911,'Diags Raw Data'!$D$6:$D$4911,$A4)</f>
        <v>39</v>
      </c>
      <c r="S4" s="208">
        <f>SUMIFS('Diags Raw Data'!$AD$6:$AD$4911,'Diags Raw Data'!$D$6:$D$4911,$A4)</f>
        <v>155</v>
      </c>
      <c r="T4" s="207">
        <f>IF(NOT($B4=0), O4/$B4, "---")</f>
        <v>0.66322314049586772</v>
      </c>
      <c r="U4" s="220">
        <f>IF(NOT($O4=0), (P4+Q4)/$O4, "---")</f>
        <v>0.39563862928348908</v>
      </c>
      <c r="V4" s="229">
        <f>IF(NOT($B4=0), (P4+Q4)/$B4, "---")</f>
        <v>0.26239669421487605</v>
      </c>
    </row>
    <row r="5" spans="1:22" x14ac:dyDescent="0.25">
      <c r="A5" s="318" t="s">
        <v>382</v>
      </c>
      <c r="B5" s="238">
        <f>SUMIFS('Diags Raw Data'!$L$6:$L$4911,'Diags Raw Data'!$D$6:$D$4911,$A5)</f>
        <v>282</v>
      </c>
      <c r="C5" s="231">
        <f>SUMIFS('Diags Raw Data'!$R$6:$R$4911,'Diags Raw Data'!$D$6:$D$4911,$A5)</f>
        <v>270</v>
      </c>
      <c r="D5" s="231">
        <f>SUMIFS('Diags Raw Data'!$K$6:$K$4911,'Diags Raw Data'!$D$6:$D$4911,$A5)</f>
        <v>177</v>
      </c>
      <c r="E5" s="231">
        <f>SUMIFS('Diags Raw Data'!$O$6:$O$4911,'Diags Raw Data'!$D$6:$D$4911,$A5)</f>
        <v>282</v>
      </c>
      <c r="F5" s="235">
        <f t="shared" ref="F5:F6" si="0">IF(NOT($B5=0), E5/$B5, "---")</f>
        <v>1</v>
      </c>
      <c r="G5" s="226">
        <f>SUMIFS('Diags Raw Data'!$S$6:$S$4911,'Diags Raw Data'!$D$6:$D$4911,$A5)</f>
        <v>235</v>
      </c>
      <c r="H5" s="222">
        <f>SUMIFS('Diags Raw Data'!$T$6:$T$4911,'Diags Raw Data'!$D$6:$D$4911,$A5)</f>
        <v>229</v>
      </c>
      <c r="I5" s="223">
        <f>SUMIFS('Diags Raw Data'!$U$6:$U$4911,'Diags Raw Data'!$D$6:$D$4911,$A5)</f>
        <v>6</v>
      </c>
      <c r="J5" s="222">
        <f>SUMIFS('Diags Raw Data'!$V$6:$V$4911,'Diags Raw Data'!$D$6:$D$4911,$A5)</f>
        <v>0</v>
      </c>
      <c r="K5" s="223">
        <f>SUMIFS('Diags Raw Data'!$W$6:$W$4911,'Diags Raw Data'!$D$6:$D$4911,$A5)</f>
        <v>0</v>
      </c>
      <c r="L5" s="232">
        <f t="shared" ref="L5:L6" si="1">IF(NOT($C5=0), G5/$C5, "---")</f>
        <v>0.87037037037037035</v>
      </c>
      <c r="M5" s="224">
        <f t="shared" ref="M5:M6" si="2">IF(NOT($G5=0), (H5+I5)/$G5, "---")</f>
        <v>1</v>
      </c>
      <c r="N5" s="228">
        <f t="shared" ref="N5:N6" si="3">IF(NOT($C5=0), (H5+I5)/$C5, "---")</f>
        <v>0.87037037037037035</v>
      </c>
      <c r="O5" s="210">
        <f>SUMIFS('Diags Raw Data'!$Z$6:$Z$4911,'Diags Raw Data'!$D$6:$D$4911,$A5)</f>
        <v>167</v>
      </c>
      <c r="P5" s="203">
        <f>SUMIFS('Diags Raw Data'!$AA$6:$AA$4911,'Diags Raw Data'!$D$6:$D$4911,$A5)</f>
        <v>99</v>
      </c>
      <c r="Q5" s="205">
        <f>SUMIFS('Diags Raw Data'!$AB$6:$AB$4911,'Diags Raw Data'!$D$6:$D$4911,$A5)</f>
        <v>0</v>
      </c>
      <c r="R5" s="203">
        <f>SUMIFS('Diags Raw Data'!$AC$6:$AC$4911,'Diags Raw Data'!$D$6:$D$4911,$A5)</f>
        <v>51</v>
      </c>
      <c r="S5" s="205">
        <f>SUMIFS('Diags Raw Data'!$AD$6:$AD$4911,'Diags Raw Data'!$D$6:$D$4911,$A5)</f>
        <v>17</v>
      </c>
      <c r="T5" s="204">
        <f t="shared" ref="T5:T6" si="4">IF(NOT($B5=0), O5/$B5, "---")</f>
        <v>0.59219858156028371</v>
      </c>
      <c r="U5" s="225">
        <f t="shared" ref="U5:U6" si="5">IF(NOT($O5=0), (P5+Q5)/$O5, "---")</f>
        <v>0.59281437125748504</v>
      </c>
      <c r="V5" s="227">
        <f t="shared" ref="V5:V6" si="6">IF(NOT($B5=0), (P5+Q5)/$B5, "---")</f>
        <v>0.35106382978723405</v>
      </c>
    </row>
    <row r="6" spans="1:22" ht="15.75" thickBot="1" x14ac:dyDescent="0.3">
      <c r="A6" s="318" t="s">
        <v>790</v>
      </c>
      <c r="B6" s="238">
        <f>SUMIFS('Diags Raw Data'!$L$6:$L$4911,'Diags Raw Data'!$D$6:$D$4911,$A6)</f>
        <v>11</v>
      </c>
      <c r="C6" s="231">
        <f>SUMIFS('Diags Raw Data'!$R$6:$R$4911,'Diags Raw Data'!$D$6:$D$4911,$A6)</f>
        <v>11</v>
      </c>
      <c r="D6" s="231">
        <f>SUMIFS('Diags Raw Data'!$K$6:$K$4911,'Diags Raw Data'!$D$6:$D$4911,$A6)</f>
        <v>10</v>
      </c>
      <c r="E6" s="231">
        <f>SUMIFS('Diags Raw Data'!$O$6:$O$4911,'Diags Raw Data'!$D$6:$D$4911,$A6)</f>
        <v>11</v>
      </c>
      <c r="F6" s="235">
        <f t="shared" si="0"/>
        <v>1</v>
      </c>
      <c r="G6" s="226">
        <f>SUMIFS('Diags Raw Data'!$S$6:$S$4911,'Diags Raw Data'!$D$6:$D$4911,$A6)</f>
        <v>5</v>
      </c>
      <c r="H6" s="222">
        <f>SUMIFS('Diags Raw Data'!$T$6:$T$4911,'Diags Raw Data'!$D$6:$D$4911,$A6)</f>
        <v>5</v>
      </c>
      <c r="I6" s="223">
        <f>SUMIFS('Diags Raw Data'!$U$6:$U$4911,'Diags Raw Data'!$D$6:$D$4911,$A6)</f>
        <v>0</v>
      </c>
      <c r="J6" s="222">
        <f>SUMIFS('Diags Raw Data'!$V$6:$V$4911,'Diags Raw Data'!$D$6:$D$4911,$A6)</f>
        <v>0</v>
      </c>
      <c r="K6" s="223">
        <f>SUMIFS('Diags Raw Data'!$W$6:$W$4911,'Diags Raw Data'!$D$6:$D$4911,$A6)</f>
        <v>0</v>
      </c>
      <c r="L6" s="232">
        <f t="shared" si="1"/>
        <v>0.45454545454545453</v>
      </c>
      <c r="M6" s="224">
        <f t="shared" si="2"/>
        <v>1</v>
      </c>
      <c r="N6" s="228">
        <f t="shared" si="3"/>
        <v>0.45454545454545453</v>
      </c>
      <c r="O6" s="210">
        <f>SUMIFS('Diags Raw Data'!$Z$6:$Z$4911,'Diags Raw Data'!$D$6:$D$4911,$A6)</f>
        <v>0</v>
      </c>
      <c r="P6" s="203">
        <f>SUMIFS('Diags Raw Data'!$AA$6:$AA$4911,'Diags Raw Data'!$D$6:$D$4911,$A6)</f>
        <v>0</v>
      </c>
      <c r="Q6" s="205">
        <f>SUMIFS('Diags Raw Data'!$AB$6:$AB$4911,'Diags Raw Data'!$D$6:$D$4911,$A6)</f>
        <v>0</v>
      </c>
      <c r="R6" s="203">
        <f>SUMIFS('Diags Raw Data'!$AC$6:$AC$4911,'Diags Raw Data'!$D$6:$D$4911,$A6)</f>
        <v>0</v>
      </c>
      <c r="S6" s="205">
        <f>SUMIFS('Diags Raw Data'!$AD$6:$AD$4911,'Diags Raw Data'!$D$6:$D$4911,$A6)</f>
        <v>0</v>
      </c>
      <c r="T6" s="204">
        <f t="shared" si="4"/>
        <v>0</v>
      </c>
      <c r="U6" s="225" t="str">
        <f t="shared" si="5"/>
        <v>---</v>
      </c>
      <c r="V6" s="227">
        <f t="shared" si="6"/>
        <v>0</v>
      </c>
    </row>
    <row r="7" spans="1:22" ht="16.5" thickBot="1" x14ac:dyDescent="0.3">
      <c r="A7" s="257" t="s">
        <v>1361</v>
      </c>
      <c r="B7" s="241">
        <f>SUM(B4:B6)</f>
        <v>777</v>
      </c>
      <c r="C7" s="242">
        <f>SUM(C4:C6)</f>
        <v>649</v>
      </c>
      <c r="D7" s="242">
        <f>SUM(D4:D6)</f>
        <v>470</v>
      </c>
      <c r="E7" s="242">
        <f>SUM(E4:E6)</f>
        <v>774</v>
      </c>
      <c r="F7" s="243" cm="1">
        <f t="array" ref="F7">SUMPRODUCT(--(ISNUMBER(SEARCH("New",'Diags Raw Data'!$M$6:$M$4911))),'Diags Raw Data'!$K$6:$K$4911,'Diags Raw Data'!$P$6:$P$4911)/D7+SUMPRODUCT(--(ISNUMBER(SEARCH("Delta",'Diags Raw Data'!$M$6:$M$4911))),'Diags Raw Data'!$K$6:$K$4911,'Diags Raw Data'!$P$6:$P$4911)/D7+SUMPRODUCT(--(ISNUMBER(SEARCH("Legacy",'Diags Raw Data'!$M$6:$M$4911))),'Diags Raw Data'!$K$6:$K$4911,'Diags Raw Data'!$P$6:$P$4911)/D7</f>
        <v>1.0148936170212766</v>
      </c>
      <c r="G7" s="244">
        <f>SUM(G4:G6)</f>
        <v>608</v>
      </c>
      <c r="H7" s="245">
        <f>SUM(H4:H6)</f>
        <v>577</v>
      </c>
      <c r="I7" s="246">
        <f>SUM(I4:I6)</f>
        <v>31</v>
      </c>
      <c r="J7" s="245">
        <f>SUM(J4:J6)</f>
        <v>0</v>
      </c>
      <c r="K7" s="246">
        <f>SUM(K4:K6)</f>
        <v>0</v>
      </c>
      <c r="L7" s="247">
        <f>IF(NOT($C7=0), G7/$C7, "---")</f>
        <v>0.93682588597842831</v>
      </c>
      <c r="M7" s="248">
        <f>IF(NOT($G7=0), (H7+I7)/$G7, "---")</f>
        <v>1</v>
      </c>
      <c r="N7" s="249">
        <f>IF(NOT($C7=0), (H7+I7)/$C7, "---")</f>
        <v>0.93682588597842831</v>
      </c>
      <c r="O7" s="250">
        <f>SUM(O4:O6)</f>
        <v>488</v>
      </c>
      <c r="P7" s="251">
        <f>SUM(P4:P6)</f>
        <v>226</v>
      </c>
      <c r="Q7" s="252">
        <f>SUM(Q4:Q6)</f>
        <v>0</v>
      </c>
      <c r="R7" s="251">
        <f>SUM(R4:R6)</f>
        <v>90</v>
      </c>
      <c r="S7" s="252">
        <f>SUM(S4:S6)</f>
        <v>172</v>
      </c>
      <c r="T7" s="253">
        <f>IF(NOT($B7=0), O7/$B7, "---")</f>
        <v>0.6280566280566281</v>
      </c>
      <c r="U7" s="254">
        <f>IF(NOT($O7=0), (P7+Q7)/$O7, "---")</f>
        <v>0.46311475409836067</v>
      </c>
      <c r="V7" s="255">
        <f>IF(NOT($B7=0), (P7+Q7)/$B7, "---")</f>
        <v>0.29086229086229087</v>
      </c>
    </row>
    <row r="8" spans="1:22" ht="15.75" thickBot="1" x14ac:dyDescent="0.3"/>
    <row r="9" spans="1:22" ht="15.75" thickBot="1" x14ac:dyDescent="0.3">
      <c r="A9" s="211" t="s">
        <v>1362</v>
      </c>
      <c r="B9" s="661" t="s">
        <v>161</v>
      </c>
      <c r="C9" s="661"/>
      <c r="D9" s="661"/>
      <c r="E9" s="661"/>
      <c r="F9" s="661"/>
      <c r="G9" s="662" t="s">
        <v>172</v>
      </c>
      <c r="H9" s="663"/>
      <c r="I9" s="663"/>
      <c r="J9" s="663"/>
      <c r="K9" s="663"/>
      <c r="L9" s="663"/>
      <c r="M9" s="663"/>
      <c r="N9" s="664"/>
      <c r="O9" s="665" t="s">
        <v>139</v>
      </c>
      <c r="P9" s="666"/>
      <c r="Q9" s="666"/>
      <c r="R9" s="666"/>
      <c r="S9" s="666"/>
      <c r="T9" s="666"/>
      <c r="U9" s="666"/>
      <c r="V9" s="667"/>
    </row>
    <row r="10" spans="1:22" s="236" customFormat="1" ht="30.75" thickBot="1" x14ac:dyDescent="0.3">
      <c r="A10" s="239" t="s">
        <v>83</v>
      </c>
      <c r="B10" s="296" t="s">
        <v>162</v>
      </c>
      <c r="C10" s="297" t="s">
        <v>123</v>
      </c>
      <c r="D10" s="298" t="s">
        <v>100</v>
      </c>
      <c r="E10" s="298" t="s">
        <v>168</v>
      </c>
      <c r="F10" s="299" t="s">
        <v>170</v>
      </c>
      <c r="G10" s="300" t="s">
        <v>127</v>
      </c>
      <c r="H10" s="301" t="s">
        <v>30</v>
      </c>
      <c r="I10" s="301" t="s">
        <v>130</v>
      </c>
      <c r="J10" s="301" t="s">
        <v>35</v>
      </c>
      <c r="K10" s="301" t="s">
        <v>133</v>
      </c>
      <c r="L10" s="301" t="s">
        <v>179</v>
      </c>
      <c r="M10" s="301" t="s">
        <v>135</v>
      </c>
      <c r="N10" s="302" t="s">
        <v>182</v>
      </c>
      <c r="O10" s="303" t="s">
        <v>127</v>
      </c>
      <c r="P10" s="304" t="s">
        <v>30</v>
      </c>
      <c r="Q10" s="304" t="s">
        <v>130</v>
      </c>
      <c r="R10" s="304" t="s">
        <v>35</v>
      </c>
      <c r="S10" s="304" t="s">
        <v>133</v>
      </c>
      <c r="T10" s="304" t="s">
        <v>179</v>
      </c>
      <c r="U10" s="304" t="s">
        <v>135</v>
      </c>
      <c r="V10" s="305" t="s">
        <v>182</v>
      </c>
    </row>
    <row r="11" spans="1:22" x14ac:dyDescent="0.25">
      <c r="A11" s="318" t="s">
        <v>306</v>
      </c>
      <c r="B11" s="237">
        <f>SUMIFS('Diags Raw Data'!$L$6:$L$4911,'Diags Raw Data'!$D$6:$D$4911,$A11,'Diags Raw Data'!$M$6:$M$4911,"New")+SUMIFS('Diags Raw Data'!$L$6:$L$4911,'Diags Raw Data'!$D$6:$D$4911,$A11,'Diags Raw Data'!$M$6:$M$4911,"Delta")</f>
        <v>191</v>
      </c>
      <c r="C11" s="230">
        <f>SUMIFS('Diags Raw Data'!$R$6:$R$4911,'Diags Raw Data'!$D$6:$D$4911,$A11,'Diags Raw Data'!$M$6:$M$4911,"New")+SUMIFS('Diags Raw Data'!$R$6:$R$4911,'Diags Raw Data'!$D$6:$D$4911,$A11,'Diags Raw Data'!$M$6:$M$4911,"Delta")</f>
        <v>75</v>
      </c>
      <c r="D11" s="230">
        <f>SUMIFS('Diags Raw Data'!$K$6:$K$4911,'Diags Raw Data'!$D$6:$D$4911,$A11,'Diags Raw Data'!$M$6:$M$4911,"New")+SUMIFS('Diags Raw Data'!$K$6:$K$4911,'Diags Raw Data'!$D$6:$D$4911,$A11,'Diags Raw Data'!$M$6:$M$4911,"Delta")</f>
        <v>51</v>
      </c>
      <c r="E11" s="230">
        <f>SUMIFS('Diags Raw Data'!$O$6:$O$4911,'Diags Raw Data'!$D$6:$D$4911,$A11,'Diags Raw Data'!$M$6:$M$4911,"New")+SUMIFS('Diags Raw Data'!$O$6:$O$4911,'Diags Raw Data'!$D$6:$D$4911,$A11,'Diags Raw Data'!$M$6:$M$4911,"Delta")</f>
        <v>191</v>
      </c>
      <c r="F11" s="234">
        <f t="shared" ref="F11:F12" si="7">IF(NOT($B11=0), E11/$B11, "---")</f>
        <v>1</v>
      </c>
      <c r="G11" s="215">
        <f>SUMIFS('Diags Raw Data'!$S$6:$S$4911,'Diags Raw Data'!$D$6:$D$4911,$A11,'Diags Raw Data'!$M$6:$M$4911,"New")+SUMIFS('Diags Raw Data'!$S$6:$S$4911,'Diags Raw Data'!$D$6:$D$4911,$A11,'Diags Raw Data'!$M$6:$M$4911,"Delta")</f>
        <v>78</v>
      </c>
      <c r="H11" s="216">
        <f>SUMIFS('Diags Raw Data'!$T$6:$T$4911,'Diags Raw Data'!$D$6:$D$4911,$A11,'Diags Raw Data'!$M$6:$M$4911,"New")+SUMIFS('Diags Raw Data'!$T$6:$T$4911,'Diags Raw Data'!$D$6:$D$4911,$A11,'Diags Raw Data'!$M$6:$M$4911,"Delta")</f>
        <v>78</v>
      </c>
      <c r="I11" s="216">
        <f>SUMIFS('Diags Raw Data'!$U$6:$U$4911,'Diags Raw Data'!$D$6:$D$4911,$A11,'Diags Raw Data'!$M$6:$M$4911,"New")+SUMIFS('Diags Raw Data'!$U$6:$U$4911,'Diags Raw Data'!$D$6:$D$4911,$A11,'Diags Raw Data'!$M$6:$M$4911,"Delta")</f>
        <v>0</v>
      </c>
      <c r="J11" s="216">
        <f>SUMIFS('Diags Raw Data'!$V$6:$V$4911,'Diags Raw Data'!$D$6:$D$4911,$A11,'Diags Raw Data'!$M$6:$M$4911,"New")+SUMIFS('Diags Raw Data'!$V$6:$V$4911,'Diags Raw Data'!$D$6:$D$4911,$A11,'Diags Raw Data'!$M$6:$M$4911,"Delta")</f>
        <v>0</v>
      </c>
      <c r="K11" s="216">
        <f>SUMIFS('Diags Raw Data'!$W$6:$W$4911,'Diags Raw Data'!$D$6:$D$4911,$A11,'Diags Raw Data'!$M$6:$M$4911,"New")+SUMIFS('Diags Raw Data'!$W$6:$W$4911,'Diags Raw Data'!$D$6:$D$4911,$A11,'Diags Raw Data'!$M$6:$M$4911,"Delta")</f>
        <v>0</v>
      </c>
      <c r="L11" s="217">
        <f>IF(NOT($C11=0), G11/$C11, "---")</f>
        <v>1.04</v>
      </c>
      <c r="M11" s="219">
        <f>IF(NOT($G11=0), (H11+I11)/$G11, "---")</f>
        <v>1</v>
      </c>
      <c r="N11" s="221">
        <f>IF(NOT($C11=0), (H11+I11)/$C11, "---")</f>
        <v>1.04</v>
      </c>
      <c r="O11" s="209">
        <f>SUMIFS('Diags Raw Data'!$Z$6:$Z$4911,'Diags Raw Data'!$D$6:$D$4911,$A11,'Diags Raw Data'!$M$6:$M$4911,"New")+SUMIFS('Diags Raw Data'!$Z$6:$Z$4911,'Diags Raw Data'!$D$6:$D$4911,$A11,'Diags Raw Data'!$M$6:$M$4911,"Delta")</f>
        <v>52</v>
      </c>
      <c r="P11" s="206">
        <f>SUMIFS('Diags Raw Data'!$AA$6:$AA$4911,'Diags Raw Data'!$D$6:$D$4911,$A11,'Diags Raw Data'!$M$6:$M$4911,"New")+SUMIFS('Diags Raw Data'!$AA$6:$AA$4911,'Diags Raw Data'!$D$6:$D$4911,$A11,'Diags Raw Data'!$M$6:$M$4911,"Delta")</f>
        <v>27</v>
      </c>
      <c r="Q11" s="206">
        <f>SUMIFS('Diags Raw Data'!$AB$6:$AB$4911,'Diags Raw Data'!$D$6:$D$4911,$A11,'Diags Raw Data'!$M$6:$M$4911,"New")+SUMIFS('Diags Raw Data'!$AB$6:$AB$4911,'Diags Raw Data'!$D$6:$D$4911,$A11,'Diags Raw Data'!$M$6:$M$4911,"Delta")</f>
        <v>0</v>
      </c>
      <c r="R11" s="206">
        <f>SUMIFS('Diags Raw Data'!$AC$6:$AC$4911,'Diags Raw Data'!$D$6:$D$4911,$A11,'Diags Raw Data'!$M$6:$M$4911,"New")+SUMIFS('Diags Raw Data'!$AC$6:$AC$4911,'Diags Raw Data'!$D$6:$D$4911,$A11,'Diags Raw Data'!$M$6:$M$4911,"Delta")</f>
        <v>24</v>
      </c>
      <c r="S11" s="206">
        <f>SUMIFS('Diags Raw Data'!$AD$6:$AD$4911,'Diags Raw Data'!$D$6:$D$4911,$A11,'Diags Raw Data'!$M$6:$M$4911,"New")+SUMIFS('Diags Raw Data'!$AD$6:$AD$4911,'Diags Raw Data'!$D$6:$D$4911,$A11,'Diags Raw Data'!$M$6:$M$4911,"Delta")</f>
        <v>1</v>
      </c>
      <c r="T11" s="207">
        <f>IF(NOT($B11=0), O11/$B11, "---")</f>
        <v>0.27225130890052357</v>
      </c>
      <c r="U11" s="220">
        <f>IF(NOT($O11=0), (P11+Q11)/$O11, "---")</f>
        <v>0.51923076923076927</v>
      </c>
      <c r="V11" s="229">
        <f>IF(NOT($B11=0), (P11+Q11)/$B11, "---")</f>
        <v>0.14136125654450263</v>
      </c>
    </row>
    <row r="12" spans="1:22" x14ac:dyDescent="0.25">
      <c r="A12" s="318" t="s">
        <v>382</v>
      </c>
      <c r="B12" s="238">
        <f>SUMIFS('Diags Raw Data'!$L$6:$L$4911,'Diags Raw Data'!$D$6:$D$4911,$A12,'Diags Raw Data'!$M$6:$M$4911,"New")+SUMIFS('Diags Raw Data'!$L$6:$L$4911,'Diags Raw Data'!$D$6:$D$4911,$A12,'Diags Raw Data'!$M$6:$M$4911,"Delta")</f>
        <v>25</v>
      </c>
      <c r="C12" s="231">
        <f>SUMIFS('Diags Raw Data'!$R$6:$R$4911,'Diags Raw Data'!$D$6:$D$4911,$A12,'Diags Raw Data'!$M$6:$M$4911,"New")+SUMIFS('Diags Raw Data'!$R$6:$R$4911,'Diags Raw Data'!$D$6:$D$4911,$A12,'Diags Raw Data'!$M$6:$M$4911,"Delta")</f>
        <v>13</v>
      </c>
      <c r="D12" s="231">
        <f>SUMIFS('Diags Raw Data'!$K$6:$K$4911,'Diags Raw Data'!$D$6:$D$4911,$A12,'Diags Raw Data'!$M$6:$M$4911,"New")+SUMIFS('Diags Raw Data'!$K$6:$K$4911,'Diags Raw Data'!$D$6:$D$4911,$A12,'Diags Raw Data'!$M$6:$M$4911,"Delta")</f>
        <v>7</v>
      </c>
      <c r="E12" s="231">
        <f>SUMIFS('Diags Raw Data'!$O$6:$O$4911,'Diags Raw Data'!$D$6:$D$4911,$A12,'Diags Raw Data'!$M$6:$M$4911,"New")+SUMIFS('Diags Raw Data'!$O$6:$O$4911,'Diags Raw Data'!$D$6:$D$4911,$A12,'Diags Raw Data'!$M$6:$M$4911,"Delta")</f>
        <v>25</v>
      </c>
      <c r="F12" s="235">
        <f t="shared" si="7"/>
        <v>1</v>
      </c>
      <c r="G12" s="226">
        <f>SUMIFS('Diags Raw Data'!$S$6:$S$4911,'Diags Raw Data'!$D$6:$D$4911,$A12,'Diags Raw Data'!$M$6:$M$4911,"New")+SUMIFS('Diags Raw Data'!$S$6:$S$4911,'Diags Raw Data'!$D$6:$D$4911,$A12,'Diags Raw Data'!$M$6:$M$4911,"Delta")</f>
        <v>1</v>
      </c>
      <c r="H12" s="222">
        <f>SUMIFS('Diags Raw Data'!$T$6:$T$4911,'Diags Raw Data'!$D$6:$D$4911,$A12,'Diags Raw Data'!$M$6:$M$4911,"New")+SUMIFS('Diags Raw Data'!$T$6:$T$4911,'Diags Raw Data'!$D$6:$D$4911,$A12,'Diags Raw Data'!$M$6:$M$4911,"Delta")</f>
        <v>1</v>
      </c>
      <c r="I12" s="222">
        <f>SUMIFS('Diags Raw Data'!$U$6:$U$4911,'Diags Raw Data'!$D$6:$D$4911,$A12,'Diags Raw Data'!$M$6:$M$4911,"New")+SUMIFS('Diags Raw Data'!$U$6:$U$4911,'Diags Raw Data'!$D$6:$D$4911,$A12,'Diags Raw Data'!$M$6:$M$4911,"Delta")</f>
        <v>0</v>
      </c>
      <c r="J12" s="222">
        <f>SUMIFS('Diags Raw Data'!$V$6:$V$4911,'Diags Raw Data'!$D$6:$D$4911,$A12,'Diags Raw Data'!$M$6:$M$4911,"New")+SUMIFS('Diags Raw Data'!$V$6:$V$4911,'Diags Raw Data'!$D$6:$D$4911,$A12,'Diags Raw Data'!$M$6:$M$4911,"Delta")</f>
        <v>0</v>
      </c>
      <c r="K12" s="222">
        <f>SUMIFS('Diags Raw Data'!$W$6:$W$4911,'Diags Raw Data'!$D$6:$D$4911,$A12,'Diags Raw Data'!$M$6:$M$4911,"New")+SUMIFS('Diags Raw Data'!$W$6:$W$4911,'Diags Raw Data'!$D$6:$D$4911,$A12,'Diags Raw Data'!$M$6:$M$4911,"Delta")</f>
        <v>0</v>
      </c>
      <c r="L12" s="232">
        <f>IF(NOT($C12=0), G12/$C12, "---")</f>
        <v>7.6923076923076927E-2</v>
      </c>
      <c r="M12" s="224">
        <f>IF(NOT($G12=0), (H12+I12)/$G12, "---")</f>
        <v>1</v>
      </c>
      <c r="N12" s="228">
        <f>IF(NOT($C12=0), (H12+I12)/$C12, "---")</f>
        <v>7.6923076923076927E-2</v>
      </c>
      <c r="O12" s="210">
        <f>SUMIFS('Diags Raw Data'!$Z$6:$Z$4911,'Diags Raw Data'!$D$6:$D$4911,$A12,'Diags Raw Data'!$M$6:$M$4911,"New")+SUMIFS('Diags Raw Data'!$Z$6:$Z$4911,'Diags Raw Data'!$D$6:$D$4911,$A12,'Diags Raw Data'!$M$6:$M$4911,"Delta")</f>
        <v>0</v>
      </c>
      <c r="P12" s="203">
        <f>SUMIFS('Diags Raw Data'!$AA$6:$AA$4911,'Diags Raw Data'!$D$6:$D$4911,$A12,'Diags Raw Data'!$M$6:$M$4911,"New")+SUMIFS('Diags Raw Data'!$AA$6:$AA$4911,'Diags Raw Data'!$D$6:$D$4911,$A12,'Diags Raw Data'!$M$6:$M$4911,"Delta")</f>
        <v>0</v>
      </c>
      <c r="Q12" s="203">
        <f>SUMIFS('Diags Raw Data'!$AB$6:$AB$4911,'Diags Raw Data'!$D$6:$D$4911,$A12,'Diags Raw Data'!$M$6:$M$4911,"New")+SUMIFS('Diags Raw Data'!$AB$6:$AB$4911,'Diags Raw Data'!$D$6:$D$4911,$A12,'Diags Raw Data'!$M$6:$M$4911,"Delta")</f>
        <v>0</v>
      </c>
      <c r="R12" s="203">
        <f>SUMIFS('Diags Raw Data'!$AC$6:$AC$4911,'Diags Raw Data'!$D$6:$D$4911,$A12,'Diags Raw Data'!$M$6:$M$4911,"New")+SUMIFS('Diags Raw Data'!$AC$6:$AC$4911,'Diags Raw Data'!$D$6:$D$4911,$A12,'Diags Raw Data'!$M$6:$M$4911,"Delta")</f>
        <v>0</v>
      </c>
      <c r="S12" s="203">
        <f>SUMIFS('Diags Raw Data'!$AD$6:$AD$4911,'Diags Raw Data'!$D$6:$D$4911,$A12,'Diags Raw Data'!$M$6:$M$4911,"New")+SUMIFS('Diags Raw Data'!$AD$6:$AD$4911,'Diags Raw Data'!$D$6:$D$4911,$A12,'Diags Raw Data'!$M$6:$M$4911,"Delta")</f>
        <v>0</v>
      </c>
      <c r="T12" s="204">
        <f>IF(NOT($B12=0), O12/$B12, "---")</f>
        <v>0</v>
      </c>
      <c r="U12" s="225" t="str">
        <f>IF(NOT($O12=0), (P12+Q12)/$O12, "---")</f>
        <v>---</v>
      </c>
      <c r="V12" s="227">
        <f t="shared" ref="V12:V14" si="8">IF(NOT($B12=0), (P12+Q12)/$B12, "---")</f>
        <v>0</v>
      </c>
    </row>
    <row r="13" spans="1:22" ht="15.75" thickBot="1" x14ac:dyDescent="0.3">
      <c r="A13" s="318" t="s">
        <v>790</v>
      </c>
      <c r="B13" s="238">
        <f>SUMIFS('Diags Raw Data'!$L$6:$L$4911,'Diags Raw Data'!$D$6:$D$4911,$A13,'Diags Raw Data'!$M$6:$M$4911,"New")+SUMIFS('Diags Raw Data'!$L$6:$L$4911,'Diags Raw Data'!$D$6:$D$4911,$A13,'Diags Raw Data'!$M$6:$M$4911,"Delta")</f>
        <v>3</v>
      </c>
      <c r="C13" s="231">
        <f>SUMIFS('Diags Raw Data'!$R$6:$R$4911,'Diags Raw Data'!$D$6:$D$4911,$A13,'Diags Raw Data'!$M$6:$M$4911,"New")+SUMIFS('Diags Raw Data'!$R$6:$R$4911,'Diags Raw Data'!$D$6:$D$4911,$A13,'Diags Raw Data'!$M$6:$M$4911,"Delta")</f>
        <v>3</v>
      </c>
      <c r="D13" s="231">
        <f>SUMIFS('Diags Raw Data'!$K$6:$K$4911,'Diags Raw Data'!$D$6:$D$4911,$A13,'Diags Raw Data'!$M$6:$M$4911,"New")+SUMIFS('Diags Raw Data'!$K$6:$K$4911,'Diags Raw Data'!$D$6:$D$4911,$A13,'Diags Raw Data'!$M$6:$M$4911,"Delta")</f>
        <v>3</v>
      </c>
      <c r="E13" s="231">
        <f>SUMIFS('Diags Raw Data'!$O$6:$O$4911,'Diags Raw Data'!$D$6:$D$4911,$A13,'Diags Raw Data'!$M$6:$M$4911,"New")+SUMIFS('Diags Raw Data'!$O$6:$O$4911,'Diags Raw Data'!$D$6:$D$4911,$A13,'Diags Raw Data'!$M$6:$M$4911,"Delta")</f>
        <v>3</v>
      </c>
      <c r="F13" s="235">
        <f>IF(NOT($B13=0), E13/$B13, "---")</f>
        <v>1</v>
      </c>
      <c r="G13" s="226">
        <f>SUMIFS('Diags Raw Data'!$S$6:$S$4911,'Diags Raw Data'!$D$6:$D$4911,$A13,'Diags Raw Data'!$M$6:$M$4911,"New")+SUMIFS('Diags Raw Data'!$S$6:$S$4911,'Diags Raw Data'!$D$6:$D$4911,$A13,'Diags Raw Data'!$M$6:$M$4911,"Delta")</f>
        <v>3</v>
      </c>
      <c r="H13" s="222">
        <f>SUMIFS('Diags Raw Data'!$T$6:$T$4911,'Diags Raw Data'!$D$6:$D$4911,$A13,'Diags Raw Data'!$M$6:$M$4911,"New")+SUMIFS('Diags Raw Data'!$T$6:$T$4911,'Diags Raw Data'!$D$6:$D$4911,$A13,'Diags Raw Data'!$M$6:$M$4911,"Delta")</f>
        <v>3</v>
      </c>
      <c r="I13" s="222">
        <f>SUMIFS('Diags Raw Data'!$U$6:$U$4911,'Diags Raw Data'!$D$6:$D$4911,$A13,'Diags Raw Data'!$M$6:$M$4911,"New")+SUMIFS('Diags Raw Data'!$U$6:$U$4911,'Diags Raw Data'!$D$6:$D$4911,$A13,'Diags Raw Data'!$M$6:$M$4911,"Delta")</f>
        <v>0</v>
      </c>
      <c r="J13" s="222">
        <f>SUMIFS('Diags Raw Data'!$V$6:$V$4911,'Diags Raw Data'!$D$6:$D$4911,$A13,'Diags Raw Data'!$M$6:$M$4911,"New")+SUMIFS('Diags Raw Data'!$V$6:$V$4911,'Diags Raw Data'!$D$6:$D$4911,$A13,'Diags Raw Data'!$M$6:$M$4911,"Delta")</f>
        <v>0</v>
      </c>
      <c r="K13" s="222">
        <f>SUMIFS('Diags Raw Data'!$W$6:$W$4911,'Diags Raw Data'!$D$6:$D$4911,$A13,'Diags Raw Data'!$M$6:$M$4911,"New")+SUMIFS('Diags Raw Data'!$W$6:$W$4911,'Diags Raw Data'!$D$6:$D$4911,$A13,'Diags Raw Data'!$M$6:$M$4911,"Delta")</f>
        <v>0</v>
      </c>
      <c r="L13" s="232">
        <f t="shared" ref="L13" si="9">IF(NOT($C13=0), G13/$C13, "---")</f>
        <v>1</v>
      </c>
      <c r="M13" s="224">
        <f>IF(NOT($G13=0), (H13+I13)/$G13, "---")</f>
        <v>1</v>
      </c>
      <c r="N13" s="228">
        <f t="shared" ref="N13" si="10">IF(NOT($C13=0), (H13+I13)/$C13, "---")</f>
        <v>1</v>
      </c>
      <c r="O13" s="210">
        <f>SUMIFS('Diags Raw Data'!$Z$6:$Z$4911,'Diags Raw Data'!$D$6:$D$4911,$A13,'Diags Raw Data'!$M$6:$M$4911,"New")+SUMIFS('Diags Raw Data'!$Z$6:$Z$4911,'Diags Raw Data'!$D$6:$D$4911,$A13,'Diags Raw Data'!$M$6:$M$4911,"Delta")</f>
        <v>0</v>
      </c>
      <c r="P13" s="203">
        <f>SUMIFS('Diags Raw Data'!$AA$6:$AA$4911,'Diags Raw Data'!$D$6:$D$4911,$A13,'Diags Raw Data'!$M$6:$M$4911,"New")+SUMIFS('Diags Raw Data'!$AA$6:$AA$4911,'Diags Raw Data'!$D$6:$D$4911,$A13,'Diags Raw Data'!$M$6:$M$4911,"Delta")</f>
        <v>0</v>
      </c>
      <c r="Q13" s="203">
        <f>SUMIFS('Diags Raw Data'!$AB$6:$AB$4911,'Diags Raw Data'!$D$6:$D$4911,$A13,'Diags Raw Data'!$M$6:$M$4911,"New")+SUMIFS('Diags Raw Data'!$AB$6:$AB$4911,'Diags Raw Data'!$D$6:$D$4911,$A13,'Diags Raw Data'!$M$6:$M$4911,"Delta")</f>
        <v>0</v>
      </c>
      <c r="R13" s="203">
        <f>SUMIFS('Diags Raw Data'!$AC$6:$AC$4911,'Diags Raw Data'!$D$6:$D$4911,$A13,'Diags Raw Data'!$M$6:$M$4911,"New")+SUMIFS('Diags Raw Data'!$AC$6:$AC$4911,'Diags Raw Data'!$D$6:$D$4911,$A13,'Diags Raw Data'!$M$6:$M$4911,"Delta")</f>
        <v>0</v>
      </c>
      <c r="S13" s="203">
        <f>SUMIFS('Diags Raw Data'!$AD$6:$AD$4911,'Diags Raw Data'!$D$6:$D$4911,$A13,'Diags Raw Data'!$M$6:$M$4911,"New")+SUMIFS('Diags Raw Data'!$AD$6:$AD$4911,'Diags Raw Data'!$D$6:$D$4911,$A13,'Diags Raw Data'!$M$6:$M$4911,"Delta")</f>
        <v>0</v>
      </c>
      <c r="T13" s="204">
        <f t="shared" ref="T13" si="11">IF(NOT($B13=0), O13/$B13, "---")</f>
        <v>0</v>
      </c>
      <c r="U13" s="225" t="str">
        <f t="shared" ref="U13:U14" si="12">IF(NOT($O13=0), (P13+Q13)/$O13, "---")</f>
        <v>---</v>
      </c>
      <c r="V13" s="227">
        <f>IF(NOT($B13=0), (P13+Q13)/$B13, "---")</f>
        <v>0</v>
      </c>
    </row>
    <row r="14" spans="1:22" ht="16.5" thickBot="1" x14ac:dyDescent="0.3">
      <c r="A14" s="240" t="s">
        <v>1363</v>
      </c>
      <c r="B14" s="241">
        <f>SUM(B11:B13)</f>
        <v>219</v>
      </c>
      <c r="C14" s="242">
        <f>SUM(C11:C13)</f>
        <v>91</v>
      </c>
      <c r="D14" s="242">
        <f>SUM(D11:D13)</f>
        <v>61</v>
      </c>
      <c r="E14" s="242">
        <f>SUM(E11:E13)</f>
        <v>219</v>
      </c>
      <c r="F14" s="243" cm="1">
        <f t="array" ref="F14">SUMPRODUCT(--(ISNUMBER(SEARCH("New",'Diags Raw Data'!$M$6:$M$4911))),'Diags Raw Data'!$K$6:$K$4911,'Diags Raw Data'!$P$6:$P$4911)/D14+SUMPRODUCT(--(ISNUMBER(SEARCH("Delta",'Diags Raw Data'!$M$6:$M$4911))),'Diags Raw Data'!$K$6:$K$4911,'Diags Raw Data'!$P$6:$P$4911)/D14</f>
        <v>1.0163934426229508</v>
      </c>
      <c r="G14" s="244">
        <f>SUM(G11:G13)</f>
        <v>82</v>
      </c>
      <c r="H14" s="245">
        <f>SUM(H11:H13)</f>
        <v>82</v>
      </c>
      <c r="I14" s="246">
        <f>SUM(I11:I13)</f>
        <v>0</v>
      </c>
      <c r="J14" s="245">
        <f>SUM(J11:J13)</f>
        <v>0</v>
      </c>
      <c r="K14" s="246">
        <f>SUM(K11:K13)</f>
        <v>0</v>
      </c>
      <c r="L14" s="247">
        <f>IF(NOT($C14=0), G14/$C14, "---")</f>
        <v>0.90109890109890112</v>
      </c>
      <c r="M14" s="248">
        <f t="shared" ref="M14" si="13">IF(NOT($G14=0), (H14+I14)/$G14, "---")</f>
        <v>1</v>
      </c>
      <c r="N14" s="249">
        <f>IF(NOT($C14=0), (H14+I14)/$C14, "---")</f>
        <v>0.90109890109890112</v>
      </c>
      <c r="O14" s="250">
        <f>SUM(O11:O13)</f>
        <v>52</v>
      </c>
      <c r="P14" s="251">
        <f>SUM(P11:P13)</f>
        <v>27</v>
      </c>
      <c r="Q14" s="252">
        <f>SUM(Q11:Q13)</f>
        <v>0</v>
      </c>
      <c r="R14" s="251">
        <f>SUM(R11:R13)</f>
        <v>24</v>
      </c>
      <c r="S14" s="252">
        <f>SUM(S11:S13)</f>
        <v>1</v>
      </c>
      <c r="T14" s="253">
        <f>IF(NOT($B14=0), O14/$B14, "---")</f>
        <v>0.23744292237442921</v>
      </c>
      <c r="U14" s="254">
        <f t="shared" si="12"/>
        <v>0.51923076923076927</v>
      </c>
      <c r="V14" s="255">
        <f t="shared" si="8"/>
        <v>0.12328767123287671</v>
      </c>
    </row>
    <row r="15" spans="1:22" ht="15.75" thickBot="1" x14ac:dyDescent="0.3">
      <c r="A15" s="233"/>
      <c r="B15" s="233"/>
      <c r="C15" s="233"/>
      <c r="D15" s="233"/>
      <c r="E15" s="233"/>
      <c r="F15" s="233"/>
      <c r="G15" s="233"/>
      <c r="H15" s="233"/>
      <c r="I15" s="233"/>
      <c r="J15" s="233"/>
      <c r="K15" s="233"/>
      <c r="L15" s="233"/>
      <c r="M15" s="233"/>
      <c r="N15" s="233"/>
      <c r="O15" s="233"/>
      <c r="P15" s="233"/>
      <c r="Q15" s="233"/>
      <c r="R15" s="233"/>
      <c r="S15" s="233"/>
      <c r="T15" s="233"/>
      <c r="U15" s="233"/>
      <c r="V15" s="233"/>
    </row>
    <row r="16" spans="1:22" ht="15.75" thickBot="1" x14ac:dyDescent="0.3">
      <c r="A16" s="212" t="s">
        <v>33</v>
      </c>
      <c r="B16" s="661" t="s">
        <v>161</v>
      </c>
      <c r="C16" s="661"/>
      <c r="D16" s="661"/>
      <c r="E16" s="661"/>
      <c r="F16" s="661"/>
      <c r="G16" s="662" t="s">
        <v>172</v>
      </c>
      <c r="H16" s="663"/>
      <c r="I16" s="663"/>
      <c r="J16" s="663"/>
      <c r="K16" s="663"/>
      <c r="L16" s="663"/>
      <c r="M16" s="663"/>
      <c r="N16" s="664"/>
      <c r="O16" s="665" t="s">
        <v>139</v>
      </c>
      <c r="P16" s="666"/>
      <c r="Q16" s="666"/>
      <c r="R16" s="666"/>
      <c r="S16" s="666"/>
      <c r="T16" s="666"/>
      <c r="U16" s="666"/>
      <c r="V16" s="667"/>
    </row>
    <row r="17" spans="1:22" s="236" customFormat="1" ht="30.75" thickBot="1" x14ac:dyDescent="0.3">
      <c r="A17" s="239" t="s">
        <v>83</v>
      </c>
      <c r="B17" s="296" t="s">
        <v>162</v>
      </c>
      <c r="C17" s="297" t="s">
        <v>123</v>
      </c>
      <c r="D17" s="298" t="s">
        <v>100</v>
      </c>
      <c r="E17" s="298" t="s">
        <v>168</v>
      </c>
      <c r="F17" s="299" t="s">
        <v>170</v>
      </c>
      <c r="G17" s="300" t="s">
        <v>127</v>
      </c>
      <c r="H17" s="301" t="s">
        <v>30</v>
      </c>
      <c r="I17" s="301" t="s">
        <v>130</v>
      </c>
      <c r="J17" s="301" t="s">
        <v>35</v>
      </c>
      <c r="K17" s="301" t="s">
        <v>133</v>
      </c>
      <c r="L17" s="301" t="s">
        <v>179</v>
      </c>
      <c r="M17" s="301" t="s">
        <v>135</v>
      </c>
      <c r="N17" s="302" t="s">
        <v>182</v>
      </c>
      <c r="O17" s="303" t="s">
        <v>127</v>
      </c>
      <c r="P17" s="304" t="s">
        <v>30</v>
      </c>
      <c r="Q17" s="304" t="s">
        <v>130</v>
      </c>
      <c r="R17" s="304" t="s">
        <v>35</v>
      </c>
      <c r="S17" s="304" t="s">
        <v>133</v>
      </c>
      <c r="T17" s="304" t="s">
        <v>179</v>
      </c>
      <c r="U17" s="304" t="s">
        <v>135</v>
      </c>
      <c r="V17" s="305" t="s">
        <v>182</v>
      </c>
    </row>
    <row r="18" spans="1:22" x14ac:dyDescent="0.25">
      <c r="A18" s="318" t="s">
        <v>306</v>
      </c>
      <c r="B18" s="237">
        <f>SUMIFS('Diags Raw Data'!$L$6:$L$4911,'Diags Raw Data'!$D$6:$D$4911,$A18,'Diags Raw Data'!$M$6:$M$4911,"Legacy")</f>
        <v>293</v>
      </c>
      <c r="C18" s="230">
        <f>SUMIFS('Diags Raw Data'!$R$6:$R$4911,'Diags Raw Data'!$D$6:$D$4911,$A18,'Diags Raw Data'!$M$6:$M$4911,"Legacy")</f>
        <v>293</v>
      </c>
      <c r="D18" s="230">
        <f>SUMIFS('Diags Raw Data'!$K$6:$K$4911,'Diags Raw Data'!$D$6:$D$4911,$A18,'Diags Raw Data'!$M$6:$M$4911,"Legacy")</f>
        <v>232</v>
      </c>
      <c r="E18" s="230">
        <f>SUMIFS('Diags Raw Data'!$O$6:$O$4911,'Diags Raw Data'!$D$6:$D$4911,$A18,'Diags Raw Data'!$M$6:$M$4911,"Legacy")</f>
        <v>290</v>
      </c>
      <c r="F18" s="234">
        <f>IF(NOT($B18=0), E18/$B18, "---")</f>
        <v>0.98976109215017061</v>
      </c>
      <c r="G18" s="215">
        <f>SUMIFS('Diags Raw Data'!$S$6:$S$4911,'Diags Raw Data'!$D$6:$D$4911,$A18,'Diags Raw Data'!$M$6:$M$4911,"Legacy")</f>
        <v>290</v>
      </c>
      <c r="H18" s="216">
        <f>SUMIFS('Diags Raw Data'!$T$6:$T$4911,'Diags Raw Data'!$D$6:$D$4911,$A18,'Diags Raw Data'!$M$6:$M$4911,"Legacy")</f>
        <v>265</v>
      </c>
      <c r="I18" s="218">
        <f>SUMIFS('Diags Raw Data'!$U$6:$U$4911,'Diags Raw Data'!$D$6:$D$4911,$A18,'Diags Raw Data'!$M$6:$M$4911,"Legacy")</f>
        <v>25</v>
      </c>
      <c r="J18" s="216">
        <f>SUMIFS('Diags Raw Data'!$V$6:$V$4911,'Diags Raw Data'!$D$6:$D$4911,$A18,'Diags Raw Data'!$M$6:$M$4911,"Legacy")</f>
        <v>0</v>
      </c>
      <c r="K18" s="218">
        <f>SUMIFS('Diags Raw Data'!$W$6:$W$4911,'Diags Raw Data'!$D$6:$D$4911,$A18,'Diags Raw Data'!$M$6:$M$4911,"Legacy")</f>
        <v>0</v>
      </c>
      <c r="L18" s="217">
        <f>IF(NOT($C18=0), G18/$C18, "---")</f>
        <v>0.98976109215017061</v>
      </c>
      <c r="M18" s="219">
        <f>IF(NOT($G18=0), (H18+I18)/$G18, "---")</f>
        <v>1</v>
      </c>
      <c r="N18" s="221">
        <f>IF(NOT($C18=0), (H18+I18)/$C18, "---")</f>
        <v>0.98976109215017061</v>
      </c>
      <c r="O18" s="209">
        <f>SUMIFS('Diags Raw Data'!$Z$6:$Z$4911,'Diags Raw Data'!$D$6:$D$4911,$A18,'Diags Raw Data'!$M$6:$M$4911,"Legacy")</f>
        <v>269</v>
      </c>
      <c r="P18" s="206">
        <f>SUMIFS('Diags Raw Data'!$AA$6:$AA$4911,'Diags Raw Data'!$D$6:$D$4911,$A18,'Diags Raw Data'!$M$6:$M$4911,"Legacy")</f>
        <v>100</v>
      </c>
      <c r="Q18" s="208">
        <f>SUMIFS('Diags Raw Data'!$AB$6:$AB$4911,'Diags Raw Data'!$D$6:$D$4911,$A18,'Diags Raw Data'!$M$6:$M$4911,"Legacy")</f>
        <v>0</v>
      </c>
      <c r="R18" s="206">
        <f>SUMIFS('Diags Raw Data'!$AC$6:$AC$4911,'Diags Raw Data'!$D$6:$D$4911,$A18,'Diags Raw Data'!$M$6:$M$4911,"Legacy")</f>
        <v>15</v>
      </c>
      <c r="S18" s="208">
        <f>SUMIFS('Diags Raw Data'!$AD$6:$AD$4911,'Diags Raw Data'!$D$6:$D$4911,$A18,'Diags Raw Data'!$M$6:$M$4911,"Legacy")</f>
        <v>154</v>
      </c>
      <c r="T18" s="207">
        <f>IF(NOT($B18=0), O18/$B18, "---")</f>
        <v>0.91808873720136519</v>
      </c>
      <c r="U18" s="220">
        <f>IF(NOT($O18=0), (P18+Q18)/$O18, "---")</f>
        <v>0.37174721189591076</v>
      </c>
      <c r="V18" s="229">
        <f>IF(NOT($B18=0), (P18+Q18)/$B18, "---")</f>
        <v>0.34129692832764508</v>
      </c>
    </row>
    <row r="19" spans="1:22" x14ac:dyDescent="0.25">
      <c r="A19" s="318" t="s">
        <v>382</v>
      </c>
      <c r="B19" s="238">
        <f>SUMIFS('Diags Raw Data'!$L$6:$L$4911,'Diags Raw Data'!$D$6:$D$4911,$A19,'Diags Raw Data'!$M$6:$M$4911,"Legacy")</f>
        <v>257</v>
      </c>
      <c r="C19" s="231">
        <f>SUMIFS('Diags Raw Data'!$R$6:$R$4911,'Diags Raw Data'!$D$6:$D$4911,$A19,'Diags Raw Data'!$M$6:$M$4911,"Legacy")</f>
        <v>257</v>
      </c>
      <c r="D19" s="231">
        <f>SUMIFS('Diags Raw Data'!$K$6:$K$4911,'Diags Raw Data'!$D$6:$D$4911,$A19,'Diags Raw Data'!$M$6:$M$4911,"Legacy")</f>
        <v>170</v>
      </c>
      <c r="E19" s="231">
        <f>SUMIFS('Diags Raw Data'!$O$6:$O$4911,'Diags Raw Data'!$D$6:$D$4911,$A19,'Diags Raw Data'!$M$6:$M$4911,"Legacy")</f>
        <v>257</v>
      </c>
      <c r="F19" s="235">
        <f t="shared" ref="F19:F20" si="14">IF(NOT($B19=0), E19/$B19, "---")</f>
        <v>1</v>
      </c>
      <c r="G19" s="226">
        <f>SUMIFS('Diags Raw Data'!$S$6:$S$4911,'Diags Raw Data'!$D$6:$D$4911,$A19,'Diags Raw Data'!$M$6:$M$4911,"Legacy")</f>
        <v>234</v>
      </c>
      <c r="H19" s="222">
        <f>SUMIFS('Diags Raw Data'!$T$6:$T$4911,'Diags Raw Data'!$D$6:$D$4911,$A19,'Diags Raw Data'!$M$6:$M$4911,"Legacy")</f>
        <v>228</v>
      </c>
      <c r="I19" s="223">
        <f>SUMIFS('Diags Raw Data'!$U$6:$U$4911,'Diags Raw Data'!$D$6:$D$4911,$A19,'Diags Raw Data'!$M$6:$M$4911,"Legacy")</f>
        <v>6</v>
      </c>
      <c r="J19" s="222">
        <f>SUMIFS('Diags Raw Data'!$V$6:$V$4911,'Diags Raw Data'!$D$6:$D$4911,$A19,'Diags Raw Data'!$M$6:$M$4911,"Legacy")</f>
        <v>0</v>
      </c>
      <c r="K19" s="223">
        <f>SUMIFS('Diags Raw Data'!$W$6:$W$4911,'Diags Raw Data'!$D$6:$D$4911,$A19,'Diags Raw Data'!$M$6:$M$4911,"Legacy")</f>
        <v>0</v>
      </c>
      <c r="L19" s="232">
        <f t="shared" ref="L19:L20" si="15">IF(NOT($C19=0), G19/$C19, "---")</f>
        <v>0.91050583657587547</v>
      </c>
      <c r="M19" s="224">
        <f t="shared" ref="M19:M21" si="16">IF(NOT($G19=0), (H19+I19)/$G19, "---")</f>
        <v>1</v>
      </c>
      <c r="N19" s="228">
        <f t="shared" ref="N19:N21" si="17">IF(NOT($C19=0), (H19+I19)/$C19, "---")</f>
        <v>0.91050583657587547</v>
      </c>
      <c r="O19" s="210">
        <f>SUMIFS('Diags Raw Data'!$Z$6:$Z$4911,'Diags Raw Data'!$D$6:$D$4911,$A19,'Diags Raw Data'!$M$6:$M$4911,"Legacy")</f>
        <v>167</v>
      </c>
      <c r="P19" s="203">
        <f>SUMIFS('Diags Raw Data'!$AA$6:$AA$4911,'Diags Raw Data'!$D$6:$D$4911,$A19,'Diags Raw Data'!$M$6:$M$4911,"Legacy")</f>
        <v>99</v>
      </c>
      <c r="Q19" s="205">
        <f>SUMIFS('Diags Raw Data'!$AB$6:$AB$4911,'Diags Raw Data'!$D$6:$D$4911,$A19,'Diags Raw Data'!$M$6:$M$4911,"Legacy")</f>
        <v>0</v>
      </c>
      <c r="R19" s="203">
        <f>SUMIFS('Diags Raw Data'!$AC$6:$AC$4911,'Diags Raw Data'!$D$6:$D$4911,$A19,'Diags Raw Data'!$M$6:$M$4911,"Legacy")</f>
        <v>51</v>
      </c>
      <c r="S19" s="205">
        <f>SUMIFS('Diags Raw Data'!$AD$6:$AD$4911,'Diags Raw Data'!$D$6:$D$4911,$A19,'Diags Raw Data'!$M$6:$M$4911,"Legacy")</f>
        <v>17</v>
      </c>
      <c r="T19" s="204">
        <f t="shared" ref="T19:T20" si="18">IF(NOT($B19=0), O19/$B19, "---")</f>
        <v>0.64980544747081714</v>
      </c>
      <c r="U19" s="225">
        <f t="shared" ref="U19:U21" si="19">IF(NOT($O19=0), (P19+Q19)/$O19, "---")</f>
        <v>0.59281437125748504</v>
      </c>
      <c r="V19" s="227">
        <f t="shared" ref="V19:V20" si="20">IF(NOT($B19=0), (P19+Q19)/$B19, "---")</f>
        <v>0.38521400778210119</v>
      </c>
    </row>
    <row r="20" spans="1:22" ht="15.75" thickBot="1" x14ac:dyDescent="0.3">
      <c r="A20" s="318" t="s">
        <v>790</v>
      </c>
      <c r="B20" s="238">
        <f>SUMIFS('Diags Raw Data'!$L$6:$L$4911,'Diags Raw Data'!$D$6:$D$4911,$A20,'Diags Raw Data'!$M$6:$M$4911,"Legacy")</f>
        <v>8</v>
      </c>
      <c r="C20" s="231">
        <f>SUMIFS('Diags Raw Data'!$R$6:$R$4911,'Diags Raw Data'!$D$6:$D$4911,$A20,'Diags Raw Data'!$M$6:$M$4911,"Legacy")</f>
        <v>8</v>
      </c>
      <c r="D20" s="231">
        <f>SUMIFS('Diags Raw Data'!$K$6:$K$4911,'Diags Raw Data'!$D$6:$D$4911,$A20,'Diags Raw Data'!$M$6:$M$4911,"Legacy")</f>
        <v>7</v>
      </c>
      <c r="E20" s="231">
        <f>SUMIFS('Diags Raw Data'!$O$6:$O$4911,'Diags Raw Data'!$D$6:$D$4911,$A20,'Diags Raw Data'!$M$6:$M$4911,"Legacy")</f>
        <v>8</v>
      </c>
      <c r="F20" s="235">
        <f t="shared" si="14"/>
        <v>1</v>
      </c>
      <c r="G20" s="226">
        <f>SUMIFS('Diags Raw Data'!$S$6:$S$4911,'Diags Raw Data'!$D$6:$D$4911,$A20,'Diags Raw Data'!$M$6:$M$4911,"Legacy")</f>
        <v>2</v>
      </c>
      <c r="H20" s="222">
        <f>SUMIFS('Diags Raw Data'!$T$6:$T$4911,'Diags Raw Data'!$D$6:$D$4911,$A20,'Diags Raw Data'!$M$6:$M$4911,"Legacy")</f>
        <v>2</v>
      </c>
      <c r="I20" s="223">
        <f>SUMIFS('Diags Raw Data'!$U$6:$U$4911,'Diags Raw Data'!$D$6:$D$4911,$A20,'Diags Raw Data'!$M$6:$M$4911,"Legacy")</f>
        <v>0</v>
      </c>
      <c r="J20" s="222">
        <f>SUMIFS('Diags Raw Data'!$V$6:$V$4911,'Diags Raw Data'!$D$6:$D$4911,$A20,'Diags Raw Data'!$M$6:$M$4911,"Legacy")</f>
        <v>0</v>
      </c>
      <c r="K20" s="223">
        <f>SUMIFS('Diags Raw Data'!$W$6:$W$4911,'Diags Raw Data'!$D$6:$D$4911,$A20,'Diags Raw Data'!$M$6:$M$4911,"Legacy")</f>
        <v>0</v>
      </c>
      <c r="L20" s="232">
        <f t="shared" si="15"/>
        <v>0.25</v>
      </c>
      <c r="M20" s="224">
        <f t="shared" si="16"/>
        <v>1</v>
      </c>
      <c r="N20" s="228">
        <f t="shared" si="17"/>
        <v>0.25</v>
      </c>
      <c r="O20" s="210">
        <f>SUMIFS('Diags Raw Data'!$Z$6:$Z$4911,'Diags Raw Data'!$D$6:$D$4911,$A20,'Diags Raw Data'!$M$6:$M$4911,"Legacy")</f>
        <v>0</v>
      </c>
      <c r="P20" s="203">
        <f>SUMIFS('Diags Raw Data'!$AA$6:$AA$4911,'Diags Raw Data'!$D$6:$D$4911,$A20,'Diags Raw Data'!$M$6:$M$4911,"Legacy")</f>
        <v>0</v>
      </c>
      <c r="Q20" s="205">
        <f>SUMIFS('Diags Raw Data'!$AB$6:$AB$4911,'Diags Raw Data'!$D$6:$D$4911,$A20,'Diags Raw Data'!$M$6:$M$4911,"Legacy")</f>
        <v>0</v>
      </c>
      <c r="R20" s="203">
        <f>SUMIFS('Diags Raw Data'!$AC$6:$AC$4911,'Diags Raw Data'!$D$6:$D$4911,$A20,'Diags Raw Data'!$M$6:$M$4911,"Legacy")</f>
        <v>0</v>
      </c>
      <c r="S20" s="205">
        <f>SUMIFS('Diags Raw Data'!$AD$6:$AD$4911,'Diags Raw Data'!$D$6:$D$4911,$A20,'Diags Raw Data'!$M$6:$M$4911,"Legacy")</f>
        <v>0</v>
      </c>
      <c r="T20" s="204">
        <f t="shared" si="18"/>
        <v>0</v>
      </c>
      <c r="U20" s="225" t="str">
        <f t="shared" si="19"/>
        <v>---</v>
      </c>
      <c r="V20" s="227">
        <f t="shared" si="20"/>
        <v>0</v>
      </c>
    </row>
    <row r="21" spans="1:22" ht="16.5" thickBot="1" x14ac:dyDescent="0.3">
      <c r="A21" s="256" t="s">
        <v>1364</v>
      </c>
      <c r="B21" s="241">
        <f>SUM(B18:B20)</f>
        <v>558</v>
      </c>
      <c r="C21" s="242">
        <f>SUM(C18:C20)</f>
        <v>558</v>
      </c>
      <c r="D21" s="242">
        <f>SUM(D18:D20)</f>
        <v>409</v>
      </c>
      <c r="E21" s="242">
        <f>SUM(E18:E20)</f>
        <v>555</v>
      </c>
      <c r="F21" s="243" cm="1">
        <f t="array" ref="F21">SUMPRODUCT(--(ISNUMBER(SEARCH("Legacy",'Diags Raw Data'!$M$6:$M$4911))),'Diags Raw Data'!$K$6:$K$4911,'Diags Raw Data'!$P$6:$P$4911)/D21</f>
        <v>1.0146699266503667</v>
      </c>
      <c r="G21" s="244">
        <f>SUM(G18:G20)</f>
        <v>526</v>
      </c>
      <c r="H21" s="245">
        <f>SUM(H18:H20)</f>
        <v>495</v>
      </c>
      <c r="I21" s="246">
        <f>SUM(I18:I20)</f>
        <v>31</v>
      </c>
      <c r="J21" s="245">
        <f>SUM(J18:J20)</f>
        <v>0</v>
      </c>
      <c r="K21" s="246">
        <f>SUM(K18:K20)</f>
        <v>0</v>
      </c>
      <c r="L21" s="247">
        <f>IF(NOT($C21=0), G21/$C21, "---")</f>
        <v>0.94265232974910396</v>
      </c>
      <c r="M21" s="248">
        <f t="shared" si="16"/>
        <v>1</v>
      </c>
      <c r="N21" s="249">
        <f t="shared" si="17"/>
        <v>0.94265232974910396</v>
      </c>
      <c r="O21" s="250">
        <f>SUM(O18:O20)</f>
        <v>436</v>
      </c>
      <c r="P21" s="251">
        <f>SUM(P18:P20)</f>
        <v>199</v>
      </c>
      <c r="Q21" s="252">
        <f>SUM(Q18:Q20)</f>
        <v>0</v>
      </c>
      <c r="R21" s="251">
        <f>SUM(R18:R20)</f>
        <v>66</v>
      </c>
      <c r="S21" s="252">
        <f>SUM(S18:S20)</f>
        <v>171</v>
      </c>
      <c r="T21" s="253">
        <f>IF(NOT($B21=0), O21/$B21, "---")</f>
        <v>0.78136200716845883</v>
      </c>
      <c r="U21" s="254">
        <f t="shared" si="19"/>
        <v>0.45642201834862384</v>
      </c>
      <c r="V21" s="255">
        <f>IF(NOT($B21=0), (P21+Q21)/$B21, "---")</f>
        <v>0.35663082437275984</v>
      </c>
    </row>
    <row r="22" spans="1:22" x14ac:dyDescent="0.25">
      <c r="A22" s="233"/>
      <c r="B22" s="233"/>
      <c r="C22" s="233"/>
      <c r="D22" s="233"/>
      <c r="E22" s="233"/>
      <c r="F22" s="233"/>
      <c r="G22" s="233"/>
      <c r="H22" s="233"/>
      <c r="I22" s="233"/>
      <c r="J22" s="233"/>
      <c r="K22" s="233"/>
      <c r="L22" s="233"/>
      <c r="M22" s="233"/>
      <c r="N22" s="233"/>
      <c r="O22" s="233"/>
      <c r="P22" s="233"/>
      <c r="Q22" s="233"/>
      <c r="R22" s="233"/>
      <c r="S22" s="233"/>
      <c r="T22" s="233"/>
      <c r="U22" s="233"/>
      <c r="V22" s="233"/>
    </row>
    <row r="24" spans="1:22" x14ac:dyDescent="0.25">
      <c r="F24" s="130"/>
    </row>
    <row r="27" spans="1:22" x14ac:dyDescent="0.25">
      <c r="F27" s="386"/>
    </row>
    <row r="28" spans="1:22" x14ac:dyDescent="0.25">
      <c r="F28" s="385"/>
    </row>
    <row r="29" spans="1:22" x14ac:dyDescent="0.25">
      <c r="F29" s="385"/>
    </row>
  </sheetData>
  <mergeCells count="10">
    <mergeCell ref="A1:V1"/>
    <mergeCell ref="B9:F9"/>
    <mergeCell ref="B16:F16"/>
    <mergeCell ref="G16:N16"/>
    <mergeCell ref="O16:V16"/>
    <mergeCell ref="G9:N9"/>
    <mergeCell ref="O9:V9"/>
    <mergeCell ref="B2:F2"/>
    <mergeCell ref="G2:N2"/>
    <mergeCell ref="O2:V2"/>
  </mergeCells>
  <phoneticPr fontId="30" type="noConversion"/>
  <conditionalFormatting sqref="F4:F6">
    <cfRule type="colorScale" priority="98">
      <colorScale>
        <cfvo type="percent" val="0"/>
        <cfvo type="percent" val="50"/>
        <cfvo type="percent" val="100"/>
        <color rgb="FFF8696B"/>
        <color rgb="FFFFEB84"/>
        <color rgb="FF63BE7B"/>
      </colorScale>
    </cfRule>
    <cfRule type="colorScale" priority="99">
      <colorScale>
        <cfvo type="percent" val="0"/>
        <cfvo type="percent" val="50"/>
        <cfvo type="percent" val="100"/>
        <color rgb="FFF8696B"/>
        <color rgb="FFFFEB84"/>
        <color rgb="FF63BE7B"/>
      </colorScale>
    </cfRule>
    <cfRule type="colorScale" priority="100">
      <colorScale>
        <cfvo type="percentile" val="10"/>
        <cfvo type="percentile" val="50"/>
        <cfvo type="percentile" val="90"/>
        <color rgb="FFF8696B"/>
        <color rgb="FFFFEB84"/>
        <color rgb="FF63BE7B"/>
      </colorScale>
    </cfRule>
    <cfRule type="colorScale" priority="101">
      <colorScale>
        <cfvo type="percent" val="0"/>
        <cfvo type="percent" val="50"/>
        <cfvo type="percent" val="100"/>
        <color rgb="FFF8696B"/>
        <color rgb="FFFFEB84"/>
        <color rgb="FF63BE7B"/>
      </colorScale>
    </cfRule>
    <cfRule type="colorScale" priority="102">
      <colorScale>
        <cfvo type="percentile" val="10"/>
        <cfvo type="percentile" val="50"/>
        <cfvo type="percentile" val="90"/>
        <color rgb="FFF8696B"/>
        <color rgb="FFFFEB84"/>
        <color rgb="FF63BE7B"/>
      </colorScale>
    </cfRule>
    <cfRule type="colorScale" priority="103">
      <colorScale>
        <cfvo type="percent" val="20"/>
        <cfvo type="percent" val="50"/>
        <cfvo type="percent" val="100"/>
        <color rgb="FFF8696B"/>
        <color rgb="FFFFEB84"/>
        <color rgb="FF63BE7B"/>
      </colorScale>
    </cfRule>
    <cfRule type="colorScale" priority="104">
      <colorScale>
        <cfvo type="min"/>
        <cfvo type="percentile" val="50"/>
        <cfvo type="max"/>
        <color rgb="FFF8696B"/>
        <color rgb="FFFFEB84"/>
        <color rgb="FF63BE7B"/>
      </colorScale>
    </cfRule>
  </conditionalFormatting>
  <conditionalFormatting sqref="F11:F13">
    <cfRule type="colorScale" priority="135">
      <colorScale>
        <cfvo type="percent" val="0"/>
        <cfvo type="percent" val="50"/>
        <cfvo type="percent" val="100"/>
        <color rgb="FFF8696B"/>
        <color rgb="FFFFEB84"/>
        <color rgb="FF63BE7B"/>
      </colorScale>
    </cfRule>
    <cfRule type="colorScale" priority="136">
      <colorScale>
        <cfvo type="percent" val="0"/>
        <cfvo type="percent" val="50"/>
        <cfvo type="percent" val="100"/>
        <color rgb="FFF8696B"/>
        <color rgb="FFFFEB84"/>
        <color rgb="FF63BE7B"/>
      </colorScale>
    </cfRule>
    <cfRule type="colorScale" priority="137">
      <colorScale>
        <cfvo type="percentile" val="10"/>
        <cfvo type="percentile" val="50"/>
        <cfvo type="percentile" val="90"/>
        <color rgb="FFF8696B"/>
        <color rgb="FFFFEB84"/>
        <color rgb="FF63BE7B"/>
      </colorScale>
    </cfRule>
    <cfRule type="colorScale" priority="138">
      <colorScale>
        <cfvo type="percent" val="0"/>
        <cfvo type="percent" val="50"/>
        <cfvo type="percent" val="100"/>
        <color rgb="FFF8696B"/>
        <color rgb="FFFFEB84"/>
        <color rgb="FF63BE7B"/>
      </colorScale>
    </cfRule>
    <cfRule type="colorScale" priority="139">
      <colorScale>
        <cfvo type="percentile" val="10"/>
        <cfvo type="percentile" val="50"/>
        <cfvo type="percentile" val="90"/>
        <color rgb="FFF8696B"/>
        <color rgb="FFFFEB84"/>
        <color rgb="FF63BE7B"/>
      </colorScale>
    </cfRule>
    <cfRule type="colorScale" priority="140">
      <colorScale>
        <cfvo type="percent" val="20"/>
        <cfvo type="percent" val="50"/>
        <cfvo type="percent" val="100"/>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F18:F20">
    <cfRule type="colorScale" priority="115">
      <colorScale>
        <cfvo type="percent" val="0"/>
        <cfvo type="percent" val="50"/>
        <cfvo type="percent" val="100"/>
        <color rgb="FFF8696B"/>
        <color rgb="FFFFEB84"/>
        <color rgb="FF63BE7B"/>
      </colorScale>
    </cfRule>
    <cfRule type="colorScale" priority="116">
      <colorScale>
        <cfvo type="percent" val="20"/>
        <cfvo type="percent" val="60"/>
        <cfvo type="percent" val="90"/>
        <color rgb="FFF8696B"/>
        <color rgb="FFFFEB84"/>
        <color rgb="FF63BE7B"/>
      </colorScale>
    </cfRule>
    <cfRule type="colorScale" priority="117">
      <colorScale>
        <cfvo type="percent" val="0"/>
        <cfvo type="percent" val="50"/>
        <cfvo type="percent" val="100"/>
        <color rgb="FFF8696B"/>
        <color rgb="FFFFEB84"/>
        <color rgb="FF63BE7B"/>
      </colorScale>
    </cfRule>
    <cfRule type="colorScale" priority="118">
      <colorScale>
        <cfvo type="percent" val="0"/>
        <cfvo type="percent" val="50"/>
        <cfvo type="percent" val="100"/>
        <color rgb="FFF8696B"/>
        <color rgb="FFFFEB84"/>
        <color rgb="FF63BE7B"/>
      </colorScale>
    </cfRule>
    <cfRule type="colorScale" priority="119">
      <colorScale>
        <cfvo type="percent" val="0"/>
        <cfvo type="percent" val="50"/>
        <cfvo type="percent" val="100"/>
        <color rgb="FFF8696B"/>
        <color rgb="FFFFEB84"/>
        <color rgb="FF63BE7B"/>
      </colorScale>
    </cfRule>
    <cfRule type="colorScale" priority="120">
      <colorScale>
        <cfvo type="percentile" val="10"/>
        <cfvo type="percentile" val="50"/>
        <cfvo type="percentile" val="90"/>
        <color rgb="FFF8696B"/>
        <color rgb="FFFFEB84"/>
        <color rgb="FF63BE7B"/>
      </colorScale>
    </cfRule>
    <cfRule type="colorScale" priority="121">
      <colorScale>
        <cfvo type="percent" val="0"/>
        <cfvo type="percent" val="50"/>
        <cfvo type="percent" val="100"/>
        <color rgb="FFF8696B"/>
        <color rgb="FFFFEB84"/>
        <color rgb="FF63BE7B"/>
      </colorScale>
    </cfRule>
    <cfRule type="colorScale" priority="122">
      <colorScale>
        <cfvo type="percentile" val="10"/>
        <cfvo type="percentile" val="50"/>
        <cfvo type="percentile" val="90"/>
        <color rgb="FFF8696B"/>
        <color rgb="FFFFEB84"/>
        <color rgb="FF63BE7B"/>
      </colorScale>
    </cfRule>
    <cfRule type="colorScale" priority="123">
      <colorScale>
        <cfvo type="percent" val="20"/>
        <cfvo type="percent" val="50"/>
        <cfvo type="percent" val="100"/>
        <color rgb="FFF8696B"/>
        <color rgb="FFFFEB84"/>
        <color rgb="FF63BE7B"/>
      </colorScale>
    </cfRule>
    <cfRule type="colorScale" priority="124">
      <colorScale>
        <cfvo type="min"/>
        <cfvo type="percentile" val="50"/>
        <cfvo type="max"/>
        <color rgb="FFF8696B"/>
        <color rgb="FFFFEB84"/>
        <color rgb="FF63BE7B"/>
      </colorScale>
    </cfRule>
  </conditionalFormatting>
  <conditionalFormatting sqref="L4:L6">
    <cfRule type="colorScale" priority="105">
      <colorScale>
        <cfvo type="percent" val="0"/>
        <cfvo type="percent" val="50"/>
        <cfvo type="percent" val="100"/>
        <color rgb="FFF8696B"/>
        <color rgb="FFFFEB84"/>
        <color rgb="FF63BE7B"/>
      </colorScale>
    </cfRule>
  </conditionalFormatting>
  <conditionalFormatting sqref="L11:L13 N11:N13">
    <cfRule type="colorScale" priority="142">
      <colorScale>
        <cfvo type="percent" val="0"/>
        <cfvo type="percent" val="50"/>
        <cfvo type="percent" val="100"/>
        <color rgb="FFF8696B"/>
        <color rgb="FFFFEB84"/>
        <color rgb="FF63BE7B"/>
      </colorScale>
    </cfRule>
    <cfRule type="colorScale" priority="143">
      <colorScale>
        <cfvo type="percent" val="0"/>
        <cfvo type="percent" val="50"/>
        <cfvo type="percent" val="100"/>
        <color rgb="FFF8696B"/>
        <color rgb="FFFFEB84"/>
        <color rgb="FF63BE7B"/>
      </colorScale>
    </cfRule>
  </conditionalFormatting>
  <conditionalFormatting sqref="L18:L20">
    <cfRule type="colorScale" priority="125">
      <colorScale>
        <cfvo type="percent" val="0"/>
        <cfvo type="percent" val="50"/>
        <cfvo type="percent" val="100"/>
        <color rgb="FFF8696B"/>
        <color rgb="FFFFEB84"/>
        <color rgb="FF63BE7B"/>
      </colorScale>
    </cfRule>
  </conditionalFormatting>
  <conditionalFormatting sqref="L4:N6">
    <cfRule type="colorScale" priority="113">
      <colorScale>
        <cfvo type="percent" val="0"/>
        <cfvo type="percent" val="50"/>
        <cfvo type="percent" val="100"/>
        <color rgb="FFF8696B"/>
        <color rgb="FFFFEB84"/>
        <color rgb="FF63BE7B"/>
      </colorScale>
    </cfRule>
  </conditionalFormatting>
  <conditionalFormatting sqref="L11:N13">
    <cfRule type="colorScale" priority="151">
      <colorScale>
        <cfvo type="percent" val="0"/>
        <cfvo type="percentile" val="50"/>
        <cfvo type="percent" val="100"/>
        <color rgb="FFF8696B"/>
        <color rgb="FFFFEB84"/>
        <color rgb="FF63BE7B"/>
      </colorScale>
    </cfRule>
  </conditionalFormatting>
  <conditionalFormatting sqref="L18:N20">
    <cfRule type="colorScale" priority="133">
      <colorScale>
        <cfvo type="percent" val="0"/>
        <cfvo type="percent" val="50"/>
        <cfvo type="percent" val="100"/>
        <color rgb="FFF8696B"/>
        <color rgb="FFFFEB84"/>
        <color rgb="FF63BE7B"/>
      </colorScale>
    </cfRule>
  </conditionalFormatting>
  <conditionalFormatting sqref="M4:M6">
    <cfRule type="colorScale" priority="107">
      <colorScale>
        <cfvo type="percent" val="0"/>
        <cfvo type="percent" val="50"/>
        <cfvo type="percent" val="100"/>
        <color rgb="FFF8696B"/>
        <color rgb="FFFFEB84"/>
        <color rgb="FF63BE7B"/>
      </colorScale>
    </cfRule>
    <cfRule type="colorScale" priority="108">
      <colorScale>
        <cfvo type="percent" val="0"/>
        <cfvo type="percent" val="50"/>
        <cfvo type="percent" val="100"/>
        <color rgb="FFF8696B"/>
        <color rgb="FFFFEB84"/>
        <color rgb="FF63BE7B"/>
      </colorScale>
    </cfRule>
  </conditionalFormatting>
  <conditionalFormatting sqref="M11:M13">
    <cfRule type="colorScale" priority="149">
      <colorScale>
        <cfvo type="percent" val="0"/>
        <cfvo type="percent" val="50"/>
        <cfvo type="percent" val="100"/>
        <color rgb="FFF8696B"/>
        <color rgb="FFFFEB84"/>
        <color rgb="FF63BE7B"/>
      </colorScale>
    </cfRule>
    <cfRule type="colorScale" priority="150">
      <colorScale>
        <cfvo type="percent" val="0"/>
        <cfvo type="percent" val="50"/>
        <cfvo type="percent" val="100"/>
        <color rgb="FFF8696B"/>
        <color rgb="FFFFEB84"/>
        <color rgb="FF63BE7B"/>
      </colorScale>
    </cfRule>
  </conditionalFormatting>
  <conditionalFormatting sqref="M18:M20">
    <cfRule type="colorScale" priority="127">
      <colorScale>
        <cfvo type="percent" val="0"/>
        <cfvo type="percent" val="50"/>
        <cfvo type="percent" val="100"/>
        <color rgb="FFF8696B"/>
        <color rgb="FFFFEB84"/>
        <color rgb="FF63BE7B"/>
      </colorScale>
    </cfRule>
    <cfRule type="colorScale" priority="128">
      <colorScale>
        <cfvo type="percent" val="0"/>
        <cfvo type="percent" val="50"/>
        <cfvo type="percent" val="100"/>
        <color rgb="FFF8696B"/>
        <color rgb="FFFFEB84"/>
        <color rgb="FF63BE7B"/>
      </colorScale>
    </cfRule>
  </conditionalFormatting>
  <conditionalFormatting sqref="N4:N6">
    <cfRule type="colorScale" priority="110">
      <colorScale>
        <cfvo type="percent" val="0"/>
        <cfvo type="percent" val="50"/>
        <cfvo type="percent" val="100"/>
        <color rgb="FFF8696B"/>
        <color rgb="FFFFEB84"/>
        <color rgb="FF63BE7B"/>
      </colorScale>
    </cfRule>
    <cfRule type="colorScale" priority="111">
      <colorScale>
        <cfvo type="percent" val="0"/>
        <cfvo type="percent" val="50"/>
        <cfvo type="percent" val="100"/>
        <color rgb="FFF8696B"/>
        <color rgb="FFFFEB84"/>
        <color rgb="FF63BE7B"/>
      </colorScale>
    </cfRule>
  </conditionalFormatting>
  <conditionalFormatting sqref="N18:N20">
    <cfRule type="colorScale" priority="130">
      <colorScale>
        <cfvo type="percent" val="0"/>
        <cfvo type="percent" val="50"/>
        <cfvo type="percent" val="100"/>
        <color rgb="FFF8696B"/>
        <color rgb="FFFFEB84"/>
        <color rgb="FF63BE7B"/>
      </colorScale>
    </cfRule>
    <cfRule type="colorScale" priority="131">
      <colorScale>
        <cfvo type="percent" val="0"/>
        <cfvo type="percent" val="50"/>
        <cfvo type="percent" val="100"/>
        <color rgb="FFF8696B"/>
        <color rgb="FFFFEB84"/>
        <color rgb="FF63BE7B"/>
      </colorScale>
    </cfRule>
  </conditionalFormatting>
  <conditionalFormatting sqref="T4:T6">
    <cfRule type="colorScale" priority="106">
      <colorScale>
        <cfvo type="percent" val="0"/>
        <cfvo type="percent" val="50"/>
        <cfvo type="percent" val="100"/>
        <color rgb="FFF8696B"/>
        <color rgb="FFFFEB84"/>
        <color rgb="FF63BE7B"/>
      </colorScale>
    </cfRule>
  </conditionalFormatting>
  <conditionalFormatting sqref="T11:T13 V11:V13">
    <cfRule type="colorScale" priority="146">
      <colorScale>
        <cfvo type="percent" val="0"/>
        <cfvo type="percent" val="50"/>
        <cfvo type="percent" val="100"/>
        <color rgb="FFF8696B"/>
        <color rgb="FFFFEB84"/>
        <color rgb="FF63BE7B"/>
      </colorScale>
    </cfRule>
  </conditionalFormatting>
  <conditionalFormatting sqref="T18:T20">
    <cfRule type="colorScale" priority="126">
      <colorScale>
        <cfvo type="percent" val="0"/>
        <cfvo type="percent" val="50"/>
        <cfvo type="percent" val="100"/>
        <color rgb="FFF8696B"/>
        <color rgb="FFFFEB84"/>
        <color rgb="FF63BE7B"/>
      </colorScale>
    </cfRule>
  </conditionalFormatting>
  <conditionalFormatting sqref="T4:V6">
    <cfRule type="colorScale" priority="114">
      <colorScale>
        <cfvo type="percent" val="0"/>
        <cfvo type="percent" val="50"/>
        <cfvo type="percent" val="100"/>
        <color rgb="FFF8696B"/>
        <color rgb="FFFFEB84"/>
        <color rgb="FF63BE7B"/>
      </colorScale>
    </cfRule>
  </conditionalFormatting>
  <conditionalFormatting sqref="T11:V13">
    <cfRule type="colorScale" priority="152">
      <colorScale>
        <cfvo type="percent" val="0"/>
        <cfvo type="percent" val="50"/>
        <cfvo type="percent" val="100"/>
        <color rgb="FFF8696B"/>
        <color rgb="FFFFEB84"/>
        <color rgb="FF63BE7B"/>
      </colorScale>
    </cfRule>
  </conditionalFormatting>
  <conditionalFormatting sqref="T18:V20">
    <cfRule type="colorScale" priority="134">
      <colorScale>
        <cfvo type="percent" val="0"/>
        <cfvo type="percent" val="50"/>
        <cfvo type="percent" val="100"/>
        <color rgb="FFF8696B"/>
        <color rgb="FFFFEB84"/>
        <color rgb="FF63BE7B"/>
      </colorScale>
    </cfRule>
  </conditionalFormatting>
  <conditionalFormatting sqref="U4:U6">
    <cfRule type="colorScale" priority="109">
      <colorScale>
        <cfvo type="percent" val="0"/>
        <cfvo type="percent" val="50"/>
        <cfvo type="percent" val="100"/>
        <color rgb="FFF8696B"/>
        <color rgb="FFFFEB84"/>
        <color rgb="FF63BE7B"/>
      </colorScale>
    </cfRule>
  </conditionalFormatting>
  <conditionalFormatting sqref="U11:U13">
    <cfRule type="colorScale" priority="148">
      <colorScale>
        <cfvo type="percent" val="0"/>
        <cfvo type="percent" val="50"/>
        <cfvo type="percent" val="100"/>
        <color rgb="FFF8696B"/>
        <color rgb="FFFFEB84"/>
        <color rgb="FF63BE7B"/>
      </colorScale>
    </cfRule>
  </conditionalFormatting>
  <conditionalFormatting sqref="U18:U20">
    <cfRule type="colorScale" priority="129">
      <colorScale>
        <cfvo type="percent" val="0"/>
        <cfvo type="percent" val="50"/>
        <cfvo type="percent" val="100"/>
        <color rgb="FFF8696B"/>
        <color rgb="FFFFEB84"/>
        <color rgb="FF63BE7B"/>
      </colorScale>
    </cfRule>
  </conditionalFormatting>
  <conditionalFormatting sqref="V4:V6">
    <cfRule type="colorScale" priority="112">
      <colorScale>
        <cfvo type="percent" val="0"/>
        <cfvo type="percent" val="50"/>
        <cfvo type="percent" val="100"/>
        <color rgb="FFF8696B"/>
        <color rgb="FFFFEB84"/>
        <color rgb="FF63BE7B"/>
      </colorScale>
    </cfRule>
  </conditionalFormatting>
  <conditionalFormatting sqref="V18:V20">
    <cfRule type="colorScale" priority="132">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1365</v>
      </c>
      <c r="C1" s="36" t="s">
        <v>1366</v>
      </c>
      <c r="D1" s="36" t="s">
        <v>1367</v>
      </c>
      <c r="E1" s="36" t="s">
        <v>1368</v>
      </c>
      <c r="F1" s="36" t="s">
        <v>1369</v>
      </c>
      <c r="G1" s="37" t="s">
        <v>1370</v>
      </c>
      <c r="H1" s="12"/>
      <c r="I1" s="12"/>
      <c r="J1" s="12"/>
      <c r="K1" s="12"/>
      <c r="L1" s="13"/>
      <c r="M1" s="1"/>
      <c r="N1" s="11"/>
      <c r="X1" s="11"/>
      <c r="AB1" s="668" t="s">
        <v>1371</v>
      </c>
      <c r="AM1" s="668" t="s">
        <v>1372</v>
      </c>
    </row>
    <row r="2" spans="1:40" s="14" customFormat="1" ht="12" x14ac:dyDescent="0.2">
      <c r="A2" s="35" t="s">
        <v>1373</v>
      </c>
      <c r="B2" s="15">
        <v>42994</v>
      </c>
      <c r="C2" s="15">
        <v>43190</v>
      </c>
      <c r="D2" s="16" t="e">
        <f>#REF!</f>
        <v>#REF!</v>
      </c>
      <c r="E2" s="16" t="e">
        <f>#REF!</f>
        <v>#REF!</v>
      </c>
      <c r="F2" s="16">
        <f>(C2-B2)/7</f>
        <v>28</v>
      </c>
      <c r="G2" s="17" t="e">
        <f>E2/F2</f>
        <v>#REF!</v>
      </c>
      <c r="H2" s="18"/>
      <c r="I2" s="18"/>
      <c r="J2" s="18"/>
      <c r="K2" s="18"/>
      <c r="L2" s="19"/>
      <c r="M2" s="20"/>
      <c r="N2" s="21"/>
      <c r="X2" s="21"/>
      <c r="AB2" s="669"/>
      <c r="AM2" s="669"/>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70" t="s">
        <v>1374</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71"/>
      <c r="B5" s="47" t="s">
        <v>1375</v>
      </c>
      <c r="C5" s="47" t="s">
        <v>1376</v>
      </c>
      <c r="D5" s="47" t="s">
        <v>1377</v>
      </c>
      <c r="E5" s="47" t="s">
        <v>1378</v>
      </c>
      <c r="F5" s="47" t="s">
        <v>1379</v>
      </c>
      <c r="G5" s="47" t="s">
        <v>1380</v>
      </c>
      <c r="H5" s="47" t="s">
        <v>1381</v>
      </c>
      <c r="I5" s="47" t="s">
        <v>1382</v>
      </c>
      <c r="J5" s="47" t="s">
        <v>1383</v>
      </c>
      <c r="K5" s="47" t="s">
        <v>1384</v>
      </c>
      <c r="L5" s="47" t="s">
        <v>1385</v>
      </c>
      <c r="M5" s="47" t="s">
        <v>1386</v>
      </c>
      <c r="N5" s="47" t="s">
        <v>1387</v>
      </c>
      <c r="O5" s="47" t="s">
        <v>1388</v>
      </c>
      <c r="P5" s="47" t="s">
        <v>1389</v>
      </c>
      <c r="Q5" s="47" t="s">
        <v>1390</v>
      </c>
      <c r="R5" s="47" t="s">
        <v>1391</v>
      </c>
      <c r="S5" s="47" t="s">
        <v>1392</v>
      </c>
      <c r="T5" s="47" t="s">
        <v>1393</v>
      </c>
      <c r="U5" s="47" t="s">
        <v>1394</v>
      </c>
      <c r="V5" s="47" t="s">
        <v>1395</v>
      </c>
      <c r="W5" s="47" t="s">
        <v>1396</v>
      </c>
      <c r="X5" s="47" t="s">
        <v>1397</v>
      </c>
      <c r="Y5" s="47" t="s">
        <v>1398</v>
      </c>
      <c r="Z5" s="47" t="s">
        <v>1399</v>
      </c>
      <c r="AA5" s="47" t="s">
        <v>1400</v>
      </c>
      <c r="AB5" s="47" t="s">
        <v>1401</v>
      </c>
      <c r="AC5" s="47" t="s">
        <v>1402</v>
      </c>
      <c r="AD5" s="47" t="s">
        <v>1403</v>
      </c>
      <c r="AE5" s="47" t="s">
        <v>1404</v>
      </c>
      <c r="AF5" s="47" t="s">
        <v>1405</v>
      </c>
      <c r="AG5" s="47" t="s">
        <v>1406</v>
      </c>
      <c r="AH5" s="47" t="s">
        <v>1407</v>
      </c>
      <c r="AI5" s="47" t="s">
        <v>1408</v>
      </c>
      <c r="AJ5" s="47" t="s">
        <v>1409</v>
      </c>
      <c r="AK5" s="47" t="s">
        <v>1410</v>
      </c>
      <c r="AL5" s="66" t="s">
        <v>1411</v>
      </c>
      <c r="AM5" s="65" t="s">
        <v>1412</v>
      </c>
      <c r="AN5" s="50"/>
    </row>
    <row r="6" spans="1:40" ht="12" x14ac:dyDescent="0.2">
      <c r="A6" s="48" t="s">
        <v>1413</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1414</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70" t="s">
        <v>1415</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72"/>
      <c r="B10" s="32" t="s">
        <v>1375</v>
      </c>
      <c r="C10" s="32" t="s">
        <v>1376</v>
      </c>
      <c r="D10" s="32" t="s">
        <v>1377</v>
      </c>
      <c r="E10" s="32" t="s">
        <v>1378</v>
      </c>
      <c r="F10" s="32" t="s">
        <v>1379</v>
      </c>
      <c r="G10" s="32" t="s">
        <v>1380</v>
      </c>
      <c r="H10" s="32" t="s">
        <v>1381</v>
      </c>
      <c r="I10" s="32" t="s">
        <v>1382</v>
      </c>
      <c r="J10" s="32" t="s">
        <v>1383</v>
      </c>
      <c r="K10" s="32" t="s">
        <v>1384</v>
      </c>
      <c r="L10" s="32" t="s">
        <v>1385</v>
      </c>
      <c r="M10" s="32" t="s">
        <v>1386</v>
      </c>
      <c r="N10" s="32" t="s">
        <v>1387</v>
      </c>
      <c r="O10" s="32" t="s">
        <v>1388</v>
      </c>
      <c r="P10" s="32" t="s">
        <v>1389</v>
      </c>
      <c r="Q10" s="32" t="s">
        <v>1390</v>
      </c>
      <c r="R10" s="32" t="s">
        <v>1391</v>
      </c>
      <c r="S10" s="32" t="s">
        <v>1392</v>
      </c>
      <c r="T10" s="32" t="s">
        <v>1393</v>
      </c>
      <c r="U10" s="32" t="s">
        <v>1394</v>
      </c>
      <c r="V10" s="32" t="s">
        <v>1395</v>
      </c>
      <c r="W10" s="32" t="s">
        <v>1396</v>
      </c>
      <c r="X10" s="32" t="s">
        <v>1397</v>
      </c>
      <c r="Y10" s="32" t="s">
        <v>1398</v>
      </c>
      <c r="Z10" s="32" t="s">
        <v>1399</v>
      </c>
      <c r="AA10" s="32" t="s">
        <v>1400</v>
      </c>
      <c r="AB10" s="32" t="s">
        <v>1401</v>
      </c>
      <c r="AC10" s="32" t="s">
        <v>1402</v>
      </c>
      <c r="AD10" s="32" t="s">
        <v>1403</v>
      </c>
      <c r="AE10" s="32" t="s">
        <v>1404</v>
      </c>
      <c r="AF10" s="32" t="s">
        <v>1405</v>
      </c>
      <c r="AG10" s="32" t="s">
        <v>1406</v>
      </c>
      <c r="AH10" s="32" t="s">
        <v>1407</v>
      </c>
      <c r="AI10" s="32" t="s">
        <v>1408</v>
      </c>
      <c r="AJ10" s="64" t="s">
        <v>1409</v>
      </c>
      <c r="AK10" s="63" t="s">
        <v>1410</v>
      </c>
      <c r="AL10" s="47" t="s">
        <v>1411</v>
      </c>
      <c r="AM10" s="72" t="s">
        <v>1412</v>
      </c>
      <c r="AN10" s="68"/>
    </row>
    <row r="11" spans="1:40" x14ac:dyDescent="0.25">
      <c r="A11" s="42" t="s">
        <v>1413</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1414</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1416</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1417</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X213"/>
  <sheetViews>
    <sheetView topLeftCell="A18" zoomScaleNormal="100" workbookViewId="0">
      <selection activeCell="O214" sqref="O214"/>
    </sheetView>
  </sheetViews>
  <sheetFormatPr defaultColWidth="8.42578125" defaultRowHeight="15" x14ac:dyDescent="0.25"/>
  <cols>
    <col min="1" max="1" width="16.85546875" style="181" bestFit="1" customWidth="1"/>
    <col min="2" max="2" width="44.7109375" style="190" customWidth="1"/>
    <col min="3" max="3" width="9.85546875" style="190" bestFit="1" customWidth="1"/>
    <col min="4" max="4" width="39" style="181" customWidth="1"/>
    <col min="5" max="5" width="14.140625" style="190" bestFit="1" customWidth="1"/>
    <col min="6" max="6" width="11.140625" style="190" bestFit="1" customWidth="1"/>
    <col min="7" max="7" width="11.28515625" style="190" bestFit="1" customWidth="1"/>
    <col min="8" max="8" width="14.28515625" style="190" bestFit="1" customWidth="1"/>
    <col min="9" max="9" width="8.42578125" style="192" bestFit="1" customWidth="1"/>
    <col min="10" max="10" width="20" style="192" customWidth="1"/>
    <col min="11" max="11" width="13.140625" style="196" customWidth="1"/>
    <col min="12" max="12" width="15.140625" style="196" customWidth="1"/>
    <col min="13" max="13" width="12" style="197" customWidth="1"/>
    <col min="14" max="14" width="10.85546875" style="197" customWidth="1"/>
    <col min="15" max="15" width="13.42578125" style="196" customWidth="1"/>
    <col min="16" max="16" width="12.85546875" style="80" customWidth="1"/>
    <col min="17" max="17" width="10.85546875" style="80" customWidth="1"/>
    <col min="18" max="18" width="13.42578125" style="200" customWidth="1"/>
    <col min="19" max="19" width="10.140625" style="200" customWidth="1"/>
    <col min="20" max="20" width="10.7109375" style="201" customWidth="1"/>
    <col min="21" max="21" width="11.140625" style="181" customWidth="1"/>
    <col min="22" max="22" width="38.140625" style="181" customWidth="1"/>
    <col min="23" max="23" width="32.140625" style="181" customWidth="1"/>
    <col min="24" max="24" width="15.7109375" style="181" customWidth="1"/>
    <col min="25" max="16384" width="8.42578125" style="181"/>
  </cols>
  <sheetData>
    <row r="1" spans="1:24" s="177" customFormat="1" ht="19.5" thickBot="1" x14ac:dyDescent="0.3">
      <c r="A1" s="699" t="s">
        <v>1418</v>
      </c>
      <c r="B1" s="700"/>
      <c r="C1" s="700"/>
      <c r="D1" s="700"/>
      <c r="E1" s="700"/>
      <c r="F1" s="700"/>
      <c r="G1" s="700"/>
      <c r="H1" s="700"/>
      <c r="I1" s="700"/>
      <c r="J1" s="700"/>
      <c r="K1" s="700"/>
      <c r="L1" s="700"/>
      <c r="M1" s="700"/>
      <c r="N1" s="700"/>
      <c r="O1" s="700"/>
      <c r="P1" s="700"/>
      <c r="Q1" s="700"/>
      <c r="R1" s="700"/>
      <c r="S1" s="700"/>
      <c r="T1" s="700"/>
      <c r="U1" s="701"/>
      <c r="V1" s="176"/>
    </row>
    <row r="2" spans="1:24" s="187" customFormat="1" ht="18.75" x14ac:dyDescent="0.25">
      <c r="A2" s="704" t="s">
        <v>297</v>
      </c>
      <c r="B2" s="705"/>
      <c r="C2" s="705"/>
      <c r="D2" s="705"/>
      <c r="E2" s="705"/>
      <c r="F2" s="706"/>
      <c r="G2" s="378">
        <f>COUNTIF(G7:G208,"Yes")</f>
        <v>95</v>
      </c>
      <c r="H2" s="378">
        <f>COUNTIF(H7:H208,"Yes")</f>
        <v>87</v>
      </c>
      <c r="I2" s="702">
        <f>'Diags Raw Data'!K299</f>
        <v>472</v>
      </c>
      <c r="J2" s="716">
        <f>'Diags Raw Data'!L299</f>
        <v>779</v>
      </c>
      <c r="K2" s="718">
        <f>'Diags Raw Data'!N302</f>
        <v>1</v>
      </c>
      <c r="L2" s="720">
        <f>'Diags Raw Data'!P299</f>
        <v>0.99614890885750962</v>
      </c>
      <c r="M2" s="722">
        <f>'Diags Raw Data'!R299</f>
        <v>651</v>
      </c>
      <c r="N2" s="697">
        <f>SUM('Diags Raw Data'!T299+'Diags Raw Data'!U299)</f>
        <v>610</v>
      </c>
      <c r="O2" s="710">
        <f>IF((M211=0),0,N211/M211)</f>
        <v>0.93701996927803377</v>
      </c>
      <c r="P2" s="712">
        <f>'Diags Raw Data'!Z299</f>
        <v>488</v>
      </c>
      <c r="Q2" s="714">
        <f>SUM('Diags Raw Data'!AA299+'Diags Raw Data'!AB299)</f>
        <v>226</v>
      </c>
      <c r="R2" s="682">
        <f>IF((J211=0),0,P211/J211)</f>
        <v>0.62644415917843388</v>
      </c>
      <c r="S2" s="682">
        <f>IF((P211=0),0,Q211/P211)</f>
        <v>0.46311475409836067</v>
      </c>
      <c r="T2" s="682">
        <f>R211*S211</f>
        <v>0.29011553273427471</v>
      </c>
      <c r="U2" s="684"/>
      <c r="V2" s="186"/>
    </row>
    <row r="3" spans="1:24" ht="19.5" thickBot="1" x14ac:dyDescent="0.3">
      <c r="A3" s="707"/>
      <c r="B3" s="708"/>
      <c r="C3" s="708"/>
      <c r="D3" s="708"/>
      <c r="E3" s="708"/>
      <c r="F3" s="709"/>
      <c r="G3" s="379">
        <f>COUNTIF(G7:G208,"Yes")/COUNTA(A7:A208)</f>
        <v>0.69343065693430661</v>
      </c>
      <c r="H3" s="379">
        <f>(COUNTIF(H7:H208,"Yes")/G211)</f>
        <v>0.91578947368421049</v>
      </c>
      <c r="I3" s="703"/>
      <c r="J3" s="717"/>
      <c r="K3" s="719"/>
      <c r="L3" s="721"/>
      <c r="M3" s="723"/>
      <c r="N3" s="698"/>
      <c r="O3" s="711"/>
      <c r="P3" s="713"/>
      <c r="Q3" s="715"/>
      <c r="R3" s="683"/>
      <c r="S3" s="683"/>
      <c r="T3" s="683"/>
      <c r="U3" s="685"/>
      <c r="V3" s="180"/>
    </row>
    <row r="4" spans="1:24" ht="19.5" thickBot="1" x14ac:dyDescent="0.3">
      <c r="A4" s="673" t="s">
        <v>1419</v>
      </c>
      <c r="B4" s="674"/>
      <c r="C4" s="674"/>
      <c r="D4" s="674"/>
      <c r="E4" s="674"/>
      <c r="F4" s="674"/>
      <c r="G4" s="674"/>
      <c r="H4" s="674"/>
      <c r="I4" s="674"/>
      <c r="J4" s="674"/>
      <c r="K4" s="674"/>
      <c r="L4" s="674"/>
      <c r="M4" s="674"/>
      <c r="N4" s="674"/>
      <c r="O4" s="674"/>
      <c r="P4" s="674"/>
      <c r="Q4" s="674"/>
      <c r="R4" s="674"/>
      <c r="S4" s="674"/>
      <c r="T4" s="674"/>
      <c r="U4" s="675"/>
      <c r="V4" s="180"/>
    </row>
    <row r="5" spans="1:24" s="177" customFormat="1" ht="31.5" customHeight="1" thickBot="1" x14ac:dyDescent="0.3">
      <c r="A5" s="688" t="s">
        <v>71</v>
      </c>
      <c r="B5" s="689"/>
      <c r="C5" s="689"/>
      <c r="D5" s="689"/>
      <c r="E5" s="689"/>
      <c r="F5" s="689"/>
      <c r="G5" s="689"/>
      <c r="H5" s="689"/>
      <c r="I5" s="689"/>
      <c r="J5" s="690"/>
      <c r="K5" s="686" t="s">
        <v>108</v>
      </c>
      <c r="L5" s="687"/>
      <c r="M5" s="691" t="s">
        <v>119</v>
      </c>
      <c r="N5" s="692"/>
      <c r="O5" s="693"/>
      <c r="P5" s="694" t="s">
        <v>139</v>
      </c>
      <c r="Q5" s="695"/>
      <c r="R5" s="695"/>
      <c r="S5" s="695"/>
      <c r="T5" s="695"/>
      <c r="U5" s="696"/>
      <c r="V5" s="176"/>
    </row>
    <row r="6" spans="1:24" s="178" customFormat="1" ht="30.75" thickBot="1" x14ac:dyDescent="0.3">
      <c r="A6" s="335" t="s">
        <v>72</v>
      </c>
      <c r="B6" s="361" t="s">
        <v>76</v>
      </c>
      <c r="C6" s="361" t="s">
        <v>91</v>
      </c>
      <c r="D6" s="361" t="s">
        <v>207</v>
      </c>
      <c r="E6" s="361" t="s">
        <v>83</v>
      </c>
      <c r="F6" s="361" t="s">
        <v>1</v>
      </c>
      <c r="G6" s="362" t="s">
        <v>210</v>
      </c>
      <c r="H6" s="362" t="s">
        <v>213</v>
      </c>
      <c r="I6" s="363" t="s">
        <v>100</v>
      </c>
      <c r="J6" s="363" t="s">
        <v>216</v>
      </c>
      <c r="K6" s="336" t="s">
        <v>109</v>
      </c>
      <c r="L6" s="337" t="s">
        <v>116</v>
      </c>
      <c r="M6" s="328" t="s">
        <v>222</v>
      </c>
      <c r="N6" s="329" t="s">
        <v>224</v>
      </c>
      <c r="O6" s="327" t="s">
        <v>182</v>
      </c>
      <c r="P6" s="338" t="s">
        <v>227</v>
      </c>
      <c r="Q6" s="330" t="s">
        <v>224</v>
      </c>
      <c r="R6" s="331" t="s">
        <v>179</v>
      </c>
      <c r="S6" s="331" t="s">
        <v>135</v>
      </c>
      <c r="T6" s="332" t="s">
        <v>182</v>
      </c>
      <c r="U6" s="333" t="s">
        <v>152</v>
      </c>
      <c r="V6" s="538" t="s">
        <v>1420</v>
      </c>
      <c r="W6" s="539" t="s">
        <v>1421</v>
      </c>
      <c r="X6" s="178" t="s">
        <v>52</v>
      </c>
    </row>
    <row r="7" spans="1:24" ht="138.6" customHeight="1" x14ac:dyDescent="0.25">
      <c r="A7" s="523" t="s">
        <v>1092</v>
      </c>
      <c r="B7" s="426" t="str">
        <f>VLOOKUP(A7,'Feature Raw Data'!$A$3:$B$4204,2,FALSE)</f>
        <v>MMHUB:SOC - SOC-15 SDP Interfaces</v>
      </c>
      <c r="C7" s="427" t="str">
        <f>VLOOKUP(A7,'Feature Raw Data'!$A$3:$C$4204,3,FALSE)</f>
        <v>P1</v>
      </c>
      <c r="D7" s="428" t="str" cm="1">
        <f t="array" ref="D7">_xlfn.TEXTJOIN("",TRUE,IF(ISNUMBER(SEARCH($A7,'Diags Raw Data'!$A$6:$A$3907)),CONCATENATE('Diags Raw Data'!$H$6:$H$3907,", "),""))</f>
        <v xml:space="preserve">mhub001.1, mhub001.2, mhub001.3, mhub001.4, mhub001.5, mhub001.6, mhub001.7, mhub001.9, mhub002.1-15, mhub002.1-15, mhub002.16, mhub002.16, mhub002.17, mhub002.18, </v>
      </c>
      <c r="E7" s="429" t="e">
        <f>VLOOKUP(A7,'Diags Raw Data'!$A$6:$D$3907,4,FALSE)</f>
        <v>#N/A</v>
      </c>
      <c r="F7" s="429" t="str">
        <f>VLOOKUP(A7,'Feature Raw Data'!$A$3:$E$4204,5,FALSE)</f>
        <v>Delta</v>
      </c>
      <c r="G7" s="429" t="str">
        <f>IF(D7="","No","Yes")</f>
        <v>Yes</v>
      </c>
      <c r="H7" s="429" t="str">
        <f t="shared" ref="H7:H41" si="0">IF(D7="","No","Yes")</f>
        <v>Yes</v>
      </c>
      <c r="I7" s="427">
        <f>SUMIF('Diags Raw Data'!$A$6:$A$3907,"*"&amp;$A7&amp;"*",'Diags Raw Data'!$K$6:$K$3907)</f>
        <v>14</v>
      </c>
      <c r="J7" s="430">
        <f>SUMIF('Diags Raw Data'!$A$6:$A$3907,"*"&amp;$A7&amp;"*",'Diags Raw Data'!$L$6:$L$3907)</f>
        <v>42</v>
      </c>
      <c r="K7" s="469" t="e" cm="1">
        <f t="array" ref="K7">IF(D7="",0, SUMPRODUCT(--(ISNUMBER(SEARCH($A7,'Diags Raw Data'!$A$6:$A$3907))),'Diags Raw Data'!$L$6:$L$3907,'Diags Raw Data'!$N$6:$N$3910)/J7)</f>
        <v>#VALUE!</v>
      </c>
      <c r="L7" s="470" cm="1">
        <f t="array" ref="L7">IF(D7="",0, SUMPRODUCT(--(ISNUMBER(SEARCH($A7,'Diags Raw Data'!$A$6:$A$3907))),'Diags Raw Data'!$L$6:$L$3907,'Diags Raw Data'!$P$6:$P$3907)/J7)</f>
        <v>1</v>
      </c>
      <c r="M7" s="471" cm="1">
        <f t="array" ref="M7">SUMPRODUCT(--(ISNUMBER(SEARCH($A7,'Diags Raw Data'!$A$6:$A$3907))),--('Diags Raw Data'!$Q$6:$Q$3907&lt;&gt;"N/A"),'Diags Raw Data'!$R$6:$R$3907)</f>
        <v>42</v>
      </c>
      <c r="N7" s="472" cm="1">
        <f t="array" ref="N7">SUMPRODUCT(--(ISNUMBER(SEARCH($A7,'Diags Raw Data'!$A$6:$A$3907))),--('Diags Raw Data'!$Q$6:$Q$3907&lt;&gt;"N/A"),'Diags Raw Data'!$T$6:$T$3907)+SUMPRODUCT(--(ISNUMBER(SEARCH($A7,'Diags Raw Data'!$A$6:$A$3907))),--('Diags Raw Data'!$Q$6:$Q$3907&lt;&gt;"N/A"),'Diags Raw Data'!$U$6:$U$3907)</f>
        <v>27</v>
      </c>
      <c r="O7" s="473">
        <f>IF((M7=0),0,N7/M7)</f>
        <v>0.6428571428571429</v>
      </c>
      <c r="P7" s="474">
        <f>SUMIF('Diags Raw Data'!$A$6:$A$3907,"*"&amp;$A7&amp;"*",'Diags Raw Data'!$Z$6:$Z$3907)</f>
        <v>26</v>
      </c>
      <c r="Q7" s="475">
        <f>SUM(SUMIF('Diags Raw Data'!$A$6:$A$3907,"*"&amp;$A7&amp;"*",'Diags Raw Data'!$AA$6:$AA$3907),SUMIF('Diags Raw Data'!$A$6:$A$3907,"*"&amp;$A7&amp;"*",'Diags Raw Data'!$AB$6:$AB$3907))</f>
        <v>26</v>
      </c>
      <c r="R7" s="476">
        <f>IF((J7=0),0,P7/J7)</f>
        <v>0.61904761904761907</v>
      </c>
      <c r="S7" s="476">
        <f>IF((P7=0),0,Q7/P7)</f>
        <v>1</v>
      </c>
      <c r="T7" s="477">
        <f>R7*S7</f>
        <v>0.61904761904761907</v>
      </c>
      <c r="U7" s="530" t="s">
        <v>1422</v>
      </c>
      <c r="V7" s="180"/>
    </row>
    <row r="8" spans="1:24" ht="58.9" customHeight="1" x14ac:dyDescent="0.25">
      <c r="A8" s="524" t="s">
        <v>1094</v>
      </c>
      <c r="B8" s="431" t="str">
        <f>VLOOKUP(A8,'Feature Raw Data'!$A$3:$B$4204,2,FALSE)</f>
        <v>MMHUB:SOC - SOC-15 SCF/SMN interfaces</v>
      </c>
      <c r="C8" s="432" t="str">
        <f>VLOOKUP(A8,'Feature Raw Data'!$A$3:$C$4204,3,FALSE)</f>
        <v>P2</v>
      </c>
      <c r="D8" s="433" t="str" cm="1">
        <f t="array" ref="D8">_xlfn.TEXTJOIN("",TRUE,IF(ISNUMBER(SEARCH($A8,'Diags Raw Data'!$A$6:$A$3907)),CONCATENATE('Diags Raw Data'!$H$6:$H$3907,", "),""))</f>
        <v xml:space="preserve">mhub001.1, mhub001.2, mhub001.3, mhub001.4, mhub001.5, mhub001.6, mhub001.7, mhub001.9, mhub002.1-15, mhub002.1-15, mhub002.16, mhub002.16, mhub002.17, mhub002.18, </v>
      </c>
      <c r="E8" s="324" t="e">
        <f>VLOOKUP(A8,'Diags Raw Data'!$A$6:$D$3907,4,FALSE)</f>
        <v>#N/A</v>
      </c>
      <c r="F8" s="324" t="str">
        <f>VLOOKUP(A8,'Feature Raw Data'!$A$3:$E$4204,5,FALSE)</f>
        <v>Legacy</v>
      </c>
      <c r="G8" s="324" t="str">
        <f>IF(D8="","No","Yes")</f>
        <v>Yes</v>
      </c>
      <c r="H8" s="324" t="str">
        <f t="shared" si="0"/>
        <v>Yes</v>
      </c>
      <c r="I8" s="432">
        <f>SUMIF('Diags Raw Data'!$A$6:$A$3907,"*"&amp;$A8&amp;"*",'Diags Raw Data'!$K$6:$K$3907)</f>
        <v>14</v>
      </c>
      <c r="J8" s="434">
        <f>SUMIF('Diags Raw Data'!$A$6:$A$3907,"*"&amp;$A8&amp;"*",'Diags Raw Data'!$L$6:$L$3907)</f>
        <v>42</v>
      </c>
      <c r="K8" s="478" t="e" cm="1">
        <f t="array" ref="K8">IF(D8="",0, SUMPRODUCT(--(ISNUMBER(SEARCH($A8,'Diags Raw Data'!$A$6:$A$3907))),'Diags Raw Data'!$L$6:$L$3907,'Diags Raw Data'!$N$6:$N$3910)/J8)</f>
        <v>#VALUE!</v>
      </c>
      <c r="L8" s="479" cm="1">
        <f t="array" ref="L8">IF(D8="",0, SUMPRODUCT(--(ISNUMBER(SEARCH($A8,'Diags Raw Data'!$A$6:$A$3907))),'Diags Raw Data'!$L$6:$L$3907,'Diags Raw Data'!$P$6:$P$3907)/J8)</f>
        <v>1</v>
      </c>
      <c r="M8" s="480" cm="1">
        <f t="array" ref="M8">SUMPRODUCT(--(ISNUMBER(SEARCH($A8,'Diags Raw Data'!$A$6:$A$3907))),--('Diags Raw Data'!$Q$6:$Q$3907&lt;&gt;"N/A"),'Diags Raw Data'!$R$6:$R$3907)</f>
        <v>42</v>
      </c>
      <c r="N8" s="481" cm="1">
        <f t="array" ref="N8">SUMPRODUCT(--(ISNUMBER(SEARCH($A8,'Diags Raw Data'!$A$6:$A$3907))),--('Diags Raw Data'!$Q$6:$Q$3907&lt;&gt;"N/A"),'Diags Raw Data'!$T$6:$T$3907)+SUMPRODUCT(--(ISNUMBER(SEARCH($A8,'Diags Raw Data'!$A$6:$A$3907))),--('Diags Raw Data'!$Q$6:$Q$3907&lt;&gt;"N/A"),'Diags Raw Data'!$U$6:$U$3907)</f>
        <v>27</v>
      </c>
      <c r="O8" s="482">
        <f t="shared" ref="O8:O73" si="1">IF((M8=0),0,N8/M8)</f>
        <v>0.6428571428571429</v>
      </c>
      <c r="P8" s="483">
        <f>SUMIF('Diags Raw Data'!$A$6:$A$3907,"*"&amp;$A8&amp;"*",'Diags Raw Data'!$Z$6:$Z$3907)</f>
        <v>26</v>
      </c>
      <c r="Q8" s="484">
        <f>SUM(SUMIF('Diags Raw Data'!$A$6:$A$3907,"*"&amp;$A8&amp;"*",'Diags Raw Data'!$AA$6:$AA$3907),SUMIF('Diags Raw Data'!$A$6:$A$3907,"*"&amp;$A8&amp;"*",'Diags Raw Data'!$AB$6:$AB$3907))</f>
        <v>26</v>
      </c>
      <c r="R8" s="485">
        <f t="shared" ref="R8:R73" si="2">IF((J8=0),0,P8/J8)</f>
        <v>0.61904761904761907</v>
      </c>
      <c r="S8" s="485">
        <f t="shared" ref="S8:S73" si="3">IF((P8=0),0,Q8/P8)</f>
        <v>1</v>
      </c>
      <c r="T8" s="486">
        <f t="shared" ref="T8:T73" si="4">R8*S8</f>
        <v>0.61904761904761907</v>
      </c>
      <c r="U8" s="530" t="s">
        <v>1422</v>
      </c>
      <c r="V8" s="180"/>
    </row>
    <row r="9" spans="1:24" ht="60.6" customHeight="1" x14ac:dyDescent="0.25">
      <c r="A9" s="524" t="s">
        <v>1097</v>
      </c>
      <c r="B9" s="431" t="str">
        <f>VLOOKUP(A9,'Feature Raw Data'!$A$3:$B$4204,2,FALSE)</f>
        <v>MMHUB:SOC - AXI4 client interface</v>
      </c>
      <c r="C9" s="432" t="str">
        <f>VLOOKUP(A9,'Feature Raw Data'!$A$3:$C$4204,3,FALSE)</f>
        <v>P1</v>
      </c>
      <c r="D9" s="433" t="str" cm="1">
        <f t="array" ref="D9">_xlfn.TEXTJOIN("",TRUE,IF(ISNUMBER(SEARCH($A9,'Diags Raw Data'!$A$6:$A$3907)),CONCATENATE('Diags Raw Data'!$H$6:$H$3907,", "),""))</f>
        <v xml:space="preserve">mhub001.1, mhub001.2, mhub001.3, mhub001.4, mhub001.5, mhub001.6, mhub001.7, mhub001.9, mhub002.1-15, mhub002.1-15, mhub002.16, mhub002.16, mhub002.17, mhub002.18, mhub164.1, </v>
      </c>
      <c r="E9" s="324" t="e">
        <f>VLOOKUP(A9,'Diags Raw Data'!$A$6:$D$3907,4,FALSE)</f>
        <v>#N/A</v>
      </c>
      <c r="F9" s="324" t="str">
        <f>VLOOKUP(A9,'Feature Raw Data'!$A$3:$E$4204,5,FALSE)</f>
        <v>Delta</v>
      </c>
      <c r="G9" s="324" t="str">
        <f t="shared" ref="G9:G41" si="5">IF(D9="","No","Yes")</f>
        <v>Yes</v>
      </c>
      <c r="H9" s="324" t="str">
        <f t="shared" si="0"/>
        <v>Yes</v>
      </c>
      <c r="I9" s="432">
        <f>SUMIF('Diags Raw Data'!$A$6:$A$3907,"*"&amp;$A9&amp;"*",'Diags Raw Data'!$K$6:$K$3907)</f>
        <v>26</v>
      </c>
      <c r="J9" s="434">
        <f>SUMIF('Diags Raw Data'!$A$6:$A$3907,"*"&amp;$A9&amp;"*",'Diags Raw Data'!$L$6:$L$3907)</f>
        <v>43</v>
      </c>
      <c r="K9" s="478" t="e" cm="1">
        <f t="array" ref="K9">IF(D9="",0, SUMPRODUCT(--(ISNUMBER(SEARCH($A9,'Diags Raw Data'!$A$6:$A$3907))),'Diags Raw Data'!$L$6:$L$3907,'Diags Raw Data'!$N$6:$N$3910)/J9)</f>
        <v>#VALUE!</v>
      </c>
      <c r="L9" s="479" cm="1">
        <f t="array" ref="L9">IF(D9="",0, SUMPRODUCT(--(ISNUMBER(SEARCH($A9,'Diags Raw Data'!$A$6:$A$3907))),'Diags Raw Data'!$L$6:$L$3907,'Diags Raw Data'!$P$6:$P$3907)/J9)</f>
        <v>1</v>
      </c>
      <c r="M9" s="480" cm="1">
        <f t="array" ref="M9">SUMPRODUCT(--(ISNUMBER(SEARCH($A9,'Diags Raw Data'!$A$6:$A$3907))),--('Diags Raw Data'!$Q$6:$Q$3907&lt;&gt;"N/A"),'Diags Raw Data'!$R$6:$R$3907)</f>
        <v>43</v>
      </c>
      <c r="N9" s="481" cm="1">
        <f t="array" ref="N9">SUMPRODUCT(--(ISNUMBER(SEARCH($A9,'Diags Raw Data'!$A$6:$A$3907))),--('Diags Raw Data'!$Q$6:$Q$3907&lt;&gt;"N/A"),'Diags Raw Data'!$T$6:$T$3907)+SUMPRODUCT(--(ISNUMBER(SEARCH($A9,'Diags Raw Data'!$A$6:$A$3907))),--('Diags Raw Data'!$Q$6:$Q$3907&lt;&gt;"N/A"),'Diags Raw Data'!$U$6:$U$3907)</f>
        <v>28</v>
      </c>
      <c r="O9" s="482">
        <f t="shared" si="1"/>
        <v>0.65116279069767447</v>
      </c>
      <c r="P9" s="483">
        <f>SUMIF('Diags Raw Data'!$A$6:$A$3907,"*"&amp;$A9&amp;"*",'Diags Raw Data'!$Z$6:$Z$3907)</f>
        <v>27</v>
      </c>
      <c r="Q9" s="484">
        <f>SUM(SUMIF('Diags Raw Data'!$A$6:$A$3907,"*"&amp;$A9&amp;"*",'Diags Raw Data'!$AA$6:$AA$3907),SUMIF('Diags Raw Data'!$A$6:$A$3907,"*"&amp;$A9&amp;"*",'Diags Raw Data'!$AB$6:$AB$3907))</f>
        <v>26</v>
      </c>
      <c r="R9" s="485">
        <f t="shared" si="2"/>
        <v>0.62790697674418605</v>
      </c>
      <c r="S9" s="485">
        <f t="shared" si="3"/>
        <v>0.96296296296296291</v>
      </c>
      <c r="T9" s="486">
        <f t="shared" si="4"/>
        <v>0.60465116279069764</v>
      </c>
      <c r="U9" s="530" t="s">
        <v>1423</v>
      </c>
      <c r="V9" s="180"/>
    </row>
    <row r="10" spans="1:24" x14ac:dyDescent="0.25">
      <c r="A10" s="524" t="s">
        <v>1099</v>
      </c>
      <c r="B10" s="431" t="str">
        <f>VLOOKUP(A10,'Feature Raw Data'!$A$3:$B$4204,2,FALSE)</f>
        <v>MMHUB:SOC - OpenCL Platform Atomics</v>
      </c>
      <c r="C10" s="432" t="str">
        <f>VLOOKUP(A10,'Feature Raw Data'!$A$3:$C$4204,3,FALSE)</f>
        <v>P2</v>
      </c>
      <c r="D10" s="433" t="str" cm="1">
        <f t="array" ref="D10">_xlfn.TEXTJOIN("",TRUE,IF(ISNUMBER(SEARCH($A10,'Diags Raw Data'!$A$6:$A$3907)),CONCATENATE('Diags Raw Data'!$H$6:$H$3907,", "),""))</f>
        <v/>
      </c>
      <c r="E10" s="324" t="e">
        <f>VLOOKUP(A10,'Diags Raw Data'!$A$6:$D$3907,4,FALSE)</f>
        <v>#N/A</v>
      </c>
      <c r="F10" s="324" t="str">
        <f>VLOOKUP(A10,'Feature Raw Data'!$A$3:$E$4204,5,FALSE)</f>
        <v>Legacy</v>
      </c>
      <c r="G10" s="324" t="str">
        <f t="shared" ref="G10" si="6">IF(D10="","No","Yes")</f>
        <v>No</v>
      </c>
      <c r="H10" s="324" t="str">
        <f t="shared" ref="H10" si="7">IF(D10="","No","Yes")</f>
        <v>No</v>
      </c>
      <c r="I10" s="432">
        <f>SUMIF('Diags Raw Data'!$A$6:$A$3907,"*"&amp;$A10&amp;"*",'Diags Raw Data'!$K$6:$K$3907)</f>
        <v>0</v>
      </c>
      <c r="J10" s="434">
        <f>SUMIF('Diags Raw Data'!$A$6:$A$3907,"*"&amp;$A10&amp;"*",'Diags Raw Data'!$L$6:$L$3907)</f>
        <v>0</v>
      </c>
      <c r="K10" s="478" cm="1">
        <f t="array" ref="K10">IF(D10="",0, SUMPRODUCT(--(ISNUMBER(SEARCH($A10,'Diags Raw Data'!$A$6:$A$3907))),'Diags Raw Data'!$L$6:$L$3907,'Diags Raw Data'!$N$6:$N$3910)/J10)</f>
        <v>0</v>
      </c>
      <c r="L10" s="479" cm="1">
        <f t="array" ref="L10">IF(D10="",0, SUMPRODUCT(--(ISNUMBER(SEARCH($A10,'Diags Raw Data'!$A$6:$A$3907))),'Diags Raw Data'!$L$6:$L$3907,'Diags Raw Data'!$P$6:$P$3907)/J10)</f>
        <v>0</v>
      </c>
      <c r="M10" s="480" cm="1">
        <f t="array" ref="M10">SUMPRODUCT(--(ISNUMBER(SEARCH($A10,'Diags Raw Data'!$A$6:$A$3907))),--('Diags Raw Data'!$Q$6:$Q$3907&lt;&gt;"N/A"),'Diags Raw Data'!$R$6:$R$3907)</f>
        <v>0</v>
      </c>
      <c r="N10" s="481" cm="1">
        <f t="array" ref="N10">SUMPRODUCT(--(ISNUMBER(SEARCH($A10,'Diags Raw Data'!$A$6:$A$3907))),--('Diags Raw Data'!$Q$6:$Q$3907&lt;&gt;"N/A"),'Diags Raw Data'!$T$6:$T$3907)+SUMPRODUCT(--(ISNUMBER(SEARCH($A10,'Diags Raw Data'!$A$6:$A$3907))),--('Diags Raw Data'!$Q$6:$Q$3907&lt;&gt;"N/A"),'Diags Raw Data'!$U$6:$U$3907)</f>
        <v>0</v>
      </c>
      <c r="O10" s="482">
        <f t="shared" ref="O10" si="8">IF((M10=0),0,N10/M10)</f>
        <v>0</v>
      </c>
      <c r="P10" s="483">
        <f>SUMIF('Diags Raw Data'!$A$6:$A$3907,"*"&amp;$A10&amp;"*",'Diags Raw Data'!$Z$6:$Z$3907)</f>
        <v>0</v>
      </c>
      <c r="Q10" s="484">
        <f>SUM(SUMIF('Diags Raw Data'!$A$6:$A$3907,"*"&amp;$A10&amp;"*",'Diags Raw Data'!$AA$6:$AA$3907),SUMIF('Diags Raw Data'!$A$6:$A$3907,"*"&amp;$A10&amp;"*",'Diags Raw Data'!$AB$6:$AB$3907))</f>
        <v>0</v>
      </c>
      <c r="R10" s="485">
        <f t="shared" ref="R10" si="9">IF((J10=0),0,P10/J10)</f>
        <v>0</v>
      </c>
      <c r="S10" s="485">
        <f t="shared" ref="S10" si="10">IF((P10=0),0,Q10/P10)</f>
        <v>0</v>
      </c>
      <c r="T10" s="486">
        <f t="shared" ref="T10" si="11">R10*S10</f>
        <v>0</v>
      </c>
      <c r="U10" s="530" t="s">
        <v>1423</v>
      </c>
      <c r="V10" s="180"/>
    </row>
    <row r="11" spans="1:24" x14ac:dyDescent="0.25">
      <c r="A11" s="524"/>
      <c r="B11" s="431"/>
      <c r="C11" s="432"/>
      <c r="D11" s="433"/>
      <c r="E11" s="324"/>
      <c r="F11" s="324"/>
      <c r="G11" s="324"/>
      <c r="H11" s="324"/>
      <c r="I11" s="432"/>
      <c r="J11" s="434"/>
      <c r="K11" s="478"/>
      <c r="L11" s="479"/>
      <c r="M11" s="480"/>
      <c r="N11" s="481"/>
      <c r="O11" s="482"/>
      <c r="P11" s="483"/>
      <c r="Q11" s="484"/>
      <c r="R11" s="485"/>
      <c r="S11" s="485"/>
      <c r="T11" s="486"/>
      <c r="U11" s="530"/>
      <c r="V11" s="180"/>
    </row>
    <row r="12" spans="1:24" ht="25.5" customHeight="1" x14ac:dyDescent="0.25">
      <c r="A12" s="524"/>
      <c r="B12" s="431"/>
      <c r="C12" s="432"/>
      <c r="D12" s="433"/>
      <c r="E12" s="324"/>
      <c r="F12" s="324"/>
      <c r="G12" s="324"/>
      <c r="H12" s="324"/>
      <c r="I12" s="432"/>
      <c r="J12" s="434"/>
      <c r="K12" s="478"/>
      <c r="L12" s="479"/>
      <c r="M12" s="480"/>
      <c r="N12" s="481"/>
      <c r="O12" s="482"/>
      <c r="P12" s="483"/>
      <c r="Q12" s="484"/>
      <c r="R12" s="485"/>
      <c r="S12" s="485"/>
      <c r="T12" s="486"/>
      <c r="U12" s="530"/>
      <c r="V12" s="180"/>
    </row>
    <row r="13" spans="1:24" ht="30" x14ac:dyDescent="0.25">
      <c r="A13" s="524" t="s">
        <v>1209</v>
      </c>
      <c r="B13" s="431" t="str">
        <f>VLOOKUP(A13,'Feature Raw Data'!$A$3:$B$4204,2,FALSE)</f>
        <v>MMHUB:DAGB - Clock Gating (was Repeater FGCG in tap chain)</v>
      </c>
      <c r="C13" s="432" t="str">
        <f>VLOOKUP(A13,'Feature Raw Data'!$A$3:$C$4204,3,FALSE)</f>
        <v>P2</v>
      </c>
      <c r="D13" s="433" t="str" cm="1">
        <f t="array" ref="D13">_xlfn.TEXTJOIN("",TRUE,IF(ISNUMBER(SEARCH($A13,'Diags Raw Data'!$A$6:$A$3907)),CONCATENATE('Diags Raw Data'!$H$6:$H$3907,", "),""))</f>
        <v/>
      </c>
      <c r="E13" s="324" t="e">
        <f>VLOOKUP(A13,'Diags Raw Data'!$A$6:$D$3907,4,FALSE)</f>
        <v>#N/A</v>
      </c>
      <c r="F13" s="324" t="str">
        <f>VLOOKUP(A13,'Feature Raw Data'!$A$3:$E$4204,5,FALSE)</f>
        <v>Legacy</v>
      </c>
      <c r="G13" s="324" t="str">
        <f t="shared" ref="G13" si="12">IF(D13="","No","Yes")</f>
        <v>No</v>
      </c>
      <c r="H13" s="324" t="str">
        <f t="shared" ref="H13" si="13">IF(D13="","No","Yes")</f>
        <v>No</v>
      </c>
      <c r="I13" s="432">
        <f>SUMIF('Diags Raw Data'!$A$6:$A$3907,"*"&amp;$A13&amp;"*",'Diags Raw Data'!$K$6:$K$3907)</f>
        <v>0</v>
      </c>
      <c r="J13" s="434">
        <f>SUMIF('Diags Raw Data'!$A$6:$A$3907,"*"&amp;$A13&amp;"*",'Diags Raw Data'!$L$6:$L$3907)</f>
        <v>0</v>
      </c>
      <c r="K13" s="478" cm="1">
        <f t="array" ref="K13">IF(D13="",0, SUMPRODUCT(--(ISNUMBER(SEARCH($A13,'Diags Raw Data'!$A$6:$A$3907))),'Diags Raw Data'!$L$6:$L$3907,'Diags Raw Data'!$N$6:$N$3910)/J13)</f>
        <v>0</v>
      </c>
      <c r="L13" s="479" cm="1">
        <f t="array" ref="L13">IF(D13="",0, SUMPRODUCT(--(ISNUMBER(SEARCH($A13,'Diags Raw Data'!$A$6:$A$3907))),'Diags Raw Data'!$L$6:$L$3907,'Diags Raw Data'!$P$6:$P$3907)/J13)</f>
        <v>0</v>
      </c>
      <c r="M13" s="480" cm="1">
        <f t="array" ref="M13">SUMPRODUCT(--(ISNUMBER(SEARCH($A13,'Diags Raw Data'!$A$6:$A$3907))),--('Diags Raw Data'!$Q$6:$Q$3907&lt;&gt;"N/A"),'Diags Raw Data'!$R$6:$R$3907)</f>
        <v>0</v>
      </c>
      <c r="N13" s="481" cm="1">
        <f t="array" ref="N13">SUMPRODUCT(--(ISNUMBER(SEARCH($A13,'Diags Raw Data'!$A$6:$A$3907))),--('Diags Raw Data'!$Q$6:$Q$3907&lt;&gt;"N/A"),'Diags Raw Data'!$T$6:$T$3907)+SUMPRODUCT(--(ISNUMBER(SEARCH($A13,'Diags Raw Data'!$A$6:$A$3907))),--('Diags Raw Data'!$Q$6:$Q$3907&lt;&gt;"N/A"),'Diags Raw Data'!$U$6:$U$3907)</f>
        <v>0</v>
      </c>
      <c r="O13" s="482">
        <f>IF((M13=0),0,N13/M13)</f>
        <v>0</v>
      </c>
      <c r="P13" s="483">
        <f>SUMIF('Diags Raw Data'!$A$6:$A$3907,"*"&amp;$A13&amp;"*",'Diags Raw Data'!$Z$6:$Z$3907)</f>
        <v>0</v>
      </c>
      <c r="Q13" s="484">
        <f>SUM(SUMIF('Diags Raw Data'!$A$6:$A$3907,"*"&amp;$A13&amp;"*",'Diags Raw Data'!$AA$6:$AA$3907),SUMIF('Diags Raw Data'!$A$6:$A$3907,"*"&amp;$A13&amp;"*",'Diags Raw Data'!$AB$6:$AB$3907))</f>
        <v>0</v>
      </c>
      <c r="R13" s="485">
        <f>IF((J13=0),0,P13/J13)</f>
        <v>0</v>
      </c>
      <c r="S13" s="485">
        <f>IF((P13=0),0,Q13/P13)</f>
        <v>0</v>
      </c>
      <c r="T13" s="486">
        <f>R13*S13</f>
        <v>0</v>
      </c>
      <c r="U13" s="530" t="s">
        <v>44</v>
      </c>
      <c r="V13" s="180" t="s">
        <v>1424</v>
      </c>
    </row>
    <row r="14" spans="1:24" ht="30" x14ac:dyDescent="0.25">
      <c r="A14" s="524" t="s">
        <v>904</v>
      </c>
      <c r="B14" s="431" t="str">
        <f>VLOOKUP(A14,'Feature Raw Data'!$A$3:$B$4204,2,FALSE)</f>
        <v>MMHUB:DAGB - “GPU Snoop” aka ‘gcc’ support in DAGB</v>
      </c>
      <c r="C14" s="432" t="str">
        <f>VLOOKUP(A14,'Feature Raw Data'!$A$3:$C$4204,3,FALSE)</f>
        <v>P2</v>
      </c>
      <c r="D14" s="433" t="str" cm="1">
        <f t="array" ref="D14">_xlfn.TEXTJOIN("",TRUE,IF(ISNUMBER(SEARCH($A14,'Diags Raw Data'!$A$6:$A$3907)),CONCATENATE('Diags Raw Data'!$H$6:$H$3907,", "),""))</f>
        <v xml:space="preserve">mhub415.1-4,mhub415.11-14,mhub415.21-24,mhub415.31-34, </v>
      </c>
      <c r="E14" s="324" t="str">
        <f>VLOOKUP(A14,'Diags Raw Data'!$A$6:$D$3907,4,FALSE)</f>
        <v>MMHUB</v>
      </c>
      <c r="F14" s="324" t="str">
        <f>VLOOKUP(A14,'Feature Raw Data'!$A$3:$E$4204,5,FALSE)</f>
        <v>Legacy</v>
      </c>
      <c r="G14" s="324" t="str">
        <f>IF(D14="","No","Yes")</f>
        <v>Yes</v>
      </c>
      <c r="H14" s="324" t="str">
        <f t="shared" si="0"/>
        <v>Yes</v>
      </c>
      <c r="I14" s="432">
        <f>SUMIF('Diags Raw Data'!$A$6:$A$3907,"*"&amp;$A14&amp;"*",'Diags Raw Data'!$K$6:$K$3907)</f>
        <v>1</v>
      </c>
      <c r="J14" s="434">
        <f>SUMIF('Diags Raw Data'!$A$6:$A$3907,"*"&amp;$A14&amp;"*",'Diags Raw Data'!$L$6:$L$3907)</f>
        <v>16</v>
      </c>
      <c r="K14" s="478" t="e" cm="1">
        <f t="array" ref="K14">IF(D14="",0, SUMPRODUCT(--(ISNUMBER(SEARCH($A14,'Diags Raw Data'!$A$6:$A$3907))),'Diags Raw Data'!$L$6:$L$3907,'Diags Raw Data'!$N$6:$N$3910)/J14)</f>
        <v>#VALUE!</v>
      </c>
      <c r="L14" s="479" cm="1">
        <f t="array" ref="L14">IF(D14="",0, SUMPRODUCT(--(ISNUMBER(SEARCH($A14,'Diags Raw Data'!$A$6:$A$3907))),'Diags Raw Data'!$L$6:$L$3907,'Diags Raw Data'!$P$6:$P$3907)/J14)</f>
        <v>1</v>
      </c>
      <c r="M14" s="480" cm="1">
        <f t="array" ref="M14">SUMPRODUCT(--(ISNUMBER(SEARCH($A14,'Diags Raw Data'!$A$6:$A$3907))),--('Diags Raw Data'!$Q$6:$Q$3907&lt;&gt;"N/A"),'Diags Raw Data'!$R$6:$R$3907)</f>
        <v>16</v>
      </c>
      <c r="N14" s="481" cm="1">
        <f t="array" ref="N14">SUMPRODUCT(--(ISNUMBER(SEARCH($A14,'Diags Raw Data'!$A$6:$A$3907))),--('Diags Raw Data'!$Q$6:$Q$3907&lt;&gt;"N/A"),'Diags Raw Data'!$T$6:$T$3907)+SUMPRODUCT(--(ISNUMBER(SEARCH($A14,'Diags Raw Data'!$A$6:$A$3907))),--('Diags Raw Data'!$Q$6:$Q$3907&lt;&gt;"N/A"),'Diags Raw Data'!$U$6:$U$3907)</f>
        <v>16</v>
      </c>
      <c r="O14" s="482">
        <f>IF((M14=0),0,N14/M14)</f>
        <v>1</v>
      </c>
      <c r="P14" s="483">
        <f>SUMIF('Diags Raw Data'!$A$6:$A$3907,"*"&amp;$A14&amp;"*",'Diags Raw Data'!$Z$6:$Z$3907)</f>
        <v>16</v>
      </c>
      <c r="Q14" s="484">
        <f>SUM(SUMIF('Diags Raw Data'!$A$6:$A$3907,"*"&amp;$A14&amp;"*",'Diags Raw Data'!$AA$6:$AA$3907),SUMIF('Diags Raw Data'!$A$6:$A$3907,"*"&amp;$A14&amp;"*",'Diags Raw Data'!$AB$6:$AB$3907))</f>
        <v>0</v>
      </c>
      <c r="R14" s="485">
        <f t="shared" si="2"/>
        <v>1</v>
      </c>
      <c r="S14" s="485">
        <f t="shared" si="3"/>
        <v>0</v>
      </c>
      <c r="T14" s="486">
        <f t="shared" si="4"/>
        <v>0</v>
      </c>
      <c r="U14" s="530" t="s">
        <v>1425</v>
      </c>
      <c r="V14" s="180"/>
    </row>
    <row r="15" spans="1:24" ht="180" x14ac:dyDescent="0.25">
      <c r="A15" s="524" t="s">
        <v>1112</v>
      </c>
      <c r="B15" s="431" t="str">
        <f>VLOOKUP(A15,'Feature Raw Data'!$A$3:$B$4204,2,FALSE)</f>
        <v>MMHUB:DAGB - MALL ("noalloc") support</v>
      </c>
      <c r="C15" s="432" t="str">
        <f>VLOOKUP(A15,'Feature Raw Data'!$A$3:$C$4204,3,FALSE)</f>
        <v>P1</v>
      </c>
      <c r="D15" s="433" t="str" cm="1">
        <f t="array" ref="D15">_xlfn.TEXTJOIN("",TRUE,IF(ISNUMBER(SEARCH($A15,'Diags Raw Data'!$A$6:$A$3907)),CONCATENATE('Diags Raw Data'!$H$6:$H$3907,", "),""))</f>
        <v xml:space="preserve">mhub153.1,mhub153.7,mhub153.401,mhub153.407, mhub153.2,mhub153.8,mhub153.402,mhub153.408, mhub153.201,mhub153.204,mhub153.211,mhub153.214, mhub153.301,mhub153.304,mhub153.311,mhub153.314, mhub153.5-6,mhub153.11-12,mhub153.405-406,mhub153.411-412, mhub153.203,mhub153.206,mhub153.213,mhub153.216, mhub153.303,mhub153.306,mhub153.313,mhub153.316, mhub153.525,mhub153.531,mhub153.533,mhub153.539, mhub153.526,mhub153.532,mhub153.534,mhub153.540, mhub153.221-252, mhub153.321-352, mhub153.421-452, </v>
      </c>
      <c r="E15" s="324" t="e">
        <f>VLOOKUP(A15,'Diags Raw Data'!$A$6:$D$3907,4,FALSE)</f>
        <v>#N/A</v>
      </c>
      <c r="F15" s="324" t="str">
        <f>VLOOKUP(A15,'Feature Raw Data'!$A$3:$E$4204,5,FALSE)</f>
        <v>Delta</v>
      </c>
      <c r="G15" s="324" t="str">
        <f t="shared" si="5"/>
        <v>Yes</v>
      </c>
      <c r="H15" s="324" t="str">
        <f t="shared" si="0"/>
        <v>Yes</v>
      </c>
      <c r="I15" s="432">
        <f>SUMIF('Diags Raw Data'!$A$6:$A$3907,"*"&amp;$A15&amp;"*",'Diags Raw Data'!$K$6:$K$3907)</f>
        <v>19</v>
      </c>
      <c r="J15" s="434">
        <f>SUMIF('Diags Raw Data'!$A$6:$A$3907,"*"&amp;$A15&amp;"*",'Diags Raw Data'!$L$6:$L$3907)</f>
        <v>136</v>
      </c>
      <c r="K15" s="478" t="e" cm="1">
        <f t="array" ref="K15">IF(D15="",0, SUMPRODUCT(--(ISNUMBER(SEARCH($A15,'Diags Raw Data'!$A$6:$A$3907))),'Diags Raw Data'!$L$6:$L$3907,'Diags Raw Data'!$N$6:$N$3910)/J15)</f>
        <v>#VALUE!</v>
      </c>
      <c r="L15" s="479" cm="1">
        <f t="array" ref="L15">IF(D15="",0, SUMPRODUCT(--(ISNUMBER(SEARCH($A15,'Diags Raw Data'!$A$6:$A$3907))),'Diags Raw Data'!$L$6:$L$3907,'Diags Raw Data'!$P$6:$P$3907)/J15)</f>
        <v>1</v>
      </c>
      <c r="M15" s="480" cm="1">
        <f t="array" ref="M15">SUMPRODUCT(--(ISNUMBER(SEARCH($A15,'Diags Raw Data'!$A$6:$A$3907))),--('Diags Raw Data'!$Q$6:$Q$3907&lt;&gt;"N/A"),'Diags Raw Data'!$R$6:$R$3907)</f>
        <v>20</v>
      </c>
      <c r="N15" s="481" cm="1">
        <f t="array" ref="N15">SUMPRODUCT(--(ISNUMBER(SEARCH($A15,'Diags Raw Data'!$A$6:$A$3907))),--('Diags Raw Data'!$Q$6:$Q$3907&lt;&gt;"N/A"),'Diags Raw Data'!$T$6:$T$3907)+SUMPRODUCT(--(ISNUMBER(SEARCH($A15,'Diags Raw Data'!$A$6:$A$3907))),--('Diags Raw Data'!$Q$6:$Q$3907&lt;&gt;"N/A"),'Diags Raw Data'!$U$6:$U$3907)</f>
        <v>38</v>
      </c>
      <c r="O15" s="482">
        <f t="shared" si="1"/>
        <v>1.9</v>
      </c>
      <c r="P15" s="483">
        <f>SUMIF('Diags Raw Data'!$A$6:$A$3907,"*"&amp;$A15&amp;"*",'Diags Raw Data'!$Z$6:$Z$3907)</f>
        <v>24</v>
      </c>
      <c r="Q15" s="484">
        <f>SUM(SUMIF('Diags Raw Data'!$A$6:$A$3907,"*"&amp;$A15&amp;"*",'Diags Raw Data'!$AA$6:$AA$3907),SUMIF('Diags Raw Data'!$A$6:$A$3907,"*"&amp;$A15&amp;"*",'Diags Raw Data'!$AB$6:$AB$3907))</f>
        <v>0</v>
      </c>
      <c r="R15" s="485">
        <f t="shared" si="2"/>
        <v>0.17647058823529413</v>
      </c>
      <c r="S15" s="485">
        <f t="shared" si="3"/>
        <v>0</v>
      </c>
      <c r="T15" s="486">
        <f t="shared" si="4"/>
        <v>0</v>
      </c>
      <c r="U15" s="530" t="s">
        <v>1425</v>
      </c>
      <c r="V15" s="180"/>
    </row>
    <row r="16" spans="1:24" ht="30" x14ac:dyDescent="0.25">
      <c r="A16" s="524" t="s">
        <v>1114</v>
      </c>
      <c r="B16" s="431" t="str">
        <f>VLOOKUP(A16,'Feature Raw Data'!$A$3:$B$4204,2,FALSE)</f>
        <v>MMHUB:DAGB - Safe TDR for GPU Driver Reset Mode 2 Support</v>
      </c>
      <c r="C16" s="432" t="str">
        <f>VLOOKUP(A16,'Feature Raw Data'!$A$3:$C$4204,3,FALSE)</f>
        <v>P2</v>
      </c>
      <c r="D16" s="433" t="str" cm="1">
        <f t="array" ref="D16">_xlfn.TEXTJOIN("",TRUE,IF(ISNUMBER(SEARCH($A16,'Diags Raw Data'!$A$6:$A$3907)),CONCATENATE('Diags Raw Data'!$H$6:$H$3907,", "),""))</f>
        <v/>
      </c>
      <c r="E16" s="324" t="e">
        <f>VLOOKUP(A16,'Diags Raw Data'!$A$6:$D$3907,4,FALSE)</f>
        <v>#N/A</v>
      </c>
      <c r="F16" s="324" t="str">
        <f>VLOOKUP(A16,'Feature Raw Data'!$A$3:$E$4204,5,FALSE)</f>
        <v>Legacy</v>
      </c>
      <c r="G16" s="324" t="str">
        <f>IF(D16="","No","Yes")</f>
        <v>No</v>
      </c>
      <c r="H16" s="324" t="str">
        <f t="shared" si="0"/>
        <v>No</v>
      </c>
      <c r="I16" s="432">
        <f>SUMIF('Diags Raw Data'!$A$6:$A$3907,"*"&amp;$A16&amp;"*",'Diags Raw Data'!$K$6:$K$3907)</f>
        <v>0</v>
      </c>
      <c r="J16" s="434">
        <f>SUMIF('Diags Raw Data'!$A$6:$A$3907,"*"&amp;$A16&amp;"*",'Diags Raw Data'!$L$6:$L$3907)</f>
        <v>0</v>
      </c>
      <c r="K16" s="478" cm="1">
        <f t="array" ref="K16">IF(D16="",0, SUMPRODUCT(--(ISNUMBER(SEARCH($A16,'Diags Raw Data'!$A$6:$A$3907))),'Diags Raw Data'!$L$6:$L$3907,'Diags Raw Data'!$N$6:$N$3910)/J16)</f>
        <v>0</v>
      </c>
      <c r="L16" s="479" cm="1">
        <f t="array" ref="L16">IF(D16="",0, SUMPRODUCT(--(ISNUMBER(SEARCH($A16,'Diags Raw Data'!$A$6:$A$3907))),'Diags Raw Data'!$L$6:$L$3907,'Diags Raw Data'!$P$6:$P$3907)/J16)</f>
        <v>0</v>
      </c>
      <c r="M16" s="480" cm="1">
        <f t="array" ref="M16">SUMPRODUCT(--(ISNUMBER(SEARCH($A16,'Diags Raw Data'!$A$6:$A$3907))),--('Diags Raw Data'!$Q$6:$Q$3907&lt;&gt;"N/A"),'Diags Raw Data'!$R$6:$R$3907)</f>
        <v>0</v>
      </c>
      <c r="N16" s="481" cm="1">
        <f t="array" ref="N16">SUMPRODUCT(--(ISNUMBER(SEARCH($A16,'Diags Raw Data'!$A$6:$A$3907))),--('Diags Raw Data'!$Q$6:$Q$3907&lt;&gt;"N/A"),'Diags Raw Data'!$T$6:$T$3907)+SUMPRODUCT(--(ISNUMBER(SEARCH($A16,'Diags Raw Data'!$A$6:$A$3907))),--('Diags Raw Data'!$Q$6:$Q$3907&lt;&gt;"N/A"),'Diags Raw Data'!$U$6:$U$3907)</f>
        <v>0</v>
      </c>
      <c r="O16" s="482">
        <f t="shared" si="1"/>
        <v>0</v>
      </c>
      <c r="P16" s="483">
        <f>SUMIF('Diags Raw Data'!$A$6:$A$3907,"*"&amp;$A16&amp;"*",'Diags Raw Data'!$Z$6:$Z$3907)</f>
        <v>0</v>
      </c>
      <c r="Q16" s="484">
        <f>SUM(SUMIF('Diags Raw Data'!$A$6:$A$3907,"*"&amp;$A16&amp;"*",'Diags Raw Data'!$AA$6:$AA$3907),SUMIF('Diags Raw Data'!$A$6:$A$3907,"*"&amp;$A16&amp;"*",'Diags Raw Data'!$AB$6:$AB$3907))</f>
        <v>0</v>
      </c>
      <c r="R16" s="485">
        <f t="shared" si="2"/>
        <v>0</v>
      </c>
      <c r="S16" s="485">
        <f t="shared" si="3"/>
        <v>0</v>
      </c>
      <c r="T16" s="486">
        <f t="shared" si="4"/>
        <v>0</v>
      </c>
      <c r="U16" s="530" t="s">
        <v>44</v>
      </c>
      <c r="V16" s="180" t="s">
        <v>1426</v>
      </c>
    </row>
    <row r="17" spans="1:22" ht="27" customHeight="1" x14ac:dyDescent="0.25">
      <c r="A17" s="524" t="s">
        <v>1117</v>
      </c>
      <c r="B17" s="431" t="str">
        <f>VLOOKUP(A17,'Feature Raw Data'!$A$3:$B$4204,2,FALSE)</f>
        <v>MMHUB:DAGB - HDP Performance for Mixed RD/WR</v>
      </c>
      <c r="C17" s="432" t="str">
        <f>VLOOKUP(A17,'Feature Raw Data'!$A$3:$C$4204,3,FALSE)</f>
        <v>P2</v>
      </c>
      <c r="D17" s="433" t="str" cm="1">
        <f t="array" ref="D17">_xlfn.TEXTJOIN("",TRUE,IF(ISNUMBER(SEARCH($A17,'Diags Raw Data'!$A$6:$A$3907)),CONCATENATE('Diags Raw Data'!$H$6:$H$3907,", "),""))</f>
        <v/>
      </c>
      <c r="E17" s="324" t="e">
        <f>VLOOKUP(A17,'Diags Raw Data'!$A$6:$D$3907,4,FALSE)</f>
        <v>#N/A</v>
      </c>
      <c r="F17" s="324" t="str">
        <f>VLOOKUP(A17,'Feature Raw Data'!$A$3:$E$4204,5,FALSE)</f>
        <v>Legacy</v>
      </c>
      <c r="G17" s="324" t="str">
        <f t="shared" si="5"/>
        <v>No</v>
      </c>
      <c r="H17" s="324" t="str">
        <f t="shared" si="0"/>
        <v>No</v>
      </c>
      <c r="I17" s="432">
        <f>SUMIF('Diags Raw Data'!$A$6:$A$3907,"*"&amp;$A17&amp;"*",'Diags Raw Data'!$K$6:$K$3907)</f>
        <v>0</v>
      </c>
      <c r="J17" s="434">
        <f>SUMIF('Diags Raw Data'!$A$6:$A$3907,"*"&amp;$A17&amp;"*",'Diags Raw Data'!$L$6:$L$3907)</f>
        <v>0</v>
      </c>
      <c r="K17" s="478" cm="1">
        <f t="array" ref="K17">IF(D17="",0, SUMPRODUCT(--(ISNUMBER(SEARCH($A17,'Diags Raw Data'!$A$6:$A$3907))),'Diags Raw Data'!$L$6:$L$3907,'Diags Raw Data'!$N$6:$N$3910)/J17)</f>
        <v>0</v>
      </c>
      <c r="L17" s="479" cm="1">
        <f t="array" ref="L17">IF(D17="",0, SUMPRODUCT(--(ISNUMBER(SEARCH($A17,'Diags Raw Data'!$A$6:$A$3907))),'Diags Raw Data'!$L$6:$L$3907,'Diags Raw Data'!$P$6:$P$3907)/J17)</f>
        <v>0</v>
      </c>
      <c r="M17" s="480" cm="1">
        <f t="array" ref="M17">SUMPRODUCT(--(ISNUMBER(SEARCH($A17,'Diags Raw Data'!$A$6:$A$3907))),--('Diags Raw Data'!$Q$6:$Q$3907&lt;&gt;"N/A"),'Diags Raw Data'!$R$6:$R$3907)</f>
        <v>0</v>
      </c>
      <c r="N17" s="481" cm="1">
        <f t="array" ref="N17">SUMPRODUCT(--(ISNUMBER(SEARCH($A17,'Diags Raw Data'!$A$6:$A$3907))),--('Diags Raw Data'!$Q$6:$Q$3907&lt;&gt;"N/A"),'Diags Raw Data'!$T$6:$T$3907)+SUMPRODUCT(--(ISNUMBER(SEARCH($A17,'Diags Raw Data'!$A$6:$A$3907))),--('Diags Raw Data'!$Q$6:$Q$3907&lt;&gt;"N/A"),'Diags Raw Data'!$U$6:$U$3907)</f>
        <v>0</v>
      </c>
      <c r="O17" s="482">
        <f t="shared" si="1"/>
        <v>0</v>
      </c>
      <c r="P17" s="483">
        <f>SUMIF('Diags Raw Data'!$A$6:$A$3907,"*"&amp;$A17&amp;"*",'Diags Raw Data'!$Z$6:$Z$3907)</f>
        <v>0</v>
      </c>
      <c r="Q17" s="484">
        <f>SUM(SUMIF('Diags Raw Data'!$A$6:$A$3907,"*"&amp;$A17&amp;"*",'Diags Raw Data'!$AA$6:$AA$3907),SUMIF('Diags Raw Data'!$A$6:$A$3907,"*"&amp;$A17&amp;"*",'Diags Raw Data'!$AB$6:$AB$3907))</f>
        <v>0</v>
      </c>
      <c r="R17" s="485">
        <f t="shared" si="2"/>
        <v>0</v>
      </c>
      <c r="S17" s="485">
        <f t="shared" si="3"/>
        <v>0</v>
      </c>
      <c r="T17" s="486">
        <f t="shared" si="4"/>
        <v>0</v>
      </c>
      <c r="U17" s="530" t="s">
        <v>44</v>
      </c>
      <c r="V17" s="180" t="s">
        <v>1427</v>
      </c>
    </row>
    <row r="18" spans="1:22" s="183" customFormat="1" ht="30" x14ac:dyDescent="0.25">
      <c r="A18" s="524" t="s">
        <v>1120</v>
      </c>
      <c r="B18" s="431" t="str">
        <f>VLOOKUP(A18,'Feature Raw Data'!$A$3:$B$4204,2,FALSE)</f>
        <v>MMHUB:DAGB - SDP arbitration and interface capability</v>
      </c>
      <c r="C18" s="432" t="str">
        <f>VLOOKUP(A18,'Feature Raw Data'!$A$3:$C$4204,3,FALSE)</f>
        <v>P1</v>
      </c>
      <c r="D18" s="433" t="str" cm="1">
        <f t="array" ref="D18">_xlfn.TEXTJOIN("",TRUE,IF(ISNUMBER(SEARCH($A18,'Diags Raw Data'!$A$6:$A$3907)),CONCATENATE('Diags Raw Data'!$H$6:$H$3907,", "),""))</f>
        <v/>
      </c>
      <c r="E18" s="324" t="e">
        <f>VLOOKUP(A18,'Diags Raw Data'!$A$6:$D$3907,4,FALSE)</f>
        <v>#N/A</v>
      </c>
      <c r="F18" s="324" t="str">
        <f>VLOOKUP(A18,'Feature Raw Data'!$A$3:$E$4204,5,FALSE)</f>
        <v>Delta</v>
      </c>
      <c r="G18" s="324" t="s">
        <v>31</v>
      </c>
      <c r="H18" s="324" t="str">
        <f t="shared" si="0"/>
        <v>No</v>
      </c>
      <c r="I18" s="432">
        <f>SUMIF('Diags Raw Data'!$A$6:$A$3907,"*"&amp;$A18&amp;"*",'Diags Raw Data'!$K$6:$K$3907)</f>
        <v>0</v>
      </c>
      <c r="J18" s="434">
        <f>SUMIF('Diags Raw Data'!$A$6:$A$3907,"*"&amp;$A18&amp;"*",'Diags Raw Data'!$L$6:$L$3907)</f>
        <v>0</v>
      </c>
      <c r="K18" s="478" cm="1">
        <f t="array" ref="K18">IF(D18="",0, SUMPRODUCT(--(ISNUMBER(SEARCH($A18,'Diags Raw Data'!$A$6:$A$3907))),'Diags Raw Data'!$L$6:$L$3907,'Diags Raw Data'!$N$6:$N$3910)/J18)</f>
        <v>0</v>
      </c>
      <c r="L18" s="479" cm="1">
        <f t="array" ref="L18">IF(D18="",0, SUMPRODUCT(--(ISNUMBER(SEARCH($A18,'Diags Raw Data'!$A$6:$A$3907))),'Diags Raw Data'!$L$6:$L$3907,'Diags Raw Data'!$P$6:$P$3907)/J18)</f>
        <v>0</v>
      </c>
      <c r="M18" s="480" cm="1">
        <f t="array" ref="M18">SUMPRODUCT(--(ISNUMBER(SEARCH($A18,'Diags Raw Data'!$A$6:$A$3907))),--('Diags Raw Data'!$Q$6:$Q$3907&lt;&gt;"N/A"),'Diags Raw Data'!$R$6:$R$3907)</f>
        <v>0</v>
      </c>
      <c r="N18" s="481" cm="1">
        <f t="array" ref="N18">SUMPRODUCT(--(ISNUMBER(SEARCH($A18,'Diags Raw Data'!$A$6:$A$3907))),--('Diags Raw Data'!$Q$6:$Q$3907&lt;&gt;"N/A"),'Diags Raw Data'!$T$6:$T$3907)+SUMPRODUCT(--(ISNUMBER(SEARCH($A18,'Diags Raw Data'!$A$6:$A$3907))),--('Diags Raw Data'!$Q$6:$Q$3907&lt;&gt;"N/A"),'Diags Raw Data'!$U$6:$U$3907)</f>
        <v>0</v>
      </c>
      <c r="O18" s="482">
        <f t="shared" si="1"/>
        <v>0</v>
      </c>
      <c r="P18" s="483">
        <f>SUMIF('Diags Raw Data'!$A$6:$A$3907,"*"&amp;$A18&amp;"*",'Diags Raw Data'!$Z$6:$Z$3907)</f>
        <v>0</v>
      </c>
      <c r="Q18" s="484">
        <f>SUM(SUMIF('Diags Raw Data'!$A$6:$A$3907,"*"&amp;$A18&amp;"*",'Diags Raw Data'!$AA$6:$AA$3907),SUMIF('Diags Raw Data'!$A$6:$A$3907,"*"&amp;$A18&amp;"*",'Diags Raw Data'!$AB$6:$AB$3907))</f>
        <v>0</v>
      </c>
      <c r="R18" s="485">
        <f t="shared" si="2"/>
        <v>0</v>
      </c>
      <c r="S18" s="485">
        <f t="shared" si="3"/>
        <v>0</v>
      </c>
      <c r="T18" s="486">
        <f t="shared" si="4"/>
        <v>0</v>
      </c>
      <c r="U18" s="530" t="s">
        <v>1423</v>
      </c>
      <c r="V18" s="182" t="s">
        <v>1428</v>
      </c>
    </row>
    <row r="19" spans="1:22" s="183" customFormat="1" ht="30" x14ac:dyDescent="0.25">
      <c r="A19" s="524" t="s">
        <v>1211</v>
      </c>
      <c r="B19" s="431" t="str">
        <f>VLOOKUP(A19,'Feature Raw Data'!$A$3:$B$4204,2,FALSE)</f>
        <v>MMHUB:DAGB - Programmable priority per VC on SDP</v>
      </c>
      <c r="C19" s="432" t="str">
        <f>VLOOKUP(A19,'Feature Raw Data'!$A$3:$C$4204,3,FALSE)</f>
        <v>P2</v>
      </c>
      <c r="D19" s="433" t="str" cm="1">
        <f t="array" ref="D19">_xlfn.TEXTJOIN("",TRUE,IF(ISNUMBER(SEARCH($A19,'Diags Raw Data'!$A$6:$A$3907)),CONCATENATE('Diags Raw Data'!$H$6:$H$3907,", "),""))</f>
        <v/>
      </c>
      <c r="E19" s="324" t="e">
        <f>VLOOKUP(A19,'Diags Raw Data'!$A$6:$D$3907,4,FALSE)</f>
        <v>#N/A</v>
      </c>
      <c r="F19" s="324" t="str">
        <f>VLOOKUP(A19,'Feature Raw Data'!$A$3:$E$4204,5,FALSE)</f>
        <v>Legacy</v>
      </c>
      <c r="G19" s="324" t="str">
        <f t="shared" ref="G19:G20" si="14">IF(D19="","No","Yes")</f>
        <v>No</v>
      </c>
      <c r="H19" s="324" t="str">
        <f t="shared" ref="H19:H20" si="15">IF(D19="","No","Yes")</f>
        <v>No</v>
      </c>
      <c r="I19" s="432">
        <f>SUMIF('Diags Raw Data'!$A$6:$A$3907,"*"&amp;$A19&amp;"*",'Diags Raw Data'!$K$6:$K$3907)</f>
        <v>0</v>
      </c>
      <c r="J19" s="434">
        <f>SUMIF('Diags Raw Data'!$A$6:$A$3907,"*"&amp;$A19&amp;"*",'Diags Raw Data'!$L$6:$L$3907)</f>
        <v>0</v>
      </c>
      <c r="K19" s="478" cm="1">
        <f t="array" ref="K19">IF(D19="",0, SUMPRODUCT(--(ISNUMBER(SEARCH($A19,'Diags Raw Data'!$A$6:$A$3907))),'Diags Raw Data'!$L$6:$L$3907,'Diags Raw Data'!$N$6:$N$3910)/J19)</f>
        <v>0</v>
      </c>
      <c r="L19" s="479" cm="1">
        <f t="array" ref="L19">IF(D19="",0, SUMPRODUCT(--(ISNUMBER(SEARCH($A19,'Diags Raw Data'!$A$6:$A$3907))),'Diags Raw Data'!$L$6:$L$3907,'Diags Raw Data'!$P$6:$P$3907)/J19)</f>
        <v>0</v>
      </c>
      <c r="M19" s="480" cm="1">
        <f t="array" ref="M19">SUMPRODUCT(--(ISNUMBER(SEARCH($A19,'Diags Raw Data'!$A$6:$A$3907))),--('Diags Raw Data'!$Q$6:$Q$3907&lt;&gt;"N/A"),'Diags Raw Data'!$R$6:$R$3907)</f>
        <v>0</v>
      </c>
      <c r="N19" s="481" cm="1">
        <f t="array" ref="N19">SUMPRODUCT(--(ISNUMBER(SEARCH($A19,'Diags Raw Data'!$A$6:$A$3907))),--('Diags Raw Data'!$Q$6:$Q$3907&lt;&gt;"N/A"),'Diags Raw Data'!$T$6:$T$3907)+SUMPRODUCT(--(ISNUMBER(SEARCH($A19,'Diags Raw Data'!$A$6:$A$3907))),--('Diags Raw Data'!$Q$6:$Q$3907&lt;&gt;"N/A"),'Diags Raw Data'!$U$6:$U$3907)</f>
        <v>0</v>
      </c>
      <c r="O19" s="482">
        <f t="shared" ref="O19:O20" si="16">IF((M19=0),0,N19/M19)</f>
        <v>0</v>
      </c>
      <c r="P19" s="483">
        <f>SUMIF('Diags Raw Data'!$A$6:$A$3907,"*"&amp;$A19&amp;"*",'Diags Raw Data'!$Z$6:$Z$3907)</f>
        <v>0</v>
      </c>
      <c r="Q19" s="484">
        <f>SUM(SUMIF('Diags Raw Data'!$A$6:$A$3907,"*"&amp;$A19&amp;"*",'Diags Raw Data'!$AA$6:$AA$3907),SUMIF('Diags Raw Data'!$A$6:$A$3907,"*"&amp;$A19&amp;"*",'Diags Raw Data'!$AB$6:$AB$3907))</f>
        <v>0</v>
      </c>
      <c r="R19" s="485">
        <f t="shared" ref="R19:R20" si="17">IF((J19=0),0,P19/J19)</f>
        <v>0</v>
      </c>
      <c r="S19" s="485">
        <f t="shared" ref="S19:S20" si="18">IF((P19=0),0,Q19/P19)</f>
        <v>0</v>
      </c>
      <c r="T19" s="486">
        <f t="shared" ref="T19:T20" si="19">R19*S19</f>
        <v>0</v>
      </c>
      <c r="U19" s="530" t="s">
        <v>44</v>
      </c>
      <c r="V19" s="182" t="s">
        <v>1429</v>
      </c>
    </row>
    <row r="20" spans="1:22" s="183" customFormat="1" ht="31.5" customHeight="1" x14ac:dyDescent="0.25">
      <c r="A20" s="524" t="s">
        <v>1213</v>
      </c>
      <c r="B20" s="431" t="str">
        <f>VLOOKUP(A20,'Feature Raw Data'!$A$3:$B$4204,2,FALSE)</f>
        <v xml:space="preserve">MMHUB:DAGB - Programmable override priority per client on SDP </v>
      </c>
      <c r="C20" s="432" t="str">
        <f>VLOOKUP(A20,'Feature Raw Data'!$A$3:$C$4204,3,FALSE)</f>
        <v>P2</v>
      </c>
      <c r="D20" s="433" t="str" cm="1">
        <f t="array" ref="D20">_xlfn.TEXTJOIN("",TRUE,IF(ISNUMBER(SEARCH($A20,'Diags Raw Data'!$A$6:$A$3907)),CONCATENATE('Diags Raw Data'!$H$6:$H$3907,", "),""))</f>
        <v/>
      </c>
      <c r="E20" s="324" t="e">
        <f>VLOOKUP(A20,'Diags Raw Data'!$A$6:$D$3907,4,FALSE)</f>
        <v>#N/A</v>
      </c>
      <c r="F20" s="324" t="str">
        <f>VLOOKUP(A20,'Feature Raw Data'!$A$3:$E$4204,5,FALSE)</f>
        <v>Legacy</v>
      </c>
      <c r="G20" s="324" t="str">
        <f t="shared" si="14"/>
        <v>No</v>
      </c>
      <c r="H20" s="324" t="str">
        <f t="shared" si="15"/>
        <v>No</v>
      </c>
      <c r="I20" s="432">
        <f>SUMIF('Diags Raw Data'!$A$6:$A$3907,"*"&amp;$A20&amp;"*",'Diags Raw Data'!$K$6:$K$3907)</f>
        <v>0</v>
      </c>
      <c r="J20" s="434">
        <f>SUMIF('Diags Raw Data'!$A$6:$A$3907,"*"&amp;$A20&amp;"*",'Diags Raw Data'!$L$6:$L$3907)</f>
        <v>0</v>
      </c>
      <c r="K20" s="478" cm="1">
        <f t="array" ref="K20">IF(D20="",0, SUMPRODUCT(--(ISNUMBER(SEARCH($A20,'Diags Raw Data'!$A$6:$A$3907))),'Diags Raw Data'!$L$6:$L$3907,'Diags Raw Data'!$N$6:$N$3910)/J20)</f>
        <v>0</v>
      </c>
      <c r="L20" s="479" cm="1">
        <f t="array" ref="L20">IF(D20="",0, SUMPRODUCT(--(ISNUMBER(SEARCH($A20,'Diags Raw Data'!$A$6:$A$3907))),'Diags Raw Data'!$L$6:$L$3907,'Diags Raw Data'!$P$6:$P$3907)/J20)</f>
        <v>0</v>
      </c>
      <c r="M20" s="480" cm="1">
        <f t="array" ref="M20">SUMPRODUCT(--(ISNUMBER(SEARCH($A20,'Diags Raw Data'!$A$6:$A$3907))),--('Diags Raw Data'!$Q$6:$Q$3907&lt;&gt;"N/A"),'Diags Raw Data'!$R$6:$R$3907)</f>
        <v>0</v>
      </c>
      <c r="N20" s="481" cm="1">
        <f t="array" ref="N20">SUMPRODUCT(--(ISNUMBER(SEARCH($A20,'Diags Raw Data'!$A$6:$A$3907))),--('Diags Raw Data'!$Q$6:$Q$3907&lt;&gt;"N/A"),'Diags Raw Data'!$T$6:$T$3907)+SUMPRODUCT(--(ISNUMBER(SEARCH($A20,'Diags Raw Data'!$A$6:$A$3907))),--('Diags Raw Data'!$Q$6:$Q$3907&lt;&gt;"N/A"),'Diags Raw Data'!$U$6:$U$3907)</f>
        <v>0</v>
      </c>
      <c r="O20" s="482">
        <f t="shared" si="16"/>
        <v>0</v>
      </c>
      <c r="P20" s="483">
        <f>SUMIF('Diags Raw Data'!$A$6:$A$3907,"*"&amp;$A20&amp;"*",'Diags Raw Data'!$Z$6:$Z$3907)</f>
        <v>0</v>
      </c>
      <c r="Q20" s="484">
        <f>SUM(SUMIF('Diags Raw Data'!$A$6:$A$3907,"*"&amp;$A20&amp;"*",'Diags Raw Data'!$AA$6:$AA$3907),SUMIF('Diags Raw Data'!$A$6:$A$3907,"*"&amp;$A20&amp;"*",'Diags Raw Data'!$AB$6:$AB$3907))</f>
        <v>0</v>
      </c>
      <c r="R20" s="485">
        <f t="shared" si="17"/>
        <v>0</v>
      </c>
      <c r="S20" s="485">
        <f t="shared" si="18"/>
        <v>0</v>
      </c>
      <c r="T20" s="486">
        <f t="shared" si="19"/>
        <v>0</v>
      </c>
      <c r="U20" s="530" t="s">
        <v>44</v>
      </c>
      <c r="V20" s="182" t="s">
        <v>1430</v>
      </c>
    </row>
    <row r="21" spans="1:22" ht="30" x14ac:dyDescent="0.25">
      <c r="A21" s="524" t="s">
        <v>1122</v>
      </c>
      <c r="B21" s="431" t="str">
        <f>VLOOKUP(A21,'Feature Raw Data'!$A$3:$B$4204,2,FALSE)</f>
        <v>MMHUB:Performance - SOC-15 QoS 1.0</v>
      </c>
      <c r="C21" s="432" t="str">
        <f>VLOOKUP(A21,'Feature Raw Data'!$A$3:$C$4204,3,FALSE)</f>
        <v>P2</v>
      </c>
      <c r="D21" s="433" t="str" cm="1">
        <f t="array" ref="D21">_xlfn.TEXTJOIN("",TRUE,IF(ISNUMBER(SEARCH($A21,'Diags Raw Data'!$A$6:$A$3907)),CONCATENATE('Diags Raw Data'!$H$6:$H$3907,", "),""))</f>
        <v/>
      </c>
      <c r="E21" s="324" t="e">
        <f>VLOOKUP(A21,'Diags Raw Data'!$A$6:$D$3907,4,FALSE)</f>
        <v>#N/A</v>
      </c>
      <c r="F21" s="324" t="str">
        <f>VLOOKUP(A21,'Feature Raw Data'!$A$3:$E$4204,5,FALSE)</f>
        <v>Legacy</v>
      </c>
      <c r="G21" s="324" t="str">
        <f>IF(D21="","No","Yes")</f>
        <v>No</v>
      </c>
      <c r="H21" s="324" t="str">
        <f t="shared" si="0"/>
        <v>No</v>
      </c>
      <c r="I21" s="432">
        <f>SUMIF('Diags Raw Data'!$A$6:$A$3907,"*"&amp;$A21&amp;"*",'Diags Raw Data'!$K$6:$K$3907)</f>
        <v>0</v>
      </c>
      <c r="J21" s="434">
        <f>SUMIF('Diags Raw Data'!$A$6:$A$3907,"*"&amp;$A21&amp;"*",'Diags Raw Data'!$L$6:$L$3907)</f>
        <v>0</v>
      </c>
      <c r="K21" s="478" cm="1">
        <f t="array" ref="K21">IF(D21="",0, SUMPRODUCT(--(ISNUMBER(SEARCH($A21,'Diags Raw Data'!$A$6:$A$3907))),'Diags Raw Data'!$L$6:$L$3907,'Diags Raw Data'!$N$6:$N$3910)/J21)</f>
        <v>0</v>
      </c>
      <c r="L21" s="479" cm="1">
        <f t="array" ref="L21">IF(D21="",0, SUMPRODUCT(--(ISNUMBER(SEARCH($A21,'Diags Raw Data'!$A$6:$A$3907))),'Diags Raw Data'!$L$6:$L$3907,'Diags Raw Data'!$P$6:$P$3907)/J21)</f>
        <v>0</v>
      </c>
      <c r="M21" s="480" cm="1">
        <f t="array" ref="M21">SUMPRODUCT(--(ISNUMBER(SEARCH($A21,'Diags Raw Data'!$A$6:$A$3907))),--('Diags Raw Data'!$Q$6:$Q$3907&lt;&gt;"N/A"),'Diags Raw Data'!$R$6:$R$3907)</f>
        <v>0</v>
      </c>
      <c r="N21" s="481" cm="1">
        <f t="array" ref="N21">SUMPRODUCT(--(ISNUMBER(SEARCH($A21,'Diags Raw Data'!$A$6:$A$3907))),--('Diags Raw Data'!$Q$6:$Q$3907&lt;&gt;"N/A"),'Diags Raw Data'!$T$6:$T$3907)+SUMPRODUCT(--(ISNUMBER(SEARCH($A21,'Diags Raw Data'!$A$6:$A$3907))),--('Diags Raw Data'!$Q$6:$Q$3907&lt;&gt;"N/A"),'Diags Raw Data'!$U$6:$U$3907)</f>
        <v>0</v>
      </c>
      <c r="O21" s="482">
        <f t="shared" si="1"/>
        <v>0</v>
      </c>
      <c r="P21" s="483">
        <f>SUMIF('Diags Raw Data'!$A$6:$A$3907,"*"&amp;$A21&amp;"*",'Diags Raw Data'!$Z$6:$Z$3907)</f>
        <v>0</v>
      </c>
      <c r="Q21" s="484">
        <f>SUM(SUMIF('Diags Raw Data'!$A$6:$A$3907,"*"&amp;$A21&amp;"*",'Diags Raw Data'!$AA$6:$AA$3907),SUMIF('Diags Raw Data'!$A$6:$A$3907,"*"&amp;$A21&amp;"*",'Diags Raw Data'!$AB$6:$AB$3907))</f>
        <v>0</v>
      </c>
      <c r="R21" s="485">
        <f t="shared" si="2"/>
        <v>0</v>
      </c>
      <c r="S21" s="485">
        <f t="shared" si="3"/>
        <v>0</v>
      </c>
      <c r="T21" s="486">
        <f t="shared" si="4"/>
        <v>0</v>
      </c>
      <c r="U21" s="530" t="s">
        <v>44</v>
      </c>
      <c r="V21" s="180" t="s">
        <v>1431</v>
      </c>
    </row>
    <row r="22" spans="1:22" x14ac:dyDescent="0.25">
      <c r="A22" s="524"/>
      <c r="B22" s="431"/>
      <c r="C22" s="432"/>
      <c r="D22" s="433"/>
      <c r="E22" s="324"/>
      <c r="F22" s="324"/>
      <c r="G22" s="324"/>
      <c r="H22" s="324"/>
      <c r="I22" s="432"/>
      <c r="J22" s="434"/>
      <c r="K22" s="478"/>
      <c r="L22" s="479"/>
      <c r="M22" s="480"/>
      <c r="N22" s="481"/>
      <c r="O22" s="482"/>
      <c r="P22" s="483"/>
      <c r="Q22" s="484"/>
      <c r="R22" s="485"/>
      <c r="S22" s="485"/>
      <c r="T22" s="486"/>
      <c r="U22" s="530"/>
      <c r="V22" s="180"/>
    </row>
    <row r="23" spans="1:22" ht="61.5" customHeight="1" x14ac:dyDescent="0.25">
      <c r="A23" s="524"/>
      <c r="B23" s="431"/>
      <c r="C23" s="432"/>
      <c r="D23" s="433"/>
      <c r="E23" s="324"/>
      <c r="F23" s="324"/>
      <c r="G23" s="324"/>
      <c r="H23" s="324"/>
      <c r="I23" s="432"/>
      <c r="J23" s="434"/>
      <c r="K23" s="478"/>
      <c r="L23" s="479"/>
      <c r="M23" s="480"/>
      <c r="N23" s="481"/>
      <c r="O23" s="482"/>
      <c r="P23" s="483"/>
      <c r="Q23" s="484"/>
      <c r="R23" s="485"/>
      <c r="S23" s="485"/>
      <c r="T23" s="486"/>
      <c r="U23" s="530"/>
      <c r="V23" s="180"/>
    </row>
    <row r="24" spans="1:22" ht="45" customHeight="1" x14ac:dyDescent="0.25">
      <c r="A24" s="524" t="s">
        <v>1127</v>
      </c>
      <c r="B24" s="431" t="str">
        <f>VLOOKUP(A24,'Feature Raw Data'!$A$3:$B$4204,2,FALSE)</f>
        <v>MMHUB:UTCL1 - TLBs</v>
      </c>
      <c r="C24" s="432" t="str">
        <f>VLOOKUP(A24,'Feature Raw Data'!$A$3:$C$4204,3,FALSE)</f>
        <v>P1</v>
      </c>
      <c r="D24" s="433" t="str" cm="1">
        <f t="array" ref="D24">_xlfn.TEXTJOIN("",TRUE,IF(ISNUMBER(SEARCH($A24,'Diags Raw Data'!$A$6:$A$3907)),CONCATENATE('Diags Raw Data'!$H$6:$H$3907,", "),""))</f>
        <v xml:space="preserve">mhub028.1,mhub028.2, mhub029.1,mhub029.2, mhub030.1-3, </v>
      </c>
      <c r="E24" s="324" t="e">
        <f>VLOOKUP(A24,'Diags Raw Data'!$A$6:$D$3907,4,FALSE)</f>
        <v>#N/A</v>
      </c>
      <c r="F24" s="324" t="str">
        <f>VLOOKUP(A24,'Feature Raw Data'!$A$3:$E$4204,5,FALSE)</f>
        <v>Legacy</v>
      </c>
      <c r="G24" s="324" t="str">
        <f t="shared" si="5"/>
        <v>Yes</v>
      </c>
      <c r="H24" s="324" t="str">
        <f t="shared" si="0"/>
        <v>Yes</v>
      </c>
      <c r="I24" s="432">
        <f>SUMIF('Diags Raw Data'!$A$6:$A$3907,"*"&amp;$A24&amp;"*",'Diags Raw Data'!$K$6:$K$3907)</f>
        <v>12</v>
      </c>
      <c r="J24" s="434">
        <f>SUMIF('Diags Raw Data'!$A$6:$A$3907,"*"&amp;$A24&amp;"*",'Diags Raw Data'!$L$6:$L$3907)</f>
        <v>7</v>
      </c>
      <c r="K24" s="478" t="e" cm="1">
        <f t="array" ref="K24">IF(D24="",0, SUMPRODUCT(--(ISNUMBER(SEARCH($A24,'Diags Raw Data'!$A$6:$A$3907))),'Diags Raw Data'!$L$6:$L$3907,'Diags Raw Data'!$N$6:$N$3910)/J24)</f>
        <v>#VALUE!</v>
      </c>
      <c r="L24" s="479" cm="1">
        <f t="array" ref="L24">IF(D24="",0, SUMPRODUCT(--(ISNUMBER(SEARCH($A24,'Diags Raw Data'!$A$6:$A$3907))),'Diags Raw Data'!$L$6:$L$3907,'Diags Raw Data'!$P$6:$P$3907)/J24)</f>
        <v>1</v>
      </c>
      <c r="M24" s="480" cm="1">
        <f t="array" ref="M24">SUMPRODUCT(--(ISNUMBER(SEARCH($A24,'Diags Raw Data'!$A$6:$A$3907))),--('Diags Raw Data'!$Q$6:$Q$3907&lt;&gt;"N/A"),'Diags Raw Data'!$R$6:$R$3907)</f>
        <v>7</v>
      </c>
      <c r="N24" s="481" cm="1">
        <f t="array" ref="N24">SUMPRODUCT(--(ISNUMBER(SEARCH($A24,'Diags Raw Data'!$A$6:$A$3907))),--('Diags Raw Data'!$Q$6:$Q$3907&lt;&gt;"N/A"),'Diags Raw Data'!$T$6:$T$3907)+SUMPRODUCT(--(ISNUMBER(SEARCH($A24,'Diags Raw Data'!$A$6:$A$3907))),--('Diags Raw Data'!$Q$6:$Q$3907&lt;&gt;"N/A"),'Diags Raw Data'!$U$6:$U$3907)</f>
        <v>7</v>
      </c>
      <c r="O24" s="482">
        <f t="shared" si="1"/>
        <v>1</v>
      </c>
      <c r="P24" s="483">
        <f>SUMIF('Diags Raw Data'!$A$6:$A$3907,"*"&amp;$A24&amp;"*",'Diags Raw Data'!$Z$6:$Z$3907)</f>
        <v>7</v>
      </c>
      <c r="Q24" s="484">
        <f>SUM(SUMIF('Diags Raw Data'!$A$6:$A$3907,"*"&amp;$A24&amp;"*",'Diags Raw Data'!$AA$6:$AA$3907),SUMIF('Diags Raw Data'!$A$6:$A$3907,"*"&amp;$A24&amp;"*",'Diags Raw Data'!$AB$6:$AB$3907))</f>
        <v>0</v>
      </c>
      <c r="R24" s="485">
        <f t="shared" si="2"/>
        <v>1</v>
      </c>
      <c r="S24" s="485">
        <f t="shared" si="3"/>
        <v>0</v>
      </c>
      <c r="T24" s="486">
        <f t="shared" si="4"/>
        <v>0</v>
      </c>
      <c r="U24" s="530" t="s">
        <v>1425</v>
      </c>
      <c r="V24" s="180"/>
    </row>
    <row r="25" spans="1:22" ht="30" x14ac:dyDescent="0.25">
      <c r="A25" s="524" t="s">
        <v>914</v>
      </c>
      <c r="B25" s="431" t="str">
        <f>VLOOKUP(A25,'Feature Raw Data'!$A$3:$B$4204,2,FALSE)</f>
        <v>MMHUB:UTCL1 - CPU Visible Frame-Buffer Surface Remapping</v>
      </c>
      <c r="C25" s="432" t="str">
        <f>VLOOKUP(A25,'Feature Raw Data'!$A$3:$C$4204,3,FALSE)</f>
        <v>P2</v>
      </c>
      <c r="D25" s="433" t="str" cm="1">
        <f t="array" ref="D25">_xlfn.TEXTJOIN("",TRUE,IF(ISNUMBER(SEARCH($A25,'Diags Raw Data'!$A$6:$A$3907)),CONCATENATE('Diags Raw Data'!$H$6:$H$3907,", "),""))</f>
        <v xml:space="preserve">mhub165.1-9, mhub999.277, </v>
      </c>
      <c r="E25" s="324" t="str">
        <f>VLOOKUP(A25,'Diags Raw Data'!$A$6:$D$3907,4,FALSE)</f>
        <v>MMHUB</v>
      </c>
      <c r="F25" s="324" t="str">
        <f>VLOOKUP(A25,'Feature Raw Data'!$A$3:$E$4204,5,FALSE)</f>
        <v>Legacy</v>
      </c>
      <c r="G25" s="324" t="str">
        <f t="shared" si="5"/>
        <v>Yes</v>
      </c>
      <c r="H25" s="324" t="str">
        <f t="shared" si="0"/>
        <v>Yes</v>
      </c>
      <c r="I25" s="432">
        <f>SUMIF('Diags Raw Data'!$A$6:$A$3907,"*"&amp;$A25&amp;"*",'Diags Raw Data'!$K$6:$K$3907)</f>
        <v>18</v>
      </c>
      <c r="J25" s="434">
        <f>SUMIF('Diags Raw Data'!$A$6:$A$3907,"*"&amp;$A25&amp;"*",'Diags Raw Data'!$L$6:$L$3907)</f>
        <v>10</v>
      </c>
      <c r="K25" s="478" t="e" cm="1">
        <f t="array" ref="K25">IF(D25="",0, SUMPRODUCT(--(ISNUMBER(SEARCH($A25,'Diags Raw Data'!$A$6:$A$3907))),'Diags Raw Data'!$L$6:$L$3907,'Diags Raw Data'!$N$6:$N$3910)/J25)</f>
        <v>#VALUE!</v>
      </c>
      <c r="L25" s="479" cm="1">
        <f t="array" ref="L25">IF(D25="",0, SUMPRODUCT(--(ISNUMBER(SEARCH($A25,'Diags Raw Data'!$A$6:$A$3907))),'Diags Raw Data'!$L$6:$L$3907,'Diags Raw Data'!$P$6:$P$3907)/J25)</f>
        <v>1</v>
      </c>
      <c r="M25" s="480" cm="1">
        <f t="array" ref="M25">SUMPRODUCT(--(ISNUMBER(SEARCH($A25,'Diags Raw Data'!$A$6:$A$3907))),--('Diags Raw Data'!$Q$6:$Q$3907&lt;&gt;"N/A"),'Diags Raw Data'!$R$6:$R$3907)</f>
        <v>10</v>
      </c>
      <c r="N25" s="481" cm="1">
        <f t="array" ref="N25">SUMPRODUCT(--(ISNUMBER(SEARCH($A25,'Diags Raw Data'!$A$6:$A$3907))),--('Diags Raw Data'!$Q$6:$Q$3907&lt;&gt;"N/A"),'Diags Raw Data'!$T$6:$T$3907)+SUMPRODUCT(--(ISNUMBER(SEARCH($A25,'Diags Raw Data'!$A$6:$A$3907))),--('Diags Raw Data'!$Q$6:$Q$3907&lt;&gt;"N/A"),'Diags Raw Data'!$U$6:$U$3907)</f>
        <v>10</v>
      </c>
      <c r="O25" s="482">
        <f t="shared" si="1"/>
        <v>1</v>
      </c>
      <c r="P25" s="483">
        <f>SUMIF('Diags Raw Data'!$A$6:$A$3907,"*"&amp;$A25&amp;"*",'Diags Raw Data'!$Z$6:$Z$3907)</f>
        <v>11</v>
      </c>
      <c r="Q25" s="484">
        <f>SUM(SUMIF('Diags Raw Data'!$A$6:$A$3907,"*"&amp;$A25&amp;"*",'Diags Raw Data'!$AA$6:$AA$3907),SUMIF('Diags Raw Data'!$A$6:$A$3907,"*"&amp;$A25&amp;"*",'Diags Raw Data'!$AB$6:$AB$3907))</f>
        <v>1</v>
      </c>
      <c r="R25" s="485">
        <f t="shared" si="2"/>
        <v>1.1000000000000001</v>
      </c>
      <c r="S25" s="485">
        <f t="shared" si="3"/>
        <v>9.0909090909090912E-2</v>
      </c>
      <c r="T25" s="486">
        <f t="shared" si="4"/>
        <v>0.1</v>
      </c>
      <c r="U25" s="530" t="s">
        <v>1425</v>
      </c>
      <c r="V25" s="180"/>
    </row>
    <row r="26" spans="1:22" x14ac:dyDescent="0.25">
      <c r="A26" s="524"/>
      <c r="B26" s="431"/>
      <c r="C26" s="432"/>
      <c r="D26" s="433"/>
      <c r="E26" s="324"/>
      <c r="F26" s="324"/>
      <c r="G26" s="324"/>
      <c r="H26" s="324"/>
      <c r="I26" s="432"/>
      <c r="J26" s="434"/>
      <c r="K26" s="478"/>
      <c r="L26" s="479"/>
      <c r="M26" s="480"/>
      <c r="N26" s="481"/>
      <c r="O26" s="482"/>
      <c r="P26" s="483"/>
      <c r="Q26" s="484"/>
      <c r="R26" s="485"/>
      <c r="S26" s="485"/>
      <c r="T26" s="486"/>
      <c r="U26" s="530"/>
      <c r="V26" s="180"/>
    </row>
    <row r="27" spans="1:22" ht="165" x14ac:dyDescent="0.25">
      <c r="A27" s="524" t="s">
        <v>1133</v>
      </c>
      <c r="B27" s="431" t="str">
        <f>VLOOKUP(A27,'Feature Raw Data'!$A$3:$B$4204,2,FALSE)</f>
        <v>MMHUB:UTCL1 - “GPU Snoop” aka ‘gcc’ support in GPUVM L1</v>
      </c>
      <c r="C27" s="432" t="str">
        <f>VLOOKUP(A27,'Feature Raw Data'!$A$3:$C$4204,3,FALSE)</f>
        <v>P2</v>
      </c>
      <c r="D27" s="433" t="str" cm="1">
        <f t="array" ref="D27">_xlfn.TEXTJOIN("",TRUE,IF(ISNUMBER(SEARCH($A27,'Diags Raw Data'!$A$6:$A$3907)),CONCATENATE('Diags Raw Data'!$H$6:$H$3907,", "),""))</f>
        <v xml:space="preserve">mhub408.101, mhub408.103, mhub408.105, mhub408.107, mhub408.151, mhub408.153, mhub408.155, mhub408.157, mhub408.161, mhub408.163, mhub408.165, mhub408.167, mhub408.171, mhub408.173, mhub408.175, mhub408.177, mhub408.81, mhub408.83, mhub408.85, mhub408.87, mhub408.91, mhub408.93, mhub408.95, mhub408.97, </v>
      </c>
      <c r="E27" s="324" t="e">
        <f>VLOOKUP(A27,'Diags Raw Data'!$A$6:$D$3907,4,FALSE)</f>
        <v>#N/A</v>
      </c>
      <c r="F27" s="324" t="str">
        <f>VLOOKUP(A27,'Feature Raw Data'!$A$3:$E$4204,5,FALSE)</f>
        <v>Delta</v>
      </c>
      <c r="G27" s="324" t="str">
        <f t="shared" si="5"/>
        <v>Yes</v>
      </c>
      <c r="H27" s="324" t="str">
        <f t="shared" si="0"/>
        <v>Yes</v>
      </c>
      <c r="I27" s="432">
        <f>SUMIF('Diags Raw Data'!$A$6:$A$3907,"*"&amp;$A27&amp;"*",'Diags Raw Data'!$K$6:$K$3907)</f>
        <v>27</v>
      </c>
      <c r="J27" s="434">
        <f>SUMIF('Diags Raw Data'!$A$6:$A$3907,"*"&amp;$A27&amp;"*",'Diags Raw Data'!$L$6:$L$3907)</f>
        <v>24</v>
      </c>
      <c r="K27" s="478" t="e" cm="1">
        <f t="array" ref="K27">IF(D27="",0, SUMPRODUCT(--(ISNUMBER(SEARCH($A27,'Diags Raw Data'!$A$6:$A$3907))),'Diags Raw Data'!$L$6:$L$3907,'Diags Raw Data'!$N$6:$N$3910)/J27)</f>
        <v>#VALUE!</v>
      </c>
      <c r="L27" s="479" cm="1">
        <f t="array" ref="L27">IF(D27="",0, SUMPRODUCT(--(ISNUMBER(SEARCH($A27,'Diags Raw Data'!$A$6:$A$3907))),'Diags Raw Data'!$L$6:$L$3907,'Diags Raw Data'!$P$6:$P$3907)/J27)</f>
        <v>1</v>
      </c>
      <c r="M27" s="480" cm="1">
        <f t="array" ref="M27">SUMPRODUCT(--(ISNUMBER(SEARCH($A27,'Diags Raw Data'!$A$6:$A$3907))),--('Diags Raw Data'!$Q$6:$Q$3907&lt;&gt;"N/A"),'Diags Raw Data'!$R$6:$R$3907)</f>
        <v>24</v>
      </c>
      <c r="N27" s="481" cm="1">
        <f t="array" ref="N27">SUMPRODUCT(--(ISNUMBER(SEARCH($A27,'Diags Raw Data'!$A$6:$A$3907))),--('Diags Raw Data'!$Q$6:$Q$3907&lt;&gt;"N/A"),'Diags Raw Data'!$T$6:$T$3907)+SUMPRODUCT(--(ISNUMBER(SEARCH($A27,'Diags Raw Data'!$A$6:$A$3907))),--('Diags Raw Data'!$Q$6:$Q$3907&lt;&gt;"N/A"),'Diags Raw Data'!$U$6:$U$3907)</f>
        <v>24</v>
      </c>
      <c r="O27" s="482">
        <f t="shared" si="1"/>
        <v>1</v>
      </c>
      <c r="P27" s="483">
        <f>SUMIF('Diags Raw Data'!$A$6:$A$3907,"*"&amp;$A27&amp;"*",'Diags Raw Data'!$Z$6:$Z$3907)</f>
        <v>24</v>
      </c>
      <c r="Q27" s="484">
        <f>SUM(SUMIF('Diags Raw Data'!$A$6:$A$3907,"*"&amp;$A27&amp;"*",'Diags Raw Data'!$AA$6:$AA$3907),SUMIF('Diags Raw Data'!$A$6:$A$3907,"*"&amp;$A27&amp;"*",'Diags Raw Data'!$AB$6:$AB$3907))</f>
        <v>0</v>
      </c>
      <c r="R27" s="485">
        <f t="shared" si="2"/>
        <v>1</v>
      </c>
      <c r="S27" s="485">
        <f t="shared" si="3"/>
        <v>0</v>
      </c>
      <c r="T27" s="486">
        <f t="shared" si="4"/>
        <v>0</v>
      </c>
      <c r="U27" s="530" t="s">
        <v>1425</v>
      </c>
      <c r="V27" s="180"/>
    </row>
    <row r="28" spans="1:22" x14ac:dyDescent="0.25">
      <c r="A28" s="524"/>
      <c r="B28" s="431"/>
      <c r="C28" s="432"/>
      <c r="D28" s="433"/>
      <c r="E28" s="324"/>
      <c r="F28" s="324"/>
      <c r="G28" s="324"/>
      <c r="H28" s="324"/>
      <c r="I28" s="432"/>
      <c r="J28" s="434"/>
      <c r="K28" s="478"/>
      <c r="L28" s="479"/>
      <c r="M28" s="480"/>
      <c r="N28" s="481"/>
      <c r="O28" s="482"/>
      <c r="P28" s="483"/>
      <c r="Q28" s="484"/>
      <c r="R28" s="485"/>
      <c r="S28" s="485"/>
      <c r="T28" s="486"/>
      <c r="U28" s="530"/>
      <c r="V28" s="180"/>
    </row>
    <row r="29" spans="1:22" ht="30" x14ac:dyDescent="0.25">
      <c r="A29" s="524" t="s">
        <v>1137</v>
      </c>
      <c r="B29" s="431" t="str">
        <f>VLOOKUP(A29,'Feature Raw Data'!$A$3:$B$4204,2,FALSE)</f>
        <v>MMHUB:UTCL1 - Support both GPUVM invalidate and ATC invalidate</v>
      </c>
      <c r="C29" s="432" t="str">
        <f>VLOOKUP(A29,'Feature Raw Data'!$A$3:$C$4204,3,FALSE)</f>
        <v>P2</v>
      </c>
      <c r="D29" s="433" t="str" cm="1">
        <f t="array" ref="D29">_xlfn.TEXTJOIN("",TRUE,IF(ISNUMBER(SEARCH($A29,'Diags Raw Data'!$A$6:$A$3907)),CONCATENATE('Diags Raw Data'!$H$6:$H$3907,", "),""))</f>
        <v xml:space="preserve">mhub055, </v>
      </c>
      <c r="E29" s="324" t="e">
        <f>VLOOKUP(A29,'Diags Raw Data'!$A$6:$D$3907,4,FALSE)</f>
        <v>#N/A</v>
      </c>
      <c r="F29" s="324" t="str">
        <f>VLOOKUP(A29,'Feature Raw Data'!$A$3:$E$4204,5,FALSE)</f>
        <v>Legacy</v>
      </c>
      <c r="G29" s="324" t="str">
        <f t="shared" si="5"/>
        <v>Yes</v>
      </c>
      <c r="H29" s="324" t="str">
        <f t="shared" si="0"/>
        <v>Yes</v>
      </c>
      <c r="I29" s="432">
        <f>SUMIF('Diags Raw Data'!$A$6:$A$3907,"*"&amp;$A29&amp;"*",'Diags Raw Data'!$K$6:$K$3907)</f>
        <v>4</v>
      </c>
      <c r="J29" s="434">
        <f>SUMIF('Diags Raw Data'!$A$6:$A$3907,"*"&amp;$A29&amp;"*",'Diags Raw Data'!$L$6:$L$3907)</f>
        <v>1</v>
      </c>
      <c r="K29" s="478" t="e" cm="1">
        <f t="array" ref="K29">IF(D29="",0, SUMPRODUCT(--(ISNUMBER(SEARCH($A29,'Diags Raw Data'!$A$6:$A$3907))),'Diags Raw Data'!$L$6:$L$3907,'Diags Raw Data'!$N$6:$N$3910)/J29)</f>
        <v>#VALUE!</v>
      </c>
      <c r="L29" s="479" cm="1">
        <f t="array" ref="L29">IF(D29="",0, SUMPRODUCT(--(ISNUMBER(SEARCH($A29,'Diags Raw Data'!$A$6:$A$3907))),'Diags Raw Data'!$L$6:$L$3907,'Diags Raw Data'!$P$6:$P$3907)/J29)</f>
        <v>1</v>
      </c>
      <c r="M29" s="480" cm="1">
        <f t="array" ref="M29">SUMPRODUCT(--(ISNUMBER(SEARCH($A29,'Diags Raw Data'!$A$6:$A$3907))),--('Diags Raw Data'!$Q$6:$Q$3907&lt;&gt;"N/A"),'Diags Raw Data'!$R$6:$R$3907)</f>
        <v>1</v>
      </c>
      <c r="N29" s="481" cm="1">
        <f t="array" ref="N29">SUMPRODUCT(--(ISNUMBER(SEARCH($A29,'Diags Raw Data'!$A$6:$A$3907))),--('Diags Raw Data'!$Q$6:$Q$3907&lt;&gt;"N/A"),'Diags Raw Data'!$T$6:$T$3907)+SUMPRODUCT(--(ISNUMBER(SEARCH($A29,'Diags Raw Data'!$A$6:$A$3907))),--('Diags Raw Data'!$Q$6:$Q$3907&lt;&gt;"N/A"),'Diags Raw Data'!$U$6:$U$3907)</f>
        <v>1</v>
      </c>
      <c r="O29" s="482">
        <f t="shared" si="1"/>
        <v>1</v>
      </c>
      <c r="P29" s="483">
        <f>SUMIF('Diags Raw Data'!$A$6:$A$3907,"*"&amp;$A29&amp;"*",'Diags Raw Data'!$Z$6:$Z$3907)</f>
        <v>1</v>
      </c>
      <c r="Q29" s="484">
        <f>SUM(SUMIF('Diags Raw Data'!$A$6:$A$3907,"*"&amp;$A29&amp;"*",'Diags Raw Data'!$AA$6:$AA$3907),SUMIF('Diags Raw Data'!$A$6:$A$3907,"*"&amp;$A29&amp;"*",'Diags Raw Data'!$AB$6:$AB$3907))</f>
        <v>0</v>
      </c>
      <c r="R29" s="485">
        <f t="shared" si="2"/>
        <v>1</v>
      </c>
      <c r="S29" s="485">
        <f t="shared" si="3"/>
        <v>0</v>
      </c>
      <c r="T29" s="486">
        <f t="shared" si="4"/>
        <v>0</v>
      </c>
      <c r="U29" s="530" t="s">
        <v>1425</v>
      </c>
      <c r="V29" s="180"/>
    </row>
    <row r="30" spans="1:22" ht="90" x14ac:dyDescent="0.25">
      <c r="A30" s="524" t="s">
        <v>986</v>
      </c>
      <c r="B30" s="431" t="str">
        <f>VLOOKUP(A30,'Feature Raw Data'!$A$3:$B$4204,2,FALSE)</f>
        <v>MMHUB:UTCL1 - Aperture Checks</v>
      </c>
      <c r="C30" s="432" t="str">
        <f>VLOOKUP(A30,'Feature Raw Data'!$A$3:$C$4204,3,FALSE)</f>
        <v>P1</v>
      </c>
      <c r="D30" s="433" t="str" cm="1">
        <f t="array" ref="D30">_xlfn.TEXTJOIN("",TRUE,IF(ISNUMBER(SEARCH($A30,'Diags Raw Data'!$A$6:$A$3907)),CONCATENATE('Diags Raw Data'!$H$6:$H$3907,", "),""))</f>
        <v xml:space="preserve">mhub001.1, mhub001.2, mhub001.3, mhub001.4, mhub001.5, mhub001.6, mhub001.7, mhub001.9, mhub002.1-15, mhub002.1-15, mhub002.16, mhub002.16, mhub002.17, mhub002.18, mhub164.1, mhub162.1,mhub162.2, </v>
      </c>
      <c r="E30" s="324" t="str">
        <f>VLOOKUP(A30,'Diags Raw Data'!$A$6:$D$3907,4,FALSE)</f>
        <v>MMHUB</v>
      </c>
      <c r="F30" s="324" t="str">
        <f>VLOOKUP(A30,'Feature Raw Data'!$A$3:$E$4204,5,FALSE)</f>
        <v>Delta</v>
      </c>
      <c r="G30" s="324" t="str">
        <f t="shared" si="5"/>
        <v>Yes</v>
      </c>
      <c r="H30" s="324" t="str">
        <f t="shared" si="0"/>
        <v>Yes</v>
      </c>
      <c r="I30" s="432">
        <f>SUMIF('Diags Raw Data'!$A$6:$A$3907,"*"&amp;$A30&amp;"*",'Diags Raw Data'!$K$6:$K$3907)</f>
        <v>35</v>
      </c>
      <c r="J30" s="434">
        <f>SUMIF('Diags Raw Data'!$A$6:$A$3907,"*"&amp;$A30&amp;"*",'Diags Raw Data'!$L$6:$L$3907)</f>
        <v>45</v>
      </c>
      <c r="K30" s="478" t="e" cm="1">
        <f t="array" ref="K30">IF(D30="",0, SUMPRODUCT(--(ISNUMBER(SEARCH($A30,'Diags Raw Data'!$A$6:$A$3907))),'Diags Raw Data'!$L$6:$L$3907,'Diags Raw Data'!$N$6:$N$3910)/J30)</f>
        <v>#VALUE!</v>
      </c>
      <c r="L30" s="479" cm="1">
        <f t="array" ref="L30">IF(D30="",0, SUMPRODUCT(--(ISNUMBER(SEARCH($A30,'Diags Raw Data'!$A$6:$A$3907))),'Diags Raw Data'!$L$6:$L$3907,'Diags Raw Data'!$P$6:$P$3907)/J30)</f>
        <v>1</v>
      </c>
      <c r="M30" s="480" cm="1">
        <f t="array" ref="M30">SUMPRODUCT(--(ISNUMBER(SEARCH($A30,'Diags Raw Data'!$A$6:$A$3907))),--('Diags Raw Data'!$Q$6:$Q$3907&lt;&gt;"N/A"),'Diags Raw Data'!$R$6:$R$3907)</f>
        <v>45</v>
      </c>
      <c r="N30" s="481" cm="1">
        <f t="array" ref="N30">SUMPRODUCT(--(ISNUMBER(SEARCH($A30,'Diags Raw Data'!$A$6:$A$3907))),--('Diags Raw Data'!$Q$6:$Q$3907&lt;&gt;"N/A"),'Diags Raw Data'!$T$6:$T$3907)+SUMPRODUCT(--(ISNUMBER(SEARCH($A30,'Diags Raw Data'!$A$6:$A$3907))),--('Diags Raw Data'!$Q$6:$Q$3907&lt;&gt;"N/A"),'Diags Raw Data'!$U$6:$U$3907)</f>
        <v>30</v>
      </c>
      <c r="O30" s="482">
        <f t="shared" si="1"/>
        <v>0.66666666666666663</v>
      </c>
      <c r="P30" s="483">
        <f>SUMIF('Diags Raw Data'!$A$6:$A$3907,"*"&amp;$A30&amp;"*",'Diags Raw Data'!$Z$6:$Z$3907)</f>
        <v>29</v>
      </c>
      <c r="Q30" s="484">
        <f>SUM(SUMIF('Diags Raw Data'!$A$6:$A$3907,"*"&amp;$A30&amp;"*",'Diags Raw Data'!$AA$6:$AA$3907),SUMIF('Diags Raw Data'!$A$6:$A$3907,"*"&amp;$A30&amp;"*",'Diags Raw Data'!$AB$6:$AB$3907))</f>
        <v>26</v>
      </c>
      <c r="R30" s="485">
        <f t="shared" si="2"/>
        <v>0.64444444444444449</v>
      </c>
      <c r="S30" s="485">
        <f t="shared" si="3"/>
        <v>0.89655172413793105</v>
      </c>
      <c r="T30" s="486">
        <f t="shared" si="4"/>
        <v>0.57777777777777783</v>
      </c>
      <c r="U30" s="530" t="s">
        <v>1423</v>
      </c>
      <c r="V30" s="180"/>
    </row>
    <row r="31" spans="1:22" ht="104.25" customHeight="1" x14ac:dyDescent="0.25">
      <c r="A31" s="524" t="s">
        <v>1138</v>
      </c>
      <c r="B31" s="431" t="str">
        <f>VLOOKUP(A31,'Feature Raw Data'!$A$3:$B$4204,2,FALSE)</f>
        <v>MMHUB:UTCL1 - CAM/TLB stores these translations:
GPUVA-&gt;SYSMEM_GPA
GPUVA-&gt;SYSMEM_SPA
GPUVA-&gt;FB_SPA
SYSMEM _GPA-&gt;SYSMEM_SPA (L2TLB only + ATC enabled)          
FB_GPA-&gt;FB_SPA (L2TLB, VFs only + FFBM) </v>
      </c>
      <c r="C31" s="432" t="str">
        <f>VLOOKUP(A31,'Feature Raw Data'!$A$3:$C$4204,3,FALSE)</f>
        <v>P2</v>
      </c>
      <c r="D31" s="433" t="str" cm="1">
        <f t="array" ref="D31">_xlfn.TEXTJOIN("",TRUE,IF(ISNUMBER(SEARCH($A31,'Diags Raw Data'!$A$6:$A$3907)),CONCATENATE('Diags Raw Data'!$H$6:$H$3907,", "),""))</f>
        <v xml:space="preserve">mhub028.1,mhub028.2, mhub029.1,mhub029.2, mhub030.1-3, </v>
      </c>
      <c r="E31" s="324" t="e">
        <f>VLOOKUP(A31,'Diags Raw Data'!$A$6:$D$3907,4,FALSE)</f>
        <v>#N/A</v>
      </c>
      <c r="F31" s="324" t="str">
        <f>VLOOKUP(A31,'Feature Raw Data'!$A$3:$E$4204,5,FALSE)</f>
        <v>Legacy</v>
      </c>
      <c r="G31" s="324" t="str">
        <f t="shared" si="5"/>
        <v>Yes</v>
      </c>
      <c r="H31" s="324" t="str">
        <f t="shared" si="0"/>
        <v>Yes</v>
      </c>
      <c r="I31" s="432">
        <f>SUMIF('Diags Raw Data'!$A$6:$A$3907,"*"&amp;$A31&amp;"*",'Diags Raw Data'!$K$6:$K$3907)</f>
        <v>12</v>
      </c>
      <c r="J31" s="434">
        <f>SUMIF('Diags Raw Data'!$A$6:$A$3907,"*"&amp;$A31&amp;"*",'Diags Raw Data'!$L$6:$L$3907)</f>
        <v>7</v>
      </c>
      <c r="K31" s="478" t="e" cm="1">
        <f t="array" ref="K31">IF(D31="",0, SUMPRODUCT(--(ISNUMBER(SEARCH($A31,'Diags Raw Data'!$A$6:$A$3907))),'Diags Raw Data'!$L$6:$L$3907,'Diags Raw Data'!$N$6:$N$3910)/J31)</f>
        <v>#VALUE!</v>
      </c>
      <c r="L31" s="479" cm="1">
        <f t="array" ref="L31">IF(D31="",0, SUMPRODUCT(--(ISNUMBER(SEARCH($A31,'Diags Raw Data'!$A$6:$A$3907))),'Diags Raw Data'!$L$6:$L$3907,'Diags Raw Data'!$P$6:$P$3907)/J31)</f>
        <v>1</v>
      </c>
      <c r="M31" s="480" cm="1">
        <f t="array" ref="M31">SUMPRODUCT(--(ISNUMBER(SEARCH($A31,'Diags Raw Data'!$A$6:$A$3907))),--('Diags Raw Data'!$Q$6:$Q$3907&lt;&gt;"N/A"),'Diags Raw Data'!$R$6:$R$3907)</f>
        <v>7</v>
      </c>
      <c r="N31" s="481" cm="1">
        <f t="array" ref="N31">SUMPRODUCT(--(ISNUMBER(SEARCH($A31,'Diags Raw Data'!$A$6:$A$3907))),--('Diags Raw Data'!$Q$6:$Q$3907&lt;&gt;"N/A"),'Diags Raw Data'!$T$6:$T$3907)+SUMPRODUCT(--(ISNUMBER(SEARCH($A31,'Diags Raw Data'!$A$6:$A$3907))),--('Diags Raw Data'!$Q$6:$Q$3907&lt;&gt;"N/A"),'Diags Raw Data'!$U$6:$U$3907)</f>
        <v>7</v>
      </c>
      <c r="O31" s="482">
        <f t="shared" si="1"/>
        <v>1</v>
      </c>
      <c r="P31" s="483">
        <f>SUMIF('Diags Raw Data'!$A$6:$A$3907,"*"&amp;$A31&amp;"*",'Diags Raw Data'!$Z$6:$Z$3907)</f>
        <v>7</v>
      </c>
      <c r="Q31" s="484">
        <f>SUM(SUMIF('Diags Raw Data'!$A$6:$A$3907,"*"&amp;$A31&amp;"*",'Diags Raw Data'!$AA$6:$AA$3907),SUMIF('Diags Raw Data'!$A$6:$A$3907,"*"&amp;$A31&amp;"*",'Diags Raw Data'!$AB$6:$AB$3907))</f>
        <v>0</v>
      </c>
      <c r="R31" s="485">
        <f t="shared" si="2"/>
        <v>1</v>
      </c>
      <c r="S31" s="485">
        <f t="shared" si="3"/>
        <v>0</v>
      </c>
      <c r="T31" s="486">
        <f>R31*S31</f>
        <v>0</v>
      </c>
      <c r="U31" s="530" t="s">
        <v>1425</v>
      </c>
      <c r="V31" s="180"/>
    </row>
    <row r="32" spans="1:22" x14ac:dyDescent="0.25">
      <c r="A32" s="524" t="s">
        <v>918</v>
      </c>
      <c r="B32" s="431" t="str">
        <f>VLOOKUP(A32,'Feature Raw Data'!$A$3:$B$4204,2,FALSE)</f>
        <v>MMHUB:MMUTCL2 - Sideband translation path</v>
      </c>
      <c r="C32" s="432" t="str">
        <f>VLOOKUP(A32,'Feature Raw Data'!$A$3:$C$4204,3,FALSE)</f>
        <v>P1</v>
      </c>
      <c r="D32" s="433" t="str" cm="1">
        <f t="array" ref="D32">_xlfn.TEXTJOIN("",TRUE,IF(ISNUMBER(SEARCH($A32,'Diags Raw Data'!$A$6:$A$3907)),CONCATENATE('Diags Raw Data'!$H$6:$H$3907,", "),""))</f>
        <v xml:space="preserve">mhub57.1, </v>
      </c>
      <c r="E32" s="324" t="str">
        <f>VLOOKUP(A32,'Diags Raw Data'!$A$6:$D$3907,4,FALSE)</f>
        <v>MMHUB</v>
      </c>
      <c r="F32" s="324" t="str">
        <f>VLOOKUP(A32,'Feature Raw Data'!$A$3:$E$4204,5,FALSE)</f>
        <v>Delta</v>
      </c>
      <c r="G32" s="324" t="str">
        <f t="shared" ref="G32" si="20">IF(D32="","No","Yes")</f>
        <v>Yes</v>
      </c>
      <c r="H32" s="324" t="str">
        <f t="shared" ref="H32" si="21">IF(D32="","No","Yes")</f>
        <v>Yes</v>
      </c>
      <c r="I32" s="432">
        <f>SUMIF('Diags Raw Data'!$A$6:$A$3907,"*"&amp;$A32&amp;"*",'Diags Raw Data'!$K$6:$K$3907)</f>
        <v>1</v>
      </c>
      <c r="J32" s="434">
        <f>SUMIF('Diags Raw Data'!$A$6:$A$3907,"*"&amp;$A32&amp;"*",'Diags Raw Data'!$L$6:$L$3907)</f>
        <v>1</v>
      </c>
      <c r="K32" s="478" t="e" cm="1">
        <f t="array" ref="K32">IF(D32="",0, SUMPRODUCT(--(ISNUMBER(SEARCH($A32,'Diags Raw Data'!$A$6:$A$3907))),'Diags Raw Data'!$L$6:$L$3907,'Diags Raw Data'!$N$6:$N$3910)/J32)</f>
        <v>#VALUE!</v>
      </c>
      <c r="L32" s="479" cm="1">
        <f t="array" ref="L32">IF(D32="",0, SUMPRODUCT(--(ISNUMBER(SEARCH($A32,'Diags Raw Data'!$A$6:$A$3907))),'Diags Raw Data'!$L$6:$L$3907,'Diags Raw Data'!$P$6:$P$3907)/J32)</f>
        <v>1</v>
      </c>
      <c r="M32" s="480" cm="1">
        <f t="array" ref="M32">SUMPRODUCT(--(ISNUMBER(SEARCH($A32,'Diags Raw Data'!$A$6:$A$3907))),--('Diags Raw Data'!$Q$6:$Q$3907&lt;&gt;"N/A"),'Diags Raw Data'!$R$6:$R$3907)</f>
        <v>1</v>
      </c>
      <c r="N32" s="481" cm="1">
        <f t="array" ref="N32">SUMPRODUCT(--(ISNUMBER(SEARCH($A32,'Diags Raw Data'!$A$6:$A$3907))),--('Diags Raw Data'!$Q$6:$Q$3907&lt;&gt;"N/A"),'Diags Raw Data'!$T$6:$T$3907)+SUMPRODUCT(--(ISNUMBER(SEARCH($A32,'Diags Raw Data'!$A$6:$A$3907))),--('Diags Raw Data'!$Q$6:$Q$3907&lt;&gt;"N/A"),'Diags Raw Data'!$U$6:$U$3907)</f>
        <v>1</v>
      </c>
      <c r="O32" s="482">
        <f t="shared" ref="O32" si="22">IF((M32=0),0,N32/M32)</f>
        <v>1</v>
      </c>
      <c r="P32" s="483">
        <f>SUMIF('Diags Raw Data'!$A$6:$A$3907,"*"&amp;$A32&amp;"*",'Diags Raw Data'!$Z$6:$Z$3907)</f>
        <v>1</v>
      </c>
      <c r="Q32" s="484">
        <f>SUM(SUMIF('Diags Raw Data'!$A$6:$A$3907,"*"&amp;$A32&amp;"*",'Diags Raw Data'!$AA$6:$AA$3907),SUMIF('Diags Raw Data'!$A$6:$A$3907,"*"&amp;$A32&amp;"*",'Diags Raw Data'!$AB$6:$AB$3907))</f>
        <v>1</v>
      </c>
      <c r="R32" s="485">
        <f t="shared" ref="R32" si="23">IF((J32=0),0,P32/J32)</f>
        <v>1</v>
      </c>
      <c r="S32" s="485">
        <f t="shared" ref="S32" si="24">IF((P32=0),0,Q32/P32)</f>
        <v>1</v>
      </c>
      <c r="T32" s="486">
        <f t="shared" ref="T32" si="25">R32*S32</f>
        <v>1</v>
      </c>
      <c r="U32" s="530" t="s">
        <v>1423</v>
      </c>
      <c r="V32" s="180"/>
    </row>
    <row r="33" spans="1:24" x14ac:dyDescent="0.25">
      <c r="A33" s="524"/>
      <c r="B33" s="431"/>
      <c r="C33" s="432"/>
      <c r="D33" s="433"/>
      <c r="E33" s="324"/>
      <c r="F33" s="324"/>
      <c r="G33" s="324"/>
      <c r="H33" s="324"/>
      <c r="I33" s="432"/>
      <c r="J33" s="434"/>
      <c r="K33" s="478"/>
      <c r="L33" s="479"/>
      <c r="M33" s="480"/>
      <c r="N33" s="481"/>
      <c r="O33" s="482"/>
      <c r="P33" s="483"/>
      <c r="Q33" s="484"/>
      <c r="R33" s="485"/>
      <c r="S33" s="485"/>
      <c r="T33" s="486"/>
      <c r="U33" s="530"/>
      <c r="V33" s="180"/>
    </row>
    <row r="34" spans="1:24" x14ac:dyDescent="0.25">
      <c r="A34" s="524"/>
      <c r="B34" s="431"/>
      <c r="C34" s="432"/>
      <c r="D34" s="433"/>
      <c r="E34" s="324"/>
      <c r="F34" s="324"/>
      <c r="G34" s="324"/>
      <c r="H34" s="324"/>
      <c r="I34" s="432"/>
      <c r="J34" s="434"/>
      <c r="K34" s="478"/>
      <c r="L34" s="479"/>
      <c r="M34" s="480"/>
      <c r="N34" s="481"/>
      <c r="O34" s="482"/>
      <c r="P34" s="483"/>
      <c r="Q34" s="484"/>
      <c r="R34" s="485"/>
      <c r="S34" s="485"/>
      <c r="T34" s="486"/>
      <c r="U34" s="530"/>
      <c r="V34" s="180"/>
    </row>
    <row r="35" spans="1:24" x14ac:dyDescent="0.25">
      <c r="A35" s="524"/>
      <c r="B35" s="431"/>
      <c r="C35" s="432"/>
      <c r="D35" s="433"/>
      <c r="E35" s="324"/>
      <c r="F35" s="324"/>
      <c r="G35" s="324"/>
      <c r="H35" s="324"/>
      <c r="I35" s="432"/>
      <c r="J35" s="434"/>
      <c r="K35" s="478"/>
      <c r="L35" s="479"/>
      <c r="M35" s="480"/>
      <c r="N35" s="481"/>
      <c r="O35" s="482"/>
      <c r="P35" s="483"/>
      <c r="Q35" s="484"/>
      <c r="R35" s="485"/>
      <c r="S35" s="485"/>
      <c r="T35" s="486"/>
      <c r="U35" s="530"/>
      <c r="V35" s="180"/>
    </row>
    <row r="36" spans="1:24" ht="71.25" customHeight="1" x14ac:dyDescent="0.25">
      <c r="A36" s="524" t="s">
        <v>442</v>
      </c>
      <c r="B36" s="431" t="str">
        <f>VLOOKUP(A36,'Feature Raw Data'!$A$3:$B$4204,2,FALSE)</f>
        <v>MMHUB:MMUTCL2:VML2 - Caches</v>
      </c>
      <c r="C36" s="432" t="str">
        <f>VLOOKUP(A36,'Feature Raw Data'!$A$3:$C$4204,3,FALSE)</f>
        <v>P1</v>
      </c>
      <c r="D36" s="433" t="str" cm="1">
        <f t="array" ref="D36">_xlfn.TEXTJOIN("",TRUE,IF(ISNUMBER(SEARCH($A36,'Diags Raw Data'!$A$6:$A$3907)),CONCATENATE('Diags Raw Data'!$H$6:$H$3907,", "),""))</f>
        <v xml:space="preserve">mhub031.1, mhub031.3-5, mhub031.2, mhub031.6-9, mhub033.1,mhub033.2,mhub033.3, mhub081.1,mhub081.2, mhub082, mhub083, mhub084.1,mhub084.2, mhub085, mhub086.1,mhub086.2, mhub089, mhub093.1, mhub094, </v>
      </c>
      <c r="E36" s="324" t="str">
        <f>VLOOKUP(A36,'Diags Raw Data'!$A$6:$D$3907,4,FALSE)</f>
        <v>MMHUB</v>
      </c>
      <c r="F36" s="324" t="str">
        <f>VLOOKUP(A36,'Feature Raw Data'!$A$3:$E$4204,5,FALSE)</f>
        <v>Legacy</v>
      </c>
      <c r="G36" s="324" t="str">
        <f t="shared" si="5"/>
        <v>Yes</v>
      </c>
      <c r="H36" s="324" t="str">
        <f t="shared" si="0"/>
        <v>Yes</v>
      </c>
      <c r="I36" s="432">
        <f>SUMIF('Diags Raw Data'!$A$6:$A$3907,"*"&amp;$A36&amp;"*",'Diags Raw Data'!$K$6:$K$3907)</f>
        <v>24</v>
      </c>
      <c r="J36" s="434">
        <f>SUMIF('Diags Raw Data'!$A$6:$A$3907,"*"&amp;$A36&amp;"*",'Diags Raw Data'!$L$6:$L$3907)</f>
        <v>24</v>
      </c>
      <c r="K36" s="478" t="e" cm="1">
        <f t="array" ref="K36">IF(D36="",0, SUMPRODUCT(--(ISNUMBER(SEARCH($A36,'Diags Raw Data'!$A$6:$A$3907))),'Diags Raw Data'!$L$6:$L$3907,'Diags Raw Data'!$N$6:$N$3910)/J36)</f>
        <v>#VALUE!</v>
      </c>
      <c r="L36" s="479" cm="1">
        <f t="array" ref="L36">IF(D36="",0, SUMPRODUCT(--(ISNUMBER(SEARCH($A36,'Diags Raw Data'!$A$6:$A$3907))),'Diags Raw Data'!$L$6:$L$3907,'Diags Raw Data'!$P$6:$P$3907)/J36)</f>
        <v>1</v>
      </c>
      <c r="M36" s="480" cm="1">
        <f t="array" ref="M36">SUMPRODUCT(--(ISNUMBER(SEARCH($A36,'Diags Raw Data'!$A$6:$A$3907))),--('Diags Raw Data'!$Q$6:$Q$3907&lt;&gt;"N/A"),'Diags Raw Data'!$R$6:$R$3907)</f>
        <v>24</v>
      </c>
      <c r="N36" s="481" cm="1">
        <f t="array" ref="N36">SUMPRODUCT(--(ISNUMBER(SEARCH($A36,'Diags Raw Data'!$A$6:$A$3907))),--('Diags Raw Data'!$Q$6:$Q$3907&lt;&gt;"N/A"),'Diags Raw Data'!$T$6:$T$3907)+SUMPRODUCT(--(ISNUMBER(SEARCH($A36,'Diags Raw Data'!$A$6:$A$3907))),--('Diags Raw Data'!$Q$6:$Q$3907&lt;&gt;"N/A"),'Diags Raw Data'!$U$6:$U$3907)</f>
        <v>24</v>
      </c>
      <c r="O36" s="482">
        <f t="shared" si="1"/>
        <v>1</v>
      </c>
      <c r="P36" s="483">
        <f>SUMIF('Diags Raw Data'!$A$6:$A$3907,"*"&amp;$A36&amp;"*",'Diags Raw Data'!$Z$6:$Z$3907)</f>
        <v>25</v>
      </c>
      <c r="Q36" s="484">
        <f>SUM(SUMIF('Diags Raw Data'!$A$6:$A$3907,"*"&amp;$A36&amp;"*",'Diags Raw Data'!$AA$6:$AA$3907),SUMIF('Diags Raw Data'!$A$6:$A$3907,"*"&amp;$A36&amp;"*",'Diags Raw Data'!$AB$6:$AB$3907))</f>
        <v>17</v>
      </c>
      <c r="R36" s="485">
        <f t="shared" si="2"/>
        <v>1.0416666666666667</v>
      </c>
      <c r="S36" s="485">
        <f t="shared" si="3"/>
        <v>0.68</v>
      </c>
      <c r="T36" s="486">
        <f t="shared" si="4"/>
        <v>0.70833333333333348</v>
      </c>
      <c r="U36" s="530" t="s">
        <v>1425</v>
      </c>
      <c r="V36" s="180"/>
    </row>
    <row r="37" spans="1:24" ht="30" x14ac:dyDescent="0.25">
      <c r="A37" s="524" t="s">
        <v>966</v>
      </c>
      <c r="B37" s="431" t="str">
        <f>VLOOKUP(A37,'Feature Raw Data'!$A$3:$B$4204,2,FALSE)</f>
        <v>MMHUB:MMUTCL2:VML2 - GPUVM fault status register</v>
      </c>
      <c r="C37" s="432" t="str">
        <f>VLOOKUP(A37,'Feature Raw Data'!$A$3:$C$4204,3,FALSE)</f>
        <v>P1</v>
      </c>
      <c r="D37" s="433" t="str" cm="1">
        <f t="array" ref="D37">_xlfn.TEXTJOIN("",TRUE,IF(ISNUMBER(SEARCH($A37,'Diags Raw Data'!$A$6:$A$3907)),CONCATENATE('Diags Raw Data'!$H$6:$H$3907,", "),""))</f>
        <v/>
      </c>
      <c r="E37" s="324" t="e">
        <f>VLOOKUP(A37,'Diags Raw Data'!$A$6:$D$3907,4,FALSE)</f>
        <v>#N/A</v>
      </c>
      <c r="F37" s="324" t="str">
        <f>VLOOKUP(A37,'Feature Raw Data'!$A$3:$E$4204,5,FALSE)</f>
        <v>Delta</v>
      </c>
      <c r="G37" s="324" t="str">
        <f t="shared" ref="G37" si="26">IF(D37="","No","Yes")</f>
        <v>No</v>
      </c>
      <c r="H37" s="324" t="str">
        <f t="shared" ref="H37" si="27">IF(D37="","No","Yes")</f>
        <v>No</v>
      </c>
      <c r="I37" s="432">
        <f>SUMIF('Diags Raw Data'!$A$6:$A$3907,"*"&amp;$A37&amp;"*",'Diags Raw Data'!$K$6:$K$3907)</f>
        <v>0</v>
      </c>
      <c r="J37" s="434">
        <f>SUMIF('Diags Raw Data'!$A$6:$A$3907,"*"&amp;$A37&amp;"*",'Diags Raw Data'!$L$6:$L$3907)</f>
        <v>0</v>
      </c>
      <c r="K37" s="478" cm="1">
        <f t="array" ref="K37">IF(D37="",0, SUMPRODUCT(--(ISNUMBER(SEARCH($A37,'Diags Raw Data'!$A$6:$A$3907))),'Diags Raw Data'!$L$6:$L$3907,'Diags Raw Data'!$N$6:$N$3910)/J37)</f>
        <v>0</v>
      </c>
      <c r="L37" s="479" cm="1">
        <f t="array" ref="L37">IF(D37="",0, SUMPRODUCT(--(ISNUMBER(SEARCH($A37,'Diags Raw Data'!$A$6:$A$3907))),'Diags Raw Data'!$L$6:$L$3907,'Diags Raw Data'!$P$6:$P$3907)/J37)</f>
        <v>0</v>
      </c>
      <c r="M37" s="480" cm="1">
        <f t="array" ref="M37">SUMPRODUCT(--(ISNUMBER(SEARCH($A37,'Diags Raw Data'!$A$6:$A$3907))),--('Diags Raw Data'!$Q$6:$Q$3907&lt;&gt;"N/A"),'Diags Raw Data'!$R$6:$R$3907)</f>
        <v>0</v>
      </c>
      <c r="N37" s="481" cm="1">
        <f t="array" ref="N37">SUMPRODUCT(--(ISNUMBER(SEARCH($A37,'Diags Raw Data'!$A$6:$A$3907))),--('Diags Raw Data'!$Q$6:$Q$3907&lt;&gt;"N/A"),'Diags Raw Data'!$T$6:$T$3907)+SUMPRODUCT(--(ISNUMBER(SEARCH($A37,'Diags Raw Data'!$A$6:$A$3907))),--('Diags Raw Data'!$Q$6:$Q$3907&lt;&gt;"N/A"),'Diags Raw Data'!$U$6:$U$3907)</f>
        <v>0</v>
      </c>
      <c r="O37" s="482">
        <f t="shared" ref="O37" si="28">IF((M37=0),0,N37/M37)</f>
        <v>0</v>
      </c>
      <c r="P37" s="483">
        <f>SUMIF('Diags Raw Data'!$A$6:$A$3907,"*"&amp;$A37&amp;"*",'Diags Raw Data'!$Z$6:$Z$3907)</f>
        <v>0</v>
      </c>
      <c r="Q37" s="484">
        <f>SUM(SUMIF('Diags Raw Data'!$A$6:$A$3907,"*"&amp;$A37&amp;"*",'Diags Raw Data'!$AA$6:$AA$3907),SUMIF('Diags Raw Data'!$A$6:$A$3907,"*"&amp;$A37&amp;"*",'Diags Raw Data'!$AB$6:$AB$3907))</f>
        <v>0</v>
      </c>
      <c r="R37" s="485">
        <f t="shared" ref="R37" si="29">IF((J37=0),0,P37/J37)</f>
        <v>0</v>
      </c>
      <c r="S37" s="485">
        <f t="shared" ref="S37" si="30">IF((P37=0),0,Q37/P37)</f>
        <v>0</v>
      </c>
      <c r="T37" s="486">
        <f t="shared" ref="T37" si="31">R37*S37</f>
        <v>0</v>
      </c>
      <c r="U37" s="530" t="s">
        <v>1423</v>
      </c>
      <c r="V37" s="180"/>
    </row>
    <row r="38" spans="1:24" ht="32.25" customHeight="1" x14ac:dyDescent="0.25">
      <c r="A38" s="524" t="s">
        <v>927</v>
      </c>
      <c r="B38" s="431" t="str">
        <f>VLOOKUP(A38,'Feature Raw Data'!$A$3:$B$4204,2,FALSE)</f>
        <v xml:space="preserve">MMHUB:MMUTCL2:VML2 - Common PSP-only default page </v>
      </c>
      <c r="C38" s="432" t="str">
        <f>VLOOKUP(A38,'Feature Raw Data'!$A$3:$C$4204,3,FALSE)</f>
        <v>P1</v>
      </c>
      <c r="D38" s="433" t="str" cm="1">
        <f t="array" ref="D38">_xlfn.TEXTJOIN("",TRUE,IF(ISNUMBER(SEARCH($A38,'Diags Raw Data'!$A$6:$A$3907)),CONCATENATE('Diags Raw Data'!$H$6:$H$3907,", "),""))</f>
        <v xml:space="preserve">mhub091.1-4, mhub091.5,mhub091.6, </v>
      </c>
      <c r="E38" s="324" t="str">
        <f>VLOOKUP(A38,'Diags Raw Data'!$A$6:$D$3907,4,FALSE)</f>
        <v>MMHUB</v>
      </c>
      <c r="F38" s="324" t="str">
        <f>VLOOKUP(A38,'Feature Raw Data'!$A$3:$E$4204,5,FALSE)</f>
        <v>Legacy</v>
      </c>
      <c r="G38" s="324" t="str">
        <f t="shared" si="5"/>
        <v>Yes</v>
      </c>
      <c r="H38" s="324" t="str">
        <f t="shared" si="0"/>
        <v>Yes</v>
      </c>
      <c r="I38" s="432">
        <f>SUMIF('Diags Raw Data'!$A$6:$A$3907,"*"&amp;$A38&amp;"*",'Diags Raw Data'!$K$6:$K$3907)</f>
        <v>12</v>
      </c>
      <c r="J38" s="434">
        <f>SUMIF('Diags Raw Data'!$A$6:$A$3907,"*"&amp;$A38&amp;"*",'Diags Raw Data'!$L$6:$L$3907)</f>
        <v>6</v>
      </c>
      <c r="K38" s="478" t="e" cm="1">
        <f t="array" ref="K38">IF(D38="",0, SUMPRODUCT(--(ISNUMBER(SEARCH($A38,'Diags Raw Data'!$A$6:$A$3907))),'Diags Raw Data'!$L$6:$L$3907,'Diags Raw Data'!$N$6:$N$3910)/J38)</f>
        <v>#VALUE!</v>
      </c>
      <c r="L38" s="479" cm="1">
        <f t="array" ref="L38">IF(D38="",0, SUMPRODUCT(--(ISNUMBER(SEARCH($A38,'Diags Raw Data'!$A$6:$A$3907))),'Diags Raw Data'!$L$6:$L$3907,'Diags Raw Data'!$P$6:$P$3907)/J38)</f>
        <v>1</v>
      </c>
      <c r="M38" s="480" cm="1">
        <f t="array" ref="M38">SUMPRODUCT(--(ISNUMBER(SEARCH($A38,'Diags Raw Data'!$A$6:$A$3907))),--('Diags Raw Data'!$Q$6:$Q$3907&lt;&gt;"N/A"),'Diags Raw Data'!$R$6:$R$3907)</f>
        <v>6</v>
      </c>
      <c r="N38" s="481" cm="1">
        <f t="array" ref="N38">SUMPRODUCT(--(ISNUMBER(SEARCH($A38,'Diags Raw Data'!$A$6:$A$3907))),--('Diags Raw Data'!$Q$6:$Q$3907&lt;&gt;"N/A"),'Diags Raw Data'!$T$6:$T$3907)+SUMPRODUCT(--(ISNUMBER(SEARCH($A38,'Diags Raw Data'!$A$6:$A$3907))),--('Diags Raw Data'!$Q$6:$Q$3907&lt;&gt;"N/A"),'Diags Raw Data'!$U$6:$U$3907)</f>
        <v>6</v>
      </c>
      <c r="O38" s="482">
        <f t="shared" si="1"/>
        <v>1</v>
      </c>
      <c r="P38" s="483">
        <f>SUMIF('Diags Raw Data'!$A$6:$A$3907,"*"&amp;$A38&amp;"*",'Diags Raw Data'!$Z$6:$Z$3907)</f>
        <v>6</v>
      </c>
      <c r="Q38" s="484">
        <f>SUM(SUMIF('Diags Raw Data'!$A$6:$A$3907,"*"&amp;$A38&amp;"*",'Diags Raw Data'!$AA$6:$AA$3907),SUMIF('Diags Raw Data'!$A$6:$A$3907,"*"&amp;$A38&amp;"*",'Diags Raw Data'!$AB$6:$AB$3907))</f>
        <v>0</v>
      </c>
      <c r="R38" s="485">
        <f t="shared" si="2"/>
        <v>1</v>
      </c>
      <c r="S38" s="485">
        <f t="shared" si="3"/>
        <v>0</v>
      </c>
      <c r="T38" s="486">
        <f t="shared" si="4"/>
        <v>0</v>
      </c>
      <c r="U38" s="530" t="s">
        <v>1425</v>
      </c>
      <c r="V38" s="180"/>
    </row>
    <row r="39" spans="1:24" x14ac:dyDescent="0.25">
      <c r="A39" s="524" t="s">
        <v>1144</v>
      </c>
      <c r="B39" s="431" t="str">
        <f>VLOOKUP(A39,'Feature Raw Data'!$A$3:$B$4204,2,FALSE)</f>
        <v xml:space="preserve">MMHUB:MMUTCL2:VML2 - DWB Scatter/Gather </v>
      </c>
      <c r="C39" s="432" t="str">
        <f>VLOOKUP(A39,'Feature Raw Data'!$A$3:$C$4204,3,FALSE)</f>
        <v>P2</v>
      </c>
      <c r="D39" s="433" t="str" cm="1">
        <f t="array" ref="D39">_xlfn.TEXTJOIN("",TRUE,IF(ISNUMBER(SEARCH($A39,'Diags Raw Data'!$A$6:$A$3907)),CONCATENATE('Diags Raw Data'!$H$6:$H$3907,", "),""))</f>
        <v/>
      </c>
      <c r="E39" s="324" t="e">
        <f>VLOOKUP(A39,'Diags Raw Data'!$A$6:$D$3907,4,FALSE)</f>
        <v>#N/A</v>
      </c>
      <c r="F39" s="324" t="str">
        <f>VLOOKUP(A39,'Feature Raw Data'!$A$3:$E$4204,5,FALSE)</f>
        <v>Legacy</v>
      </c>
      <c r="G39" s="324" t="str">
        <f t="shared" ref="G39" si="32">IF(D39="","No","Yes")</f>
        <v>No</v>
      </c>
      <c r="H39" s="324" t="str">
        <f t="shared" ref="H39" si="33">IF(D39="","No","Yes")</f>
        <v>No</v>
      </c>
      <c r="I39" s="432">
        <f>SUMIF('Diags Raw Data'!$A$6:$A$3907,"*"&amp;$A39&amp;"*",'Diags Raw Data'!$K$6:$K$3907)</f>
        <v>0</v>
      </c>
      <c r="J39" s="434">
        <f>SUMIF('Diags Raw Data'!$A$6:$A$3907,"*"&amp;$A39&amp;"*",'Diags Raw Data'!$L$6:$L$3907)</f>
        <v>0</v>
      </c>
      <c r="K39" s="478" cm="1">
        <f t="array" ref="K39">IF(D39="",0, SUMPRODUCT(--(ISNUMBER(SEARCH($A39,'Diags Raw Data'!$A$6:$A$3907))),'Diags Raw Data'!$L$6:$L$3907,'Diags Raw Data'!$N$6:$N$3910)/J39)</f>
        <v>0</v>
      </c>
      <c r="L39" s="479" cm="1">
        <f t="array" ref="L39">IF(D39="",0, SUMPRODUCT(--(ISNUMBER(SEARCH($A39,'Diags Raw Data'!$A$6:$A$3907))),'Diags Raw Data'!$L$6:$L$3907,'Diags Raw Data'!$P$6:$P$3907)/J39)</f>
        <v>0</v>
      </c>
      <c r="M39" s="480" cm="1">
        <f t="array" ref="M39">SUMPRODUCT(--(ISNUMBER(SEARCH($A39,'Diags Raw Data'!$A$6:$A$3907))),--('Diags Raw Data'!$Q$6:$Q$3907&lt;&gt;"N/A"),'Diags Raw Data'!$R$6:$R$3907)</f>
        <v>0</v>
      </c>
      <c r="N39" s="481" cm="1">
        <f t="array" ref="N39">SUMPRODUCT(--(ISNUMBER(SEARCH($A39,'Diags Raw Data'!$A$6:$A$3907))),--('Diags Raw Data'!$Q$6:$Q$3907&lt;&gt;"N/A"),'Diags Raw Data'!$T$6:$T$3907)+SUMPRODUCT(--(ISNUMBER(SEARCH($A39,'Diags Raw Data'!$A$6:$A$3907))),--('Diags Raw Data'!$Q$6:$Q$3907&lt;&gt;"N/A"),'Diags Raw Data'!$U$6:$U$3907)</f>
        <v>0</v>
      </c>
      <c r="O39" s="482">
        <f t="shared" ref="O39" si="34">IF((M39=0),0,N39/M39)</f>
        <v>0</v>
      </c>
      <c r="P39" s="483">
        <f>SUMIF('Diags Raw Data'!$A$6:$A$3907,"*"&amp;$A39&amp;"*",'Diags Raw Data'!$Z$6:$Z$3907)</f>
        <v>0</v>
      </c>
      <c r="Q39" s="484">
        <f>SUM(SUMIF('Diags Raw Data'!$A$6:$A$3907,"*"&amp;$A39&amp;"*",'Diags Raw Data'!$AA$6:$AA$3907),SUMIF('Diags Raw Data'!$A$6:$A$3907,"*"&amp;$A39&amp;"*",'Diags Raw Data'!$AB$6:$AB$3907))</f>
        <v>0</v>
      </c>
      <c r="R39" s="485">
        <f t="shared" ref="R39" si="35">IF((J39=0),0,P39/J39)</f>
        <v>0</v>
      </c>
      <c r="S39" s="485">
        <f t="shared" ref="S39" si="36">IF((P39=0),0,Q39/P39)</f>
        <v>0</v>
      </c>
      <c r="T39" s="486">
        <f t="shared" ref="T39" si="37">R39*S39</f>
        <v>0</v>
      </c>
      <c r="U39" s="530" t="s">
        <v>1432</v>
      </c>
      <c r="V39" s="180"/>
    </row>
    <row r="40" spans="1:24" ht="45" x14ac:dyDescent="0.25">
      <c r="A40" s="524" t="s">
        <v>1146</v>
      </c>
      <c r="B40" s="431" t="str">
        <f>VLOOKUP(A40,'Feature Raw Data'!$A$3:$B$4204,2,FALSE)</f>
        <v>MMHUB:MMUTCL2:VML2 - Reserved Caches</v>
      </c>
      <c r="C40" s="432" t="str">
        <f>VLOOKUP(A40,'Feature Raw Data'!$A$3:$C$4204,3,FALSE)</f>
        <v>P1</v>
      </c>
      <c r="D40" s="433" t="str" cm="1">
        <f t="array" ref="D40">_xlfn.TEXTJOIN("",TRUE,IF(ISNUMBER(SEARCH($A40,'Diags Raw Data'!$A$6:$A$3907)),CONCATENATE('Diags Raw Data'!$H$6:$H$3907,", "),""))</f>
        <v xml:space="preserve">mhub165.1-9, </v>
      </c>
      <c r="E40" s="324" t="e">
        <f>VLOOKUP(A40,'Diags Raw Data'!$A$6:$D$3907,4,FALSE)</f>
        <v>#N/A</v>
      </c>
      <c r="F40" s="324" t="str">
        <f>VLOOKUP(A40,'Feature Raw Data'!$A$3:$E$4204,5,FALSE)</f>
        <v>Legacy</v>
      </c>
      <c r="G40" s="324" t="str">
        <f t="shared" si="5"/>
        <v>Yes</v>
      </c>
      <c r="H40" s="324" t="str">
        <f t="shared" si="0"/>
        <v>Yes</v>
      </c>
      <c r="I40" s="432">
        <f>SUMIF('Diags Raw Data'!$A$6:$A$3907,"*"&amp;$A40&amp;"*",'Diags Raw Data'!$K$6:$K$3907)</f>
        <v>16</v>
      </c>
      <c r="J40" s="434">
        <f>SUMIF('Diags Raw Data'!$A$6:$A$3907,"*"&amp;$A40&amp;"*",'Diags Raw Data'!$L$6:$L$3907)</f>
        <v>9</v>
      </c>
      <c r="K40" s="478" t="e" cm="1">
        <f t="array" ref="K40">IF(D40="",0, SUMPRODUCT(--(ISNUMBER(SEARCH($A40,'Diags Raw Data'!$A$6:$A$3907))),'Diags Raw Data'!$L$6:$L$3907,'Diags Raw Data'!$N$6:$N$3910)/J40)</f>
        <v>#VALUE!</v>
      </c>
      <c r="L40" s="479" cm="1">
        <f t="array" ref="L40">IF(D40="",0, SUMPRODUCT(--(ISNUMBER(SEARCH($A40,'Diags Raw Data'!$A$6:$A$3907))),'Diags Raw Data'!$L$6:$L$3907,'Diags Raw Data'!$P$6:$P$3907)/J40)</f>
        <v>1</v>
      </c>
      <c r="M40" s="480" cm="1">
        <f t="array" ref="M40">SUMPRODUCT(--(ISNUMBER(SEARCH($A40,'Diags Raw Data'!$A$6:$A$3907))),--('Diags Raw Data'!$Q$6:$Q$3907&lt;&gt;"N/A"),'Diags Raw Data'!$R$6:$R$3907)</f>
        <v>9</v>
      </c>
      <c r="N40" s="481" cm="1">
        <f t="array" ref="N40">SUMPRODUCT(--(ISNUMBER(SEARCH($A40,'Diags Raw Data'!$A$6:$A$3907))),--('Diags Raw Data'!$Q$6:$Q$3907&lt;&gt;"N/A"),'Diags Raw Data'!$T$6:$T$3907)+SUMPRODUCT(--(ISNUMBER(SEARCH($A40,'Diags Raw Data'!$A$6:$A$3907))),--('Diags Raw Data'!$Q$6:$Q$3907&lt;&gt;"N/A"),'Diags Raw Data'!$U$6:$U$3907)</f>
        <v>9</v>
      </c>
      <c r="O40" s="482">
        <f t="shared" si="1"/>
        <v>1</v>
      </c>
      <c r="P40" s="483">
        <f>SUMIF('Diags Raw Data'!$A$6:$A$3907,"*"&amp;$A40&amp;"*",'Diags Raw Data'!$Z$6:$Z$3907)</f>
        <v>10</v>
      </c>
      <c r="Q40" s="484">
        <f>SUM(SUMIF('Diags Raw Data'!$A$6:$A$3907,"*"&amp;$A40&amp;"*",'Diags Raw Data'!$AA$6:$AA$3907),SUMIF('Diags Raw Data'!$A$6:$A$3907,"*"&amp;$A40&amp;"*",'Diags Raw Data'!$AB$6:$AB$3907))</f>
        <v>0</v>
      </c>
      <c r="R40" s="485">
        <f t="shared" si="2"/>
        <v>1.1111111111111112</v>
      </c>
      <c r="S40" s="485">
        <f t="shared" si="3"/>
        <v>0</v>
      </c>
      <c r="T40" s="486">
        <f t="shared" si="4"/>
        <v>0</v>
      </c>
      <c r="U40" s="530" t="s">
        <v>1425</v>
      </c>
      <c r="V40" s="180"/>
      <c r="X40" s="181" t="s">
        <v>1148</v>
      </c>
    </row>
    <row r="41" spans="1:24" ht="45" x14ac:dyDescent="0.25">
      <c r="A41" s="524" t="s">
        <v>793</v>
      </c>
      <c r="B41" s="431" t="str">
        <f>VLOOKUP(A41,'Feature Raw Data'!$A$3:$B$4204,2,FALSE)</f>
        <v>MMHUB:MMUTCL2:VML2 - GPUVA,VMID translation assist</v>
      </c>
      <c r="C41" s="432" t="str">
        <f>VLOOKUP(A41,'Feature Raw Data'!$A$3:$C$4204,3,FALSE)</f>
        <v>P2</v>
      </c>
      <c r="D41" s="433" t="str" cm="1">
        <f t="array" ref="D41">_xlfn.TEXTJOIN("",TRUE,IF(ISNUMBER(SEARCH($A41,'Diags Raw Data'!$A$6:$A$3907)),CONCATENATE('Diags Raw Data'!$H$6:$H$3907,", "),""))</f>
        <v xml:space="preserve">mhub060.1-32, mhub060.61-64, mhub060.80, mhub060.81, mhub060.82, mhub060.83, mhub060.86, mhub060.87, </v>
      </c>
      <c r="E41" s="324" t="str">
        <f>VLOOKUP(A41,'Diags Raw Data'!$A$6:$D$3907,4,FALSE)</f>
        <v>MMHUB</v>
      </c>
      <c r="F41" s="324" t="str">
        <f>VLOOKUP(A41,'Feature Raw Data'!$A$3:$E$4204,5,FALSE)</f>
        <v>Legacy</v>
      </c>
      <c r="G41" s="324" t="str">
        <f t="shared" si="5"/>
        <v>Yes</v>
      </c>
      <c r="H41" s="324" t="str">
        <f t="shared" si="0"/>
        <v>Yes</v>
      </c>
      <c r="I41" s="432">
        <f>SUMIF('Diags Raw Data'!$A$6:$A$3907,"*"&amp;$A41&amp;"*",'Diags Raw Data'!$K$6:$K$3907)</f>
        <v>8</v>
      </c>
      <c r="J41" s="434">
        <f>SUMIF('Diags Raw Data'!$A$6:$A$3907,"*"&amp;$A41&amp;"*",'Diags Raw Data'!$L$6:$L$3907)</f>
        <v>42</v>
      </c>
      <c r="K41" s="478" t="e" cm="1">
        <f t="array" ref="K41">IF(D41="",0, SUMPRODUCT(--(ISNUMBER(SEARCH($A41,'Diags Raw Data'!$A$6:$A$3907))),'Diags Raw Data'!$L$6:$L$3907,'Diags Raw Data'!$N$6:$N$3910)/J41)</f>
        <v>#VALUE!</v>
      </c>
      <c r="L41" s="479" cm="1">
        <f t="array" ref="L41">IF(D41="",0, SUMPRODUCT(--(ISNUMBER(SEARCH($A41,'Diags Raw Data'!$A$6:$A$3907))),'Diags Raw Data'!$L$6:$L$3907,'Diags Raw Data'!$P$6:$P$3907)/J41)</f>
        <v>1</v>
      </c>
      <c r="M41" s="480" cm="1">
        <f t="array" ref="M41">SUMPRODUCT(--(ISNUMBER(SEARCH($A41,'Diags Raw Data'!$A$6:$A$3907))),--('Diags Raw Data'!$Q$6:$Q$3907&lt;&gt;"N/A"),'Diags Raw Data'!$R$6:$R$3907)</f>
        <v>42</v>
      </c>
      <c r="N41" s="481" cm="1">
        <f t="array" ref="N41">SUMPRODUCT(--(ISNUMBER(SEARCH($A41,'Diags Raw Data'!$A$6:$A$3907))),--('Diags Raw Data'!$Q$6:$Q$3907&lt;&gt;"N/A"),'Diags Raw Data'!$T$6:$T$3907)+SUMPRODUCT(--(ISNUMBER(SEARCH($A41,'Diags Raw Data'!$A$6:$A$3907))),--('Diags Raw Data'!$Q$6:$Q$3907&lt;&gt;"N/A"),'Diags Raw Data'!$U$6:$U$3907)</f>
        <v>42</v>
      </c>
      <c r="O41" s="482">
        <f t="shared" si="1"/>
        <v>1</v>
      </c>
      <c r="P41" s="483">
        <f>SUMIF('Diags Raw Data'!$A$6:$A$3907,"*"&amp;$A41&amp;"*",'Diags Raw Data'!$Z$6:$Z$3907)</f>
        <v>42</v>
      </c>
      <c r="Q41" s="484">
        <f>SUM(SUMIF('Diags Raw Data'!$A$6:$A$3907,"*"&amp;$A41&amp;"*",'Diags Raw Data'!$AA$6:$AA$3907),SUMIF('Diags Raw Data'!$A$6:$A$3907,"*"&amp;$A41&amp;"*",'Diags Raw Data'!$AB$6:$AB$3907))</f>
        <v>42</v>
      </c>
      <c r="R41" s="485">
        <f t="shared" si="2"/>
        <v>1</v>
      </c>
      <c r="S41" s="485">
        <f t="shared" si="3"/>
        <v>1</v>
      </c>
      <c r="T41" s="486">
        <f t="shared" si="4"/>
        <v>1</v>
      </c>
      <c r="U41" s="530" t="s">
        <v>1425</v>
      </c>
      <c r="V41" s="180"/>
    </row>
    <row r="42" spans="1:24" s="185" customFormat="1" x14ac:dyDescent="0.25">
      <c r="A42" s="524"/>
      <c r="B42" s="431"/>
      <c r="C42" s="432"/>
      <c r="D42" s="433"/>
      <c r="E42" s="324"/>
      <c r="F42" s="324"/>
      <c r="G42" s="324"/>
      <c r="H42" s="324"/>
      <c r="I42" s="432"/>
      <c r="J42" s="434"/>
      <c r="K42" s="478"/>
      <c r="L42" s="479"/>
      <c r="M42" s="480"/>
      <c r="N42" s="481"/>
      <c r="O42" s="482"/>
      <c r="P42" s="483"/>
      <c r="Q42" s="484"/>
      <c r="R42" s="485"/>
      <c r="S42" s="485"/>
      <c r="T42" s="486"/>
      <c r="U42" s="530"/>
      <c r="V42" s="184"/>
    </row>
    <row r="43" spans="1:24" x14ac:dyDescent="0.25">
      <c r="A43" s="524"/>
      <c r="B43" s="431"/>
      <c r="C43" s="432"/>
      <c r="D43" s="433"/>
      <c r="E43" s="324"/>
      <c r="F43" s="324"/>
      <c r="G43" s="324"/>
      <c r="H43" s="324"/>
      <c r="I43" s="432"/>
      <c r="J43" s="434"/>
      <c r="K43" s="478"/>
      <c r="L43" s="479"/>
      <c r="M43" s="480"/>
      <c r="N43" s="481"/>
      <c r="O43" s="482"/>
      <c r="P43" s="483"/>
      <c r="Q43" s="484"/>
      <c r="R43" s="485"/>
      <c r="S43" s="485"/>
      <c r="T43" s="486"/>
      <c r="U43" s="530"/>
      <c r="V43" s="180"/>
    </row>
    <row r="44" spans="1:24" x14ac:dyDescent="0.25">
      <c r="A44" s="524" t="s">
        <v>934</v>
      </c>
      <c r="B44" s="431" t="str">
        <f>VLOOKUP(A44,'Feature Raw Data'!$A$3:$B$4204,2,FALSE)</f>
        <v>MMHUB:MMUTCL2:VML2 - GPA Mode</v>
      </c>
      <c r="C44" s="432" t="str">
        <f>VLOOKUP(A44,'Feature Raw Data'!$A$3:$C$4204,3,FALSE)</f>
        <v>P2</v>
      </c>
      <c r="D44" s="433" t="str" cm="1">
        <f t="array" ref="D44">_xlfn.TEXTJOIN("",TRUE,IF(ISNUMBER(SEARCH($A44,'Diags Raw Data'!$A$6:$A$3907)),CONCATENATE('Diags Raw Data'!$H$6:$H$3907,", "),""))</f>
        <v/>
      </c>
      <c r="E44" s="324" t="e">
        <f>VLOOKUP(A44,'Diags Raw Data'!$A$6:$D$3907,4,FALSE)</f>
        <v>#N/A</v>
      </c>
      <c r="F44" s="324" t="str">
        <f>VLOOKUP(A44,'Feature Raw Data'!$A$3:$E$4204,5,FALSE)</f>
        <v>Legacy</v>
      </c>
      <c r="G44" s="324" t="str">
        <f t="shared" ref="G44" si="38">IF(D44="","No","Yes")</f>
        <v>No</v>
      </c>
      <c r="H44" s="324" t="str">
        <f t="shared" ref="H44" si="39">IF(D44="","No","Yes")</f>
        <v>No</v>
      </c>
      <c r="I44" s="432">
        <f>SUMIF('Diags Raw Data'!$A$6:$A$3907,"*"&amp;$A44&amp;"*",'Diags Raw Data'!$K$6:$K$3907)</f>
        <v>0</v>
      </c>
      <c r="J44" s="434">
        <f>SUMIF('Diags Raw Data'!$A$6:$A$3907,"*"&amp;$A44&amp;"*",'Diags Raw Data'!$L$6:$L$3907)</f>
        <v>0</v>
      </c>
      <c r="K44" s="478" cm="1">
        <f t="array" ref="K44">IF(D44="",0, SUMPRODUCT(--(ISNUMBER(SEARCH($A44,'Diags Raw Data'!$A$6:$A$3907))),'Diags Raw Data'!$L$6:$L$3907,'Diags Raw Data'!$N$6:$N$3910)/J44)</f>
        <v>0</v>
      </c>
      <c r="L44" s="479" cm="1">
        <f t="array" ref="L44">IF(D44="",0, SUMPRODUCT(--(ISNUMBER(SEARCH($A44,'Diags Raw Data'!$A$6:$A$3907))),'Diags Raw Data'!$L$6:$L$3907,'Diags Raw Data'!$P$6:$P$3907)/J44)</f>
        <v>0</v>
      </c>
      <c r="M44" s="480" cm="1">
        <f t="array" ref="M44">SUMPRODUCT(--(ISNUMBER(SEARCH($A44,'Diags Raw Data'!$A$6:$A$3907))),--('Diags Raw Data'!$Q$6:$Q$3907&lt;&gt;"N/A"),'Diags Raw Data'!$R$6:$R$3907)</f>
        <v>0</v>
      </c>
      <c r="N44" s="481" cm="1">
        <f t="array" ref="N44">SUMPRODUCT(--(ISNUMBER(SEARCH($A44,'Diags Raw Data'!$A$6:$A$3907))),--('Diags Raw Data'!$Q$6:$Q$3907&lt;&gt;"N/A"),'Diags Raw Data'!$T$6:$T$3907)+SUMPRODUCT(--(ISNUMBER(SEARCH($A44,'Diags Raw Data'!$A$6:$A$3907))),--('Diags Raw Data'!$Q$6:$Q$3907&lt;&gt;"N/A"),'Diags Raw Data'!$U$6:$U$3907)</f>
        <v>0</v>
      </c>
      <c r="O44" s="482">
        <f t="shared" ref="O44" si="40">IF((M44=0),0,N44/M44)</f>
        <v>0</v>
      </c>
      <c r="P44" s="483">
        <f>SUMIF('Diags Raw Data'!$A$6:$A$3907,"*"&amp;$A44&amp;"*",'Diags Raw Data'!$Z$6:$Z$3907)</f>
        <v>0</v>
      </c>
      <c r="Q44" s="484">
        <f>SUM(SUMIF('Diags Raw Data'!$A$6:$A$3907,"*"&amp;$A44&amp;"*",'Diags Raw Data'!$AA$6:$AA$3907),SUMIF('Diags Raw Data'!$A$6:$A$3907,"*"&amp;$A44&amp;"*",'Diags Raw Data'!$AB$6:$AB$3907))</f>
        <v>0</v>
      </c>
      <c r="R44" s="485">
        <f t="shared" ref="R44" si="41">IF((J44=0),0,P44/J44)</f>
        <v>0</v>
      </c>
      <c r="S44" s="485">
        <f t="shared" ref="S44" si="42">IF((P44=0),0,Q44/P44)</f>
        <v>0</v>
      </c>
      <c r="T44" s="486">
        <f t="shared" ref="T44" si="43">R44*S44</f>
        <v>0</v>
      </c>
      <c r="U44" s="530" t="s">
        <v>1425</v>
      </c>
      <c r="V44" s="180"/>
    </row>
    <row r="45" spans="1:24" ht="90" x14ac:dyDescent="0.25">
      <c r="A45" s="524" t="s">
        <v>412</v>
      </c>
      <c r="B45" s="431" t="str">
        <f>VLOOKUP(A45,'Feature Raw Data'!$A$3:$B$4204,2,FALSE)</f>
        <v>MMHUB:MMUTCL2:VML2 - MMHUB Programmable SmallK</v>
      </c>
      <c r="C45" s="432" t="str">
        <f>VLOOKUP(A45,'Feature Raw Data'!$A$3:$C$4204,3,FALSE)</f>
        <v>P2</v>
      </c>
      <c r="D45" s="433" t="str" cm="1">
        <f t="array" ref="D45">_xlfn.TEXTJOIN("",TRUE,IF(ISNUMBER(SEARCH($A45,'Diags Raw Data'!$A$6:$A$3907)),CONCATENATE('Diags Raw Data'!$H$6:$H$3907,", "),""))</f>
        <v xml:space="preserve">mhub032.10, mhub032.11, mhub032.12, mhub032.1, mhub032.2, mhub032.3, mhub032.4, mhub032.5, mhub032.6, mhub032.7-8, mhub032.9, mhub034.1, mhub034.2, mhub034.3, mhub034.4, mhub059.1-32, </v>
      </c>
      <c r="E45" s="324" t="str">
        <f>VLOOKUP(A45,'Diags Raw Data'!$A$6:$D$3907,4,FALSE)</f>
        <v>MMHUB</v>
      </c>
      <c r="F45" s="324" t="str">
        <f>VLOOKUP(A45,'Feature Raw Data'!$A$3:$E$4204,5,FALSE)</f>
        <v>Legacy</v>
      </c>
      <c r="G45" s="324" t="str">
        <f t="shared" ref="G45:G73" si="44">IF(D45="","No","Yes")</f>
        <v>Yes</v>
      </c>
      <c r="H45" s="324" t="str">
        <f t="shared" ref="H45:H73" si="45">IF(D45="","No","Yes")</f>
        <v>Yes</v>
      </c>
      <c r="I45" s="432">
        <f>SUMIF('Diags Raw Data'!$A$6:$A$3907,"*"&amp;$A45&amp;"*",'Diags Raw Data'!$K$6:$K$3907)</f>
        <v>16</v>
      </c>
      <c r="J45" s="434">
        <f>SUMIF('Diags Raw Data'!$A$6:$A$3907,"*"&amp;$A45&amp;"*",'Diags Raw Data'!$L$6:$L$3907)</f>
        <v>48</v>
      </c>
      <c r="K45" s="478" t="e" cm="1">
        <f t="array" ref="K45">IF(D45="",0, SUMPRODUCT(--(ISNUMBER(SEARCH($A45,'Diags Raw Data'!$A$6:$A$3907))),'Diags Raw Data'!$L$6:$L$3907,'Diags Raw Data'!$N$6:$N$3910)/J45)</f>
        <v>#VALUE!</v>
      </c>
      <c r="L45" s="479" cm="1">
        <f t="array" ref="L45">IF(D45="",0, SUMPRODUCT(--(ISNUMBER(SEARCH($A45,'Diags Raw Data'!$A$6:$A$3907))),'Diags Raw Data'!$L$6:$L$3907,'Diags Raw Data'!$P$6:$P$3907)/J45)</f>
        <v>1</v>
      </c>
      <c r="M45" s="480" cm="1">
        <f t="array" ref="M45">SUMPRODUCT(--(ISNUMBER(SEARCH($A45,'Diags Raw Data'!$A$6:$A$3907))),--('Diags Raw Data'!$Q$6:$Q$3907&lt;&gt;"N/A"),'Diags Raw Data'!$R$6:$R$3907)</f>
        <v>48</v>
      </c>
      <c r="N45" s="481" cm="1">
        <f t="array" ref="N45">SUMPRODUCT(--(ISNUMBER(SEARCH($A45,'Diags Raw Data'!$A$6:$A$3907))),--('Diags Raw Data'!$Q$6:$Q$3907&lt;&gt;"N/A"),'Diags Raw Data'!$T$6:$T$3907)+SUMPRODUCT(--(ISNUMBER(SEARCH($A45,'Diags Raw Data'!$A$6:$A$3907))),--('Diags Raw Data'!$Q$6:$Q$3907&lt;&gt;"N/A"),'Diags Raw Data'!$U$6:$U$3907)</f>
        <v>48</v>
      </c>
      <c r="O45" s="482">
        <f t="shared" si="1"/>
        <v>1</v>
      </c>
      <c r="P45" s="483">
        <f>SUMIF('Diags Raw Data'!$A$6:$A$3907,"*"&amp;$A45&amp;"*",'Diags Raw Data'!$Z$6:$Z$3907)</f>
        <v>47</v>
      </c>
      <c r="Q45" s="484">
        <f>SUM(SUMIF('Diags Raw Data'!$A$6:$A$3907,"*"&amp;$A45&amp;"*",'Diags Raw Data'!$AA$6:$AA$3907),SUMIF('Diags Raw Data'!$A$6:$A$3907,"*"&amp;$A45&amp;"*",'Diags Raw Data'!$AB$6:$AB$3907))</f>
        <v>4</v>
      </c>
      <c r="R45" s="485">
        <f t="shared" si="2"/>
        <v>0.97916666666666663</v>
      </c>
      <c r="S45" s="485">
        <f t="shared" si="3"/>
        <v>8.5106382978723402E-2</v>
      </c>
      <c r="T45" s="486">
        <f t="shared" si="4"/>
        <v>8.3333333333333329E-2</v>
      </c>
      <c r="U45" s="530" t="s">
        <v>1425</v>
      </c>
      <c r="V45" s="180"/>
    </row>
    <row r="46" spans="1:24" ht="30" x14ac:dyDescent="0.25">
      <c r="A46" s="524" t="s">
        <v>499</v>
      </c>
      <c r="B46" s="431" t="str">
        <f>VLOOKUP(A46,'Feature Raw Data'!$A$3:$B$4204,2,FALSE)</f>
        <v>MMHUB:MMUTCL2:VML2 - CAM/filter to avoid duplicate table-walk reads</v>
      </c>
      <c r="C46" s="432" t="str">
        <f>VLOOKUP(A46,'Feature Raw Data'!$A$3:$C$4204,3,FALSE)</f>
        <v>P2</v>
      </c>
      <c r="D46" s="433" t="str" cm="1">
        <f t="array" ref="D46">_xlfn.TEXTJOIN("",TRUE,IF(ISNUMBER(SEARCH($A46,'Diags Raw Data'!$A$6:$A$3907)),CONCATENATE('Diags Raw Data'!$H$6:$H$3907,", "),""))</f>
        <v xml:space="preserve">mhub598.17, mhub598.18, </v>
      </c>
      <c r="E46" s="324" t="str">
        <f>VLOOKUP(A46,'Diags Raw Data'!$A$6:$D$3907,4,FALSE)</f>
        <v>MMHUB</v>
      </c>
      <c r="F46" s="324" t="str">
        <f>VLOOKUP(A46,'Feature Raw Data'!$A$3:$E$4204,5,FALSE)</f>
        <v>Legacy</v>
      </c>
      <c r="G46" s="324" t="str">
        <f t="shared" si="44"/>
        <v>Yes</v>
      </c>
      <c r="H46" s="324" t="str">
        <f t="shared" si="45"/>
        <v>Yes</v>
      </c>
      <c r="I46" s="432">
        <f>SUMIF('Diags Raw Data'!$A$6:$A$3907,"*"&amp;$A46&amp;"*",'Diags Raw Data'!$K$6:$K$3907)</f>
        <v>2</v>
      </c>
      <c r="J46" s="434">
        <f>SUMIF('Diags Raw Data'!$A$6:$A$3907,"*"&amp;$A46&amp;"*",'Diags Raw Data'!$L$6:$L$3907)</f>
        <v>2</v>
      </c>
      <c r="K46" s="478" t="e" cm="1">
        <f t="array" ref="K46">IF(D46="",0, SUMPRODUCT(--(ISNUMBER(SEARCH($A46,'Diags Raw Data'!$A$6:$A$3907))),'Diags Raw Data'!$L$6:$L$3907,'Diags Raw Data'!$N$6:$N$3910)/J46)</f>
        <v>#VALUE!</v>
      </c>
      <c r="L46" s="479" cm="1">
        <f t="array" ref="L46">IF(D46="",0, SUMPRODUCT(--(ISNUMBER(SEARCH($A46,'Diags Raw Data'!$A$6:$A$3907))),'Diags Raw Data'!$L$6:$L$3907,'Diags Raw Data'!$P$6:$P$3907)/J46)</f>
        <v>1</v>
      </c>
      <c r="M46" s="480" cm="1">
        <f t="array" ref="M46">SUMPRODUCT(--(ISNUMBER(SEARCH($A46,'Diags Raw Data'!$A$6:$A$3907))),--('Diags Raw Data'!$Q$6:$Q$3907&lt;&gt;"N/A"),'Diags Raw Data'!$R$6:$R$3907)</f>
        <v>2</v>
      </c>
      <c r="N46" s="481" cm="1">
        <f t="array" ref="N46">SUMPRODUCT(--(ISNUMBER(SEARCH($A46,'Diags Raw Data'!$A$6:$A$3907))),--('Diags Raw Data'!$Q$6:$Q$3907&lt;&gt;"N/A"),'Diags Raw Data'!$T$6:$T$3907)+SUMPRODUCT(--(ISNUMBER(SEARCH($A46,'Diags Raw Data'!$A$6:$A$3907))),--('Diags Raw Data'!$Q$6:$Q$3907&lt;&gt;"N/A"),'Diags Raw Data'!$U$6:$U$3907)</f>
        <v>2</v>
      </c>
      <c r="O46" s="482">
        <f t="shared" si="1"/>
        <v>1</v>
      </c>
      <c r="P46" s="483">
        <f>SUMIF('Diags Raw Data'!$A$6:$A$3907,"*"&amp;$A46&amp;"*",'Diags Raw Data'!$Z$6:$Z$3907)</f>
        <v>2</v>
      </c>
      <c r="Q46" s="484">
        <f>SUM(SUMIF('Diags Raw Data'!$A$6:$A$3907,"*"&amp;$A46&amp;"*",'Diags Raw Data'!$AA$6:$AA$3907),SUMIF('Diags Raw Data'!$A$6:$A$3907,"*"&amp;$A46&amp;"*",'Diags Raw Data'!$AB$6:$AB$3907))</f>
        <v>0</v>
      </c>
      <c r="R46" s="485">
        <f t="shared" si="2"/>
        <v>1</v>
      </c>
      <c r="S46" s="485">
        <f t="shared" si="3"/>
        <v>0</v>
      </c>
      <c r="T46" s="486">
        <f t="shared" si="4"/>
        <v>0</v>
      </c>
      <c r="U46" s="530" t="s">
        <v>1425</v>
      </c>
      <c r="V46" s="180"/>
    </row>
    <row r="47" spans="1:24" ht="30" x14ac:dyDescent="0.25">
      <c r="A47" s="524" t="s">
        <v>455</v>
      </c>
      <c r="B47" s="431" t="str">
        <f>VLOOKUP(A47,'Feature Raw Data'!$A$3:$B$4204,2,FALSE)</f>
        <v>MMHUB:MMUTCL2:VML2 - Range-based UTCL1 and VML1 invalidation</v>
      </c>
      <c r="C47" s="432" t="str">
        <f>VLOOKUP(A47,'Feature Raw Data'!$A$3:$C$4204,3,FALSE)</f>
        <v>P2</v>
      </c>
      <c r="D47" s="433" t="str" cm="1">
        <f t="array" ref="D47">_xlfn.TEXTJOIN("",TRUE,IF(ISNUMBER(SEARCH($A47,'Diags Raw Data'!$A$6:$A$3907)),CONCATENATE('Diags Raw Data'!$H$6:$H$3907,", "),""))</f>
        <v xml:space="preserve">mhub052.3,mhub052.4,mhub052.5, mhub053.1, mhub055, </v>
      </c>
      <c r="E47" s="324" t="str">
        <f>VLOOKUP(A47,'Diags Raw Data'!$A$6:$D$3907,4,FALSE)</f>
        <v>MMHUB</v>
      </c>
      <c r="F47" s="324" t="str">
        <f>VLOOKUP(A47,'Feature Raw Data'!$A$3:$E$4204,5,FALSE)</f>
        <v>Legacy</v>
      </c>
      <c r="G47" s="324" t="str">
        <f t="shared" si="44"/>
        <v>Yes</v>
      </c>
      <c r="H47" s="324" t="str">
        <f t="shared" si="45"/>
        <v>Yes</v>
      </c>
      <c r="I47" s="432">
        <f>SUMIF('Diags Raw Data'!$A$6:$A$3907,"*"&amp;$A47&amp;"*",'Diags Raw Data'!$K$6:$K$3907)</f>
        <v>6</v>
      </c>
      <c r="J47" s="434">
        <f>SUMIF('Diags Raw Data'!$A$6:$A$3907,"*"&amp;$A47&amp;"*",'Diags Raw Data'!$L$6:$L$3907)</f>
        <v>5</v>
      </c>
      <c r="K47" s="478" t="e" cm="1">
        <f t="array" ref="K47">IF(D47="",0, SUMPRODUCT(--(ISNUMBER(SEARCH($A47,'Diags Raw Data'!$A$6:$A$3907))),'Diags Raw Data'!$L$6:$L$3907,'Diags Raw Data'!$N$6:$N$3910)/J47)</f>
        <v>#VALUE!</v>
      </c>
      <c r="L47" s="479" cm="1">
        <f t="array" ref="L47">IF(D47="",0, SUMPRODUCT(--(ISNUMBER(SEARCH($A47,'Diags Raw Data'!$A$6:$A$3907))),'Diags Raw Data'!$L$6:$L$3907,'Diags Raw Data'!$P$6:$P$3907)/J47)</f>
        <v>1</v>
      </c>
      <c r="M47" s="480" cm="1">
        <f t="array" ref="M47">SUMPRODUCT(--(ISNUMBER(SEARCH($A47,'Diags Raw Data'!$A$6:$A$3907))),--('Diags Raw Data'!$Q$6:$Q$3907&lt;&gt;"N/A"),'Diags Raw Data'!$R$6:$R$3907)</f>
        <v>5</v>
      </c>
      <c r="N47" s="481" cm="1">
        <f t="array" ref="N47">SUMPRODUCT(--(ISNUMBER(SEARCH($A47,'Diags Raw Data'!$A$6:$A$3907))),--('Diags Raw Data'!$Q$6:$Q$3907&lt;&gt;"N/A"),'Diags Raw Data'!$T$6:$T$3907)+SUMPRODUCT(--(ISNUMBER(SEARCH($A47,'Diags Raw Data'!$A$6:$A$3907))),--('Diags Raw Data'!$Q$6:$Q$3907&lt;&gt;"N/A"),'Diags Raw Data'!$U$6:$U$3907)</f>
        <v>5</v>
      </c>
      <c r="O47" s="482">
        <f t="shared" si="1"/>
        <v>1</v>
      </c>
      <c r="P47" s="483">
        <f>SUMIF('Diags Raw Data'!$A$6:$A$3907,"*"&amp;$A47&amp;"*",'Diags Raw Data'!$Z$6:$Z$3907)</f>
        <v>5</v>
      </c>
      <c r="Q47" s="484">
        <f>SUM(SUMIF('Diags Raw Data'!$A$6:$A$3907,"*"&amp;$A47&amp;"*",'Diags Raw Data'!$AA$6:$AA$3907),SUMIF('Diags Raw Data'!$A$6:$A$3907,"*"&amp;$A47&amp;"*",'Diags Raw Data'!$AB$6:$AB$3907))</f>
        <v>4</v>
      </c>
      <c r="R47" s="485">
        <f t="shared" si="2"/>
        <v>1</v>
      </c>
      <c r="S47" s="485">
        <f t="shared" si="3"/>
        <v>0.8</v>
      </c>
      <c r="T47" s="486">
        <f t="shared" si="4"/>
        <v>0.8</v>
      </c>
      <c r="U47" s="530" t="s">
        <v>1423</v>
      </c>
      <c r="V47" s="180"/>
    </row>
    <row r="48" spans="1:24" ht="30" x14ac:dyDescent="0.25">
      <c r="A48" s="524" t="s">
        <v>1156</v>
      </c>
      <c r="B48" s="431" t="str">
        <f>VLOOKUP(A48,'Feature Raw Data'!$A$3:$B$4204,2,FALSE)</f>
        <v>MMHUB:MMUTCL2:VML2 - Per invalidate engine registers</v>
      </c>
      <c r="C48" s="432" t="str">
        <f>VLOOKUP(A48,'Feature Raw Data'!$A$3:$C$4204,3,FALSE)</f>
        <v>P2</v>
      </c>
      <c r="D48" s="433" t="str" cm="1">
        <f t="array" ref="D48">_xlfn.TEXTJOIN("",TRUE,IF(ISNUMBER(SEARCH($A48,'Diags Raw Data'!$A$6:$A$3907)),CONCATENATE('Diags Raw Data'!$H$6:$H$3907,", "),""))</f>
        <v xml:space="preserve">mhub057.11,mhub057.12,mhub057.13, mhub057.6, </v>
      </c>
      <c r="E48" s="324" t="e">
        <f>VLOOKUP(A48,'Diags Raw Data'!$A$6:$D$3907,4,FALSE)</f>
        <v>#N/A</v>
      </c>
      <c r="F48" s="324" t="str">
        <f>VLOOKUP(A48,'Feature Raw Data'!$A$3:$E$4204,5,FALSE)</f>
        <v>Legacy</v>
      </c>
      <c r="G48" s="324" t="str">
        <f t="shared" si="44"/>
        <v>Yes</v>
      </c>
      <c r="H48" s="324" t="str">
        <f t="shared" si="45"/>
        <v>Yes</v>
      </c>
      <c r="I48" s="432">
        <f>SUMIF('Diags Raw Data'!$A$6:$A$3907,"*"&amp;$A48&amp;"*",'Diags Raw Data'!$K$6:$K$3907)</f>
        <v>2</v>
      </c>
      <c r="J48" s="434">
        <f>SUMIF('Diags Raw Data'!$A$6:$A$3907,"*"&amp;$A48&amp;"*",'Diags Raw Data'!$L$6:$L$3907)</f>
        <v>4</v>
      </c>
      <c r="K48" s="478" t="e" cm="1">
        <f t="array" ref="K48">IF(D48="",0, SUMPRODUCT(--(ISNUMBER(SEARCH($A48,'Diags Raw Data'!$A$6:$A$3907))),'Diags Raw Data'!$L$6:$L$3907,'Diags Raw Data'!$N$6:$N$3910)/J48)</f>
        <v>#VALUE!</v>
      </c>
      <c r="L48" s="479" cm="1">
        <f t="array" ref="L48">IF(D48="",0, SUMPRODUCT(--(ISNUMBER(SEARCH($A48,'Diags Raw Data'!$A$6:$A$3907))),'Diags Raw Data'!$L$6:$L$3907,'Diags Raw Data'!$P$6:$P$3907)/J48)</f>
        <v>1</v>
      </c>
      <c r="M48" s="480" cm="1">
        <f t="array" ref="M48">SUMPRODUCT(--(ISNUMBER(SEARCH($A48,'Diags Raw Data'!$A$6:$A$3907))),--('Diags Raw Data'!$Q$6:$Q$3907&lt;&gt;"N/A"),'Diags Raw Data'!$R$6:$R$3907)</f>
        <v>4</v>
      </c>
      <c r="N48" s="481" cm="1">
        <f t="array" ref="N48">SUMPRODUCT(--(ISNUMBER(SEARCH($A48,'Diags Raw Data'!$A$6:$A$3907))),--('Diags Raw Data'!$Q$6:$Q$3907&lt;&gt;"N/A"),'Diags Raw Data'!$T$6:$T$3907)+SUMPRODUCT(--(ISNUMBER(SEARCH($A48,'Diags Raw Data'!$A$6:$A$3907))),--('Diags Raw Data'!$Q$6:$Q$3907&lt;&gt;"N/A"),'Diags Raw Data'!$U$6:$U$3907)</f>
        <v>4</v>
      </c>
      <c r="O48" s="482">
        <f t="shared" si="1"/>
        <v>1</v>
      </c>
      <c r="P48" s="483">
        <f>SUMIF('Diags Raw Data'!$A$6:$A$3907,"*"&amp;$A48&amp;"*",'Diags Raw Data'!$Z$6:$Z$3907)</f>
        <v>4</v>
      </c>
      <c r="Q48" s="484">
        <f>SUM(SUMIF('Diags Raw Data'!$A$6:$A$3907,"*"&amp;$A48&amp;"*",'Diags Raw Data'!$AA$6:$AA$3907),SUMIF('Diags Raw Data'!$A$6:$A$3907,"*"&amp;$A48&amp;"*",'Diags Raw Data'!$AB$6:$AB$3907))</f>
        <v>4</v>
      </c>
      <c r="R48" s="485">
        <f t="shared" si="2"/>
        <v>1</v>
      </c>
      <c r="S48" s="485">
        <f t="shared" si="3"/>
        <v>1</v>
      </c>
      <c r="T48" s="486">
        <f t="shared" si="4"/>
        <v>1</v>
      </c>
      <c r="U48" s="530" t="s">
        <v>1423</v>
      </c>
      <c r="V48" s="180"/>
    </row>
    <row r="49" spans="1:22" ht="30" x14ac:dyDescent="0.25">
      <c r="A49" s="524" t="s">
        <v>495</v>
      </c>
      <c r="B49" s="431" t="str">
        <f>VLOOKUP(A49,'Feature Raw Data'!$A$3:$B$4204,2,FALSE)</f>
        <v>MMHUB:MMUTCL2:VML2 - Per VMID Context registers</v>
      </c>
      <c r="C49" s="432" t="str">
        <f>VLOOKUP(A49,'Feature Raw Data'!$A$3:$C$4204,3,FALSE)</f>
        <v>P2</v>
      </c>
      <c r="D49" s="433" t="str" cm="1">
        <f t="array" ref="D49">_xlfn.TEXTJOIN("",TRUE,IF(ISNUMBER(SEARCH($A49,'Diags Raw Data'!$A$6:$A$3907)),CONCATENATE('Diags Raw Data'!$H$6:$H$3907,", "),""))</f>
        <v xml:space="preserve">mhub002.1-15, mhub002.1-15, mhub002.16, mhub002.16, mhub095, </v>
      </c>
      <c r="E49" s="324" t="str">
        <f>VLOOKUP(A49,'Diags Raw Data'!$A$6:$D$3907,4,FALSE)</f>
        <v>MMHUB</v>
      </c>
      <c r="F49" s="324" t="str">
        <f>VLOOKUP(A49,'Feature Raw Data'!$A$3:$E$4204,5,FALSE)</f>
        <v>Legacy</v>
      </c>
      <c r="G49" s="324" t="str">
        <f t="shared" si="44"/>
        <v>Yes</v>
      </c>
      <c r="H49" s="324" t="str">
        <f t="shared" si="45"/>
        <v>Yes</v>
      </c>
      <c r="I49" s="432">
        <f>SUMIF('Diags Raw Data'!$A$6:$A$3907,"*"&amp;$A49&amp;"*",'Diags Raw Data'!$K$6:$K$3907)</f>
        <v>5</v>
      </c>
      <c r="J49" s="434">
        <f>SUMIF('Diags Raw Data'!$A$6:$A$3907,"*"&amp;$A49&amp;"*",'Diags Raw Data'!$L$6:$L$3907)</f>
        <v>33</v>
      </c>
      <c r="K49" s="478" t="e" cm="1">
        <f t="array" ref="K49">IF(D49="",0, SUMPRODUCT(--(ISNUMBER(SEARCH($A49,'Diags Raw Data'!$A$6:$A$3907))),'Diags Raw Data'!$L$6:$L$3907,'Diags Raw Data'!$N$6:$N$3910)/J49)</f>
        <v>#VALUE!</v>
      </c>
      <c r="L49" s="479" cm="1">
        <f t="array" ref="L49">IF(D49="",0, SUMPRODUCT(--(ISNUMBER(SEARCH($A49,'Diags Raw Data'!$A$6:$A$3907))),'Diags Raw Data'!$L$6:$L$3907,'Diags Raw Data'!$P$6:$P$3907)/J49)</f>
        <v>1</v>
      </c>
      <c r="M49" s="480" cm="1">
        <f t="array" ref="M49">SUMPRODUCT(--(ISNUMBER(SEARCH($A49,'Diags Raw Data'!$A$6:$A$3907))),--('Diags Raw Data'!$Q$6:$Q$3907&lt;&gt;"N/A"),'Diags Raw Data'!$R$6:$R$3907)</f>
        <v>33</v>
      </c>
      <c r="N49" s="481" cm="1">
        <f t="array" ref="N49">SUMPRODUCT(--(ISNUMBER(SEARCH($A49,'Diags Raw Data'!$A$6:$A$3907))),--('Diags Raw Data'!$Q$6:$Q$3907&lt;&gt;"N/A"),'Diags Raw Data'!$T$6:$T$3907)+SUMPRODUCT(--(ISNUMBER(SEARCH($A49,'Diags Raw Data'!$A$6:$A$3907))),--('Diags Raw Data'!$Q$6:$Q$3907&lt;&gt;"N/A"),'Diags Raw Data'!$U$6:$U$3907)</f>
        <v>18</v>
      </c>
      <c r="O49" s="482">
        <f t="shared" si="1"/>
        <v>0.54545454545454541</v>
      </c>
      <c r="P49" s="483">
        <f>SUMIF('Diags Raw Data'!$A$6:$A$3907,"*"&amp;$A49&amp;"*",'Diags Raw Data'!$Z$6:$Z$3907)</f>
        <v>18</v>
      </c>
      <c r="Q49" s="484">
        <f>SUM(SUMIF('Diags Raw Data'!$A$6:$A$3907,"*"&amp;$A49&amp;"*",'Diags Raw Data'!$AA$6:$AA$3907),SUMIF('Diags Raw Data'!$A$6:$A$3907,"*"&amp;$A49&amp;"*",'Diags Raw Data'!$AB$6:$AB$3907))</f>
        <v>18</v>
      </c>
      <c r="R49" s="485">
        <f t="shared" si="2"/>
        <v>0.54545454545454541</v>
      </c>
      <c r="S49" s="485">
        <f t="shared" si="3"/>
        <v>1</v>
      </c>
      <c r="T49" s="486">
        <f t="shared" si="4"/>
        <v>0.54545454545454541</v>
      </c>
      <c r="U49" s="530" t="s">
        <v>1423</v>
      </c>
      <c r="V49" s="180"/>
    </row>
    <row r="50" spans="1:22" ht="26.25" customHeight="1" x14ac:dyDescent="0.25">
      <c r="A50" s="524" t="s">
        <v>512</v>
      </c>
      <c r="B50" s="431" t="str">
        <f>VLOOKUP(A50,'Feature Raw Data'!$A$3:$B$4204,2,FALSE)</f>
        <v>MMHUB:MMUTCL2:VML2 - Register bits that enable software to control hit/miss behaviour on invalid ptes in cache</v>
      </c>
      <c r="C50" s="432" t="str">
        <f>VLOOKUP(A50,'Feature Raw Data'!$A$3:$C$4204,3,FALSE)</f>
        <v>P2</v>
      </c>
      <c r="D50" s="433" t="str" cm="1">
        <f t="array" ref="D50">_xlfn.TEXTJOIN("",TRUE,IF(ISNUMBER(SEARCH($A50,'Diags Raw Data'!$A$6:$A$3907)),CONCATENATE('Diags Raw Data'!$H$6:$H$3907,", "),""))</f>
        <v xml:space="preserve">mhub145.1-2, </v>
      </c>
      <c r="E50" s="324" t="str">
        <f>VLOOKUP(A50,'Diags Raw Data'!$A$6:$D$3907,4,FALSE)</f>
        <v>MMHUB</v>
      </c>
      <c r="F50" s="324" t="str">
        <f>VLOOKUP(A50,'Feature Raw Data'!$A$3:$E$4204,5,FALSE)</f>
        <v>Legacy</v>
      </c>
      <c r="G50" s="324" t="str">
        <f t="shared" si="44"/>
        <v>Yes</v>
      </c>
      <c r="H50" s="324" t="str">
        <f t="shared" si="45"/>
        <v>Yes</v>
      </c>
      <c r="I50" s="432">
        <f>SUMIF('Diags Raw Data'!$A$6:$A$3907,"*"&amp;$A50&amp;"*",'Diags Raw Data'!$K$6:$K$3907)</f>
        <v>1</v>
      </c>
      <c r="J50" s="434">
        <f>SUMIF('Diags Raw Data'!$A$6:$A$3907,"*"&amp;$A50&amp;"*",'Diags Raw Data'!$L$6:$L$3907)</f>
        <v>2</v>
      </c>
      <c r="K50" s="478" t="e" cm="1">
        <f t="array" ref="K50">IF(D50="",0, SUMPRODUCT(--(ISNUMBER(SEARCH($A50,'Diags Raw Data'!$A$6:$A$3907))),'Diags Raw Data'!$L$6:$L$3907,'Diags Raw Data'!$N$6:$N$3910)/J50)</f>
        <v>#VALUE!</v>
      </c>
      <c r="L50" s="479" cm="1">
        <f t="array" ref="L50">IF(D50="",0, SUMPRODUCT(--(ISNUMBER(SEARCH($A50,'Diags Raw Data'!$A$6:$A$3907))),'Diags Raw Data'!$L$6:$L$3907,'Diags Raw Data'!$P$6:$P$3907)/J50)</f>
        <v>1</v>
      </c>
      <c r="M50" s="480" cm="1">
        <f t="array" ref="M50">SUMPRODUCT(--(ISNUMBER(SEARCH($A50,'Diags Raw Data'!$A$6:$A$3907))),--('Diags Raw Data'!$Q$6:$Q$3907&lt;&gt;"N/A"),'Diags Raw Data'!$R$6:$R$3907)</f>
        <v>2</v>
      </c>
      <c r="N50" s="481" cm="1">
        <f t="array" ref="N50">SUMPRODUCT(--(ISNUMBER(SEARCH($A50,'Diags Raw Data'!$A$6:$A$3907))),--('Diags Raw Data'!$Q$6:$Q$3907&lt;&gt;"N/A"),'Diags Raw Data'!$T$6:$T$3907)+SUMPRODUCT(--(ISNUMBER(SEARCH($A50,'Diags Raw Data'!$A$6:$A$3907))),--('Diags Raw Data'!$Q$6:$Q$3907&lt;&gt;"N/A"),'Diags Raw Data'!$U$6:$U$3907)</f>
        <v>2</v>
      </c>
      <c r="O50" s="482">
        <f t="shared" si="1"/>
        <v>1</v>
      </c>
      <c r="P50" s="483">
        <f>SUMIF('Diags Raw Data'!$A$6:$A$3907,"*"&amp;$A50&amp;"*",'Diags Raw Data'!$Z$6:$Z$3907)</f>
        <v>2</v>
      </c>
      <c r="Q50" s="484">
        <f>SUM(SUMIF('Diags Raw Data'!$A$6:$A$3907,"*"&amp;$A50&amp;"*",'Diags Raw Data'!$AA$6:$AA$3907),SUMIF('Diags Raw Data'!$A$6:$A$3907,"*"&amp;$A50&amp;"*",'Diags Raw Data'!$AB$6:$AB$3907))</f>
        <v>1</v>
      </c>
      <c r="R50" s="485">
        <f t="shared" si="2"/>
        <v>1</v>
      </c>
      <c r="S50" s="485">
        <f t="shared" si="3"/>
        <v>0.5</v>
      </c>
      <c r="T50" s="486">
        <f t="shared" si="4"/>
        <v>0.5</v>
      </c>
      <c r="U50" s="530" t="s">
        <v>1423</v>
      </c>
      <c r="V50" s="180"/>
    </row>
    <row r="51" spans="1:22" ht="42" customHeight="1" x14ac:dyDescent="0.25">
      <c r="A51" s="524" t="s">
        <v>517</v>
      </c>
      <c r="B51" s="431" t="str">
        <f>VLOOKUP(A51,'Feature Raw Data'!$A$3:$B$4204,2,FALSE)</f>
        <v>MMHUB:MMUTCL2:VML2 - Register bits that enable software to control hit/miss behaviour on permission mismatch in cache</v>
      </c>
      <c r="C51" s="432" t="str">
        <f>VLOOKUP(A51,'Feature Raw Data'!$A$3:$C$4204,3,FALSE)</f>
        <v>P2</v>
      </c>
      <c r="D51" s="433" t="str" cm="1">
        <f t="array" ref="D51">_xlfn.TEXTJOIN("",TRUE,IF(ISNUMBER(SEARCH($A51,'Diags Raw Data'!$A$6:$A$3907)),CONCATENATE('Diags Raw Data'!$H$6:$H$3907,", "),""))</f>
        <v xml:space="preserve">mhub146.1-2, </v>
      </c>
      <c r="E51" s="324" t="str">
        <f>VLOOKUP(A51,'Diags Raw Data'!$A$6:$D$3907,4,FALSE)</f>
        <v>MMHUB</v>
      </c>
      <c r="F51" s="324" t="str">
        <f>VLOOKUP(A51,'Feature Raw Data'!$A$3:$E$4204,5,FALSE)</f>
        <v>Legacy</v>
      </c>
      <c r="G51" s="324" t="str">
        <f t="shared" si="44"/>
        <v>Yes</v>
      </c>
      <c r="H51" s="324" t="str">
        <f t="shared" si="45"/>
        <v>Yes</v>
      </c>
      <c r="I51" s="432">
        <f>SUMIF('Diags Raw Data'!$A$6:$A$3907,"*"&amp;$A51&amp;"*",'Diags Raw Data'!$K$6:$K$3907)</f>
        <v>1</v>
      </c>
      <c r="J51" s="434">
        <f>SUMIF('Diags Raw Data'!$A$6:$A$3907,"*"&amp;$A51&amp;"*",'Diags Raw Data'!$L$6:$L$3907)</f>
        <v>2</v>
      </c>
      <c r="K51" s="478" t="e" cm="1">
        <f t="array" ref="K51">IF(D51="",0, SUMPRODUCT(--(ISNUMBER(SEARCH($A51,'Diags Raw Data'!$A$6:$A$3907))),'Diags Raw Data'!$L$6:$L$3907,'Diags Raw Data'!$N$6:$N$3910)/J51)</f>
        <v>#VALUE!</v>
      </c>
      <c r="L51" s="479" cm="1">
        <f t="array" ref="L51">IF(D51="",0, SUMPRODUCT(--(ISNUMBER(SEARCH($A51,'Diags Raw Data'!$A$6:$A$3907))),'Diags Raw Data'!$L$6:$L$3907,'Diags Raw Data'!$P$6:$P$3907)/J51)</f>
        <v>1</v>
      </c>
      <c r="M51" s="480" cm="1">
        <f t="array" ref="M51">SUMPRODUCT(--(ISNUMBER(SEARCH($A51,'Diags Raw Data'!$A$6:$A$3907))),--('Diags Raw Data'!$Q$6:$Q$3907&lt;&gt;"N/A"),'Diags Raw Data'!$R$6:$R$3907)</f>
        <v>2</v>
      </c>
      <c r="N51" s="481" cm="1">
        <f t="array" ref="N51">SUMPRODUCT(--(ISNUMBER(SEARCH($A51,'Diags Raw Data'!$A$6:$A$3907))),--('Diags Raw Data'!$Q$6:$Q$3907&lt;&gt;"N/A"),'Diags Raw Data'!$T$6:$T$3907)+SUMPRODUCT(--(ISNUMBER(SEARCH($A51,'Diags Raw Data'!$A$6:$A$3907))),--('Diags Raw Data'!$Q$6:$Q$3907&lt;&gt;"N/A"),'Diags Raw Data'!$U$6:$U$3907)</f>
        <v>2</v>
      </c>
      <c r="O51" s="482">
        <f t="shared" si="1"/>
        <v>1</v>
      </c>
      <c r="P51" s="483">
        <f>SUMIF('Diags Raw Data'!$A$6:$A$3907,"*"&amp;$A51&amp;"*",'Diags Raw Data'!$Z$6:$Z$3907)</f>
        <v>2</v>
      </c>
      <c r="Q51" s="484">
        <f>SUM(SUMIF('Diags Raw Data'!$A$6:$A$3907,"*"&amp;$A51&amp;"*",'Diags Raw Data'!$AA$6:$AA$3907),SUMIF('Diags Raw Data'!$A$6:$A$3907,"*"&amp;$A51&amp;"*",'Diags Raw Data'!$AB$6:$AB$3907))</f>
        <v>0</v>
      </c>
      <c r="R51" s="485">
        <f t="shared" si="2"/>
        <v>1</v>
      </c>
      <c r="S51" s="485">
        <f t="shared" si="3"/>
        <v>0</v>
      </c>
      <c r="T51" s="486">
        <f t="shared" si="4"/>
        <v>0</v>
      </c>
      <c r="U51" s="530" t="s">
        <v>1423</v>
      </c>
      <c r="V51" s="180"/>
    </row>
    <row r="52" spans="1:22" ht="48" customHeight="1" x14ac:dyDescent="0.25">
      <c r="A52" s="524" t="s">
        <v>1157</v>
      </c>
      <c r="B52" s="431" t="str">
        <f>VLOOKUP(A52,'Feature Raw Data'!$A$3:$B$4204,2,FALSE)</f>
        <v>MMHUB:MMUTCL2:VML2 - Register bits that enable software to control hit/miss behaviour on page migration(R=W=0) in cache</v>
      </c>
      <c r="C52" s="432" t="str">
        <f>VLOOKUP(A52,'Feature Raw Data'!$A$3:$C$4204,3,FALSE)</f>
        <v>P2</v>
      </c>
      <c r="D52" s="433" t="str" cm="1">
        <f t="array" ref="D52">_xlfn.TEXTJOIN("",TRUE,IF(ISNUMBER(SEARCH($A52,'Diags Raw Data'!$A$6:$A$3907)),CONCATENATE('Diags Raw Data'!$H$6:$H$3907,", "),""))</f>
        <v xml:space="preserve">mhub209.3, mhub209.4, mhub209.5, mhub209.6, </v>
      </c>
      <c r="E52" s="324" t="e">
        <f>VLOOKUP(A52,'Diags Raw Data'!$A$6:$D$3907,4,FALSE)</f>
        <v>#N/A</v>
      </c>
      <c r="F52" s="324" t="str">
        <f>VLOOKUP(A52,'Feature Raw Data'!$A$3:$E$4204,5,FALSE)</f>
        <v>Legacy</v>
      </c>
      <c r="G52" s="324" t="str">
        <f t="shared" si="44"/>
        <v>Yes</v>
      </c>
      <c r="H52" s="324" t="str">
        <f t="shared" si="45"/>
        <v>Yes</v>
      </c>
      <c r="I52" s="432">
        <f>SUMIF('Diags Raw Data'!$A$6:$A$3907,"*"&amp;$A52&amp;"*",'Diags Raw Data'!$K$6:$K$3907)</f>
        <v>4</v>
      </c>
      <c r="J52" s="434">
        <f>SUMIF('Diags Raw Data'!$A$6:$A$3907,"*"&amp;$A52&amp;"*",'Diags Raw Data'!$L$6:$L$3907)</f>
        <v>4</v>
      </c>
      <c r="K52" s="478" t="e" cm="1">
        <f t="array" ref="K52">IF(D52="",0, SUMPRODUCT(--(ISNUMBER(SEARCH($A52,'Diags Raw Data'!$A$6:$A$3907))),'Diags Raw Data'!$L$6:$L$3907,'Diags Raw Data'!$N$6:$N$3910)/J52)</f>
        <v>#VALUE!</v>
      </c>
      <c r="L52" s="479" cm="1">
        <f t="array" ref="L52">IF(D52="",0, SUMPRODUCT(--(ISNUMBER(SEARCH($A52,'Diags Raw Data'!$A$6:$A$3907))),'Diags Raw Data'!$L$6:$L$3907,'Diags Raw Data'!$P$6:$P$3907)/J52)</f>
        <v>1</v>
      </c>
      <c r="M52" s="480" cm="1">
        <f t="array" ref="M52">SUMPRODUCT(--(ISNUMBER(SEARCH($A52,'Diags Raw Data'!$A$6:$A$3907))),--('Diags Raw Data'!$Q$6:$Q$3907&lt;&gt;"N/A"),'Diags Raw Data'!$R$6:$R$3907)</f>
        <v>4</v>
      </c>
      <c r="N52" s="481" cm="1">
        <f t="array" ref="N52">SUMPRODUCT(--(ISNUMBER(SEARCH($A52,'Diags Raw Data'!$A$6:$A$3907))),--('Diags Raw Data'!$Q$6:$Q$3907&lt;&gt;"N/A"),'Diags Raw Data'!$T$6:$T$3907)+SUMPRODUCT(--(ISNUMBER(SEARCH($A52,'Diags Raw Data'!$A$6:$A$3907))),--('Diags Raw Data'!$Q$6:$Q$3907&lt;&gt;"N/A"),'Diags Raw Data'!$U$6:$U$3907)</f>
        <v>4</v>
      </c>
      <c r="O52" s="482">
        <f t="shared" si="1"/>
        <v>1</v>
      </c>
      <c r="P52" s="483">
        <f>SUMIF('Diags Raw Data'!$A$6:$A$3907,"*"&amp;$A52&amp;"*",'Diags Raw Data'!$Z$6:$Z$3907)</f>
        <v>1</v>
      </c>
      <c r="Q52" s="484">
        <f>SUM(SUMIF('Diags Raw Data'!$A$6:$A$3907,"*"&amp;$A52&amp;"*",'Diags Raw Data'!$AA$6:$AA$3907),SUMIF('Diags Raw Data'!$A$6:$A$3907,"*"&amp;$A52&amp;"*",'Diags Raw Data'!$AB$6:$AB$3907))</f>
        <v>0</v>
      </c>
      <c r="R52" s="485">
        <f t="shared" si="2"/>
        <v>0.25</v>
      </c>
      <c r="S52" s="485">
        <f t="shared" si="3"/>
        <v>0</v>
      </c>
      <c r="T52" s="486">
        <f t="shared" si="4"/>
        <v>0</v>
      </c>
      <c r="U52" s="530" t="s">
        <v>1423</v>
      </c>
      <c r="V52" s="180"/>
    </row>
    <row r="53" spans="1:22" ht="33" customHeight="1" x14ac:dyDescent="0.25">
      <c r="A53" s="524" t="s">
        <v>1159</v>
      </c>
      <c r="B53" s="431" t="str">
        <f>VLOOKUP(A53,'Feature Raw Data'!$A$3:$B$4204,2,FALSE)</f>
        <v>MMHUB:MMUTCL2:VML2 - Invalidate by Address Range and VMID aka "Sharpshooting"</v>
      </c>
      <c r="C53" s="432" t="str">
        <f>VLOOKUP(A53,'Feature Raw Data'!$A$3:$C$4204,3,FALSE)</f>
        <v>P2</v>
      </c>
      <c r="D53" s="433" t="str" cm="1">
        <f t="array" ref="D53">_xlfn.TEXTJOIN("",TRUE,IF(ISNUMBER(SEARCH($A53,'Diags Raw Data'!$A$6:$A$3907)),CONCATENATE('Diags Raw Data'!$H$6:$H$3907,", "),""))</f>
        <v xml:space="preserve">mhub054.1, mhub055, mhub057.11,mhub057.12,mhub057.13, mhub057.6, </v>
      </c>
      <c r="E53" s="324" t="e">
        <f>VLOOKUP(A53,'Diags Raw Data'!$A$6:$D$3907,4,FALSE)</f>
        <v>#N/A</v>
      </c>
      <c r="F53" s="324" t="str">
        <f>VLOOKUP(A53,'Feature Raw Data'!$A$3:$E$4204,5,FALSE)</f>
        <v>Legacy</v>
      </c>
      <c r="G53" s="324" t="str">
        <f t="shared" si="44"/>
        <v>Yes</v>
      </c>
      <c r="H53" s="324" t="str">
        <f t="shared" si="45"/>
        <v>Yes</v>
      </c>
      <c r="I53" s="432">
        <f>SUMIF('Diags Raw Data'!$A$6:$A$3907,"*"&amp;$A53&amp;"*",'Diags Raw Data'!$K$6:$K$3907)</f>
        <v>9</v>
      </c>
      <c r="J53" s="434">
        <f>SUMIF('Diags Raw Data'!$A$6:$A$3907,"*"&amp;$A53&amp;"*",'Diags Raw Data'!$L$6:$L$3907)</f>
        <v>6</v>
      </c>
      <c r="K53" s="478" t="e" cm="1">
        <f t="array" ref="K53">IF(D53="",0, SUMPRODUCT(--(ISNUMBER(SEARCH($A53,'Diags Raw Data'!$A$6:$A$3907))),'Diags Raw Data'!$L$6:$L$3907,'Diags Raw Data'!$N$6:$N$3910)/J53)</f>
        <v>#VALUE!</v>
      </c>
      <c r="L53" s="479" cm="1">
        <f t="array" ref="L53">IF(D53="",0, SUMPRODUCT(--(ISNUMBER(SEARCH($A53,'Diags Raw Data'!$A$6:$A$3907))),'Diags Raw Data'!$L$6:$L$3907,'Diags Raw Data'!$P$6:$P$3907)/J53)</f>
        <v>1</v>
      </c>
      <c r="M53" s="480" cm="1">
        <f t="array" ref="M53">SUMPRODUCT(--(ISNUMBER(SEARCH($A53,'Diags Raw Data'!$A$6:$A$3907))),--('Diags Raw Data'!$Q$6:$Q$3907&lt;&gt;"N/A"),'Diags Raw Data'!$R$6:$R$3907)</f>
        <v>6</v>
      </c>
      <c r="N53" s="481" cm="1">
        <f t="array" ref="N53">SUMPRODUCT(--(ISNUMBER(SEARCH($A53,'Diags Raw Data'!$A$6:$A$3907))),--('Diags Raw Data'!$Q$6:$Q$3907&lt;&gt;"N/A"),'Diags Raw Data'!$T$6:$T$3907)+SUMPRODUCT(--(ISNUMBER(SEARCH($A53,'Diags Raw Data'!$A$6:$A$3907))),--('Diags Raw Data'!$Q$6:$Q$3907&lt;&gt;"N/A"),'Diags Raw Data'!$U$6:$U$3907)</f>
        <v>6</v>
      </c>
      <c r="O53" s="482">
        <f t="shared" si="1"/>
        <v>1</v>
      </c>
      <c r="P53" s="483">
        <f>SUMIF('Diags Raw Data'!$A$6:$A$3907,"*"&amp;$A53&amp;"*",'Diags Raw Data'!$Z$6:$Z$3907)</f>
        <v>6</v>
      </c>
      <c r="Q53" s="484">
        <f>SUM(SUMIF('Diags Raw Data'!$A$6:$A$3907,"*"&amp;$A53&amp;"*",'Diags Raw Data'!$AA$6:$AA$3907),SUMIF('Diags Raw Data'!$A$6:$A$3907,"*"&amp;$A53&amp;"*",'Diags Raw Data'!$AB$6:$AB$3907))</f>
        <v>5</v>
      </c>
      <c r="R53" s="485">
        <f t="shared" si="2"/>
        <v>1</v>
      </c>
      <c r="S53" s="485">
        <f t="shared" si="3"/>
        <v>0.83333333333333337</v>
      </c>
      <c r="T53" s="486">
        <f t="shared" si="4"/>
        <v>0.83333333333333337</v>
      </c>
      <c r="U53" s="530" t="s">
        <v>1423</v>
      </c>
      <c r="V53" s="180"/>
    </row>
    <row r="54" spans="1:22" ht="31.5" customHeight="1" x14ac:dyDescent="0.25">
      <c r="A54" s="524" t="s">
        <v>464</v>
      </c>
      <c r="B54" s="431" t="str">
        <f>VLOOKUP(A54,'Feature Raw Data'!$A$3:$B$4204,2,FALSE)</f>
        <v>MMHUB:MMUTCL2:VML2 - Lightweight/Heavyweight flush-type invalidation</v>
      </c>
      <c r="C54" s="432" t="str">
        <f>VLOOKUP(A54,'Feature Raw Data'!$A$3:$C$4204,3,FALSE)</f>
        <v>P1</v>
      </c>
      <c r="D54" s="433" t="str" cm="1">
        <f t="array" ref="D54">_xlfn.TEXTJOIN("",TRUE,IF(ISNUMBER(SEARCH($A54,'Diags Raw Data'!$A$6:$A$3907)),CONCATENATE('Diags Raw Data'!$H$6:$H$3907,", "),""))</f>
        <v xml:space="preserve">mhub054.1, mhub054.5-8, mhub057.11,mhub057.12,mhub057.13, mhub057.6, </v>
      </c>
      <c r="E54" s="324" t="str">
        <f>VLOOKUP(A54,'Diags Raw Data'!$A$6:$D$3907,4,FALSE)</f>
        <v>MMHUB</v>
      </c>
      <c r="F54" s="324" t="str">
        <f>VLOOKUP(A54,'Feature Raw Data'!$A$3:$E$4204,5,FALSE)</f>
        <v>Delta</v>
      </c>
      <c r="G54" s="324" t="str">
        <f t="shared" si="44"/>
        <v>Yes</v>
      </c>
      <c r="H54" s="324" t="str">
        <f t="shared" si="45"/>
        <v>Yes</v>
      </c>
      <c r="I54" s="432">
        <f>SUMIF('Diags Raw Data'!$A$6:$A$3907,"*"&amp;$A54&amp;"*",'Diags Raw Data'!$K$6:$K$3907)</f>
        <v>6</v>
      </c>
      <c r="J54" s="434">
        <f>SUMIF('Diags Raw Data'!$A$6:$A$3907,"*"&amp;$A54&amp;"*",'Diags Raw Data'!$L$6:$L$3907)</f>
        <v>9</v>
      </c>
      <c r="K54" s="478" t="e" cm="1">
        <f t="array" ref="K54">IF(D54="",0, SUMPRODUCT(--(ISNUMBER(SEARCH($A54,'Diags Raw Data'!$A$6:$A$3907))),'Diags Raw Data'!$L$6:$L$3907,'Diags Raw Data'!$N$6:$N$3910)/J54)</f>
        <v>#VALUE!</v>
      </c>
      <c r="L54" s="479" cm="1">
        <f t="array" ref="L54">IF(D54="",0, SUMPRODUCT(--(ISNUMBER(SEARCH($A54,'Diags Raw Data'!$A$6:$A$3907))),'Diags Raw Data'!$L$6:$L$3907,'Diags Raw Data'!$P$6:$P$3907)/J54)</f>
        <v>1</v>
      </c>
      <c r="M54" s="480" cm="1">
        <f t="array" ref="M54">SUMPRODUCT(--(ISNUMBER(SEARCH($A54,'Diags Raw Data'!$A$6:$A$3907))),--('Diags Raw Data'!$Q$6:$Q$3907&lt;&gt;"N/A"),'Diags Raw Data'!$R$6:$R$3907)</f>
        <v>9</v>
      </c>
      <c r="N54" s="481" cm="1">
        <f t="array" ref="N54">SUMPRODUCT(--(ISNUMBER(SEARCH($A54,'Diags Raw Data'!$A$6:$A$3907))),--('Diags Raw Data'!$Q$6:$Q$3907&lt;&gt;"N/A"),'Diags Raw Data'!$T$6:$T$3907)+SUMPRODUCT(--(ISNUMBER(SEARCH($A54,'Diags Raw Data'!$A$6:$A$3907))),--('Diags Raw Data'!$Q$6:$Q$3907&lt;&gt;"N/A"),'Diags Raw Data'!$U$6:$U$3907)</f>
        <v>9</v>
      </c>
      <c r="O54" s="482">
        <f t="shared" si="1"/>
        <v>1</v>
      </c>
      <c r="P54" s="483">
        <f>SUMIF('Diags Raw Data'!$A$6:$A$3907,"*"&amp;$A54&amp;"*",'Diags Raw Data'!$Z$6:$Z$3907)</f>
        <v>9</v>
      </c>
      <c r="Q54" s="484">
        <f>SUM(SUMIF('Diags Raw Data'!$A$6:$A$3907,"*"&amp;$A54&amp;"*",'Diags Raw Data'!$AA$6:$AA$3907),SUMIF('Diags Raw Data'!$A$6:$A$3907,"*"&amp;$A54&amp;"*",'Diags Raw Data'!$AB$6:$AB$3907))</f>
        <v>5</v>
      </c>
      <c r="R54" s="485">
        <f t="shared" si="2"/>
        <v>1</v>
      </c>
      <c r="S54" s="485">
        <f t="shared" si="3"/>
        <v>0.55555555555555558</v>
      </c>
      <c r="T54" s="486">
        <f t="shared" si="4"/>
        <v>0.55555555555555558</v>
      </c>
      <c r="U54" s="530" t="s">
        <v>1425</v>
      </c>
      <c r="V54" s="180"/>
    </row>
    <row r="55" spans="1:22" ht="60" x14ac:dyDescent="0.25">
      <c r="A55" s="524" t="s">
        <v>1160</v>
      </c>
      <c r="B55" s="431" t="str">
        <f>VLOOKUP(A55,'Feature Raw Data'!$A$3:$B$4204,2,FALSE)</f>
        <v>MMHUB:MMUTCL2:VML2 - Page Table Levels</v>
      </c>
      <c r="C55" s="432" t="str">
        <f>VLOOKUP(A55,'Feature Raw Data'!$A$3:$C$4204,3,FALSE)</f>
        <v>P2</v>
      </c>
      <c r="D55" s="433" t="str" cm="1">
        <f t="array" ref="D55">_xlfn.TEXTJOIN("",TRUE,IF(ISNUMBER(SEARCH($A55,'Diags Raw Data'!$A$6:$A$3907)),CONCATENATE('Diags Raw Data'!$H$6:$H$3907,", "),""))</f>
        <v xml:space="preserve">mhub010.1,mhub010.2, mhub011.1, mhub011.2, mhub011.3, mhub011.4, mhub011.5, mhub031.1, mhub031.3-5, mhub031.2, mhub031.6-9, </v>
      </c>
      <c r="E55" s="324" t="e">
        <f>VLOOKUP(A55,'Diags Raw Data'!$A$6:$D$3907,4,FALSE)</f>
        <v>#N/A</v>
      </c>
      <c r="F55" s="324" t="str">
        <f>VLOOKUP(A55,'Feature Raw Data'!$A$3:$E$4204,5,FALSE)</f>
        <v>Legacy</v>
      </c>
      <c r="G55" s="324" t="str">
        <f t="shared" si="44"/>
        <v>Yes</v>
      </c>
      <c r="H55" s="324" t="str">
        <f t="shared" si="45"/>
        <v>Yes</v>
      </c>
      <c r="I55" s="432">
        <f>SUMIF('Diags Raw Data'!$A$6:$A$3907,"*"&amp;$A55&amp;"*",'Diags Raw Data'!$K$6:$K$3907)</f>
        <v>18</v>
      </c>
      <c r="J55" s="434">
        <f>SUMIF('Diags Raw Data'!$A$6:$A$3907,"*"&amp;$A55&amp;"*",'Diags Raw Data'!$L$6:$L$3907)</f>
        <v>16</v>
      </c>
      <c r="K55" s="478" t="e" cm="1">
        <f t="array" ref="K55">IF(D55="",0, SUMPRODUCT(--(ISNUMBER(SEARCH($A55,'Diags Raw Data'!$A$6:$A$3907))),'Diags Raw Data'!$L$6:$L$3907,'Diags Raw Data'!$N$6:$N$3910)/J55)</f>
        <v>#VALUE!</v>
      </c>
      <c r="L55" s="479" cm="1">
        <f t="array" ref="L55">IF(D55="",0, SUMPRODUCT(--(ISNUMBER(SEARCH($A55,'Diags Raw Data'!$A$6:$A$3907))),'Diags Raw Data'!$L$6:$L$3907,'Diags Raw Data'!$P$6:$P$3907)/J55)</f>
        <v>1</v>
      </c>
      <c r="M55" s="480" cm="1">
        <f t="array" ref="M55">SUMPRODUCT(--(ISNUMBER(SEARCH($A55,'Diags Raw Data'!$A$6:$A$3907))),--('Diags Raw Data'!$Q$6:$Q$3907&lt;&gt;"N/A"),'Diags Raw Data'!$R$6:$R$3907)</f>
        <v>16</v>
      </c>
      <c r="N55" s="481" cm="1">
        <f t="array" ref="N55">SUMPRODUCT(--(ISNUMBER(SEARCH($A55,'Diags Raw Data'!$A$6:$A$3907))),--('Diags Raw Data'!$Q$6:$Q$3907&lt;&gt;"N/A"),'Diags Raw Data'!$T$6:$T$3907)+SUMPRODUCT(--(ISNUMBER(SEARCH($A55,'Diags Raw Data'!$A$6:$A$3907))),--('Diags Raw Data'!$Q$6:$Q$3907&lt;&gt;"N/A"),'Diags Raw Data'!$U$6:$U$3907)</f>
        <v>16</v>
      </c>
      <c r="O55" s="482">
        <f t="shared" si="1"/>
        <v>1</v>
      </c>
      <c r="P55" s="483">
        <f>SUMIF('Diags Raw Data'!$A$6:$A$3907,"*"&amp;$A55&amp;"*",'Diags Raw Data'!$Z$6:$Z$3907)</f>
        <v>16</v>
      </c>
      <c r="Q55" s="484">
        <f>SUM(SUMIF('Diags Raw Data'!$A$6:$A$3907,"*"&amp;$A55&amp;"*",'Diags Raw Data'!$AA$6:$AA$3907),SUMIF('Diags Raw Data'!$A$6:$A$3907,"*"&amp;$A55&amp;"*",'Diags Raw Data'!$AB$6:$AB$3907))</f>
        <v>11</v>
      </c>
      <c r="R55" s="485">
        <f t="shared" si="2"/>
        <v>1</v>
      </c>
      <c r="S55" s="485">
        <f t="shared" si="3"/>
        <v>0.6875</v>
      </c>
      <c r="T55" s="486">
        <f t="shared" si="4"/>
        <v>0.6875</v>
      </c>
      <c r="U55" s="530" t="s">
        <v>1423</v>
      </c>
      <c r="V55" s="180"/>
    </row>
    <row r="56" spans="1:22" x14ac:dyDescent="0.25">
      <c r="A56" s="524" t="s">
        <v>343</v>
      </c>
      <c r="B56" s="431" t="str">
        <f>VLOOKUP(A56,'Feature Raw Data'!$A$3:$B$4204,2,FALSE)</f>
        <v>MMHUB:MMUTCL2:VML2 - PDE Attributes</v>
      </c>
      <c r="C56" s="432" t="str">
        <f>VLOOKUP(A56,'Feature Raw Data'!$A$3:$C$4204,3,FALSE)</f>
        <v>P1</v>
      </c>
      <c r="D56" s="433" t="str" cm="1">
        <f t="array" ref="D56">_xlfn.TEXTJOIN("",TRUE,IF(ISNUMBER(SEARCH($A56,'Diags Raw Data'!$A$6:$A$3907)),CONCATENATE('Diags Raw Data'!$H$6:$H$3907,", "),""))</f>
        <v xml:space="preserve">mhub005, mhub010.1,mhub010.2, mhub082, </v>
      </c>
      <c r="E56" s="324" t="str">
        <f>VLOOKUP(A56,'Diags Raw Data'!$A$6:$D$3907,4,FALSE)</f>
        <v>MMHUB</v>
      </c>
      <c r="F56" s="324" t="str">
        <f>VLOOKUP(A56,'Feature Raw Data'!$A$3:$E$4204,5,FALSE)</f>
        <v>Delta</v>
      </c>
      <c r="G56" s="324" t="str">
        <f t="shared" si="44"/>
        <v>Yes</v>
      </c>
      <c r="H56" s="324" t="str">
        <f t="shared" si="45"/>
        <v>Yes</v>
      </c>
      <c r="I56" s="432">
        <f>SUMIF('Diags Raw Data'!$A$6:$A$3907,"*"&amp;$A56&amp;"*",'Diags Raw Data'!$K$6:$K$3907)</f>
        <v>3</v>
      </c>
      <c r="J56" s="434">
        <f>SUMIF('Diags Raw Data'!$A$6:$A$3907,"*"&amp;$A56&amp;"*",'Diags Raw Data'!$L$6:$L$3907)</f>
        <v>4</v>
      </c>
      <c r="K56" s="478" t="e" cm="1">
        <f t="array" ref="K56">IF(D56="",0, SUMPRODUCT(--(ISNUMBER(SEARCH($A56,'Diags Raw Data'!$A$6:$A$3907))),'Diags Raw Data'!$L$6:$L$3907,'Diags Raw Data'!$N$6:$N$3910)/J56)</f>
        <v>#VALUE!</v>
      </c>
      <c r="L56" s="479" cm="1">
        <f t="array" ref="L56">IF(D56="",0, SUMPRODUCT(--(ISNUMBER(SEARCH($A56,'Diags Raw Data'!$A$6:$A$3907))),'Diags Raw Data'!$L$6:$L$3907,'Diags Raw Data'!$P$6:$P$3907)/J56)</f>
        <v>1</v>
      </c>
      <c r="M56" s="480" cm="1">
        <f t="array" ref="M56">SUMPRODUCT(--(ISNUMBER(SEARCH($A56,'Diags Raw Data'!$A$6:$A$3907))),--('Diags Raw Data'!$Q$6:$Q$3907&lt;&gt;"N/A"),'Diags Raw Data'!$R$6:$R$3907)</f>
        <v>4</v>
      </c>
      <c r="N56" s="481" cm="1">
        <f t="array" ref="N56">SUMPRODUCT(--(ISNUMBER(SEARCH($A56,'Diags Raw Data'!$A$6:$A$3907))),--('Diags Raw Data'!$Q$6:$Q$3907&lt;&gt;"N/A"),'Diags Raw Data'!$T$6:$T$3907)+SUMPRODUCT(--(ISNUMBER(SEARCH($A56,'Diags Raw Data'!$A$6:$A$3907))),--('Diags Raw Data'!$Q$6:$Q$3907&lt;&gt;"N/A"),'Diags Raw Data'!$U$6:$U$3907)</f>
        <v>4</v>
      </c>
      <c r="O56" s="482">
        <f t="shared" si="1"/>
        <v>1</v>
      </c>
      <c r="P56" s="483">
        <f>SUMIF('Diags Raw Data'!$A$6:$A$3907,"*"&amp;$A56&amp;"*",'Diags Raw Data'!$Z$6:$Z$3907)</f>
        <v>4</v>
      </c>
      <c r="Q56" s="484">
        <f>SUM(SUMIF('Diags Raw Data'!$A$6:$A$3907,"*"&amp;$A56&amp;"*",'Diags Raw Data'!$AA$6:$AA$3907),SUMIF('Diags Raw Data'!$A$6:$A$3907,"*"&amp;$A56&amp;"*",'Diags Raw Data'!$AB$6:$AB$3907))</f>
        <v>2</v>
      </c>
      <c r="R56" s="485">
        <f t="shared" si="2"/>
        <v>1</v>
      </c>
      <c r="S56" s="485">
        <f t="shared" si="3"/>
        <v>0.5</v>
      </c>
      <c r="T56" s="486">
        <f t="shared" si="4"/>
        <v>0.5</v>
      </c>
      <c r="U56" s="530" t="s">
        <v>1423</v>
      </c>
      <c r="V56" s="180"/>
    </row>
    <row r="57" spans="1:22" ht="75" x14ac:dyDescent="0.25">
      <c r="A57" s="524" t="s">
        <v>349</v>
      </c>
      <c r="B57" s="431" t="str">
        <f>VLOOKUP(A57,'Feature Raw Data'!$A$3:$B$4204,2,FALSE)</f>
        <v>MMHUB:MMUTCL2:VML2 - PTE Attributes</v>
      </c>
      <c r="C57" s="432" t="str">
        <f>VLOOKUP(A57,'Feature Raw Data'!$A$3:$C$4204,3,FALSE)</f>
        <v>P2</v>
      </c>
      <c r="D57" s="433" t="str" cm="1">
        <f t="array" ref="D57">_xlfn.TEXTJOIN("",TRUE,IF(ISNUMBER(SEARCH($A57,'Diags Raw Data'!$A$6:$A$3907)),CONCATENATE('Diags Raw Data'!$H$6:$H$3907,", "),""))</f>
        <v xml:space="preserve">mhub006.1,mhub006.2,mhub006.4, mhub007.4, mhub008.1,mhub008.2, mhub011.1, mhub011.2, mhub011.3, mhub011.4, mhub011.5, mhub012, mhub013.1, mhub013.2, mhub014.1,mhub014.2, mhub086.1,mhub086.2, </v>
      </c>
      <c r="E57" s="324" t="str">
        <f>VLOOKUP(A57,'Diags Raw Data'!$A$6:$D$3907,4,FALSE)</f>
        <v>MMHUB</v>
      </c>
      <c r="F57" s="324" t="str">
        <f>VLOOKUP(A57,'Feature Raw Data'!$A$3:$E$4204,5,FALSE)</f>
        <v>Legacy</v>
      </c>
      <c r="G57" s="324" t="str">
        <f t="shared" si="44"/>
        <v>Yes</v>
      </c>
      <c r="H57" s="324" t="str">
        <f t="shared" si="45"/>
        <v>Yes</v>
      </c>
      <c r="I57" s="432">
        <f>SUMIF('Diags Raw Data'!$A$6:$A$3907,"*"&amp;$A57&amp;"*",'Diags Raw Data'!$K$6:$K$3907)</f>
        <v>13</v>
      </c>
      <c r="J57" s="434">
        <f>SUMIF('Diags Raw Data'!$A$6:$A$3907,"*"&amp;$A57&amp;"*",'Diags Raw Data'!$L$6:$L$3907)</f>
        <v>18</v>
      </c>
      <c r="K57" s="478" t="e" cm="1">
        <f t="array" ref="K57">IF(D57="",0, SUMPRODUCT(--(ISNUMBER(SEARCH($A57,'Diags Raw Data'!$A$6:$A$3907))),'Diags Raw Data'!$L$6:$L$3907,'Diags Raw Data'!$N$6:$N$3910)/J57)</f>
        <v>#VALUE!</v>
      </c>
      <c r="L57" s="479" cm="1">
        <f t="array" ref="L57">IF(D57="",0, SUMPRODUCT(--(ISNUMBER(SEARCH($A57,'Diags Raw Data'!$A$6:$A$3907))),'Diags Raw Data'!$L$6:$L$3907,'Diags Raw Data'!$P$6:$P$3907)/J57)</f>
        <v>1</v>
      </c>
      <c r="M57" s="480" cm="1">
        <f t="array" ref="M57">SUMPRODUCT(--(ISNUMBER(SEARCH($A57,'Diags Raw Data'!$A$6:$A$3907))),--('Diags Raw Data'!$Q$6:$Q$3907&lt;&gt;"N/A"),'Diags Raw Data'!$R$6:$R$3907)</f>
        <v>18</v>
      </c>
      <c r="N57" s="481" cm="1">
        <f t="array" ref="N57">SUMPRODUCT(--(ISNUMBER(SEARCH($A57,'Diags Raw Data'!$A$6:$A$3907))),--('Diags Raw Data'!$Q$6:$Q$3907&lt;&gt;"N/A"),'Diags Raw Data'!$T$6:$T$3907)+SUMPRODUCT(--(ISNUMBER(SEARCH($A57,'Diags Raw Data'!$A$6:$A$3907))),--('Diags Raw Data'!$Q$6:$Q$3907&lt;&gt;"N/A"),'Diags Raw Data'!$U$6:$U$3907)</f>
        <v>18</v>
      </c>
      <c r="O57" s="482">
        <f t="shared" si="1"/>
        <v>1</v>
      </c>
      <c r="P57" s="483">
        <f>SUMIF('Diags Raw Data'!$A$6:$A$3907,"*"&amp;$A57&amp;"*",'Diags Raw Data'!$Z$6:$Z$3907)</f>
        <v>18</v>
      </c>
      <c r="Q57" s="484">
        <f>SUM(SUMIF('Diags Raw Data'!$A$6:$A$3907,"*"&amp;$A57&amp;"*",'Diags Raw Data'!$AA$6:$AA$3907),SUMIF('Diags Raw Data'!$A$6:$A$3907,"*"&amp;$A57&amp;"*",'Diags Raw Data'!$AB$6:$AB$3907))</f>
        <v>15</v>
      </c>
      <c r="R57" s="485">
        <f t="shared" si="2"/>
        <v>1</v>
      </c>
      <c r="S57" s="485">
        <f t="shared" si="3"/>
        <v>0.83333333333333337</v>
      </c>
      <c r="T57" s="486">
        <f t="shared" si="4"/>
        <v>0.83333333333333337</v>
      </c>
      <c r="U57" s="530" t="s">
        <v>1423</v>
      </c>
      <c r="V57" s="180"/>
    </row>
    <row r="58" spans="1:22" ht="30" x14ac:dyDescent="0.25">
      <c r="A58" s="524" t="s">
        <v>505</v>
      </c>
      <c r="B58" s="431" t="str">
        <f>VLOOKUP(A58,'Feature Raw Data'!$A$3:$B$4204,2,FALSE)</f>
        <v>MMHUB:MMUTCL2:VML2 - PTE permissions returned</v>
      </c>
      <c r="C58" s="432" t="str">
        <f>VLOOKUP(A58,'Feature Raw Data'!$A$3:$C$4204,3,FALSE)</f>
        <v>P2</v>
      </c>
      <c r="D58" s="433" t="str" cm="1">
        <f t="array" ref="D58">_xlfn.TEXTJOIN("",TRUE,IF(ISNUMBER(SEARCH($A58,'Diags Raw Data'!$A$6:$A$3907)),CONCATENATE('Diags Raw Data'!$H$6:$H$3907,", "),""))</f>
        <v xml:space="preserve">mhub141.1, mhub141.2, </v>
      </c>
      <c r="E58" s="324" t="str">
        <f>VLOOKUP(A58,'Diags Raw Data'!$A$6:$D$3907,4,FALSE)</f>
        <v>MMHUB</v>
      </c>
      <c r="F58" s="324" t="str">
        <f>VLOOKUP(A58,'Feature Raw Data'!$A$3:$E$4204,5,FALSE)</f>
        <v>Legacy</v>
      </c>
      <c r="G58" s="324" t="str">
        <f t="shared" si="44"/>
        <v>Yes</v>
      </c>
      <c r="H58" s="324" t="str">
        <f t="shared" si="45"/>
        <v>Yes</v>
      </c>
      <c r="I58" s="432">
        <f>SUMIF('Diags Raw Data'!$A$6:$A$3907,"*"&amp;$A58&amp;"*",'Diags Raw Data'!$K$6:$K$3907)</f>
        <v>4</v>
      </c>
      <c r="J58" s="434">
        <f>SUMIF('Diags Raw Data'!$A$6:$A$3907,"*"&amp;$A58&amp;"*",'Diags Raw Data'!$L$6:$L$3907)</f>
        <v>2</v>
      </c>
      <c r="K58" s="478" t="e" cm="1">
        <f t="array" ref="K58">IF(D58="",0, SUMPRODUCT(--(ISNUMBER(SEARCH($A58,'Diags Raw Data'!$A$6:$A$3907))),'Diags Raw Data'!$L$6:$L$3907,'Diags Raw Data'!$N$6:$N$3910)/J58)</f>
        <v>#VALUE!</v>
      </c>
      <c r="L58" s="479" cm="1">
        <f t="array" ref="L58">IF(D58="",0, SUMPRODUCT(--(ISNUMBER(SEARCH($A58,'Diags Raw Data'!$A$6:$A$3907))),'Diags Raw Data'!$L$6:$L$3907,'Diags Raw Data'!$P$6:$P$3907)/J58)</f>
        <v>1</v>
      </c>
      <c r="M58" s="480" cm="1">
        <f t="array" ref="M58">SUMPRODUCT(--(ISNUMBER(SEARCH($A58,'Diags Raw Data'!$A$6:$A$3907))),--('Diags Raw Data'!$Q$6:$Q$3907&lt;&gt;"N/A"),'Diags Raw Data'!$R$6:$R$3907)</f>
        <v>2</v>
      </c>
      <c r="N58" s="481" cm="1">
        <f t="array" ref="N58">SUMPRODUCT(--(ISNUMBER(SEARCH($A58,'Diags Raw Data'!$A$6:$A$3907))),--('Diags Raw Data'!$Q$6:$Q$3907&lt;&gt;"N/A"),'Diags Raw Data'!$T$6:$T$3907)+SUMPRODUCT(--(ISNUMBER(SEARCH($A58,'Diags Raw Data'!$A$6:$A$3907))),--('Diags Raw Data'!$Q$6:$Q$3907&lt;&gt;"N/A"),'Diags Raw Data'!$U$6:$U$3907)</f>
        <v>2</v>
      </c>
      <c r="O58" s="482">
        <f t="shared" si="1"/>
        <v>1</v>
      </c>
      <c r="P58" s="483">
        <f>SUMIF('Diags Raw Data'!$A$6:$A$3907,"*"&amp;$A58&amp;"*",'Diags Raw Data'!$Z$6:$Z$3907)</f>
        <v>2</v>
      </c>
      <c r="Q58" s="484">
        <f>SUM(SUMIF('Diags Raw Data'!$A$6:$A$3907,"*"&amp;$A58&amp;"*",'Diags Raw Data'!$AA$6:$AA$3907),SUMIF('Diags Raw Data'!$A$6:$A$3907,"*"&amp;$A58&amp;"*",'Diags Raw Data'!$AB$6:$AB$3907))</f>
        <v>0</v>
      </c>
      <c r="R58" s="485">
        <f t="shared" si="2"/>
        <v>1</v>
      </c>
      <c r="S58" s="485">
        <f t="shared" si="3"/>
        <v>0</v>
      </c>
      <c r="T58" s="486">
        <f t="shared" si="4"/>
        <v>0</v>
      </c>
      <c r="U58" s="530" t="s">
        <v>1425</v>
      </c>
      <c r="V58" s="180"/>
    </row>
    <row r="59" spans="1:22" ht="165" x14ac:dyDescent="0.25">
      <c r="A59" s="524" t="s">
        <v>1161</v>
      </c>
      <c r="B59" s="431" t="str">
        <f>VLOOKUP(A59,'Feature Raw Data'!$A$3:$B$4204,2,FALSE)</f>
        <v>MMHUB:MMUTCL2:VML2 - Mtype Attribute</v>
      </c>
      <c r="C59" s="432" t="str">
        <f>VLOOKUP(A59,'Feature Raw Data'!$A$3:$C$4204,3,FALSE)</f>
        <v>P1</v>
      </c>
      <c r="D59" s="433" t="str" cm="1">
        <f t="array" ref="D59">_xlfn.TEXTJOIN("",TRUE,IF(ISNUMBER(SEARCH($A59,'Diags Raw Data'!$A$6:$A$3907)),CONCATENATE('Diags Raw Data'!$H$6:$H$3907,", "),""))</f>
        <v xml:space="preserve">mhub408.101, mhub408.103, mhub408.105, mhub408.107, mhub408.151, mhub408.153, mhub408.155, mhub408.157, mhub408.161, mhub408.163, mhub408.165, mhub408.167, mhub408.171, mhub408.173, mhub408.175, mhub408.177, mhub408.81, mhub408.83, mhub408.85, mhub408.87, mhub408.91, mhub408.93, mhub408.95, mhub408.97, </v>
      </c>
      <c r="E59" s="324" t="e">
        <f>VLOOKUP(A59,'Diags Raw Data'!$A$6:$D$3907,4,FALSE)</f>
        <v>#N/A</v>
      </c>
      <c r="F59" s="324" t="str">
        <f>VLOOKUP(A59,'Feature Raw Data'!$A$3:$E$4204,5,FALSE)</f>
        <v>Delta</v>
      </c>
      <c r="G59" s="324" t="str">
        <f t="shared" si="44"/>
        <v>Yes</v>
      </c>
      <c r="H59" s="324" t="str">
        <f t="shared" si="45"/>
        <v>Yes</v>
      </c>
      <c r="I59" s="432">
        <f>SUMIF('Diags Raw Data'!$A$6:$A$3907,"*"&amp;$A59&amp;"*",'Diags Raw Data'!$K$6:$K$3907)</f>
        <v>27</v>
      </c>
      <c r="J59" s="434">
        <f>SUMIF('Diags Raw Data'!$A$6:$A$3907,"*"&amp;$A59&amp;"*",'Diags Raw Data'!$L$6:$L$3907)</f>
        <v>24</v>
      </c>
      <c r="K59" s="478" t="e" cm="1">
        <f t="array" ref="K59">IF(D59="",0, SUMPRODUCT(--(ISNUMBER(SEARCH($A59,'Diags Raw Data'!$A$6:$A$3907))),'Diags Raw Data'!$L$6:$L$3907,'Diags Raw Data'!$N$6:$N$3910)/J59)</f>
        <v>#VALUE!</v>
      </c>
      <c r="L59" s="479" cm="1">
        <f t="array" ref="L59">IF(D59="",0, SUMPRODUCT(--(ISNUMBER(SEARCH($A59,'Diags Raw Data'!$A$6:$A$3907))),'Diags Raw Data'!$L$6:$L$3907,'Diags Raw Data'!$P$6:$P$3907)/J59)</f>
        <v>1</v>
      </c>
      <c r="M59" s="480" cm="1">
        <f t="array" ref="M59">SUMPRODUCT(--(ISNUMBER(SEARCH($A59,'Diags Raw Data'!$A$6:$A$3907))),--('Diags Raw Data'!$Q$6:$Q$3907&lt;&gt;"N/A"),'Diags Raw Data'!$R$6:$R$3907)</f>
        <v>24</v>
      </c>
      <c r="N59" s="481" cm="1">
        <f t="array" ref="N59">SUMPRODUCT(--(ISNUMBER(SEARCH($A59,'Diags Raw Data'!$A$6:$A$3907))),--('Diags Raw Data'!$Q$6:$Q$3907&lt;&gt;"N/A"),'Diags Raw Data'!$T$6:$T$3907)+SUMPRODUCT(--(ISNUMBER(SEARCH($A59,'Diags Raw Data'!$A$6:$A$3907))),--('Diags Raw Data'!$Q$6:$Q$3907&lt;&gt;"N/A"),'Diags Raw Data'!$U$6:$U$3907)</f>
        <v>24</v>
      </c>
      <c r="O59" s="482">
        <f t="shared" si="1"/>
        <v>1</v>
      </c>
      <c r="P59" s="483">
        <f>SUMIF('Diags Raw Data'!$A$6:$A$3907,"*"&amp;$A59&amp;"*",'Diags Raw Data'!$Z$6:$Z$3907)</f>
        <v>24</v>
      </c>
      <c r="Q59" s="484">
        <f>SUM(SUMIF('Diags Raw Data'!$A$6:$A$3907,"*"&amp;$A59&amp;"*",'Diags Raw Data'!$AA$6:$AA$3907),SUMIF('Diags Raw Data'!$A$6:$A$3907,"*"&amp;$A59&amp;"*",'Diags Raw Data'!$AB$6:$AB$3907))</f>
        <v>0</v>
      </c>
      <c r="R59" s="485">
        <f t="shared" si="2"/>
        <v>1</v>
      </c>
      <c r="S59" s="485">
        <f t="shared" si="3"/>
        <v>0</v>
      </c>
      <c r="T59" s="486">
        <f t="shared" si="4"/>
        <v>0</v>
      </c>
      <c r="U59" s="530" t="s">
        <v>1425</v>
      </c>
      <c r="V59" s="180"/>
    </row>
    <row r="60" spans="1:22" ht="29.25" customHeight="1" x14ac:dyDescent="0.25">
      <c r="A60" s="524" t="s">
        <v>1163</v>
      </c>
      <c r="B60" s="431" t="str">
        <f>VLOOKUP(A60,'Feature Raw Data'!$A$3:$B$4204,2,FALSE)</f>
        <v>MMHUB:MMUTCL2:VML2 - Page table block size, PDE and PTE Fragment sizes</v>
      </c>
      <c r="C60" s="432" t="str">
        <f>VLOOKUP(A60,'Feature Raw Data'!$A$3:$C$4204,3,FALSE)</f>
        <v>P2</v>
      </c>
      <c r="D60" s="433" t="str" cm="1">
        <f t="array" ref="D60">_xlfn.TEXTJOIN("",TRUE,IF(ISNUMBER(SEARCH($A60,'Diags Raw Data'!$A$6:$A$3907)),CONCATENATE('Diags Raw Data'!$H$6:$H$3907,", "),""))</f>
        <v xml:space="preserve">mhub012, </v>
      </c>
      <c r="E60" s="324" t="e">
        <f>VLOOKUP(A60,'Diags Raw Data'!$A$6:$D$3907,4,FALSE)</f>
        <v>#N/A</v>
      </c>
      <c r="F60" s="324" t="str">
        <f>VLOOKUP(A60,'Feature Raw Data'!$A$3:$E$4204,5,FALSE)</f>
        <v>Legacy</v>
      </c>
      <c r="G60" s="324" t="str">
        <f t="shared" si="44"/>
        <v>Yes</v>
      </c>
      <c r="H60" s="324" t="str">
        <f t="shared" si="45"/>
        <v>Yes</v>
      </c>
      <c r="I60" s="432">
        <f>SUMIF('Diags Raw Data'!$A$6:$A$3907,"*"&amp;$A60&amp;"*",'Diags Raw Data'!$K$6:$K$3907)</f>
        <v>1</v>
      </c>
      <c r="J60" s="434">
        <f>SUMIF('Diags Raw Data'!$A$6:$A$3907,"*"&amp;$A60&amp;"*",'Diags Raw Data'!$L$6:$L$3907)</f>
        <v>1</v>
      </c>
      <c r="K60" s="478" t="e" cm="1">
        <f t="array" ref="K60">IF(D60="",0, SUMPRODUCT(--(ISNUMBER(SEARCH($A60,'Diags Raw Data'!$A$6:$A$3907))),'Diags Raw Data'!$L$6:$L$3907,'Diags Raw Data'!$N$6:$N$3910)/J60)</f>
        <v>#VALUE!</v>
      </c>
      <c r="L60" s="479" cm="1">
        <f t="array" ref="L60">IF(D60="",0, SUMPRODUCT(--(ISNUMBER(SEARCH($A60,'Diags Raw Data'!$A$6:$A$3907))),'Diags Raw Data'!$L$6:$L$3907,'Diags Raw Data'!$P$6:$P$3907)/J60)</f>
        <v>1</v>
      </c>
      <c r="M60" s="480" cm="1">
        <f t="array" ref="M60">SUMPRODUCT(--(ISNUMBER(SEARCH($A60,'Diags Raw Data'!$A$6:$A$3907))),--('Diags Raw Data'!$Q$6:$Q$3907&lt;&gt;"N/A"),'Diags Raw Data'!$R$6:$R$3907)</f>
        <v>1</v>
      </c>
      <c r="N60" s="481" cm="1">
        <f t="array" ref="N60">SUMPRODUCT(--(ISNUMBER(SEARCH($A60,'Diags Raw Data'!$A$6:$A$3907))),--('Diags Raw Data'!$Q$6:$Q$3907&lt;&gt;"N/A"),'Diags Raw Data'!$T$6:$T$3907)+SUMPRODUCT(--(ISNUMBER(SEARCH($A60,'Diags Raw Data'!$A$6:$A$3907))),--('Diags Raw Data'!$Q$6:$Q$3907&lt;&gt;"N/A"),'Diags Raw Data'!$U$6:$U$3907)</f>
        <v>1</v>
      </c>
      <c r="O60" s="482">
        <f t="shared" si="1"/>
        <v>1</v>
      </c>
      <c r="P60" s="483">
        <f>SUMIF('Diags Raw Data'!$A$6:$A$3907,"*"&amp;$A60&amp;"*",'Diags Raw Data'!$Z$6:$Z$3907)</f>
        <v>1</v>
      </c>
      <c r="Q60" s="484">
        <f>SUM(SUMIF('Diags Raw Data'!$A$6:$A$3907,"*"&amp;$A60&amp;"*",'Diags Raw Data'!$AA$6:$AA$3907),SUMIF('Diags Raw Data'!$A$6:$A$3907,"*"&amp;$A60&amp;"*",'Diags Raw Data'!$AB$6:$AB$3907))</f>
        <v>1</v>
      </c>
      <c r="R60" s="485">
        <f t="shared" si="2"/>
        <v>1</v>
      </c>
      <c r="S60" s="485">
        <f t="shared" si="3"/>
        <v>1</v>
      </c>
      <c r="T60" s="486">
        <f t="shared" si="4"/>
        <v>1</v>
      </c>
      <c r="U60" s="530" t="s">
        <v>1422</v>
      </c>
      <c r="V60" s="180"/>
    </row>
    <row r="61" spans="1:22" ht="45" x14ac:dyDescent="0.25">
      <c r="A61" s="524" t="s">
        <v>946</v>
      </c>
      <c r="B61" s="431" t="str">
        <f>VLOOKUP(A61,'Feature Raw Data'!$A$3:$B$4204,2,FALSE)</f>
        <v>MMHUB:MMUTCL2:VML2 - Translate Further/PTE.F bit</v>
      </c>
      <c r="C61" s="432" t="str">
        <f>VLOOKUP(A61,'Feature Raw Data'!$A$3:$C$4204,3,FALSE)</f>
        <v>P2</v>
      </c>
      <c r="D61" s="433" t="str" cm="1">
        <f t="array" ref="D61">_xlfn.TEXTJOIN("",TRUE,IF(ISNUMBER(SEARCH($A61,'Diags Raw Data'!$A$6:$A$3907)),CONCATENATE('Diags Raw Data'!$H$6:$H$3907,", "),""))</f>
        <v xml:space="preserve">mhub011.1, mhub011.2, mhub011.3, mhub011.4, mhub011.5, mhub127.1, mhub127.2, mhub127.3, mhub127.4, </v>
      </c>
      <c r="E61" s="324" t="str">
        <f>VLOOKUP(A61,'Diags Raw Data'!$A$6:$D$3907,4,FALSE)</f>
        <v>MMHUB</v>
      </c>
      <c r="F61" s="324" t="str">
        <f>VLOOKUP(A61,'Feature Raw Data'!$A$3:$E$4204,5,FALSE)</f>
        <v>Legacy</v>
      </c>
      <c r="G61" s="324" t="str">
        <f t="shared" si="44"/>
        <v>Yes</v>
      </c>
      <c r="H61" s="324" t="str">
        <f t="shared" si="45"/>
        <v>Yes</v>
      </c>
      <c r="I61" s="432">
        <f>SUMIF('Diags Raw Data'!$A$6:$A$3907,"*"&amp;$A61&amp;"*",'Diags Raw Data'!$K$6:$K$3907)</f>
        <v>41</v>
      </c>
      <c r="J61" s="434">
        <f>SUMIF('Diags Raw Data'!$A$6:$A$3907,"*"&amp;$A61&amp;"*",'Diags Raw Data'!$L$6:$L$3907)</f>
        <v>9</v>
      </c>
      <c r="K61" s="478" t="e" cm="1">
        <f t="array" ref="K61">IF(D61="",0, SUMPRODUCT(--(ISNUMBER(SEARCH($A61,'Diags Raw Data'!$A$6:$A$3907))),'Diags Raw Data'!$L$6:$L$3907,'Diags Raw Data'!$N$6:$N$3910)/J61)</f>
        <v>#VALUE!</v>
      </c>
      <c r="L61" s="479" cm="1">
        <f t="array" ref="L61">IF(D61="",0, SUMPRODUCT(--(ISNUMBER(SEARCH($A61,'Diags Raw Data'!$A$6:$A$3907))),'Diags Raw Data'!$L$6:$L$3907,'Diags Raw Data'!$P$6:$P$3907)/J61)</f>
        <v>1</v>
      </c>
      <c r="M61" s="480" cm="1">
        <f t="array" ref="M61">SUMPRODUCT(--(ISNUMBER(SEARCH($A61,'Diags Raw Data'!$A$6:$A$3907))),--('Diags Raw Data'!$Q$6:$Q$3907&lt;&gt;"N/A"),'Diags Raw Data'!$R$6:$R$3907)</f>
        <v>9</v>
      </c>
      <c r="N61" s="481" cm="1">
        <f t="array" ref="N61">SUMPRODUCT(--(ISNUMBER(SEARCH($A61,'Diags Raw Data'!$A$6:$A$3907))),--('Diags Raw Data'!$Q$6:$Q$3907&lt;&gt;"N/A"),'Diags Raw Data'!$T$6:$T$3907)+SUMPRODUCT(--(ISNUMBER(SEARCH($A61,'Diags Raw Data'!$A$6:$A$3907))),--('Diags Raw Data'!$Q$6:$Q$3907&lt;&gt;"N/A"),'Diags Raw Data'!$U$6:$U$3907)</f>
        <v>9</v>
      </c>
      <c r="O61" s="482">
        <f t="shared" si="1"/>
        <v>1</v>
      </c>
      <c r="P61" s="483">
        <f>SUMIF('Diags Raw Data'!$A$6:$A$3907,"*"&amp;$A61&amp;"*",'Diags Raw Data'!$Z$6:$Z$3907)</f>
        <v>9</v>
      </c>
      <c r="Q61" s="484">
        <f>SUM(SUMIF('Diags Raw Data'!$A$6:$A$3907,"*"&amp;$A61&amp;"*",'Diags Raw Data'!$AA$6:$AA$3907),SUMIF('Diags Raw Data'!$A$6:$A$3907,"*"&amp;$A61&amp;"*",'Diags Raw Data'!$AB$6:$AB$3907))</f>
        <v>3</v>
      </c>
      <c r="R61" s="485">
        <f t="shared" si="2"/>
        <v>1</v>
      </c>
      <c r="S61" s="485">
        <f t="shared" si="3"/>
        <v>0.33333333333333331</v>
      </c>
      <c r="T61" s="486">
        <f t="shared" si="4"/>
        <v>0.33333333333333331</v>
      </c>
      <c r="U61" s="530" t="s">
        <v>1425</v>
      </c>
      <c r="V61" s="180"/>
    </row>
    <row r="62" spans="1:22" ht="30" x14ac:dyDescent="0.25">
      <c r="A62" s="524" t="s">
        <v>1165</v>
      </c>
      <c r="B62" s="431" t="str">
        <f>VLOOKUP(A62,'Feature Raw Data'!$A$3:$B$4204,2,FALSE)</f>
        <v>MMHUB:MMUTCL2:VML2 - Support for 2MB, 1G, 512GB pages aka PDE Block Fragment Size</v>
      </c>
      <c r="C62" s="432" t="str">
        <f>VLOOKUP(A62,'Feature Raw Data'!$A$3:$C$4204,3,FALSE)</f>
        <v>P2</v>
      </c>
      <c r="D62" s="433" t="str" cm="1">
        <f t="array" ref="D62">_xlfn.TEXTJOIN("",TRUE,IF(ISNUMBER(SEARCH($A62,'Diags Raw Data'!$A$6:$A$3907)),CONCATENATE('Diags Raw Data'!$H$6:$H$3907,", "),""))</f>
        <v xml:space="preserve">mhub012, </v>
      </c>
      <c r="E62" s="324" t="e">
        <f>VLOOKUP(A62,'Diags Raw Data'!$A$6:$D$3907,4,FALSE)</f>
        <v>#N/A</v>
      </c>
      <c r="F62" s="324" t="str">
        <f>VLOOKUP(A62,'Feature Raw Data'!$A$3:$E$4204,5,FALSE)</f>
        <v>Legacy</v>
      </c>
      <c r="G62" s="324" t="str">
        <f t="shared" si="44"/>
        <v>Yes</v>
      </c>
      <c r="H62" s="324" t="str">
        <f t="shared" si="45"/>
        <v>Yes</v>
      </c>
      <c r="I62" s="432">
        <f>SUMIF('Diags Raw Data'!$A$6:$A$3907,"*"&amp;$A62&amp;"*",'Diags Raw Data'!$K$6:$K$3907)</f>
        <v>1</v>
      </c>
      <c r="J62" s="434">
        <f>SUMIF('Diags Raw Data'!$A$6:$A$3907,"*"&amp;$A62&amp;"*",'Diags Raw Data'!$L$6:$L$3907)</f>
        <v>1</v>
      </c>
      <c r="K62" s="478" t="e" cm="1">
        <f t="array" ref="K62">IF(D62="",0, SUMPRODUCT(--(ISNUMBER(SEARCH($A62,'Diags Raw Data'!$A$6:$A$3907))),'Diags Raw Data'!$L$6:$L$3907,'Diags Raw Data'!$N$6:$N$3910)/J62)</f>
        <v>#VALUE!</v>
      </c>
      <c r="L62" s="479" cm="1">
        <f t="array" ref="L62">IF(D62="",0, SUMPRODUCT(--(ISNUMBER(SEARCH($A62,'Diags Raw Data'!$A$6:$A$3907))),'Diags Raw Data'!$L$6:$L$3907,'Diags Raw Data'!$P$6:$P$3907)/J62)</f>
        <v>1</v>
      </c>
      <c r="M62" s="480" cm="1">
        <f t="array" ref="M62">SUMPRODUCT(--(ISNUMBER(SEARCH($A62,'Diags Raw Data'!$A$6:$A$3907))),--('Diags Raw Data'!$Q$6:$Q$3907&lt;&gt;"N/A"),'Diags Raw Data'!$R$6:$R$3907)</f>
        <v>1</v>
      </c>
      <c r="N62" s="481" cm="1">
        <f t="array" ref="N62">SUMPRODUCT(--(ISNUMBER(SEARCH($A62,'Diags Raw Data'!$A$6:$A$3907))),--('Diags Raw Data'!$Q$6:$Q$3907&lt;&gt;"N/A"),'Diags Raw Data'!$T$6:$T$3907)+SUMPRODUCT(--(ISNUMBER(SEARCH($A62,'Diags Raw Data'!$A$6:$A$3907))),--('Diags Raw Data'!$Q$6:$Q$3907&lt;&gt;"N/A"),'Diags Raw Data'!$U$6:$U$3907)</f>
        <v>1</v>
      </c>
      <c r="O62" s="482">
        <f t="shared" si="1"/>
        <v>1</v>
      </c>
      <c r="P62" s="483">
        <f>SUMIF('Diags Raw Data'!$A$6:$A$3907,"*"&amp;$A62&amp;"*",'Diags Raw Data'!$Z$6:$Z$3907)</f>
        <v>1</v>
      </c>
      <c r="Q62" s="484">
        <f>SUM(SUMIF('Diags Raw Data'!$A$6:$A$3907,"*"&amp;$A62&amp;"*",'Diags Raw Data'!$AA$6:$AA$3907),SUMIF('Diags Raw Data'!$A$6:$A$3907,"*"&amp;$A62&amp;"*",'Diags Raw Data'!$AB$6:$AB$3907))</f>
        <v>1</v>
      </c>
      <c r="R62" s="485">
        <f t="shared" si="2"/>
        <v>1</v>
      </c>
      <c r="S62" s="485">
        <f t="shared" si="3"/>
        <v>1</v>
      </c>
      <c r="T62" s="486">
        <f t="shared" si="4"/>
        <v>1</v>
      </c>
      <c r="U62" s="530" t="s">
        <v>1423</v>
      </c>
      <c r="V62" s="180"/>
    </row>
    <row r="63" spans="1:22" ht="165" customHeight="1" x14ac:dyDescent="0.25">
      <c r="A63" s="524"/>
      <c r="B63" s="431"/>
      <c r="C63" s="432"/>
      <c r="D63" s="433"/>
      <c r="E63" s="324"/>
      <c r="F63" s="324"/>
      <c r="G63" s="324"/>
      <c r="H63" s="324"/>
      <c r="I63" s="432"/>
      <c r="J63" s="434"/>
      <c r="K63" s="478"/>
      <c r="L63" s="479"/>
      <c r="M63" s="480"/>
      <c r="N63" s="481"/>
      <c r="O63" s="482"/>
      <c r="P63" s="483"/>
      <c r="Q63" s="484"/>
      <c r="R63" s="485"/>
      <c r="S63" s="485"/>
      <c r="T63" s="486"/>
      <c r="U63" s="530"/>
      <c r="V63" s="180"/>
    </row>
    <row r="64" spans="1:22" ht="165" customHeight="1" x14ac:dyDescent="0.25">
      <c r="A64" s="524"/>
      <c r="B64" s="431"/>
      <c r="C64" s="432"/>
      <c r="D64" s="433"/>
      <c r="E64" s="324"/>
      <c r="F64" s="324"/>
      <c r="G64" s="324"/>
      <c r="H64" s="324"/>
      <c r="I64" s="432"/>
      <c r="J64" s="434"/>
      <c r="K64" s="478"/>
      <c r="L64" s="479"/>
      <c r="M64" s="480"/>
      <c r="N64" s="481"/>
      <c r="O64" s="482"/>
      <c r="P64" s="483"/>
      <c r="Q64" s="484"/>
      <c r="R64" s="485"/>
      <c r="S64" s="485"/>
      <c r="T64" s="486"/>
      <c r="U64" s="530"/>
      <c r="V64" s="180"/>
    </row>
    <row r="65" spans="1:23" ht="165" customHeight="1" x14ac:dyDescent="0.25">
      <c r="A65" s="524"/>
      <c r="B65" s="431"/>
      <c r="C65" s="432"/>
      <c r="D65" s="433"/>
      <c r="E65" s="324"/>
      <c r="F65" s="324"/>
      <c r="G65" s="324"/>
      <c r="H65" s="324"/>
      <c r="I65" s="432"/>
      <c r="J65" s="434"/>
      <c r="K65" s="478"/>
      <c r="L65" s="479"/>
      <c r="M65" s="480"/>
      <c r="N65" s="481"/>
      <c r="O65" s="482"/>
      <c r="P65" s="483"/>
      <c r="Q65" s="484"/>
      <c r="R65" s="485"/>
      <c r="S65" s="485"/>
      <c r="T65" s="486"/>
      <c r="U65" s="530"/>
      <c r="V65" s="180"/>
    </row>
    <row r="66" spans="1:23" ht="27.75" customHeight="1" x14ac:dyDescent="0.25">
      <c r="A66" s="315" t="s">
        <v>1177</v>
      </c>
      <c r="B66" s="431" t="str">
        <f>VLOOKUP(A66,'Feature Raw Data'!$A$3:$B$4204,2,FALSE)</f>
        <v>MMHUB:MMUTCL2:VML2 - VML2 BigK/4K cache swap</v>
      </c>
      <c r="C66" s="432" t="str">
        <f>VLOOKUP(A66,'Feature Raw Data'!$A$3:$C$4204,3,FALSE)</f>
        <v>P2</v>
      </c>
      <c r="D66" s="433" t="str" cm="1">
        <f t="array" ref="D66">_xlfn.TEXTJOIN("",TRUE,IF(ISNUMBER(SEARCH($A66,'Diags Raw Data'!$A$6:$A$3907)),CONCATENATE('Diags Raw Data'!$H$6:$H$3907,", "),""))</f>
        <v xml:space="preserve">mhub034.1, mhub034.2, mhub034.3, mhub034.4, </v>
      </c>
      <c r="E66" s="324" t="e">
        <f>VLOOKUP(A66,'Diags Raw Data'!$A$6:$D$3907,4,FALSE)</f>
        <v>#N/A</v>
      </c>
      <c r="F66" s="324" t="str">
        <f>VLOOKUP(A66,'Feature Raw Data'!$A$3:$E$4204,5,FALSE)</f>
        <v>Legacy</v>
      </c>
      <c r="G66" s="324" t="str">
        <f t="shared" si="44"/>
        <v>Yes</v>
      </c>
      <c r="H66" s="324" t="str">
        <f t="shared" si="45"/>
        <v>Yes</v>
      </c>
      <c r="I66" s="432">
        <f>SUMIF('Diags Raw Data'!$A$6:$A$3907,"*"&amp;$A66&amp;"*",'Diags Raw Data'!$K$6:$K$3907)</f>
        <v>4</v>
      </c>
      <c r="J66" s="434">
        <f>SUMIF('Diags Raw Data'!$A$6:$A$3907,"*"&amp;$A66&amp;"*",'Diags Raw Data'!$L$6:$L$3907)</f>
        <v>4</v>
      </c>
      <c r="K66" s="478" t="e" cm="1">
        <f t="array" ref="K66">IF(D66="",0, SUMPRODUCT(--(ISNUMBER(SEARCH($A66,'Diags Raw Data'!$A$6:$A$3907))),'Diags Raw Data'!$L$6:$L$3907,'Diags Raw Data'!$N$6:$N$3910)/J66)</f>
        <v>#VALUE!</v>
      </c>
      <c r="L66" s="479" cm="1">
        <f t="array" ref="L66">IF(D66="",0, SUMPRODUCT(--(ISNUMBER(SEARCH($A66,'Diags Raw Data'!$A$6:$A$3907))),'Diags Raw Data'!$L$6:$L$3907,'Diags Raw Data'!$P$6:$P$3907)/J66)</f>
        <v>1</v>
      </c>
      <c r="M66" s="480" cm="1">
        <f t="array" ref="M66">SUMPRODUCT(--(ISNUMBER(SEARCH($A66,'Diags Raw Data'!$A$6:$A$3907))),--('Diags Raw Data'!$Q$6:$Q$3907&lt;&gt;"N/A"),'Diags Raw Data'!$R$6:$R$3907)</f>
        <v>4</v>
      </c>
      <c r="N66" s="481" cm="1">
        <f t="array" ref="N66">SUMPRODUCT(--(ISNUMBER(SEARCH($A66,'Diags Raw Data'!$A$6:$A$3907))),--('Diags Raw Data'!$Q$6:$Q$3907&lt;&gt;"N/A"),'Diags Raw Data'!$T$6:$T$3907)+SUMPRODUCT(--(ISNUMBER(SEARCH($A66,'Diags Raw Data'!$A$6:$A$3907))),--('Diags Raw Data'!$Q$6:$Q$3907&lt;&gt;"N/A"),'Diags Raw Data'!$U$6:$U$3907)</f>
        <v>4</v>
      </c>
      <c r="O66" s="482">
        <f t="shared" si="1"/>
        <v>1</v>
      </c>
      <c r="P66" s="483">
        <f>SUMIF('Diags Raw Data'!$A$6:$A$3907,"*"&amp;$A66&amp;"*",'Diags Raw Data'!$Z$6:$Z$3907)</f>
        <v>4</v>
      </c>
      <c r="Q66" s="484">
        <f>SUM(SUMIF('Diags Raw Data'!$A$6:$A$3907,"*"&amp;$A66&amp;"*",'Diags Raw Data'!$AA$6:$AA$3907),SUMIF('Diags Raw Data'!$A$6:$A$3907,"*"&amp;$A66&amp;"*",'Diags Raw Data'!$AB$6:$AB$3907))</f>
        <v>0</v>
      </c>
      <c r="R66" s="485">
        <f t="shared" si="2"/>
        <v>1</v>
      </c>
      <c r="S66" s="485">
        <f t="shared" si="3"/>
        <v>0</v>
      </c>
      <c r="T66" s="486">
        <f t="shared" si="4"/>
        <v>0</v>
      </c>
      <c r="U66" s="530" t="s">
        <v>1423</v>
      </c>
      <c r="V66" s="180"/>
    </row>
    <row r="67" spans="1:23" ht="180" x14ac:dyDescent="0.25">
      <c r="A67" s="524" t="s">
        <v>1179</v>
      </c>
      <c r="B67" s="431" t="str">
        <f>VLOOKUP(A67,'Feature Raw Data'!$A$3:$B$4204,2,FALSE)</f>
        <v>MMHUB:MMUTCL2:VML2 - "noalloc" support (MALL)</v>
      </c>
      <c r="C67" s="432" t="str">
        <f>VLOOKUP(A67,'Feature Raw Data'!$A$3:$C$4204,3,FALSE)</f>
        <v>P1</v>
      </c>
      <c r="D67" s="433" t="str" cm="1">
        <f t="array" ref="D67">_xlfn.TEXTJOIN("",TRUE,IF(ISNUMBER(SEARCH($A67,'Diags Raw Data'!$A$6:$A$3907)),CONCATENATE('Diags Raw Data'!$H$6:$H$3907,", "),""))</f>
        <v xml:space="preserve">mhub153.1,mhub153.7,mhub153.401,mhub153.407, mhub153.2,mhub153.8,mhub153.402,mhub153.408, mhub153.201,mhub153.204,mhub153.211,mhub153.214, mhub153.301,mhub153.304,mhub153.311,mhub153.314, mhub153.5-6,mhub153.11-12,mhub153.405-406,mhub153.411-412, mhub153.203,mhub153.206,mhub153.213,mhub153.216, mhub153.303,mhub153.306,mhub153.313,mhub153.316, mhub153.525,mhub153.531,mhub153.533,mhub153.539, mhub153.526,mhub153.532,mhub153.534,mhub153.540, mhub153.221-252, mhub153.321-352, mhub153.421-452, </v>
      </c>
      <c r="E67" s="324" t="e">
        <f>VLOOKUP(A67,'Diags Raw Data'!$A$6:$D$3907,4,FALSE)</f>
        <v>#N/A</v>
      </c>
      <c r="F67" s="324" t="str">
        <f>VLOOKUP(A67,'Feature Raw Data'!$A$3:$E$4204,5,FALSE)</f>
        <v>Delta</v>
      </c>
      <c r="G67" s="324" t="str">
        <f t="shared" si="44"/>
        <v>Yes</v>
      </c>
      <c r="H67" s="324" t="str">
        <f t="shared" si="45"/>
        <v>Yes</v>
      </c>
      <c r="I67" s="432">
        <f>SUMIF('Diags Raw Data'!$A$6:$A$3907,"*"&amp;$A67&amp;"*",'Diags Raw Data'!$K$6:$K$3907)</f>
        <v>19</v>
      </c>
      <c r="J67" s="434">
        <f>SUMIF('Diags Raw Data'!$A$6:$A$3907,"*"&amp;$A67&amp;"*",'Diags Raw Data'!$L$6:$L$3907)</f>
        <v>136</v>
      </c>
      <c r="K67" s="478" t="e" cm="1">
        <f t="array" ref="K67">IF(D67="",0, SUMPRODUCT(--(ISNUMBER(SEARCH($A67,'Diags Raw Data'!$A$6:$A$3907))),'Diags Raw Data'!$L$6:$L$3907,'Diags Raw Data'!$N$6:$N$3910)/J67)</f>
        <v>#VALUE!</v>
      </c>
      <c r="L67" s="479" cm="1">
        <f t="array" ref="L67">IF(D67="",0, SUMPRODUCT(--(ISNUMBER(SEARCH($A67,'Diags Raw Data'!$A$6:$A$3907))),'Diags Raw Data'!$L$6:$L$3907,'Diags Raw Data'!$P$6:$P$3907)/J67)</f>
        <v>1</v>
      </c>
      <c r="M67" s="480" cm="1">
        <f t="array" ref="M67">SUMPRODUCT(--(ISNUMBER(SEARCH($A67,'Diags Raw Data'!$A$6:$A$3907))),--('Diags Raw Data'!$Q$6:$Q$3907&lt;&gt;"N/A"),'Diags Raw Data'!$R$6:$R$3907)</f>
        <v>20</v>
      </c>
      <c r="N67" s="481" cm="1">
        <f t="array" ref="N67">SUMPRODUCT(--(ISNUMBER(SEARCH($A67,'Diags Raw Data'!$A$6:$A$3907))),--('Diags Raw Data'!$Q$6:$Q$3907&lt;&gt;"N/A"),'Diags Raw Data'!$T$6:$T$3907)+SUMPRODUCT(--(ISNUMBER(SEARCH($A67,'Diags Raw Data'!$A$6:$A$3907))),--('Diags Raw Data'!$Q$6:$Q$3907&lt;&gt;"N/A"),'Diags Raw Data'!$U$6:$U$3907)</f>
        <v>38</v>
      </c>
      <c r="O67" s="482">
        <f t="shared" si="1"/>
        <v>1.9</v>
      </c>
      <c r="P67" s="483">
        <f>SUMIF('Diags Raw Data'!$A$6:$A$3907,"*"&amp;$A67&amp;"*",'Diags Raw Data'!$Z$6:$Z$3907)</f>
        <v>24</v>
      </c>
      <c r="Q67" s="484">
        <f>SUM(SUMIF('Diags Raw Data'!$A$6:$A$3907,"*"&amp;$A67&amp;"*",'Diags Raw Data'!$AA$6:$AA$3907),SUMIF('Diags Raw Data'!$A$6:$A$3907,"*"&amp;$A67&amp;"*",'Diags Raw Data'!$AB$6:$AB$3907))</f>
        <v>0</v>
      </c>
      <c r="R67" s="485">
        <f t="shared" si="2"/>
        <v>0.17647058823529413</v>
      </c>
      <c r="S67" s="485">
        <f t="shared" si="3"/>
        <v>0</v>
      </c>
      <c r="T67" s="486">
        <f t="shared" si="4"/>
        <v>0</v>
      </c>
      <c r="U67" s="530" t="s">
        <v>1425</v>
      </c>
      <c r="V67" s="180"/>
    </row>
    <row r="68" spans="1:23" x14ac:dyDescent="0.25">
      <c r="A68" s="524"/>
      <c r="B68" s="431"/>
      <c r="C68" s="432"/>
      <c r="D68" s="433"/>
      <c r="E68" s="324"/>
      <c r="F68" s="324"/>
      <c r="G68" s="324"/>
      <c r="H68" s="324"/>
      <c r="I68" s="432"/>
      <c r="J68" s="434"/>
      <c r="K68" s="478"/>
      <c r="L68" s="479"/>
      <c r="M68" s="480"/>
      <c r="N68" s="481"/>
      <c r="O68" s="482"/>
      <c r="P68" s="483"/>
      <c r="Q68" s="484"/>
      <c r="R68" s="485"/>
      <c r="S68" s="485"/>
      <c r="T68" s="486"/>
      <c r="U68" s="530"/>
      <c r="V68" s="180"/>
    </row>
    <row r="69" spans="1:23" x14ac:dyDescent="0.25">
      <c r="A69" s="524"/>
      <c r="B69" s="431"/>
      <c r="C69" s="432"/>
      <c r="D69" s="433"/>
      <c r="E69" s="324"/>
      <c r="F69" s="324"/>
      <c r="G69" s="324"/>
      <c r="H69" s="324"/>
      <c r="I69" s="432"/>
      <c r="J69" s="434"/>
      <c r="K69" s="478"/>
      <c r="L69" s="479"/>
      <c r="M69" s="480"/>
      <c r="N69" s="481"/>
      <c r="O69" s="482"/>
      <c r="P69" s="483"/>
      <c r="Q69" s="484"/>
      <c r="R69" s="485"/>
      <c r="S69" s="485"/>
      <c r="T69" s="486"/>
      <c r="U69" s="530"/>
      <c r="V69" s="180"/>
    </row>
    <row r="70" spans="1:23" ht="30.75" customHeight="1" x14ac:dyDescent="0.25">
      <c r="A70" s="524"/>
      <c r="B70" s="431"/>
      <c r="C70" s="432"/>
      <c r="D70" s="433"/>
      <c r="E70" s="324"/>
      <c r="F70" s="324"/>
      <c r="G70" s="324"/>
      <c r="H70" s="324"/>
      <c r="I70" s="432"/>
      <c r="J70" s="434"/>
      <c r="K70" s="478"/>
      <c r="L70" s="479"/>
      <c r="M70" s="480"/>
      <c r="N70" s="481"/>
      <c r="O70" s="482"/>
      <c r="P70" s="483"/>
      <c r="Q70" s="484"/>
      <c r="R70" s="485"/>
      <c r="S70" s="485"/>
      <c r="T70" s="486"/>
      <c r="U70" s="530"/>
      <c r="V70" s="180"/>
    </row>
    <row r="71" spans="1:23" ht="17.25" customHeight="1" x14ac:dyDescent="0.25">
      <c r="A71" s="524" t="s">
        <v>1188</v>
      </c>
      <c r="B71" s="431" t="str">
        <f>VLOOKUP(A71,'Feature Raw Data'!$A$3:$B$4204,2,FALSE)</f>
        <v>MMHUB:MMUTCL2:VML2 - Per VMID BigK/SmallK/Bank_Select Support</v>
      </c>
      <c r="C71" s="432" t="str">
        <f>VLOOKUP(A71,'Feature Raw Data'!$A$3:$C$4204,3,FALSE)</f>
        <v>P2</v>
      </c>
      <c r="D71" s="433" t="str" cm="1">
        <f t="array" ref="D71">_xlfn.TEXTJOIN("",TRUE,IF(ISNUMBER(SEARCH($A71,'Diags Raw Data'!$A$6:$A$3907)),CONCATENATE('Diags Raw Data'!$H$6:$H$3907,", "),""))</f>
        <v xml:space="preserve">mhub059.1-32, </v>
      </c>
      <c r="E71" s="324" t="e">
        <f>VLOOKUP(A71,'Diags Raw Data'!$A$6:$D$3907,4,FALSE)</f>
        <v>#N/A</v>
      </c>
      <c r="F71" s="324" t="str">
        <f>VLOOKUP(A71,'Feature Raw Data'!$A$3:$E$4204,5,FALSE)</f>
        <v>Legacy</v>
      </c>
      <c r="G71" s="324" t="str">
        <f t="shared" si="44"/>
        <v>Yes</v>
      </c>
      <c r="H71" s="324" t="str">
        <f t="shared" si="45"/>
        <v>Yes</v>
      </c>
      <c r="I71" s="432">
        <f>SUMIF('Diags Raw Data'!$A$6:$A$3907,"*"&amp;$A71&amp;"*",'Diags Raw Data'!$K$6:$K$3907)</f>
        <v>1</v>
      </c>
      <c r="J71" s="434">
        <f>SUMIF('Diags Raw Data'!$A$6:$A$3907,"*"&amp;$A71&amp;"*",'Diags Raw Data'!$L$6:$L$3907)</f>
        <v>32</v>
      </c>
      <c r="K71" s="478" t="e" cm="1">
        <f t="array" ref="K71">IF(D71="",0, SUMPRODUCT(--(ISNUMBER(SEARCH($A71,'Diags Raw Data'!$A$6:$A$3907))),'Diags Raw Data'!$L$6:$L$3907,'Diags Raw Data'!$N$6:$N$3910)/J71)</f>
        <v>#VALUE!</v>
      </c>
      <c r="L71" s="479" cm="1">
        <f t="array" ref="L71">IF(D71="",0, SUMPRODUCT(--(ISNUMBER(SEARCH($A71,'Diags Raw Data'!$A$6:$A$3907))),'Diags Raw Data'!$L$6:$L$3907,'Diags Raw Data'!$P$6:$P$3907)/J71)</f>
        <v>1</v>
      </c>
      <c r="M71" s="480" cm="1">
        <f t="array" ref="M71">SUMPRODUCT(--(ISNUMBER(SEARCH($A71,'Diags Raw Data'!$A$6:$A$3907))),--('Diags Raw Data'!$Q$6:$Q$3907&lt;&gt;"N/A"),'Diags Raw Data'!$R$6:$R$3907)</f>
        <v>32</v>
      </c>
      <c r="N71" s="481" cm="1">
        <f t="array" ref="N71">SUMPRODUCT(--(ISNUMBER(SEARCH($A71,'Diags Raw Data'!$A$6:$A$3907))),--('Diags Raw Data'!$Q$6:$Q$3907&lt;&gt;"N/A"),'Diags Raw Data'!$T$6:$T$3907)+SUMPRODUCT(--(ISNUMBER(SEARCH($A71,'Diags Raw Data'!$A$6:$A$3907))),--('Diags Raw Data'!$Q$6:$Q$3907&lt;&gt;"N/A"),'Diags Raw Data'!$U$6:$U$3907)</f>
        <v>32</v>
      </c>
      <c r="O71" s="482">
        <f t="shared" si="1"/>
        <v>1</v>
      </c>
      <c r="P71" s="483">
        <f>SUMIF('Diags Raw Data'!$A$6:$A$3907,"*"&amp;$A71&amp;"*",'Diags Raw Data'!$Z$6:$Z$3907)</f>
        <v>32</v>
      </c>
      <c r="Q71" s="484">
        <f>SUM(SUMIF('Diags Raw Data'!$A$6:$A$3907,"*"&amp;$A71&amp;"*",'Diags Raw Data'!$AA$6:$AA$3907),SUMIF('Diags Raw Data'!$A$6:$A$3907,"*"&amp;$A71&amp;"*",'Diags Raw Data'!$AB$6:$AB$3907))</f>
        <v>0</v>
      </c>
      <c r="R71" s="485">
        <f t="shared" si="2"/>
        <v>1</v>
      </c>
      <c r="S71" s="485">
        <f t="shared" si="3"/>
        <v>0</v>
      </c>
      <c r="T71" s="486">
        <f t="shared" si="4"/>
        <v>0</v>
      </c>
      <c r="U71" s="530" t="s">
        <v>1423</v>
      </c>
      <c r="V71" s="180"/>
    </row>
    <row r="72" spans="1:23" ht="30" x14ac:dyDescent="0.25">
      <c r="A72" s="524" t="s">
        <v>820</v>
      </c>
      <c r="B72" s="431" t="str">
        <f>VLOOKUP(A72,'Feature Raw Data'!$A$3:$B$4204,2,FALSE)</f>
        <v>MMHUB:MMUTCL2:VML2 - GPUVM L2 cache read/dump capabilities</v>
      </c>
      <c r="C72" s="432" t="str">
        <f>VLOOKUP(A72,'Feature Raw Data'!$A$3:$C$4204,3,FALSE)</f>
        <v>P2</v>
      </c>
      <c r="D72" s="433" t="str" cm="1">
        <f t="array" ref="D72">_xlfn.TEXTJOIN("",TRUE,IF(ISNUMBER(SEARCH($A72,'Diags Raw Data'!$A$6:$A$3907)),CONCATENATE('Diags Raw Data'!$H$6:$H$3907,", "),""))</f>
        <v xml:space="preserve">mhub033.101,mhub033.103,mhub033.106, mhub033.104, mhub031.10,mhub031.11,mhub031.12,mhub031.13, </v>
      </c>
      <c r="E72" s="324" t="str">
        <f>VLOOKUP(A72,'Diags Raw Data'!$A$6:$D$3907,4,FALSE)</f>
        <v>MMHUB</v>
      </c>
      <c r="F72" s="324" t="str">
        <f>VLOOKUP(A72,'Feature Raw Data'!$A$3:$E$4204,5,FALSE)</f>
        <v>Legacy</v>
      </c>
      <c r="G72" s="324" t="str">
        <f t="shared" si="44"/>
        <v>Yes</v>
      </c>
      <c r="H72" s="324" t="str">
        <f t="shared" si="45"/>
        <v>Yes</v>
      </c>
      <c r="I72" s="432">
        <f>SUMIF('Diags Raw Data'!$A$6:$A$3907,"*"&amp;$A72&amp;"*",'Diags Raw Data'!$K$6:$K$3907)</f>
        <v>3</v>
      </c>
      <c r="J72" s="434">
        <f>SUMIF('Diags Raw Data'!$A$6:$A$3907,"*"&amp;$A72&amp;"*",'Diags Raw Data'!$L$6:$L$3907)</f>
        <v>8</v>
      </c>
      <c r="K72" s="478" t="e" cm="1">
        <f t="array" ref="K72">IF(D72="",0, SUMPRODUCT(--(ISNUMBER(SEARCH($A72,'Diags Raw Data'!$A$6:$A$3907))),'Diags Raw Data'!$L$6:$L$3907,'Diags Raw Data'!$N$6:$N$3910)/J72)</f>
        <v>#VALUE!</v>
      </c>
      <c r="L72" s="479" cm="1">
        <f t="array" ref="L72">IF(D72="",0, SUMPRODUCT(--(ISNUMBER(SEARCH($A72,'Diags Raw Data'!$A$6:$A$3907))),'Diags Raw Data'!$L$6:$L$3907,'Diags Raw Data'!$P$6:$P$3907)/J72)</f>
        <v>1</v>
      </c>
      <c r="M72" s="480" cm="1">
        <f t="array" ref="M72">SUMPRODUCT(--(ISNUMBER(SEARCH($A72,'Diags Raw Data'!$A$6:$A$3907))),--('Diags Raw Data'!$Q$6:$Q$3907&lt;&gt;"N/A"),'Diags Raw Data'!$R$6:$R$3907)</f>
        <v>8</v>
      </c>
      <c r="N72" s="481" cm="1">
        <f t="array" ref="N72">SUMPRODUCT(--(ISNUMBER(SEARCH($A72,'Diags Raw Data'!$A$6:$A$3907))),--('Diags Raw Data'!$Q$6:$Q$3907&lt;&gt;"N/A"),'Diags Raw Data'!$T$6:$T$3907)+SUMPRODUCT(--(ISNUMBER(SEARCH($A72,'Diags Raw Data'!$A$6:$A$3907))),--('Diags Raw Data'!$Q$6:$Q$3907&lt;&gt;"N/A"),'Diags Raw Data'!$U$6:$U$3907)</f>
        <v>8</v>
      </c>
      <c r="O72" s="482">
        <f t="shared" si="1"/>
        <v>1</v>
      </c>
      <c r="P72" s="483">
        <f>SUMIF('Diags Raw Data'!$A$6:$A$3907,"*"&amp;$A72&amp;"*",'Diags Raw Data'!$Z$6:$Z$3907)</f>
        <v>7</v>
      </c>
      <c r="Q72" s="484">
        <f>SUM(SUMIF('Diags Raw Data'!$A$6:$A$3907,"*"&amp;$A72&amp;"*",'Diags Raw Data'!$AA$6:$AA$3907),SUMIF('Diags Raw Data'!$A$6:$A$3907,"*"&amp;$A72&amp;"*",'Diags Raw Data'!$AB$6:$AB$3907))</f>
        <v>0</v>
      </c>
      <c r="R72" s="485">
        <f t="shared" si="2"/>
        <v>0.875</v>
      </c>
      <c r="S72" s="485">
        <f t="shared" si="3"/>
        <v>0</v>
      </c>
      <c r="T72" s="486">
        <f t="shared" si="4"/>
        <v>0</v>
      </c>
      <c r="U72" s="530" t="s">
        <v>1425</v>
      </c>
      <c r="V72" s="180"/>
    </row>
    <row r="73" spans="1:23" ht="30" x14ac:dyDescent="0.25">
      <c r="A73" s="524" t="s">
        <v>894</v>
      </c>
      <c r="B73" s="431" t="str">
        <f>VLOOKUP(A73,'Feature Raw Data'!$A$3:$B$4204,2,FALSE)</f>
        <v>MMHUB:MMUTCL2:VML2 - Walker fetch behavior: REQUEST_PHYSICAL and PDE.S/C</v>
      </c>
      <c r="C73" s="432" t="str">
        <f>VLOOKUP(A73,'Feature Raw Data'!$A$3:$C$4204,3,FALSE)</f>
        <v>P2</v>
      </c>
      <c r="D73" s="433" t="str" cm="1">
        <f t="array" ref="D73">_xlfn.TEXTJOIN("",TRUE,IF(ISNUMBER(SEARCH($A73,'Diags Raw Data'!$A$6:$A$3907)),CONCATENATE('Diags Raw Data'!$H$6:$H$3907,", "),""))</f>
        <v xml:space="preserve">mhub013.1, mhub013.2, mhub013.3-6, mhub013.7-10, </v>
      </c>
      <c r="E73" s="324" t="str">
        <f>VLOOKUP(A73,'Diags Raw Data'!$A$6:$D$3907,4,FALSE)</f>
        <v>MMHUB</v>
      </c>
      <c r="F73" s="324" t="str">
        <f>VLOOKUP(A73,'Feature Raw Data'!$A$3:$E$4204,5,FALSE)</f>
        <v>Legacy</v>
      </c>
      <c r="G73" s="324" t="str">
        <f t="shared" si="44"/>
        <v>Yes</v>
      </c>
      <c r="H73" s="324" t="str">
        <f t="shared" si="45"/>
        <v>Yes</v>
      </c>
      <c r="I73" s="432">
        <f>SUMIF('Diags Raw Data'!$A$6:$A$3907,"*"&amp;$A73&amp;"*",'Diags Raw Data'!$K$6:$K$3907)</f>
        <v>4</v>
      </c>
      <c r="J73" s="434">
        <f>SUMIF('Diags Raw Data'!$A$6:$A$3907,"*"&amp;$A73&amp;"*",'Diags Raw Data'!$L$6:$L$3907)</f>
        <v>10</v>
      </c>
      <c r="K73" s="478" t="e" cm="1">
        <f t="array" ref="K73">IF(D73="",0, SUMPRODUCT(--(ISNUMBER(SEARCH($A73,'Diags Raw Data'!$A$6:$A$3907))),'Diags Raw Data'!$L$6:$L$3907,'Diags Raw Data'!$N$6:$N$3910)/J73)</f>
        <v>#VALUE!</v>
      </c>
      <c r="L73" s="479" cm="1">
        <f t="array" ref="L73">IF(D73="",0, SUMPRODUCT(--(ISNUMBER(SEARCH($A73,'Diags Raw Data'!$A$6:$A$3907))),'Diags Raw Data'!$L$6:$L$3907,'Diags Raw Data'!$P$6:$P$3907)/J73)</f>
        <v>1</v>
      </c>
      <c r="M73" s="480" cm="1">
        <f t="array" ref="M73">SUMPRODUCT(--(ISNUMBER(SEARCH($A73,'Diags Raw Data'!$A$6:$A$3907))),--('Diags Raw Data'!$Q$6:$Q$3907&lt;&gt;"N/A"),'Diags Raw Data'!$R$6:$R$3907)</f>
        <v>10</v>
      </c>
      <c r="N73" s="481" cm="1">
        <f t="array" ref="N73">SUMPRODUCT(--(ISNUMBER(SEARCH($A73,'Diags Raw Data'!$A$6:$A$3907))),--('Diags Raw Data'!$Q$6:$Q$3907&lt;&gt;"N/A"),'Diags Raw Data'!$T$6:$T$3907)+SUMPRODUCT(--(ISNUMBER(SEARCH($A73,'Diags Raw Data'!$A$6:$A$3907))),--('Diags Raw Data'!$Q$6:$Q$3907&lt;&gt;"N/A"),'Diags Raw Data'!$U$6:$U$3907)</f>
        <v>10</v>
      </c>
      <c r="O73" s="482">
        <f t="shared" si="1"/>
        <v>1</v>
      </c>
      <c r="P73" s="483">
        <f>SUMIF('Diags Raw Data'!$A$6:$A$3907,"*"&amp;$A73&amp;"*",'Diags Raw Data'!$Z$6:$Z$3907)</f>
        <v>10</v>
      </c>
      <c r="Q73" s="484">
        <f>SUM(SUMIF('Diags Raw Data'!$A$6:$A$3907,"*"&amp;$A73&amp;"*",'Diags Raw Data'!$AA$6:$AA$3907),SUMIF('Diags Raw Data'!$A$6:$A$3907,"*"&amp;$A73&amp;"*",'Diags Raw Data'!$AB$6:$AB$3907))</f>
        <v>10</v>
      </c>
      <c r="R73" s="485">
        <f t="shared" si="2"/>
        <v>1</v>
      </c>
      <c r="S73" s="485">
        <f t="shared" si="3"/>
        <v>1</v>
      </c>
      <c r="T73" s="486">
        <f t="shared" si="4"/>
        <v>1</v>
      </c>
      <c r="U73" s="530" t="s">
        <v>1425</v>
      </c>
      <c r="V73" s="180"/>
    </row>
    <row r="74" spans="1:23" x14ac:dyDescent="0.25">
      <c r="A74" s="524"/>
      <c r="B74" s="431"/>
      <c r="C74" s="432"/>
      <c r="D74" s="433"/>
      <c r="E74" s="324"/>
      <c r="F74" s="324"/>
      <c r="G74" s="324"/>
      <c r="H74" s="324"/>
      <c r="I74" s="432"/>
      <c r="J74" s="434"/>
      <c r="K74" s="478"/>
      <c r="L74" s="479"/>
      <c r="M74" s="480"/>
      <c r="N74" s="481"/>
      <c r="O74" s="482"/>
      <c r="P74" s="483"/>
      <c r="Q74" s="484"/>
      <c r="R74" s="485"/>
      <c r="S74" s="485"/>
      <c r="T74" s="486"/>
      <c r="U74" s="530"/>
      <c r="V74" s="180"/>
    </row>
    <row r="75" spans="1:23" x14ac:dyDescent="0.25">
      <c r="A75" s="524"/>
      <c r="B75" s="431"/>
      <c r="C75" s="432"/>
      <c r="D75" s="433"/>
      <c r="E75" s="324"/>
      <c r="F75" s="324"/>
      <c r="G75" s="324"/>
      <c r="H75" s="324"/>
      <c r="I75" s="432"/>
      <c r="J75" s="434"/>
      <c r="K75" s="478"/>
      <c r="L75" s="479"/>
      <c r="M75" s="480"/>
      <c r="N75" s="481"/>
      <c r="O75" s="482"/>
      <c r="P75" s="483"/>
      <c r="Q75" s="484"/>
      <c r="R75" s="485"/>
      <c r="S75" s="485"/>
      <c r="T75" s="486"/>
      <c r="U75" s="530"/>
      <c r="V75" s="180"/>
    </row>
    <row r="76" spans="1:23" x14ac:dyDescent="0.25">
      <c r="A76" s="524" t="s">
        <v>1194</v>
      </c>
      <c r="B76" s="431" t="str">
        <f>VLOOKUP(A76,'Feature Raw Data'!$A$3:$B$4204,2,FALSE)</f>
        <v>MMHUB:Power/PCTL - SOCCLK Deep Sleep</v>
      </c>
      <c r="C76" s="432" t="str">
        <f>VLOOKUP(A76,'Feature Raw Data'!$A$3:$C$4204,3,FALSE)</f>
        <v>P2</v>
      </c>
      <c r="D76" s="433" t="str" cm="1">
        <f t="array" ref="D76">_xlfn.TEXTJOIN("",TRUE,IF(ISNUMBER(SEARCH($A76,'Diags Raw Data'!$A$6:$A$3907)),CONCATENATE('Diags Raw Data'!$H$6:$H$3907,", "),""))</f>
        <v/>
      </c>
      <c r="E76" s="324" t="e">
        <f>VLOOKUP(A76,'Diags Raw Data'!$A$6:$D$3907,4,FALSE)</f>
        <v>#N/A</v>
      </c>
      <c r="F76" s="324" t="str">
        <f>VLOOKUP(A76,'Feature Raw Data'!$A$3:$E$4204,5,FALSE)</f>
        <v>Legacy</v>
      </c>
      <c r="G76" s="324" t="str">
        <f t="shared" ref="G76:G80" si="46">IF(D76="","No","Yes")</f>
        <v>No</v>
      </c>
      <c r="H76" s="324" t="str">
        <f t="shared" ref="H76:H86" si="47">IF(D76="","No","Yes")</f>
        <v>No</v>
      </c>
      <c r="I76" s="432">
        <f>SUMIF('Diags Raw Data'!$A$6:$A$3907,"*"&amp;$A76&amp;"*",'Diags Raw Data'!$K$6:$K$3907)</f>
        <v>0</v>
      </c>
      <c r="J76" s="434">
        <f>SUMIF('Diags Raw Data'!$A$6:$A$3907,"*"&amp;$A76&amp;"*",'Diags Raw Data'!$L$6:$L$3907)</f>
        <v>0</v>
      </c>
      <c r="K76" s="478" cm="1">
        <f t="array" ref="K76">IF(D76="",0, SUMPRODUCT(--(ISNUMBER(SEARCH($A76,'Diags Raw Data'!$A$6:$A$3907))),'Diags Raw Data'!$L$6:$L$3907,'Diags Raw Data'!$N$6:$N$3910)/J76)</f>
        <v>0</v>
      </c>
      <c r="L76" s="479" cm="1">
        <f t="array" ref="L76">IF(D76="",0, SUMPRODUCT(--(ISNUMBER(SEARCH($A76,'Diags Raw Data'!$A$6:$A$3907))),'Diags Raw Data'!$L$6:$L$3907,'Diags Raw Data'!$P$6:$P$3907)/J76)</f>
        <v>0</v>
      </c>
      <c r="M76" s="480" cm="1">
        <f t="array" ref="M76">SUMPRODUCT(--(ISNUMBER(SEARCH($A76,'Diags Raw Data'!$A$6:$A$3907))),--('Diags Raw Data'!$Q$6:$Q$3907&lt;&gt;"N/A"),'Diags Raw Data'!$R$6:$R$3907)</f>
        <v>0</v>
      </c>
      <c r="N76" s="481" cm="1">
        <f t="array" ref="N76">SUMPRODUCT(--(ISNUMBER(SEARCH($A76,'Diags Raw Data'!$A$6:$A$3907))),--('Diags Raw Data'!$Q$6:$Q$3907&lt;&gt;"N/A"),'Diags Raw Data'!$T$6:$T$3907)+SUMPRODUCT(--(ISNUMBER(SEARCH($A76,'Diags Raw Data'!$A$6:$A$3907))),--('Diags Raw Data'!$Q$6:$Q$3907&lt;&gt;"N/A"),'Diags Raw Data'!$U$6:$U$3907)</f>
        <v>0</v>
      </c>
      <c r="O76" s="482">
        <f t="shared" ref="O76:O86" si="48">IF((M76=0),0,N76/M76)</f>
        <v>0</v>
      </c>
      <c r="P76" s="483">
        <f>SUMIF('Diags Raw Data'!$A$6:$A$3907,"*"&amp;$A76&amp;"*",'Diags Raw Data'!$Z$6:$Z$3907)</f>
        <v>0</v>
      </c>
      <c r="Q76" s="484">
        <f>SUM(SUMIF('Diags Raw Data'!$A$6:$A$3907,"*"&amp;$A76&amp;"*",'Diags Raw Data'!$AA$6:$AA$3907),SUMIF('Diags Raw Data'!$A$6:$A$3907,"*"&amp;$A76&amp;"*",'Diags Raw Data'!$AB$6:$AB$3907))</f>
        <v>0</v>
      </c>
      <c r="R76" s="485">
        <f t="shared" ref="R76:R86" si="49">IF((J76=0),0,P76/J76)</f>
        <v>0</v>
      </c>
      <c r="S76" s="485">
        <f t="shared" ref="S76:S86" si="50">IF((P76=0),0,Q76/P76)</f>
        <v>0</v>
      </c>
      <c r="T76" s="486">
        <f t="shared" ref="T76:T86" si="51">R76*S76</f>
        <v>0</v>
      </c>
      <c r="U76" s="530" t="s">
        <v>44</v>
      </c>
      <c r="V76" s="180" t="s">
        <v>1433</v>
      </c>
    </row>
    <row r="77" spans="1:23" x14ac:dyDescent="0.25">
      <c r="A77" s="524" t="s">
        <v>1196</v>
      </c>
      <c r="B77" s="431" t="str">
        <f>VLOOKUP(A77,'Feature Raw Data'!$A$3:$B$4204,2,FALSE)</f>
        <v>MMHUB:Power/PCTL - MMHUB Power Gating</v>
      </c>
      <c r="C77" s="432" t="str">
        <f>VLOOKUP(A77,'Feature Raw Data'!$A$3:$C$4204,3,FALSE)</f>
        <v>P2</v>
      </c>
      <c r="D77" s="433" t="str" cm="1">
        <f t="array" ref="D77">_xlfn.TEXTJOIN("",TRUE,IF(ISNUMBER(SEARCH($A77,'Diags Raw Data'!$A$6:$A$3907)),CONCATENATE('Diags Raw Data'!$H$6:$H$3907,", "),""))</f>
        <v/>
      </c>
      <c r="E77" s="324" t="e">
        <f>VLOOKUP(A77,'Diags Raw Data'!$A$6:$D$3907,4,FALSE)</f>
        <v>#N/A</v>
      </c>
      <c r="F77" s="324" t="str">
        <f>VLOOKUP(A77,'Feature Raw Data'!$A$3:$E$4204,5,FALSE)</f>
        <v>Legacy</v>
      </c>
      <c r="G77" s="324" t="str">
        <f t="shared" si="46"/>
        <v>No</v>
      </c>
      <c r="H77" s="324" t="str">
        <f t="shared" si="47"/>
        <v>No</v>
      </c>
      <c r="I77" s="432">
        <f>SUMIF('Diags Raw Data'!$A$6:$A$3907,"*"&amp;$A77&amp;"*",'Diags Raw Data'!$K$6:$K$3907)</f>
        <v>0</v>
      </c>
      <c r="J77" s="434">
        <f>SUMIF('Diags Raw Data'!$A$6:$A$3907,"*"&amp;$A77&amp;"*",'Diags Raw Data'!$L$6:$L$3907)</f>
        <v>0</v>
      </c>
      <c r="K77" s="478" cm="1">
        <f t="array" ref="K77">IF(D77="",0, SUMPRODUCT(--(ISNUMBER(SEARCH($A77,'Diags Raw Data'!$A$6:$A$3907))),'Diags Raw Data'!$L$6:$L$3907,'Diags Raw Data'!$N$6:$N$3910)/J77)</f>
        <v>0</v>
      </c>
      <c r="L77" s="479" cm="1">
        <f t="array" ref="L77">IF(D77="",0, SUMPRODUCT(--(ISNUMBER(SEARCH($A77,'Diags Raw Data'!$A$6:$A$3907))),'Diags Raw Data'!$L$6:$L$3907,'Diags Raw Data'!$P$6:$P$3907)/J77)</f>
        <v>0</v>
      </c>
      <c r="M77" s="480" cm="1">
        <f t="array" ref="M77">SUMPRODUCT(--(ISNUMBER(SEARCH($A77,'Diags Raw Data'!$A$6:$A$3907))),--('Diags Raw Data'!$Q$6:$Q$3907&lt;&gt;"N/A"),'Diags Raw Data'!$R$6:$R$3907)</f>
        <v>0</v>
      </c>
      <c r="N77" s="481" cm="1">
        <f t="array" ref="N77">SUMPRODUCT(--(ISNUMBER(SEARCH($A77,'Diags Raw Data'!$A$6:$A$3907))),--('Diags Raw Data'!$Q$6:$Q$3907&lt;&gt;"N/A"),'Diags Raw Data'!$T$6:$T$3907)+SUMPRODUCT(--(ISNUMBER(SEARCH($A77,'Diags Raw Data'!$A$6:$A$3907))),--('Diags Raw Data'!$Q$6:$Q$3907&lt;&gt;"N/A"),'Diags Raw Data'!$U$6:$U$3907)</f>
        <v>0</v>
      </c>
      <c r="O77" s="482">
        <f t="shared" si="48"/>
        <v>0</v>
      </c>
      <c r="P77" s="483">
        <f>SUMIF('Diags Raw Data'!$A$6:$A$3907,"*"&amp;$A77&amp;"*",'Diags Raw Data'!$Z$6:$Z$3907)</f>
        <v>0</v>
      </c>
      <c r="Q77" s="484">
        <f>SUM(SUMIF('Diags Raw Data'!$A$6:$A$3907,"*"&amp;$A77&amp;"*",'Diags Raw Data'!$AA$6:$AA$3907),SUMIF('Diags Raw Data'!$A$6:$A$3907,"*"&amp;$A77&amp;"*",'Diags Raw Data'!$AB$6:$AB$3907))</f>
        <v>0</v>
      </c>
      <c r="R77" s="485">
        <f t="shared" si="49"/>
        <v>0</v>
      </c>
      <c r="S77" s="485">
        <f t="shared" si="50"/>
        <v>0</v>
      </c>
      <c r="T77" s="486">
        <f t="shared" si="51"/>
        <v>0</v>
      </c>
      <c r="U77" s="530" t="s">
        <v>44</v>
      </c>
      <c r="V77" s="180" t="s">
        <v>1434</v>
      </c>
    </row>
    <row r="78" spans="1:23" x14ac:dyDescent="0.25">
      <c r="A78" s="524" t="s">
        <v>1198</v>
      </c>
      <c r="B78" s="431" t="str">
        <f>VLOOKUP(A78,'Feature Raw Data'!$A$3:$B$4204,2,FALSE)</f>
        <v>MMHUB:PCTL - Register Save and Restore</v>
      </c>
      <c r="C78" s="432" t="str">
        <f>VLOOKUP(A78,'Feature Raw Data'!$A$3:$C$4204,3,FALSE)</f>
        <v>P2</v>
      </c>
      <c r="D78" s="433" t="str" cm="1">
        <f t="array" ref="D78">_xlfn.TEXTJOIN("",TRUE,IF(ISNUMBER(SEARCH($A78,'Diags Raw Data'!$A$6:$A$3907)),CONCATENATE('Diags Raw Data'!$H$6:$H$3907,", "),""))</f>
        <v/>
      </c>
      <c r="E78" s="324" t="e">
        <f>VLOOKUP(A78,'Diags Raw Data'!$A$6:$D$3907,4,FALSE)</f>
        <v>#N/A</v>
      </c>
      <c r="F78" s="324" t="str">
        <f>VLOOKUP(A78,'Feature Raw Data'!$A$3:$E$4204,5,FALSE)</f>
        <v>Legacy</v>
      </c>
      <c r="G78" s="324" t="str">
        <f t="shared" si="46"/>
        <v>No</v>
      </c>
      <c r="H78" s="324" t="str">
        <f t="shared" si="47"/>
        <v>No</v>
      </c>
      <c r="I78" s="432">
        <f>SUMIF('Diags Raw Data'!$A$6:$A$3907,"*"&amp;$A78&amp;"*",'Diags Raw Data'!$K$6:$K$3907)</f>
        <v>0</v>
      </c>
      <c r="J78" s="434">
        <f>SUMIF('Diags Raw Data'!$A$6:$A$3907,"*"&amp;$A78&amp;"*",'Diags Raw Data'!$L$6:$L$3907)</f>
        <v>0</v>
      </c>
      <c r="K78" s="478" cm="1">
        <f t="array" ref="K78">IF(D78="",0, SUMPRODUCT(--(ISNUMBER(SEARCH($A78,'Diags Raw Data'!$A$6:$A$3907))),'Diags Raw Data'!$L$6:$L$3907,'Diags Raw Data'!$N$6:$N$3910)/J78)</f>
        <v>0</v>
      </c>
      <c r="L78" s="479" cm="1">
        <f t="array" ref="L78">IF(D78="",0, SUMPRODUCT(--(ISNUMBER(SEARCH($A78,'Diags Raw Data'!$A$6:$A$3907))),'Diags Raw Data'!$L$6:$L$3907,'Diags Raw Data'!$P$6:$P$3907)/J78)</f>
        <v>0</v>
      </c>
      <c r="M78" s="480" cm="1">
        <f t="array" ref="M78">SUMPRODUCT(--(ISNUMBER(SEARCH($A78,'Diags Raw Data'!$A$6:$A$3907))),--('Diags Raw Data'!$Q$6:$Q$3907&lt;&gt;"N/A"),'Diags Raw Data'!$R$6:$R$3907)</f>
        <v>0</v>
      </c>
      <c r="N78" s="481" cm="1">
        <f t="array" ref="N78">SUMPRODUCT(--(ISNUMBER(SEARCH($A78,'Diags Raw Data'!$A$6:$A$3907))),--('Diags Raw Data'!$Q$6:$Q$3907&lt;&gt;"N/A"),'Diags Raw Data'!$T$6:$T$3907)+SUMPRODUCT(--(ISNUMBER(SEARCH($A78,'Diags Raw Data'!$A$6:$A$3907))),--('Diags Raw Data'!$Q$6:$Q$3907&lt;&gt;"N/A"),'Diags Raw Data'!$U$6:$U$3907)</f>
        <v>0</v>
      </c>
      <c r="O78" s="482">
        <f t="shared" si="48"/>
        <v>0</v>
      </c>
      <c r="P78" s="483">
        <f>SUMIF('Diags Raw Data'!$A$6:$A$3907,"*"&amp;$A78&amp;"*",'Diags Raw Data'!$Z$6:$Z$3907)</f>
        <v>0</v>
      </c>
      <c r="Q78" s="484">
        <f>SUM(SUMIF('Diags Raw Data'!$A$6:$A$3907,"*"&amp;$A78&amp;"*",'Diags Raw Data'!$AA$6:$AA$3907),SUMIF('Diags Raw Data'!$A$6:$A$3907,"*"&amp;$A78&amp;"*",'Diags Raw Data'!$AB$6:$AB$3907))</f>
        <v>0</v>
      </c>
      <c r="R78" s="485">
        <f t="shared" si="49"/>
        <v>0</v>
      </c>
      <c r="S78" s="485">
        <f t="shared" si="50"/>
        <v>0</v>
      </c>
      <c r="T78" s="486">
        <f t="shared" si="51"/>
        <v>0</v>
      </c>
      <c r="U78" s="530" t="s">
        <v>44</v>
      </c>
      <c r="V78" s="180" t="s">
        <v>1434</v>
      </c>
    </row>
    <row r="79" spans="1:23" ht="60" x14ac:dyDescent="0.25">
      <c r="A79" s="524" t="s">
        <v>1200</v>
      </c>
      <c r="B79" s="431" t="str">
        <f>VLOOKUP(A79,'Feature Raw Data'!$A$3:$B$4204,2,FALSE)</f>
        <v>MMHUB:PCTL - RSMU Timer</v>
      </c>
      <c r="C79" s="432" t="str">
        <f>VLOOKUP(A79,'Feature Raw Data'!$A$3:$C$4204,3,FALSE)</f>
        <v>P2</v>
      </c>
      <c r="D79" s="433" t="str" cm="1">
        <f t="array" ref="D79">_xlfn.TEXTJOIN("",TRUE,IF(ISNUMBER(SEARCH($A79,'Diags Raw Data'!$A$6:$A$3907)),CONCATENATE('Diags Raw Data'!$H$6:$H$3907,", "),""))</f>
        <v/>
      </c>
      <c r="E79" s="324" t="e">
        <f>VLOOKUP(A79,'Diags Raw Data'!$A$6:$D$3907,4,FALSE)</f>
        <v>#N/A</v>
      </c>
      <c r="F79" s="324" t="str">
        <f>VLOOKUP(A79,'Feature Raw Data'!$A$3:$E$4204,5,FALSE)</f>
        <v>Legacy</v>
      </c>
      <c r="G79" s="324" t="s">
        <v>31</v>
      </c>
      <c r="H79" s="324" t="str">
        <f>IF(D79="","No","Yes")</f>
        <v>No</v>
      </c>
      <c r="I79" s="432">
        <f>SUMIF('Diags Raw Data'!$A$6:$A$3907,"*"&amp;$A79&amp;"*",'Diags Raw Data'!$K$6:$K$3907)</f>
        <v>0</v>
      </c>
      <c r="J79" s="434">
        <f>SUMIF('Diags Raw Data'!$A$6:$A$3907,"*"&amp;$A79&amp;"*",'Diags Raw Data'!$L$6:$L$3907)</f>
        <v>0</v>
      </c>
      <c r="K79" s="478" cm="1">
        <f t="array" ref="K79">IF(D79="",0, SUMPRODUCT(--(ISNUMBER(SEARCH($A79,'Diags Raw Data'!$A$6:$A$3907))),'Diags Raw Data'!$L$6:$L$3907,'Diags Raw Data'!$N$6:$N$3910)/J79)</f>
        <v>0</v>
      </c>
      <c r="L79" s="479" cm="1">
        <f t="array" ref="L79">IF(D79="",0, SUMPRODUCT(--(ISNUMBER(SEARCH($A79,'Diags Raw Data'!$A$6:$A$3907))),'Diags Raw Data'!$L$6:$L$3907,'Diags Raw Data'!$P$6:$P$3907)/J79)</f>
        <v>0</v>
      </c>
      <c r="M79" s="480" cm="1">
        <f t="array" ref="M79">SUMPRODUCT(--(ISNUMBER(SEARCH($A79,'Diags Raw Data'!$A$6:$A$3907))),--('Diags Raw Data'!$Q$6:$Q$3907&lt;&gt;"N/A"),'Diags Raw Data'!$R$6:$R$3907)</f>
        <v>0</v>
      </c>
      <c r="N79" s="481" cm="1">
        <f t="array" ref="N79">SUMPRODUCT(--(ISNUMBER(SEARCH($A79,'Diags Raw Data'!$A$6:$A$3907))),--('Diags Raw Data'!$Q$6:$Q$3907&lt;&gt;"N/A"),'Diags Raw Data'!$T$6:$T$3907)+SUMPRODUCT(--(ISNUMBER(SEARCH($A79,'Diags Raw Data'!$A$6:$A$3907))),--('Diags Raw Data'!$Q$6:$Q$3907&lt;&gt;"N/A"),'Diags Raw Data'!$U$6:$U$3907)</f>
        <v>0</v>
      </c>
      <c r="O79" s="482">
        <f t="shared" si="48"/>
        <v>0</v>
      </c>
      <c r="P79" s="483">
        <f>SUMIF('Diags Raw Data'!$A$6:$A$3907,"*"&amp;$A79&amp;"*",'Diags Raw Data'!$Z$6:$Z$3907)</f>
        <v>0</v>
      </c>
      <c r="Q79" s="484">
        <f>SUM(SUMIF('Diags Raw Data'!$A$6:$A$3907,"*"&amp;$A79&amp;"*",'Diags Raw Data'!$AA$6:$AA$3907),SUMIF('Diags Raw Data'!$A$6:$A$3907,"*"&amp;$A79&amp;"*",'Diags Raw Data'!$AB$6:$AB$3907))</f>
        <v>0</v>
      </c>
      <c r="R79" s="485">
        <f t="shared" si="49"/>
        <v>0</v>
      </c>
      <c r="S79" s="485">
        <f t="shared" si="50"/>
        <v>0</v>
      </c>
      <c r="T79" s="486">
        <f t="shared" si="51"/>
        <v>0</v>
      </c>
      <c r="U79" s="530" t="s">
        <v>44</v>
      </c>
      <c r="V79" s="180"/>
      <c r="W79" s="180" t="s">
        <v>1435</v>
      </c>
    </row>
    <row r="80" spans="1:23" x14ac:dyDescent="0.25">
      <c r="A80" s="524" t="s">
        <v>883</v>
      </c>
      <c r="B80" s="431" t="str">
        <f>VLOOKUP(A80,'Feature Raw Data'!$A$3:$B$4204,2,FALSE)</f>
        <v>MMHUB:Security - Trusted Memory Zone (TMZ)</v>
      </c>
      <c r="C80" s="432" t="str">
        <f>VLOOKUP(A80,'Feature Raw Data'!$A$3:$C$4204,3,FALSE)</f>
        <v>P1</v>
      </c>
      <c r="D80" s="433" t="str" cm="1">
        <f t="array" ref="D80">_xlfn.TEXTJOIN("",TRUE,IF(ISNUMBER(SEARCH($A80,'Diags Raw Data'!$A$6:$A$3907)),CONCATENATE('Diags Raw Data'!$H$6:$H$3907,", "),""))</f>
        <v xml:space="preserve">mhub150.1-4,mhub150.10,mhub150.12,mhub150.20,mhub150.30-41, </v>
      </c>
      <c r="E80" s="324" t="str">
        <f>VLOOKUP(A80,'Diags Raw Data'!$A$6:$D$3907,4,FALSE)</f>
        <v>MMHUB</v>
      </c>
      <c r="F80" s="324" t="str">
        <f>VLOOKUP(A80,'Feature Raw Data'!$A$3:$E$4204,5,FALSE)</f>
        <v>Delta</v>
      </c>
      <c r="G80" s="324" t="str">
        <f t="shared" si="46"/>
        <v>Yes</v>
      </c>
      <c r="H80" s="324" t="str">
        <f t="shared" si="47"/>
        <v>Yes</v>
      </c>
      <c r="I80" s="432">
        <f>SUMIF('Diags Raw Data'!$A$6:$A$3907,"*"&amp;$A80&amp;"*",'Diags Raw Data'!$K$6:$K$3907)</f>
        <v>3</v>
      </c>
      <c r="J80" s="434">
        <f>SUMIF('Diags Raw Data'!$A$6:$A$3907,"*"&amp;$A80&amp;"*",'Diags Raw Data'!$L$6:$L$3907)</f>
        <v>19</v>
      </c>
      <c r="K80" s="478" t="e" cm="1">
        <f t="array" ref="K80">IF(D80="",0, SUMPRODUCT(--(ISNUMBER(SEARCH($A80,'Diags Raw Data'!$A$6:$A$3907))),'Diags Raw Data'!$L$6:$L$3907,'Diags Raw Data'!$N$6:$N$3910)/J80)</f>
        <v>#VALUE!</v>
      </c>
      <c r="L80" s="479" cm="1">
        <f t="array" ref="L80">IF(D80="",0, SUMPRODUCT(--(ISNUMBER(SEARCH($A80,'Diags Raw Data'!$A$6:$A$3907))),'Diags Raw Data'!$L$6:$L$3907,'Diags Raw Data'!$P$6:$P$3907)/J80)</f>
        <v>1</v>
      </c>
      <c r="M80" s="480" cm="1">
        <f t="array" ref="M80">SUMPRODUCT(--(ISNUMBER(SEARCH($A80,'Diags Raw Data'!$A$6:$A$3907))),--('Diags Raw Data'!$Q$6:$Q$3907&lt;&gt;"N/A"),'Diags Raw Data'!$R$6:$R$3907)</f>
        <v>19</v>
      </c>
      <c r="N80" s="481" cm="1">
        <f t="array" ref="N80">SUMPRODUCT(--(ISNUMBER(SEARCH($A80,'Diags Raw Data'!$A$6:$A$3907))),--('Diags Raw Data'!$Q$6:$Q$3907&lt;&gt;"N/A"),'Diags Raw Data'!$T$6:$T$3907)+SUMPRODUCT(--(ISNUMBER(SEARCH($A80,'Diags Raw Data'!$A$6:$A$3907))),--('Diags Raw Data'!$Q$6:$Q$3907&lt;&gt;"N/A"),'Diags Raw Data'!$U$6:$U$3907)</f>
        <v>19</v>
      </c>
      <c r="O80" s="482">
        <f t="shared" si="48"/>
        <v>1</v>
      </c>
      <c r="P80" s="483">
        <f>SUMIF('Diags Raw Data'!$A$6:$A$3907,"*"&amp;$A80&amp;"*",'Diags Raw Data'!$Z$6:$Z$3907)</f>
        <v>0</v>
      </c>
      <c r="Q80" s="484">
        <f>SUM(SUMIF('Diags Raw Data'!$A$6:$A$3907,"*"&amp;$A80&amp;"*",'Diags Raw Data'!$AA$6:$AA$3907),SUMIF('Diags Raw Data'!$A$6:$A$3907,"*"&amp;$A80&amp;"*",'Diags Raw Data'!$AB$6:$AB$3907))</f>
        <v>0</v>
      </c>
      <c r="R80" s="485">
        <f t="shared" si="49"/>
        <v>0</v>
      </c>
      <c r="S80" s="485">
        <f t="shared" si="50"/>
        <v>0</v>
      </c>
      <c r="T80" s="486">
        <f t="shared" si="51"/>
        <v>0</v>
      </c>
      <c r="U80" s="530" t="s">
        <v>1432</v>
      </c>
      <c r="V80" s="180"/>
    </row>
    <row r="81" spans="1:22" ht="30" x14ac:dyDescent="0.25">
      <c r="A81" s="524" t="s">
        <v>936</v>
      </c>
      <c r="B81" s="431" t="str">
        <f>VLOOKUP(A81,'Feature Raw Data'!$A$3:$B$4204,2,FALSE)</f>
        <v>MMHUB:Security - SOC15 Datapath/Controlpath Security</v>
      </c>
      <c r="C81" s="432" t="str">
        <f>VLOOKUP(A81,'Feature Raw Data'!$A$3:$C$4204,3,FALSE)</f>
        <v>P2</v>
      </c>
      <c r="D81" s="433" t="str" cm="1">
        <f t="array" ref="D81">_xlfn.TEXTJOIN("",TRUE,IF(ISNUMBER(SEARCH($A81,'Diags Raw Data'!$A$6:$A$3907)),CONCATENATE('Diags Raw Data'!$H$6:$H$3907,", "),""))</f>
        <v/>
      </c>
      <c r="E81" s="324" t="e">
        <f>VLOOKUP(A81,'Diags Raw Data'!$A$6:$D$3907,4,FALSE)</f>
        <v>#N/A</v>
      </c>
      <c r="F81" s="324" t="str">
        <f>VLOOKUP(A81,'Feature Raw Data'!$A$3:$E$4204,5,FALSE)</f>
        <v>Legacy</v>
      </c>
      <c r="G81" s="324" t="str">
        <f t="shared" ref="G81:G84" si="52">IF(D81="","No","Yes")</f>
        <v>No</v>
      </c>
      <c r="H81" s="324" t="str">
        <f t="shared" ref="H81:H84" si="53">IF(D81="","No","Yes")</f>
        <v>No</v>
      </c>
      <c r="I81" s="432">
        <f>SUMIF('Diags Raw Data'!$A$6:$A$3907,"*"&amp;$A81&amp;"*",'Diags Raw Data'!$K$6:$K$3907)</f>
        <v>0</v>
      </c>
      <c r="J81" s="434">
        <f>SUMIF('Diags Raw Data'!$A$6:$A$3907,"*"&amp;$A81&amp;"*",'Diags Raw Data'!$L$6:$L$3907)</f>
        <v>0</v>
      </c>
      <c r="K81" s="478" cm="1">
        <f t="array" ref="K81">IF(D81="",0, SUMPRODUCT(--(ISNUMBER(SEARCH($A81,'Diags Raw Data'!$A$6:$A$3907))),'Diags Raw Data'!$L$6:$L$3907,'Diags Raw Data'!$N$6:$N$3910)/J81)</f>
        <v>0</v>
      </c>
      <c r="L81" s="479" cm="1">
        <f t="array" ref="L81">IF(D81="",0, SUMPRODUCT(--(ISNUMBER(SEARCH($A81,'Diags Raw Data'!$A$6:$A$3907))),'Diags Raw Data'!$L$6:$L$3907,'Diags Raw Data'!$P$6:$P$3907)/J81)</f>
        <v>0</v>
      </c>
      <c r="M81" s="480" cm="1">
        <f t="array" ref="M81">SUMPRODUCT(--(ISNUMBER(SEARCH($A81,'Diags Raw Data'!$A$6:$A$3907))),--('Diags Raw Data'!$Q$6:$Q$3907&lt;&gt;"N/A"),'Diags Raw Data'!$R$6:$R$3907)</f>
        <v>0</v>
      </c>
      <c r="N81" s="481" cm="1">
        <f t="array" ref="N81">SUMPRODUCT(--(ISNUMBER(SEARCH($A81,'Diags Raw Data'!$A$6:$A$3907))),--('Diags Raw Data'!$Q$6:$Q$3907&lt;&gt;"N/A"),'Diags Raw Data'!$T$6:$T$3907)+SUMPRODUCT(--(ISNUMBER(SEARCH($A81,'Diags Raw Data'!$A$6:$A$3907))),--('Diags Raw Data'!$Q$6:$Q$3907&lt;&gt;"N/A"),'Diags Raw Data'!$U$6:$U$3907)</f>
        <v>0</v>
      </c>
      <c r="O81" s="482">
        <f t="shared" ref="O81:O84" si="54">IF((M81=0),0,N81/M81)</f>
        <v>0</v>
      </c>
      <c r="P81" s="483">
        <f>SUMIF('Diags Raw Data'!$A$6:$A$3907,"*"&amp;$A81&amp;"*",'Diags Raw Data'!$Z$6:$Z$3907)</f>
        <v>0</v>
      </c>
      <c r="Q81" s="484">
        <f>SUM(SUMIF('Diags Raw Data'!$A$6:$A$3907,"*"&amp;$A81&amp;"*",'Diags Raw Data'!$AA$6:$AA$3907),SUMIF('Diags Raw Data'!$A$6:$A$3907,"*"&amp;$A81&amp;"*",'Diags Raw Data'!$AB$6:$AB$3907))</f>
        <v>0</v>
      </c>
      <c r="R81" s="485">
        <f t="shared" ref="R81:R84" si="55">IF((J81=0),0,P81/J81)</f>
        <v>0</v>
      </c>
      <c r="S81" s="485">
        <f t="shared" ref="S81:S84" si="56">IF((P81=0),0,Q81/P81)</f>
        <v>0</v>
      </c>
      <c r="T81" s="486">
        <f t="shared" ref="T81:T84" si="57">R81*S81</f>
        <v>0</v>
      </c>
      <c r="U81" s="530" t="s">
        <v>1425</v>
      </c>
      <c r="V81" s="180"/>
    </row>
    <row r="82" spans="1:22" x14ac:dyDescent="0.25">
      <c r="A82" s="524" t="s">
        <v>1013</v>
      </c>
      <c r="B82" s="431" t="str">
        <f>VLOOKUP(A82,'Feature Raw Data'!$A$3:$B$4204,2,FALSE)</f>
        <v>MMHUB:RAS - Data Poison Propergation</v>
      </c>
      <c r="C82" s="432" t="str">
        <f>VLOOKUP(A82,'Feature Raw Data'!$A$3:$C$4204,3,FALSE)</f>
        <v>P1</v>
      </c>
      <c r="D82" s="433" t="str" cm="1">
        <f t="array" ref="D82">_xlfn.TEXTJOIN("",TRUE,IF(ISNUMBER(SEARCH($A82,'Diags Raw Data'!$A$6:$A$3907)),CONCATENATE('Diags Raw Data'!$H$6:$H$3907,", "),""))</f>
        <v xml:space="preserve">mhub609.1, </v>
      </c>
      <c r="E82" s="324" t="str">
        <f>VLOOKUP(A82,'Diags Raw Data'!$A$6:$D$3907,4,FALSE)</f>
        <v>RAS</v>
      </c>
      <c r="F82" s="324" t="str">
        <f>VLOOKUP(A82,'Feature Raw Data'!$A$3:$E$4204,5,FALSE)</f>
        <v>Delta</v>
      </c>
      <c r="G82" s="324" t="str">
        <f t="shared" si="52"/>
        <v>Yes</v>
      </c>
      <c r="H82" s="324" t="str">
        <f t="shared" si="53"/>
        <v>Yes</v>
      </c>
      <c r="I82" s="432">
        <f>SUMIF('Diags Raw Data'!$A$6:$A$3907,"*"&amp;$A82&amp;"*",'Diags Raw Data'!$K$6:$K$3907)</f>
        <v>1</v>
      </c>
      <c r="J82" s="434">
        <f>SUMIF('Diags Raw Data'!$A$6:$A$3907,"*"&amp;$A82&amp;"*",'Diags Raw Data'!$L$6:$L$3907)</f>
        <v>1</v>
      </c>
      <c r="K82" s="478" t="e" cm="1">
        <f t="array" ref="K82">IF(D82="",0, SUMPRODUCT(--(ISNUMBER(SEARCH($A82,'Diags Raw Data'!$A$6:$A$3907))),'Diags Raw Data'!$L$6:$L$3907,'Diags Raw Data'!$N$6:$N$3910)/J82)</f>
        <v>#VALUE!</v>
      </c>
      <c r="L82" s="479" cm="1">
        <f t="array" ref="L82">IF(D82="",0, SUMPRODUCT(--(ISNUMBER(SEARCH($A82,'Diags Raw Data'!$A$6:$A$3907))),'Diags Raw Data'!$L$6:$L$3907,'Diags Raw Data'!$P$6:$P$3907)/J82)</f>
        <v>1</v>
      </c>
      <c r="M82" s="480" cm="1">
        <f t="array" ref="M82">SUMPRODUCT(--(ISNUMBER(SEARCH($A82,'Diags Raw Data'!$A$6:$A$3907))),--('Diags Raw Data'!$Q$6:$Q$3907&lt;&gt;"N/A"),'Diags Raw Data'!$R$6:$R$3907)</f>
        <v>1</v>
      </c>
      <c r="N82" s="481" cm="1">
        <f t="array" ref="N82">SUMPRODUCT(--(ISNUMBER(SEARCH($A82,'Diags Raw Data'!$A$6:$A$3907))),--('Diags Raw Data'!$Q$6:$Q$3907&lt;&gt;"N/A"),'Diags Raw Data'!$T$6:$T$3907)+SUMPRODUCT(--(ISNUMBER(SEARCH($A82,'Diags Raw Data'!$A$6:$A$3907))),--('Diags Raw Data'!$Q$6:$Q$3907&lt;&gt;"N/A"),'Diags Raw Data'!$U$6:$U$3907)</f>
        <v>1</v>
      </c>
      <c r="O82" s="482">
        <f t="shared" si="54"/>
        <v>1</v>
      </c>
      <c r="P82" s="483">
        <f>SUMIF('Diags Raw Data'!$A$6:$A$3907,"*"&amp;$A82&amp;"*",'Diags Raw Data'!$Z$6:$Z$3907)</f>
        <v>0</v>
      </c>
      <c r="Q82" s="484">
        <f>SUM(SUMIF('Diags Raw Data'!$A$6:$A$3907,"*"&amp;$A82&amp;"*",'Diags Raw Data'!$AA$6:$AA$3907),SUMIF('Diags Raw Data'!$A$6:$A$3907,"*"&amp;$A82&amp;"*",'Diags Raw Data'!$AB$6:$AB$3907))</f>
        <v>0</v>
      </c>
      <c r="R82" s="485">
        <f t="shared" si="55"/>
        <v>0</v>
      </c>
      <c r="S82" s="485">
        <f t="shared" si="56"/>
        <v>0</v>
      </c>
      <c r="T82" s="486">
        <f t="shared" si="57"/>
        <v>0</v>
      </c>
      <c r="U82" s="530" t="s">
        <v>1425</v>
      </c>
      <c r="V82" s="180"/>
    </row>
    <row r="83" spans="1:22" x14ac:dyDescent="0.25">
      <c r="A83" s="524" t="s">
        <v>1023</v>
      </c>
      <c r="B83" s="431" t="str">
        <f>VLOOKUP(A83,'Feature Raw Data'!$A$3:$B$4204,2,FALSE)</f>
        <v>MMHUB:RAS - Data-path Parity Protection</v>
      </c>
      <c r="C83" s="432" t="str">
        <f>VLOOKUP(A83,'Feature Raw Data'!$A$3:$C$4204,3,FALSE)</f>
        <v>P1</v>
      </c>
      <c r="D83" s="433" t="str" cm="1">
        <f t="array" ref="D83">_xlfn.TEXTJOIN("",TRUE,IF(ISNUMBER(SEARCH($A83,'Diags Raw Data'!$A$6:$A$3907)),CONCATENATE('Diags Raw Data'!$H$6:$H$3907,", "),""))</f>
        <v/>
      </c>
      <c r="E83" s="324" t="e">
        <f>VLOOKUP(A83,'Diags Raw Data'!$A$6:$D$3907,4,FALSE)</f>
        <v>#N/A</v>
      </c>
      <c r="F83" s="324" t="str">
        <f>VLOOKUP(A83,'Feature Raw Data'!$A$3:$E$4204,5,FALSE)</f>
        <v>Delta</v>
      </c>
      <c r="G83" s="324" t="str">
        <f t="shared" si="52"/>
        <v>No</v>
      </c>
      <c r="H83" s="324" t="str">
        <f t="shared" si="53"/>
        <v>No</v>
      </c>
      <c r="I83" s="432">
        <f>SUMIF('Diags Raw Data'!$A$6:$A$3907,"*"&amp;$A83&amp;"*",'Diags Raw Data'!$K$6:$K$3907)</f>
        <v>0</v>
      </c>
      <c r="J83" s="434">
        <f>SUMIF('Diags Raw Data'!$A$6:$A$3907,"*"&amp;$A83&amp;"*",'Diags Raw Data'!$L$6:$L$3907)</f>
        <v>0</v>
      </c>
      <c r="K83" s="478" cm="1">
        <f t="array" ref="K83">IF(D83="",0, SUMPRODUCT(--(ISNUMBER(SEARCH($A83,'Diags Raw Data'!$A$6:$A$3907))),'Diags Raw Data'!$L$6:$L$3907,'Diags Raw Data'!$N$6:$N$3910)/J83)</f>
        <v>0</v>
      </c>
      <c r="L83" s="479" cm="1">
        <f t="array" ref="L83">IF(D83="",0, SUMPRODUCT(--(ISNUMBER(SEARCH($A83,'Diags Raw Data'!$A$6:$A$3907))),'Diags Raw Data'!$L$6:$L$3907,'Diags Raw Data'!$P$6:$P$3907)/J83)</f>
        <v>0</v>
      </c>
      <c r="M83" s="480" cm="1">
        <f t="array" ref="M83">SUMPRODUCT(--(ISNUMBER(SEARCH($A83,'Diags Raw Data'!$A$6:$A$3907))),--('Diags Raw Data'!$Q$6:$Q$3907&lt;&gt;"N/A"),'Diags Raw Data'!$R$6:$R$3907)</f>
        <v>0</v>
      </c>
      <c r="N83" s="481" cm="1">
        <f t="array" ref="N83">SUMPRODUCT(--(ISNUMBER(SEARCH($A83,'Diags Raw Data'!$A$6:$A$3907))),--('Diags Raw Data'!$Q$6:$Q$3907&lt;&gt;"N/A"),'Diags Raw Data'!$T$6:$T$3907)+SUMPRODUCT(--(ISNUMBER(SEARCH($A83,'Diags Raw Data'!$A$6:$A$3907))),--('Diags Raw Data'!$Q$6:$Q$3907&lt;&gt;"N/A"),'Diags Raw Data'!$U$6:$U$3907)</f>
        <v>0</v>
      </c>
      <c r="O83" s="482">
        <f t="shared" si="54"/>
        <v>0</v>
      </c>
      <c r="P83" s="483">
        <f>SUMIF('Diags Raw Data'!$A$6:$A$3907,"*"&amp;$A83&amp;"*",'Diags Raw Data'!$Z$6:$Z$3907)</f>
        <v>0</v>
      </c>
      <c r="Q83" s="484">
        <f>SUM(SUMIF('Diags Raw Data'!$A$6:$A$3907,"*"&amp;$A83&amp;"*",'Diags Raw Data'!$AA$6:$AA$3907),SUMIF('Diags Raw Data'!$A$6:$A$3907,"*"&amp;$A83&amp;"*",'Diags Raw Data'!$AB$6:$AB$3907))</f>
        <v>0</v>
      </c>
      <c r="R83" s="485">
        <f t="shared" si="55"/>
        <v>0</v>
      </c>
      <c r="S83" s="485">
        <f t="shared" si="56"/>
        <v>0</v>
      </c>
      <c r="T83" s="486">
        <f t="shared" si="57"/>
        <v>0</v>
      </c>
      <c r="U83" s="530" t="s">
        <v>1425</v>
      </c>
      <c r="V83" s="180"/>
    </row>
    <row r="84" spans="1:22" x14ac:dyDescent="0.25">
      <c r="A84" s="524" t="s">
        <v>1025</v>
      </c>
      <c r="B84" s="431" t="str">
        <f>VLOOKUP(A84,'Feature Raw Data'!$A$3:$B$4204,2,FALSE)</f>
        <v>MMHUB:RAS - Fatal Error Generation/Handling</v>
      </c>
      <c r="C84" s="432" t="str">
        <f>VLOOKUP(A84,'Feature Raw Data'!$A$3:$C$4204,3,FALSE)</f>
        <v>P1</v>
      </c>
      <c r="D84" s="433" t="str" cm="1">
        <f t="array" ref="D84">_xlfn.TEXTJOIN("",TRUE,IF(ISNUMBER(SEARCH($A84,'Diags Raw Data'!$A$6:$A$3907)),CONCATENATE('Diags Raw Data'!$H$6:$H$3907,", "),""))</f>
        <v/>
      </c>
      <c r="E84" s="324" t="e">
        <f>VLOOKUP(A84,'Diags Raw Data'!$A$6:$D$3907,4,FALSE)</f>
        <v>#N/A</v>
      </c>
      <c r="F84" s="324" t="str">
        <f>VLOOKUP(A84,'Feature Raw Data'!$A$3:$E$4204,5,FALSE)</f>
        <v>New</v>
      </c>
      <c r="G84" s="324" t="str">
        <f t="shared" si="52"/>
        <v>No</v>
      </c>
      <c r="H84" s="324" t="str">
        <f t="shared" si="53"/>
        <v>No</v>
      </c>
      <c r="I84" s="432">
        <f>SUMIF('Diags Raw Data'!$A$6:$A$3907,"*"&amp;$A84&amp;"*",'Diags Raw Data'!$K$6:$K$3907)</f>
        <v>0</v>
      </c>
      <c r="J84" s="434">
        <f>SUMIF('Diags Raw Data'!$A$6:$A$3907,"*"&amp;$A84&amp;"*",'Diags Raw Data'!$L$6:$L$3907)</f>
        <v>0</v>
      </c>
      <c r="K84" s="478" cm="1">
        <f t="array" ref="K84">IF(D84="",0, SUMPRODUCT(--(ISNUMBER(SEARCH($A84,'Diags Raw Data'!$A$6:$A$3907))),'Diags Raw Data'!$L$6:$L$3907,'Diags Raw Data'!$N$6:$N$3910)/J84)</f>
        <v>0</v>
      </c>
      <c r="L84" s="479" cm="1">
        <f t="array" ref="L84">IF(D84="",0, SUMPRODUCT(--(ISNUMBER(SEARCH($A84,'Diags Raw Data'!$A$6:$A$3907))),'Diags Raw Data'!$L$6:$L$3907,'Diags Raw Data'!$P$6:$P$3907)/J84)</f>
        <v>0</v>
      </c>
      <c r="M84" s="480" cm="1">
        <f t="array" ref="M84">SUMPRODUCT(--(ISNUMBER(SEARCH($A84,'Diags Raw Data'!$A$6:$A$3907))),--('Diags Raw Data'!$Q$6:$Q$3907&lt;&gt;"N/A"),'Diags Raw Data'!$R$6:$R$3907)</f>
        <v>0</v>
      </c>
      <c r="N84" s="481" cm="1">
        <f t="array" ref="N84">SUMPRODUCT(--(ISNUMBER(SEARCH($A84,'Diags Raw Data'!$A$6:$A$3907))),--('Diags Raw Data'!$Q$6:$Q$3907&lt;&gt;"N/A"),'Diags Raw Data'!$T$6:$T$3907)+SUMPRODUCT(--(ISNUMBER(SEARCH($A84,'Diags Raw Data'!$A$6:$A$3907))),--('Diags Raw Data'!$Q$6:$Q$3907&lt;&gt;"N/A"),'Diags Raw Data'!$U$6:$U$3907)</f>
        <v>0</v>
      </c>
      <c r="O84" s="482">
        <f t="shared" si="54"/>
        <v>0</v>
      </c>
      <c r="P84" s="483">
        <f>SUMIF('Diags Raw Data'!$A$6:$A$3907,"*"&amp;$A84&amp;"*",'Diags Raw Data'!$Z$6:$Z$3907)</f>
        <v>0</v>
      </c>
      <c r="Q84" s="484">
        <f>SUM(SUMIF('Diags Raw Data'!$A$6:$A$3907,"*"&amp;$A84&amp;"*",'Diags Raw Data'!$AA$6:$AA$3907),SUMIF('Diags Raw Data'!$A$6:$A$3907,"*"&amp;$A84&amp;"*",'Diags Raw Data'!$AB$6:$AB$3907))</f>
        <v>0</v>
      </c>
      <c r="R84" s="485">
        <f t="shared" si="55"/>
        <v>0</v>
      </c>
      <c r="S84" s="485">
        <f t="shared" si="56"/>
        <v>0</v>
      </c>
      <c r="T84" s="486">
        <f t="shared" si="57"/>
        <v>0</v>
      </c>
      <c r="U84" s="530" t="s">
        <v>1425</v>
      </c>
      <c r="V84" s="180"/>
    </row>
    <row r="85" spans="1:22" x14ac:dyDescent="0.25">
      <c r="A85" s="524"/>
      <c r="B85" s="431"/>
      <c r="C85" s="432"/>
      <c r="D85" s="433"/>
      <c r="E85" s="324"/>
      <c r="F85" s="324"/>
      <c r="G85" s="324"/>
      <c r="H85" s="324"/>
      <c r="I85" s="432"/>
      <c r="J85" s="434"/>
      <c r="K85" s="478"/>
      <c r="L85" s="479"/>
      <c r="M85" s="480"/>
      <c r="N85" s="481"/>
      <c r="O85" s="482"/>
      <c r="P85" s="483"/>
      <c r="Q85" s="484"/>
      <c r="R85" s="485"/>
      <c r="S85" s="485"/>
      <c r="T85" s="486"/>
      <c r="U85" s="530"/>
      <c r="V85" s="180"/>
    </row>
    <row r="86" spans="1:22" x14ac:dyDescent="0.25">
      <c r="A86" s="524" t="s">
        <v>1207</v>
      </c>
      <c r="B86" s="431" t="str">
        <f>VLOOKUP(A86,'Feature Raw Data'!$A$3:$B$4204,2,FALSE)</f>
        <v>MMHUB:Debug - Debug Bus</v>
      </c>
      <c r="C86" s="432" t="str">
        <f>VLOOKUP(A86,'Feature Raw Data'!$A$3:$C$4204,3,FALSE)</f>
        <v>P2</v>
      </c>
      <c r="D86" s="433" t="str" cm="1">
        <f t="array" ref="D86">_xlfn.TEXTJOIN("",TRUE,IF(ISNUMBER(SEARCH($A86,'Diags Raw Data'!$A$6:$A$3907)),CONCATENATE('Diags Raw Data'!$H$6:$H$3907,", "),""))</f>
        <v/>
      </c>
      <c r="E86" s="324" t="e">
        <f>VLOOKUP(A86,'Diags Raw Data'!$A$6:$D$3907,4,FALSE)</f>
        <v>#N/A</v>
      </c>
      <c r="F86" s="324" t="str">
        <f>VLOOKUP(A86,'Feature Raw Data'!$A$3:$E$4204,5,FALSE)</f>
        <v>Legacy</v>
      </c>
      <c r="G86" s="324" t="str">
        <f>IF(D86="","No","Yes")</f>
        <v>No</v>
      </c>
      <c r="H86" s="324" t="str">
        <f t="shared" si="47"/>
        <v>No</v>
      </c>
      <c r="I86" s="432">
        <f>SUMIF('Diags Raw Data'!$A$6:$A$3907,"*"&amp;$A86&amp;"*",'Diags Raw Data'!$K$6:$K$3907)</f>
        <v>0</v>
      </c>
      <c r="J86" s="434">
        <f>SUMIF('Diags Raw Data'!$A$6:$A$3907,"*"&amp;$A86&amp;"*",'Diags Raw Data'!$L$6:$L$3907)</f>
        <v>0</v>
      </c>
      <c r="K86" s="478" cm="1">
        <f t="array" ref="K86">IF(D86="",0, SUMPRODUCT(--(ISNUMBER(SEARCH($A86,'Diags Raw Data'!$A$6:$A$3907))),'Diags Raw Data'!$L$6:$L$3907,'Diags Raw Data'!$N$6:$N$3910)/J86)</f>
        <v>0</v>
      </c>
      <c r="L86" s="479" cm="1">
        <f t="array" ref="L86">IF(D86="",0, SUMPRODUCT(--(ISNUMBER(SEARCH($A86,'Diags Raw Data'!$A$6:$A$3907))),'Diags Raw Data'!$L$6:$L$3907,'Diags Raw Data'!$P$6:$P$3907)/J86)</f>
        <v>0</v>
      </c>
      <c r="M86" s="480" cm="1">
        <f t="array" ref="M86">SUMPRODUCT(--(ISNUMBER(SEARCH($A86,'Diags Raw Data'!$A$6:$A$3907))),--('Diags Raw Data'!$Q$6:$Q$3907&lt;&gt;"N/A"),'Diags Raw Data'!$R$6:$R$3907)</f>
        <v>0</v>
      </c>
      <c r="N86" s="481" cm="1">
        <f t="array" ref="N86">SUMPRODUCT(--(ISNUMBER(SEARCH($A86,'Diags Raw Data'!$A$6:$A$3907))),--('Diags Raw Data'!$Q$6:$Q$3907&lt;&gt;"N/A"),'Diags Raw Data'!$T$6:$T$3907)+SUMPRODUCT(--(ISNUMBER(SEARCH($A86,'Diags Raw Data'!$A$6:$A$3907))),--('Diags Raw Data'!$Q$6:$Q$3907&lt;&gt;"N/A"),'Diags Raw Data'!$U$6:$U$3907)</f>
        <v>0</v>
      </c>
      <c r="O86" s="482">
        <f t="shared" si="48"/>
        <v>0</v>
      </c>
      <c r="P86" s="483">
        <f>SUMIF('Diags Raw Data'!$A$6:$A$3907,"*"&amp;$A86&amp;"*",'Diags Raw Data'!$Z$6:$Z$3907)</f>
        <v>0</v>
      </c>
      <c r="Q86" s="484">
        <f>SUM(SUMIF('Diags Raw Data'!$A$6:$A$3907,"*"&amp;$A86&amp;"*",'Diags Raw Data'!$AA$6:$AA$3907),SUMIF('Diags Raw Data'!$A$6:$A$3907,"*"&amp;$A86&amp;"*",'Diags Raw Data'!$AB$6:$AB$3907))</f>
        <v>0</v>
      </c>
      <c r="R86" s="485">
        <f t="shared" si="49"/>
        <v>0</v>
      </c>
      <c r="S86" s="485">
        <f t="shared" si="50"/>
        <v>0</v>
      </c>
      <c r="T86" s="486">
        <f t="shared" si="51"/>
        <v>0</v>
      </c>
      <c r="U86" s="530" t="s">
        <v>44</v>
      </c>
      <c r="V86" s="180" t="s">
        <v>1436</v>
      </c>
    </row>
    <row r="87" spans="1:22" x14ac:dyDescent="0.25">
      <c r="A87" s="524" t="s">
        <v>1234</v>
      </c>
      <c r="B87" s="431" t="str">
        <f>VLOOKUP(A87,'Feature Raw Data'!$A$3:$B$4204,2,FALSE)</f>
        <v>GFXHUB:GCUTCL2 - SRAM FGCG</v>
      </c>
      <c r="C87" s="432" t="str">
        <f>VLOOKUP(A87,'Feature Raw Data'!$A$3:$C$4204,3,FALSE)</f>
        <v>P1</v>
      </c>
      <c r="D87" s="433" t="str" cm="1">
        <f t="array" ref="D87">_xlfn.TEXTJOIN("",TRUE,IF(ISNUMBER(SEARCH($A87,'Diags Raw Data'!$A$6:$A$3907)),CONCATENATE('Diags Raw Data'!$H$6:$H$3907,", "),""))</f>
        <v/>
      </c>
      <c r="E87" s="324" t="e">
        <f>VLOOKUP(A87,'Diags Raw Data'!$A$6:$D$3907,4,FALSE)</f>
        <v>#N/A</v>
      </c>
      <c r="F87" s="324" t="str">
        <f>VLOOKUP(A87,'Feature Raw Data'!$A$3:$E$4204,5,FALSE)</f>
        <v>Delta</v>
      </c>
      <c r="G87" s="324" t="str">
        <f t="shared" ref="G87" si="58">IF(D87="","No","Yes")</f>
        <v>No</v>
      </c>
      <c r="H87" s="324" t="str">
        <f t="shared" ref="H87" si="59">IF(D87="","No","Yes")</f>
        <v>No</v>
      </c>
      <c r="I87" s="432">
        <f>SUMIF('Diags Raw Data'!$A$6:$A$3907,"*"&amp;$A87&amp;"*",'Diags Raw Data'!$K$6:$K$3907)</f>
        <v>0</v>
      </c>
      <c r="J87" s="434">
        <f>SUMIF('Diags Raw Data'!$A$6:$A$3907,"*"&amp;$A87&amp;"*",'Diags Raw Data'!$L$6:$L$3907)</f>
        <v>0</v>
      </c>
      <c r="K87" s="478" cm="1">
        <f t="array" ref="K87">IF(D87="",0, SUMPRODUCT(--(ISNUMBER(SEARCH($A87,'Diags Raw Data'!$A$6:$A$3907))),'Diags Raw Data'!$L$6:$L$3907,'Diags Raw Data'!$N$6:$N$3910)/J87)</f>
        <v>0</v>
      </c>
      <c r="L87" s="479" cm="1">
        <f t="array" ref="L87">IF(D87="",0, SUMPRODUCT(--(ISNUMBER(SEARCH($A87,'Diags Raw Data'!$A$6:$A$3907))),'Diags Raw Data'!$L$6:$L$3907,'Diags Raw Data'!$P$6:$P$3907)/J87)</f>
        <v>0</v>
      </c>
      <c r="M87" s="480" cm="1">
        <f t="array" ref="M87">SUMPRODUCT(--(ISNUMBER(SEARCH($A87,'Diags Raw Data'!$A$6:$A$3907))),--('Diags Raw Data'!$Q$6:$Q$3907&lt;&gt;"N/A"),'Diags Raw Data'!$R$6:$R$3907)</f>
        <v>0</v>
      </c>
      <c r="N87" s="481" cm="1">
        <f t="array" ref="N87">SUMPRODUCT(--(ISNUMBER(SEARCH($A87,'Diags Raw Data'!$A$6:$A$3907))),--('Diags Raw Data'!$Q$6:$Q$3907&lt;&gt;"N/A"),'Diags Raw Data'!$T$6:$T$3907)+SUMPRODUCT(--(ISNUMBER(SEARCH($A87,'Diags Raw Data'!$A$6:$A$3907))),--('Diags Raw Data'!$Q$6:$Q$3907&lt;&gt;"N/A"),'Diags Raw Data'!$U$6:$U$3907)</f>
        <v>0</v>
      </c>
      <c r="O87" s="482">
        <f t="shared" ref="O87" si="60">IF((M87=0),0,N87/M87)</f>
        <v>0</v>
      </c>
      <c r="P87" s="483">
        <f>SUMIF('Diags Raw Data'!$A$6:$A$3907,"*"&amp;$A87&amp;"*",'Diags Raw Data'!$Z$6:$Z$3907)</f>
        <v>0</v>
      </c>
      <c r="Q87" s="484">
        <f>SUM(SUMIF('Diags Raw Data'!$A$6:$A$3907,"*"&amp;$A87&amp;"*",'Diags Raw Data'!$AA$6:$AA$3907),SUMIF('Diags Raw Data'!$A$6:$A$3907,"*"&amp;$A87&amp;"*",'Diags Raw Data'!$AB$6:$AB$3907))</f>
        <v>0</v>
      </c>
      <c r="R87" s="485">
        <f t="shared" ref="R87" si="61">IF((J87=0),0,P87/J87)</f>
        <v>0</v>
      </c>
      <c r="S87" s="485">
        <f t="shared" ref="S87" si="62">IF((P87=0),0,Q87/P87)</f>
        <v>0</v>
      </c>
      <c r="T87" s="486">
        <f t="shared" ref="T87" si="63">R87*S87</f>
        <v>0</v>
      </c>
      <c r="U87" s="530" t="s">
        <v>44</v>
      </c>
      <c r="V87" s="180" t="s">
        <v>1437</v>
      </c>
    </row>
    <row r="88" spans="1:22" x14ac:dyDescent="0.25">
      <c r="A88" s="524" t="s">
        <v>1236</v>
      </c>
      <c r="B88" s="431" t="str">
        <f>VLOOKUP(A88,'Feature Raw Data'!$A$3:$B$4204,2,FALSE)</f>
        <v>GFXHUB:GCUTCL2 - Repeater FGCG</v>
      </c>
      <c r="C88" s="432" t="str">
        <f>VLOOKUP(A88,'Feature Raw Data'!$A$3:$C$4204,3,FALSE)</f>
        <v>P1</v>
      </c>
      <c r="D88" s="433" t="str" cm="1">
        <f t="array" ref="D88">_xlfn.TEXTJOIN("",TRUE,IF(ISNUMBER(SEARCH($A88,'Diags Raw Data'!$A$6:$A$3907)),CONCATENATE('Diags Raw Data'!$H$6:$H$3907,", "),""))</f>
        <v/>
      </c>
      <c r="E88" s="324" t="e">
        <f>VLOOKUP(A88,'Diags Raw Data'!$A$6:$D$3907,4,FALSE)</f>
        <v>#N/A</v>
      </c>
      <c r="F88" s="324" t="str">
        <f>VLOOKUP(A88,'Feature Raw Data'!$A$3:$E$4204,5,FALSE)</f>
        <v>Legacy</v>
      </c>
      <c r="G88" s="324" t="str">
        <f t="shared" ref="G88:G140" si="64">IF(D88="","No","Yes")</f>
        <v>No</v>
      </c>
      <c r="H88" s="324" t="str">
        <f t="shared" ref="H88:H140" si="65">IF(D88="","No","Yes")</f>
        <v>No</v>
      </c>
      <c r="I88" s="432">
        <f>SUMIF('Diags Raw Data'!$A$6:$A$3907,"*"&amp;$A88&amp;"*",'Diags Raw Data'!$K$6:$K$3907)</f>
        <v>0</v>
      </c>
      <c r="J88" s="434">
        <f>SUMIF('Diags Raw Data'!$A$6:$A$3907,"*"&amp;$A88&amp;"*",'Diags Raw Data'!$L$6:$L$3907)</f>
        <v>0</v>
      </c>
      <c r="K88" s="478" cm="1">
        <f t="array" ref="K88">IF(D88="",0, SUMPRODUCT(--(ISNUMBER(SEARCH($A88,'Diags Raw Data'!$A$6:$A$3907))),'Diags Raw Data'!$L$6:$L$3907,'Diags Raw Data'!$N$6:$N$3910)/J88)</f>
        <v>0</v>
      </c>
      <c r="L88" s="479" cm="1">
        <f t="array" ref="L88">IF(D88="",0, SUMPRODUCT(--(ISNUMBER(SEARCH($A88,'Diags Raw Data'!$A$6:$A$3907))),'Diags Raw Data'!$L$6:$L$3907,'Diags Raw Data'!$P$6:$P$3907)/J88)</f>
        <v>0</v>
      </c>
      <c r="M88" s="480" cm="1">
        <f t="array" ref="M88">SUMPRODUCT(--(ISNUMBER(SEARCH($A88,'Diags Raw Data'!$A$6:$A$3907))),--('Diags Raw Data'!$Q$6:$Q$3907&lt;&gt;"N/A"),'Diags Raw Data'!$R$6:$R$3907)</f>
        <v>0</v>
      </c>
      <c r="N88" s="481" cm="1">
        <f t="array" ref="N88">SUMPRODUCT(--(ISNUMBER(SEARCH($A88,'Diags Raw Data'!$A$6:$A$3907))),--('Diags Raw Data'!$Q$6:$Q$3907&lt;&gt;"N/A"),'Diags Raw Data'!$T$6:$T$3907)+SUMPRODUCT(--(ISNUMBER(SEARCH($A88,'Diags Raw Data'!$A$6:$A$3907))),--('Diags Raw Data'!$Q$6:$Q$3907&lt;&gt;"N/A"),'Diags Raw Data'!$U$6:$U$3907)</f>
        <v>0</v>
      </c>
      <c r="O88" s="482">
        <f t="shared" ref="O88:O140" si="66">IF((M88=0),0,N88/M88)</f>
        <v>0</v>
      </c>
      <c r="P88" s="483">
        <f>SUMIF('Diags Raw Data'!$A$6:$A$3907,"*"&amp;$A88&amp;"*",'Diags Raw Data'!$Z$6:$Z$3907)</f>
        <v>0</v>
      </c>
      <c r="Q88" s="484">
        <f>SUM(SUMIF('Diags Raw Data'!$A$6:$A$3907,"*"&amp;$A88&amp;"*",'Diags Raw Data'!$AA$6:$AA$3907),SUMIF('Diags Raw Data'!$A$6:$A$3907,"*"&amp;$A88&amp;"*",'Diags Raw Data'!$AB$6:$AB$3907))</f>
        <v>0</v>
      </c>
      <c r="R88" s="485">
        <f t="shared" ref="R88:R137" si="67">IF((J88=0),0,P88/J88)</f>
        <v>0</v>
      </c>
      <c r="S88" s="485">
        <f t="shared" ref="S88:S140" si="68">IF((P88=0),0,Q88/P88)</f>
        <v>0</v>
      </c>
      <c r="T88" s="486">
        <f t="shared" ref="T88:T140" si="69">R88*S88</f>
        <v>0</v>
      </c>
      <c r="U88" s="530" t="s">
        <v>44</v>
      </c>
      <c r="V88" s="180" t="s">
        <v>1437</v>
      </c>
    </row>
    <row r="89" spans="1:22" x14ac:dyDescent="0.25">
      <c r="A89" s="524" t="s">
        <v>1238</v>
      </c>
      <c r="B89" s="431" t="str">
        <f>VLOOKUP(A89,'Feature Raw Data'!$A$3:$B$4204,2,FALSE)</f>
        <v>GFXHUB:GCUTCL2 - RDL parameter inhancement</v>
      </c>
      <c r="C89" s="432" t="str">
        <f>VLOOKUP(A89,'Feature Raw Data'!$A$3:$C$4204,3,FALSE)</f>
        <v>P1</v>
      </c>
      <c r="D89" s="433"/>
      <c r="E89" s="324" t="e">
        <f>VLOOKUP(A89,'Diags Raw Data'!$A$6:$D$3907,4,FALSE)</f>
        <v>#N/A</v>
      </c>
      <c r="F89" s="324" t="str">
        <f>VLOOKUP(A89,'Feature Raw Data'!$A$3:$E$4204,5,FALSE)</f>
        <v>Delta</v>
      </c>
      <c r="G89" s="324" t="str">
        <f t="shared" si="64"/>
        <v>No</v>
      </c>
      <c r="H89" s="324" t="str">
        <f t="shared" si="65"/>
        <v>No</v>
      </c>
      <c r="I89" s="432">
        <f>SUMIF('Diags Raw Data'!$A$6:$A$3907,"*"&amp;$A89&amp;"*",'Diags Raw Data'!$K$6:$K$3907)</f>
        <v>0</v>
      </c>
      <c r="J89" s="434">
        <f>SUMIF('Diags Raw Data'!$A$6:$A$3907,"*"&amp;$A89&amp;"*",'Diags Raw Data'!$L$6:$L$3907)</f>
        <v>0</v>
      </c>
      <c r="K89" s="478" cm="1">
        <f t="array" ref="K89">IF(D89="",0, SUMPRODUCT(--(ISNUMBER(SEARCH($A89,'Diags Raw Data'!$A$6:$A$3907))),'Diags Raw Data'!$L$6:$L$3907,'Diags Raw Data'!$N$6:$N$3910)/J89)</f>
        <v>0</v>
      </c>
      <c r="L89" s="479" cm="1">
        <f t="array" ref="L89">IF(D89="",0, SUMPRODUCT(--(ISNUMBER(SEARCH($A89,'Diags Raw Data'!$A$6:$A$3907))),'Diags Raw Data'!$L$6:$L$3907,'Diags Raw Data'!$P$6:$P$3907)/J89)</f>
        <v>0</v>
      </c>
      <c r="M89" s="480" cm="1">
        <f t="array" ref="M89">SUMPRODUCT(--(ISNUMBER(SEARCH($A89,'Diags Raw Data'!$A$6:$A$3907))),--('Diags Raw Data'!$Q$6:$Q$3907&lt;&gt;"N/A"),'Diags Raw Data'!$R$6:$R$3907)</f>
        <v>0</v>
      </c>
      <c r="N89" s="481" cm="1">
        <f t="array" ref="N89">SUMPRODUCT(--(ISNUMBER(SEARCH($A89,'Diags Raw Data'!$A$6:$A$3907))),--('Diags Raw Data'!$Q$6:$Q$3907&lt;&gt;"N/A"),'Diags Raw Data'!$T$6:$T$3907)+SUMPRODUCT(--(ISNUMBER(SEARCH($A89,'Diags Raw Data'!$A$6:$A$3907))),--('Diags Raw Data'!$Q$6:$Q$3907&lt;&gt;"N/A"),'Diags Raw Data'!$U$6:$U$3907)</f>
        <v>0</v>
      </c>
      <c r="O89" s="482">
        <f t="shared" si="66"/>
        <v>0</v>
      </c>
      <c r="P89" s="483">
        <f>SUMIF('Diags Raw Data'!$A$6:$A$3907,"*"&amp;$A89&amp;"*",'Diags Raw Data'!$Z$6:$Z$3907)</f>
        <v>0</v>
      </c>
      <c r="Q89" s="484">
        <f>SUM(SUMIF('Diags Raw Data'!$A$6:$A$3907,"*"&amp;$A89&amp;"*",'Diags Raw Data'!$AA$6:$AA$3907),SUMIF('Diags Raw Data'!$A$6:$A$3907,"*"&amp;$A89&amp;"*",'Diags Raw Data'!$AB$6:$AB$3907))</f>
        <v>0</v>
      </c>
      <c r="R89" s="485">
        <f t="shared" si="67"/>
        <v>0</v>
      </c>
      <c r="S89" s="485">
        <f t="shared" si="68"/>
        <v>0</v>
      </c>
      <c r="T89" s="486">
        <f t="shared" si="69"/>
        <v>0</v>
      </c>
      <c r="U89" s="530" t="s">
        <v>44</v>
      </c>
      <c r="V89" s="180" t="s">
        <v>1240</v>
      </c>
    </row>
    <row r="90" spans="1:22" ht="30" x14ac:dyDescent="0.25">
      <c r="A90" s="524" t="s">
        <v>1241</v>
      </c>
      <c r="B90" s="431" t="str">
        <f>VLOOKUP(A90,'Feature Raw Data'!$A$3:$B$4204,2,FALSE)</f>
        <v>GFXHUB:GCUTCL2 - Expand GRBM address bus range</v>
      </c>
      <c r="C90" s="432" t="str">
        <f>VLOOKUP(A90,'Feature Raw Data'!$A$3:$C$4204,3,FALSE)</f>
        <v>P2</v>
      </c>
      <c r="D90" s="433" t="str" cm="1">
        <f t="array" ref="D90">_xlfn.TEXTJOIN("",TRUE,IF(ISNUMBER(SEARCH($A90,'Diags Raw Data'!$A$6:$A$3907)),CONCATENATE('Diags Raw Data'!$H$6:$H$3907,", "),""))</f>
        <v/>
      </c>
      <c r="E90" s="324" t="e">
        <f>VLOOKUP(A90,'Diags Raw Data'!$A$6:$D$3907,4,FALSE)</f>
        <v>#N/A</v>
      </c>
      <c r="F90" s="324" t="str">
        <f>VLOOKUP(A90,'Feature Raw Data'!$A$3:$E$4204,5,FALSE)</f>
        <v>Legacy</v>
      </c>
      <c r="G90" s="324" t="s">
        <v>31</v>
      </c>
      <c r="H90" s="324" t="str">
        <f t="shared" si="65"/>
        <v>No</v>
      </c>
      <c r="I90" s="432">
        <f>SUMIF('Diags Raw Data'!$A$6:$A$3907,"*"&amp;$A90&amp;"*",'Diags Raw Data'!$K$6:$K$3907)</f>
        <v>0</v>
      </c>
      <c r="J90" s="434">
        <f>SUMIF('Diags Raw Data'!$A$6:$A$3907,"*"&amp;$A90&amp;"*",'Diags Raw Data'!$L$6:$L$3907)</f>
        <v>0</v>
      </c>
      <c r="K90" s="478" cm="1">
        <f t="array" ref="K90">IF(D90="",0, SUMPRODUCT(--(ISNUMBER(SEARCH($A90,'Diags Raw Data'!$A$6:$A$3907))),'Diags Raw Data'!$L$6:$L$3907,'Diags Raw Data'!$N$6:$N$3910)/J90)</f>
        <v>0</v>
      </c>
      <c r="L90" s="479" cm="1">
        <f t="array" ref="L90">IF(D90="",0, SUMPRODUCT(--(ISNUMBER(SEARCH($A90,'Diags Raw Data'!$A$6:$A$3907))),'Diags Raw Data'!$L$6:$L$3907,'Diags Raw Data'!$P$6:$P$3907)/J90)</f>
        <v>0</v>
      </c>
      <c r="M90" s="480" cm="1">
        <f t="array" ref="M90">SUMPRODUCT(--(ISNUMBER(SEARCH($A90,'Diags Raw Data'!$A$6:$A$3907))),--('Diags Raw Data'!$Q$6:$Q$3907&lt;&gt;"N/A"),'Diags Raw Data'!$R$6:$R$3907)</f>
        <v>0</v>
      </c>
      <c r="N90" s="481" cm="1">
        <f t="array" ref="N90">SUMPRODUCT(--(ISNUMBER(SEARCH($A90,'Diags Raw Data'!$A$6:$A$3907))),--('Diags Raw Data'!$Q$6:$Q$3907&lt;&gt;"N/A"),'Diags Raw Data'!$T$6:$T$3907)+SUMPRODUCT(--(ISNUMBER(SEARCH($A90,'Diags Raw Data'!$A$6:$A$3907))),--('Diags Raw Data'!$Q$6:$Q$3907&lt;&gt;"N/A"),'Diags Raw Data'!$U$6:$U$3907)</f>
        <v>0</v>
      </c>
      <c r="O90" s="482">
        <f t="shared" si="66"/>
        <v>0</v>
      </c>
      <c r="P90" s="483">
        <f>SUMIF('Diags Raw Data'!$A$6:$A$3907,"*"&amp;$A90&amp;"*",'Diags Raw Data'!$Z$6:$Z$3907)</f>
        <v>0</v>
      </c>
      <c r="Q90" s="484">
        <f>SUM(SUMIF('Diags Raw Data'!$A$6:$A$3907,"*"&amp;$A90&amp;"*",'Diags Raw Data'!$AA$6:$AA$3907),SUMIF('Diags Raw Data'!$A$6:$A$3907,"*"&amp;$A90&amp;"*",'Diags Raw Data'!$AB$6:$AB$3907))</f>
        <v>0</v>
      </c>
      <c r="R90" s="485">
        <f t="shared" si="67"/>
        <v>0</v>
      </c>
      <c r="S90" s="485">
        <f t="shared" si="68"/>
        <v>0</v>
      </c>
      <c r="T90" s="486">
        <f t="shared" si="69"/>
        <v>0</v>
      </c>
      <c r="U90" s="530" t="s">
        <v>44</v>
      </c>
      <c r="V90" s="180" t="s">
        <v>1438</v>
      </c>
    </row>
    <row r="91" spans="1:22" x14ac:dyDescent="0.25">
      <c r="A91" s="524"/>
      <c r="B91" s="431"/>
      <c r="C91" s="432"/>
      <c r="D91" s="433"/>
      <c r="E91" s="324"/>
      <c r="F91" s="324"/>
      <c r="G91" s="324"/>
      <c r="H91" s="324"/>
      <c r="I91" s="432"/>
      <c r="J91" s="434"/>
      <c r="K91" s="478"/>
      <c r="L91" s="479"/>
      <c r="M91" s="480"/>
      <c r="N91" s="481"/>
      <c r="O91" s="482"/>
      <c r="P91" s="483"/>
      <c r="Q91" s="484"/>
      <c r="R91" s="485"/>
      <c r="S91" s="485"/>
      <c r="T91" s="486"/>
      <c r="U91" s="530"/>
      <c r="V91" s="180"/>
    </row>
    <row r="92" spans="1:22" x14ac:dyDescent="0.25">
      <c r="A92" s="524"/>
      <c r="B92" s="431"/>
      <c r="C92" s="432"/>
      <c r="D92" s="433"/>
      <c r="E92" s="324"/>
      <c r="F92" s="324"/>
      <c r="G92" s="324"/>
      <c r="H92" s="324"/>
      <c r="I92" s="432"/>
      <c r="J92" s="434"/>
      <c r="K92" s="478"/>
      <c r="L92" s="479"/>
      <c r="M92" s="480"/>
      <c r="N92" s="481"/>
      <c r="O92" s="482"/>
      <c r="P92" s="483"/>
      <c r="Q92" s="484"/>
      <c r="R92" s="485"/>
      <c r="S92" s="485"/>
      <c r="T92" s="486"/>
      <c r="U92" s="530"/>
      <c r="V92" s="180"/>
    </row>
    <row r="93" spans="1:22" ht="26.25" customHeight="1" x14ac:dyDescent="0.25">
      <c r="A93" s="524" t="s">
        <v>938</v>
      </c>
      <c r="B93" s="431" t="str">
        <f>VLOOKUP(A93,'Feature Raw Data'!$A$3:$B$4204,2,FALSE)</f>
        <v>GFXHUB:GCUTCL2 - Remove 2MB max page size limit</v>
      </c>
      <c r="C93" s="432" t="str">
        <f>VLOOKUP(A93,'Feature Raw Data'!$A$3:$C$4204,3,FALSE)</f>
        <v>P2</v>
      </c>
      <c r="D93" s="433" t="str" cm="1">
        <f t="array" ref="D93">_xlfn.TEXTJOIN("",TRUE,IF(ISNUMBER(SEARCH($A93,'Diags Raw Data'!$A$6:$A$3907)),CONCATENATE('Diags Raw Data'!$H$6:$H$3907,", "),""))</f>
        <v/>
      </c>
      <c r="E93" s="324" t="e">
        <f>VLOOKUP(A93,'Diags Raw Data'!$A$6:$D$3907,4,FALSE)</f>
        <v>#N/A</v>
      </c>
      <c r="F93" s="324" t="str">
        <f>VLOOKUP(A93,'Feature Raw Data'!$A$3:$E$4204,5,FALSE)</f>
        <v>Legacy</v>
      </c>
      <c r="G93" s="324" t="str">
        <f t="shared" si="64"/>
        <v>No</v>
      </c>
      <c r="H93" s="324" t="str">
        <f t="shared" si="65"/>
        <v>No</v>
      </c>
      <c r="I93" s="432">
        <f>SUMIF('Diags Raw Data'!$A$6:$A$3907,"*"&amp;$A93&amp;"*",'Diags Raw Data'!$K$6:$K$3907)</f>
        <v>0</v>
      </c>
      <c r="J93" s="434">
        <f>SUMIF('Diags Raw Data'!$A$6:$A$3907,"*"&amp;$A93&amp;"*",'Diags Raw Data'!$L$6:$L$3907)</f>
        <v>0</v>
      </c>
      <c r="K93" s="478" cm="1">
        <f t="array" ref="K93">IF(D93="",0, SUMPRODUCT(--(ISNUMBER(SEARCH($A93,'Diags Raw Data'!$A$6:$A$3907))),'Diags Raw Data'!$L$6:$L$3907,'Diags Raw Data'!$N$6:$N$3910)/J93)</f>
        <v>0</v>
      </c>
      <c r="L93" s="479" cm="1">
        <f t="array" ref="L93">IF(D93="",0, SUMPRODUCT(--(ISNUMBER(SEARCH($A93,'Diags Raw Data'!$A$6:$A$3907))),'Diags Raw Data'!$L$6:$L$3907,'Diags Raw Data'!$P$6:$P$3907)/J93)</f>
        <v>0</v>
      </c>
      <c r="M93" s="480" cm="1">
        <f t="array" ref="M93">SUMPRODUCT(--(ISNUMBER(SEARCH($A93,'Diags Raw Data'!$A$6:$A$3907))),--('Diags Raw Data'!$Q$6:$Q$3907&lt;&gt;"N/A"),'Diags Raw Data'!$R$6:$R$3907)</f>
        <v>0</v>
      </c>
      <c r="N93" s="481" cm="1">
        <f t="array" ref="N93">SUMPRODUCT(--(ISNUMBER(SEARCH($A93,'Diags Raw Data'!$A$6:$A$3907))),--('Diags Raw Data'!$Q$6:$Q$3907&lt;&gt;"N/A"),'Diags Raw Data'!$T$6:$T$3907)+SUMPRODUCT(--(ISNUMBER(SEARCH($A93,'Diags Raw Data'!$A$6:$A$3907))),--('Diags Raw Data'!$Q$6:$Q$3907&lt;&gt;"N/A"),'Diags Raw Data'!$U$6:$U$3907)</f>
        <v>0</v>
      </c>
      <c r="O93" s="482">
        <f t="shared" si="66"/>
        <v>0</v>
      </c>
      <c r="P93" s="483">
        <f>SUMIF('Diags Raw Data'!$A$6:$A$3907,"*"&amp;$A93&amp;"*",'Diags Raw Data'!$Z$6:$Z$3907)</f>
        <v>0</v>
      </c>
      <c r="Q93" s="484">
        <f>SUM(SUMIF('Diags Raw Data'!$A$6:$A$3907,"*"&amp;$A93&amp;"*",'Diags Raw Data'!$AA$6:$AA$3907),SUMIF('Diags Raw Data'!$A$6:$A$3907,"*"&amp;$A93&amp;"*",'Diags Raw Data'!$AB$6:$AB$3907))</f>
        <v>0</v>
      </c>
      <c r="R93" s="485">
        <f t="shared" si="67"/>
        <v>0</v>
      </c>
      <c r="S93" s="485">
        <f t="shared" si="68"/>
        <v>0</v>
      </c>
      <c r="T93" s="486">
        <f t="shared" si="69"/>
        <v>0</v>
      </c>
      <c r="U93" s="530" t="s">
        <v>1425</v>
      </c>
      <c r="V93" s="180"/>
    </row>
    <row r="94" spans="1:22" x14ac:dyDescent="0.25">
      <c r="A94" s="524"/>
      <c r="B94" s="431"/>
      <c r="C94" s="432"/>
      <c r="D94" s="433"/>
      <c r="E94" s="324"/>
      <c r="F94" s="324"/>
      <c r="G94" s="324"/>
      <c r="H94" s="324"/>
      <c r="I94" s="432"/>
      <c r="J94" s="434"/>
      <c r="K94" s="478"/>
      <c r="L94" s="479"/>
      <c r="M94" s="480"/>
      <c r="N94" s="481"/>
      <c r="O94" s="482"/>
      <c r="P94" s="483"/>
      <c r="Q94" s="484"/>
      <c r="R94" s="485"/>
      <c r="S94" s="485"/>
      <c r="T94" s="486"/>
      <c r="U94" s="530"/>
      <c r="V94" s="180"/>
    </row>
    <row r="95" spans="1:22" x14ac:dyDescent="0.25">
      <c r="A95" s="524"/>
      <c r="B95" s="431"/>
      <c r="C95" s="432"/>
      <c r="D95" s="433"/>
      <c r="E95" s="324"/>
      <c r="F95" s="324"/>
      <c r="G95" s="324"/>
      <c r="H95" s="324"/>
      <c r="I95" s="432"/>
      <c r="J95" s="434"/>
      <c r="K95" s="478"/>
      <c r="L95" s="479"/>
      <c r="M95" s="480"/>
      <c r="N95" s="481"/>
      <c r="O95" s="482"/>
      <c r="P95" s="483"/>
      <c r="Q95" s="484"/>
      <c r="R95" s="485"/>
      <c r="S95" s="485"/>
      <c r="T95" s="486"/>
      <c r="U95" s="530"/>
      <c r="V95" s="180"/>
    </row>
    <row r="96" spans="1:22" ht="105" x14ac:dyDescent="0.25">
      <c r="A96" s="524" t="s">
        <v>548</v>
      </c>
      <c r="B96" s="431" t="str">
        <f>VLOOKUP(A96,'Feature Raw Data'!$A$3:$B$4204,2,FALSE)</f>
        <v>GFXHUB:GCUTCL2:VML2 - Caches</v>
      </c>
      <c r="C96" s="432" t="str">
        <f>VLOOKUP(A96,'Feature Raw Data'!$A$3:$C$4204,3,FALSE)</f>
        <v>P1</v>
      </c>
      <c r="D96" s="433" t="str" cm="1">
        <f t="array" ref="D96">_xlfn.TEXTJOIN("",TRUE,IF(ISNUMBER(SEARCH($A96,'Diags Raw Data'!$A$6:$A$3907)),CONCATENATE('Diags Raw Data'!$H$6:$H$3907,", "),""))</f>
        <v xml:space="preserve">mhub202.1-15, mhub202.16, mhub202.17, mhub215.3-4, mhub231.6-9, mhub232.1, mhub232.10, mhub232.11, mhub232.12, mhub232.2, mhub232.3, mhub232.4, mhub232.5, mhub232.6, mhub232.7, mhub232.8, mhub232.9, mhub407.1, mhub407.6, </v>
      </c>
      <c r="E96" s="324" t="str">
        <f>VLOOKUP(A96,'Diags Raw Data'!$A$6:$D$3907,4,FALSE)</f>
        <v>GFXHUB</v>
      </c>
      <c r="F96" s="324" t="str">
        <f>VLOOKUP(A96,'Feature Raw Data'!$A$3:$E$4204,5,FALSE)</f>
        <v>Legacy</v>
      </c>
      <c r="G96" s="324" t="str">
        <f t="shared" si="64"/>
        <v>Yes</v>
      </c>
      <c r="H96" s="324" t="str">
        <f t="shared" si="65"/>
        <v>Yes</v>
      </c>
      <c r="I96" s="432">
        <f>SUMIF('Diags Raw Data'!$A$6:$A$3907,"*"&amp;$A96&amp;"*",'Diags Raw Data'!$K$6:$K$3907)</f>
        <v>24</v>
      </c>
      <c r="J96" s="434">
        <f>SUMIF('Diags Raw Data'!$A$6:$A$3907,"*"&amp;$A96&amp;"*",'Diags Raw Data'!$L$6:$L$3907)</f>
        <v>37</v>
      </c>
      <c r="K96" s="478" t="e" cm="1">
        <f t="array" ref="K96">IF(D96="",0, SUMPRODUCT(--(ISNUMBER(SEARCH($A96,'Diags Raw Data'!$A$6:$A$3907))),'Diags Raw Data'!$L$6:$L$3907,'Diags Raw Data'!$N$6:$N$3910)/J96)</f>
        <v>#VALUE!</v>
      </c>
      <c r="L96" s="479" cm="1">
        <f t="array" ref="L96">IF(D96="",0, SUMPRODUCT(--(ISNUMBER(SEARCH($A96,'Diags Raw Data'!$A$6:$A$3907))),'Diags Raw Data'!$L$6:$L$3907,'Diags Raw Data'!$P$6:$P$3907)/J96)</f>
        <v>1</v>
      </c>
      <c r="M96" s="480" cm="1">
        <f t="array" ref="M96">SUMPRODUCT(--(ISNUMBER(SEARCH($A96,'Diags Raw Data'!$A$6:$A$3907))),--('Diags Raw Data'!$Q$6:$Q$3907&lt;&gt;"N/A"),'Diags Raw Data'!$R$6:$R$3907)</f>
        <v>37</v>
      </c>
      <c r="N96" s="481" cm="1">
        <f t="array" ref="N96">SUMPRODUCT(--(ISNUMBER(SEARCH($A96,'Diags Raw Data'!$A$6:$A$3907))),--('Diags Raw Data'!$Q$6:$Q$3907&lt;&gt;"N/A"),'Diags Raw Data'!$T$6:$T$3907)+SUMPRODUCT(--(ISNUMBER(SEARCH($A96,'Diags Raw Data'!$A$6:$A$3907))),--('Diags Raw Data'!$Q$6:$Q$3907&lt;&gt;"N/A"),'Diags Raw Data'!$U$6:$U$3907)</f>
        <v>22</v>
      </c>
      <c r="O96" s="482">
        <f t="shared" si="66"/>
        <v>0.59459459459459463</v>
      </c>
      <c r="P96" s="483">
        <f>SUMIF('Diags Raw Data'!$A$6:$A$3907,"*"&amp;$A96&amp;"*",'Diags Raw Data'!$Z$6:$Z$3907)</f>
        <v>21</v>
      </c>
      <c r="Q96" s="484">
        <f>SUM(SUMIF('Diags Raw Data'!$A$6:$A$3907,"*"&amp;$A96&amp;"*",'Diags Raw Data'!$AA$6:$AA$3907),SUMIF('Diags Raw Data'!$A$6:$A$3907,"*"&amp;$A96&amp;"*",'Diags Raw Data'!$AB$6:$AB$3907))</f>
        <v>3</v>
      </c>
      <c r="R96" s="485">
        <f t="shared" si="67"/>
        <v>0.56756756756756754</v>
      </c>
      <c r="S96" s="485">
        <f t="shared" si="68"/>
        <v>0.14285714285714285</v>
      </c>
      <c r="T96" s="486">
        <f t="shared" si="69"/>
        <v>8.1081081081081072E-2</v>
      </c>
      <c r="U96" s="530" t="s">
        <v>1425</v>
      </c>
      <c r="V96" s="180"/>
    </row>
    <row r="97" spans="1:24" ht="30" x14ac:dyDescent="0.25">
      <c r="A97" s="524" t="s">
        <v>968</v>
      </c>
      <c r="B97" s="431" t="str">
        <f>VLOOKUP(A97,'Feature Raw Data'!$A$3:$B$4204,2,FALSE)</f>
        <v>GFXHUB:GCUTCL2:VML2 - GPUVM fault status register</v>
      </c>
      <c r="C97" s="432" t="str">
        <f>VLOOKUP(A97,'Feature Raw Data'!$A$3:$C$4204,3,FALSE)</f>
        <v>P1</v>
      </c>
      <c r="D97" s="433" t="str" cm="1">
        <f t="array" ref="D97">_xlfn.TEXTJOIN("",TRUE,IF(ISNUMBER(SEARCH($A97,'Diags Raw Data'!$A$6:$A$3907)),CONCATENATE('Diags Raw Data'!$H$6:$H$3907,", "),""))</f>
        <v xml:space="preserve">mhub287, </v>
      </c>
      <c r="E97" s="324" t="str">
        <f>VLOOKUP(A97,'Diags Raw Data'!$A$6:$D$3907,4,FALSE)</f>
        <v>GFXHUB</v>
      </c>
      <c r="F97" s="324" t="str">
        <f>VLOOKUP(A97,'Feature Raw Data'!$A$3:$E$4204,5,FALSE)</f>
        <v>Delta</v>
      </c>
      <c r="G97" s="324" t="str">
        <f t="shared" ref="G97" si="70">IF(D97="","No","Yes")</f>
        <v>Yes</v>
      </c>
      <c r="H97" s="324" t="str">
        <f t="shared" ref="H97" si="71">IF(D97="","No","Yes")</f>
        <v>Yes</v>
      </c>
      <c r="I97" s="432">
        <f>SUMIF('Diags Raw Data'!$A$6:$A$3907,"*"&amp;$A97&amp;"*",'Diags Raw Data'!$K$6:$K$3907)</f>
        <v>4</v>
      </c>
      <c r="J97" s="434">
        <f>SUMIF('Diags Raw Data'!$A$6:$A$3907,"*"&amp;$A97&amp;"*",'Diags Raw Data'!$L$6:$L$3907)</f>
        <v>1</v>
      </c>
      <c r="K97" s="478" t="e" cm="1">
        <f t="array" ref="K97">IF(D97="",0, SUMPRODUCT(--(ISNUMBER(SEARCH($A97,'Diags Raw Data'!$A$6:$A$3907))),'Diags Raw Data'!$L$6:$L$3907,'Diags Raw Data'!$N$6:$N$3910)/J97)</f>
        <v>#VALUE!</v>
      </c>
      <c r="L97" s="479" cm="1">
        <f t="array" ref="L97">IF(D97="",0, SUMPRODUCT(--(ISNUMBER(SEARCH($A97,'Diags Raw Data'!$A$6:$A$3907))),'Diags Raw Data'!$L$6:$L$3907,'Diags Raw Data'!$P$6:$P$3907)/J97)</f>
        <v>1</v>
      </c>
      <c r="M97" s="480" cm="1">
        <f t="array" ref="M97">SUMPRODUCT(--(ISNUMBER(SEARCH($A97,'Diags Raw Data'!$A$6:$A$3907))),--('Diags Raw Data'!$Q$6:$Q$3907&lt;&gt;"N/A"),'Diags Raw Data'!$R$6:$R$3907)</f>
        <v>1</v>
      </c>
      <c r="N97" s="481" cm="1">
        <f t="array" ref="N97">SUMPRODUCT(--(ISNUMBER(SEARCH($A97,'Diags Raw Data'!$A$6:$A$3907))),--('Diags Raw Data'!$Q$6:$Q$3907&lt;&gt;"N/A"),'Diags Raw Data'!$T$6:$T$3907)+SUMPRODUCT(--(ISNUMBER(SEARCH($A97,'Diags Raw Data'!$A$6:$A$3907))),--('Diags Raw Data'!$Q$6:$Q$3907&lt;&gt;"N/A"),'Diags Raw Data'!$U$6:$U$3907)</f>
        <v>1</v>
      </c>
      <c r="O97" s="482">
        <f t="shared" ref="O97" si="72">IF((M97=0),0,N97/M97)</f>
        <v>1</v>
      </c>
      <c r="P97" s="483">
        <f>SUMIF('Diags Raw Data'!$A$6:$A$3907,"*"&amp;$A97&amp;"*",'Diags Raw Data'!$Z$6:$Z$3907)</f>
        <v>1</v>
      </c>
      <c r="Q97" s="484">
        <f>SUM(SUMIF('Diags Raw Data'!$A$6:$A$3907,"*"&amp;$A97&amp;"*",'Diags Raw Data'!$AA$6:$AA$3907),SUMIF('Diags Raw Data'!$A$6:$A$3907,"*"&amp;$A97&amp;"*",'Diags Raw Data'!$AB$6:$AB$3907))</f>
        <v>1</v>
      </c>
      <c r="R97" s="485">
        <f t="shared" ref="R97" si="73">IF((J97=0),0,P97/J97)</f>
        <v>1</v>
      </c>
      <c r="S97" s="485">
        <f t="shared" ref="S97" si="74">IF((P97=0),0,Q97/P97)</f>
        <v>1</v>
      </c>
      <c r="T97" s="486">
        <f t="shared" ref="T97" si="75">R97*S97</f>
        <v>1</v>
      </c>
      <c r="U97" s="530" t="s">
        <v>1423</v>
      </c>
      <c r="V97" s="180"/>
    </row>
    <row r="98" spans="1:24" ht="25.5" customHeight="1" x14ac:dyDescent="0.25">
      <c r="A98" s="524" t="s">
        <v>939</v>
      </c>
      <c r="B98" s="431" t="str">
        <f>VLOOKUP(A98,'Feature Raw Data'!$A$3:$B$4204,2,FALSE)</f>
        <v>GFXHUB:GCUTCL2:VML2 - Common PSP-only default page</v>
      </c>
      <c r="C98" s="432" t="str">
        <f>VLOOKUP(A98,'Feature Raw Data'!$A$3:$C$4204,3,FALSE)</f>
        <v>P2</v>
      </c>
      <c r="D98" s="433" t="str" cm="1">
        <f t="array" ref="D98">_xlfn.TEXTJOIN("",TRUE,IF(ISNUMBER(SEARCH($A98,'Diags Raw Data'!$A$6:$A$3907)),CONCATENATE('Diags Raw Data'!$H$6:$H$3907,", "),""))</f>
        <v xml:space="preserve">mhub291.1-4, mhub291.5,mhub291.6, </v>
      </c>
      <c r="E98" s="324" t="str">
        <f>VLOOKUP(A98,'Diags Raw Data'!$A$6:$D$3907,4,FALSE)</f>
        <v>GFXHUB</v>
      </c>
      <c r="F98" s="324" t="str">
        <f>VLOOKUP(A98,'Feature Raw Data'!$A$3:$E$4204,5,FALSE)</f>
        <v>Legacy</v>
      </c>
      <c r="G98" s="324" t="str">
        <f t="shared" si="64"/>
        <v>Yes</v>
      </c>
      <c r="H98" s="324" t="str">
        <f t="shared" si="65"/>
        <v>Yes</v>
      </c>
      <c r="I98" s="432">
        <f>SUMIF('Diags Raw Data'!$A$6:$A$3907,"*"&amp;$A98&amp;"*",'Diags Raw Data'!$K$6:$K$3907)</f>
        <v>10</v>
      </c>
      <c r="J98" s="434">
        <f>SUMIF('Diags Raw Data'!$A$6:$A$3907,"*"&amp;$A98&amp;"*",'Diags Raw Data'!$L$6:$L$3907)</f>
        <v>6</v>
      </c>
      <c r="K98" s="478" t="e" cm="1">
        <f t="array" ref="K98">IF(D98="",0, SUMPRODUCT(--(ISNUMBER(SEARCH($A98,'Diags Raw Data'!$A$6:$A$3907))),'Diags Raw Data'!$L$6:$L$3907,'Diags Raw Data'!$N$6:$N$3910)/J98)</f>
        <v>#VALUE!</v>
      </c>
      <c r="L98" s="479" cm="1">
        <f t="array" ref="L98">IF(D98="",0, SUMPRODUCT(--(ISNUMBER(SEARCH($A98,'Diags Raw Data'!$A$6:$A$3907))),'Diags Raw Data'!$L$6:$L$3907,'Diags Raw Data'!$P$6:$P$3907)/J98)</f>
        <v>1</v>
      </c>
      <c r="M98" s="480" cm="1">
        <f t="array" ref="M98">SUMPRODUCT(--(ISNUMBER(SEARCH($A98,'Diags Raw Data'!$A$6:$A$3907))),--('Diags Raw Data'!$Q$6:$Q$3907&lt;&gt;"N/A"),'Diags Raw Data'!$R$6:$R$3907)</f>
        <v>6</v>
      </c>
      <c r="N98" s="481" cm="1">
        <f t="array" ref="N98">SUMPRODUCT(--(ISNUMBER(SEARCH($A98,'Diags Raw Data'!$A$6:$A$3907))),--('Diags Raw Data'!$Q$6:$Q$3907&lt;&gt;"N/A"),'Diags Raw Data'!$T$6:$T$3907)+SUMPRODUCT(--(ISNUMBER(SEARCH($A98,'Diags Raw Data'!$A$6:$A$3907))),--('Diags Raw Data'!$Q$6:$Q$3907&lt;&gt;"N/A"),'Diags Raw Data'!$U$6:$U$3907)</f>
        <v>6</v>
      </c>
      <c r="O98" s="482">
        <f t="shared" si="66"/>
        <v>1</v>
      </c>
      <c r="P98" s="483">
        <f>SUMIF('Diags Raw Data'!$A$6:$A$3907,"*"&amp;$A98&amp;"*",'Diags Raw Data'!$Z$6:$Z$3907)</f>
        <v>6</v>
      </c>
      <c r="Q98" s="484">
        <f>SUM(SUMIF('Diags Raw Data'!$A$6:$A$3907,"*"&amp;$A98&amp;"*",'Diags Raw Data'!$AA$6:$AA$3907),SUMIF('Diags Raw Data'!$A$6:$A$3907,"*"&amp;$A98&amp;"*",'Diags Raw Data'!$AB$6:$AB$3907))</f>
        <v>0</v>
      </c>
      <c r="R98" s="485">
        <f t="shared" si="67"/>
        <v>1</v>
      </c>
      <c r="S98" s="485">
        <f t="shared" si="68"/>
        <v>0</v>
      </c>
      <c r="T98" s="486">
        <f t="shared" si="69"/>
        <v>0</v>
      </c>
      <c r="U98" s="530" t="s">
        <v>1425</v>
      </c>
      <c r="V98" s="180"/>
    </row>
    <row r="99" spans="1:24" ht="45" x14ac:dyDescent="0.25">
      <c r="A99" s="524" t="s">
        <v>811</v>
      </c>
      <c r="B99" s="431" t="str">
        <f>VLOOKUP(A99,'Feature Raw Data'!$A$3:$B$4204,2,FALSE)</f>
        <v>GFXHUB:GCUTCL2:VML2 - GPUVA,VMID translation assist</v>
      </c>
      <c r="C99" s="432" t="str">
        <f>VLOOKUP(A99,'Feature Raw Data'!$A$3:$C$4204,3,FALSE)</f>
        <v>P2</v>
      </c>
      <c r="D99" s="433" t="str" cm="1">
        <f t="array" ref="D99">_xlfn.TEXTJOIN("",TRUE,IF(ISNUMBER(SEARCH($A99,'Diags Raw Data'!$A$6:$A$3907)),CONCATENATE('Diags Raw Data'!$H$6:$H$3907,", "),""))</f>
        <v xml:space="preserve">mhub260.1-32,mhub260.61-64, mhub260.80, mhub260.81, mhub260.82, mhub260.83, mhub260.86, mhub260.87, </v>
      </c>
      <c r="E99" s="324" t="str">
        <f>VLOOKUP(A99,'Diags Raw Data'!$A$6:$D$3907,4,FALSE)</f>
        <v>GFXHUB</v>
      </c>
      <c r="F99" s="324" t="str">
        <f>VLOOKUP(A99,'Feature Raw Data'!$A$3:$E$4204,5,FALSE)</f>
        <v>Legacy</v>
      </c>
      <c r="G99" s="324" t="str">
        <f t="shared" si="64"/>
        <v>Yes</v>
      </c>
      <c r="H99" s="324" t="str">
        <f t="shared" si="65"/>
        <v>Yes</v>
      </c>
      <c r="I99" s="432">
        <f>SUMIF('Diags Raw Data'!$A$6:$A$3907,"*"&amp;$A99&amp;"*",'Diags Raw Data'!$K$6:$K$3907)</f>
        <v>7</v>
      </c>
      <c r="J99" s="434">
        <f>SUMIF('Diags Raw Data'!$A$6:$A$3907,"*"&amp;$A99&amp;"*",'Diags Raw Data'!$L$6:$L$3907)</f>
        <v>42</v>
      </c>
      <c r="K99" s="478" t="e" cm="1">
        <f t="array" ref="K99">IF(D99="",0, SUMPRODUCT(--(ISNUMBER(SEARCH($A99,'Diags Raw Data'!$A$6:$A$3907))),'Diags Raw Data'!$L$6:$L$3907,'Diags Raw Data'!$N$6:$N$3910)/J99)</f>
        <v>#VALUE!</v>
      </c>
      <c r="L99" s="479" cm="1">
        <f t="array" ref="L99">IF(D99="",0, SUMPRODUCT(--(ISNUMBER(SEARCH($A99,'Diags Raw Data'!$A$6:$A$3907))),'Diags Raw Data'!$L$6:$L$3907,'Diags Raw Data'!$P$6:$P$3907)/J99)</f>
        <v>1</v>
      </c>
      <c r="M99" s="480" cm="1">
        <f t="array" ref="M99">SUMPRODUCT(--(ISNUMBER(SEARCH($A99,'Diags Raw Data'!$A$6:$A$3907))),--('Diags Raw Data'!$Q$6:$Q$3907&lt;&gt;"N/A"),'Diags Raw Data'!$R$6:$R$3907)</f>
        <v>42</v>
      </c>
      <c r="N99" s="481" cm="1">
        <f t="array" ref="N99">SUMPRODUCT(--(ISNUMBER(SEARCH($A99,'Diags Raw Data'!$A$6:$A$3907))),--('Diags Raw Data'!$Q$6:$Q$3907&lt;&gt;"N/A"),'Diags Raw Data'!$T$6:$T$3907)+SUMPRODUCT(--(ISNUMBER(SEARCH($A99,'Diags Raw Data'!$A$6:$A$3907))),--('Diags Raw Data'!$Q$6:$Q$3907&lt;&gt;"N/A"),'Diags Raw Data'!$U$6:$U$3907)</f>
        <v>42</v>
      </c>
      <c r="O99" s="482">
        <f t="shared" si="66"/>
        <v>1</v>
      </c>
      <c r="P99" s="483">
        <f>SUMIF('Diags Raw Data'!$A$6:$A$3907,"*"&amp;$A99&amp;"*",'Diags Raw Data'!$Z$6:$Z$3907)</f>
        <v>42</v>
      </c>
      <c r="Q99" s="484">
        <f>SUM(SUMIF('Diags Raw Data'!$A$6:$A$3907,"*"&amp;$A99&amp;"*",'Diags Raw Data'!$AA$6:$AA$3907),SUMIF('Diags Raw Data'!$A$6:$A$3907,"*"&amp;$A99&amp;"*",'Diags Raw Data'!$AB$6:$AB$3907))</f>
        <v>42</v>
      </c>
      <c r="R99" s="485">
        <f t="shared" si="67"/>
        <v>1</v>
      </c>
      <c r="S99" s="485">
        <f t="shared" si="68"/>
        <v>1</v>
      </c>
      <c r="T99" s="486">
        <f t="shared" si="69"/>
        <v>1</v>
      </c>
      <c r="U99" s="530" t="s">
        <v>1425</v>
      </c>
      <c r="V99" s="180"/>
    </row>
    <row r="100" spans="1:24" x14ac:dyDescent="0.25">
      <c r="A100" s="524"/>
      <c r="B100" s="431"/>
      <c r="C100" s="432"/>
      <c r="D100" s="433"/>
      <c r="E100" s="324"/>
      <c r="F100" s="324"/>
      <c r="G100" s="324"/>
      <c r="H100" s="324"/>
      <c r="I100" s="432"/>
      <c r="J100" s="434"/>
      <c r="K100" s="478"/>
      <c r="L100" s="479"/>
      <c r="M100" s="480"/>
      <c r="N100" s="481"/>
      <c r="O100" s="482"/>
      <c r="P100" s="483"/>
      <c r="Q100" s="484"/>
      <c r="R100" s="485"/>
      <c r="S100" s="485"/>
      <c r="T100" s="486"/>
      <c r="U100" s="530"/>
      <c r="V100" s="180"/>
    </row>
    <row r="101" spans="1:24" x14ac:dyDescent="0.25">
      <c r="A101" s="524"/>
      <c r="B101" s="431"/>
      <c r="C101" s="432"/>
      <c r="D101" s="433"/>
      <c r="E101" s="324"/>
      <c r="F101" s="324"/>
      <c r="G101" s="324"/>
      <c r="H101" s="324"/>
      <c r="I101" s="432"/>
      <c r="J101" s="434"/>
      <c r="K101" s="478"/>
      <c r="L101" s="479"/>
      <c r="M101" s="480"/>
      <c r="N101" s="481"/>
      <c r="O101" s="482"/>
      <c r="P101" s="483"/>
      <c r="Q101" s="484"/>
      <c r="R101" s="485"/>
      <c r="S101" s="485"/>
      <c r="T101" s="486"/>
      <c r="U101" s="530"/>
      <c r="V101" s="180"/>
    </row>
    <row r="102" spans="1:24" ht="30" x14ac:dyDescent="0.25">
      <c r="A102" s="524" t="s">
        <v>700</v>
      </c>
      <c r="B102" s="431" t="str">
        <f>VLOOKUP(A102,'Feature Raw Data'!$A$3:$B$4204,2,FALSE)</f>
        <v>GFXHUB:GCUTCL2:VML2 - CAM/filter to avoid duplicate table-walk reads</v>
      </c>
      <c r="C102" s="432" t="str">
        <f>VLOOKUP(A102,'Feature Raw Data'!$A$3:$C$4204,3,FALSE)</f>
        <v>P2</v>
      </c>
      <c r="D102" s="433" t="str" cm="1">
        <f t="array" ref="D102">_xlfn.TEXTJOIN("",TRUE,IF(ISNUMBER(SEARCH($A102,'Diags Raw Data'!$A$6:$A$3907)),CONCATENATE('Diags Raw Data'!$H$6:$H$3907,", "),""))</f>
        <v xml:space="preserve">mhub340.1, mhub340.2, </v>
      </c>
      <c r="E102" s="324" t="str">
        <f>VLOOKUP(A102,'Diags Raw Data'!$A$6:$D$3907,4,FALSE)</f>
        <v>GFXHUB</v>
      </c>
      <c r="F102" s="324" t="str">
        <f>VLOOKUP(A102,'Feature Raw Data'!$A$3:$E$4204,5,FALSE)</f>
        <v>Legacy</v>
      </c>
      <c r="G102" s="324" t="str">
        <f t="shared" si="64"/>
        <v>Yes</v>
      </c>
      <c r="H102" s="324" t="str">
        <f t="shared" si="65"/>
        <v>Yes</v>
      </c>
      <c r="I102" s="432">
        <f>SUMIF('Diags Raw Data'!$A$6:$A$3907,"*"&amp;$A102&amp;"*",'Diags Raw Data'!$K$6:$K$3907)</f>
        <v>2</v>
      </c>
      <c r="J102" s="434">
        <f>SUMIF('Diags Raw Data'!$A$6:$A$3907,"*"&amp;$A102&amp;"*",'Diags Raw Data'!$L$6:$L$3907)</f>
        <v>2</v>
      </c>
      <c r="K102" s="478" t="e" cm="1">
        <f t="array" ref="K102">IF(D102="",0, SUMPRODUCT(--(ISNUMBER(SEARCH($A102,'Diags Raw Data'!$A$6:$A$3907))),'Diags Raw Data'!$L$6:$L$3907,'Diags Raw Data'!$N$6:$N$3910)/J102)</f>
        <v>#VALUE!</v>
      </c>
      <c r="L102" s="479" cm="1">
        <f t="array" ref="L102">IF(D102="",0, SUMPRODUCT(--(ISNUMBER(SEARCH($A102,'Diags Raw Data'!$A$6:$A$3907))),'Diags Raw Data'!$L$6:$L$3907,'Diags Raw Data'!$P$6:$P$3907)/J102)</f>
        <v>1</v>
      </c>
      <c r="M102" s="480" cm="1">
        <f t="array" ref="M102">SUMPRODUCT(--(ISNUMBER(SEARCH($A102,'Diags Raw Data'!$A$6:$A$3907))),--('Diags Raw Data'!$Q$6:$Q$3907&lt;&gt;"N/A"),'Diags Raw Data'!$R$6:$R$3907)</f>
        <v>2</v>
      </c>
      <c r="N102" s="481" cm="1">
        <f t="array" ref="N102">SUMPRODUCT(--(ISNUMBER(SEARCH($A102,'Diags Raw Data'!$A$6:$A$3907))),--('Diags Raw Data'!$Q$6:$Q$3907&lt;&gt;"N/A"),'Diags Raw Data'!$T$6:$T$3907)+SUMPRODUCT(--(ISNUMBER(SEARCH($A102,'Diags Raw Data'!$A$6:$A$3907))),--('Diags Raw Data'!$Q$6:$Q$3907&lt;&gt;"N/A"),'Diags Raw Data'!$U$6:$U$3907)</f>
        <v>2</v>
      </c>
      <c r="O102" s="482">
        <f t="shared" si="66"/>
        <v>1</v>
      </c>
      <c r="P102" s="483">
        <f>SUMIF('Diags Raw Data'!$A$6:$A$3907,"*"&amp;$A102&amp;"*",'Diags Raw Data'!$Z$6:$Z$3907)</f>
        <v>0</v>
      </c>
      <c r="Q102" s="484">
        <f>SUM(SUMIF('Diags Raw Data'!$A$6:$A$3907,"*"&amp;$A102&amp;"*",'Diags Raw Data'!$AA$6:$AA$3907),SUMIF('Diags Raw Data'!$A$6:$A$3907,"*"&amp;$A102&amp;"*",'Diags Raw Data'!$AB$6:$AB$3907))</f>
        <v>0</v>
      </c>
      <c r="R102" s="485">
        <f t="shared" si="67"/>
        <v>0</v>
      </c>
      <c r="S102" s="485">
        <f t="shared" si="68"/>
        <v>0</v>
      </c>
      <c r="T102" s="486">
        <f t="shared" si="69"/>
        <v>0</v>
      </c>
      <c r="U102" s="530" t="s">
        <v>1425</v>
      </c>
      <c r="V102" s="180"/>
    </row>
    <row r="103" spans="1:24" x14ac:dyDescent="0.25">
      <c r="A103" s="524" t="s">
        <v>709</v>
      </c>
      <c r="B103" s="431" t="str">
        <f>VLOOKUP(A103,'Feature Raw Data'!$A$3:$B$4204,2,FALSE)</f>
        <v>GFXHUB:GCUTCL2:VML2 - GPA Mode</v>
      </c>
      <c r="C103" s="432" t="str">
        <f>VLOOKUP(A103,'Feature Raw Data'!$A$3:$C$4204,3,FALSE)</f>
        <v>P2</v>
      </c>
      <c r="D103" s="433" t="str" cm="1">
        <f t="array" ref="D103">_xlfn.TEXTJOIN("",TRUE,IF(ISNUMBER(SEARCH($A103,'Diags Raw Data'!$A$6:$A$3907)),CONCATENATE('Diags Raw Data'!$H$6:$H$3907,", "),""))</f>
        <v xml:space="preserve">mhub344.1,mhub344.2, mhub344.3, </v>
      </c>
      <c r="E103" s="324" t="str">
        <f>VLOOKUP(A103,'Diags Raw Data'!$A$6:$D$3907,4,FALSE)</f>
        <v>GFXHUB</v>
      </c>
      <c r="F103" s="324" t="str">
        <f>VLOOKUP(A103,'Feature Raw Data'!$A$3:$E$4204,5,FALSE)</f>
        <v>Legacy</v>
      </c>
      <c r="G103" s="324" t="str">
        <f t="shared" si="64"/>
        <v>Yes</v>
      </c>
      <c r="H103" s="324" t="str">
        <f t="shared" si="65"/>
        <v>Yes</v>
      </c>
      <c r="I103" s="432">
        <f>SUMIF('Diags Raw Data'!$A$6:$A$3907,"*"&amp;$A103&amp;"*",'Diags Raw Data'!$K$6:$K$3907)</f>
        <v>2</v>
      </c>
      <c r="J103" s="434">
        <f>SUMIF('Diags Raw Data'!$A$6:$A$3907,"*"&amp;$A103&amp;"*",'Diags Raw Data'!$L$6:$L$3907)</f>
        <v>3</v>
      </c>
      <c r="K103" s="478" t="e" cm="1">
        <f t="array" ref="K103">IF(D103="",0, SUMPRODUCT(--(ISNUMBER(SEARCH($A103,'Diags Raw Data'!$A$6:$A$3907))),'Diags Raw Data'!$L$6:$L$3907,'Diags Raw Data'!$N$6:$N$3910)/J103)</f>
        <v>#VALUE!</v>
      </c>
      <c r="L103" s="479" cm="1">
        <f t="array" ref="L103">IF(D103="",0, SUMPRODUCT(--(ISNUMBER(SEARCH($A103,'Diags Raw Data'!$A$6:$A$3907))),'Diags Raw Data'!$L$6:$L$3907,'Diags Raw Data'!$P$6:$P$3907)/J103)</f>
        <v>1</v>
      </c>
      <c r="M103" s="480" cm="1">
        <f t="array" ref="M103">SUMPRODUCT(--(ISNUMBER(SEARCH($A103,'Diags Raw Data'!$A$6:$A$3907))),--('Diags Raw Data'!$Q$6:$Q$3907&lt;&gt;"N/A"),'Diags Raw Data'!$R$6:$R$3907)</f>
        <v>3</v>
      </c>
      <c r="N103" s="481" cm="1">
        <f t="array" ref="N103">SUMPRODUCT(--(ISNUMBER(SEARCH($A103,'Diags Raw Data'!$A$6:$A$3907))),--('Diags Raw Data'!$Q$6:$Q$3907&lt;&gt;"N/A"),'Diags Raw Data'!$T$6:$T$3907)+SUMPRODUCT(--(ISNUMBER(SEARCH($A103,'Diags Raw Data'!$A$6:$A$3907))),--('Diags Raw Data'!$Q$6:$Q$3907&lt;&gt;"N/A"),'Diags Raw Data'!$U$6:$U$3907)</f>
        <v>3</v>
      </c>
      <c r="O103" s="482">
        <f t="shared" si="66"/>
        <v>1</v>
      </c>
      <c r="P103" s="483">
        <f>SUMIF('Diags Raw Data'!$A$6:$A$3907,"*"&amp;$A103&amp;"*",'Diags Raw Data'!$Z$6:$Z$3907)</f>
        <v>3</v>
      </c>
      <c r="Q103" s="484">
        <f>SUM(SUMIF('Diags Raw Data'!$A$6:$A$3907,"*"&amp;$A103&amp;"*",'Diags Raw Data'!$AA$6:$AA$3907),SUMIF('Diags Raw Data'!$A$6:$A$3907,"*"&amp;$A103&amp;"*",'Diags Raw Data'!$AB$6:$AB$3907))</f>
        <v>0</v>
      </c>
      <c r="R103" s="485">
        <f t="shared" si="67"/>
        <v>1</v>
      </c>
      <c r="S103" s="485">
        <f t="shared" si="68"/>
        <v>0</v>
      </c>
      <c r="T103" s="486">
        <f t="shared" si="69"/>
        <v>0</v>
      </c>
      <c r="U103" s="530" t="s">
        <v>1425</v>
      </c>
      <c r="V103" s="180"/>
    </row>
    <row r="104" spans="1:24" ht="30" x14ac:dyDescent="0.25">
      <c r="A104" s="524" t="s">
        <v>1254</v>
      </c>
      <c r="B104" s="431" t="str">
        <f>VLOOKUP(A104,'Feature Raw Data'!$A$3:$B$4204,2,FALSE)</f>
        <v>GFXHUB:GCUTCL2:VML2 - Range-based UTCL1 and VML1 invalidation</v>
      </c>
      <c r="C104" s="432" t="str">
        <f>VLOOKUP(A104,'Feature Raw Data'!$A$3:$C$4204,3,FALSE)</f>
        <v>P2</v>
      </c>
      <c r="D104" s="433" t="str" cm="1">
        <f t="array" ref="D104">_xlfn.TEXTJOIN("",TRUE,IF(ISNUMBER(SEARCH($A104,'Diags Raw Data'!$A$6:$A$3907)),CONCATENATE('Diags Raw Data'!$H$6:$H$3907,", "),""))</f>
        <v xml:space="preserve">mhub254.1,mhub254.3,mhub254.5-8, mhub255.1-2, </v>
      </c>
      <c r="E104" s="324" t="e">
        <f>VLOOKUP(A104,'Diags Raw Data'!$A$6:$D$3907,4,FALSE)</f>
        <v>#N/A</v>
      </c>
      <c r="F104" s="324" t="str">
        <f>VLOOKUP(A104,'Feature Raw Data'!$A$3:$E$4204,5,FALSE)</f>
        <v>Legacy</v>
      </c>
      <c r="G104" s="324" t="str">
        <f t="shared" si="64"/>
        <v>Yes</v>
      </c>
      <c r="H104" s="324" t="str">
        <f t="shared" si="65"/>
        <v>Yes</v>
      </c>
      <c r="I104" s="432">
        <f>SUMIF('Diags Raw Data'!$A$6:$A$3907,"*"&amp;$A104&amp;"*",'Diags Raw Data'!$K$6:$K$3907)</f>
        <v>3</v>
      </c>
      <c r="J104" s="434">
        <f>SUMIF('Diags Raw Data'!$A$6:$A$3907,"*"&amp;$A104&amp;"*",'Diags Raw Data'!$L$6:$L$3907)</f>
        <v>8</v>
      </c>
      <c r="K104" s="478" t="e" cm="1">
        <f t="array" ref="K104">IF(D104="",0, SUMPRODUCT(--(ISNUMBER(SEARCH($A104,'Diags Raw Data'!$A$6:$A$3907))),'Diags Raw Data'!$L$6:$L$3907,'Diags Raw Data'!$N$6:$N$3910)/J104)</f>
        <v>#VALUE!</v>
      </c>
      <c r="L104" s="479" cm="1">
        <f t="array" ref="L104">IF(D104="",0, SUMPRODUCT(--(ISNUMBER(SEARCH($A104,'Diags Raw Data'!$A$6:$A$3907))),'Diags Raw Data'!$L$6:$L$3907,'Diags Raw Data'!$P$6:$P$3907)/J104)</f>
        <v>1</v>
      </c>
      <c r="M104" s="480" cm="1">
        <f t="array" ref="M104">SUMPRODUCT(--(ISNUMBER(SEARCH($A104,'Diags Raw Data'!$A$6:$A$3907))),--('Diags Raw Data'!$Q$6:$Q$3907&lt;&gt;"N/A"),'Diags Raw Data'!$R$6:$R$3907)</f>
        <v>8</v>
      </c>
      <c r="N104" s="481" cm="1">
        <f t="array" ref="N104">SUMPRODUCT(--(ISNUMBER(SEARCH($A104,'Diags Raw Data'!$A$6:$A$3907))),--('Diags Raw Data'!$Q$6:$Q$3907&lt;&gt;"N/A"),'Diags Raw Data'!$T$6:$T$3907)+SUMPRODUCT(--(ISNUMBER(SEARCH($A104,'Diags Raw Data'!$A$6:$A$3907))),--('Diags Raw Data'!$Q$6:$Q$3907&lt;&gt;"N/A"),'Diags Raw Data'!$U$6:$U$3907)</f>
        <v>8</v>
      </c>
      <c r="O104" s="482">
        <f t="shared" si="66"/>
        <v>1</v>
      </c>
      <c r="P104" s="483">
        <f>SUMIF('Diags Raw Data'!$A$6:$A$3907,"*"&amp;$A104&amp;"*",'Diags Raw Data'!$Z$6:$Z$3907)</f>
        <v>8</v>
      </c>
      <c r="Q104" s="484">
        <f>SUM(SUMIF('Diags Raw Data'!$A$6:$A$3907,"*"&amp;$A104&amp;"*",'Diags Raw Data'!$AA$6:$AA$3907),SUMIF('Diags Raw Data'!$A$6:$A$3907,"*"&amp;$A104&amp;"*",'Diags Raw Data'!$AB$6:$AB$3907))</f>
        <v>6</v>
      </c>
      <c r="R104" s="485">
        <f t="shared" si="67"/>
        <v>1</v>
      </c>
      <c r="S104" s="485">
        <f t="shared" si="68"/>
        <v>0.75</v>
      </c>
      <c r="T104" s="486">
        <f t="shared" si="69"/>
        <v>0.75</v>
      </c>
      <c r="U104" s="530" t="s">
        <v>1425</v>
      </c>
      <c r="V104" s="180"/>
    </row>
    <row r="105" spans="1:24" ht="45" x14ac:dyDescent="0.25">
      <c r="A105" s="524" t="s">
        <v>943</v>
      </c>
      <c r="B105" s="431" t="str">
        <f>VLOOKUP(A105,'Feature Raw Data'!$A$3:$B$4204,2,FALSE)</f>
        <v>GFXHUB:GCUTCL2:VML2 - TLBi Support - Invalidation rates of  1TB VA, 32M invalidates/sec</v>
      </c>
      <c r="C105" s="432" t="str">
        <f>VLOOKUP(A105,'Feature Raw Data'!$A$3:$C$4204,3,FALSE)</f>
        <v>P2</v>
      </c>
      <c r="D105" s="433" t="str" cm="1">
        <f t="array" ref="D105">_xlfn.TEXTJOIN("",TRUE,IF(ISNUMBER(SEARCH($A105,'Diags Raw Data'!$A$6:$A$3907)),CONCATENATE('Diags Raw Data'!$H$6:$H$3907,", "),""))</f>
        <v/>
      </c>
      <c r="E105" s="324" t="e">
        <f>VLOOKUP(A105,'Diags Raw Data'!$A$6:$D$3907,4,FALSE)</f>
        <v>#N/A</v>
      </c>
      <c r="F105" s="324" t="str">
        <f>VLOOKUP(A105,'Feature Raw Data'!$A$3:$E$4204,5,FALSE)</f>
        <v>Legacy</v>
      </c>
      <c r="G105" s="324" t="str">
        <f t="shared" ref="G105" si="76">IF(D105="","No","Yes")</f>
        <v>No</v>
      </c>
      <c r="H105" s="324" t="str">
        <f t="shared" ref="H105" si="77">IF(D105="","No","Yes")</f>
        <v>No</v>
      </c>
      <c r="I105" s="432">
        <f>SUMIF('Diags Raw Data'!$A$6:$A$3907,"*"&amp;$A105&amp;"*",'Diags Raw Data'!$K$6:$K$3907)</f>
        <v>0</v>
      </c>
      <c r="J105" s="434">
        <f>SUMIF('Diags Raw Data'!$A$6:$A$3907,"*"&amp;$A105&amp;"*",'Diags Raw Data'!$L$6:$L$3907)</f>
        <v>0</v>
      </c>
      <c r="K105" s="478" cm="1">
        <f t="array" ref="K105">IF(D105="",0, SUMPRODUCT(--(ISNUMBER(SEARCH($A105,'Diags Raw Data'!$A$6:$A$3907))),'Diags Raw Data'!$L$6:$L$3907,'Diags Raw Data'!$N$6:$N$3910)/J105)</f>
        <v>0</v>
      </c>
      <c r="L105" s="479" cm="1">
        <f t="array" ref="L105">IF(D105="",0, SUMPRODUCT(--(ISNUMBER(SEARCH($A105,'Diags Raw Data'!$A$6:$A$3907))),'Diags Raw Data'!$L$6:$L$3907,'Diags Raw Data'!$P$6:$P$3907)/J105)</f>
        <v>0</v>
      </c>
      <c r="M105" s="480" cm="1">
        <f t="array" ref="M105">SUMPRODUCT(--(ISNUMBER(SEARCH($A105,'Diags Raw Data'!$A$6:$A$3907))),--('Diags Raw Data'!$Q$6:$Q$3907&lt;&gt;"N/A"),'Diags Raw Data'!$R$6:$R$3907)</f>
        <v>0</v>
      </c>
      <c r="N105" s="481" cm="1">
        <f t="array" ref="N105">SUMPRODUCT(--(ISNUMBER(SEARCH($A105,'Diags Raw Data'!$A$6:$A$3907))),--('Diags Raw Data'!$Q$6:$Q$3907&lt;&gt;"N/A"),'Diags Raw Data'!$T$6:$T$3907)+SUMPRODUCT(--(ISNUMBER(SEARCH($A105,'Diags Raw Data'!$A$6:$A$3907))),--('Diags Raw Data'!$Q$6:$Q$3907&lt;&gt;"N/A"),'Diags Raw Data'!$U$6:$U$3907)</f>
        <v>0</v>
      </c>
      <c r="O105" s="482">
        <f t="shared" ref="O105" si="78">IF((M105=0),0,N105/M105)</f>
        <v>0</v>
      </c>
      <c r="P105" s="483">
        <f>SUMIF('Diags Raw Data'!$A$6:$A$3907,"*"&amp;$A105&amp;"*",'Diags Raw Data'!$Z$6:$Z$3907)</f>
        <v>0</v>
      </c>
      <c r="Q105" s="484">
        <f>SUM(SUMIF('Diags Raw Data'!$A$6:$A$3907,"*"&amp;$A105&amp;"*",'Diags Raw Data'!$AA$6:$AA$3907),SUMIF('Diags Raw Data'!$A$6:$A$3907,"*"&amp;$A105&amp;"*",'Diags Raw Data'!$AB$6:$AB$3907))</f>
        <v>0</v>
      </c>
      <c r="R105" s="485">
        <f t="shared" ref="R105" si="79">IF((J105=0),0,P105/J105)</f>
        <v>0</v>
      </c>
      <c r="S105" s="485">
        <f t="shared" ref="S105" si="80">IF((P105=0),0,Q105/P105)</f>
        <v>0</v>
      </c>
      <c r="T105" s="486">
        <f t="shared" ref="T105" si="81">R105*S105</f>
        <v>0</v>
      </c>
      <c r="U105" s="530" t="s">
        <v>1439</v>
      </c>
      <c r="V105" s="180"/>
    </row>
    <row r="106" spans="1:24" x14ac:dyDescent="0.25">
      <c r="A106" s="524"/>
      <c r="B106" s="431"/>
      <c r="C106" s="432"/>
      <c r="D106" s="433"/>
      <c r="E106" s="324"/>
      <c r="F106" s="324"/>
      <c r="G106" s="324"/>
      <c r="H106" s="324"/>
      <c r="I106" s="432"/>
      <c r="J106" s="434"/>
      <c r="K106" s="478"/>
      <c r="L106" s="479"/>
      <c r="M106" s="480"/>
      <c r="N106" s="481"/>
      <c r="O106" s="482"/>
      <c r="P106" s="483"/>
      <c r="Q106" s="484"/>
      <c r="R106" s="485"/>
      <c r="S106" s="485"/>
      <c r="T106" s="486"/>
      <c r="U106" s="530"/>
      <c r="V106" s="180"/>
    </row>
    <row r="107" spans="1:24" ht="30" x14ac:dyDescent="0.25">
      <c r="A107" s="524" t="s">
        <v>1259</v>
      </c>
      <c r="B107" s="431" t="str">
        <f>VLOOKUP(A107,'Feature Raw Data'!$A$3:$B$4204,2,FALSE)</f>
        <v>GFXHUB:GCUTCL2:VML2 - Full GCR Support</v>
      </c>
      <c r="C107" s="432" t="str">
        <f>VLOOKUP(A107,'Feature Raw Data'!$A$3:$C$4204,3,FALSE)</f>
        <v>P1</v>
      </c>
      <c r="D107" s="433" t="str" cm="1">
        <f t="array" ref="D107">_xlfn.TEXTJOIN("",TRUE,IF(ISNUMBER(SEARCH($A107,'Diags Raw Data'!$A$6:$A$3907)),CONCATENATE('Diags Raw Data'!$H$6:$H$3907,", "),""))</f>
        <v/>
      </c>
      <c r="E107" s="324" t="e">
        <f>VLOOKUP(A107,'Diags Raw Data'!$A$6:$D$3907,4,FALSE)</f>
        <v>#N/A</v>
      </c>
      <c r="F107" s="324" t="str">
        <f>VLOOKUP(A107,'Feature Raw Data'!$A$3:$E$4204,5,FALSE)</f>
        <v>Delta</v>
      </c>
      <c r="G107" s="324" t="str">
        <f t="shared" si="64"/>
        <v>No</v>
      </c>
      <c r="H107" s="324" t="str">
        <f t="shared" si="65"/>
        <v>No</v>
      </c>
      <c r="I107" s="432">
        <f>SUMIF('Diags Raw Data'!$A$6:$A$3907,"*"&amp;$A107&amp;"*",'Diags Raw Data'!$K$6:$K$3907)</f>
        <v>0</v>
      </c>
      <c r="J107" s="434">
        <f>SUMIF('Diags Raw Data'!$A$6:$A$3907,"*"&amp;$A107&amp;"*",'Diags Raw Data'!$L$6:$L$3907)</f>
        <v>0</v>
      </c>
      <c r="K107" s="478" cm="1">
        <f t="array" ref="K107">IF(D107="",0, SUMPRODUCT(--(ISNUMBER(SEARCH($A107,'Diags Raw Data'!$A$6:$A$3907))),'Diags Raw Data'!$L$6:$L$3907,'Diags Raw Data'!$N$6:$N$3910)/J107)</f>
        <v>0</v>
      </c>
      <c r="L107" s="479" cm="1">
        <f t="array" ref="L107">IF(D107="",0, SUMPRODUCT(--(ISNUMBER(SEARCH($A107,'Diags Raw Data'!$A$6:$A$3907))),'Diags Raw Data'!$L$6:$L$3907,'Diags Raw Data'!$P$6:$P$3907)/J107)</f>
        <v>0</v>
      </c>
      <c r="M107" s="480" cm="1">
        <f t="array" ref="M107">SUMPRODUCT(--(ISNUMBER(SEARCH($A107,'Diags Raw Data'!$A$6:$A$3907))),--('Diags Raw Data'!$Q$6:$Q$3907&lt;&gt;"N/A"),'Diags Raw Data'!$R$6:$R$3907)</f>
        <v>0</v>
      </c>
      <c r="N107" s="481" cm="1">
        <f t="array" ref="N107">SUMPRODUCT(--(ISNUMBER(SEARCH($A107,'Diags Raw Data'!$A$6:$A$3907))),--('Diags Raw Data'!$Q$6:$Q$3907&lt;&gt;"N/A"),'Diags Raw Data'!$T$6:$T$3907)+SUMPRODUCT(--(ISNUMBER(SEARCH($A107,'Diags Raw Data'!$A$6:$A$3907))),--('Diags Raw Data'!$Q$6:$Q$3907&lt;&gt;"N/A"),'Diags Raw Data'!$U$6:$U$3907)</f>
        <v>0</v>
      </c>
      <c r="O107" s="482">
        <f t="shared" si="66"/>
        <v>0</v>
      </c>
      <c r="P107" s="483">
        <f>SUMIF('Diags Raw Data'!$A$6:$A$3907,"*"&amp;$A107&amp;"*",'Diags Raw Data'!$Z$6:$Z$3907)</f>
        <v>0</v>
      </c>
      <c r="Q107" s="484">
        <f>SUM(SUMIF('Diags Raw Data'!$A$6:$A$3907,"*"&amp;$A107&amp;"*",'Diags Raw Data'!$AA$6:$AA$3907),SUMIF('Diags Raw Data'!$A$6:$A$3907,"*"&amp;$A107&amp;"*",'Diags Raw Data'!$AB$6:$AB$3907))</f>
        <v>0</v>
      </c>
      <c r="R107" s="485">
        <f t="shared" si="67"/>
        <v>0</v>
      </c>
      <c r="S107" s="485">
        <f t="shared" si="68"/>
        <v>0</v>
      </c>
      <c r="T107" s="486">
        <f t="shared" si="69"/>
        <v>0</v>
      </c>
      <c r="U107" s="530" t="s">
        <v>1425</v>
      </c>
      <c r="V107" s="180"/>
      <c r="X107" s="181" t="s">
        <v>1440</v>
      </c>
    </row>
    <row r="108" spans="1:24" ht="75" x14ac:dyDescent="0.25">
      <c r="A108" s="524" t="s">
        <v>1261</v>
      </c>
      <c r="B108" s="431" t="str">
        <f>VLOOKUP(A108,'Feature Raw Data'!$A$3:$B$4204,2,FALSE)</f>
        <v>GFXHUB:GCUTCL2:VML2 - Return invalid V=0 PA to GCR w/o generating an intr - UTC L2 typically fires an interrupt on a page fault (V=0) but, for GCR translation requests, that’s not case. V=0 is a legal setting.</v>
      </c>
      <c r="C108" s="432" t="str">
        <f>VLOOKUP(A108,'Feature Raw Data'!$A$3:$C$4204,3,FALSE)</f>
        <v>P2</v>
      </c>
      <c r="D108" s="433" t="str" cm="1">
        <f t="array" ref="D108">_xlfn.TEXTJOIN("",TRUE,IF(ISNUMBER(SEARCH($A108,'Diags Raw Data'!$A$6:$A$3907)),CONCATENATE('Diags Raw Data'!$H$6:$H$3907,", "),""))</f>
        <v/>
      </c>
      <c r="E108" s="324" t="e">
        <f>VLOOKUP(A108,'Diags Raw Data'!$A$6:$D$3907,4,FALSE)</f>
        <v>#N/A</v>
      </c>
      <c r="F108" s="324" t="str">
        <f>VLOOKUP(A108,'Feature Raw Data'!$A$3:$E$4204,5,FALSE)</f>
        <v>Legacy</v>
      </c>
      <c r="G108" s="324" t="str">
        <f t="shared" si="64"/>
        <v>No</v>
      </c>
      <c r="H108" s="324" t="str">
        <f t="shared" si="65"/>
        <v>No</v>
      </c>
      <c r="I108" s="432">
        <f>SUMIF('Diags Raw Data'!$A$6:$A$3907,"*"&amp;$A108&amp;"*",'Diags Raw Data'!$K$6:$K$3907)</f>
        <v>0</v>
      </c>
      <c r="J108" s="434">
        <f>SUMIF('Diags Raw Data'!$A$6:$A$3907,"*"&amp;$A108&amp;"*",'Diags Raw Data'!$L$6:$L$3907)</f>
        <v>0</v>
      </c>
      <c r="K108" s="478" cm="1">
        <f t="array" ref="K108">IF(D108="",0, SUMPRODUCT(--(ISNUMBER(SEARCH($A108,'Diags Raw Data'!$A$6:$A$3907))),'Diags Raw Data'!$L$6:$L$3907,'Diags Raw Data'!$N$6:$N$3910)/J108)</f>
        <v>0</v>
      </c>
      <c r="L108" s="479" cm="1">
        <f t="array" ref="L108">IF(D108="",0, SUMPRODUCT(--(ISNUMBER(SEARCH($A108,'Diags Raw Data'!$A$6:$A$3907))),'Diags Raw Data'!$L$6:$L$3907,'Diags Raw Data'!$P$6:$P$3907)/J108)</f>
        <v>0</v>
      </c>
      <c r="M108" s="480" cm="1">
        <f t="array" ref="M108">SUMPRODUCT(--(ISNUMBER(SEARCH($A108,'Diags Raw Data'!$A$6:$A$3907))),--('Diags Raw Data'!$Q$6:$Q$3907&lt;&gt;"N/A"),'Diags Raw Data'!$R$6:$R$3907)</f>
        <v>0</v>
      </c>
      <c r="N108" s="481" cm="1">
        <f t="array" ref="N108">SUMPRODUCT(--(ISNUMBER(SEARCH($A108,'Diags Raw Data'!$A$6:$A$3907))),--('Diags Raw Data'!$Q$6:$Q$3907&lt;&gt;"N/A"),'Diags Raw Data'!$T$6:$T$3907)+SUMPRODUCT(--(ISNUMBER(SEARCH($A108,'Diags Raw Data'!$A$6:$A$3907))),--('Diags Raw Data'!$Q$6:$Q$3907&lt;&gt;"N/A"),'Diags Raw Data'!$U$6:$U$3907)</f>
        <v>0</v>
      </c>
      <c r="O108" s="482">
        <f t="shared" si="66"/>
        <v>0</v>
      </c>
      <c r="P108" s="483">
        <f>SUMIF('Diags Raw Data'!$A$6:$A$3907,"*"&amp;$A108&amp;"*",'Diags Raw Data'!$Z$6:$Z$3907)</f>
        <v>0</v>
      </c>
      <c r="Q108" s="484">
        <f>SUM(SUMIF('Diags Raw Data'!$A$6:$A$3907,"*"&amp;$A108&amp;"*",'Diags Raw Data'!$AA$6:$AA$3907),SUMIF('Diags Raw Data'!$A$6:$A$3907,"*"&amp;$A108&amp;"*",'Diags Raw Data'!$AB$6:$AB$3907))</f>
        <v>0</v>
      </c>
      <c r="R108" s="485">
        <f t="shared" si="67"/>
        <v>0</v>
      </c>
      <c r="S108" s="485">
        <f t="shared" si="68"/>
        <v>0</v>
      </c>
      <c r="T108" s="486">
        <f t="shared" si="69"/>
        <v>0</v>
      </c>
      <c r="U108" s="530" t="s">
        <v>1425</v>
      </c>
      <c r="V108" s="180"/>
      <c r="X108" s="181" t="s">
        <v>1440</v>
      </c>
    </row>
    <row r="109" spans="1:24" ht="44.25" customHeight="1" x14ac:dyDescent="0.25">
      <c r="A109" s="524" t="s">
        <v>714</v>
      </c>
      <c r="B109" s="431" t="str">
        <f>VLOOKUP(A109,'Feature Raw Data'!$A$3:$B$4204,2,FALSE)</f>
        <v>GFXHUB:GCUTCL2:VML2 - Register bits that enable software to control hit/miss behaviour on invalid ptes in cache</v>
      </c>
      <c r="C109" s="432" t="str">
        <f>VLOOKUP(A109,'Feature Raw Data'!$A$3:$C$4204,3,FALSE)</f>
        <v>P2</v>
      </c>
      <c r="D109" s="433" t="str" cm="1">
        <f t="array" ref="D109">_xlfn.TEXTJOIN("",TRUE,IF(ISNUMBER(SEARCH($A109,'Diags Raw Data'!$A$6:$A$3907)),CONCATENATE('Diags Raw Data'!$H$6:$H$3907,", "),""))</f>
        <v xml:space="preserve">mhub345.1-2, </v>
      </c>
      <c r="E109" s="324" t="str">
        <f>VLOOKUP(A109,'Diags Raw Data'!$A$6:$D$3907,4,FALSE)</f>
        <v>GFXHUB</v>
      </c>
      <c r="F109" s="324" t="str">
        <f>VLOOKUP(A109,'Feature Raw Data'!$A$3:$E$4204,5,FALSE)</f>
        <v>Legacy</v>
      </c>
      <c r="G109" s="324" t="str">
        <f t="shared" si="64"/>
        <v>Yes</v>
      </c>
      <c r="H109" s="324" t="str">
        <f t="shared" si="65"/>
        <v>Yes</v>
      </c>
      <c r="I109" s="432">
        <f>SUMIF('Diags Raw Data'!$A$6:$A$3907,"*"&amp;$A109&amp;"*",'Diags Raw Data'!$K$6:$K$3907)</f>
        <v>1</v>
      </c>
      <c r="J109" s="434">
        <f>SUMIF('Diags Raw Data'!$A$6:$A$3907,"*"&amp;$A109&amp;"*",'Diags Raw Data'!$L$6:$L$3907)</f>
        <v>2</v>
      </c>
      <c r="K109" s="478" t="e" cm="1">
        <f t="array" ref="K109">IF(D109="",0, SUMPRODUCT(--(ISNUMBER(SEARCH($A109,'Diags Raw Data'!$A$6:$A$3907))),'Diags Raw Data'!$L$6:$L$3907,'Diags Raw Data'!$N$6:$N$3910)/J109)</f>
        <v>#VALUE!</v>
      </c>
      <c r="L109" s="479" cm="1">
        <f t="array" ref="L109">IF(D109="",0, SUMPRODUCT(--(ISNUMBER(SEARCH($A109,'Diags Raw Data'!$A$6:$A$3907))),'Diags Raw Data'!$L$6:$L$3907,'Diags Raw Data'!$P$6:$P$3907)/J109)</f>
        <v>1</v>
      </c>
      <c r="M109" s="480" cm="1">
        <f t="array" ref="M109">SUMPRODUCT(--(ISNUMBER(SEARCH($A109,'Diags Raw Data'!$A$6:$A$3907))),--('Diags Raw Data'!$Q$6:$Q$3907&lt;&gt;"N/A"),'Diags Raw Data'!$R$6:$R$3907)</f>
        <v>2</v>
      </c>
      <c r="N109" s="481" cm="1">
        <f t="array" ref="N109">SUMPRODUCT(--(ISNUMBER(SEARCH($A109,'Diags Raw Data'!$A$6:$A$3907))),--('Diags Raw Data'!$Q$6:$Q$3907&lt;&gt;"N/A"),'Diags Raw Data'!$T$6:$T$3907)+SUMPRODUCT(--(ISNUMBER(SEARCH($A109,'Diags Raw Data'!$A$6:$A$3907))),--('Diags Raw Data'!$Q$6:$Q$3907&lt;&gt;"N/A"),'Diags Raw Data'!$U$6:$U$3907)</f>
        <v>2</v>
      </c>
      <c r="O109" s="482">
        <f t="shared" si="66"/>
        <v>1</v>
      </c>
      <c r="P109" s="483">
        <f>SUMIF('Diags Raw Data'!$A$6:$A$3907,"*"&amp;$A109&amp;"*",'Diags Raw Data'!$Z$6:$Z$3907)</f>
        <v>2</v>
      </c>
      <c r="Q109" s="484">
        <f>SUM(SUMIF('Diags Raw Data'!$A$6:$A$3907,"*"&amp;$A109&amp;"*",'Diags Raw Data'!$AA$6:$AA$3907),SUMIF('Diags Raw Data'!$A$6:$A$3907,"*"&amp;$A109&amp;"*",'Diags Raw Data'!$AB$6:$AB$3907))</f>
        <v>1</v>
      </c>
      <c r="R109" s="485">
        <f t="shared" si="67"/>
        <v>1</v>
      </c>
      <c r="S109" s="485">
        <f t="shared" si="68"/>
        <v>0.5</v>
      </c>
      <c r="T109" s="486">
        <f t="shared" si="69"/>
        <v>0.5</v>
      </c>
      <c r="U109" s="530" t="s">
        <v>1423</v>
      </c>
      <c r="V109" s="180"/>
    </row>
    <row r="110" spans="1:24" ht="42.75" customHeight="1" x14ac:dyDescent="0.25">
      <c r="A110" s="524" t="s">
        <v>718</v>
      </c>
      <c r="B110" s="431" t="str">
        <f>VLOOKUP(A110,'Feature Raw Data'!$A$3:$B$4204,2,FALSE)</f>
        <v>GFXHUB:GCUTCL2:VML2 - Register bits that enable software to control hit/miss behaviour on permission mismatch in cache</v>
      </c>
      <c r="C110" s="432" t="str">
        <f>VLOOKUP(A110,'Feature Raw Data'!$A$3:$C$4204,3,FALSE)</f>
        <v>P2</v>
      </c>
      <c r="D110" s="433" t="str" cm="1">
        <f t="array" ref="D110">_xlfn.TEXTJOIN("",TRUE,IF(ISNUMBER(SEARCH($A110,'Diags Raw Data'!$A$6:$A$3907)),CONCATENATE('Diags Raw Data'!$H$6:$H$3907,", "),""))</f>
        <v xml:space="preserve">mhub346.1-2, </v>
      </c>
      <c r="E110" s="324" t="str">
        <f>VLOOKUP(A110,'Diags Raw Data'!$A$6:$D$3907,4,FALSE)</f>
        <v>GFXHUB</v>
      </c>
      <c r="F110" s="324" t="str">
        <f>VLOOKUP(A110,'Feature Raw Data'!$A$3:$E$4204,5,FALSE)</f>
        <v>Legacy</v>
      </c>
      <c r="G110" s="324" t="str">
        <f t="shared" si="64"/>
        <v>Yes</v>
      </c>
      <c r="H110" s="324" t="str">
        <f t="shared" si="65"/>
        <v>Yes</v>
      </c>
      <c r="I110" s="432">
        <f>SUMIF('Diags Raw Data'!$A$6:$A$3907,"*"&amp;$A110&amp;"*",'Diags Raw Data'!$K$6:$K$3907)</f>
        <v>1</v>
      </c>
      <c r="J110" s="434">
        <f>SUMIF('Diags Raw Data'!$A$6:$A$3907,"*"&amp;$A110&amp;"*",'Diags Raw Data'!$L$6:$L$3907)</f>
        <v>2</v>
      </c>
      <c r="K110" s="478" t="e" cm="1">
        <f t="array" ref="K110">IF(D110="",0, SUMPRODUCT(--(ISNUMBER(SEARCH($A110,'Diags Raw Data'!$A$6:$A$3907))),'Diags Raw Data'!$L$6:$L$3907,'Diags Raw Data'!$N$6:$N$3910)/J110)</f>
        <v>#VALUE!</v>
      </c>
      <c r="L110" s="479" cm="1">
        <f t="array" ref="L110">IF(D110="",0, SUMPRODUCT(--(ISNUMBER(SEARCH($A110,'Diags Raw Data'!$A$6:$A$3907))),'Diags Raw Data'!$L$6:$L$3907,'Diags Raw Data'!$P$6:$P$3907)/J110)</f>
        <v>1</v>
      </c>
      <c r="M110" s="480" cm="1">
        <f t="array" ref="M110">SUMPRODUCT(--(ISNUMBER(SEARCH($A110,'Diags Raw Data'!$A$6:$A$3907))),--('Diags Raw Data'!$Q$6:$Q$3907&lt;&gt;"N/A"),'Diags Raw Data'!$R$6:$R$3907)</f>
        <v>2</v>
      </c>
      <c r="N110" s="481" cm="1">
        <f t="array" ref="N110">SUMPRODUCT(--(ISNUMBER(SEARCH($A110,'Diags Raw Data'!$A$6:$A$3907))),--('Diags Raw Data'!$Q$6:$Q$3907&lt;&gt;"N/A"),'Diags Raw Data'!$T$6:$T$3907)+SUMPRODUCT(--(ISNUMBER(SEARCH($A110,'Diags Raw Data'!$A$6:$A$3907))),--('Diags Raw Data'!$Q$6:$Q$3907&lt;&gt;"N/A"),'Diags Raw Data'!$U$6:$U$3907)</f>
        <v>2</v>
      </c>
      <c r="O110" s="482">
        <f t="shared" si="66"/>
        <v>1</v>
      </c>
      <c r="P110" s="483">
        <f>SUMIF('Diags Raw Data'!$A$6:$A$3907,"*"&amp;$A110&amp;"*",'Diags Raw Data'!$Z$6:$Z$3907)</f>
        <v>2</v>
      </c>
      <c r="Q110" s="484">
        <f>SUM(SUMIF('Diags Raw Data'!$A$6:$A$3907,"*"&amp;$A110&amp;"*",'Diags Raw Data'!$AA$6:$AA$3907),SUMIF('Diags Raw Data'!$A$6:$A$3907,"*"&amp;$A110&amp;"*",'Diags Raw Data'!$AB$6:$AB$3907))</f>
        <v>2</v>
      </c>
      <c r="R110" s="485">
        <f t="shared" si="67"/>
        <v>1</v>
      </c>
      <c r="S110" s="485">
        <f t="shared" si="68"/>
        <v>1</v>
      </c>
      <c r="T110" s="486">
        <f t="shared" si="69"/>
        <v>1</v>
      </c>
      <c r="U110" s="530" t="s">
        <v>1423</v>
      </c>
      <c r="V110" s="180"/>
    </row>
    <row r="111" spans="1:24" ht="45" customHeight="1" x14ac:dyDescent="0.25">
      <c r="A111" s="524" t="s">
        <v>1263</v>
      </c>
      <c r="B111" s="431" t="str">
        <f>VLOOKUP(A111,'Feature Raw Data'!$A$3:$B$4204,2,FALSE)</f>
        <v>GFXHUB:GCUTCL2:VML2 - Register bits that enable software to control hit/miss behaviour on page migration(R=W=0) in cache</v>
      </c>
      <c r="C111" s="432" t="str">
        <f>VLOOKUP(A111,'Feature Raw Data'!$A$3:$C$4204,3,FALSE)</f>
        <v>P2</v>
      </c>
      <c r="D111" s="433" t="str" cm="1">
        <f t="array" ref="D111">_xlfn.TEXTJOIN("",TRUE,IF(ISNUMBER(SEARCH($A111,'Diags Raw Data'!$A$6:$A$3907)),CONCATENATE('Diags Raw Data'!$H$6:$H$3907,", "),""))</f>
        <v xml:space="preserve">mhub209.3, mhub209.4, mhub209.5, mhub209.6, </v>
      </c>
      <c r="E111" s="324" t="e">
        <f>VLOOKUP(A111,'Diags Raw Data'!$A$6:$D$3907,4,FALSE)</f>
        <v>#N/A</v>
      </c>
      <c r="F111" s="324" t="str">
        <f>VLOOKUP(A111,'Feature Raw Data'!$A$3:$E$4204,5,FALSE)</f>
        <v>Legacy</v>
      </c>
      <c r="G111" s="324" t="str">
        <f t="shared" si="64"/>
        <v>Yes</v>
      </c>
      <c r="H111" s="324" t="str">
        <f t="shared" si="65"/>
        <v>Yes</v>
      </c>
      <c r="I111" s="432">
        <f>SUMIF('Diags Raw Data'!$A$6:$A$3907,"*"&amp;$A111&amp;"*",'Diags Raw Data'!$K$6:$K$3907)</f>
        <v>4</v>
      </c>
      <c r="J111" s="434">
        <f>SUMIF('Diags Raw Data'!$A$6:$A$3907,"*"&amp;$A111&amp;"*",'Diags Raw Data'!$L$6:$L$3907)</f>
        <v>4</v>
      </c>
      <c r="K111" s="478" t="e" cm="1">
        <f t="array" ref="K111">IF(D111="",0, SUMPRODUCT(--(ISNUMBER(SEARCH($A111,'Diags Raw Data'!$A$6:$A$3907))),'Diags Raw Data'!$L$6:$L$3907,'Diags Raw Data'!$N$6:$N$3910)/J111)</f>
        <v>#VALUE!</v>
      </c>
      <c r="L111" s="479" cm="1">
        <f t="array" ref="L111">IF(D111="",0, SUMPRODUCT(--(ISNUMBER(SEARCH($A111,'Diags Raw Data'!$A$6:$A$3907))),'Diags Raw Data'!$L$6:$L$3907,'Diags Raw Data'!$P$6:$P$3907)/J111)</f>
        <v>1</v>
      </c>
      <c r="M111" s="480" cm="1">
        <f t="array" ref="M111">SUMPRODUCT(--(ISNUMBER(SEARCH($A111,'Diags Raw Data'!$A$6:$A$3907))),--('Diags Raw Data'!$Q$6:$Q$3907&lt;&gt;"N/A"),'Diags Raw Data'!$R$6:$R$3907)</f>
        <v>4</v>
      </c>
      <c r="N111" s="481" cm="1">
        <f t="array" ref="N111">SUMPRODUCT(--(ISNUMBER(SEARCH($A111,'Diags Raw Data'!$A$6:$A$3907))),--('Diags Raw Data'!$Q$6:$Q$3907&lt;&gt;"N/A"),'Diags Raw Data'!$T$6:$T$3907)+SUMPRODUCT(--(ISNUMBER(SEARCH($A111,'Diags Raw Data'!$A$6:$A$3907))),--('Diags Raw Data'!$Q$6:$Q$3907&lt;&gt;"N/A"),'Diags Raw Data'!$U$6:$U$3907)</f>
        <v>4</v>
      </c>
      <c r="O111" s="482">
        <f t="shared" si="66"/>
        <v>1</v>
      </c>
      <c r="P111" s="483">
        <f>SUMIF('Diags Raw Data'!$A$6:$A$3907,"*"&amp;$A111&amp;"*",'Diags Raw Data'!$Z$6:$Z$3907)</f>
        <v>1</v>
      </c>
      <c r="Q111" s="484">
        <f>SUM(SUMIF('Diags Raw Data'!$A$6:$A$3907,"*"&amp;$A111&amp;"*",'Diags Raw Data'!$AA$6:$AA$3907),SUMIF('Diags Raw Data'!$A$6:$A$3907,"*"&amp;$A111&amp;"*",'Diags Raw Data'!$AB$6:$AB$3907))</f>
        <v>0</v>
      </c>
      <c r="R111" s="485">
        <f t="shared" si="67"/>
        <v>0.25</v>
      </c>
      <c r="S111" s="485">
        <f t="shared" si="68"/>
        <v>0</v>
      </c>
      <c r="T111" s="486">
        <f t="shared" si="69"/>
        <v>0</v>
      </c>
      <c r="U111" s="530" t="s">
        <v>1423</v>
      </c>
      <c r="V111" s="180"/>
    </row>
    <row r="112" spans="1:24" ht="90" x14ac:dyDescent="0.25">
      <c r="A112" s="524" t="s">
        <v>1264</v>
      </c>
      <c r="B112" s="431" t="str">
        <f>VLOOKUP(A112,'Feature Raw Data'!$A$3:$B$4204,2,FALSE)</f>
        <v>GFXHUB:GCUTCL2:VML2 - Programmable “smallK” size</v>
      </c>
      <c r="C112" s="432" t="str">
        <f>VLOOKUP(A112,'Feature Raw Data'!$A$3:$C$4204,3,FALSE)</f>
        <v>P2</v>
      </c>
      <c r="D112" s="433" t="str" cm="1">
        <f t="array" ref="D112">_xlfn.TEXTJOIN("",TRUE,IF(ISNUMBER(SEARCH($A112,'Diags Raw Data'!$A$6:$A$3907)),CONCATENATE('Diags Raw Data'!$H$6:$H$3907,", "),""))</f>
        <v xml:space="preserve">mhub232.1, mhub232.10, mhub232.11, mhub232.12, mhub232.2, mhub232.3, mhub232.4, mhub232.5, mhub232.6, mhub232.7, mhub232.8, mhub232.9, mhub234.1, mhub234.2, mhub234.3, mhub234.4, </v>
      </c>
      <c r="E112" s="324" t="e">
        <f>VLOOKUP(A112,'Diags Raw Data'!$A$6:$D$3907,4,FALSE)</f>
        <v>#N/A</v>
      </c>
      <c r="F112" s="324" t="str">
        <f>VLOOKUP(A112,'Feature Raw Data'!$A$3:$E$4204,5,FALSE)</f>
        <v>Legacy</v>
      </c>
      <c r="G112" s="324" t="str">
        <f t="shared" si="64"/>
        <v>Yes</v>
      </c>
      <c r="H112" s="324" t="str">
        <f t="shared" si="65"/>
        <v>Yes</v>
      </c>
      <c r="I112" s="432">
        <f>SUMIF('Diags Raw Data'!$A$6:$A$3907,"*"&amp;$A112&amp;"*",'Diags Raw Data'!$K$6:$K$3907)</f>
        <v>16</v>
      </c>
      <c r="J112" s="434">
        <f>SUMIF('Diags Raw Data'!$A$6:$A$3907,"*"&amp;$A112&amp;"*",'Diags Raw Data'!$L$6:$L$3907)</f>
        <v>16</v>
      </c>
      <c r="K112" s="478" t="e" cm="1">
        <f t="array" ref="K112">IF(D112="",0, SUMPRODUCT(--(ISNUMBER(SEARCH($A112,'Diags Raw Data'!$A$6:$A$3907))),'Diags Raw Data'!$L$6:$L$3907,'Diags Raw Data'!$N$6:$N$3910)/J112)</f>
        <v>#VALUE!</v>
      </c>
      <c r="L112" s="479" cm="1">
        <f t="array" ref="L112">IF(D112="",0, SUMPRODUCT(--(ISNUMBER(SEARCH($A112,'Diags Raw Data'!$A$6:$A$3907))),'Diags Raw Data'!$L$6:$L$3907,'Diags Raw Data'!$P$6:$P$3907)/J112)</f>
        <v>1</v>
      </c>
      <c r="M112" s="480" cm="1">
        <f t="array" ref="M112">SUMPRODUCT(--(ISNUMBER(SEARCH($A112,'Diags Raw Data'!$A$6:$A$3907))),--('Diags Raw Data'!$Q$6:$Q$3907&lt;&gt;"N/A"),'Diags Raw Data'!$R$6:$R$3907)</f>
        <v>16</v>
      </c>
      <c r="N112" s="481" cm="1">
        <f t="array" ref="N112">SUMPRODUCT(--(ISNUMBER(SEARCH($A112,'Diags Raw Data'!$A$6:$A$3907))),--('Diags Raw Data'!$Q$6:$Q$3907&lt;&gt;"N/A"),'Diags Raw Data'!$T$6:$T$3907)+SUMPRODUCT(--(ISNUMBER(SEARCH($A112,'Diags Raw Data'!$A$6:$A$3907))),--('Diags Raw Data'!$Q$6:$Q$3907&lt;&gt;"N/A"),'Diags Raw Data'!$U$6:$U$3907)</f>
        <v>16</v>
      </c>
      <c r="O112" s="482">
        <f t="shared" si="66"/>
        <v>1</v>
      </c>
      <c r="P112" s="483">
        <f>SUMIF('Diags Raw Data'!$A$6:$A$3907,"*"&amp;$A112&amp;"*",'Diags Raw Data'!$Z$6:$Z$3907)</f>
        <v>16</v>
      </c>
      <c r="Q112" s="484">
        <f>SUM(SUMIF('Diags Raw Data'!$A$6:$A$3907,"*"&amp;$A112&amp;"*",'Diags Raw Data'!$AA$6:$AA$3907),SUMIF('Diags Raw Data'!$A$6:$A$3907,"*"&amp;$A112&amp;"*",'Diags Raw Data'!$AB$6:$AB$3907))</f>
        <v>0</v>
      </c>
      <c r="R112" s="485">
        <f t="shared" si="67"/>
        <v>1</v>
      </c>
      <c r="S112" s="485">
        <f t="shared" si="68"/>
        <v>0</v>
      </c>
      <c r="T112" s="486">
        <f t="shared" si="69"/>
        <v>0</v>
      </c>
      <c r="U112" s="530" t="s">
        <v>1425</v>
      </c>
      <c r="V112" s="180"/>
    </row>
    <row r="113" spans="1:24" x14ac:dyDescent="0.25">
      <c r="A113" s="524"/>
      <c r="B113" s="431"/>
      <c r="C113" s="432"/>
      <c r="D113" s="433"/>
      <c r="E113" s="324"/>
      <c r="F113" s="324"/>
      <c r="G113" s="324"/>
      <c r="H113" s="324"/>
      <c r="I113" s="432"/>
      <c r="J113" s="434"/>
      <c r="K113" s="478"/>
      <c r="L113" s="479"/>
      <c r="M113" s="480"/>
      <c r="N113" s="481"/>
      <c r="O113" s="482"/>
      <c r="P113" s="483"/>
      <c r="Q113" s="484"/>
      <c r="R113" s="485"/>
      <c r="S113" s="485"/>
      <c r="T113" s="486"/>
      <c r="U113" s="530"/>
      <c r="V113" s="180"/>
    </row>
    <row r="114" spans="1:24" ht="27" customHeight="1" x14ac:dyDescent="0.25">
      <c r="A114" s="315" t="s">
        <v>888</v>
      </c>
      <c r="B114" s="431" t="str">
        <f>VLOOKUP(A114,'Feature Raw Data'!$A$3:$B$4204,2,FALSE)</f>
        <v>GFXHUB:GCUTCL2:VML2 - Trusted Memory Zone (TMZ) Secure Filtering</v>
      </c>
      <c r="C114" s="432" t="str">
        <f>VLOOKUP(A114,'Feature Raw Data'!$A$3:$C$4204,3,FALSE)</f>
        <v>P2</v>
      </c>
      <c r="D114" s="433" t="str" cm="1">
        <f t="array" ref="D114">_xlfn.TEXTJOIN("",TRUE,IF(ISNUMBER(SEARCH($A114,'Diags Raw Data'!$A$6:$A$3907)),CONCATENATE('Diags Raw Data'!$H$6:$H$3907,", "),""))</f>
        <v xml:space="preserve">mhub350.1-4,mhub350.10,mhub350.20,mhub350.30-37, </v>
      </c>
      <c r="E114" s="324" t="str">
        <f>VLOOKUP(A114,'Diags Raw Data'!$A$6:$D$3907,4,FALSE)</f>
        <v>GFXHUB</v>
      </c>
      <c r="F114" s="324" t="str">
        <f>VLOOKUP(A114,'Feature Raw Data'!$A$3:$E$4204,5,FALSE)</f>
        <v>Legacy</v>
      </c>
      <c r="G114" s="324" t="str">
        <f t="shared" si="64"/>
        <v>Yes</v>
      </c>
      <c r="H114" s="324" t="str">
        <f t="shared" si="65"/>
        <v>Yes</v>
      </c>
      <c r="I114" s="432">
        <f>SUMIF('Diags Raw Data'!$A$6:$A$3907,"*"&amp;$A114&amp;"*",'Diags Raw Data'!$K$6:$K$3907)</f>
        <v>1</v>
      </c>
      <c r="J114" s="434">
        <f>SUMIF('Diags Raw Data'!$A$6:$A$3907,"*"&amp;$A114&amp;"*",'Diags Raw Data'!$L$6:$L$3907)</f>
        <v>14</v>
      </c>
      <c r="K114" s="478" t="e" cm="1">
        <f t="array" ref="K114">IF(D114="",0, SUMPRODUCT(--(ISNUMBER(SEARCH($A114,'Diags Raw Data'!$A$6:$A$3907))),'Diags Raw Data'!$L$6:$L$3907,'Diags Raw Data'!$N$6:$N$3910)/J114)</f>
        <v>#VALUE!</v>
      </c>
      <c r="L114" s="479" cm="1">
        <f t="array" ref="L114">IF(D114="",0, SUMPRODUCT(--(ISNUMBER(SEARCH($A114,'Diags Raw Data'!$A$6:$A$3907))),'Diags Raw Data'!$L$6:$L$3907,'Diags Raw Data'!$P$6:$P$3907)/J114)</f>
        <v>1</v>
      </c>
      <c r="M114" s="480" cm="1">
        <f t="array" ref="M114">SUMPRODUCT(--(ISNUMBER(SEARCH($A114,'Diags Raw Data'!$A$6:$A$3907))),--('Diags Raw Data'!$Q$6:$Q$3907&lt;&gt;"N/A"),'Diags Raw Data'!$R$6:$R$3907)</f>
        <v>14</v>
      </c>
      <c r="N114" s="481" cm="1">
        <f t="array" ref="N114">SUMPRODUCT(--(ISNUMBER(SEARCH($A114,'Diags Raw Data'!$A$6:$A$3907))),--('Diags Raw Data'!$Q$6:$Q$3907&lt;&gt;"N/A"),'Diags Raw Data'!$T$6:$T$3907)+SUMPRODUCT(--(ISNUMBER(SEARCH($A114,'Diags Raw Data'!$A$6:$A$3907))),--('Diags Raw Data'!$Q$6:$Q$3907&lt;&gt;"N/A"),'Diags Raw Data'!$U$6:$U$3907)</f>
        <v>14</v>
      </c>
      <c r="O114" s="482">
        <f t="shared" si="66"/>
        <v>1</v>
      </c>
      <c r="P114" s="483">
        <f>SUMIF('Diags Raw Data'!$A$6:$A$3907,"*"&amp;$A114&amp;"*",'Diags Raw Data'!$Z$6:$Z$3907)</f>
        <v>0</v>
      </c>
      <c r="Q114" s="484">
        <f>SUM(SUMIF('Diags Raw Data'!$A$6:$A$3907,"*"&amp;$A114&amp;"*",'Diags Raw Data'!$AA$6:$AA$3907),SUMIF('Diags Raw Data'!$A$6:$A$3907,"*"&amp;$A114&amp;"*",'Diags Raw Data'!$AB$6:$AB$3907))</f>
        <v>0</v>
      </c>
      <c r="R114" s="485">
        <f t="shared" si="67"/>
        <v>0</v>
      </c>
      <c r="S114" s="485">
        <f t="shared" si="68"/>
        <v>0</v>
      </c>
      <c r="T114" s="486">
        <f t="shared" si="69"/>
        <v>0</v>
      </c>
      <c r="U114" s="530" t="s">
        <v>1432</v>
      </c>
      <c r="V114" s="180"/>
      <c r="X114" s="181" t="s">
        <v>1441</v>
      </c>
    </row>
    <row r="115" spans="1:24" ht="30.75" customHeight="1" x14ac:dyDescent="0.25">
      <c r="A115" s="524" t="s">
        <v>1267</v>
      </c>
      <c r="B115" s="431" t="str">
        <f>VLOOKUP(A115,'Feature Raw Data'!$A$3:$B$4204,2,FALSE)</f>
        <v>GFXHUB:GCUTCL2:VML2 - Invalidate by Address Range and VMID aka "Sharpshooting"</v>
      </c>
      <c r="C115" s="432" t="str">
        <f>VLOOKUP(A115,'Feature Raw Data'!$A$3:$C$4204,3,FALSE)</f>
        <v>P2</v>
      </c>
      <c r="D115" s="433" t="str" cm="1">
        <f t="array" ref="D115">_xlfn.TEXTJOIN("",TRUE,IF(ISNUMBER(SEARCH($A115,'Diags Raw Data'!$A$6:$A$3907)),CONCATENATE('Diags Raw Data'!$H$6:$H$3907,", "),""))</f>
        <v xml:space="preserve">mhub252.1, mhub253.1, mhub254.1,mhub254.3,mhub254.5-8, mhub257.6, </v>
      </c>
      <c r="E115" s="324" t="e">
        <f>VLOOKUP(A115,'Diags Raw Data'!$A$6:$D$3907,4,FALSE)</f>
        <v>#N/A</v>
      </c>
      <c r="F115" s="324" t="str">
        <f>VLOOKUP(A115,'Feature Raw Data'!$A$3:$E$4204,5,FALSE)</f>
        <v>Legacy</v>
      </c>
      <c r="G115" s="324" t="str">
        <f t="shared" si="64"/>
        <v>Yes</v>
      </c>
      <c r="H115" s="324" t="str">
        <f t="shared" si="65"/>
        <v>Yes</v>
      </c>
      <c r="I115" s="432">
        <f>SUMIF('Diags Raw Data'!$A$6:$A$3907,"*"&amp;$A115&amp;"*",'Diags Raw Data'!$K$6:$K$3907)</f>
        <v>5</v>
      </c>
      <c r="J115" s="434">
        <f>SUMIF('Diags Raw Data'!$A$6:$A$3907,"*"&amp;$A115&amp;"*",'Diags Raw Data'!$L$6:$L$3907)</f>
        <v>9</v>
      </c>
      <c r="K115" s="478" t="e" cm="1">
        <f t="array" ref="K115">IF(D115="",0, SUMPRODUCT(--(ISNUMBER(SEARCH($A115,'Diags Raw Data'!$A$6:$A$3907))),'Diags Raw Data'!$L$6:$L$3907,'Diags Raw Data'!$N$6:$N$3910)/J115)</f>
        <v>#VALUE!</v>
      </c>
      <c r="L115" s="479" cm="1">
        <f t="array" ref="L115">IF(D115="",0, SUMPRODUCT(--(ISNUMBER(SEARCH($A115,'Diags Raw Data'!$A$6:$A$3907))),'Diags Raw Data'!$L$6:$L$3907,'Diags Raw Data'!$P$6:$P$3907)/J115)</f>
        <v>1</v>
      </c>
      <c r="M115" s="480" cm="1">
        <f t="array" ref="M115">SUMPRODUCT(--(ISNUMBER(SEARCH($A115,'Diags Raw Data'!$A$6:$A$3907))),--('Diags Raw Data'!$Q$6:$Q$3907&lt;&gt;"N/A"),'Diags Raw Data'!$R$6:$R$3907)</f>
        <v>9</v>
      </c>
      <c r="N115" s="481" cm="1">
        <f t="array" ref="N115">SUMPRODUCT(--(ISNUMBER(SEARCH($A115,'Diags Raw Data'!$A$6:$A$3907))),--('Diags Raw Data'!$Q$6:$Q$3907&lt;&gt;"N/A"),'Diags Raw Data'!$T$6:$T$3907)+SUMPRODUCT(--(ISNUMBER(SEARCH($A115,'Diags Raw Data'!$A$6:$A$3907))),--('Diags Raw Data'!$Q$6:$Q$3907&lt;&gt;"N/A"),'Diags Raw Data'!$U$6:$U$3907)</f>
        <v>9</v>
      </c>
      <c r="O115" s="482">
        <f t="shared" si="66"/>
        <v>1</v>
      </c>
      <c r="P115" s="483">
        <f>SUMIF('Diags Raw Data'!$A$6:$A$3907,"*"&amp;$A115&amp;"*",'Diags Raw Data'!$Z$6:$Z$3907)</f>
        <v>9</v>
      </c>
      <c r="Q115" s="484">
        <f>SUM(SUMIF('Diags Raw Data'!$A$6:$A$3907,"*"&amp;$A115&amp;"*",'Diags Raw Data'!$AA$6:$AA$3907),SUMIF('Diags Raw Data'!$A$6:$A$3907,"*"&amp;$A115&amp;"*",'Diags Raw Data'!$AB$6:$AB$3907))</f>
        <v>9</v>
      </c>
      <c r="R115" s="485">
        <f t="shared" si="67"/>
        <v>1</v>
      </c>
      <c r="S115" s="485">
        <f t="shared" si="68"/>
        <v>1</v>
      </c>
      <c r="T115" s="486">
        <f t="shared" si="69"/>
        <v>1</v>
      </c>
      <c r="U115" s="530" t="s">
        <v>1423</v>
      </c>
      <c r="V115" s="180"/>
    </row>
    <row r="116" spans="1:24" ht="45" x14ac:dyDescent="0.25">
      <c r="A116" s="524" t="s">
        <v>1268</v>
      </c>
      <c r="B116" s="431" t="str">
        <f>VLOOKUP(A116,'Feature Raw Data'!$A$3:$B$4204,2,FALSE)</f>
        <v>GFXHUB:GCUTCL2:VML2 - Lightweight/Heavyweight flush-type invalidation aka GPUVM –ATC like invalidations</v>
      </c>
      <c r="C116" s="432" t="str">
        <f>VLOOKUP(A116,'Feature Raw Data'!$A$3:$C$4204,3,FALSE)</f>
        <v>P1</v>
      </c>
      <c r="D116" s="433" t="str" cm="1">
        <f t="array" ref="D116">_xlfn.TEXTJOIN("",TRUE,IF(ISNUMBER(SEARCH($A116,'Diags Raw Data'!$A$6:$A$3907)),CONCATENATE('Diags Raw Data'!$H$6:$H$3907,", "),""))</f>
        <v xml:space="preserve">mhub252.1, mhub253.1, mhub254.1,mhub254.3,mhub254.5-8, mhub255.1-2, mhub257.6, </v>
      </c>
      <c r="E116" s="324" t="e">
        <f>VLOOKUP(A116,'Diags Raw Data'!$A$6:$D$3907,4,FALSE)</f>
        <v>#N/A</v>
      </c>
      <c r="F116" s="324" t="str">
        <f>VLOOKUP(A116,'Feature Raw Data'!$A$3:$E$4204,5,FALSE)</f>
        <v>Legacy</v>
      </c>
      <c r="G116" s="324" t="str">
        <f t="shared" si="64"/>
        <v>Yes</v>
      </c>
      <c r="H116" s="324" t="str">
        <f t="shared" si="65"/>
        <v>Yes</v>
      </c>
      <c r="I116" s="432">
        <f>SUMIF('Diags Raw Data'!$A$6:$A$3907,"*"&amp;$A116&amp;"*",'Diags Raw Data'!$K$6:$K$3907)</f>
        <v>6</v>
      </c>
      <c r="J116" s="434">
        <f>SUMIF('Diags Raw Data'!$A$6:$A$3907,"*"&amp;$A116&amp;"*",'Diags Raw Data'!$L$6:$L$3907)</f>
        <v>11</v>
      </c>
      <c r="K116" s="478" t="e" cm="1">
        <f t="array" ref="K116">IF(D116="",0, SUMPRODUCT(--(ISNUMBER(SEARCH($A116,'Diags Raw Data'!$A$6:$A$3907))),'Diags Raw Data'!$L$6:$L$3907,'Diags Raw Data'!$N$6:$N$3910)/J116)</f>
        <v>#VALUE!</v>
      </c>
      <c r="L116" s="479" cm="1">
        <f t="array" ref="L116">IF(D116="",0, SUMPRODUCT(--(ISNUMBER(SEARCH($A116,'Diags Raw Data'!$A$6:$A$3907))),'Diags Raw Data'!$L$6:$L$3907,'Diags Raw Data'!$P$6:$P$3907)/J116)</f>
        <v>1</v>
      </c>
      <c r="M116" s="480" cm="1">
        <f t="array" ref="M116">SUMPRODUCT(--(ISNUMBER(SEARCH($A116,'Diags Raw Data'!$A$6:$A$3907))),--('Diags Raw Data'!$Q$6:$Q$3907&lt;&gt;"N/A"),'Diags Raw Data'!$R$6:$R$3907)</f>
        <v>11</v>
      </c>
      <c r="N116" s="481" cm="1">
        <f t="array" ref="N116">SUMPRODUCT(--(ISNUMBER(SEARCH($A116,'Diags Raw Data'!$A$6:$A$3907))),--('Diags Raw Data'!$Q$6:$Q$3907&lt;&gt;"N/A"),'Diags Raw Data'!$T$6:$T$3907)+SUMPRODUCT(--(ISNUMBER(SEARCH($A116,'Diags Raw Data'!$A$6:$A$3907))),--('Diags Raw Data'!$Q$6:$Q$3907&lt;&gt;"N/A"),'Diags Raw Data'!$U$6:$U$3907)</f>
        <v>11</v>
      </c>
      <c r="O116" s="482">
        <f t="shared" si="66"/>
        <v>1</v>
      </c>
      <c r="P116" s="483">
        <f>SUMIF('Diags Raw Data'!$A$6:$A$3907,"*"&amp;$A116&amp;"*",'Diags Raw Data'!$Z$6:$Z$3907)</f>
        <v>11</v>
      </c>
      <c r="Q116" s="484">
        <f>SUM(SUMIF('Diags Raw Data'!$A$6:$A$3907,"*"&amp;$A116&amp;"*",'Diags Raw Data'!$AA$6:$AA$3907),SUMIF('Diags Raw Data'!$A$6:$A$3907,"*"&amp;$A116&amp;"*",'Diags Raw Data'!$AB$6:$AB$3907))</f>
        <v>9</v>
      </c>
      <c r="R116" s="485">
        <f t="shared" si="67"/>
        <v>1</v>
      </c>
      <c r="S116" s="485">
        <f t="shared" si="68"/>
        <v>0.81818181818181823</v>
      </c>
      <c r="T116" s="486">
        <f t="shared" si="69"/>
        <v>0.81818181818181823</v>
      </c>
      <c r="U116" s="530" t="s">
        <v>1425</v>
      </c>
      <c r="V116" s="180"/>
    </row>
    <row r="117" spans="1:24" ht="30" x14ac:dyDescent="0.25">
      <c r="A117" s="524" t="s">
        <v>1270</v>
      </c>
      <c r="B117" s="431" t="str">
        <f>VLOOKUP(A117,'Feature Raw Data'!$A$3:$B$4204,2,FALSE)</f>
        <v>GFXHUB:GCUTCL2:VML2 - Page Tables Levels</v>
      </c>
      <c r="C117" s="432" t="str">
        <f>VLOOKUP(A117,'Feature Raw Data'!$A$3:$C$4204,3,FALSE)</f>
        <v>P2</v>
      </c>
      <c r="D117" s="433" t="str" cm="1">
        <f t="array" ref="D117">_xlfn.TEXTJOIN("",TRUE,IF(ISNUMBER(SEARCH($A117,'Diags Raw Data'!$A$6:$A$3907)),CONCATENATE('Diags Raw Data'!$H$6:$H$3907,", "),""))</f>
        <v xml:space="preserve">mhub210.1-2, mhub211.1, mhub211.2, mhub211.4, mhub212, </v>
      </c>
      <c r="E117" s="324" t="e">
        <f>VLOOKUP(A117,'Diags Raw Data'!$A$6:$D$3907,4,FALSE)</f>
        <v>#N/A</v>
      </c>
      <c r="F117" s="324" t="str">
        <f>VLOOKUP(A117,'Feature Raw Data'!$A$3:$E$4204,5,FALSE)</f>
        <v>Legacy</v>
      </c>
      <c r="G117" s="324" t="str">
        <f t="shared" si="64"/>
        <v>Yes</v>
      </c>
      <c r="H117" s="324" t="str">
        <f t="shared" si="65"/>
        <v>Yes</v>
      </c>
      <c r="I117" s="432">
        <f>SUMIF('Diags Raw Data'!$A$6:$A$3907,"*"&amp;$A117&amp;"*",'Diags Raw Data'!$K$6:$K$3907)</f>
        <v>5</v>
      </c>
      <c r="J117" s="434">
        <f>SUMIF('Diags Raw Data'!$A$6:$A$3907,"*"&amp;$A117&amp;"*",'Diags Raw Data'!$L$6:$L$3907)</f>
        <v>6</v>
      </c>
      <c r="K117" s="478" t="e" cm="1">
        <f t="array" ref="K117">IF(D117="",0, SUMPRODUCT(--(ISNUMBER(SEARCH($A117,'Diags Raw Data'!$A$6:$A$3907))),'Diags Raw Data'!$L$6:$L$3907,'Diags Raw Data'!$N$6:$N$3910)/J117)</f>
        <v>#VALUE!</v>
      </c>
      <c r="L117" s="479" cm="1">
        <f t="array" ref="L117">IF(D117="",0, SUMPRODUCT(--(ISNUMBER(SEARCH($A117,'Diags Raw Data'!$A$6:$A$3907))),'Diags Raw Data'!$L$6:$L$3907,'Diags Raw Data'!$P$6:$P$3907)/J117)</f>
        <v>1</v>
      </c>
      <c r="M117" s="480" cm="1">
        <f t="array" ref="M117">SUMPRODUCT(--(ISNUMBER(SEARCH($A117,'Diags Raw Data'!$A$6:$A$3907))),--('Diags Raw Data'!$Q$6:$Q$3907&lt;&gt;"N/A"),'Diags Raw Data'!$R$6:$R$3907)</f>
        <v>6</v>
      </c>
      <c r="N117" s="481" cm="1">
        <f t="array" ref="N117">SUMPRODUCT(--(ISNUMBER(SEARCH($A117,'Diags Raw Data'!$A$6:$A$3907))),--('Diags Raw Data'!$Q$6:$Q$3907&lt;&gt;"N/A"),'Diags Raw Data'!$T$6:$T$3907)+SUMPRODUCT(--(ISNUMBER(SEARCH($A117,'Diags Raw Data'!$A$6:$A$3907))),--('Diags Raw Data'!$Q$6:$Q$3907&lt;&gt;"N/A"),'Diags Raw Data'!$U$6:$U$3907)</f>
        <v>6</v>
      </c>
      <c r="O117" s="482">
        <f t="shared" si="66"/>
        <v>1</v>
      </c>
      <c r="P117" s="483">
        <f>SUMIF('Diags Raw Data'!$A$6:$A$3907,"*"&amp;$A117&amp;"*",'Diags Raw Data'!$Z$6:$Z$3907)</f>
        <v>5</v>
      </c>
      <c r="Q117" s="484">
        <f>SUM(SUMIF('Diags Raw Data'!$A$6:$A$3907,"*"&amp;$A117&amp;"*",'Diags Raw Data'!$AA$6:$AA$3907),SUMIF('Diags Raw Data'!$A$6:$A$3907,"*"&amp;$A117&amp;"*",'Diags Raw Data'!$AB$6:$AB$3907))</f>
        <v>3</v>
      </c>
      <c r="R117" s="485">
        <f t="shared" si="67"/>
        <v>0.83333333333333337</v>
      </c>
      <c r="S117" s="485">
        <f t="shared" si="68"/>
        <v>0.6</v>
      </c>
      <c r="T117" s="486">
        <f t="shared" si="69"/>
        <v>0.5</v>
      </c>
      <c r="U117" s="530" t="s">
        <v>1423</v>
      </c>
      <c r="V117" s="180"/>
    </row>
    <row r="118" spans="1:24" ht="60" x14ac:dyDescent="0.25">
      <c r="A118" s="524" t="s">
        <v>555</v>
      </c>
      <c r="B118" s="431" t="str">
        <f>VLOOKUP(A118,'Feature Raw Data'!$A$3:$B$4204,2,FALSE)</f>
        <v>GFXHUB:GCUTCL2:VML2 - PDE Attributes</v>
      </c>
      <c r="C118" s="432" t="str">
        <f>VLOOKUP(A118,'Feature Raw Data'!$A$3:$C$4204,3,FALSE)</f>
        <v>P1</v>
      </c>
      <c r="D118" s="433" t="str" cm="1">
        <f t="array" ref="D118">_xlfn.TEXTJOIN("",TRUE,IF(ISNUMBER(SEARCH($A118,'Diags Raw Data'!$A$6:$A$3907)),CONCATENATE('Diags Raw Data'!$H$6:$H$3907,", "),""))</f>
        <v xml:space="preserve">mhub205, mhub210.1-2, mhub211.1, mhub282, </v>
      </c>
      <c r="E118" s="324" t="str">
        <f>VLOOKUP(A118,'Diags Raw Data'!$A$6:$D$3907,4,FALSE)</f>
        <v>GFXHUB</v>
      </c>
      <c r="F118" s="324" t="str">
        <f>VLOOKUP(A118,'Feature Raw Data'!$A$3:$E$4204,5,FALSE)</f>
        <v>Delta</v>
      </c>
      <c r="G118" s="324" t="str">
        <f t="shared" si="64"/>
        <v>Yes</v>
      </c>
      <c r="H118" s="324" t="str">
        <f t="shared" si="65"/>
        <v>Yes</v>
      </c>
      <c r="I118" s="432">
        <f>SUMIF('Diags Raw Data'!$A$6:$A$3907,"*"&amp;$A118&amp;"*",'Diags Raw Data'!$K$6:$K$3907)</f>
        <v>4</v>
      </c>
      <c r="J118" s="434">
        <f>SUMIF('Diags Raw Data'!$A$6:$A$3907,"*"&amp;$A118&amp;"*",'Diags Raw Data'!$L$6:$L$3907)</f>
        <v>5</v>
      </c>
      <c r="K118" s="478" t="e" cm="1">
        <f t="array" ref="K118">IF(D118="",0, SUMPRODUCT(--(ISNUMBER(SEARCH($A118,'Diags Raw Data'!$A$6:$A$3907))),'Diags Raw Data'!$L$6:$L$3907,'Diags Raw Data'!$N$6:$N$3910)/J118)</f>
        <v>#VALUE!</v>
      </c>
      <c r="L118" s="479" cm="1">
        <f t="array" ref="L118">IF(D118="",0, SUMPRODUCT(--(ISNUMBER(SEARCH($A118,'Diags Raw Data'!$A$6:$A$3907))),'Diags Raw Data'!$L$6:$L$3907,'Diags Raw Data'!$P$6:$P$3907)/J118)</f>
        <v>1</v>
      </c>
      <c r="M118" s="480" cm="1">
        <f t="array" ref="M118">SUMPRODUCT(--(ISNUMBER(SEARCH($A118,'Diags Raw Data'!$A$6:$A$3907))),--('Diags Raw Data'!$Q$6:$Q$3907&lt;&gt;"N/A"),'Diags Raw Data'!$R$6:$R$3907)</f>
        <v>5</v>
      </c>
      <c r="N118" s="481" cm="1">
        <f t="array" ref="N118">SUMPRODUCT(--(ISNUMBER(SEARCH($A118,'Diags Raw Data'!$A$6:$A$3907))),--('Diags Raw Data'!$Q$6:$Q$3907&lt;&gt;"N/A"),'Diags Raw Data'!$T$6:$T$3907)+SUMPRODUCT(--(ISNUMBER(SEARCH($A118,'Diags Raw Data'!$A$6:$A$3907))),--('Diags Raw Data'!$Q$6:$Q$3907&lt;&gt;"N/A"),'Diags Raw Data'!$U$6:$U$3907)</f>
        <v>5</v>
      </c>
      <c r="O118" s="482">
        <f t="shared" si="66"/>
        <v>1</v>
      </c>
      <c r="P118" s="483">
        <f>SUMIF('Diags Raw Data'!$A$6:$A$3907,"*"&amp;$A118&amp;"*",'Diags Raw Data'!$Z$6:$Z$3907)</f>
        <v>4</v>
      </c>
      <c r="Q118" s="484">
        <f>SUM(SUMIF('Diags Raw Data'!$A$6:$A$3907,"*"&amp;$A118&amp;"*",'Diags Raw Data'!$AA$6:$AA$3907),SUMIF('Diags Raw Data'!$A$6:$A$3907,"*"&amp;$A118&amp;"*",'Diags Raw Data'!$AB$6:$AB$3907))</f>
        <v>1</v>
      </c>
      <c r="R118" s="485">
        <f t="shared" si="67"/>
        <v>0.8</v>
      </c>
      <c r="S118" s="485">
        <f t="shared" si="68"/>
        <v>0.25</v>
      </c>
      <c r="T118" s="486">
        <f t="shared" si="69"/>
        <v>0.2</v>
      </c>
      <c r="U118" s="530" t="s">
        <v>1423</v>
      </c>
      <c r="V118" s="180"/>
      <c r="X118" s="181" t="s">
        <v>1271</v>
      </c>
    </row>
    <row r="119" spans="1:24" ht="45" x14ac:dyDescent="0.25">
      <c r="A119" s="524" t="s">
        <v>559</v>
      </c>
      <c r="B119" s="431" t="str">
        <f>VLOOKUP(A119,'Feature Raw Data'!$A$3:$B$4204,2,FALSE)</f>
        <v>GFXHUB:GCUTCL2:VML2 - PTE Attributes</v>
      </c>
      <c r="C119" s="432" t="str">
        <f>VLOOKUP(A119,'Feature Raw Data'!$A$3:$C$4204,3,FALSE)</f>
        <v>P2</v>
      </c>
      <c r="D119" s="433" t="str" cm="1">
        <f t="array" ref="D119">_xlfn.TEXTJOIN("",TRUE,IF(ISNUMBER(SEARCH($A119,'Diags Raw Data'!$A$6:$A$3907)),CONCATENATE('Diags Raw Data'!$H$6:$H$3907,", "),""))</f>
        <v xml:space="preserve">mhub206.1,mhub206.2,mhub206.4, mhub207.2, mhub208.1,mhub208.2, mhub208.3, mhub211.1, mhub281.1,mhub281.2, mhub286.1,mhub286.2, </v>
      </c>
      <c r="E119" s="324" t="str">
        <f>VLOOKUP(A119,'Diags Raw Data'!$A$6:$D$3907,4,FALSE)</f>
        <v>GFXHUB</v>
      </c>
      <c r="F119" s="324" t="str">
        <f>VLOOKUP(A119,'Feature Raw Data'!$A$3:$E$4204,5,FALSE)</f>
        <v>Delta</v>
      </c>
      <c r="G119" s="324" t="str">
        <f t="shared" si="64"/>
        <v>Yes</v>
      </c>
      <c r="H119" s="324" t="str">
        <f t="shared" si="65"/>
        <v>Yes</v>
      </c>
      <c r="I119" s="432">
        <f>SUMIF('Diags Raw Data'!$A$6:$A$3907,"*"&amp;$A119&amp;"*",'Diags Raw Data'!$K$6:$K$3907)</f>
        <v>7</v>
      </c>
      <c r="J119" s="434">
        <f>SUMIF('Diags Raw Data'!$A$6:$A$3907,"*"&amp;$A119&amp;"*",'Diags Raw Data'!$L$6:$L$3907)</f>
        <v>12</v>
      </c>
      <c r="K119" s="478" t="e" cm="1">
        <f t="array" ref="K119">IF(D119="",0, SUMPRODUCT(--(ISNUMBER(SEARCH($A119,'Diags Raw Data'!$A$6:$A$3907))),'Diags Raw Data'!$L$6:$L$3907,'Diags Raw Data'!$N$6:$N$3910)/J119)</f>
        <v>#VALUE!</v>
      </c>
      <c r="L119" s="479" cm="1">
        <f t="array" ref="L119">IF(D119="",0, SUMPRODUCT(--(ISNUMBER(SEARCH($A119,'Diags Raw Data'!$A$6:$A$3907))),'Diags Raw Data'!$L$6:$L$3907,'Diags Raw Data'!$P$6:$P$3907)/J119)</f>
        <v>1</v>
      </c>
      <c r="M119" s="480" cm="1">
        <f t="array" ref="M119">SUMPRODUCT(--(ISNUMBER(SEARCH($A119,'Diags Raw Data'!$A$6:$A$3907))),--('Diags Raw Data'!$Q$6:$Q$3907&lt;&gt;"N/A"),'Diags Raw Data'!$R$6:$R$3907)</f>
        <v>12</v>
      </c>
      <c r="N119" s="481" cm="1">
        <f t="array" ref="N119">SUMPRODUCT(--(ISNUMBER(SEARCH($A119,'Diags Raw Data'!$A$6:$A$3907))),--('Diags Raw Data'!$Q$6:$Q$3907&lt;&gt;"N/A"),'Diags Raw Data'!$T$6:$T$3907)+SUMPRODUCT(--(ISNUMBER(SEARCH($A119,'Diags Raw Data'!$A$6:$A$3907))),--('Diags Raw Data'!$Q$6:$Q$3907&lt;&gt;"N/A"),'Diags Raw Data'!$U$6:$U$3907)</f>
        <v>12</v>
      </c>
      <c r="O119" s="482">
        <f t="shared" si="66"/>
        <v>1</v>
      </c>
      <c r="P119" s="483">
        <f>SUMIF('Diags Raw Data'!$A$6:$A$3907,"*"&amp;$A119&amp;"*",'Diags Raw Data'!$Z$6:$Z$3907)</f>
        <v>11</v>
      </c>
      <c r="Q119" s="484">
        <f>SUM(SUMIF('Diags Raw Data'!$A$6:$A$3907,"*"&amp;$A119&amp;"*",'Diags Raw Data'!$AA$6:$AA$3907),SUMIF('Diags Raw Data'!$A$6:$A$3907,"*"&amp;$A119&amp;"*",'Diags Raw Data'!$AB$6:$AB$3907))</f>
        <v>10</v>
      </c>
      <c r="R119" s="485">
        <f t="shared" si="67"/>
        <v>0.91666666666666663</v>
      </c>
      <c r="S119" s="485">
        <f t="shared" si="68"/>
        <v>0.90909090909090906</v>
      </c>
      <c r="T119" s="486">
        <f t="shared" si="69"/>
        <v>0.83333333333333326</v>
      </c>
      <c r="U119" s="530" t="s">
        <v>1423</v>
      </c>
      <c r="V119" s="180"/>
    </row>
    <row r="120" spans="1:24" ht="30" x14ac:dyDescent="0.25">
      <c r="A120" s="524" t="s">
        <v>704</v>
      </c>
      <c r="B120" s="431" t="str">
        <f>VLOOKUP(A120,'Feature Raw Data'!$A$3:$B$4204,2,FALSE)</f>
        <v>GFXHUB:GCUTCL2:VML2 - PTE permissions returned</v>
      </c>
      <c r="C120" s="432" t="str">
        <f>VLOOKUP(A120,'Feature Raw Data'!$A$3:$C$4204,3,FALSE)</f>
        <v>P2</v>
      </c>
      <c r="D120" s="433" t="str" cm="1">
        <f t="array" ref="D120">_xlfn.TEXTJOIN("",TRUE,IF(ISNUMBER(SEARCH($A120,'Diags Raw Data'!$A$6:$A$3907)),CONCATENATE('Diags Raw Data'!$H$6:$H$3907,", "),""))</f>
        <v xml:space="preserve">mhub341.1, mhub341.2, </v>
      </c>
      <c r="E120" s="324" t="str">
        <f>VLOOKUP(A120,'Diags Raw Data'!$A$6:$D$3907,4,FALSE)</f>
        <v>GFXHUB</v>
      </c>
      <c r="F120" s="324" t="str">
        <f>VLOOKUP(A120,'Feature Raw Data'!$A$3:$E$4204,5,FALSE)</f>
        <v>Legacy</v>
      </c>
      <c r="G120" s="324" t="str">
        <f t="shared" si="64"/>
        <v>Yes</v>
      </c>
      <c r="H120" s="324" t="str">
        <f t="shared" si="65"/>
        <v>Yes</v>
      </c>
      <c r="I120" s="432">
        <f>SUMIF('Diags Raw Data'!$A$6:$A$3907,"*"&amp;$A120&amp;"*",'Diags Raw Data'!$K$6:$K$3907)</f>
        <v>2</v>
      </c>
      <c r="J120" s="434">
        <f>SUMIF('Diags Raw Data'!$A$6:$A$3907,"*"&amp;$A120&amp;"*",'Diags Raw Data'!$L$6:$L$3907)</f>
        <v>2</v>
      </c>
      <c r="K120" s="478" t="e" cm="1">
        <f t="array" ref="K120">IF(D120="",0, SUMPRODUCT(--(ISNUMBER(SEARCH($A120,'Diags Raw Data'!$A$6:$A$3907))),'Diags Raw Data'!$L$6:$L$3907,'Diags Raw Data'!$N$6:$N$3910)/J120)</f>
        <v>#VALUE!</v>
      </c>
      <c r="L120" s="479" cm="1">
        <f t="array" ref="L120">IF(D120="",0, SUMPRODUCT(--(ISNUMBER(SEARCH($A120,'Diags Raw Data'!$A$6:$A$3907))),'Diags Raw Data'!$L$6:$L$3907,'Diags Raw Data'!$P$6:$P$3907)/J120)</f>
        <v>1</v>
      </c>
      <c r="M120" s="480" cm="1">
        <f t="array" ref="M120">SUMPRODUCT(--(ISNUMBER(SEARCH($A120,'Diags Raw Data'!$A$6:$A$3907))),--('Diags Raw Data'!$Q$6:$Q$3907&lt;&gt;"N/A"),'Diags Raw Data'!$R$6:$R$3907)</f>
        <v>2</v>
      </c>
      <c r="N120" s="481" cm="1">
        <f t="array" ref="N120">SUMPRODUCT(--(ISNUMBER(SEARCH($A120,'Diags Raw Data'!$A$6:$A$3907))),--('Diags Raw Data'!$Q$6:$Q$3907&lt;&gt;"N/A"),'Diags Raw Data'!$T$6:$T$3907)+SUMPRODUCT(--(ISNUMBER(SEARCH($A120,'Diags Raw Data'!$A$6:$A$3907))),--('Diags Raw Data'!$Q$6:$Q$3907&lt;&gt;"N/A"),'Diags Raw Data'!$U$6:$U$3907)</f>
        <v>2</v>
      </c>
      <c r="O120" s="482">
        <f t="shared" si="66"/>
        <v>1</v>
      </c>
      <c r="P120" s="483">
        <f>SUMIF('Diags Raw Data'!$A$6:$A$3907,"*"&amp;$A120&amp;"*",'Diags Raw Data'!$Z$6:$Z$3907)</f>
        <v>2</v>
      </c>
      <c r="Q120" s="484">
        <f>SUM(SUMIF('Diags Raw Data'!$A$6:$A$3907,"*"&amp;$A120&amp;"*",'Diags Raw Data'!$AA$6:$AA$3907),SUMIF('Diags Raw Data'!$A$6:$A$3907,"*"&amp;$A120&amp;"*",'Diags Raw Data'!$AB$6:$AB$3907))</f>
        <v>0</v>
      </c>
      <c r="R120" s="485">
        <f t="shared" si="67"/>
        <v>1</v>
      </c>
      <c r="S120" s="485">
        <f t="shared" si="68"/>
        <v>0</v>
      </c>
      <c r="T120" s="486">
        <f t="shared" si="69"/>
        <v>0</v>
      </c>
      <c r="U120" s="530" t="s">
        <v>1425</v>
      </c>
      <c r="V120" s="180"/>
    </row>
    <row r="121" spans="1:24" ht="34.5" customHeight="1" x14ac:dyDescent="0.25">
      <c r="A121" s="524" t="s">
        <v>958</v>
      </c>
      <c r="B121" s="431" t="str">
        <f>VLOOKUP(A121,'Feature Raw Data'!$A$3:$B$4204,2,FALSE)</f>
        <v>GFXHUB:GCUTCL2:VML2 - Translate Further/PTE.F bit</v>
      </c>
      <c r="C121" s="432" t="str">
        <f>VLOOKUP(A121,'Feature Raw Data'!$A$3:$C$4204,3,FALSE)</f>
        <v>P1</v>
      </c>
      <c r="D121" s="433" t="str" cm="1">
        <f t="array" ref="D121">_xlfn.TEXTJOIN("",TRUE,IF(ISNUMBER(SEARCH($A121,'Diags Raw Data'!$A$6:$A$3907)),CONCATENATE('Diags Raw Data'!$H$6:$H$3907,", "),""))</f>
        <v xml:space="preserve">mhub211.1, mhub211.2, mhub211.4, mhub327.1, mhub327.2, mhub327.3, mhub327.4, </v>
      </c>
      <c r="E121" s="324" t="str">
        <f>VLOOKUP(A121,'Diags Raw Data'!$A$6:$D$3907,4,FALSE)</f>
        <v>GFXHUB</v>
      </c>
      <c r="F121" s="324" t="str">
        <f>VLOOKUP(A121,'Feature Raw Data'!$A$3:$E$4204,5,FALSE)</f>
        <v>Delta</v>
      </c>
      <c r="G121" s="324" t="str">
        <f t="shared" si="64"/>
        <v>Yes</v>
      </c>
      <c r="H121" s="324" t="str">
        <f t="shared" si="65"/>
        <v>Yes</v>
      </c>
      <c r="I121" s="432">
        <f>SUMIF('Diags Raw Data'!$A$6:$A$3907,"*"&amp;$A121&amp;"*",'Diags Raw Data'!$K$6:$K$3907)</f>
        <v>31</v>
      </c>
      <c r="J121" s="434">
        <f>SUMIF('Diags Raw Data'!$A$6:$A$3907,"*"&amp;$A121&amp;"*",'Diags Raw Data'!$L$6:$L$3907)</f>
        <v>7</v>
      </c>
      <c r="K121" s="478" t="e" cm="1">
        <f t="array" ref="K121">IF(D121="",0, SUMPRODUCT(--(ISNUMBER(SEARCH($A121,'Diags Raw Data'!$A$6:$A$3907))),'Diags Raw Data'!$L$6:$L$3907,'Diags Raw Data'!$N$6:$N$3910)/J121)</f>
        <v>#VALUE!</v>
      </c>
      <c r="L121" s="479" cm="1">
        <f t="array" ref="L121">IF(D121="",0, SUMPRODUCT(--(ISNUMBER(SEARCH($A121,'Diags Raw Data'!$A$6:$A$3907))),'Diags Raw Data'!$L$6:$L$3907,'Diags Raw Data'!$P$6:$P$3907)/J121)</f>
        <v>1</v>
      </c>
      <c r="M121" s="480" cm="1">
        <f t="array" ref="M121">SUMPRODUCT(--(ISNUMBER(SEARCH($A121,'Diags Raw Data'!$A$6:$A$3907))),--('Diags Raw Data'!$Q$6:$Q$3907&lt;&gt;"N/A"),'Diags Raw Data'!$R$6:$R$3907)</f>
        <v>7</v>
      </c>
      <c r="N121" s="481" cm="1">
        <f t="array" ref="N121">SUMPRODUCT(--(ISNUMBER(SEARCH($A121,'Diags Raw Data'!$A$6:$A$3907))),--('Diags Raw Data'!$Q$6:$Q$3907&lt;&gt;"N/A"),'Diags Raw Data'!$T$6:$T$3907)+SUMPRODUCT(--(ISNUMBER(SEARCH($A121,'Diags Raw Data'!$A$6:$A$3907))),--('Diags Raw Data'!$Q$6:$Q$3907&lt;&gt;"N/A"),'Diags Raw Data'!$U$6:$U$3907)</f>
        <v>7</v>
      </c>
      <c r="O121" s="482">
        <f t="shared" si="66"/>
        <v>1</v>
      </c>
      <c r="P121" s="483">
        <f>SUMIF('Diags Raw Data'!$A$6:$A$3907,"*"&amp;$A121&amp;"*",'Diags Raw Data'!$Z$6:$Z$3907)</f>
        <v>7</v>
      </c>
      <c r="Q121" s="484">
        <f>SUM(SUMIF('Diags Raw Data'!$A$6:$A$3907,"*"&amp;$A121&amp;"*",'Diags Raw Data'!$AA$6:$AA$3907),SUMIF('Diags Raw Data'!$A$6:$A$3907,"*"&amp;$A121&amp;"*",'Diags Raw Data'!$AB$6:$AB$3907))</f>
        <v>3</v>
      </c>
      <c r="R121" s="485">
        <f t="shared" si="67"/>
        <v>1</v>
      </c>
      <c r="S121" s="485">
        <f t="shared" si="68"/>
        <v>0.42857142857142855</v>
      </c>
      <c r="T121" s="486">
        <f t="shared" si="69"/>
        <v>0.42857142857142855</v>
      </c>
      <c r="U121" s="530" t="s">
        <v>1425</v>
      </c>
      <c r="V121" s="180"/>
    </row>
    <row r="122" spans="1:24" ht="90" x14ac:dyDescent="0.25">
      <c r="A122" s="524" t="s">
        <v>387</v>
      </c>
      <c r="B122" s="431" t="str">
        <f>VLOOKUP(A122,'Feature Raw Data'!$A$3:$B$4204,2,FALSE)</f>
        <v>GFXHUB:GCUTCL2:VML2 - GPUVM fault with retry/Xnack interface</v>
      </c>
      <c r="C122" s="432" t="str">
        <f>VLOOKUP(A122,'Feature Raw Data'!$A$3:$C$4204,3,FALSE)</f>
        <v>P2</v>
      </c>
      <c r="D122" s="433" t="str" cm="1">
        <f t="array" ref="D122">_xlfn.TEXTJOIN("",TRUE,IF(ISNUMBER(SEARCH($A122,'Diags Raw Data'!$A$6:$A$3907)),CONCATENATE('Diags Raw Data'!$H$6:$H$3907,", "),""))</f>
        <v xml:space="preserve">mhub018.3,mhub018.4, mhub019.3,mhub019.4, mhub020.3,mhub020.4, mhub218, mhub219, mhub220, mhub281.1,mhub281.2, mhub282, mhub283, mhub284.1,mhub284.2, mhub285, mhub286.1,mhub286.2, mhub287, mhub289, mhub293.1, mhub294.1, mhub295, </v>
      </c>
      <c r="E122" s="324" t="str">
        <f>VLOOKUP(A122,'Diags Raw Data'!$A$6:$D$3907,4,FALSE)</f>
        <v>GFXHUB</v>
      </c>
      <c r="F122" s="324" t="str">
        <f>VLOOKUP(A122,'Feature Raw Data'!$A$3:$E$4204,5,FALSE)</f>
        <v>Legacy</v>
      </c>
      <c r="G122" s="324" t="str">
        <f t="shared" si="64"/>
        <v>Yes</v>
      </c>
      <c r="H122" s="324" t="str">
        <f t="shared" si="65"/>
        <v>Yes</v>
      </c>
      <c r="I122" s="432">
        <f>SUMIF('Diags Raw Data'!$A$6:$A$3907,"*"&amp;$A122&amp;"*",'Diags Raw Data'!$K$6:$K$3907)</f>
        <v>17</v>
      </c>
      <c r="J122" s="434">
        <f>SUMIF('Diags Raw Data'!$A$6:$A$3907,"*"&amp;$A122&amp;"*",'Diags Raw Data'!$L$6:$L$3907)</f>
        <v>23</v>
      </c>
      <c r="K122" s="478" t="e" cm="1">
        <f t="array" ref="K122">IF(D122="",0, SUMPRODUCT(--(ISNUMBER(SEARCH($A122,'Diags Raw Data'!$A$6:$A$3907))),'Diags Raw Data'!$L$6:$L$3907,'Diags Raw Data'!$N$6:$N$3910)/J122)</f>
        <v>#VALUE!</v>
      </c>
      <c r="L122" s="479" cm="1">
        <f t="array" ref="L122">IF(D122="",0, SUMPRODUCT(--(ISNUMBER(SEARCH($A122,'Diags Raw Data'!$A$6:$A$3907))),'Diags Raw Data'!$L$6:$L$3907,'Diags Raw Data'!$P$6:$P$3907)/J122)</f>
        <v>1</v>
      </c>
      <c r="M122" s="480" cm="1">
        <f t="array" ref="M122">SUMPRODUCT(--(ISNUMBER(SEARCH($A122,'Diags Raw Data'!$A$6:$A$3907))),--('Diags Raw Data'!$Q$6:$Q$3907&lt;&gt;"N/A"),'Diags Raw Data'!$R$6:$R$3907)</f>
        <v>23</v>
      </c>
      <c r="N122" s="481" cm="1">
        <f t="array" ref="N122">SUMPRODUCT(--(ISNUMBER(SEARCH($A122,'Diags Raw Data'!$A$6:$A$3907))),--('Diags Raw Data'!$Q$6:$Q$3907&lt;&gt;"N/A"),'Diags Raw Data'!$T$6:$T$3907)+SUMPRODUCT(--(ISNUMBER(SEARCH($A122,'Diags Raw Data'!$A$6:$A$3907))),--('Diags Raw Data'!$Q$6:$Q$3907&lt;&gt;"N/A"),'Diags Raw Data'!$U$6:$U$3907)</f>
        <v>23</v>
      </c>
      <c r="O122" s="482">
        <f t="shared" si="66"/>
        <v>1</v>
      </c>
      <c r="P122" s="483">
        <f>SUMIF('Diags Raw Data'!$A$6:$A$3907,"*"&amp;$A122&amp;"*",'Diags Raw Data'!$Z$6:$Z$3907)</f>
        <v>23</v>
      </c>
      <c r="Q122" s="484">
        <f>SUM(SUMIF('Diags Raw Data'!$A$6:$A$3907,"*"&amp;$A122&amp;"*",'Diags Raw Data'!$AA$6:$AA$3907),SUMIF('Diags Raw Data'!$A$6:$A$3907,"*"&amp;$A122&amp;"*",'Diags Raw Data'!$AB$6:$AB$3907))</f>
        <v>13</v>
      </c>
      <c r="R122" s="485">
        <f t="shared" si="67"/>
        <v>1</v>
      </c>
      <c r="S122" s="485">
        <f t="shared" si="68"/>
        <v>0.56521739130434778</v>
      </c>
      <c r="T122" s="486">
        <f t="shared" si="69"/>
        <v>0.56521739130434778</v>
      </c>
      <c r="U122" s="530" t="s">
        <v>1425</v>
      </c>
      <c r="V122" s="180"/>
    </row>
    <row r="123" spans="1:24" ht="30" x14ac:dyDescent="0.25">
      <c r="A123" s="524" t="s">
        <v>1275</v>
      </c>
      <c r="B123" s="431" t="str">
        <f>VLOOKUP(A123,'Feature Raw Data'!$A$3:$B$4204,2,FALSE)</f>
        <v>GFXHUB:GCUTCL2:VML2 - Support for 2MB, 1G, 512GB pages aka PDE Block Fragment Size</v>
      </c>
      <c r="C123" s="432" t="str">
        <f>VLOOKUP(A123,'Feature Raw Data'!$A$3:$C$4204,3,FALSE)</f>
        <v>P2</v>
      </c>
      <c r="D123" s="433" t="str" cm="1">
        <f t="array" ref="D123">_xlfn.TEXTJOIN("",TRUE,IF(ISNUMBER(SEARCH($A123,'Diags Raw Data'!$A$6:$A$3907)),CONCATENATE('Diags Raw Data'!$H$6:$H$3907,", "),""))</f>
        <v xml:space="preserve">mhub212, </v>
      </c>
      <c r="E123" s="324" t="e">
        <f>VLOOKUP(A123,'Diags Raw Data'!$A$6:$D$3907,4,FALSE)</f>
        <v>#N/A</v>
      </c>
      <c r="F123" s="324" t="str">
        <f>VLOOKUP(A123,'Feature Raw Data'!$A$3:$E$4204,5,FALSE)</f>
        <v>Legacy</v>
      </c>
      <c r="G123" s="324" t="str">
        <f t="shared" si="64"/>
        <v>Yes</v>
      </c>
      <c r="H123" s="324" t="str">
        <f t="shared" si="65"/>
        <v>Yes</v>
      </c>
      <c r="I123" s="432">
        <f>SUMIF('Diags Raw Data'!$A$6:$A$3907,"*"&amp;$A123&amp;"*",'Diags Raw Data'!$K$6:$K$3907)</f>
        <v>1</v>
      </c>
      <c r="J123" s="434">
        <f>SUMIF('Diags Raw Data'!$A$6:$A$3907,"*"&amp;$A123&amp;"*",'Diags Raw Data'!$L$6:$L$3907)</f>
        <v>1</v>
      </c>
      <c r="K123" s="478" t="e" cm="1">
        <f t="array" ref="K123">IF(D123="",0, SUMPRODUCT(--(ISNUMBER(SEARCH($A123,'Diags Raw Data'!$A$6:$A$3907))),'Diags Raw Data'!$L$6:$L$3907,'Diags Raw Data'!$N$6:$N$3910)/J123)</f>
        <v>#VALUE!</v>
      </c>
      <c r="L123" s="479" cm="1">
        <f t="array" ref="L123">IF(D123="",0, SUMPRODUCT(--(ISNUMBER(SEARCH($A123,'Diags Raw Data'!$A$6:$A$3907))),'Diags Raw Data'!$L$6:$L$3907,'Diags Raw Data'!$P$6:$P$3907)/J123)</f>
        <v>1</v>
      </c>
      <c r="M123" s="480" cm="1">
        <f t="array" ref="M123">SUMPRODUCT(--(ISNUMBER(SEARCH($A123,'Diags Raw Data'!$A$6:$A$3907))),--('Diags Raw Data'!$Q$6:$Q$3907&lt;&gt;"N/A"),'Diags Raw Data'!$R$6:$R$3907)</f>
        <v>1</v>
      </c>
      <c r="N123" s="481" cm="1">
        <f t="array" ref="N123">SUMPRODUCT(--(ISNUMBER(SEARCH($A123,'Diags Raw Data'!$A$6:$A$3907))),--('Diags Raw Data'!$Q$6:$Q$3907&lt;&gt;"N/A"),'Diags Raw Data'!$T$6:$T$3907)+SUMPRODUCT(--(ISNUMBER(SEARCH($A123,'Diags Raw Data'!$A$6:$A$3907))),--('Diags Raw Data'!$Q$6:$Q$3907&lt;&gt;"N/A"),'Diags Raw Data'!$U$6:$U$3907)</f>
        <v>1</v>
      </c>
      <c r="O123" s="482">
        <f t="shared" si="66"/>
        <v>1</v>
      </c>
      <c r="P123" s="483">
        <f>SUMIF('Diags Raw Data'!$A$6:$A$3907,"*"&amp;$A123&amp;"*",'Diags Raw Data'!$Z$6:$Z$3907)</f>
        <v>1</v>
      </c>
      <c r="Q123" s="484">
        <f>SUM(SUMIF('Diags Raw Data'!$A$6:$A$3907,"*"&amp;$A123&amp;"*",'Diags Raw Data'!$AA$6:$AA$3907),SUMIF('Diags Raw Data'!$A$6:$A$3907,"*"&amp;$A123&amp;"*",'Diags Raw Data'!$AB$6:$AB$3907))</f>
        <v>0</v>
      </c>
      <c r="R123" s="485">
        <f t="shared" si="67"/>
        <v>1</v>
      </c>
      <c r="S123" s="485">
        <f t="shared" si="68"/>
        <v>0</v>
      </c>
      <c r="T123" s="486">
        <f t="shared" si="69"/>
        <v>0</v>
      </c>
      <c r="U123" s="530" t="s">
        <v>1423</v>
      </c>
      <c r="V123" s="180"/>
    </row>
    <row r="124" spans="1:24" ht="30" x14ac:dyDescent="0.25">
      <c r="A124" s="524" t="s">
        <v>1277</v>
      </c>
      <c r="B124" s="431" t="str">
        <f>VLOOKUP(A124,'Feature Raw Data'!$A$3:$B$4204,2,FALSE)</f>
        <v>GFXHUB:GCUTCL2:VML2 - 44b PA</v>
      </c>
      <c r="C124" s="432" t="str">
        <f>VLOOKUP(A124,'Feature Raw Data'!$A$3:$C$4204,3,FALSE)</f>
        <v>P2</v>
      </c>
      <c r="D124" s="433" t="str" cm="1">
        <f t="array" ref="D124">_xlfn.TEXTJOIN("",TRUE,IF(ISNUMBER(SEARCH($A124,'Diags Raw Data'!$A$6:$A$3907)),CONCATENATE('Diags Raw Data'!$H$6:$H$3907,", "),""))</f>
        <v/>
      </c>
      <c r="E124" s="324" t="e">
        <f>VLOOKUP(A124,'Diags Raw Data'!$A$6:$D$3907,4,FALSE)</f>
        <v>#N/A</v>
      </c>
      <c r="F124" s="324" t="str">
        <f>VLOOKUP(A124,'Feature Raw Data'!$A$3:$E$4204,5,FALSE)</f>
        <v>Legacy</v>
      </c>
      <c r="G124" s="324" t="s">
        <v>31</v>
      </c>
      <c r="H124" s="324" t="str">
        <f t="shared" si="65"/>
        <v>No</v>
      </c>
      <c r="I124" s="432">
        <f>SUMIF('Diags Raw Data'!$A$6:$A$3907,"*"&amp;$A124&amp;"*",'Diags Raw Data'!$K$6:$K$3907)</f>
        <v>0</v>
      </c>
      <c r="J124" s="434">
        <f>SUMIF('Diags Raw Data'!$A$6:$A$3907,"*"&amp;$A124&amp;"*",'Diags Raw Data'!$L$6:$L$3907)</f>
        <v>0</v>
      </c>
      <c r="K124" s="478" cm="1">
        <f t="array" ref="K124">IF(D124="",0, SUMPRODUCT(--(ISNUMBER(SEARCH($A124,'Diags Raw Data'!$A$6:$A$3907))),'Diags Raw Data'!$L$6:$L$3907,'Diags Raw Data'!$N$6:$N$3910)/J124)</f>
        <v>0</v>
      </c>
      <c r="L124" s="479" cm="1">
        <f t="array" ref="L124">IF(D124="",0, SUMPRODUCT(--(ISNUMBER(SEARCH($A124,'Diags Raw Data'!$A$6:$A$3907))),'Diags Raw Data'!$L$6:$L$3907,'Diags Raw Data'!$P$6:$P$3907)/J124)</f>
        <v>0</v>
      </c>
      <c r="M124" s="480" cm="1">
        <f t="array" ref="M124">SUMPRODUCT(--(ISNUMBER(SEARCH($A124,'Diags Raw Data'!$A$6:$A$3907))),--('Diags Raw Data'!$Q$6:$Q$3907&lt;&gt;"N/A"),'Diags Raw Data'!$R$6:$R$3907)</f>
        <v>0</v>
      </c>
      <c r="N124" s="481" cm="1">
        <f t="array" ref="N124">SUMPRODUCT(--(ISNUMBER(SEARCH($A124,'Diags Raw Data'!$A$6:$A$3907))),--('Diags Raw Data'!$Q$6:$Q$3907&lt;&gt;"N/A"),'Diags Raw Data'!$T$6:$T$3907)+SUMPRODUCT(--(ISNUMBER(SEARCH($A124,'Diags Raw Data'!$A$6:$A$3907))),--('Diags Raw Data'!$Q$6:$Q$3907&lt;&gt;"N/A"),'Diags Raw Data'!$U$6:$U$3907)</f>
        <v>0</v>
      </c>
      <c r="O124" s="482">
        <f t="shared" si="66"/>
        <v>0</v>
      </c>
      <c r="P124" s="483">
        <f>SUMIF('Diags Raw Data'!$A$6:$A$3907,"*"&amp;$A124&amp;"*",'Diags Raw Data'!$Z$6:$Z$3907)</f>
        <v>0</v>
      </c>
      <c r="Q124" s="484">
        <f>SUM(SUMIF('Diags Raw Data'!$A$6:$A$3907,"*"&amp;$A124&amp;"*",'Diags Raw Data'!$AA$6:$AA$3907),SUMIF('Diags Raw Data'!$A$6:$A$3907,"*"&amp;$A124&amp;"*",'Diags Raw Data'!$AB$6:$AB$3907))</f>
        <v>0</v>
      </c>
      <c r="R124" s="485">
        <f t="shared" si="67"/>
        <v>0</v>
      </c>
      <c r="S124" s="485">
        <f t="shared" si="68"/>
        <v>0</v>
      </c>
      <c r="T124" s="486">
        <f t="shared" si="69"/>
        <v>0</v>
      </c>
      <c r="U124" s="530" t="s">
        <v>44</v>
      </c>
      <c r="V124" s="180" t="s">
        <v>1442</v>
      </c>
    </row>
    <row r="125" spans="1:24" ht="77.25" customHeight="1" x14ac:dyDescent="0.25">
      <c r="A125" s="524"/>
      <c r="B125" s="431"/>
      <c r="C125" s="432"/>
      <c r="D125" s="433"/>
      <c r="E125" s="324"/>
      <c r="F125" s="324"/>
      <c r="G125" s="324"/>
      <c r="H125" s="324"/>
      <c r="I125" s="432"/>
      <c r="J125" s="434"/>
      <c r="K125" s="478"/>
      <c r="L125" s="479"/>
      <c r="M125" s="480"/>
      <c r="N125" s="481"/>
      <c r="O125" s="482"/>
      <c r="P125" s="483"/>
      <c r="Q125" s="484"/>
      <c r="R125" s="485"/>
      <c r="S125" s="485"/>
      <c r="T125" s="486"/>
      <c r="U125" s="530"/>
      <c r="V125" s="180"/>
    </row>
    <row r="126" spans="1:24" ht="30" x14ac:dyDescent="0.25">
      <c r="A126" s="524" t="s">
        <v>1279</v>
      </c>
      <c r="B126" s="431" t="str">
        <f>VLOOKUP(A126,'Feature Raw Data'!$A$3:$B$4204,2,FALSE)</f>
        <v>GFXHUB:GCUTCL2:VML2 - Page Migration Retry state</v>
      </c>
      <c r="C126" s="432" t="str">
        <f>VLOOKUP(A126,'Feature Raw Data'!$A$3:$C$4204,3,FALSE)</f>
        <v>P2</v>
      </c>
      <c r="D126" s="433" t="str" cm="1">
        <f t="array" ref="D126">_xlfn.TEXTJOIN("",TRUE,IF(ISNUMBER(SEARCH($A126,'Diags Raw Data'!$A$6:$A$3907)),CONCATENATE('Diags Raw Data'!$H$6:$H$3907,", "),""))</f>
        <v xml:space="preserve">mhub209.3, mhub209.4, mhub209.5, mhub209.6, </v>
      </c>
      <c r="E126" s="324" t="e">
        <f>VLOOKUP(A126,'Diags Raw Data'!$A$6:$D$3907,4,FALSE)</f>
        <v>#N/A</v>
      </c>
      <c r="F126" s="324" t="str">
        <f>VLOOKUP(A126,'Feature Raw Data'!$A$3:$E$4204,5,FALSE)</f>
        <v>Legacy</v>
      </c>
      <c r="G126" s="324" t="str">
        <f t="shared" si="64"/>
        <v>Yes</v>
      </c>
      <c r="H126" s="324" t="str">
        <f t="shared" si="65"/>
        <v>Yes</v>
      </c>
      <c r="I126" s="432">
        <f>SUMIF('Diags Raw Data'!$A$6:$A$3907,"*"&amp;$A126&amp;"*",'Diags Raw Data'!$K$6:$K$3907)</f>
        <v>4</v>
      </c>
      <c r="J126" s="434">
        <f>SUMIF('Diags Raw Data'!$A$6:$A$3907,"*"&amp;$A126&amp;"*",'Diags Raw Data'!$L$6:$L$3907)</f>
        <v>4</v>
      </c>
      <c r="K126" s="478" t="e" cm="1">
        <f t="array" ref="K126">IF(D126="",0, SUMPRODUCT(--(ISNUMBER(SEARCH($A126,'Diags Raw Data'!$A$6:$A$3907))),'Diags Raw Data'!$L$6:$L$3907,'Diags Raw Data'!$N$6:$N$3910)/J126)</f>
        <v>#VALUE!</v>
      </c>
      <c r="L126" s="479" cm="1">
        <f t="array" ref="L126">IF(D126="",0, SUMPRODUCT(--(ISNUMBER(SEARCH($A126,'Diags Raw Data'!$A$6:$A$3907))),'Diags Raw Data'!$L$6:$L$3907,'Diags Raw Data'!$P$6:$P$3907)/J126)</f>
        <v>1</v>
      </c>
      <c r="M126" s="480" cm="1">
        <f t="array" ref="M126">SUMPRODUCT(--(ISNUMBER(SEARCH($A126,'Diags Raw Data'!$A$6:$A$3907))),--('Diags Raw Data'!$Q$6:$Q$3907&lt;&gt;"N/A"),'Diags Raw Data'!$R$6:$R$3907)</f>
        <v>4</v>
      </c>
      <c r="N126" s="481" cm="1">
        <f t="array" ref="N126">SUMPRODUCT(--(ISNUMBER(SEARCH($A126,'Diags Raw Data'!$A$6:$A$3907))),--('Diags Raw Data'!$Q$6:$Q$3907&lt;&gt;"N/A"),'Diags Raw Data'!$T$6:$T$3907)+SUMPRODUCT(--(ISNUMBER(SEARCH($A126,'Diags Raw Data'!$A$6:$A$3907))),--('Diags Raw Data'!$Q$6:$Q$3907&lt;&gt;"N/A"),'Diags Raw Data'!$U$6:$U$3907)</f>
        <v>4</v>
      </c>
      <c r="O126" s="482">
        <f t="shared" si="66"/>
        <v>1</v>
      </c>
      <c r="P126" s="483">
        <f>SUMIF('Diags Raw Data'!$A$6:$A$3907,"*"&amp;$A126&amp;"*",'Diags Raw Data'!$Z$6:$Z$3907)</f>
        <v>1</v>
      </c>
      <c r="Q126" s="484">
        <f>SUM(SUMIF('Diags Raw Data'!$A$6:$A$3907,"*"&amp;$A126&amp;"*",'Diags Raw Data'!$AA$6:$AA$3907),SUMIF('Diags Raw Data'!$A$6:$A$3907,"*"&amp;$A126&amp;"*",'Diags Raw Data'!$AB$6:$AB$3907))</f>
        <v>0</v>
      </c>
      <c r="R126" s="485">
        <f t="shared" si="67"/>
        <v>0.25</v>
      </c>
      <c r="S126" s="485">
        <f t="shared" si="68"/>
        <v>0</v>
      </c>
      <c r="T126" s="486">
        <f t="shared" si="69"/>
        <v>0</v>
      </c>
      <c r="U126" s="530" t="s">
        <v>1425</v>
      </c>
      <c r="V126" s="180"/>
    </row>
    <row r="127" spans="1:24" x14ac:dyDescent="0.25">
      <c r="A127" s="524"/>
      <c r="B127" s="431"/>
      <c r="C127" s="432"/>
      <c r="D127" s="433"/>
      <c r="E127" s="324"/>
      <c r="F127" s="324"/>
      <c r="G127" s="324"/>
      <c r="H127" s="324"/>
      <c r="I127" s="432"/>
      <c r="J127" s="434"/>
      <c r="K127" s="478"/>
      <c r="L127" s="479"/>
      <c r="M127" s="480"/>
      <c r="N127" s="481"/>
      <c r="O127" s="482"/>
      <c r="P127" s="483"/>
      <c r="Q127" s="484"/>
      <c r="R127" s="485"/>
      <c r="S127" s="485"/>
      <c r="T127" s="486"/>
      <c r="U127" s="530"/>
      <c r="V127" s="180"/>
    </row>
    <row r="128" spans="1:24" ht="27" customHeight="1" x14ac:dyDescent="0.25">
      <c r="A128" s="524" t="s">
        <v>1283</v>
      </c>
      <c r="B128" s="431" t="str">
        <f>VLOOKUP(A128,'Feature Raw Data'!$A$3:$B$4204,2,FALSE)</f>
        <v>GFXHUB:GCUTCL2:VML2 - VML2 BigK/4K cache swap</v>
      </c>
      <c r="C128" s="432" t="str">
        <f>VLOOKUP(A128,'Feature Raw Data'!$A$3:$C$4204,3,FALSE)</f>
        <v>P2</v>
      </c>
      <c r="D128" s="433" t="str" cm="1">
        <f t="array" ref="D128">_xlfn.TEXTJOIN("",TRUE,IF(ISNUMBER(SEARCH($A128,'Diags Raw Data'!$A$6:$A$3907)),CONCATENATE('Diags Raw Data'!$H$6:$H$3907,", "),""))</f>
        <v xml:space="preserve">mhub234.1, mhub234.2, mhub234.3, mhub234.4, </v>
      </c>
      <c r="E128" s="324" t="e">
        <f>VLOOKUP(A128,'Diags Raw Data'!$A$6:$D$3907,4,FALSE)</f>
        <v>#N/A</v>
      </c>
      <c r="F128" s="324" t="str">
        <f>VLOOKUP(A128,'Feature Raw Data'!$A$3:$E$4204,5,FALSE)</f>
        <v>Legacy</v>
      </c>
      <c r="G128" s="324" t="str">
        <f t="shared" si="64"/>
        <v>Yes</v>
      </c>
      <c r="H128" s="324" t="str">
        <f t="shared" si="65"/>
        <v>Yes</v>
      </c>
      <c r="I128" s="432">
        <f>SUMIF('Diags Raw Data'!$A$6:$A$3907,"*"&amp;$A128&amp;"*",'Diags Raw Data'!$K$6:$K$3907)</f>
        <v>4</v>
      </c>
      <c r="J128" s="434">
        <f>SUMIF('Diags Raw Data'!$A$6:$A$3907,"*"&amp;$A128&amp;"*",'Diags Raw Data'!$L$6:$L$3907)</f>
        <v>4</v>
      </c>
      <c r="K128" s="478" t="e" cm="1">
        <f t="array" ref="K128">IF(D128="",0, SUMPRODUCT(--(ISNUMBER(SEARCH($A128,'Diags Raw Data'!$A$6:$A$3907))),'Diags Raw Data'!$L$6:$L$3907,'Diags Raw Data'!$N$6:$N$3910)/J128)</f>
        <v>#VALUE!</v>
      </c>
      <c r="L128" s="479" cm="1">
        <f t="array" ref="L128">IF(D128="",0, SUMPRODUCT(--(ISNUMBER(SEARCH($A128,'Diags Raw Data'!$A$6:$A$3907))),'Diags Raw Data'!$L$6:$L$3907,'Diags Raw Data'!$P$6:$P$3907)/J128)</f>
        <v>1</v>
      </c>
      <c r="M128" s="480" cm="1">
        <f t="array" ref="M128">SUMPRODUCT(--(ISNUMBER(SEARCH($A128,'Diags Raw Data'!$A$6:$A$3907))),--('Diags Raw Data'!$Q$6:$Q$3907&lt;&gt;"N/A"),'Diags Raw Data'!$R$6:$R$3907)</f>
        <v>4</v>
      </c>
      <c r="N128" s="481" cm="1">
        <f t="array" ref="N128">SUMPRODUCT(--(ISNUMBER(SEARCH($A128,'Diags Raw Data'!$A$6:$A$3907))),--('Diags Raw Data'!$Q$6:$Q$3907&lt;&gt;"N/A"),'Diags Raw Data'!$T$6:$T$3907)+SUMPRODUCT(--(ISNUMBER(SEARCH($A128,'Diags Raw Data'!$A$6:$A$3907))),--('Diags Raw Data'!$Q$6:$Q$3907&lt;&gt;"N/A"),'Diags Raw Data'!$U$6:$U$3907)</f>
        <v>4</v>
      </c>
      <c r="O128" s="482">
        <f t="shared" si="66"/>
        <v>1</v>
      </c>
      <c r="P128" s="483">
        <f>SUMIF('Diags Raw Data'!$A$6:$A$3907,"*"&amp;$A128&amp;"*",'Diags Raw Data'!$Z$6:$Z$3907)</f>
        <v>4</v>
      </c>
      <c r="Q128" s="484">
        <f>SUM(SUMIF('Diags Raw Data'!$A$6:$A$3907,"*"&amp;$A128&amp;"*",'Diags Raw Data'!$AA$6:$AA$3907),SUMIF('Diags Raw Data'!$A$6:$A$3907,"*"&amp;$A128&amp;"*",'Diags Raw Data'!$AB$6:$AB$3907))</f>
        <v>0</v>
      </c>
      <c r="R128" s="485">
        <f t="shared" si="67"/>
        <v>1</v>
      </c>
      <c r="S128" s="485">
        <f t="shared" si="68"/>
        <v>0</v>
      </c>
      <c r="T128" s="486">
        <f t="shared" si="69"/>
        <v>0</v>
      </c>
      <c r="U128" s="530" t="s">
        <v>1423</v>
      </c>
      <c r="V128" s="180"/>
    </row>
    <row r="129" spans="1:24" x14ac:dyDescent="0.25">
      <c r="A129" s="524"/>
      <c r="B129" s="431"/>
      <c r="C129" s="432"/>
      <c r="D129" s="433"/>
      <c r="E129" s="324"/>
      <c r="F129" s="324"/>
      <c r="G129" s="324"/>
      <c r="H129" s="324"/>
      <c r="I129" s="432"/>
      <c r="J129" s="434"/>
      <c r="K129" s="478"/>
      <c r="L129" s="479"/>
      <c r="M129" s="480"/>
      <c r="N129" s="481"/>
      <c r="O129" s="482"/>
      <c r="P129" s="483"/>
      <c r="Q129" s="484"/>
      <c r="R129" s="485"/>
      <c r="S129" s="485"/>
      <c r="T129" s="486"/>
      <c r="U129" s="530"/>
      <c r="V129" s="180"/>
    </row>
    <row r="130" spans="1:24" ht="165" x14ac:dyDescent="0.25">
      <c r="A130" s="524" t="s">
        <v>1287</v>
      </c>
      <c r="B130" s="431" t="str">
        <f>VLOOKUP(A130,'Feature Raw Data'!$A$3:$B$4204,2,FALSE)</f>
        <v>GFXHUB:GCUTCL2:VML2 - Mtype Attribute</v>
      </c>
      <c r="C130" s="432" t="str">
        <f>VLOOKUP(A130,'Feature Raw Data'!$A$3:$C$4204,3,FALSE)</f>
        <v>P1</v>
      </c>
      <c r="D130" s="433" t="str" cm="1">
        <f t="array" ref="D130">_xlfn.TEXTJOIN("",TRUE,IF(ISNUMBER(SEARCH($A130,'Diags Raw Data'!$A$6:$A$3907)),CONCATENATE('Diags Raw Data'!$H$6:$H$3907,", "),""))</f>
        <v xml:space="preserve">mhub408.101, mhub408.103, mhub408.105, mhub408.107, mhub408.151, mhub408.153, mhub408.155, mhub408.157, mhub408.161, mhub408.163, mhub408.165, mhub408.167, mhub408.171, mhub408.173, mhub408.175, mhub408.177, mhub408.81, mhub408.83, mhub408.85, mhub408.87, mhub408.91, mhub408.93, mhub408.95, mhub408.97, </v>
      </c>
      <c r="E130" s="324" t="e">
        <f>VLOOKUP(A130,'Diags Raw Data'!$A$6:$D$3907,4,FALSE)</f>
        <v>#N/A</v>
      </c>
      <c r="F130" s="324" t="str">
        <f>VLOOKUP(A130,'Feature Raw Data'!$A$3:$E$4204,5,FALSE)</f>
        <v>Delta</v>
      </c>
      <c r="G130" s="324" t="str">
        <f t="shared" si="64"/>
        <v>Yes</v>
      </c>
      <c r="H130" s="324" t="str">
        <f t="shared" si="65"/>
        <v>Yes</v>
      </c>
      <c r="I130" s="432">
        <f>SUMIF('Diags Raw Data'!$A$6:$A$3907,"*"&amp;$A130&amp;"*",'Diags Raw Data'!$K$6:$K$3907)</f>
        <v>27</v>
      </c>
      <c r="J130" s="434">
        <f>SUMIF('Diags Raw Data'!$A$6:$A$3907,"*"&amp;$A130&amp;"*",'Diags Raw Data'!$L$6:$L$3907)</f>
        <v>24</v>
      </c>
      <c r="K130" s="478" t="e" cm="1">
        <f t="array" ref="K130">IF(D130="",0, SUMPRODUCT(--(ISNUMBER(SEARCH($A130,'Diags Raw Data'!$A$6:$A$3907))),'Diags Raw Data'!$L$6:$L$3907,'Diags Raw Data'!$N$6:$N$3910)/J130)</f>
        <v>#VALUE!</v>
      </c>
      <c r="L130" s="479" cm="1">
        <f t="array" ref="L130">IF(D130="",0, SUMPRODUCT(--(ISNUMBER(SEARCH($A130,'Diags Raw Data'!$A$6:$A$3907))),'Diags Raw Data'!$L$6:$L$3907,'Diags Raw Data'!$P$6:$P$3907)/J130)</f>
        <v>1</v>
      </c>
      <c r="M130" s="480" cm="1">
        <f t="array" ref="M130">SUMPRODUCT(--(ISNUMBER(SEARCH($A130,'Diags Raw Data'!$A$6:$A$3907))),--('Diags Raw Data'!$Q$6:$Q$3907&lt;&gt;"N/A"),'Diags Raw Data'!$R$6:$R$3907)</f>
        <v>24</v>
      </c>
      <c r="N130" s="481" cm="1">
        <f t="array" ref="N130">SUMPRODUCT(--(ISNUMBER(SEARCH($A130,'Diags Raw Data'!$A$6:$A$3907))),--('Diags Raw Data'!$Q$6:$Q$3907&lt;&gt;"N/A"),'Diags Raw Data'!$T$6:$T$3907)+SUMPRODUCT(--(ISNUMBER(SEARCH($A130,'Diags Raw Data'!$A$6:$A$3907))),--('Diags Raw Data'!$Q$6:$Q$3907&lt;&gt;"N/A"),'Diags Raw Data'!$U$6:$U$3907)</f>
        <v>24</v>
      </c>
      <c r="O130" s="482">
        <f t="shared" si="66"/>
        <v>1</v>
      </c>
      <c r="P130" s="483">
        <f>SUMIF('Diags Raw Data'!$A$6:$A$3907,"*"&amp;$A130&amp;"*",'Diags Raw Data'!$Z$6:$Z$3907)</f>
        <v>24</v>
      </c>
      <c r="Q130" s="484">
        <f>SUM(SUMIF('Diags Raw Data'!$A$6:$A$3907,"*"&amp;$A130&amp;"*",'Diags Raw Data'!$AA$6:$AA$3907),SUMIF('Diags Raw Data'!$A$6:$A$3907,"*"&amp;$A130&amp;"*",'Diags Raw Data'!$AB$6:$AB$3907))</f>
        <v>0</v>
      </c>
      <c r="R130" s="485">
        <f t="shared" si="67"/>
        <v>1</v>
      </c>
      <c r="S130" s="485">
        <f t="shared" si="68"/>
        <v>0</v>
      </c>
      <c r="T130" s="486">
        <f t="shared" si="69"/>
        <v>0</v>
      </c>
      <c r="U130" s="530" t="s">
        <v>1425</v>
      </c>
      <c r="V130" s="180"/>
    </row>
    <row r="131" spans="1:24" ht="29.25" customHeight="1" x14ac:dyDescent="0.25">
      <c r="A131" s="524" t="s">
        <v>1289</v>
      </c>
      <c r="B131" s="431" t="str">
        <f>VLOOKUP(A131,'Feature Raw Data'!$A$3:$B$4204,2,FALSE)</f>
        <v>GFXHUB:GCUTCL2:VML2 - Qualify eXecute bit for gfx clients</v>
      </c>
      <c r="C131" s="432" t="str">
        <f>VLOOKUP(A131,'Feature Raw Data'!$A$3:$C$4204,3,FALSE)</f>
        <v>P2</v>
      </c>
      <c r="D131" s="433" t="str" cm="1">
        <f t="array" ref="D131">_xlfn.TEXTJOIN("",TRUE,IF(ISNUMBER(SEARCH($A131,'Diags Raw Data'!$A$6:$A$3907)),CONCATENATE('Diags Raw Data'!$H$6:$H$3907,", "),""))</f>
        <v xml:space="preserve">mhub208.3, </v>
      </c>
      <c r="E131" s="324" t="e">
        <f>VLOOKUP(A131,'Diags Raw Data'!$A$6:$D$3907,4,FALSE)</f>
        <v>#N/A</v>
      </c>
      <c r="F131" s="324" t="str">
        <f>VLOOKUP(A131,'Feature Raw Data'!$A$3:$E$4204,5,FALSE)</f>
        <v>Legacy</v>
      </c>
      <c r="G131" s="324" t="str">
        <f t="shared" si="64"/>
        <v>Yes</v>
      </c>
      <c r="H131" s="324" t="str">
        <f t="shared" si="65"/>
        <v>Yes</v>
      </c>
      <c r="I131" s="432">
        <f>SUMIF('Diags Raw Data'!$A$6:$A$3907,"*"&amp;$A131&amp;"*",'Diags Raw Data'!$K$6:$K$3907)</f>
        <v>1</v>
      </c>
      <c r="J131" s="434">
        <f>SUMIF('Diags Raw Data'!$A$6:$A$3907,"*"&amp;$A131&amp;"*",'Diags Raw Data'!$L$6:$L$3907)</f>
        <v>1</v>
      </c>
      <c r="K131" s="478" t="e" cm="1">
        <f t="array" ref="K131">IF(D131="",0, SUMPRODUCT(--(ISNUMBER(SEARCH($A131,'Diags Raw Data'!$A$6:$A$3907))),'Diags Raw Data'!$L$6:$L$3907,'Diags Raw Data'!$N$6:$N$3910)/J131)</f>
        <v>#VALUE!</v>
      </c>
      <c r="L131" s="479" cm="1">
        <f t="array" ref="L131">IF(D131="",0, SUMPRODUCT(--(ISNUMBER(SEARCH($A131,'Diags Raw Data'!$A$6:$A$3907))),'Diags Raw Data'!$L$6:$L$3907,'Diags Raw Data'!$P$6:$P$3907)/J131)</f>
        <v>1</v>
      </c>
      <c r="M131" s="480" cm="1">
        <f t="array" ref="M131">SUMPRODUCT(--(ISNUMBER(SEARCH($A131,'Diags Raw Data'!$A$6:$A$3907))),--('Diags Raw Data'!$Q$6:$Q$3907&lt;&gt;"N/A"),'Diags Raw Data'!$R$6:$R$3907)</f>
        <v>1</v>
      </c>
      <c r="N131" s="481" cm="1">
        <f t="array" ref="N131">SUMPRODUCT(--(ISNUMBER(SEARCH($A131,'Diags Raw Data'!$A$6:$A$3907))),--('Diags Raw Data'!$Q$6:$Q$3907&lt;&gt;"N/A"),'Diags Raw Data'!$T$6:$T$3907)+SUMPRODUCT(--(ISNUMBER(SEARCH($A131,'Diags Raw Data'!$A$6:$A$3907))),--('Diags Raw Data'!$Q$6:$Q$3907&lt;&gt;"N/A"),'Diags Raw Data'!$U$6:$U$3907)</f>
        <v>1</v>
      </c>
      <c r="O131" s="482">
        <f t="shared" si="66"/>
        <v>1</v>
      </c>
      <c r="P131" s="483">
        <f>SUMIF('Diags Raw Data'!$A$6:$A$3907,"*"&amp;$A131&amp;"*",'Diags Raw Data'!$Z$6:$Z$3907)</f>
        <v>0</v>
      </c>
      <c r="Q131" s="484">
        <f>SUM(SUMIF('Diags Raw Data'!$A$6:$A$3907,"*"&amp;$A131&amp;"*",'Diags Raw Data'!$AA$6:$AA$3907),SUMIF('Diags Raw Data'!$A$6:$A$3907,"*"&amp;$A131&amp;"*",'Diags Raw Data'!$AB$6:$AB$3907))</f>
        <v>0</v>
      </c>
      <c r="R131" s="485">
        <f t="shared" si="67"/>
        <v>0</v>
      </c>
      <c r="S131" s="485">
        <f t="shared" si="68"/>
        <v>0</v>
      </c>
      <c r="T131" s="486">
        <f t="shared" si="69"/>
        <v>0</v>
      </c>
      <c r="U131" s="530" t="s">
        <v>1423</v>
      </c>
      <c r="V131" s="180"/>
    </row>
    <row r="132" spans="1:24" ht="225" x14ac:dyDescent="0.25">
      <c r="A132" s="524" t="s">
        <v>869</v>
      </c>
      <c r="B132" s="431" t="str">
        <f>VLOOKUP(A132,'Feature Raw Data'!$A$3:$B$4204,2,FALSE)</f>
        <v>GFXHUB:GCUTCL2:VML2 - "noalloc" support (MALL)</v>
      </c>
      <c r="C132" s="432" t="str">
        <f>VLOOKUP(A132,'Feature Raw Data'!$A$3:$C$4204,3,FALSE)</f>
        <v>P1</v>
      </c>
      <c r="D132" s="433" t="str" cm="1">
        <f t="array" ref="D132">_xlfn.TEXTJOIN("",TRUE,IF(ISNUMBER(SEARCH($A132,'Diags Raw Data'!$A$6:$A$3907)),CONCATENATE('Diags Raw Data'!$H$6:$H$3907,", "),""))</f>
        <v xml:space="preserve">mhub353.525,mhub353.531,mhub353.533,mhub353.539, mhub353.526,mhub353.532,mhub353.534,mhub353.540, mhub353.541,mhub353.543,mhub353.545,mhub353.547, mhub353.542,mhub353.544,mhub353.546,mhub353.548, mhub353.549,mhub353.551,mhub353.553,mhub353.555, mhub353.550,mhub353.552,mhub353.554,mhub353.556, mhub353.102, </v>
      </c>
      <c r="E132" s="324" t="str">
        <f>VLOOKUP(A132,'Diags Raw Data'!$A$6:$D$3907,4,FALSE)</f>
        <v>GFXHUB</v>
      </c>
      <c r="F132" s="324" t="str">
        <f>VLOOKUP(A132,'Feature Raw Data'!$A$3:$E$4204,5,FALSE)</f>
        <v>Delta</v>
      </c>
      <c r="G132" s="324" t="str">
        <f t="shared" si="64"/>
        <v>Yes</v>
      </c>
      <c r="H132" s="324" t="str">
        <f t="shared" si="65"/>
        <v>Yes</v>
      </c>
      <c r="I132" s="432">
        <f>SUMIF('Diags Raw Data'!$A$6:$A$3907,"*"&amp;$A132&amp;"*",'Diags Raw Data'!$K$6:$K$3907)</f>
        <v>7</v>
      </c>
      <c r="J132" s="434">
        <f>SUMIF('Diags Raw Data'!$A$6:$A$3907,"*"&amp;$A132&amp;"*",'Diags Raw Data'!$L$6:$L$3907)</f>
        <v>25</v>
      </c>
      <c r="K132" s="478" t="e" cm="1">
        <f t="array" ref="K132">IF(D132="",0, SUMPRODUCT(--(ISNUMBER(SEARCH($A132,'Diags Raw Data'!$A$6:$A$3907))),'Diags Raw Data'!$L$6:$L$3907,'Diags Raw Data'!$N$6:$N$3910)/J132)</f>
        <v>#VALUE!</v>
      </c>
      <c r="L132" s="479" cm="1">
        <f t="array" ref="L132">IF(D132="",0, SUMPRODUCT(--(ISNUMBER(SEARCH($A132,'Diags Raw Data'!$A$6:$A$3907))),'Diags Raw Data'!$L$6:$L$3907,'Diags Raw Data'!$P$6:$P$3907)/J132)</f>
        <v>1</v>
      </c>
      <c r="M132" s="480" cm="1">
        <f t="array" ref="M132">SUMPRODUCT(--(ISNUMBER(SEARCH($A132,'Diags Raw Data'!$A$6:$A$3907))),--('Diags Raw Data'!$Q$6:$Q$3907&lt;&gt;"N/A"),'Diags Raw Data'!$R$6:$R$3907)</f>
        <v>13</v>
      </c>
      <c r="N132" s="481" cm="1">
        <f t="array" ref="N132">SUMPRODUCT(--(ISNUMBER(SEARCH($A132,'Diags Raw Data'!$A$6:$A$3907))),--('Diags Raw Data'!$Q$6:$Q$3907&lt;&gt;"N/A"),'Diags Raw Data'!$T$6:$T$3907)+SUMPRODUCT(--(ISNUMBER(SEARCH($A132,'Diags Raw Data'!$A$6:$A$3907))),--('Diags Raw Data'!$Q$6:$Q$3907&lt;&gt;"N/A"),'Diags Raw Data'!$U$6:$U$3907)</f>
        <v>0</v>
      </c>
      <c r="O132" s="482">
        <f t="shared" si="66"/>
        <v>0</v>
      </c>
      <c r="P132" s="483">
        <f>SUMIF('Diags Raw Data'!$A$6:$A$3907,"*"&amp;$A132&amp;"*",'Diags Raw Data'!$Z$6:$Z$3907)</f>
        <v>0</v>
      </c>
      <c r="Q132" s="484">
        <f>SUM(SUMIF('Diags Raw Data'!$A$6:$A$3907,"*"&amp;$A132&amp;"*",'Diags Raw Data'!$AA$6:$AA$3907),SUMIF('Diags Raw Data'!$A$6:$A$3907,"*"&amp;$A132&amp;"*",'Diags Raw Data'!$AB$6:$AB$3907))</f>
        <v>0</v>
      </c>
      <c r="R132" s="485">
        <f t="shared" si="67"/>
        <v>0</v>
      </c>
      <c r="S132" s="485">
        <f t="shared" si="68"/>
        <v>0</v>
      </c>
      <c r="T132" s="486">
        <f t="shared" si="69"/>
        <v>0</v>
      </c>
      <c r="U132" s="530" t="s">
        <v>1425</v>
      </c>
      <c r="V132" s="180"/>
      <c r="X132" s="181" t="s">
        <v>1271</v>
      </c>
    </row>
    <row r="133" spans="1:24" ht="45" x14ac:dyDescent="0.25">
      <c r="A133" s="524" t="s">
        <v>984</v>
      </c>
      <c r="B133" s="431" t="str">
        <f>VLOOKUP(A133,'Feature Raw Data'!$A$3:$B$4204,2,FALSE)</f>
        <v>GFXHUB:GCUTCL2:VML2 - SA/SE Harvesting</v>
      </c>
      <c r="C133" s="432" t="str">
        <f>VLOOKUP(A133,'Feature Raw Data'!$A$3:$C$4204,3,FALSE)</f>
        <v>P1</v>
      </c>
      <c r="D133" s="433" t="str" cm="1">
        <f t="array" ref="D133">_xlfn.TEXTJOIN("",TRUE,IF(ISNUMBER(SEARCH($A133,'Diags Raw Data'!$A$6:$A$3907)),CONCATENATE('Diags Raw Data'!$H$6:$H$3907,", "),""))</f>
        <v/>
      </c>
      <c r="E133" s="324" t="e">
        <f>VLOOKUP(A133,'Diags Raw Data'!$A$6:$D$3907,4,FALSE)</f>
        <v>#N/A</v>
      </c>
      <c r="F133" s="324" t="str">
        <f>VLOOKUP(A133,'Feature Raw Data'!$A$3:$E$4204,5,FALSE)</f>
        <v>Legacy</v>
      </c>
      <c r="G133" s="324" t="str">
        <f t="shared" si="64"/>
        <v>No</v>
      </c>
      <c r="H133" s="324" t="str">
        <f t="shared" si="65"/>
        <v>No</v>
      </c>
      <c r="I133" s="432">
        <f>SUMIF('Diags Raw Data'!$A$6:$A$3907,"*"&amp;$A133&amp;"*",'Diags Raw Data'!$K$6:$K$3907)</f>
        <v>0</v>
      </c>
      <c r="J133" s="434">
        <f>SUMIF('Diags Raw Data'!$A$6:$A$3907,"*"&amp;$A133&amp;"*",'Diags Raw Data'!$L$6:$L$3907)</f>
        <v>0</v>
      </c>
      <c r="K133" s="478" cm="1">
        <f t="array" ref="K133">IF(D133="",0, SUMPRODUCT(--(ISNUMBER(SEARCH($A133,'Diags Raw Data'!$A$6:$A$3907))),'Diags Raw Data'!$L$6:$L$3907,'Diags Raw Data'!$N$6:$N$3910)/J133)</f>
        <v>0</v>
      </c>
      <c r="L133" s="479" cm="1">
        <f t="array" ref="L133">IF(D133="",0, SUMPRODUCT(--(ISNUMBER(SEARCH($A133,'Diags Raw Data'!$A$6:$A$3907))),'Diags Raw Data'!$L$6:$L$3907,'Diags Raw Data'!$P$6:$P$3907)/J133)</f>
        <v>0</v>
      </c>
      <c r="M133" s="480" cm="1">
        <f t="array" ref="M133">SUMPRODUCT(--(ISNUMBER(SEARCH($A133,'Diags Raw Data'!$A$6:$A$3907))),--('Diags Raw Data'!$Q$6:$Q$3907&lt;&gt;"N/A"),'Diags Raw Data'!$R$6:$R$3907)</f>
        <v>0</v>
      </c>
      <c r="N133" s="481" cm="1">
        <f t="array" ref="N133">SUMPRODUCT(--(ISNUMBER(SEARCH($A133,'Diags Raw Data'!$A$6:$A$3907))),--('Diags Raw Data'!$Q$6:$Q$3907&lt;&gt;"N/A"),'Diags Raw Data'!$T$6:$T$3907)+SUMPRODUCT(--(ISNUMBER(SEARCH($A133,'Diags Raw Data'!$A$6:$A$3907))),--('Diags Raw Data'!$Q$6:$Q$3907&lt;&gt;"N/A"),'Diags Raw Data'!$U$6:$U$3907)</f>
        <v>0</v>
      </c>
      <c r="O133" s="482">
        <f t="shared" si="66"/>
        <v>0</v>
      </c>
      <c r="P133" s="483">
        <f>SUMIF('Diags Raw Data'!$A$6:$A$3907,"*"&amp;$A133&amp;"*",'Diags Raw Data'!$Z$6:$Z$3907)</f>
        <v>0</v>
      </c>
      <c r="Q133" s="484">
        <f>SUM(SUMIF('Diags Raw Data'!$A$6:$A$3907,"*"&amp;$A133&amp;"*",'Diags Raw Data'!$AA$6:$AA$3907),SUMIF('Diags Raw Data'!$A$6:$A$3907,"*"&amp;$A133&amp;"*",'Diags Raw Data'!$AB$6:$AB$3907))</f>
        <v>0</v>
      </c>
      <c r="R133" s="485">
        <f t="shared" si="67"/>
        <v>0</v>
      </c>
      <c r="S133" s="485">
        <f t="shared" si="68"/>
        <v>0</v>
      </c>
      <c r="T133" s="486">
        <f t="shared" si="69"/>
        <v>0</v>
      </c>
      <c r="U133" s="530" t="s">
        <v>1425</v>
      </c>
      <c r="V133" s="180"/>
      <c r="X133" s="181" t="s">
        <v>1291</v>
      </c>
    </row>
    <row r="134" spans="1:24" ht="30" x14ac:dyDescent="0.25">
      <c r="A134" s="524" t="s">
        <v>978</v>
      </c>
      <c r="B134" s="431" t="str">
        <f>VLOOKUP(A134,'Feature Raw Data'!$A$3:$B$4204,2,FALSE)</f>
        <v>GFXHUB:GCUTCL2:VML2 - Programmable bank select in UTCL1/UTCL2</v>
      </c>
      <c r="C134" s="432" t="str">
        <f>VLOOKUP(A134,'Feature Raw Data'!$A$3:$C$4204,3,FALSE)</f>
        <v>P2</v>
      </c>
      <c r="D134" s="433" t="str" cm="1">
        <f t="array" ref="D134">_xlfn.TEXTJOIN("",TRUE,IF(ISNUMBER(SEARCH($A134,'Diags Raw Data'!$A$6:$A$3907)),CONCATENATE('Diags Raw Data'!$H$6:$H$3907,", "),""))</f>
        <v xml:space="preserve">mhub354.1,mhub354.2, </v>
      </c>
      <c r="E134" s="324" t="str">
        <f>VLOOKUP(A134,'Diags Raw Data'!$A$6:$D$3907,4,FALSE)</f>
        <v>GFXHUB</v>
      </c>
      <c r="F134" s="324" t="str">
        <f>VLOOKUP(A134,'Feature Raw Data'!$A$3:$E$4204,5,FALSE)</f>
        <v>Legacy</v>
      </c>
      <c r="G134" s="324" t="str">
        <f t="shared" si="64"/>
        <v>Yes</v>
      </c>
      <c r="H134" s="324" t="str">
        <f t="shared" si="65"/>
        <v>Yes</v>
      </c>
      <c r="I134" s="432">
        <f>SUMIF('Diags Raw Data'!$A$6:$A$3907,"*"&amp;$A134&amp;"*",'Diags Raw Data'!$K$6:$K$3907)</f>
        <v>6</v>
      </c>
      <c r="J134" s="434">
        <f>SUMIF('Diags Raw Data'!$A$6:$A$3907,"*"&amp;$A134&amp;"*",'Diags Raw Data'!$L$6:$L$3907)</f>
        <v>2</v>
      </c>
      <c r="K134" s="478" t="e" cm="1">
        <f t="array" ref="K134">IF(D134="",0, SUMPRODUCT(--(ISNUMBER(SEARCH($A134,'Diags Raw Data'!$A$6:$A$3907))),'Diags Raw Data'!$L$6:$L$3907,'Diags Raw Data'!$N$6:$N$3910)/J134)</f>
        <v>#VALUE!</v>
      </c>
      <c r="L134" s="479" cm="1">
        <f t="array" ref="L134">IF(D134="",0, SUMPRODUCT(--(ISNUMBER(SEARCH($A134,'Diags Raw Data'!$A$6:$A$3907))),'Diags Raw Data'!$L$6:$L$3907,'Diags Raw Data'!$P$6:$P$3907)/J134)</f>
        <v>1</v>
      </c>
      <c r="M134" s="480" cm="1">
        <f t="array" ref="M134">SUMPRODUCT(--(ISNUMBER(SEARCH($A134,'Diags Raw Data'!$A$6:$A$3907))),--('Diags Raw Data'!$Q$6:$Q$3907&lt;&gt;"N/A"),'Diags Raw Data'!$R$6:$R$3907)</f>
        <v>2</v>
      </c>
      <c r="N134" s="481" cm="1">
        <f t="array" ref="N134">SUMPRODUCT(--(ISNUMBER(SEARCH($A134,'Diags Raw Data'!$A$6:$A$3907))),--('Diags Raw Data'!$Q$6:$Q$3907&lt;&gt;"N/A"),'Diags Raw Data'!$T$6:$T$3907)+SUMPRODUCT(--(ISNUMBER(SEARCH($A134,'Diags Raw Data'!$A$6:$A$3907))),--('Diags Raw Data'!$Q$6:$Q$3907&lt;&gt;"N/A"),'Diags Raw Data'!$U$6:$U$3907)</f>
        <v>2</v>
      </c>
      <c r="O134" s="482">
        <f t="shared" si="66"/>
        <v>1</v>
      </c>
      <c r="P134" s="483">
        <f>SUMIF('Diags Raw Data'!$A$6:$A$3907,"*"&amp;$A134&amp;"*",'Diags Raw Data'!$Z$6:$Z$3907)</f>
        <v>2</v>
      </c>
      <c r="Q134" s="484">
        <f>SUM(SUMIF('Diags Raw Data'!$A$6:$A$3907,"*"&amp;$A134&amp;"*",'Diags Raw Data'!$AA$6:$AA$3907),SUMIF('Diags Raw Data'!$A$6:$A$3907,"*"&amp;$A134&amp;"*",'Diags Raw Data'!$AB$6:$AB$3907))</f>
        <v>0</v>
      </c>
      <c r="R134" s="485">
        <f t="shared" si="67"/>
        <v>1</v>
      </c>
      <c r="S134" s="485">
        <f t="shared" si="68"/>
        <v>0</v>
      </c>
      <c r="T134" s="486">
        <f t="shared" si="69"/>
        <v>0</v>
      </c>
      <c r="U134" s="530" t="s">
        <v>1425</v>
      </c>
      <c r="V134" s="180"/>
    </row>
    <row r="135" spans="1:24" ht="30.75" customHeight="1" x14ac:dyDescent="0.25">
      <c r="A135" s="524"/>
      <c r="B135" s="431"/>
      <c r="C135" s="432"/>
      <c r="D135" s="433"/>
      <c r="E135" s="324"/>
      <c r="F135" s="324"/>
      <c r="G135" s="324"/>
      <c r="H135" s="324"/>
      <c r="I135" s="432"/>
      <c r="J135" s="434"/>
      <c r="K135" s="478"/>
      <c r="L135" s="479"/>
      <c r="M135" s="480"/>
      <c r="N135" s="481"/>
      <c r="O135" s="482"/>
      <c r="P135" s="483"/>
      <c r="Q135" s="484"/>
      <c r="R135" s="485"/>
      <c r="S135" s="485"/>
      <c r="T135" s="486"/>
      <c r="U135" s="530"/>
      <c r="V135" s="180"/>
    </row>
    <row r="136" spans="1:24" ht="32.25" customHeight="1" x14ac:dyDescent="0.25">
      <c r="A136" s="524" t="s">
        <v>1293</v>
      </c>
      <c r="B136" s="431" t="str">
        <f>VLOOKUP(A136,'Feature Raw Data'!$A$3:$B$4204,2,FALSE)</f>
        <v>GFXHUB:GCUTCL2:VML2 - Per VMID BigK support/SmallK/Bank_Select Support</v>
      </c>
      <c r="C136" s="432" t="str">
        <f>VLOOKUP(A136,'Feature Raw Data'!$A$3:$C$4204,3,FALSE)</f>
        <v>P2</v>
      </c>
      <c r="D136" s="433" t="str" cm="1">
        <f t="array" ref="D136">_xlfn.TEXTJOIN("",TRUE,IF(ISNUMBER(SEARCH($A136,'Diags Raw Data'!$A$6:$A$3907)),CONCATENATE('Diags Raw Data'!$H$6:$H$3907,", "),""))</f>
        <v xml:space="preserve">mhub259.1-32, </v>
      </c>
      <c r="E136" s="324" t="e">
        <f>VLOOKUP(A136,'Diags Raw Data'!$A$6:$D$3907,4,FALSE)</f>
        <v>#N/A</v>
      </c>
      <c r="F136" s="324" t="str">
        <f>VLOOKUP(A136,'Feature Raw Data'!$A$3:$E$4204,5,FALSE)</f>
        <v>Legacy</v>
      </c>
      <c r="G136" s="324" t="str">
        <f t="shared" si="64"/>
        <v>Yes</v>
      </c>
      <c r="H136" s="324" t="str">
        <f t="shared" si="65"/>
        <v>Yes</v>
      </c>
      <c r="I136" s="432">
        <f>SUMIF('Diags Raw Data'!$A$6:$A$3907,"*"&amp;$A136&amp;"*",'Diags Raw Data'!$K$6:$K$3907)</f>
        <v>1</v>
      </c>
      <c r="J136" s="434">
        <f>SUMIF('Diags Raw Data'!$A$6:$A$3907,"*"&amp;$A136&amp;"*",'Diags Raw Data'!$L$6:$L$3907)</f>
        <v>32</v>
      </c>
      <c r="K136" s="478" t="e" cm="1">
        <f t="array" ref="K136">IF(D136="",0, SUMPRODUCT(--(ISNUMBER(SEARCH($A136,'Diags Raw Data'!$A$6:$A$3907))),'Diags Raw Data'!$L$6:$L$3907,'Diags Raw Data'!$N$6:$N$3910)/J136)</f>
        <v>#VALUE!</v>
      </c>
      <c r="L136" s="479" cm="1">
        <f t="array" ref="L136">IF(D136="",0, SUMPRODUCT(--(ISNUMBER(SEARCH($A136,'Diags Raw Data'!$A$6:$A$3907))),'Diags Raw Data'!$L$6:$L$3907,'Diags Raw Data'!$P$6:$P$3907)/J136)</f>
        <v>1</v>
      </c>
      <c r="M136" s="480" cm="1">
        <f t="array" ref="M136">SUMPRODUCT(--(ISNUMBER(SEARCH($A136,'Diags Raw Data'!$A$6:$A$3907))),--('Diags Raw Data'!$Q$6:$Q$3907&lt;&gt;"N/A"),'Diags Raw Data'!$R$6:$R$3907)</f>
        <v>32</v>
      </c>
      <c r="N136" s="481" cm="1">
        <f t="array" ref="N136">SUMPRODUCT(--(ISNUMBER(SEARCH($A136,'Diags Raw Data'!$A$6:$A$3907))),--('Diags Raw Data'!$Q$6:$Q$3907&lt;&gt;"N/A"),'Diags Raw Data'!$T$6:$T$3907)+SUMPRODUCT(--(ISNUMBER(SEARCH($A136,'Diags Raw Data'!$A$6:$A$3907))),--('Diags Raw Data'!$Q$6:$Q$3907&lt;&gt;"N/A"),'Diags Raw Data'!$U$6:$U$3907)</f>
        <v>32</v>
      </c>
      <c r="O136" s="482">
        <f t="shared" si="66"/>
        <v>1</v>
      </c>
      <c r="P136" s="483">
        <f>SUMIF('Diags Raw Data'!$A$6:$A$3907,"*"&amp;$A136&amp;"*",'Diags Raw Data'!$Z$6:$Z$3907)</f>
        <v>0</v>
      </c>
      <c r="Q136" s="484">
        <f>SUM(SUMIF('Diags Raw Data'!$A$6:$A$3907,"*"&amp;$A136&amp;"*",'Diags Raw Data'!$AA$6:$AA$3907),SUMIF('Diags Raw Data'!$A$6:$A$3907,"*"&amp;$A136&amp;"*",'Diags Raw Data'!$AB$6:$AB$3907))</f>
        <v>0</v>
      </c>
      <c r="R136" s="485">
        <f t="shared" si="67"/>
        <v>0</v>
      </c>
      <c r="S136" s="485">
        <f t="shared" si="68"/>
        <v>0</v>
      </c>
      <c r="T136" s="486">
        <f t="shared" si="69"/>
        <v>0</v>
      </c>
      <c r="U136" s="530" t="s">
        <v>1423</v>
      </c>
      <c r="V136" s="180"/>
    </row>
    <row r="137" spans="1:24" ht="30" x14ac:dyDescent="0.25">
      <c r="A137" s="524" t="s">
        <v>828</v>
      </c>
      <c r="B137" s="431" t="str">
        <f>VLOOKUP(A137,'Feature Raw Data'!$A$3:$B$4204,2,FALSE)</f>
        <v>GFXHUB:GCUTCL2:VML2 - GPUVM L2 cache read/dump capabilities</v>
      </c>
      <c r="C137" s="432" t="str">
        <f>VLOOKUP(A137,'Feature Raw Data'!$A$3:$C$4204,3,FALSE)</f>
        <v>P2</v>
      </c>
      <c r="D137" s="433" t="str" cm="1">
        <f t="array" ref="D137">_xlfn.TEXTJOIN("",TRUE,IF(ISNUMBER(SEARCH($A137,'Diags Raw Data'!$A$6:$A$3907)),CONCATENATE('Diags Raw Data'!$H$6:$H$3907,", "),""))</f>
        <v xml:space="preserve">mhub233.1,mhub233.3,mhub233.101,mhub233.103, mhub233.2, mhub231.10,mhub231.11, </v>
      </c>
      <c r="E137" s="324" t="str">
        <f>VLOOKUP(A137,'Diags Raw Data'!$A$6:$D$3907,4,FALSE)</f>
        <v>GFXHUB</v>
      </c>
      <c r="F137" s="324" t="str">
        <f>VLOOKUP(A137,'Feature Raw Data'!$A$3:$E$4204,5,FALSE)</f>
        <v>Legacy</v>
      </c>
      <c r="G137" s="324" t="str">
        <f t="shared" si="64"/>
        <v>Yes</v>
      </c>
      <c r="H137" s="324" t="str">
        <f t="shared" si="65"/>
        <v>Yes</v>
      </c>
      <c r="I137" s="432">
        <f>SUMIF('Diags Raw Data'!$A$6:$A$3907,"*"&amp;$A137&amp;"*",'Diags Raw Data'!$K$6:$K$3907)</f>
        <v>3</v>
      </c>
      <c r="J137" s="434">
        <f>SUMIF('Diags Raw Data'!$A$6:$A$3907,"*"&amp;$A137&amp;"*",'Diags Raw Data'!$L$6:$L$3907)</f>
        <v>7</v>
      </c>
      <c r="K137" s="478" t="e" cm="1">
        <f t="array" ref="K137">IF(D137="",0, SUMPRODUCT(--(ISNUMBER(SEARCH($A137,'Diags Raw Data'!$A$6:$A$3907))),'Diags Raw Data'!$L$6:$L$3907,'Diags Raw Data'!$N$6:$N$3910)/J137)</f>
        <v>#VALUE!</v>
      </c>
      <c r="L137" s="479" cm="1">
        <f t="array" ref="L137">IF(D137="",0, SUMPRODUCT(--(ISNUMBER(SEARCH($A137,'Diags Raw Data'!$A$6:$A$3907))),'Diags Raw Data'!$L$6:$L$3907,'Diags Raw Data'!$P$6:$P$3907)/J137)</f>
        <v>1</v>
      </c>
      <c r="M137" s="480" cm="1">
        <f t="array" ref="M137">SUMPRODUCT(--(ISNUMBER(SEARCH($A137,'Diags Raw Data'!$A$6:$A$3907))),--('Diags Raw Data'!$Q$6:$Q$3907&lt;&gt;"N/A"),'Diags Raw Data'!$R$6:$R$3907)</f>
        <v>7</v>
      </c>
      <c r="N137" s="481" cm="1">
        <f t="array" ref="N137">SUMPRODUCT(--(ISNUMBER(SEARCH($A137,'Diags Raw Data'!$A$6:$A$3907))),--('Diags Raw Data'!$Q$6:$Q$3907&lt;&gt;"N/A"),'Diags Raw Data'!$T$6:$T$3907)+SUMPRODUCT(--(ISNUMBER(SEARCH($A137,'Diags Raw Data'!$A$6:$A$3907))),--('Diags Raw Data'!$Q$6:$Q$3907&lt;&gt;"N/A"),'Diags Raw Data'!$U$6:$U$3907)</f>
        <v>7</v>
      </c>
      <c r="O137" s="482">
        <f t="shared" si="66"/>
        <v>1</v>
      </c>
      <c r="P137" s="483">
        <f>SUMIF('Diags Raw Data'!$A$6:$A$3907,"*"&amp;$A137&amp;"*",'Diags Raw Data'!$Z$6:$Z$3907)</f>
        <v>7</v>
      </c>
      <c r="Q137" s="484">
        <f>SUM(SUMIF('Diags Raw Data'!$A$6:$A$3907,"*"&amp;$A137&amp;"*",'Diags Raw Data'!$AA$6:$AA$3907),SUMIF('Diags Raw Data'!$A$6:$A$3907,"*"&amp;$A137&amp;"*",'Diags Raw Data'!$AB$6:$AB$3907))</f>
        <v>3</v>
      </c>
      <c r="R137" s="485">
        <f t="shared" si="67"/>
        <v>1</v>
      </c>
      <c r="S137" s="485">
        <f t="shared" si="68"/>
        <v>0.42857142857142855</v>
      </c>
      <c r="T137" s="486">
        <f t="shared" si="69"/>
        <v>0.42857142857142855</v>
      </c>
      <c r="U137" s="530" t="s">
        <v>1432</v>
      </c>
      <c r="V137" s="180"/>
    </row>
    <row r="138" spans="1:24" ht="75" x14ac:dyDescent="0.25">
      <c r="A138" s="524" t="s">
        <v>982</v>
      </c>
      <c r="B138" s="431" t="str">
        <f>VLOOKUP(A138,'Feature Raw Data'!$A$3:$B$4204,2,FALSE)</f>
        <v>GFXHUB:GCUTCL2:VML2 - Virtual FIFOs to maximize bank probes</v>
      </c>
      <c r="C138" s="432" t="str">
        <f>VLOOKUP(A138,'Feature Raw Data'!$A$3:$C$4204,3,FALSE)</f>
        <v>P1</v>
      </c>
      <c r="D138" s="433" t="str" cm="1">
        <f t="array" ref="D138">_xlfn.TEXTJOIN("",TRUE,IF(ISNUMBER(SEARCH($A138,'Diags Raw Data'!$A$6:$A$3907)),CONCATENATE('Diags Raw Data'!$H$6:$H$3907,", "),""))</f>
        <v/>
      </c>
      <c r="E138" s="324" t="e">
        <f>VLOOKUP(A138,'Diags Raw Data'!$A$6:$D$3907,4,FALSE)</f>
        <v>#N/A</v>
      </c>
      <c r="F138" s="324" t="str">
        <f>VLOOKUP(A138,'Feature Raw Data'!$A$3:$E$4204,5,FALSE)</f>
        <v>Legacy</v>
      </c>
      <c r="G138" s="324" t="str">
        <f t="shared" si="64"/>
        <v>No</v>
      </c>
      <c r="H138" s="324" t="str">
        <f t="shared" si="65"/>
        <v>No</v>
      </c>
      <c r="I138" s="432">
        <f>SUMIF('Diags Raw Data'!$A$6:$A$3907,"*"&amp;$A138&amp;"*",'Diags Raw Data'!$K$6:$K$3907)</f>
        <v>0</v>
      </c>
      <c r="J138" s="434">
        <f>SUMIF('Diags Raw Data'!$A$6:$A$3907,"*"&amp;$A138&amp;"*",'Diags Raw Data'!$L$6:$L$3907)</f>
        <v>0</v>
      </c>
      <c r="K138" s="478" cm="1">
        <f t="array" ref="K138">IF(D138="",0, SUMPRODUCT(--(ISNUMBER(SEARCH($A138,'Diags Raw Data'!$A$6:$A$3907))),'Diags Raw Data'!$L$6:$L$3907,'Diags Raw Data'!$N$6:$N$3910)/J138)</f>
        <v>0</v>
      </c>
      <c r="L138" s="479" cm="1">
        <f t="array" ref="L138">IF(D138="",0, SUMPRODUCT(--(ISNUMBER(SEARCH($A138,'Diags Raw Data'!$A$6:$A$3907))),'Diags Raw Data'!$L$6:$L$3907,'Diags Raw Data'!$P$6:$P$3907)/J138)</f>
        <v>0</v>
      </c>
      <c r="M138" s="480" cm="1">
        <f t="array" ref="M138">SUMPRODUCT(--(ISNUMBER(SEARCH($A138,'Diags Raw Data'!$A$6:$A$3907))),--('Diags Raw Data'!$Q$6:$Q$3907&lt;&gt;"N/A"),'Diags Raw Data'!$R$6:$R$3907)</f>
        <v>0</v>
      </c>
      <c r="N138" s="481" cm="1">
        <f t="array" ref="N138">SUMPRODUCT(--(ISNUMBER(SEARCH($A138,'Diags Raw Data'!$A$6:$A$3907))),--('Diags Raw Data'!$Q$6:$Q$3907&lt;&gt;"N/A"),'Diags Raw Data'!$T$6:$T$3907)+SUMPRODUCT(--(ISNUMBER(SEARCH($A138,'Diags Raw Data'!$A$6:$A$3907))),--('Diags Raw Data'!$Q$6:$Q$3907&lt;&gt;"N/A"),'Diags Raw Data'!$U$6:$U$3907)</f>
        <v>0</v>
      </c>
      <c r="O138" s="482">
        <f t="shared" si="66"/>
        <v>0</v>
      </c>
      <c r="P138" s="483">
        <f>SUMIF('Diags Raw Data'!$A$6:$A$3907,"*"&amp;$A138&amp;"*",'Diags Raw Data'!$Z$6:$Z$3907)</f>
        <v>0</v>
      </c>
      <c r="Q138" s="484">
        <f>SUM(SUMIF('Diags Raw Data'!$A$6:$A$3907,"*"&amp;$A138&amp;"*",'Diags Raw Data'!$AA$6:$AA$3907),SUMIF('Diags Raw Data'!$A$6:$A$3907,"*"&amp;$A138&amp;"*",'Diags Raw Data'!$AB$6:$AB$3907))</f>
        <v>0</v>
      </c>
      <c r="R138" s="485">
        <f>IF((J138=0),0,P138/J138)</f>
        <v>0</v>
      </c>
      <c r="S138" s="485">
        <f t="shared" si="68"/>
        <v>0</v>
      </c>
      <c r="T138" s="486">
        <f t="shared" si="69"/>
        <v>0</v>
      </c>
      <c r="U138" s="530" t="s">
        <v>1439</v>
      </c>
      <c r="V138" s="180"/>
      <c r="X138" s="181" t="s">
        <v>1295</v>
      </c>
    </row>
    <row r="139" spans="1:24" ht="17.25" customHeight="1" x14ac:dyDescent="0.25">
      <c r="A139" s="524"/>
      <c r="B139" s="431"/>
      <c r="C139" s="432"/>
      <c r="D139" s="433"/>
      <c r="E139" s="324"/>
      <c r="F139" s="324"/>
      <c r="G139" s="324"/>
      <c r="H139" s="324"/>
      <c r="I139" s="432"/>
      <c r="J139" s="434"/>
      <c r="K139" s="478"/>
      <c r="L139" s="479"/>
      <c r="M139" s="480"/>
      <c r="N139" s="481"/>
      <c r="O139" s="482"/>
      <c r="P139" s="483"/>
      <c r="Q139" s="484"/>
      <c r="R139" s="485"/>
      <c r="S139" s="485"/>
      <c r="T139" s="486"/>
      <c r="U139" s="530"/>
      <c r="V139" s="180"/>
    </row>
    <row r="140" spans="1:24" ht="30" x14ac:dyDescent="0.25">
      <c r="A140" s="524" t="s">
        <v>690</v>
      </c>
      <c r="B140" s="431" t="str">
        <f>VLOOKUP(A140,'Feature Raw Data'!$A$3:$B$4204,2,FALSE)</f>
        <v>GFXHUB:GCUTCL2:VML2 - Page Size Optimization</v>
      </c>
      <c r="C140" s="432" t="str">
        <f>VLOOKUP(A140,'Feature Raw Data'!$A$3:$C$4204,3,FALSE)</f>
        <v>P2</v>
      </c>
      <c r="D140" s="433" t="str" cm="1">
        <f t="array" ref="D140">_xlfn.TEXTJOIN("",TRUE,IF(ISNUMBER(SEARCH($A140,'Diags Raw Data'!$A$6:$A$3907)),CONCATENATE('Diags Raw Data'!$H$6:$H$3907,", "),""))</f>
        <v xml:space="preserve">mhub248.1, mhub248.2, mhub248.3, </v>
      </c>
      <c r="E140" s="324" t="str">
        <f>VLOOKUP(A140,'Diags Raw Data'!$A$6:$D$3907,4,FALSE)</f>
        <v>GFXHUB</v>
      </c>
      <c r="F140" s="324" t="str">
        <f>VLOOKUP(A140,'Feature Raw Data'!$A$3:$E$4204,5,FALSE)</f>
        <v>Legacy</v>
      </c>
      <c r="G140" s="324" t="str">
        <f t="shared" si="64"/>
        <v>Yes</v>
      </c>
      <c r="H140" s="324" t="str">
        <f t="shared" si="65"/>
        <v>Yes</v>
      </c>
      <c r="I140" s="432">
        <f>SUMIF('Diags Raw Data'!$A$6:$A$3907,"*"&amp;$A140&amp;"*",'Diags Raw Data'!$K$6:$K$3907)</f>
        <v>3</v>
      </c>
      <c r="J140" s="434">
        <f>SUMIF('Diags Raw Data'!$A$6:$A$3907,"*"&amp;$A140&amp;"*",'Diags Raw Data'!$L$6:$L$3907)</f>
        <v>3</v>
      </c>
      <c r="K140" s="478" t="e" cm="1">
        <f t="array" ref="K140">IF(D140="",0, SUMPRODUCT(--(ISNUMBER(SEARCH($A140,'Diags Raw Data'!$A$6:$A$3907))),'Diags Raw Data'!$L$6:$L$3907,'Diags Raw Data'!$N$6:$N$3910)/J140)</f>
        <v>#VALUE!</v>
      </c>
      <c r="L140" s="479" cm="1">
        <f t="array" ref="L140">IF(D140="",0, SUMPRODUCT(--(ISNUMBER(SEARCH($A140,'Diags Raw Data'!$A$6:$A$3907))),'Diags Raw Data'!$L$6:$L$3907,'Diags Raw Data'!$P$6:$P$3907)/J140)</f>
        <v>1</v>
      </c>
      <c r="M140" s="480" cm="1">
        <f t="array" ref="M140">SUMPRODUCT(--(ISNUMBER(SEARCH($A140,'Diags Raw Data'!$A$6:$A$3907))),--('Diags Raw Data'!$Q$6:$Q$3907&lt;&gt;"N/A"),'Diags Raw Data'!$R$6:$R$3907)</f>
        <v>3</v>
      </c>
      <c r="N140" s="481" cm="1">
        <f t="array" ref="N140">SUMPRODUCT(--(ISNUMBER(SEARCH($A140,'Diags Raw Data'!$A$6:$A$3907))),--('Diags Raw Data'!$Q$6:$Q$3907&lt;&gt;"N/A"),'Diags Raw Data'!$T$6:$T$3907)+SUMPRODUCT(--(ISNUMBER(SEARCH($A140,'Diags Raw Data'!$A$6:$A$3907))),--('Diags Raw Data'!$Q$6:$Q$3907&lt;&gt;"N/A"),'Diags Raw Data'!$U$6:$U$3907)</f>
        <v>3</v>
      </c>
      <c r="O140" s="482">
        <f t="shared" si="66"/>
        <v>1</v>
      </c>
      <c r="P140" s="483">
        <f>SUMIF('Diags Raw Data'!$A$6:$A$3907,"*"&amp;$A140&amp;"*",'Diags Raw Data'!$Z$6:$Z$3907)</f>
        <v>3</v>
      </c>
      <c r="Q140" s="484">
        <f>SUM(SUMIF('Diags Raw Data'!$A$6:$A$3907,"*"&amp;$A140&amp;"*",'Diags Raw Data'!$AA$6:$AA$3907),SUMIF('Diags Raw Data'!$A$6:$A$3907,"*"&amp;$A140&amp;"*",'Diags Raw Data'!$AB$6:$AB$3907))</f>
        <v>0</v>
      </c>
      <c r="R140" s="485">
        <f t="shared" ref="R140" si="82">IF((J140=0),0,P140/J140)</f>
        <v>1</v>
      </c>
      <c r="S140" s="485">
        <f t="shared" si="68"/>
        <v>0</v>
      </c>
      <c r="T140" s="486">
        <f t="shared" si="69"/>
        <v>0</v>
      </c>
      <c r="U140" s="530" t="s">
        <v>1439</v>
      </c>
      <c r="V140" s="180"/>
    </row>
    <row r="141" spans="1:24" x14ac:dyDescent="0.25">
      <c r="A141" s="524"/>
      <c r="B141" s="431"/>
      <c r="C141" s="432"/>
      <c r="D141" s="433"/>
      <c r="E141" s="324"/>
      <c r="F141" s="324"/>
      <c r="G141" s="324"/>
      <c r="H141" s="324"/>
      <c r="I141" s="432"/>
      <c r="J141" s="434"/>
      <c r="K141" s="478"/>
      <c r="L141" s="479"/>
      <c r="M141" s="480"/>
      <c r="N141" s="481"/>
      <c r="O141" s="482"/>
      <c r="P141" s="483"/>
      <c r="Q141" s="484"/>
      <c r="R141" s="485"/>
      <c r="S141" s="485"/>
      <c r="T141" s="486"/>
      <c r="U141" s="530"/>
      <c r="V141" s="180"/>
    </row>
    <row r="142" spans="1:24" x14ac:dyDescent="0.25">
      <c r="A142" s="524"/>
      <c r="B142" s="431"/>
      <c r="C142" s="432"/>
      <c r="D142" s="433"/>
      <c r="E142" s="324"/>
      <c r="F142" s="324"/>
      <c r="G142" s="324"/>
      <c r="H142" s="324"/>
      <c r="I142" s="432"/>
      <c r="J142" s="434"/>
      <c r="K142" s="478"/>
      <c r="L142" s="479"/>
      <c r="M142" s="480"/>
      <c r="N142" s="481"/>
      <c r="O142" s="482"/>
      <c r="P142" s="483"/>
      <c r="Q142" s="484"/>
      <c r="R142" s="485"/>
      <c r="S142" s="485"/>
      <c r="T142" s="486"/>
      <c r="U142" s="530"/>
      <c r="V142" s="180"/>
    </row>
    <row r="143" spans="1:24" x14ac:dyDescent="0.25">
      <c r="A143" s="524"/>
      <c r="B143" s="431"/>
      <c r="C143" s="432"/>
      <c r="D143" s="433"/>
      <c r="E143" s="324"/>
      <c r="F143" s="324"/>
      <c r="G143" s="324"/>
      <c r="H143" s="324"/>
      <c r="I143" s="432"/>
      <c r="J143" s="434"/>
      <c r="K143" s="478"/>
      <c r="L143" s="479"/>
      <c r="M143" s="480"/>
      <c r="N143" s="481"/>
      <c r="O143" s="482"/>
      <c r="P143" s="483"/>
      <c r="Q143" s="484"/>
      <c r="R143" s="485"/>
      <c r="S143" s="485"/>
      <c r="T143" s="486"/>
      <c r="U143" s="530"/>
      <c r="V143" s="180"/>
    </row>
    <row r="144" spans="1:24" x14ac:dyDescent="0.25">
      <c r="A144" s="524"/>
      <c r="B144" s="431"/>
      <c r="C144" s="432"/>
      <c r="D144" s="433"/>
      <c r="E144" s="324"/>
      <c r="F144" s="324"/>
      <c r="G144" s="324"/>
      <c r="H144" s="324"/>
      <c r="I144" s="432"/>
      <c r="J144" s="434"/>
      <c r="K144" s="478"/>
      <c r="L144" s="479"/>
      <c r="M144" s="480"/>
      <c r="N144" s="481"/>
      <c r="O144" s="482"/>
      <c r="P144" s="483"/>
      <c r="Q144" s="484"/>
      <c r="R144" s="485"/>
      <c r="S144" s="485"/>
      <c r="T144" s="486"/>
      <c r="U144" s="530"/>
      <c r="V144" s="180"/>
    </row>
    <row r="145" spans="1:22" x14ac:dyDescent="0.25">
      <c r="A145" s="524"/>
      <c r="B145" s="431"/>
      <c r="C145" s="432"/>
      <c r="D145" s="433"/>
      <c r="E145" s="324"/>
      <c r="F145" s="324"/>
      <c r="G145" s="324"/>
      <c r="H145" s="324"/>
      <c r="I145" s="432"/>
      <c r="J145" s="434"/>
      <c r="K145" s="478"/>
      <c r="L145" s="479"/>
      <c r="M145" s="480"/>
      <c r="N145" s="481"/>
      <c r="O145" s="482"/>
      <c r="P145" s="483"/>
      <c r="Q145" s="484"/>
      <c r="R145" s="485"/>
      <c r="S145" s="485"/>
      <c r="T145" s="486"/>
      <c r="U145" s="530"/>
      <c r="V145" s="180"/>
    </row>
    <row r="146" spans="1:22" x14ac:dyDescent="0.25">
      <c r="A146" s="524"/>
      <c r="B146" s="431"/>
      <c r="C146" s="432"/>
      <c r="D146" s="433"/>
      <c r="E146" s="324"/>
      <c r="F146" s="324"/>
      <c r="G146" s="324"/>
      <c r="H146" s="324"/>
      <c r="I146" s="432"/>
      <c r="J146" s="434"/>
      <c r="K146" s="478"/>
      <c r="L146" s="479"/>
      <c r="M146" s="480"/>
      <c r="N146" s="481"/>
      <c r="O146" s="482"/>
      <c r="P146" s="483"/>
      <c r="Q146" s="484"/>
      <c r="R146" s="485"/>
      <c r="S146" s="485"/>
      <c r="T146" s="486"/>
      <c r="U146" s="530"/>
      <c r="V146" s="180"/>
    </row>
    <row r="147" spans="1:22" ht="110.25" customHeight="1" x14ac:dyDescent="0.25">
      <c r="A147" s="524"/>
      <c r="B147" s="431"/>
      <c r="C147" s="432"/>
      <c r="D147" s="433"/>
      <c r="E147" s="324"/>
      <c r="F147" s="324"/>
      <c r="G147" s="324"/>
      <c r="H147" s="324"/>
      <c r="I147" s="432"/>
      <c r="J147" s="434"/>
      <c r="K147" s="478"/>
      <c r="L147" s="479"/>
      <c r="M147" s="480"/>
      <c r="N147" s="481"/>
      <c r="O147" s="482"/>
      <c r="P147" s="483"/>
      <c r="Q147" s="484"/>
      <c r="R147" s="485"/>
      <c r="S147" s="485"/>
      <c r="T147" s="486"/>
      <c r="U147" s="530"/>
      <c r="V147" s="180"/>
    </row>
    <row r="148" spans="1:22" x14ac:dyDescent="0.25">
      <c r="A148" s="524"/>
      <c r="B148" s="431"/>
      <c r="C148" s="432"/>
      <c r="D148" s="433"/>
      <c r="E148" s="324"/>
      <c r="F148" s="324"/>
      <c r="G148" s="324"/>
      <c r="H148" s="324"/>
      <c r="I148" s="432"/>
      <c r="J148" s="434"/>
      <c r="K148" s="478"/>
      <c r="L148" s="479"/>
      <c r="M148" s="480"/>
      <c r="N148" s="481"/>
      <c r="O148" s="482"/>
      <c r="P148" s="483"/>
      <c r="Q148" s="484"/>
      <c r="R148" s="485"/>
      <c r="S148" s="485"/>
      <c r="T148" s="486"/>
      <c r="U148" s="530"/>
      <c r="V148" s="182"/>
    </row>
    <row r="149" spans="1:22" x14ac:dyDescent="0.25">
      <c r="A149" s="524"/>
      <c r="B149" s="431"/>
      <c r="C149" s="432"/>
      <c r="D149" s="433"/>
      <c r="E149" s="324"/>
      <c r="F149" s="324"/>
      <c r="G149" s="324"/>
      <c r="H149" s="324"/>
      <c r="I149" s="432"/>
      <c r="J149" s="434"/>
      <c r="K149" s="478"/>
      <c r="L149" s="479"/>
      <c r="M149" s="480"/>
      <c r="N149" s="481"/>
      <c r="O149" s="482"/>
      <c r="P149" s="483"/>
      <c r="Q149" s="484"/>
      <c r="R149" s="485"/>
      <c r="S149" s="485"/>
      <c r="T149" s="486"/>
      <c r="U149" s="530"/>
      <c r="V149" s="180"/>
    </row>
    <row r="150" spans="1:22" x14ac:dyDescent="0.25">
      <c r="A150" s="524"/>
      <c r="B150" s="431"/>
      <c r="C150" s="432"/>
      <c r="D150" s="433"/>
      <c r="E150" s="324"/>
      <c r="F150" s="324"/>
      <c r="G150" s="324"/>
      <c r="H150" s="324"/>
      <c r="I150" s="432"/>
      <c r="J150" s="434"/>
      <c r="K150" s="478"/>
      <c r="L150" s="479"/>
      <c r="M150" s="480"/>
      <c r="N150" s="481"/>
      <c r="O150" s="482"/>
      <c r="P150" s="483"/>
      <c r="Q150" s="484"/>
      <c r="R150" s="485"/>
      <c r="S150" s="485"/>
      <c r="T150" s="486"/>
      <c r="U150" s="530"/>
      <c r="V150" s="180"/>
    </row>
    <row r="151" spans="1:22" x14ac:dyDescent="0.25">
      <c r="A151" s="524"/>
      <c r="B151" s="431"/>
      <c r="C151" s="432"/>
      <c r="D151" s="433"/>
      <c r="E151" s="324"/>
      <c r="F151" s="324"/>
      <c r="G151" s="324"/>
      <c r="H151" s="324"/>
      <c r="I151" s="432"/>
      <c r="J151" s="434"/>
      <c r="K151" s="478"/>
      <c r="L151" s="479"/>
      <c r="M151" s="480"/>
      <c r="N151" s="481"/>
      <c r="O151" s="482"/>
      <c r="P151" s="483"/>
      <c r="Q151" s="484"/>
      <c r="R151" s="485"/>
      <c r="S151" s="485"/>
      <c r="T151" s="486"/>
      <c r="U151" s="530"/>
      <c r="V151" s="180"/>
    </row>
    <row r="152" spans="1:22" x14ac:dyDescent="0.25">
      <c r="A152" s="524"/>
      <c r="B152" s="431"/>
      <c r="C152" s="432"/>
      <c r="D152" s="433"/>
      <c r="E152" s="324"/>
      <c r="F152" s="324"/>
      <c r="G152" s="324"/>
      <c r="H152" s="324"/>
      <c r="I152" s="432"/>
      <c r="J152" s="434"/>
      <c r="K152" s="478"/>
      <c r="L152" s="479"/>
      <c r="M152" s="480"/>
      <c r="N152" s="481"/>
      <c r="O152" s="482"/>
      <c r="P152" s="483"/>
      <c r="Q152" s="484"/>
      <c r="R152" s="485"/>
      <c r="S152" s="485"/>
      <c r="T152" s="486"/>
      <c r="U152" s="530"/>
      <c r="V152" s="180"/>
    </row>
    <row r="153" spans="1:22" x14ac:dyDescent="0.25">
      <c r="A153" s="524"/>
      <c r="B153" s="431"/>
      <c r="C153" s="432"/>
      <c r="D153" s="433"/>
      <c r="E153" s="324"/>
      <c r="F153" s="324"/>
      <c r="G153" s="324"/>
      <c r="H153" s="324"/>
      <c r="I153" s="432"/>
      <c r="J153" s="434"/>
      <c r="K153" s="478"/>
      <c r="L153" s="479"/>
      <c r="M153" s="480"/>
      <c r="N153" s="481"/>
      <c r="O153" s="482"/>
      <c r="P153" s="483"/>
      <c r="Q153" s="484"/>
      <c r="R153" s="485"/>
      <c r="S153" s="485"/>
      <c r="T153" s="486"/>
      <c r="U153" s="530"/>
      <c r="V153" s="180"/>
    </row>
    <row r="154" spans="1:22" x14ac:dyDescent="0.25">
      <c r="A154" s="524"/>
      <c r="B154" s="431"/>
      <c r="C154" s="432"/>
      <c r="D154" s="433"/>
      <c r="E154" s="324"/>
      <c r="F154" s="324"/>
      <c r="G154" s="324"/>
      <c r="H154" s="324"/>
      <c r="I154" s="432"/>
      <c r="J154" s="434"/>
      <c r="K154" s="478"/>
      <c r="L154" s="479"/>
      <c r="M154" s="480"/>
      <c r="N154" s="481"/>
      <c r="O154" s="482"/>
      <c r="P154" s="483"/>
      <c r="Q154" s="484"/>
      <c r="R154" s="485"/>
      <c r="S154" s="485"/>
      <c r="T154" s="486"/>
      <c r="U154" s="530"/>
      <c r="V154" s="180"/>
    </row>
    <row r="155" spans="1:22" x14ac:dyDescent="0.25">
      <c r="A155" s="524"/>
      <c r="B155" s="431"/>
      <c r="C155" s="432"/>
      <c r="D155" s="433"/>
      <c r="E155" s="324"/>
      <c r="F155" s="324"/>
      <c r="G155" s="324"/>
      <c r="H155" s="324"/>
      <c r="I155" s="432"/>
      <c r="J155" s="434"/>
      <c r="K155" s="478"/>
      <c r="L155" s="479"/>
      <c r="M155" s="480"/>
      <c r="N155" s="481"/>
      <c r="O155" s="482"/>
      <c r="P155" s="483"/>
      <c r="Q155" s="484"/>
      <c r="R155" s="485"/>
      <c r="S155" s="485"/>
      <c r="T155" s="486"/>
      <c r="U155" s="530"/>
      <c r="V155" s="180"/>
    </row>
    <row r="156" spans="1:22" x14ac:dyDescent="0.25">
      <c r="A156" s="524"/>
      <c r="B156" s="431"/>
      <c r="C156" s="432"/>
      <c r="D156" s="433"/>
      <c r="E156" s="324"/>
      <c r="F156" s="324"/>
      <c r="G156" s="324"/>
      <c r="H156" s="324"/>
      <c r="I156" s="432"/>
      <c r="J156" s="434"/>
      <c r="K156" s="478"/>
      <c r="L156" s="479"/>
      <c r="M156" s="480"/>
      <c r="N156" s="481"/>
      <c r="O156" s="482"/>
      <c r="P156" s="483"/>
      <c r="Q156" s="484"/>
      <c r="R156" s="485"/>
      <c r="S156" s="485"/>
      <c r="T156" s="486"/>
      <c r="U156" s="530"/>
      <c r="V156" s="180"/>
    </row>
    <row r="157" spans="1:22" x14ac:dyDescent="0.25">
      <c r="A157" s="524"/>
      <c r="B157" s="431"/>
      <c r="C157" s="432"/>
      <c r="D157" s="433"/>
      <c r="E157" s="324"/>
      <c r="F157" s="324"/>
      <c r="G157" s="324"/>
      <c r="H157" s="324"/>
      <c r="I157" s="432"/>
      <c r="J157" s="434"/>
      <c r="K157" s="478"/>
      <c r="L157" s="479"/>
      <c r="M157" s="480"/>
      <c r="N157" s="481"/>
      <c r="O157" s="482"/>
      <c r="P157" s="483"/>
      <c r="Q157" s="484"/>
      <c r="R157" s="485"/>
      <c r="S157" s="485"/>
      <c r="T157" s="486"/>
      <c r="U157" s="530"/>
      <c r="V157" s="180"/>
    </row>
    <row r="158" spans="1:22" x14ac:dyDescent="0.25">
      <c r="A158" s="524"/>
      <c r="B158" s="431"/>
      <c r="C158" s="432"/>
      <c r="D158" s="433"/>
      <c r="E158" s="324"/>
      <c r="F158" s="324"/>
      <c r="G158" s="324"/>
      <c r="H158" s="324"/>
      <c r="I158" s="432"/>
      <c r="J158" s="434"/>
      <c r="K158" s="478"/>
      <c r="L158" s="479"/>
      <c r="M158" s="480"/>
      <c r="N158" s="481"/>
      <c r="O158" s="482"/>
      <c r="P158" s="483"/>
      <c r="Q158" s="484"/>
      <c r="R158" s="485"/>
      <c r="S158" s="485"/>
      <c r="T158" s="486"/>
      <c r="U158" s="530"/>
      <c r="V158" s="180"/>
    </row>
    <row r="159" spans="1:22" ht="42" customHeight="1" x14ac:dyDescent="0.25">
      <c r="A159" s="524" t="s">
        <v>1312</v>
      </c>
      <c r="B159" s="431" t="str">
        <f>VLOOKUP(A159,'Feature Raw Data'!$A$3:$B$4204,2,FALSE)</f>
        <v>ATHUB:SOC - SOC-15 SDP interfaces (SOC-15 baseline)</v>
      </c>
      <c r="C159" s="432" t="str">
        <f>VLOOKUP(A159,'Feature Raw Data'!$A$3:$C$4204,3,FALSE)</f>
        <v>P1</v>
      </c>
      <c r="D159" s="433" t="str" cm="1">
        <f t="array" ref="D159">_xlfn.TEXTJOIN("",TRUE,IF(ISNUMBER(SEARCH($A159,'Diags Raw Data'!$A$6:$A$3907)),CONCATENATE('Diags Raw Data'!$H$6:$H$3907,", "),""))</f>
        <v xml:space="preserve">mhub001.1, mhub001.2, mhub001.3, mhub001.4, mhub001.5, mhub001.6, mhub001.7, mhub001.9, </v>
      </c>
      <c r="E159" s="324" t="e">
        <f>VLOOKUP(A159,'Diags Raw Data'!$A$6:$D$3907,4,FALSE)</f>
        <v>#N/A</v>
      </c>
      <c r="F159" s="324" t="str">
        <f>VLOOKUP(A159,'Feature Raw Data'!$A$3:$E$4204,5,FALSE)</f>
        <v>Delta</v>
      </c>
      <c r="G159" s="324" t="str">
        <f t="shared" ref="G159:G201" si="83">IF(D159="","No","Yes")</f>
        <v>Yes</v>
      </c>
      <c r="H159" s="324" t="str">
        <f t="shared" ref="H159:H201" si="84">IF(D159="","No","Yes")</f>
        <v>Yes</v>
      </c>
      <c r="I159" s="432">
        <f>SUMIF('Diags Raw Data'!$A$6:$A$3907,"*"&amp;$A159&amp;"*",'Diags Raw Data'!$K$6:$K$3907)</f>
        <v>8</v>
      </c>
      <c r="J159" s="434">
        <f>SUMIF('Diags Raw Data'!$A$6:$A$3907,"*"&amp;$A159&amp;"*",'Diags Raw Data'!$L$6:$L$3907)</f>
        <v>8</v>
      </c>
      <c r="K159" s="478" t="e" cm="1">
        <f t="array" ref="K159">IF(D159="",0, SUMPRODUCT(--(ISNUMBER(SEARCH($A159,'Diags Raw Data'!$A$6:$A$3907))),'Diags Raw Data'!$L$6:$L$3907,'Diags Raw Data'!$N$6:$N$3910)/J159)</f>
        <v>#VALUE!</v>
      </c>
      <c r="L159" s="479" cm="1">
        <f t="array" ref="L159">IF(D159="",0, SUMPRODUCT(--(ISNUMBER(SEARCH($A159,'Diags Raw Data'!$A$6:$A$3907))),'Diags Raw Data'!$L$6:$L$3907,'Diags Raw Data'!$P$6:$P$3907)/J159)</f>
        <v>1</v>
      </c>
      <c r="M159" s="480" cm="1">
        <f t="array" ref="M159">SUMPRODUCT(--(ISNUMBER(SEARCH($A159,'Diags Raw Data'!$A$6:$A$3907))),--('Diags Raw Data'!$Q$6:$Q$3907&lt;&gt;"N/A"),'Diags Raw Data'!$R$6:$R$3907)</f>
        <v>8</v>
      </c>
      <c r="N159" s="481" cm="1">
        <f t="array" ref="N159">SUMPRODUCT(--(ISNUMBER(SEARCH($A159,'Diags Raw Data'!$A$6:$A$3907))),--('Diags Raw Data'!$Q$6:$Q$3907&lt;&gt;"N/A"),'Diags Raw Data'!$T$6:$T$3907)+SUMPRODUCT(--(ISNUMBER(SEARCH($A159,'Diags Raw Data'!$A$6:$A$3907))),--('Diags Raw Data'!$Q$6:$Q$3907&lt;&gt;"N/A"),'Diags Raw Data'!$U$6:$U$3907)</f>
        <v>8</v>
      </c>
      <c r="O159" s="482">
        <f t="shared" ref="O159:O201" si="85">IF((M159=0),0,N159/M159)</f>
        <v>1</v>
      </c>
      <c r="P159" s="483">
        <f>SUMIF('Diags Raw Data'!$A$6:$A$3907,"*"&amp;$A159&amp;"*",'Diags Raw Data'!$Z$6:$Z$3907)</f>
        <v>8</v>
      </c>
      <c r="Q159" s="484">
        <f>SUM(SUMIF('Diags Raw Data'!$A$6:$A$3907,"*"&amp;$A159&amp;"*",'Diags Raw Data'!$AA$6:$AA$3907),SUMIF('Diags Raw Data'!$A$6:$A$3907,"*"&amp;$A159&amp;"*",'Diags Raw Data'!$AB$6:$AB$3907))</f>
        <v>8</v>
      </c>
      <c r="R159" s="485">
        <f t="shared" ref="R159:R201" si="86">IF((J159=0),0,P159/J159)</f>
        <v>1</v>
      </c>
      <c r="S159" s="485">
        <f t="shared" ref="S159:S201" si="87">IF((P159=0),0,Q159/P159)</f>
        <v>1</v>
      </c>
      <c r="T159" s="486">
        <f t="shared" ref="T159:T201" si="88">R159*S159</f>
        <v>1</v>
      </c>
      <c r="U159" s="530" t="s">
        <v>1423</v>
      </c>
      <c r="V159" s="180"/>
    </row>
    <row r="160" spans="1:22" ht="30" x14ac:dyDescent="0.25">
      <c r="A160" s="524" t="s">
        <v>1314</v>
      </c>
      <c r="B160" s="431" t="str">
        <f>VLOOKUP(A160,'Feature Raw Data'!$A$3:$B$4204,2,FALSE)</f>
        <v>ATHUB:SOC - SOC-15 SCF interfaces (SOC-15 baseline)</v>
      </c>
      <c r="C160" s="432" t="str">
        <f>VLOOKUP(A160,'Feature Raw Data'!$A$3:$C$4204,3,FALSE)</f>
        <v>P2</v>
      </c>
      <c r="D160" s="433" t="str" cm="1">
        <f t="array" ref="D160">_xlfn.TEXTJOIN("",TRUE,IF(ISNUMBER(SEARCH($A160,'Diags Raw Data'!$A$6:$A$3907)),CONCATENATE('Diags Raw Data'!$H$6:$H$3907,", "),""))</f>
        <v xml:space="preserve">mhub002.1-15, mhub002.1-15, mhub002.16, mhub002.16, </v>
      </c>
      <c r="E160" s="324" t="e">
        <f>VLOOKUP(A160,'Diags Raw Data'!$A$6:$D$3907,4,FALSE)</f>
        <v>#N/A</v>
      </c>
      <c r="F160" s="324" t="str">
        <f>VLOOKUP(A160,'Feature Raw Data'!$A$3:$E$4204,5,FALSE)</f>
        <v>Legacy</v>
      </c>
      <c r="G160" s="324" t="str">
        <f t="shared" si="83"/>
        <v>Yes</v>
      </c>
      <c r="H160" s="324" t="str">
        <f t="shared" si="84"/>
        <v>Yes</v>
      </c>
      <c r="I160" s="432">
        <f>SUMIF('Diags Raw Data'!$A$6:$A$3907,"*"&amp;$A160&amp;"*",'Diags Raw Data'!$K$6:$K$3907)</f>
        <v>4</v>
      </c>
      <c r="J160" s="434">
        <f>SUMIF('Diags Raw Data'!$A$6:$A$3907,"*"&amp;$A160&amp;"*",'Diags Raw Data'!$L$6:$L$3907)</f>
        <v>32</v>
      </c>
      <c r="K160" s="478" t="e" cm="1">
        <f t="array" ref="K160">IF(D160="",0, SUMPRODUCT(--(ISNUMBER(SEARCH($A160,'Diags Raw Data'!$A$6:$A$3907))),'Diags Raw Data'!$L$6:$L$3907,'Diags Raw Data'!$N$6:$N$3910)/J160)</f>
        <v>#VALUE!</v>
      </c>
      <c r="L160" s="479" cm="1">
        <f t="array" ref="L160">IF(D160="",0, SUMPRODUCT(--(ISNUMBER(SEARCH($A160,'Diags Raw Data'!$A$6:$A$3907))),'Diags Raw Data'!$L$6:$L$3907,'Diags Raw Data'!$P$6:$P$3907)/J160)</f>
        <v>1</v>
      </c>
      <c r="M160" s="480" cm="1">
        <f t="array" ref="M160">SUMPRODUCT(--(ISNUMBER(SEARCH($A160,'Diags Raw Data'!$A$6:$A$3907))),--('Diags Raw Data'!$Q$6:$Q$3907&lt;&gt;"N/A"),'Diags Raw Data'!$R$6:$R$3907)</f>
        <v>32</v>
      </c>
      <c r="N160" s="481" cm="1">
        <f t="array" ref="N160">SUMPRODUCT(--(ISNUMBER(SEARCH($A160,'Diags Raw Data'!$A$6:$A$3907))),--('Diags Raw Data'!$Q$6:$Q$3907&lt;&gt;"N/A"),'Diags Raw Data'!$T$6:$T$3907)+SUMPRODUCT(--(ISNUMBER(SEARCH($A160,'Diags Raw Data'!$A$6:$A$3907))),--('Diags Raw Data'!$Q$6:$Q$3907&lt;&gt;"N/A"),'Diags Raw Data'!$U$6:$U$3907)</f>
        <v>17</v>
      </c>
      <c r="O160" s="482">
        <f t="shared" si="85"/>
        <v>0.53125</v>
      </c>
      <c r="P160" s="483">
        <f>SUMIF('Diags Raw Data'!$A$6:$A$3907,"*"&amp;$A160&amp;"*",'Diags Raw Data'!$Z$6:$Z$3907)</f>
        <v>17</v>
      </c>
      <c r="Q160" s="484">
        <f>SUM(SUMIF('Diags Raw Data'!$A$6:$A$3907,"*"&amp;$A160&amp;"*",'Diags Raw Data'!$AA$6:$AA$3907),SUMIF('Diags Raw Data'!$A$6:$A$3907,"*"&amp;$A160&amp;"*",'Diags Raw Data'!$AB$6:$AB$3907))</f>
        <v>17</v>
      </c>
      <c r="R160" s="485">
        <f t="shared" si="86"/>
        <v>0.53125</v>
      </c>
      <c r="S160" s="485">
        <f t="shared" si="87"/>
        <v>1</v>
      </c>
      <c r="T160" s="486">
        <f t="shared" si="88"/>
        <v>0.53125</v>
      </c>
      <c r="U160" s="530" t="s">
        <v>1423</v>
      </c>
      <c r="V160" s="180"/>
    </row>
    <row r="161" spans="1:22" ht="30" x14ac:dyDescent="0.25">
      <c r="A161" s="524" t="s">
        <v>1317</v>
      </c>
      <c r="B161" s="431" t="str">
        <f>VLOOKUP(A161,'Feature Raw Data'!$A$3:$B$4204,2,FALSE)</f>
        <v>ATHUB:SOC - VDCI on DF SDP interfaces</v>
      </c>
      <c r="C161" s="432" t="str">
        <f>VLOOKUP(A161,'Feature Raw Data'!$A$3:$C$4204,3,FALSE)</f>
        <v>P2</v>
      </c>
      <c r="D161" s="433" t="str" cm="1">
        <f t="array" ref="D161">_xlfn.TEXTJOIN("",TRUE,IF(ISNUMBER(SEARCH($A161,'Diags Raw Data'!$A$6:$A$3907)),CONCATENATE('Diags Raw Data'!$H$6:$H$3907,", "),""))</f>
        <v/>
      </c>
      <c r="E161" s="324" t="e">
        <f>VLOOKUP(A161,'Diags Raw Data'!$A$6:$D$3907,4,FALSE)</f>
        <v>#N/A</v>
      </c>
      <c r="F161" s="324" t="str">
        <f>VLOOKUP(A161,'Feature Raw Data'!$A$3:$E$4204,5,FALSE)</f>
        <v>Legacy</v>
      </c>
      <c r="G161" s="324" t="str">
        <f t="shared" si="83"/>
        <v>No</v>
      </c>
      <c r="H161" s="324" t="str">
        <f t="shared" si="84"/>
        <v>No</v>
      </c>
      <c r="I161" s="432">
        <f>SUMIF('Diags Raw Data'!$A$6:$A$3907,"*"&amp;$A161&amp;"*",'Diags Raw Data'!$K$6:$K$3907)</f>
        <v>0</v>
      </c>
      <c r="J161" s="434">
        <f>SUMIF('Diags Raw Data'!$A$6:$A$3907,"*"&amp;$A161&amp;"*",'Diags Raw Data'!$L$6:$L$3907)</f>
        <v>0</v>
      </c>
      <c r="K161" s="478" cm="1">
        <f t="array" ref="K161">IF(D161="",0, SUMPRODUCT(--(ISNUMBER(SEARCH($A161,'Diags Raw Data'!$A$6:$A$3907))),'Diags Raw Data'!$L$6:$L$3907,'Diags Raw Data'!$N$6:$N$3910)/J161)</f>
        <v>0</v>
      </c>
      <c r="L161" s="479" cm="1">
        <f t="array" ref="L161">IF(D161="",0, SUMPRODUCT(--(ISNUMBER(SEARCH($A161,'Diags Raw Data'!$A$6:$A$3907))),'Diags Raw Data'!$L$6:$L$3907,'Diags Raw Data'!$P$6:$P$3907)/J161)</f>
        <v>0</v>
      </c>
      <c r="M161" s="480" cm="1">
        <f t="array" ref="M161">SUMPRODUCT(--(ISNUMBER(SEARCH($A161,'Diags Raw Data'!$A$6:$A$3907))),--('Diags Raw Data'!$Q$6:$Q$3907&lt;&gt;"N/A"),'Diags Raw Data'!$R$6:$R$3907)</f>
        <v>0</v>
      </c>
      <c r="N161" s="481" cm="1">
        <f t="array" ref="N161">SUMPRODUCT(--(ISNUMBER(SEARCH($A161,'Diags Raw Data'!$A$6:$A$3907))),--('Diags Raw Data'!$Q$6:$Q$3907&lt;&gt;"N/A"),'Diags Raw Data'!$T$6:$T$3907)+SUMPRODUCT(--(ISNUMBER(SEARCH($A161,'Diags Raw Data'!$A$6:$A$3907))),--('Diags Raw Data'!$Q$6:$Q$3907&lt;&gt;"N/A"),'Diags Raw Data'!$U$6:$U$3907)</f>
        <v>0</v>
      </c>
      <c r="O161" s="482">
        <f t="shared" si="85"/>
        <v>0</v>
      </c>
      <c r="P161" s="483">
        <f>SUMIF('Diags Raw Data'!$A$6:$A$3907,"*"&amp;$A161&amp;"*",'Diags Raw Data'!$Z$6:$Z$3907)</f>
        <v>0</v>
      </c>
      <c r="Q161" s="484">
        <f>SUM(SUMIF('Diags Raw Data'!$A$6:$A$3907,"*"&amp;$A161&amp;"*",'Diags Raw Data'!$AA$6:$AA$3907),SUMIF('Diags Raw Data'!$A$6:$A$3907,"*"&amp;$A161&amp;"*",'Diags Raw Data'!$AB$6:$AB$3907))</f>
        <v>0</v>
      </c>
      <c r="R161" s="485">
        <f t="shared" si="86"/>
        <v>0</v>
      </c>
      <c r="S161" s="485">
        <f t="shared" si="87"/>
        <v>0</v>
      </c>
      <c r="T161" s="486">
        <f t="shared" si="88"/>
        <v>0</v>
      </c>
      <c r="U161" s="530" t="s">
        <v>44</v>
      </c>
      <c r="V161" s="180" t="s">
        <v>1443</v>
      </c>
    </row>
    <row r="162" spans="1:22" x14ac:dyDescent="0.25">
      <c r="A162" s="524" t="s">
        <v>1319</v>
      </c>
      <c r="B162" s="431" t="str">
        <f>VLOOKUP(A162,'Feature Raw Data'!$A$3:$B$4204,2,FALSE)</f>
        <v>ATHUB:SOC - OpenCL Platform Atomics</v>
      </c>
      <c r="C162" s="432" t="str">
        <f>VLOOKUP(A162,'Feature Raw Data'!$A$3:$C$4204,3,FALSE)</f>
        <v>P2</v>
      </c>
      <c r="D162" s="433" t="str" cm="1">
        <f t="array" ref="D162">_xlfn.TEXTJOIN("",TRUE,IF(ISNUMBER(SEARCH($A162,'Diags Raw Data'!$A$6:$A$3907)),CONCATENATE('Diags Raw Data'!$H$6:$H$3907,", "),""))</f>
        <v/>
      </c>
      <c r="E162" s="324" t="e">
        <f>VLOOKUP(A162,'Diags Raw Data'!$A$6:$D$3907,4,FALSE)</f>
        <v>#N/A</v>
      </c>
      <c r="F162" s="324" t="str">
        <f>VLOOKUP(A162,'Feature Raw Data'!$A$3:$E$4204,5,FALSE)</f>
        <v>Legacy</v>
      </c>
      <c r="G162" s="324" t="str">
        <f t="shared" ref="G162" si="89">IF(D162="","No","Yes")</f>
        <v>No</v>
      </c>
      <c r="H162" s="324" t="str">
        <f t="shared" ref="H162" si="90">IF(D162="","No","Yes")</f>
        <v>No</v>
      </c>
      <c r="I162" s="432">
        <f>SUMIF('Diags Raw Data'!$A$6:$A$3907,"*"&amp;$A162&amp;"*",'Diags Raw Data'!$K$6:$K$3907)</f>
        <v>0</v>
      </c>
      <c r="J162" s="434">
        <f>SUMIF('Diags Raw Data'!$A$6:$A$3907,"*"&amp;$A162&amp;"*",'Diags Raw Data'!$L$6:$L$3907)</f>
        <v>0</v>
      </c>
      <c r="K162" s="478" cm="1">
        <f t="array" ref="K162">IF(D162="",0, SUMPRODUCT(--(ISNUMBER(SEARCH($A162,'Diags Raw Data'!$A$6:$A$3907))),'Diags Raw Data'!$L$6:$L$3907,'Diags Raw Data'!$N$6:$N$3910)/J162)</f>
        <v>0</v>
      </c>
      <c r="L162" s="479" cm="1">
        <f t="array" ref="L162">IF(D162="",0, SUMPRODUCT(--(ISNUMBER(SEARCH($A162,'Diags Raw Data'!$A$6:$A$3907))),'Diags Raw Data'!$L$6:$L$3907,'Diags Raw Data'!$P$6:$P$3907)/J162)</f>
        <v>0</v>
      </c>
      <c r="M162" s="480" cm="1">
        <f t="array" ref="M162">SUMPRODUCT(--(ISNUMBER(SEARCH($A162,'Diags Raw Data'!$A$6:$A$3907))),--('Diags Raw Data'!$Q$6:$Q$3907&lt;&gt;"N/A"),'Diags Raw Data'!$R$6:$R$3907)</f>
        <v>0</v>
      </c>
      <c r="N162" s="481" cm="1">
        <f t="array" ref="N162">SUMPRODUCT(--(ISNUMBER(SEARCH($A162,'Diags Raw Data'!$A$6:$A$3907))),--('Diags Raw Data'!$Q$6:$Q$3907&lt;&gt;"N/A"),'Diags Raw Data'!$T$6:$T$3907)+SUMPRODUCT(--(ISNUMBER(SEARCH($A162,'Diags Raw Data'!$A$6:$A$3907))),--('Diags Raw Data'!$Q$6:$Q$3907&lt;&gt;"N/A"),'Diags Raw Data'!$U$6:$U$3907)</f>
        <v>0</v>
      </c>
      <c r="O162" s="482">
        <f t="shared" ref="O162" si="91">IF((M162=0),0,N162/M162)</f>
        <v>0</v>
      </c>
      <c r="P162" s="483">
        <f>SUMIF('Diags Raw Data'!$A$6:$A$3907,"*"&amp;$A162&amp;"*",'Diags Raw Data'!$Z$6:$Z$3907)</f>
        <v>0</v>
      </c>
      <c r="Q162" s="484">
        <f>SUM(SUMIF('Diags Raw Data'!$A$6:$A$3907,"*"&amp;$A162&amp;"*",'Diags Raw Data'!$AA$6:$AA$3907),SUMIF('Diags Raw Data'!$A$6:$A$3907,"*"&amp;$A162&amp;"*",'Diags Raw Data'!$AB$6:$AB$3907))</f>
        <v>0</v>
      </c>
      <c r="R162" s="485">
        <f t="shared" ref="R162" si="92">IF((J162=0),0,P162/J162)</f>
        <v>0</v>
      </c>
      <c r="S162" s="485">
        <f t="shared" ref="S162" si="93">IF((P162=0),0,Q162/P162)</f>
        <v>0</v>
      </c>
      <c r="T162" s="486">
        <f t="shared" ref="T162" si="94">R162*S162</f>
        <v>0</v>
      </c>
      <c r="U162" s="530" t="s">
        <v>1423</v>
      </c>
      <c r="V162" s="180"/>
    </row>
    <row r="163" spans="1:22" x14ac:dyDescent="0.25">
      <c r="A163" s="524"/>
      <c r="B163" s="431"/>
      <c r="C163" s="432"/>
      <c r="D163" s="433"/>
      <c r="E163" s="324"/>
      <c r="F163" s="324"/>
      <c r="G163" s="324"/>
      <c r="H163" s="324"/>
      <c r="I163" s="432"/>
      <c r="J163" s="434"/>
      <c r="K163" s="478"/>
      <c r="L163" s="479"/>
      <c r="M163" s="480"/>
      <c r="N163" s="481"/>
      <c r="O163" s="482"/>
      <c r="P163" s="483"/>
      <c r="Q163" s="484"/>
      <c r="R163" s="485"/>
      <c r="S163" s="485"/>
      <c r="T163" s="486"/>
      <c r="U163" s="530"/>
      <c r="V163" s="180"/>
    </row>
    <row r="164" spans="1:22" x14ac:dyDescent="0.25">
      <c r="A164" s="524"/>
      <c r="B164" s="431"/>
      <c r="C164" s="432"/>
      <c r="D164" s="433"/>
      <c r="E164" s="324"/>
      <c r="F164" s="324"/>
      <c r="G164" s="324"/>
      <c r="H164" s="324"/>
      <c r="I164" s="432"/>
      <c r="J164" s="434"/>
      <c r="K164" s="478"/>
      <c r="L164" s="479"/>
      <c r="M164" s="480"/>
      <c r="N164" s="481"/>
      <c r="O164" s="482"/>
      <c r="P164" s="483"/>
      <c r="Q164" s="484"/>
      <c r="R164" s="485"/>
      <c r="S164" s="485"/>
      <c r="T164" s="486"/>
      <c r="U164" s="530"/>
      <c r="V164" s="180"/>
    </row>
    <row r="165" spans="1:22" ht="45" x14ac:dyDescent="0.25">
      <c r="A165" s="524" t="s">
        <v>1325</v>
      </c>
      <c r="B165" s="431" t="str">
        <f>VLOOKUP(A165,'Feature Raw Data'!$A$3:$B$4204,2,FALSE)</f>
        <v>ATHUB:RPB - Supports multiple VCs (SDP Virtual Channel)</v>
      </c>
      <c r="C165" s="432" t="str">
        <f>VLOOKUP(A165,'Feature Raw Data'!$A$3:$C$4204,3,FALSE)</f>
        <v>P2</v>
      </c>
      <c r="D165" s="433" t="str" cm="1">
        <f t="array" ref="D165">_xlfn.TEXTJOIN("",TRUE,IF(ISNUMBER(SEARCH($A165,'Diags Raw Data'!$A$6:$A$3907)),CONCATENATE('Diags Raw Data'!$H$6:$H$3907,", "),""))</f>
        <v/>
      </c>
      <c r="E165" s="324" t="e">
        <f>VLOOKUP(A165,'Diags Raw Data'!$A$6:$D$3907,4,FALSE)</f>
        <v>#N/A</v>
      </c>
      <c r="F165" s="324" t="str">
        <f>VLOOKUP(A165,'Feature Raw Data'!$A$3:$E$4204,5,FALSE)</f>
        <v>Legacy</v>
      </c>
      <c r="G165" s="324" t="str">
        <f t="shared" si="83"/>
        <v>No</v>
      </c>
      <c r="H165" s="324" t="str">
        <f t="shared" si="84"/>
        <v>No</v>
      </c>
      <c r="I165" s="432">
        <f>SUMIF('Diags Raw Data'!$A$6:$A$3907,"*"&amp;$A165&amp;"*",'Diags Raw Data'!$K$6:$K$3907)</f>
        <v>0</v>
      </c>
      <c r="J165" s="434">
        <f>SUMIF('Diags Raw Data'!$A$6:$A$3907,"*"&amp;$A165&amp;"*",'Diags Raw Data'!$L$6:$L$3907)</f>
        <v>0</v>
      </c>
      <c r="K165" s="478" cm="1">
        <f t="array" ref="K165">IF(D165="",0, SUMPRODUCT(--(ISNUMBER(SEARCH($A165,'Diags Raw Data'!$A$6:$A$3907))),'Diags Raw Data'!$L$6:$L$3907,'Diags Raw Data'!$N$6:$N$3910)/J165)</f>
        <v>0</v>
      </c>
      <c r="L165" s="479" cm="1">
        <f t="array" ref="L165">IF(D165="",0, SUMPRODUCT(--(ISNUMBER(SEARCH($A165,'Diags Raw Data'!$A$6:$A$3907))),'Diags Raw Data'!$L$6:$L$3907,'Diags Raw Data'!$P$6:$P$3907)/J165)</f>
        <v>0</v>
      </c>
      <c r="M165" s="480" cm="1">
        <f t="array" ref="M165">SUMPRODUCT(--(ISNUMBER(SEARCH($A165,'Diags Raw Data'!$A$6:$A$3907))),--('Diags Raw Data'!$Q$6:$Q$3907&lt;&gt;"N/A"),'Diags Raw Data'!$R$6:$R$3907)</f>
        <v>0</v>
      </c>
      <c r="N165" s="481" cm="1">
        <f t="array" ref="N165">SUMPRODUCT(--(ISNUMBER(SEARCH($A165,'Diags Raw Data'!$A$6:$A$3907))),--('Diags Raw Data'!$Q$6:$Q$3907&lt;&gt;"N/A"),'Diags Raw Data'!$T$6:$T$3907)+SUMPRODUCT(--(ISNUMBER(SEARCH($A165,'Diags Raw Data'!$A$6:$A$3907))),--('Diags Raw Data'!$Q$6:$Q$3907&lt;&gt;"N/A"),'Diags Raw Data'!$U$6:$U$3907)</f>
        <v>0</v>
      </c>
      <c r="O165" s="482">
        <f t="shared" si="85"/>
        <v>0</v>
      </c>
      <c r="P165" s="483">
        <f>SUMIF('Diags Raw Data'!$A$6:$A$3907,"*"&amp;$A165&amp;"*",'Diags Raw Data'!$Z$6:$Z$3907)</f>
        <v>0</v>
      </c>
      <c r="Q165" s="484">
        <f>SUM(SUMIF('Diags Raw Data'!$A$6:$A$3907,"*"&amp;$A165&amp;"*",'Diags Raw Data'!$AA$6:$AA$3907),SUMIF('Diags Raw Data'!$A$6:$A$3907,"*"&amp;$A165&amp;"*",'Diags Raw Data'!$AB$6:$AB$3907))</f>
        <v>0</v>
      </c>
      <c r="R165" s="485">
        <f t="shared" si="86"/>
        <v>0</v>
      </c>
      <c r="S165" s="485">
        <f t="shared" si="87"/>
        <v>0</v>
      </c>
      <c r="T165" s="486">
        <f t="shared" si="88"/>
        <v>0</v>
      </c>
      <c r="U165" s="530" t="s">
        <v>44</v>
      </c>
      <c r="V165" s="180" t="s">
        <v>1444</v>
      </c>
    </row>
    <row r="166" spans="1:22" ht="63" customHeight="1" x14ac:dyDescent="0.25">
      <c r="A166" s="524"/>
      <c r="B166" s="431"/>
      <c r="C166" s="432"/>
      <c r="D166" s="433"/>
      <c r="E166" s="324"/>
      <c r="F166" s="324"/>
      <c r="G166" s="324"/>
      <c r="H166" s="324"/>
      <c r="I166" s="432"/>
      <c r="J166" s="434"/>
      <c r="K166" s="478"/>
      <c r="L166" s="479"/>
      <c r="M166" s="480"/>
      <c r="N166" s="481"/>
      <c r="O166" s="482"/>
      <c r="P166" s="483"/>
      <c r="Q166" s="484"/>
      <c r="R166" s="485"/>
      <c r="S166" s="485"/>
      <c r="T166" s="486"/>
      <c r="U166" s="530"/>
      <c r="V166" s="180"/>
    </row>
    <row r="167" spans="1:22" ht="45" x14ac:dyDescent="0.25">
      <c r="A167" s="524" t="s">
        <v>1327</v>
      </c>
      <c r="B167" s="431" t="str">
        <f>VLOOKUP(A167,'Feature Raw Data'!$A$3:$B$4204,2,FALSE)</f>
        <v>ATHUB:RPB - Support configurable tag partition for read/write requests</v>
      </c>
      <c r="C167" s="432" t="str">
        <f>VLOOKUP(A167,'Feature Raw Data'!$A$3:$C$4204,3,FALSE)</f>
        <v>P2</v>
      </c>
      <c r="D167" s="433" t="str" cm="1">
        <f t="array" ref="D167">_xlfn.TEXTJOIN("",TRUE,IF(ISNUMBER(SEARCH($A167,'Diags Raw Data'!$A$6:$A$3907)),CONCATENATE('Diags Raw Data'!$H$6:$H$3907,", "),""))</f>
        <v/>
      </c>
      <c r="E167" s="324" t="e">
        <f>VLOOKUP(A167,'Diags Raw Data'!$A$6:$D$3907,4,FALSE)</f>
        <v>#N/A</v>
      </c>
      <c r="F167" s="324" t="str">
        <f>VLOOKUP(A167,'Feature Raw Data'!$A$3:$E$4204,5,FALSE)</f>
        <v>Legacy</v>
      </c>
      <c r="G167" s="324" t="s">
        <v>31</v>
      </c>
      <c r="H167" s="324" t="str">
        <f t="shared" si="84"/>
        <v>No</v>
      </c>
      <c r="I167" s="432">
        <f>SUMIF('Diags Raw Data'!$A$6:$A$3907,"*"&amp;$A167&amp;"*",'Diags Raw Data'!$K$6:$K$3907)</f>
        <v>0</v>
      </c>
      <c r="J167" s="434">
        <f>SUMIF('Diags Raw Data'!$A$6:$A$3907,"*"&amp;$A167&amp;"*",'Diags Raw Data'!$L$6:$L$3907)</f>
        <v>0</v>
      </c>
      <c r="K167" s="478" cm="1">
        <f t="array" ref="K167">IF(D167="",0, SUMPRODUCT(--(ISNUMBER(SEARCH($A167,'Diags Raw Data'!$A$6:$A$3907))),'Diags Raw Data'!$L$6:$L$3907,'Diags Raw Data'!$N$6:$N$3910)/J167)</f>
        <v>0</v>
      </c>
      <c r="L167" s="479" cm="1">
        <f t="array" ref="L167">IF(D167="",0, SUMPRODUCT(--(ISNUMBER(SEARCH($A167,'Diags Raw Data'!$A$6:$A$3907))),'Diags Raw Data'!$L$6:$L$3907,'Diags Raw Data'!$P$6:$P$3907)/J167)</f>
        <v>0</v>
      </c>
      <c r="M167" s="480" cm="1">
        <f t="array" ref="M167">SUMPRODUCT(--(ISNUMBER(SEARCH($A167,'Diags Raw Data'!$A$6:$A$3907))),--('Diags Raw Data'!$Q$6:$Q$3907&lt;&gt;"N/A"),'Diags Raw Data'!$R$6:$R$3907)</f>
        <v>0</v>
      </c>
      <c r="N167" s="481" cm="1">
        <f t="array" ref="N167">SUMPRODUCT(--(ISNUMBER(SEARCH($A167,'Diags Raw Data'!$A$6:$A$3907))),--('Diags Raw Data'!$Q$6:$Q$3907&lt;&gt;"N/A"),'Diags Raw Data'!$T$6:$T$3907)+SUMPRODUCT(--(ISNUMBER(SEARCH($A167,'Diags Raw Data'!$A$6:$A$3907))),--('Diags Raw Data'!$Q$6:$Q$3907&lt;&gt;"N/A"),'Diags Raw Data'!$U$6:$U$3907)</f>
        <v>0</v>
      </c>
      <c r="O167" s="482">
        <f t="shared" si="85"/>
        <v>0</v>
      </c>
      <c r="P167" s="483">
        <f>SUMIF('Diags Raw Data'!$A$6:$A$3907,"*"&amp;$A167&amp;"*",'Diags Raw Data'!$Z$6:$Z$3907)</f>
        <v>0</v>
      </c>
      <c r="Q167" s="484">
        <f>SUM(SUMIF('Diags Raw Data'!$A$6:$A$3907,"*"&amp;$A167&amp;"*",'Diags Raw Data'!$AA$6:$AA$3907),SUMIF('Diags Raw Data'!$A$6:$A$3907,"*"&amp;$A167&amp;"*",'Diags Raw Data'!$AB$6:$AB$3907))</f>
        <v>0</v>
      </c>
      <c r="R167" s="485">
        <f t="shared" si="86"/>
        <v>0</v>
      </c>
      <c r="S167" s="485">
        <f t="shared" si="87"/>
        <v>0</v>
      </c>
      <c r="T167" s="486">
        <f t="shared" si="88"/>
        <v>0</v>
      </c>
      <c r="U167" s="530" t="s">
        <v>44</v>
      </c>
      <c r="V167" s="180" t="s">
        <v>1445</v>
      </c>
    </row>
    <row r="168" spans="1:22" ht="45" x14ac:dyDescent="0.25">
      <c r="A168" s="524" t="s">
        <v>1329</v>
      </c>
      <c r="B168" s="431" t="str">
        <f>VLOOKUP(A168,'Feature Raw Data'!$A$3:$B$4204,2,FALSE)</f>
        <v>ATHUB:RPB - Support more arbitration method between different streams and channels</v>
      </c>
      <c r="C168" s="432" t="str">
        <f>VLOOKUP(A168,'Feature Raw Data'!$A$3:$C$4204,3,FALSE)</f>
        <v>P2</v>
      </c>
      <c r="D168" s="433" t="str" cm="1">
        <f t="array" ref="D168">_xlfn.TEXTJOIN("",TRUE,IF(ISNUMBER(SEARCH($A168,'Diags Raw Data'!$A$6:$A$3907)),CONCATENATE('Diags Raw Data'!$H$6:$H$3907,", "),""))</f>
        <v/>
      </c>
      <c r="E168" s="324" t="e">
        <f>VLOOKUP(A168,'Diags Raw Data'!$A$6:$D$3907,4,FALSE)</f>
        <v>#N/A</v>
      </c>
      <c r="F168" s="324" t="str">
        <f>VLOOKUP(A168,'Feature Raw Data'!$A$3:$E$4204,5,FALSE)</f>
        <v>Legacy</v>
      </c>
      <c r="G168" s="324" t="s">
        <v>31</v>
      </c>
      <c r="H168" s="324" t="str">
        <f t="shared" si="84"/>
        <v>No</v>
      </c>
      <c r="I168" s="432">
        <f>SUMIF('Diags Raw Data'!$A$6:$A$3907,"*"&amp;$A168&amp;"*",'Diags Raw Data'!$K$6:$K$3907)</f>
        <v>0</v>
      </c>
      <c r="J168" s="434">
        <f>SUMIF('Diags Raw Data'!$A$6:$A$3907,"*"&amp;$A168&amp;"*",'Diags Raw Data'!$L$6:$L$3907)</f>
        <v>0</v>
      </c>
      <c r="K168" s="478" cm="1">
        <f t="array" ref="K168">IF(D168="",0, SUMPRODUCT(--(ISNUMBER(SEARCH($A168,'Diags Raw Data'!$A$6:$A$3907))),'Diags Raw Data'!$L$6:$L$3907,'Diags Raw Data'!$N$6:$N$3910)/J168)</f>
        <v>0</v>
      </c>
      <c r="L168" s="479" cm="1">
        <f t="array" ref="L168">IF(D168="",0, SUMPRODUCT(--(ISNUMBER(SEARCH($A168,'Diags Raw Data'!$A$6:$A$3907))),'Diags Raw Data'!$L$6:$L$3907,'Diags Raw Data'!$P$6:$P$3907)/J168)</f>
        <v>0</v>
      </c>
      <c r="M168" s="480" cm="1">
        <f t="array" ref="M168">SUMPRODUCT(--(ISNUMBER(SEARCH($A168,'Diags Raw Data'!$A$6:$A$3907))),--('Diags Raw Data'!$Q$6:$Q$3907&lt;&gt;"N/A"),'Diags Raw Data'!$R$6:$R$3907)</f>
        <v>0</v>
      </c>
      <c r="N168" s="481" cm="1">
        <f t="array" ref="N168">SUMPRODUCT(--(ISNUMBER(SEARCH($A168,'Diags Raw Data'!$A$6:$A$3907))),--('Diags Raw Data'!$Q$6:$Q$3907&lt;&gt;"N/A"),'Diags Raw Data'!$T$6:$T$3907)+SUMPRODUCT(--(ISNUMBER(SEARCH($A168,'Diags Raw Data'!$A$6:$A$3907))),--('Diags Raw Data'!$Q$6:$Q$3907&lt;&gt;"N/A"),'Diags Raw Data'!$U$6:$U$3907)</f>
        <v>0</v>
      </c>
      <c r="O168" s="482">
        <f t="shared" si="85"/>
        <v>0</v>
      </c>
      <c r="P168" s="483">
        <f>SUMIF('Diags Raw Data'!$A$6:$A$3907,"*"&amp;$A168&amp;"*",'Diags Raw Data'!$Z$6:$Z$3907)</f>
        <v>0</v>
      </c>
      <c r="Q168" s="484">
        <f>SUM(SUMIF('Diags Raw Data'!$A$6:$A$3907,"*"&amp;$A168&amp;"*",'Diags Raw Data'!$AA$6:$AA$3907),SUMIF('Diags Raw Data'!$A$6:$A$3907,"*"&amp;$A168&amp;"*",'Diags Raw Data'!$AB$6:$AB$3907))</f>
        <v>0</v>
      </c>
      <c r="R168" s="485">
        <f t="shared" si="86"/>
        <v>0</v>
      </c>
      <c r="S168" s="485">
        <f t="shared" si="87"/>
        <v>0</v>
      </c>
      <c r="T168" s="486">
        <f t="shared" si="88"/>
        <v>0</v>
      </c>
      <c r="U168" s="530" t="s">
        <v>44</v>
      </c>
      <c r="V168" s="180" t="s">
        <v>1445</v>
      </c>
    </row>
    <row r="169" spans="1:22" x14ac:dyDescent="0.25">
      <c r="A169" s="524" t="s">
        <v>1331</v>
      </c>
      <c r="B169" s="431" t="str">
        <f>VLOOKUP(A169,'Feature Raw Data'!$A$3:$B$4204,2,FALSE)</f>
        <v>ATHUB:RPB - P2P Traffic</v>
      </c>
      <c r="C169" s="432" t="str">
        <f>VLOOKUP(A169,'Feature Raw Data'!$A$3:$C$4204,3,FALSE)</f>
        <v>P2</v>
      </c>
      <c r="D169" s="433" t="str" cm="1">
        <f t="array" ref="D169">_xlfn.TEXTJOIN("",TRUE,IF(ISNUMBER(SEARCH($A169,'Diags Raw Data'!$A$6:$A$3907)),CONCATENATE('Diags Raw Data'!$H$6:$H$3907,", "),""))</f>
        <v/>
      </c>
      <c r="E169" s="324" t="e">
        <f>VLOOKUP(A169,'Diags Raw Data'!$A$6:$D$3907,4,FALSE)</f>
        <v>#N/A</v>
      </c>
      <c r="F169" s="324" t="str">
        <f>VLOOKUP(A169,'Feature Raw Data'!$A$3:$E$4204,5,FALSE)</f>
        <v>Legacy</v>
      </c>
      <c r="G169" s="324" t="str">
        <f t="shared" si="83"/>
        <v>No</v>
      </c>
      <c r="H169" s="324" t="str">
        <f t="shared" si="84"/>
        <v>No</v>
      </c>
      <c r="I169" s="432">
        <f>SUMIF('Diags Raw Data'!$A$6:$A$3907,"*"&amp;$A169&amp;"*",'Diags Raw Data'!$K$6:$K$3907)</f>
        <v>0</v>
      </c>
      <c r="J169" s="434">
        <f>SUMIF('Diags Raw Data'!$A$6:$A$3907,"*"&amp;$A169&amp;"*",'Diags Raw Data'!$L$6:$L$3907)</f>
        <v>0</v>
      </c>
      <c r="K169" s="478" cm="1">
        <f t="array" ref="K169">IF(D169="",0, SUMPRODUCT(--(ISNUMBER(SEARCH($A169,'Diags Raw Data'!$A$6:$A$3907))),'Diags Raw Data'!$L$6:$L$3907,'Diags Raw Data'!$N$6:$N$3910)/J169)</f>
        <v>0</v>
      </c>
      <c r="L169" s="479" cm="1">
        <f t="array" ref="L169">IF(D169="",0, SUMPRODUCT(--(ISNUMBER(SEARCH($A169,'Diags Raw Data'!$A$6:$A$3907))),'Diags Raw Data'!$L$6:$L$3907,'Diags Raw Data'!$P$6:$P$3907)/J169)</f>
        <v>0</v>
      </c>
      <c r="M169" s="480" cm="1">
        <f t="array" ref="M169">SUMPRODUCT(--(ISNUMBER(SEARCH($A169,'Diags Raw Data'!$A$6:$A$3907))),--('Diags Raw Data'!$Q$6:$Q$3907&lt;&gt;"N/A"),'Diags Raw Data'!$R$6:$R$3907)</f>
        <v>0</v>
      </c>
      <c r="N169" s="481" cm="1">
        <f t="array" ref="N169">SUMPRODUCT(--(ISNUMBER(SEARCH($A169,'Diags Raw Data'!$A$6:$A$3907))),--('Diags Raw Data'!$Q$6:$Q$3907&lt;&gt;"N/A"),'Diags Raw Data'!$T$6:$T$3907)+SUMPRODUCT(--(ISNUMBER(SEARCH($A169,'Diags Raw Data'!$A$6:$A$3907))),--('Diags Raw Data'!$Q$6:$Q$3907&lt;&gt;"N/A"),'Diags Raw Data'!$U$6:$U$3907)</f>
        <v>0</v>
      </c>
      <c r="O169" s="482">
        <f t="shared" si="85"/>
        <v>0</v>
      </c>
      <c r="P169" s="483">
        <f>SUMIF('Diags Raw Data'!$A$6:$A$3907,"*"&amp;$A169&amp;"*",'Diags Raw Data'!$Z$6:$Z$3907)</f>
        <v>0</v>
      </c>
      <c r="Q169" s="484">
        <f>SUM(SUMIF('Diags Raw Data'!$A$6:$A$3907,"*"&amp;$A169&amp;"*",'Diags Raw Data'!$AA$6:$AA$3907),SUMIF('Diags Raw Data'!$A$6:$A$3907,"*"&amp;$A169&amp;"*",'Diags Raw Data'!$AB$6:$AB$3907))</f>
        <v>0</v>
      </c>
      <c r="R169" s="485">
        <f t="shared" si="86"/>
        <v>0</v>
      </c>
      <c r="S169" s="485">
        <f t="shared" si="87"/>
        <v>0</v>
      </c>
      <c r="T169" s="486">
        <f t="shared" si="88"/>
        <v>0</v>
      </c>
      <c r="U169" s="530" t="s">
        <v>44</v>
      </c>
      <c r="V169" s="180" t="s">
        <v>1446</v>
      </c>
    </row>
    <row r="170" spans="1:22" ht="30" x14ac:dyDescent="0.25">
      <c r="A170" s="524" t="s">
        <v>1027</v>
      </c>
      <c r="B170" s="431" t="str">
        <f>VLOOKUP(A170,'Feature Raw Data'!$A$3:$B$4204,2,FALSE)</f>
        <v>ATHUB:RAS - Datapath Parity</v>
      </c>
      <c r="C170" s="432" t="str">
        <f>VLOOKUP(A170,'Feature Raw Data'!$A$3:$C$4204,3,FALSE)</f>
        <v>P2</v>
      </c>
      <c r="D170" s="433" t="str" cm="1">
        <f t="array" ref="D170">_xlfn.TEXTJOIN("",TRUE,IF(ISNUMBER(SEARCH($A170,'Diags Raw Data'!$A$6:$A$3907)),CONCATENATE('Diags Raw Data'!$H$6:$H$3907,", "),""))</f>
        <v xml:space="preserve">mhub611.1, mhub611.2, mhub611.3, mhub611.4, mhub611.5, mhub611.6, </v>
      </c>
      <c r="E170" s="324" t="str">
        <f>VLOOKUP(A170,'Diags Raw Data'!$A$6:$D$3907,4,FALSE)</f>
        <v>ATHUB</v>
      </c>
      <c r="F170" s="324" t="str">
        <f>VLOOKUP(A170,'Feature Raw Data'!$A$3:$E$4204,5,FALSE)</f>
        <v>Legacy</v>
      </c>
      <c r="G170" s="324" t="str">
        <f t="shared" si="83"/>
        <v>Yes</v>
      </c>
      <c r="H170" s="324" t="str">
        <f t="shared" si="84"/>
        <v>Yes</v>
      </c>
      <c r="I170" s="432">
        <f>SUMIF('Diags Raw Data'!$A$6:$A$3907,"*"&amp;$A170&amp;"*",'Diags Raw Data'!$K$6:$K$3907)</f>
        <v>6</v>
      </c>
      <c r="J170" s="434">
        <f>SUMIF('Diags Raw Data'!$A$6:$A$3907,"*"&amp;$A170&amp;"*",'Diags Raw Data'!$L$6:$L$3907)</f>
        <v>6</v>
      </c>
      <c r="K170" s="478" t="e" cm="1">
        <f t="array" ref="K170">IF(D170="",0, SUMPRODUCT(--(ISNUMBER(SEARCH($A170,'Diags Raw Data'!$A$6:$A$3907))),'Diags Raw Data'!$L$6:$L$3907,'Diags Raw Data'!$N$6:$N$3910)/J170)</f>
        <v>#VALUE!</v>
      </c>
      <c r="L170" s="479" cm="1">
        <f t="array" ref="L170">IF(D170="",0, SUMPRODUCT(--(ISNUMBER(SEARCH($A170,'Diags Raw Data'!$A$6:$A$3907))),'Diags Raw Data'!$L$6:$L$3907,'Diags Raw Data'!$P$6:$P$3907)/J170)</f>
        <v>1</v>
      </c>
      <c r="M170" s="480" cm="1">
        <f t="array" ref="M170">SUMPRODUCT(--(ISNUMBER(SEARCH($A170,'Diags Raw Data'!$A$6:$A$3907))),--('Diags Raw Data'!$Q$6:$Q$3907&lt;&gt;"N/A"),'Diags Raw Data'!$R$6:$R$3907)</f>
        <v>6</v>
      </c>
      <c r="N170" s="481" cm="1">
        <f t="array" ref="N170">SUMPRODUCT(--(ISNUMBER(SEARCH($A170,'Diags Raw Data'!$A$6:$A$3907))),--('Diags Raw Data'!$Q$6:$Q$3907&lt;&gt;"N/A"),'Diags Raw Data'!$T$6:$T$3907)+SUMPRODUCT(--(ISNUMBER(SEARCH($A170,'Diags Raw Data'!$A$6:$A$3907))),--('Diags Raw Data'!$Q$6:$Q$3907&lt;&gt;"N/A"),'Diags Raw Data'!$U$6:$U$3907)</f>
        <v>0</v>
      </c>
      <c r="O170" s="482">
        <f t="shared" si="85"/>
        <v>0</v>
      </c>
      <c r="P170" s="483">
        <f>SUMIF('Diags Raw Data'!$A$6:$A$3907,"*"&amp;$A170&amp;"*",'Diags Raw Data'!$Z$6:$Z$3907)</f>
        <v>0</v>
      </c>
      <c r="Q170" s="484">
        <f>SUM(SUMIF('Diags Raw Data'!$A$6:$A$3907,"*"&amp;$A170&amp;"*",'Diags Raw Data'!$AA$6:$AA$3907),SUMIF('Diags Raw Data'!$A$6:$A$3907,"*"&amp;$A170&amp;"*",'Diags Raw Data'!$AB$6:$AB$3907))</f>
        <v>0</v>
      </c>
      <c r="R170" s="485">
        <f t="shared" si="86"/>
        <v>0</v>
      </c>
      <c r="S170" s="485">
        <f t="shared" si="87"/>
        <v>0</v>
      </c>
      <c r="T170" s="486">
        <f t="shared" si="88"/>
        <v>0</v>
      </c>
      <c r="U170" s="530" t="s">
        <v>1425</v>
      </c>
      <c r="V170" s="180"/>
    </row>
    <row r="171" spans="1:22" x14ac:dyDescent="0.25">
      <c r="A171" s="524" t="s">
        <v>1019</v>
      </c>
      <c r="B171" s="431" t="str">
        <f>VLOOKUP(A171,'Feature Raw Data'!$A$3:$B$4204,2,FALSE)</f>
        <v>ATHUB:RAS - Poison Data propergation</v>
      </c>
      <c r="C171" s="432" t="str">
        <f>VLOOKUP(A171,'Feature Raw Data'!$A$3:$C$4204,3,FALSE)</f>
        <v>P2</v>
      </c>
      <c r="D171" s="433" t="str" cm="1">
        <f t="array" ref="D171">_xlfn.TEXTJOIN("",TRUE,IF(ISNUMBER(SEARCH($A171,'Diags Raw Data'!$A$6:$A$3907)),CONCATENATE('Diags Raw Data'!$H$6:$H$3907,", "),""))</f>
        <v xml:space="preserve">mhub609.3, </v>
      </c>
      <c r="E171" s="324" t="str">
        <f>VLOOKUP(A171,'Diags Raw Data'!$A$6:$D$3907,4,FALSE)</f>
        <v>RAS</v>
      </c>
      <c r="F171" s="324" t="str">
        <f>VLOOKUP(A171,'Feature Raw Data'!$A$3:$E$4204,5,FALSE)</f>
        <v>Legacy</v>
      </c>
      <c r="G171" s="324" t="str">
        <f>IF(D171="","No","Yes")</f>
        <v>Yes</v>
      </c>
      <c r="H171" s="324" t="str">
        <f t="shared" si="84"/>
        <v>Yes</v>
      </c>
      <c r="I171" s="432">
        <f>SUMIF('Diags Raw Data'!$A$6:$A$3907,"*"&amp;$A171&amp;"*",'Diags Raw Data'!$K$6:$K$3907)</f>
        <v>1</v>
      </c>
      <c r="J171" s="434">
        <f>SUMIF('Diags Raw Data'!$A$6:$A$3907,"*"&amp;$A171&amp;"*",'Diags Raw Data'!$L$6:$L$3907)</f>
        <v>1</v>
      </c>
      <c r="K171" s="478" t="e" cm="1">
        <f t="array" ref="K171">IF(D171="",0, SUMPRODUCT(--(ISNUMBER(SEARCH($A171,'Diags Raw Data'!$A$6:$A$3907))),'Diags Raw Data'!$L$6:$L$3907,'Diags Raw Data'!$N$6:$N$3910)/J171)</f>
        <v>#VALUE!</v>
      </c>
      <c r="L171" s="479" cm="1">
        <f t="array" ref="L171">IF(D171="",0, SUMPRODUCT(--(ISNUMBER(SEARCH($A171,'Diags Raw Data'!$A$6:$A$3907))),'Diags Raw Data'!$L$6:$L$3907,'Diags Raw Data'!$P$6:$P$3907)/J171)</f>
        <v>1</v>
      </c>
      <c r="M171" s="480" cm="1">
        <f t="array" ref="M171">SUMPRODUCT(--(ISNUMBER(SEARCH($A171,'Diags Raw Data'!$A$6:$A$3907))),--('Diags Raw Data'!$Q$6:$Q$3907&lt;&gt;"N/A"),'Diags Raw Data'!$R$6:$R$3907)</f>
        <v>1</v>
      </c>
      <c r="N171" s="481" cm="1">
        <f t="array" ref="N171">SUMPRODUCT(--(ISNUMBER(SEARCH($A171,'Diags Raw Data'!$A$6:$A$3907))),--('Diags Raw Data'!$Q$6:$Q$3907&lt;&gt;"N/A"),'Diags Raw Data'!$T$6:$T$3907)+SUMPRODUCT(--(ISNUMBER(SEARCH($A171,'Diags Raw Data'!$A$6:$A$3907))),--('Diags Raw Data'!$Q$6:$Q$3907&lt;&gt;"N/A"),'Diags Raw Data'!$U$6:$U$3907)</f>
        <v>1</v>
      </c>
      <c r="O171" s="482">
        <f t="shared" si="85"/>
        <v>1</v>
      </c>
      <c r="P171" s="483">
        <f>SUMIF('Diags Raw Data'!$A$6:$A$3907,"*"&amp;$A171&amp;"*",'Diags Raw Data'!$Z$6:$Z$3907)</f>
        <v>0</v>
      </c>
      <c r="Q171" s="484">
        <f>SUM(SUMIF('Diags Raw Data'!$A$6:$A$3907,"*"&amp;$A171&amp;"*",'Diags Raw Data'!$AA$6:$AA$3907),SUMIF('Diags Raw Data'!$A$6:$A$3907,"*"&amp;$A171&amp;"*",'Diags Raw Data'!$AB$6:$AB$3907))</f>
        <v>0</v>
      </c>
      <c r="R171" s="485">
        <f t="shared" si="86"/>
        <v>0</v>
      </c>
      <c r="S171" s="485"/>
      <c r="T171" s="486"/>
      <c r="U171" s="530" t="s">
        <v>1425</v>
      </c>
      <c r="V171" s="180"/>
    </row>
    <row r="172" spans="1:22" x14ac:dyDescent="0.25">
      <c r="A172" s="524"/>
      <c r="B172" s="431"/>
      <c r="C172" s="432"/>
      <c r="D172" s="433"/>
      <c r="E172" s="324"/>
      <c r="F172" s="324"/>
      <c r="G172" s="324"/>
      <c r="H172" s="324"/>
      <c r="I172" s="432"/>
      <c r="J172" s="434"/>
      <c r="K172" s="478"/>
      <c r="L172" s="479"/>
      <c r="M172" s="480"/>
      <c r="N172" s="481"/>
      <c r="O172" s="482"/>
      <c r="P172" s="483"/>
      <c r="Q172" s="484"/>
      <c r="R172" s="485"/>
      <c r="S172" s="485"/>
      <c r="T172" s="486"/>
      <c r="U172" s="530"/>
      <c r="V172" s="180"/>
    </row>
    <row r="173" spans="1:22" x14ac:dyDescent="0.25">
      <c r="A173" s="524"/>
      <c r="B173" s="431"/>
      <c r="C173" s="432"/>
      <c r="D173" s="433"/>
      <c r="E173" s="324"/>
      <c r="F173" s="324"/>
      <c r="G173" s="324"/>
      <c r="H173" s="324"/>
      <c r="I173" s="432"/>
      <c r="J173" s="434"/>
      <c r="K173" s="478"/>
      <c r="L173" s="479"/>
      <c r="M173" s="480"/>
      <c r="N173" s="481"/>
      <c r="O173" s="482"/>
      <c r="P173" s="483"/>
      <c r="Q173" s="484"/>
      <c r="R173" s="485"/>
      <c r="S173" s="485"/>
      <c r="T173" s="486"/>
      <c r="U173" s="530"/>
      <c r="V173" s="180"/>
    </row>
    <row r="174" spans="1:22" x14ac:dyDescent="0.25">
      <c r="A174" s="524" t="s">
        <v>1339</v>
      </c>
      <c r="B174" s="431" t="str">
        <f>VLOOKUP(A174,'Feature Raw Data'!$A$3:$B$4204,2,FALSE)</f>
        <v>ATHUB:Power - Dynamic Clock Gating</v>
      </c>
      <c r="C174" s="432" t="str">
        <f>VLOOKUP(A174,'Feature Raw Data'!$A$3:$C$4204,3,FALSE)</f>
        <v>P2</v>
      </c>
      <c r="D174" s="433" t="str" cm="1">
        <f t="array" ref="D174">_xlfn.TEXTJOIN("",TRUE,IF(ISNUMBER(SEARCH($A174,'Diags Raw Data'!$A$6:$A$3907)),CONCATENATE('Diags Raw Data'!$H$6:$H$3907,", "),""))</f>
        <v/>
      </c>
      <c r="E174" s="324" t="e">
        <f>VLOOKUP(A174,'Diags Raw Data'!$A$6:$D$3907,4,FALSE)</f>
        <v>#N/A</v>
      </c>
      <c r="F174" s="324" t="str">
        <f>VLOOKUP(A174,'Feature Raw Data'!$A$3:$E$4204,5,FALSE)</f>
        <v>Legacy</v>
      </c>
      <c r="G174" s="324" t="str">
        <f t="shared" si="83"/>
        <v>No</v>
      </c>
      <c r="H174" s="324" t="str">
        <f t="shared" si="84"/>
        <v>No</v>
      </c>
      <c r="I174" s="432">
        <f>SUMIF('Diags Raw Data'!$A$6:$A$3907,"*"&amp;$A174&amp;"*",'Diags Raw Data'!$K$6:$K$3907)</f>
        <v>0</v>
      </c>
      <c r="J174" s="434">
        <f>SUMIF('Diags Raw Data'!$A$6:$A$3907,"*"&amp;$A174&amp;"*",'Diags Raw Data'!$L$6:$L$3907)</f>
        <v>0</v>
      </c>
      <c r="K174" s="478" cm="1">
        <f t="array" ref="K174">IF(D174="",0, SUMPRODUCT(--(ISNUMBER(SEARCH($A174,'Diags Raw Data'!$A$6:$A$3907))),'Diags Raw Data'!$L$6:$L$3907,'Diags Raw Data'!$N$6:$N$3910)/J174)</f>
        <v>0</v>
      </c>
      <c r="L174" s="479" cm="1">
        <f t="array" ref="L174">IF(D174="",0, SUMPRODUCT(--(ISNUMBER(SEARCH($A174,'Diags Raw Data'!$A$6:$A$3907))),'Diags Raw Data'!$L$6:$L$3907,'Diags Raw Data'!$P$6:$P$3907)/J174)</f>
        <v>0</v>
      </c>
      <c r="M174" s="480" cm="1">
        <f t="array" ref="M174">SUMPRODUCT(--(ISNUMBER(SEARCH($A174,'Diags Raw Data'!$A$6:$A$3907))),--('Diags Raw Data'!$Q$6:$Q$3907&lt;&gt;"N/A"),'Diags Raw Data'!$R$6:$R$3907)</f>
        <v>0</v>
      </c>
      <c r="N174" s="481" cm="1">
        <f t="array" ref="N174">SUMPRODUCT(--(ISNUMBER(SEARCH($A174,'Diags Raw Data'!$A$6:$A$3907))),--('Diags Raw Data'!$Q$6:$Q$3907&lt;&gt;"N/A"),'Diags Raw Data'!$T$6:$T$3907)+SUMPRODUCT(--(ISNUMBER(SEARCH($A174,'Diags Raw Data'!$A$6:$A$3907))),--('Diags Raw Data'!$Q$6:$Q$3907&lt;&gt;"N/A"),'Diags Raw Data'!$U$6:$U$3907)</f>
        <v>0</v>
      </c>
      <c r="O174" s="482">
        <f t="shared" si="85"/>
        <v>0</v>
      </c>
      <c r="P174" s="483">
        <f>SUMIF('Diags Raw Data'!$A$6:$A$3907,"*"&amp;$A174&amp;"*",'Diags Raw Data'!$Z$6:$Z$3907)</f>
        <v>0</v>
      </c>
      <c r="Q174" s="484">
        <f>SUM(SUMIF('Diags Raw Data'!$A$6:$A$3907,"*"&amp;$A174&amp;"*",'Diags Raw Data'!$AA$6:$AA$3907),SUMIF('Diags Raw Data'!$A$6:$A$3907,"*"&amp;$A174&amp;"*",'Diags Raw Data'!$AB$6:$AB$3907))</f>
        <v>0</v>
      </c>
      <c r="R174" s="485">
        <f t="shared" si="86"/>
        <v>0</v>
      </c>
      <c r="S174" s="485">
        <f t="shared" si="87"/>
        <v>0</v>
      </c>
      <c r="T174" s="486">
        <f t="shared" si="88"/>
        <v>0</v>
      </c>
      <c r="U174" s="530" t="s">
        <v>44</v>
      </c>
      <c r="V174" s="180" t="s">
        <v>1447</v>
      </c>
    </row>
    <row r="175" spans="1:22" x14ac:dyDescent="0.25">
      <c r="A175" s="524" t="s">
        <v>1341</v>
      </c>
      <c r="B175" s="431" t="str">
        <f>VLOOKUP(A175,'Feature Raw Data'!$A$3:$B$4204,2,FALSE)</f>
        <v>ATHUB:Power - Dynamic Power Gating</v>
      </c>
      <c r="C175" s="432" t="str">
        <f>VLOOKUP(A175,'Feature Raw Data'!$A$3:$C$4204,3,FALSE)</f>
        <v>P2</v>
      </c>
      <c r="D175" s="433" t="str" cm="1">
        <f t="array" ref="D175">_xlfn.TEXTJOIN("",TRUE,IF(ISNUMBER(SEARCH($A175,'Diags Raw Data'!$A$6:$A$3907)),CONCATENATE('Diags Raw Data'!$H$6:$H$3907,", "),""))</f>
        <v/>
      </c>
      <c r="E175" s="324" t="e">
        <f>VLOOKUP(A175,'Diags Raw Data'!$A$6:$D$3907,4,FALSE)</f>
        <v>#N/A</v>
      </c>
      <c r="F175" s="324" t="str">
        <f>VLOOKUP(A175,'Feature Raw Data'!$A$3:$E$4204,5,FALSE)</f>
        <v>Legacy</v>
      </c>
      <c r="G175" s="324" t="str">
        <f t="shared" si="83"/>
        <v>No</v>
      </c>
      <c r="H175" s="324" t="str">
        <f t="shared" si="84"/>
        <v>No</v>
      </c>
      <c r="I175" s="432">
        <f>SUMIF('Diags Raw Data'!$A$6:$A$3907,"*"&amp;$A175&amp;"*",'Diags Raw Data'!$K$6:$K$3907)</f>
        <v>0</v>
      </c>
      <c r="J175" s="434">
        <f>SUMIF('Diags Raw Data'!$A$6:$A$3907,"*"&amp;$A175&amp;"*",'Diags Raw Data'!$L$6:$L$3907)</f>
        <v>0</v>
      </c>
      <c r="K175" s="478" cm="1">
        <f t="array" ref="K175">IF(D175="",0, SUMPRODUCT(--(ISNUMBER(SEARCH($A175,'Diags Raw Data'!$A$6:$A$3907))),'Diags Raw Data'!$L$6:$L$3907,'Diags Raw Data'!$N$6:$N$3910)/J175)</f>
        <v>0</v>
      </c>
      <c r="L175" s="479" cm="1">
        <f t="array" ref="L175">IF(D175="",0, SUMPRODUCT(--(ISNUMBER(SEARCH($A175,'Diags Raw Data'!$A$6:$A$3907))),'Diags Raw Data'!$L$6:$L$3907,'Diags Raw Data'!$P$6:$P$3907)/J175)</f>
        <v>0</v>
      </c>
      <c r="M175" s="480" cm="1">
        <f t="array" ref="M175">SUMPRODUCT(--(ISNUMBER(SEARCH($A175,'Diags Raw Data'!$A$6:$A$3907))),--('Diags Raw Data'!$Q$6:$Q$3907&lt;&gt;"N/A"),'Diags Raw Data'!$R$6:$R$3907)</f>
        <v>0</v>
      </c>
      <c r="N175" s="481" cm="1">
        <f t="array" ref="N175">SUMPRODUCT(--(ISNUMBER(SEARCH($A175,'Diags Raw Data'!$A$6:$A$3907))),--('Diags Raw Data'!$Q$6:$Q$3907&lt;&gt;"N/A"),'Diags Raw Data'!$T$6:$T$3907)+SUMPRODUCT(--(ISNUMBER(SEARCH($A175,'Diags Raw Data'!$A$6:$A$3907))),--('Diags Raw Data'!$Q$6:$Q$3907&lt;&gt;"N/A"),'Diags Raw Data'!$U$6:$U$3907)</f>
        <v>0</v>
      </c>
      <c r="O175" s="482">
        <f t="shared" si="85"/>
        <v>0</v>
      </c>
      <c r="P175" s="483">
        <f>SUMIF('Diags Raw Data'!$A$6:$A$3907,"*"&amp;$A175&amp;"*",'Diags Raw Data'!$Z$6:$Z$3907)</f>
        <v>0</v>
      </c>
      <c r="Q175" s="484">
        <f>SUM(SUMIF('Diags Raw Data'!$A$6:$A$3907,"*"&amp;$A175&amp;"*",'Diags Raw Data'!$AA$6:$AA$3907),SUMIF('Diags Raw Data'!$A$6:$A$3907,"*"&amp;$A175&amp;"*",'Diags Raw Data'!$AB$6:$AB$3907))</f>
        <v>0</v>
      </c>
      <c r="R175" s="485">
        <f t="shared" si="86"/>
        <v>0</v>
      </c>
      <c r="S175" s="485">
        <f t="shared" si="87"/>
        <v>0</v>
      </c>
      <c r="T175" s="486">
        <f t="shared" si="88"/>
        <v>0</v>
      </c>
      <c r="U175" s="530" t="s">
        <v>44</v>
      </c>
      <c r="V175" s="180" t="s">
        <v>1447</v>
      </c>
    </row>
    <row r="176" spans="1:22" ht="30" x14ac:dyDescent="0.25">
      <c r="A176" s="524" t="s">
        <v>1343</v>
      </c>
      <c r="B176" s="431" t="str">
        <f>VLOOKUP(A176,'Feature Raw Data'!$A$3:$B$4204,2,FALSE)</f>
        <v>ATHUB:Security - SOC15 Security</v>
      </c>
      <c r="C176" s="432" t="str">
        <f>VLOOKUP(A176,'Feature Raw Data'!$A$3:$C$4204,3,FALSE)</f>
        <v>P2</v>
      </c>
      <c r="D176" s="433" t="str" cm="1">
        <f t="array" ref="D176">_xlfn.TEXTJOIN("",TRUE,IF(ISNUMBER(SEARCH($A176,'Diags Raw Data'!$A$6:$A$3907)),CONCATENATE('Diags Raw Data'!$H$6:$H$3907,", "),""))</f>
        <v/>
      </c>
      <c r="E176" s="324" t="e">
        <f>VLOOKUP(A176,'Diags Raw Data'!$A$6:$D$3907,4,FALSE)</f>
        <v>#N/A</v>
      </c>
      <c r="F176" s="324" t="str">
        <f>VLOOKUP(A176,'Feature Raw Data'!$A$3:$E$4204,5,FALSE)</f>
        <v>Legacy</v>
      </c>
      <c r="G176" s="324" t="s">
        <v>31</v>
      </c>
      <c r="H176" s="324" t="str">
        <f t="shared" si="84"/>
        <v>No</v>
      </c>
      <c r="I176" s="432">
        <f>SUMIF('Diags Raw Data'!$A$6:$A$3907,"*"&amp;$A176&amp;"*",'Diags Raw Data'!$K$6:$K$3907)</f>
        <v>0</v>
      </c>
      <c r="J176" s="434">
        <f>SUMIF('Diags Raw Data'!$A$6:$A$3907,"*"&amp;$A176&amp;"*",'Diags Raw Data'!$L$6:$L$3907)</f>
        <v>0</v>
      </c>
      <c r="K176" s="478" cm="1">
        <f t="array" ref="K176">IF(D176="",0, SUMPRODUCT(--(ISNUMBER(SEARCH($A176,'Diags Raw Data'!$A$6:$A$3907))),'Diags Raw Data'!$L$6:$L$3907,'Diags Raw Data'!$N$6:$N$3910)/J176)</f>
        <v>0</v>
      </c>
      <c r="L176" s="479" cm="1">
        <f t="array" ref="L176">IF(D176="",0, SUMPRODUCT(--(ISNUMBER(SEARCH($A176,'Diags Raw Data'!$A$6:$A$3907))),'Diags Raw Data'!$L$6:$L$3907,'Diags Raw Data'!$P$6:$P$3907)/J176)</f>
        <v>0</v>
      </c>
      <c r="M176" s="480" cm="1">
        <f t="array" ref="M176">SUMPRODUCT(--(ISNUMBER(SEARCH($A176,'Diags Raw Data'!$A$6:$A$3907))),--('Diags Raw Data'!$Q$6:$Q$3907&lt;&gt;"N/A"),'Diags Raw Data'!$R$6:$R$3907)</f>
        <v>0</v>
      </c>
      <c r="N176" s="481" cm="1">
        <f t="array" ref="N176">SUMPRODUCT(--(ISNUMBER(SEARCH($A176,'Diags Raw Data'!$A$6:$A$3907))),--('Diags Raw Data'!$Q$6:$Q$3907&lt;&gt;"N/A"),'Diags Raw Data'!$T$6:$T$3907)+SUMPRODUCT(--(ISNUMBER(SEARCH($A176,'Diags Raw Data'!$A$6:$A$3907))),--('Diags Raw Data'!$Q$6:$Q$3907&lt;&gt;"N/A"),'Diags Raw Data'!$U$6:$U$3907)</f>
        <v>0</v>
      </c>
      <c r="O176" s="482">
        <f t="shared" si="85"/>
        <v>0</v>
      </c>
      <c r="P176" s="483">
        <f>SUMIF('Diags Raw Data'!$A$6:$A$3907,"*"&amp;$A176&amp;"*",'Diags Raw Data'!$Z$6:$Z$3907)</f>
        <v>0</v>
      </c>
      <c r="Q176" s="484">
        <f>SUM(SUMIF('Diags Raw Data'!$A$6:$A$3907,"*"&amp;$A176&amp;"*",'Diags Raw Data'!$AA$6:$AA$3907),SUMIF('Diags Raw Data'!$A$6:$A$3907,"*"&amp;$A176&amp;"*",'Diags Raw Data'!$AB$6:$AB$3907))</f>
        <v>0</v>
      </c>
      <c r="R176" s="485">
        <f t="shared" si="86"/>
        <v>0</v>
      </c>
      <c r="S176" s="485">
        <f t="shared" si="87"/>
        <v>0</v>
      </c>
      <c r="T176" s="486">
        <f t="shared" si="88"/>
        <v>0</v>
      </c>
      <c r="U176" s="530" t="s">
        <v>44</v>
      </c>
      <c r="V176" s="180" t="s">
        <v>1448</v>
      </c>
    </row>
    <row r="177" spans="1:24" x14ac:dyDescent="0.25">
      <c r="A177" s="524" t="s">
        <v>1345</v>
      </c>
      <c r="B177" s="431" t="str">
        <f>VLOOKUP(A177,'Feature Raw Data'!$A$3:$B$4204,2,FALSE)</f>
        <v>ATHUB:Debug - Debug Bus</v>
      </c>
      <c r="C177" s="432" t="str">
        <f>VLOOKUP(A177,'Feature Raw Data'!$A$3:$C$4204,3,FALSE)</f>
        <v>P2</v>
      </c>
      <c r="D177" s="433" t="str" cm="1">
        <f t="array" ref="D177">_xlfn.TEXTJOIN("",TRUE,IF(ISNUMBER(SEARCH($A177,'Diags Raw Data'!$A$6:$A$3907)),CONCATENATE('Diags Raw Data'!$H$6:$H$3907,", "),""))</f>
        <v/>
      </c>
      <c r="E177" s="324" t="e">
        <f>VLOOKUP(A177,'Diags Raw Data'!$A$6:$D$3907,4,FALSE)</f>
        <v>#N/A</v>
      </c>
      <c r="F177" s="324" t="str">
        <f>VLOOKUP(A177,'Feature Raw Data'!$A$3:$E$4204,5,FALSE)</f>
        <v>Legacy</v>
      </c>
      <c r="G177" s="324" t="str">
        <f t="shared" si="83"/>
        <v>No</v>
      </c>
      <c r="H177" s="324" t="str">
        <f t="shared" si="84"/>
        <v>No</v>
      </c>
      <c r="I177" s="432">
        <f>SUMIF('Diags Raw Data'!$A$6:$A$3907,"*"&amp;$A177&amp;"*",'Diags Raw Data'!$K$6:$K$3907)</f>
        <v>0</v>
      </c>
      <c r="J177" s="434">
        <f>SUMIF('Diags Raw Data'!$A$6:$A$3907,"*"&amp;$A177&amp;"*",'Diags Raw Data'!$L$6:$L$3907)</f>
        <v>0</v>
      </c>
      <c r="K177" s="478" cm="1">
        <f t="array" ref="K177">IF(D177="",0, SUMPRODUCT(--(ISNUMBER(SEARCH($A177,'Diags Raw Data'!$A$6:$A$3907))),'Diags Raw Data'!$L$6:$L$3907,'Diags Raw Data'!$N$6:$N$3910)/J177)</f>
        <v>0</v>
      </c>
      <c r="L177" s="479" cm="1">
        <f t="array" ref="L177">IF(D177="",0, SUMPRODUCT(--(ISNUMBER(SEARCH($A177,'Diags Raw Data'!$A$6:$A$3907))),'Diags Raw Data'!$L$6:$L$3907,'Diags Raw Data'!$P$6:$P$3907)/J177)</f>
        <v>0</v>
      </c>
      <c r="M177" s="480" cm="1">
        <f t="array" ref="M177">SUMPRODUCT(--(ISNUMBER(SEARCH($A177,'Diags Raw Data'!$A$6:$A$3907))),--('Diags Raw Data'!$Q$6:$Q$3907&lt;&gt;"N/A"),'Diags Raw Data'!$R$6:$R$3907)</f>
        <v>0</v>
      </c>
      <c r="N177" s="481" cm="1">
        <f t="array" ref="N177">SUMPRODUCT(--(ISNUMBER(SEARCH($A177,'Diags Raw Data'!$A$6:$A$3907))),--('Diags Raw Data'!$Q$6:$Q$3907&lt;&gt;"N/A"),'Diags Raw Data'!$T$6:$T$3907)+SUMPRODUCT(--(ISNUMBER(SEARCH($A177,'Diags Raw Data'!$A$6:$A$3907))),--('Diags Raw Data'!$Q$6:$Q$3907&lt;&gt;"N/A"),'Diags Raw Data'!$U$6:$U$3907)</f>
        <v>0</v>
      </c>
      <c r="O177" s="482">
        <f t="shared" si="85"/>
        <v>0</v>
      </c>
      <c r="P177" s="483">
        <f>SUMIF('Diags Raw Data'!$A$6:$A$3907,"*"&amp;$A177&amp;"*",'Diags Raw Data'!$Z$6:$Z$3907)</f>
        <v>0</v>
      </c>
      <c r="Q177" s="484">
        <f>SUM(SUMIF('Diags Raw Data'!$A$6:$A$3907,"*"&amp;$A177&amp;"*",'Diags Raw Data'!$AA$6:$AA$3907),SUMIF('Diags Raw Data'!$A$6:$A$3907,"*"&amp;$A177&amp;"*",'Diags Raw Data'!$AB$6:$AB$3907))</f>
        <v>0</v>
      </c>
      <c r="R177" s="485">
        <f>IF((J177=0),0,P177/J177)</f>
        <v>0</v>
      </c>
      <c r="S177" s="485">
        <f t="shared" si="87"/>
        <v>0</v>
      </c>
      <c r="T177" s="486">
        <f t="shared" si="88"/>
        <v>0</v>
      </c>
      <c r="U177" s="530" t="s">
        <v>44</v>
      </c>
      <c r="V177" s="180" t="s">
        <v>1436</v>
      </c>
    </row>
    <row r="178" spans="1:24" x14ac:dyDescent="0.25">
      <c r="A178" s="524"/>
      <c r="B178" s="431"/>
      <c r="C178" s="432"/>
      <c r="D178" s="433"/>
      <c r="E178" s="324"/>
      <c r="F178" s="324"/>
      <c r="G178" s="324"/>
      <c r="H178" s="324"/>
      <c r="I178" s="432"/>
      <c r="J178" s="434"/>
      <c r="K178" s="478"/>
      <c r="L178" s="479"/>
      <c r="M178" s="480"/>
      <c r="N178" s="481"/>
      <c r="O178" s="482"/>
      <c r="P178" s="483"/>
      <c r="Q178" s="484"/>
      <c r="R178" s="485"/>
      <c r="S178" s="485"/>
      <c r="T178" s="486"/>
      <c r="U178" s="530"/>
      <c r="V178" s="180"/>
    </row>
    <row r="179" spans="1:24" ht="45" x14ac:dyDescent="0.25">
      <c r="A179" s="524" t="s">
        <v>1048</v>
      </c>
      <c r="B179" s="431" t="str">
        <f>VLOOKUP(A179,'Feature Raw Data'!$A$3:$B$4204,2,FALSE)</f>
        <v>MMHUB:DAGB - Delta Color Compression (DCC)</v>
      </c>
      <c r="C179" s="432" t="str">
        <f>VLOOKUP(A179,'Feature Raw Data'!$A$3:$C$4204,3,FALSE)</f>
        <v>P1</v>
      </c>
      <c r="D179" s="433" t="str" cm="1">
        <f t="array" ref="D179">_xlfn.TEXTJOIN("",TRUE,IF(ISNUMBER(SEARCH($A179,'Diags Raw Data'!$A$6:$A$3907)),CONCATENATE('Diags Raw Data'!$H$6:$H$3907,", "),""))</f>
        <v xml:space="preserve">mhub167.1, </v>
      </c>
      <c r="E179" s="324" t="str">
        <f>VLOOKUP(A179,'Diags Raw Data'!$A$6:$D$3907,4,FALSE)</f>
        <v>MMHUB</v>
      </c>
      <c r="F179" s="324" t="str">
        <f>VLOOKUP(A179,'Feature Raw Data'!$A$3:$E$4204,5,FALSE)</f>
        <v>New</v>
      </c>
      <c r="G179" s="324" t="str">
        <f t="shared" si="83"/>
        <v>Yes</v>
      </c>
      <c r="H179" s="324" t="str">
        <f t="shared" si="84"/>
        <v>Yes</v>
      </c>
      <c r="I179" s="432">
        <f>SUMIF('Diags Raw Data'!$A$6:$A$3907,"*"&amp;$A179&amp;"*",'Diags Raw Data'!$K$6:$K$3907)</f>
        <v>1</v>
      </c>
      <c r="J179" s="434">
        <f>SUMIF('Diags Raw Data'!$A$6:$A$3907,"*"&amp;$A179&amp;"*",'Diags Raw Data'!$L$6:$L$3907)</f>
        <v>1</v>
      </c>
      <c r="K179" s="478" t="e" cm="1">
        <f t="array" ref="K179">IF(D179="",0, SUMPRODUCT(--(ISNUMBER(SEARCH($A179,'Diags Raw Data'!$A$6:$A$3907))),'Diags Raw Data'!$L$6:$L$3907,'Diags Raw Data'!$N$6:$N$3910)/J179)</f>
        <v>#VALUE!</v>
      </c>
      <c r="L179" s="479" cm="1">
        <f t="array" ref="L179">IF(D179="",0, SUMPRODUCT(--(ISNUMBER(SEARCH($A179,'Diags Raw Data'!$A$6:$A$3907))),'Diags Raw Data'!$L$6:$L$3907,'Diags Raw Data'!$P$6:$P$3907)/J179)</f>
        <v>1</v>
      </c>
      <c r="M179" s="480" cm="1">
        <f t="array" ref="M179">SUMPRODUCT(--(ISNUMBER(SEARCH($A179,'Diags Raw Data'!$A$6:$A$3907))),--('Diags Raw Data'!$Q$6:$Q$3907&lt;&gt;"N/A"),'Diags Raw Data'!$R$6:$R$3907)</f>
        <v>1</v>
      </c>
      <c r="N179" s="481" cm="1">
        <f t="array" ref="N179">SUMPRODUCT(--(ISNUMBER(SEARCH($A179,'Diags Raw Data'!$A$6:$A$3907))),--('Diags Raw Data'!$Q$6:$Q$3907&lt;&gt;"N/A"),'Diags Raw Data'!$T$6:$T$3907)+SUMPRODUCT(--(ISNUMBER(SEARCH($A179,'Diags Raw Data'!$A$6:$A$3907))),--('Diags Raw Data'!$Q$6:$Q$3907&lt;&gt;"N/A"),'Diags Raw Data'!$U$6:$U$3907)</f>
        <v>1</v>
      </c>
      <c r="O179" s="482">
        <f t="shared" si="85"/>
        <v>1</v>
      </c>
      <c r="P179" s="483">
        <f>SUMIF('Diags Raw Data'!$A$6:$A$3907,"*"&amp;$A179&amp;"*",'Diags Raw Data'!$Z$6:$Z$3907)</f>
        <v>0</v>
      </c>
      <c r="Q179" s="484">
        <f>SUM(SUMIF('Diags Raw Data'!$A$6:$A$3907,"*"&amp;$A179&amp;"*",'Diags Raw Data'!$AA$6:$AA$3907),SUMIF('Diags Raw Data'!$A$6:$A$3907,"*"&amp;$A179&amp;"*",'Diags Raw Data'!$AB$6:$AB$3907))</f>
        <v>0</v>
      </c>
      <c r="R179" s="485">
        <f t="shared" si="86"/>
        <v>0</v>
      </c>
      <c r="S179" s="485">
        <f t="shared" si="87"/>
        <v>0</v>
      </c>
      <c r="T179" s="486">
        <f t="shared" si="88"/>
        <v>0</v>
      </c>
      <c r="U179" s="530" t="s">
        <v>1449</v>
      </c>
      <c r="V179" s="180"/>
      <c r="X179" s="181" t="s">
        <v>1450</v>
      </c>
    </row>
    <row r="180" spans="1:24" ht="30" x14ac:dyDescent="0.25">
      <c r="A180" s="524" t="s">
        <v>1219</v>
      </c>
      <c r="B180" s="431" t="str">
        <f>VLOOKUP(A180,'Feature Raw Data'!$A$3:$B$4204,2,FALSE)</f>
        <v>MMHUB:DAGB - Client Read/Write Override</v>
      </c>
      <c r="C180" s="432" t="str">
        <f>VLOOKUP(A180,'Feature Raw Data'!$A$3:$C$4204,3,FALSE)</f>
        <v>P2</v>
      </c>
      <c r="D180" s="433" t="str" cm="1">
        <f t="array" ref="D180">_xlfn.TEXTJOIN("",TRUE,IF(ISNUMBER(SEARCH($A180,'Diags Raw Data'!$A$6:$A$3907)),CONCATENATE('Diags Raw Data'!$H$6:$H$3907,", "),""))</f>
        <v/>
      </c>
      <c r="E180" s="324" t="e">
        <f>VLOOKUP(A180,'Diags Raw Data'!$A$6:$D$3907,4,FALSE)</f>
        <v>#N/A</v>
      </c>
      <c r="F180" s="324" t="str">
        <f>VLOOKUP(A180,'Feature Raw Data'!$A$3:$E$4204,5,FALSE)</f>
        <v>New</v>
      </c>
      <c r="G180" s="324" t="s">
        <v>31</v>
      </c>
      <c r="H180" s="324" t="str">
        <f t="shared" si="84"/>
        <v>No</v>
      </c>
      <c r="I180" s="432">
        <f>SUMIF('Diags Raw Data'!$A$6:$A$3907,"*"&amp;$A180&amp;"*",'Diags Raw Data'!$K$6:$K$3907)</f>
        <v>0</v>
      </c>
      <c r="J180" s="434">
        <f>SUMIF('Diags Raw Data'!$A$6:$A$3907,"*"&amp;$A180&amp;"*",'Diags Raw Data'!$L$6:$L$3907)</f>
        <v>0</v>
      </c>
      <c r="K180" s="478" cm="1">
        <f t="array" ref="K180">IF(D180="",0, SUMPRODUCT(--(ISNUMBER(SEARCH($A180,'Diags Raw Data'!$A$6:$A$3907))),'Diags Raw Data'!$L$6:$L$3907,'Diags Raw Data'!$N$6:$N$3910)/J180)</f>
        <v>0</v>
      </c>
      <c r="L180" s="479" cm="1">
        <f t="array" ref="L180">IF(D180="",0, SUMPRODUCT(--(ISNUMBER(SEARCH($A180,'Diags Raw Data'!$A$6:$A$3907))),'Diags Raw Data'!$L$6:$L$3907,'Diags Raw Data'!$P$6:$P$3907)/J180)</f>
        <v>0</v>
      </c>
      <c r="M180" s="480" cm="1">
        <f t="array" ref="M180">SUMPRODUCT(--(ISNUMBER(SEARCH($A180,'Diags Raw Data'!$A$6:$A$3907))),--('Diags Raw Data'!$Q$6:$Q$3907&lt;&gt;"N/A"),'Diags Raw Data'!$R$6:$R$3907)</f>
        <v>0</v>
      </c>
      <c r="N180" s="481" cm="1">
        <f t="array" ref="N180">SUMPRODUCT(--(ISNUMBER(SEARCH($A180,'Diags Raw Data'!$A$6:$A$3907))),--('Diags Raw Data'!$Q$6:$Q$3907&lt;&gt;"N/A"),'Diags Raw Data'!$T$6:$T$3907)+SUMPRODUCT(--(ISNUMBER(SEARCH($A180,'Diags Raw Data'!$A$6:$A$3907))),--('Diags Raw Data'!$Q$6:$Q$3907&lt;&gt;"N/A"),'Diags Raw Data'!$U$6:$U$3907)</f>
        <v>0</v>
      </c>
      <c r="O180" s="482">
        <f t="shared" si="85"/>
        <v>0</v>
      </c>
      <c r="P180" s="483">
        <f>SUMIF('Diags Raw Data'!$A$6:$A$3907,"*"&amp;$A180&amp;"*",'Diags Raw Data'!$Z$6:$Z$3907)</f>
        <v>0</v>
      </c>
      <c r="Q180" s="484">
        <f>SUM(SUMIF('Diags Raw Data'!$A$6:$A$3907,"*"&amp;$A180&amp;"*",'Diags Raw Data'!$AA$6:$AA$3907),SUMIF('Diags Raw Data'!$A$6:$A$3907,"*"&amp;$A180&amp;"*",'Diags Raw Data'!$AB$6:$AB$3907))</f>
        <v>0</v>
      </c>
      <c r="R180" s="485">
        <f t="shared" si="86"/>
        <v>0</v>
      </c>
      <c r="S180" s="485">
        <f t="shared" si="87"/>
        <v>0</v>
      </c>
      <c r="T180" s="486">
        <f t="shared" si="88"/>
        <v>0</v>
      </c>
      <c r="U180" s="530" t="s">
        <v>44</v>
      </c>
      <c r="V180" s="180"/>
      <c r="W180" s="181" t="s">
        <v>1451</v>
      </c>
    </row>
    <row r="181" spans="1:24" x14ac:dyDescent="0.25">
      <c r="A181" s="524" t="s">
        <v>1222</v>
      </c>
      <c r="B181" s="431" t="str">
        <f>VLOOKUP(A181,'Feature Raw Data'!$A$3:$B$4204,2,FALSE)</f>
        <v>MMHUB:SOC - SRAM FGCG</v>
      </c>
      <c r="C181" s="432" t="str">
        <f>VLOOKUP(A181,'Feature Raw Data'!$A$3:$C$4204,3,FALSE)</f>
        <v>P1</v>
      </c>
      <c r="D181" s="433" t="str" cm="1">
        <f t="array" ref="D181">_xlfn.TEXTJOIN("",TRUE,IF(ISNUMBER(SEARCH($A181,'Diags Raw Data'!$A$6:$A$3907)),CONCATENATE('Diags Raw Data'!$H$6:$H$3907,", "),""))</f>
        <v/>
      </c>
      <c r="E181" s="324" t="e">
        <f>VLOOKUP(A181,'Diags Raw Data'!$A$6:$D$3907,4,FALSE)</f>
        <v>#N/A</v>
      </c>
      <c r="F181" s="324" t="str">
        <f>VLOOKUP(A181,'Feature Raw Data'!$A$3:$E$4204,5,FALSE)</f>
        <v>New</v>
      </c>
      <c r="G181" s="324" t="str">
        <f t="shared" si="83"/>
        <v>No</v>
      </c>
      <c r="H181" s="324" t="str">
        <f t="shared" si="84"/>
        <v>No</v>
      </c>
      <c r="I181" s="432">
        <f>SUMIF('Diags Raw Data'!$A$6:$A$3907,"*"&amp;$A181&amp;"*",'Diags Raw Data'!$K$6:$K$3907)</f>
        <v>0</v>
      </c>
      <c r="J181" s="434">
        <f>SUMIF('Diags Raw Data'!$A$6:$A$3907,"*"&amp;$A181&amp;"*",'Diags Raw Data'!$L$6:$L$3907)</f>
        <v>0</v>
      </c>
      <c r="K181" s="478" cm="1">
        <f t="array" ref="K181">IF(D181="",0, SUMPRODUCT(--(ISNUMBER(SEARCH($A181,'Diags Raw Data'!$A$6:$A$3907))),'Diags Raw Data'!$L$6:$L$3907,'Diags Raw Data'!$N$6:$N$3910)/J181)</f>
        <v>0</v>
      </c>
      <c r="L181" s="479" cm="1">
        <f t="array" ref="L181">IF(D181="",0, SUMPRODUCT(--(ISNUMBER(SEARCH($A181,'Diags Raw Data'!$A$6:$A$3907))),'Diags Raw Data'!$L$6:$L$3907,'Diags Raw Data'!$P$6:$P$3907)/J181)</f>
        <v>0</v>
      </c>
      <c r="M181" s="480" cm="1">
        <f t="array" ref="M181">SUMPRODUCT(--(ISNUMBER(SEARCH($A181,'Diags Raw Data'!$A$6:$A$3907))),--('Diags Raw Data'!$Q$6:$Q$3907&lt;&gt;"N/A"),'Diags Raw Data'!$R$6:$R$3907)</f>
        <v>0</v>
      </c>
      <c r="N181" s="481" cm="1">
        <f t="array" ref="N181">SUMPRODUCT(--(ISNUMBER(SEARCH($A181,'Diags Raw Data'!$A$6:$A$3907))),--('Diags Raw Data'!$Q$6:$Q$3907&lt;&gt;"N/A"),'Diags Raw Data'!$T$6:$T$3907)+SUMPRODUCT(--(ISNUMBER(SEARCH($A181,'Diags Raw Data'!$A$6:$A$3907))),--('Diags Raw Data'!$Q$6:$Q$3907&lt;&gt;"N/A"),'Diags Raw Data'!$U$6:$U$3907)</f>
        <v>0</v>
      </c>
      <c r="O181" s="482">
        <f t="shared" si="85"/>
        <v>0</v>
      </c>
      <c r="P181" s="483">
        <f>SUMIF('Diags Raw Data'!$A$6:$A$3907,"*"&amp;$A181&amp;"*",'Diags Raw Data'!$Z$6:$Z$3907)</f>
        <v>0</v>
      </c>
      <c r="Q181" s="484">
        <f>SUM(SUMIF('Diags Raw Data'!$A$6:$A$3907,"*"&amp;$A181&amp;"*",'Diags Raw Data'!$AA$6:$AA$3907),SUMIF('Diags Raw Data'!$A$6:$A$3907,"*"&amp;$A181&amp;"*",'Diags Raw Data'!$AB$6:$AB$3907))</f>
        <v>0</v>
      </c>
      <c r="R181" s="485">
        <f t="shared" si="86"/>
        <v>0</v>
      </c>
      <c r="S181" s="485">
        <f t="shared" si="87"/>
        <v>0</v>
      </c>
      <c r="T181" s="486">
        <f t="shared" si="88"/>
        <v>0</v>
      </c>
      <c r="U181" s="530" t="s">
        <v>44</v>
      </c>
      <c r="V181" s="180" t="s">
        <v>1452</v>
      </c>
    </row>
    <row r="182" spans="1:24" ht="30" x14ac:dyDescent="0.25">
      <c r="A182" s="524" t="s">
        <v>1052</v>
      </c>
      <c r="B182" s="431" t="str">
        <f>VLOOKUP(A182,'Feature Raw Data'!$A$3:$B$4204,2,FALSE)</f>
        <v>GFXHUB:GCUTCL2:VMl2 - Delta Color Compress (DCC) Support</v>
      </c>
      <c r="C182" s="432" t="str">
        <f>VLOOKUP(A182,'Feature Raw Data'!$A$3:$C$4204,3,FALSE)</f>
        <v>P1</v>
      </c>
      <c r="D182" s="433" t="str" cm="1">
        <f t="array" ref="D182">_xlfn.TEXTJOIN("",TRUE,IF(ISNUMBER(SEARCH($A182,'Diags Raw Data'!$A$6:$A$3907)),CONCATENATE('Diags Raw Data'!$H$6:$H$3907,", "),""))</f>
        <v xml:space="preserve">mhub367.1, </v>
      </c>
      <c r="E182" s="324" t="str">
        <f>VLOOKUP(A182,'Diags Raw Data'!$A$6:$D$3907,4,FALSE)</f>
        <v>GFXHUB</v>
      </c>
      <c r="F182" s="324" t="str">
        <f>VLOOKUP(A182,'Feature Raw Data'!$A$3:$E$4204,5,FALSE)</f>
        <v>New</v>
      </c>
      <c r="G182" s="324" t="str">
        <f t="shared" si="83"/>
        <v>Yes</v>
      </c>
      <c r="H182" s="324" t="str">
        <f t="shared" si="84"/>
        <v>Yes</v>
      </c>
      <c r="I182" s="432">
        <f>SUMIF('Diags Raw Data'!$A$6:$A$3907,"*"&amp;$A182&amp;"*",'Diags Raw Data'!$K$6:$K$3907)</f>
        <v>1</v>
      </c>
      <c r="J182" s="434">
        <f>SUMIF('Diags Raw Data'!$A$6:$A$3907,"*"&amp;$A182&amp;"*",'Diags Raw Data'!$L$6:$L$3907)</f>
        <v>1</v>
      </c>
      <c r="K182" s="478" t="e" cm="1">
        <f t="array" ref="K182">IF(D182="",0, SUMPRODUCT(--(ISNUMBER(SEARCH($A182,'Diags Raw Data'!$A$6:$A$3907))),'Diags Raw Data'!$L$6:$L$3907,'Diags Raw Data'!$N$6:$N$3910)/J182)</f>
        <v>#VALUE!</v>
      </c>
      <c r="L182" s="479" cm="1">
        <f t="array" ref="L182">IF(D182="",0, SUMPRODUCT(--(ISNUMBER(SEARCH($A182,'Diags Raw Data'!$A$6:$A$3907))),'Diags Raw Data'!$L$6:$L$3907,'Diags Raw Data'!$P$6:$P$3907)/J182)</f>
        <v>1</v>
      </c>
      <c r="M182" s="480" cm="1">
        <f t="array" ref="M182">SUMPRODUCT(--(ISNUMBER(SEARCH($A182,'Diags Raw Data'!$A$6:$A$3907))),--('Diags Raw Data'!$Q$6:$Q$3907&lt;&gt;"N/A"),'Diags Raw Data'!$R$6:$R$3907)</f>
        <v>1</v>
      </c>
      <c r="N182" s="481" cm="1">
        <f t="array" ref="N182">SUMPRODUCT(--(ISNUMBER(SEARCH($A182,'Diags Raw Data'!$A$6:$A$3907))),--('Diags Raw Data'!$Q$6:$Q$3907&lt;&gt;"N/A"),'Diags Raw Data'!$T$6:$T$3907)+SUMPRODUCT(--(ISNUMBER(SEARCH($A182,'Diags Raw Data'!$A$6:$A$3907))),--('Diags Raw Data'!$Q$6:$Q$3907&lt;&gt;"N/A"),'Diags Raw Data'!$U$6:$U$3907)</f>
        <v>1</v>
      </c>
      <c r="O182" s="482">
        <f t="shared" si="85"/>
        <v>1</v>
      </c>
      <c r="P182" s="483">
        <f>SUMIF('Diags Raw Data'!$A$6:$A$3907,"*"&amp;$A182&amp;"*",'Diags Raw Data'!$Z$6:$Z$3907)</f>
        <v>0</v>
      </c>
      <c r="Q182" s="484">
        <f>SUM(SUMIF('Diags Raw Data'!$A$6:$A$3907,"*"&amp;$A182&amp;"*",'Diags Raw Data'!$AA$6:$AA$3907),SUMIF('Diags Raw Data'!$A$6:$A$3907,"*"&amp;$A182&amp;"*",'Diags Raw Data'!$AB$6:$AB$3907))</f>
        <v>0</v>
      </c>
      <c r="R182" s="485">
        <f t="shared" si="86"/>
        <v>0</v>
      </c>
      <c r="S182" s="485">
        <f t="shared" si="87"/>
        <v>0</v>
      </c>
      <c r="T182" s="486">
        <f t="shared" si="88"/>
        <v>0</v>
      </c>
      <c r="U182" s="530" t="s">
        <v>1449</v>
      </c>
      <c r="V182" s="180"/>
      <c r="X182" s="181" t="s">
        <v>1453</v>
      </c>
    </row>
    <row r="183" spans="1:24" x14ac:dyDescent="0.25">
      <c r="A183" s="524" t="s">
        <v>1056</v>
      </c>
      <c r="B183" s="431" t="str">
        <f>VLOOKUP(A183,'Feature Raw Data'!$A$3:$B$4204,2,FALSE)</f>
        <v>MMHUB:DAGB - Native large writes</v>
      </c>
      <c r="C183" s="432" t="str">
        <f>VLOOKUP(A183,'Feature Raw Data'!$A$3:$C$4204,3,FALSE)</f>
        <v>P1</v>
      </c>
      <c r="D183" s="433" t="str" cm="1">
        <f t="array" ref="D183">_xlfn.TEXTJOIN("",TRUE,IF(ISNUMBER(SEARCH($A183,'Diags Raw Data'!$A$6:$A$3907)),CONCATENATE('Diags Raw Data'!$H$6:$H$3907,", "),""))</f>
        <v xml:space="preserve">mhub168.1,mhub168.2,mhub168.3,mhub168.4, mhub169.1,mhub169.2,mhub169.3,mhub169.4, </v>
      </c>
      <c r="E183" s="324" t="str">
        <f>VLOOKUP(A183,'Diags Raw Data'!$A$6:$D$3907,4,FALSE)</f>
        <v>MMHUB</v>
      </c>
      <c r="F183" s="324" t="str">
        <f>VLOOKUP(A183,'Feature Raw Data'!$A$3:$E$4204,5,FALSE)</f>
        <v>New</v>
      </c>
      <c r="G183" s="324" t="str">
        <f t="shared" si="83"/>
        <v>Yes</v>
      </c>
      <c r="H183" s="324" t="str">
        <f t="shared" si="84"/>
        <v>Yes</v>
      </c>
      <c r="I183" s="432">
        <f>SUMIF('Diags Raw Data'!$A$6:$A$3907,"*"&amp;$A183&amp;"*",'Diags Raw Data'!$K$6:$K$3907)</f>
        <v>2</v>
      </c>
      <c r="J183" s="434">
        <f>SUMIF('Diags Raw Data'!$A$6:$A$3907,"*"&amp;$A183&amp;"*",'Diags Raw Data'!$L$6:$L$3907)</f>
        <v>8</v>
      </c>
      <c r="K183" s="478" t="e" cm="1">
        <f t="array" ref="K183">IF(D183="",0, SUMPRODUCT(--(ISNUMBER(SEARCH($A183,'Diags Raw Data'!$A$6:$A$3907))),'Diags Raw Data'!$L$6:$L$3907,'Diags Raw Data'!$N$6:$N$3910)/J183)</f>
        <v>#VALUE!</v>
      </c>
      <c r="L183" s="479" cm="1">
        <f t="array" ref="L183">IF(D183="",0, SUMPRODUCT(--(ISNUMBER(SEARCH($A183,'Diags Raw Data'!$A$6:$A$3907))),'Diags Raw Data'!$L$6:$L$3907,'Diags Raw Data'!$P$6:$P$3907)/J183)</f>
        <v>1</v>
      </c>
      <c r="M183" s="480" cm="1">
        <f t="array" ref="M183">SUMPRODUCT(--(ISNUMBER(SEARCH($A183,'Diags Raw Data'!$A$6:$A$3907))),--('Diags Raw Data'!$Q$6:$Q$3907&lt;&gt;"N/A"),'Diags Raw Data'!$R$6:$R$3907)</f>
        <v>8</v>
      </c>
      <c r="N183" s="481" cm="1">
        <f t="array" ref="N183">SUMPRODUCT(--(ISNUMBER(SEARCH($A183,'Diags Raw Data'!$A$6:$A$3907))),--('Diags Raw Data'!$Q$6:$Q$3907&lt;&gt;"N/A"),'Diags Raw Data'!$T$6:$T$3907)+SUMPRODUCT(--(ISNUMBER(SEARCH($A183,'Diags Raw Data'!$A$6:$A$3907))),--('Diags Raw Data'!$Q$6:$Q$3907&lt;&gt;"N/A"),'Diags Raw Data'!$U$6:$U$3907)</f>
        <v>8</v>
      </c>
      <c r="O183" s="482">
        <f t="shared" si="85"/>
        <v>1</v>
      </c>
      <c r="P183" s="483">
        <f>SUMIF('Diags Raw Data'!$A$6:$A$3907,"*"&amp;$A183&amp;"*",'Diags Raw Data'!$Z$6:$Z$3907)</f>
        <v>0</v>
      </c>
      <c r="Q183" s="484">
        <f>SUM(SUMIF('Diags Raw Data'!$A$6:$A$3907,"*"&amp;$A183&amp;"*",'Diags Raw Data'!$AA$6:$AA$3907),SUMIF('Diags Raw Data'!$A$6:$A$3907,"*"&amp;$A183&amp;"*",'Diags Raw Data'!$AB$6:$AB$3907))</f>
        <v>0</v>
      </c>
      <c r="R183" s="485">
        <f t="shared" si="86"/>
        <v>0</v>
      </c>
      <c r="S183" s="485">
        <f t="shared" si="87"/>
        <v>0</v>
      </c>
      <c r="T183" s="486">
        <f t="shared" si="88"/>
        <v>0</v>
      </c>
      <c r="U183" s="530" t="s">
        <v>1423</v>
      </c>
      <c r="V183" s="180"/>
    </row>
    <row r="184" spans="1:24" ht="36.75" customHeight="1" x14ac:dyDescent="0.25">
      <c r="A184" s="524" t="s">
        <v>1225</v>
      </c>
      <c r="B184" s="431" t="str">
        <f>VLOOKUP(A184,'Feature Raw Data'!$A$3:$B$4204,2,FALSE)</f>
        <v>MMHUB:DAGB - Safe TDR for GPU Driver Reset Mode 3 Support</v>
      </c>
      <c r="C184" s="432" t="str">
        <f>VLOOKUP(A184,'Feature Raw Data'!$A$3:$C$4204,3,FALSE)</f>
        <v>P1</v>
      </c>
      <c r="D184" s="433" t="str" cm="1">
        <f t="array" ref="D184">_xlfn.TEXTJOIN("",TRUE,IF(ISNUMBER(SEARCH($A184,'Diags Raw Data'!$A$6:$A$3907)),CONCATENATE('Diags Raw Data'!$H$6:$H$3907,", "),""))</f>
        <v/>
      </c>
      <c r="E184" s="324" t="e">
        <f>VLOOKUP(A184,'Diags Raw Data'!$A$6:$D$3907,4,FALSE)</f>
        <v>#N/A</v>
      </c>
      <c r="F184" s="324" t="str">
        <f>VLOOKUP(A184,'Feature Raw Data'!$A$3:$E$4204,5,FALSE)</f>
        <v>New</v>
      </c>
      <c r="G184" s="324" t="str">
        <f t="shared" si="83"/>
        <v>No</v>
      </c>
      <c r="H184" s="324" t="str">
        <f t="shared" si="84"/>
        <v>No</v>
      </c>
      <c r="I184" s="432">
        <f>SUMIF('Diags Raw Data'!$A$6:$A$3907,"*"&amp;$A184&amp;"*",'Diags Raw Data'!$K$6:$K$3907)</f>
        <v>0</v>
      </c>
      <c r="J184" s="434">
        <f>SUMIF('Diags Raw Data'!$A$6:$A$3907,"*"&amp;$A184&amp;"*",'Diags Raw Data'!$L$6:$L$3907)</f>
        <v>0</v>
      </c>
      <c r="K184" s="478" cm="1">
        <f t="array" ref="K184">IF(D184="",0, SUMPRODUCT(--(ISNUMBER(SEARCH($A184,'Diags Raw Data'!$A$6:$A$3907))),'Diags Raw Data'!$L$6:$L$3907,'Diags Raw Data'!$N$6:$N$3910)/J184)</f>
        <v>0</v>
      </c>
      <c r="L184" s="479" cm="1">
        <f t="array" ref="L184">IF(D184="",0, SUMPRODUCT(--(ISNUMBER(SEARCH($A184,'Diags Raw Data'!$A$6:$A$3907))),'Diags Raw Data'!$L$6:$L$3907,'Diags Raw Data'!$P$6:$P$3907)/J184)</f>
        <v>0</v>
      </c>
      <c r="M184" s="480" cm="1">
        <f t="array" ref="M184">SUMPRODUCT(--(ISNUMBER(SEARCH($A184,'Diags Raw Data'!$A$6:$A$3907))),--('Diags Raw Data'!$Q$6:$Q$3907&lt;&gt;"N/A"),'Diags Raw Data'!$R$6:$R$3907)</f>
        <v>0</v>
      </c>
      <c r="N184" s="481" cm="1">
        <f t="array" ref="N184">SUMPRODUCT(--(ISNUMBER(SEARCH($A184,'Diags Raw Data'!$A$6:$A$3907))),--('Diags Raw Data'!$Q$6:$Q$3907&lt;&gt;"N/A"),'Diags Raw Data'!$T$6:$T$3907)+SUMPRODUCT(--(ISNUMBER(SEARCH($A184,'Diags Raw Data'!$A$6:$A$3907))),--('Diags Raw Data'!$Q$6:$Q$3907&lt;&gt;"N/A"),'Diags Raw Data'!$U$6:$U$3907)</f>
        <v>0</v>
      </c>
      <c r="O184" s="482">
        <f t="shared" si="85"/>
        <v>0</v>
      </c>
      <c r="P184" s="483">
        <f>SUMIF('Diags Raw Data'!$A$6:$A$3907,"*"&amp;$A184&amp;"*",'Diags Raw Data'!$Z$6:$Z$3907)</f>
        <v>0</v>
      </c>
      <c r="Q184" s="484">
        <f>SUM(SUMIF('Diags Raw Data'!$A$6:$A$3907,"*"&amp;$A184&amp;"*",'Diags Raw Data'!$AA$6:$AA$3907),SUMIF('Diags Raw Data'!$A$6:$A$3907,"*"&amp;$A184&amp;"*",'Diags Raw Data'!$AB$6:$AB$3907))</f>
        <v>0</v>
      </c>
      <c r="R184" s="485">
        <f t="shared" si="86"/>
        <v>0</v>
      </c>
      <c r="S184" s="485">
        <f t="shared" si="87"/>
        <v>0</v>
      </c>
      <c r="T184" s="486">
        <f t="shared" si="88"/>
        <v>0</v>
      </c>
      <c r="U184" s="530" t="s">
        <v>44</v>
      </c>
      <c r="V184" s="180" t="s">
        <v>1452</v>
      </c>
    </row>
    <row r="185" spans="1:24" x14ac:dyDescent="0.25">
      <c r="A185" s="524" t="s">
        <v>1061</v>
      </c>
      <c r="B185" s="431" t="str">
        <f>VLOOKUP(A185,'Feature Raw Data'!$A$3:$B$4204,2,FALSE)</f>
        <v>ATHUB:Native large write for IO</v>
      </c>
      <c r="C185" s="432" t="str">
        <f>VLOOKUP(A185,'Feature Raw Data'!$A$3:$C$4204,3,FALSE)</f>
        <v>P1</v>
      </c>
      <c r="D185" s="433" t="str" cm="1">
        <f t="array" ref="D185">_xlfn.TEXTJOIN("",TRUE,IF(ISNUMBER(SEARCH($A185,'Diags Raw Data'!$A$6:$A$3907)),CONCATENATE('Diags Raw Data'!$H$6:$H$3907,", "),""))</f>
        <v xml:space="preserve">mhub468.1, </v>
      </c>
      <c r="E185" s="324" t="str">
        <f>VLOOKUP(A185,'Diags Raw Data'!$A$6:$D$3907,4,FALSE)</f>
        <v>ATHUB</v>
      </c>
      <c r="F185" s="324" t="str">
        <f>VLOOKUP(A185,'Feature Raw Data'!$A$3:$E$4204,5,FALSE)</f>
        <v>New</v>
      </c>
      <c r="G185" s="324" t="str">
        <f t="shared" si="83"/>
        <v>Yes</v>
      </c>
      <c r="H185" s="324" t="str">
        <f t="shared" si="84"/>
        <v>Yes</v>
      </c>
      <c r="I185" s="432">
        <f>SUMIF('Diags Raw Data'!$A$6:$A$3907,"*"&amp;$A185&amp;"*",'Diags Raw Data'!$K$6:$K$3907)</f>
        <v>1</v>
      </c>
      <c r="J185" s="434">
        <f>SUMIF('Diags Raw Data'!$A$6:$A$3907,"*"&amp;$A185&amp;"*",'Diags Raw Data'!$L$6:$L$3907)</f>
        <v>1</v>
      </c>
      <c r="K185" s="478" t="e" cm="1">
        <f t="array" ref="K185">IF(D185="",0, SUMPRODUCT(--(ISNUMBER(SEARCH($A185,'Diags Raw Data'!$A$6:$A$3907))),'Diags Raw Data'!$L$6:$L$3907,'Diags Raw Data'!$N$6:$N$3910)/J185)</f>
        <v>#VALUE!</v>
      </c>
      <c r="L185" s="479" cm="1">
        <f t="array" ref="L185">IF(D185="",0, SUMPRODUCT(--(ISNUMBER(SEARCH($A185,'Diags Raw Data'!$A$6:$A$3907))),'Diags Raw Data'!$L$6:$L$3907,'Diags Raw Data'!$P$6:$P$3907)/J185)</f>
        <v>1</v>
      </c>
      <c r="M185" s="480" cm="1">
        <f t="array" ref="M185">SUMPRODUCT(--(ISNUMBER(SEARCH($A185,'Diags Raw Data'!$A$6:$A$3907))),--('Diags Raw Data'!$Q$6:$Q$3907&lt;&gt;"N/A"),'Diags Raw Data'!$R$6:$R$3907)</f>
        <v>1</v>
      </c>
      <c r="N185" s="481" cm="1">
        <f t="array" ref="N185">SUMPRODUCT(--(ISNUMBER(SEARCH($A185,'Diags Raw Data'!$A$6:$A$3907))),--('Diags Raw Data'!$Q$6:$Q$3907&lt;&gt;"N/A"),'Diags Raw Data'!$T$6:$T$3907)+SUMPRODUCT(--(ISNUMBER(SEARCH($A185,'Diags Raw Data'!$A$6:$A$3907))),--('Diags Raw Data'!$Q$6:$Q$3907&lt;&gt;"N/A"),'Diags Raw Data'!$U$6:$U$3907)</f>
        <v>1</v>
      </c>
      <c r="O185" s="482">
        <f t="shared" si="85"/>
        <v>1</v>
      </c>
      <c r="P185" s="483">
        <f>SUMIF('Diags Raw Data'!$A$6:$A$3907,"*"&amp;$A185&amp;"*",'Diags Raw Data'!$Z$6:$Z$3907)</f>
        <v>0</v>
      </c>
      <c r="Q185" s="484">
        <f>SUM(SUMIF('Diags Raw Data'!$A$6:$A$3907,"*"&amp;$A185&amp;"*",'Diags Raw Data'!$AA$6:$AA$3907),SUMIF('Diags Raw Data'!$A$6:$A$3907,"*"&amp;$A185&amp;"*",'Diags Raw Data'!$AB$6:$AB$3907))</f>
        <v>0</v>
      </c>
      <c r="R185" s="485">
        <f t="shared" si="86"/>
        <v>0</v>
      </c>
      <c r="S185" s="485">
        <f t="shared" si="87"/>
        <v>0</v>
      </c>
      <c r="T185" s="486">
        <f t="shared" si="88"/>
        <v>0</v>
      </c>
      <c r="U185" s="530" t="s">
        <v>1423</v>
      </c>
      <c r="V185" s="180"/>
    </row>
    <row r="186" spans="1:24" x14ac:dyDescent="0.25">
      <c r="A186" s="524" t="s">
        <v>1065</v>
      </c>
      <c r="B186" s="431" t="str">
        <f>VLOOKUP(A186,'Feature Raw Data'!$A$3:$B$4204,2,FALSE)</f>
        <v>ATHUB:RAW Check</v>
      </c>
      <c r="C186" s="432" t="str">
        <f>VLOOKUP(A186,'Feature Raw Data'!$A$3:$C$4204,3,FALSE)</f>
        <v>P1</v>
      </c>
      <c r="D186" s="433" t="str" cm="1">
        <f t="array" ref="D186">_xlfn.TEXTJOIN("",TRUE,IF(ISNUMBER(SEARCH($A186,'Diags Raw Data'!$A$6:$A$3907)),CONCATENATE('Diags Raw Data'!$H$6:$H$3907,", "),""))</f>
        <v xml:space="preserve">mhub469.1, </v>
      </c>
      <c r="E186" s="324" t="str">
        <f>VLOOKUP(A186,'Diags Raw Data'!$A$6:$D$3907,4,FALSE)</f>
        <v>ATHUB</v>
      </c>
      <c r="F186" s="324" t="str">
        <f>VLOOKUP(A186,'Feature Raw Data'!$A$3:$E$4204,5,FALSE)</f>
        <v>New</v>
      </c>
      <c r="G186" s="324" t="str">
        <f t="shared" si="83"/>
        <v>Yes</v>
      </c>
      <c r="H186" s="324" t="str">
        <f t="shared" si="84"/>
        <v>Yes</v>
      </c>
      <c r="I186" s="432">
        <f>SUMIF('Diags Raw Data'!$A$6:$A$3907,"*"&amp;$A186&amp;"*",'Diags Raw Data'!$K$6:$K$3907)</f>
        <v>1</v>
      </c>
      <c r="J186" s="434">
        <f>SUMIF('Diags Raw Data'!$A$6:$A$3907,"*"&amp;$A186&amp;"*",'Diags Raw Data'!$L$6:$L$3907)</f>
        <v>1</v>
      </c>
      <c r="K186" s="478" t="e" cm="1">
        <f t="array" ref="K186">IF(D186="",0, SUMPRODUCT(--(ISNUMBER(SEARCH($A186,'Diags Raw Data'!$A$6:$A$3907))),'Diags Raw Data'!$L$6:$L$3907,'Diags Raw Data'!$N$6:$N$3910)/J186)</f>
        <v>#VALUE!</v>
      </c>
      <c r="L186" s="479" cm="1">
        <f t="array" ref="L186">IF(D186="",0, SUMPRODUCT(--(ISNUMBER(SEARCH($A186,'Diags Raw Data'!$A$6:$A$3907))),'Diags Raw Data'!$L$6:$L$3907,'Diags Raw Data'!$P$6:$P$3907)/J186)</f>
        <v>1</v>
      </c>
      <c r="M186" s="480" cm="1">
        <f t="array" ref="M186">SUMPRODUCT(--(ISNUMBER(SEARCH($A186,'Diags Raw Data'!$A$6:$A$3907))),--('Diags Raw Data'!$Q$6:$Q$3907&lt;&gt;"N/A"),'Diags Raw Data'!$R$6:$R$3907)</f>
        <v>1</v>
      </c>
      <c r="N186" s="481" cm="1">
        <f t="array" ref="N186">SUMPRODUCT(--(ISNUMBER(SEARCH($A186,'Diags Raw Data'!$A$6:$A$3907))),--('Diags Raw Data'!$Q$6:$Q$3907&lt;&gt;"N/A"),'Diags Raw Data'!$T$6:$T$3907)+SUMPRODUCT(--(ISNUMBER(SEARCH($A186,'Diags Raw Data'!$A$6:$A$3907))),--('Diags Raw Data'!$Q$6:$Q$3907&lt;&gt;"N/A"),'Diags Raw Data'!$U$6:$U$3907)</f>
        <v>1</v>
      </c>
      <c r="O186" s="482">
        <f t="shared" si="85"/>
        <v>1</v>
      </c>
      <c r="P186" s="483">
        <f>SUMIF('Diags Raw Data'!$A$6:$A$3907,"*"&amp;$A186&amp;"*",'Diags Raw Data'!$Z$6:$Z$3907)</f>
        <v>0</v>
      </c>
      <c r="Q186" s="484">
        <f>SUM(SUMIF('Diags Raw Data'!$A$6:$A$3907,"*"&amp;$A186&amp;"*",'Diags Raw Data'!$AA$6:$AA$3907),SUMIF('Diags Raw Data'!$A$6:$A$3907,"*"&amp;$A186&amp;"*",'Diags Raw Data'!$AB$6:$AB$3907))</f>
        <v>0</v>
      </c>
      <c r="R186" s="485">
        <f t="shared" si="86"/>
        <v>0</v>
      </c>
      <c r="S186" s="485">
        <f t="shared" si="87"/>
        <v>0</v>
      </c>
      <c r="T186" s="486">
        <f t="shared" si="88"/>
        <v>0</v>
      </c>
      <c r="U186" s="530" t="s">
        <v>1423</v>
      </c>
      <c r="V186" s="180"/>
    </row>
    <row r="187" spans="1:24" x14ac:dyDescent="0.25">
      <c r="A187" s="524" t="s">
        <v>1070</v>
      </c>
      <c r="B187" s="431" t="str">
        <f>VLOOKUP(A187,'Feature Raw Data'!$A$3:$B$4204,2,FALSE)</f>
        <v>ATHUB:Single VC (Virtual Channel) for GFX IO</v>
      </c>
      <c r="C187" s="432" t="str">
        <f>VLOOKUP(A187,'Feature Raw Data'!$A$3:$C$4204,3,FALSE)</f>
        <v>P1</v>
      </c>
      <c r="D187" s="433" t="str" cm="1">
        <f t="array" ref="D187">_xlfn.TEXTJOIN("",TRUE,IF(ISNUMBER(SEARCH($A187,'Diags Raw Data'!$A$6:$A$3907)),CONCATENATE('Diags Raw Data'!$H$6:$H$3907,", "),""))</f>
        <v xml:space="preserve">mhub470.1, </v>
      </c>
      <c r="E187" s="324" t="str">
        <f>VLOOKUP(A187,'Diags Raw Data'!$A$6:$D$3907,4,FALSE)</f>
        <v>ATHUB</v>
      </c>
      <c r="F187" s="324" t="str">
        <f>VLOOKUP(A187,'Feature Raw Data'!$A$3:$E$4204,5,FALSE)</f>
        <v>New</v>
      </c>
      <c r="G187" s="324" t="str">
        <f t="shared" si="83"/>
        <v>Yes</v>
      </c>
      <c r="H187" s="324" t="str">
        <f t="shared" si="84"/>
        <v>Yes</v>
      </c>
      <c r="I187" s="432">
        <f>SUMIF('Diags Raw Data'!$A$6:$A$3907,"*"&amp;$A187&amp;"*",'Diags Raw Data'!$K$6:$K$3907)</f>
        <v>1</v>
      </c>
      <c r="J187" s="434">
        <f>SUMIF('Diags Raw Data'!$A$6:$A$3907,"*"&amp;$A187&amp;"*",'Diags Raw Data'!$L$6:$L$3907)</f>
        <v>1</v>
      </c>
      <c r="K187" s="478" t="e" cm="1">
        <f t="array" ref="K187">IF(D187="",0, SUMPRODUCT(--(ISNUMBER(SEARCH($A187,'Diags Raw Data'!$A$6:$A$3907))),'Diags Raw Data'!$L$6:$L$3907,'Diags Raw Data'!$N$6:$N$3910)/J187)</f>
        <v>#VALUE!</v>
      </c>
      <c r="L187" s="479" cm="1">
        <f t="array" ref="L187">IF(D187="",0, SUMPRODUCT(--(ISNUMBER(SEARCH($A187,'Diags Raw Data'!$A$6:$A$3907))),'Diags Raw Data'!$L$6:$L$3907,'Diags Raw Data'!$P$6:$P$3907)/J187)</f>
        <v>1</v>
      </c>
      <c r="M187" s="480" cm="1">
        <f t="array" ref="M187">SUMPRODUCT(--(ISNUMBER(SEARCH($A187,'Diags Raw Data'!$A$6:$A$3907))),--('Diags Raw Data'!$Q$6:$Q$3907&lt;&gt;"N/A"),'Diags Raw Data'!$R$6:$R$3907)</f>
        <v>1</v>
      </c>
      <c r="N187" s="481" cm="1">
        <f t="array" ref="N187">SUMPRODUCT(--(ISNUMBER(SEARCH($A187,'Diags Raw Data'!$A$6:$A$3907))),--('Diags Raw Data'!$Q$6:$Q$3907&lt;&gt;"N/A"),'Diags Raw Data'!$T$6:$T$3907)+SUMPRODUCT(--(ISNUMBER(SEARCH($A187,'Diags Raw Data'!$A$6:$A$3907))),--('Diags Raw Data'!$Q$6:$Q$3907&lt;&gt;"N/A"),'Diags Raw Data'!$U$6:$U$3907)</f>
        <v>1</v>
      </c>
      <c r="O187" s="482">
        <f t="shared" si="85"/>
        <v>1</v>
      </c>
      <c r="P187" s="483">
        <f>SUMIF('Diags Raw Data'!$A$6:$A$3907,"*"&amp;$A187&amp;"*",'Diags Raw Data'!$Z$6:$Z$3907)</f>
        <v>0</v>
      </c>
      <c r="Q187" s="484">
        <f>SUM(SUMIF('Diags Raw Data'!$A$6:$A$3907,"*"&amp;$A187&amp;"*",'Diags Raw Data'!$AA$6:$AA$3907),SUMIF('Diags Raw Data'!$A$6:$A$3907,"*"&amp;$A187&amp;"*",'Diags Raw Data'!$AB$6:$AB$3907))</f>
        <v>0</v>
      </c>
      <c r="R187" s="485">
        <f t="shared" si="86"/>
        <v>0</v>
      </c>
      <c r="S187" s="485">
        <f t="shared" si="87"/>
        <v>0</v>
      </c>
      <c r="T187" s="486">
        <f t="shared" si="88"/>
        <v>0</v>
      </c>
      <c r="U187" s="530" t="s">
        <v>1423</v>
      </c>
      <c r="V187" s="180"/>
    </row>
    <row r="188" spans="1:24" x14ac:dyDescent="0.25">
      <c r="A188" s="524" t="s">
        <v>1046</v>
      </c>
      <c r="B188" s="431" t="str">
        <f>VLOOKUP(A188,'Feature Raw Data'!$A$3:$B$4204,2,FALSE)</f>
        <v>ATHUB:Fatal Error Propgation</v>
      </c>
      <c r="C188" s="432" t="str">
        <f>VLOOKUP(A188,'Feature Raw Data'!$A$3:$C$4204,3,FALSE)</f>
        <v>P1</v>
      </c>
      <c r="D188" s="433" t="str" cm="1">
        <f t="array" ref="D188">_xlfn.TEXTJOIN("",TRUE,IF(ISNUMBER(SEARCH($A188,'Diags Raw Data'!$A$6:$A$3907)),CONCATENATE('Diags Raw Data'!$H$6:$H$3907,", "),""))</f>
        <v/>
      </c>
      <c r="E188" s="324" t="e">
        <f>VLOOKUP(A188,'Diags Raw Data'!$A$6:$D$3907,4,FALSE)</f>
        <v>#N/A</v>
      </c>
      <c r="F188" s="324" t="str">
        <f>VLOOKUP(A188,'Feature Raw Data'!$A$3:$E$4204,5,FALSE)</f>
        <v>Delta</v>
      </c>
      <c r="G188" s="324" t="str">
        <f t="shared" si="83"/>
        <v>No</v>
      </c>
      <c r="H188" s="324" t="str">
        <f t="shared" si="84"/>
        <v>No</v>
      </c>
      <c r="I188" s="432">
        <f>SUMIF('Diags Raw Data'!$A$6:$A$3907,"*"&amp;$A188&amp;"*",'Diags Raw Data'!$K$6:$K$3907)</f>
        <v>0</v>
      </c>
      <c r="J188" s="434">
        <f>SUMIF('Diags Raw Data'!$A$6:$A$3907,"*"&amp;$A188&amp;"*",'Diags Raw Data'!$L$6:$L$3907)</f>
        <v>0</v>
      </c>
      <c r="K188" s="478" cm="1">
        <f t="array" ref="K188">IF(D188="",0, SUMPRODUCT(--(ISNUMBER(SEARCH($A188,'Diags Raw Data'!$A$6:$A$3907))),'Diags Raw Data'!$L$6:$L$3907,'Diags Raw Data'!$N$6:$N$3910)/J188)</f>
        <v>0</v>
      </c>
      <c r="L188" s="479" cm="1">
        <f t="array" ref="L188">IF(D188="",0, SUMPRODUCT(--(ISNUMBER(SEARCH($A188,'Diags Raw Data'!$A$6:$A$3907))),'Diags Raw Data'!$L$6:$L$3907,'Diags Raw Data'!$P$6:$P$3907)/J188)</f>
        <v>0</v>
      </c>
      <c r="M188" s="480" cm="1">
        <f t="array" ref="M188">SUMPRODUCT(--(ISNUMBER(SEARCH($A188,'Diags Raw Data'!$A$6:$A$3907))),--('Diags Raw Data'!$Q$6:$Q$3907&lt;&gt;"N/A"),'Diags Raw Data'!$R$6:$R$3907)</f>
        <v>0</v>
      </c>
      <c r="N188" s="481" cm="1">
        <f t="array" ref="N188">SUMPRODUCT(--(ISNUMBER(SEARCH($A188,'Diags Raw Data'!$A$6:$A$3907))),--('Diags Raw Data'!$Q$6:$Q$3907&lt;&gt;"N/A"),'Diags Raw Data'!$T$6:$T$3907)+SUMPRODUCT(--(ISNUMBER(SEARCH($A188,'Diags Raw Data'!$A$6:$A$3907))),--('Diags Raw Data'!$Q$6:$Q$3907&lt;&gt;"N/A"),'Diags Raw Data'!$U$6:$U$3907)</f>
        <v>0</v>
      </c>
      <c r="O188" s="482">
        <f t="shared" si="85"/>
        <v>0</v>
      </c>
      <c r="P188" s="483">
        <f>SUMIF('Diags Raw Data'!$A$6:$A$3907,"*"&amp;$A188&amp;"*",'Diags Raw Data'!$Z$6:$Z$3907)</f>
        <v>0</v>
      </c>
      <c r="Q188" s="484">
        <f>SUM(SUMIF('Diags Raw Data'!$A$6:$A$3907,"*"&amp;$A188&amp;"*",'Diags Raw Data'!$AA$6:$AA$3907),SUMIF('Diags Raw Data'!$A$6:$A$3907,"*"&amp;$A188&amp;"*",'Diags Raw Data'!$AB$6:$AB$3907))</f>
        <v>0</v>
      </c>
      <c r="R188" s="485">
        <f t="shared" si="86"/>
        <v>0</v>
      </c>
      <c r="S188" s="485">
        <f t="shared" si="87"/>
        <v>0</v>
      </c>
      <c r="T188" s="486">
        <f t="shared" si="88"/>
        <v>0</v>
      </c>
      <c r="U188" s="530" t="s">
        <v>1425</v>
      </c>
      <c r="V188" s="180"/>
    </row>
    <row r="189" spans="1:24" x14ac:dyDescent="0.25">
      <c r="A189" s="524" t="s">
        <v>1347</v>
      </c>
      <c r="B189" s="431" t="str">
        <f>VLOOKUP(A189,'Feature Raw Data'!$A$3:$B$4204,2,FALSE)</f>
        <v>ATHUB:VDCI on GFX SDP interfaces</v>
      </c>
      <c r="C189" s="432" t="str">
        <f>VLOOKUP(A189,'Feature Raw Data'!$A$3:$C$4204,3,FALSE)</f>
        <v>P2</v>
      </c>
      <c r="D189" s="433" t="str" cm="1">
        <f t="array" ref="D189">_xlfn.TEXTJOIN("",TRUE,IF(ISNUMBER(SEARCH($A189,'Diags Raw Data'!$A$6:$A$3907)),CONCATENATE('Diags Raw Data'!$H$6:$H$3907,", "),""))</f>
        <v/>
      </c>
      <c r="E189" s="324" t="e">
        <f>VLOOKUP(A189,'Diags Raw Data'!$A$6:$D$3907,4,FALSE)</f>
        <v>#N/A</v>
      </c>
      <c r="F189" s="324" t="str">
        <f>VLOOKUP(A189,'Feature Raw Data'!$A$3:$E$4204,5,FALSE)</f>
        <v>Legacy</v>
      </c>
      <c r="G189" s="324" t="str">
        <f t="shared" si="83"/>
        <v>No</v>
      </c>
      <c r="H189" s="324" t="str">
        <f t="shared" si="84"/>
        <v>No</v>
      </c>
      <c r="I189" s="432">
        <f>SUMIF('Diags Raw Data'!$A$6:$A$3907,"*"&amp;$A189&amp;"*",'Diags Raw Data'!$K$6:$K$3907)</f>
        <v>0</v>
      </c>
      <c r="J189" s="434">
        <f>SUMIF('Diags Raw Data'!$A$6:$A$3907,"*"&amp;$A189&amp;"*",'Diags Raw Data'!$L$6:$L$3907)</f>
        <v>0</v>
      </c>
      <c r="K189" s="478" cm="1">
        <f t="array" ref="K189">IF(D189="",0, SUMPRODUCT(--(ISNUMBER(SEARCH($A189,'Diags Raw Data'!$A$6:$A$3907))),'Diags Raw Data'!$L$6:$L$3907,'Diags Raw Data'!$N$6:$N$3910)/J189)</f>
        <v>0</v>
      </c>
      <c r="L189" s="479" cm="1">
        <f t="array" ref="L189">IF(D189="",0, SUMPRODUCT(--(ISNUMBER(SEARCH($A189,'Diags Raw Data'!$A$6:$A$3907))),'Diags Raw Data'!$L$6:$L$3907,'Diags Raw Data'!$P$6:$P$3907)/J189)</f>
        <v>0</v>
      </c>
      <c r="M189" s="480" cm="1">
        <f t="array" ref="M189">SUMPRODUCT(--(ISNUMBER(SEARCH($A189,'Diags Raw Data'!$A$6:$A$3907))),--('Diags Raw Data'!$Q$6:$Q$3907&lt;&gt;"N/A"),'Diags Raw Data'!$R$6:$R$3907)</f>
        <v>0</v>
      </c>
      <c r="N189" s="481" cm="1">
        <f t="array" ref="N189">SUMPRODUCT(--(ISNUMBER(SEARCH($A189,'Diags Raw Data'!$A$6:$A$3907))),--('Diags Raw Data'!$Q$6:$Q$3907&lt;&gt;"N/A"),'Diags Raw Data'!$T$6:$T$3907)+SUMPRODUCT(--(ISNUMBER(SEARCH($A189,'Diags Raw Data'!$A$6:$A$3907))),--('Diags Raw Data'!$Q$6:$Q$3907&lt;&gt;"N/A"),'Diags Raw Data'!$U$6:$U$3907)</f>
        <v>0</v>
      </c>
      <c r="O189" s="482">
        <f t="shared" si="85"/>
        <v>0</v>
      </c>
      <c r="P189" s="483">
        <f>SUMIF('Diags Raw Data'!$A$6:$A$3907,"*"&amp;$A189&amp;"*",'Diags Raw Data'!$Z$6:$Z$3907)</f>
        <v>0</v>
      </c>
      <c r="Q189" s="484">
        <f>SUM(SUMIF('Diags Raw Data'!$A$6:$A$3907,"*"&amp;$A189&amp;"*",'Diags Raw Data'!$AA$6:$AA$3907),SUMIF('Diags Raw Data'!$A$6:$A$3907,"*"&amp;$A189&amp;"*",'Diags Raw Data'!$AB$6:$AB$3907))</f>
        <v>0</v>
      </c>
      <c r="R189" s="485">
        <f t="shared" si="86"/>
        <v>0</v>
      </c>
      <c r="S189" s="485">
        <f t="shared" si="87"/>
        <v>0</v>
      </c>
      <c r="T189" s="486">
        <f t="shared" si="88"/>
        <v>0</v>
      </c>
      <c r="U189" s="530" t="s">
        <v>44</v>
      </c>
      <c r="V189" s="180" t="s">
        <v>1452</v>
      </c>
    </row>
    <row r="190" spans="1:24" ht="30" x14ac:dyDescent="0.25">
      <c r="A190" s="524" t="s">
        <v>1349</v>
      </c>
      <c r="B190" s="431" t="str">
        <f>VLOOKUP(A190,'Feature Raw Data'!$A$3:$B$4204,2,FALSE)</f>
        <v>ATHUB:Safe TDR for GPU Driver Reset(enhanced SDP port control)</v>
      </c>
      <c r="C190" s="432" t="str">
        <f>VLOOKUP(A190,'Feature Raw Data'!$A$3:$C$4204,3,FALSE)</f>
        <v>P2</v>
      </c>
      <c r="D190" s="433" t="str" cm="1">
        <f t="array" ref="D190">_xlfn.TEXTJOIN("",TRUE,IF(ISNUMBER(SEARCH($A190,'Diags Raw Data'!$A$6:$A$3907)),CONCATENATE('Diags Raw Data'!$H$6:$H$3907,", "),""))</f>
        <v/>
      </c>
      <c r="E190" s="324" t="e">
        <f>VLOOKUP(A190,'Diags Raw Data'!$A$6:$D$3907,4,FALSE)</f>
        <v>#N/A</v>
      </c>
      <c r="F190" s="324" t="str">
        <f>VLOOKUP(A190,'Feature Raw Data'!$A$3:$E$4204,5,FALSE)</f>
        <v>Legacy</v>
      </c>
      <c r="G190" s="324" t="str">
        <f t="shared" si="83"/>
        <v>No</v>
      </c>
      <c r="H190" s="324" t="str">
        <f t="shared" si="84"/>
        <v>No</v>
      </c>
      <c r="I190" s="432">
        <f>SUMIF('Diags Raw Data'!$A$6:$A$3907,"*"&amp;$A190&amp;"*",'Diags Raw Data'!$K$6:$K$3907)</f>
        <v>0</v>
      </c>
      <c r="J190" s="434">
        <f>SUMIF('Diags Raw Data'!$A$6:$A$3907,"*"&amp;$A190&amp;"*",'Diags Raw Data'!$L$6:$L$3907)</f>
        <v>0</v>
      </c>
      <c r="K190" s="478" cm="1">
        <f t="array" ref="K190">IF(D190="",0, SUMPRODUCT(--(ISNUMBER(SEARCH($A190,'Diags Raw Data'!$A$6:$A$3907))),'Diags Raw Data'!$L$6:$L$3907,'Diags Raw Data'!$N$6:$N$3910)/J190)</f>
        <v>0</v>
      </c>
      <c r="L190" s="479" cm="1">
        <f t="array" ref="L190">IF(D190="",0, SUMPRODUCT(--(ISNUMBER(SEARCH($A190,'Diags Raw Data'!$A$6:$A$3907))),'Diags Raw Data'!$L$6:$L$3907,'Diags Raw Data'!$P$6:$P$3907)/J190)</f>
        <v>0</v>
      </c>
      <c r="M190" s="480" cm="1">
        <f t="array" ref="M190">SUMPRODUCT(--(ISNUMBER(SEARCH($A190,'Diags Raw Data'!$A$6:$A$3907))),--('Diags Raw Data'!$Q$6:$Q$3907&lt;&gt;"N/A"),'Diags Raw Data'!$R$6:$R$3907)</f>
        <v>0</v>
      </c>
      <c r="N190" s="481" cm="1">
        <f t="array" ref="N190">SUMPRODUCT(--(ISNUMBER(SEARCH($A190,'Diags Raw Data'!$A$6:$A$3907))),--('Diags Raw Data'!$Q$6:$Q$3907&lt;&gt;"N/A"),'Diags Raw Data'!$T$6:$T$3907)+SUMPRODUCT(--(ISNUMBER(SEARCH($A190,'Diags Raw Data'!$A$6:$A$3907))),--('Diags Raw Data'!$Q$6:$Q$3907&lt;&gt;"N/A"),'Diags Raw Data'!$U$6:$U$3907)</f>
        <v>0</v>
      </c>
      <c r="O190" s="482">
        <f t="shared" si="85"/>
        <v>0</v>
      </c>
      <c r="P190" s="483">
        <f>SUMIF('Diags Raw Data'!$A$6:$A$3907,"*"&amp;$A190&amp;"*",'Diags Raw Data'!$Z$6:$Z$3907)</f>
        <v>0</v>
      </c>
      <c r="Q190" s="484">
        <f>SUM(SUMIF('Diags Raw Data'!$A$6:$A$3907,"*"&amp;$A190&amp;"*",'Diags Raw Data'!$AA$6:$AA$3907),SUMIF('Diags Raw Data'!$A$6:$A$3907,"*"&amp;$A190&amp;"*",'Diags Raw Data'!$AB$6:$AB$3907))</f>
        <v>0</v>
      </c>
      <c r="R190" s="485">
        <f t="shared" si="86"/>
        <v>0</v>
      </c>
      <c r="S190" s="485">
        <f t="shared" si="87"/>
        <v>0</v>
      </c>
      <c r="T190" s="486">
        <f t="shared" si="88"/>
        <v>0</v>
      </c>
      <c r="U190" s="530" t="s">
        <v>44</v>
      </c>
      <c r="V190" s="180" t="s">
        <v>1452</v>
      </c>
    </row>
    <row r="191" spans="1:24" x14ac:dyDescent="0.25">
      <c r="A191" s="524" t="s">
        <v>1351</v>
      </c>
      <c r="B191" s="431" t="str">
        <f>VLOOKUP(A191,'Feature Raw Data'!$A$3:$B$4204,2,FALSE)</f>
        <v>ATHUB:Register Access Resilience</v>
      </c>
      <c r="C191" s="432" t="str">
        <f>VLOOKUP(A191,'Feature Raw Data'!$A$3:$C$4204,3,FALSE)</f>
        <v>P2</v>
      </c>
      <c r="D191" s="433" t="str" cm="1">
        <f t="array" ref="D191">_xlfn.TEXTJOIN("",TRUE,IF(ISNUMBER(SEARCH($A191,'Diags Raw Data'!$A$6:$A$3907)),CONCATENATE('Diags Raw Data'!$H$6:$H$3907,", "),""))</f>
        <v/>
      </c>
      <c r="E191" s="324" t="e">
        <f>VLOOKUP(A191,'Diags Raw Data'!$A$6:$D$3907,4,FALSE)</f>
        <v>#N/A</v>
      </c>
      <c r="F191" s="324" t="str">
        <f>VLOOKUP(A191,'Feature Raw Data'!$A$3:$E$4204,5,FALSE)</f>
        <v>Legacy</v>
      </c>
      <c r="G191" s="324" t="str">
        <f t="shared" si="83"/>
        <v>No</v>
      </c>
      <c r="H191" s="324" t="str">
        <f t="shared" si="84"/>
        <v>No</v>
      </c>
      <c r="I191" s="432">
        <f>SUMIF('Diags Raw Data'!$A$6:$A$3907,"*"&amp;$A191&amp;"*",'Diags Raw Data'!$K$6:$K$3907)</f>
        <v>0</v>
      </c>
      <c r="J191" s="434">
        <f>SUMIF('Diags Raw Data'!$A$6:$A$3907,"*"&amp;$A191&amp;"*",'Diags Raw Data'!$L$6:$L$3907)</f>
        <v>0</v>
      </c>
      <c r="K191" s="478" cm="1">
        <f t="array" ref="K191">IF(D191="",0, SUMPRODUCT(--(ISNUMBER(SEARCH($A191,'Diags Raw Data'!$A$6:$A$3907))),'Diags Raw Data'!$L$6:$L$3907,'Diags Raw Data'!$N$6:$N$3910)/J191)</f>
        <v>0</v>
      </c>
      <c r="L191" s="479" cm="1">
        <f t="array" ref="L191">IF(D191="",0, SUMPRODUCT(--(ISNUMBER(SEARCH($A191,'Diags Raw Data'!$A$6:$A$3907))),'Diags Raw Data'!$L$6:$L$3907,'Diags Raw Data'!$P$6:$P$3907)/J191)</f>
        <v>0</v>
      </c>
      <c r="M191" s="480" cm="1">
        <f t="array" ref="M191">SUMPRODUCT(--(ISNUMBER(SEARCH($A191,'Diags Raw Data'!$A$6:$A$3907))),--('Diags Raw Data'!$Q$6:$Q$3907&lt;&gt;"N/A"),'Diags Raw Data'!$R$6:$R$3907)</f>
        <v>0</v>
      </c>
      <c r="N191" s="481" cm="1">
        <f t="array" ref="N191">SUMPRODUCT(--(ISNUMBER(SEARCH($A191,'Diags Raw Data'!$A$6:$A$3907))),--('Diags Raw Data'!$Q$6:$Q$3907&lt;&gt;"N/A"),'Diags Raw Data'!$T$6:$T$3907)+SUMPRODUCT(--(ISNUMBER(SEARCH($A191,'Diags Raw Data'!$A$6:$A$3907))),--('Diags Raw Data'!$Q$6:$Q$3907&lt;&gt;"N/A"),'Diags Raw Data'!$U$6:$U$3907)</f>
        <v>0</v>
      </c>
      <c r="O191" s="482">
        <f t="shared" si="85"/>
        <v>0</v>
      </c>
      <c r="P191" s="483">
        <f>SUMIF('Diags Raw Data'!$A$6:$A$3907,"*"&amp;$A191&amp;"*",'Diags Raw Data'!$Z$6:$Z$3907)</f>
        <v>0</v>
      </c>
      <c r="Q191" s="484">
        <f>SUM(SUMIF('Diags Raw Data'!$A$6:$A$3907,"*"&amp;$A191&amp;"*",'Diags Raw Data'!$AA$6:$AA$3907),SUMIF('Diags Raw Data'!$A$6:$A$3907,"*"&amp;$A191&amp;"*",'Diags Raw Data'!$AB$6:$AB$3907))</f>
        <v>0</v>
      </c>
      <c r="R191" s="485">
        <f t="shared" si="86"/>
        <v>0</v>
      </c>
      <c r="S191" s="485">
        <f t="shared" si="87"/>
        <v>0</v>
      </c>
      <c r="T191" s="486">
        <f t="shared" si="88"/>
        <v>0</v>
      </c>
      <c r="U191" s="530" t="s">
        <v>44</v>
      </c>
      <c r="V191" s="180" t="s">
        <v>1452</v>
      </c>
    </row>
    <row r="192" spans="1:24" x14ac:dyDescent="0.25">
      <c r="A192" s="524" t="s">
        <v>1355</v>
      </c>
      <c r="B192" s="431" t="str">
        <f>VLOOKUP(A192,'Feature Raw Data'!$A$3:$B$4204,2,FALSE)</f>
        <v>ATHUB:Power - SOCCLK Deep Sleep</v>
      </c>
      <c r="C192" s="432" t="str">
        <f>VLOOKUP(A192,'Feature Raw Data'!$A$3:$C$4204,3,FALSE)</f>
        <v>P2</v>
      </c>
      <c r="D192" s="433" t="str" cm="1">
        <f t="array" ref="D192">_xlfn.TEXTJOIN("",TRUE,IF(ISNUMBER(SEARCH($A192,'Diags Raw Data'!$A$6:$A$3907)),CONCATENATE('Diags Raw Data'!$H$6:$H$3907,", "),""))</f>
        <v/>
      </c>
      <c r="E192" s="324" t="e">
        <f>VLOOKUP(A192,'Diags Raw Data'!$A$6:$D$3907,4,FALSE)</f>
        <v>#N/A</v>
      </c>
      <c r="F192" s="324" t="str">
        <f>VLOOKUP(A192,'Feature Raw Data'!$A$3:$E$4204,5,FALSE)</f>
        <v>Legacy</v>
      </c>
      <c r="G192" s="324" t="str">
        <f t="shared" si="83"/>
        <v>No</v>
      </c>
      <c r="H192" s="324" t="str">
        <f t="shared" si="84"/>
        <v>No</v>
      </c>
      <c r="I192" s="432">
        <f>SUMIF('Diags Raw Data'!$A$6:$A$3907,"*"&amp;$A192&amp;"*",'Diags Raw Data'!$K$6:$K$3907)</f>
        <v>0</v>
      </c>
      <c r="J192" s="434">
        <f>SUMIF('Diags Raw Data'!$A$6:$A$3907,"*"&amp;$A192&amp;"*",'Diags Raw Data'!$L$6:$L$3907)</f>
        <v>0</v>
      </c>
      <c r="K192" s="478" cm="1">
        <f t="array" ref="K192">IF(D192="",0, SUMPRODUCT(--(ISNUMBER(SEARCH($A192,'Diags Raw Data'!$A$6:$A$3907))),'Diags Raw Data'!$L$6:$L$3907,'Diags Raw Data'!$N$6:$N$3910)/J192)</f>
        <v>0</v>
      </c>
      <c r="L192" s="479" cm="1">
        <f t="array" ref="L192">IF(D192="",0, SUMPRODUCT(--(ISNUMBER(SEARCH($A192,'Diags Raw Data'!$A$6:$A$3907))),'Diags Raw Data'!$L$6:$L$3907,'Diags Raw Data'!$P$6:$P$3907)/J192)</f>
        <v>0</v>
      </c>
      <c r="M192" s="480" cm="1">
        <f t="array" ref="M192">SUMPRODUCT(--(ISNUMBER(SEARCH($A192,'Diags Raw Data'!$A$6:$A$3907))),--('Diags Raw Data'!$Q$6:$Q$3907&lt;&gt;"N/A"),'Diags Raw Data'!$R$6:$R$3907)</f>
        <v>0</v>
      </c>
      <c r="N192" s="481" cm="1">
        <f t="array" ref="N192">SUMPRODUCT(--(ISNUMBER(SEARCH($A192,'Diags Raw Data'!$A$6:$A$3907))),--('Diags Raw Data'!$Q$6:$Q$3907&lt;&gt;"N/A"),'Diags Raw Data'!$T$6:$T$3907)+SUMPRODUCT(--(ISNUMBER(SEARCH($A192,'Diags Raw Data'!$A$6:$A$3907))),--('Diags Raw Data'!$Q$6:$Q$3907&lt;&gt;"N/A"),'Diags Raw Data'!$U$6:$U$3907)</f>
        <v>0</v>
      </c>
      <c r="O192" s="482">
        <f t="shared" si="85"/>
        <v>0</v>
      </c>
      <c r="P192" s="483">
        <f>SUMIF('Diags Raw Data'!$A$6:$A$3907,"*"&amp;$A192&amp;"*",'Diags Raw Data'!$Z$6:$Z$3907)</f>
        <v>0</v>
      </c>
      <c r="Q192" s="484">
        <f>SUM(SUMIF('Diags Raw Data'!$A$6:$A$3907,"*"&amp;$A192&amp;"*",'Diags Raw Data'!$AA$6:$AA$3907),SUMIF('Diags Raw Data'!$A$6:$A$3907,"*"&amp;$A192&amp;"*",'Diags Raw Data'!$AB$6:$AB$3907))</f>
        <v>0</v>
      </c>
      <c r="R192" s="485">
        <f t="shared" si="86"/>
        <v>0</v>
      </c>
      <c r="S192" s="485">
        <f t="shared" si="87"/>
        <v>0</v>
      </c>
      <c r="T192" s="486">
        <f t="shared" si="88"/>
        <v>0</v>
      </c>
      <c r="U192" s="530" t="s">
        <v>44</v>
      </c>
      <c r="V192" s="180" t="s">
        <v>1452</v>
      </c>
    </row>
    <row r="193" spans="1:24" x14ac:dyDescent="0.25">
      <c r="A193" s="524" t="s">
        <v>1357</v>
      </c>
      <c r="B193" s="431" t="str">
        <f>VLOOKUP(A193,'Feature Raw Data'!$A$3:$B$4204,2,FALSE)</f>
        <v>ATHUB:SOC-15 Address Width</v>
      </c>
      <c r="C193" s="432" t="str">
        <f>VLOOKUP(A193,'Feature Raw Data'!$A$3:$C$4204,3,FALSE)</f>
        <v>P2</v>
      </c>
      <c r="D193" s="433" t="str" cm="1">
        <f t="array" ref="D193">_xlfn.TEXTJOIN("",TRUE,IF(ISNUMBER(SEARCH($A193,'Diags Raw Data'!$A$6:$A$3907)),CONCATENATE('Diags Raw Data'!$H$6:$H$3907,", "),""))</f>
        <v xml:space="preserve">mhub001.1, mhub001.2, mhub001.9, </v>
      </c>
      <c r="E193" s="324" t="e">
        <f>VLOOKUP(A193,'Diags Raw Data'!$A$6:$D$3907,4,FALSE)</f>
        <v>#N/A</v>
      </c>
      <c r="F193" s="324" t="str">
        <f>VLOOKUP(A193,'Feature Raw Data'!$A$3:$E$4204,5,FALSE)</f>
        <v>Legacy</v>
      </c>
      <c r="G193" s="324" t="str">
        <f t="shared" si="83"/>
        <v>Yes</v>
      </c>
      <c r="H193" s="324" t="str">
        <f t="shared" si="84"/>
        <v>Yes</v>
      </c>
      <c r="I193" s="432">
        <f>SUMIF('Diags Raw Data'!$A$6:$A$3907,"*"&amp;$A193&amp;"*",'Diags Raw Data'!$K$6:$K$3907)</f>
        <v>3</v>
      </c>
      <c r="J193" s="434">
        <f>SUMIF('Diags Raw Data'!$A$6:$A$3907,"*"&amp;$A193&amp;"*",'Diags Raw Data'!$L$6:$L$3907)</f>
        <v>3</v>
      </c>
      <c r="K193" s="478" t="e" cm="1">
        <f t="array" ref="K193">IF(D193="",0, SUMPRODUCT(--(ISNUMBER(SEARCH($A193,'Diags Raw Data'!$A$6:$A$3907))),'Diags Raw Data'!$L$6:$L$3907,'Diags Raw Data'!$N$6:$N$3910)/J193)</f>
        <v>#VALUE!</v>
      </c>
      <c r="L193" s="479" cm="1">
        <f t="array" ref="L193">IF(D193="",0, SUMPRODUCT(--(ISNUMBER(SEARCH($A193,'Diags Raw Data'!$A$6:$A$3907))),'Diags Raw Data'!$L$6:$L$3907,'Diags Raw Data'!$P$6:$P$3907)/J193)</f>
        <v>1</v>
      </c>
      <c r="M193" s="480" cm="1">
        <f t="array" ref="M193">SUMPRODUCT(--(ISNUMBER(SEARCH($A193,'Diags Raw Data'!$A$6:$A$3907))),--('Diags Raw Data'!$Q$6:$Q$3907&lt;&gt;"N/A"),'Diags Raw Data'!$R$6:$R$3907)</f>
        <v>3</v>
      </c>
      <c r="N193" s="481" cm="1">
        <f t="array" ref="N193">SUMPRODUCT(--(ISNUMBER(SEARCH($A193,'Diags Raw Data'!$A$6:$A$3907))),--('Diags Raw Data'!$Q$6:$Q$3907&lt;&gt;"N/A"),'Diags Raw Data'!$T$6:$T$3907)+SUMPRODUCT(--(ISNUMBER(SEARCH($A193,'Diags Raw Data'!$A$6:$A$3907))),--('Diags Raw Data'!$Q$6:$Q$3907&lt;&gt;"N/A"),'Diags Raw Data'!$U$6:$U$3907)</f>
        <v>3</v>
      </c>
      <c r="O193" s="482">
        <f t="shared" si="85"/>
        <v>1</v>
      </c>
      <c r="P193" s="483">
        <f>SUMIF('Diags Raw Data'!$A$6:$A$3907,"*"&amp;$A193&amp;"*",'Diags Raw Data'!$Z$6:$Z$3907)</f>
        <v>3</v>
      </c>
      <c r="Q193" s="484">
        <f>SUM(SUMIF('Diags Raw Data'!$A$6:$A$3907,"*"&amp;$A193&amp;"*",'Diags Raw Data'!$AA$6:$AA$3907),SUMIF('Diags Raw Data'!$A$6:$A$3907,"*"&amp;$A193&amp;"*",'Diags Raw Data'!$AB$6:$AB$3907))</f>
        <v>3</v>
      </c>
      <c r="R193" s="485">
        <f t="shared" si="86"/>
        <v>1</v>
      </c>
      <c r="S193" s="485">
        <f t="shared" si="87"/>
        <v>1</v>
      </c>
      <c r="T193" s="486">
        <f t="shared" si="88"/>
        <v>1</v>
      </c>
      <c r="U193" s="530" t="s">
        <v>1425</v>
      </c>
      <c r="V193" s="180" t="s">
        <v>1452</v>
      </c>
    </row>
    <row r="194" spans="1:24" ht="30" x14ac:dyDescent="0.25">
      <c r="A194" s="524" t="s">
        <v>1085</v>
      </c>
      <c r="B194" s="431" t="str">
        <f>VLOOKUP(A194,'Feature Raw Data'!$A$3:$B$4204,2,FALSE)</f>
        <v>ATHUB:RAS - Datapath Parity Injection</v>
      </c>
      <c r="C194" s="432" t="str">
        <f>VLOOKUP(A194,'Feature Raw Data'!$A$3:$C$4204,3,FALSE)</f>
        <v>P2</v>
      </c>
      <c r="D194" s="433" t="str" cm="1">
        <f t="array" ref="D194">_xlfn.TEXTJOIN("",TRUE,IF(ISNUMBER(SEARCH($A194,'Diags Raw Data'!$A$6:$A$3907)),CONCATENATE('Diags Raw Data'!$H$6:$H$3907,", "),""))</f>
        <v xml:space="preserve">mhub611.2, mhub611.4, mhub611.6, mhub611.1-7, </v>
      </c>
      <c r="E194" s="324" t="str">
        <f>VLOOKUP(A194,'Diags Raw Data'!$A$6:$D$3907,4,FALSE)</f>
        <v>RAS</v>
      </c>
      <c r="F194" s="324" t="str">
        <f>VLOOKUP(A194,'Feature Raw Data'!$A$3:$E$4204,5,FALSE)</f>
        <v>Legacy</v>
      </c>
      <c r="G194" s="324" t="str">
        <f t="shared" si="83"/>
        <v>Yes</v>
      </c>
      <c r="H194" s="324" t="str">
        <f t="shared" si="84"/>
        <v>Yes</v>
      </c>
      <c r="I194" s="432">
        <f>SUMIF('Diags Raw Data'!$A$6:$A$3907,"*"&amp;$A194&amp;"*",'Diags Raw Data'!$K$6:$K$3907)</f>
        <v>10</v>
      </c>
      <c r="J194" s="434">
        <f>SUMIF('Diags Raw Data'!$A$6:$A$3907,"*"&amp;$A194&amp;"*",'Diags Raw Data'!$L$6:$L$3907)</f>
        <v>10</v>
      </c>
      <c r="K194" s="478" t="e" cm="1">
        <f t="array" ref="K194">IF(D194="",0, SUMPRODUCT(--(ISNUMBER(SEARCH($A194,'Diags Raw Data'!$A$6:$A$3907))),'Diags Raw Data'!$L$6:$L$3907,'Diags Raw Data'!$N$6:$N$3910)/J194)</f>
        <v>#VALUE!</v>
      </c>
      <c r="L194" s="479" cm="1">
        <f t="array" ref="L194">IF(D194="",0, SUMPRODUCT(--(ISNUMBER(SEARCH($A194,'Diags Raw Data'!$A$6:$A$3907))),'Diags Raw Data'!$L$6:$L$3907,'Diags Raw Data'!$P$6:$P$3907)/J194)</f>
        <v>1</v>
      </c>
      <c r="M194" s="480" cm="1">
        <f t="array" ref="M194">SUMPRODUCT(--(ISNUMBER(SEARCH($A194,'Diags Raw Data'!$A$6:$A$3907))),--('Diags Raw Data'!$Q$6:$Q$3907&lt;&gt;"N/A"),'Diags Raw Data'!$R$6:$R$3907)</f>
        <v>10</v>
      </c>
      <c r="N194" s="481" cm="1">
        <f t="array" ref="N194">SUMPRODUCT(--(ISNUMBER(SEARCH($A194,'Diags Raw Data'!$A$6:$A$3907))),--('Diags Raw Data'!$Q$6:$Q$3907&lt;&gt;"N/A"),'Diags Raw Data'!$T$6:$T$3907)+SUMPRODUCT(--(ISNUMBER(SEARCH($A194,'Diags Raw Data'!$A$6:$A$3907))),--('Diags Raw Data'!$Q$6:$Q$3907&lt;&gt;"N/A"),'Diags Raw Data'!$U$6:$U$3907)</f>
        <v>7</v>
      </c>
      <c r="O194" s="482">
        <f t="shared" si="85"/>
        <v>0.7</v>
      </c>
      <c r="P194" s="483">
        <f>SUMIF('Diags Raw Data'!$A$6:$A$3907,"*"&amp;$A194&amp;"*",'Diags Raw Data'!$Z$6:$Z$3907)</f>
        <v>0</v>
      </c>
      <c r="Q194" s="484">
        <f>SUM(SUMIF('Diags Raw Data'!$A$6:$A$3907,"*"&amp;$A194&amp;"*",'Diags Raw Data'!$AA$6:$AA$3907),SUMIF('Diags Raw Data'!$A$6:$A$3907,"*"&amp;$A194&amp;"*",'Diags Raw Data'!$AB$6:$AB$3907))</f>
        <v>0</v>
      </c>
      <c r="R194" s="485">
        <f t="shared" si="86"/>
        <v>0</v>
      </c>
      <c r="S194" s="485">
        <f t="shared" si="87"/>
        <v>0</v>
      </c>
      <c r="T194" s="486">
        <f t="shared" si="88"/>
        <v>0</v>
      </c>
      <c r="U194" s="530" t="s">
        <v>1425</v>
      </c>
      <c r="V194" s="180"/>
    </row>
    <row r="195" spans="1:24" x14ac:dyDescent="0.25">
      <c r="A195" s="524"/>
      <c r="B195" s="431"/>
      <c r="C195" s="432"/>
      <c r="D195" s="433"/>
      <c r="E195" s="324"/>
      <c r="F195" s="324"/>
      <c r="G195" s="324"/>
      <c r="H195" s="324"/>
      <c r="I195" s="432"/>
      <c r="J195" s="434"/>
      <c r="K195" s="478"/>
      <c r="L195" s="479"/>
      <c r="M195" s="480"/>
      <c r="N195" s="481"/>
      <c r="O195" s="482"/>
      <c r="P195" s="483"/>
      <c r="Q195" s="484"/>
      <c r="R195" s="485"/>
      <c r="S195" s="485"/>
      <c r="T195" s="486"/>
      <c r="U195" s="530"/>
      <c r="V195" s="180"/>
    </row>
    <row r="196" spans="1:24" x14ac:dyDescent="0.25">
      <c r="A196" s="524" t="s">
        <v>1074</v>
      </c>
      <c r="B196" s="431" t="str">
        <f>VLOOKUP(A196,'Feature Raw Data'!$A$3:$B$4204,2,FALSE)</f>
        <v>MMHUB:UTCL1 - TMZ</v>
      </c>
      <c r="C196" s="432" t="str">
        <f>VLOOKUP(A196,'Feature Raw Data'!$A$3:$C$4204,3,FALSE)</f>
        <v>P1</v>
      </c>
      <c r="D196" s="433" t="str" cm="1">
        <f t="array" ref="D196">_xlfn.TEXTJOIN("",TRUE,IF(ISNUMBER(SEARCH($A196,'Diags Raw Data'!$A$6:$A$3907)),CONCATENATE('Diags Raw Data'!$H$6:$H$3907,", "),""))</f>
        <v xml:space="preserve">mhub150.42, </v>
      </c>
      <c r="E196" s="324" t="str">
        <f>VLOOKUP(A196,'Diags Raw Data'!$A$6:$D$3907,4,FALSE)</f>
        <v>MMHUB</v>
      </c>
      <c r="F196" s="324" t="str">
        <f>VLOOKUP(A196,'Feature Raw Data'!$A$3:$E$4204,5,FALSE)</f>
        <v>New</v>
      </c>
      <c r="G196" s="324" t="str">
        <f t="shared" si="83"/>
        <v>Yes</v>
      </c>
      <c r="H196" s="324" t="str">
        <f t="shared" si="84"/>
        <v>Yes</v>
      </c>
      <c r="I196" s="432">
        <f>SUMIF('Diags Raw Data'!$A$6:$A$3907,"*"&amp;$A196&amp;"*",'Diags Raw Data'!$K$6:$K$3907)</f>
        <v>1</v>
      </c>
      <c r="J196" s="434">
        <f>SUMIF('Diags Raw Data'!$A$6:$A$3907,"*"&amp;$A196&amp;"*",'Diags Raw Data'!$L$6:$L$3907)</f>
        <v>1</v>
      </c>
      <c r="K196" s="478" t="e" cm="1">
        <f t="array" ref="K196">IF(D196="",0, SUMPRODUCT(--(ISNUMBER(SEARCH($A196,'Diags Raw Data'!$A$6:$A$3907))),'Diags Raw Data'!$L$6:$L$3907,'Diags Raw Data'!$N$6:$N$3910)/J196)</f>
        <v>#VALUE!</v>
      </c>
      <c r="L196" s="479" cm="1">
        <f t="array" ref="L196">IF(D196="",0, SUMPRODUCT(--(ISNUMBER(SEARCH($A196,'Diags Raw Data'!$A$6:$A$3907))),'Diags Raw Data'!$L$6:$L$3907,'Diags Raw Data'!$P$6:$P$3907)/J196)</f>
        <v>1</v>
      </c>
      <c r="M196" s="480" cm="1">
        <f t="array" ref="M196">SUMPRODUCT(--(ISNUMBER(SEARCH($A196,'Diags Raw Data'!$A$6:$A$3907))),--('Diags Raw Data'!$Q$6:$Q$3907&lt;&gt;"N/A"),'Diags Raw Data'!$R$6:$R$3907)</f>
        <v>1</v>
      </c>
      <c r="N196" s="481" cm="1">
        <f t="array" ref="N196">SUMPRODUCT(--(ISNUMBER(SEARCH($A196,'Diags Raw Data'!$A$6:$A$3907))),--('Diags Raw Data'!$Q$6:$Q$3907&lt;&gt;"N/A"),'Diags Raw Data'!$T$6:$T$3907)+SUMPRODUCT(--(ISNUMBER(SEARCH($A196,'Diags Raw Data'!$A$6:$A$3907))),--('Diags Raw Data'!$Q$6:$Q$3907&lt;&gt;"N/A"),'Diags Raw Data'!$U$6:$U$3907)</f>
        <v>1</v>
      </c>
      <c r="O196" s="482">
        <f t="shared" si="85"/>
        <v>1</v>
      </c>
      <c r="P196" s="483">
        <f>SUMIF('Diags Raw Data'!$A$6:$A$3907,"*"&amp;$A196&amp;"*",'Diags Raw Data'!$Z$6:$Z$3907)</f>
        <v>0</v>
      </c>
      <c r="Q196" s="484">
        <f>SUM(SUMIF('Diags Raw Data'!$A$6:$A$3907,"*"&amp;$A196&amp;"*",'Diags Raw Data'!$AA$6:$AA$3907),SUMIF('Diags Raw Data'!$A$6:$A$3907,"*"&amp;$A196&amp;"*",'Diags Raw Data'!$AB$6:$AB$3907))</f>
        <v>0</v>
      </c>
      <c r="R196" s="485">
        <f t="shared" si="86"/>
        <v>0</v>
      </c>
      <c r="S196" s="485">
        <f t="shared" si="87"/>
        <v>0</v>
      </c>
      <c r="T196" s="486">
        <f t="shared" si="88"/>
        <v>0</v>
      </c>
      <c r="U196" s="530" t="s">
        <v>1425</v>
      </c>
      <c r="V196" s="180"/>
    </row>
    <row r="197" spans="1:24" ht="45" x14ac:dyDescent="0.25">
      <c r="A197" s="524" t="s">
        <v>1078</v>
      </c>
      <c r="B197" s="431" t="str">
        <f>VLOOKUP(A197,'Feature Raw Data'!$A$3:$B$4204,2,FALSE)</f>
        <v>MMHUB:UTCL1 - Compression Enable (PTE.D)</v>
      </c>
      <c r="C197" s="432" t="str">
        <f>VLOOKUP(A197,'Feature Raw Data'!$A$3:$C$4204,3,FALSE)</f>
        <v>P1</v>
      </c>
      <c r="D197" s="433" t="str" cm="1">
        <f t="array" ref="D197">_xlfn.TEXTJOIN("",TRUE,IF(ISNUMBER(SEARCH($A197,'Diags Raw Data'!$A$6:$A$3907)),CONCATENATE('Diags Raw Data'!$H$6:$H$3907,", "),""))</f>
        <v xml:space="preserve">mhub167.2, </v>
      </c>
      <c r="E197" s="324" t="str">
        <f>VLOOKUP(A197,'Diags Raw Data'!$A$6:$D$3907,4,FALSE)</f>
        <v>MMHUB</v>
      </c>
      <c r="F197" s="324" t="str">
        <f>VLOOKUP(A197,'Feature Raw Data'!$A$3:$E$4204,5,FALSE)</f>
        <v>New</v>
      </c>
      <c r="G197" s="324" t="str">
        <f t="shared" si="83"/>
        <v>Yes</v>
      </c>
      <c r="H197" s="324" t="str">
        <f t="shared" si="84"/>
        <v>Yes</v>
      </c>
      <c r="I197" s="432">
        <f>SUMIF('Diags Raw Data'!$A$6:$A$3907,"*"&amp;$A197&amp;"*",'Diags Raw Data'!$K$6:$K$3907)</f>
        <v>1</v>
      </c>
      <c r="J197" s="434">
        <f>SUMIF('Diags Raw Data'!$A$6:$A$3907,"*"&amp;$A197&amp;"*",'Diags Raw Data'!$L$6:$L$3907)</f>
        <v>1</v>
      </c>
      <c r="K197" s="478" t="e" cm="1">
        <f t="array" ref="K197">IF(D197="",0, SUMPRODUCT(--(ISNUMBER(SEARCH($A197,'Diags Raw Data'!$A$6:$A$3907))),'Diags Raw Data'!$L$6:$L$3907,'Diags Raw Data'!$N$6:$N$3910)/J197)</f>
        <v>#VALUE!</v>
      </c>
      <c r="L197" s="479" cm="1">
        <f t="array" ref="L197">IF(D197="",0, SUMPRODUCT(--(ISNUMBER(SEARCH($A197,'Diags Raw Data'!$A$6:$A$3907))),'Diags Raw Data'!$L$6:$L$3907,'Diags Raw Data'!$P$6:$P$3907)/J197)</f>
        <v>1</v>
      </c>
      <c r="M197" s="480" cm="1">
        <f t="array" ref="M197">SUMPRODUCT(--(ISNUMBER(SEARCH($A197,'Diags Raw Data'!$A$6:$A$3907))),--('Diags Raw Data'!$Q$6:$Q$3907&lt;&gt;"N/A"),'Diags Raw Data'!$R$6:$R$3907)</f>
        <v>1</v>
      </c>
      <c r="N197" s="481" cm="1">
        <f t="array" ref="N197">SUMPRODUCT(--(ISNUMBER(SEARCH($A197,'Diags Raw Data'!$A$6:$A$3907))),--('Diags Raw Data'!$Q$6:$Q$3907&lt;&gt;"N/A"),'Diags Raw Data'!$T$6:$T$3907)+SUMPRODUCT(--(ISNUMBER(SEARCH($A197,'Diags Raw Data'!$A$6:$A$3907))),--('Diags Raw Data'!$Q$6:$Q$3907&lt;&gt;"N/A"),'Diags Raw Data'!$U$6:$U$3907)</f>
        <v>1</v>
      </c>
      <c r="O197" s="482">
        <f t="shared" si="85"/>
        <v>1</v>
      </c>
      <c r="P197" s="483">
        <f>SUMIF('Diags Raw Data'!$A$6:$A$3907,"*"&amp;$A197&amp;"*",'Diags Raw Data'!$Z$6:$Z$3907)</f>
        <v>0</v>
      </c>
      <c r="Q197" s="484">
        <f>SUM(SUMIF('Diags Raw Data'!$A$6:$A$3907,"*"&amp;$A197&amp;"*",'Diags Raw Data'!$AA$6:$AA$3907),SUMIF('Diags Raw Data'!$A$6:$A$3907,"*"&amp;$A197&amp;"*",'Diags Raw Data'!$AB$6:$AB$3907))</f>
        <v>0</v>
      </c>
      <c r="R197" s="485">
        <f t="shared" si="86"/>
        <v>0</v>
      </c>
      <c r="S197" s="485">
        <f>IF((P197=0),0,Q197/P197)</f>
        <v>0</v>
      </c>
      <c r="T197" s="486">
        <f t="shared" si="88"/>
        <v>0</v>
      </c>
      <c r="U197" s="530" t="s">
        <v>1449</v>
      </c>
      <c r="V197" s="180"/>
      <c r="X197" s="181" t="s">
        <v>1450</v>
      </c>
    </row>
    <row r="198" spans="1:24" x14ac:dyDescent="0.25">
      <c r="A198" s="524" t="s">
        <v>1227</v>
      </c>
      <c r="B198" s="431" t="str">
        <f>VLOOKUP(A198,'Feature Raw Data'!$A$3:$B$4204,2,FALSE)</f>
        <v>MMHUB:PCTL - MMHUB Interlock Support</v>
      </c>
      <c r="C198" s="432" t="str">
        <f>VLOOKUP(A198,'Feature Raw Data'!$A$3:$C$4204,3,FALSE)</f>
        <v>P1</v>
      </c>
      <c r="D198" s="433" t="str" cm="1">
        <f t="array" ref="D198">_xlfn.TEXTJOIN("",TRUE,IF(ISNUMBER(SEARCH($A198,'Diags Raw Data'!$A$6:$A$3907)),CONCATENATE('Diags Raw Data'!$H$6:$H$3907,", "),""))</f>
        <v/>
      </c>
      <c r="E198" s="324" t="e">
        <f>VLOOKUP(A198,'Diags Raw Data'!$A$6:$D$3907,4,FALSE)</f>
        <v>#N/A</v>
      </c>
      <c r="F198" s="324" t="str">
        <f>VLOOKUP(A198,'Feature Raw Data'!$A$3:$E$4204,5,FALSE)</f>
        <v>New</v>
      </c>
      <c r="G198" s="324" t="str">
        <f t="shared" si="83"/>
        <v>No</v>
      </c>
      <c r="H198" s="324" t="str">
        <f t="shared" si="84"/>
        <v>No</v>
      </c>
      <c r="I198" s="432">
        <f>SUMIF('Diags Raw Data'!$A$6:$A$3907,"*"&amp;$A198&amp;"*",'Diags Raw Data'!$K$6:$K$3907)</f>
        <v>0</v>
      </c>
      <c r="J198" s="434">
        <f>SUMIF('Diags Raw Data'!$A$6:$A$3907,"*"&amp;$A198&amp;"*",'Diags Raw Data'!$L$6:$L$3907)</f>
        <v>0</v>
      </c>
      <c r="K198" s="478" cm="1">
        <f t="array" ref="K198">IF(D198="",0, SUMPRODUCT(--(ISNUMBER(SEARCH($A198,'Diags Raw Data'!$A$6:$A$3907))),'Diags Raw Data'!$L$6:$L$3907,'Diags Raw Data'!$N$6:$N$3910)/J198)</f>
        <v>0</v>
      </c>
      <c r="L198" s="479" cm="1">
        <f t="array" ref="L198">IF(D198="",0, SUMPRODUCT(--(ISNUMBER(SEARCH($A198,'Diags Raw Data'!$A$6:$A$3907))),'Diags Raw Data'!$L$6:$L$3907,'Diags Raw Data'!$P$6:$P$3907)/J198)</f>
        <v>0</v>
      </c>
      <c r="M198" s="480" cm="1">
        <f t="array" ref="M198">SUMPRODUCT(--(ISNUMBER(SEARCH($A198,'Diags Raw Data'!$A$6:$A$3907))),--('Diags Raw Data'!$Q$6:$Q$3907&lt;&gt;"N/A"),'Diags Raw Data'!$R$6:$R$3907)</f>
        <v>0</v>
      </c>
      <c r="N198" s="481" cm="1">
        <f t="array" ref="N198">SUMPRODUCT(--(ISNUMBER(SEARCH($A198,'Diags Raw Data'!$A$6:$A$3907))),--('Diags Raw Data'!$Q$6:$Q$3907&lt;&gt;"N/A"),'Diags Raw Data'!$T$6:$T$3907)+SUMPRODUCT(--(ISNUMBER(SEARCH($A198,'Diags Raw Data'!$A$6:$A$3907))),--('Diags Raw Data'!$Q$6:$Q$3907&lt;&gt;"N/A"),'Diags Raw Data'!$U$6:$U$3907)</f>
        <v>0</v>
      </c>
      <c r="O198" s="482">
        <f t="shared" si="85"/>
        <v>0</v>
      </c>
      <c r="P198" s="483">
        <f>SUMIF('Diags Raw Data'!$A$6:$A$3907,"*"&amp;$A198&amp;"*",'Diags Raw Data'!$Z$6:$Z$3907)</f>
        <v>0</v>
      </c>
      <c r="Q198" s="484">
        <f>SUM(SUMIF('Diags Raw Data'!$A$6:$A$3907,"*"&amp;$A198&amp;"*",'Diags Raw Data'!$AA$6:$AA$3907),SUMIF('Diags Raw Data'!$A$6:$A$3907,"*"&amp;$A198&amp;"*",'Diags Raw Data'!$AB$6:$AB$3907))</f>
        <v>0</v>
      </c>
      <c r="R198" s="485">
        <f t="shared" si="86"/>
        <v>0</v>
      </c>
      <c r="S198" s="485">
        <f>IF((P198=0),0,Q198/P198)</f>
        <v>0</v>
      </c>
      <c r="T198" s="486">
        <f t="shared" si="88"/>
        <v>0</v>
      </c>
      <c r="U198" s="530" t="s">
        <v>44</v>
      </c>
      <c r="V198" s="180" t="s">
        <v>1452</v>
      </c>
    </row>
    <row r="199" spans="1:24" ht="30" x14ac:dyDescent="0.25">
      <c r="A199" s="524" t="s">
        <v>1305</v>
      </c>
      <c r="B199" s="431" t="str">
        <f>VLOOKUP(A199,'Feature Raw Data'!$A$3:$B$4204,2,FALSE)</f>
        <v>GFXHUB:GCUTCL2:VMl2 - Remove dummy invalidation interfaces</v>
      </c>
      <c r="C199" s="432" t="str">
        <f>VLOOKUP(A199,'Feature Raw Data'!$A$3:$C$4204,3,FALSE)</f>
        <v>P1</v>
      </c>
      <c r="D199" s="433" t="str" cm="1">
        <f t="array" ref="D199">_xlfn.TEXTJOIN("",TRUE,IF(ISNUMBER(SEARCH($A199,'Diags Raw Data'!$A$6:$A$3907)),CONCATENATE('Diags Raw Data'!$H$6:$H$3907,", "),""))</f>
        <v xml:space="preserve">mhub252.1, mhub253.1, mhub257.6, </v>
      </c>
      <c r="E199" s="324" t="e">
        <f>VLOOKUP(A199,'Diags Raw Data'!$A$6:$D$3907,4,FALSE)</f>
        <v>#N/A</v>
      </c>
      <c r="F199" s="324" t="str">
        <f>VLOOKUP(A199,'Feature Raw Data'!$A$3:$E$4204,5,FALSE)</f>
        <v>New</v>
      </c>
      <c r="G199" s="324" t="str">
        <f t="shared" si="83"/>
        <v>Yes</v>
      </c>
      <c r="H199" s="324" t="str">
        <f t="shared" si="84"/>
        <v>Yes</v>
      </c>
      <c r="I199" s="432">
        <f>SUMIF('Diags Raw Data'!$A$6:$A$3907,"*"&amp;$A199&amp;"*",'Diags Raw Data'!$K$6:$K$3907)</f>
        <v>3</v>
      </c>
      <c r="J199" s="434">
        <f>SUMIF('Diags Raw Data'!$A$6:$A$3907,"*"&amp;$A199&amp;"*",'Diags Raw Data'!$L$6:$L$3907)</f>
        <v>3</v>
      </c>
      <c r="K199" s="478" t="e" cm="1">
        <f t="array" ref="K199">IF(D199="",0, SUMPRODUCT(--(ISNUMBER(SEARCH($A199,'Diags Raw Data'!$A$6:$A$3907))),'Diags Raw Data'!$L$6:$L$3907,'Diags Raw Data'!$N$6:$N$3910)/J199)</f>
        <v>#VALUE!</v>
      </c>
      <c r="L199" s="479" cm="1">
        <f t="array" ref="L199">IF(D199="",0, SUMPRODUCT(--(ISNUMBER(SEARCH($A199,'Diags Raw Data'!$A$6:$A$3907))),'Diags Raw Data'!$L$6:$L$3907,'Diags Raw Data'!$P$6:$P$3907)/J199)</f>
        <v>1</v>
      </c>
      <c r="M199" s="480" cm="1">
        <f t="array" ref="M199">SUMPRODUCT(--(ISNUMBER(SEARCH($A199,'Diags Raw Data'!$A$6:$A$3907))),--('Diags Raw Data'!$Q$6:$Q$3907&lt;&gt;"N/A"),'Diags Raw Data'!$R$6:$R$3907)</f>
        <v>3</v>
      </c>
      <c r="N199" s="481" cm="1">
        <f t="array" ref="N199">SUMPRODUCT(--(ISNUMBER(SEARCH($A199,'Diags Raw Data'!$A$6:$A$3907))),--('Diags Raw Data'!$Q$6:$Q$3907&lt;&gt;"N/A"),'Diags Raw Data'!$T$6:$T$3907)+SUMPRODUCT(--(ISNUMBER(SEARCH($A199,'Diags Raw Data'!$A$6:$A$3907))),--('Diags Raw Data'!$Q$6:$Q$3907&lt;&gt;"N/A"),'Diags Raw Data'!$U$6:$U$3907)</f>
        <v>3</v>
      </c>
      <c r="O199" s="482">
        <f t="shared" si="85"/>
        <v>1</v>
      </c>
      <c r="P199" s="483">
        <f>SUMIF('Diags Raw Data'!$A$6:$A$3907,"*"&amp;$A199&amp;"*",'Diags Raw Data'!$Z$6:$Z$3907)</f>
        <v>3</v>
      </c>
      <c r="Q199" s="484">
        <f>SUM(SUMIF('Diags Raw Data'!$A$6:$A$3907,"*"&amp;$A199&amp;"*",'Diags Raw Data'!$AA$6:$AA$3907),SUMIF('Diags Raw Data'!$A$6:$A$3907,"*"&amp;$A199&amp;"*",'Diags Raw Data'!$AB$6:$AB$3907))</f>
        <v>3</v>
      </c>
      <c r="R199" s="485">
        <f t="shared" si="86"/>
        <v>1</v>
      </c>
      <c r="S199" s="485">
        <f t="shared" si="87"/>
        <v>1</v>
      </c>
      <c r="T199" s="486">
        <f t="shared" si="88"/>
        <v>1</v>
      </c>
      <c r="U199" s="530" t="s">
        <v>1422</v>
      </c>
      <c r="V199" s="180"/>
    </row>
    <row r="200" spans="1:24" ht="30" x14ac:dyDescent="0.25">
      <c r="A200" s="524" t="s">
        <v>1307</v>
      </c>
      <c r="B200" s="431" t="str">
        <f>VLOOKUP(A200,'Feature Raw Data'!$A$3:$B$4204,2,FALSE)</f>
        <v>GFXHUB:GCUTCL2:VMl2 - RLC busy handshake protocol for GPUVM invalidations</v>
      </c>
      <c r="C200" s="432" t="str">
        <f>VLOOKUP(A200,'Feature Raw Data'!$A$3:$C$4204,3,FALSE)</f>
        <v>P1</v>
      </c>
      <c r="D200" s="433" t="str" cm="1">
        <f t="array" ref="D200">_xlfn.TEXTJOIN("",TRUE,IF(ISNUMBER(SEARCH($A200,'Diags Raw Data'!$A$6:$A$3907)),CONCATENATE('Diags Raw Data'!$H$6:$H$3907,", "),""))</f>
        <v xml:space="preserve">mhub252.1, mhub253.1, mhub257.6, </v>
      </c>
      <c r="E200" s="324" t="e">
        <f>VLOOKUP(A200,'Diags Raw Data'!$A$6:$D$3907,4,FALSE)</f>
        <v>#N/A</v>
      </c>
      <c r="F200" s="324" t="str">
        <f>VLOOKUP(A200,'Feature Raw Data'!$A$3:$E$4204,5,FALSE)</f>
        <v>New</v>
      </c>
      <c r="G200" s="324" t="str">
        <f t="shared" si="83"/>
        <v>Yes</v>
      </c>
      <c r="H200" s="324" t="str">
        <f t="shared" si="84"/>
        <v>Yes</v>
      </c>
      <c r="I200" s="432">
        <f>SUMIF('Diags Raw Data'!$A$6:$A$3907,"*"&amp;$A200&amp;"*",'Diags Raw Data'!$K$6:$K$3907)</f>
        <v>3</v>
      </c>
      <c r="J200" s="434">
        <f>SUMIF('Diags Raw Data'!$A$6:$A$3907,"*"&amp;$A200&amp;"*",'Diags Raw Data'!$L$6:$L$3907)</f>
        <v>3</v>
      </c>
      <c r="K200" s="478" t="e" cm="1">
        <f t="array" ref="K200">IF(D200="",0, SUMPRODUCT(--(ISNUMBER(SEARCH($A200,'Diags Raw Data'!$A$6:$A$3907))),'Diags Raw Data'!$L$6:$L$3907,'Diags Raw Data'!$N$6:$N$3910)/J200)</f>
        <v>#VALUE!</v>
      </c>
      <c r="L200" s="479" cm="1">
        <f t="array" ref="L200">IF(D200="",0, SUMPRODUCT(--(ISNUMBER(SEARCH($A200,'Diags Raw Data'!$A$6:$A$3907))),'Diags Raw Data'!$L$6:$L$3907,'Diags Raw Data'!$P$6:$P$3907)/J200)</f>
        <v>1</v>
      </c>
      <c r="M200" s="480" cm="1">
        <f t="array" ref="M200">SUMPRODUCT(--(ISNUMBER(SEARCH($A200,'Diags Raw Data'!$A$6:$A$3907))),--('Diags Raw Data'!$Q$6:$Q$3907&lt;&gt;"N/A"),'Diags Raw Data'!$R$6:$R$3907)</f>
        <v>3</v>
      </c>
      <c r="N200" s="481" cm="1">
        <f t="array" ref="N200">SUMPRODUCT(--(ISNUMBER(SEARCH($A200,'Diags Raw Data'!$A$6:$A$3907))),--('Diags Raw Data'!$Q$6:$Q$3907&lt;&gt;"N/A"),'Diags Raw Data'!$T$6:$T$3907)+SUMPRODUCT(--(ISNUMBER(SEARCH($A200,'Diags Raw Data'!$A$6:$A$3907))),--('Diags Raw Data'!$Q$6:$Q$3907&lt;&gt;"N/A"),'Diags Raw Data'!$U$6:$U$3907)</f>
        <v>3</v>
      </c>
      <c r="O200" s="482">
        <f t="shared" si="85"/>
        <v>1</v>
      </c>
      <c r="P200" s="483">
        <f>SUMIF('Diags Raw Data'!$A$6:$A$3907,"*"&amp;$A200&amp;"*",'Diags Raw Data'!$Z$6:$Z$3907)</f>
        <v>3</v>
      </c>
      <c r="Q200" s="484">
        <f>SUM(SUMIF('Diags Raw Data'!$A$6:$A$3907,"*"&amp;$A200&amp;"*",'Diags Raw Data'!$AA$6:$AA$3907),SUMIF('Diags Raw Data'!$A$6:$A$3907,"*"&amp;$A200&amp;"*",'Diags Raw Data'!$AB$6:$AB$3907))</f>
        <v>3</v>
      </c>
      <c r="R200" s="485">
        <f t="shared" si="86"/>
        <v>1</v>
      </c>
      <c r="S200" s="485">
        <f t="shared" si="87"/>
        <v>1</v>
      </c>
      <c r="T200" s="486">
        <f t="shared" si="88"/>
        <v>1</v>
      </c>
      <c r="U200" s="530" t="s">
        <v>1422</v>
      </c>
      <c r="V200" s="180"/>
    </row>
    <row r="201" spans="1:24" ht="30" x14ac:dyDescent="0.25">
      <c r="A201" s="524" t="s">
        <v>1309</v>
      </c>
      <c r="B201" s="431" t="str">
        <f>VLOOKUP(A201,'Feature Raw Data'!$A$3:$B$4204,2,FALSE)</f>
        <v>GFXHUB:GCUTCL2:VMl2 - UTCL2 Idle Signals for IMU</v>
      </c>
      <c r="C201" s="432" t="str">
        <f>VLOOKUP(A201,'Feature Raw Data'!$A$3:$C$4204,3,FALSE)</f>
        <v>P1</v>
      </c>
      <c r="D201" s="433" t="str" cm="1">
        <f t="array" ref="D201">_xlfn.TEXTJOIN("",TRUE,IF(ISNUMBER(SEARCH($A201,'Diags Raw Data'!$A$6:$A$3907)),CONCATENATE('Diags Raw Data'!$H$6:$H$3907,", "),""))</f>
        <v/>
      </c>
      <c r="E201" s="324" t="e">
        <f>VLOOKUP(A201,'Diags Raw Data'!$A$6:$D$3907,4,FALSE)</f>
        <v>#N/A</v>
      </c>
      <c r="F201" s="324" t="str">
        <f>VLOOKUP(A201,'Feature Raw Data'!$A$3:$E$4204,5,FALSE)</f>
        <v>New</v>
      </c>
      <c r="G201" s="324" t="str">
        <f t="shared" si="83"/>
        <v>No</v>
      </c>
      <c r="H201" s="324" t="str">
        <f t="shared" si="84"/>
        <v>No</v>
      </c>
      <c r="I201" s="432">
        <f>SUMIF('Diags Raw Data'!$A$6:$A$3907,"*"&amp;$A201&amp;"*",'Diags Raw Data'!$K$6:$K$3907)</f>
        <v>0</v>
      </c>
      <c r="J201" s="434">
        <f>SUMIF('Diags Raw Data'!$A$6:$A$3907,"*"&amp;$A201&amp;"*",'Diags Raw Data'!$L$6:$L$3907)</f>
        <v>0</v>
      </c>
      <c r="K201" s="478" cm="1">
        <f t="array" ref="K201">IF(D201="",0, SUMPRODUCT(--(ISNUMBER(SEARCH($A201,'Diags Raw Data'!$A$6:$A$3907))),'Diags Raw Data'!$L$6:$L$3907,'Diags Raw Data'!$N$6:$N$3910)/J201)</f>
        <v>0</v>
      </c>
      <c r="L201" s="479" cm="1">
        <f t="array" ref="L201">IF(D201="",0, SUMPRODUCT(--(ISNUMBER(SEARCH($A201,'Diags Raw Data'!$A$6:$A$3907))),'Diags Raw Data'!$L$6:$L$3907,'Diags Raw Data'!$P$6:$P$3907)/J201)</f>
        <v>0</v>
      </c>
      <c r="M201" s="480" cm="1">
        <f t="array" ref="M201">SUMPRODUCT(--(ISNUMBER(SEARCH($A201,'Diags Raw Data'!$A$6:$A$3907))),--('Diags Raw Data'!$Q$6:$Q$3907&lt;&gt;"N/A"),'Diags Raw Data'!$R$6:$R$3907)</f>
        <v>0</v>
      </c>
      <c r="N201" s="481" cm="1">
        <f t="array" ref="N201">SUMPRODUCT(--(ISNUMBER(SEARCH($A201,'Diags Raw Data'!$A$6:$A$3907))),--('Diags Raw Data'!$Q$6:$Q$3907&lt;&gt;"N/A"),'Diags Raw Data'!$T$6:$T$3907)+SUMPRODUCT(--(ISNUMBER(SEARCH($A201,'Diags Raw Data'!$A$6:$A$3907))),--('Diags Raw Data'!$Q$6:$Q$3907&lt;&gt;"N/A"),'Diags Raw Data'!$U$6:$U$3907)</f>
        <v>0</v>
      </c>
      <c r="O201" s="482">
        <f t="shared" si="85"/>
        <v>0</v>
      </c>
      <c r="P201" s="483">
        <f>SUMIF('Diags Raw Data'!$A$6:$A$3907,"*"&amp;$A201&amp;"*",'Diags Raw Data'!$Z$6:$Z$3907)</f>
        <v>0</v>
      </c>
      <c r="Q201" s="484">
        <f>SUM(SUMIF('Diags Raw Data'!$A$6:$A$3907,"*"&amp;$A201&amp;"*",'Diags Raw Data'!$AA$6:$AA$3907),SUMIF('Diags Raw Data'!$A$6:$A$3907,"*"&amp;$A201&amp;"*",'Diags Raw Data'!$AB$6:$AB$3907))</f>
        <v>0</v>
      </c>
      <c r="R201" s="485">
        <f t="shared" si="86"/>
        <v>0</v>
      </c>
      <c r="S201" s="485">
        <f t="shared" si="87"/>
        <v>0</v>
      </c>
      <c r="T201" s="486">
        <f t="shared" si="88"/>
        <v>0</v>
      </c>
      <c r="U201" s="530" t="s">
        <v>44</v>
      </c>
      <c r="V201" s="180" t="s">
        <v>1452</v>
      </c>
    </row>
    <row r="202" spans="1:24" x14ac:dyDescent="0.25">
      <c r="A202" s="524"/>
      <c r="B202" s="431"/>
      <c r="C202" s="432"/>
      <c r="D202" s="433"/>
      <c r="E202" s="324"/>
      <c r="F202" s="324"/>
      <c r="G202" s="324"/>
      <c r="H202" s="324"/>
      <c r="I202" s="432"/>
      <c r="J202" s="434"/>
      <c r="K202" s="478"/>
      <c r="L202" s="479"/>
      <c r="M202" s="480"/>
      <c r="N202" s="481"/>
      <c r="O202" s="482"/>
      <c r="P202" s="483"/>
      <c r="Q202" s="484"/>
      <c r="R202" s="485"/>
      <c r="S202" s="485"/>
      <c r="T202" s="486"/>
      <c r="U202" s="530"/>
      <c r="V202" s="180"/>
    </row>
    <row r="203" spans="1:24" x14ac:dyDescent="0.25">
      <c r="A203" s="524"/>
      <c r="B203" s="431"/>
      <c r="C203" s="432"/>
      <c r="D203" s="433"/>
      <c r="E203" s="324"/>
      <c r="F203" s="324"/>
      <c r="G203" s="324"/>
      <c r="H203" s="324"/>
      <c r="I203" s="432"/>
      <c r="J203" s="434"/>
      <c r="K203" s="478"/>
      <c r="L203" s="479"/>
      <c r="M203" s="480"/>
      <c r="N203" s="481"/>
      <c r="O203" s="482"/>
      <c r="P203" s="483"/>
      <c r="Q203" s="484"/>
      <c r="R203" s="485"/>
      <c r="S203" s="485"/>
      <c r="T203" s="486"/>
      <c r="U203" s="530"/>
      <c r="V203" s="180"/>
    </row>
    <row r="204" spans="1:24" x14ac:dyDescent="0.25">
      <c r="A204" s="524"/>
      <c r="B204" s="431"/>
      <c r="C204" s="432"/>
      <c r="D204" s="433"/>
      <c r="E204" s="324"/>
      <c r="F204" s="324"/>
      <c r="G204" s="324"/>
      <c r="H204" s="324"/>
      <c r="I204" s="432"/>
      <c r="J204" s="434"/>
      <c r="K204" s="478"/>
      <c r="L204" s="479"/>
      <c r="M204" s="480"/>
      <c r="N204" s="481"/>
      <c r="O204" s="482"/>
      <c r="P204" s="483"/>
      <c r="Q204" s="484"/>
      <c r="R204" s="485"/>
      <c r="S204" s="485"/>
      <c r="T204" s="486"/>
      <c r="U204" s="530"/>
      <c r="V204" s="180"/>
    </row>
    <row r="205" spans="1:24" x14ac:dyDescent="0.25">
      <c r="A205" s="524"/>
      <c r="B205" s="431"/>
      <c r="C205" s="432"/>
      <c r="D205" s="433"/>
      <c r="E205" s="324"/>
      <c r="F205" s="324"/>
      <c r="G205" s="324"/>
      <c r="H205" s="324"/>
      <c r="I205" s="432"/>
      <c r="J205" s="434"/>
      <c r="K205" s="478"/>
      <c r="L205" s="479"/>
      <c r="M205" s="480"/>
      <c r="N205" s="481"/>
      <c r="O205" s="482"/>
      <c r="P205" s="483"/>
      <c r="Q205" s="484"/>
      <c r="R205" s="485"/>
      <c r="S205" s="485"/>
      <c r="T205" s="486"/>
      <c r="U205" s="530"/>
      <c r="V205" s="180"/>
    </row>
    <row r="206" spans="1:24" x14ac:dyDescent="0.25">
      <c r="A206" s="357"/>
      <c r="B206" s="402"/>
      <c r="C206" s="323"/>
      <c r="D206" s="82"/>
      <c r="E206" s="179"/>
      <c r="F206" s="179"/>
      <c r="G206" s="179"/>
      <c r="H206" s="179"/>
      <c r="I206" s="323"/>
      <c r="J206" s="193"/>
      <c r="K206" s="487"/>
      <c r="L206" s="488"/>
      <c r="M206" s="489"/>
      <c r="N206" s="490"/>
      <c r="O206" s="491"/>
      <c r="P206" s="492"/>
      <c r="Q206" s="493"/>
      <c r="R206" s="494"/>
      <c r="S206" s="494"/>
      <c r="T206" s="495"/>
      <c r="U206" s="358"/>
      <c r="V206" s="180"/>
    </row>
    <row r="207" spans="1:24" x14ac:dyDescent="0.25">
      <c r="A207" s="357"/>
      <c r="B207" s="402"/>
      <c r="C207" s="323"/>
      <c r="D207" s="82"/>
      <c r="E207" s="179"/>
      <c r="F207" s="179"/>
      <c r="G207" s="179"/>
      <c r="H207" s="179"/>
      <c r="I207" s="323"/>
      <c r="J207" s="193"/>
      <c r="K207" s="487"/>
      <c r="L207" s="488"/>
      <c r="M207" s="489"/>
      <c r="N207" s="490"/>
      <c r="O207" s="491"/>
      <c r="P207" s="492"/>
      <c r="Q207" s="493"/>
      <c r="R207" s="494"/>
      <c r="S207" s="494"/>
      <c r="T207" s="495"/>
      <c r="U207" s="358"/>
      <c r="V207" s="180"/>
    </row>
    <row r="208" spans="1:24" x14ac:dyDescent="0.25">
      <c r="A208" s="364"/>
      <c r="B208" s="403"/>
      <c r="C208" s="365"/>
      <c r="D208" s="366"/>
      <c r="E208" s="367"/>
      <c r="F208" s="367"/>
      <c r="G208" s="367"/>
      <c r="H208" s="367"/>
      <c r="I208" s="365"/>
      <c r="J208" s="368"/>
      <c r="K208" s="496"/>
      <c r="L208" s="497"/>
      <c r="M208" s="498"/>
      <c r="N208" s="499"/>
      <c r="O208" s="500"/>
      <c r="P208" s="501"/>
      <c r="Q208" s="502"/>
      <c r="R208" s="503"/>
      <c r="S208" s="503"/>
      <c r="T208" s="504"/>
      <c r="U208" s="369"/>
      <c r="V208" s="180"/>
    </row>
    <row r="209" spans="1:22" x14ac:dyDescent="0.25">
      <c r="A209" s="699" t="s">
        <v>1454</v>
      </c>
      <c r="B209" s="724"/>
      <c r="C209" s="724"/>
      <c r="D209" s="724"/>
      <c r="E209" s="724"/>
      <c r="F209" s="724"/>
      <c r="G209" s="724"/>
      <c r="H209" s="724"/>
      <c r="I209" s="724"/>
      <c r="J209" s="724"/>
      <c r="K209" s="724"/>
      <c r="L209" s="724"/>
      <c r="M209" s="724"/>
      <c r="N209" s="724"/>
      <c r="O209" s="724"/>
      <c r="P209" s="724"/>
      <c r="Q209" s="724"/>
      <c r="R209" s="724"/>
      <c r="S209" s="724"/>
      <c r="T209" s="724"/>
      <c r="U209" s="725"/>
      <c r="V209" s="180"/>
    </row>
    <row r="210" spans="1:22" x14ac:dyDescent="0.25">
      <c r="A210" s="726"/>
      <c r="B210" s="727"/>
      <c r="C210" s="727"/>
      <c r="D210" s="727"/>
      <c r="E210" s="727"/>
      <c r="F210" s="727"/>
      <c r="G210" s="727"/>
      <c r="H210" s="727"/>
      <c r="I210" s="727"/>
      <c r="J210" s="727"/>
      <c r="K210" s="727"/>
      <c r="L210" s="727"/>
      <c r="M210" s="727"/>
      <c r="N210" s="727"/>
      <c r="O210" s="727"/>
      <c r="P210" s="727"/>
      <c r="Q210" s="727"/>
      <c r="R210" s="727"/>
      <c r="S210" s="727"/>
      <c r="T210" s="727"/>
      <c r="U210" s="728"/>
      <c r="V210" s="180"/>
    </row>
    <row r="211" spans="1:22" s="187" customFormat="1" ht="18.75" x14ac:dyDescent="0.25">
      <c r="A211" s="704" t="s">
        <v>297</v>
      </c>
      <c r="B211" s="705"/>
      <c r="C211" s="705"/>
      <c r="D211" s="705"/>
      <c r="E211" s="705"/>
      <c r="F211" s="706"/>
      <c r="G211" s="378">
        <f>COUNTIF(G7:G208,"Yes")</f>
        <v>95</v>
      </c>
      <c r="H211" s="378">
        <f>COUNTIF(H7:H208,"Yes")</f>
        <v>87</v>
      </c>
      <c r="I211" s="702">
        <f>'Diags Raw Data'!K299</f>
        <v>472</v>
      </c>
      <c r="J211" s="733">
        <f>'Diags Raw Data'!L299</f>
        <v>779</v>
      </c>
      <c r="K211" s="676">
        <f>'Diags Raw Data'!N302</f>
        <v>1</v>
      </c>
      <c r="L211" s="678">
        <f>'Diags Raw Data'!P299</f>
        <v>0.99614890885750962</v>
      </c>
      <c r="M211" s="680">
        <f>'Diags Raw Data'!R299</f>
        <v>651</v>
      </c>
      <c r="N211" s="697">
        <f>SUM('Diags Raw Data'!T299+'Diags Raw Data'!U299)</f>
        <v>610</v>
      </c>
      <c r="O211" s="729">
        <f>IF((M211=0),0,N211/M211)</f>
        <v>0.93701996927803377</v>
      </c>
      <c r="P211" s="731">
        <f>'Diags Raw Data'!Z299</f>
        <v>488</v>
      </c>
      <c r="Q211" s="714">
        <f>SUM('Diags Raw Data'!AA299+'Diags Raw Data'!AB299)</f>
        <v>226</v>
      </c>
      <c r="R211" s="682">
        <f>IF((J211=0),0,P211/J211)</f>
        <v>0.62644415917843388</v>
      </c>
      <c r="S211" s="682">
        <f>IF((P211=0),0,Q211/P211)</f>
        <v>0.46311475409836067</v>
      </c>
      <c r="T211" s="682">
        <f>R211*S211</f>
        <v>0.29011553273427471</v>
      </c>
      <c r="U211" s="684"/>
      <c r="V211" s="186"/>
    </row>
    <row r="212" spans="1:22" ht="19.5" thickBot="1" x14ac:dyDescent="0.3">
      <c r="A212" s="707"/>
      <c r="B212" s="708"/>
      <c r="C212" s="708"/>
      <c r="D212" s="708"/>
      <c r="E212" s="708"/>
      <c r="F212" s="709"/>
      <c r="G212" s="379">
        <f>COUNTIF(G7:G208,"Yes")/COUNTA(A7:A208)</f>
        <v>0.69343065693430661</v>
      </c>
      <c r="H212" s="379">
        <f>(COUNTIF(H7:H208,"Yes")/G211)</f>
        <v>0.91578947368421049</v>
      </c>
      <c r="I212" s="703"/>
      <c r="J212" s="734"/>
      <c r="K212" s="677"/>
      <c r="L212" s="679"/>
      <c r="M212" s="681"/>
      <c r="N212" s="698"/>
      <c r="O212" s="730"/>
      <c r="P212" s="732"/>
      <c r="Q212" s="715"/>
      <c r="R212" s="683"/>
      <c r="S212" s="683"/>
      <c r="T212" s="683"/>
      <c r="U212" s="685"/>
      <c r="V212" s="180"/>
    </row>
    <row r="213" spans="1:22" x14ac:dyDescent="0.25">
      <c r="A213" s="188"/>
      <c r="B213" s="189"/>
      <c r="C213" s="189"/>
      <c r="D213" s="188"/>
      <c r="E213" s="189"/>
      <c r="F213" s="189"/>
      <c r="G213" s="189"/>
      <c r="H213" s="189"/>
      <c r="I213" s="370"/>
      <c r="J213" s="370"/>
      <c r="K213" s="194"/>
      <c r="L213" s="194"/>
      <c r="M213" s="195"/>
      <c r="N213" s="195"/>
      <c r="O213" s="194"/>
      <c r="P213" s="191"/>
      <c r="Q213" s="191"/>
      <c r="R213" s="198"/>
      <c r="S213" s="198"/>
      <c r="T213" s="199"/>
      <c r="U213" s="188"/>
    </row>
  </sheetData>
  <sheetProtection insertColumns="0" insertRows="0" deleteRows="0" sort="0"/>
  <autoFilter ref="A6:U213" xr:uid="{00000000-0009-0000-0000-000004000000}"/>
  <mergeCells count="35">
    <mergeCell ref="A211:F212"/>
    <mergeCell ref="A209:U210"/>
    <mergeCell ref="O211:O212"/>
    <mergeCell ref="P211:P212"/>
    <mergeCell ref="Q211:Q212"/>
    <mergeCell ref="R211:R212"/>
    <mergeCell ref="I211:I212"/>
    <mergeCell ref="J211:J212"/>
    <mergeCell ref="A1:U1"/>
    <mergeCell ref="I2:I3"/>
    <mergeCell ref="A2:F3"/>
    <mergeCell ref="O2:O3"/>
    <mergeCell ref="P2:P3"/>
    <mergeCell ref="Q2:Q3"/>
    <mergeCell ref="J2:J3"/>
    <mergeCell ref="K2:K3"/>
    <mergeCell ref="L2:L3"/>
    <mergeCell ref="M2:M3"/>
    <mergeCell ref="N2:N3"/>
    <mergeCell ref="A4:U4"/>
    <mergeCell ref="K211:K212"/>
    <mergeCell ref="L211:L212"/>
    <mergeCell ref="M211:M212"/>
    <mergeCell ref="T2:T3"/>
    <mergeCell ref="U2:U3"/>
    <mergeCell ref="R2:R3"/>
    <mergeCell ref="S2:S3"/>
    <mergeCell ref="S211:S212"/>
    <mergeCell ref="T211:T212"/>
    <mergeCell ref="U211:U212"/>
    <mergeCell ref="K5:L5"/>
    <mergeCell ref="A5:J5"/>
    <mergeCell ref="M5:O5"/>
    <mergeCell ref="P5:U5"/>
    <mergeCell ref="N211:N212"/>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topLeftCell="A40" workbookViewId="0">
      <selection activeCell="Q58" sqref="Q58"/>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1455</v>
      </c>
      <c r="B1" s="157" t="s">
        <v>1456</v>
      </c>
      <c r="C1" s="158" t="s">
        <v>1457</v>
      </c>
      <c r="D1" s="158" t="s">
        <v>1458</v>
      </c>
      <c r="E1" s="158" t="s">
        <v>1459</v>
      </c>
      <c r="F1" s="158" t="s">
        <v>1460</v>
      </c>
      <c r="G1" s="158" t="s">
        <v>1461</v>
      </c>
      <c r="H1" s="158" t="s">
        <v>1462</v>
      </c>
      <c r="I1" s="158" t="s">
        <v>1463</v>
      </c>
      <c r="J1" s="158" t="s">
        <v>1464</v>
      </c>
      <c r="K1" s="158" t="s">
        <v>1465</v>
      </c>
      <c r="L1" s="158" t="s">
        <v>1466</v>
      </c>
      <c r="M1" s="158" t="s">
        <v>1467</v>
      </c>
      <c r="N1" s="158" t="s">
        <v>1468</v>
      </c>
      <c r="O1" s="158" t="s">
        <v>1469</v>
      </c>
      <c r="P1" s="158" t="s">
        <v>1470</v>
      </c>
      <c r="Q1" s="158" t="s">
        <v>1471</v>
      </c>
      <c r="R1" s="158" t="s">
        <v>1472</v>
      </c>
      <c r="S1" s="158" t="s">
        <v>1473</v>
      </c>
      <c r="T1" s="158" t="s">
        <v>1474</v>
      </c>
      <c r="U1" s="158" t="s">
        <v>1475</v>
      </c>
      <c r="V1" s="158" t="s">
        <v>1476</v>
      </c>
      <c r="W1" s="158" t="s">
        <v>1477</v>
      </c>
      <c r="X1" s="158" t="s">
        <v>1478</v>
      </c>
      <c r="Y1" s="158" t="s">
        <v>1479</v>
      </c>
      <c r="Z1" s="158" t="s">
        <v>1480</v>
      </c>
      <c r="AA1" s="158" t="s">
        <v>1481</v>
      </c>
      <c r="AB1" s="158" t="s">
        <v>1482</v>
      </c>
      <c r="AC1" s="158" t="s">
        <v>1483</v>
      </c>
      <c r="AD1" s="158" t="s">
        <v>1484</v>
      </c>
      <c r="AE1" s="158" t="s">
        <v>1485</v>
      </c>
      <c r="AF1" s="158" t="s">
        <v>1486</v>
      </c>
      <c r="AG1" s="158" t="s">
        <v>1487</v>
      </c>
      <c r="AH1" s="158" t="s">
        <v>1488</v>
      </c>
      <c r="AI1" s="158" t="s">
        <v>1489</v>
      </c>
      <c r="AJ1" s="158" t="s">
        <v>1490</v>
      </c>
      <c r="AK1" s="158" t="s">
        <v>1491</v>
      </c>
      <c r="AL1" s="158" t="s">
        <v>1492</v>
      </c>
      <c r="AM1" s="158" t="s">
        <v>1493</v>
      </c>
      <c r="AN1" s="158" t="s">
        <v>1494</v>
      </c>
      <c r="AO1" s="158" t="s">
        <v>1495</v>
      </c>
      <c r="AP1" s="158" t="s">
        <v>1496</v>
      </c>
      <c r="AQ1" s="158" t="s">
        <v>1497</v>
      </c>
      <c r="AR1" s="158" t="s">
        <v>1498</v>
      </c>
      <c r="AS1" s="158" t="s">
        <v>1499</v>
      </c>
      <c r="AT1" s="158" t="s">
        <v>1500</v>
      </c>
      <c r="AU1" s="158" t="s">
        <v>1501</v>
      </c>
      <c r="AV1" s="158" t="s">
        <v>1502</v>
      </c>
      <c r="AW1" s="158" t="s">
        <v>1503</v>
      </c>
      <c r="AX1" s="158" t="s">
        <v>1504</v>
      </c>
      <c r="AY1" s="158" t="s">
        <v>1505</v>
      </c>
      <c r="AZ1" s="158" t="s">
        <v>1506</v>
      </c>
      <c r="BA1" s="158" t="s">
        <v>1507</v>
      </c>
      <c r="BB1" s="159" t="s">
        <v>1508</v>
      </c>
    </row>
    <row r="2" spans="1:54" s="135" customFormat="1" x14ac:dyDescent="0.2">
      <c r="A2" s="151" t="s">
        <v>1414</v>
      </c>
      <c r="B2" s="152">
        <v>0.1</v>
      </c>
      <c r="C2" s="153"/>
      <c r="D2" s="153"/>
      <c r="E2" s="153"/>
      <c r="F2" s="153"/>
      <c r="G2" s="153"/>
      <c r="H2" s="153"/>
      <c r="I2" s="153"/>
      <c r="J2" s="153"/>
      <c r="K2" s="153"/>
      <c r="L2" s="153"/>
      <c r="M2" s="153"/>
      <c r="N2" s="153"/>
      <c r="O2" s="153"/>
      <c r="P2" s="153"/>
      <c r="Q2" s="153"/>
      <c r="R2" s="153"/>
      <c r="S2" s="153"/>
      <c r="T2" s="153"/>
      <c r="U2" s="153"/>
      <c r="V2" s="153"/>
      <c r="W2" s="153"/>
      <c r="X2" s="153"/>
      <c r="Y2" s="153"/>
      <c r="Z2" s="153">
        <v>0.94</v>
      </c>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1417</v>
      </c>
      <c r="B3" s="146"/>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132"/>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182</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0.02</v>
      </c>
      <c r="AC4" s="139">
        <v>0.06</v>
      </c>
      <c r="AD4" s="139"/>
      <c r="AE4" s="139"/>
      <c r="AF4" s="139"/>
      <c r="AG4" s="139"/>
      <c r="AH4" s="139"/>
      <c r="AI4" s="139"/>
      <c r="AJ4" s="139"/>
      <c r="AK4" s="139"/>
      <c r="AL4" s="139"/>
      <c r="AM4" s="140"/>
      <c r="AN4" s="140"/>
      <c r="AO4" s="140"/>
      <c r="AP4" s="140"/>
      <c r="AQ4" s="140"/>
      <c r="AR4" s="140"/>
      <c r="AS4" s="140"/>
      <c r="AT4" s="140"/>
      <c r="AU4" s="140"/>
      <c r="AV4" s="140"/>
      <c r="AW4" s="140"/>
      <c r="AX4" s="140"/>
      <c r="AY4" s="140"/>
      <c r="AZ4" s="140"/>
      <c r="BA4" s="140"/>
      <c r="BB4" s="141"/>
    </row>
    <row r="5" spans="1:54" x14ac:dyDescent="0.2">
      <c r="A5" s="160" t="s">
        <v>1415</v>
      </c>
      <c r="B5" s="161"/>
      <c r="C5" s="162"/>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1414</v>
      </c>
      <c r="B6" s="146">
        <v>0.13</v>
      </c>
      <c r="C6" s="132"/>
      <c r="D6" s="132"/>
      <c r="E6" s="132"/>
      <c r="F6" s="132"/>
      <c r="G6" s="132"/>
      <c r="H6" s="132"/>
      <c r="I6" s="132"/>
      <c r="J6" s="132"/>
      <c r="K6" s="132"/>
      <c r="L6" s="132"/>
      <c r="M6" s="132"/>
      <c r="N6" s="132"/>
      <c r="O6" s="132"/>
      <c r="P6" s="132"/>
      <c r="Q6" s="132"/>
      <c r="R6" s="132"/>
      <c r="S6" s="132"/>
      <c r="T6" s="132"/>
      <c r="U6" s="132"/>
      <c r="V6" s="132"/>
      <c r="W6" s="132"/>
      <c r="X6" s="132"/>
      <c r="Y6" s="132"/>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1416</v>
      </c>
      <c r="B7" s="146"/>
      <c r="C7" s="132"/>
      <c r="D7" s="132"/>
      <c r="E7" s="132"/>
      <c r="F7" s="132"/>
      <c r="G7" s="132"/>
      <c r="H7" s="132"/>
      <c r="I7" s="132"/>
      <c r="J7" s="132"/>
      <c r="K7" s="132"/>
      <c r="L7" s="132"/>
      <c r="M7" s="132"/>
      <c r="N7" s="132"/>
      <c r="O7" s="132"/>
      <c r="P7" s="132"/>
      <c r="Q7" s="132"/>
      <c r="R7" s="132"/>
      <c r="S7" s="132"/>
      <c r="T7" s="132"/>
      <c r="U7" s="132"/>
      <c r="V7" s="132"/>
      <c r="W7" s="132"/>
      <c r="X7" s="132"/>
      <c r="Y7" s="132"/>
      <c r="Z7" s="132"/>
      <c r="AA7" s="132"/>
      <c r="AB7" s="132"/>
      <c r="AC7" s="132"/>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182</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c r="AC8" s="139"/>
      <c r="AD8" s="139"/>
      <c r="AE8" s="139"/>
      <c r="AF8" s="139"/>
      <c r="AG8" s="139"/>
      <c r="AH8" s="139"/>
      <c r="AI8" s="140"/>
      <c r="AJ8" s="140"/>
      <c r="AK8" s="140"/>
      <c r="AL8" s="140"/>
      <c r="AM8" s="140"/>
      <c r="AN8" s="140"/>
      <c r="AO8" s="140"/>
      <c r="AP8" s="140"/>
      <c r="AQ8" s="140"/>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ColWidth="8.85546875" defaultRowHeight="15" x14ac:dyDescent="0.25"/>
  <cols>
    <col min="1" max="1" width="13.140625" bestFit="1" customWidth="1"/>
    <col min="2" max="2" width="13.28515625" bestFit="1" customWidth="1"/>
    <col min="4" max="4" width="9.140625" style="130"/>
  </cols>
  <sheetData>
    <row r="3" spans="1:5" x14ac:dyDescent="0.25">
      <c r="A3" s="129" t="s">
        <v>1509</v>
      </c>
      <c r="B3" s="129" t="s">
        <v>1510</v>
      </c>
      <c r="C3" s="129"/>
      <c r="D3" s="214"/>
      <c r="E3" s="129"/>
    </row>
    <row r="4" spans="1:5" x14ac:dyDescent="0.25">
      <c r="A4" s="79" t="s">
        <v>44</v>
      </c>
      <c r="B4">
        <v>0</v>
      </c>
    </row>
    <row r="5" spans="1:5" x14ac:dyDescent="0.25">
      <c r="A5" s="79" t="s">
        <v>1511</v>
      </c>
      <c r="B5">
        <v>85</v>
      </c>
      <c r="D5" s="130">
        <f>GETPIVOTDATA("#Tests",$A$3,"ETA","wk-1")/GETPIVOTDATA("#Tests",$A$3)</f>
        <v>0.17</v>
      </c>
      <c r="E5" s="131">
        <f>D5</f>
        <v>0.17</v>
      </c>
    </row>
    <row r="6" spans="1:5" x14ac:dyDescent="0.25">
      <c r="A6" s="79" t="s">
        <v>1512</v>
      </c>
      <c r="B6">
        <v>48</v>
      </c>
      <c r="D6" s="130">
        <f>GETPIVOTDATA("#Tests",$A$3,"ETA","wk-2")/GETPIVOTDATA("#Tests",$A$3)</f>
        <v>9.6000000000000002E-2</v>
      </c>
      <c r="E6" s="131">
        <f t="shared" ref="E6:E12" si="0">E5+D6</f>
        <v>0.26600000000000001</v>
      </c>
    </row>
    <row r="7" spans="1:5" x14ac:dyDescent="0.25">
      <c r="A7" s="79" t="s">
        <v>1513</v>
      </c>
      <c r="B7">
        <v>96</v>
      </c>
      <c r="D7" s="130">
        <f>GETPIVOTDATA("#Tests",$A$3,"ETA","wk-3")/GETPIVOTDATA("#Tests",$A$3)</f>
        <v>0.192</v>
      </c>
      <c r="E7" s="131">
        <f t="shared" si="0"/>
        <v>0.45800000000000002</v>
      </c>
    </row>
    <row r="8" spans="1:5" x14ac:dyDescent="0.25">
      <c r="A8" s="79" t="s">
        <v>1514</v>
      </c>
      <c r="B8">
        <v>79</v>
      </c>
      <c r="D8" s="130">
        <f>GETPIVOTDATA("#Tests",$A$3,"ETA","wk-4")/GETPIVOTDATA("#Tests",$A$3)</f>
        <v>0.158</v>
      </c>
      <c r="E8" s="131">
        <f t="shared" si="0"/>
        <v>0.61599999999999999</v>
      </c>
    </row>
    <row r="9" spans="1:5" x14ac:dyDescent="0.25">
      <c r="A9" s="79" t="s">
        <v>1515</v>
      </c>
      <c r="B9">
        <v>82</v>
      </c>
      <c r="D9" s="130">
        <f>GETPIVOTDATA("#Tests",$A$3,"ETA","wk-5")/GETPIVOTDATA("#Tests",$A$3)</f>
        <v>0.16400000000000001</v>
      </c>
      <c r="E9" s="131">
        <f t="shared" si="0"/>
        <v>0.78</v>
      </c>
    </row>
    <row r="10" spans="1:5" x14ac:dyDescent="0.25">
      <c r="A10" s="79" t="s">
        <v>1516</v>
      </c>
      <c r="B10">
        <v>60</v>
      </c>
      <c r="D10" s="130">
        <f>GETPIVOTDATA("#Tests",$A$3,"ETA","wk-6")/GETPIVOTDATA("#Tests",$A$3)</f>
        <v>0.12</v>
      </c>
      <c r="E10" s="131">
        <f t="shared" si="0"/>
        <v>0.9</v>
      </c>
    </row>
    <row r="11" spans="1:5" x14ac:dyDescent="0.25">
      <c r="A11" s="79" t="s">
        <v>1517</v>
      </c>
      <c r="B11">
        <v>30</v>
      </c>
      <c r="D11" s="130">
        <f>GETPIVOTDATA("#Tests",$A$3,"ETA","wk-7")/GETPIVOTDATA("#Tests",$A$3)</f>
        <v>0.06</v>
      </c>
      <c r="E11" s="131">
        <f t="shared" si="0"/>
        <v>0.96</v>
      </c>
    </row>
    <row r="12" spans="1:5" x14ac:dyDescent="0.25">
      <c r="A12" s="79" t="s">
        <v>1518</v>
      </c>
      <c r="B12">
        <v>20</v>
      </c>
      <c r="D12" s="130">
        <f>GETPIVOTDATA("#Tests",$A$3,"ETA","wk-8")/GETPIVOTDATA("#Tests",$A$3)</f>
        <v>0.04</v>
      </c>
      <c r="E12" s="131">
        <f t="shared" si="0"/>
        <v>1</v>
      </c>
    </row>
    <row r="13" spans="1:5" x14ac:dyDescent="0.25">
      <c r="A13" s="79" t="s">
        <v>1361</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IP_x002f_BLOCK xmlns="6d5e1dd9-3d6d-4d57-aaa4-c6398f910d60">MHUB</IP_x002f_BLOCK>
    <SharedWithUsers xmlns="ec5a97c5-2653-49c6-b3a5-07f7dd96f613">
      <UserInfo>
        <DisplayName>Chow, Man Chun (Chriz)</DisplayName>
        <AccountId>4082</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2.xml><?xml version="1.0" encoding="utf-8"?>
<ds:datastoreItem xmlns:ds="http://schemas.openxmlformats.org/officeDocument/2006/customXml" ds:itemID="{EE22A514-3872-4BC6-85FB-7D9D07F457A6}">
  <ds:schemaRefs>
    <ds:schemaRef ds:uri="http://schemas.microsoft.com/office/2006/documentManagement/types"/>
    <ds:schemaRef ds:uri="http://schemas.openxmlformats.org/package/2006/metadata/core-properties"/>
    <ds:schemaRef ds:uri="http://purl.org/dc/elements/1.1/"/>
    <ds:schemaRef ds:uri="http://www.w3.org/XML/1998/namespace"/>
    <ds:schemaRef ds:uri="http://purl.org/dc/dcmitype/"/>
    <ds:schemaRef ds:uri="http://schemas.microsoft.com/office/2006/metadata/properties"/>
    <ds:schemaRef ds:uri="6d5e1dd9-3d6d-4d57-aaa4-c6398f910d60"/>
    <ds:schemaRef ds:uri="http://schemas.microsoft.com/office/infopath/2007/PartnerControls"/>
    <ds:schemaRef ds:uri="ec5a97c5-2653-49c6-b3a5-07f7dd96f613"/>
    <ds:schemaRef ds:uri="http://purl.org/dc/terms/"/>
  </ds:schemaRefs>
</ds:datastoreItem>
</file>

<file path=customXml/itemProps3.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Log</vt:lpstr>
      <vt:lpstr>List Options</vt:lpstr>
      <vt:lpstr>Usage</vt:lpstr>
      <vt:lpstr>Cross-IP trackingHowTo</vt:lpstr>
      <vt:lpstr>Revision History</vt:lpstr>
      <vt:lpstr>Diags Raw Data</vt:lpstr>
      <vt:lpstr>Feature Raw Data</vt:lpstr>
      <vt:lpstr>Sub-IP Block Summary</vt:lpstr>
      <vt:lpstr>Progress (WIP)</vt:lpstr>
      <vt:lpstr>Feature Summary</vt:lpstr>
      <vt:lpstr>Progress</vt:lpstr>
      <vt:lpstr>Coverage Plan</vt:lpstr>
      <vt:lpstr>'Diags Raw Data'!_Toc71666059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NV48_MHUB_Diagnostics_Status_Tracker</dc:title>
  <dc:subject/>
  <dc:creator>Li, Raymond (Yun Peng)</dc:creator>
  <cp:keywords/>
  <dc:description/>
  <cp:lastModifiedBy>Regier, Paul</cp:lastModifiedBy>
  <cp:revision/>
  <dcterms:created xsi:type="dcterms:W3CDTF">2013-03-11T21:33:52Z</dcterms:created>
  <dcterms:modified xsi:type="dcterms:W3CDTF">2024-03-14T22:16:19Z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2022-03-25T04:51:03Z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d7949729-ed8b-4fdd-8ec7-47b69f66a765</vt:lpwstr>
  </property>
  <property fmtid="{D5CDD505-2E9C-101B-9397-08002B2CF9AE}" pid="9" name="MSIP_Label_88914ebd-7e6c-4e12-a031-a9906be2db14_ContentBits">
    <vt:lpwstr>1</vt:lpwstr>
  </property>
</Properties>
</file>