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codeName="ThisWorkbook"/>
  <mc:AlternateContent xmlns:mc="http://schemas.openxmlformats.org/markup-compatibility/2006">
    <mc:Choice Requires="x15">
      <x15ac:absPath xmlns:x15ac="http://schemas.microsoft.com/office/spreadsheetml/2010/11/ac" url="https://myworktor.amd.com/sites/DiagnosticDomain/Shared Documents/Programs/MI300/MI300X-O/Common/IP Trackers_Ext/"/>
    </mc:Choice>
  </mc:AlternateContent>
  <xr:revisionPtr revIDLastSave="0" documentId="13_ncr:1_{89D7538D-2975-43BB-86CC-C34D26D890F5}" xr6:coauthVersionLast="47" xr6:coauthVersionMax="47" xr10:uidLastSave="{00000000-0000-0000-0000-000000000000}"/>
  <bookViews>
    <workbookView xWindow="-26835" yWindow="510" windowWidth="23325" windowHeight="13710" firstSheet="4"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Raw Data" sheetId="52" r:id="rId7"/>
    <sheet name="Sub-IP Block Summary" sheetId="59" r:id="rId8"/>
    <sheet name="Feature Summary" sheetId="55" r:id="rId9"/>
    <sheet name="Progress (WIP)" sheetId="26" state="hidden" r:id="rId10"/>
    <sheet name="Progress" sheetId="51" r:id="rId11"/>
    <sheet name="Lookup" sheetId="61" r:id="rId12"/>
    <sheet name="Coverage Plan" sheetId="57" state="hidden" r:id="rId13"/>
  </sheets>
  <definedNames>
    <definedName name="_xlnm._FilterDatabase" localSheetId="5" hidden="1">'Diags Raw Data'!$A$5:$AH$36</definedName>
    <definedName name="_xlnm._FilterDatabase" localSheetId="6" hidden="1">'Feature Raw Data'!$A$2:$E$13</definedName>
    <definedName name="_xlnm._FilterDatabase" localSheetId="8" hidden="1">'Feature Summary'!$A$6:$U$32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T36" i="53" l="1"/>
  <c r="J25" i="55"/>
  <c r="J24" i="55"/>
  <c r="E25" i="55"/>
  <c r="Q25" i="55"/>
  <c r="Z31" i="53"/>
  <c r="P28" i="55" s="1"/>
  <c r="Z30" i="53"/>
  <c r="P27" i="55" s="1"/>
  <c r="Z29" i="53"/>
  <c r="AE29" i="53" s="1"/>
  <c r="Z28" i="53"/>
  <c r="P25" i="55" s="1"/>
  <c r="Z27" i="53"/>
  <c r="AE27" i="53" s="1"/>
  <c r="Z26" i="53"/>
  <c r="P23" i="55" s="1"/>
  <c r="Z24" i="53"/>
  <c r="AE24" i="53" s="1"/>
  <c r="Z25" i="53"/>
  <c r="P22" i="55" s="1"/>
  <c r="S31" i="53"/>
  <c r="X31" i="53" s="1"/>
  <c r="S32" i="53"/>
  <c r="S33" i="53"/>
  <c r="S21" i="53"/>
  <c r="S22" i="53"/>
  <c r="S23" i="53"/>
  <c r="S24" i="53"/>
  <c r="S25" i="53"/>
  <c r="S26" i="53"/>
  <c r="S27" i="53"/>
  <c r="S28" i="53"/>
  <c r="S29" i="53"/>
  <c r="S30" i="53"/>
  <c r="X30" i="53" s="1"/>
  <c r="Q28" i="55"/>
  <c r="R36" i="53"/>
  <c r="M12" i="55" s="1" a="1"/>
  <c r="M12" i="55" s="1"/>
  <c r="U36" i="53"/>
  <c r="N9" i="55" s="1" a="1"/>
  <c r="N9" i="55" s="1"/>
  <c r="N28" i="55" a="1"/>
  <c r="N28" i="55" s="1"/>
  <c r="P12" i="53"/>
  <c r="P13" i="53"/>
  <c r="P14" i="53"/>
  <c r="P19" i="53"/>
  <c r="P23" i="53"/>
  <c r="P24" i="53"/>
  <c r="P25" i="53"/>
  <c r="P27" i="53"/>
  <c r="P29" i="53"/>
  <c r="P30" i="53"/>
  <c r="P28" i="53"/>
  <c r="P26" i="53"/>
  <c r="P18" i="53"/>
  <c r="P8" i="53"/>
  <c r="P9" i="53"/>
  <c r="P10" i="53"/>
  <c r="P22" i="53"/>
  <c r="J28" i="55"/>
  <c r="I28" i="55"/>
  <c r="P7" i="53"/>
  <c r="P11" i="53"/>
  <c r="P15" i="53"/>
  <c r="P16" i="53"/>
  <c r="P17" i="53"/>
  <c r="P20" i="53"/>
  <c r="P21" i="53"/>
  <c r="P31" i="53"/>
  <c r="P32" i="53"/>
  <c r="P33" i="53"/>
  <c r="D25" i="55" a="1"/>
  <c r="D25" i="55" s="1"/>
  <c r="G25" i="55" s="1"/>
  <c r="D27" i="55" a="1"/>
  <c r="D27" i="55" s="1"/>
  <c r="H27" i="55" s="1"/>
  <c r="F25" i="55"/>
  <c r="F26" i="55"/>
  <c r="F27" i="55"/>
  <c r="F28" i="55"/>
  <c r="E28" i="55"/>
  <c r="D21" i="55" a="1"/>
  <c r="D21" i="55" s="1"/>
  <c r="D22" i="55" a="1"/>
  <c r="D22" i="55" s="1"/>
  <c r="D23" i="55" a="1"/>
  <c r="D23" i="55" s="1"/>
  <c r="G23" i="55" s="1"/>
  <c r="D24" i="55" a="1"/>
  <c r="D24" i="55" s="1"/>
  <c r="H24" i="55" s="1"/>
  <c r="D26" i="55" a="1"/>
  <c r="D26" i="55" s="1"/>
  <c r="L36" i="53"/>
  <c r="J2" i="55" s="1"/>
  <c r="J26" i="55"/>
  <c r="D28" i="55" a="1"/>
  <c r="D28" i="55" s="1"/>
  <c r="B21" i="55"/>
  <c r="B22" i="55"/>
  <c r="B23" i="55"/>
  <c r="B24" i="55"/>
  <c r="B25" i="55"/>
  <c r="B26" i="55"/>
  <c r="C21" i="55"/>
  <c r="G24" i="53" s="1"/>
  <c r="C22" i="55"/>
  <c r="G25" i="53" s="1"/>
  <c r="C23" i="55"/>
  <c r="G26" i="53"/>
  <c r="C24" i="55"/>
  <c r="G27" i="53" s="1"/>
  <c r="C25" i="55"/>
  <c r="G28" i="53"/>
  <c r="C26" i="55"/>
  <c r="G29" i="53" s="1"/>
  <c r="C28" i="55"/>
  <c r="G31" i="53" s="1"/>
  <c r="B28" i="55"/>
  <c r="B7" i="55"/>
  <c r="B20" i="55"/>
  <c r="C27" i="55"/>
  <c r="G30" i="53" s="1"/>
  <c r="B27" i="55"/>
  <c r="G33" i="53"/>
  <c r="G32" i="53"/>
  <c r="AG30" i="53"/>
  <c r="AG23" i="53"/>
  <c r="Z23" i="53"/>
  <c r="AE23" i="53" s="1"/>
  <c r="X23" i="53"/>
  <c r="C20" i="55"/>
  <c r="G23" i="53"/>
  <c r="Q8" i="55"/>
  <c r="Q9" i="55"/>
  <c r="Q10" i="55"/>
  <c r="Q11" i="55"/>
  <c r="Q12" i="55"/>
  <c r="Q13" i="55"/>
  <c r="Q14" i="55"/>
  <c r="Q15" i="55"/>
  <c r="Q16" i="55"/>
  <c r="Q17" i="55"/>
  <c r="Q18" i="55"/>
  <c r="Q19" i="55"/>
  <c r="Q20" i="55"/>
  <c r="Q21" i="55"/>
  <c r="Q22" i="55"/>
  <c r="Q23" i="55"/>
  <c r="Q24" i="55"/>
  <c r="Q26" i="55"/>
  <c r="Q27" i="55"/>
  <c r="Z10" i="53"/>
  <c r="P11" i="55" s="1"/>
  <c r="S11" i="55" s="1"/>
  <c r="J11" i="55"/>
  <c r="R11" i="55" s="1"/>
  <c r="Z17" i="53"/>
  <c r="P14" i="55" s="1"/>
  <c r="Z18" i="53"/>
  <c r="P15" i="55" s="1"/>
  <c r="Z19" i="53"/>
  <c r="Z21" i="53"/>
  <c r="P18" i="55" s="1"/>
  <c r="Z22" i="53"/>
  <c r="AE22" i="53" s="1"/>
  <c r="P21" i="55"/>
  <c r="AG22" i="53"/>
  <c r="AC36" i="53"/>
  <c r="AB36" i="53"/>
  <c r="AA36" i="53"/>
  <c r="AD36" i="53"/>
  <c r="V36" i="53"/>
  <c r="O36" i="53"/>
  <c r="K36" i="53"/>
  <c r="Z6" i="53"/>
  <c r="Z7" i="53"/>
  <c r="Z13" i="53"/>
  <c r="AE13" i="53" s="1"/>
  <c r="Z14" i="53"/>
  <c r="AE14" i="53" s="1"/>
  <c r="Z32" i="53"/>
  <c r="AE32" i="53" s="1"/>
  <c r="Z33" i="53"/>
  <c r="Z9" i="53"/>
  <c r="P10" i="55" s="1"/>
  <c r="Z11" i="53"/>
  <c r="Z12" i="53"/>
  <c r="AE12" i="53" s="1"/>
  <c r="Z8" i="53"/>
  <c r="Z15" i="53"/>
  <c r="AE15" i="53" s="1"/>
  <c r="P28" i="59"/>
  <c r="Z16" i="53"/>
  <c r="AE16" i="53" s="1"/>
  <c r="P17" i="55"/>
  <c r="S17" i="55" s="1"/>
  <c r="J22" i="55"/>
  <c r="J27" i="55"/>
  <c r="S7" i="53"/>
  <c r="X7" i="53" s="1"/>
  <c r="S8" i="53"/>
  <c r="X8" i="53" s="1"/>
  <c r="X29" i="53"/>
  <c r="S9" i="53"/>
  <c r="X9" i="53" s="1"/>
  <c r="S10" i="53"/>
  <c r="X10" i="53" s="1"/>
  <c r="S11" i="53"/>
  <c r="X11" i="53" s="1"/>
  <c r="S12" i="53"/>
  <c r="S13" i="53"/>
  <c r="S14" i="53"/>
  <c r="X14" i="53" s="1"/>
  <c r="S15" i="53"/>
  <c r="X15" i="53" s="1"/>
  <c r="S16" i="53"/>
  <c r="X16" i="53" s="1"/>
  <c r="S17" i="53"/>
  <c r="X17" i="53" s="1"/>
  <c r="S18" i="53"/>
  <c r="X18" i="53" s="1"/>
  <c r="S19" i="53"/>
  <c r="S20" i="53"/>
  <c r="X20" i="53" s="1"/>
  <c r="B16" i="55"/>
  <c r="AB2" i="53"/>
  <c r="AD2" i="53"/>
  <c r="AC2" i="53"/>
  <c r="AA2" i="53"/>
  <c r="T2" i="53"/>
  <c r="R2" i="53"/>
  <c r="O2" i="53"/>
  <c r="L2" i="53"/>
  <c r="K2" i="53"/>
  <c r="P6" i="53"/>
  <c r="AG19" i="53"/>
  <c r="I6" i="52"/>
  <c r="E24" i="55"/>
  <c r="F24" i="55"/>
  <c r="D8" i="55" a="1"/>
  <c r="D8" i="55" s="1"/>
  <c r="D9" i="55" a="1"/>
  <c r="D9" i="55" s="1"/>
  <c r="D10" i="55" a="1"/>
  <c r="D10" i="55" s="1"/>
  <c r="D11" i="55" a="1"/>
  <c r="D11" i="55" s="1"/>
  <c r="D12" i="55" a="1"/>
  <c r="D12" i="55" s="1"/>
  <c r="D13" i="55" a="1"/>
  <c r="D13" i="55" s="1"/>
  <c r="D14" i="55" a="1"/>
  <c r="D14" i="55" s="1"/>
  <c r="H14" i="55" s="1"/>
  <c r="D15" i="55" a="1"/>
  <c r="D15" i="55" s="1"/>
  <c r="D16" i="55" a="1"/>
  <c r="D16" i="55" s="1"/>
  <c r="D17" i="55" a="1"/>
  <c r="D17" i="55" s="1"/>
  <c r="J17" i="55"/>
  <c r="D18" i="55" a="1"/>
  <c r="D18" i="55" s="1"/>
  <c r="D19" i="55" a="1"/>
  <c r="D19" i="55" s="1"/>
  <c r="D20" i="55" a="1"/>
  <c r="D20" i="55" s="1"/>
  <c r="J21" i="55"/>
  <c r="R21" i="55" s="1"/>
  <c r="D7" i="55" a="1"/>
  <c r="D7" i="55" s="1"/>
  <c r="J7" i="55"/>
  <c r="Q7" i="55"/>
  <c r="S21" i="59"/>
  <c r="R21" i="59"/>
  <c r="Q21" i="59"/>
  <c r="P21" i="59"/>
  <c r="K21" i="59"/>
  <c r="J21" i="59"/>
  <c r="I21" i="59"/>
  <c r="H21" i="59"/>
  <c r="E21" i="59"/>
  <c r="D21" i="59"/>
  <c r="C21" i="59"/>
  <c r="L21" i="59" s="1"/>
  <c r="B21" i="59"/>
  <c r="F21" i="59" s="1"/>
  <c r="S20" i="59"/>
  <c r="R20" i="59"/>
  <c r="Q20" i="59"/>
  <c r="P20" i="59"/>
  <c r="K20" i="59"/>
  <c r="J20" i="59"/>
  <c r="I20" i="59"/>
  <c r="H20" i="59"/>
  <c r="E20" i="59"/>
  <c r="D20" i="59"/>
  <c r="C20" i="59"/>
  <c r="N20" i="59" s="1"/>
  <c r="B20" i="59"/>
  <c r="F20" i="59" s="1"/>
  <c r="S19" i="59"/>
  <c r="R19" i="59"/>
  <c r="Q19" i="59"/>
  <c r="P19" i="59"/>
  <c r="P15" i="59"/>
  <c r="P16" i="59"/>
  <c r="P17" i="59"/>
  <c r="P18" i="59"/>
  <c r="K19" i="59"/>
  <c r="J19" i="59"/>
  <c r="I19" i="59"/>
  <c r="H19" i="59"/>
  <c r="E19" i="59"/>
  <c r="D19" i="59"/>
  <c r="C19" i="59"/>
  <c r="L19" i="59" s="1"/>
  <c r="B19" i="59"/>
  <c r="T19" i="59" s="1"/>
  <c r="S18" i="59"/>
  <c r="S15" i="59"/>
  <c r="S16" i="59"/>
  <c r="S17" i="59"/>
  <c r="R18" i="59"/>
  <c r="Q18" i="59"/>
  <c r="O18" i="59"/>
  <c r="U18" i="59" s="1"/>
  <c r="K18" i="59"/>
  <c r="J18" i="59"/>
  <c r="I18" i="59"/>
  <c r="H18" i="59"/>
  <c r="G18" i="59"/>
  <c r="M18" i="59" s="1"/>
  <c r="E18" i="59"/>
  <c r="D18" i="59"/>
  <c r="C18" i="59"/>
  <c r="L18" i="59" s="1"/>
  <c r="B18" i="59"/>
  <c r="T18" i="59" s="1"/>
  <c r="R17" i="59"/>
  <c r="Q17" i="59"/>
  <c r="K17" i="59"/>
  <c r="J17" i="59"/>
  <c r="I17" i="59"/>
  <c r="H17" i="59"/>
  <c r="E17" i="59"/>
  <c r="B17" i="59"/>
  <c r="T17" i="59" s="1"/>
  <c r="D17" i="59"/>
  <c r="C17" i="59"/>
  <c r="N17" i="59" s="1"/>
  <c r="R16" i="59"/>
  <c r="R15" i="59"/>
  <c r="Q16" i="59"/>
  <c r="K16" i="59"/>
  <c r="J16" i="59"/>
  <c r="I16" i="59"/>
  <c r="H16" i="59"/>
  <c r="E16" i="59"/>
  <c r="D16" i="59"/>
  <c r="C16" i="59"/>
  <c r="L16" i="59" s="1"/>
  <c r="B16" i="59"/>
  <c r="T16" i="59" s="1"/>
  <c r="Q15" i="59"/>
  <c r="K15" i="59"/>
  <c r="J15" i="59"/>
  <c r="I15" i="59"/>
  <c r="H15" i="59"/>
  <c r="E15" i="59"/>
  <c r="D15" i="59"/>
  <c r="C15" i="59"/>
  <c r="N15" i="59" s="1"/>
  <c r="B15" i="59"/>
  <c r="F15" i="59" s="1"/>
  <c r="S28" i="59"/>
  <c r="R28" i="59"/>
  <c r="Q28" i="59"/>
  <c r="B28" i="59"/>
  <c r="K28" i="59"/>
  <c r="J28" i="59"/>
  <c r="J26" i="59"/>
  <c r="J27" i="59"/>
  <c r="J29" i="59"/>
  <c r="J30" i="59"/>
  <c r="J31" i="59"/>
  <c r="J32" i="59"/>
  <c r="I28" i="59"/>
  <c r="H28" i="59"/>
  <c r="E28" i="59"/>
  <c r="D28" i="59"/>
  <c r="C28" i="59"/>
  <c r="S27" i="59"/>
  <c r="R27" i="59"/>
  <c r="R26" i="59"/>
  <c r="R29" i="59"/>
  <c r="R30" i="59"/>
  <c r="R31" i="59"/>
  <c r="R32" i="59"/>
  <c r="Q27" i="59"/>
  <c r="P27" i="59"/>
  <c r="K27" i="59"/>
  <c r="I27" i="59"/>
  <c r="H27" i="59"/>
  <c r="E27" i="59"/>
  <c r="B27" i="59"/>
  <c r="V27" i="59" s="1"/>
  <c r="D27" i="59"/>
  <c r="C27" i="59"/>
  <c r="N27" i="59" s="1"/>
  <c r="S31" i="59"/>
  <c r="Q31" i="59"/>
  <c r="P31" i="59"/>
  <c r="P26" i="59"/>
  <c r="P29" i="59"/>
  <c r="P30" i="59"/>
  <c r="P32" i="59"/>
  <c r="K31" i="59"/>
  <c r="I31" i="59"/>
  <c r="H31" i="59"/>
  <c r="E31" i="59"/>
  <c r="E26" i="59"/>
  <c r="E29" i="59"/>
  <c r="E30" i="59"/>
  <c r="E32" i="59"/>
  <c r="D31" i="59"/>
  <c r="C31" i="59"/>
  <c r="N31" i="59" s="1"/>
  <c r="B31" i="59"/>
  <c r="T31" i="59" s="1"/>
  <c r="S30" i="59"/>
  <c r="Q30" i="59"/>
  <c r="K30" i="59"/>
  <c r="K26" i="59"/>
  <c r="K29" i="59"/>
  <c r="K32" i="59"/>
  <c r="I30" i="59"/>
  <c r="I26" i="59"/>
  <c r="I29" i="59"/>
  <c r="I32" i="59"/>
  <c r="H30" i="59"/>
  <c r="D30" i="59"/>
  <c r="C30" i="59"/>
  <c r="B30" i="59"/>
  <c r="V30" i="59" s="1"/>
  <c r="S29" i="59"/>
  <c r="Q29" i="59"/>
  <c r="H29" i="59"/>
  <c r="D29" i="59"/>
  <c r="C29" i="59"/>
  <c r="N29" i="59" s="1"/>
  <c r="B29" i="59"/>
  <c r="F29" i="59" s="1"/>
  <c r="T29" i="59"/>
  <c r="S26" i="59"/>
  <c r="Q26" i="59"/>
  <c r="H26" i="59"/>
  <c r="H32" i="59"/>
  <c r="D26" i="59"/>
  <c r="C26" i="59"/>
  <c r="L26" i="59" s="1"/>
  <c r="C32" i="59"/>
  <c r="N32" i="59" s="1"/>
  <c r="B26" i="59"/>
  <c r="V26" i="59" s="1"/>
  <c r="S32" i="59"/>
  <c r="Q32" i="59"/>
  <c r="D32" i="59"/>
  <c r="B32" i="59"/>
  <c r="V32" i="59" s="1"/>
  <c r="S8" i="59"/>
  <c r="R8" i="59"/>
  <c r="Q8" i="59"/>
  <c r="P8" i="59"/>
  <c r="K8" i="59"/>
  <c r="J8" i="59"/>
  <c r="I8" i="59"/>
  <c r="H8" i="59"/>
  <c r="C8" i="59"/>
  <c r="N8" i="59" s="1"/>
  <c r="E8" i="59"/>
  <c r="D8" i="59"/>
  <c r="B8" i="59"/>
  <c r="V8" i="59" s="1"/>
  <c r="S7" i="59"/>
  <c r="R7" i="59"/>
  <c r="Q7" i="59"/>
  <c r="P7" i="59"/>
  <c r="K7" i="59"/>
  <c r="J7" i="59"/>
  <c r="I7" i="59"/>
  <c r="H7" i="59"/>
  <c r="E7" i="59"/>
  <c r="D7" i="59"/>
  <c r="D4" i="59"/>
  <c r="D5" i="59"/>
  <c r="D6" i="59"/>
  <c r="D9" i="59"/>
  <c r="D10" i="59"/>
  <c r="C7" i="59"/>
  <c r="N7" i="59" s="1"/>
  <c r="B7" i="59"/>
  <c r="T7" i="59" s="1"/>
  <c r="S6" i="59"/>
  <c r="R6" i="59"/>
  <c r="Q6" i="59"/>
  <c r="P6" i="59"/>
  <c r="K6" i="59"/>
  <c r="J6" i="59"/>
  <c r="I6" i="59"/>
  <c r="H6" i="59"/>
  <c r="E6" i="59"/>
  <c r="B6" i="59"/>
  <c r="E4" i="59"/>
  <c r="E5" i="59"/>
  <c r="E9" i="59"/>
  <c r="E10" i="59"/>
  <c r="B4" i="59"/>
  <c r="T4" i="59" s="1"/>
  <c r="C6" i="59"/>
  <c r="S5" i="59"/>
  <c r="S4" i="59"/>
  <c r="S9" i="59"/>
  <c r="S10" i="59"/>
  <c r="R5" i="59"/>
  <c r="Q5" i="59"/>
  <c r="P5" i="59"/>
  <c r="P4" i="59"/>
  <c r="P9" i="59"/>
  <c r="P10" i="59"/>
  <c r="K5" i="59"/>
  <c r="J5" i="59"/>
  <c r="I5" i="59"/>
  <c r="H5" i="59"/>
  <c r="C5" i="59"/>
  <c r="L5" i="59" s="1"/>
  <c r="B5" i="59"/>
  <c r="V5" i="59" s="1"/>
  <c r="R4" i="59"/>
  <c r="R9" i="59"/>
  <c r="R10" i="59"/>
  <c r="Q4" i="59"/>
  <c r="Q9" i="59"/>
  <c r="Q10" i="59"/>
  <c r="K4" i="59"/>
  <c r="J4" i="59"/>
  <c r="I4" i="59"/>
  <c r="H4" i="59"/>
  <c r="C4" i="59"/>
  <c r="N4" i="59" s="1"/>
  <c r="K9" i="59"/>
  <c r="J9" i="59"/>
  <c r="I9" i="59"/>
  <c r="H9" i="59"/>
  <c r="H10" i="59"/>
  <c r="C9" i="59"/>
  <c r="L9" i="59" s="1"/>
  <c r="B9" i="59"/>
  <c r="F9" i="59" s="1"/>
  <c r="I21" i="55"/>
  <c r="F21" i="55"/>
  <c r="E21" i="55"/>
  <c r="J20" i="55"/>
  <c r="I20" i="55"/>
  <c r="E20" i="55"/>
  <c r="J19" i="55"/>
  <c r="I19" i="55"/>
  <c r="F19" i="55"/>
  <c r="E19" i="55"/>
  <c r="C19" i="55"/>
  <c r="G22" i="53" s="1"/>
  <c r="B19" i="55"/>
  <c r="J18" i="55"/>
  <c r="I18" i="55"/>
  <c r="F18" i="55"/>
  <c r="E18" i="55"/>
  <c r="C18" i="55"/>
  <c r="G21" i="53"/>
  <c r="B18" i="55"/>
  <c r="I17" i="55"/>
  <c r="F17" i="55"/>
  <c r="E17" i="55"/>
  <c r="C17" i="55"/>
  <c r="G20" i="53" s="1"/>
  <c r="B17" i="55"/>
  <c r="J16" i="55"/>
  <c r="I16" i="55"/>
  <c r="F16" i="55"/>
  <c r="E16" i="55"/>
  <c r="C16" i="55"/>
  <c r="G19" i="53"/>
  <c r="J15" i="55"/>
  <c r="I15" i="55"/>
  <c r="F15" i="55"/>
  <c r="E15" i="55"/>
  <c r="C15" i="55"/>
  <c r="G18" i="53"/>
  <c r="B15" i="55"/>
  <c r="J14" i="55"/>
  <c r="I14" i="55"/>
  <c r="F14" i="55"/>
  <c r="E14" i="55"/>
  <c r="C14" i="55"/>
  <c r="G17" i="53"/>
  <c r="B14" i="55"/>
  <c r="J13" i="55"/>
  <c r="I13" i="55"/>
  <c r="F13" i="55"/>
  <c r="E13" i="55"/>
  <c r="C13" i="55"/>
  <c r="G15" i="53"/>
  <c r="B13" i="55"/>
  <c r="J12" i="55"/>
  <c r="I12" i="55"/>
  <c r="F12" i="55"/>
  <c r="E12" i="55"/>
  <c r="C12" i="55"/>
  <c r="G12" i="53" s="1"/>
  <c r="B12" i="55"/>
  <c r="I11" i="55"/>
  <c r="F11" i="55"/>
  <c r="E11" i="55"/>
  <c r="C11" i="55"/>
  <c r="G10" i="53" s="1"/>
  <c r="B11" i="55"/>
  <c r="J10" i="55"/>
  <c r="I10" i="55"/>
  <c r="F10" i="55"/>
  <c r="E10" i="55"/>
  <c r="C10" i="55"/>
  <c r="G9" i="53" s="1"/>
  <c r="B10" i="55"/>
  <c r="J9" i="55"/>
  <c r="R9" i="55" s="1"/>
  <c r="I9" i="55"/>
  <c r="F9" i="55"/>
  <c r="E9" i="55"/>
  <c r="C9" i="55"/>
  <c r="G8" i="53"/>
  <c r="B9" i="55"/>
  <c r="J8" i="55"/>
  <c r="I8" i="55"/>
  <c r="F8" i="55"/>
  <c r="E8" i="55"/>
  <c r="C8" i="55"/>
  <c r="G7" i="53" s="1"/>
  <c r="B8" i="55"/>
  <c r="AG8" i="53"/>
  <c r="AG7" i="53"/>
  <c r="G19" i="59"/>
  <c r="M19" i="59" s="1"/>
  <c r="G30" i="59"/>
  <c r="M30" i="59" s="1"/>
  <c r="AG29" i="53"/>
  <c r="AG33" i="53"/>
  <c r="AE33" i="53"/>
  <c r="AG32" i="53"/>
  <c r="X32" i="53"/>
  <c r="AG31" i="53"/>
  <c r="X22" i="53"/>
  <c r="AG21" i="53"/>
  <c r="X21" i="53"/>
  <c r="AG20" i="53"/>
  <c r="AG18" i="53"/>
  <c r="AG17" i="53"/>
  <c r="AG16" i="53"/>
  <c r="AG15" i="53"/>
  <c r="AG14" i="53"/>
  <c r="AG13" i="53"/>
  <c r="AG12" i="53"/>
  <c r="X12" i="53"/>
  <c r="AG11" i="53"/>
  <c r="AG10" i="53"/>
  <c r="AG9" i="53"/>
  <c r="S6" i="53"/>
  <c r="X6" i="53" s="1"/>
  <c r="I7" i="55"/>
  <c r="I22" i="55"/>
  <c r="W2" i="53"/>
  <c r="V2" i="53"/>
  <c r="U2" i="53"/>
  <c r="K10" i="59"/>
  <c r="J10" i="59"/>
  <c r="I10" i="59"/>
  <c r="C10" i="59"/>
  <c r="N10" i="59" s="1"/>
  <c r="B10" i="59"/>
  <c r="F10" i="59" s="1"/>
  <c r="AG6" i="53"/>
  <c r="I23" i="55"/>
  <c r="I26" i="55"/>
  <c r="I27" i="55"/>
  <c r="J23" i="55"/>
  <c r="E23" i="55"/>
  <c r="E26" i="55"/>
  <c r="E27" i="55"/>
  <c r="E22" i="55"/>
  <c r="E7" i="55"/>
  <c r="C7" i="55"/>
  <c r="G6" i="53"/>
  <c r="F22" i="55"/>
  <c r="I3" i="52"/>
  <c r="F23" i="55"/>
  <c r="I13" i="52"/>
  <c r="I12" i="52"/>
  <c r="I11" i="52"/>
  <c r="I10" i="52"/>
  <c r="I9" i="52"/>
  <c r="I8" i="52"/>
  <c r="I7" i="52"/>
  <c r="I5" i="52"/>
  <c r="I4" i="52"/>
  <c r="W36" i="53"/>
  <c r="C7" i="26"/>
  <c r="D7" i="26" s="1"/>
  <c r="E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L12" i="26" s="1"/>
  <c r="F7" i="55"/>
  <c r="O30" i="59"/>
  <c r="U30" i="59" s="1"/>
  <c r="G20" i="59"/>
  <c r="M20" i="59" s="1"/>
  <c r="O20" i="59"/>
  <c r="U20" i="59" s="1"/>
  <c r="O19" i="59"/>
  <c r="U19" i="59" s="1"/>
  <c r="N22" i="55" a="1"/>
  <c r="N22" i="55" s="1"/>
  <c r="N12" i="55" a="1"/>
  <c r="N12" i="55" s="1"/>
  <c r="M10" i="55" a="1"/>
  <c r="M10" i="55" s="1"/>
  <c r="O10" i="55" s="1"/>
  <c r="N27" i="55" a="1"/>
  <c r="N27" i="55" s="1"/>
  <c r="G15" i="59"/>
  <c r="M15" i="59" s="1"/>
  <c r="N8" i="55" a="1"/>
  <c r="N8" i="55" s="1"/>
  <c r="N11" i="55" a="1"/>
  <c r="N11" i="55" s="1"/>
  <c r="O15" i="59"/>
  <c r="U15" i="59" s="1"/>
  <c r="M23" i="55" a="1"/>
  <c r="M23" i="55" s="1"/>
  <c r="N24" i="55" a="1"/>
  <c r="N24" i="55" s="1"/>
  <c r="M21" i="55" a="1"/>
  <c r="M21" i="55" s="1"/>
  <c r="M11" i="55" a="1"/>
  <c r="M11" i="55" s="1"/>
  <c r="O11" i="55" s="1"/>
  <c r="M22" i="55" a="1"/>
  <c r="M22" i="55" s="1"/>
  <c r="M27" i="55" a="1"/>
  <c r="M27" i="55" s="1"/>
  <c r="M18" i="55" a="1"/>
  <c r="M18" i="55" s="1"/>
  <c r="O18" i="55" s="1"/>
  <c r="N26" i="55" a="1"/>
  <c r="N26" i="55" s="1"/>
  <c r="M26" i="55" a="1"/>
  <c r="M26" i="55" s="1"/>
  <c r="N10" i="55" a="1"/>
  <c r="N10" i="55" s="1"/>
  <c r="M7" i="55" a="1"/>
  <c r="M7" i="55" s="1"/>
  <c r="N7" i="55" a="1"/>
  <c r="N7" i="55" s="1"/>
  <c r="G17" i="59"/>
  <c r="M17" i="59" s="1"/>
  <c r="G21" i="59"/>
  <c r="O7" i="59"/>
  <c r="U7" i="59" s="1"/>
  <c r="AE10" i="53"/>
  <c r="G29" i="59"/>
  <c r="M29" i="59" s="1"/>
  <c r="O21" i="59"/>
  <c r="U21" i="59" s="1"/>
  <c r="M31" i="55"/>
  <c r="O9" i="59"/>
  <c r="U9" i="59" s="1"/>
  <c r="O17" i="59"/>
  <c r="U17" i="59" s="1"/>
  <c r="J12" i="26"/>
  <c r="AK12" i="26"/>
  <c r="AB14" i="26"/>
  <c r="Z12" i="26"/>
  <c r="AD12" i="26"/>
  <c r="C12" i="26"/>
  <c r="O12" i="26"/>
  <c r="G31" i="59"/>
  <c r="M31" i="59" s="1"/>
  <c r="S12" i="26"/>
  <c r="AH14" i="26"/>
  <c r="J14" i="26"/>
  <c r="R12" i="26"/>
  <c r="AD14" i="26"/>
  <c r="AI14" i="26"/>
  <c r="F12" i="26"/>
  <c r="B12" i="26"/>
  <c r="E12" i="26"/>
  <c r="I14" i="26"/>
  <c r="AI12" i="26"/>
  <c r="AG14" i="26"/>
  <c r="I12" i="26"/>
  <c r="AK14" i="26"/>
  <c r="G14" i="26"/>
  <c r="P12" i="26"/>
  <c r="U14" i="26"/>
  <c r="V12" i="26"/>
  <c r="AH12" i="26"/>
  <c r="U12" i="26"/>
  <c r="G16" i="59"/>
  <c r="M16" i="59" s="1"/>
  <c r="AE14" i="26"/>
  <c r="AL12" i="26"/>
  <c r="D12" i="26"/>
  <c r="J31" i="55"/>
  <c r="M13" i="55" a="1"/>
  <c r="M13" i="55" s="1"/>
  <c r="M17" i="55" a="1"/>
  <c r="M17" i="55" s="1"/>
  <c r="O29" i="59"/>
  <c r="U29" i="59" s="1"/>
  <c r="AE9" i="53"/>
  <c r="W12" i="26"/>
  <c r="X12" i="26"/>
  <c r="W14" i="26"/>
  <c r="G10" i="59"/>
  <c r="M10" i="59" s="1"/>
  <c r="M24" i="55" a="1"/>
  <c r="M24" i="55" s="1"/>
  <c r="M20" i="55" a="1"/>
  <c r="M20" i="55" s="1"/>
  <c r="N20" i="55" a="1"/>
  <c r="N20" i="55" s="1"/>
  <c r="M15" i="55" a="1"/>
  <c r="M15" i="55" s="1"/>
  <c r="O16" i="59"/>
  <c r="U16" i="59" s="1"/>
  <c r="N19" i="55" a="1"/>
  <c r="N19" i="55" s="1"/>
  <c r="O31" i="59"/>
  <c r="U31" i="59" s="1"/>
  <c r="G8" i="59"/>
  <c r="M8" i="59" s="1"/>
  <c r="G9" i="59"/>
  <c r="M9" i="59" s="1"/>
  <c r="N13" i="55" a="1"/>
  <c r="N13" i="55" s="1"/>
  <c r="G7" i="59"/>
  <c r="M7" i="59" s="1"/>
  <c r="O8" i="59"/>
  <c r="U8" i="59" s="1"/>
  <c r="AA12" i="26"/>
  <c r="AG12" i="26"/>
  <c r="Y14" i="26"/>
  <c r="O14" i="26"/>
  <c r="N12" i="26"/>
  <c r="AE31" i="53"/>
  <c r="AE7" i="53"/>
  <c r="O5" i="59"/>
  <c r="Q31" i="55"/>
  <c r="O27" i="59"/>
  <c r="U27" i="59" s="1"/>
  <c r="O4" i="59"/>
  <c r="U4" i="59" s="1"/>
  <c r="O32" i="59"/>
  <c r="U32" i="59" s="1"/>
  <c r="O10" i="59"/>
  <c r="U10" i="59" s="1"/>
  <c r="O26" i="59"/>
  <c r="U26" i="59" s="1"/>
  <c r="AE20" i="53"/>
  <c r="X33" i="53"/>
  <c r="G4" i="59"/>
  <c r="M4" i="59" s="1"/>
  <c r="G27" i="59"/>
  <c r="M27" i="59" s="1"/>
  <c r="G26" i="59"/>
  <c r="M26" i="59" s="1"/>
  <c r="X13" i="53"/>
  <c r="I2" i="55"/>
  <c r="G5" i="59"/>
  <c r="M5" i="59" s="1"/>
  <c r="N30" i="59"/>
  <c r="G32" i="59"/>
  <c r="M32" i="59" s="1"/>
  <c r="N36" i="53"/>
  <c r="K31" i="55" s="1"/>
  <c r="N2" i="53"/>
  <c r="F31" i="59"/>
  <c r="G11" i="53"/>
  <c r="G13" i="53"/>
  <c r="G16" i="53"/>
  <c r="L17" i="59"/>
  <c r="L20" i="59"/>
  <c r="L30" i="59"/>
  <c r="V19" i="59"/>
  <c r="L27" i="59"/>
  <c r="S21" i="55"/>
  <c r="N18" i="55" a="1"/>
  <c r="N18" i="55" s="1"/>
  <c r="N9" i="59"/>
  <c r="N18" i="59"/>
  <c r="T9" i="59"/>
  <c r="V7" i="59"/>
  <c r="Z14" i="26"/>
  <c r="T20" i="59"/>
  <c r="V20" i="59"/>
  <c r="T12" i="26"/>
  <c r="AC14" i="26"/>
  <c r="N14" i="26"/>
  <c r="H12" i="26"/>
  <c r="H14" i="26"/>
  <c r="AJ12" i="26"/>
  <c r="Q14" i="26"/>
  <c r="S14" i="26"/>
  <c r="V14" i="26"/>
  <c r="AJ14" i="26"/>
  <c r="P14" i="26"/>
  <c r="AA14" i="26"/>
  <c r="K14" i="26"/>
  <c r="AC12" i="26"/>
  <c r="AF14" i="26"/>
  <c r="K12" i="26"/>
  <c r="G12" i="26"/>
  <c r="M14" i="26"/>
  <c r="X14" i="26"/>
  <c r="T32" i="59"/>
  <c r="F32" i="59"/>
  <c r="P26" i="55"/>
  <c r="S26" i="55" s="1"/>
  <c r="F19" i="59"/>
  <c r="V31" i="59"/>
  <c r="AE11" i="53"/>
  <c r="P9" i="55"/>
  <c r="S9" i="55" s="1"/>
  <c r="AE8" i="53"/>
  <c r="I31" i="55"/>
  <c r="N14" i="55" a="1"/>
  <c r="N14" i="55" s="1"/>
  <c r="N17" i="55" a="1"/>
  <c r="N17" i="55" s="1"/>
  <c r="Q12" i="26"/>
  <c r="N19" i="59"/>
  <c r="M12" i="26"/>
  <c r="T14" i="26"/>
  <c r="B6" i="26"/>
  <c r="G14" i="53"/>
  <c r="P8" i="55"/>
  <c r="AB12" i="26"/>
  <c r="G2" i="26"/>
  <c r="AE12" i="26"/>
  <c r="Y12" i="26"/>
  <c r="R14" i="26"/>
  <c r="AF12" i="26"/>
  <c r="F14" i="26"/>
  <c r="L14" i="26"/>
  <c r="AL14" i="26"/>
  <c r="F26" i="59"/>
  <c r="D11" i="57"/>
  <c r="D10" i="57"/>
  <c r="D8" i="57"/>
  <c r="D6" i="57"/>
  <c r="D5" i="57"/>
  <c r="D9" i="57"/>
  <c r="D7" i="57"/>
  <c r="D12" i="57"/>
  <c r="T15" i="59" l="1"/>
  <c r="F7" i="59"/>
  <c r="F8" i="59"/>
  <c r="F27" i="59"/>
  <c r="AE17" i="53"/>
  <c r="N21" i="55" a="1"/>
  <c r="N21" i="55" s="1"/>
  <c r="O21" i="55" s="1"/>
  <c r="N31" i="55"/>
  <c r="N23" i="55" a="1"/>
  <c r="N23" i="55" s="1"/>
  <c r="O23" i="55" s="1"/>
  <c r="K11" i="59"/>
  <c r="N16" i="55" a="1"/>
  <c r="N16" i="55" s="1"/>
  <c r="N2" i="55"/>
  <c r="T21" i="59"/>
  <c r="N15" i="55" a="1"/>
  <c r="N15" i="55" s="1"/>
  <c r="O15" i="55" s="1"/>
  <c r="N25" i="55" a="1"/>
  <c r="N25" i="55" s="1"/>
  <c r="N26" i="59"/>
  <c r="Q2" i="55"/>
  <c r="S8" i="55"/>
  <c r="R17" i="55"/>
  <c r="T17" i="55" s="1"/>
  <c r="T8" i="59"/>
  <c r="F28" i="59"/>
  <c r="N5" i="59"/>
  <c r="L10" i="59"/>
  <c r="P2" i="53"/>
  <c r="AE18" i="53"/>
  <c r="P12" i="55"/>
  <c r="S12" i="55" s="1"/>
  <c r="O31" i="55"/>
  <c r="R28" i="55"/>
  <c r="G6" i="59"/>
  <c r="M6" i="59" s="1"/>
  <c r="B11" i="59"/>
  <c r="K10" i="55" a="1"/>
  <c r="K10" i="55" s="1"/>
  <c r="O22" i="55"/>
  <c r="O28" i="59"/>
  <c r="U28" i="59" s="1"/>
  <c r="K7" i="55" a="1"/>
  <c r="K7" i="55" s="1"/>
  <c r="S2" i="53"/>
  <c r="Q22" i="59"/>
  <c r="L7" i="59"/>
  <c r="M16" i="55" a="1"/>
  <c r="M16" i="55" s="1"/>
  <c r="M2" i="55"/>
  <c r="M9" i="55" a="1"/>
  <c r="M9" i="55" s="1"/>
  <c r="O9" i="55" s="1"/>
  <c r="M14" i="55" a="1"/>
  <c r="M14" i="55" s="1"/>
  <c r="O14" i="55" s="1"/>
  <c r="M8" i="55" a="1"/>
  <c r="M8" i="55" s="1"/>
  <c r="O8" i="55" s="1"/>
  <c r="J33" i="59"/>
  <c r="J22" i="59"/>
  <c r="M19" i="55" a="1"/>
  <c r="M19" i="55" s="1"/>
  <c r="O19" i="55" s="1"/>
  <c r="P13" i="55"/>
  <c r="S13" i="55" s="1"/>
  <c r="K2" i="55"/>
  <c r="K22" i="55" a="1"/>
  <c r="K22" i="55" s="1"/>
  <c r="N21" i="59"/>
  <c r="O22" i="59"/>
  <c r="U22" i="59" s="1"/>
  <c r="R8" i="55"/>
  <c r="T8" i="55" s="1"/>
  <c r="C11" i="59"/>
  <c r="V4" i="59"/>
  <c r="V6" i="59"/>
  <c r="F4" i="59"/>
  <c r="F17" i="59"/>
  <c r="V17" i="59"/>
  <c r="V10" i="59"/>
  <c r="T27" i="59"/>
  <c r="V29" i="59"/>
  <c r="S15" i="55"/>
  <c r="R15" i="55"/>
  <c r="O12" i="55"/>
  <c r="O7" i="55"/>
  <c r="T21" i="55"/>
  <c r="S36" i="53"/>
  <c r="X36" i="53" s="1"/>
  <c r="Z36" i="53"/>
  <c r="X19" i="53"/>
  <c r="F16" i="59"/>
  <c r="O20" i="55"/>
  <c r="S33" i="59"/>
  <c r="O26" i="55"/>
  <c r="S25" i="55"/>
  <c r="L29" i="59"/>
  <c r="E33" i="59"/>
  <c r="AE6" i="53"/>
  <c r="L4" i="59"/>
  <c r="J11" i="59"/>
  <c r="E11" i="59"/>
  <c r="Z2" i="53"/>
  <c r="T9" i="55"/>
  <c r="F6" i="59"/>
  <c r="K12" i="55" a="1"/>
  <c r="K12" i="55" s="1"/>
  <c r="N6" i="59"/>
  <c r="Q33" i="59"/>
  <c r="K11" i="55" a="1"/>
  <c r="K11" i="55" s="1"/>
  <c r="G22" i="59"/>
  <c r="M22" i="59" s="1"/>
  <c r="P7" i="55"/>
  <c r="S7" i="55" s="1"/>
  <c r="T26" i="59"/>
  <c r="T30" i="59"/>
  <c r="B33" i="59"/>
  <c r="V16" i="59"/>
  <c r="F30" i="59"/>
  <c r="G27" i="55"/>
  <c r="H25" i="55"/>
  <c r="K14" i="55" a="1"/>
  <c r="K14" i="55" s="1"/>
  <c r="G14" i="55"/>
  <c r="H20" i="55"/>
  <c r="K20" i="55" a="1"/>
  <c r="K20" i="55" s="1"/>
  <c r="L20" i="55" a="1"/>
  <c r="L20" i="55" s="1"/>
  <c r="G20" i="55"/>
  <c r="G28" i="55"/>
  <c r="H28" i="55"/>
  <c r="L28" i="55" a="1"/>
  <c r="L28" i="55" s="1"/>
  <c r="H19" i="55"/>
  <c r="K19" i="55" a="1"/>
  <c r="K19" i="55" s="1"/>
  <c r="G19" i="55"/>
  <c r="K18" i="55" a="1"/>
  <c r="K18" i="55" s="1"/>
  <c r="H18" i="55"/>
  <c r="G18" i="55"/>
  <c r="L18" i="55" a="1"/>
  <c r="L18" i="55" s="1"/>
  <c r="L26" i="55" a="1"/>
  <c r="L26" i="55" s="1"/>
  <c r="H26" i="55"/>
  <c r="G26" i="55"/>
  <c r="H15" i="55"/>
  <c r="L15" i="55" a="1"/>
  <c r="L15" i="55" s="1"/>
  <c r="G15" i="55"/>
  <c r="R22" i="55"/>
  <c r="S22" i="55"/>
  <c r="S10" i="55"/>
  <c r="R10" i="55"/>
  <c r="R18" i="55"/>
  <c r="S18" i="55"/>
  <c r="D11" i="59"/>
  <c r="F11" i="59" s="1" a="1"/>
  <c r="F11" i="59" s="1"/>
  <c r="P19" i="55"/>
  <c r="S19" i="55" s="1"/>
  <c r="S28" i="55"/>
  <c r="T28" i="55" s="1"/>
  <c r="AE25" i="53"/>
  <c r="R26" i="55"/>
  <c r="T26" i="55" s="1"/>
  <c r="M21" i="59"/>
  <c r="D33" i="59"/>
  <c r="F33" i="59" s="1" a="1"/>
  <c r="F33" i="59" s="1"/>
  <c r="P20" i="55"/>
  <c r="S20" i="55" s="1"/>
  <c r="R12" i="55"/>
  <c r="AE21" i="53"/>
  <c r="N16" i="59"/>
  <c r="K22" i="59"/>
  <c r="C22" i="59"/>
  <c r="O6" i="59"/>
  <c r="O11" i="59" s="1"/>
  <c r="G7" i="55"/>
  <c r="O13" i="55"/>
  <c r="D22" i="59"/>
  <c r="F22" i="59" s="1" a="1"/>
  <c r="F22" i="59" s="1"/>
  <c r="L15" i="59"/>
  <c r="G28" i="59"/>
  <c r="M28" i="59" s="1"/>
  <c r="N28" i="59"/>
  <c r="R22" i="59"/>
  <c r="B22" i="59"/>
  <c r="P36" i="53"/>
  <c r="L31" i="55" s="1"/>
  <c r="P11" i="59"/>
  <c r="H33" i="59"/>
  <c r="E22" i="59"/>
  <c r="L8" i="59"/>
  <c r="O27" i="55"/>
  <c r="S11" i="59"/>
  <c r="Q11" i="59"/>
  <c r="I33" i="59"/>
  <c r="H22" i="59"/>
  <c r="O17" i="55"/>
  <c r="K15" i="55" a="1"/>
  <c r="K15" i="55" s="1"/>
  <c r="L11" i="55" a="1"/>
  <c r="L11" i="55" s="1"/>
  <c r="K27" i="55" a="1"/>
  <c r="K27" i="55" s="1"/>
  <c r="T10" i="59"/>
  <c r="O2" i="55"/>
  <c r="L6" i="59"/>
  <c r="L31" i="59"/>
  <c r="R11" i="59"/>
  <c r="I22" i="59"/>
  <c r="T11" i="55"/>
  <c r="AE28" i="53"/>
  <c r="L32" i="59"/>
  <c r="K33" i="59"/>
  <c r="P22" i="59"/>
  <c r="I11" i="59"/>
  <c r="R33" i="59"/>
  <c r="R7" i="55"/>
  <c r="T7" i="55" s="1"/>
  <c r="M28" i="55" a="1"/>
  <c r="M28" i="55" s="1"/>
  <c r="O28" i="55" s="1"/>
  <c r="M25" i="55" a="1"/>
  <c r="M25" i="55" s="1"/>
  <c r="P33" i="59"/>
  <c r="V33" i="59" s="1"/>
  <c r="H11" i="59"/>
  <c r="V28" i="59"/>
  <c r="S22" i="59"/>
  <c r="D13" i="57"/>
  <c r="E5" i="57"/>
  <c r="E6" i="57" s="1"/>
  <c r="E7" i="57" s="1"/>
  <c r="E8" i="57" s="1"/>
  <c r="E9" i="57" s="1"/>
  <c r="E10" i="57" s="1"/>
  <c r="E11" i="57" s="1"/>
  <c r="E12" i="57" s="1"/>
  <c r="R23" i="55"/>
  <c r="S23" i="55"/>
  <c r="L24" i="55" a="1"/>
  <c r="L24" i="55" s="1"/>
  <c r="K24" i="55" a="1"/>
  <c r="K24" i="55" s="1"/>
  <c r="G24" i="55"/>
  <c r="H23" i="55"/>
  <c r="L23" i="55" a="1"/>
  <c r="L23" i="55" s="1"/>
  <c r="K23" i="55" a="1"/>
  <c r="K23" i="55" s="1"/>
  <c r="L22" i="55" a="1"/>
  <c r="L22" i="55" s="1"/>
  <c r="G22" i="55"/>
  <c r="H22" i="55"/>
  <c r="S27" i="55"/>
  <c r="R27" i="55"/>
  <c r="K17" i="55" a="1"/>
  <c r="K17" i="55" s="1"/>
  <c r="L17" i="55" a="1"/>
  <c r="L17" i="55" s="1"/>
  <c r="H17" i="55"/>
  <c r="G17" i="55"/>
  <c r="L19" i="55" a="1"/>
  <c r="L19" i="55" s="1"/>
  <c r="H21" i="55"/>
  <c r="L21" i="55" a="1"/>
  <c r="L21" i="55" s="1"/>
  <c r="K21" i="55" a="1"/>
  <c r="K21" i="55" s="1"/>
  <c r="G21" i="55"/>
  <c r="G16" i="55"/>
  <c r="K16" i="55" a="1"/>
  <c r="K16" i="55" s="1"/>
  <c r="H16" i="55"/>
  <c r="S14" i="55"/>
  <c r="R14" i="55"/>
  <c r="D6" i="26"/>
  <c r="L13" i="55" a="1"/>
  <c r="L13" i="55" s="1"/>
  <c r="H13" i="55"/>
  <c r="K13" i="55" a="1"/>
  <c r="K13" i="55" s="1"/>
  <c r="G13" i="55"/>
  <c r="E6" i="26"/>
  <c r="F7" i="26"/>
  <c r="L8" i="55" a="1"/>
  <c r="L8" i="55" s="1"/>
  <c r="K8" i="55" a="1"/>
  <c r="K8" i="55" s="1"/>
  <c r="H8" i="55"/>
  <c r="G8" i="55"/>
  <c r="G12" i="55"/>
  <c r="L12" i="55" a="1"/>
  <c r="L12" i="55" s="1"/>
  <c r="H12" i="55"/>
  <c r="R25" i="55"/>
  <c r="G11" i="59"/>
  <c r="H7" i="55"/>
  <c r="L7" i="55" a="1"/>
  <c r="L7" i="55" s="1"/>
  <c r="H11" i="55"/>
  <c r="G11" i="55"/>
  <c r="L25" i="55" a="1"/>
  <c r="L25" i="55" s="1"/>
  <c r="K25" i="55" a="1"/>
  <c r="K25" i="55" s="1"/>
  <c r="U5" i="59"/>
  <c r="L10" i="55" a="1"/>
  <c r="L10" i="55" s="1"/>
  <c r="H10" i="55"/>
  <c r="G10" i="55"/>
  <c r="K9" i="55" a="1"/>
  <c r="K9" i="55" s="1"/>
  <c r="G9" i="55"/>
  <c r="L9" i="55" a="1"/>
  <c r="L9" i="55" s="1"/>
  <c r="H9" i="55"/>
  <c r="K28" i="55" a="1"/>
  <c r="K28" i="55" s="1"/>
  <c r="F5" i="59"/>
  <c r="V9" i="59"/>
  <c r="C33" i="59"/>
  <c r="V15" i="59"/>
  <c r="V18" i="59"/>
  <c r="C6" i="26"/>
  <c r="P24" i="55"/>
  <c r="V21" i="59"/>
  <c r="AE30" i="53"/>
  <c r="F18" i="59"/>
  <c r="AE19" i="53"/>
  <c r="T5" i="59"/>
  <c r="K26" i="55" a="1"/>
  <c r="K26" i="55" s="1"/>
  <c r="P16" i="55"/>
  <c r="S16" i="55" s="1"/>
  <c r="X2" i="53"/>
  <c r="O16" i="55" l="1"/>
  <c r="T11" i="59"/>
  <c r="O33" i="59"/>
  <c r="T28" i="59"/>
  <c r="T18" i="55"/>
  <c r="T25" i="55"/>
  <c r="R13" i="55"/>
  <c r="T13" i="55" s="1"/>
  <c r="T14" i="55"/>
  <c r="T12" i="55"/>
  <c r="T15" i="55"/>
  <c r="U6" i="59"/>
  <c r="T6" i="59"/>
  <c r="P31" i="55"/>
  <c r="P2" i="55"/>
  <c r="AE2" i="53"/>
  <c r="AE36" i="53"/>
  <c r="V11" i="59"/>
  <c r="T23" i="55"/>
  <c r="U33" i="59"/>
  <c r="N11" i="59"/>
  <c r="T10" i="55"/>
  <c r="T33" i="59"/>
  <c r="R19" i="55"/>
  <c r="T19" i="55" s="1"/>
  <c r="L27" i="55" a="1"/>
  <c r="L27" i="55" s="1"/>
  <c r="L14" i="55" a="1"/>
  <c r="L14" i="55" s="1"/>
  <c r="L16" i="55" a="1"/>
  <c r="L16" i="55" s="1"/>
  <c r="L2" i="55"/>
  <c r="T22" i="59"/>
  <c r="V22" i="59"/>
  <c r="R20" i="55"/>
  <c r="T20" i="55" s="1"/>
  <c r="G33" i="59"/>
  <c r="M33" i="59" s="1"/>
  <c r="L28" i="59"/>
  <c r="M11" i="59"/>
  <c r="T22" i="55"/>
  <c r="G3" i="55"/>
  <c r="G32" i="55"/>
  <c r="T27" i="55"/>
  <c r="U11" i="59"/>
  <c r="L22" i="59"/>
  <c r="N22" i="59"/>
  <c r="L11" i="59"/>
  <c r="G31" i="55"/>
  <c r="R24" i="55"/>
  <c r="S24" i="55"/>
  <c r="N33" i="59"/>
  <c r="G2" i="55"/>
  <c r="F6" i="26"/>
  <c r="G7" i="26"/>
  <c r="H31" i="55"/>
  <c r="H2" i="55"/>
  <c r="R16" i="55"/>
  <c r="T16" i="55" s="1"/>
  <c r="R31" i="55" l="1"/>
  <c r="R2" i="55"/>
  <c r="S2" i="55"/>
  <c r="S31" i="55"/>
  <c r="L33" i="59"/>
  <c r="T24" i="55"/>
  <c r="H32" i="55"/>
  <c r="H3" i="55"/>
  <c r="H7" i="26"/>
  <c r="G6" i="26"/>
  <c r="T2" i="55" l="1"/>
  <c r="T31" i="55"/>
  <c r="I7" i="26"/>
  <c r="H6" i="26"/>
  <c r="I6" i="26" l="1"/>
  <c r="J7" i="26"/>
  <c r="K7" i="26" l="1"/>
  <c r="J6" i="26"/>
  <c r="K6" i="26" l="1"/>
  <c r="L7" i="26"/>
  <c r="M7" i="26" l="1"/>
  <c r="L6" i="26"/>
  <c r="M6" i="26" l="1"/>
  <c r="N7" i="26"/>
  <c r="N6" i="26" l="1"/>
  <c r="O7" i="26"/>
  <c r="O6" i="26" l="1"/>
  <c r="P7" i="26"/>
  <c r="Q7" i="26" l="1"/>
  <c r="P6" i="26"/>
  <c r="Q6" i="26" l="1"/>
  <c r="R7" i="26"/>
  <c r="R6" i="26" l="1"/>
  <c r="S7" i="26"/>
  <c r="T7" i="26" l="1"/>
  <c r="S6" i="26"/>
  <c r="U7" i="26" l="1"/>
  <c r="T6" i="26"/>
  <c r="V7" i="26" l="1"/>
  <c r="U6" i="26"/>
  <c r="V6" i="26" l="1"/>
  <c r="W7" i="26"/>
  <c r="X7" i="26" l="1"/>
  <c r="W6" i="26"/>
  <c r="X6" i="26" l="1"/>
  <c r="Y7" i="26"/>
  <c r="Y6" i="26" l="1"/>
  <c r="Z7" i="26"/>
  <c r="Z6" i="26" l="1"/>
  <c r="AA7" i="26"/>
  <c r="AB7" i="26" l="1"/>
  <c r="AA6" i="26"/>
  <c r="AB6" i="26" l="1"/>
  <c r="AC7" i="26"/>
  <c r="AC6" i="26" l="1"/>
  <c r="AD7" i="26"/>
  <c r="AD6" i="26" l="1"/>
  <c r="AE7" i="26"/>
  <c r="AF7" i="26" l="1"/>
  <c r="AE6" i="26"/>
  <c r="AG7" i="26" l="1"/>
  <c r="AF6" i="26"/>
  <c r="AG6" i="26" l="1"/>
  <c r="AH7" i="26"/>
  <c r="AH6" i="26" l="1"/>
  <c r="AI7"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<sst xmlns="http://schemas.openxmlformats.org/spreadsheetml/2006/main" count="1460" uniqueCount="607">
  <si>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</si>
  <si>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</si>
  <si>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</si>
  <si>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</si>
  <si>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</si>
  <si>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</si>
  <si>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</si>
  <si>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</si>
  <si>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</si>
  <si>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</si>
  <si>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</si>
  <si>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</si>
  <si>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</si>
  <si>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</si>
  <si>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</si>
  <si>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</si>
  <si>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</si>
  <si>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</si>
  <si>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</si>
  <si>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</si>
  <si>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</si>
  <si>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</si>
  <si>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</si>
  <si>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</si>
  <si>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</si>
  <si>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</si>
  <si>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</si>
  <si>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</si>
  <si>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</si>
  <si>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</si>
  <si>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</si>
  <si>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</si>
  <si>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</si>
  <si>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</si>
  <si>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</si>
  <si>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</si>
  <si>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</si>
  <si>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</si>
  <si>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</si>
  <si>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</si>
  <si>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</si>
  <si>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</si>
  <si>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</si>
  <si>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</si>
  <si>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</si>
  <si>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</si>
  <si>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</si>
  <si>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</si>
  <si>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</si>
  <si>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</si>
  <si>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</si>
  <si>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</si>
  <si>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</si>
  <si>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</si>
  <si>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</si>
  <si>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</si>
  <si>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</si>
  <si>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</si>
  <si>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</si>
  <si>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</si>
  <si>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</si>
  <si>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</si>
  <si>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</si>
  <si>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</si>
  <si>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</si>
  <si>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</si>
  <si>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</si>
  <si>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</si>
  <si>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</si>
  <si>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</si>
  <si>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</si>
  <si>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</si>
  <si>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</si>
  <si>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</si>
  <si>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</si>
  <si>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</si>
  <si>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</si>
  <si>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</si>
  <si>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</si>
  <si>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</si>
  <si>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</si>
  <si>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</si>
  <si>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</si>
  <si>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</si>
  <si>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</si>
  <si>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</si>
  <si>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</si>
  <si>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</si>
  <si>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</si>
  <si>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</si>
  <si>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</si>
  <si>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</si>
  <si>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</si>
  <si>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</si>
  <si>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</si>
  <si>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</si>
  <si>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</si>
  <si>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</si>
  <si>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</si>
  <si>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</si>
  <si>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</si>
  <si>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</si>
  <si>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</si>
  <si>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</si>
  <si>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</si>
  <si>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</si>
  <si>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</si>
  <si>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</si>
  <si>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</si>
  <si>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</si>
  <si>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</si>
  <si>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</si>
  <si>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</si>
  <si>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</si>
  <si>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</si>
  <si>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</si>
  <si>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</si>
  <si>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</si>
  <si>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</si>
  <si>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</si>
  <si>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</si>
  <si>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</si>
  <si>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</si>
  <si>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</si>
  <si>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</si>
  <si>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</si>
  <si>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</si>
  <si>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</si>
  <si>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</si>
  <si>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</si>
  <si>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</si>
  <si>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</si>
  <si>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</si>
  <si>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</si>
  <si>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</si>
  <si>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</si>
  <si>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</si>
  <si>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</si>
  <si>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</si>
  <si>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</si>
  <si>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</si>
  <si>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</si>
  <si>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</si>
  <si>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</si>
  <si>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</si>
  <si>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</si>
  <si>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</si>
  <si>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</si>
  <si>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</si>
  <si>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</si>
  <si>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</si>
  <si>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</si>
  <si>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</si>
  <si>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</si>
  <si>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</si>
  <si>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</si>
  <si>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</si>
  <si>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</si>
  <si>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</si>
  <si>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</si>
  <si>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</si>
  <si>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</si>
  <si>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</si>
  <si>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</si>
  <si>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</si>
  <si>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</si>
  <si>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</si>
  <si>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</si>
  <si>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</si>
  <si>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</si>
  <si>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</si>
  <si>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</si>
  <si>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</si>
  <si>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</si>
  <si>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</si>
  <si>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</si>
  <si>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</si>
  <si>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</si>
  <si>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</si>
  <si>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</si>
  <si>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</si>
  <si>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</si>
  <si>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</si>
  <si>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</si>
  <si>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</si>
  <si>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</si>
  <si>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</si>
  <si>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</si>
  <si>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</si>
  <si>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</si>
  <si>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</si>
  <si>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</si>
  <si>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</si>
  <si>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</si>
  <si>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</si>
  <si>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</si>
  <si>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</si>
  <si>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</si>
  <si>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</si>
  <si>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</si>
  <si>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</si>
  <si>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</si>
  <si>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</si>
  <si>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</si>
  <si>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</si>
  <si>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</si>
  <si>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</si>
  <si>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</si>
  <si>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</si>
  <si>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</si>
  <si>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</si>
  <si>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</si>
  <si>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</si>
  <si>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</si>
  <si>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</si>
  <si>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</si>
  <si>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</si>
  <si>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</si>
  <si>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</si>
  <si>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</si>
  <si>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</si>
  <si>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</si>
  <si>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</si>
  <si>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</si>
  <si>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</si>
  <si>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</si>
  <si>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</si>
  <si>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</si>
  <si>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</si>
  <si>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</si>
  <si>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</si>
  <si>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</si>
  <si>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</si>
  <si>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</si>
  <si>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</si>
  <si>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</si>
  <si>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</si>
  <si>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</si>
  <si>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</si>
  <si>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</si>
  <si>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</si>
  <si>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</si>
  <si>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</si>
  <si>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</si>
  <si>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</si>
  <si>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</si>
  <si>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</si>
  <si>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</si>
  <si>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</si>
  <si>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</si>
  <si>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</si>
  <si>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</si>
  <si>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</si>
  <si>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</si>
  <si>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</si>
  <si>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</si>
  <si>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</si>
  <si>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</si>
  <si>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</si>
  <si>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</si>
  <si>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</si>
  <si>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</si>
  <si>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</si>
  <si>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</si>
  <si>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</si>
  <si>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</si>
  <si>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</si>
  <si>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</si>
  <si>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</si>
  <si>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</si>
  <si>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</si>
  <si>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</si>
  <si>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</si>
  <si>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</si>
  <si>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</si>
  <si>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</si>
  <si>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</si>
  <si>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</si>
  <si>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</si>
  <si>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</si>
  <si>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</si>
  <si>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</si>
  <si>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</si>
  <si>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</si>
  <si>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</si>
  <si>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</si>
  <si>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</si>
  <si>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</si>
  <si>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</si>
  <si>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</si>
  <si>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</si>
  <si>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</si>
  <si>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</si>
  <si>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MI300A</t>
  </si>
  <si>
    <t>Vaskar</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</si>
  <si>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</si>
  <si>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</si>
  <si>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</si>
  <si>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</si>
  <si>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</si>
  <si>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</si>
  <si>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MI300X-DF-001</t>
  </si>
  <si>
    <t>Byte Enable Writes</t>
  </si>
  <si>
    <t>Shoeb Balabatti</t>
  </si>
  <si>
    <t>DF</t>
  </si>
  <si>
    <t>HDP client, CPDMA Byte enable write</t>
  </si>
  <si>
    <t>umc009, UMC10, UMC12</t>
  </si>
  <si>
    <t>MI300X-DF-002</t>
  </si>
  <si>
    <t>GPU basic Coherency</t>
  </si>
  <si>
    <t>DF Coherency test</t>
  </si>
  <si>
    <t>df103</t>
  </si>
  <si>
    <t>MI300X-DF-003</t>
  </si>
  <si>
    <t>DF C-states</t>
  </si>
  <si>
    <t>DfCStatesTest, df_cstate_residency_test</t>
  </si>
  <si>
    <t>df007.1, df132</t>
  </si>
  <si>
    <t>Not a POR feature in MI300</t>
  </si>
  <si>
    <t>MI300X-DF-004</t>
  </si>
  <si>
    <t>DF P-states with Memory traffic</t>
  </si>
  <si>
    <t>df_PState_test</t>
  </si>
  <si>
    <t>df102</t>
  </si>
  <si>
    <t>MI300X-DF-005</t>
  </si>
  <si>
    <t>Display and Stutter Mode</t>
  </si>
  <si>
    <t>df_cstate_stutter_test</t>
  </si>
  <si>
    <t>df121</t>
  </si>
  <si>
    <t>MI300X-DF-006</t>
  </si>
  <si>
    <t>Frequent Value Compression/Cake Data compression</t>
  </si>
  <si>
    <t>df_gmix_dma_memory_pattern1_traffic_test</t>
  </si>
  <si>
    <t>df109.1-6, df111</t>
  </si>
  <si>
    <t>df_gmix_dma_memory_pattern2_traffic_test</t>
  </si>
  <si>
    <t>df110.1-5, df112</t>
  </si>
  <si>
    <t>N-7</t>
  </si>
  <si>
    <t>MI300X-DF-007</t>
  </si>
  <si>
    <t>I/O and Graphic Atomics</t>
  </si>
  <si>
    <t>df_io_graphics_atomics_test</t>
  </si>
  <si>
    <t>df104.0,2,6,8,10,12,14,16</t>
  </si>
  <si>
    <t>df104.1,3,5,7,9,11,13,15,17</t>
  </si>
  <si>
    <t>MI300X-DF-008,
MI300X-DF-009</t>
  </si>
  <si>
    <t>Large Reads,
Performance Monitors</t>
  </si>
  <si>
    <t>DF large read test</t>
  </si>
  <si>
    <t>df113</t>
  </si>
  <si>
    <t>MI300X-DF-010</t>
  </si>
  <si>
    <t>Register Security</t>
  </si>
  <si>
    <t>Verified by IPSE and diag</t>
  </si>
  <si>
    <t>df105.0-1</t>
  </si>
  <si>
    <t>MI300X-DF-011</t>
  </si>
  <si>
    <t>Trusted Memory Regions</t>
  </si>
  <si>
    <t>DfTrustedMemRegionsTest</t>
  </si>
  <si>
    <t>DF003.1-4</t>
  </si>
  <si>
    <t>MI300X-DF-012</t>
  </si>
  <si>
    <t>MALL Alloc / NoAlloc (GFX)</t>
  </si>
  <si>
    <t>DfMallTestGfx</t>
  </si>
  <si>
    <t>df106.1-13</t>
  </si>
  <si>
    <t>MI300X-DF-013</t>
  </si>
  <si>
    <t>MALL Alloc / NoAlloc (HDP)</t>
  </si>
  <si>
    <t>DfMallTestHdp NoAlloc=0 and NoAlloc=1</t>
  </si>
  <si>
    <t>df107.1, df107.12</t>
  </si>
  <si>
    <t>MI300X-DF-014</t>
  </si>
  <si>
    <t>MALL Hashing support in MI300</t>
  </si>
  <si>
    <t>Mall Hashing and EL3 mode</t>
  </si>
  <si>
    <t>MI300X-DF-015</t>
  </si>
  <si>
    <t>Streaming Performance Monitors for UMC Perfmons</t>
  </si>
  <si>
    <t>SPM diag for DF Perfmons</t>
  </si>
  <si>
    <t>MI300X-DF-016</t>
  </si>
  <si>
    <t>Cake command compression</t>
  </si>
  <si>
    <t>Cake Command compression</t>
  </si>
  <si>
    <t>MI300X-DF-017</t>
  </si>
  <si>
    <t>Streaming performance buffer DF</t>
  </si>
  <si>
    <t>MI300X-DF-018</t>
  </si>
  <si>
    <t>CPU-GPU Coherency test</t>
  </si>
  <si>
    <t>MI300X-DF-019</t>
  </si>
  <si>
    <t>FP Far Atomic</t>
  </si>
  <si>
    <t>GC far atomic</t>
  </si>
  <si>
    <t>MI300X-DF-020</t>
  </si>
  <si>
    <t>Strict and relaxed ordering [RO=0/1] </t>
  </si>
  <si>
    <t>Strict and RO diags</t>
  </si>
  <si>
    <t>MI300X-DF-021</t>
  </si>
  <si>
    <t>Multi-Socket Multi-die stress test</t>
  </si>
  <si>
    <t>Multi-Socket and Multi-DIe diag</t>
  </si>
  <si>
    <t>tmp_DF_lib_test_Feat</t>
  </si>
  <si>
    <t>Lib development</t>
  </si>
  <si>
    <t>Verified by other diags which are using PMCs</t>
  </si>
  <si>
    <t>MI300X-DF-022</t>
  </si>
  <si>
    <t>System Fatal Error Event Notification</t>
  </si>
  <si>
    <t>df_system_fatal_error_event</t>
  </si>
  <si>
    <t>df100</t>
  </si>
  <si>
    <t>MI300X-DF-025</t>
  </si>
  <si>
    <t>Redirect Scrubber with Correctable Error</t>
  </si>
  <si>
    <t>umc753.5</t>
  </si>
  <si>
    <t>Leveraged from UMC team</t>
  </si>
  <si>
    <t>MI300X-DF-026</t>
  </si>
  <si>
    <t>Redirect Scrubber with Uncorrectable Error</t>
  </si>
  <si>
    <t>umc753.6</t>
  </si>
  <si>
    <t>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</si>
  <si>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</si>
  <si>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</si>
  <si>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</si>
  <si>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</si>
  <si>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</si>
  <si>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</si>
  <si>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</si>
  <si>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</si>
  <si>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</si>
  <si>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</si>
  <si>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</si>
  <si>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</si>
  <si>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</si>
  <si>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</si>
  <si>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</si>
  <si>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</si>
  <si>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</si>
  <si>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</si>
  <si>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</si>
  <si>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</si>
  <si>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</si>
  <si>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</si>
  <si>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</si>
  <si>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</si>
  <si>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</si>
  <si>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t>PLEASE CAREFULLY READ 'Usage' tab’s descriptions and instructions of all columns and tabs</t>
  </si>
  <si>
    <t>Working on command compression. Cake data compression is working as expected with updated VBIOS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</si>
  <si>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</si>
  <si>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</si>
  <si>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</si>
  <si>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</si>
  <si>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wk-6</t>
  </si>
  <si>
    <t>wk-7</t>
  </si>
  <si>
    <t>wk-5</t>
  </si>
  <si>
    <t>wk-8</t>
  </si>
  <si>
    <t>wk-4</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</si>
  <si>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</si>
  <si>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</si>
  <si>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</si>
  <si>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</si>
  <si>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</si>
  <si>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</si>
  <si>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</si>
  <si>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</si>
  <si>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</si>
  <si>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</si>
  <si>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</si>
  <si>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</si>
  <si>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</si>
  <si>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</si>
  <si>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</si>
  <si>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</si>
  <si>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</si>
  <si>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</si>
  <si>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</si>
  <si>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</si>
  <si>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</si>
  <si>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</si>
  <si>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</si>
  <si>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</si>
  <si>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</si>
  <si>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</si>
  <si>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</si>
  <si>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</si>
  <si>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</si>
  <si>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</si>
  <si>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</si>
  <si>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</si>
  <si>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</si>
  <si>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</si>
  <si>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</si>
  <si>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</si>
  <si>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</si>
  <si>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</si>
  <si>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</si>
  <si>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</si>
  <si>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</si>
  <si>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</si>
  <si>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</si>
  <si>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</si>
  <si>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</si>
  <si>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</si>
  <si>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</si>
  <si>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</si>
  <si>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</si>
  <si>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</si>
  <si>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</si>
  <si>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</si>
  <si>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</si>
  <si>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</si>
  <si>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</si>
  <si>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</si>
  <si>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</si>
  <si>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</si>
  <si>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</si>
  <si>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</si>
  <si>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</si>
  <si>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</si>
  <si>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</si>
  <si>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</si>
  <si>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</si>
  <si>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</si>
  <si>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</si>
  <si>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</si>
  <si>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</si>
  <si>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</si>
  <si>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</si>
  <si>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</si>
  <si>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</si>
  <si>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</si>
  <si>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</si>
  <si>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</si>
  <si>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</si>
  <si>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</si>
  <si>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</si>
  <si>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</si>
  <si>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</si>
  <si>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</si>
  <si>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</si>
  <si>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</si>
  <si>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</si>
  <si>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</si>
  <si>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</si>
  <si>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</si>
  <si>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</si>
  <si>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</si>
  <si>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</si>
  <si>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</si>
  <si>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</si>
  <si>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</si>
  <si>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</si>
  <si>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</si>
  <si>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</si>
  <si>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</si>
  <si>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</si>
  <si>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</si>
  <si>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</si>
  <si>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</si>
  <si>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</si>
  <si>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</si>
  <si>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</si>
  <si>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</si>
  <si>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</si>
  <si>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</si>
  <si>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ETA - Data Validation</t>
  </si>
  <si>
    <t>WK1</t>
  </si>
  <si>
    <t>WK2</t>
  </si>
  <si>
    <t>WK3</t>
  </si>
  <si>
    <t>WK4</t>
  </si>
  <si>
    <t>WK5</t>
  </si>
  <si>
    <t>WK8</t>
  </si>
  <si>
    <t>WK9</t>
  </si>
  <si>
    <t>WK10</t>
  </si>
  <si>
    <t>WK11</t>
  </si>
  <si>
    <t>WK12</t>
  </si>
  <si>
    <t>WK13</t>
  </si>
  <si>
    <t>WK14</t>
  </si>
  <si>
    <t>WK15</t>
  </si>
  <si>
    <t>WK16</t>
  </si>
  <si>
    <t>WK17</t>
  </si>
  <si>
    <t>WK18</t>
  </si>
  <si>
    <t>WK19</t>
  </si>
  <si>
    <t>WK20</t>
  </si>
  <si>
    <t>WK21</t>
  </si>
  <si>
    <t>WK22</t>
  </si>
  <si>
    <t>WK23</t>
  </si>
  <si>
    <t>WK24</t>
  </si>
  <si>
    <t>WK25</t>
  </si>
  <si>
    <t>WK26</t>
  </si>
  <si>
    <t>WK27</t>
  </si>
  <si>
    <t>WK28</t>
  </si>
  <si>
    <t>WK29</t>
  </si>
  <si>
    <t>WK30</t>
  </si>
  <si>
    <t>WK31</t>
  </si>
  <si>
    <t>WK32</t>
  </si>
  <si>
    <t>WK33</t>
  </si>
  <si>
    <t>WK34</t>
  </si>
  <si>
    <t>WK35</t>
  </si>
  <si>
    <t>WK36</t>
  </si>
  <si>
    <t>WK37</t>
  </si>
  <si>
    <t>WK38</t>
  </si>
  <si>
    <t>WK39</t>
  </si>
  <si>
    <t>WK40</t>
  </si>
  <si>
    <t>WK41</t>
  </si>
  <si>
    <t>WK42</t>
  </si>
  <si>
    <t>WK43</t>
  </si>
  <si>
    <t>WK44</t>
  </si>
  <si>
    <t>WK45</t>
  </si>
  <si>
    <t>WK46</t>
  </si>
  <si>
    <t>WK47</t>
  </si>
  <si>
    <t>WK48</t>
  </si>
  <si>
    <t>WK49</t>
  </si>
  <si>
    <t>WK50</t>
  </si>
  <si>
    <t>WK51</t>
  </si>
  <si>
    <t>WK52</t>
  </si>
  <si>
    <t>WK53</t>
  </si>
  <si>
    <t>WK54</t>
  </si>
  <si>
    <t>WK55</t>
  </si>
  <si>
    <t>WK56</t>
  </si>
  <si>
    <t>WK57</t>
  </si>
  <si>
    <t>WK58</t>
  </si>
  <si>
    <t>WK59</t>
  </si>
  <si>
    <t>WK60</t>
  </si>
  <si>
    <t>Row Labels</t>
  </si>
  <si>
    <t>Sum of #Tests</t>
  </si>
  <si>
    <t>df116.0-1</t>
  </si>
  <si>
    <t>tmp_DF_lib_test.0-1</t>
  </si>
  <si>
    <t>df143.1-2, df144.1-3</t>
  </si>
  <si>
    <t>TBD_015.1-4</t>
  </si>
  <si>
    <t>TBD_017.1-4</t>
  </si>
  <si>
    <t>TBD_020.1-5</t>
  </si>
  <si>
    <t>tmp_DF_lib_test.1-10</t>
  </si>
  <si>
    <t>CDL</t>
  </si>
  <si>
    <t>Framework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</si>
</sst>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5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9" fontId="18" fillId="52" borderId="26" xfId="0" applyNumberFormat="1" applyFont="1" applyFill="1" applyBorder="1" applyAlignment="1" applyProtection="1">
      <alignment horizontal="center" vertical="center"/>
      <protection locked="0"/>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166" fontId="0" fillId="41" borderId="56"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8"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18" fillId="52" borderId="14"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166" fontId="18" fillId="33" borderId="10" xfId="0" applyNumberFormat="1" applyFont="1" applyFill="1" applyBorder="1" applyAlignment="1">
      <alignment horizontal="center" vertical="center"/>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0" fontId="47" fillId="43" borderId="10" xfId="0" applyFont="1" applyFill="1" applyBorder="1" applyAlignment="1">
      <alignment vertical="center" wrapText="1"/>
    </xf>
    <xf numFmtId="0" fontId="48" fillId="0" borderId="10" xfId="0" applyFont="1" applyBorder="1" applyAlignment="1">
      <alignment vertical="center" wrapText="1"/>
    </xf>
    <xf numFmtId="0" fontId="16" fillId="52" borderId="0" xfId="0" applyFont="1" applyFill="1" applyAlignment="1">
      <alignment horizontal="left" vertical="center" wrapText="1"/>
    </xf>
    <xf numFmtId="0" fontId="47" fillId="55" borderId="10" xfId="0" applyFont="1" applyFill="1" applyBorder="1" applyAlignment="1">
      <alignment vertical="center" wrapText="1"/>
    </xf>
    <xf numFmtId="0" fontId="49" fillId="55" borderId="10" xfId="0" applyFont="1" applyFill="1" applyBorder="1" applyAlignment="1">
      <alignment vertical="center"/>
    </xf>
    <xf numFmtId="0" fontId="49" fillId="43" borderId="10" xfId="0" applyFont="1" applyFill="1" applyBorder="1" applyAlignment="1">
      <alignment vertical="center"/>
    </xf>
    <xf numFmtId="0" fontId="50" fillId="55" borderId="10" xfId="0" applyFont="1" applyFill="1" applyBorder="1" applyAlignment="1">
      <alignment vertical="center"/>
    </xf>
    <xf numFmtId="0" fontId="49" fillId="56" borderId="10" xfId="0" applyFont="1" applyFill="1" applyBorder="1" applyAlignment="1">
      <alignment vertical="center"/>
    </xf>
    <xf numFmtId="0" fontId="51" fillId="0" borderId="10" xfId="0" applyFont="1" applyBorder="1" applyAlignment="1">
      <alignment vertical="center" wrapText="1"/>
    </xf>
    <xf numFmtId="0" fontId="51" fillId="0" borderId="10" xfId="0" applyFont="1" applyBorder="1" applyAlignment="1">
      <alignment vertical="center"/>
    </xf>
    <xf numFmtId="0" fontId="51" fillId="0" borderId="10" xfId="0" applyFont="1" applyBorder="1" applyAlignment="1">
      <alignment horizontal="center" vertical="center"/>
    </xf>
    <xf numFmtId="0" fontId="48" fillId="0" borderId="10" xfId="0" applyFont="1" applyBorder="1" applyAlignment="1">
      <alignment vertical="center"/>
    </xf>
    <xf numFmtId="0" fontId="16" fillId="52" borderId="0" xfId="0" applyFont="1" applyFill="1" applyAlignment="1">
      <alignment vertical="center"/>
    </xf>
    <xf numFmtId="0" fontId="50" fillId="56" borderId="10" xfId="0" applyFont="1" applyFill="1" applyBorder="1" applyAlignment="1">
      <alignment vertical="center"/>
    </xf>
    <xf numFmtId="9" fontId="51" fillId="0" borderId="10" xfId="0" applyNumberFormat="1" applyFont="1" applyBorder="1" applyAlignment="1">
      <alignment horizontal="center" vertical="center"/>
    </xf>
    <xf numFmtId="0" fontId="52" fillId="0" borderId="10" xfId="0" applyFont="1" applyBorder="1" applyAlignment="1">
      <alignment horizontal="center" vertical="center"/>
    </xf>
    <xf numFmtId="0" fontId="52" fillId="0" borderId="10" xfId="0" applyFont="1"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0" fillId="52" borderId="10" xfId="0" applyFill="1" applyBorder="1" applyAlignment="1" applyProtection="1">
      <alignment vertical="center"/>
      <protection locked="0"/>
    </xf>
    <xf numFmtId="0" fontId="0" fillId="52" borderId="13" xfId="0" applyFill="1" applyBorder="1" applyAlignment="1" applyProtection="1">
      <alignment vertical="center" wrapText="1"/>
      <protection locked="0"/>
    </xf>
    <xf numFmtId="0" fontId="0" fillId="52" borderId="19" xfId="0" applyFill="1" applyBorder="1" applyAlignment="1" applyProtection="1">
      <alignment vertical="center"/>
      <protection locked="0"/>
    </xf>
    <xf numFmtId="0" fontId="0" fillId="52" borderId="19" xfId="0" applyFill="1" applyBorder="1" applyAlignment="1" applyProtection="1">
      <alignment horizontal="left" vertical="center"/>
      <protection locked="0"/>
    </xf>
    <xf numFmtId="0" fontId="0" fillId="52" borderId="10" xfId="0" applyFill="1" applyBorder="1" applyAlignment="1" applyProtection="1">
      <alignment horizontal="left" vertical="center"/>
      <protection locked="0"/>
    </xf>
    <xf numFmtId="0" fontId="18" fillId="52" borderId="10" xfId="0" applyFont="1" applyFill="1" applyBorder="1" applyAlignment="1" applyProtection="1">
      <alignment horizontal="left" vertical="center"/>
      <protection locked="0"/>
    </xf>
    <xf numFmtId="0" fontId="0" fillId="52" borderId="37" xfId="0" applyFill="1" applyBorder="1" applyAlignment="1">
      <alignment vertical="center"/>
    </xf>
    <xf numFmtId="0" fontId="18" fillId="52" borderId="19" xfId="0" applyFont="1" applyFill="1" applyBorder="1" applyAlignment="1" applyProtection="1">
      <alignment horizontal="left" vertical="center"/>
      <protection locked="0"/>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6" fillId="0" borderId="50" xfId="44" applyBorder="1" applyAlignment="1" applyProtection="1">
      <alignment horizontal="center" vertical="center" wrapText="1"/>
      <protection locked="0"/>
    </xf>
    <xf numFmtId="0" fontId="46" fillId="0" borderId="52" xfId="44"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5"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30.75" thickBot="1" x14ac:dyDescent="0.3">
      <c r="A1" s="115" t="s">
        <v>48</v>
      </c>
      <c r="B1" s="512" t="s">
        <v>49</v>
      </c>
      <c r="C1" s="513"/>
      <c r="D1" s="513"/>
      <c r="E1" s="156" t="s">
        <v>50</v>
      </c>
      <c r="F1" s="156" t="s">
        <v>51</v>
      </c>
      <c r="G1" s="110" t="s">
        <v>52</v>
      </c>
    </row>
    <row r="2" spans="1:7" x14ac:dyDescent="0.25">
      <c r="A2" s="116" t="s">
        <v>53</v>
      </c>
      <c r="B2" s="514" t="s">
        <v>54</v>
      </c>
      <c r="C2" s="515"/>
      <c r="D2" s="515"/>
      <c r="E2" s="253" t="s">
        <v>55</v>
      </c>
      <c r="F2" s="253" t="s">
        <v>56</v>
      </c>
      <c r="G2" s="281" t="s">
        <v>57</v>
      </c>
    </row>
    <row r="3" spans="1:7" s="81" customFormat="1" x14ac:dyDescent="0.25">
      <c r="A3" s="190" t="s">
        <v>58</v>
      </c>
      <c r="B3" s="521" t="s">
        <v>59</v>
      </c>
      <c r="C3" s="522"/>
      <c r="D3" s="523"/>
      <c r="E3" s="80" t="s">
        <v>55</v>
      </c>
      <c r="F3" s="80" t="s">
        <v>56</v>
      </c>
      <c r="G3" s="282" t="s">
        <v>57</v>
      </c>
    </row>
    <row r="4" spans="1:7" x14ac:dyDescent="0.25">
      <c r="A4" s="190" t="s">
        <v>60</v>
      </c>
      <c r="B4" s="518" t="s">
        <v>61</v>
      </c>
      <c r="C4" s="519"/>
      <c r="D4" s="520"/>
      <c r="E4" s="80" t="s">
        <v>62</v>
      </c>
      <c r="F4" s="80" t="s">
        <v>56</v>
      </c>
      <c r="G4" s="282" t="s">
        <v>57</v>
      </c>
    </row>
    <row r="5" spans="1:7" x14ac:dyDescent="0.25">
      <c r="A5" s="117" t="s">
        <v>63</v>
      </c>
      <c r="B5" s="518" t="s">
        <v>64</v>
      </c>
      <c r="C5" s="519"/>
      <c r="D5" s="520"/>
      <c r="E5" s="80" t="s">
        <v>62</v>
      </c>
      <c r="F5" s="80" t="s">
        <v>56</v>
      </c>
      <c r="G5" s="282" t="s">
        <v>57</v>
      </c>
    </row>
    <row r="6" spans="1:7" x14ac:dyDescent="0.25">
      <c r="A6" s="117" t="s">
        <v>65</v>
      </c>
      <c r="B6" s="518" t="s">
        <v>66</v>
      </c>
      <c r="C6" s="519"/>
      <c r="D6" s="520"/>
      <c r="E6" s="80" t="s">
        <v>67</v>
      </c>
      <c r="F6" s="80" t="s">
        <v>56</v>
      </c>
      <c r="G6" s="85"/>
    </row>
    <row r="7" spans="1:7" ht="15.75" thickBot="1" x14ac:dyDescent="0.3">
      <c r="A7" s="118" t="s">
        <v>68</v>
      </c>
      <c r="B7" s="516" t="s">
        <v>69</v>
      </c>
      <c r="C7" s="517"/>
      <c r="D7" s="517"/>
      <c r="E7" s="86" t="s">
        <v>67</v>
      </c>
      <c r="F7" s="86"/>
      <c r="G7" s="87"/>
    </row>
    <row r="8" spans="1:7" s="84" customFormat="1" ht="30.75" thickBot="1" x14ac:dyDescent="0.3">
      <c r="A8" s="115" t="s">
        <v>48</v>
      </c>
      <c r="B8" s="330" t="s">
        <v>1</v>
      </c>
      <c r="C8" s="156" t="s">
        <v>70</v>
      </c>
      <c r="D8" s="156" t="s">
        <v>49</v>
      </c>
      <c r="E8" s="156" t="s">
        <v>50</v>
      </c>
      <c r="F8" s="156" t="s">
        <v>51</v>
      </c>
      <c r="G8" s="110" t="s">
        <v>52</v>
      </c>
    </row>
    <row r="9" spans="1:7" ht="105" x14ac:dyDescent="0.25">
      <c r="A9" s="498" t="s">
        <v>53</v>
      </c>
      <c r="B9" s="501" t="s">
        <v>71</v>
      </c>
      <c r="C9" s="288" t="s">
        <v>72</v>
      </c>
      <c r="D9" s="94" t="s">
        <v>73</v>
      </c>
      <c r="E9" s="94" t="s">
        <v>55</v>
      </c>
      <c r="F9" s="94" t="s">
        <v>74</v>
      </c>
      <c r="G9" s="331" t="s">
        <v>75</v>
      </c>
    </row>
    <row r="10" spans="1:7" ht="75" x14ac:dyDescent="0.25">
      <c r="A10" s="499"/>
      <c r="B10" s="502"/>
      <c r="C10" s="284" t="s">
        <v>76</v>
      </c>
      <c r="D10" s="82" t="s">
        <v>77</v>
      </c>
      <c r="E10" s="82" t="s">
        <v>55</v>
      </c>
      <c r="F10" s="82" t="s">
        <v>74</v>
      </c>
      <c r="G10" s="280" t="s">
        <v>78</v>
      </c>
    </row>
    <row r="11" spans="1:7" ht="45" x14ac:dyDescent="0.25">
      <c r="A11" s="499"/>
      <c r="B11" s="502"/>
      <c r="C11" s="284" t="s">
        <v>79</v>
      </c>
      <c r="D11" s="82" t="s">
        <v>80</v>
      </c>
      <c r="E11" s="82" t="s">
        <v>81</v>
      </c>
      <c r="F11" s="82" t="s">
        <v>74</v>
      </c>
      <c r="G11" s="95" t="s">
        <v>82</v>
      </c>
    </row>
    <row r="12" spans="1:7" ht="120" x14ac:dyDescent="0.25">
      <c r="A12" s="499"/>
      <c r="B12" s="502"/>
      <c r="C12" s="284" t="s">
        <v>83</v>
      </c>
      <c r="D12" s="295" t="s">
        <v>84</v>
      </c>
      <c r="E12" s="82" t="s">
        <v>81</v>
      </c>
      <c r="F12" s="82" t="s">
        <v>74</v>
      </c>
      <c r="G12" s="280" t="s">
        <v>85</v>
      </c>
    </row>
    <row r="13" spans="1:7" ht="30" x14ac:dyDescent="0.25">
      <c r="A13" s="499"/>
      <c r="B13" s="502"/>
      <c r="C13" s="284" t="s">
        <v>86</v>
      </c>
      <c r="D13" s="82" t="s">
        <v>87</v>
      </c>
      <c r="E13" s="82" t="s">
        <v>81</v>
      </c>
      <c r="F13" s="82" t="s">
        <v>74</v>
      </c>
      <c r="G13" s="95" t="s">
        <v>88</v>
      </c>
    </row>
    <row r="14" spans="1:7" ht="30" x14ac:dyDescent="0.25">
      <c r="A14" s="499"/>
      <c r="B14" s="502"/>
      <c r="C14" s="284" t="s">
        <v>89</v>
      </c>
      <c r="D14" s="82" t="s">
        <v>90</v>
      </c>
      <c r="E14" s="82" t="s">
        <v>81</v>
      </c>
      <c r="F14" s="82" t="s">
        <v>74</v>
      </c>
      <c r="G14" s="95" t="s">
        <v>88</v>
      </c>
    </row>
    <row r="15" spans="1:7" ht="30" x14ac:dyDescent="0.25">
      <c r="A15" s="499"/>
      <c r="B15" s="502"/>
      <c r="C15" s="121" t="s">
        <v>91</v>
      </c>
      <c r="D15" s="82" t="s">
        <v>92</v>
      </c>
      <c r="E15" s="82" t="s">
        <v>55</v>
      </c>
      <c r="F15" s="82" t="s">
        <v>74</v>
      </c>
      <c r="G15" s="95" t="s">
        <v>93</v>
      </c>
    </row>
    <row r="16" spans="1:7" ht="60" x14ac:dyDescent="0.25">
      <c r="A16" s="499"/>
      <c r="B16" s="502"/>
      <c r="C16" s="284" t="s">
        <v>94</v>
      </c>
      <c r="D16" s="295" t="s">
        <v>95</v>
      </c>
      <c r="E16" s="82" t="s">
        <v>81</v>
      </c>
      <c r="F16" s="82" t="s">
        <v>74</v>
      </c>
      <c r="G16" s="280" t="s">
        <v>96</v>
      </c>
    </row>
    <row r="17" spans="1:7" ht="30" x14ac:dyDescent="0.25">
      <c r="A17" s="499"/>
      <c r="B17" s="502"/>
      <c r="C17" s="284" t="s">
        <v>97</v>
      </c>
      <c r="D17" s="82" t="s">
        <v>98</v>
      </c>
      <c r="E17" s="82" t="s">
        <v>81</v>
      </c>
      <c r="F17" s="82" t="s">
        <v>74</v>
      </c>
      <c r="G17" s="95" t="s">
        <v>99</v>
      </c>
    </row>
    <row r="18" spans="1:7" ht="45" x14ac:dyDescent="0.25">
      <c r="A18" s="499"/>
      <c r="B18" s="502"/>
      <c r="C18" s="284" t="s">
        <v>100</v>
      </c>
      <c r="D18" s="82" t="s">
        <v>101</v>
      </c>
      <c r="E18" s="82" t="s">
        <v>81</v>
      </c>
      <c r="F18" s="82" t="s">
        <v>74</v>
      </c>
      <c r="G18" s="95" t="s">
        <v>102</v>
      </c>
    </row>
    <row r="19" spans="1:7" x14ac:dyDescent="0.25">
      <c r="A19" s="499"/>
      <c r="B19" s="502"/>
      <c r="C19" s="284" t="s">
        <v>103</v>
      </c>
      <c r="D19" s="82" t="s">
        <v>104</v>
      </c>
      <c r="E19" s="82" t="s">
        <v>81</v>
      </c>
      <c r="F19" s="82" t="s">
        <v>74</v>
      </c>
      <c r="G19" s="95" t="s">
        <v>105</v>
      </c>
    </row>
    <row r="20" spans="1:7" ht="105.75" thickBot="1" x14ac:dyDescent="0.3">
      <c r="A20" s="499"/>
      <c r="B20" s="503"/>
      <c r="C20" s="332" t="s">
        <v>1</v>
      </c>
      <c r="D20" s="454" t="s">
        <v>106</v>
      </c>
      <c r="E20" s="333" t="s">
        <v>81</v>
      </c>
      <c r="F20" s="333" t="s">
        <v>74</v>
      </c>
      <c r="G20" s="334" t="s">
        <v>107</v>
      </c>
    </row>
    <row r="21" spans="1:7" ht="45" x14ac:dyDescent="0.25">
      <c r="A21" s="499"/>
      <c r="B21" s="535" t="s">
        <v>108</v>
      </c>
      <c r="C21" s="285" t="s">
        <v>109</v>
      </c>
      <c r="D21" s="105" t="s">
        <v>110</v>
      </c>
      <c r="E21" s="105" t="s">
        <v>81</v>
      </c>
      <c r="F21" s="105" t="s">
        <v>111</v>
      </c>
      <c r="G21" s="157" t="s">
        <v>112</v>
      </c>
    </row>
    <row r="22" spans="1:7" ht="30" x14ac:dyDescent="0.25">
      <c r="A22" s="499"/>
      <c r="B22" s="536"/>
      <c r="C22" s="286" t="s">
        <v>113</v>
      </c>
      <c r="D22" s="338" t="s">
        <v>114</v>
      </c>
      <c r="E22" s="338" t="s">
        <v>81</v>
      </c>
      <c r="F22" s="338" t="s">
        <v>111</v>
      </c>
      <c r="G22" s="339" t="s">
        <v>115</v>
      </c>
    </row>
    <row r="23" spans="1:7" ht="15.75" thickBot="1" x14ac:dyDescent="0.3">
      <c r="A23" s="499"/>
      <c r="B23" s="537"/>
      <c r="C23" s="340" t="s">
        <v>116</v>
      </c>
      <c r="D23" s="107" t="s">
        <v>117</v>
      </c>
      <c r="E23" s="107" t="s">
        <v>81</v>
      </c>
      <c r="F23" s="107" t="s">
        <v>111</v>
      </c>
      <c r="G23" s="108" t="s">
        <v>118</v>
      </c>
    </row>
    <row r="24" spans="1:7" ht="30" customHeight="1" x14ac:dyDescent="0.25">
      <c r="A24" s="499"/>
      <c r="B24" s="538" t="s">
        <v>119</v>
      </c>
      <c r="C24" s="335" t="s">
        <v>120</v>
      </c>
      <c r="D24" s="336" t="s">
        <v>121</v>
      </c>
      <c r="E24" s="336" t="s">
        <v>81</v>
      </c>
      <c r="F24" s="336" t="s">
        <v>74</v>
      </c>
      <c r="G24" s="337" t="s">
        <v>122</v>
      </c>
    </row>
    <row r="25" spans="1:7" ht="30" customHeight="1" x14ac:dyDescent="0.25">
      <c r="A25" s="499"/>
      <c r="B25" s="539"/>
      <c r="C25" s="286" t="s">
        <v>123</v>
      </c>
      <c r="D25" s="109" t="s">
        <v>124</v>
      </c>
      <c r="E25" s="109" t="s">
        <v>81</v>
      </c>
      <c r="F25" s="109" t="s">
        <v>125</v>
      </c>
      <c r="G25" s="492" t="s">
        <v>126</v>
      </c>
    </row>
    <row r="26" spans="1:7" ht="30" x14ac:dyDescent="0.25">
      <c r="A26" s="499"/>
      <c r="B26" s="539"/>
      <c r="C26" s="234" t="s">
        <v>127</v>
      </c>
      <c r="D26" s="109" t="s">
        <v>128</v>
      </c>
      <c r="E26" s="109" t="s">
        <v>81</v>
      </c>
      <c r="F26" s="109" t="s">
        <v>125</v>
      </c>
      <c r="G26" s="493"/>
    </row>
    <row r="27" spans="1:7" x14ac:dyDescent="0.25">
      <c r="A27" s="499"/>
      <c r="B27" s="539"/>
      <c r="C27" s="286" t="s">
        <v>30</v>
      </c>
      <c r="D27" s="109" t="s">
        <v>129</v>
      </c>
      <c r="E27" s="109" t="s">
        <v>81</v>
      </c>
      <c r="F27" s="109" t="s">
        <v>125</v>
      </c>
      <c r="G27" s="493"/>
    </row>
    <row r="28" spans="1:7" x14ac:dyDescent="0.25">
      <c r="A28" s="499"/>
      <c r="B28" s="539"/>
      <c r="C28" s="286" t="s">
        <v>130</v>
      </c>
      <c r="D28" s="109" t="s">
        <v>131</v>
      </c>
      <c r="E28" s="109" t="s">
        <v>81</v>
      </c>
      <c r="F28" s="109" t="s">
        <v>125</v>
      </c>
      <c r="G28" s="493"/>
    </row>
    <row r="29" spans="1:7" x14ac:dyDescent="0.25">
      <c r="A29" s="499"/>
      <c r="B29" s="539"/>
      <c r="C29" s="286" t="s">
        <v>35</v>
      </c>
      <c r="D29" s="109" t="s">
        <v>132</v>
      </c>
      <c r="E29" s="109" t="s">
        <v>81</v>
      </c>
      <c r="F29" s="109" t="s">
        <v>125</v>
      </c>
      <c r="G29" s="493"/>
    </row>
    <row r="30" spans="1:7" x14ac:dyDescent="0.25">
      <c r="A30" s="499"/>
      <c r="B30" s="539"/>
      <c r="C30" s="286" t="s">
        <v>133</v>
      </c>
      <c r="D30" s="109" t="s">
        <v>134</v>
      </c>
      <c r="E30" s="109" t="s">
        <v>81</v>
      </c>
      <c r="F30" s="109" t="s">
        <v>125</v>
      </c>
      <c r="G30" s="493"/>
    </row>
    <row r="31" spans="1:7" x14ac:dyDescent="0.25">
      <c r="A31" s="499"/>
      <c r="B31" s="539"/>
      <c r="C31" s="234" t="s">
        <v>135</v>
      </c>
      <c r="D31" s="109" t="s">
        <v>136</v>
      </c>
      <c r="E31" s="109" t="s">
        <v>81</v>
      </c>
      <c r="F31" s="109" t="s">
        <v>125</v>
      </c>
      <c r="G31" s="493"/>
    </row>
    <row r="32" spans="1:7" ht="30.75" thickBot="1" x14ac:dyDescent="0.3">
      <c r="A32" s="499"/>
      <c r="B32" s="540"/>
      <c r="C32" s="287" t="s">
        <v>137</v>
      </c>
      <c r="D32" s="104" t="s">
        <v>138</v>
      </c>
      <c r="E32" s="104" t="s">
        <v>81</v>
      </c>
      <c r="F32" s="104" t="s">
        <v>125</v>
      </c>
      <c r="G32" s="494"/>
    </row>
    <row r="33" spans="1:7" ht="30" x14ac:dyDescent="0.25">
      <c r="A33" s="499"/>
      <c r="B33" s="541" t="s">
        <v>139</v>
      </c>
      <c r="C33" s="269" t="s">
        <v>127</v>
      </c>
      <c r="D33" s="232" t="s">
        <v>140</v>
      </c>
      <c r="E33" s="232" t="s">
        <v>81</v>
      </c>
      <c r="F33" s="232" t="s">
        <v>141</v>
      </c>
      <c r="G33" s="233" t="s">
        <v>142</v>
      </c>
    </row>
    <row r="34" spans="1:7" x14ac:dyDescent="0.25">
      <c r="A34" s="499"/>
      <c r="B34" s="542"/>
      <c r="C34" s="284" t="s">
        <v>30</v>
      </c>
      <c r="D34" s="83" t="s">
        <v>143</v>
      </c>
      <c r="E34" s="83" t="s">
        <v>81</v>
      </c>
      <c r="F34" s="83" t="s">
        <v>141</v>
      </c>
      <c r="G34" s="99"/>
    </row>
    <row r="35" spans="1:7" x14ac:dyDescent="0.25">
      <c r="A35" s="499"/>
      <c r="B35" s="542"/>
      <c r="C35" s="284" t="s">
        <v>130</v>
      </c>
      <c r="D35" s="83" t="s">
        <v>144</v>
      </c>
      <c r="E35" s="83" t="s">
        <v>81</v>
      </c>
      <c r="F35" s="83" t="s">
        <v>141</v>
      </c>
      <c r="G35" s="99" t="s">
        <v>145</v>
      </c>
    </row>
    <row r="36" spans="1:7" x14ac:dyDescent="0.25">
      <c r="A36" s="499"/>
      <c r="B36" s="542"/>
      <c r="C36" s="284" t="s">
        <v>35</v>
      </c>
      <c r="D36" s="83" t="s">
        <v>146</v>
      </c>
      <c r="E36" s="83" t="s">
        <v>81</v>
      </c>
      <c r="F36" s="83" t="s">
        <v>141</v>
      </c>
      <c r="G36" s="113"/>
    </row>
    <row r="37" spans="1:7" x14ac:dyDescent="0.25">
      <c r="A37" s="499"/>
      <c r="B37" s="542"/>
      <c r="C37" s="284" t="s">
        <v>133</v>
      </c>
      <c r="D37" s="83" t="s">
        <v>147</v>
      </c>
      <c r="E37" s="83" t="s">
        <v>81</v>
      </c>
      <c r="F37" s="83" t="s">
        <v>141</v>
      </c>
      <c r="G37" s="99" t="s">
        <v>148</v>
      </c>
    </row>
    <row r="38" spans="1:7" x14ac:dyDescent="0.25">
      <c r="A38" s="499"/>
      <c r="B38" s="542"/>
      <c r="C38" s="235" t="s">
        <v>135</v>
      </c>
      <c r="D38" s="83" t="s">
        <v>149</v>
      </c>
      <c r="E38" s="83" t="s">
        <v>81</v>
      </c>
      <c r="F38" s="83" t="s">
        <v>141</v>
      </c>
      <c r="G38" s="99"/>
    </row>
    <row r="39" spans="1:7" ht="30" x14ac:dyDescent="0.25">
      <c r="A39" s="499"/>
      <c r="B39" s="542"/>
      <c r="C39" s="286" t="s">
        <v>150</v>
      </c>
      <c r="D39" s="83" t="s">
        <v>151</v>
      </c>
      <c r="E39" s="83" t="s">
        <v>81</v>
      </c>
      <c r="F39" s="83" t="s">
        <v>141</v>
      </c>
      <c r="G39" s="99"/>
    </row>
    <row r="40" spans="1:7" ht="30" x14ac:dyDescent="0.25">
      <c r="A40" s="499"/>
      <c r="B40" s="542"/>
      <c r="C40" s="235" t="s">
        <v>152</v>
      </c>
      <c r="D40" s="83" t="s">
        <v>153</v>
      </c>
      <c r="E40" s="83" t="s">
        <v>55</v>
      </c>
      <c r="F40" s="83" t="s">
        <v>141</v>
      </c>
      <c r="G40" s="99" t="s">
        <v>154</v>
      </c>
    </row>
    <row r="41" spans="1:7" ht="45.75" thickBot="1" x14ac:dyDescent="0.3">
      <c r="A41" s="499"/>
      <c r="B41" s="543"/>
      <c r="C41" s="283" t="s">
        <v>155</v>
      </c>
      <c r="D41" s="100" t="s">
        <v>156</v>
      </c>
      <c r="E41" s="100" t="s">
        <v>81</v>
      </c>
      <c r="F41" s="100" t="s">
        <v>141</v>
      </c>
      <c r="G41" s="101" t="s">
        <v>157</v>
      </c>
    </row>
    <row r="42" spans="1:7" ht="135.75" thickBot="1" x14ac:dyDescent="0.3">
      <c r="A42" s="498" t="s">
        <v>58</v>
      </c>
      <c r="B42" s="341" t="s">
        <v>158</v>
      </c>
      <c r="C42" s="288" t="s">
        <v>83</v>
      </c>
      <c r="D42" s="342" t="s">
        <v>159</v>
      </c>
      <c r="E42" s="342" t="s">
        <v>81</v>
      </c>
      <c r="F42" s="342" t="s">
        <v>74</v>
      </c>
      <c r="G42" s="343" t="s">
        <v>160</v>
      </c>
    </row>
    <row r="43" spans="1:7" ht="15" customHeight="1" x14ac:dyDescent="0.25">
      <c r="A43" s="499"/>
      <c r="B43" s="527" t="s">
        <v>161</v>
      </c>
      <c r="C43" s="266" t="s">
        <v>162</v>
      </c>
      <c r="D43" s="254" t="s">
        <v>163</v>
      </c>
      <c r="E43" s="254" t="s">
        <v>62</v>
      </c>
      <c r="F43" s="254" t="s">
        <v>74</v>
      </c>
      <c r="G43" s="237" t="s">
        <v>164</v>
      </c>
    </row>
    <row r="44" spans="1:7" ht="30" x14ac:dyDescent="0.25">
      <c r="A44" s="499"/>
      <c r="B44" s="528"/>
      <c r="C44" s="267" t="s">
        <v>123</v>
      </c>
      <c r="D44" s="255" t="s">
        <v>165</v>
      </c>
      <c r="E44" s="255" t="s">
        <v>62</v>
      </c>
      <c r="F44" s="255" t="s">
        <v>74</v>
      </c>
      <c r="G44" s="238" t="s">
        <v>164</v>
      </c>
    </row>
    <row r="45" spans="1:7" ht="30" x14ac:dyDescent="0.25">
      <c r="A45" s="499"/>
      <c r="B45" s="528"/>
      <c r="C45" s="267" t="s">
        <v>100</v>
      </c>
      <c r="D45" s="255" t="s">
        <v>166</v>
      </c>
      <c r="E45" s="255" t="s">
        <v>62</v>
      </c>
      <c r="F45" s="255" t="s">
        <v>74</v>
      </c>
      <c r="G45" s="238" t="s">
        <v>167</v>
      </c>
    </row>
    <row r="46" spans="1:7" x14ac:dyDescent="0.25">
      <c r="A46" s="499"/>
      <c r="B46" s="528"/>
      <c r="C46" s="267" t="s">
        <v>168</v>
      </c>
      <c r="D46" s="255" t="s">
        <v>169</v>
      </c>
      <c r="E46" s="255" t="s">
        <v>62</v>
      </c>
      <c r="F46" s="255" t="s">
        <v>74</v>
      </c>
      <c r="G46" s="238" t="s">
        <v>164</v>
      </c>
    </row>
    <row r="47" spans="1:7" ht="15.75" thickBot="1" x14ac:dyDescent="0.3">
      <c r="A47" s="499"/>
      <c r="B47" s="529"/>
      <c r="C47" s="268" t="s">
        <v>170</v>
      </c>
      <c r="D47" s="256" t="s">
        <v>171</v>
      </c>
      <c r="E47" s="255" t="s">
        <v>62</v>
      </c>
      <c r="F47" s="256" t="s">
        <v>74</v>
      </c>
      <c r="G47" s="239" t="s">
        <v>164</v>
      </c>
    </row>
    <row r="48" spans="1:7" ht="30" x14ac:dyDescent="0.25">
      <c r="A48" s="499"/>
      <c r="B48" s="530" t="s">
        <v>172</v>
      </c>
      <c r="C48" s="263" t="s">
        <v>127</v>
      </c>
      <c r="D48" s="257" t="s">
        <v>173</v>
      </c>
      <c r="E48" s="257" t="s">
        <v>62</v>
      </c>
      <c r="F48" s="257" t="s">
        <v>125</v>
      </c>
      <c r="G48" s="495" t="s">
        <v>174</v>
      </c>
    </row>
    <row r="49" spans="1:7" ht="30" x14ac:dyDescent="0.25">
      <c r="A49" s="499"/>
      <c r="B49" s="530"/>
      <c r="C49" s="264" t="s">
        <v>30</v>
      </c>
      <c r="D49" s="240" t="s">
        <v>175</v>
      </c>
      <c r="E49" s="240" t="s">
        <v>62</v>
      </c>
      <c r="F49" s="240" t="s">
        <v>125</v>
      </c>
      <c r="G49" s="496"/>
    </row>
    <row r="50" spans="1:7" ht="30" x14ac:dyDescent="0.25">
      <c r="A50" s="499"/>
      <c r="B50" s="530"/>
      <c r="C50" s="264" t="s">
        <v>130</v>
      </c>
      <c r="D50" s="240" t="s">
        <v>176</v>
      </c>
      <c r="E50" s="240" t="s">
        <v>62</v>
      </c>
      <c r="F50" s="240" t="s">
        <v>125</v>
      </c>
      <c r="G50" s="496"/>
    </row>
    <row r="51" spans="1:7" ht="30" x14ac:dyDescent="0.25">
      <c r="A51" s="499"/>
      <c r="B51" s="530"/>
      <c r="C51" s="264" t="s">
        <v>35</v>
      </c>
      <c r="D51" s="240" t="s">
        <v>177</v>
      </c>
      <c r="E51" s="240" t="s">
        <v>62</v>
      </c>
      <c r="F51" s="240" t="s">
        <v>125</v>
      </c>
      <c r="G51" s="496"/>
    </row>
    <row r="52" spans="1:7" ht="30" x14ac:dyDescent="0.25">
      <c r="A52" s="499"/>
      <c r="B52" s="530"/>
      <c r="C52" s="264" t="s">
        <v>133</v>
      </c>
      <c r="D52" s="240" t="s">
        <v>178</v>
      </c>
      <c r="E52" s="240" t="s">
        <v>62</v>
      </c>
      <c r="F52" s="240" t="s">
        <v>125</v>
      </c>
      <c r="G52" s="496"/>
    </row>
    <row r="53" spans="1:7" ht="30" x14ac:dyDescent="0.25">
      <c r="A53" s="499"/>
      <c r="B53" s="530"/>
      <c r="C53" s="264" t="s">
        <v>179</v>
      </c>
      <c r="D53" s="240" t="s">
        <v>180</v>
      </c>
      <c r="E53" s="240" t="s">
        <v>62</v>
      </c>
      <c r="F53" s="240" t="s">
        <v>125</v>
      </c>
      <c r="G53" s="496"/>
    </row>
    <row r="54" spans="1:7" x14ac:dyDescent="0.25">
      <c r="A54" s="499"/>
      <c r="B54" s="530"/>
      <c r="C54" s="264" t="s">
        <v>135</v>
      </c>
      <c r="D54" s="240" t="s">
        <v>181</v>
      </c>
      <c r="E54" s="240" t="s">
        <v>62</v>
      </c>
      <c r="F54" s="240" t="s">
        <v>125</v>
      </c>
      <c r="G54" s="496"/>
    </row>
    <row r="55" spans="1:7" ht="30.75" thickBot="1" x14ac:dyDescent="0.3">
      <c r="A55" s="499"/>
      <c r="B55" s="531"/>
      <c r="C55" s="265" t="s">
        <v>182</v>
      </c>
      <c r="D55" s="258" t="s">
        <v>183</v>
      </c>
      <c r="E55" s="258" t="s">
        <v>62</v>
      </c>
      <c r="F55" s="258" t="s">
        <v>125</v>
      </c>
      <c r="G55" s="497"/>
    </row>
    <row r="56" spans="1:7" ht="30" x14ac:dyDescent="0.25">
      <c r="A56" s="499"/>
      <c r="B56" s="532" t="s">
        <v>139</v>
      </c>
      <c r="C56" s="327" t="s">
        <v>127</v>
      </c>
      <c r="D56" s="328" t="s">
        <v>184</v>
      </c>
      <c r="E56" s="328" t="s">
        <v>62</v>
      </c>
      <c r="F56" s="328" t="s">
        <v>141</v>
      </c>
      <c r="G56" s="329" t="s">
        <v>164</v>
      </c>
    </row>
    <row r="57" spans="1:7" ht="30" x14ac:dyDescent="0.25">
      <c r="A57" s="499"/>
      <c r="B57" s="533"/>
      <c r="C57" s="261" t="s">
        <v>30</v>
      </c>
      <c r="D57" s="259" t="s">
        <v>185</v>
      </c>
      <c r="E57" s="259" t="s">
        <v>62</v>
      </c>
      <c r="F57" s="259" t="s">
        <v>141</v>
      </c>
      <c r="G57" s="236" t="s">
        <v>164</v>
      </c>
    </row>
    <row r="58" spans="1:7" ht="30" x14ac:dyDescent="0.25">
      <c r="A58" s="499"/>
      <c r="B58" s="533"/>
      <c r="C58" s="261" t="s">
        <v>130</v>
      </c>
      <c r="D58" s="259" t="s">
        <v>186</v>
      </c>
      <c r="E58" s="259" t="s">
        <v>62</v>
      </c>
      <c r="F58" s="259" t="s">
        <v>141</v>
      </c>
      <c r="G58" s="236" t="s">
        <v>164</v>
      </c>
    </row>
    <row r="59" spans="1:7" x14ac:dyDescent="0.25">
      <c r="A59" s="499"/>
      <c r="B59" s="533"/>
      <c r="C59" s="261" t="s">
        <v>35</v>
      </c>
      <c r="D59" s="259" t="s">
        <v>187</v>
      </c>
      <c r="E59" s="259" t="s">
        <v>62</v>
      </c>
      <c r="F59" s="259" t="s">
        <v>141</v>
      </c>
      <c r="G59" s="236" t="s">
        <v>164</v>
      </c>
    </row>
    <row r="60" spans="1:7" ht="30" x14ac:dyDescent="0.25">
      <c r="A60" s="499"/>
      <c r="B60" s="533"/>
      <c r="C60" s="261" t="s">
        <v>133</v>
      </c>
      <c r="D60" s="259" t="s">
        <v>188</v>
      </c>
      <c r="E60" s="259" t="s">
        <v>62</v>
      </c>
      <c r="F60" s="259" t="s">
        <v>141</v>
      </c>
      <c r="G60" s="236" t="s">
        <v>164</v>
      </c>
    </row>
    <row r="61" spans="1:7" x14ac:dyDescent="0.25">
      <c r="A61" s="499"/>
      <c r="B61" s="533"/>
      <c r="C61" s="261" t="s">
        <v>179</v>
      </c>
      <c r="D61" s="259" t="s">
        <v>189</v>
      </c>
      <c r="E61" s="259" t="s">
        <v>62</v>
      </c>
      <c r="F61" s="259" t="s">
        <v>141</v>
      </c>
      <c r="G61" s="236" t="s">
        <v>164</v>
      </c>
    </row>
    <row r="62" spans="1:7" x14ac:dyDescent="0.25">
      <c r="A62" s="499"/>
      <c r="B62" s="533"/>
      <c r="C62" s="261" t="s">
        <v>135</v>
      </c>
      <c r="D62" s="259" t="s">
        <v>190</v>
      </c>
      <c r="E62" s="259" t="s">
        <v>62</v>
      </c>
      <c r="F62" s="259" t="s">
        <v>141</v>
      </c>
      <c r="G62" s="236" t="s">
        <v>164</v>
      </c>
    </row>
    <row r="63" spans="1:7" ht="15.75" thickBot="1" x14ac:dyDescent="0.3">
      <c r="A63" s="500"/>
      <c r="B63" s="534"/>
      <c r="C63" s="262" t="s">
        <v>182</v>
      </c>
      <c r="D63" s="260" t="s">
        <v>191</v>
      </c>
      <c r="E63" s="260" t="s">
        <v>62</v>
      </c>
      <c r="F63" s="260" t="s">
        <v>141</v>
      </c>
      <c r="G63" s="241" t="s">
        <v>164</v>
      </c>
    </row>
    <row r="64" spans="1:7" ht="120" x14ac:dyDescent="0.25">
      <c r="A64" s="499" t="s">
        <v>60</v>
      </c>
      <c r="B64" s="524" t="s">
        <v>192</v>
      </c>
      <c r="C64" s="285" t="s">
        <v>72</v>
      </c>
      <c r="D64" s="243" t="s">
        <v>193</v>
      </c>
      <c r="E64" s="243" t="s">
        <v>55</v>
      </c>
      <c r="F64" s="243" t="s">
        <v>74</v>
      </c>
      <c r="G64" s="344" t="s">
        <v>194</v>
      </c>
    </row>
    <row r="65" spans="1:7" ht="60" x14ac:dyDescent="0.25">
      <c r="A65" s="499"/>
      <c r="B65" s="525"/>
      <c r="C65" s="286" t="s">
        <v>76</v>
      </c>
      <c r="D65" s="244" t="s">
        <v>77</v>
      </c>
      <c r="E65" s="244" t="s">
        <v>55</v>
      </c>
      <c r="F65" s="244" t="s">
        <v>74</v>
      </c>
      <c r="G65" s="346" t="s">
        <v>195</v>
      </c>
    </row>
    <row r="66" spans="1:7" ht="30" x14ac:dyDescent="0.25">
      <c r="A66" s="499"/>
      <c r="B66" s="525"/>
      <c r="C66" s="286" t="s">
        <v>91</v>
      </c>
      <c r="D66" s="244" t="s">
        <v>92</v>
      </c>
      <c r="E66" s="244" t="s">
        <v>55</v>
      </c>
      <c r="F66" s="244" t="s">
        <v>74</v>
      </c>
      <c r="G66" s="245" t="s">
        <v>196</v>
      </c>
    </row>
    <row r="67" spans="1:7" ht="30" x14ac:dyDescent="0.25">
      <c r="A67" s="499"/>
      <c r="B67" s="525"/>
      <c r="C67" s="286" t="s">
        <v>197</v>
      </c>
      <c r="D67" s="244" t="s">
        <v>198</v>
      </c>
      <c r="E67" s="244" t="s">
        <v>55</v>
      </c>
      <c r="F67" s="244" t="s">
        <v>74</v>
      </c>
      <c r="G67" s="245" t="s">
        <v>199</v>
      </c>
    </row>
    <row r="68" spans="1:7" x14ac:dyDescent="0.25">
      <c r="A68" s="499"/>
      <c r="B68" s="525"/>
      <c r="C68" s="286" t="s">
        <v>1</v>
      </c>
      <c r="D68" s="244" t="s">
        <v>200</v>
      </c>
      <c r="E68" s="244" t="s">
        <v>55</v>
      </c>
      <c r="F68" s="244" t="s">
        <v>74</v>
      </c>
      <c r="G68" s="245" t="s">
        <v>201</v>
      </c>
    </row>
    <row r="69" spans="1:7" ht="15.75" thickBot="1" x14ac:dyDescent="0.3">
      <c r="A69" s="499"/>
      <c r="B69" s="526"/>
      <c r="C69" s="287" t="s">
        <v>202</v>
      </c>
      <c r="D69" s="246" t="s">
        <v>203</v>
      </c>
      <c r="E69" s="246" t="s">
        <v>55</v>
      </c>
      <c r="F69" s="246" t="s">
        <v>74</v>
      </c>
      <c r="G69" s="247"/>
    </row>
    <row r="70" spans="1:7" ht="150" x14ac:dyDescent="0.25">
      <c r="A70" s="498" t="s">
        <v>63</v>
      </c>
      <c r="B70" s="501" t="s">
        <v>71</v>
      </c>
      <c r="C70" s="291" t="s">
        <v>72</v>
      </c>
      <c r="D70" s="242" t="s">
        <v>204</v>
      </c>
      <c r="E70" s="242" t="s">
        <v>55</v>
      </c>
      <c r="F70" s="242" t="s">
        <v>74</v>
      </c>
      <c r="G70" s="345" t="s">
        <v>205</v>
      </c>
    </row>
    <row r="71" spans="1:7" x14ac:dyDescent="0.25">
      <c r="A71" s="499"/>
      <c r="B71" s="502"/>
      <c r="C71" s="121" t="s">
        <v>76</v>
      </c>
      <c r="D71" s="82" t="s">
        <v>77</v>
      </c>
      <c r="E71" s="82" t="s">
        <v>55</v>
      </c>
      <c r="F71" s="82" t="s">
        <v>74</v>
      </c>
      <c r="G71" s="95" t="s">
        <v>164</v>
      </c>
    </row>
    <row r="72" spans="1:7" ht="30" x14ac:dyDescent="0.25">
      <c r="A72" s="499"/>
      <c r="B72" s="502"/>
      <c r="C72" s="121" t="s">
        <v>91</v>
      </c>
      <c r="D72" s="82" t="s">
        <v>92</v>
      </c>
      <c r="E72" s="82" t="s">
        <v>55</v>
      </c>
      <c r="F72" s="82" t="s">
        <v>74</v>
      </c>
      <c r="G72" s="95" t="s">
        <v>206</v>
      </c>
    </row>
    <row r="73" spans="1:7" x14ac:dyDescent="0.25">
      <c r="A73" s="499"/>
      <c r="B73" s="502"/>
      <c r="C73" s="121" t="s">
        <v>207</v>
      </c>
      <c r="D73" s="82" t="s">
        <v>208</v>
      </c>
      <c r="E73" s="82" t="s">
        <v>81</v>
      </c>
      <c r="F73" s="82" t="s">
        <v>74</v>
      </c>
      <c r="G73" s="95" t="s">
        <v>164</v>
      </c>
    </row>
    <row r="74" spans="1:7" ht="60" customHeight="1" x14ac:dyDescent="0.25">
      <c r="A74" s="499"/>
      <c r="B74" s="502"/>
      <c r="C74" s="121" t="s">
        <v>83</v>
      </c>
      <c r="D74" s="82" t="s">
        <v>209</v>
      </c>
      <c r="E74" s="82" t="s">
        <v>81</v>
      </c>
      <c r="F74" s="82" t="s">
        <v>74</v>
      </c>
      <c r="G74" s="95" t="s">
        <v>164</v>
      </c>
    </row>
    <row r="75" spans="1:7" x14ac:dyDescent="0.25">
      <c r="A75" s="499"/>
      <c r="B75" s="502"/>
      <c r="C75" s="121" t="s">
        <v>1</v>
      </c>
      <c r="D75" s="82" t="s">
        <v>200</v>
      </c>
      <c r="E75" s="82" t="s">
        <v>81</v>
      </c>
      <c r="F75" s="82" t="s">
        <v>74</v>
      </c>
      <c r="G75" s="95" t="s">
        <v>164</v>
      </c>
    </row>
    <row r="76" spans="1:7" ht="105" x14ac:dyDescent="0.25">
      <c r="A76" s="499"/>
      <c r="B76" s="502"/>
      <c r="C76" s="121" t="s">
        <v>210</v>
      </c>
      <c r="D76" s="82" t="s">
        <v>211</v>
      </c>
      <c r="E76" s="82" t="s">
        <v>55</v>
      </c>
      <c r="F76" s="82" t="s">
        <v>74</v>
      </c>
      <c r="G76" s="280" t="s">
        <v>212</v>
      </c>
    </row>
    <row r="77" spans="1:7" ht="105" x14ac:dyDescent="0.25">
      <c r="A77" s="499"/>
      <c r="B77" s="502"/>
      <c r="C77" s="121" t="s">
        <v>213</v>
      </c>
      <c r="D77" s="82" t="s">
        <v>214</v>
      </c>
      <c r="E77" s="82" t="s">
        <v>55</v>
      </c>
      <c r="F77" s="82" t="s">
        <v>74</v>
      </c>
      <c r="G77" s="280" t="s">
        <v>215</v>
      </c>
    </row>
    <row r="78" spans="1:7" ht="30" x14ac:dyDescent="0.25">
      <c r="A78" s="499"/>
      <c r="B78" s="502"/>
      <c r="C78" s="121" t="s">
        <v>100</v>
      </c>
      <c r="D78" s="82" t="s">
        <v>166</v>
      </c>
      <c r="E78" s="82" t="s">
        <v>81</v>
      </c>
      <c r="F78" s="82" t="s">
        <v>74</v>
      </c>
      <c r="G78" s="95" t="s">
        <v>167</v>
      </c>
    </row>
    <row r="79" spans="1:7" ht="30.75" thickBot="1" x14ac:dyDescent="0.3">
      <c r="A79" s="499"/>
      <c r="B79" s="503"/>
      <c r="C79" s="122" t="s">
        <v>216</v>
      </c>
      <c r="D79" s="96" t="s">
        <v>217</v>
      </c>
      <c r="E79" s="96" t="s">
        <v>55</v>
      </c>
      <c r="F79" s="96" t="s">
        <v>74</v>
      </c>
      <c r="G79" s="97" t="s">
        <v>218</v>
      </c>
    </row>
    <row r="80" spans="1:7" ht="30" x14ac:dyDescent="0.25">
      <c r="A80" s="499"/>
      <c r="B80" s="504" t="s">
        <v>108</v>
      </c>
      <c r="C80" s="123" t="s">
        <v>109</v>
      </c>
      <c r="D80" s="105" t="s">
        <v>219</v>
      </c>
      <c r="E80" s="105" t="s">
        <v>55</v>
      </c>
      <c r="F80" s="105" t="s">
        <v>220</v>
      </c>
      <c r="G80" s="106" t="s">
        <v>218</v>
      </c>
    </row>
    <row r="81" spans="1:7" ht="30.75" thickBot="1" x14ac:dyDescent="0.3">
      <c r="A81" s="499"/>
      <c r="B81" s="505"/>
      <c r="C81" s="124" t="s">
        <v>116</v>
      </c>
      <c r="D81" s="107" t="s">
        <v>221</v>
      </c>
      <c r="E81" s="107" t="s">
        <v>55</v>
      </c>
      <c r="F81" s="107" t="s">
        <v>220</v>
      </c>
      <c r="G81" s="108" t="s">
        <v>218</v>
      </c>
    </row>
    <row r="82" spans="1:7" ht="30" x14ac:dyDescent="0.25">
      <c r="A82" s="499"/>
      <c r="B82" s="506" t="s">
        <v>119</v>
      </c>
      <c r="C82" s="125" t="s">
        <v>222</v>
      </c>
      <c r="D82" s="102" t="s">
        <v>223</v>
      </c>
      <c r="E82" s="102" t="s">
        <v>55</v>
      </c>
      <c r="F82" s="102" t="s">
        <v>74</v>
      </c>
      <c r="G82" s="103" t="s">
        <v>218</v>
      </c>
    </row>
    <row r="83" spans="1:7" ht="30" x14ac:dyDescent="0.25">
      <c r="A83" s="499"/>
      <c r="B83" s="507"/>
      <c r="C83" s="127" t="s">
        <v>224</v>
      </c>
      <c r="D83" s="109" t="s">
        <v>225</v>
      </c>
      <c r="E83" s="109" t="s">
        <v>55</v>
      </c>
      <c r="F83" s="109" t="s">
        <v>220</v>
      </c>
      <c r="G83" s="114" t="s">
        <v>218</v>
      </c>
    </row>
    <row r="84" spans="1:7" ht="30.75" thickBot="1" x14ac:dyDescent="0.3">
      <c r="A84" s="499"/>
      <c r="B84" s="508"/>
      <c r="C84" s="128" t="s">
        <v>182</v>
      </c>
      <c r="D84" s="119" t="s">
        <v>226</v>
      </c>
      <c r="E84" s="119" t="s">
        <v>55</v>
      </c>
      <c r="F84" s="119" t="s">
        <v>220</v>
      </c>
      <c r="G84" s="120" t="s">
        <v>218</v>
      </c>
    </row>
    <row r="85" spans="1:7" ht="30" x14ac:dyDescent="0.25">
      <c r="A85" s="499"/>
      <c r="B85" s="509" t="s">
        <v>139</v>
      </c>
      <c r="C85" s="126" t="s">
        <v>227</v>
      </c>
      <c r="D85" s="111" t="s">
        <v>228</v>
      </c>
      <c r="E85" s="111" t="s">
        <v>55</v>
      </c>
      <c r="F85" s="111" t="s">
        <v>220</v>
      </c>
      <c r="G85" s="112" t="s">
        <v>218</v>
      </c>
    </row>
    <row r="86" spans="1:7" ht="30" x14ac:dyDescent="0.25">
      <c r="A86" s="499"/>
      <c r="B86" s="510"/>
      <c r="C86" s="98" t="s">
        <v>224</v>
      </c>
      <c r="D86" s="83" t="s">
        <v>229</v>
      </c>
      <c r="E86" s="83" t="s">
        <v>55</v>
      </c>
      <c r="F86" s="83" t="s">
        <v>220</v>
      </c>
      <c r="G86" s="99" t="s">
        <v>218</v>
      </c>
    </row>
    <row r="87" spans="1:7" ht="30" x14ac:dyDescent="0.25">
      <c r="A87" s="499"/>
      <c r="B87" s="510"/>
      <c r="C87" s="98" t="s">
        <v>179</v>
      </c>
      <c r="D87" s="83" t="s">
        <v>230</v>
      </c>
      <c r="E87" s="83" t="s">
        <v>55</v>
      </c>
      <c r="F87" s="83" t="s">
        <v>220</v>
      </c>
      <c r="G87" s="99" t="s">
        <v>218</v>
      </c>
    </row>
    <row r="88" spans="1:7" ht="30" x14ac:dyDescent="0.25">
      <c r="A88" s="499"/>
      <c r="B88" s="510"/>
      <c r="C88" s="98" t="s">
        <v>135</v>
      </c>
      <c r="D88" s="83" t="s">
        <v>231</v>
      </c>
      <c r="E88" s="83" t="s">
        <v>55</v>
      </c>
      <c r="F88" s="83" t="s">
        <v>220</v>
      </c>
      <c r="G88" s="99" t="s">
        <v>218</v>
      </c>
    </row>
    <row r="89" spans="1:7" ht="45" customHeight="1" x14ac:dyDescent="0.25">
      <c r="A89" s="499"/>
      <c r="B89" s="510"/>
      <c r="C89" s="98" t="s">
        <v>182</v>
      </c>
      <c r="D89" s="83" t="s">
        <v>232</v>
      </c>
      <c r="E89" s="83" t="s">
        <v>55</v>
      </c>
      <c r="F89" s="83" t="s">
        <v>220</v>
      </c>
      <c r="G89" s="99" t="s">
        <v>218</v>
      </c>
    </row>
    <row r="90" spans="1:7" ht="30.75" thickBot="1" x14ac:dyDescent="0.3">
      <c r="A90" s="500"/>
      <c r="B90" s="511"/>
      <c r="C90" s="283"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80C55-AFEA-4862-AE00-A215DE0166BE}">
  <dimension ref="A2:S18"/>
  <sheetViews>
    <sheetView workbookViewId="0">
      <selection activeCell="H3" sqref="H3"/>
    </sheetView>
  </sheetViews>
  <sheetFormatPr defaultRowHeight="15" x14ac:dyDescent="0.25"/>
  <cols>
    <col min="1" max="1" width="14.5703125" bestFit="1" customWidth="1"/>
    <col min="2" max="2" width="26.42578125" bestFit="1" customWidth="1"/>
    <col min="3" max="3" width="12.85546875" customWidth="1"/>
    <col min="4" max="4" width="14.5703125" customWidth="1"/>
    <col min="5" max="5" width="18.85546875" customWidth="1"/>
    <col min="6" max="6" width="39.42578125" bestFit="1" customWidth="1"/>
    <col min="7" max="7" width="7.5703125" bestFit="1" customWidth="1"/>
    <col min="8" max="8" width="11.5703125" bestFit="1" customWidth="1"/>
    <col min="11" max="11" width="15" bestFit="1" customWidth="1"/>
  </cols>
  <sheetData>
    <row r="2" spans="1:19" ht="54.75" customHeight="1" x14ac:dyDescent="0.25">
      <c r="A2" s="544" t="s">
        <v>235</v>
      </c>
      <c r="B2" s="544"/>
      <c r="C2" s="544"/>
      <c r="D2" s="544"/>
      <c r="E2" s="544"/>
      <c r="F2" s="89"/>
      <c r="G2" s="89"/>
      <c r="H2" s="89"/>
      <c r="I2" s="89"/>
      <c r="J2" s="89"/>
      <c r="K2" s="89"/>
      <c r="L2" s="89"/>
      <c r="M2" s="89"/>
      <c r="N2" s="89"/>
      <c r="O2" s="89"/>
      <c r="P2" s="89"/>
      <c r="Q2" s="89"/>
      <c r="R2" s="89"/>
    </row>
    <row r="3" spans="1:19" ht="45" x14ac:dyDescent="0.25">
      <c r="A3" s="460" t="s">
        <v>236</v>
      </c>
      <c r="B3" s="460" t="s">
        <v>237</v>
      </c>
      <c r="C3" s="460" t="s">
        <v>238</v>
      </c>
      <c r="D3" s="460" t="s">
        <v>239</v>
      </c>
      <c r="E3" s="460" t="s">
        <v>240</v>
      </c>
    </row>
    <row r="4" spans="1:19" x14ac:dyDescent="0.25">
      <c r="A4" s="461" t="s">
        <v>241</v>
      </c>
      <c r="B4" s="461" t="s">
        <v>242</v>
      </c>
      <c r="C4" s="461" t="s">
        <v>243</v>
      </c>
      <c r="D4" s="461" t="s">
        <v>244</v>
      </c>
      <c r="E4" s="461" t="s">
        <v>243</v>
      </c>
    </row>
    <row r="5" spans="1:19" x14ac:dyDescent="0.25">
      <c r="A5" s="461" t="s">
        <v>245</v>
      </c>
      <c r="B5" s="461" t="s">
        <v>246</v>
      </c>
      <c r="C5" s="461" t="s">
        <v>247</v>
      </c>
      <c r="D5" s="461" t="s">
        <v>244</v>
      </c>
      <c r="E5" s="461" t="s">
        <v>243</v>
      </c>
    </row>
    <row r="6" spans="1:19" x14ac:dyDescent="0.25">
      <c r="A6" s="81"/>
    </row>
    <row r="7" spans="1:19" ht="59.25" customHeight="1" x14ac:dyDescent="0.25">
      <c r="A7" s="544" t="s">
        <v>248</v>
      </c>
      <c r="B7" s="545"/>
      <c r="C7" s="545"/>
      <c r="D7" s="545"/>
      <c r="E7" s="545"/>
      <c r="F7" s="545"/>
      <c r="G7" s="545"/>
      <c r="H7" s="545"/>
      <c r="I7" s="545"/>
      <c r="J7" s="545"/>
      <c r="K7" s="545"/>
      <c r="L7" s="545"/>
      <c r="M7" s="89"/>
      <c r="N7" s="89"/>
      <c r="O7" s="89"/>
      <c r="P7" s="89"/>
      <c r="Q7" s="89"/>
      <c r="R7" s="89"/>
      <c r="S7" s="89"/>
    </row>
    <row r="8" spans="1:19" x14ac:dyDescent="0.25">
      <c r="A8" s="462" t="s">
        <v>249</v>
      </c>
      <c r="B8" s="380"/>
      <c r="C8" s="380"/>
      <c r="D8" s="380"/>
      <c r="E8" s="380"/>
      <c r="F8" s="380"/>
      <c r="G8" s="380"/>
      <c r="H8" s="380"/>
      <c r="I8" s="380"/>
      <c r="J8" s="380"/>
      <c r="K8" s="380"/>
      <c r="L8" s="380"/>
      <c r="M8" s="89"/>
      <c r="N8" s="89"/>
      <c r="O8" s="89"/>
      <c r="P8" s="89"/>
      <c r="Q8" s="89"/>
      <c r="R8" s="89"/>
      <c r="S8" s="89"/>
    </row>
    <row r="9" spans="1:19" x14ac:dyDescent="0.25">
      <c r="A9" s="463" t="s">
        <v>72</v>
      </c>
      <c r="B9" s="464" t="s">
        <v>76</v>
      </c>
      <c r="C9" s="464" t="s">
        <v>79</v>
      </c>
      <c r="D9" s="465" t="s">
        <v>83</v>
      </c>
      <c r="E9" s="464" t="s">
        <v>86</v>
      </c>
      <c r="F9" s="464" t="s">
        <v>89</v>
      </c>
      <c r="G9" s="464" t="s">
        <v>91</v>
      </c>
      <c r="H9" s="464" t="s">
        <v>94</v>
      </c>
      <c r="I9" s="464" t="s">
        <v>97</v>
      </c>
      <c r="J9" s="466" t="s">
        <v>100</v>
      </c>
      <c r="K9" s="466" t="s">
        <v>103</v>
      </c>
      <c r="L9" s="467" t="s">
        <v>1</v>
      </c>
    </row>
    <row r="10" spans="1:19" x14ac:dyDescent="0.25">
      <c r="A10" s="468" t="s">
        <v>250</v>
      </c>
      <c r="B10" s="469" t="s">
        <v>251</v>
      </c>
      <c r="C10" s="469"/>
      <c r="D10" s="470" t="s">
        <v>252</v>
      </c>
      <c r="E10" s="471"/>
      <c r="F10" s="469" t="s">
        <v>253</v>
      </c>
      <c r="G10" s="470" t="s">
        <v>254</v>
      </c>
      <c r="H10" s="469" t="s">
        <v>255</v>
      </c>
      <c r="I10" s="469"/>
      <c r="J10" s="470">
        <v>1</v>
      </c>
      <c r="K10" s="470">
        <v>1</v>
      </c>
      <c r="L10" s="470" t="s">
        <v>256</v>
      </c>
    </row>
    <row r="11" spans="1:19" x14ac:dyDescent="0.25">
      <c r="A11" s="468" t="s">
        <v>257</v>
      </c>
      <c r="B11" s="469" t="s">
        <v>258</v>
      </c>
      <c r="C11" s="469"/>
      <c r="D11" s="470" t="s">
        <v>259</v>
      </c>
      <c r="E11" s="471"/>
      <c r="F11" s="469" t="s">
        <v>260</v>
      </c>
      <c r="G11" s="470" t="s">
        <v>254</v>
      </c>
      <c r="H11" s="469" t="s">
        <v>261</v>
      </c>
      <c r="I11" s="469"/>
      <c r="J11" s="470">
        <v>1</v>
      </c>
      <c r="K11" s="470">
        <v>1</v>
      </c>
      <c r="L11" s="470" t="s">
        <v>262</v>
      </c>
    </row>
    <row r="12" spans="1:19" ht="45" x14ac:dyDescent="0.25">
      <c r="A12" s="468" t="s">
        <v>263</v>
      </c>
      <c r="B12" s="468" t="s">
        <v>264</v>
      </c>
      <c r="C12" s="469"/>
      <c r="D12" s="470" t="s">
        <v>242</v>
      </c>
      <c r="E12" s="471"/>
      <c r="F12" s="469" t="s">
        <v>265</v>
      </c>
      <c r="G12" s="470" t="e">
        <v>#N/A</v>
      </c>
      <c r="H12" s="469" t="s">
        <v>244</v>
      </c>
      <c r="I12" s="469"/>
      <c r="J12" s="470">
        <v>1</v>
      </c>
      <c r="K12" s="470">
        <v>1</v>
      </c>
      <c r="L12" s="470" t="s">
        <v>256</v>
      </c>
    </row>
    <row r="13" spans="1:19" x14ac:dyDescent="0.25">
      <c r="A13" s="472" t="s">
        <v>266</v>
      </c>
    </row>
    <row r="14" spans="1:19" x14ac:dyDescent="0.25">
      <c r="A14" s="463" t="s">
        <v>72</v>
      </c>
      <c r="B14" s="464" t="s">
        <v>76</v>
      </c>
      <c r="C14" s="464" t="s">
        <v>79</v>
      </c>
      <c r="D14" s="465" t="s">
        <v>83</v>
      </c>
      <c r="E14" s="464" t="s">
        <v>86</v>
      </c>
      <c r="F14" s="464" t="s">
        <v>89</v>
      </c>
      <c r="G14" s="464" t="s">
        <v>91</v>
      </c>
      <c r="H14" s="464" t="s">
        <v>94</v>
      </c>
      <c r="I14" s="464" t="s">
        <v>97</v>
      </c>
      <c r="J14" s="466" t="s">
        <v>100</v>
      </c>
      <c r="K14" s="466" t="s">
        <v>103</v>
      </c>
      <c r="L14" s="473" t="s">
        <v>1</v>
      </c>
      <c r="M14" s="466" t="s">
        <v>109</v>
      </c>
      <c r="N14" s="466" t="s">
        <v>113</v>
      </c>
      <c r="O14" s="466" t="s">
        <v>116</v>
      </c>
      <c r="P14" s="466" t="s">
        <v>120</v>
      </c>
      <c r="Q14" s="466" t="s">
        <v>123</v>
      </c>
      <c r="R14" s="466" t="s">
        <v>127</v>
      </c>
      <c r="S14" s="466" t="s">
        <v>152</v>
      </c>
    </row>
    <row r="15" spans="1:19" x14ac:dyDescent="0.25">
      <c r="A15" s="468" t="s">
        <v>267</v>
      </c>
      <c r="B15" s="469" t="s">
        <v>268</v>
      </c>
      <c r="C15" s="469"/>
      <c r="D15" s="470" t="s">
        <v>247</v>
      </c>
      <c r="E15" s="469"/>
      <c r="F15" s="469" t="s">
        <v>269</v>
      </c>
      <c r="G15" s="470" t="s">
        <v>254</v>
      </c>
      <c r="H15" s="469" t="s">
        <v>270</v>
      </c>
      <c r="I15" s="469"/>
      <c r="J15" s="470">
        <v>1</v>
      </c>
      <c r="K15" s="470">
        <v>1</v>
      </c>
      <c r="L15" s="470" t="s">
        <v>271</v>
      </c>
      <c r="M15" s="474">
        <v>0</v>
      </c>
      <c r="N15" s="470"/>
      <c r="O15" s="474">
        <v>0</v>
      </c>
      <c r="P15" s="469" t="s">
        <v>45</v>
      </c>
      <c r="Q15" s="470">
        <v>1</v>
      </c>
      <c r="R15" s="470">
        <v>0</v>
      </c>
      <c r="S15" s="469" t="s">
        <v>272</v>
      </c>
    </row>
    <row r="16" spans="1:19" x14ac:dyDescent="0.25">
      <c r="A16" s="468" t="s">
        <v>245</v>
      </c>
      <c r="B16" s="469" t="s">
        <v>273</v>
      </c>
      <c r="C16" s="469"/>
      <c r="D16" s="475" t="s">
        <v>242</v>
      </c>
      <c r="E16" s="469"/>
      <c r="F16" s="469" t="s">
        <v>274</v>
      </c>
      <c r="G16" s="470" t="s">
        <v>275</v>
      </c>
      <c r="H16" s="476" t="s">
        <v>244</v>
      </c>
      <c r="I16" s="469"/>
      <c r="J16" s="470">
        <v>1</v>
      </c>
      <c r="K16" s="470">
        <v>1</v>
      </c>
      <c r="L16" s="470" t="s">
        <v>256</v>
      </c>
      <c r="M16" s="474">
        <v>0</v>
      </c>
      <c r="N16" s="470"/>
      <c r="O16" s="474">
        <v>0</v>
      </c>
      <c r="P16" s="469" t="s">
        <v>45</v>
      </c>
      <c r="Q16" s="470">
        <v>1</v>
      </c>
      <c r="R16" s="470">
        <v>0</v>
      </c>
      <c r="S16" s="469" t="s">
        <v>272</v>
      </c>
    </row>
    <row r="17" spans="1:19" x14ac:dyDescent="0.25">
      <c r="A17" s="468" t="s">
        <v>276</v>
      </c>
      <c r="B17" s="469" t="s">
        <v>277</v>
      </c>
      <c r="C17" s="469"/>
      <c r="D17" s="470" t="s">
        <v>247</v>
      </c>
      <c r="E17" s="469"/>
      <c r="F17" s="469" t="s">
        <v>278</v>
      </c>
      <c r="G17" s="470" t="s">
        <v>279</v>
      </c>
      <c r="H17" s="469" t="s">
        <v>280</v>
      </c>
      <c r="I17" s="469"/>
      <c r="J17" s="470">
        <v>1</v>
      </c>
      <c r="K17" s="470">
        <v>1</v>
      </c>
      <c r="L17" s="470" t="s">
        <v>271</v>
      </c>
      <c r="M17" s="474">
        <v>0</v>
      </c>
      <c r="N17" s="470"/>
      <c r="O17" s="474">
        <v>0</v>
      </c>
      <c r="P17" s="469" t="s">
        <v>45</v>
      </c>
      <c r="Q17" s="470">
        <v>1</v>
      </c>
      <c r="R17" s="470">
        <v>0</v>
      </c>
      <c r="S17" s="469" t="s">
        <v>281</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pane xSplit="1" ySplit="1" topLeftCell="B3" activePane="bottomRight" state="frozen"/>
      <selection pane="topRight" activeCell="B1" sqref="B1"/>
      <selection pane="bottomLeft" activeCell="A2" sqref="A2"/>
      <selection pane="bottomRight" activeCell="B11" sqref="B11"/>
    </sheetView>
  </sheetViews>
  <sheetFormatPr defaultColWidth="9.140625" defaultRowHeight="15" x14ac:dyDescent="0.25"/>
  <cols>
    <col min="1" max="1" width="9.5703125" style="158" bestFit="1" customWidth="1"/>
    <col min="2" max="2" width="123" style="81" bestFit="1" customWidth="1"/>
    <col min="3" max="3" width="7.140625" style="81" bestFit="1" customWidth="1"/>
    <col min="4" max="16384" width="9.140625" style="81"/>
  </cols>
  <sheetData>
    <row r="1" spans="1:3" ht="15.75" thickBot="1" x14ac:dyDescent="0.3">
      <c r="A1" s="319" t="s">
        <v>0</v>
      </c>
      <c r="B1" s="322" t="s">
        <v>282</v>
      </c>
      <c r="C1" s="320" t="s">
        <v>283</v>
      </c>
    </row>
    <row r="2" spans="1:3" x14ac:dyDescent="0.25">
      <c r="A2" s="321">
        <v>43807</v>
      </c>
      <c r="B2" s="323" t="s">
        <v>284</v>
      </c>
      <c r="C2" s="324" t="s">
        <v>11</v>
      </c>
    </row>
    <row r="3" spans="1:3" ht="30" x14ac:dyDescent="0.25">
      <c r="A3" s="456">
        <v>43937</v>
      </c>
      <c r="B3" s="457" t="s">
        <v>285</v>
      </c>
      <c r="C3" s="458" t="s">
        <v>11</v>
      </c>
    </row>
    <row r="4" spans="1:3" x14ac:dyDescent="0.25">
      <c r="A4" s="456">
        <v>43941</v>
      </c>
      <c r="B4" s="459" t="s">
        <v>286</v>
      </c>
      <c r="C4" s="458" t="s">
        <v>11</v>
      </c>
    </row>
    <row r="5" spans="1:3" x14ac:dyDescent="0.25">
      <c r="A5" s="456">
        <v>43942</v>
      </c>
      <c r="B5" s="459" t="s">
        <v>287</v>
      </c>
      <c r="C5" s="458" t="s">
        <v>11</v>
      </c>
    </row>
    <row r="6" spans="1:3" x14ac:dyDescent="0.25">
      <c r="A6" s="456">
        <v>43963</v>
      </c>
      <c r="B6" s="459" t="s">
        <v>288</v>
      </c>
      <c r="C6" s="458" t="s">
        <v>11</v>
      </c>
    </row>
    <row r="7" spans="1:3" x14ac:dyDescent="0.25">
      <c r="A7" s="456">
        <v>43990</v>
      </c>
      <c r="B7" s="459" t="s">
        <v>289</v>
      </c>
      <c r="C7" s="458" t="s">
        <v>11</v>
      </c>
    </row>
    <row r="8" spans="1:3" ht="30" x14ac:dyDescent="0.25">
      <c r="A8" s="456">
        <v>44104</v>
      </c>
      <c r="B8" s="457" t="s">
        <v>290</v>
      </c>
      <c r="C8" s="458" t="s">
        <v>291</v>
      </c>
    </row>
    <row r="9" spans="1:3" ht="150" x14ac:dyDescent="0.25">
      <c r="A9" s="477">
        <v>44128</v>
      </c>
      <c r="B9" s="478" t="s">
        <v>292</v>
      </c>
      <c r="C9" s="479" t="s">
        <v>291</v>
      </c>
    </row>
    <row r="10" spans="1:3" x14ac:dyDescent="0.25">
      <c r="A10" s="480">
        <v>44561</v>
      </c>
      <c r="B10" s="481" t="s">
        <v>293</v>
      </c>
      <c r="C10" s="481" t="s">
        <v>294</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52"/>
  <sheetViews>
    <sheetView tabSelected="1" zoomScaleNormal="100" workbookViewId="0">
      <pane xSplit="2" ySplit="5" topLeftCell="F6" activePane="bottomRight" state="frozen"/>
      <selection pane="topRight" activeCell="C1" sqref="C1"/>
      <selection pane="bottomLeft" activeCell="A4" sqref="A4"/>
      <selection pane="bottomRight" activeCell="J9" sqref="J9"/>
    </sheetView>
  </sheetViews>
  <sheetFormatPr defaultColWidth="9.140625" defaultRowHeight="15" x14ac:dyDescent="0.25"/>
  <cols>
    <col min="1" max="1" width="15.5703125" style="161" customWidth="1"/>
    <col min="2" max="2" width="63.85546875" style="159" customWidth="1"/>
    <col min="3" max="3" width="14.5703125" style="159" customWidth="1"/>
    <col min="4" max="4" width="15.42578125" style="162" bestFit="1" customWidth="1"/>
    <col min="5" max="5" width="22.5703125" style="159" customWidth="1"/>
    <col min="6" max="6" width="56" style="159" customWidth="1"/>
    <col min="7" max="7" width="9.85546875" style="159" bestFit="1" customWidth="1"/>
    <col min="8" max="8" width="33.42578125" style="162" customWidth="1"/>
    <col min="9" max="9" width="15" style="162" customWidth="1"/>
    <col min="10" max="10" width="36" style="159"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7.140625" style="163" customWidth="1"/>
    <col min="21" max="21" width="10.140625" style="163" hidden="1"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thickBot="1" x14ac:dyDescent="0.3">
      <c r="A1" s="553" t="s">
        <v>295</v>
      </c>
      <c r="B1" s="554"/>
      <c r="C1" s="554"/>
      <c r="D1" s="554"/>
      <c r="E1" s="554"/>
      <c r="F1" s="554"/>
      <c r="G1" s="554"/>
      <c r="H1" s="554"/>
      <c r="I1" s="554"/>
      <c r="J1" s="554"/>
      <c r="K1" s="554"/>
      <c r="L1" s="554"/>
      <c r="M1" s="554"/>
      <c r="N1" s="554"/>
      <c r="O1" s="554"/>
      <c r="P1" s="554"/>
      <c r="Q1" s="554"/>
      <c r="R1" s="554"/>
      <c r="S1" s="554"/>
      <c r="T1" s="554"/>
      <c r="U1" s="554"/>
      <c r="V1" s="554"/>
      <c r="W1" s="554"/>
      <c r="X1" s="554"/>
      <c r="Y1" s="554"/>
      <c r="Z1" s="554"/>
      <c r="AA1" s="554"/>
      <c r="AB1" s="554"/>
      <c r="AC1" s="554"/>
      <c r="AD1" s="554"/>
      <c r="AE1" s="554"/>
      <c r="AF1" s="554"/>
      <c r="AG1" s="554"/>
      <c r="AH1" s="555"/>
    </row>
    <row r="2" spans="1:34" ht="19.5" customHeight="1" thickBot="1" x14ac:dyDescent="0.3">
      <c r="A2" s="556" t="s">
        <v>296</v>
      </c>
      <c r="B2" s="557"/>
      <c r="C2" s="557"/>
      <c r="D2" s="557"/>
      <c r="E2" s="557"/>
      <c r="F2" s="557"/>
      <c r="G2" s="557"/>
      <c r="H2" s="557"/>
      <c r="I2" s="557"/>
      <c r="J2" s="558"/>
      <c r="K2" s="307">
        <f>SUM(K6:K33)</f>
        <v>83</v>
      </c>
      <c r="L2" s="307">
        <f>SUM(L6:L33)</f>
        <v>99</v>
      </c>
      <c r="M2" s="308"/>
      <c r="N2" s="347">
        <f>SUMPRODUCT(K6:K33,N6:N33)/K36</f>
        <v>1</v>
      </c>
      <c r="O2" s="348">
        <f>SUM(O6:O33)</f>
        <v>92</v>
      </c>
      <c r="P2" s="349" t="e">
        <f>SUMPRODUCT(K6:K33,P6:P33)/K36</f>
        <v>#DIV/0!</v>
      </c>
      <c r="Q2" s="309"/>
      <c r="R2" s="310">
        <f t="shared" ref="R2:W2" si="0">SUM(R6:R33)</f>
        <v>75</v>
      </c>
      <c r="S2" s="350">
        <f t="shared" si="0"/>
        <v>75</v>
      </c>
      <c r="T2" s="350">
        <f t="shared" si="0"/>
        <v>75</v>
      </c>
      <c r="U2" s="350">
        <f t="shared" si="0"/>
        <v>0</v>
      </c>
      <c r="V2" s="350">
        <f t="shared" si="0"/>
        <v>0</v>
      </c>
      <c r="W2" s="350">
        <f t="shared" si="0"/>
        <v>0</v>
      </c>
      <c r="X2" s="351">
        <f>IF((S36=0),0,((T36+U36)/S36*100%))</f>
        <v>1</v>
      </c>
      <c r="Y2" s="311"/>
      <c r="Z2" s="352">
        <f>SUM(Z6:Z33)</f>
        <v>90</v>
      </c>
      <c r="AA2" s="353">
        <f>SUM(AA6:AA33)</f>
        <v>90</v>
      </c>
      <c r="AB2" s="353">
        <f>SUM(AB6:AB33)</f>
        <v>0</v>
      </c>
      <c r="AC2" s="353">
        <f>SUM(AC6:AC33)</f>
        <v>0</v>
      </c>
      <c r="AD2" s="353">
        <f>SUM(AD6:AD33)</f>
        <v>0</v>
      </c>
      <c r="AE2" s="354">
        <f>IF((Z36=0),0,((AA36+AB36)/Z36*100%))</f>
        <v>1</v>
      </c>
      <c r="AF2" s="312"/>
      <c r="AG2" s="312"/>
      <c r="AH2" s="313"/>
    </row>
    <row r="3" spans="1:34" ht="19.5" customHeight="1" thickBot="1" x14ac:dyDescent="0.3">
      <c r="A3" s="553" t="s">
        <v>297</v>
      </c>
      <c r="B3" s="554"/>
      <c r="C3" s="554"/>
      <c r="D3" s="554"/>
      <c r="E3" s="554"/>
      <c r="F3" s="554"/>
      <c r="G3" s="554"/>
      <c r="H3" s="554"/>
      <c r="I3" s="554"/>
      <c r="J3" s="554"/>
      <c r="K3" s="554"/>
      <c r="L3" s="554"/>
      <c r="M3" s="554"/>
      <c r="N3" s="554"/>
      <c r="O3" s="554"/>
      <c r="P3" s="554"/>
      <c r="Q3" s="554"/>
      <c r="R3" s="554"/>
      <c r="S3" s="554"/>
      <c r="T3" s="554"/>
      <c r="U3" s="554"/>
      <c r="V3" s="554"/>
      <c r="W3" s="554"/>
      <c r="X3" s="554"/>
      <c r="Y3" s="554"/>
      <c r="Z3" s="554"/>
      <c r="AA3" s="554"/>
      <c r="AB3" s="554"/>
      <c r="AC3" s="554"/>
      <c r="AD3" s="554"/>
      <c r="AE3" s="554"/>
      <c r="AF3" s="554"/>
      <c r="AG3" s="554"/>
      <c r="AH3" s="555"/>
    </row>
    <row r="4" spans="1:34" ht="31.5" customHeight="1" thickBot="1" x14ac:dyDescent="0.3">
      <c r="A4" s="559" t="s">
        <v>71</v>
      </c>
      <c r="B4" s="560"/>
      <c r="C4" s="560"/>
      <c r="D4" s="560"/>
      <c r="E4" s="560"/>
      <c r="F4" s="560"/>
      <c r="G4" s="560"/>
      <c r="H4" s="560"/>
      <c r="I4" s="560"/>
      <c r="J4" s="560"/>
      <c r="K4" s="560"/>
      <c r="L4" s="560"/>
      <c r="M4" s="561"/>
      <c r="N4" s="562" t="s">
        <v>298</v>
      </c>
      <c r="O4" s="563"/>
      <c r="P4" s="564"/>
      <c r="Q4" s="568" t="s">
        <v>299</v>
      </c>
      <c r="R4" s="569"/>
      <c r="S4" s="569"/>
      <c r="T4" s="569"/>
      <c r="U4" s="569"/>
      <c r="V4" s="569"/>
      <c r="W4" s="569"/>
      <c r="X4" s="569"/>
      <c r="Y4" s="570"/>
      <c r="Z4" s="565" t="s">
        <v>300</v>
      </c>
      <c r="AA4" s="566"/>
      <c r="AB4" s="566"/>
      <c r="AC4" s="566"/>
      <c r="AD4" s="566"/>
      <c r="AE4" s="566"/>
      <c r="AF4" s="566"/>
      <c r="AG4" s="566"/>
      <c r="AH4" s="567"/>
    </row>
    <row r="5" spans="1:34" s="160" customFormat="1" ht="15.75" thickBot="1" x14ac:dyDescent="0.3">
      <c r="A5" s="296" t="s">
        <v>72</v>
      </c>
      <c r="B5" s="434" t="s">
        <v>76</v>
      </c>
      <c r="C5" s="434" t="s">
        <v>79</v>
      </c>
      <c r="D5" s="435" t="s">
        <v>83</v>
      </c>
      <c r="E5" s="434" t="s">
        <v>86</v>
      </c>
      <c r="F5" s="434" t="s">
        <v>89</v>
      </c>
      <c r="G5" s="434" t="s">
        <v>91</v>
      </c>
      <c r="H5" s="434" t="s">
        <v>94</v>
      </c>
      <c r="I5" s="434" t="s">
        <v>606</v>
      </c>
      <c r="J5" s="434" t="s">
        <v>97</v>
      </c>
      <c r="K5" s="436" t="s">
        <v>100</v>
      </c>
      <c r="L5" s="436" t="s">
        <v>103</v>
      </c>
      <c r="M5" s="453" t="s">
        <v>1</v>
      </c>
      <c r="N5" s="388" t="s">
        <v>109</v>
      </c>
      <c r="O5" s="389" t="s">
        <v>113</v>
      </c>
      <c r="P5" s="390" t="s">
        <v>116</v>
      </c>
      <c r="Q5" s="391" t="s">
        <v>120</v>
      </c>
      <c r="R5" s="392" t="s">
        <v>123</v>
      </c>
      <c r="S5" s="392" t="s">
        <v>127</v>
      </c>
      <c r="T5" s="393" t="s">
        <v>30</v>
      </c>
      <c r="U5" s="393" t="s">
        <v>130</v>
      </c>
      <c r="V5" s="393" t="s">
        <v>35</v>
      </c>
      <c r="W5" s="393" t="s">
        <v>133</v>
      </c>
      <c r="X5" s="393" t="s">
        <v>135</v>
      </c>
      <c r="Y5" s="387" t="s">
        <v>137</v>
      </c>
      <c r="Z5" s="394" t="s">
        <v>127</v>
      </c>
      <c r="AA5" s="393" t="s">
        <v>30</v>
      </c>
      <c r="AB5" s="393" t="s">
        <v>130</v>
      </c>
      <c r="AC5" s="393" t="s">
        <v>35</v>
      </c>
      <c r="AD5" s="393" t="s">
        <v>133</v>
      </c>
      <c r="AE5" s="393" t="s">
        <v>135</v>
      </c>
      <c r="AF5" s="386" t="s">
        <v>150</v>
      </c>
      <c r="AG5" s="386" t="s">
        <v>152</v>
      </c>
      <c r="AH5" s="395" t="s">
        <v>155</v>
      </c>
    </row>
    <row r="6" spans="1:34" ht="15.75" thickBot="1" x14ac:dyDescent="0.3">
      <c r="A6" s="437" t="s">
        <v>301</v>
      </c>
      <c r="B6" s="438" t="s">
        <v>302</v>
      </c>
      <c r="C6" s="439" t="s">
        <v>303</v>
      </c>
      <c r="D6" s="396" t="s">
        <v>304</v>
      </c>
      <c r="E6" s="440"/>
      <c r="F6" s="486" t="s">
        <v>305</v>
      </c>
      <c r="G6" s="206" t="str">
        <f>VLOOKUP(A6,'Feature Summary'!$A$7:$C$3924,3,FALSE)</f>
        <v>P1</v>
      </c>
      <c r="H6" s="487" t="s">
        <v>306</v>
      </c>
      <c r="I6" s="487" t="s">
        <v>605</v>
      </c>
      <c r="J6" s="443"/>
      <c r="K6" s="406">
        <v>3</v>
      </c>
      <c r="L6" s="396">
        <v>3</v>
      </c>
      <c r="M6" s="444" t="s">
        <v>33</v>
      </c>
      <c r="N6" s="418">
        <v>1</v>
      </c>
      <c r="O6" s="396">
        <v>3</v>
      </c>
      <c r="P6" s="355">
        <f>IF((O6=0),0,(O6/L6))</f>
        <v>1</v>
      </c>
      <c r="Q6" s="428" t="s">
        <v>45</v>
      </c>
      <c r="R6" s="396">
        <v>3</v>
      </c>
      <c r="S6" s="419">
        <f>SUM(T6:W6)</f>
        <v>3</v>
      </c>
      <c r="T6" s="396">
        <v>3</v>
      </c>
      <c r="U6" s="420"/>
      <c r="V6" s="420"/>
      <c r="W6" s="420"/>
      <c r="X6" s="421">
        <f t="shared" ref="X6" si="1">IF((S6=0),0,((T6+U6)/S6*100%))</f>
        <v>1</v>
      </c>
      <c r="Y6" s="422"/>
      <c r="Z6" s="423">
        <f>SUM(AA6:AD6)</f>
        <v>3</v>
      </c>
      <c r="AA6" s="420">
        <v>3</v>
      </c>
      <c r="AB6" s="420"/>
      <c r="AC6" s="420"/>
      <c r="AD6" s="420"/>
      <c r="AE6" s="424">
        <f t="shared" ref="AE6:AE11" si="2">IF((Z6=0),0,((AA6+AB6)/Z6*100%))</f>
        <v>1</v>
      </c>
      <c r="AF6" s="425"/>
      <c r="AG6" s="426" t="str">
        <f>VLOOKUP(A6,'Feature Summary'!$A$7:$U$3924,21,FALSE)</f>
        <v>wk-1</v>
      </c>
      <c r="AH6" s="427"/>
    </row>
    <row r="7" spans="1:34" ht="15.75" thickBot="1" x14ac:dyDescent="0.3">
      <c r="A7" s="437" t="s">
        <v>307</v>
      </c>
      <c r="B7" s="362" t="s">
        <v>308</v>
      </c>
      <c r="C7" s="439" t="s">
        <v>303</v>
      </c>
      <c r="D7" s="396" t="s">
        <v>304</v>
      </c>
      <c r="E7" s="441"/>
      <c r="F7" s="484" t="s">
        <v>309</v>
      </c>
      <c r="G7" s="206" t="str">
        <f>VLOOKUP(A7,'Feature Summary'!$A$7:$C$3924,3,FALSE)</f>
        <v>P1</v>
      </c>
      <c r="H7" s="488" t="s">
        <v>310</v>
      </c>
      <c r="I7" s="487" t="s">
        <v>605</v>
      </c>
      <c r="J7" s="445"/>
      <c r="K7" s="408">
        <v>1</v>
      </c>
      <c r="L7" s="360">
        <v>1</v>
      </c>
      <c r="M7" s="361" t="s">
        <v>33</v>
      </c>
      <c r="N7" s="363">
        <v>1</v>
      </c>
      <c r="O7" s="396">
        <v>1</v>
      </c>
      <c r="P7" s="355">
        <f t="shared" ref="P7:P33" si="3">IF((O7=0),0,(O7/L7))</f>
        <v>1</v>
      </c>
      <c r="Q7" s="428" t="s">
        <v>45</v>
      </c>
      <c r="R7" s="360">
        <v>1</v>
      </c>
      <c r="S7" s="419">
        <f t="shared" ref="S7:S33" si="4">SUM(T7:W7)</f>
        <v>1</v>
      </c>
      <c r="T7" s="360">
        <v>1</v>
      </c>
      <c r="U7" s="410"/>
      <c r="V7" s="410"/>
      <c r="W7" s="410"/>
      <c r="X7" s="411">
        <f>IF((S7=0),0,((T7+U7)/S7*100%))</f>
        <v>1</v>
      </c>
      <c r="Y7" s="412"/>
      <c r="Z7" s="413">
        <f>SUM(AA7:AD7)</f>
        <v>1</v>
      </c>
      <c r="AA7" s="410">
        <v>1</v>
      </c>
      <c r="AB7" s="410"/>
      <c r="AC7" s="410"/>
      <c r="AD7" s="410"/>
      <c r="AE7" s="414">
        <f t="shared" si="2"/>
        <v>1</v>
      </c>
      <c r="AF7" s="415"/>
      <c r="AG7" s="416" t="str">
        <f>VLOOKUP(A7,'Feature Summary'!$A$7:$U$3924,21,FALSE)</f>
        <v>wk-1</v>
      </c>
      <c r="AH7" s="417"/>
    </row>
    <row r="8" spans="1:34" ht="15.75" thickBot="1" x14ac:dyDescent="0.3">
      <c r="A8" s="437" t="s">
        <v>311</v>
      </c>
      <c r="B8" s="362" t="s">
        <v>312</v>
      </c>
      <c r="C8" s="439" t="s">
        <v>303</v>
      </c>
      <c r="D8" s="396" t="s">
        <v>304</v>
      </c>
      <c r="E8" s="441"/>
      <c r="F8" s="484" t="s">
        <v>313</v>
      </c>
      <c r="G8" s="206" t="str">
        <f>VLOOKUP(A8,'Feature Summary'!$A$7:$C$3924,3,FALSE)</f>
        <v>P2</v>
      </c>
      <c r="H8" s="488" t="s">
        <v>314</v>
      </c>
      <c r="I8" s="488"/>
      <c r="J8" s="446"/>
      <c r="K8" s="408"/>
      <c r="L8" s="360"/>
      <c r="M8" s="361" t="s">
        <v>33</v>
      </c>
      <c r="N8" s="363">
        <v>1</v>
      </c>
      <c r="O8" s="396"/>
      <c r="P8" s="355">
        <f t="shared" si="3"/>
        <v>0</v>
      </c>
      <c r="Q8" s="428" t="s">
        <v>45</v>
      </c>
      <c r="R8" s="360"/>
      <c r="S8" s="419">
        <f t="shared" si="4"/>
        <v>0</v>
      </c>
      <c r="T8" s="360"/>
      <c r="U8" s="410"/>
      <c r="V8" s="410"/>
      <c r="W8" s="410"/>
      <c r="X8" s="411">
        <f>IF((S8=0),0,((T8+U8)/S8*100%))</f>
        <v>0</v>
      </c>
      <c r="Y8" s="412"/>
      <c r="Z8" s="413">
        <f t="shared" ref="Z8:Z33" si="5">SUM(AA8:AD8)</f>
        <v>0</v>
      </c>
      <c r="AA8" s="410">
        <v>0</v>
      </c>
      <c r="AB8" s="410"/>
      <c r="AC8" s="410"/>
      <c r="AD8" s="410"/>
      <c r="AE8" s="414">
        <f t="shared" si="2"/>
        <v>0</v>
      </c>
      <c r="AF8" s="415"/>
      <c r="AG8" s="416" t="str">
        <f>VLOOKUP(A8,'Feature Summary'!$A$7:$U$3924,21,FALSE)</f>
        <v>wk-2</v>
      </c>
      <c r="AH8" s="417" t="s">
        <v>315</v>
      </c>
    </row>
    <row r="9" spans="1:34" ht="15.75" thickBot="1" x14ac:dyDescent="0.3">
      <c r="A9" s="437" t="s">
        <v>316</v>
      </c>
      <c r="B9" s="362" t="s">
        <v>317</v>
      </c>
      <c r="C9" s="439" t="s">
        <v>303</v>
      </c>
      <c r="D9" s="396" t="s">
        <v>304</v>
      </c>
      <c r="E9" s="441"/>
      <c r="F9" s="484" t="s">
        <v>318</v>
      </c>
      <c r="G9" s="206" t="str">
        <f>VLOOKUP(A9,'Feature Summary'!$A$7:$C$3924,3,FALSE)</f>
        <v>P2</v>
      </c>
      <c r="H9" s="488" t="s">
        <v>319</v>
      </c>
      <c r="I9" s="487" t="s">
        <v>605</v>
      </c>
      <c r="J9" s="446"/>
      <c r="K9" s="408">
        <v>1</v>
      </c>
      <c r="L9" s="360">
        <v>1</v>
      </c>
      <c r="M9" s="361" t="s">
        <v>33</v>
      </c>
      <c r="N9" s="363">
        <v>1</v>
      </c>
      <c r="O9" s="396">
        <v>1</v>
      </c>
      <c r="P9" s="355">
        <f t="shared" si="3"/>
        <v>1</v>
      </c>
      <c r="Q9" s="428" t="s">
        <v>45</v>
      </c>
      <c r="R9" s="360"/>
      <c r="S9" s="419">
        <f t="shared" si="4"/>
        <v>0</v>
      </c>
      <c r="T9" s="360"/>
      <c r="U9" s="410"/>
      <c r="V9" s="410"/>
      <c r="W9" s="410"/>
      <c r="X9" s="411">
        <f>IF((S9=0),0,((T9+U9)/S9*100%))</f>
        <v>0</v>
      </c>
      <c r="Y9" s="412"/>
      <c r="Z9" s="413">
        <f t="shared" si="5"/>
        <v>1</v>
      </c>
      <c r="AA9" s="410">
        <v>1</v>
      </c>
      <c r="AB9" s="410"/>
      <c r="AC9" s="410"/>
      <c r="AD9" s="410"/>
      <c r="AE9" s="414">
        <f t="shared" si="2"/>
        <v>1</v>
      </c>
      <c r="AF9" s="415"/>
      <c r="AG9" s="416" t="str">
        <f>VLOOKUP(A9,'Feature Summary'!$A$7:$U$3924,21,FALSE)</f>
        <v>wk-2</v>
      </c>
      <c r="AH9" s="417"/>
    </row>
    <row r="10" spans="1:34" ht="15.75" thickBot="1" x14ac:dyDescent="0.3">
      <c r="A10" s="437" t="s">
        <v>320</v>
      </c>
      <c r="B10" s="362" t="s">
        <v>321</v>
      </c>
      <c r="C10" s="439" t="s">
        <v>303</v>
      </c>
      <c r="D10" s="396" t="s">
        <v>304</v>
      </c>
      <c r="E10" s="441"/>
      <c r="F10" s="362" t="s">
        <v>322</v>
      </c>
      <c r="G10" s="206" t="str">
        <f>VLOOKUP(A10,'Feature Summary'!$A$7:$C$3924,3,FALSE)</f>
        <v>P2</v>
      </c>
      <c r="H10" s="488" t="s">
        <v>323</v>
      </c>
      <c r="I10" s="488"/>
      <c r="J10" s="446"/>
      <c r="K10" s="408"/>
      <c r="L10" s="360"/>
      <c r="M10" s="361" t="s">
        <v>33</v>
      </c>
      <c r="N10" s="363">
        <v>1</v>
      </c>
      <c r="O10" s="396"/>
      <c r="P10" s="355">
        <f t="shared" si="3"/>
        <v>0</v>
      </c>
      <c r="Q10" s="428" t="s">
        <v>45</v>
      </c>
      <c r="R10" s="360"/>
      <c r="S10" s="419">
        <f t="shared" si="4"/>
        <v>0</v>
      </c>
      <c r="T10" s="360"/>
      <c r="U10" s="410"/>
      <c r="V10" s="410"/>
      <c r="W10" s="410"/>
      <c r="X10" s="411">
        <f>IF((S10=0),0,((T10+U10)/S10*100%))</f>
        <v>0</v>
      </c>
      <c r="Y10" s="412"/>
      <c r="Z10" s="413">
        <f t="shared" si="5"/>
        <v>0</v>
      </c>
      <c r="AA10" s="410"/>
      <c r="AB10" s="410"/>
      <c r="AC10" s="410"/>
      <c r="AD10" s="410"/>
      <c r="AE10" s="414">
        <f t="shared" si="2"/>
        <v>0</v>
      </c>
      <c r="AF10" s="415"/>
      <c r="AG10" s="416" t="str">
        <f>VLOOKUP(A10,'Feature Summary'!$A$7:$U$3924,21,FALSE)</f>
        <v>wk-3</v>
      </c>
      <c r="AH10" s="417" t="s">
        <v>315</v>
      </c>
    </row>
    <row r="11" spans="1:34" ht="15.75" thickBot="1" x14ac:dyDescent="0.3">
      <c r="A11" s="437" t="s">
        <v>324</v>
      </c>
      <c r="B11" s="362" t="s">
        <v>325</v>
      </c>
      <c r="C11" s="439" t="s">
        <v>303</v>
      </c>
      <c r="D11" s="396" t="s">
        <v>304</v>
      </c>
      <c r="E11" s="441"/>
      <c r="F11" s="362" t="s">
        <v>326</v>
      </c>
      <c r="G11" s="206" t="str">
        <f>VLOOKUP(A11,'Feature Summary'!$A$7:$C$3924,3,FALSE)</f>
        <v>P1</v>
      </c>
      <c r="H11" s="488" t="s">
        <v>327</v>
      </c>
      <c r="I11" s="487" t="s">
        <v>605</v>
      </c>
      <c r="J11" s="446"/>
      <c r="K11" s="408">
        <v>6</v>
      </c>
      <c r="L11" s="360">
        <v>7</v>
      </c>
      <c r="M11" s="361" t="s">
        <v>33</v>
      </c>
      <c r="N11" s="363">
        <v>1</v>
      </c>
      <c r="O11" s="396">
        <v>6</v>
      </c>
      <c r="P11" s="355">
        <f t="shared" si="3"/>
        <v>0.8571428571428571</v>
      </c>
      <c r="Q11" s="428" t="s">
        <v>45</v>
      </c>
      <c r="R11" s="360">
        <v>6</v>
      </c>
      <c r="S11" s="419">
        <f t="shared" si="4"/>
        <v>6</v>
      </c>
      <c r="T11" s="360">
        <v>6</v>
      </c>
      <c r="U11" s="410"/>
      <c r="V11" s="410"/>
      <c r="W11" s="410"/>
      <c r="X11" s="411">
        <f t="shared" ref="X11" si="6">IF((S11=0),0,((T11+U11)/S11*100%))</f>
        <v>1</v>
      </c>
      <c r="Y11" s="412"/>
      <c r="Z11" s="413">
        <f t="shared" si="5"/>
        <v>6</v>
      </c>
      <c r="AA11" s="410">
        <v>6</v>
      </c>
      <c r="AB11" s="410"/>
      <c r="AC11" s="410"/>
      <c r="AD11" s="410"/>
      <c r="AE11" s="414">
        <f t="shared" si="2"/>
        <v>1</v>
      </c>
      <c r="AF11" s="415"/>
      <c r="AG11" s="416" t="str">
        <f>VLOOKUP(A11,'Feature Summary'!$A$7:$U$3924,21,FALSE)</f>
        <v>wk-6</v>
      </c>
      <c r="AH11" s="417"/>
    </row>
    <row r="12" spans="1:34" ht="15.75" thickBot="1" x14ac:dyDescent="0.3">
      <c r="A12" s="437" t="s">
        <v>324</v>
      </c>
      <c r="B12" s="362" t="s">
        <v>325</v>
      </c>
      <c r="C12" s="439" t="s">
        <v>303</v>
      </c>
      <c r="D12" s="396" t="s">
        <v>304</v>
      </c>
      <c r="E12" s="441"/>
      <c r="F12" s="362" t="s">
        <v>328</v>
      </c>
      <c r="G12" s="206" t="str">
        <f>VLOOKUP(A12,'Feature Summary'!$A$7:$C$3924,3,FALSE)</f>
        <v>P1</v>
      </c>
      <c r="H12" s="488" t="s">
        <v>329</v>
      </c>
      <c r="I12" s="487" t="s">
        <v>605</v>
      </c>
      <c r="J12" s="445"/>
      <c r="K12" s="408">
        <v>5</v>
      </c>
      <c r="L12" s="360">
        <v>6</v>
      </c>
      <c r="M12" s="361" t="s">
        <v>33</v>
      </c>
      <c r="N12" s="363">
        <v>1</v>
      </c>
      <c r="O12" s="396">
        <v>5</v>
      </c>
      <c r="P12" s="355">
        <f t="shared" si="3"/>
        <v>0.83333333333333337</v>
      </c>
      <c r="Q12" s="428" t="s">
        <v>330</v>
      </c>
      <c r="R12" s="360">
        <v>5</v>
      </c>
      <c r="S12" s="419">
        <f t="shared" si="4"/>
        <v>5</v>
      </c>
      <c r="T12" s="360">
        <v>5</v>
      </c>
      <c r="U12" s="410"/>
      <c r="V12" s="410"/>
      <c r="W12" s="410"/>
      <c r="X12" s="411">
        <f>IF((S12=0),0,((T12+U12)/S12*100%))</f>
        <v>1</v>
      </c>
      <c r="Y12" s="412"/>
      <c r="Z12" s="413">
        <f t="shared" si="5"/>
        <v>5</v>
      </c>
      <c r="AA12" s="410">
        <v>5</v>
      </c>
      <c r="AB12" s="410"/>
      <c r="AC12" s="410"/>
      <c r="AD12" s="410"/>
      <c r="AE12" s="414">
        <f t="shared" ref="AE12" si="7">IF((Z12=0),0,((AA12+AB12)/Z12*100%))</f>
        <v>1</v>
      </c>
      <c r="AF12" s="415"/>
      <c r="AG12" s="416" t="str">
        <f>VLOOKUP(A12,'Feature Summary'!$A$7:$U$3924,21,FALSE)</f>
        <v>wk-6</v>
      </c>
      <c r="AH12" s="417"/>
    </row>
    <row r="13" spans="1:34" ht="15.75" thickBot="1" x14ac:dyDescent="0.3">
      <c r="A13" s="437" t="s">
        <v>324</v>
      </c>
      <c r="B13" s="362" t="s">
        <v>325</v>
      </c>
      <c r="C13" s="439" t="s">
        <v>303</v>
      </c>
      <c r="D13" s="396" t="s">
        <v>304</v>
      </c>
      <c r="E13" s="441"/>
      <c r="F13" s="362"/>
      <c r="G13" s="206" t="str">
        <f>VLOOKUP(A13,'Feature Summary'!$A$7:$C$3924,3,FALSE)</f>
        <v>P1</v>
      </c>
      <c r="H13" s="488" t="s">
        <v>600</v>
      </c>
      <c r="I13" s="487" t="s">
        <v>605</v>
      </c>
      <c r="J13" s="445"/>
      <c r="K13" s="408">
        <v>1</v>
      </c>
      <c r="L13" s="360">
        <v>5</v>
      </c>
      <c r="M13" s="361" t="s">
        <v>33</v>
      </c>
      <c r="N13" s="363">
        <v>1</v>
      </c>
      <c r="O13" s="396">
        <v>1</v>
      </c>
      <c r="P13" s="355">
        <f t="shared" si="3"/>
        <v>0.2</v>
      </c>
      <c r="Q13" s="428" t="s">
        <v>45</v>
      </c>
      <c r="R13" s="360">
        <v>1</v>
      </c>
      <c r="S13" s="419">
        <f t="shared" si="4"/>
        <v>1</v>
      </c>
      <c r="T13" s="360">
        <v>1</v>
      </c>
      <c r="U13" s="410"/>
      <c r="V13" s="410"/>
      <c r="W13" s="410"/>
      <c r="X13" s="411">
        <f t="shared" ref="X13:X20" si="8">IF((S13=0),0,((T13+U13)/S13*100%))</f>
        <v>1</v>
      </c>
      <c r="Y13" s="412"/>
      <c r="Z13" s="413">
        <f t="shared" si="5"/>
        <v>1</v>
      </c>
      <c r="AA13" s="410">
        <v>1</v>
      </c>
      <c r="AB13" s="410"/>
      <c r="AC13" s="410"/>
      <c r="AD13" s="410"/>
      <c r="AE13" s="414">
        <f t="shared" ref="AE13:AE20" si="9">IF((Z13=0),0,((AA13+AB13)/Z13*100%))</f>
        <v>1</v>
      </c>
      <c r="AF13" s="415"/>
      <c r="AG13" s="416" t="str">
        <f>VLOOKUP(A13,'Feature Summary'!$A$7:$U$3924,21,FALSE)</f>
        <v>wk-6</v>
      </c>
      <c r="AH13" s="455"/>
    </row>
    <row r="14" spans="1:34" ht="15.75" thickBot="1" x14ac:dyDescent="0.3">
      <c r="A14" s="437" t="s">
        <v>324</v>
      </c>
      <c r="B14" s="362" t="s">
        <v>325</v>
      </c>
      <c r="C14" s="439" t="s">
        <v>303</v>
      </c>
      <c r="D14" s="396" t="s">
        <v>304</v>
      </c>
      <c r="E14" s="441"/>
      <c r="F14" s="362"/>
      <c r="G14" s="206" t="str">
        <f>VLOOKUP(A14,'Feature Summary'!$A$7:$C$3924,3,FALSE)</f>
        <v>P1</v>
      </c>
      <c r="H14" s="488" t="s">
        <v>600</v>
      </c>
      <c r="I14" s="487" t="s">
        <v>605</v>
      </c>
      <c r="J14" s="445"/>
      <c r="K14" s="408">
        <v>1</v>
      </c>
      <c r="L14" s="360">
        <v>5</v>
      </c>
      <c r="M14" s="361" t="s">
        <v>33</v>
      </c>
      <c r="N14" s="363">
        <v>1</v>
      </c>
      <c r="O14" s="396">
        <v>1</v>
      </c>
      <c r="P14" s="355">
        <f t="shared" si="3"/>
        <v>0.2</v>
      </c>
      <c r="Q14" s="428" t="s">
        <v>45</v>
      </c>
      <c r="R14" s="360">
        <v>1</v>
      </c>
      <c r="S14" s="419">
        <f t="shared" si="4"/>
        <v>1</v>
      </c>
      <c r="T14" s="360">
        <v>1</v>
      </c>
      <c r="U14" s="410"/>
      <c r="V14" s="410"/>
      <c r="W14" s="410"/>
      <c r="X14" s="411">
        <f t="shared" si="8"/>
        <v>1</v>
      </c>
      <c r="Y14" s="412"/>
      <c r="Z14" s="413">
        <f t="shared" si="5"/>
        <v>1</v>
      </c>
      <c r="AA14" s="410">
        <v>1</v>
      </c>
      <c r="AB14" s="410"/>
      <c r="AC14" s="410"/>
      <c r="AD14" s="410"/>
      <c r="AE14" s="414">
        <f t="shared" si="9"/>
        <v>1</v>
      </c>
      <c r="AF14" s="415"/>
      <c r="AG14" s="416" t="str">
        <f>VLOOKUP(A14,'Feature Summary'!$A$7:$U$3924,21,FALSE)</f>
        <v>wk-6</v>
      </c>
      <c r="AH14" s="417"/>
    </row>
    <row r="15" spans="1:34" ht="15.75" thickBot="1" x14ac:dyDescent="0.3">
      <c r="A15" s="437" t="s">
        <v>331</v>
      </c>
      <c r="B15" s="362" t="s">
        <v>332</v>
      </c>
      <c r="C15" s="439" t="s">
        <v>303</v>
      </c>
      <c r="D15" s="396" t="s">
        <v>304</v>
      </c>
      <c r="E15" s="441"/>
      <c r="F15" s="362" t="s">
        <v>333</v>
      </c>
      <c r="G15" s="206" t="str">
        <f>VLOOKUP(A15,'Feature Summary'!$A$7:$C$3924,3,FALSE)</f>
        <v>P1</v>
      </c>
      <c r="H15" s="489" t="s">
        <v>334</v>
      </c>
      <c r="I15" s="487" t="s">
        <v>605</v>
      </c>
      <c r="J15" s="445"/>
      <c r="K15" s="408">
        <v>8</v>
      </c>
      <c r="L15" s="360">
        <v>8</v>
      </c>
      <c r="M15" s="361" t="s">
        <v>33</v>
      </c>
      <c r="N15" s="363">
        <v>1</v>
      </c>
      <c r="O15" s="396">
        <v>9</v>
      </c>
      <c r="P15" s="355">
        <f t="shared" si="3"/>
        <v>1.125</v>
      </c>
      <c r="Q15" s="428" t="s">
        <v>45</v>
      </c>
      <c r="R15" s="360">
        <v>9</v>
      </c>
      <c r="S15" s="419">
        <f t="shared" si="4"/>
        <v>9</v>
      </c>
      <c r="T15" s="360">
        <v>9</v>
      </c>
      <c r="U15" s="410"/>
      <c r="V15" s="410"/>
      <c r="W15" s="410"/>
      <c r="X15" s="411">
        <f t="shared" si="8"/>
        <v>1</v>
      </c>
      <c r="Y15" s="412"/>
      <c r="Z15" s="413">
        <f t="shared" si="5"/>
        <v>9</v>
      </c>
      <c r="AA15" s="410">
        <v>9</v>
      </c>
      <c r="AB15" s="410"/>
      <c r="AC15" s="410"/>
      <c r="AD15" s="410"/>
      <c r="AE15" s="414">
        <f t="shared" si="9"/>
        <v>1</v>
      </c>
      <c r="AF15" s="415"/>
      <c r="AG15" s="416" t="str">
        <f>VLOOKUP(A15,'Feature Summary'!$A$7:$U$3924,21,FALSE)</f>
        <v>wk-6</v>
      </c>
      <c r="AH15" s="417"/>
    </row>
    <row r="16" spans="1:34" ht="15.75" thickBot="1" x14ac:dyDescent="0.3">
      <c r="A16" s="437" t="s">
        <v>331</v>
      </c>
      <c r="B16" s="362" t="s">
        <v>332</v>
      </c>
      <c r="C16" s="439" t="s">
        <v>303</v>
      </c>
      <c r="D16" s="396" t="s">
        <v>304</v>
      </c>
      <c r="E16" s="441"/>
      <c r="F16" s="362" t="s">
        <v>333</v>
      </c>
      <c r="G16" s="206" t="str">
        <f>VLOOKUP(A16,'Feature Summary'!$A$7:$C$3924,3,FALSE)</f>
        <v>P1</v>
      </c>
      <c r="H16" s="489" t="s">
        <v>335</v>
      </c>
      <c r="I16" s="487" t="s">
        <v>605</v>
      </c>
      <c r="J16" s="445"/>
      <c r="K16" s="408">
        <v>9</v>
      </c>
      <c r="L16" s="360">
        <v>9</v>
      </c>
      <c r="M16" s="361" t="s">
        <v>33</v>
      </c>
      <c r="N16" s="363">
        <v>1</v>
      </c>
      <c r="O16" s="396">
        <v>9</v>
      </c>
      <c r="P16" s="355">
        <f t="shared" si="3"/>
        <v>1</v>
      </c>
      <c r="Q16" s="428" t="s">
        <v>45</v>
      </c>
      <c r="R16" s="360">
        <v>9</v>
      </c>
      <c r="S16" s="419">
        <f t="shared" si="4"/>
        <v>9</v>
      </c>
      <c r="T16" s="360">
        <v>9</v>
      </c>
      <c r="U16" s="410"/>
      <c r="V16" s="410"/>
      <c r="W16" s="410"/>
      <c r="X16" s="411">
        <f t="shared" si="8"/>
        <v>1</v>
      </c>
      <c r="Y16" s="412"/>
      <c r="Z16" s="413">
        <f t="shared" si="5"/>
        <v>9</v>
      </c>
      <c r="AA16" s="410">
        <v>9</v>
      </c>
      <c r="AB16" s="410"/>
      <c r="AC16" s="410"/>
      <c r="AD16" s="410"/>
      <c r="AE16" s="414">
        <f t="shared" si="9"/>
        <v>1</v>
      </c>
      <c r="AF16" s="415"/>
      <c r="AG16" s="416" t="str">
        <f>VLOOKUP(A16,'Feature Summary'!$A$7:$U$3924,21,FALSE)</f>
        <v>wk-6</v>
      </c>
      <c r="AH16" s="455"/>
    </row>
    <row r="17" spans="1:34" ht="30.75" thickBot="1" x14ac:dyDescent="0.3">
      <c r="A17" s="285" t="s">
        <v>336</v>
      </c>
      <c r="B17" s="441" t="s">
        <v>337</v>
      </c>
      <c r="C17" s="439" t="s">
        <v>303</v>
      </c>
      <c r="D17" s="396" t="s">
        <v>304</v>
      </c>
      <c r="E17" s="441"/>
      <c r="F17" s="484" t="s">
        <v>338</v>
      </c>
      <c r="G17" s="206" t="str">
        <f>VLOOKUP(A17,'Feature Summary'!$A$7:$C$3924,3,FALSE)</f>
        <v>P1</v>
      </c>
      <c r="H17" s="488" t="s">
        <v>339</v>
      </c>
      <c r="I17" s="487" t="s">
        <v>605</v>
      </c>
      <c r="J17" s="445"/>
      <c r="K17" s="408">
        <v>1</v>
      </c>
      <c r="L17" s="360">
        <v>1</v>
      </c>
      <c r="M17" s="361" t="s">
        <v>33</v>
      </c>
      <c r="N17" s="363">
        <v>1</v>
      </c>
      <c r="O17" s="396">
        <v>1</v>
      </c>
      <c r="P17" s="355">
        <f t="shared" si="3"/>
        <v>1</v>
      </c>
      <c r="Q17" s="428" t="s">
        <v>45</v>
      </c>
      <c r="R17" s="360">
        <v>1</v>
      </c>
      <c r="S17" s="419">
        <f t="shared" si="4"/>
        <v>1</v>
      </c>
      <c r="T17" s="360">
        <v>1</v>
      </c>
      <c r="U17" s="410"/>
      <c r="V17" s="410"/>
      <c r="W17" s="410"/>
      <c r="X17" s="411">
        <f t="shared" si="8"/>
        <v>1</v>
      </c>
      <c r="Y17" s="412"/>
      <c r="Z17" s="413">
        <f t="shared" si="5"/>
        <v>1</v>
      </c>
      <c r="AA17" s="410">
        <v>1</v>
      </c>
      <c r="AB17" s="410"/>
      <c r="AC17" s="410"/>
      <c r="AD17" s="410"/>
      <c r="AE17" s="414">
        <f t="shared" si="9"/>
        <v>1</v>
      </c>
      <c r="AF17" s="415"/>
      <c r="AG17" s="416" t="str">
        <f>VLOOKUP(A17,'Feature Summary'!$A$7:$U$3924,21,FALSE)</f>
        <v>wk-6</v>
      </c>
      <c r="AH17" s="417"/>
    </row>
    <row r="18" spans="1:34" ht="15.75" thickBot="1" x14ac:dyDescent="0.3">
      <c r="A18" s="437" t="s">
        <v>340</v>
      </c>
      <c r="B18" s="362" t="s">
        <v>341</v>
      </c>
      <c r="C18" s="439" t="s">
        <v>303</v>
      </c>
      <c r="D18" s="396" t="s">
        <v>304</v>
      </c>
      <c r="E18" s="441"/>
      <c r="F18" s="484" t="s">
        <v>342</v>
      </c>
      <c r="G18" s="206" t="str">
        <f>VLOOKUP(A18,'Feature Summary'!$A$7:$C$3924,3,FALSE)</f>
        <v>P1</v>
      </c>
      <c r="H18" s="489" t="s">
        <v>343</v>
      </c>
      <c r="I18" s="487" t="s">
        <v>605</v>
      </c>
      <c r="J18" s="445"/>
      <c r="K18" s="408">
        <v>2</v>
      </c>
      <c r="L18" s="360">
        <v>2</v>
      </c>
      <c r="M18" s="361" t="s">
        <v>33</v>
      </c>
      <c r="N18" s="363">
        <v>1</v>
      </c>
      <c r="O18" s="396">
        <v>2</v>
      </c>
      <c r="P18" s="355">
        <f t="shared" si="3"/>
        <v>1</v>
      </c>
      <c r="Q18" s="428" t="s">
        <v>45</v>
      </c>
      <c r="R18" s="360">
        <v>2</v>
      </c>
      <c r="S18" s="419">
        <f t="shared" si="4"/>
        <v>2</v>
      </c>
      <c r="T18" s="360">
        <v>2</v>
      </c>
      <c r="U18" s="410"/>
      <c r="V18" s="410"/>
      <c r="W18" s="410"/>
      <c r="X18" s="411">
        <f t="shared" si="8"/>
        <v>1</v>
      </c>
      <c r="Y18" s="412"/>
      <c r="Z18" s="413">
        <f t="shared" si="5"/>
        <v>2</v>
      </c>
      <c r="AA18" s="410">
        <v>2</v>
      </c>
      <c r="AB18" s="410"/>
      <c r="AC18" s="410"/>
      <c r="AD18" s="410"/>
      <c r="AE18" s="414">
        <f t="shared" si="9"/>
        <v>1</v>
      </c>
      <c r="AF18" s="415"/>
      <c r="AG18" s="416" t="str">
        <f>VLOOKUP(A18,'Feature Summary'!$A$7:$U$3924,21,FALSE)</f>
        <v>wk-6</v>
      </c>
      <c r="AH18" s="417"/>
    </row>
    <row r="19" spans="1:34" ht="15.75" thickBot="1" x14ac:dyDescent="0.3">
      <c r="A19" s="437" t="s">
        <v>344</v>
      </c>
      <c r="B19" s="484" t="s">
        <v>345</v>
      </c>
      <c r="C19" s="439" t="s">
        <v>303</v>
      </c>
      <c r="D19" s="396" t="s">
        <v>304</v>
      </c>
      <c r="E19" s="441"/>
      <c r="F19" s="362" t="s">
        <v>346</v>
      </c>
      <c r="G19" s="206" t="str">
        <f>VLOOKUP(A19,'Feature Summary'!$A$7:$C$3924,3,FALSE)</f>
        <v>P1</v>
      </c>
      <c r="H19" s="489" t="s">
        <v>347</v>
      </c>
      <c r="I19" s="487" t="s">
        <v>605</v>
      </c>
      <c r="J19" s="445"/>
      <c r="K19" s="408">
        <v>4</v>
      </c>
      <c r="L19" s="360">
        <v>4</v>
      </c>
      <c r="M19" s="361" t="s">
        <v>33</v>
      </c>
      <c r="N19" s="363">
        <v>1</v>
      </c>
      <c r="O19" s="396">
        <v>4</v>
      </c>
      <c r="P19" s="355">
        <f t="shared" si="3"/>
        <v>1</v>
      </c>
      <c r="Q19" s="428" t="s">
        <v>45</v>
      </c>
      <c r="R19" s="360">
        <v>4</v>
      </c>
      <c r="S19" s="419">
        <f t="shared" si="4"/>
        <v>4</v>
      </c>
      <c r="T19" s="360">
        <v>4</v>
      </c>
      <c r="U19" s="410"/>
      <c r="V19" s="410"/>
      <c r="W19" s="410"/>
      <c r="X19" s="411">
        <f t="shared" ref="X19" si="10">IF((S19=0),0,((T19+U19)/S19*100%))</f>
        <v>1</v>
      </c>
      <c r="Y19" s="412"/>
      <c r="Z19" s="413">
        <f t="shared" si="5"/>
        <v>4</v>
      </c>
      <c r="AA19" s="410">
        <v>4</v>
      </c>
      <c r="AB19" s="410"/>
      <c r="AC19" s="410"/>
      <c r="AD19" s="410"/>
      <c r="AE19" s="414">
        <f t="shared" ref="AE19" si="11">IF((Z19=0),0,((AA19+AB19)/Z19*100%))</f>
        <v>1</v>
      </c>
      <c r="AF19" s="415"/>
      <c r="AG19" s="416" t="str">
        <f>VLOOKUP(A19,'Feature Summary'!$A$7:$U$3924,21,FALSE)</f>
        <v>wk-7</v>
      </c>
      <c r="AH19" s="417"/>
    </row>
    <row r="20" spans="1:34" ht="15.75" thickBot="1" x14ac:dyDescent="0.3">
      <c r="A20" s="437" t="s">
        <v>348</v>
      </c>
      <c r="B20" s="484" t="s">
        <v>349</v>
      </c>
      <c r="C20" s="439" t="s">
        <v>303</v>
      </c>
      <c r="D20" s="396" t="s">
        <v>304</v>
      </c>
      <c r="E20" s="441"/>
      <c r="F20" s="484" t="s">
        <v>350</v>
      </c>
      <c r="G20" s="206" t="str">
        <f>VLOOKUP(A20,'Feature Summary'!$A$7:$C$3924,3,FALSE)</f>
        <v>P1</v>
      </c>
      <c r="H20" s="489" t="s">
        <v>351</v>
      </c>
      <c r="I20" s="487" t="s">
        <v>605</v>
      </c>
      <c r="J20" s="445"/>
      <c r="K20" s="408">
        <v>13</v>
      </c>
      <c r="L20" s="360">
        <v>13</v>
      </c>
      <c r="M20" s="361" t="s">
        <v>33</v>
      </c>
      <c r="N20" s="363">
        <v>1</v>
      </c>
      <c r="O20" s="396">
        <v>13</v>
      </c>
      <c r="P20" s="355">
        <f t="shared" si="3"/>
        <v>1</v>
      </c>
      <c r="Q20" s="428" t="s">
        <v>45</v>
      </c>
      <c r="R20" s="360">
        <v>11</v>
      </c>
      <c r="S20" s="419">
        <f t="shared" si="4"/>
        <v>11</v>
      </c>
      <c r="T20" s="360">
        <v>11</v>
      </c>
      <c r="U20" s="410"/>
      <c r="V20" s="410"/>
      <c r="W20" s="410"/>
      <c r="X20" s="411">
        <f t="shared" si="8"/>
        <v>1</v>
      </c>
      <c r="Y20" s="412"/>
      <c r="Z20" s="413">
        <v>13</v>
      </c>
      <c r="AA20" s="410">
        <v>13</v>
      </c>
      <c r="AB20" s="410"/>
      <c r="AC20" s="410"/>
      <c r="AD20" s="410"/>
      <c r="AE20" s="414">
        <f t="shared" si="9"/>
        <v>1</v>
      </c>
      <c r="AF20" s="415"/>
      <c r="AG20" s="416" t="str">
        <f>VLOOKUP(A20,'Feature Summary'!$A$7:$U$3924,21,FALSE)</f>
        <v>wk-3</v>
      </c>
      <c r="AH20" s="455"/>
    </row>
    <row r="21" spans="1:34" ht="15.75" thickBot="1" x14ac:dyDescent="0.3">
      <c r="A21" s="437" t="s">
        <v>352</v>
      </c>
      <c r="B21" s="484" t="s">
        <v>353</v>
      </c>
      <c r="C21" s="439" t="s">
        <v>303</v>
      </c>
      <c r="D21" s="396" t="s">
        <v>304</v>
      </c>
      <c r="E21" s="441"/>
      <c r="F21" s="484" t="s">
        <v>354</v>
      </c>
      <c r="G21" s="206" t="str">
        <f>VLOOKUP(A21,'Feature Summary'!$A$7:$C$3924,3,FALSE)</f>
        <v>P1</v>
      </c>
      <c r="H21" s="489" t="s">
        <v>355</v>
      </c>
      <c r="I21" s="487" t="s">
        <v>605</v>
      </c>
      <c r="J21" s="445"/>
      <c r="K21" s="408">
        <v>2</v>
      </c>
      <c r="L21" s="360">
        <v>2</v>
      </c>
      <c r="M21" s="361" t="s">
        <v>33</v>
      </c>
      <c r="N21" s="363">
        <v>1</v>
      </c>
      <c r="O21" s="396">
        <v>2</v>
      </c>
      <c r="P21" s="355">
        <f t="shared" si="3"/>
        <v>1</v>
      </c>
      <c r="Q21" s="428" t="s">
        <v>45</v>
      </c>
      <c r="R21" s="360"/>
      <c r="S21" s="419">
        <f t="shared" si="4"/>
        <v>0</v>
      </c>
      <c r="T21" s="360"/>
      <c r="U21" s="410"/>
      <c r="V21" s="410"/>
      <c r="W21" s="410"/>
      <c r="X21" s="411">
        <f>IF((S21=0),0,((T21+U21)/S21*100%))</f>
        <v>0</v>
      </c>
      <c r="Y21" s="412"/>
      <c r="Z21" s="413">
        <f t="shared" si="5"/>
        <v>2</v>
      </c>
      <c r="AA21" s="410">
        <v>2</v>
      </c>
      <c r="AB21" s="410"/>
      <c r="AC21" s="410"/>
      <c r="AD21" s="410"/>
      <c r="AE21" s="414">
        <f>IF((Z21=0),0,((AA21+AB21)/Z21*100%))</f>
        <v>1</v>
      </c>
      <c r="AF21" s="415"/>
      <c r="AG21" s="416" t="str">
        <f>VLOOKUP(A21,'Feature Summary'!$A$7:$U$3924,21,FALSE)</f>
        <v>wk-5</v>
      </c>
      <c r="AH21" s="455"/>
    </row>
    <row r="22" spans="1:34" ht="15.75" thickBot="1" x14ac:dyDescent="0.3">
      <c r="A22" s="437" t="s">
        <v>356</v>
      </c>
      <c r="B22" s="484" t="s">
        <v>357</v>
      </c>
      <c r="C22" s="439" t="s">
        <v>303</v>
      </c>
      <c r="D22" s="396" t="s">
        <v>304</v>
      </c>
      <c r="E22" s="441"/>
      <c r="F22" s="484" t="s">
        <v>358</v>
      </c>
      <c r="G22" s="206" t="str">
        <f>VLOOKUP(A22,'Feature Summary'!$A$7:$C$3924,3,FALSE)</f>
        <v>P2</v>
      </c>
      <c r="H22" s="489" t="s">
        <v>598</v>
      </c>
      <c r="I22" s="487" t="s">
        <v>605</v>
      </c>
      <c r="J22" s="445"/>
      <c r="K22" s="408">
        <v>2</v>
      </c>
      <c r="L22" s="360">
        <v>2</v>
      </c>
      <c r="M22" s="361" t="s">
        <v>33</v>
      </c>
      <c r="N22" s="363">
        <v>1</v>
      </c>
      <c r="O22" s="396">
        <v>2</v>
      </c>
      <c r="P22" s="355">
        <f t="shared" si="3"/>
        <v>1</v>
      </c>
      <c r="Q22" s="428" t="s">
        <v>45</v>
      </c>
      <c r="R22" s="360"/>
      <c r="S22" s="419">
        <f t="shared" si="4"/>
        <v>0</v>
      </c>
      <c r="T22" s="360"/>
      <c r="U22" s="410"/>
      <c r="V22" s="410"/>
      <c r="W22" s="410"/>
      <c r="X22" s="411">
        <f>IF((S22=0),0,((T22+U22)/S22*100%))</f>
        <v>0</v>
      </c>
      <c r="Y22" s="412"/>
      <c r="Z22" s="413">
        <f t="shared" si="5"/>
        <v>2</v>
      </c>
      <c r="AA22" s="410">
        <v>2</v>
      </c>
      <c r="AB22" s="410"/>
      <c r="AC22" s="410"/>
      <c r="AD22" s="410"/>
      <c r="AE22" s="414">
        <f>IF((Z22=0),0,((AA22+AB22)/Z22*100%))</f>
        <v>1</v>
      </c>
      <c r="AF22" s="415"/>
      <c r="AG22" s="416" t="str">
        <f>VLOOKUP(A22,'Feature Summary'!$A$7:$U$3924,21,FALSE)</f>
        <v>wk-8</v>
      </c>
      <c r="AH22" s="455"/>
    </row>
    <row r="23" spans="1:34" ht="15.75" thickBot="1" x14ac:dyDescent="0.3">
      <c r="A23" s="437" t="s">
        <v>359</v>
      </c>
      <c r="B23" s="415" t="s">
        <v>360</v>
      </c>
      <c r="C23" s="439" t="s">
        <v>303</v>
      </c>
      <c r="D23" s="396" t="s">
        <v>304</v>
      </c>
      <c r="E23" s="362"/>
      <c r="F23" s="362" t="s">
        <v>361</v>
      </c>
      <c r="G23" s="206" t="str">
        <f>VLOOKUP(A23,'Feature Summary'!$A$7:$C$3924,3,FALSE)</f>
        <v>P1</v>
      </c>
      <c r="H23" s="442" t="s">
        <v>601</v>
      </c>
      <c r="I23" s="487" t="s">
        <v>605</v>
      </c>
      <c r="J23" s="445"/>
      <c r="K23" s="408">
        <v>4</v>
      </c>
      <c r="L23" s="360">
        <v>4</v>
      </c>
      <c r="M23" s="361" t="s">
        <v>33</v>
      </c>
      <c r="N23" s="363">
        <v>1</v>
      </c>
      <c r="O23" s="396">
        <v>4</v>
      </c>
      <c r="P23" s="355">
        <f t="shared" si="3"/>
        <v>1</v>
      </c>
      <c r="Q23" s="428" t="s">
        <v>45</v>
      </c>
      <c r="R23" s="360">
        <v>4</v>
      </c>
      <c r="S23" s="419">
        <f t="shared" si="4"/>
        <v>4</v>
      </c>
      <c r="T23" s="360">
        <v>4</v>
      </c>
      <c r="U23" s="410"/>
      <c r="V23" s="410"/>
      <c r="W23" s="410"/>
      <c r="X23" s="411">
        <f t="shared" ref="X23" si="12">IF((S23=0),0,((T23+U23)/S23*100%))</f>
        <v>1</v>
      </c>
      <c r="Y23" s="412"/>
      <c r="Z23" s="413">
        <f t="shared" ref="Z23:Z31" si="13">SUM(AA23:AD23)</f>
        <v>4</v>
      </c>
      <c r="AA23" s="410">
        <v>4</v>
      </c>
      <c r="AB23" s="410"/>
      <c r="AC23" s="410"/>
      <c r="AD23" s="410"/>
      <c r="AE23" s="414">
        <f t="shared" ref="AE23:AE29" si="14">IF((Z23=0),0,((AA23+AB23)/Z23*100%))</f>
        <v>1</v>
      </c>
      <c r="AF23" s="415"/>
      <c r="AG23" s="416" t="str">
        <f>VLOOKUP(A23,'Feature Summary'!$A$7:$U$3924,21,FALSE)</f>
        <v>wk-6</v>
      </c>
      <c r="AH23" s="417"/>
    </row>
    <row r="24" spans="1:34" ht="15.75" thickBot="1" x14ac:dyDescent="0.3">
      <c r="A24" s="437" t="s">
        <v>362</v>
      </c>
      <c r="B24" s="415" t="s">
        <v>363</v>
      </c>
      <c r="C24" s="439" t="s">
        <v>303</v>
      </c>
      <c r="D24" s="396" t="s">
        <v>304</v>
      </c>
      <c r="E24" s="441"/>
      <c r="F24" s="484" t="s">
        <v>364</v>
      </c>
      <c r="G24" s="206" t="str">
        <f>VLOOKUP(A24,'Feature Summary'!$A$7:$C$3924,3,FALSE)</f>
        <v>P1</v>
      </c>
      <c r="H24" s="491"/>
      <c r="I24" s="491"/>
      <c r="J24" s="445"/>
      <c r="K24" s="408">
        <v>1</v>
      </c>
      <c r="L24" s="360"/>
      <c r="M24" s="361" t="s">
        <v>33</v>
      </c>
      <c r="N24" s="363">
        <v>1</v>
      </c>
      <c r="O24" s="396">
        <v>2</v>
      </c>
      <c r="P24" s="355" t="e">
        <f t="shared" si="3"/>
        <v>#DIV/0!</v>
      </c>
      <c r="Q24" s="428" t="s">
        <v>45</v>
      </c>
      <c r="R24" s="360">
        <v>1</v>
      </c>
      <c r="S24" s="419">
        <f t="shared" si="4"/>
        <v>1</v>
      </c>
      <c r="T24" s="360">
        <v>1</v>
      </c>
      <c r="U24" s="410"/>
      <c r="V24" s="410"/>
      <c r="W24" s="410"/>
      <c r="X24" s="411"/>
      <c r="Y24" s="412"/>
      <c r="Z24" s="413">
        <f t="shared" si="13"/>
        <v>0</v>
      </c>
      <c r="AA24" s="410"/>
      <c r="AB24" s="410"/>
      <c r="AC24" s="410"/>
      <c r="AD24" s="410"/>
      <c r="AE24" s="414">
        <f t="shared" si="14"/>
        <v>0</v>
      </c>
      <c r="AF24" s="415"/>
      <c r="AG24" s="416"/>
      <c r="AH24" s="455"/>
    </row>
    <row r="25" spans="1:34" ht="15.75" thickBot="1" x14ac:dyDescent="0.3">
      <c r="A25" s="437" t="s">
        <v>365</v>
      </c>
      <c r="B25" s="415" t="s">
        <v>366</v>
      </c>
      <c r="C25" s="439" t="s">
        <v>303</v>
      </c>
      <c r="D25" s="396" t="s">
        <v>304</v>
      </c>
      <c r="E25" s="441"/>
      <c r="F25" s="484" t="s">
        <v>361</v>
      </c>
      <c r="G25" s="206" t="str">
        <f>VLOOKUP(A25,'Feature Summary'!$A$7:$C$3924,3,FALSE)</f>
        <v>P1</v>
      </c>
      <c r="H25" s="442" t="s">
        <v>602</v>
      </c>
      <c r="I25" s="487" t="s">
        <v>605</v>
      </c>
      <c r="J25" s="445"/>
      <c r="K25" s="408">
        <v>1</v>
      </c>
      <c r="L25" s="360">
        <v>4</v>
      </c>
      <c r="M25" s="361" t="s">
        <v>33</v>
      </c>
      <c r="N25" s="363">
        <v>1</v>
      </c>
      <c r="O25" s="396">
        <v>4</v>
      </c>
      <c r="P25" s="355">
        <f t="shared" si="3"/>
        <v>1</v>
      </c>
      <c r="Q25" s="428" t="s">
        <v>45</v>
      </c>
      <c r="R25" s="360">
        <v>4</v>
      </c>
      <c r="S25" s="419">
        <f t="shared" si="4"/>
        <v>4</v>
      </c>
      <c r="T25" s="360">
        <v>4</v>
      </c>
      <c r="U25" s="410"/>
      <c r="V25" s="410"/>
      <c r="W25" s="410"/>
      <c r="X25" s="411"/>
      <c r="Y25" s="412"/>
      <c r="Z25" s="413">
        <f t="shared" si="13"/>
        <v>4</v>
      </c>
      <c r="AA25" s="410">
        <v>4</v>
      </c>
      <c r="AB25" s="410"/>
      <c r="AC25" s="410"/>
      <c r="AD25" s="410"/>
      <c r="AE25" s="414">
        <f t="shared" si="14"/>
        <v>1</v>
      </c>
      <c r="AF25" s="415"/>
      <c r="AG25" s="416"/>
      <c r="AH25" s="455"/>
    </row>
    <row r="26" spans="1:34" ht="15.75" thickBot="1" x14ac:dyDescent="0.3">
      <c r="A26" s="437" t="s">
        <v>367</v>
      </c>
      <c r="B26" s="415" t="s">
        <v>368</v>
      </c>
      <c r="C26" s="439" t="s">
        <v>303</v>
      </c>
      <c r="D26" s="396" t="s">
        <v>304</v>
      </c>
      <c r="E26" s="441"/>
      <c r="F26" s="484"/>
      <c r="G26" s="206" t="str">
        <f>VLOOKUP(A26,'Feature Summary'!$A$7:$C$3924,3,FALSE)</f>
        <v>P2</v>
      </c>
      <c r="H26" s="491"/>
      <c r="I26" s="487" t="s">
        <v>605</v>
      </c>
      <c r="J26" s="445"/>
      <c r="K26" s="408">
        <v>1</v>
      </c>
      <c r="L26" s="360">
        <v>1</v>
      </c>
      <c r="M26" s="361" t="s">
        <v>33</v>
      </c>
      <c r="N26" s="363">
        <v>1</v>
      </c>
      <c r="O26" s="396">
        <v>1</v>
      </c>
      <c r="P26" s="355">
        <f t="shared" si="3"/>
        <v>1</v>
      </c>
      <c r="Q26" s="428" t="s">
        <v>45</v>
      </c>
      <c r="R26" s="360">
        <v>1</v>
      </c>
      <c r="S26" s="419">
        <f t="shared" si="4"/>
        <v>1</v>
      </c>
      <c r="T26" s="360">
        <v>1</v>
      </c>
      <c r="U26" s="410"/>
      <c r="V26" s="410"/>
      <c r="W26" s="410"/>
      <c r="X26" s="411"/>
      <c r="Y26" s="412"/>
      <c r="Z26" s="413">
        <f t="shared" si="13"/>
        <v>1</v>
      </c>
      <c r="AA26" s="410">
        <v>1</v>
      </c>
      <c r="AB26" s="410"/>
      <c r="AC26" s="410"/>
      <c r="AD26" s="410"/>
      <c r="AE26" s="414"/>
      <c r="AF26" s="415"/>
      <c r="AG26" s="416"/>
      <c r="AH26" s="455"/>
    </row>
    <row r="27" spans="1:34" ht="15.75" thickBot="1" x14ac:dyDescent="0.3">
      <c r="A27" s="437" t="s">
        <v>369</v>
      </c>
      <c r="B27" s="415" t="s">
        <v>370</v>
      </c>
      <c r="C27" s="439" t="s">
        <v>303</v>
      </c>
      <c r="D27" s="396" t="s">
        <v>304</v>
      </c>
      <c r="E27" s="441"/>
      <c r="F27" s="484" t="s">
        <v>371</v>
      </c>
      <c r="G27" s="206" t="str">
        <f>VLOOKUP(A27,'Feature Summary'!$A$7:$C$3924,3,FALSE)</f>
        <v>P1</v>
      </c>
      <c r="H27" s="491"/>
      <c r="I27" s="487" t="s">
        <v>605</v>
      </c>
      <c r="J27" s="445"/>
      <c r="K27" s="408">
        <v>1</v>
      </c>
      <c r="L27" s="360">
        <v>1</v>
      </c>
      <c r="M27" s="361" t="s">
        <v>33</v>
      </c>
      <c r="N27" s="363">
        <v>1</v>
      </c>
      <c r="O27" s="396">
        <v>1</v>
      </c>
      <c r="P27" s="355">
        <f t="shared" si="3"/>
        <v>1</v>
      </c>
      <c r="Q27" s="428" t="s">
        <v>45</v>
      </c>
      <c r="R27" s="360">
        <v>1</v>
      </c>
      <c r="S27" s="419">
        <f t="shared" si="4"/>
        <v>1</v>
      </c>
      <c r="T27" s="360">
        <v>1</v>
      </c>
      <c r="U27" s="410"/>
      <c r="V27" s="410"/>
      <c r="W27" s="410"/>
      <c r="X27" s="411"/>
      <c r="Y27" s="412"/>
      <c r="Z27" s="413">
        <f t="shared" si="13"/>
        <v>1</v>
      </c>
      <c r="AA27" s="410">
        <v>1</v>
      </c>
      <c r="AB27" s="410"/>
      <c r="AC27" s="410"/>
      <c r="AD27" s="410"/>
      <c r="AE27" s="414">
        <f t="shared" si="14"/>
        <v>1</v>
      </c>
      <c r="AF27" s="415"/>
      <c r="AG27" s="416"/>
      <c r="AH27" s="455"/>
    </row>
    <row r="28" spans="1:34" ht="15.75" thickBot="1" x14ac:dyDescent="0.3">
      <c r="A28" s="437" t="s">
        <v>372</v>
      </c>
      <c r="B28" s="415" t="s">
        <v>373</v>
      </c>
      <c r="C28" s="439" t="s">
        <v>303</v>
      </c>
      <c r="D28" s="396" t="s">
        <v>304</v>
      </c>
      <c r="E28" s="441"/>
      <c r="F28" s="484" t="s">
        <v>374</v>
      </c>
      <c r="G28" s="206" t="str">
        <f>VLOOKUP(A28,'Feature Summary'!$A$7:$C$3924,3,FALSE)</f>
        <v>P2</v>
      </c>
      <c r="H28" s="442" t="s">
        <v>603</v>
      </c>
      <c r="I28" s="487" t="s">
        <v>605</v>
      </c>
      <c r="J28" s="445"/>
      <c r="K28" s="408">
        <v>1</v>
      </c>
      <c r="L28" s="360">
        <v>5</v>
      </c>
      <c r="M28" s="361" t="s">
        <v>33</v>
      </c>
      <c r="N28" s="363">
        <v>1</v>
      </c>
      <c r="O28" s="396">
        <v>5</v>
      </c>
      <c r="P28" s="355">
        <f t="shared" si="3"/>
        <v>1</v>
      </c>
      <c r="Q28" s="428" t="s">
        <v>45</v>
      </c>
      <c r="R28" s="360"/>
      <c r="S28" s="419">
        <f t="shared" si="4"/>
        <v>0</v>
      </c>
      <c r="T28" s="360"/>
      <c r="U28" s="410"/>
      <c r="V28" s="410"/>
      <c r="W28" s="410"/>
      <c r="X28" s="411"/>
      <c r="Y28" s="412"/>
      <c r="Z28" s="413">
        <f t="shared" si="13"/>
        <v>5</v>
      </c>
      <c r="AA28" s="410">
        <v>5</v>
      </c>
      <c r="AB28" s="410"/>
      <c r="AC28" s="410"/>
      <c r="AD28" s="410"/>
      <c r="AE28" s="414">
        <f t="shared" si="14"/>
        <v>1</v>
      </c>
      <c r="AF28" s="415"/>
      <c r="AG28" s="416"/>
      <c r="AH28" s="455"/>
    </row>
    <row r="29" spans="1:34" ht="15.75" thickBot="1" x14ac:dyDescent="0.3">
      <c r="A29" s="437" t="s">
        <v>375</v>
      </c>
      <c r="B29" s="415" t="s">
        <v>376</v>
      </c>
      <c r="C29" s="439" t="s">
        <v>303</v>
      </c>
      <c r="D29" s="396" t="s">
        <v>304</v>
      </c>
      <c r="E29" s="362"/>
      <c r="F29" s="362" t="s">
        <v>377</v>
      </c>
      <c r="G29" s="206" t="str">
        <f>VLOOKUP(A29,'Feature Summary'!$A$7:$C$3924,3,FALSE)</f>
        <v>P1</v>
      </c>
      <c r="H29" s="442" t="s">
        <v>599</v>
      </c>
      <c r="I29" s="487" t="s">
        <v>605</v>
      </c>
      <c r="J29" s="445"/>
      <c r="K29" s="408">
        <v>2</v>
      </c>
      <c r="L29" s="360">
        <v>2</v>
      </c>
      <c r="M29" s="361" t="s">
        <v>33</v>
      </c>
      <c r="N29" s="363">
        <v>1</v>
      </c>
      <c r="O29" s="360">
        <v>2</v>
      </c>
      <c r="P29" s="355">
        <f t="shared" si="3"/>
        <v>1</v>
      </c>
      <c r="Q29" s="428" t="s">
        <v>45</v>
      </c>
      <c r="R29" s="360">
        <v>1</v>
      </c>
      <c r="S29" s="419">
        <f t="shared" si="4"/>
        <v>1</v>
      </c>
      <c r="T29" s="360">
        <v>1</v>
      </c>
      <c r="U29" s="410"/>
      <c r="V29" s="410"/>
      <c r="W29" s="410"/>
      <c r="X29" s="411">
        <f t="shared" ref="X29" si="15">IF((S29=0),0,((T29+U29)/S29*100%))</f>
        <v>1</v>
      </c>
      <c r="Y29" s="412"/>
      <c r="Z29" s="413">
        <f t="shared" si="13"/>
        <v>2</v>
      </c>
      <c r="AA29" s="410">
        <v>2</v>
      </c>
      <c r="AB29" s="410"/>
      <c r="AC29" s="410"/>
      <c r="AD29" s="410"/>
      <c r="AE29" s="414">
        <f t="shared" si="14"/>
        <v>1</v>
      </c>
      <c r="AF29" s="415"/>
      <c r="AG29" s="416" t="str">
        <f>VLOOKUP(A29,'Feature Summary'!$A$7:$U$3924,21,FALSE)</f>
        <v>wk-5</v>
      </c>
      <c r="AH29" s="417"/>
    </row>
    <row r="30" spans="1:34" ht="30.75" thickBot="1" x14ac:dyDescent="0.3">
      <c r="A30" s="485" t="s">
        <v>378</v>
      </c>
      <c r="B30" s="484" t="s">
        <v>379</v>
      </c>
      <c r="C30" s="439" t="s">
        <v>303</v>
      </c>
      <c r="D30" s="396" t="s">
        <v>304</v>
      </c>
      <c r="E30" s="362"/>
      <c r="F30" s="362" t="s">
        <v>380</v>
      </c>
      <c r="G30" s="206" t="str">
        <f>VLOOKUP(A30,'Feature Summary'!$A$7:$C$3924,3,FALSE)</f>
        <v>P1</v>
      </c>
      <c r="H30" s="442" t="s">
        <v>604</v>
      </c>
      <c r="I30" s="487" t="s">
        <v>605</v>
      </c>
      <c r="J30" s="445"/>
      <c r="K30" s="408">
        <v>10</v>
      </c>
      <c r="L30" s="360">
        <v>10</v>
      </c>
      <c r="M30" s="361" t="s">
        <v>33</v>
      </c>
      <c r="N30" s="363">
        <v>1</v>
      </c>
      <c r="O30" s="360">
        <v>10</v>
      </c>
      <c r="P30" s="355">
        <f t="shared" si="3"/>
        <v>1</v>
      </c>
      <c r="Q30" s="428" t="s">
        <v>45</v>
      </c>
      <c r="R30" s="360">
        <v>10</v>
      </c>
      <c r="S30" s="419">
        <f t="shared" si="4"/>
        <v>10</v>
      </c>
      <c r="T30" s="360">
        <v>10</v>
      </c>
      <c r="U30" s="410"/>
      <c r="V30" s="410"/>
      <c r="W30" s="410"/>
      <c r="X30" s="411">
        <f t="shared" ref="X30" si="16">IF((S30=0),0,((T30+U30)/S30*100%))</f>
        <v>1</v>
      </c>
      <c r="Y30" s="412"/>
      <c r="Z30" s="413">
        <f t="shared" si="13"/>
        <v>10</v>
      </c>
      <c r="AA30" s="410">
        <v>10</v>
      </c>
      <c r="AB30" s="410"/>
      <c r="AC30" s="410"/>
      <c r="AD30" s="410"/>
      <c r="AE30" s="414">
        <f>IF((Z30=0),0,((AA30+AB30)/Z30*100%))</f>
        <v>1</v>
      </c>
      <c r="AF30" s="415"/>
      <c r="AG30" s="416" t="str">
        <f>VLOOKUP(A30,'Feature Summary'!$A$7:$U$3924,21,FALSE)</f>
        <v>wk-6</v>
      </c>
      <c r="AH30" s="417"/>
    </row>
    <row r="31" spans="1:34" ht="15.75" thickBot="1" x14ac:dyDescent="0.3">
      <c r="A31" s="437" t="s">
        <v>381</v>
      </c>
      <c r="B31" s="484" t="s">
        <v>382</v>
      </c>
      <c r="C31" s="439" t="s">
        <v>303</v>
      </c>
      <c r="D31" s="396" t="s">
        <v>304</v>
      </c>
      <c r="E31" s="441"/>
      <c r="F31" s="484" t="s">
        <v>383</v>
      </c>
      <c r="G31" s="206" t="str">
        <f>VLOOKUP(A31,'Feature Summary'!$A$7:$C$3924,3,FALSE)</f>
        <v>P2</v>
      </c>
      <c r="H31" s="489" t="s">
        <v>384</v>
      </c>
      <c r="I31" s="487" t="s">
        <v>605</v>
      </c>
      <c r="J31" s="445"/>
      <c r="K31" s="408">
        <v>1</v>
      </c>
      <c r="L31" s="360">
        <v>1</v>
      </c>
      <c r="M31" s="361" t="s">
        <v>33</v>
      </c>
      <c r="N31" s="363">
        <v>1</v>
      </c>
      <c r="O31" s="396">
        <v>1</v>
      </c>
      <c r="P31" s="355">
        <f t="shared" si="3"/>
        <v>1</v>
      </c>
      <c r="Q31" s="428" t="s">
        <v>45</v>
      </c>
      <c r="R31" s="360"/>
      <c r="S31" s="419">
        <f t="shared" si="4"/>
        <v>0</v>
      </c>
      <c r="T31" s="360"/>
      <c r="U31" s="410"/>
      <c r="V31" s="410"/>
      <c r="W31" s="410"/>
      <c r="X31" s="411">
        <f t="shared" ref="X31" si="17">IF((S31=0),0,((T31+U31)/S31*100%))</f>
        <v>0</v>
      </c>
      <c r="Y31" s="412"/>
      <c r="Z31" s="413">
        <f t="shared" si="13"/>
        <v>1</v>
      </c>
      <c r="AA31" s="410">
        <v>1</v>
      </c>
      <c r="AB31" s="410"/>
      <c r="AC31" s="410"/>
      <c r="AD31" s="410"/>
      <c r="AE31" s="414">
        <f>IF((Z31=0),0,((AA31+AB31)/Z31*100%))</f>
        <v>1</v>
      </c>
      <c r="AF31" s="415"/>
      <c r="AG31" s="416" t="str">
        <f>VLOOKUP(A31,'Feature Summary'!$A$7:$U$3924,21,FALSE)</f>
        <v>wk-7</v>
      </c>
      <c r="AH31" s="455"/>
    </row>
    <row r="32" spans="1:34" ht="15.75" thickBot="1" x14ac:dyDescent="0.3">
      <c r="A32" s="437" t="s">
        <v>385</v>
      </c>
      <c r="B32" s="484" t="s">
        <v>386</v>
      </c>
      <c r="C32" s="439" t="s">
        <v>303</v>
      </c>
      <c r="D32" s="396" t="s">
        <v>304</v>
      </c>
      <c r="E32" s="441"/>
      <c r="F32" s="484" t="s">
        <v>386</v>
      </c>
      <c r="G32" s="206" t="e">
        <f>VLOOKUP(A32,'Feature Summary'!$A$7:$C$3924,3,FALSE)</f>
        <v>#N/A</v>
      </c>
      <c r="H32" s="489" t="s">
        <v>387</v>
      </c>
      <c r="I32" s="487" t="s">
        <v>605</v>
      </c>
      <c r="J32" s="445"/>
      <c r="K32" s="408">
        <v>1</v>
      </c>
      <c r="L32" s="360">
        <v>1</v>
      </c>
      <c r="M32" s="361" t="s">
        <v>33</v>
      </c>
      <c r="N32" s="363">
        <v>1</v>
      </c>
      <c r="O32" s="396">
        <v>1</v>
      </c>
      <c r="P32" s="355">
        <f t="shared" si="3"/>
        <v>1</v>
      </c>
      <c r="Q32" s="428" t="s">
        <v>45</v>
      </c>
      <c r="R32" s="360"/>
      <c r="S32" s="419">
        <f t="shared" si="4"/>
        <v>0</v>
      </c>
      <c r="T32" s="360"/>
      <c r="U32" s="410"/>
      <c r="V32" s="410"/>
      <c r="W32" s="410"/>
      <c r="X32" s="411">
        <f t="shared" ref="X32:X33" si="18">IF((S32=0),0,((T32+U32)/S32*100%))</f>
        <v>0</v>
      </c>
      <c r="Y32" s="412"/>
      <c r="Z32" s="413">
        <f t="shared" si="5"/>
        <v>1</v>
      </c>
      <c r="AA32" s="410">
        <v>1</v>
      </c>
      <c r="AB32" s="410"/>
      <c r="AC32" s="410"/>
      <c r="AD32" s="410"/>
      <c r="AE32" s="414">
        <f t="shared" ref="AE32:AE33" si="19">IF((Z32=0),0,((AA32+AB32)/Z32*100%))</f>
        <v>1</v>
      </c>
      <c r="AF32" s="415"/>
      <c r="AG32" s="416" t="e">
        <f>VLOOKUP(A32,'Feature Summary'!$A$7:$U$3924,21,FALSE)</f>
        <v>#N/A</v>
      </c>
      <c r="AH32" s="455" t="s">
        <v>388</v>
      </c>
    </row>
    <row r="33" spans="1:34" ht="15.75" thickBot="1" x14ac:dyDescent="0.3">
      <c r="A33" s="437" t="s">
        <v>389</v>
      </c>
      <c r="B33" s="484" t="s">
        <v>390</v>
      </c>
      <c r="C33" s="439" t="s">
        <v>303</v>
      </c>
      <c r="D33" s="396" t="s">
        <v>304</v>
      </c>
      <c r="E33" s="441"/>
      <c r="F33" s="484" t="s">
        <v>390</v>
      </c>
      <c r="G33" s="206" t="e">
        <f>VLOOKUP(A33,'Feature Summary'!$A$7:$C$3924,3,FALSE)</f>
        <v>#N/A</v>
      </c>
      <c r="H33" s="489" t="s">
        <v>391</v>
      </c>
      <c r="I33" s="487" t="s">
        <v>605</v>
      </c>
      <c r="J33" s="445"/>
      <c r="K33" s="408">
        <v>1</v>
      </c>
      <c r="L33" s="360">
        <v>1</v>
      </c>
      <c r="M33" s="361" t="s">
        <v>33</v>
      </c>
      <c r="N33" s="363">
        <v>1</v>
      </c>
      <c r="O33" s="396">
        <v>1</v>
      </c>
      <c r="P33" s="355">
        <f t="shared" si="3"/>
        <v>1</v>
      </c>
      <c r="Q33" s="428" t="s">
        <v>45</v>
      </c>
      <c r="R33" s="360"/>
      <c r="S33" s="419">
        <f t="shared" si="4"/>
        <v>0</v>
      </c>
      <c r="T33" s="360"/>
      <c r="U33" s="410"/>
      <c r="V33" s="410"/>
      <c r="W33" s="410"/>
      <c r="X33" s="411">
        <f t="shared" si="18"/>
        <v>0</v>
      </c>
      <c r="Y33" s="412"/>
      <c r="Z33" s="413">
        <f t="shared" si="5"/>
        <v>1</v>
      </c>
      <c r="AA33" s="410">
        <v>1</v>
      </c>
      <c r="AB33" s="410"/>
      <c r="AC33" s="410"/>
      <c r="AD33" s="410"/>
      <c r="AE33" s="414">
        <f t="shared" si="19"/>
        <v>1</v>
      </c>
      <c r="AF33" s="415"/>
      <c r="AG33" s="416" t="e">
        <f>VLOOKUP(A33,'Feature Summary'!$A$7:$U$3924,21,FALSE)</f>
        <v>#N/A</v>
      </c>
      <c r="AH33" s="455" t="s">
        <v>388</v>
      </c>
    </row>
    <row r="34" spans="1:34" ht="15" customHeight="1" x14ac:dyDescent="0.25">
      <c r="A34" s="546" t="s">
        <v>392</v>
      </c>
      <c r="B34" s="547"/>
      <c r="C34" s="547"/>
      <c r="D34" s="547"/>
      <c r="E34" s="547"/>
      <c r="F34" s="547"/>
      <c r="G34" s="547"/>
      <c r="H34" s="547"/>
      <c r="I34" s="547"/>
      <c r="J34" s="547"/>
      <c r="K34" s="547"/>
      <c r="L34" s="547"/>
      <c r="M34" s="547"/>
      <c r="N34" s="548"/>
      <c r="O34" s="548"/>
      <c r="P34" s="548"/>
      <c r="Q34" s="548"/>
      <c r="R34" s="548"/>
      <c r="S34" s="548"/>
      <c r="T34" s="548"/>
      <c r="U34" s="548"/>
      <c r="V34" s="548"/>
      <c r="W34" s="548"/>
      <c r="X34" s="548"/>
      <c r="Y34" s="548"/>
      <c r="Z34" s="548"/>
      <c r="AA34" s="548"/>
      <c r="AB34" s="548"/>
      <c r="AC34" s="548"/>
      <c r="AD34" s="548"/>
      <c r="AE34" s="548"/>
      <c r="AF34" s="548"/>
      <c r="AG34" s="548"/>
      <c r="AH34" s="549"/>
    </row>
    <row r="35" spans="1:34" ht="15.75" customHeight="1" thickBot="1" x14ac:dyDescent="0.3">
      <c r="A35" s="550"/>
      <c r="B35" s="551"/>
      <c r="C35" s="551"/>
      <c r="D35" s="551"/>
      <c r="E35" s="551"/>
      <c r="F35" s="551"/>
      <c r="G35" s="551"/>
      <c r="H35" s="551"/>
      <c r="I35" s="551"/>
      <c r="J35" s="551"/>
      <c r="K35" s="551"/>
      <c r="L35" s="551"/>
      <c r="M35" s="551"/>
      <c r="N35" s="551"/>
      <c r="O35" s="551"/>
      <c r="P35" s="551"/>
      <c r="Q35" s="551"/>
      <c r="R35" s="551"/>
      <c r="S35" s="551"/>
      <c r="T35" s="551"/>
      <c r="U35" s="551"/>
      <c r="V35" s="551"/>
      <c r="W35" s="551"/>
      <c r="X35" s="551"/>
      <c r="Y35" s="551"/>
      <c r="Z35" s="551"/>
      <c r="AA35" s="551"/>
      <c r="AB35" s="551"/>
      <c r="AC35" s="551"/>
      <c r="AD35" s="551"/>
      <c r="AE35" s="551"/>
      <c r="AF35" s="551"/>
      <c r="AG35" s="551"/>
      <c r="AH35" s="552"/>
    </row>
    <row r="36" spans="1:34" ht="19.5" customHeight="1" thickBot="1" x14ac:dyDescent="0.3">
      <c r="A36" s="556" t="s">
        <v>296</v>
      </c>
      <c r="B36" s="557"/>
      <c r="C36" s="557"/>
      <c r="D36" s="557"/>
      <c r="E36" s="557"/>
      <c r="F36" s="557"/>
      <c r="G36" s="557"/>
      <c r="H36" s="557"/>
      <c r="I36" s="557"/>
      <c r="J36" s="558"/>
      <c r="K36" s="307">
        <f>SUM(K6:K33)</f>
        <v>83</v>
      </c>
      <c r="L36" s="307">
        <f>SUM(L6:L33)</f>
        <v>99</v>
      </c>
      <c r="M36" s="308"/>
      <c r="N36" s="347">
        <f>SUMPRODUCT(K6:K33,N6:N33)/K36</f>
        <v>1</v>
      </c>
      <c r="O36" s="348">
        <f>SUM(O6:O33)</f>
        <v>92</v>
      </c>
      <c r="P36" s="349" t="e">
        <f>SUMPRODUCT(K6:K33,P6:P33)/K36</f>
        <v>#DIV/0!</v>
      </c>
      <c r="Q36" s="309"/>
      <c r="R36" s="310">
        <f t="shared" ref="R36:W36" si="20">SUM(R6:R33)</f>
        <v>75</v>
      </c>
      <c r="S36" s="350">
        <f t="shared" si="20"/>
        <v>75</v>
      </c>
      <c r="T36" s="350">
        <f t="shared" si="20"/>
        <v>75</v>
      </c>
      <c r="U36" s="310">
        <f t="shared" si="20"/>
        <v>0</v>
      </c>
      <c r="V36" s="350">
        <f t="shared" si="20"/>
        <v>0</v>
      </c>
      <c r="W36" s="310">
        <f t="shared" si="20"/>
        <v>0</v>
      </c>
      <c r="X36" s="351">
        <f>IF((S36=0),0,((T36+U36)/S36*100%))</f>
        <v>1</v>
      </c>
      <c r="Y36" s="311"/>
      <c r="Z36" s="352">
        <f>SUM(Z6:Z33)</f>
        <v>90</v>
      </c>
      <c r="AA36" s="353">
        <f>SUM(AA6:AA33)</f>
        <v>90</v>
      </c>
      <c r="AB36" s="353">
        <f>SUM(AB6:AB33)</f>
        <v>0</v>
      </c>
      <c r="AC36" s="353">
        <f>SUM(AC6:AC33)</f>
        <v>0</v>
      </c>
      <c r="AD36" s="353">
        <f>SUM(AD6:AD33)</f>
        <v>0</v>
      </c>
      <c r="AE36" s="354">
        <f>IF((Z36=0),0,((AA36+AB36)/Z36*100%))</f>
        <v>1</v>
      </c>
      <c r="AF36" s="312"/>
      <c r="AG36" s="312"/>
      <c r="AH36" s="313"/>
    </row>
    <row r="37" spans="1:34" x14ac:dyDescent="0.25">
      <c r="Z37" s="413"/>
    </row>
    <row r="38" spans="1:34" x14ac:dyDescent="0.25">
      <c r="J38" s="380"/>
      <c r="L38" s="159" t="s">
        <v>393</v>
      </c>
    </row>
    <row r="39" spans="1:34" x14ac:dyDescent="0.25">
      <c r="J39" s="381"/>
    </row>
    <row r="40" spans="1:34" x14ac:dyDescent="0.25">
      <c r="J40" s="381"/>
    </row>
    <row r="41" spans="1:34" x14ac:dyDescent="0.25">
      <c r="J41" s="381"/>
    </row>
    <row r="42" spans="1:34" x14ac:dyDescent="0.25">
      <c r="J42" s="381"/>
    </row>
    <row r="43" spans="1:34" x14ac:dyDescent="0.25">
      <c r="J43" s="381"/>
    </row>
    <row r="44" spans="1:34" x14ac:dyDescent="0.25">
      <c r="J44" s="381"/>
    </row>
    <row r="45" spans="1:34" x14ac:dyDescent="0.25">
      <c r="J45" s="381"/>
    </row>
    <row r="46" spans="1:34" x14ac:dyDescent="0.25">
      <c r="J46" s="381"/>
    </row>
    <row r="47" spans="1:34" x14ac:dyDescent="0.25">
      <c r="J47" s="381"/>
    </row>
    <row r="48" spans="1:34" x14ac:dyDescent="0.25">
      <c r="J48" s="381"/>
    </row>
    <row r="49" spans="10:10" x14ac:dyDescent="0.25">
      <c r="J49" s="381"/>
    </row>
    <row r="50" spans="10:10" x14ac:dyDescent="0.25">
      <c r="J50" s="381"/>
    </row>
    <row r="51" spans="10:10" x14ac:dyDescent="0.25">
      <c r="J51" s="381"/>
    </row>
    <row r="52" spans="10:10" x14ac:dyDescent="0.25">
      <c r="J52" s="381"/>
    </row>
  </sheetData>
  <sheetProtection insertColumns="0" insertRows="0" deleteRows="0" sort="0"/>
  <autoFilter ref="A5:AH36" xr:uid="{00000000-0001-0000-0200-000000000000}"/>
  <mergeCells count="9">
    <mergeCell ref="A34:AH35"/>
    <mergeCell ref="A1:AH1"/>
    <mergeCell ref="A3:AH3"/>
    <mergeCell ref="A2:J2"/>
    <mergeCell ref="A36:J36"/>
    <mergeCell ref="A4:M4"/>
    <mergeCell ref="N4:P4"/>
    <mergeCell ref="Z4:AH4"/>
    <mergeCell ref="Q4:Y4"/>
  </mergeCells>
  <phoneticPr fontId="30" type="noConversion"/>
  <conditionalFormatting sqref="A30">
    <cfRule type="duplicateValues" dxfId="3" priority="1"/>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Q6:Q33</xm:sqref>
        </x14:dataValidation>
        <x14:dataValidation type="list" allowBlank="1" showInputMessage="1" showErrorMessage="1" xr:uid="{5513F172-4253-4807-A8CE-34D720193895}">
          <x14:formula1>
            <xm:f>'List Options'!$G$1:$G$3</xm:f>
          </x14:formula1>
          <xm:sqref>M6:M33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4"/>
  <sheetViews>
    <sheetView zoomScale="70" zoomScaleNormal="70" workbookViewId="0">
      <pane ySplit="2" topLeftCell="A3" activePane="bottomLeft" state="frozen"/>
      <selection pane="bottomLeft" activeCell="C6" sqref="C6"/>
    </sheetView>
  </sheetViews>
  <sheetFormatPr defaultRowHeight="15" x14ac:dyDescent="0.2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79" t="s">
        <v>394</v>
      </c>
      <c r="B1" s="580"/>
      <c r="C1" s="580"/>
      <c r="D1" s="580"/>
      <c r="E1" s="580"/>
      <c r="F1" s="580"/>
      <c r="G1" s="580"/>
      <c r="H1" s="580"/>
      <c r="I1" s="581"/>
    </row>
    <row r="2" spans="1:9" s="79" customFormat="1" ht="15.75" thickBot="1" x14ac:dyDescent="0.3">
      <c r="A2" s="356" t="s">
        <v>72</v>
      </c>
      <c r="B2" s="357" t="s">
        <v>76</v>
      </c>
      <c r="C2" s="358" t="s">
        <v>91</v>
      </c>
      <c r="D2" s="358" t="s">
        <v>197</v>
      </c>
      <c r="E2" s="359" t="s">
        <v>1</v>
      </c>
    </row>
    <row r="3" spans="1:9" ht="15.75" thickBot="1" x14ac:dyDescent="0.3">
      <c r="A3" s="437" t="s">
        <v>301</v>
      </c>
      <c r="B3" s="438" t="s">
        <v>302</v>
      </c>
      <c r="C3" s="396" t="s">
        <v>254</v>
      </c>
      <c r="D3" s="406" t="s">
        <v>34</v>
      </c>
      <c r="E3" s="407" t="s">
        <v>33</v>
      </c>
      <c r="G3" s="248" t="s">
        <v>72</v>
      </c>
      <c r="H3" s="249" t="s">
        <v>395</v>
      </c>
      <c r="I3" s="364">
        <f>COUNTA(A3:A3897)</f>
        <v>22</v>
      </c>
    </row>
    <row r="4" spans="1:9" ht="15.75" thickBot="1" x14ac:dyDescent="0.3">
      <c r="A4" s="437" t="s">
        <v>307</v>
      </c>
      <c r="B4" s="362" t="s">
        <v>308</v>
      </c>
      <c r="C4" s="360" t="s">
        <v>254</v>
      </c>
      <c r="D4" s="408" t="s">
        <v>34</v>
      </c>
      <c r="E4" s="409" t="s">
        <v>33</v>
      </c>
      <c r="G4" s="571" t="s">
        <v>91</v>
      </c>
      <c r="H4" s="250" t="s">
        <v>396</v>
      </c>
      <c r="I4" s="365">
        <f>COUNTIFS($C3:$C3897,"P1")</f>
        <v>15</v>
      </c>
    </row>
    <row r="5" spans="1:9" ht="15.75" thickBot="1" x14ac:dyDescent="0.3">
      <c r="A5" s="437" t="s">
        <v>311</v>
      </c>
      <c r="B5" s="362" t="s">
        <v>312</v>
      </c>
      <c r="C5" s="360" t="s">
        <v>275</v>
      </c>
      <c r="D5" s="408" t="s">
        <v>34</v>
      </c>
      <c r="E5" s="409" t="s">
        <v>33</v>
      </c>
      <c r="G5" s="572"/>
      <c r="H5" s="251" t="s">
        <v>397</v>
      </c>
      <c r="I5" s="366">
        <f>COUNTIFS($C3:$C3897,"P2")</f>
        <v>7</v>
      </c>
    </row>
    <row r="6" spans="1:9" ht="15.75" thickBot="1" x14ac:dyDescent="0.3">
      <c r="A6" s="437" t="s">
        <v>316</v>
      </c>
      <c r="B6" s="362" t="s">
        <v>317</v>
      </c>
      <c r="C6" s="360" t="s">
        <v>275</v>
      </c>
      <c r="D6" s="408" t="s">
        <v>34</v>
      </c>
      <c r="E6" s="409" t="s">
        <v>33</v>
      </c>
      <c r="G6" s="573"/>
      <c r="H6" s="252" t="s">
        <v>398</v>
      </c>
      <c r="I6" s="367">
        <f>COUNTIFS($C3:$C3897,"P3")</f>
        <v>0</v>
      </c>
    </row>
    <row r="7" spans="1:9" ht="15.75" thickBot="1" x14ac:dyDescent="0.3">
      <c r="A7" s="437" t="s">
        <v>320</v>
      </c>
      <c r="B7" s="362" t="s">
        <v>321</v>
      </c>
      <c r="C7" s="360" t="s">
        <v>275</v>
      </c>
      <c r="D7" s="408" t="s">
        <v>34</v>
      </c>
      <c r="E7" s="409" t="s">
        <v>33</v>
      </c>
      <c r="G7" s="574" t="s">
        <v>197</v>
      </c>
      <c r="H7" s="250" t="s">
        <v>399</v>
      </c>
      <c r="I7" s="365">
        <f>COUNTIFS($D3:$D3897,"Diagnostics")</f>
        <v>22</v>
      </c>
    </row>
    <row r="8" spans="1:9" ht="15.75" thickBot="1" x14ac:dyDescent="0.3">
      <c r="A8" s="437" t="s">
        <v>324</v>
      </c>
      <c r="B8" s="362" t="s">
        <v>325</v>
      </c>
      <c r="C8" s="360" t="s">
        <v>254</v>
      </c>
      <c r="D8" s="408" t="s">
        <v>34</v>
      </c>
      <c r="E8" s="409" t="s">
        <v>33</v>
      </c>
      <c r="G8" s="575"/>
      <c r="H8" s="251" t="s">
        <v>400</v>
      </c>
      <c r="I8" s="366">
        <f>COUNTIFS($D3:$D3897,"Driver")</f>
        <v>0</v>
      </c>
    </row>
    <row r="9" spans="1:9" ht="15.75" thickBot="1" x14ac:dyDescent="0.3">
      <c r="A9" s="437" t="s">
        <v>331</v>
      </c>
      <c r="B9" s="362" t="s">
        <v>332</v>
      </c>
      <c r="C9" s="360" t="s">
        <v>254</v>
      </c>
      <c r="D9" s="408" t="s">
        <v>34</v>
      </c>
      <c r="E9" s="409" t="s">
        <v>33</v>
      </c>
      <c r="G9" s="575"/>
      <c r="H9" s="251" t="s">
        <v>401</v>
      </c>
      <c r="I9" s="366">
        <f>COUNTIFS($D3:$D3897,"IPSE")</f>
        <v>0</v>
      </c>
    </row>
    <row r="10" spans="1:9" ht="30.75" thickBot="1" x14ac:dyDescent="0.3">
      <c r="A10" s="285" t="s">
        <v>336</v>
      </c>
      <c r="B10" s="441" t="s">
        <v>337</v>
      </c>
      <c r="C10" s="360" t="s">
        <v>254</v>
      </c>
      <c r="D10" s="408" t="s">
        <v>34</v>
      </c>
      <c r="E10" s="409" t="s">
        <v>33</v>
      </c>
      <c r="G10" s="576"/>
      <c r="H10" s="252" t="s">
        <v>402</v>
      </c>
      <c r="I10" s="367">
        <f>COUNTIFS($D3:$D3897,"N/A")</f>
        <v>0</v>
      </c>
    </row>
    <row r="11" spans="1:9" ht="15.75" thickBot="1" x14ac:dyDescent="0.3">
      <c r="A11" s="437" t="s">
        <v>340</v>
      </c>
      <c r="B11" s="362" t="s">
        <v>341</v>
      </c>
      <c r="C11" s="360" t="s">
        <v>254</v>
      </c>
      <c r="D11" s="408" t="s">
        <v>34</v>
      </c>
      <c r="E11" s="409" t="s">
        <v>33</v>
      </c>
      <c r="G11" s="574" t="s">
        <v>1</v>
      </c>
      <c r="H11" s="250" t="s">
        <v>403</v>
      </c>
      <c r="I11" s="365">
        <f>COUNTIFS($E3:$E3897,"Legacy")</f>
        <v>18</v>
      </c>
    </row>
    <row r="12" spans="1:9" ht="15.75" thickBot="1" x14ac:dyDescent="0.3">
      <c r="A12" s="437" t="s">
        <v>344</v>
      </c>
      <c r="B12" s="484" t="s">
        <v>345</v>
      </c>
      <c r="C12" s="360" t="s">
        <v>254</v>
      </c>
      <c r="D12" s="408" t="s">
        <v>34</v>
      </c>
      <c r="E12" s="409" t="s">
        <v>33</v>
      </c>
      <c r="G12" s="575"/>
      <c r="H12" s="251" t="s">
        <v>404</v>
      </c>
      <c r="I12" s="366">
        <f>COUNTIFS($E3:$E3897,"Delta")</f>
        <v>4</v>
      </c>
    </row>
    <row r="13" spans="1:9" ht="15.75" thickBot="1" x14ac:dyDescent="0.3">
      <c r="A13" s="437" t="s">
        <v>348</v>
      </c>
      <c r="B13" s="484" t="s">
        <v>349</v>
      </c>
      <c r="C13" s="360" t="s">
        <v>254</v>
      </c>
      <c r="D13" s="408" t="s">
        <v>34</v>
      </c>
      <c r="E13" s="409" t="s">
        <v>33</v>
      </c>
      <c r="G13" s="576"/>
      <c r="H13" s="252" t="s">
        <v>405</v>
      </c>
      <c r="I13" s="367">
        <f>COUNTIFS($E3:$E3897,"New")</f>
        <v>0</v>
      </c>
    </row>
    <row r="14" spans="1:9" ht="15.75" thickBot="1" x14ac:dyDescent="0.3">
      <c r="A14" s="437" t="s">
        <v>352</v>
      </c>
      <c r="B14" s="484" t="s">
        <v>353</v>
      </c>
      <c r="C14" s="360" t="s">
        <v>254</v>
      </c>
      <c r="D14" s="408" t="s">
        <v>34</v>
      </c>
      <c r="E14" s="409" t="s">
        <v>33</v>
      </c>
      <c r="G14" s="316" t="s">
        <v>202</v>
      </c>
      <c r="H14" s="577"/>
      <c r="I14" s="578"/>
    </row>
    <row r="15" spans="1:9" x14ac:dyDescent="0.25">
      <c r="A15" s="437" t="s">
        <v>356</v>
      </c>
      <c r="B15" s="484" t="s">
        <v>357</v>
      </c>
      <c r="C15" s="360" t="s">
        <v>275</v>
      </c>
      <c r="D15" s="408" t="s">
        <v>34</v>
      </c>
      <c r="E15" s="409" t="s">
        <v>33</v>
      </c>
    </row>
    <row r="16" spans="1:9" x14ac:dyDescent="0.25">
      <c r="A16" s="437" t="s">
        <v>359</v>
      </c>
      <c r="B16" s="415" t="s">
        <v>360</v>
      </c>
      <c r="C16" s="360" t="s">
        <v>254</v>
      </c>
      <c r="D16" s="408" t="s">
        <v>34</v>
      </c>
      <c r="E16" s="409" t="s">
        <v>38</v>
      </c>
    </row>
    <row r="17" spans="1:5" x14ac:dyDescent="0.25">
      <c r="A17" s="490" t="s">
        <v>362</v>
      </c>
      <c r="B17" s="415" t="s">
        <v>363</v>
      </c>
      <c r="C17" s="360" t="s">
        <v>254</v>
      </c>
      <c r="D17" s="408" t="s">
        <v>34</v>
      </c>
      <c r="E17" s="409" t="s">
        <v>38</v>
      </c>
    </row>
    <row r="18" spans="1:5" x14ac:dyDescent="0.25">
      <c r="A18" s="490" t="s">
        <v>365</v>
      </c>
      <c r="B18" s="415" t="s">
        <v>366</v>
      </c>
      <c r="C18" s="360" t="s">
        <v>254</v>
      </c>
      <c r="D18" s="408" t="s">
        <v>34</v>
      </c>
      <c r="E18" s="409" t="s">
        <v>38</v>
      </c>
    </row>
    <row r="19" spans="1:5" x14ac:dyDescent="0.25">
      <c r="A19" s="490" t="s">
        <v>367</v>
      </c>
      <c r="B19" s="415" t="s">
        <v>368</v>
      </c>
      <c r="C19" s="360" t="s">
        <v>275</v>
      </c>
      <c r="D19" s="408" t="s">
        <v>34</v>
      </c>
      <c r="E19" s="409" t="s">
        <v>33</v>
      </c>
    </row>
    <row r="20" spans="1:5" x14ac:dyDescent="0.25">
      <c r="A20" s="490" t="s">
        <v>369</v>
      </c>
      <c r="B20" s="415" t="s">
        <v>370</v>
      </c>
      <c r="C20" s="360" t="s">
        <v>254</v>
      </c>
      <c r="D20" s="408" t="s">
        <v>34</v>
      </c>
      <c r="E20" s="409" t="s">
        <v>33</v>
      </c>
    </row>
    <row r="21" spans="1:5" x14ac:dyDescent="0.25">
      <c r="A21" s="490" t="s">
        <v>372</v>
      </c>
      <c r="B21" s="415" t="s">
        <v>373</v>
      </c>
      <c r="C21" s="360" t="s">
        <v>275</v>
      </c>
      <c r="D21" s="408" t="s">
        <v>34</v>
      </c>
      <c r="E21" s="409" t="s">
        <v>33</v>
      </c>
    </row>
    <row r="22" spans="1:5" x14ac:dyDescent="0.25">
      <c r="A22" s="490" t="s">
        <v>375</v>
      </c>
      <c r="B22" s="415" t="s">
        <v>376</v>
      </c>
      <c r="C22" s="360" t="s">
        <v>254</v>
      </c>
      <c r="D22" s="408" t="s">
        <v>34</v>
      </c>
      <c r="E22" s="409" t="s">
        <v>33</v>
      </c>
    </row>
    <row r="23" spans="1:5" ht="30" x14ac:dyDescent="0.25">
      <c r="A23" s="485" t="s">
        <v>378</v>
      </c>
      <c r="B23" s="484" t="s">
        <v>379</v>
      </c>
      <c r="C23" s="360" t="s">
        <v>254</v>
      </c>
      <c r="D23" s="408" t="s">
        <v>34</v>
      </c>
      <c r="E23" s="409" t="s">
        <v>38</v>
      </c>
    </row>
    <row r="24" spans="1:5" x14ac:dyDescent="0.25">
      <c r="A24" s="490" t="s">
        <v>381</v>
      </c>
      <c r="B24" s="484" t="s">
        <v>382</v>
      </c>
      <c r="C24" s="360" t="s">
        <v>275</v>
      </c>
      <c r="D24" s="408" t="s">
        <v>34</v>
      </c>
      <c r="E24" s="409" t="s">
        <v>33</v>
      </c>
    </row>
  </sheetData>
  <autoFilter ref="A2:E15" xr:uid="{2E753270-8E41-4CC5-97C2-EE4540C41FD1}"/>
  <mergeCells count="5">
    <mergeCell ref="G4:G6"/>
    <mergeCell ref="G7:G10"/>
    <mergeCell ref="G11:G13"/>
    <mergeCell ref="H14:I14"/>
    <mergeCell ref="A1:I1"/>
  </mergeCells>
  <phoneticPr fontId="30" type="noConversion"/>
  <conditionalFormatting sqref="A23">
    <cfRule type="duplicateValues" dxfId="2" priority="1"/>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D3:D24</xm:sqref>
        </x14:dataValidation>
        <x14:dataValidation type="list" allowBlank="1" showInputMessage="1" showErrorMessage="1" xr:uid="{AA1AC074-A7B7-4C8D-9132-118B458773B2}">
          <x14:formula1>
            <xm:f>'List Options'!$G$1:$G$3</xm:f>
          </x14:formula1>
          <xm:sqref>E3:E24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pane xSplit="1" ySplit="3" topLeftCell="B14" activePane="bottomRight" state="frozen"/>
      <selection pane="topRight" activeCell="B1" sqref="B1"/>
      <selection pane="bottomLeft" activeCell="A4" sqref="A4"/>
      <selection pane="bottomRight" activeCell="A5" sqref="A5"/>
    </sheetView>
  </sheetViews>
  <sheetFormatPr defaultRowHeight="15" x14ac:dyDescent="0.2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x14ac:dyDescent="0.3">
      <c r="A1" s="582" t="s">
        <v>406</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7" t="s">
        <v>407</v>
      </c>
      <c r="B2" s="585" t="s">
        <v>161</v>
      </c>
      <c r="C2" s="585"/>
      <c r="D2" s="585"/>
      <c r="E2" s="585"/>
      <c r="F2" s="585"/>
      <c r="G2" s="586" t="s">
        <v>172</v>
      </c>
      <c r="H2" s="587"/>
      <c r="I2" s="587"/>
      <c r="J2" s="587"/>
      <c r="K2" s="587"/>
      <c r="L2" s="587"/>
      <c r="M2" s="587"/>
      <c r="N2" s="588"/>
      <c r="O2" s="589" t="s">
        <v>139</v>
      </c>
      <c r="P2" s="590"/>
      <c r="Q2" s="590"/>
      <c r="R2" s="590"/>
      <c r="S2" s="590"/>
      <c r="T2" s="590"/>
      <c r="U2" s="590"/>
      <c r="V2" s="591"/>
    </row>
    <row r="3" spans="1:22" s="211" customFormat="1" ht="30.75" thickBot="1" x14ac:dyDescent="0.3">
      <c r="A3" s="213" t="s">
        <v>83</v>
      </c>
      <c r="B3" s="270" t="s">
        <v>162</v>
      </c>
      <c r="C3" s="271" t="s">
        <v>123</v>
      </c>
      <c r="D3" s="272" t="s">
        <v>100</v>
      </c>
      <c r="E3" s="272" t="s">
        <v>168</v>
      </c>
      <c r="F3" s="273" t="s">
        <v>170</v>
      </c>
      <c r="G3" s="274" t="s">
        <v>127</v>
      </c>
      <c r="H3" s="275" t="s">
        <v>30</v>
      </c>
      <c r="I3" s="275" t="s">
        <v>130</v>
      </c>
      <c r="J3" s="275" t="s">
        <v>35</v>
      </c>
      <c r="K3" s="275" t="s">
        <v>133</v>
      </c>
      <c r="L3" s="275" t="s">
        <v>179</v>
      </c>
      <c r="M3" s="275" t="s">
        <v>135</v>
      </c>
      <c r="N3" s="276" t="s">
        <v>182</v>
      </c>
      <c r="O3" s="277" t="s">
        <v>127</v>
      </c>
      <c r="P3" s="278" t="s">
        <v>30</v>
      </c>
      <c r="Q3" s="278" t="s">
        <v>130</v>
      </c>
      <c r="R3" s="278" t="s">
        <v>35</v>
      </c>
      <c r="S3" s="278" t="s">
        <v>133</v>
      </c>
      <c r="T3" s="278" t="s">
        <v>179</v>
      </c>
      <c r="U3" s="278" t="s">
        <v>135</v>
      </c>
      <c r="V3" s="279" t="s">
        <v>182</v>
      </c>
    </row>
    <row r="4" spans="1:22" x14ac:dyDescent="0.25">
      <c r="A4" s="289" t="s">
        <v>408</v>
      </c>
      <c r="B4" s="212">
        <f>SUMIFS('Diags Raw Data'!$L$6:$L$4650,'Diags Raw Data'!$D$6:$D$4650,$A4)</f>
        <v>0</v>
      </c>
      <c r="C4" s="207">
        <f>SUMIFS('Diags Raw Data'!$R$6:$R$4650,'Diags Raw Data'!$D$6:$D$4650,$A4)</f>
        <v>0</v>
      </c>
      <c r="D4" s="207">
        <f>SUMIFS('Diags Raw Data'!$K$6:$K$4650,'Diags Raw Data'!$D$6:$D$4650,$A4)</f>
        <v>0</v>
      </c>
      <c r="E4" s="207">
        <f>SUMIFS('Diags Raw Data'!$O$6:$O$4650,'Diags Raw Data'!$D$6:$D$4650,$A4)</f>
        <v>0</v>
      </c>
      <c r="F4" s="210" t="str">
        <f t="shared" ref="F4:F8" si="0">IF(NOT($B4=0), E4/$B4, "---")</f>
        <v>---</v>
      </c>
      <c r="G4" s="203">
        <f>SUMIFS('Diags Raw Data'!$S$6:$S$4650,'Diags Raw Data'!$D$6:$D$4650,$A4)</f>
        <v>0</v>
      </c>
      <c r="H4" s="199">
        <f>SUMIFS('Diags Raw Data'!$T$6:$T$4650,'Diags Raw Data'!$D$6:$D$4650,$A4)</f>
        <v>0</v>
      </c>
      <c r="I4" s="200">
        <f>SUMIFS('Diags Raw Data'!$U$6:$U$4650,'Diags Raw Data'!$D$6:$D$4650,$A4)</f>
        <v>0</v>
      </c>
      <c r="J4" s="199">
        <f>SUMIFS('Diags Raw Data'!$V$6:$V$4650,'Diags Raw Data'!$D$6:$D$4650,$A4)</f>
        <v>0</v>
      </c>
      <c r="K4" s="200">
        <f>SUMIFS('Diags Raw Data'!$W$6:$W$4650,'Diags Raw Data'!$D$6:$D$4650,$A4)</f>
        <v>0</v>
      </c>
      <c r="L4" s="208" t="str">
        <f t="shared" ref="L4:L8" si="1">IF(NOT($C4=0), G4/$C4, "---")</f>
        <v>---</v>
      </c>
      <c r="M4" s="201" t="str">
        <f t="shared" ref="M4:M8" si="2">IF(NOT($G4=0), (H4+I4)/$G4, "---")</f>
        <v>---</v>
      </c>
      <c r="N4" s="205" t="str">
        <f t="shared" ref="N4:N8" si="3">IF(NOT($C4=0), (H4+I4)/$C4, "---")</f>
        <v>---</v>
      </c>
      <c r="O4" s="194">
        <f>SUMIFS('Diags Raw Data'!$Z$6:$Z$4650,'Diags Raw Data'!$D$6:$D$4650,$A4)</f>
        <v>0</v>
      </c>
      <c r="P4" s="191">
        <f>SUMIFS('Diags Raw Data'!$AA$6:$AA$4650,'Diags Raw Data'!$D$6:$D$4650,$A4)</f>
        <v>0</v>
      </c>
      <c r="Q4" s="193">
        <f>SUMIFS('Diags Raw Data'!$AB$6:$AB$4650,'Diags Raw Data'!$D$6:$D$4650,$A4)</f>
        <v>0</v>
      </c>
      <c r="R4" s="191">
        <f>SUMIFS('Diags Raw Data'!$AC$6:$AC$4650,'Diags Raw Data'!$D$6:$D$4650,$A4)</f>
        <v>0</v>
      </c>
      <c r="S4" s="193">
        <f>SUMIFS('Diags Raw Data'!$AD$6:$AD$4650,'Diags Raw Data'!$D$6:$D$4650,$A4)</f>
        <v>0</v>
      </c>
      <c r="T4" s="192" t="str">
        <f t="shared" ref="T4:T8" si="4">IF(NOT($B4=0), O4/$B4, "---")</f>
        <v>---</v>
      </c>
      <c r="U4" s="202" t="str">
        <f t="shared" ref="U4:U8" si="5">IF(NOT($O4=0), (P4+Q4)/$O4, "---")</f>
        <v>---</v>
      </c>
      <c r="V4" s="204" t="str">
        <f t="shared" ref="V4:V8" si="6">IF(NOT($B4=0), (P4+Q4)/$B4, "---")</f>
        <v>---</v>
      </c>
    </row>
    <row r="5" spans="1:22" x14ac:dyDescent="0.25">
      <c r="A5" s="289" t="s">
        <v>409</v>
      </c>
      <c r="B5" s="212">
        <f>SUMIFS('Diags Raw Data'!$L$6:$L$4650,'Diags Raw Data'!$D$6:$D$4650,$A5)</f>
        <v>0</v>
      </c>
      <c r="C5" s="207">
        <f>SUMIFS('Diags Raw Data'!$R$6:$R$4650,'Diags Raw Data'!$D$6:$D$4650,$A5)</f>
        <v>0</v>
      </c>
      <c r="D5" s="207">
        <f>SUMIFS('Diags Raw Data'!$K$6:$K$4650,'Diags Raw Data'!$D$6:$D$4650,$A5)</f>
        <v>0</v>
      </c>
      <c r="E5" s="207">
        <f>SUMIFS('Diags Raw Data'!$O$6:$O$4650,'Diags Raw Data'!$D$6:$D$4650,$A5)</f>
        <v>0</v>
      </c>
      <c r="F5" s="210" t="str">
        <f t="shared" si="0"/>
        <v>---</v>
      </c>
      <c r="G5" s="203">
        <f>SUMIFS('Diags Raw Data'!$S$6:$S$4650,'Diags Raw Data'!$D$6:$D$4650,$A5)</f>
        <v>0</v>
      </c>
      <c r="H5" s="199">
        <f>SUMIFS('Diags Raw Data'!$T$6:$T$4650,'Diags Raw Data'!$D$6:$D$4650,$A5)</f>
        <v>0</v>
      </c>
      <c r="I5" s="200">
        <f>SUMIFS('Diags Raw Data'!$U$6:$U$4650,'Diags Raw Data'!$D$6:$D$4650,$A5)</f>
        <v>0</v>
      </c>
      <c r="J5" s="199">
        <f>SUMIFS('Diags Raw Data'!$V$6:$V$4650,'Diags Raw Data'!$D$6:$D$4650,$A5)</f>
        <v>0</v>
      </c>
      <c r="K5" s="200">
        <f>SUMIFS('Diags Raw Data'!$W$6:$W$4650,'Diags Raw Data'!$D$6:$D$4650,$A5)</f>
        <v>0</v>
      </c>
      <c r="L5" s="208" t="str">
        <f t="shared" si="1"/>
        <v>---</v>
      </c>
      <c r="M5" s="201" t="str">
        <f t="shared" si="2"/>
        <v>---</v>
      </c>
      <c r="N5" s="205" t="str">
        <f t="shared" si="3"/>
        <v>---</v>
      </c>
      <c r="O5" s="194">
        <f>SUMIFS('Diags Raw Data'!$Z$6:$Z$4650,'Diags Raw Data'!$D$6:$D$4650,$A5)</f>
        <v>0</v>
      </c>
      <c r="P5" s="191">
        <f>SUMIFS('Diags Raw Data'!$AA$6:$AA$4650,'Diags Raw Data'!$D$6:$D$4650,$A5)</f>
        <v>0</v>
      </c>
      <c r="Q5" s="193">
        <f>SUMIFS('Diags Raw Data'!$AB$6:$AB$4650,'Diags Raw Data'!$D$6:$D$4650,$A5)</f>
        <v>0</v>
      </c>
      <c r="R5" s="191">
        <f>SUMIFS('Diags Raw Data'!$AC$6:$AC$4650,'Diags Raw Data'!$D$6:$D$4650,$A5)</f>
        <v>0</v>
      </c>
      <c r="S5" s="193">
        <f>SUMIFS('Diags Raw Data'!$AD$6:$AD$4650,'Diags Raw Data'!$D$6:$D$4650,$A5)</f>
        <v>0</v>
      </c>
      <c r="T5" s="192" t="str">
        <f t="shared" si="4"/>
        <v>---</v>
      </c>
      <c r="U5" s="202" t="str">
        <f t="shared" si="5"/>
        <v>---</v>
      </c>
      <c r="V5" s="204" t="str">
        <f t="shared" si="6"/>
        <v>---</v>
      </c>
    </row>
    <row r="6" spans="1:22" x14ac:dyDescent="0.25">
      <c r="A6" s="289" t="s">
        <v>304</v>
      </c>
      <c r="B6" s="212">
        <f>SUMIFS('Diags Raw Data'!$L$6:$L$4650,'Diags Raw Data'!$D$6:$D$4650,$A6)</f>
        <v>99</v>
      </c>
      <c r="C6" s="207">
        <f>SUMIFS('Diags Raw Data'!$R$6:$R$4650,'Diags Raw Data'!$D$6:$D$4650,$A6)</f>
        <v>75</v>
      </c>
      <c r="D6" s="207">
        <f>SUMIFS('Diags Raw Data'!$K$6:$K$4650,'Diags Raw Data'!$D$6:$D$4650,$A6)</f>
        <v>83</v>
      </c>
      <c r="E6" s="207">
        <f>SUMIFS('Diags Raw Data'!$O$6:$O$4650,'Diags Raw Data'!$D$6:$D$4650,$A6)</f>
        <v>92</v>
      </c>
      <c r="F6" s="210">
        <f t="shared" si="0"/>
        <v>0.92929292929292928</v>
      </c>
      <c r="G6" s="203">
        <f>SUMIFS('Diags Raw Data'!$S$6:$S$4650,'Diags Raw Data'!$D$6:$D$4650,$A6)</f>
        <v>75</v>
      </c>
      <c r="H6" s="199">
        <f>SUMIFS('Diags Raw Data'!$T$6:$T$4650,'Diags Raw Data'!$D$6:$D$4650,$A6)</f>
        <v>75</v>
      </c>
      <c r="I6" s="200">
        <f>SUMIFS('Diags Raw Data'!$U$6:$U$4650,'Diags Raw Data'!$D$6:$D$4650,$A6)</f>
        <v>0</v>
      </c>
      <c r="J6" s="199">
        <f>SUMIFS('Diags Raw Data'!$V$6:$V$4650,'Diags Raw Data'!$D$6:$D$4650,$A6)</f>
        <v>0</v>
      </c>
      <c r="K6" s="200">
        <f>SUMIFS('Diags Raw Data'!$W$6:$W$4650,'Diags Raw Data'!$D$6:$D$4650,$A6)</f>
        <v>0</v>
      </c>
      <c r="L6" s="208">
        <f t="shared" si="1"/>
        <v>1</v>
      </c>
      <c r="M6" s="201">
        <f t="shared" si="2"/>
        <v>1</v>
      </c>
      <c r="N6" s="205">
        <f t="shared" si="3"/>
        <v>1</v>
      </c>
      <c r="O6" s="194">
        <f>SUMIFS('Diags Raw Data'!$Z$6:$Z$4650,'Diags Raw Data'!$D$6:$D$4650,$A6)</f>
        <v>90</v>
      </c>
      <c r="P6" s="191">
        <f>SUMIFS('Diags Raw Data'!$AA$6:$AA$4650,'Diags Raw Data'!$D$6:$D$4650,$A6)</f>
        <v>90</v>
      </c>
      <c r="Q6" s="193">
        <f>SUMIFS('Diags Raw Data'!$AB$6:$AB$4650,'Diags Raw Data'!$D$6:$D$4650,$A6)</f>
        <v>0</v>
      </c>
      <c r="R6" s="191">
        <f>SUMIFS('Diags Raw Data'!$AC$6:$AC$4650,'Diags Raw Data'!$D$6:$D$4650,$A6)</f>
        <v>0</v>
      </c>
      <c r="S6" s="193">
        <f>SUMIFS('Diags Raw Data'!$AD$6:$AD$4650,'Diags Raw Data'!$D$6:$D$4650,$A6)</f>
        <v>0</v>
      </c>
      <c r="T6" s="192">
        <f t="shared" si="4"/>
        <v>0.90909090909090906</v>
      </c>
      <c r="U6" s="202">
        <f t="shared" si="5"/>
        <v>1</v>
      </c>
      <c r="V6" s="204">
        <f t="shared" si="6"/>
        <v>0.90909090909090906</v>
      </c>
    </row>
    <row r="7" spans="1:22" x14ac:dyDescent="0.25">
      <c r="A7" s="289" t="s">
        <v>410</v>
      </c>
      <c r="B7" s="212">
        <f>SUMIFS('Diags Raw Data'!$L$6:$L$4650,'Diags Raw Data'!$D$6:$D$4650,$A7)</f>
        <v>0</v>
      </c>
      <c r="C7" s="207">
        <f>SUMIFS('Diags Raw Data'!$R$6:$R$4650,'Diags Raw Data'!$D$6:$D$4650,$A7)</f>
        <v>0</v>
      </c>
      <c r="D7" s="207">
        <f>SUMIFS('Diags Raw Data'!$K$6:$K$4650,'Diags Raw Data'!$D$6:$D$4650,$A7)</f>
        <v>0</v>
      </c>
      <c r="E7" s="207">
        <f>SUMIFS('Diags Raw Data'!$O$6:$O$4650,'Diags Raw Data'!$D$6:$D$4650,$A7)</f>
        <v>0</v>
      </c>
      <c r="F7" s="210" t="str">
        <f t="shared" si="0"/>
        <v>---</v>
      </c>
      <c r="G7" s="203">
        <f>SUMIFS('Diags Raw Data'!$S$6:$S$4650,'Diags Raw Data'!$D$6:$D$4650,$A7)</f>
        <v>0</v>
      </c>
      <c r="H7" s="199">
        <f>SUMIFS('Diags Raw Data'!$T$6:$T$4650,'Diags Raw Data'!$D$6:$D$4650,$A7)</f>
        <v>0</v>
      </c>
      <c r="I7" s="200">
        <f>SUMIFS('Diags Raw Data'!$U$6:$U$4650,'Diags Raw Data'!$D$6:$D$4650,$A7)</f>
        <v>0</v>
      </c>
      <c r="J7" s="199">
        <f>SUMIFS('Diags Raw Data'!$V$6:$V$4650,'Diags Raw Data'!$D$6:$D$4650,$A7)</f>
        <v>0</v>
      </c>
      <c r="K7" s="200">
        <f>SUMIFS('Diags Raw Data'!$W$6:$W$4650,'Diags Raw Data'!$D$6:$D$4650,$A7)</f>
        <v>0</v>
      </c>
      <c r="L7" s="208" t="str">
        <f t="shared" si="1"/>
        <v>---</v>
      </c>
      <c r="M7" s="201" t="str">
        <f t="shared" si="2"/>
        <v>---</v>
      </c>
      <c r="N7" s="205" t="str">
        <f t="shared" si="3"/>
        <v>---</v>
      </c>
      <c r="O7" s="194">
        <f>SUMIFS('Diags Raw Data'!$Z$6:$Z$4650,'Diags Raw Data'!$D$6:$D$4650,$A7)</f>
        <v>0</v>
      </c>
      <c r="P7" s="191">
        <f>SUMIFS('Diags Raw Data'!$AA$6:$AA$4650,'Diags Raw Data'!$D$6:$D$4650,$A7)</f>
        <v>0</v>
      </c>
      <c r="Q7" s="193">
        <f>SUMIFS('Diags Raw Data'!$AB$6:$AB$4650,'Diags Raw Data'!$D$6:$D$4650,$A7)</f>
        <v>0</v>
      </c>
      <c r="R7" s="191">
        <f>SUMIFS('Diags Raw Data'!$AC$6:$AC$4650,'Diags Raw Data'!$D$6:$D$4650,$A7)</f>
        <v>0</v>
      </c>
      <c r="S7" s="193">
        <f>SUMIFS('Diags Raw Data'!$AD$6:$AD$4650,'Diags Raw Data'!$D$6:$D$4650,$A7)</f>
        <v>0</v>
      </c>
      <c r="T7" s="192" t="str">
        <f t="shared" si="4"/>
        <v>---</v>
      </c>
      <c r="U7" s="202" t="str">
        <f t="shared" si="5"/>
        <v>---</v>
      </c>
      <c r="V7" s="204" t="str">
        <f t="shared" si="6"/>
        <v>---</v>
      </c>
    </row>
    <row r="8" spans="1:22" x14ac:dyDescent="0.25">
      <c r="A8" s="289" t="s">
        <v>411</v>
      </c>
      <c r="B8" s="212">
        <f>SUMIFS('Diags Raw Data'!$L$6:$L$4650,'Diags Raw Data'!$D$6:$D$4650,$A8)</f>
        <v>0</v>
      </c>
      <c r="C8" s="207">
        <f>SUMIFS('Diags Raw Data'!$R$6:$R$4650,'Diags Raw Data'!$D$6:$D$4650,$A8)</f>
        <v>0</v>
      </c>
      <c r="D8" s="207">
        <f>SUMIFS('Diags Raw Data'!$K$6:$K$4650,'Diags Raw Data'!$D$6:$D$4650,$A8)</f>
        <v>0</v>
      </c>
      <c r="E8" s="207">
        <f>SUMIFS('Diags Raw Data'!$O$6:$O$4650,'Diags Raw Data'!$D$6:$D$4650,$A8)</f>
        <v>0</v>
      </c>
      <c r="F8" s="210" t="str">
        <f t="shared" si="0"/>
        <v>---</v>
      </c>
      <c r="G8" s="203">
        <f>SUMIFS('Diags Raw Data'!$S$6:$S$4650,'Diags Raw Data'!$D$6:$D$4650,$A8)</f>
        <v>0</v>
      </c>
      <c r="H8" s="199">
        <f>SUMIFS('Diags Raw Data'!$T$6:$T$4650,'Diags Raw Data'!$D$6:$D$4650,$A8)</f>
        <v>0</v>
      </c>
      <c r="I8" s="200">
        <f>SUMIFS('Diags Raw Data'!$U$6:$U$4650,'Diags Raw Data'!$D$6:$D$4650,$A8)</f>
        <v>0</v>
      </c>
      <c r="J8" s="199">
        <f>SUMIFS('Diags Raw Data'!$V$6:$V$4650,'Diags Raw Data'!$D$6:$D$4650,$A8)</f>
        <v>0</v>
      </c>
      <c r="K8" s="200">
        <f>SUMIFS('Diags Raw Data'!$W$6:$W$4650,'Diags Raw Data'!$D$6:$D$4650,$A8)</f>
        <v>0</v>
      </c>
      <c r="L8" s="208" t="str">
        <f t="shared" si="1"/>
        <v>---</v>
      </c>
      <c r="M8" s="201" t="str">
        <f t="shared" si="2"/>
        <v>---</v>
      </c>
      <c r="N8" s="205" t="str">
        <f t="shared" si="3"/>
        <v>---</v>
      </c>
      <c r="O8" s="194">
        <f>SUMIFS('Diags Raw Data'!$Z$6:$Z$4650,'Diags Raw Data'!$D$6:$D$4650,$A8)</f>
        <v>0</v>
      </c>
      <c r="P8" s="191">
        <f>SUMIFS('Diags Raw Data'!$AA$6:$AA$4650,'Diags Raw Data'!$D$6:$D$4650,$A8)</f>
        <v>0</v>
      </c>
      <c r="Q8" s="193">
        <f>SUMIFS('Diags Raw Data'!$AB$6:$AB$4650,'Diags Raw Data'!$D$6:$D$4650,$A8)</f>
        <v>0</v>
      </c>
      <c r="R8" s="191">
        <f>SUMIFS('Diags Raw Data'!$AC$6:$AC$4650,'Diags Raw Data'!$D$6:$D$4650,$A8)</f>
        <v>0</v>
      </c>
      <c r="S8" s="193">
        <f>SUMIFS('Diags Raw Data'!$AD$6:$AD$4650,'Diags Raw Data'!$D$6:$D$4650,$A8)</f>
        <v>0</v>
      </c>
      <c r="T8" s="192" t="str">
        <f t="shared" si="4"/>
        <v>---</v>
      </c>
      <c r="U8" s="202" t="str">
        <f t="shared" si="5"/>
        <v>---</v>
      </c>
      <c r="V8" s="204" t="str">
        <f t="shared" si="6"/>
        <v>---</v>
      </c>
    </row>
    <row r="9" spans="1:22" x14ac:dyDescent="0.25">
      <c r="A9" s="289" t="s">
        <v>412</v>
      </c>
      <c r="B9" s="212">
        <f>SUMIFS('Diags Raw Data'!$L$6:$L$4650,'Diags Raw Data'!$D$6:$D$4650,$A9)</f>
        <v>0</v>
      </c>
      <c r="C9" s="207">
        <f>SUMIFS('Diags Raw Data'!$R$6:$R$4650,'Diags Raw Data'!$D$6:$D$4650,$A9)</f>
        <v>0</v>
      </c>
      <c r="D9" s="207">
        <f>SUMIFS('Diags Raw Data'!$K$6:$K$4650,'Diags Raw Data'!$D$6:$D$4650,$A9)</f>
        <v>0</v>
      </c>
      <c r="E9" s="207">
        <f>SUMIFS('Diags Raw Data'!$O$6:$O$4650,'Diags Raw Data'!$D$6:$D$4650,$A9)</f>
        <v>0</v>
      </c>
      <c r="F9" s="210" t="str">
        <f t="shared" ref="F9" si="7">IF(NOT($B9=0), E9/$B9, "---")</f>
        <v>---</v>
      </c>
      <c r="G9" s="203">
        <f>SUMIFS('Diags Raw Data'!$S$6:$S$4650,'Diags Raw Data'!$D$6:$D$4650,$A9)</f>
        <v>0</v>
      </c>
      <c r="H9" s="199">
        <f>SUMIFS('Diags Raw Data'!$T$6:$T$4650,'Diags Raw Data'!$D$6:$D$4650,$A9)</f>
        <v>0</v>
      </c>
      <c r="I9" s="200">
        <f>SUMIFS('Diags Raw Data'!$U$6:$U$4650,'Diags Raw Data'!$D$6:$D$4650,$A9)</f>
        <v>0</v>
      </c>
      <c r="J9" s="199">
        <f>SUMIFS('Diags Raw Data'!$V$6:$V$4650,'Diags Raw Data'!$D$6:$D$4650,$A9)</f>
        <v>0</v>
      </c>
      <c r="K9" s="200">
        <f>SUMIFS('Diags Raw Data'!$W$6:$W$4650,'Diags Raw Data'!$D$6:$D$4650,$A9)</f>
        <v>0</v>
      </c>
      <c r="L9" s="208" t="str">
        <f t="shared" ref="L9" si="8">IF(NOT($C9=0), G9/$C9, "---")</f>
        <v>---</v>
      </c>
      <c r="M9" s="201" t="str">
        <f t="shared" ref="M9" si="9">IF(NOT($G9=0), (H9+I9)/$G9, "---")</f>
        <v>---</v>
      </c>
      <c r="N9" s="205" t="str">
        <f t="shared" ref="N9" si="10">IF(NOT($C9=0), (H9+I9)/$C9, "---")</f>
        <v>---</v>
      </c>
      <c r="O9" s="194">
        <f>SUMIFS('Diags Raw Data'!$Z$6:$Z$4650,'Diags Raw Data'!$D$6:$D$4650,$A9)</f>
        <v>0</v>
      </c>
      <c r="P9" s="191">
        <f>SUMIFS('Diags Raw Data'!$AA$6:$AA$4650,'Diags Raw Data'!$D$6:$D$4650,$A9)</f>
        <v>0</v>
      </c>
      <c r="Q9" s="193">
        <f>SUMIFS('Diags Raw Data'!$AB$6:$AB$4650,'Diags Raw Data'!$D$6:$D$4650,$A9)</f>
        <v>0</v>
      </c>
      <c r="R9" s="191">
        <f>SUMIFS('Diags Raw Data'!$AC$6:$AC$4650,'Diags Raw Data'!$D$6:$D$4650,$A9)</f>
        <v>0</v>
      </c>
      <c r="S9" s="193">
        <f>SUMIFS('Diags Raw Data'!$AD$6:$AD$4650,'Diags Raw Data'!$D$6:$D$4650,$A9)</f>
        <v>0</v>
      </c>
      <c r="T9" s="192" t="str">
        <f t="shared" ref="T9" si="11">IF(NOT($B9=0), O9/$B9, "---")</f>
        <v>---</v>
      </c>
      <c r="U9" s="202" t="str">
        <f t="shared" ref="U9" si="12">IF(NOT($O9=0), (P9+Q9)/$O9, "---")</f>
        <v>---</v>
      </c>
      <c r="V9" s="204" t="str">
        <f t="shared" ref="V9" si="13">IF(NOT($B9=0), (P9+Q9)/$B9, "---")</f>
        <v>---</v>
      </c>
    </row>
    <row r="10" spans="1:22" ht="15.75" thickBot="1" x14ac:dyDescent="0.3">
      <c r="A10" s="289" t="s">
        <v>413</v>
      </c>
      <c r="B10" s="212">
        <f>SUMIFS('Diags Raw Data'!$L$6:$L$4650,'Diags Raw Data'!$D$6:$D$4650,$A10)</f>
        <v>0</v>
      </c>
      <c r="C10" s="207">
        <f>SUMIFS('Diags Raw Data'!$R$6:$R$4650,'Diags Raw Data'!$D$6:$D$4650,$A10)</f>
        <v>0</v>
      </c>
      <c r="D10" s="207">
        <f>SUMIFS('Diags Raw Data'!$K$6:$K$4650,'Diags Raw Data'!$D$6:$D$4650,$A10)</f>
        <v>0</v>
      </c>
      <c r="E10" s="207">
        <f>SUMIFS('Diags Raw Data'!$O$6:$O$4650,'Diags Raw Data'!$D$6:$D$4650,$A10)</f>
        <v>0</v>
      </c>
      <c r="F10" s="210" t="str">
        <f t="shared" ref="F10" si="14">IF(NOT($B10=0), E10/$B10, "---")</f>
        <v>---</v>
      </c>
      <c r="G10" s="203">
        <f>SUMIFS('Diags Raw Data'!$S$6:$S$4650,'Diags Raw Data'!$D$6:$D$4650,$A10)</f>
        <v>0</v>
      </c>
      <c r="H10" s="199">
        <f>SUMIFS('Diags Raw Data'!$T$6:$T$4650,'Diags Raw Data'!$D$6:$D$4650,$A10)</f>
        <v>0</v>
      </c>
      <c r="I10" s="200">
        <f>SUMIFS('Diags Raw Data'!$U$6:$U$4650,'Diags Raw Data'!$D$6:$D$4650,$A10)</f>
        <v>0</v>
      </c>
      <c r="J10" s="199">
        <f>SUMIFS('Diags Raw Data'!$V$6:$V$4650,'Diags Raw Data'!$D$6:$D$4650,$A10)</f>
        <v>0</v>
      </c>
      <c r="K10" s="200">
        <f>SUMIFS('Diags Raw Data'!$W$6:$W$4650,'Diags Raw Data'!$D$6:$D$4650,$A10)</f>
        <v>0</v>
      </c>
      <c r="L10" s="208" t="str">
        <f t="shared" ref="L10" si="15">IF(NOT($C10=0), G10/$C10, "---")</f>
        <v>---</v>
      </c>
      <c r="M10" s="201" t="str">
        <f t="shared" ref="M10" si="16">IF(NOT($G10=0), (H10+I10)/$G10, "---")</f>
        <v>---</v>
      </c>
      <c r="N10" s="205" t="str">
        <f t="shared" ref="N10" si="17">IF(NOT($C10=0), (H10+I10)/$C10, "---")</f>
        <v>---</v>
      </c>
      <c r="O10" s="194">
        <f>SUMIFS('Diags Raw Data'!$Z$6:$Z$4650,'Diags Raw Data'!$D$6:$D$4650,$A10)</f>
        <v>0</v>
      </c>
      <c r="P10" s="191">
        <f>SUMIFS('Diags Raw Data'!$AA$6:$AA$4650,'Diags Raw Data'!$D$6:$D$4650,$A10)</f>
        <v>0</v>
      </c>
      <c r="Q10" s="193">
        <f>SUMIFS('Diags Raw Data'!$AB$6:$AB$4650,'Diags Raw Data'!$D$6:$D$4650,$A10)</f>
        <v>0</v>
      </c>
      <c r="R10" s="191">
        <f>SUMIFS('Diags Raw Data'!$AC$6:$AC$4650,'Diags Raw Data'!$D$6:$D$4650,$A10)</f>
        <v>0</v>
      </c>
      <c r="S10" s="193">
        <f>SUMIFS('Diags Raw Data'!$AD$6:$AD$4650,'Diags Raw Data'!$D$6:$D$4650,$A10)</f>
        <v>0</v>
      </c>
      <c r="T10" s="192" t="str">
        <f t="shared" ref="T10" si="18">IF(NOT($B10=0), O10/$B10, "---")</f>
        <v>---</v>
      </c>
      <c r="U10" s="202" t="str">
        <f t="shared" ref="U10" si="19">IF(NOT($O10=0), (P10+Q10)/$O10, "---")</f>
        <v>---</v>
      </c>
      <c r="V10" s="204" t="str">
        <f t="shared" ref="V10" si="20">IF(NOT($B10=0), (P10+Q10)/$B10, "---")</f>
        <v>---</v>
      </c>
    </row>
    <row r="11" spans="1:22" ht="16.5" thickBot="1" x14ac:dyDescent="0.3">
      <c r="A11" s="231" t="s">
        <v>414</v>
      </c>
      <c r="B11" s="215">
        <f>SUM(B4:B10)</f>
        <v>99</v>
      </c>
      <c r="C11" s="216">
        <f>SUM(C4:C10)</f>
        <v>75</v>
      </c>
      <c r="D11" s="216">
        <f>SUM(D4:D10)</f>
        <v>83</v>
      </c>
      <c r="E11" s="216">
        <f>SUM(E4:E10)</f>
        <v>92</v>
      </c>
      <c r="F11" s="217" t="e" cm="1">
        <f t="array" ref="F11">SUMPRODUCT(--(ISNUMBER(SEARCH("New",'Diags Raw Data'!$M$6:$M$4650))),'Diags Raw Data'!$K$6:$K$4650,'Diags Raw Data'!$P$6:$P$4650)/D11+SUMPRODUCT(--(ISNUMBER(SEARCH("Delta",'Diags Raw Data'!$M$6:$M$4650))),'Diags Raw Data'!$K$6:$K$4650,'Diags Raw Data'!$P$6:$P$4650)/D11+SUMPRODUCT(--(ISNUMBER(SEARCH("Legacy",'Diags Raw Data'!$M$6:$M$4650))),'Diags Raw Data'!$K$6:$K$4650,'Diags Raw Data'!$P$6:$P$4650)/D11</f>
        <v>#DIV/0!</v>
      </c>
      <c r="G11" s="218">
        <f>SUM(G4:G10)</f>
        <v>75</v>
      </c>
      <c r="H11" s="219">
        <f>SUM(H4:H10)</f>
        <v>75</v>
      </c>
      <c r="I11" s="220">
        <f>SUM(I4:I10)</f>
        <v>0</v>
      </c>
      <c r="J11" s="219">
        <f>SUM(J4:J10)</f>
        <v>0</v>
      </c>
      <c r="K11" s="220">
        <f>SUM(K4:K10)</f>
        <v>0</v>
      </c>
      <c r="L11" s="221">
        <f>IF(NOT($C11=0), G11/$C11, "---")</f>
        <v>1</v>
      </c>
      <c r="M11" s="222">
        <f>IF(NOT($G11=0), (H11+I11)/$G11, "---")</f>
        <v>1</v>
      </c>
      <c r="N11" s="223">
        <f>IF(NOT($C11=0), (H11+I11)/$C11, "---")</f>
        <v>1</v>
      </c>
      <c r="O11" s="224">
        <f>SUM(O4:O10)</f>
        <v>90</v>
      </c>
      <c r="P11" s="225">
        <f>SUM(P4:P10)</f>
        <v>90</v>
      </c>
      <c r="Q11" s="226">
        <f>SUM(Q4:Q10)</f>
        <v>0</v>
      </c>
      <c r="R11" s="225">
        <f>SUM(R4:R10)</f>
        <v>0</v>
      </c>
      <c r="S11" s="226">
        <f>SUM(S4:S10)</f>
        <v>0</v>
      </c>
      <c r="T11" s="227">
        <f>IF(NOT($B11=0), O11/$B11, "---")</f>
        <v>0.90909090909090906</v>
      </c>
      <c r="U11" s="228">
        <f>IF(NOT($O11=0), (P11+Q11)/$O11, "---")</f>
        <v>1</v>
      </c>
      <c r="V11" s="229">
        <f>IF(NOT($B11=0), (P11+Q11)/$B11, "---")</f>
        <v>0.90909090909090906</v>
      </c>
    </row>
    <row r="12" spans="1:22" ht="15.75" thickBot="1" x14ac:dyDescent="0.3"/>
    <row r="13" spans="1:22" ht="15.75" thickBot="1" x14ac:dyDescent="0.3">
      <c r="A13" s="195" t="s">
        <v>415</v>
      </c>
      <c r="B13" s="585" t="s">
        <v>161</v>
      </c>
      <c r="C13" s="585"/>
      <c r="D13" s="585"/>
      <c r="E13" s="585"/>
      <c r="F13" s="585"/>
      <c r="G13" s="586" t="s">
        <v>172</v>
      </c>
      <c r="H13" s="587"/>
      <c r="I13" s="587"/>
      <c r="J13" s="587"/>
      <c r="K13" s="587"/>
      <c r="L13" s="587"/>
      <c r="M13" s="587"/>
      <c r="N13" s="588"/>
      <c r="O13" s="589" t="s">
        <v>139</v>
      </c>
      <c r="P13" s="590"/>
      <c r="Q13" s="590"/>
      <c r="R13" s="590"/>
      <c r="S13" s="590"/>
      <c r="T13" s="590"/>
      <c r="U13" s="590"/>
      <c r="V13" s="591"/>
    </row>
    <row r="14" spans="1:22" s="211" customFormat="1" ht="30.75" thickBot="1" x14ac:dyDescent="0.3">
      <c r="A14" s="213" t="s">
        <v>83</v>
      </c>
      <c r="B14" s="270" t="s">
        <v>162</v>
      </c>
      <c r="C14" s="271" t="s">
        <v>123</v>
      </c>
      <c r="D14" s="272" t="s">
        <v>100</v>
      </c>
      <c r="E14" s="272" t="s">
        <v>168</v>
      </c>
      <c r="F14" s="273" t="s">
        <v>170</v>
      </c>
      <c r="G14" s="274" t="s">
        <v>127</v>
      </c>
      <c r="H14" s="275" t="s">
        <v>30</v>
      </c>
      <c r="I14" s="275" t="s">
        <v>130</v>
      </c>
      <c r="J14" s="275" t="s">
        <v>35</v>
      </c>
      <c r="K14" s="275" t="s">
        <v>133</v>
      </c>
      <c r="L14" s="275" t="s">
        <v>179</v>
      </c>
      <c r="M14" s="275" t="s">
        <v>135</v>
      </c>
      <c r="N14" s="276" t="s">
        <v>182</v>
      </c>
      <c r="O14" s="277" t="s">
        <v>127</v>
      </c>
      <c r="P14" s="278" t="s">
        <v>30</v>
      </c>
      <c r="Q14" s="278" t="s">
        <v>130</v>
      </c>
      <c r="R14" s="278" t="s">
        <v>35</v>
      </c>
      <c r="S14" s="278" t="s">
        <v>133</v>
      </c>
      <c r="T14" s="278" t="s">
        <v>179</v>
      </c>
      <c r="U14" s="278" t="s">
        <v>135</v>
      </c>
      <c r="V14" s="279" t="s">
        <v>182</v>
      </c>
    </row>
    <row r="15" spans="1:22" x14ac:dyDescent="0.25">
      <c r="A15" s="289" t="s">
        <v>408</v>
      </c>
      <c r="B15" s="212">
        <f>SUMIFS('Diags Raw Data'!$L$6:$L$4650,'Diags Raw Data'!$D$6:$D$4650,$A15,'Diags Raw Data'!$M$6:$M$4650,"New")+SUMIFS('Diags Raw Data'!$L$6:$L$4650,'Diags Raw Data'!$D$6:$D$4650,$A15,'Diags Raw Data'!$M$6:$M$4650,"Delta")</f>
        <v>0</v>
      </c>
      <c r="C15" s="207">
        <f>SUMIFS('Diags Raw Data'!$R$6:$R$4650,'Diags Raw Data'!$D$6:$D$4650,$A15,'Diags Raw Data'!$M$6:$M$4650,"New")+SUMIFS('Diags Raw Data'!$R$6:$R$4650,'Diags Raw Data'!$D$6:$D$4650,$A15,'Diags Raw Data'!$M$6:$M$4650,"Delta")</f>
        <v>0</v>
      </c>
      <c r="D15" s="207">
        <f>SUMIFS('Diags Raw Data'!$K$6:$K$4650,'Diags Raw Data'!$D$6:$D$4650,$A15,'Diags Raw Data'!$M$6:$M$4650,"New")+SUMIFS('Diags Raw Data'!$K$6:$K$4650,'Diags Raw Data'!$D$6:$D$4650,$A15,'Diags Raw Data'!$M$6:$M$4650,"Delta")</f>
        <v>0</v>
      </c>
      <c r="E15" s="207">
        <f>SUMIFS('Diags Raw Data'!$O$6:$O$4650,'Diags Raw Data'!$D$6:$D$4650,$A15,'Diags Raw Data'!$M$6:$M$4650,"New")+SUMIFS('Diags Raw Data'!$O$6:$O$4650,'Diags Raw Data'!$D$6:$D$4650,$A15,'Diags Raw Data'!$M$6:$M$4650,"Delta")</f>
        <v>0</v>
      </c>
      <c r="F15" s="210" t="str">
        <f t="shared" ref="F15" si="21">IF(NOT($B15=0), E15/$B15, "---")</f>
        <v>---</v>
      </c>
      <c r="G15" s="203">
        <f>SUMIFS('Diags Raw Data'!$S$6:$S$4650,'Diags Raw Data'!$D$6:$D$4650,$A15,'Diags Raw Data'!$M$6:$M$4650,"New")+SUMIFS('Diags Raw Data'!$S$6:$S$4650,'Diags Raw Data'!$D$6:$D$4650,$A15,'Diags Raw Data'!$M$6:$M$4650,"Delta")</f>
        <v>0</v>
      </c>
      <c r="H15" s="199">
        <f>SUMIFS('Diags Raw Data'!$T$6:$T$4650,'Diags Raw Data'!$D$6:$D$4650,$A15,'Diags Raw Data'!$M$6:$M$4650,"New")+SUMIFS('Diags Raw Data'!$T$6:$T$4650,'Diags Raw Data'!$D$6:$D$4650,$A15,'Diags Raw Data'!$M$6:$M$4650,"Delta")</f>
        <v>0</v>
      </c>
      <c r="I15" s="199">
        <f>SUMIFS('Diags Raw Data'!$U$6:$U$4650,'Diags Raw Data'!$D$6:$D$4650,$A15,'Diags Raw Data'!$M$6:$M$4650,"New")+SUMIFS('Diags Raw Data'!$U$6:$U$4650,'Diags Raw Data'!$D$6:$D$4650,$A15,'Diags Raw Data'!$M$6:$M$4650,"Delta")</f>
        <v>0</v>
      </c>
      <c r="J15" s="199">
        <f>SUMIFS('Diags Raw Data'!$V$6:$V$4650,'Diags Raw Data'!$D$6:$D$4650,$A15,'Diags Raw Data'!$M$6:$M$4650,"New")+SUMIFS('Diags Raw Data'!$V$6:$V$4650,'Diags Raw Data'!$D$6:$D$4650,$A15,'Diags Raw Data'!$M$6:$M$4650,"Delta")</f>
        <v>0</v>
      </c>
      <c r="K15" s="199">
        <f>SUMIFS('Diags Raw Data'!$W$6:$W$4650,'Diags Raw Data'!$D$6:$D$4650,$A15,'Diags Raw Data'!$M$6:$M$4650,"New")+SUMIFS('Diags Raw Data'!$W$6:$W$4650,'Diags Raw Data'!$D$6:$D$4650,$A15,'Diags Raw Data'!$M$6:$M$4650,"Delta")</f>
        <v>0</v>
      </c>
      <c r="L15" s="208" t="str">
        <f t="shared" ref="L15" si="22">IF(NOT($C15=0), G15/$C15, "---")</f>
        <v>---</v>
      </c>
      <c r="M15" s="201" t="str">
        <f t="shared" ref="M15" si="23">IF(NOT($G15=0), (H15+I15)/$G15, "---")</f>
        <v>---</v>
      </c>
      <c r="N15" s="205" t="str">
        <f t="shared" ref="N15" si="24">IF(NOT($C15=0), (H15+I15)/$C15, "---")</f>
        <v>---</v>
      </c>
      <c r="O15" s="194">
        <f>SUMIFS('Diags Raw Data'!$Z$6:$Z$4650,'Diags Raw Data'!$D$6:$D$4650,$A15,'Diags Raw Data'!$M$6:$M$4650,"New")+SUMIFS('Diags Raw Data'!$Z$6:$Z$4650,'Diags Raw Data'!$D$6:$D$4650,$A15,'Diags Raw Data'!$M$6:$M$4650,"Delta")</f>
        <v>0</v>
      </c>
      <c r="P15" s="191">
        <f>SUMIFS('Diags Raw Data'!$AA$6:$AA$4650,'Diags Raw Data'!$D$6:$D$4650,$A15,'Diags Raw Data'!$M$6:$M$4650,"New")+SUMIFS('Diags Raw Data'!$AA$6:$AA$4650,'Diags Raw Data'!$D$6:$D$4650,$A15,'Diags Raw Data'!$M$6:$M$4650,"Delta")</f>
        <v>0</v>
      </c>
      <c r="Q15" s="191">
        <f>SUMIFS('Diags Raw Data'!$AB$6:$AB$4650,'Diags Raw Data'!$D$6:$D$4650,$A15,'Diags Raw Data'!$M$6:$M$4650,"New")+SUMIFS('Diags Raw Data'!$AB$6:$AB$4650,'Diags Raw Data'!$D$6:$D$4650,$A15,'Diags Raw Data'!$M$6:$M$4650,"Delta")</f>
        <v>0</v>
      </c>
      <c r="R15" s="191">
        <f>SUMIFS('Diags Raw Data'!$AC$6:$AC$4650,'Diags Raw Data'!$D$6:$D$4650,$A15,'Diags Raw Data'!$M$6:$M$4650,"New")+SUMIFS('Diags Raw Data'!$AC$6:$AC$4650,'Diags Raw Data'!$D$6:$D$4650,$A15,'Diags Raw Data'!$M$6:$M$4650,"Delta")</f>
        <v>0</v>
      </c>
      <c r="S15" s="191">
        <f>SUMIFS('Diags Raw Data'!$AD$6:$AD$4650,'Diags Raw Data'!$D$6:$D$4650,$A15,'Diags Raw Data'!$M$6:$M$4650,"New")+SUMIFS('Diags Raw Data'!$AD$6:$AD$4650,'Diags Raw Data'!$D$6:$D$4650,$A15,'Diags Raw Data'!$M$6:$M$4650,"Delta")</f>
        <v>0</v>
      </c>
      <c r="T15" s="192" t="str">
        <f t="shared" ref="T15" si="25">IF(NOT($B15=0), O15/$B15, "---")</f>
        <v>---</v>
      </c>
      <c r="U15" s="202" t="str">
        <f t="shared" ref="U15" si="26">IF(NOT($O15=0), (P15+Q15)/$O15, "---")</f>
        <v>---</v>
      </c>
      <c r="V15" s="204" t="str">
        <f t="shared" ref="V15" si="27">IF(NOT($B15=0), (P15+Q15)/$B15, "---")</f>
        <v>---</v>
      </c>
    </row>
    <row r="16" spans="1:22" x14ac:dyDescent="0.25">
      <c r="A16" s="289" t="s">
        <v>409</v>
      </c>
      <c r="B16" s="212">
        <f>SUMIFS('Diags Raw Data'!$L$6:$L$4650,'Diags Raw Data'!$D$6:$D$4650,$A16,'Diags Raw Data'!$M$6:$M$4650,"New")+SUMIFS('Diags Raw Data'!$L$6:$L$4650,'Diags Raw Data'!$D$6:$D$4650,$A16,'Diags Raw Data'!$M$6:$M$4650,"Delta")</f>
        <v>0</v>
      </c>
      <c r="C16" s="207">
        <f>SUMIFS('Diags Raw Data'!$R$6:$R$4650,'Diags Raw Data'!$D$6:$D$4650,$A16,'Diags Raw Data'!$M$6:$M$4650,"New")+SUMIFS('Diags Raw Data'!$R$6:$R$4650,'Diags Raw Data'!$D$6:$D$4650,$A16,'Diags Raw Data'!$M$6:$M$4650,"Delta")</f>
        <v>0</v>
      </c>
      <c r="D16" s="207">
        <f>SUMIFS('Diags Raw Data'!$K$6:$K$4650,'Diags Raw Data'!$D$6:$D$4650,$A16,'Diags Raw Data'!$M$6:$M$4650,"New")+SUMIFS('Diags Raw Data'!$K$6:$K$4650,'Diags Raw Data'!$D$6:$D$4650,$A16,'Diags Raw Data'!$M$6:$M$4650,"Delta")</f>
        <v>0</v>
      </c>
      <c r="E16" s="207">
        <f>SUMIFS('Diags Raw Data'!$O$6:$O$4650,'Diags Raw Data'!$D$6:$D$4650,$A16,'Diags Raw Data'!$M$6:$M$4650,"New")+SUMIFS('Diags Raw Data'!$O$6:$O$4650,'Diags Raw Data'!$D$6:$D$4650,$A16,'Diags Raw Data'!$M$6:$M$4650,"Delta")</f>
        <v>0</v>
      </c>
      <c r="F16" s="210" t="str">
        <f t="shared" ref="F16:F21" si="28">IF(NOT($B16=0), E16/$B16, "---")</f>
        <v>---</v>
      </c>
      <c r="G16" s="203">
        <f>SUMIFS('Diags Raw Data'!$S$6:$S$4650,'Diags Raw Data'!$D$6:$D$4650,$A16,'Diags Raw Data'!$M$6:$M$4650,"New")+SUMIFS('Diags Raw Data'!$S$6:$S$4650,'Diags Raw Data'!$D$6:$D$4650,$A16,'Diags Raw Data'!$M$6:$M$4650,"Delta")</f>
        <v>0</v>
      </c>
      <c r="H16" s="199">
        <f>SUMIFS('Diags Raw Data'!$T$6:$T$4650,'Diags Raw Data'!$D$6:$D$4650,$A16,'Diags Raw Data'!$M$6:$M$4650,"New")+SUMIFS('Diags Raw Data'!$T$6:$T$4650,'Diags Raw Data'!$D$6:$D$4650,$A16,'Diags Raw Data'!$M$6:$M$4650,"Delta")</f>
        <v>0</v>
      </c>
      <c r="I16" s="199">
        <f>SUMIFS('Diags Raw Data'!$U$6:$U$4650,'Diags Raw Data'!$D$6:$D$4650,$A16,'Diags Raw Data'!$M$6:$M$4650,"New")+SUMIFS('Diags Raw Data'!$U$6:$U$4650,'Diags Raw Data'!$D$6:$D$4650,$A16,'Diags Raw Data'!$M$6:$M$4650,"Delta")</f>
        <v>0</v>
      </c>
      <c r="J16" s="199">
        <f>SUMIFS('Diags Raw Data'!$V$6:$V$4650,'Diags Raw Data'!$D$6:$D$4650,$A16,'Diags Raw Data'!$M$6:$M$4650,"New")+SUMIFS('Diags Raw Data'!$V$6:$V$4650,'Diags Raw Data'!$D$6:$D$4650,$A16,'Diags Raw Data'!$M$6:$M$4650,"Delta")</f>
        <v>0</v>
      </c>
      <c r="K16" s="199">
        <f>SUMIFS('Diags Raw Data'!$W$6:$W$4650,'Diags Raw Data'!$D$6:$D$4650,$A16,'Diags Raw Data'!$M$6:$M$4650,"New")+SUMIFS('Diags Raw Data'!$W$6:$W$4650,'Diags Raw Data'!$D$6:$D$4650,$A16,'Diags Raw Data'!$M$6:$M$4650,"Delta")</f>
        <v>0</v>
      </c>
      <c r="L16" s="208" t="str">
        <f t="shared" ref="L16:L21" si="29">IF(NOT($C16=0), G16/$C16, "---")</f>
        <v>---</v>
      </c>
      <c r="M16" s="201" t="str">
        <f t="shared" ref="M16:M21" si="30">IF(NOT($G16=0), (H16+I16)/$G16, "---")</f>
        <v>---</v>
      </c>
      <c r="N16" s="205" t="str">
        <f t="shared" ref="N16:N21" si="31">IF(NOT($C16=0), (H16+I16)/$C16, "---")</f>
        <v>---</v>
      </c>
      <c r="O16" s="194">
        <f>SUMIFS('Diags Raw Data'!$Z$6:$Z$4650,'Diags Raw Data'!$D$6:$D$4650,$A16,'Diags Raw Data'!$M$6:$M$4650,"New")+SUMIFS('Diags Raw Data'!$Z$6:$Z$4650,'Diags Raw Data'!$D$6:$D$4650,$A16,'Diags Raw Data'!$M$6:$M$4650,"Delta")</f>
        <v>0</v>
      </c>
      <c r="P16" s="191">
        <f>SUMIFS('Diags Raw Data'!$AA$6:$AA$4650,'Diags Raw Data'!$D$6:$D$4650,$A16,'Diags Raw Data'!$M$6:$M$4650,"New")+SUMIFS('Diags Raw Data'!$AA$6:$AA$4650,'Diags Raw Data'!$D$6:$D$4650,$A16,'Diags Raw Data'!$M$6:$M$4650,"Delta")</f>
        <v>0</v>
      </c>
      <c r="Q16" s="191">
        <f>SUMIFS('Diags Raw Data'!$AB$6:$AB$4650,'Diags Raw Data'!$D$6:$D$4650,$A16,'Diags Raw Data'!$M$6:$M$4650,"New")+SUMIFS('Diags Raw Data'!$AB$6:$AB$4650,'Diags Raw Data'!$D$6:$D$4650,$A16,'Diags Raw Data'!$M$6:$M$4650,"Delta")</f>
        <v>0</v>
      </c>
      <c r="R16" s="191">
        <f>SUMIFS('Diags Raw Data'!$AC$6:$AC$4650,'Diags Raw Data'!$D$6:$D$4650,$A16,'Diags Raw Data'!$M$6:$M$4650,"New")+SUMIFS('Diags Raw Data'!$AC$6:$AC$4650,'Diags Raw Data'!$D$6:$D$4650,$A16,'Diags Raw Data'!$M$6:$M$4650,"Delta")</f>
        <v>0</v>
      </c>
      <c r="S16" s="191">
        <f>SUMIFS('Diags Raw Data'!$AD$6:$AD$4650,'Diags Raw Data'!$D$6:$D$4650,$A16,'Diags Raw Data'!$M$6:$M$4650,"New")+SUMIFS('Diags Raw Data'!$AD$6:$AD$4650,'Diags Raw Data'!$D$6:$D$4650,$A16,'Diags Raw Data'!$M$6:$M$4650,"Delta")</f>
        <v>0</v>
      </c>
      <c r="T16" s="192" t="str">
        <f t="shared" ref="T16:T21" si="32">IF(NOT($B16=0), O16/$B16, "---")</f>
        <v>---</v>
      </c>
      <c r="U16" s="202" t="str">
        <f t="shared" ref="U16:U21" si="33">IF(NOT($O16=0), (P16+Q16)/$O16, "---")</f>
        <v>---</v>
      </c>
      <c r="V16" s="204" t="str">
        <f t="shared" ref="V16:V21" si="34">IF(NOT($B16=0), (P16+Q16)/$B16, "---")</f>
        <v>---</v>
      </c>
    </row>
    <row r="17" spans="1:22" x14ac:dyDescent="0.25">
      <c r="A17" s="289" t="s">
        <v>304</v>
      </c>
      <c r="B17" s="212">
        <f>SUMIFS('Diags Raw Data'!$L$6:$L$4650,'Diags Raw Data'!$D$6:$D$4650,$A17,'Diags Raw Data'!$M$6:$M$4650,"New")+SUMIFS('Diags Raw Data'!$L$6:$L$4650,'Diags Raw Data'!$D$6:$D$4650,$A17,'Diags Raw Data'!$M$6:$M$4650,"Delta")</f>
        <v>0</v>
      </c>
      <c r="C17" s="207">
        <f>SUMIFS('Diags Raw Data'!$R$6:$R$4650,'Diags Raw Data'!$D$6:$D$4650,$A17,'Diags Raw Data'!$M$6:$M$4650,"New")+SUMIFS('Diags Raw Data'!$R$6:$R$4650,'Diags Raw Data'!$D$6:$D$4650,$A17,'Diags Raw Data'!$M$6:$M$4650,"Delta")</f>
        <v>0</v>
      </c>
      <c r="D17" s="207">
        <f>SUMIFS('Diags Raw Data'!$K$6:$K$4650,'Diags Raw Data'!$D$6:$D$4650,$A17,'Diags Raw Data'!$M$6:$M$4650,"New")+SUMIFS('Diags Raw Data'!$K$6:$K$4650,'Diags Raw Data'!$D$6:$D$4650,$A17,'Diags Raw Data'!$M$6:$M$4650,"Delta")</f>
        <v>0</v>
      </c>
      <c r="E17" s="207">
        <f>SUMIFS('Diags Raw Data'!$O$6:$O$4650,'Diags Raw Data'!$D$6:$D$4650,$A17,'Diags Raw Data'!$M$6:$M$4650,"New")+SUMIFS('Diags Raw Data'!$O$6:$O$4650,'Diags Raw Data'!$D$6:$D$4650,$A17,'Diags Raw Data'!$M$6:$M$4650,"Delta")</f>
        <v>0</v>
      </c>
      <c r="F17" s="210" t="str">
        <f t="shared" si="28"/>
        <v>---</v>
      </c>
      <c r="G17" s="203">
        <f>SUMIFS('Diags Raw Data'!$S$6:$S$4650,'Diags Raw Data'!$D$6:$D$4650,$A17,'Diags Raw Data'!$M$6:$M$4650,"New")+SUMIFS('Diags Raw Data'!$S$6:$S$4650,'Diags Raw Data'!$D$6:$D$4650,$A17,'Diags Raw Data'!$M$6:$M$4650,"Delta")</f>
        <v>0</v>
      </c>
      <c r="H17" s="199">
        <f>SUMIFS('Diags Raw Data'!$T$6:$T$4650,'Diags Raw Data'!$D$6:$D$4650,$A17,'Diags Raw Data'!$M$6:$M$4650,"New")+SUMIFS('Diags Raw Data'!$T$6:$T$4650,'Diags Raw Data'!$D$6:$D$4650,$A17,'Diags Raw Data'!$M$6:$M$4650,"Delta")</f>
        <v>0</v>
      </c>
      <c r="I17" s="199">
        <f>SUMIFS('Diags Raw Data'!$U$6:$U$4650,'Diags Raw Data'!$D$6:$D$4650,$A17,'Diags Raw Data'!$M$6:$M$4650,"New")+SUMIFS('Diags Raw Data'!$U$6:$U$4650,'Diags Raw Data'!$D$6:$D$4650,$A17,'Diags Raw Data'!$M$6:$M$4650,"Delta")</f>
        <v>0</v>
      </c>
      <c r="J17" s="199">
        <f>SUMIFS('Diags Raw Data'!$V$6:$V$4650,'Diags Raw Data'!$D$6:$D$4650,$A17,'Diags Raw Data'!$M$6:$M$4650,"New")+SUMIFS('Diags Raw Data'!$V$6:$V$4650,'Diags Raw Data'!$D$6:$D$4650,$A17,'Diags Raw Data'!$M$6:$M$4650,"Delta")</f>
        <v>0</v>
      </c>
      <c r="K17" s="199">
        <f>SUMIFS('Diags Raw Data'!$W$6:$W$4650,'Diags Raw Data'!$D$6:$D$4650,$A17,'Diags Raw Data'!$M$6:$M$4650,"New")+SUMIFS('Diags Raw Data'!$W$6:$W$4650,'Diags Raw Data'!$D$6:$D$4650,$A17,'Diags Raw Data'!$M$6:$M$4650,"Delta")</f>
        <v>0</v>
      </c>
      <c r="L17" s="208" t="str">
        <f t="shared" si="29"/>
        <v>---</v>
      </c>
      <c r="M17" s="201" t="str">
        <f t="shared" si="30"/>
        <v>---</v>
      </c>
      <c r="N17" s="205" t="str">
        <f t="shared" si="31"/>
        <v>---</v>
      </c>
      <c r="O17" s="194">
        <f>SUMIFS('Diags Raw Data'!$Z$6:$Z$4650,'Diags Raw Data'!$D$6:$D$4650,$A17,'Diags Raw Data'!$M$6:$M$4650,"New")+SUMIFS('Diags Raw Data'!$Z$6:$Z$4650,'Diags Raw Data'!$D$6:$D$4650,$A17,'Diags Raw Data'!$M$6:$M$4650,"Delta")</f>
        <v>0</v>
      </c>
      <c r="P17" s="191">
        <f>SUMIFS('Diags Raw Data'!$AA$6:$AA$4650,'Diags Raw Data'!$D$6:$D$4650,$A17,'Diags Raw Data'!$M$6:$M$4650,"New")+SUMIFS('Diags Raw Data'!$AA$6:$AA$4650,'Diags Raw Data'!$D$6:$D$4650,$A17,'Diags Raw Data'!$M$6:$M$4650,"Delta")</f>
        <v>0</v>
      </c>
      <c r="Q17" s="191">
        <f>SUMIFS('Diags Raw Data'!$AB$6:$AB$4650,'Diags Raw Data'!$D$6:$D$4650,$A17,'Diags Raw Data'!$M$6:$M$4650,"New")+SUMIFS('Diags Raw Data'!$AB$6:$AB$4650,'Diags Raw Data'!$D$6:$D$4650,$A17,'Diags Raw Data'!$M$6:$M$4650,"Delta")</f>
        <v>0</v>
      </c>
      <c r="R17" s="191">
        <f>SUMIFS('Diags Raw Data'!$AC$6:$AC$4650,'Diags Raw Data'!$D$6:$D$4650,$A17,'Diags Raw Data'!$M$6:$M$4650,"New")+SUMIFS('Diags Raw Data'!$AC$6:$AC$4650,'Diags Raw Data'!$D$6:$D$4650,$A17,'Diags Raw Data'!$M$6:$M$4650,"Delta")</f>
        <v>0</v>
      </c>
      <c r="S17" s="191">
        <f>SUMIFS('Diags Raw Data'!$AD$6:$AD$4650,'Diags Raw Data'!$D$6:$D$4650,$A17,'Diags Raw Data'!$M$6:$M$4650,"New")+SUMIFS('Diags Raw Data'!$AD$6:$AD$4650,'Diags Raw Data'!$D$6:$D$4650,$A17,'Diags Raw Data'!$M$6:$M$4650,"Delta")</f>
        <v>0</v>
      </c>
      <c r="T17" s="192" t="str">
        <f t="shared" si="32"/>
        <v>---</v>
      </c>
      <c r="U17" s="202" t="str">
        <f t="shared" si="33"/>
        <v>---</v>
      </c>
      <c r="V17" s="204" t="str">
        <f t="shared" si="34"/>
        <v>---</v>
      </c>
    </row>
    <row r="18" spans="1:22" x14ac:dyDescent="0.25">
      <c r="A18" s="289" t="s">
        <v>410</v>
      </c>
      <c r="B18" s="212">
        <f>SUMIFS('Diags Raw Data'!$L$6:$L$4650,'Diags Raw Data'!$D$6:$D$4650,$A18,'Diags Raw Data'!$M$6:$M$4650,"New")+SUMIFS('Diags Raw Data'!$L$6:$L$4650,'Diags Raw Data'!$D$6:$D$4650,$A18,'Diags Raw Data'!$M$6:$M$4650,"Delta")</f>
        <v>0</v>
      </c>
      <c r="C18" s="207">
        <f>SUMIFS('Diags Raw Data'!$R$6:$R$4650,'Diags Raw Data'!$D$6:$D$4650,$A18,'Diags Raw Data'!$M$6:$M$4650,"New")+SUMIFS('Diags Raw Data'!$R$6:$R$4650,'Diags Raw Data'!$D$6:$D$4650,$A18,'Diags Raw Data'!$M$6:$M$4650,"Delta")</f>
        <v>0</v>
      </c>
      <c r="D18" s="207">
        <f>SUMIFS('Diags Raw Data'!$K$6:$K$4650,'Diags Raw Data'!$D$6:$D$4650,$A18,'Diags Raw Data'!$M$6:$M$4650,"New")+SUMIFS('Diags Raw Data'!$K$6:$K$4650,'Diags Raw Data'!$D$6:$D$4650,$A18,'Diags Raw Data'!$M$6:$M$4650,"Delta")</f>
        <v>0</v>
      </c>
      <c r="E18" s="207">
        <f>SUMIFS('Diags Raw Data'!$O$6:$O$4650,'Diags Raw Data'!$D$6:$D$4650,$A18,'Diags Raw Data'!$M$6:$M$4650,"New")+SUMIFS('Diags Raw Data'!$O$6:$O$4650,'Diags Raw Data'!$D$6:$D$4650,$A18,'Diags Raw Data'!$M$6:$M$4650,"Delta")</f>
        <v>0</v>
      </c>
      <c r="F18" s="210" t="str">
        <f t="shared" si="28"/>
        <v>---</v>
      </c>
      <c r="G18" s="203">
        <f>SUMIFS('Diags Raw Data'!$S$6:$S$4650,'Diags Raw Data'!$D$6:$D$4650,$A18,'Diags Raw Data'!$M$6:$M$4650,"New")+SUMIFS('Diags Raw Data'!$S$6:$S$4650,'Diags Raw Data'!$D$6:$D$4650,$A18,'Diags Raw Data'!$M$6:$M$4650,"Delta")</f>
        <v>0</v>
      </c>
      <c r="H18" s="199">
        <f>SUMIFS('Diags Raw Data'!$T$6:$T$4650,'Diags Raw Data'!$D$6:$D$4650,$A18,'Diags Raw Data'!$M$6:$M$4650,"New")+SUMIFS('Diags Raw Data'!$T$6:$T$4650,'Diags Raw Data'!$D$6:$D$4650,$A18,'Diags Raw Data'!$M$6:$M$4650,"Delta")</f>
        <v>0</v>
      </c>
      <c r="I18" s="199">
        <f>SUMIFS('Diags Raw Data'!$U$6:$U$4650,'Diags Raw Data'!$D$6:$D$4650,$A18,'Diags Raw Data'!$M$6:$M$4650,"New")+SUMIFS('Diags Raw Data'!$U$6:$U$4650,'Diags Raw Data'!$D$6:$D$4650,$A18,'Diags Raw Data'!$M$6:$M$4650,"Delta")</f>
        <v>0</v>
      </c>
      <c r="J18" s="199">
        <f>SUMIFS('Diags Raw Data'!$V$6:$V$4650,'Diags Raw Data'!$D$6:$D$4650,$A18,'Diags Raw Data'!$M$6:$M$4650,"New")+SUMIFS('Diags Raw Data'!$V$6:$V$4650,'Diags Raw Data'!$D$6:$D$4650,$A18,'Diags Raw Data'!$M$6:$M$4650,"Delta")</f>
        <v>0</v>
      </c>
      <c r="K18" s="199">
        <f>SUMIFS('Diags Raw Data'!$W$6:$W$4650,'Diags Raw Data'!$D$6:$D$4650,$A18,'Diags Raw Data'!$M$6:$M$4650,"New")+SUMIFS('Diags Raw Data'!$W$6:$W$4650,'Diags Raw Data'!$D$6:$D$4650,$A18,'Diags Raw Data'!$M$6:$M$4650,"Delta")</f>
        <v>0</v>
      </c>
      <c r="L18" s="208" t="str">
        <f t="shared" si="29"/>
        <v>---</v>
      </c>
      <c r="M18" s="201" t="str">
        <f t="shared" si="30"/>
        <v>---</v>
      </c>
      <c r="N18" s="205" t="str">
        <f t="shared" si="31"/>
        <v>---</v>
      </c>
      <c r="O18" s="194">
        <f>SUMIFS('Diags Raw Data'!$Z$6:$Z$4650,'Diags Raw Data'!$D$6:$D$4650,$A18,'Diags Raw Data'!$M$6:$M$4650,"New")+SUMIFS('Diags Raw Data'!$Z$6:$Z$4650,'Diags Raw Data'!$D$6:$D$4650,$A18,'Diags Raw Data'!$M$6:$M$4650,"Delta")</f>
        <v>0</v>
      </c>
      <c r="P18" s="191">
        <f>SUMIFS('Diags Raw Data'!$AA$6:$AA$4650,'Diags Raw Data'!$D$6:$D$4650,$A18,'Diags Raw Data'!$M$6:$M$4650,"New")+SUMIFS('Diags Raw Data'!$AA$6:$AA$4650,'Diags Raw Data'!$D$6:$D$4650,$A18,'Diags Raw Data'!$M$6:$M$4650,"Delta")</f>
        <v>0</v>
      </c>
      <c r="Q18" s="191">
        <f>SUMIFS('Diags Raw Data'!$AB$6:$AB$4650,'Diags Raw Data'!$D$6:$D$4650,$A18,'Diags Raw Data'!$M$6:$M$4650,"New")+SUMIFS('Diags Raw Data'!$AB$6:$AB$4650,'Diags Raw Data'!$D$6:$D$4650,$A18,'Diags Raw Data'!$M$6:$M$4650,"Delta")</f>
        <v>0</v>
      </c>
      <c r="R18" s="191">
        <f>SUMIFS('Diags Raw Data'!$AC$6:$AC$4650,'Diags Raw Data'!$D$6:$D$4650,$A18,'Diags Raw Data'!$M$6:$M$4650,"New")+SUMIFS('Diags Raw Data'!$AC$6:$AC$4650,'Diags Raw Data'!$D$6:$D$4650,$A18,'Diags Raw Data'!$M$6:$M$4650,"Delta")</f>
        <v>0</v>
      </c>
      <c r="S18" s="191">
        <f>SUMIFS('Diags Raw Data'!$AD$6:$AD$4650,'Diags Raw Data'!$D$6:$D$4650,$A18,'Diags Raw Data'!$M$6:$M$4650,"New")+SUMIFS('Diags Raw Data'!$AD$6:$AD$4650,'Diags Raw Data'!$D$6:$D$4650,$A18,'Diags Raw Data'!$M$6:$M$4650,"Delta")</f>
        <v>0</v>
      </c>
      <c r="T18" s="192" t="str">
        <f t="shared" si="32"/>
        <v>---</v>
      </c>
      <c r="U18" s="202" t="str">
        <f t="shared" si="33"/>
        <v>---</v>
      </c>
      <c r="V18" s="204" t="str">
        <f t="shared" si="34"/>
        <v>---</v>
      </c>
    </row>
    <row r="19" spans="1:22" x14ac:dyDescent="0.25">
      <c r="A19" s="289" t="s">
        <v>411</v>
      </c>
      <c r="B19" s="212">
        <f>SUMIFS('Diags Raw Data'!$L$6:$L$4650,'Diags Raw Data'!$D$6:$D$4650,$A19,'Diags Raw Data'!$M$6:$M$4650,"New")+SUMIFS('Diags Raw Data'!$L$6:$L$4650,'Diags Raw Data'!$D$6:$D$4650,$A19,'Diags Raw Data'!$M$6:$M$4650,"Delta")</f>
        <v>0</v>
      </c>
      <c r="C19" s="207">
        <f>SUMIFS('Diags Raw Data'!$R$6:$R$4650,'Diags Raw Data'!$D$6:$D$4650,$A19,'Diags Raw Data'!$M$6:$M$4650,"New")+SUMIFS('Diags Raw Data'!$R$6:$R$4650,'Diags Raw Data'!$D$6:$D$4650,$A19,'Diags Raw Data'!$M$6:$M$4650,"Delta")</f>
        <v>0</v>
      </c>
      <c r="D19" s="207">
        <f>SUMIFS('Diags Raw Data'!$K$6:$K$4650,'Diags Raw Data'!$D$6:$D$4650,$A19,'Diags Raw Data'!$M$6:$M$4650,"New")+SUMIFS('Diags Raw Data'!$K$6:$K$4650,'Diags Raw Data'!$D$6:$D$4650,$A19,'Diags Raw Data'!$M$6:$M$4650,"Delta")</f>
        <v>0</v>
      </c>
      <c r="E19" s="207">
        <f>SUMIFS('Diags Raw Data'!$O$6:$O$4650,'Diags Raw Data'!$D$6:$D$4650,$A19,'Diags Raw Data'!$M$6:$M$4650,"New")+SUMIFS('Diags Raw Data'!$O$6:$O$4650,'Diags Raw Data'!$D$6:$D$4650,$A19,'Diags Raw Data'!$M$6:$M$4650,"Delta")</f>
        <v>0</v>
      </c>
      <c r="F19" s="210" t="str">
        <f t="shared" si="28"/>
        <v>---</v>
      </c>
      <c r="G19" s="203">
        <f>SUMIFS('Diags Raw Data'!$S$6:$S$4650,'Diags Raw Data'!$D$6:$D$4650,$A19,'Diags Raw Data'!$M$6:$M$4650,"New")+SUMIFS('Diags Raw Data'!$S$6:$S$4650,'Diags Raw Data'!$D$6:$D$4650,$A19,'Diags Raw Data'!$M$6:$M$4650,"Delta")</f>
        <v>0</v>
      </c>
      <c r="H19" s="199">
        <f>SUMIFS('Diags Raw Data'!$T$6:$T$4650,'Diags Raw Data'!$D$6:$D$4650,$A19,'Diags Raw Data'!$M$6:$M$4650,"New")+SUMIFS('Diags Raw Data'!$T$6:$T$4650,'Diags Raw Data'!$D$6:$D$4650,$A19,'Diags Raw Data'!$M$6:$M$4650,"Delta")</f>
        <v>0</v>
      </c>
      <c r="I19" s="199">
        <f>SUMIFS('Diags Raw Data'!$U$6:$U$4650,'Diags Raw Data'!$D$6:$D$4650,$A19,'Diags Raw Data'!$M$6:$M$4650,"New")+SUMIFS('Diags Raw Data'!$U$6:$U$4650,'Diags Raw Data'!$D$6:$D$4650,$A19,'Diags Raw Data'!$M$6:$M$4650,"Delta")</f>
        <v>0</v>
      </c>
      <c r="J19" s="199">
        <f>SUMIFS('Diags Raw Data'!$V$6:$V$4650,'Diags Raw Data'!$D$6:$D$4650,$A19,'Diags Raw Data'!$M$6:$M$4650,"New")+SUMIFS('Diags Raw Data'!$V$6:$V$4650,'Diags Raw Data'!$D$6:$D$4650,$A19,'Diags Raw Data'!$M$6:$M$4650,"Delta")</f>
        <v>0</v>
      </c>
      <c r="K19" s="199">
        <f>SUMIFS('Diags Raw Data'!$W$6:$W$4650,'Diags Raw Data'!$D$6:$D$4650,$A19,'Diags Raw Data'!$M$6:$M$4650,"New")+SUMIFS('Diags Raw Data'!$W$6:$W$4650,'Diags Raw Data'!$D$6:$D$4650,$A19,'Diags Raw Data'!$M$6:$M$4650,"Delta")</f>
        <v>0</v>
      </c>
      <c r="L19" s="208" t="str">
        <f t="shared" si="29"/>
        <v>---</v>
      </c>
      <c r="M19" s="201" t="str">
        <f t="shared" si="30"/>
        <v>---</v>
      </c>
      <c r="N19" s="205" t="str">
        <f t="shared" si="31"/>
        <v>---</v>
      </c>
      <c r="O19" s="194">
        <f>SUMIFS('Diags Raw Data'!$Z$6:$Z$4650,'Diags Raw Data'!$D$6:$D$4650,$A19,'Diags Raw Data'!$M$6:$M$4650,"New")+SUMIFS('Diags Raw Data'!$Z$6:$Z$4650,'Diags Raw Data'!$D$6:$D$4650,$A19,'Diags Raw Data'!$M$6:$M$4650,"Delta")</f>
        <v>0</v>
      </c>
      <c r="P19" s="191">
        <f>SUMIFS('Diags Raw Data'!$AA$6:$AA$4650,'Diags Raw Data'!$D$6:$D$4650,$A19,'Diags Raw Data'!$M$6:$M$4650,"New")+SUMIFS('Diags Raw Data'!$AA$6:$AA$4650,'Diags Raw Data'!$D$6:$D$4650,$A19,'Diags Raw Data'!$M$6:$M$4650,"Delta")</f>
        <v>0</v>
      </c>
      <c r="Q19" s="191">
        <f>SUMIFS('Diags Raw Data'!$AB$6:$AB$4650,'Diags Raw Data'!$D$6:$D$4650,$A19,'Diags Raw Data'!$M$6:$M$4650,"New")+SUMIFS('Diags Raw Data'!$AB$6:$AB$4650,'Diags Raw Data'!$D$6:$D$4650,$A19,'Diags Raw Data'!$M$6:$M$4650,"Delta")</f>
        <v>0</v>
      </c>
      <c r="R19" s="191">
        <f>SUMIFS('Diags Raw Data'!$AC$6:$AC$4650,'Diags Raw Data'!$D$6:$D$4650,$A19,'Diags Raw Data'!$M$6:$M$4650,"New")+SUMIFS('Diags Raw Data'!$AC$6:$AC$4650,'Diags Raw Data'!$D$6:$D$4650,$A19,'Diags Raw Data'!$M$6:$M$4650,"Delta")</f>
        <v>0</v>
      </c>
      <c r="S19" s="191">
        <f>SUMIFS('Diags Raw Data'!$AD$6:$AD$4650,'Diags Raw Data'!$D$6:$D$4650,$A19,'Diags Raw Data'!$M$6:$M$4650,"New")+SUMIFS('Diags Raw Data'!$AD$6:$AD$4650,'Diags Raw Data'!$D$6:$D$4650,$A19,'Diags Raw Data'!$M$6:$M$4650,"Delta")</f>
        <v>0</v>
      </c>
      <c r="T19" s="192" t="str">
        <f t="shared" si="32"/>
        <v>---</v>
      </c>
      <c r="U19" s="202" t="str">
        <f t="shared" si="33"/>
        <v>---</v>
      </c>
      <c r="V19" s="204" t="str">
        <f t="shared" si="34"/>
        <v>---</v>
      </c>
    </row>
    <row r="20" spans="1:22" x14ac:dyDescent="0.25">
      <c r="A20" s="289" t="s">
        <v>412</v>
      </c>
      <c r="B20" s="212">
        <f>SUMIFS('Diags Raw Data'!$L$6:$L$4650,'Diags Raw Data'!$D$6:$D$4650,$A20,'Diags Raw Data'!$M$6:$M$4650,"New")+SUMIFS('Diags Raw Data'!$L$6:$L$4650,'Diags Raw Data'!$D$6:$D$4650,$A20,'Diags Raw Data'!$M$6:$M$4650,"Delta")</f>
        <v>0</v>
      </c>
      <c r="C20" s="207">
        <f>SUMIFS('Diags Raw Data'!$R$6:$R$4650,'Diags Raw Data'!$D$6:$D$4650,$A20,'Diags Raw Data'!$M$6:$M$4650,"New")+SUMIFS('Diags Raw Data'!$R$6:$R$4650,'Diags Raw Data'!$D$6:$D$4650,$A20,'Diags Raw Data'!$M$6:$M$4650,"Delta")</f>
        <v>0</v>
      </c>
      <c r="D20" s="207">
        <f>SUMIFS('Diags Raw Data'!$K$6:$K$4650,'Diags Raw Data'!$D$6:$D$4650,$A20,'Diags Raw Data'!$M$6:$M$4650,"New")+SUMIFS('Diags Raw Data'!$K$6:$K$4650,'Diags Raw Data'!$D$6:$D$4650,$A20,'Diags Raw Data'!$M$6:$M$4650,"Delta")</f>
        <v>0</v>
      </c>
      <c r="E20" s="207">
        <f>SUMIFS('Diags Raw Data'!$O$6:$O$4650,'Diags Raw Data'!$D$6:$D$4650,$A20,'Diags Raw Data'!$M$6:$M$4650,"New")+SUMIFS('Diags Raw Data'!$O$6:$O$4650,'Diags Raw Data'!$D$6:$D$4650,$A20,'Diags Raw Data'!$M$6:$M$4650,"Delta")</f>
        <v>0</v>
      </c>
      <c r="F20" s="210" t="str">
        <f t="shared" si="28"/>
        <v>---</v>
      </c>
      <c r="G20" s="203">
        <f>SUMIFS('Diags Raw Data'!$S$6:$S$4650,'Diags Raw Data'!$D$6:$D$4650,$A20,'Diags Raw Data'!$M$6:$M$4650,"New")+SUMIFS('Diags Raw Data'!$S$6:$S$4650,'Diags Raw Data'!$D$6:$D$4650,$A20,'Diags Raw Data'!$M$6:$M$4650,"Delta")</f>
        <v>0</v>
      </c>
      <c r="H20" s="199">
        <f>SUMIFS('Diags Raw Data'!$T$6:$T$4650,'Diags Raw Data'!$D$6:$D$4650,$A20,'Diags Raw Data'!$M$6:$M$4650,"New")+SUMIFS('Diags Raw Data'!$T$6:$T$4650,'Diags Raw Data'!$D$6:$D$4650,$A20,'Diags Raw Data'!$M$6:$M$4650,"Delta")</f>
        <v>0</v>
      </c>
      <c r="I20" s="199">
        <f>SUMIFS('Diags Raw Data'!$U$6:$U$4650,'Diags Raw Data'!$D$6:$D$4650,$A20,'Diags Raw Data'!$M$6:$M$4650,"New")+SUMIFS('Diags Raw Data'!$U$6:$U$4650,'Diags Raw Data'!$D$6:$D$4650,$A20,'Diags Raw Data'!$M$6:$M$4650,"Delta")</f>
        <v>0</v>
      </c>
      <c r="J20" s="199">
        <f>SUMIFS('Diags Raw Data'!$V$6:$V$4650,'Diags Raw Data'!$D$6:$D$4650,$A20,'Diags Raw Data'!$M$6:$M$4650,"New")+SUMIFS('Diags Raw Data'!$V$6:$V$4650,'Diags Raw Data'!$D$6:$D$4650,$A20,'Diags Raw Data'!$M$6:$M$4650,"Delta")</f>
        <v>0</v>
      </c>
      <c r="K20" s="199">
        <f>SUMIFS('Diags Raw Data'!$W$6:$W$4650,'Diags Raw Data'!$D$6:$D$4650,$A20,'Diags Raw Data'!$M$6:$M$4650,"New")+SUMIFS('Diags Raw Data'!$W$6:$W$4650,'Diags Raw Data'!$D$6:$D$4650,$A20,'Diags Raw Data'!$M$6:$M$4650,"Delta")</f>
        <v>0</v>
      </c>
      <c r="L20" s="208" t="str">
        <f t="shared" si="29"/>
        <v>---</v>
      </c>
      <c r="M20" s="201" t="str">
        <f t="shared" si="30"/>
        <v>---</v>
      </c>
      <c r="N20" s="205" t="str">
        <f t="shared" si="31"/>
        <v>---</v>
      </c>
      <c r="O20" s="194">
        <f>SUMIFS('Diags Raw Data'!$Z$6:$Z$4650,'Diags Raw Data'!$D$6:$D$4650,$A20,'Diags Raw Data'!$M$6:$M$4650,"New")+SUMIFS('Diags Raw Data'!$Z$6:$Z$4650,'Diags Raw Data'!$D$6:$D$4650,$A20,'Diags Raw Data'!$M$6:$M$4650,"Delta")</f>
        <v>0</v>
      </c>
      <c r="P20" s="191">
        <f>SUMIFS('Diags Raw Data'!$AA$6:$AA$4650,'Diags Raw Data'!$D$6:$D$4650,$A20,'Diags Raw Data'!$M$6:$M$4650,"New")+SUMIFS('Diags Raw Data'!$AA$6:$AA$4650,'Diags Raw Data'!$D$6:$D$4650,$A20,'Diags Raw Data'!$M$6:$M$4650,"Delta")</f>
        <v>0</v>
      </c>
      <c r="Q20" s="191">
        <f>SUMIFS('Diags Raw Data'!$AB$6:$AB$4650,'Diags Raw Data'!$D$6:$D$4650,$A20,'Diags Raw Data'!$M$6:$M$4650,"New")+SUMIFS('Diags Raw Data'!$AB$6:$AB$4650,'Diags Raw Data'!$D$6:$D$4650,$A20,'Diags Raw Data'!$M$6:$M$4650,"Delta")</f>
        <v>0</v>
      </c>
      <c r="R20" s="191">
        <f>SUMIFS('Diags Raw Data'!$AC$6:$AC$4650,'Diags Raw Data'!$D$6:$D$4650,$A20,'Diags Raw Data'!$M$6:$M$4650,"New")+SUMIFS('Diags Raw Data'!$AC$6:$AC$4650,'Diags Raw Data'!$D$6:$D$4650,$A20,'Diags Raw Data'!$M$6:$M$4650,"Delta")</f>
        <v>0</v>
      </c>
      <c r="S20" s="191">
        <f>SUMIFS('Diags Raw Data'!$AD$6:$AD$4650,'Diags Raw Data'!$D$6:$D$4650,$A20,'Diags Raw Data'!$M$6:$M$4650,"New")+SUMIFS('Diags Raw Data'!$AD$6:$AD$4650,'Diags Raw Data'!$D$6:$D$4650,$A20,'Diags Raw Data'!$M$6:$M$4650,"Delta")</f>
        <v>0</v>
      </c>
      <c r="T20" s="192" t="str">
        <f t="shared" si="32"/>
        <v>---</v>
      </c>
      <c r="U20" s="202" t="str">
        <f t="shared" si="33"/>
        <v>---</v>
      </c>
      <c r="V20" s="204" t="str">
        <f t="shared" si="34"/>
        <v>---</v>
      </c>
    </row>
    <row r="21" spans="1:22" ht="15.75" thickBot="1" x14ac:dyDescent="0.3">
      <c r="A21" s="289" t="s">
        <v>413</v>
      </c>
      <c r="B21" s="212">
        <f>SUMIFS('Diags Raw Data'!$L$6:$L$4650,'Diags Raw Data'!$D$6:$D$4650,$A21,'Diags Raw Data'!$M$6:$M$4650,"New")+SUMIFS('Diags Raw Data'!$L$6:$L$4650,'Diags Raw Data'!$D$6:$D$4650,$A21,'Diags Raw Data'!$M$6:$M$4650,"Delta")</f>
        <v>0</v>
      </c>
      <c r="C21" s="207">
        <f>SUMIFS('Diags Raw Data'!$R$6:$R$4650,'Diags Raw Data'!$D$6:$D$4650,$A21,'Diags Raw Data'!$M$6:$M$4650,"New")+SUMIFS('Diags Raw Data'!$R$6:$R$4650,'Diags Raw Data'!$D$6:$D$4650,$A21,'Diags Raw Data'!$M$6:$M$4650,"Delta")</f>
        <v>0</v>
      </c>
      <c r="D21" s="207">
        <f>SUMIFS('Diags Raw Data'!$K$6:$K$4650,'Diags Raw Data'!$D$6:$D$4650,$A21,'Diags Raw Data'!$M$6:$M$4650,"New")+SUMIFS('Diags Raw Data'!$K$6:$K$4650,'Diags Raw Data'!$D$6:$D$4650,$A21,'Diags Raw Data'!$M$6:$M$4650,"Delta")</f>
        <v>0</v>
      </c>
      <c r="E21" s="207">
        <f>SUMIFS('Diags Raw Data'!$O$6:$O$4650,'Diags Raw Data'!$D$6:$D$4650,$A21,'Diags Raw Data'!$M$6:$M$4650,"New")+SUMIFS('Diags Raw Data'!$O$6:$O$4650,'Diags Raw Data'!$D$6:$D$4650,$A21,'Diags Raw Data'!$M$6:$M$4650,"Delta")</f>
        <v>0</v>
      </c>
      <c r="F21" s="210" t="str">
        <f t="shared" si="28"/>
        <v>---</v>
      </c>
      <c r="G21" s="203">
        <f>SUMIFS('Diags Raw Data'!$S$6:$S$4650,'Diags Raw Data'!$D$6:$D$4650,$A21,'Diags Raw Data'!$M$6:$M$4650,"New")+SUMIFS('Diags Raw Data'!$S$6:$S$4650,'Diags Raw Data'!$D$6:$D$4650,$A21,'Diags Raw Data'!$M$6:$M$4650,"Delta")</f>
        <v>0</v>
      </c>
      <c r="H21" s="199">
        <f>SUMIFS('Diags Raw Data'!$T$6:$T$4650,'Diags Raw Data'!$D$6:$D$4650,$A21,'Diags Raw Data'!$M$6:$M$4650,"New")+SUMIFS('Diags Raw Data'!$T$6:$T$4650,'Diags Raw Data'!$D$6:$D$4650,$A21,'Diags Raw Data'!$M$6:$M$4650,"Delta")</f>
        <v>0</v>
      </c>
      <c r="I21" s="199">
        <f>SUMIFS('Diags Raw Data'!$U$6:$U$4650,'Diags Raw Data'!$D$6:$D$4650,$A21,'Diags Raw Data'!$M$6:$M$4650,"New")+SUMIFS('Diags Raw Data'!$U$6:$U$4650,'Diags Raw Data'!$D$6:$D$4650,$A21,'Diags Raw Data'!$M$6:$M$4650,"Delta")</f>
        <v>0</v>
      </c>
      <c r="J21" s="199">
        <f>SUMIFS('Diags Raw Data'!$V$6:$V$4650,'Diags Raw Data'!$D$6:$D$4650,$A21,'Diags Raw Data'!$M$6:$M$4650,"New")+SUMIFS('Diags Raw Data'!$V$6:$V$4650,'Diags Raw Data'!$D$6:$D$4650,$A21,'Diags Raw Data'!$M$6:$M$4650,"Delta")</f>
        <v>0</v>
      </c>
      <c r="K21" s="199">
        <f>SUMIFS('Diags Raw Data'!$W$6:$W$4650,'Diags Raw Data'!$D$6:$D$4650,$A21,'Diags Raw Data'!$M$6:$M$4650,"New")+SUMIFS('Diags Raw Data'!$W$6:$W$4650,'Diags Raw Data'!$D$6:$D$4650,$A21,'Diags Raw Data'!$M$6:$M$4650,"Delta")</f>
        <v>0</v>
      </c>
      <c r="L21" s="208" t="str">
        <f t="shared" si="29"/>
        <v>---</v>
      </c>
      <c r="M21" s="201" t="str">
        <f t="shared" si="30"/>
        <v>---</v>
      </c>
      <c r="N21" s="205" t="str">
        <f t="shared" si="31"/>
        <v>---</v>
      </c>
      <c r="O21" s="194">
        <f>SUMIFS('Diags Raw Data'!$Z$6:$Z$4650,'Diags Raw Data'!$D$6:$D$4650,$A21,'Diags Raw Data'!$M$6:$M$4650,"New")+SUMIFS('Diags Raw Data'!$Z$6:$Z$4650,'Diags Raw Data'!$D$6:$D$4650,$A21,'Diags Raw Data'!$M$6:$M$4650,"Delta")</f>
        <v>0</v>
      </c>
      <c r="P21" s="191">
        <f>SUMIFS('Diags Raw Data'!$AA$6:$AA$4650,'Diags Raw Data'!$D$6:$D$4650,$A21,'Diags Raw Data'!$M$6:$M$4650,"New")+SUMIFS('Diags Raw Data'!$AA$6:$AA$4650,'Diags Raw Data'!$D$6:$D$4650,$A21,'Diags Raw Data'!$M$6:$M$4650,"Delta")</f>
        <v>0</v>
      </c>
      <c r="Q21" s="191">
        <f>SUMIFS('Diags Raw Data'!$AB$6:$AB$4650,'Diags Raw Data'!$D$6:$D$4650,$A21,'Diags Raw Data'!$M$6:$M$4650,"New")+SUMIFS('Diags Raw Data'!$AB$6:$AB$4650,'Diags Raw Data'!$D$6:$D$4650,$A21,'Diags Raw Data'!$M$6:$M$4650,"Delta")</f>
        <v>0</v>
      </c>
      <c r="R21" s="191">
        <f>SUMIFS('Diags Raw Data'!$AC$6:$AC$4650,'Diags Raw Data'!$D$6:$D$4650,$A21,'Diags Raw Data'!$M$6:$M$4650,"New")+SUMIFS('Diags Raw Data'!$AC$6:$AC$4650,'Diags Raw Data'!$D$6:$D$4650,$A21,'Diags Raw Data'!$M$6:$M$4650,"Delta")</f>
        <v>0</v>
      </c>
      <c r="S21" s="191">
        <f>SUMIFS('Diags Raw Data'!$AD$6:$AD$4650,'Diags Raw Data'!$D$6:$D$4650,$A21,'Diags Raw Data'!$M$6:$M$4650,"New")+SUMIFS('Diags Raw Data'!$AD$6:$AD$4650,'Diags Raw Data'!$D$6:$D$4650,$A21,'Diags Raw Data'!$M$6:$M$4650,"Delta")</f>
        <v>0</v>
      </c>
      <c r="T21" s="192" t="str">
        <f t="shared" si="32"/>
        <v>---</v>
      </c>
      <c r="U21" s="202" t="str">
        <f t="shared" si="33"/>
        <v>---</v>
      </c>
      <c r="V21" s="204" t="str">
        <f t="shared" si="34"/>
        <v>---</v>
      </c>
    </row>
    <row r="22" spans="1:22" ht="16.5" thickBot="1" x14ac:dyDescent="0.3">
      <c r="A22" s="214" t="s">
        <v>416</v>
      </c>
      <c r="B22" s="215">
        <f>SUM(B15:B21)</f>
        <v>0</v>
      </c>
      <c r="C22" s="216">
        <f>SUM(C15:C21)</f>
        <v>0</v>
      </c>
      <c r="D22" s="216">
        <f>SUM(D15:D21)</f>
        <v>0</v>
      </c>
      <c r="E22" s="216">
        <f>SUM(E15:E21)</f>
        <v>0</v>
      </c>
      <c r="F22" s="217" t="e" cm="1">
        <f t="array" ref="F22">SUMPRODUCT(--(ISNUMBER(SEARCH("New",'Diags Raw Data'!$M$6:$M$4650))),'Diags Raw Data'!$K$6:$K$4650,'Diags Raw Data'!$P$6:$P$4650)/D22+SUMPRODUCT(--(ISNUMBER(SEARCH("Delta",'Diags Raw Data'!$M$6:$M$4650))),'Diags Raw Data'!$K$6:$K$4650,'Diags Raw Data'!$P$6:$P$4650)/D22</f>
        <v>#DIV/0!</v>
      </c>
      <c r="G22" s="218">
        <f>SUM(G15:G21)</f>
        <v>0</v>
      </c>
      <c r="H22" s="219">
        <f>SUM(H15:H21)</f>
        <v>0</v>
      </c>
      <c r="I22" s="220">
        <f>SUM(I15:I21)</f>
        <v>0</v>
      </c>
      <c r="J22" s="219">
        <f>SUM(J15:J21)</f>
        <v>0</v>
      </c>
      <c r="K22" s="220">
        <f>SUM(K15:K21)</f>
        <v>0</v>
      </c>
      <c r="L22" s="221" t="str">
        <f>IF(NOT($C22=0), G22/$C22, "---")</f>
        <v>---</v>
      </c>
      <c r="M22" s="222" t="str">
        <f t="shared" ref="M22" si="35">IF(NOT($G22=0), (H22+I22)/$G22, "---")</f>
        <v>---</v>
      </c>
      <c r="N22" s="223" t="str">
        <f>IF(NOT($C22=0), (H22+I22)/$C22, "---")</f>
        <v>---</v>
      </c>
      <c r="O22" s="224">
        <f>SUM(O15:O21)</f>
        <v>0</v>
      </c>
      <c r="P22" s="225">
        <f>SUM(P15:P21)</f>
        <v>0</v>
      </c>
      <c r="Q22" s="226">
        <f>SUM(Q15:Q21)</f>
        <v>0</v>
      </c>
      <c r="R22" s="225">
        <f>SUM(R15:R21)</f>
        <v>0</v>
      </c>
      <c r="S22" s="226">
        <f>SUM(S15:S21)</f>
        <v>0</v>
      </c>
      <c r="T22" s="227" t="str">
        <f>IF(NOT($B22=0), O22/$B22, "---")</f>
        <v>---</v>
      </c>
      <c r="U22" s="228" t="str">
        <f t="shared" ref="U22" si="36">IF(NOT($O22=0), (P22+Q22)/$O22, "---")</f>
        <v>---</v>
      </c>
      <c r="V22" s="229" t="str">
        <f t="shared" ref="V22" si="37">IF(NOT($B22=0), (P22+Q22)/$B22, "---")</f>
        <v>---</v>
      </c>
    </row>
    <row r="23" spans="1:22" ht="15.75" thickBot="1" x14ac:dyDescent="0.3">
      <c r="A23" s="209"/>
      <c r="B23" s="209"/>
      <c r="C23" s="209"/>
      <c r="D23" s="209"/>
      <c r="E23" s="209"/>
      <c r="F23" s="209"/>
      <c r="G23" s="209"/>
      <c r="H23" s="209"/>
      <c r="I23" s="209"/>
      <c r="J23" s="209"/>
      <c r="K23" s="209"/>
      <c r="L23" s="209"/>
      <c r="M23" s="209"/>
      <c r="N23" s="209"/>
      <c r="O23" s="209"/>
      <c r="P23" s="209"/>
      <c r="Q23" s="209"/>
      <c r="R23" s="209"/>
      <c r="S23" s="209"/>
      <c r="T23" s="209"/>
      <c r="U23" s="209"/>
      <c r="V23" s="209"/>
    </row>
    <row r="24" spans="1:22" ht="15.75" thickBot="1" x14ac:dyDescent="0.3">
      <c r="A24" s="196" t="s">
        <v>33</v>
      </c>
      <c r="B24" s="585" t="s">
        <v>161</v>
      </c>
      <c r="C24" s="585"/>
      <c r="D24" s="585"/>
      <c r="E24" s="585"/>
      <c r="F24" s="585"/>
      <c r="G24" s="586" t="s">
        <v>172</v>
      </c>
      <c r="H24" s="587"/>
      <c r="I24" s="587"/>
      <c r="J24" s="587"/>
      <c r="K24" s="587"/>
      <c r="L24" s="587"/>
      <c r="M24" s="587"/>
      <c r="N24" s="588"/>
      <c r="O24" s="589" t="s">
        <v>139</v>
      </c>
      <c r="P24" s="590"/>
      <c r="Q24" s="590"/>
      <c r="R24" s="590"/>
      <c r="S24" s="590"/>
      <c r="T24" s="590"/>
      <c r="U24" s="590"/>
      <c r="V24" s="591"/>
    </row>
    <row r="25" spans="1:22" s="211" customFormat="1" ht="30.75" thickBot="1" x14ac:dyDescent="0.3">
      <c r="A25" s="213" t="s">
        <v>83</v>
      </c>
      <c r="B25" s="270" t="s">
        <v>162</v>
      </c>
      <c r="C25" s="271" t="s">
        <v>123</v>
      </c>
      <c r="D25" s="272" t="s">
        <v>100</v>
      </c>
      <c r="E25" s="272" t="s">
        <v>168</v>
      </c>
      <c r="F25" s="273" t="s">
        <v>170</v>
      </c>
      <c r="G25" s="274" t="s">
        <v>127</v>
      </c>
      <c r="H25" s="275" t="s">
        <v>30</v>
      </c>
      <c r="I25" s="275" t="s">
        <v>130</v>
      </c>
      <c r="J25" s="275" t="s">
        <v>35</v>
      </c>
      <c r="K25" s="275" t="s">
        <v>133</v>
      </c>
      <c r="L25" s="275" t="s">
        <v>179</v>
      </c>
      <c r="M25" s="275" t="s">
        <v>135</v>
      </c>
      <c r="N25" s="276" t="s">
        <v>182</v>
      </c>
      <c r="O25" s="277" t="s">
        <v>127</v>
      </c>
      <c r="P25" s="278" t="s">
        <v>30</v>
      </c>
      <c r="Q25" s="278" t="s">
        <v>130</v>
      </c>
      <c r="R25" s="278" t="s">
        <v>35</v>
      </c>
      <c r="S25" s="278" t="s">
        <v>133</v>
      </c>
      <c r="T25" s="278" t="s">
        <v>179</v>
      </c>
      <c r="U25" s="278" t="s">
        <v>135</v>
      </c>
      <c r="V25" s="279" t="s">
        <v>182</v>
      </c>
    </row>
    <row r="26" spans="1:22" x14ac:dyDescent="0.25">
      <c r="A26" s="289" t="s">
        <v>408</v>
      </c>
      <c r="B26" s="212">
        <f>SUMIFS('Diags Raw Data'!$L$6:$L$4650,'Diags Raw Data'!$D$6:$D$4650,$A26,'Diags Raw Data'!$M$6:$M$4650,"Legacy")</f>
        <v>0</v>
      </c>
      <c r="C26" s="207">
        <f>SUMIFS('Diags Raw Data'!$R$6:$R$4650,'Diags Raw Data'!$D$6:$D$4650,$A26,'Diags Raw Data'!$M$6:$M$4650,"Legacy")</f>
        <v>0</v>
      </c>
      <c r="D26" s="207">
        <f>SUMIFS('Diags Raw Data'!$K$6:$K$4650,'Diags Raw Data'!$D$6:$D$4650,$A26,'Diags Raw Data'!$M$6:$M$4650,"Legacy")</f>
        <v>0</v>
      </c>
      <c r="E26" s="207">
        <f>SUMIFS('Diags Raw Data'!$O$6:$O$4650,'Diags Raw Data'!$D$6:$D$4650,$A26,'Diags Raw Data'!$M$6:$M$4650,"Legacy")</f>
        <v>0</v>
      </c>
      <c r="F26" s="210" t="str">
        <f t="shared" ref="F26:F31" si="38">IF(NOT($B26=0), E26/$B26, "---")</f>
        <v>---</v>
      </c>
      <c r="G26" s="203">
        <f>SUMIFS('Diags Raw Data'!$S$6:$S$4650,'Diags Raw Data'!$D$6:$D$4650,$A26,'Diags Raw Data'!$M$6:$M$4650,"Legacy")</f>
        <v>0</v>
      </c>
      <c r="H26" s="199">
        <f>SUMIFS('Diags Raw Data'!$T$6:$T$4650,'Diags Raw Data'!$D$6:$D$4650,$A26,'Diags Raw Data'!$M$6:$M$4650,"Legacy")</f>
        <v>0</v>
      </c>
      <c r="I26" s="200">
        <f>SUMIFS('Diags Raw Data'!$U$6:$U$4650,'Diags Raw Data'!$D$6:$D$4650,$A26,'Diags Raw Data'!$M$6:$M$4650,"Legacy")</f>
        <v>0</v>
      </c>
      <c r="J26" s="199">
        <f>SUMIFS('Diags Raw Data'!$V$6:$V$4650,'Diags Raw Data'!$D$6:$D$4650,$A26,'Diags Raw Data'!$M$6:$M$4650,"Legacy")</f>
        <v>0</v>
      </c>
      <c r="K26" s="200">
        <f>SUMIFS('Diags Raw Data'!$W$6:$W$4650,'Diags Raw Data'!$D$6:$D$4650,$A26,'Diags Raw Data'!$M$6:$M$4650,"Legacy")</f>
        <v>0</v>
      </c>
      <c r="L26" s="208" t="str">
        <f t="shared" ref="L26:L31" si="39">IF(NOT($C26=0), G26/$C26, "---")</f>
        <v>---</v>
      </c>
      <c r="M26" s="201" t="str">
        <f t="shared" ref="M26:M31" si="40">IF(NOT($G26=0), (H26+I26)/$G26, "---")</f>
        <v>---</v>
      </c>
      <c r="N26" s="205" t="str">
        <f t="shared" ref="N26:N31" si="41">IF(NOT($C26=0), (H26+I26)/$C26, "---")</f>
        <v>---</v>
      </c>
      <c r="O26" s="194">
        <f>SUMIFS('Diags Raw Data'!$Z$6:$Z$4650,'Diags Raw Data'!$D$6:$D$4650,$A26,'Diags Raw Data'!$M$6:$M$4650,"Legacy")</f>
        <v>0</v>
      </c>
      <c r="P26" s="191">
        <f>SUMIFS('Diags Raw Data'!$AA$6:$AA$4650,'Diags Raw Data'!$D$6:$D$4650,$A26,'Diags Raw Data'!$M$6:$M$4650,"Legacy")</f>
        <v>0</v>
      </c>
      <c r="Q26" s="193">
        <f>SUMIFS('Diags Raw Data'!$AB$6:$AB$4650,'Diags Raw Data'!$D$6:$D$4650,$A26,'Diags Raw Data'!$M$6:$M$4650,"Legacy")</f>
        <v>0</v>
      </c>
      <c r="R26" s="191">
        <f>SUMIFS('Diags Raw Data'!$AC$6:$AC$4650,'Diags Raw Data'!$D$6:$D$4650,$A26,'Diags Raw Data'!$M$6:$M$4650,"Legacy")</f>
        <v>0</v>
      </c>
      <c r="S26" s="193">
        <f>SUMIFS('Diags Raw Data'!$AD$6:$AD$4650,'Diags Raw Data'!$D$6:$D$4650,$A26,'Diags Raw Data'!$M$6:$M$4650,"Legacy")</f>
        <v>0</v>
      </c>
      <c r="T26" s="192" t="str">
        <f t="shared" ref="T26:T31" si="42">IF(NOT($B26=0), O26/$B26, "---")</f>
        <v>---</v>
      </c>
      <c r="U26" s="202" t="str">
        <f t="shared" ref="U26:U31" si="43">IF(NOT($O26=0), (P26+Q26)/$O26, "---")</f>
        <v>---</v>
      </c>
      <c r="V26" s="204" t="str">
        <f t="shared" ref="V26:V31" si="44">IF(NOT($B26=0), (P26+Q26)/$B26, "---")</f>
        <v>---</v>
      </c>
    </row>
    <row r="27" spans="1:22" x14ac:dyDescent="0.25">
      <c r="A27" s="289" t="s">
        <v>409</v>
      </c>
      <c r="B27" s="212">
        <f>SUMIFS('Diags Raw Data'!$L$6:$L$4650,'Diags Raw Data'!$D$6:$D$4650,$A27,'Diags Raw Data'!$M$6:$M$4650,"Legacy")</f>
        <v>0</v>
      </c>
      <c r="C27" s="207">
        <f>SUMIFS('Diags Raw Data'!$R$6:$R$4650,'Diags Raw Data'!$D$6:$D$4650,$A27,'Diags Raw Data'!$M$6:$M$4650,"Legacy")</f>
        <v>0</v>
      </c>
      <c r="D27" s="207">
        <f>SUMIFS('Diags Raw Data'!$K$6:$K$4650,'Diags Raw Data'!$D$6:$D$4650,$A27,'Diags Raw Data'!$M$6:$M$4650,"Legacy")</f>
        <v>0</v>
      </c>
      <c r="E27" s="207">
        <f>SUMIFS('Diags Raw Data'!$O$6:$O$4650,'Diags Raw Data'!$D$6:$D$4650,$A27,'Diags Raw Data'!$M$6:$M$4650,"Legacy")</f>
        <v>0</v>
      </c>
      <c r="F27" s="210" t="str">
        <f t="shared" ref="F27:F28" si="45">IF(NOT($B27=0), E27/$B27, "---")</f>
        <v>---</v>
      </c>
      <c r="G27" s="203">
        <f>SUMIFS('Diags Raw Data'!$S$6:$S$4650,'Diags Raw Data'!$D$6:$D$4650,$A27,'Diags Raw Data'!$M$6:$M$4650,"Legacy")</f>
        <v>0</v>
      </c>
      <c r="H27" s="199">
        <f>SUMIFS('Diags Raw Data'!$T$6:$T$4650,'Diags Raw Data'!$D$6:$D$4650,$A27,'Diags Raw Data'!$M$6:$M$4650,"Legacy")</f>
        <v>0</v>
      </c>
      <c r="I27" s="200">
        <f>SUMIFS('Diags Raw Data'!$U$6:$U$4650,'Diags Raw Data'!$D$6:$D$4650,$A27,'Diags Raw Data'!$M$6:$M$4650,"Legacy")</f>
        <v>0</v>
      </c>
      <c r="J27" s="199">
        <f>SUMIFS('Diags Raw Data'!$V$6:$V$4650,'Diags Raw Data'!$D$6:$D$4650,$A27,'Diags Raw Data'!$M$6:$M$4650,"Legacy")</f>
        <v>0</v>
      </c>
      <c r="K27" s="200">
        <f>SUMIFS('Diags Raw Data'!$W$6:$W$4650,'Diags Raw Data'!$D$6:$D$4650,$A27,'Diags Raw Data'!$M$6:$M$4650,"Legacy")</f>
        <v>0</v>
      </c>
      <c r="L27" s="208" t="str">
        <f t="shared" ref="L27:L28" si="46">IF(NOT($C27=0), G27/$C27, "---")</f>
        <v>---</v>
      </c>
      <c r="M27" s="201" t="str">
        <f t="shared" ref="M27:M28" si="47">IF(NOT($G27=0), (H27+I27)/$G27, "---")</f>
        <v>---</v>
      </c>
      <c r="N27" s="205" t="str">
        <f t="shared" ref="N27:N28" si="48">IF(NOT($C27=0), (H27+I27)/$C27, "---")</f>
        <v>---</v>
      </c>
      <c r="O27" s="194">
        <f>SUMIFS('Diags Raw Data'!$Z$6:$Z$4650,'Diags Raw Data'!$D$6:$D$4650,$A27,'Diags Raw Data'!$M$6:$M$4650,"Legacy")</f>
        <v>0</v>
      </c>
      <c r="P27" s="191">
        <f>SUMIFS('Diags Raw Data'!$AA$6:$AA$4650,'Diags Raw Data'!$D$6:$D$4650,$A27,'Diags Raw Data'!$M$6:$M$4650,"Legacy")</f>
        <v>0</v>
      </c>
      <c r="Q27" s="193">
        <f>SUMIFS('Diags Raw Data'!$AB$6:$AB$4650,'Diags Raw Data'!$D$6:$D$4650,$A27,'Diags Raw Data'!$M$6:$M$4650,"Legacy")</f>
        <v>0</v>
      </c>
      <c r="R27" s="191">
        <f>SUMIFS('Diags Raw Data'!$AC$6:$AC$4650,'Diags Raw Data'!$D$6:$D$4650,$A27,'Diags Raw Data'!$M$6:$M$4650,"Legacy")</f>
        <v>0</v>
      </c>
      <c r="S27" s="193">
        <f>SUMIFS('Diags Raw Data'!$AD$6:$AD$4650,'Diags Raw Data'!$D$6:$D$4650,$A27,'Diags Raw Data'!$M$6:$M$4650,"Legacy")</f>
        <v>0</v>
      </c>
      <c r="T27" s="192" t="str">
        <f t="shared" ref="T27:T28" si="49">IF(NOT($B27=0), O27/$B27, "---")</f>
        <v>---</v>
      </c>
      <c r="U27" s="202" t="str">
        <f t="shared" ref="U27:U28" si="50">IF(NOT($O27=0), (P27+Q27)/$O27, "---")</f>
        <v>---</v>
      </c>
      <c r="V27" s="204" t="str">
        <f t="shared" ref="V27:V28" si="51">IF(NOT($B27=0), (P27+Q27)/$B27, "---")</f>
        <v>---</v>
      </c>
    </row>
    <row r="28" spans="1:22" x14ac:dyDescent="0.25">
      <c r="A28" s="289" t="s">
        <v>304</v>
      </c>
      <c r="B28" s="212">
        <f>SUMIFS('Diags Raw Data'!$L$6:$L$4650,'Diags Raw Data'!$D$6:$D$4650,$A28,'Diags Raw Data'!$M$6:$M$4650,"Legacy")</f>
        <v>99</v>
      </c>
      <c r="C28" s="207">
        <f>SUMIFS('Diags Raw Data'!$R$6:$R$4650,'Diags Raw Data'!$D$6:$D$4650,$A28,'Diags Raw Data'!$M$6:$M$4650,"Legacy")</f>
        <v>75</v>
      </c>
      <c r="D28" s="207">
        <f>SUMIFS('Diags Raw Data'!$K$6:$K$4650,'Diags Raw Data'!$D$6:$D$4650,$A28,'Diags Raw Data'!$M$6:$M$4650,"Legacy")</f>
        <v>83</v>
      </c>
      <c r="E28" s="207">
        <f>SUMIFS('Diags Raw Data'!$O$6:$O$4650,'Diags Raw Data'!$D$6:$D$4650,$A28,'Diags Raw Data'!$M$6:$M$4650,"Legacy")</f>
        <v>92</v>
      </c>
      <c r="F28" s="210">
        <f t="shared" si="45"/>
        <v>0.92929292929292928</v>
      </c>
      <c r="G28" s="203">
        <f>SUMIFS('Diags Raw Data'!$S$6:$S$4650,'Diags Raw Data'!$D$6:$D$4650,$A28,'Diags Raw Data'!$M$6:$M$4650,"Legacy")</f>
        <v>75</v>
      </c>
      <c r="H28" s="199">
        <f>SUMIFS('Diags Raw Data'!$T$6:$T$4650,'Diags Raw Data'!$D$6:$D$4650,$A28,'Diags Raw Data'!$M$6:$M$4650,"Legacy")</f>
        <v>75</v>
      </c>
      <c r="I28" s="200">
        <f>SUMIFS('Diags Raw Data'!$U$6:$U$4650,'Diags Raw Data'!$D$6:$D$4650,$A28,'Diags Raw Data'!$M$6:$M$4650,"Legacy")</f>
        <v>0</v>
      </c>
      <c r="J28" s="199">
        <f>SUMIFS('Diags Raw Data'!$V$6:$V$4650,'Diags Raw Data'!$D$6:$D$4650,$A28,'Diags Raw Data'!$M$6:$M$4650,"Legacy")</f>
        <v>0</v>
      </c>
      <c r="K28" s="200">
        <f>SUMIFS('Diags Raw Data'!$W$6:$W$4650,'Diags Raw Data'!$D$6:$D$4650,$A28,'Diags Raw Data'!$M$6:$M$4650,"Legacy")</f>
        <v>0</v>
      </c>
      <c r="L28" s="208">
        <f t="shared" si="46"/>
        <v>1</v>
      </c>
      <c r="M28" s="201">
        <f t="shared" si="47"/>
        <v>1</v>
      </c>
      <c r="N28" s="205">
        <f t="shared" si="48"/>
        <v>1</v>
      </c>
      <c r="O28" s="194">
        <f>SUMIFS('Diags Raw Data'!$Z$6:$Z$4650,'Diags Raw Data'!$D$6:$D$4650,$A28,'Diags Raw Data'!$M$6:$M$4650,"Legacy")</f>
        <v>90</v>
      </c>
      <c r="P28" s="191">
        <f>SUMIFS('Diags Raw Data'!$AA$6:$AA$4650,'Diags Raw Data'!$D$6:$D$4650,$A28,'Diags Raw Data'!$M$6:$M$4650,"Legacy")</f>
        <v>90</v>
      </c>
      <c r="Q28" s="193">
        <f>SUMIFS('Diags Raw Data'!$AB$6:$AB$4650,'Diags Raw Data'!$D$6:$D$4650,$A28,'Diags Raw Data'!$M$6:$M$4650,"Legacy")</f>
        <v>0</v>
      </c>
      <c r="R28" s="191">
        <f>SUMIFS('Diags Raw Data'!$AC$6:$AC$4650,'Diags Raw Data'!$D$6:$D$4650,$A28,'Diags Raw Data'!$M$6:$M$4650,"Legacy")</f>
        <v>0</v>
      </c>
      <c r="S28" s="193">
        <f>SUMIFS('Diags Raw Data'!$AD$6:$AD$4650,'Diags Raw Data'!$D$6:$D$4650,$A28,'Diags Raw Data'!$M$6:$M$4650,"Legacy")</f>
        <v>0</v>
      </c>
      <c r="T28" s="192">
        <f t="shared" si="49"/>
        <v>0.90909090909090906</v>
      </c>
      <c r="U28" s="202">
        <f t="shared" si="50"/>
        <v>1</v>
      </c>
      <c r="V28" s="204">
        <f t="shared" si="51"/>
        <v>0.90909090909090906</v>
      </c>
    </row>
    <row r="29" spans="1:22" x14ac:dyDescent="0.25">
      <c r="A29" s="289" t="s">
        <v>410</v>
      </c>
      <c r="B29" s="212">
        <f>SUMIFS('Diags Raw Data'!$L$6:$L$4650,'Diags Raw Data'!$D$6:$D$4650,$A29,'Diags Raw Data'!$M$6:$M$4650,"Legacy")</f>
        <v>0</v>
      </c>
      <c r="C29" s="207">
        <f>SUMIFS('Diags Raw Data'!$R$6:$R$4650,'Diags Raw Data'!$D$6:$D$4650,$A29,'Diags Raw Data'!$M$6:$M$4650,"Legacy")</f>
        <v>0</v>
      </c>
      <c r="D29" s="207">
        <f>SUMIFS('Diags Raw Data'!$K$6:$K$4650,'Diags Raw Data'!$D$6:$D$4650,$A29,'Diags Raw Data'!$M$6:$M$4650,"Legacy")</f>
        <v>0</v>
      </c>
      <c r="E29" s="207">
        <f>SUMIFS('Diags Raw Data'!$O$6:$O$4650,'Diags Raw Data'!$D$6:$D$4650,$A29,'Diags Raw Data'!$M$6:$M$4650,"Legacy")</f>
        <v>0</v>
      </c>
      <c r="F29" s="210" t="str">
        <f t="shared" si="38"/>
        <v>---</v>
      </c>
      <c r="G29" s="203">
        <f>SUMIFS('Diags Raw Data'!$S$6:$S$4650,'Diags Raw Data'!$D$6:$D$4650,$A29,'Diags Raw Data'!$M$6:$M$4650,"Legacy")</f>
        <v>0</v>
      </c>
      <c r="H29" s="199">
        <f>SUMIFS('Diags Raw Data'!$T$6:$T$4650,'Diags Raw Data'!$D$6:$D$4650,$A29,'Diags Raw Data'!$M$6:$M$4650,"Legacy")</f>
        <v>0</v>
      </c>
      <c r="I29" s="200">
        <f>SUMIFS('Diags Raw Data'!$U$6:$U$4650,'Diags Raw Data'!$D$6:$D$4650,$A29,'Diags Raw Data'!$M$6:$M$4650,"Legacy")</f>
        <v>0</v>
      </c>
      <c r="J29" s="199">
        <f>SUMIFS('Diags Raw Data'!$V$6:$V$4650,'Diags Raw Data'!$D$6:$D$4650,$A29,'Diags Raw Data'!$M$6:$M$4650,"Legacy")</f>
        <v>0</v>
      </c>
      <c r="K29" s="200">
        <f>SUMIFS('Diags Raw Data'!$W$6:$W$4650,'Diags Raw Data'!$D$6:$D$4650,$A29,'Diags Raw Data'!$M$6:$M$4650,"Legacy")</f>
        <v>0</v>
      </c>
      <c r="L29" s="208" t="str">
        <f t="shared" si="39"/>
        <v>---</v>
      </c>
      <c r="M29" s="201" t="str">
        <f t="shared" si="40"/>
        <v>---</v>
      </c>
      <c r="N29" s="205" t="str">
        <f t="shared" si="41"/>
        <v>---</v>
      </c>
      <c r="O29" s="194">
        <f>SUMIFS('Diags Raw Data'!$Z$6:$Z$4650,'Diags Raw Data'!$D$6:$D$4650,$A29,'Diags Raw Data'!$M$6:$M$4650,"Legacy")</f>
        <v>0</v>
      </c>
      <c r="P29" s="191">
        <f>SUMIFS('Diags Raw Data'!$AA$6:$AA$4650,'Diags Raw Data'!$D$6:$D$4650,$A29,'Diags Raw Data'!$M$6:$M$4650,"Legacy")</f>
        <v>0</v>
      </c>
      <c r="Q29" s="193">
        <f>SUMIFS('Diags Raw Data'!$AB$6:$AB$4650,'Diags Raw Data'!$D$6:$D$4650,$A29,'Diags Raw Data'!$M$6:$M$4650,"Legacy")</f>
        <v>0</v>
      </c>
      <c r="R29" s="191">
        <f>SUMIFS('Diags Raw Data'!$AC$6:$AC$4650,'Diags Raw Data'!$D$6:$D$4650,$A29,'Diags Raw Data'!$M$6:$M$4650,"Legacy")</f>
        <v>0</v>
      </c>
      <c r="S29" s="193">
        <f>SUMIFS('Diags Raw Data'!$AD$6:$AD$4650,'Diags Raw Data'!$D$6:$D$4650,$A29,'Diags Raw Data'!$M$6:$M$4650,"Legacy")</f>
        <v>0</v>
      </c>
      <c r="T29" s="192" t="str">
        <f t="shared" si="42"/>
        <v>---</v>
      </c>
      <c r="U29" s="202" t="str">
        <f t="shared" si="43"/>
        <v>---</v>
      </c>
      <c r="V29" s="204" t="str">
        <f t="shared" si="44"/>
        <v>---</v>
      </c>
    </row>
    <row r="30" spans="1:22" x14ac:dyDescent="0.25">
      <c r="A30" s="289" t="s">
        <v>411</v>
      </c>
      <c r="B30" s="212">
        <f>SUMIFS('Diags Raw Data'!$L$6:$L$4650,'Diags Raw Data'!$D$6:$D$4650,$A30,'Diags Raw Data'!$M$6:$M$4650,"Legacy")</f>
        <v>0</v>
      </c>
      <c r="C30" s="207">
        <f>SUMIFS('Diags Raw Data'!$R$6:$R$4650,'Diags Raw Data'!$D$6:$D$4650,$A30,'Diags Raw Data'!$M$6:$M$4650,"Legacy")</f>
        <v>0</v>
      </c>
      <c r="D30" s="207">
        <f>SUMIFS('Diags Raw Data'!$K$6:$K$4650,'Diags Raw Data'!$D$6:$D$4650,$A30,'Diags Raw Data'!$M$6:$M$4650,"Legacy")</f>
        <v>0</v>
      </c>
      <c r="E30" s="207">
        <f>SUMIFS('Diags Raw Data'!$O$6:$O$4650,'Diags Raw Data'!$D$6:$D$4650,$A30,'Diags Raw Data'!$M$6:$M$4650,"Legacy")</f>
        <v>0</v>
      </c>
      <c r="F30" s="210" t="str">
        <f t="shared" si="38"/>
        <v>---</v>
      </c>
      <c r="G30" s="203">
        <f>SUMIFS('Diags Raw Data'!$S$6:$S$4650,'Diags Raw Data'!$D$6:$D$4650,$A30,'Diags Raw Data'!$M$6:$M$4650,"Legacy")</f>
        <v>0</v>
      </c>
      <c r="H30" s="199">
        <f>SUMIFS('Diags Raw Data'!$T$6:$T$4650,'Diags Raw Data'!$D$6:$D$4650,$A30,'Diags Raw Data'!$M$6:$M$4650,"Legacy")</f>
        <v>0</v>
      </c>
      <c r="I30" s="200">
        <f>SUMIFS('Diags Raw Data'!$U$6:$U$4650,'Diags Raw Data'!$D$6:$D$4650,$A30,'Diags Raw Data'!$M$6:$M$4650,"Legacy")</f>
        <v>0</v>
      </c>
      <c r="J30" s="199">
        <f>SUMIFS('Diags Raw Data'!$V$6:$V$4650,'Diags Raw Data'!$D$6:$D$4650,$A30,'Diags Raw Data'!$M$6:$M$4650,"Legacy")</f>
        <v>0</v>
      </c>
      <c r="K30" s="200">
        <f>SUMIFS('Diags Raw Data'!$W$6:$W$4650,'Diags Raw Data'!$D$6:$D$4650,$A30,'Diags Raw Data'!$M$6:$M$4650,"Legacy")</f>
        <v>0</v>
      </c>
      <c r="L30" s="208" t="str">
        <f t="shared" si="39"/>
        <v>---</v>
      </c>
      <c r="M30" s="201" t="str">
        <f t="shared" si="40"/>
        <v>---</v>
      </c>
      <c r="N30" s="205" t="str">
        <f t="shared" si="41"/>
        <v>---</v>
      </c>
      <c r="O30" s="194">
        <f>SUMIFS('Diags Raw Data'!$Z$6:$Z$4650,'Diags Raw Data'!$D$6:$D$4650,$A30,'Diags Raw Data'!$M$6:$M$4650,"Legacy")</f>
        <v>0</v>
      </c>
      <c r="P30" s="191">
        <f>SUMIFS('Diags Raw Data'!$AA$6:$AA$4650,'Diags Raw Data'!$D$6:$D$4650,$A30,'Diags Raw Data'!$M$6:$M$4650,"Legacy")</f>
        <v>0</v>
      </c>
      <c r="Q30" s="193">
        <f>SUMIFS('Diags Raw Data'!$AB$6:$AB$4650,'Diags Raw Data'!$D$6:$D$4650,$A30,'Diags Raw Data'!$M$6:$M$4650,"Legacy")</f>
        <v>0</v>
      </c>
      <c r="R30" s="191">
        <f>SUMIFS('Diags Raw Data'!$AC$6:$AC$4650,'Diags Raw Data'!$D$6:$D$4650,$A30,'Diags Raw Data'!$M$6:$M$4650,"Legacy")</f>
        <v>0</v>
      </c>
      <c r="S30" s="193">
        <f>SUMIFS('Diags Raw Data'!$AD$6:$AD$4650,'Diags Raw Data'!$D$6:$D$4650,$A30,'Diags Raw Data'!$M$6:$M$4650,"Legacy")</f>
        <v>0</v>
      </c>
      <c r="T30" s="192" t="str">
        <f t="shared" si="42"/>
        <v>---</v>
      </c>
      <c r="U30" s="202" t="str">
        <f t="shared" si="43"/>
        <v>---</v>
      </c>
      <c r="V30" s="204" t="str">
        <f t="shared" si="44"/>
        <v>---</v>
      </c>
    </row>
    <row r="31" spans="1:22" x14ac:dyDescent="0.25">
      <c r="A31" s="289" t="s">
        <v>412</v>
      </c>
      <c r="B31" s="212">
        <f>SUMIFS('Diags Raw Data'!$L$6:$L$4650,'Diags Raw Data'!$D$6:$D$4650,$A31,'Diags Raw Data'!$M$6:$M$4650,"Legacy")</f>
        <v>0</v>
      </c>
      <c r="C31" s="207">
        <f>SUMIFS('Diags Raw Data'!$R$6:$R$4650,'Diags Raw Data'!$D$6:$D$4650,$A31,'Diags Raw Data'!$M$6:$M$4650,"Legacy")</f>
        <v>0</v>
      </c>
      <c r="D31" s="207">
        <f>SUMIFS('Diags Raw Data'!$K$6:$K$4650,'Diags Raw Data'!$D$6:$D$4650,$A31,'Diags Raw Data'!$M$6:$M$4650,"Legacy")</f>
        <v>0</v>
      </c>
      <c r="E31" s="207">
        <f>SUMIFS('Diags Raw Data'!$O$6:$O$4650,'Diags Raw Data'!$D$6:$D$4650,$A31,'Diags Raw Data'!$M$6:$M$4650,"Legacy")</f>
        <v>0</v>
      </c>
      <c r="F31" s="210" t="str">
        <f t="shared" si="38"/>
        <v>---</v>
      </c>
      <c r="G31" s="203">
        <f>SUMIFS('Diags Raw Data'!$S$6:$S$4650,'Diags Raw Data'!$D$6:$D$4650,$A31,'Diags Raw Data'!$M$6:$M$4650,"Legacy")</f>
        <v>0</v>
      </c>
      <c r="H31" s="199">
        <f>SUMIFS('Diags Raw Data'!$T$6:$T$4650,'Diags Raw Data'!$D$6:$D$4650,$A31,'Diags Raw Data'!$M$6:$M$4650,"Legacy")</f>
        <v>0</v>
      </c>
      <c r="I31" s="200">
        <f>SUMIFS('Diags Raw Data'!$U$6:$U$4650,'Diags Raw Data'!$D$6:$D$4650,$A31,'Diags Raw Data'!$M$6:$M$4650,"Legacy")</f>
        <v>0</v>
      </c>
      <c r="J31" s="199">
        <f>SUMIFS('Diags Raw Data'!$V$6:$V$4650,'Diags Raw Data'!$D$6:$D$4650,$A31,'Diags Raw Data'!$M$6:$M$4650,"Legacy")</f>
        <v>0</v>
      </c>
      <c r="K31" s="200">
        <f>SUMIFS('Diags Raw Data'!$W$6:$W$4650,'Diags Raw Data'!$D$6:$D$4650,$A31,'Diags Raw Data'!$M$6:$M$4650,"Legacy")</f>
        <v>0</v>
      </c>
      <c r="L31" s="208" t="str">
        <f t="shared" si="39"/>
        <v>---</v>
      </c>
      <c r="M31" s="201" t="str">
        <f t="shared" si="40"/>
        <v>---</v>
      </c>
      <c r="N31" s="205" t="str">
        <f t="shared" si="41"/>
        <v>---</v>
      </c>
      <c r="O31" s="194">
        <f>SUMIFS('Diags Raw Data'!$Z$6:$Z$4650,'Diags Raw Data'!$D$6:$D$4650,$A31,'Diags Raw Data'!$M$6:$M$4650,"Legacy")</f>
        <v>0</v>
      </c>
      <c r="P31" s="191">
        <f>SUMIFS('Diags Raw Data'!$AA$6:$AA$4650,'Diags Raw Data'!$D$6:$D$4650,$A31,'Diags Raw Data'!$M$6:$M$4650,"Legacy")</f>
        <v>0</v>
      </c>
      <c r="Q31" s="193">
        <f>SUMIFS('Diags Raw Data'!$AB$6:$AB$4650,'Diags Raw Data'!$D$6:$D$4650,$A31,'Diags Raw Data'!$M$6:$M$4650,"Legacy")</f>
        <v>0</v>
      </c>
      <c r="R31" s="191">
        <f>SUMIFS('Diags Raw Data'!$AC$6:$AC$4650,'Diags Raw Data'!$D$6:$D$4650,$A31,'Diags Raw Data'!$M$6:$M$4650,"Legacy")</f>
        <v>0</v>
      </c>
      <c r="S31" s="193">
        <f>SUMIFS('Diags Raw Data'!$AD$6:$AD$4650,'Diags Raw Data'!$D$6:$D$4650,$A31,'Diags Raw Data'!$M$6:$M$4650,"Legacy")</f>
        <v>0</v>
      </c>
      <c r="T31" s="192" t="str">
        <f t="shared" si="42"/>
        <v>---</v>
      </c>
      <c r="U31" s="202" t="str">
        <f t="shared" si="43"/>
        <v>---</v>
      </c>
      <c r="V31" s="204" t="str">
        <f t="shared" si="44"/>
        <v>---</v>
      </c>
    </row>
    <row r="32" spans="1:22" ht="15.75" thickBot="1" x14ac:dyDescent="0.3">
      <c r="A32" s="289" t="s">
        <v>413</v>
      </c>
      <c r="B32" s="212">
        <f>SUMIFS('Diags Raw Data'!$L$6:$L$4650,'Diags Raw Data'!$D$6:$D$4650,$A32,'Diags Raw Data'!$M$6:$M$4650,"Legacy")</f>
        <v>0</v>
      </c>
      <c r="C32" s="207">
        <f>SUMIFS('Diags Raw Data'!$R$6:$R$4650,'Diags Raw Data'!$D$6:$D$4650,$A32,'Diags Raw Data'!$M$6:$M$4650,"Legacy")</f>
        <v>0</v>
      </c>
      <c r="D32" s="207">
        <f>SUMIFS('Diags Raw Data'!$K$6:$K$4650,'Diags Raw Data'!$D$6:$D$4650,$A32,'Diags Raw Data'!$M$6:$M$4650,"Legacy")</f>
        <v>0</v>
      </c>
      <c r="E32" s="207">
        <f>SUMIFS('Diags Raw Data'!$O$6:$O$4650,'Diags Raw Data'!$D$6:$D$4650,$A32,'Diags Raw Data'!$M$6:$M$4650,"Legacy")</f>
        <v>0</v>
      </c>
      <c r="F32" s="210" t="str">
        <f t="shared" ref="F32" si="52">IF(NOT($B32=0), E32/$B32, "---")</f>
        <v>---</v>
      </c>
      <c r="G32" s="203">
        <f>SUMIFS('Diags Raw Data'!$S$6:$S$4650,'Diags Raw Data'!$D$6:$D$4650,$A32,'Diags Raw Data'!$M$6:$M$4650,"Legacy")</f>
        <v>0</v>
      </c>
      <c r="H32" s="199">
        <f>SUMIFS('Diags Raw Data'!$T$6:$T$4650,'Diags Raw Data'!$D$6:$D$4650,$A32,'Diags Raw Data'!$M$6:$M$4650,"Legacy")</f>
        <v>0</v>
      </c>
      <c r="I32" s="200">
        <f>SUMIFS('Diags Raw Data'!$U$6:$U$4650,'Diags Raw Data'!$D$6:$D$4650,$A32,'Diags Raw Data'!$M$6:$M$4650,"Legacy")</f>
        <v>0</v>
      </c>
      <c r="J32" s="199">
        <f>SUMIFS('Diags Raw Data'!$V$6:$V$4650,'Diags Raw Data'!$D$6:$D$4650,$A32,'Diags Raw Data'!$M$6:$M$4650,"Legacy")</f>
        <v>0</v>
      </c>
      <c r="K32" s="200">
        <f>SUMIFS('Diags Raw Data'!$W$6:$W$4650,'Diags Raw Data'!$D$6:$D$4650,$A32,'Diags Raw Data'!$M$6:$M$4650,"Legacy")</f>
        <v>0</v>
      </c>
      <c r="L32" s="208" t="str">
        <f t="shared" ref="L32" si="53">IF(NOT($C32=0), G32/$C32, "---")</f>
        <v>---</v>
      </c>
      <c r="M32" s="201" t="str">
        <f t="shared" ref="M32" si="54">IF(NOT($G32=0), (H32+I32)/$G32, "---")</f>
        <v>---</v>
      </c>
      <c r="N32" s="205" t="str">
        <f t="shared" ref="N32" si="55">IF(NOT($C32=0), (H32+I32)/$C32, "---")</f>
        <v>---</v>
      </c>
      <c r="O32" s="194">
        <f>SUMIFS('Diags Raw Data'!$Z$6:$Z$4650,'Diags Raw Data'!$D$6:$D$4650,$A32,'Diags Raw Data'!$M$6:$M$4650,"Legacy")</f>
        <v>0</v>
      </c>
      <c r="P32" s="191">
        <f>SUMIFS('Diags Raw Data'!$AA$6:$AA$4650,'Diags Raw Data'!$D$6:$D$4650,$A32,'Diags Raw Data'!$M$6:$M$4650,"Legacy")</f>
        <v>0</v>
      </c>
      <c r="Q32" s="193">
        <f>SUMIFS('Diags Raw Data'!$AB$6:$AB$4650,'Diags Raw Data'!$D$6:$D$4650,$A32,'Diags Raw Data'!$M$6:$M$4650,"Legacy")</f>
        <v>0</v>
      </c>
      <c r="R32" s="191">
        <f>SUMIFS('Diags Raw Data'!$AC$6:$AC$4650,'Diags Raw Data'!$D$6:$D$4650,$A32,'Diags Raw Data'!$M$6:$M$4650,"Legacy")</f>
        <v>0</v>
      </c>
      <c r="S32" s="193">
        <f>SUMIFS('Diags Raw Data'!$AD$6:$AD$4650,'Diags Raw Data'!$D$6:$D$4650,$A32,'Diags Raw Data'!$M$6:$M$4650,"Legacy")</f>
        <v>0</v>
      </c>
      <c r="T32" s="192" t="str">
        <f t="shared" ref="T32" si="56">IF(NOT($B32=0), O32/$B32, "---")</f>
        <v>---</v>
      </c>
      <c r="U32" s="202" t="str">
        <f t="shared" ref="U32" si="57">IF(NOT($O32=0), (P32+Q32)/$O32, "---")</f>
        <v>---</v>
      </c>
      <c r="V32" s="204" t="str">
        <f t="shared" ref="V32" si="58">IF(NOT($B32=0), (P32+Q32)/$B32, "---")</f>
        <v>---</v>
      </c>
    </row>
    <row r="33" spans="1:22" ht="16.5" thickBot="1" x14ac:dyDescent="0.3">
      <c r="A33" s="230" t="s">
        <v>417</v>
      </c>
      <c r="B33" s="215">
        <f>SUM(B26:B32)</f>
        <v>99</v>
      </c>
      <c r="C33" s="216">
        <f>SUM(C26:C32)</f>
        <v>75</v>
      </c>
      <c r="D33" s="216">
        <f>SUM(D26:D32)</f>
        <v>83</v>
      </c>
      <c r="E33" s="216">
        <f>SUM(E26:E32)</f>
        <v>92</v>
      </c>
      <c r="F33" s="217" t="e" cm="1">
        <f t="array" ref="F33">SUMPRODUCT(--(ISNUMBER(SEARCH("Legacy",'Diags Raw Data'!$M$6:$M$4650))),'Diags Raw Data'!$K$6:$K$4650,'Diags Raw Data'!$P$6:$P$4650)/D33</f>
        <v>#DIV/0!</v>
      </c>
      <c r="G33" s="218">
        <f>SUM(G26:G32)</f>
        <v>75</v>
      </c>
      <c r="H33" s="219">
        <f>SUM(H26:H32)</f>
        <v>75</v>
      </c>
      <c r="I33" s="220">
        <f>SUM(I26:I32)</f>
        <v>0</v>
      </c>
      <c r="J33" s="219">
        <f>SUM(J26:J32)</f>
        <v>0</v>
      </c>
      <c r="K33" s="220">
        <f>SUM(K26:K32)</f>
        <v>0</v>
      </c>
      <c r="L33" s="221">
        <f>IF(NOT($C33=0), G33/$C33, "---")</f>
        <v>1</v>
      </c>
      <c r="M33" s="222">
        <f t="shared" ref="M33" si="59">IF(NOT($G33=0), (H33+I33)/$G33, "---")</f>
        <v>1</v>
      </c>
      <c r="N33" s="223">
        <f t="shared" ref="N33" si="60">IF(NOT($C33=0), (H33+I33)/$C33, "---")</f>
        <v>1</v>
      </c>
      <c r="O33" s="224">
        <f>SUM(O26:O32)</f>
        <v>90</v>
      </c>
      <c r="P33" s="225">
        <f>SUM(P26:P32)</f>
        <v>90</v>
      </c>
      <c r="Q33" s="226">
        <f>SUM(Q26:Q32)</f>
        <v>0</v>
      </c>
      <c r="R33" s="225">
        <f>SUM(R26:R32)</f>
        <v>0</v>
      </c>
      <c r="S33" s="226">
        <f>SUM(S26:S32)</f>
        <v>0</v>
      </c>
      <c r="T33" s="227">
        <f>IF(NOT($B33=0), O33/$B33, "---")</f>
        <v>0.90909090909090906</v>
      </c>
      <c r="U33" s="228">
        <f t="shared" ref="U33" si="61">IF(NOT($O33=0), (P33+Q33)/$O33, "---")</f>
        <v>1</v>
      </c>
      <c r="V33" s="229">
        <f>IF(NOT($B33=0), (P33+Q33)/$B33, "---")</f>
        <v>0.90909090909090906</v>
      </c>
    </row>
    <row r="34" spans="1:22" x14ac:dyDescent="0.25">
      <c r="A34" s="209"/>
      <c r="B34" s="209"/>
      <c r="C34" s="209"/>
      <c r="D34" s="209"/>
      <c r="E34" s="209"/>
      <c r="F34" s="209"/>
      <c r="G34" s="209"/>
      <c r="H34" s="209"/>
      <c r="I34" s="209"/>
      <c r="J34" s="209"/>
      <c r="K34" s="209"/>
      <c r="L34" s="209"/>
      <c r="M34" s="209"/>
      <c r="N34" s="209"/>
      <c r="O34" s="209"/>
      <c r="P34" s="209"/>
      <c r="Q34" s="209"/>
      <c r="R34" s="209"/>
      <c r="S34" s="209"/>
      <c r="T34" s="209"/>
      <c r="U34" s="209"/>
      <c r="V34" s="209"/>
    </row>
    <row r="36" spans="1:22" x14ac:dyDescent="0.25">
      <c r="F36" s="130"/>
    </row>
    <row r="39" spans="1:22" x14ac:dyDescent="0.25">
      <c r="F39" s="318"/>
    </row>
    <row r="40" spans="1:22" x14ac:dyDescent="0.25">
      <c r="F40" s="317"/>
    </row>
    <row r="41" spans="1:22" x14ac:dyDescent="0.25">
      <c r="F41" s="317"/>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9">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fRule type="colorScale" priority="985">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6">
      <colorScale>
        <cfvo type="percent" val="0"/>
        <cfvo type="percent" val="50"/>
        <cfvo type="percent" val="100"/>
        <color rgb="FFF8696B"/>
        <color rgb="FFFFEB84"/>
        <color rgb="FF63BE7B"/>
      </colorScale>
    </cfRule>
  </conditionalFormatting>
  <conditionalFormatting sqref="F5">
    <cfRule type="colorScale" priority="1038">
      <colorScale>
        <cfvo type="percentile" val="10"/>
        <cfvo type="percentile" val="50"/>
        <cfvo type="percentile" val="9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6">
      <colorScale>
        <cfvo type="percent" val="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onditionalFormatting>
  <conditionalFormatting sqref="F6">
    <cfRule type="colorScale" priority="1057">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3">
      <colorScale>
        <cfvo type="percent" val="0"/>
        <cfvo type="percent" val="50"/>
        <cfvo type="percent" val="100"/>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6">
      <colorScale>
        <cfvo type="min"/>
        <cfvo type="percentile" val="50"/>
        <cfvo type="max"/>
        <color rgb="FFF8696B"/>
        <color rgb="FFFFEB84"/>
        <color rgb="FF63BE7B"/>
      </colorScale>
    </cfRule>
    <cfRule type="colorScale" priority="1075">
      <colorScale>
        <cfvo type="percent" val="20"/>
        <cfvo type="percent" val="50"/>
        <cfvo type="percent" val="100"/>
        <color rgb="FFF8696B"/>
        <color rgb="FFFFEB84"/>
        <color rgb="FF63BE7B"/>
      </colorScale>
    </cfRule>
  </conditionalFormatting>
  <conditionalFormatting sqref="F8">
    <cfRule type="colorScale" priority="1093">
      <colorScale>
        <cfvo type="min"/>
        <cfvo type="percentile" val="50"/>
        <cfvo type="max"/>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onditionalFormatting>
  <conditionalFormatting sqref="F9">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1">
      <colorScale>
        <cfvo type="min"/>
        <cfvo type="percentile" val="50"/>
        <cfvo type="max"/>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55">
      <colorScale>
        <cfvo type="percent" val="0"/>
        <cfvo type="percent" val="50"/>
        <cfvo type="percent" val="100"/>
        <color rgb="FFF8696B"/>
        <color rgb="FFFFEB84"/>
        <color rgb="FF63BE7B"/>
      </colorScale>
    </cfRule>
  </conditionalFormatting>
  <conditionalFormatting sqref="F10">
    <cfRule type="colorScale" priority="1710">
      <colorScale>
        <cfvo type="percent" val="2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5">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2">
      <colorScale>
        <cfvo type="min"/>
        <cfvo type="percentile" val="50"/>
        <cfvo type="max"/>
        <color rgb="FFF8696B"/>
        <color rgb="FFFFEB84"/>
        <color rgb="FF63BE7B"/>
      </colorScale>
    </cfRule>
    <cfRule type="colorScale" priority="111">
      <colorScale>
        <cfvo type="percent" val="20"/>
        <cfvo type="percent" val="50"/>
        <cfvo type="percent" val="100"/>
        <color rgb="FFF8696B"/>
        <color rgb="FFFFEB84"/>
        <color rgb="FF63BE7B"/>
      </colorScale>
    </cfRule>
  </conditionalFormatting>
  <conditionalFormatting sqref="F16">
    <cfRule type="colorScale" priority="21">
      <colorScale>
        <cfvo type="percent" val="2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fRule type="colorScale" priority="18">
      <colorScale>
        <cfvo type="percentile" val="10"/>
        <cfvo type="percentile" val="50"/>
        <cfvo type="percentile" val="90"/>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fRule type="colorScale" priority="33">
      <colorScale>
        <cfvo type="percentile" val="10"/>
        <cfvo type="percentile" val="50"/>
        <cfvo type="percentile" val="90"/>
        <color rgb="FFF8696B"/>
        <color rgb="FFFFEB84"/>
        <color rgb="FF63BE7B"/>
      </colorScale>
    </cfRule>
  </conditionalFormatting>
  <conditionalFormatting sqref="F18">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F19">
    <cfRule type="colorScale" priority="62">
      <colorScale>
        <cfvo type="percent" val="0"/>
        <cfvo type="percent" val="50"/>
        <cfvo type="percent" val="100"/>
        <color rgb="FFF8696B"/>
        <color rgb="FFFFEB84"/>
        <color rgb="FF63BE7B"/>
      </colorScale>
    </cfRule>
    <cfRule type="colorScale" priority="61">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9">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82">
      <colorScale>
        <cfvo type="min"/>
        <cfvo type="percentile" val="50"/>
        <cfvo type="max"/>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onditionalFormatting>
  <conditionalFormatting sqref="F21">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onditionalFormatting>
  <conditionalFormatting sqref="F26">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80">
      <colorScale>
        <cfvo type="min"/>
        <cfvo type="percentile" val="50"/>
        <cfvo type="max"/>
        <color rgb="FFF8696B"/>
        <color rgb="FFFFEB84"/>
        <color rgb="FF63BE7B"/>
      </colorScale>
    </cfRule>
    <cfRule type="colorScale" priority="271">
      <colorScale>
        <cfvo type="percent" val="0"/>
        <cfvo type="percent" val="50"/>
        <cfvo type="percent" val="100"/>
        <color rgb="FFF8696B"/>
        <color rgb="FFFFEB84"/>
        <color rgb="FF63BE7B"/>
      </colorScale>
    </cfRule>
    <cfRule type="colorScale" priority="273">
      <colorScale>
        <cfvo type="percent" val="0"/>
        <cfvo type="percent" val="50"/>
        <cfvo type="percent" val="100"/>
        <color rgb="FFF8696B"/>
        <color rgb="FFFFEB84"/>
        <color rgb="FF63BE7B"/>
      </colorScale>
    </cfRule>
  </conditionalFormatting>
  <conditionalFormatting sqref="F27">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1">
      <colorScale>
        <cfvo type="percent" val="0"/>
        <cfvo type="percent" val="50"/>
        <cfvo type="percent" val="100"/>
        <color rgb="FFF8696B"/>
        <color rgb="FFFFEB84"/>
        <color rgb="FF63BE7B"/>
      </colorScale>
    </cfRule>
  </conditionalFormatting>
  <conditionalFormatting sqref="F28">
    <cfRule type="colorScale" priority="257">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1">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onditionalFormatting>
  <conditionalFormatting sqref="F29">
    <cfRule type="colorScale" priority="299">
      <colorScale>
        <cfvo type="percent" val="20"/>
        <cfvo type="percent" val="50"/>
        <cfvo type="percent" val="10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20">
      <colorScale>
        <cfvo type="min"/>
        <cfvo type="percentile" val="50"/>
        <cfvo type="max"/>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1">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F31">
    <cfRule type="colorScale" priority="340">
      <colorScale>
        <cfvo type="min"/>
        <cfvo type="percentile" val="50"/>
        <cfvo type="max"/>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1">
      <colorScale>
        <cfvo type="percent" val="0"/>
        <cfvo type="percent" val="50"/>
        <cfvo type="percent" val="100"/>
        <color rgb="FFF8696B"/>
        <color rgb="FFFFEB84"/>
        <color rgb="FF63BE7B"/>
      </colorScale>
    </cfRule>
  </conditionalFormatting>
  <conditionalFormatting sqref="F32">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5">
      <colorScale>
        <cfvo type="percent" val="0"/>
        <cfvo type="percent" val="50"/>
        <cfvo type="percent" val="100"/>
        <color rgb="FFF8696B"/>
        <color rgb="FFFFEB84"/>
        <color rgb="FF63BE7B"/>
      </colorScale>
    </cfRule>
    <cfRule type="colorScale" priority="994">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3">
      <colorScale>
        <cfvo type="percent" val="0"/>
        <cfvo type="percent" val="50"/>
        <cfvo type="percent" val="100"/>
        <color rgb="FFF8696B"/>
        <color rgb="FFFFEB84"/>
        <color rgb="FF63BE7B"/>
      </colorScale>
    </cfRule>
    <cfRule type="colorScale" priority="1062">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8">
      <colorScale>
        <cfvo type="percent" val="0"/>
        <cfvo type="percent" val="50"/>
        <cfvo type="percent" val="100"/>
        <color rgb="FFF8696B"/>
        <color rgb="FFFFEB84"/>
        <color rgb="FF63BE7B"/>
      </colorScale>
    </cfRule>
    <cfRule type="colorScale" priority="117">
      <colorScale>
        <cfvo type="percent" val="0"/>
        <cfvo type="percent" val="50"/>
        <cfvo type="percent" val="100"/>
        <color rgb="FFF8696B"/>
        <color rgb="FFFFEB84"/>
        <color rgb="FF63BE7B"/>
      </colorScale>
    </cfRule>
  </conditionalFormatting>
  <conditionalFormatting sqref="M16">
    <cfRule type="colorScale" priority="28">
      <colorScale>
        <cfvo type="percent" val="0"/>
        <cfvo type="percent" val="50"/>
        <cfvo type="percent" val="100"/>
        <color rgb="FFF8696B"/>
        <color rgb="FFFFEB84"/>
        <color rgb="FF63BE7B"/>
      </colorScale>
    </cfRule>
    <cfRule type="colorScale" priority="27">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8">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4">
      <colorScale>
        <cfvo type="percent" val="0"/>
        <cfvo type="percent" val="50"/>
        <cfvo type="percent" val="100"/>
        <color rgb="FFF8696B"/>
        <color rgb="FFFFEB84"/>
        <color rgb="FF63BE7B"/>
      </colorScale>
    </cfRule>
    <cfRule type="colorScale" priority="283">
      <colorScale>
        <cfvo type="percent" val="0"/>
        <cfvo type="percent" val="50"/>
        <cfvo type="percent" val="100"/>
        <color rgb="FFF8696B"/>
        <color rgb="FFFFEB84"/>
        <color rgb="FF63BE7B"/>
      </colorScale>
    </cfRule>
  </conditionalFormatting>
  <conditionalFormatting sqref="M27">
    <cfRule type="colorScale" priority="244">
      <colorScale>
        <cfvo type="percent" val="0"/>
        <cfvo type="percent" val="50"/>
        <cfvo type="percent" val="100"/>
        <color rgb="FFF8696B"/>
        <color rgb="FFFFEB84"/>
        <color rgb="FF63BE7B"/>
      </colorScale>
    </cfRule>
    <cfRule type="colorScale" priority="243">
      <colorScale>
        <cfvo type="percent" val="0"/>
        <cfvo type="percent" val="50"/>
        <cfvo type="percent" val="100"/>
        <color rgb="FFF8696B"/>
        <color rgb="FFFFEB84"/>
        <color rgb="FF63BE7B"/>
      </colorScale>
    </cfRule>
  </conditionalFormatting>
  <conditionalFormatting sqref="M28">
    <cfRule type="colorScale" priority="264">
      <colorScale>
        <cfvo type="percent" val="0"/>
        <cfvo type="percent" val="50"/>
        <cfvo type="percent" val="100"/>
        <color rgb="FFF8696B"/>
        <color rgb="FFFFEB84"/>
        <color rgb="FF63BE7B"/>
      </colorScale>
    </cfRule>
    <cfRule type="colorScale" priority="263">
      <colorScale>
        <cfvo type="percent" val="0"/>
        <cfvo type="percent" val="50"/>
        <cfvo type="percent" val="100"/>
        <color rgb="FFF8696B"/>
        <color rgb="FFFFEB84"/>
        <color rgb="FF63BE7B"/>
      </colorScale>
    </cfRule>
  </conditionalFormatting>
  <conditionalFormatting sqref="M29">
    <cfRule type="colorScale" priority="304">
      <colorScale>
        <cfvo type="percent" val="0"/>
        <cfvo type="percent" val="50"/>
        <cfvo type="percent" val="100"/>
        <color rgb="FFF8696B"/>
        <color rgb="FFFFEB84"/>
        <color rgb="FF63BE7B"/>
      </colorScale>
    </cfRule>
    <cfRule type="colorScale" priority="303">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3">
      <colorScale>
        <cfvo type="percent" val="0"/>
        <cfvo type="percent" val="50"/>
        <cfvo type="percent" val="100"/>
        <color rgb="FFF8696B"/>
        <color rgb="FFFFEB84"/>
        <color rgb="FF63BE7B"/>
      </colorScale>
    </cfRule>
    <cfRule type="colorScale" priority="1082">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8">
      <colorScale>
        <cfvo type="percent" val="0"/>
        <cfvo type="percent" val="50"/>
        <cfvo type="percent" val="100"/>
        <color rgb="FFF8696B"/>
        <color rgb="FFFFEB84"/>
        <color rgb="FF63BE7B"/>
      </colorScale>
    </cfRule>
    <cfRule type="colorScale" priority="1167">
      <colorScale>
        <cfvo type="percent" val="0"/>
        <cfvo type="percent" val="50"/>
        <cfvo type="percent" val="100"/>
        <color rgb="FFF8696B"/>
        <color rgb="FFFFEB84"/>
        <color rgb="FF63BE7B"/>
      </colorScale>
    </cfRule>
  </conditionalFormatting>
  <conditionalFormatting sqref="N10">
    <cfRule type="colorScale" priority="1730">
      <colorScale>
        <cfvo type="percent" val="0"/>
        <cfvo type="percent" val="50"/>
        <cfvo type="percent" val="100"/>
        <color rgb="FFF8696B"/>
        <color rgb="FFFFEB84"/>
        <color rgb="FF63BE7B"/>
      </colorScale>
    </cfRule>
    <cfRule type="colorScale" priority="1729">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9">
      <colorScale>
        <cfvo type="percent" val="0"/>
        <cfvo type="percent" val="50"/>
        <cfvo type="percent" val="100"/>
        <color rgb="FFF8696B"/>
        <color rgb="FFFFEB84"/>
        <color rgb="FF63BE7B"/>
      </colorScale>
    </cfRule>
    <cfRule type="colorScale" priority="38">
      <colorScale>
        <cfvo type="percent" val="0"/>
        <cfvo type="percent" val="50"/>
        <cfvo type="percent" val="100"/>
        <color rgb="FFF8696B"/>
        <color rgb="FFFFEB84"/>
        <color rgb="FF63BE7B"/>
      </colorScale>
    </cfRule>
  </conditionalFormatting>
  <conditionalFormatting sqref="N18 L18">
    <cfRule type="colorScale" priority="54">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N19 L19">
    <cfRule type="colorScale" priority="69">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N20 L20">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7">
      <colorScale>
        <cfvo type="percent" val="0"/>
        <cfvo type="percent" val="50"/>
        <cfvo type="percent" val="100"/>
        <color rgb="FFF8696B"/>
        <color rgb="FFFFEB84"/>
        <color rgb="FF63BE7B"/>
      </colorScale>
    </cfRule>
    <cfRule type="colorScale" priority="286">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7">
      <colorScale>
        <cfvo type="percent" val="0"/>
        <cfvo type="percent" val="50"/>
        <cfvo type="percent" val="100"/>
        <color rgb="FFF8696B"/>
        <color rgb="FFFFEB84"/>
        <color rgb="FF63BE7B"/>
      </colorScale>
    </cfRule>
    <cfRule type="colorScale" priority="266">
      <colorScale>
        <cfvo type="percent" val="0"/>
        <cfvo type="percent" val="50"/>
        <cfvo type="percent" val="100"/>
        <color rgb="FFF8696B"/>
        <color rgb="FFFFEB84"/>
        <color rgb="FF63BE7B"/>
      </colorScale>
    </cfRule>
  </conditionalFormatting>
  <conditionalFormatting sqref="N29">
    <cfRule type="colorScale" priority="306">
      <colorScale>
        <cfvo type="percent" val="0"/>
        <cfvo type="percent" val="50"/>
        <cfvo type="percent" val="100"/>
        <color rgb="FFF8696B"/>
        <color rgb="FFFFEB84"/>
        <color rgb="FF63BE7B"/>
      </colorScale>
    </cfRule>
    <cfRule type="colorScale" priority="307">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T17 V17">
    <cfRule type="colorScale" priority="40">
      <colorScale>
        <cfvo type="percent" val="0"/>
        <cfvo type="percent" val="50"/>
        <cfvo type="percent" val="100"/>
        <color rgb="FFF8696B"/>
        <color rgb="FFFFEB84"/>
        <color rgb="FF63BE7B"/>
      </colorScale>
    </cfRule>
  </conditionalFormatting>
  <conditionalFormatting sqref="T18 V18">
    <cfRule type="colorScale" priority="55">
      <colorScale>
        <cfvo type="percent" val="0"/>
        <cfvo type="percent" val="50"/>
        <cfvo type="percent" val="100"/>
        <color rgb="FFF8696B"/>
        <color rgb="FFFFEB84"/>
        <color rgb="FF63BE7B"/>
      </colorScale>
    </cfRule>
  </conditionalFormatting>
  <conditionalFormatting sqref="T20 V20">
    <cfRule type="colorScale" priority="85">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V15 T15">
    <cfRule type="colorScale" priority="115">
      <colorScale>
        <cfvo type="percent" val="0"/>
        <cfvo type="percent" val="50"/>
        <cfvo type="percent" val="100"/>
        <color rgb="FFF8696B"/>
        <color rgb="FFFFEB84"/>
        <color rgb="FF63BE7B"/>
      </colorScale>
    </cfRule>
  </conditionalFormatting>
  <conditionalFormatting sqref="V16 T16">
    <cfRule type="colorScale" priority="25">
      <colorScale>
        <cfvo type="percent" val="0"/>
        <cfvo type="percent" val="50"/>
        <cfvo type="percent" val="100"/>
        <color rgb="FFF8696B"/>
        <color rgb="FFFFEB84"/>
        <color rgb="FF63BE7B"/>
      </colorScale>
    </cfRule>
  </conditionalFormatting>
  <conditionalFormatting sqref="V19 T19">
    <cfRule type="colorScale" priority="70">
      <colorScale>
        <cfvo type="percent" val="0"/>
        <cfvo type="percent" val="50"/>
        <cfvo type="percent" val="100"/>
        <color rgb="FFF8696B"/>
        <color rgb="FFFFEB84"/>
        <color rgb="FF63BE7B"/>
      </colorScale>
    </cfRule>
  </conditionalFormatting>
  <conditionalFormatting sqref="V21 T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3"/>
  <sheetViews>
    <sheetView zoomScale="80" zoomScaleNormal="80" workbookViewId="0">
      <pane xSplit="4" ySplit="6" topLeftCell="L7" activePane="bottomRight" state="frozen"/>
      <selection pane="topRight" activeCell="D1" sqref="D1"/>
      <selection pane="bottomLeft" activeCell="A3" sqref="A3"/>
      <selection pane="bottomRight" activeCell="V2" sqref="V2:V3"/>
    </sheetView>
  </sheetViews>
  <sheetFormatPr defaultColWidth="8.5703125" defaultRowHeight="15" x14ac:dyDescent="0.2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4" customWidth="1"/>
    <col min="12" max="12" width="15.140625" style="184" customWidth="1"/>
    <col min="13" max="13" width="12" style="185" bestFit="1" customWidth="1"/>
    <col min="14" max="14" width="10.85546875" style="185" bestFit="1" customWidth="1"/>
    <col min="15" max="15" width="13.5703125" style="184" bestFit="1" customWidth="1"/>
    <col min="16" max="16" width="12.85546875" style="80" bestFit="1" customWidth="1"/>
    <col min="17" max="17" width="10.85546875" style="80" bestFit="1" customWidth="1"/>
    <col min="18" max="19" width="13.5703125" style="188" bestFit="1" customWidth="1"/>
    <col min="20" max="20" width="13.85546875" style="189" bestFit="1" customWidth="1"/>
    <col min="21" max="21" width="10.85546875" style="171" bestFit="1" customWidth="1"/>
    <col min="22" max="22" width="38.140625" style="171" customWidth="1"/>
    <col min="23" max="16384" width="8.5703125" style="171"/>
  </cols>
  <sheetData>
    <row r="1" spans="1:23" s="166" customFormat="1" ht="19.5" thickBot="1" x14ac:dyDescent="0.3">
      <c r="A1" s="637" t="s">
        <v>418</v>
      </c>
      <c r="B1" s="548"/>
      <c r="C1" s="548"/>
      <c r="D1" s="548"/>
      <c r="E1" s="548"/>
      <c r="F1" s="548"/>
      <c r="G1" s="548"/>
      <c r="H1" s="548"/>
      <c r="I1" s="548"/>
      <c r="J1" s="548"/>
      <c r="K1" s="548"/>
      <c r="L1" s="548"/>
      <c r="M1" s="548"/>
      <c r="N1" s="548"/>
      <c r="O1" s="548"/>
      <c r="P1" s="548"/>
      <c r="Q1" s="548"/>
      <c r="R1" s="548"/>
      <c r="S1" s="548"/>
      <c r="T1" s="548"/>
      <c r="U1" s="549"/>
      <c r="V1" s="482"/>
    </row>
    <row r="2" spans="1:23" s="175" customFormat="1" ht="18.75" x14ac:dyDescent="0.25">
      <c r="A2" s="603" t="s">
        <v>296</v>
      </c>
      <c r="B2" s="604"/>
      <c r="C2" s="604"/>
      <c r="D2" s="604"/>
      <c r="E2" s="604"/>
      <c r="F2" s="605"/>
      <c r="G2" s="314">
        <f>COUNTIF(G7:G27,"Yes")</f>
        <v>21</v>
      </c>
      <c r="H2" s="314">
        <f>COUNTIF(H7:H27,"Yes")</f>
        <v>21</v>
      </c>
      <c r="I2" s="633">
        <f>'Diags Raw Data'!K36</f>
        <v>83</v>
      </c>
      <c r="J2" s="643">
        <f>'Diags Raw Data'!L36</f>
        <v>99</v>
      </c>
      <c r="K2" s="645">
        <f>'Diags Raw Data'!N36</f>
        <v>1</v>
      </c>
      <c r="L2" s="647" t="e">
        <f>'Diags Raw Data'!P36</f>
        <v>#DIV/0!</v>
      </c>
      <c r="M2" s="649">
        <f>'Diags Raw Data'!R36</f>
        <v>75</v>
      </c>
      <c r="N2" s="617">
        <f>SUM('Diags Raw Data'!T36+'Diags Raw Data'!U36)</f>
        <v>75</v>
      </c>
      <c r="O2" s="638">
        <f>IF((M31=0),0,N31/M31)</f>
        <v>1</v>
      </c>
      <c r="P2" s="640">
        <f>'Diags Raw Data'!Z36</f>
        <v>90</v>
      </c>
      <c r="Q2" s="642">
        <f>SUM('Diags Raw Data'!AA36+'Diags Raw Data'!AB36)</f>
        <v>90</v>
      </c>
      <c r="R2" s="627">
        <f>IF((J31=0),0,P31/J31)</f>
        <v>0.90909090909090906</v>
      </c>
      <c r="S2" s="627">
        <f>IF((P31=0),0,Q31/P31)</f>
        <v>1</v>
      </c>
      <c r="T2" s="627">
        <f>R31*S31</f>
        <v>0.90909090909090906</v>
      </c>
      <c r="U2" s="629"/>
      <c r="V2" s="619" t="s">
        <v>419</v>
      </c>
      <c r="W2" s="174"/>
    </row>
    <row r="3" spans="1:23" ht="18.75" x14ac:dyDescent="0.25">
      <c r="A3" s="606"/>
      <c r="B3" s="607"/>
      <c r="C3" s="607"/>
      <c r="D3" s="607"/>
      <c r="E3" s="607"/>
      <c r="F3" s="608"/>
      <c r="G3" s="315">
        <f>COUNTIF(G7:G27,"Yes")/COUNTA(A7:A27)</f>
        <v>1</v>
      </c>
      <c r="H3" s="315">
        <f>(COUNTIF(H7:H27,"Yes")/G31)</f>
        <v>1</v>
      </c>
      <c r="I3" s="634"/>
      <c r="J3" s="644"/>
      <c r="K3" s="646"/>
      <c r="L3" s="648"/>
      <c r="M3" s="650"/>
      <c r="N3" s="618"/>
      <c r="O3" s="639"/>
      <c r="P3" s="641"/>
      <c r="Q3" s="632"/>
      <c r="R3" s="628"/>
      <c r="S3" s="628"/>
      <c r="T3" s="628"/>
      <c r="U3" s="630"/>
      <c r="V3" s="620"/>
      <c r="W3" s="170"/>
    </row>
    <row r="4" spans="1:23" ht="18.75" x14ac:dyDescent="0.25">
      <c r="A4" s="550" t="s">
        <v>420</v>
      </c>
      <c r="B4" s="551"/>
      <c r="C4" s="551"/>
      <c r="D4" s="551"/>
      <c r="E4" s="551"/>
      <c r="F4" s="551"/>
      <c r="G4" s="551"/>
      <c r="H4" s="551"/>
      <c r="I4" s="551"/>
      <c r="J4" s="551"/>
      <c r="K4" s="551"/>
      <c r="L4" s="551"/>
      <c r="M4" s="551"/>
      <c r="N4" s="551"/>
      <c r="O4" s="551"/>
      <c r="P4" s="551"/>
      <c r="Q4" s="551"/>
      <c r="R4" s="551"/>
      <c r="S4" s="551"/>
      <c r="T4" s="551"/>
      <c r="U4" s="552"/>
      <c r="V4" s="483"/>
    </row>
    <row r="5" spans="1:23" s="166" customFormat="1" ht="31.5" customHeight="1" thickBot="1" x14ac:dyDescent="0.3">
      <c r="A5" s="594" t="s">
        <v>71</v>
      </c>
      <c r="B5" s="595"/>
      <c r="C5" s="595"/>
      <c r="D5" s="595"/>
      <c r="E5" s="595"/>
      <c r="F5" s="595"/>
      <c r="G5" s="595"/>
      <c r="H5" s="595"/>
      <c r="I5" s="595"/>
      <c r="J5" s="596"/>
      <c r="K5" s="592" t="s">
        <v>108</v>
      </c>
      <c r="L5" s="593"/>
      <c r="M5" s="597" t="s">
        <v>119</v>
      </c>
      <c r="N5" s="598"/>
      <c r="O5" s="599"/>
      <c r="P5" s="600" t="s">
        <v>139</v>
      </c>
      <c r="Q5" s="601"/>
      <c r="R5" s="601"/>
      <c r="S5" s="601"/>
      <c r="T5" s="601"/>
      <c r="U5" s="602"/>
      <c r="V5" s="165"/>
    </row>
    <row r="6" spans="1:23" s="168" customFormat="1" ht="15.75" thickBot="1" x14ac:dyDescent="0.3">
      <c r="A6" s="296" t="s">
        <v>72</v>
      </c>
      <c r="B6" s="303" t="s">
        <v>76</v>
      </c>
      <c r="C6" s="303" t="s">
        <v>91</v>
      </c>
      <c r="D6" s="303" t="s">
        <v>207</v>
      </c>
      <c r="E6" s="303" t="s">
        <v>83</v>
      </c>
      <c r="F6" s="303" t="s">
        <v>1</v>
      </c>
      <c r="G6" s="304" t="s">
        <v>210</v>
      </c>
      <c r="H6" s="304" t="s">
        <v>213</v>
      </c>
      <c r="I6" s="305" t="s">
        <v>100</v>
      </c>
      <c r="J6" s="305" t="s">
        <v>216</v>
      </c>
      <c r="K6" s="300" t="s">
        <v>109</v>
      </c>
      <c r="L6" s="301" t="s">
        <v>116</v>
      </c>
      <c r="M6" s="293" t="s">
        <v>222</v>
      </c>
      <c r="N6" s="294" t="s">
        <v>224</v>
      </c>
      <c r="O6" s="292" t="s">
        <v>182</v>
      </c>
      <c r="P6" s="448" t="s">
        <v>227</v>
      </c>
      <c r="Q6" s="449" t="s">
        <v>224</v>
      </c>
      <c r="R6" s="450" t="s">
        <v>179</v>
      </c>
      <c r="S6" s="450" t="s">
        <v>135</v>
      </c>
      <c r="T6" s="451" t="s">
        <v>182</v>
      </c>
      <c r="U6" s="452" t="s">
        <v>152</v>
      </c>
      <c r="V6" s="167"/>
    </row>
    <row r="7" spans="1:23" ht="15.75" thickBot="1" x14ac:dyDescent="0.3">
      <c r="A7" s="437" t="s">
        <v>301</v>
      </c>
      <c r="B7" s="325" t="str">
        <f>VLOOKUP(A7,'Feature Raw Data'!$A$3:$B$3897,2,FALSE)</f>
        <v>Byte Enable Writes</v>
      </c>
      <c r="C7" s="297" t="str">
        <f>VLOOKUP(A7,'Feature Raw Data'!$A$3:$C$3897,3,FALSE)</f>
        <v>P1</v>
      </c>
      <c r="D7" s="94" t="str" cm="1">
        <f t="array" ref="D7">_xlfn.TEXTJOIN("",TRUE,IF(ISNUMBER(SEARCH($A7,'Diags Raw Data'!$A$6:$A$3646)),CONCATENATE('Diags Raw Data'!$H$6:$H$3646,", "),""))</f>
        <v xml:space="preserve">umc009, UMC10, UMC12, </v>
      </c>
      <c r="E7" s="298" t="str">
        <f>VLOOKUP(A7,'Diags Raw Data'!$A$6:$D$3646,4,FALSE)</f>
        <v>DF</v>
      </c>
      <c r="F7" s="298" t="str">
        <f>VLOOKUP(A7,'Feature Raw Data'!$A$3:$E$3897,5,FALSE)</f>
        <v>Legacy</v>
      </c>
      <c r="G7" s="298" t="str">
        <f t="shared" ref="G7:G28" si="0">IF(D7="","No","Yes")</f>
        <v>Yes</v>
      </c>
      <c r="H7" s="298" t="str">
        <f t="shared" ref="H7:H28" si="1">IF(D7="","No","Yes")</f>
        <v>Yes</v>
      </c>
      <c r="I7" s="297">
        <f>SUMIF('Diags Raw Data'!$A$6:$A$3646,"*"&amp;$A7&amp;"*",'Diags Raw Data'!$K$6:$K$3646)</f>
        <v>3</v>
      </c>
      <c r="J7" s="299">
        <f>SUMIF('Diags Raw Data'!$A$6:$A$3646,"*"&amp;$A7&amp;"*",'Diags Raw Data'!$L$6:$L$3646)</f>
        <v>3</v>
      </c>
      <c r="K7" s="368" cm="1">
        <f t="array" ref="K7">IF(D7="",0, SUMPRODUCT(--(ISNUMBER(SEARCH($A7,'Diags Raw Data'!$A$6:$A$3646))),'Diags Raw Data'!$L$6:$L$3646,'Diags Raw Data'!$N$6:$N$3646)/J7)</f>
        <v>1</v>
      </c>
      <c r="L7" s="369" t="e" cm="1">
        <f t="array" ref="L7">IF(D7="",0, SUMPRODUCT(--(ISNUMBER(SEARCH($A7,'Diags Raw Data'!$A$6:$A$3646))),'Diags Raw Data'!$L$6:$L$3646,'Diags Raw Data'!$P$6:$P$3646)/J7)</f>
        <v>#DIV/0!</v>
      </c>
      <c r="M7" s="370" cm="1">
        <f t="array" ref="M7">SUMPRODUCT(--(ISNUMBER(SEARCH($A7,'Diags Raw Data'!$A$6:$A$3646))),--('Diags Raw Data'!$Q$6:$Q$3646&lt;&gt;"N/A"),'Diags Raw Data'!$R$6:$R$3646)</f>
        <v>3</v>
      </c>
      <c r="N7" s="371" cm="1">
        <f t="array" ref="N7">SUMPRODUCT(--(ISNUMBER(SEARCH($A7,'Diags Raw Data'!$A$6:$A$3646))),--('Diags Raw Data'!$Q$6:$Q$3646&lt;&gt;"N/A"),'Diags Raw Data'!$T$6:$T$3646)+SUMPRODUCT(--(ISNUMBER(SEARCH($A7,'Diags Raw Data'!$A$6:$A$3646))),--('Diags Raw Data'!$Q$6:$Q$3646&lt;&gt;"N/A"),'Diags Raw Data'!$U$6:$U$3646)</f>
        <v>3</v>
      </c>
      <c r="O7" s="404">
        <f>IF((M7=0),0,N7/M7)</f>
        <v>1</v>
      </c>
      <c r="P7" s="429">
        <f>SUMIF('Diags Raw Data'!$A$6:$A$3646,"*"&amp;$A7&amp;"*",'Diags Raw Data'!$Z$6:$Z$3646)</f>
        <v>3</v>
      </c>
      <c r="Q7" s="430">
        <f>SUM(SUMIF('Diags Raw Data'!$A$6:$A$3646,"*"&amp;$A7&amp;"*",'Diags Raw Data'!$AA$6:$AA$3646),SUMIF('Diags Raw Data'!$A$6:$A$3646,"*"&amp;$A7&amp;"*",'Diags Raw Data'!$AB$6:$AB$3646))</f>
        <v>3</v>
      </c>
      <c r="R7" s="431">
        <f>IF((J7=0),0,P7/J7)</f>
        <v>1</v>
      </c>
      <c r="S7" s="431">
        <f>IF((P7=0),0,Q7/P7)</f>
        <v>1</v>
      </c>
      <c r="T7" s="432">
        <f>R7*S7</f>
        <v>1</v>
      </c>
      <c r="U7" s="447" t="s">
        <v>421</v>
      </c>
      <c r="V7" s="170"/>
    </row>
    <row r="8" spans="1:23" ht="15.75" thickBot="1" x14ac:dyDescent="0.3">
      <c r="A8" s="437" t="s">
        <v>307</v>
      </c>
      <c r="B8" s="326" t="str">
        <f>VLOOKUP(A8,'Feature Raw Data'!$A$3:$B$3897,2,FALSE)</f>
        <v>GPU basic Coherency</v>
      </c>
      <c r="C8" s="290" t="str">
        <f>VLOOKUP(A8,'Feature Raw Data'!$A$3:$C$3897,3,FALSE)</f>
        <v>P1</v>
      </c>
      <c r="D8" s="94" t="str" cm="1">
        <f t="array" ref="D8">_xlfn.TEXTJOIN("",TRUE,IF(ISNUMBER(SEARCH($A8,'Diags Raw Data'!$A$6:$A$3646)),CONCATENATE('Diags Raw Data'!$H$6:$H$3646,", "),""))</f>
        <v xml:space="preserve">df103, </v>
      </c>
      <c r="E8" s="169" t="str">
        <f>VLOOKUP(A8,'Diags Raw Data'!$A$6:$D$3646,4,FALSE)</f>
        <v>DF</v>
      </c>
      <c r="F8" s="169" t="str">
        <f>VLOOKUP(A8,'Feature Raw Data'!$A$3:$E$3897,5,FALSE)</f>
        <v>Legacy</v>
      </c>
      <c r="G8" s="169" t="str">
        <f t="shared" ref="G8:G21" si="2">IF(D8="","No","Yes")</f>
        <v>Yes</v>
      </c>
      <c r="H8" s="169" t="str">
        <f t="shared" ref="H8:H21" si="3">IF(D8="","No","Yes")</f>
        <v>Yes</v>
      </c>
      <c r="I8" s="290">
        <f>SUMIF('Diags Raw Data'!$A$6:$A$3646,"*"&amp;$A8&amp;"*",'Diags Raw Data'!$K$6:$K$3646)</f>
        <v>1</v>
      </c>
      <c r="J8" s="181">
        <f>SUMIF('Diags Raw Data'!$A$6:$A$3646,"*"&amp;$A8&amp;"*",'Diags Raw Data'!$L$6:$L$3646)</f>
        <v>1</v>
      </c>
      <c r="K8" s="372" cm="1">
        <f t="array" ref="K8">IF(D8="",0, SUMPRODUCT(--(ISNUMBER(SEARCH($A8,'Diags Raw Data'!$A$6:$A$3646))),'Diags Raw Data'!$L$6:$L$3646,'Diags Raw Data'!$N$6:$N$3646)/J8)</f>
        <v>1</v>
      </c>
      <c r="L8" s="373" t="e" cm="1">
        <f t="array" ref="L8">IF(D8="",0, SUMPRODUCT(--(ISNUMBER(SEARCH($A8,'Diags Raw Data'!$A$6:$A$3646))),'Diags Raw Data'!$L$6:$L$3646,'Diags Raw Data'!$P$6:$P$3646)/J8)</f>
        <v>#DIV/0!</v>
      </c>
      <c r="M8" s="374" cm="1">
        <f t="array" ref="M8">SUMPRODUCT(--(ISNUMBER(SEARCH($A8,'Diags Raw Data'!$A$6:$A$3646))),--('Diags Raw Data'!$Q$6:$Q$3646&lt;&gt;"N/A"),'Diags Raw Data'!$R$6:$R$3646)</f>
        <v>1</v>
      </c>
      <c r="N8" s="375" cm="1">
        <f t="array" ref="N8">SUMPRODUCT(--(ISNUMBER(SEARCH($A8,'Diags Raw Data'!$A$6:$A$3646))),--('Diags Raw Data'!$Q$6:$Q$3646&lt;&gt;"N/A"),'Diags Raw Data'!$T$6:$T$3646)+SUMPRODUCT(--(ISNUMBER(SEARCH($A8,'Diags Raw Data'!$A$6:$A$3646))),--('Diags Raw Data'!$Q$6:$Q$3646&lt;&gt;"N/A"),'Diags Raw Data'!$U$6:$U$3646)</f>
        <v>1</v>
      </c>
      <c r="O8" s="405">
        <f t="shared" ref="O8:O9" si="4">IF((M8=0),0,N8/M8)</f>
        <v>1</v>
      </c>
      <c r="P8" s="429">
        <f>SUMIF('Diags Raw Data'!$A$6:$A$3646,"*"&amp;$A8&amp;"*",'Diags Raw Data'!$Z$6:$Z$3646)</f>
        <v>1</v>
      </c>
      <c r="Q8" s="430">
        <f>SUM(SUMIF('Diags Raw Data'!$A$6:$A$3646,"*"&amp;$A8&amp;"*",'Diags Raw Data'!$AA$6:$AA$3646),SUMIF('Diags Raw Data'!$A$6:$A$3646,"*"&amp;$A8&amp;"*",'Diags Raw Data'!$AB$6:$AB$3646))</f>
        <v>1</v>
      </c>
      <c r="R8" s="376">
        <f t="shared" ref="R8:R21" si="5">IF((J8=0),0,P8/J8)</f>
        <v>1</v>
      </c>
      <c r="S8" s="376">
        <f t="shared" ref="S8:S21" si="6">IF((P8=0),0,Q8/P8)</f>
        <v>1</v>
      </c>
      <c r="T8" s="377">
        <f t="shared" ref="T8:T21" si="7">R8*S8</f>
        <v>1</v>
      </c>
      <c r="U8" s="433" t="s">
        <v>421</v>
      </c>
      <c r="V8" s="170"/>
    </row>
    <row r="9" spans="1:23" ht="15.75" thickBot="1" x14ac:dyDescent="0.3">
      <c r="A9" s="437" t="s">
        <v>311</v>
      </c>
      <c r="B9" s="326" t="str">
        <f>VLOOKUP(A9,'Feature Raw Data'!$A$3:$B$3897,2,FALSE)</f>
        <v>DF C-states</v>
      </c>
      <c r="C9" s="290" t="str">
        <f>VLOOKUP(A9,'Feature Raw Data'!$A$3:$C$3897,3,FALSE)</f>
        <v>P2</v>
      </c>
      <c r="D9" s="94" t="str" cm="1">
        <f t="array" ref="D9">_xlfn.TEXTJOIN("",TRUE,IF(ISNUMBER(SEARCH($A9,'Diags Raw Data'!$A$6:$A$3646)),CONCATENATE('Diags Raw Data'!$H$6:$H$3646,", "),""))</f>
        <v xml:space="preserve">df007.1, df132, </v>
      </c>
      <c r="E9" s="169" t="str">
        <f>VLOOKUP(A9,'Diags Raw Data'!$A$6:$D$3646,4,FALSE)</f>
        <v>DF</v>
      </c>
      <c r="F9" s="169" t="str">
        <f>VLOOKUP(A9,'Feature Raw Data'!$A$3:$E$3897,5,FALSE)</f>
        <v>Legacy</v>
      </c>
      <c r="G9" s="169" t="str">
        <f t="shared" si="2"/>
        <v>Yes</v>
      </c>
      <c r="H9" s="169" t="str">
        <f t="shared" si="3"/>
        <v>Yes</v>
      </c>
      <c r="I9" s="290">
        <f>SUMIF('Diags Raw Data'!$A$6:$A$3646,"*"&amp;$A9&amp;"*",'Diags Raw Data'!$K$6:$K$3646)</f>
        <v>0</v>
      </c>
      <c r="J9" s="181">
        <f>SUMIF('Diags Raw Data'!$A$6:$A$3646,"*"&amp;$A9&amp;"*",'Diags Raw Data'!$L$6:$L$3646)</f>
        <v>0</v>
      </c>
      <c r="K9" s="372" t="e" cm="1">
        <f t="array" ref="K9">IF(D9="",0, SUMPRODUCT(--(ISNUMBER(SEARCH($A9,'Diags Raw Data'!$A$6:$A$3646))),'Diags Raw Data'!$L$6:$L$3646,'Diags Raw Data'!$N$6:$N$3646)/J9)</f>
        <v>#DIV/0!</v>
      </c>
      <c r="L9" s="373" t="e" cm="1">
        <f t="array" ref="L9">IF(D9="",0, SUMPRODUCT(--(ISNUMBER(SEARCH($A9,'Diags Raw Data'!$A$6:$A$3646))),'Diags Raw Data'!$L$6:$L$3646,'Diags Raw Data'!$P$6:$P$3646)/J9)</f>
        <v>#DIV/0!</v>
      </c>
      <c r="M9" s="374" cm="1">
        <f t="array" ref="M9">SUMPRODUCT(--(ISNUMBER(SEARCH($A9,'Diags Raw Data'!$A$6:$A$3646))),--('Diags Raw Data'!$Q$6:$Q$3646&lt;&gt;"N/A"),'Diags Raw Data'!$R$6:$R$3646)</f>
        <v>0</v>
      </c>
      <c r="N9" s="375" cm="1">
        <f t="array" ref="N9">SUMPRODUCT(--(ISNUMBER(SEARCH($A9,'Diags Raw Data'!$A$6:$A$3646))),--('Diags Raw Data'!$Q$6:$Q$3646&lt;&gt;"N/A"),'Diags Raw Data'!$T$6:$T$3646)+SUMPRODUCT(--(ISNUMBER(SEARCH($A9,'Diags Raw Data'!$A$6:$A$3646))),--('Diags Raw Data'!$Q$6:$Q$3646&lt;&gt;"N/A"),'Diags Raw Data'!$U$6:$U$3646)</f>
        <v>0</v>
      </c>
      <c r="O9" s="405">
        <f t="shared" si="4"/>
        <v>0</v>
      </c>
      <c r="P9" s="429">
        <f>SUMIF('Diags Raw Data'!$A$6:$A$3646,"*"&amp;$A9&amp;"*",'Diags Raw Data'!$Z$6:$Z$3646)</f>
        <v>0</v>
      </c>
      <c r="Q9" s="430">
        <f>SUM(SUMIF('Diags Raw Data'!$A$6:$A$3646,"*"&amp;$A9&amp;"*",'Diags Raw Data'!$AA$6:$AA$3646),SUMIF('Diags Raw Data'!$A$6:$A$3646,"*"&amp;$A9&amp;"*",'Diags Raw Data'!$AB$6:$AB$3646))</f>
        <v>0</v>
      </c>
      <c r="R9" s="376">
        <f t="shared" si="5"/>
        <v>0</v>
      </c>
      <c r="S9" s="376">
        <f t="shared" si="6"/>
        <v>0</v>
      </c>
      <c r="T9" s="377">
        <f t="shared" si="7"/>
        <v>0</v>
      </c>
      <c r="U9" s="433" t="s">
        <v>422</v>
      </c>
      <c r="V9" s="170"/>
    </row>
    <row r="10" spans="1:23" ht="15.75" thickBot="1" x14ac:dyDescent="0.3">
      <c r="A10" s="437" t="s">
        <v>316</v>
      </c>
      <c r="B10" s="326" t="str">
        <f>VLOOKUP(A10,'Feature Raw Data'!$A$3:$B$3897,2,FALSE)</f>
        <v>DF P-states with Memory traffic</v>
      </c>
      <c r="C10" s="290" t="str">
        <f>VLOOKUP(A10,'Feature Raw Data'!$A$3:$C$3897,3,FALSE)</f>
        <v>P2</v>
      </c>
      <c r="D10" s="94" t="str" cm="1">
        <f t="array" ref="D10">_xlfn.TEXTJOIN("",TRUE,IF(ISNUMBER(SEARCH($A10,'Diags Raw Data'!$A$6:$A$3646)),CONCATENATE('Diags Raw Data'!$H$6:$H$3646,", "),""))</f>
        <v xml:space="preserve">df102, </v>
      </c>
      <c r="E10" s="169" t="str">
        <f>VLOOKUP(A10,'Diags Raw Data'!$A$6:$D$3646,4,FALSE)</f>
        <v>DF</v>
      </c>
      <c r="F10" s="169" t="str">
        <f>VLOOKUP(A10,'Feature Raw Data'!$A$3:$E$3897,5,FALSE)</f>
        <v>Legacy</v>
      </c>
      <c r="G10" s="169" t="str">
        <f t="shared" si="2"/>
        <v>Yes</v>
      </c>
      <c r="H10" s="169" t="str">
        <f t="shared" si="3"/>
        <v>Yes</v>
      </c>
      <c r="I10" s="290">
        <f>SUMIF('Diags Raw Data'!$A$6:$A$3646,"*"&amp;$A10&amp;"*",'Diags Raw Data'!$K$6:$K$3646)</f>
        <v>1</v>
      </c>
      <c r="J10" s="181">
        <f>SUMIF('Diags Raw Data'!$A$6:$A$3646,"*"&amp;$A10&amp;"*",'Diags Raw Data'!$L$6:$L$3646)</f>
        <v>1</v>
      </c>
      <c r="K10" s="372" cm="1">
        <f t="array" ref="K10">IF(D10="",0, SUMPRODUCT(--(ISNUMBER(SEARCH($A10,'Diags Raw Data'!$A$6:$A$3646))),'Diags Raw Data'!$L$6:$L$3646,'Diags Raw Data'!$N$6:$N$3646)/J10)</f>
        <v>1</v>
      </c>
      <c r="L10" s="373" t="e" cm="1">
        <f t="array" ref="L10">IF(D10="",0, SUMPRODUCT(--(ISNUMBER(SEARCH($A10,'Diags Raw Data'!$A$6:$A$3646))),'Diags Raw Data'!$L$6:$L$3646,'Diags Raw Data'!$P$6:$P$3646)/J10)</f>
        <v>#DIV/0!</v>
      </c>
      <c r="M10" s="374" cm="1">
        <f t="array" ref="M10">SUMPRODUCT(--(ISNUMBER(SEARCH($A10,'Diags Raw Data'!$A$6:$A$3646))),--('Diags Raw Data'!$Q$6:$Q$3646&lt;&gt;"N/A"),'Diags Raw Data'!$R$6:$R$3646)</f>
        <v>0</v>
      </c>
      <c r="N10" s="375" cm="1">
        <f t="array" ref="N10">SUMPRODUCT(--(ISNUMBER(SEARCH($A10,'Diags Raw Data'!$A$6:$A$3646))),--('Diags Raw Data'!$Q$6:$Q$3646&lt;&gt;"N/A"),'Diags Raw Data'!$T$6:$T$3646)+SUMPRODUCT(--(ISNUMBER(SEARCH($A10,'Diags Raw Data'!$A$6:$A$3646))),--('Diags Raw Data'!$Q$6:$Q$3646&lt;&gt;"N/A"),'Diags Raw Data'!$U$6:$U$3646)</f>
        <v>0</v>
      </c>
      <c r="O10" s="405">
        <f>IF((M10=0),0,N10/M10)</f>
        <v>0</v>
      </c>
      <c r="P10" s="429">
        <f>SUMIF('Diags Raw Data'!$A$6:$A$3646,"*"&amp;$A10&amp;"*",'Diags Raw Data'!$Z$6:$Z$3646)</f>
        <v>1</v>
      </c>
      <c r="Q10" s="430">
        <f>SUM(SUMIF('Diags Raw Data'!$A$6:$A$3646,"*"&amp;$A10&amp;"*",'Diags Raw Data'!$AA$6:$AA$3646),SUMIF('Diags Raw Data'!$A$6:$A$3646,"*"&amp;$A10&amp;"*",'Diags Raw Data'!$AB$6:$AB$3646))</f>
        <v>1</v>
      </c>
      <c r="R10" s="376">
        <f t="shared" si="5"/>
        <v>1</v>
      </c>
      <c r="S10" s="376">
        <f t="shared" si="6"/>
        <v>1</v>
      </c>
      <c r="T10" s="377">
        <f t="shared" si="7"/>
        <v>1</v>
      </c>
      <c r="U10" s="433" t="s">
        <v>422</v>
      </c>
      <c r="V10" s="170"/>
    </row>
    <row r="11" spans="1:23" x14ac:dyDescent="0.25">
      <c r="A11" s="437" t="s">
        <v>320</v>
      </c>
      <c r="B11" s="326" t="str">
        <f>VLOOKUP(A11,'Feature Raw Data'!$A$3:$B$3897,2,FALSE)</f>
        <v>Display and Stutter Mode</v>
      </c>
      <c r="C11" s="290" t="str">
        <f>VLOOKUP(A11,'Feature Raw Data'!$A$3:$C$3897,3,FALSE)</f>
        <v>P2</v>
      </c>
      <c r="D11" s="94" t="str" cm="1">
        <f t="array" ref="D11">_xlfn.TEXTJOIN("",TRUE,IF(ISNUMBER(SEARCH($A11,'Diags Raw Data'!$A$6:$A$3646)),CONCATENATE('Diags Raw Data'!$H$6:$H$3646,", "),""))</f>
        <v xml:space="preserve">df121, </v>
      </c>
      <c r="E11" s="169" t="str">
        <f>VLOOKUP(A11,'Diags Raw Data'!$A$6:$D$3646,4,FALSE)</f>
        <v>DF</v>
      </c>
      <c r="F11" s="169" t="str">
        <f>VLOOKUP(A11,'Feature Raw Data'!$A$3:$E$3897,5,FALSE)</f>
        <v>Legacy</v>
      </c>
      <c r="G11" s="169" t="str">
        <f t="shared" si="2"/>
        <v>Yes</v>
      </c>
      <c r="H11" s="169" t="str">
        <f t="shared" si="3"/>
        <v>Yes</v>
      </c>
      <c r="I11" s="290">
        <f>SUMIF('Diags Raw Data'!$A$6:$A$3646,"*"&amp;$A11&amp;"*",'Diags Raw Data'!$K$6:$K$3646)</f>
        <v>0</v>
      </c>
      <c r="J11" s="181">
        <f>SUMIF('Diags Raw Data'!$A$6:$A$3646,"*"&amp;$A11&amp;"*",'Diags Raw Data'!$L$6:$L$3646)</f>
        <v>0</v>
      </c>
      <c r="K11" s="372" t="e" cm="1">
        <f t="array" ref="K11">IF(D11="",0, SUMPRODUCT(--(ISNUMBER(SEARCH($A11,'Diags Raw Data'!$A$6:$A$3646))),'Diags Raw Data'!$L$6:$L$3646,'Diags Raw Data'!$N$6:$N$3646)/J11)</f>
        <v>#DIV/0!</v>
      </c>
      <c r="L11" s="373" t="e" cm="1">
        <f t="array" ref="L11">IF(D11="",0, SUMPRODUCT(--(ISNUMBER(SEARCH($A11,'Diags Raw Data'!$A$6:$A$3646))),'Diags Raw Data'!$L$6:$L$3646,'Diags Raw Data'!$P$6:$P$3646)/J11)</f>
        <v>#DIV/0!</v>
      </c>
      <c r="M11" s="374" cm="1">
        <f t="array" ref="M11">SUMPRODUCT(--(ISNUMBER(SEARCH($A11,'Diags Raw Data'!$A$6:$A$3646))),--('Diags Raw Data'!$Q$6:$Q$3646&lt;&gt;"N/A"),'Diags Raw Data'!$R$6:$R$3646)</f>
        <v>0</v>
      </c>
      <c r="N11" s="375" cm="1">
        <f t="array" ref="N11">SUMPRODUCT(--(ISNUMBER(SEARCH($A11,'Diags Raw Data'!$A$6:$A$3646))),--('Diags Raw Data'!$Q$6:$Q$3646&lt;&gt;"N/A"),'Diags Raw Data'!$T$6:$T$3646)+SUMPRODUCT(--(ISNUMBER(SEARCH($A11,'Diags Raw Data'!$A$6:$A$3646))),--('Diags Raw Data'!$Q$6:$Q$3646&lt;&gt;"N/A"),'Diags Raw Data'!$U$6:$U$3646)</f>
        <v>0</v>
      </c>
      <c r="O11" s="405">
        <f t="shared" ref="O11:O21" si="8">IF((M11=0),0,N11/M11)</f>
        <v>0</v>
      </c>
      <c r="P11" s="429">
        <f>SUMIF('Diags Raw Data'!$A$6:$A$3646,"*"&amp;$A11&amp;"*",'Diags Raw Data'!$Z$6:$Z$3646)</f>
        <v>0</v>
      </c>
      <c r="Q11" s="430">
        <f>SUM(SUMIF('Diags Raw Data'!$A$6:$A$3646,"*"&amp;$A11&amp;"*",'Diags Raw Data'!$AA$6:$AA$3646),SUMIF('Diags Raw Data'!$A$6:$A$3646,"*"&amp;$A11&amp;"*",'Diags Raw Data'!$AB$6:$AB$3646))</f>
        <v>0</v>
      </c>
      <c r="R11" s="376">
        <f t="shared" si="5"/>
        <v>0</v>
      </c>
      <c r="S11" s="376">
        <f t="shared" si="6"/>
        <v>0</v>
      </c>
      <c r="T11" s="377">
        <f t="shared" si="7"/>
        <v>0</v>
      </c>
      <c r="U11" s="433" t="s">
        <v>423</v>
      </c>
      <c r="V11" s="170"/>
    </row>
    <row r="12" spans="1:23" ht="30.75" thickBot="1" x14ac:dyDescent="0.3">
      <c r="A12" s="437" t="s">
        <v>324</v>
      </c>
      <c r="B12" s="326" t="str">
        <f>VLOOKUP(A12,'Feature Raw Data'!$A$3:$B$3897,2,FALSE)</f>
        <v>Frequent Value Compression/Cake Data compression</v>
      </c>
      <c r="C12" s="290" t="str">
        <f>VLOOKUP(A12,'Feature Raw Data'!$A$3:$C$3897,3,FALSE)</f>
        <v>P1</v>
      </c>
      <c r="D12" s="94" t="str" cm="1">
        <f t="array" ref="D12">_xlfn.TEXTJOIN("",TRUE,IF(ISNUMBER(SEARCH($A12,'Diags Raw Data'!$A$6:$A$3646)),CONCATENATE('Diags Raw Data'!$H$6:$H$3646,", "),""))</f>
        <v xml:space="preserve">df109.1-6, df111, df110.1-5, df112, df143.1-2, df144.1-3, df143.1-2, df144.1-3, </v>
      </c>
      <c r="E12" s="169" t="str">
        <f>VLOOKUP(A12,'Diags Raw Data'!$A$6:$D$3646,4,FALSE)</f>
        <v>DF</v>
      </c>
      <c r="F12" s="169" t="str">
        <f>VLOOKUP(A12,'Feature Raw Data'!$A$3:$E$3897,5,FALSE)</f>
        <v>Legacy</v>
      </c>
      <c r="G12" s="169" t="str">
        <f t="shared" si="2"/>
        <v>Yes</v>
      </c>
      <c r="H12" s="169" t="str">
        <f t="shared" si="3"/>
        <v>Yes</v>
      </c>
      <c r="I12" s="290">
        <f>SUMIF('Diags Raw Data'!$A$6:$A$3646,"*"&amp;$A12&amp;"*",'Diags Raw Data'!$K$6:$K$3646)</f>
        <v>13</v>
      </c>
      <c r="J12" s="181">
        <f>SUMIF('Diags Raw Data'!$A$6:$A$3646,"*"&amp;$A12&amp;"*",'Diags Raw Data'!$L$6:$L$3646)</f>
        <v>23</v>
      </c>
      <c r="K12" s="372" cm="1">
        <f t="array" ref="K12">IF(D12="",0, SUMPRODUCT(--(ISNUMBER(SEARCH($A12,'Diags Raw Data'!$A$6:$A$3646))),'Diags Raw Data'!$L$6:$L$3646,'Diags Raw Data'!$N$6:$N$3646)/J12)</f>
        <v>1</v>
      </c>
      <c r="L12" s="373" t="e" cm="1">
        <f t="array" ref="L12">IF(D12="",0, SUMPRODUCT(--(ISNUMBER(SEARCH($A12,'Diags Raw Data'!$A$6:$A$3646))),'Diags Raw Data'!$L$6:$L$3646,'Diags Raw Data'!$P$6:$P$3646)/J12)</f>
        <v>#DIV/0!</v>
      </c>
      <c r="M12" s="374" cm="1">
        <f t="array" ref="M12">SUMPRODUCT(--(ISNUMBER(SEARCH($A12,'Diags Raw Data'!$A$6:$A$3646))),--('Diags Raw Data'!$Q$6:$Q$3646&lt;&gt;"N/A"),'Diags Raw Data'!$R$6:$R$3646)</f>
        <v>13</v>
      </c>
      <c r="N12" s="375" cm="1">
        <f t="array" ref="N12">SUMPRODUCT(--(ISNUMBER(SEARCH($A12,'Diags Raw Data'!$A$6:$A$3646))),--('Diags Raw Data'!$Q$6:$Q$3646&lt;&gt;"N/A"),'Diags Raw Data'!$T$6:$T$3646)+SUMPRODUCT(--(ISNUMBER(SEARCH($A12,'Diags Raw Data'!$A$6:$A$3646))),--('Diags Raw Data'!$Q$6:$Q$3646&lt;&gt;"N/A"),'Diags Raw Data'!$U$6:$U$3646)</f>
        <v>13</v>
      </c>
      <c r="O12" s="405">
        <f t="shared" si="8"/>
        <v>1</v>
      </c>
      <c r="P12" s="429">
        <f>SUMIF('Diags Raw Data'!$A$6:$A$3646,"*"&amp;$A12&amp;"*",'Diags Raw Data'!$Z$6:$Z$3646)</f>
        <v>13</v>
      </c>
      <c r="Q12" s="430">
        <f>SUM(SUMIF('Diags Raw Data'!$A$6:$A$3646,"*"&amp;$A12&amp;"*",'Diags Raw Data'!$AA$6:$AA$3646),SUMIF('Diags Raw Data'!$A$6:$A$3646,"*"&amp;$A12&amp;"*",'Diags Raw Data'!$AB$6:$AB$3646))</f>
        <v>13</v>
      </c>
      <c r="R12" s="376">
        <f t="shared" si="5"/>
        <v>0.56521739130434778</v>
      </c>
      <c r="S12" s="376">
        <f t="shared" si="6"/>
        <v>1</v>
      </c>
      <c r="T12" s="377">
        <f t="shared" si="7"/>
        <v>0.56521739130434778</v>
      </c>
      <c r="U12" s="433" t="s">
        <v>424</v>
      </c>
      <c r="V12" s="170"/>
    </row>
    <row r="13" spans="1:23" ht="30.75" thickBot="1" x14ac:dyDescent="0.3">
      <c r="A13" s="437" t="s">
        <v>331</v>
      </c>
      <c r="B13" s="326" t="str">
        <f>VLOOKUP(A13,'Feature Raw Data'!$A$3:$B$3897,2,FALSE)</f>
        <v>I/O and Graphic Atomics</v>
      </c>
      <c r="C13" s="290" t="str">
        <f>VLOOKUP(A13,'Feature Raw Data'!$A$3:$C$3897,3,FALSE)</f>
        <v>P1</v>
      </c>
      <c r="D13" s="94" t="str" cm="1">
        <f t="array" ref="D13">_xlfn.TEXTJOIN("",TRUE,IF(ISNUMBER(SEARCH($A13,'Diags Raw Data'!$A$6:$A$3646)),CONCATENATE('Diags Raw Data'!$H$6:$H$3646,", "),""))</f>
        <v xml:space="preserve">df104.0,2,6,8,10,12,14,16, df104.1,3,5,7,9,11,13,15,17, </v>
      </c>
      <c r="E13" s="169" t="str">
        <f>VLOOKUP(A13,'Diags Raw Data'!$A$6:$D$3646,4,FALSE)</f>
        <v>DF</v>
      </c>
      <c r="F13" s="169" t="str">
        <f>VLOOKUP(A13,'Feature Raw Data'!$A$3:$E$3897,5,FALSE)</f>
        <v>Legacy</v>
      </c>
      <c r="G13" s="169" t="str">
        <f t="shared" si="2"/>
        <v>Yes</v>
      </c>
      <c r="H13" s="169" t="str">
        <f t="shared" si="3"/>
        <v>Yes</v>
      </c>
      <c r="I13" s="290">
        <f>SUMIF('Diags Raw Data'!$A$6:$A$3646,"*"&amp;$A13&amp;"*",'Diags Raw Data'!$K$6:$K$3646)</f>
        <v>17</v>
      </c>
      <c r="J13" s="181">
        <f>SUMIF('Diags Raw Data'!$A$6:$A$3646,"*"&amp;$A13&amp;"*",'Diags Raw Data'!$L$6:$L$3646)</f>
        <v>17</v>
      </c>
      <c r="K13" s="372" cm="1">
        <f t="array" ref="K13">IF(D13="",0, SUMPRODUCT(--(ISNUMBER(SEARCH($A13,'Diags Raw Data'!$A$6:$A$3646))),'Diags Raw Data'!$L$6:$L$3646,'Diags Raw Data'!$N$6:$N$3646)/J13)</f>
        <v>1</v>
      </c>
      <c r="L13" s="373" t="e" cm="1">
        <f t="array" ref="L13">IF(D13="",0, SUMPRODUCT(--(ISNUMBER(SEARCH($A13,'Diags Raw Data'!$A$6:$A$3646))),'Diags Raw Data'!$L$6:$L$3646,'Diags Raw Data'!$P$6:$P$3646)/J13)</f>
        <v>#DIV/0!</v>
      </c>
      <c r="M13" s="374" cm="1">
        <f t="array" ref="M13">SUMPRODUCT(--(ISNUMBER(SEARCH($A13,'Diags Raw Data'!$A$6:$A$3646))),--('Diags Raw Data'!$Q$6:$Q$3646&lt;&gt;"N/A"),'Diags Raw Data'!$R$6:$R$3646)</f>
        <v>18</v>
      </c>
      <c r="N13" s="375" cm="1">
        <f t="array" ref="N13">SUMPRODUCT(--(ISNUMBER(SEARCH($A13,'Diags Raw Data'!$A$6:$A$3646))),--('Diags Raw Data'!$Q$6:$Q$3646&lt;&gt;"N/A"),'Diags Raw Data'!$T$6:$T$3646)+SUMPRODUCT(--(ISNUMBER(SEARCH($A13,'Diags Raw Data'!$A$6:$A$3646))),--('Diags Raw Data'!$Q$6:$Q$3646&lt;&gt;"N/A"),'Diags Raw Data'!$U$6:$U$3646)</f>
        <v>18</v>
      </c>
      <c r="O13" s="405">
        <f t="shared" si="8"/>
        <v>1</v>
      </c>
      <c r="P13" s="429">
        <f>SUMIF('Diags Raw Data'!$A$6:$A$3646,"*"&amp;$A13&amp;"*",'Diags Raw Data'!$Z$6:$Z$3646)</f>
        <v>18</v>
      </c>
      <c r="Q13" s="430">
        <f>SUM(SUMIF('Diags Raw Data'!$A$6:$A$3646,"*"&amp;$A13&amp;"*",'Diags Raw Data'!$AA$6:$AA$3646),SUMIF('Diags Raw Data'!$A$6:$A$3646,"*"&amp;$A13&amp;"*",'Diags Raw Data'!$AB$6:$AB$3646))</f>
        <v>18</v>
      </c>
      <c r="R13" s="376">
        <f t="shared" si="5"/>
        <v>1.0588235294117647</v>
      </c>
      <c r="S13" s="376">
        <f t="shared" si="6"/>
        <v>1</v>
      </c>
      <c r="T13" s="377">
        <f t="shared" si="7"/>
        <v>1.0588235294117647</v>
      </c>
      <c r="U13" s="433" t="s">
        <v>424</v>
      </c>
      <c r="V13" s="170"/>
    </row>
    <row r="14" spans="1:23" s="173" customFormat="1" ht="30.75" thickBot="1" x14ac:dyDescent="0.3">
      <c r="A14" s="285" t="s">
        <v>336</v>
      </c>
      <c r="B14" s="326" t="str">
        <f>VLOOKUP(A14,'Feature Raw Data'!$A$3:$B$3897,2,FALSE)</f>
        <v>Large Reads,
Performance Monitors</v>
      </c>
      <c r="C14" s="290" t="str">
        <f>VLOOKUP(A14,'Feature Raw Data'!$A$3:$C$3897,3,FALSE)</f>
        <v>P1</v>
      </c>
      <c r="D14" s="94" t="str" cm="1">
        <f t="array" ref="D14">_xlfn.TEXTJOIN("",TRUE,IF(ISNUMBER(SEARCH($A14,'Diags Raw Data'!$A$6:$A$3646)),CONCATENATE('Diags Raw Data'!$H$6:$H$3646,", "),""))</f>
        <v xml:space="preserve">df113, </v>
      </c>
      <c r="E14" s="169" t="str">
        <f>VLOOKUP(A14,'Diags Raw Data'!$A$6:$D$3646,4,FALSE)</f>
        <v>DF</v>
      </c>
      <c r="F14" s="169" t="str">
        <f>VLOOKUP(A14,'Feature Raw Data'!$A$3:$E$3897,5,FALSE)</f>
        <v>Legacy</v>
      </c>
      <c r="G14" s="169" t="str">
        <f t="shared" si="2"/>
        <v>Yes</v>
      </c>
      <c r="H14" s="169" t="str">
        <f t="shared" si="3"/>
        <v>Yes</v>
      </c>
      <c r="I14" s="290">
        <f>SUMIF('Diags Raw Data'!$A$6:$A$3646,"*"&amp;$A14&amp;"*",'Diags Raw Data'!$K$6:$K$3646)</f>
        <v>1</v>
      </c>
      <c r="J14" s="181">
        <f>SUMIF('Diags Raw Data'!$A$6:$A$3646,"*"&amp;$A14&amp;"*",'Diags Raw Data'!$L$6:$L$3646)</f>
        <v>1</v>
      </c>
      <c r="K14" s="372" cm="1">
        <f t="array" ref="K14">IF(D14="",0, SUMPRODUCT(--(ISNUMBER(SEARCH($A14,'Diags Raw Data'!$A$6:$A$3646))),'Diags Raw Data'!$L$6:$L$3646,'Diags Raw Data'!$N$6:$N$3646)/J14)</f>
        <v>1</v>
      </c>
      <c r="L14" s="373" t="e" cm="1">
        <f t="array" ref="L14">IF(D14="",0, SUMPRODUCT(--(ISNUMBER(SEARCH($A14,'Diags Raw Data'!$A$6:$A$3646))),'Diags Raw Data'!$L$6:$L$3646,'Diags Raw Data'!$P$6:$P$3646)/J14)</f>
        <v>#DIV/0!</v>
      </c>
      <c r="M14" s="374" cm="1">
        <f t="array" ref="M14">SUMPRODUCT(--(ISNUMBER(SEARCH($A14,'Diags Raw Data'!$A$6:$A$3646))),--('Diags Raw Data'!$Q$6:$Q$3646&lt;&gt;"N/A"),'Diags Raw Data'!$R$6:$R$3646)</f>
        <v>1</v>
      </c>
      <c r="N14" s="375" cm="1">
        <f t="array" ref="N14">SUMPRODUCT(--(ISNUMBER(SEARCH($A14,'Diags Raw Data'!$A$6:$A$3646))),--('Diags Raw Data'!$Q$6:$Q$3646&lt;&gt;"N/A"),'Diags Raw Data'!$T$6:$T$3646)+SUMPRODUCT(--(ISNUMBER(SEARCH($A14,'Diags Raw Data'!$A$6:$A$3646))),--('Diags Raw Data'!$Q$6:$Q$3646&lt;&gt;"N/A"),'Diags Raw Data'!$U$6:$U$3646)</f>
        <v>1</v>
      </c>
      <c r="O14" s="405">
        <f t="shared" si="8"/>
        <v>1</v>
      </c>
      <c r="P14" s="429">
        <f>SUMIF('Diags Raw Data'!$A$6:$A$3646,"*"&amp;$A14&amp;"*",'Diags Raw Data'!$Z$6:$Z$3646)</f>
        <v>1</v>
      </c>
      <c r="Q14" s="430">
        <f>SUM(SUMIF('Diags Raw Data'!$A$6:$A$3646,"*"&amp;$A14&amp;"*",'Diags Raw Data'!$AA$6:$AA$3646),SUMIF('Diags Raw Data'!$A$6:$A$3646,"*"&amp;$A14&amp;"*",'Diags Raw Data'!$AB$6:$AB$3646))</f>
        <v>1</v>
      </c>
      <c r="R14" s="376">
        <f t="shared" si="5"/>
        <v>1</v>
      </c>
      <c r="S14" s="378">
        <f t="shared" si="6"/>
        <v>1</v>
      </c>
      <c r="T14" s="379">
        <f t="shared" si="7"/>
        <v>1</v>
      </c>
      <c r="U14" s="433" t="s">
        <v>424</v>
      </c>
      <c r="V14" s="172"/>
    </row>
    <row r="15" spans="1:23" ht="15.75" thickBot="1" x14ac:dyDescent="0.3">
      <c r="A15" s="437" t="s">
        <v>340</v>
      </c>
      <c r="B15" s="326" t="str">
        <f>VLOOKUP(A15,'Feature Raw Data'!$A$3:$B$3897,2,FALSE)</f>
        <v>Register Security</v>
      </c>
      <c r="C15" s="290" t="str">
        <f>VLOOKUP(A15,'Feature Raw Data'!$A$3:$C$3897,3,FALSE)</f>
        <v>P1</v>
      </c>
      <c r="D15" s="94" t="str" cm="1">
        <f t="array" ref="D15">_xlfn.TEXTJOIN("",TRUE,IF(ISNUMBER(SEARCH($A15,'Diags Raw Data'!$A$6:$A$3646)),CONCATENATE('Diags Raw Data'!$H$6:$H$3646,", "),""))</f>
        <v xml:space="preserve">df105.0-1, </v>
      </c>
      <c r="E15" s="169" t="str">
        <f>VLOOKUP(A15,'Diags Raw Data'!$A$6:$D$3646,4,FALSE)</f>
        <v>DF</v>
      </c>
      <c r="F15" s="169" t="str">
        <f>VLOOKUP(A15,'Feature Raw Data'!$A$3:$E$3897,5,FALSE)</f>
        <v>Legacy</v>
      </c>
      <c r="G15" s="169" t="str">
        <f t="shared" si="2"/>
        <v>Yes</v>
      </c>
      <c r="H15" s="169" t="str">
        <f t="shared" si="3"/>
        <v>Yes</v>
      </c>
      <c r="I15" s="290">
        <f>SUMIF('Diags Raw Data'!$A$6:$A$3646,"*"&amp;$A15&amp;"*",'Diags Raw Data'!$K$6:$K$3646)</f>
        <v>2</v>
      </c>
      <c r="J15" s="181">
        <f>SUMIF('Diags Raw Data'!$A$6:$A$3646,"*"&amp;$A15&amp;"*",'Diags Raw Data'!$L$6:$L$3646)</f>
        <v>2</v>
      </c>
      <c r="K15" s="372" cm="1">
        <f t="array" ref="K15">IF(D15="",0, SUMPRODUCT(--(ISNUMBER(SEARCH($A15,'Diags Raw Data'!$A$6:$A$3646))),'Diags Raw Data'!$L$6:$L$3646,'Diags Raw Data'!$N$6:$N$3646)/J15)</f>
        <v>1</v>
      </c>
      <c r="L15" s="373" t="e" cm="1">
        <f t="array" ref="L15">IF(D15="",0, SUMPRODUCT(--(ISNUMBER(SEARCH($A15,'Diags Raw Data'!$A$6:$A$3646))),'Diags Raw Data'!$L$6:$L$3646,'Diags Raw Data'!$P$6:$P$3646)/J15)</f>
        <v>#DIV/0!</v>
      </c>
      <c r="M15" s="374" cm="1">
        <f t="array" ref="M15">SUMPRODUCT(--(ISNUMBER(SEARCH($A15,'Diags Raw Data'!$A$6:$A$3646))),--('Diags Raw Data'!$Q$6:$Q$3646&lt;&gt;"N/A"),'Diags Raw Data'!$R$6:$R$3646)</f>
        <v>2</v>
      </c>
      <c r="N15" s="375" cm="1">
        <f t="array" ref="N15">SUMPRODUCT(--(ISNUMBER(SEARCH($A15,'Diags Raw Data'!$A$6:$A$3646))),--('Diags Raw Data'!$Q$6:$Q$3646&lt;&gt;"N/A"),'Diags Raw Data'!$T$6:$T$3646)+SUMPRODUCT(--(ISNUMBER(SEARCH($A15,'Diags Raw Data'!$A$6:$A$3646))),--('Diags Raw Data'!$Q$6:$Q$3646&lt;&gt;"N/A"),'Diags Raw Data'!$U$6:$U$3646)</f>
        <v>2</v>
      </c>
      <c r="O15" s="405">
        <f t="shared" si="8"/>
        <v>1</v>
      </c>
      <c r="P15" s="429">
        <f>SUMIF('Diags Raw Data'!$A$6:$A$3646,"*"&amp;$A15&amp;"*",'Diags Raw Data'!$Z$6:$Z$3646)</f>
        <v>2</v>
      </c>
      <c r="Q15" s="430">
        <f>SUM(SUMIF('Diags Raw Data'!$A$6:$A$3646,"*"&amp;$A15&amp;"*",'Diags Raw Data'!$AA$6:$AA$3646),SUMIF('Diags Raw Data'!$A$6:$A$3646,"*"&amp;$A15&amp;"*",'Diags Raw Data'!$AB$6:$AB$3646))</f>
        <v>2</v>
      </c>
      <c r="R15" s="376">
        <f t="shared" si="5"/>
        <v>1</v>
      </c>
      <c r="S15" s="376">
        <f t="shared" si="6"/>
        <v>1</v>
      </c>
      <c r="T15" s="377">
        <f t="shared" si="7"/>
        <v>1</v>
      </c>
      <c r="U15" s="433" t="s">
        <v>424</v>
      </c>
      <c r="V15" s="170"/>
    </row>
    <row r="16" spans="1:23" ht="15.75" thickBot="1" x14ac:dyDescent="0.3">
      <c r="A16" s="437" t="s">
        <v>344</v>
      </c>
      <c r="B16" s="326" t="str">
        <f>VLOOKUP(A16,'Feature Raw Data'!$A$3:$B$3897,2,FALSE)</f>
        <v>Trusted Memory Regions</v>
      </c>
      <c r="C16" s="290" t="str">
        <f>VLOOKUP(A16,'Feature Raw Data'!$A$3:$C$3897,3,FALSE)</f>
        <v>P1</v>
      </c>
      <c r="D16" s="94" t="str" cm="1">
        <f t="array" ref="D16">_xlfn.TEXTJOIN("",TRUE,IF(ISNUMBER(SEARCH($A16,'Diags Raw Data'!$A$6:$A$3646)),CONCATENATE('Diags Raw Data'!$H$6:$H$3646,", "),""))</f>
        <v xml:space="preserve">DF003.1-4, </v>
      </c>
      <c r="E16" s="169" t="str">
        <f>VLOOKUP(A16,'Diags Raw Data'!$A$6:$D$3646,4,FALSE)</f>
        <v>DF</v>
      </c>
      <c r="F16" s="169" t="str">
        <f>VLOOKUP(A16,'Feature Raw Data'!$A$3:$E$3897,5,FALSE)</f>
        <v>Legacy</v>
      </c>
      <c r="G16" s="169" t="str">
        <f t="shared" si="2"/>
        <v>Yes</v>
      </c>
      <c r="H16" s="169" t="str">
        <f t="shared" si="3"/>
        <v>Yes</v>
      </c>
      <c r="I16" s="290">
        <f>SUMIF('Diags Raw Data'!$A$6:$A$3646,"*"&amp;$A16&amp;"*",'Diags Raw Data'!$K$6:$K$3646)</f>
        <v>4</v>
      </c>
      <c r="J16" s="181">
        <f>SUMIF('Diags Raw Data'!$A$6:$A$3646,"*"&amp;$A16&amp;"*",'Diags Raw Data'!$L$6:$L$3646)</f>
        <v>4</v>
      </c>
      <c r="K16" s="372" cm="1">
        <f t="array" ref="K16">IF(D16="",0, SUMPRODUCT(--(ISNUMBER(SEARCH($A16,'Diags Raw Data'!$A$6:$A$3646))),'Diags Raw Data'!$L$6:$L$3646,'Diags Raw Data'!$N$6:$N$3646)/J16)</f>
        <v>1</v>
      </c>
      <c r="L16" s="373" t="e" cm="1">
        <f t="array" ref="L16">IF(D16="",0, SUMPRODUCT(--(ISNUMBER(SEARCH($A16,'Diags Raw Data'!$A$6:$A$3646))),'Diags Raw Data'!$L$6:$L$3646,'Diags Raw Data'!$P$6:$P$3646)/J16)</f>
        <v>#DIV/0!</v>
      </c>
      <c r="M16" s="374" cm="1">
        <f t="array" ref="M16">SUMPRODUCT(--(ISNUMBER(SEARCH($A16,'Diags Raw Data'!$A$6:$A$3646))),--('Diags Raw Data'!$Q$6:$Q$3646&lt;&gt;"N/A"),'Diags Raw Data'!$R$6:$R$3646)</f>
        <v>4</v>
      </c>
      <c r="N16" s="375" cm="1">
        <f t="array" ref="N16">SUMPRODUCT(--(ISNUMBER(SEARCH($A16,'Diags Raw Data'!$A$6:$A$3646))),--('Diags Raw Data'!$Q$6:$Q$3646&lt;&gt;"N/A"),'Diags Raw Data'!$T$6:$T$3646)+SUMPRODUCT(--(ISNUMBER(SEARCH($A16,'Diags Raw Data'!$A$6:$A$3646))),--('Diags Raw Data'!$Q$6:$Q$3646&lt;&gt;"N/A"),'Diags Raw Data'!$U$6:$U$3646)</f>
        <v>4</v>
      </c>
      <c r="O16" s="405">
        <f t="shared" si="8"/>
        <v>1</v>
      </c>
      <c r="P16" s="429">
        <f>SUMIF('Diags Raw Data'!$A$6:$A$3646,"*"&amp;$A16&amp;"*",'Diags Raw Data'!$Z$6:$Z$3646)</f>
        <v>4</v>
      </c>
      <c r="Q16" s="430">
        <f>SUM(SUMIF('Diags Raw Data'!$A$6:$A$3646,"*"&amp;$A16&amp;"*",'Diags Raw Data'!$AA$6:$AA$3646),SUMIF('Diags Raw Data'!$A$6:$A$3646,"*"&amp;$A16&amp;"*",'Diags Raw Data'!$AB$6:$AB$3646))</f>
        <v>4</v>
      </c>
      <c r="R16" s="376">
        <f t="shared" si="5"/>
        <v>1</v>
      </c>
      <c r="S16" s="376">
        <f t="shared" si="6"/>
        <v>1</v>
      </c>
      <c r="T16" s="377">
        <f t="shared" si="7"/>
        <v>1</v>
      </c>
      <c r="U16" s="433" t="s">
        <v>425</v>
      </c>
      <c r="V16" s="170"/>
    </row>
    <row r="17" spans="1:22" ht="15.75" thickBot="1" x14ac:dyDescent="0.3">
      <c r="A17" s="437" t="s">
        <v>348</v>
      </c>
      <c r="B17" s="326" t="str">
        <f>VLOOKUP(A17,'Feature Raw Data'!$A$3:$B$3897,2,FALSE)</f>
        <v>MALL Alloc / NoAlloc (GFX)</v>
      </c>
      <c r="C17" s="290" t="str">
        <f>VLOOKUP(A17,'Feature Raw Data'!$A$3:$C$3897,3,FALSE)</f>
        <v>P1</v>
      </c>
      <c r="D17" s="94" t="str" cm="1">
        <f t="array" ref="D17">_xlfn.TEXTJOIN("",TRUE,IF(ISNUMBER(SEARCH($A17,'Diags Raw Data'!$A$6:$A$3646)),CONCATENATE('Diags Raw Data'!$H$6:$H$3646,", "),""))</f>
        <v xml:space="preserve">df106.1-13, </v>
      </c>
      <c r="E17" s="169" t="str">
        <f>VLOOKUP(A17,'Diags Raw Data'!$A$6:$D$3646,4,FALSE)</f>
        <v>DF</v>
      </c>
      <c r="F17" s="169" t="str">
        <f>VLOOKUP(A17,'Feature Raw Data'!$A$3:$E$3897,5,FALSE)</f>
        <v>Legacy</v>
      </c>
      <c r="G17" s="169" t="str">
        <f t="shared" si="2"/>
        <v>Yes</v>
      </c>
      <c r="H17" s="169" t="str">
        <f t="shared" si="3"/>
        <v>Yes</v>
      </c>
      <c r="I17" s="290">
        <f>SUMIF('Diags Raw Data'!$A$6:$A$3646,"*"&amp;$A17&amp;"*",'Diags Raw Data'!$K$6:$K$3646)</f>
        <v>13</v>
      </c>
      <c r="J17" s="181">
        <f>SUMIF('Diags Raw Data'!$A$6:$A$3646,"*"&amp;$A17&amp;"*",'Diags Raw Data'!$L$6:$L$3646)</f>
        <v>13</v>
      </c>
      <c r="K17" s="372" cm="1">
        <f t="array" ref="K17">IF(D17="",0, SUMPRODUCT(--(ISNUMBER(SEARCH($A17,'Diags Raw Data'!$A$6:$A$3646))),'Diags Raw Data'!$L$6:$L$3646,'Diags Raw Data'!$N$6:$N$3646)/J17)</f>
        <v>1</v>
      </c>
      <c r="L17" s="373" t="e" cm="1">
        <f t="array" ref="L17">IF(D17="",0, SUMPRODUCT(--(ISNUMBER(SEARCH($A17,'Diags Raw Data'!$A$6:$A$3646))),'Diags Raw Data'!$L$6:$L$3646,'Diags Raw Data'!$P$6:$P$3646)/J17)</f>
        <v>#DIV/0!</v>
      </c>
      <c r="M17" s="374" cm="1">
        <f t="array" ref="M17">SUMPRODUCT(--(ISNUMBER(SEARCH($A17,'Diags Raw Data'!$A$6:$A$3646))),--('Diags Raw Data'!$Q$6:$Q$3646&lt;&gt;"N/A"),'Diags Raw Data'!$R$6:$R$3646)</f>
        <v>11</v>
      </c>
      <c r="N17" s="375" cm="1">
        <f t="array" ref="N17">SUMPRODUCT(--(ISNUMBER(SEARCH($A17,'Diags Raw Data'!$A$6:$A$3646))),--('Diags Raw Data'!$Q$6:$Q$3646&lt;&gt;"N/A"),'Diags Raw Data'!$T$6:$T$3646)+SUMPRODUCT(--(ISNUMBER(SEARCH($A17,'Diags Raw Data'!$A$6:$A$3646))),--('Diags Raw Data'!$Q$6:$Q$3646&lt;&gt;"N/A"),'Diags Raw Data'!$U$6:$U$3646)</f>
        <v>11</v>
      </c>
      <c r="O17" s="405">
        <f t="shared" si="8"/>
        <v>1</v>
      </c>
      <c r="P17" s="429">
        <f>SUMIF('Diags Raw Data'!$A$6:$A$3646,"*"&amp;$A17&amp;"*",'Diags Raw Data'!$Z$6:$Z$3646)</f>
        <v>13</v>
      </c>
      <c r="Q17" s="430">
        <f>SUM(SUMIF('Diags Raw Data'!$A$6:$A$3646,"*"&amp;$A17&amp;"*",'Diags Raw Data'!$AA$6:$AA$3646),SUMIF('Diags Raw Data'!$A$6:$A$3646,"*"&amp;$A17&amp;"*",'Diags Raw Data'!$AB$6:$AB$3646))</f>
        <v>13</v>
      </c>
      <c r="R17" s="376">
        <f t="shared" si="5"/>
        <v>1</v>
      </c>
      <c r="S17" s="376">
        <f t="shared" si="6"/>
        <v>1</v>
      </c>
      <c r="T17" s="377">
        <f t="shared" si="7"/>
        <v>1</v>
      </c>
      <c r="U17" s="433" t="s">
        <v>423</v>
      </c>
      <c r="V17" s="170"/>
    </row>
    <row r="18" spans="1:22" ht="15.75" thickBot="1" x14ac:dyDescent="0.3">
      <c r="A18" s="437" t="s">
        <v>352</v>
      </c>
      <c r="B18" s="326" t="str">
        <f>VLOOKUP(A18,'Feature Raw Data'!$A$3:$B$3897,2,FALSE)</f>
        <v>MALL Alloc / NoAlloc (HDP)</v>
      </c>
      <c r="C18" s="290" t="str">
        <f>VLOOKUP(A18,'Feature Raw Data'!$A$3:$C$3897,3,FALSE)</f>
        <v>P1</v>
      </c>
      <c r="D18" s="94" t="str" cm="1">
        <f t="array" ref="D18">_xlfn.TEXTJOIN("",TRUE,IF(ISNUMBER(SEARCH($A18,'Diags Raw Data'!$A$6:$A$3646)),CONCATENATE('Diags Raw Data'!$H$6:$H$3646,", "),""))</f>
        <v xml:space="preserve">df107.1, df107.12, </v>
      </c>
      <c r="E18" s="169" t="str">
        <f>VLOOKUP(A18,'Diags Raw Data'!$A$6:$D$3646,4,FALSE)</f>
        <v>DF</v>
      </c>
      <c r="F18" s="169" t="str">
        <f>VLOOKUP(A18,'Feature Raw Data'!$A$3:$E$3897,5,FALSE)</f>
        <v>Legacy</v>
      </c>
      <c r="G18" s="169" t="str">
        <f t="shared" si="2"/>
        <v>Yes</v>
      </c>
      <c r="H18" s="169" t="str">
        <f t="shared" si="3"/>
        <v>Yes</v>
      </c>
      <c r="I18" s="290">
        <f>SUMIF('Diags Raw Data'!$A$6:$A$3646,"*"&amp;$A18&amp;"*",'Diags Raw Data'!$K$6:$K$3646)</f>
        <v>2</v>
      </c>
      <c r="J18" s="181">
        <f>SUMIF('Diags Raw Data'!$A$6:$A$3646,"*"&amp;$A18&amp;"*",'Diags Raw Data'!$L$6:$L$3646)</f>
        <v>2</v>
      </c>
      <c r="K18" s="372" cm="1">
        <f t="array" ref="K18">IF(D18="",0, SUMPRODUCT(--(ISNUMBER(SEARCH($A18,'Diags Raw Data'!$A$6:$A$3646))),'Diags Raw Data'!$L$6:$L$3646,'Diags Raw Data'!$N$6:$N$3646)/J18)</f>
        <v>1</v>
      </c>
      <c r="L18" s="373" t="e" cm="1">
        <f t="array" ref="L18">IF(D18="",0, SUMPRODUCT(--(ISNUMBER(SEARCH($A18,'Diags Raw Data'!$A$6:$A$3646))),'Diags Raw Data'!$L$6:$L$3646,'Diags Raw Data'!$P$6:$P$3646)/J18)</f>
        <v>#DIV/0!</v>
      </c>
      <c r="M18" s="374" cm="1">
        <f t="array" ref="M18">SUMPRODUCT(--(ISNUMBER(SEARCH($A18,'Diags Raw Data'!$A$6:$A$3646))),--('Diags Raw Data'!$Q$6:$Q$3646&lt;&gt;"N/A"),'Diags Raw Data'!$R$6:$R$3646)</f>
        <v>0</v>
      </c>
      <c r="N18" s="375" cm="1">
        <f t="array" ref="N18">SUMPRODUCT(--(ISNUMBER(SEARCH($A18,'Diags Raw Data'!$A$6:$A$3646))),--('Diags Raw Data'!$Q$6:$Q$3646&lt;&gt;"N/A"),'Diags Raw Data'!$T$6:$T$3646)+SUMPRODUCT(--(ISNUMBER(SEARCH($A18,'Diags Raw Data'!$A$6:$A$3646))),--('Diags Raw Data'!$Q$6:$Q$3646&lt;&gt;"N/A"),'Diags Raw Data'!$U$6:$U$3646)</f>
        <v>0</v>
      </c>
      <c r="O18" s="405">
        <f t="shared" si="8"/>
        <v>0</v>
      </c>
      <c r="P18" s="429">
        <f>SUMIF('Diags Raw Data'!$A$6:$A$3646,"*"&amp;$A18&amp;"*",'Diags Raw Data'!$Z$6:$Z$3646)</f>
        <v>2</v>
      </c>
      <c r="Q18" s="430">
        <f>SUM(SUMIF('Diags Raw Data'!$A$6:$A$3646,"*"&amp;$A18&amp;"*",'Diags Raw Data'!$AA$6:$AA$3646),SUMIF('Diags Raw Data'!$A$6:$A$3646,"*"&amp;$A18&amp;"*",'Diags Raw Data'!$AB$6:$AB$3646))</f>
        <v>2</v>
      </c>
      <c r="R18" s="376">
        <f t="shared" si="5"/>
        <v>1</v>
      </c>
      <c r="S18" s="376">
        <f t="shared" si="6"/>
        <v>1</v>
      </c>
      <c r="T18" s="377">
        <f t="shared" si="7"/>
        <v>1</v>
      </c>
      <c r="U18" s="433" t="s">
        <v>426</v>
      </c>
      <c r="V18" s="170"/>
    </row>
    <row r="19" spans="1:22" ht="15.75" thickBot="1" x14ac:dyDescent="0.3">
      <c r="A19" s="437" t="s">
        <v>356</v>
      </c>
      <c r="B19" s="326" t="str">
        <f>VLOOKUP(A19,'Feature Raw Data'!$A$3:$B$3897,2,FALSE)</f>
        <v>MALL Hashing support in MI300</v>
      </c>
      <c r="C19" s="290" t="str">
        <f>VLOOKUP(A19,'Feature Raw Data'!$A$3:$C$3897,3,FALSE)</f>
        <v>P2</v>
      </c>
      <c r="D19" s="94" t="str" cm="1">
        <f t="array" ref="D19">_xlfn.TEXTJOIN("",TRUE,IF(ISNUMBER(SEARCH($A19,'Diags Raw Data'!$A$6:$A$3646)),CONCATENATE('Diags Raw Data'!$H$6:$H$3646,", "),""))</f>
        <v xml:space="preserve">df116.0-1, </v>
      </c>
      <c r="E19" s="169" t="str">
        <f>VLOOKUP(A19,'Diags Raw Data'!$A$6:$D$3646,4,FALSE)</f>
        <v>DF</v>
      </c>
      <c r="F19" s="169" t="str">
        <f>VLOOKUP(A19,'Feature Raw Data'!$A$3:$E$3897,5,FALSE)</f>
        <v>Legacy</v>
      </c>
      <c r="G19" s="169" t="str">
        <f t="shared" si="2"/>
        <v>Yes</v>
      </c>
      <c r="H19" s="169" t="str">
        <f t="shared" si="3"/>
        <v>Yes</v>
      </c>
      <c r="I19" s="290">
        <f>SUMIF('Diags Raw Data'!$A$6:$A$3646,"*"&amp;$A19&amp;"*",'Diags Raw Data'!$K$6:$K$3646)</f>
        <v>2</v>
      </c>
      <c r="J19" s="181">
        <f>SUMIF('Diags Raw Data'!$A$6:$A$3646,"*"&amp;$A19&amp;"*",'Diags Raw Data'!$L$6:$L$3646)</f>
        <v>2</v>
      </c>
      <c r="K19" s="372" cm="1">
        <f t="array" ref="K19">IF(D19="",0, SUMPRODUCT(--(ISNUMBER(SEARCH($A19,'Diags Raw Data'!$A$6:$A$3646))),'Diags Raw Data'!$L$6:$L$3646,'Diags Raw Data'!$N$6:$N$3646)/J19)</f>
        <v>1</v>
      </c>
      <c r="L19" s="373" t="e" cm="1">
        <f t="array" ref="L19">IF(D19="",0, SUMPRODUCT(--(ISNUMBER(SEARCH($A19,'Diags Raw Data'!$A$6:$A$3646))),'Diags Raw Data'!$L$6:$L$3646,'Diags Raw Data'!$P$6:$P$3646)/J19)</f>
        <v>#DIV/0!</v>
      </c>
      <c r="M19" s="374" cm="1">
        <f t="array" ref="M19">SUMPRODUCT(--(ISNUMBER(SEARCH($A19,'Diags Raw Data'!$A$6:$A$3646))),--('Diags Raw Data'!$Q$6:$Q$3646&lt;&gt;"N/A"),'Diags Raw Data'!$R$6:$R$3646)</f>
        <v>0</v>
      </c>
      <c r="N19" s="375" cm="1">
        <f t="array" ref="N19">SUMPRODUCT(--(ISNUMBER(SEARCH($A19,'Diags Raw Data'!$A$6:$A$3646))),--('Diags Raw Data'!$Q$6:$Q$3646&lt;&gt;"N/A"),'Diags Raw Data'!$T$6:$T$3646)+SUMPRODUCT(--(ISNUMBER(SEARCH($A19,'Diags Raw Data'!$A$6:$A$3646))),--('Diags Raw Data'!$Q$6:$Q$3646&lt;&gt;"N/A"),'Diags Raw Data'!$U$6:$U$3646)</f>
        <v>0</v>
      </c>
      <c r="O19" s="405">
        <f t="shared" si="8"/>
        <v>0</v>
      </c>
      <c r="P19" s="429">
        <f>SUMIF('Diags Raw Data'!$A$6:$A$3646,"*"&amp;$A19&amp;"*",'Diags Raw Data'!$Z$6:$Z$3646)</f>
        <v>2</v>
      </c>
      <c r="Q19" s="430">
        <f>SUM(SUMIF('Diags Raw Data'!$A$6:$A$3646,"*"&amp;$A19&amp;"*",'Diags Raw Data'!$AA$6:$AA$3646),SUMIF('Diags Raw Data'!$A$6:$A$3646,"*"&amp;$A19&amp;"*",'Diags Raw Data'!$AB$6:$AB$3646))</f>
        <v>2</v>
      </c>
      <c r="R19" s="376">
        <f t="shared" si="5"/>
        <v>1</v>
      </c>
      <c r="S19" s="376">
        <f t="shared" si="6"/>
        <v>1</v>
      </c>
      <c r="T19" s="377">
        <f t="shared" si="7"/>
        <v>1</v>
      </c>
      <c r="U19" s="433" t="s">
        <v>427</v>
      </c>
      <c r="V19" s="170"/>
    </row>
    <row r="20" spans="1:22" x14ac:dyDescent="0.25">
      <c r="A20" s="437" t="s">
        <v>359</v>
      </c>
      <c r="B20" s="326" t="str">
        <f>VLOOKUP(A20,'Feature Raw Data'!$A$3:$B$3897,2,FALSE)</f>
        <v>Streaming Performance Monitors for UMC Perfmons</v>
      </c>
      <c r="C20" s="290" t="str">
        <f>VLOOKUP(A20,'Feature Raw Data'!$A$3:$C$3897,3,FALSE)</f>
        <v>P1</v>
      </c>
      <c r="D20" s="94" t="str" cm="1">
        <f t="array" ref="D20">_xlfn.TEXTJOIN("",TRUE,IF(ISNUMBER(SEARCH($A20,'Diags Raw Data'!$A$6:$A$3646)),CONCATENATE('Diags Raw Data'!$H$6:$H$3646,", "),""))</f>
        <v xml:space="preserve">TBD_015.1-4, </v>
      </c>
      <c r="E20" s="169" t="str">
        <f>VLOOKUP(A20,'Diags Raw Data'!$A$6:$D$3646,4,FALSE)</f>
        <v>DF</v>
      </c>
      <c r="F20" s="169" t="s">
        <v>42</v>
      </c>
      <c r="G20" s="169" t="str">
        <f t="shared" si="2"/>
        <v>Yes</v>
      </c>
      <c r="H20" s="169" t="str">
        <f t="shared" si="3"/>
        <v>Yes</v>
      </c>
      <c r="I20" s="290">
        <f>SUMIF('Diags Raw Data'!$A$6:$A$3646,"*"&amp;$A20&amp;"*",'Diags Raw Data'!$K$6:$K$3646)</f>
        <v>4</v>
      </c>
      <c r="J20" s="181">
        <f>SUMIF('Diags Raw Data'!$A$6:$A$3646,"*"&amp;$A20&amp;"*",'Diags Raw Data'!$L$6:$L$3646)</f>
        <v>4</v>
      </c>
      <c r="K20" s="372" cm="1">
        <f t="array" ref="K20">IF(D20="",0, SUMPRODUCT(--(ISNUMBER(SEARCH($A20,'Diags Raw Data'!$A$6:$A$3646))),'Diags Raw Data'!$L$6:$L$3646,'Diags Raw Data'!$N$6:$N$3646)/J20)</f>
        <v>1</v>
      </c>
      <c r="L20" s="373" t="e" cm="1">
        <f t="array" ref="L20">IF(D20="",0, SUMPRODUCT(--(ISNUMBER(SEARCH($A20,'Diags Raw Data'!$A$6:$A$3646))),'Diags Raw Data'!$L$6:$L$3646,'Diags Raw Data'!$P$6:$P$3646)/J20)</f>
        <v>#DIV/0!</v>
      </c>
      <c r="M20" s="374" cm="1">
        <f t="array" ref="M20">SUMPRODUCT(--(ISNUMBER(SEARCH($A20,'Diags Raw Data'!$A$6:$A$3646))),--('Diags Raw Data'!$Q$6:$Q$3646&lt;&gt;"N/A"),'Diags Raw Data'!$R$6:$R$3646)</f>
        <v>4</v>
      </c>
      <c r="N20" s="375" cm="1">
        <f t="array" ref="N20">SUMPRODUCT(--(ISNUMBER(SEARCH($A20,'Diags Raw Data'!$A$6:$A$3646))),--('Diags Raw Data'!$Q$6:$Q$3646&lt;&gt;"N/A"),'Diags Raw Data'!$T$6:$T$3646)+SUMPRODUCT(--(ISNUMBER(SEARCH($A20,'Diags Raw Data'!$A$6:$A$3646))),--('Diags Raw Data'!$Q$6:$Q$3646&lt;&gt;"N/A"),'Diags Raw Data'!$U$6:$U$3646)</f>
        <v>4</v>
      </c>
      <c r="O20" s="405">
        <f t="shared" si="8"/>
        <v>1</v>
      </c>
      <c r="P20" s="429">
        <f>SUMIF('Diags Raw Data'!$A$6:$A$3646,"*"&amp;$A20&amp;"*",'Diags Raw Data'!$Z$6:$Z$3646)</f>
        <v>4</v>
      </c>
      <c r="Q20" s="430">
        <f>SUM(SUMIF('Diags Raw Data'!$A$6:$A$3646,"*"&amp;$A20&amp;"*",'Diags Raw Data'!$AA$6:$AA$3646),SUMIF('Diags Raw Data'!$A$6:$A$3646,"*"&amp;$A20&amp;"*",'Diags Raw Data'!$AB$6:$AB$3646))</f>
        <v>4</v>
      </c>
      <c r="R20" s="376">
        <f t="shared" si="5"/>
        <v>1</v>
      </c>
      <c r="S20" s="376">
        <f t="shared" si="6"/>
        <v>1</v>
      </c>
      <c r="T20" s="377">
        <f t="shared" si="7"/>
        <v>1</v>
      </c>
      <c r="U20" s="433" t="s">
        <v>424</v>
      </c>
      <c r="V20" s="170"/>
    </row>
    <row r="21" spans="1:22" x14ac:dyDescent="0.25">
      <c r="A21" s="437" t="s">
        <v>362</v>
      </c>
      <c r="B21" s="326" t="str">
        <f>VLOOKUP(A21,'Feature Raw Data'!$A$3:$B$3897,2,FALSE)</f>
        <v>Cake command compression</v>
      </c>
      <c r="C21" s="290" t="str">
        <f>VLOOKUP(A21,'Feature Raw Data'!$A$3:$C$3897,3,FALSE)</f>
        <v>P1</v>
      </c>
      <c r="D21" s="94" t="str" cm="1">
        <f t="array" ref="D21">_xlfn.TEXTJOIN("",TRUE,IF(ISNUMBER(SEARCH($A21,'Diags Raw Data'!$A$6:$A$3646)),CONCATENATE('Diags Raw Data'!$H$6:$H$3646,", "),""))</f>
        <v xml:space="preserve">, </v>
      </c>
      <c r="E21" s="169" t="str">
        <f>VLOOKUP(A21,'Diags Raw Data'!$A$6:$D$3646,4,FALSE)</f>
        <v>DF</v>
      </c>
      <c r="F21" s="169" t="str">
        <f>VLOOKUP(A21,'Feature Raw Data'!$A$3:$E$3897,5,FALSE)</f>
        <v>Delta</v>
      </c>
      <c r="G21" s="169" t="str">
        <f t="shared" si="2"/>
        <v>Yes</v>
      </c>
      <c r="H21" s="169" t="str">
        <f t="shared" si="3"/>
        <v>Yes</v>
      </c>
      <c r="I21" s="290">
        <f>SUMIF('Diags Raw Data'!$A$6:$A$3646,"*"&amp;$A21&amp;"*",'Diags Raw Data'!$K$6:$K$3646)</f>
        <v>1</v>
      </c>
      <c r="J21" s="181">
        <f>SUMIF('Diags Raw Data'!$A$6:$A$3646,"*"&amp;$A21&amp;"*",'Diags Raw Data'!$L$6:$L$3646)</f>
        <v>0</v>
      </c>
      <c r="K21" s="372" t="e" cm="1">
        <f t="array" ref="K21">IF(D21="",0, SUMPRODUCT(--(ISNUMBER(SEARCH($A21,'Diags Raw Data'!$A$6:$A$3646))),'Diags Raw Data'!$L$6:$L$3646,'Diags Raw Data'!$N$6:$N$3646)/J21)</f>
        <v>#DIV/0!</v>
      </c>
      <c r="L21" s="373" t="e" cm="1">
        <f t="array" ref="L21">IF(D21="",0, SUMPRODUCT(--(ISNUMBER(SEARCH($A21,'Diags Raw Data'!$A$6:$A$3646))),'Diags Raw Data'!$L$6:$L$3646,'Diags Raw Data'!$P$6:$P$3646)/J21)</f>
        <v>#DIV/0!</v>
      </c>
      <c r="M21" s="374" cm="1">
        <f t="array" ref="M21">SUMPRODUCT(--(ISNUMBER(SEARCH($A21,'Diags Raw Data'!$A$6:$A$3646))),--('Diags Raw Data'!$Q$6:$Q$3646&lt;&gt;"N/A"),'Diags Raw Data'!$R$6:$R$3646)</f>
        <v>1</v>
      </c>
      <c r="N21" s="375" cm="1">
        <f t="array" ref="N21">SUMPRODUCT(--(ISNUMBER(SEARCH($A21,'Diags Raw Data'!$A$6:$A$3646))),--('Diags Raw Data'!$Q$6:$Q$3646&lt;&gt;"N/A"),'Diags Raw Data'!$T$6:$T$3646)+SUMPRODUCT(--(ISNUMBER(SEARCH($A21,'Diags Raw Data'!$A$6:$A$3646))),--('Diags Raw Data'!$Q$6:$Q$3646&lt;&gt;"N/A"),'Diags Raw Data'!$U$6:$U$3646)</f>
        <v>1</v>
      </c>
      <c r="O21" s="405">
        <f t="shared" si="8"/>
        <v>1</v>
      </c>
      <c r="P21" s="429">
        <f>SUMIF('Diags Raw Data'!$A$6:$A$3646,"*"&amp;$A21&amp;"*",'Diags Raw Data'!$Z$6:$Z$3646)</f>
        <v>0</v>
      </c>
      <c r="Q21" s="430">
        <f>SUM(SUMIF('Diags Raw Data'!$A$6:$A$3646,"*"&amp;$A21&amp;"*",'Diags Raw Data'!$AA$6:$AA$3646),SUMIF('Diags Raw Data'!$A$6:$A$3646,"*"&amp;$A21&amp;"*",'Diags Raw Data'!$AB$6:$AB$3646))</f>
        <v>0</v>
      </c>
      <c r="R21" s="376">
        <f t="shared" si="5"/>
        <v>0</v>
      </c>
      <c r="S21" s="376">
        <f t="shared" si="6"/>
        <v>0</v>
      </c>
      <c r="T21" s="377">
        <f t="shared" si="7"/>
        <v>0</v>
      </c>
      <c r="U21" s="433" t="s">
        <v>428</v>
      </c>
      <c r="V21" s="170"/>
    </row>
    <row r="22" spans="1:22" x14ac:dyDescent="0.25">
      <c r="A22" s="437" t="s">
        <v>365</v>
      </c>
      <c r="B22" s="326" t="str">
        <f>VLOOKUP(A22,'Feature Raw Data'!$A$3:$B$3897,2,FALSE)</f>
        <v>Streaming performance buffer DF</v>
      </c>
      <c r="C22" s="290" t="str">
        <f>VLOOKUP(A22,'Feature Raw Data'!$A$3:$C$3897,3,FALSE)</f>
        <v>P1</v>
      </c>
      <c r="D22" s="94" t="str" cm="1">
        <f t="array" ref="D22">_xlfn.TEXTJOIN("",TRUE,IF(ISNUMBER(SEARCH($A22,'Diags Raw Data'!$A$6:$A$3646)),CONCATENATE('Diags Raw Data'!$H$6:$H$3646,", "),""))</f>
        <v xml:space="preserve">TBD_017.1-4, </v>
      </c>
      <c r="E22" s="169" t="str">
        <f>VLOOKUP(A22,'Diags Raw Data'!$A$6:$D$3646,4,FALSE)</f>
        <v>DF</v>
      </c>
      <c r="F22" s="169" t="str">
        <f>VLOOKUP(A22,'Feature Raw Data'!$A$3:$E$3897,5,FALSE)</f>
        <v>Delta</v>
      </c>
      <c r="G22" s="169" t="str">
        <f t="shared" si="0"/>
        <v>Yes</v>
      </c>
      <c r="H22" s="169" t="str">
        <f t="shared" si="1"/>
        <v>Yes</v>
      </c>
      <c r="I22" s="290">
        <f>SUMIF('Diags Raw Data'!$A$6:$A$3646,"*"&amp;$A22&amp;"*",'Diags Raw Data'!$K$6:$K$3646)</f>
        <v>1</v>
      </c>
      <c r="J22" s="181">
        <f>SUMIF('Diags Raw Data'!$A$6:$A$3646,"*"&amp;$A22&amp;"*",'Diags Raw Data'!$L$6:$L$3646)</f>
        <v>4</v>
      </c>
      <c r="K22" s="372" cm="1">
        <f t="array" ref="K22">IF(D22="",0, SUMPRODUCT(--(ISNUMBER(SEARCH($A22,'Diags Raw Data'!$A$6:$A$3646))),'Diags Raw Data'!$L$6:$L$3646,'Diags Raw Data'!$N$6:$N$3646)/J22)</f>
        <v>1</v>
      </c>
      <c r="L22" s="373" t="e" cm="1">
        <f t="array" ref="L22">IF(D22="",0, SUMPRODUCT(--(ISNUMBER(SEARCH($A22,'Diags Raw Data'!$A$6:$A$3646))),'Diags Raw Data'!$L$6:$L$3646,'Diags Raw Data'!$P$6:$P$3646)/J22)</f>
        <v>#DIV/0!</v>
      </c>
      <c r="M22" s="374" cm="1">
        <f t="array" ref="M22">SUMPRODUCT(--(ISNUMBER(SEARCH($A22,'Diags Raw Data'!$A$6:$A$3646))),--('Diags Raw Data'!$Q$6:$Q$3646&lt;&gt;"N/A"),'Diags Raw Data'!$R$6:$R$3646)</f>
        <v>4</v>
      </c>
      <c r="N22" s="375" cm="1">
        <f t="array" ref="N22">SUMPRODUCT(--(ISNUMBER(SEARCH($A22,'Diags Raw Data'!$A$6:$A$3646))),--('Diags Raw Data'!$Q$6:$Q$3646&lt;&gt;"N/A"),'Diags Raw Data'!$T$6:$T$3646)+SUMPRODUCT(--(ISNUMBER(SEARCH($A22,'Diags Raw Data'!$A$6:$A$3646))),--('Diags Raw Data'!$Q$6:$Q$3646&lt;&gt;"N/A"),'Diags Raw Data'!$U$6:$U$3646)</f>
        <v>4</v>
      </c>
      <c r="O22" s="405">
        <f t="shared" ref="O22:O23" si="9">IF((M22=0),0,N22/M22)</f>
        <v>1</v>
      </c>
      <c r="P22" s="429">
        <f>SUMIF('Diags Raw Data'!$A$6:$A$3646,"*"&amp;$A22&amp;"*",'Diags Raw Data'!$Z$6:$Z$3646)</f>
        <v>4</v>
      </c>
      <c r="Q22" s="430">
        <f>SUM(SUMIF('Diags Raw Data'!$A$6:$A$3646,"*"&amp;$A22&amp;"*",'Diags Raw Data'!$AA$6:$AA$3646),SUMIF('Diags Raw Data'!$A$6:$A$3646,"*"&amp;$A22&amp;"*",'Diags Raw Data'!$AB$6:$AB$3646))</f>
        <v>4</v>
      </c>
      <c r="R22" s="376">
        <f t="shared" ref="R22:R23" si="10">IF((J22=0),0,P22/J22)</f>
        <v>1</v>
      </c>
      <c r="S22" s="376">
        <f t="shared" ref="S22:S23" si="11">IF((P22=0),0,Q22/P22)</f>
        <v>1</v>
      </c>
      <c r="T22" s="377">
        <f t="shared" ref="T22:T23" si="12">R22*S22</f>
        <v>1</v>
      </c>
      <c r="U22" s="433" t="s">
        <v>423</v>
      </c>
      <c r="V22" s="170"/>
    </row>
    <row r="23" spans="1:22" x14ac:dyDescent="0.25">
      <c r="A23" s="437" t="s">
        <v>367</v>
      </c>
      <c r="B23" s="326" t="str">
        <f>VLOOKUP(A23,'Feature Raw Data'!$A$3:$B$3897,2,FALSE)</f>
        <v>CPU-GPU Coherency test</v>
      </c>
      <c r="C23" s="290" t="str">
        <f>VLOOKUP(A23,'Feature Raw Data'!$A$3:$C$3897,3,FALSE)</f>
        <v>P2</v>
      </c>
      <c r="D23" s="94" t="str" cm="1">
        <f t="array" ref="D23">_xlfn.TEXTJOIN("",TRUE,IF(ISNUMBER(SEARCH($A23,'Diags Raw Data'!$A$6:$A$3646)),CONCATENATE('Diags Raw Data'!$H$6:$H$3646,", "),""))</f>
        <v xml:space="preserve">, </v>
      </c>
      <c r="E23" s="169" t="str">
        <f>VLOOKUP(A23,'Diags Raw Data'!$A$6:$D$3646,4,FALSE)</f>
        <v>DF</v>
      </c>
      <c r="F23" s="169" t="str">
        <f>VLOOKUP(A23,'Feature Raw Data'!$A$3:$E$3897,5,FALSE)</f>
        <v>Legacy</v>
      </c>
      <c r="G23" s="169" t="str">
        <f t="shared" si="0"/>
        <v>Yes</v>
      </c>
      <c r="H23" s="169" t="str">
        <f t="shared" si="1"/>
        <v>Yes</v>
      </c>
      <c r="I23" s="290">
        <f>SUMIF('Diags Raw Data'!$A$6:$A$3646,"*"&amp;$A23&amp;"*",'Diags Raw Data'!$K$6:$K$3646)</f>
        <v>1</v>
      </c>
      <c r="J23" s="181">
        <f>SUMIF('Diags Raw Data'!$A$6:$A$3646,"*"&amp;$A23&amp;"*",'Diags Raw Data'!$L$6:$L$3646)</f>
        <v>1</v>
      </c>
      <c r="K23" s="372" cm="1">
        <f t="array" ref="K23">IF(D23="",0, SUMPRODUCT(--(ISNUMBER(SEARCH($A23,'Diags Raw Data'!$A$6:$A$3646))),'Diags Raw Data'!$L$6:$L$3646,'Diags Raw Data'!$N$6:$N$3646)/J23)</f>
        <v>1</v>
      </c>
      <c r="L23" s="373" t="e" cm="1">
        <f t="array" ref="L23">IF(D23="",0, SUMPRODUCT(--(ISNUMBER(SEARCH($A23,'Diags Raw Data'!$A$6:$A$3646))),'Diags Raw Data'!$L$6:$L$3646,'Diags Raw Data'!$P$6:$P$3646)/J23)</f>
        <v>#DIV/0!</v>
      </c>
      <c r="M23" s="374" cm="1">
        <f t="array" ref="M23">SUMPRODUCT(--(ISNUMBER(SEARCH($A23,'Diags Raw Data'!$A$6:$A$3646))),--('Diags Raw Data'!$Q$6:$Q$3646&lt;&gt;"N/A"),'Diags Raw Data'!$R$6:$R$3646)</f>
        <v>1</v>
      </c>
      <c r="N23" s="375" cm="1">
        <f t="array" ref="N23">SUMPRODUCT(--(ISNUMBER(SEARCH($A23,'Diags Raw Data'!$A$6:$A$3646))),--('Diags Raw Data'!$Q$6:$Q$3646&lt;&gt;"N/A"),'Diags Raw Data'!$T$6:$T$3646)+SUMPRODUCT(--(ISNUMBER(SEARCH($A23,'Diags Raw Data'!$A$6:$A$3646))),--('Diags Raw Data'!$Q$6:$Q$3646&lt;&gt;"N/A"),'Diags Raw Data'!$U$6:$U$3646)</f>
        <v>1</v>
      </c>
      <c r="O23" s="405">
        <f t="shared" si="9"/>
        <v>1</v>
      </c>
      <c r="P23" s="429">
        <f>SUMIF('Diags Raw Data'!$A$6:$A$3646,"*"&amp;$A23&amp;"*",'Diags Raw Data'!$Z$6:$Z$3646)</f>
        <v>1</v>
      </c>
      <c r="Q23" s="430">
        <f>SUM(SUMIF('Diags Raw Data'!$A$6:$A$3646,"*"&amp;$A23&amp;"*",'Diags Raw Data'!$AA$6:$AA$3646),SUMIF('Diags Raw Data'!$A$6:$A$3646,"*"&amp;$A23&amp;"*",'Diags Raw Data'!$AB$6:$AB$3646))</f>
        <v>1</v>
      </c>
      <c r="R23" s="376">
        <f t="shared" si="10"/>
        <v>1</v>
      </c>
      <c r="S23" s="376">
        <f t="shared" si="11"/>
        <v>1</v>
      </c>
      <c r="T23" s="377">
        <f t="shared" si="12"/>
        <v>1</v>
      </c>
      <c r="U23" s="433" t="s">
        <v>423</v>
      </c>
      <c r="V23" s="170"/>
    </row>
    <row r="24" spans="1:22" x14ac:dyDescent="0.25">
      <c r="A24" s="437" t="s">
        <v>369</v>
      </c>
      <c r="B24" s="326" t="str">
        <f>VLOOKUP(A24,'Feature Raw Data'!$A$3:$B$3897,2,FALSE)</f>
        <v>FP Far Atomic</v>
      </c>
      <c r="C24" s="290" t="str">
        <f>VLOOKUP(A24,'Feature Raw Data'!$A$3:$C$3897,3,FALSE)</f>
        <v>P1</v>
      </c>
      <c r="D24" s="94" t="str" cm="1">
        <f t="array" ref="D24">_xlfn.TEXTJOIN("",TRUE,IF(ISNUMBER(SEARCH($A24,'Diags Raw Data'!$A$6:$A$3646)),CONCATENATE('Diags Raw Data'!$H$6:$H$3646,", "),""))</f>
        <v xml:space="preserve">, </v>
      </c>
      <c r="E24" s="169" t="str">
        <f>VLOOKUP(A24,'Diags Raw Data'!$A$6:$D$3646,4,FALSE)</f>
        <v>DF</v>
      </c>
      <c r="F24" s="169" t="str">
        <f>VLOOKUP(A24,'Feature Raw Data'!$A$3:$E$3897,5,FALSE)</f>
        <v>Legacy</v>
      </c>
      <c r="G24" s="169" t="str">
        <f t="shared" si="0"/>
        <v>Yes</v>
      </c>
      <c r="H24" s="169" t="str">
        <f t="shared" si="1"/>
        <v>Yes</v>
      </c>
      <c r="I24" s="290">
        <v>1</v>
      </c>
      <c r="J24" s="181">
        <f>SUMIF('Diags Raw Data'!$A$6:$A$3646,"*"&amp;$A24&amp;"*",'Diags Raw Data'!$L$6:$L$3646)</f>
        <v>1</v>
      </c>
      <c r="K24" s="372" cm="1">
        <f t="array" ref="K24">IF(D24="",0, SUMPRODUCT(--(ISNUMBER(SEARCH($A24,'Diags Raw Data'!$A$6:$A$3646))),'Diags Raw Data'!$L$6:$L$3646,'Diags Raw Data'!$N$6:$N$3646)/J24)</f>
        <v>1</v>
      </c>
      <c r="L24" s="373" t="e" cm="1">
        <f t="array" ref="L24">IF(D24="",0, SUMPRODUCT(--(ISNUMBER(SEARCH($A24,'Diags Raw Data'!$A$6:$A$3646))),'Diags Raw Data'!$L$6:$L$3646,'Diags Raw Data'!$P$6:$P$3646)/J24)</f>
        <v>#DIV/0!</v>
      </c>
      <c r="M24" s="374" cm="1">
        <f t="array" ref="M24">SUMPRODUCT(--(ISNUMBER(SEARCH($A24,'Diags Raw Data'!$A$6:$A$3646))),--('Diags Raw Data'!$Q$6:$Q$3646&lt;&gt;"N/A"),'Diags Raw Data'!$R$6:$R$3646)</f>
        <v>1</v>
      </c>
      <c r="N24" s="375" cm="1">
        <f t="array" ref="N24">SUMPRODUCT(--(ISNUMBER(SEARCH($A24,'Diags Raw Data'!$A$6:$A$3646))),--('Diags Raw Data'!$Q$6:$Q$3646&lt;&gt;"N/A"),'Diags Raw Data'!$T$6:$T$3646)+SUMPRODUCT(--(ISNUMBER(SEARCH($A24,'Diags Raw Data'!$A$6:$A$3646))),--('Diags Raw Data'!$Q$6:$Q$3646&lt;&gt;"N/A"),'Diags Raw Data'!$U$6:$U$3646)</f>
        <v>1</v>
      </c>
      <c r="O24" s="405"/>
      <c r="P24" s="429">
        <f>SUMIF('Diags Raw Data'!$A$6:$A$3646,"*"&amp;$A24&amp;"*",'Diags Raw Data'!$Z$6:$Z$3646)</f>
        <v>1</v>
      </c>
      <c r="Q24" s="430">
        <f>SUM(SUMIF('Diags Raw Data'!$A$6:$A$3646,"*"&amp;$A24&amp;"*",'Diags Raw Data'!$AA$6:$AA$3646),SUMIF('Diags Raw Data'!$A$6:$A$3646,"*"&amp;$A24&amp;"*",'Diags Raw Data'!$AB$6:$AB$3646))</f>
        <v>1</v>
      </c>
      <c r="R24" s="376">
        <f t="shared" ref="R24:R25" si="13">IF((J24=0),0,P24/J24)</f>
        <v>1</v>
      </c>
      <c r="S24" s="376">
        <f t="shared" ref="S24:S25" si="14">IF((P24=0),0,Q24/P24)</f>
        <v>1</v>
      </c>
      <c r="T24" s="377">
        <f t="shared" ref="T24:T25" si="15">R24*S24</f>
        <v>1</v>
      </c>
      <c r="U24" s="433" t="s">
        <v>428</v>
      </c>
      <c r="V24" s="170"/>
    </row>
    <row r="25" spans="1:22" x14ac:dyDescent="0.25">
      <c r="A25" s="485" t="s">
        <v>372</v>
      </c>
      <c r="B25" s="326" t="str">
        <f>VLOOKUP(A25,'Feature Raw Data'!$A$3:$B$3897,2,FALSE)</f>
        <v>Strict and relaxed ordering [RO=0/1] </v>
      </c>
      <c r="C25" s="290" t="str">
        <f>VLOOKUP(A25,'Feature Raw Data'!$A$3:$C$3897,3,FALSE)</f>
        <v>P2</v>
      </c>
      <c r="D25" s="94" t="str" cm="1">
        <f t="array" ref="D25">_xlfn.TEXTJOIN("",TRUE,IF(ISNUMBER(SEARCH($A25,'Diags Raw Data'!$A$6:$A$3646)),CONCATENATE('Diags Raw Data'!$H$6:$H$3646,", "),""))</f>
        <v xml:space="preserve">TBD_020.1-5, </v>
      </c>
      <c r="E25" s="169" t="str">
        <f>VLOOKUP(A25,'Diags Raw Data'!$A$6:$D$3646,4,FALSE)</f>
        <v>DF</v>
      </c>
      <c r="F25" s="169" t="str">
        <f>VLOOKUP(A25,'Feature Raw Data'!$A$3:$E$3897,5,FALSE)</f>
        <v>Legacy</v>
      </c>
      <c r="G25" s="169" t="str">
        <f t="shared" si="0"/>
        <v>Yes</v>
      </c>
      <c r="H25" s="169" t="str">
        <f t="shared" si="1"/>
        <v>Yes</v>
      </c>
      <c r="I25" s="290">
        <v>1</v>
      </c>
      <c r="J25" s="181">
        <f>SUMIF('Diags Raw Data'!$A$6:$A$3646,"*"&amp;$A25&amp;"*",'Diags Raw Data'!$L$6:$L$3646)</f>
        <v>5</v>
      </c>
      <c r="K25" s="372" cm="1">
        <f t="array" ref="K25">IF(D25="",0, SUMPRODUCT(--(ISNUMBER(SEARCH($A25,'Diags Raw Data'!$A$6:$A$3646))),'Diags Raw Data'!$L$6:$L$3646,'Diags Raw Data'!$N$6:$N$3646)/J25)</f>
        <v>1</v>
      </c>
      <c r="L25" s="373" t="e" cm="1">
        <f t="array" ref="L25">IF(D25="",0, SUMPRODUCT(--(ISNUMBER(SEARCH($A25,'Diags Raw Data'!$A$6:$A$3646))),'Diags Raw Data'!$L$6:$L$3646,'Diags Raw Data'!$P$6:$P$3646)/J25)</f>
        <v>#DIV/0!</v>
      </c>
      <c r="M25" s="374" cm="1">
        <f t="array" ref="M25">SUMPRODUCT(--(ISNUMBER(SEARCH($A25,'Diags Raw Data'!$A$6:$A$3646))),--('Diags Raw Data'!$Q$6:$Q$3646&lt;&gt;"N/A"),'Diags Raw Data'!$R$6:$R$3646)</f>
        <v>0</v>
      </c>
      <c r="N25" s="375" cm="1">
        <f t="array" ref="N25">SUMPRODUCT(--(ISNUMBER(SEARCH($A25,'Diags Raw Data'!$A$6:$A$3646))),--('Diags Raw Data'!$Q$6:$Q$3646&lt;&gt;"N/A"),'Diags Raw Data'!$T$6:$T$3646)+SUMPRODUCT(--(ISNUMBER(SEARCH($A25,'Diags Raw Data'!$A$6:$A$3646))),--('Diags Raw Data'!$Q$6:$Q$3646&lt;&gt;"N/A"),'Diags Raw Data'!$U$6:$U$3646)</f>
        <v>0</v>
      </c>
      <c r="O25" s="405"/>
      <c r="P25" s="429">
        <f>SUMIF('Diags Raw Data'!$A$6:$A$3646,"*"&amp;$A25&amp;"*",'Diags Raw Data'!$Z$6:$Z$3646)</f>
        <v>5</v>
      </c>
      <c r="Q25" s="430">
        <f>SUM(SUMIF('Diags Raw Data'!$A$6:$A$3646,"*"&amp;$A25&amp;"*",'Diags Raw Data'!$AA$6:$AA$3646),SUMIF('Diags Raw Data'!$A$6:$A$3646,"*"&amp;$A25&amp;"*",'Diags Raw Data'!$AB$6:$AB$3646))</f>
        <v>5</v>
      </c>
      <c r="R25" s="376">
        <f t="shared" si="13"/>
        <v>1</v>
      </c>
      <c r="S25" s="376">
        <f t="shared" si="14"/>
        <v>1</v>
      </c>
      <c r="T25" s="377">
        <f t="shared" si="15"/>
        <v>1</v>
      </c>
      <c r="U25" s="433"/>
      <c r="V25" s="170"/>
    </row>
    <row r="26" spans="1:22" x14ac:dyDescent="0.25">
      <c r="A26" s="485" t="s">
        <v>375</v>
      </c>
      <c r="B26" s="326" t="str">
        <f>VLOOKUP(A26,'Feature Raw Data'!$A$3:$B$3897,2,FALSE)</f>
        <v>Multi-Socket Multi-die stress test</v>
      </c>
      <c r="C26" s="290" t="str">
        <f>VLOOKUP(A26,'Feature Raw Data'!$A$3:$C$3897,3,FALSE)</f>
        <v>P1</v>
      </c>
      <c r="D26" s="94" t="str" cm="1">
        <f t="array" ref="D26">_xlfn.TEXTJOIN("",TRUE,IF(ISNUMBER(SEARCH($A26,'Diags Raw Data'!$A$6:$A$3646)),CONCATENATE('Diags Raw Data'!$H$6:$H$3646,", "),""))</f>
        <v xml:space="preserve">tmp_DF_lib_test.0-1, </v>
      </c>
      <c r="E26" s="169" t="str">
        <f>VLOOKUP(A26,'Diags Raw Data'!$A$6:$D$3646,4,FALSE)</f>
        <v>DF</v>
      </c>
      <c r="F26" s="169" t="str">
        <f>VLOOKUP(A26,'Feature Raw Data'!$A$3:$E$3897,5,FALSE)</f>
        <v>Legacy</v>
      </c>
      <c r="G26" s="169" t="str">
        <f t="shared" si="0"/>
        <v>Yes</v>
      </c>
      <c r="H26" s="169" t="str">
        <f t="shared" si="1"/>
        <v>Yes</v>
      </c>
      <c r="I26" s="290">
        <f>SUMIF('Diags Raw Data'!$A$6:$A$3646,"*"&amp;$A26&amp;"*",'Diags Raw Data'!$K$6:$K$3646)</f>
        <v>2</v>
      </c>
      <c r="J26" s="181">
        <f>SUMIF('Diags Raw Data'!$A$6:$A$3646,"*"&amp;$A26&amp;"*",'Diags Raw Data'!$L$6:$L$3646)</f>
        <v>2</v>
      </c>
      <c r="K26" s="372" cm="1">
        <f t="array" ref="K26">IF(D26="",0, SUMPRODUCT(--(ISNUMBER(SEARCH($A26,'Diags Raw Data'!$A$6:$A$3646))),'Diags Raw Data'!$L$6:$L$3646,'Diags Raw Data'!$N$6:$N$3646)/J26)</f>
        <v>1</v>
      </c>
      <c r="L26" s="373" t="e" cm="1">
        <f t="array" ref="L26">IF(D26="",0, SUMPRODUCT(--(ISNUMBER(SEARCH($A26,'Diags Raw Data'!$A$6:$A$3646))),'Diags Raw Data'!$L$6:$L$3646,'Diags Raw Data'!$P$6:$P$3646)/J26)</f>
        <v>#DIV/0!</v>
      </c>
      <c r="M26" s="374" cm="1">
        <f t="array" ref="M26">SUMPRODUCT(--(ISNUMBER(SEARCH($A26,'Diags Raw Data'!$A$6:$A$3646))),--('Diags Raw Data'!$Q$6:$Q$3646&lt;&gt;"N/A"),'Diags Raw Data'!$R$6:$R$3646)</f>
        <v>1</v>
      </c>
      <c r="N26" s="375" cm="1">
        <f t="array" ref="N26">SUMPRODUCT(--(ISNUMBER(SEARCH($A26,'Diags Raw Data'!$A$6:$A$3646))),--('Diags Raw Data'!$Q$6:$Q$3646&lt;&gt;"N/A"),'Diags Raw Data'!$T$6:$T$3646)+SUMPRODUCT(--(ISNUMBER(SEARCH($A26,'Diags Raw Data'!$A$6:$A$3646))),--('Diags Raw Data'!$Q$6:$Q$3646&lt;&gt;"N/A"),'Diags Raw Data'!$U$6:$U$3646)</f>
        <v>1</v>
      </c>
      <c r="O26" s="405">
        <f t="shared" ref="O26" si="16">IF((M26=0),0,N26/M26)</f>
        <v>1</v>
      </c>
      <c r="P26" s="429">
        <f>SUMIF('Diags Raw Data'!$A$6:$A$3646,"*"&amp;$A26&amp;"*",'Diags Raw Data'!$Z$6:$Z$3646)</f>
        <v>2</v>
      </c>
      <c r="Q26" s="430">
        <f>SUM(SUMIF('Diags Raw Data'!$A$6:$A$3646,"*"&amp;$A26&amp;"*",'Diags Raw Data'!$AA$6:$AA$3646),SUMIF('Diags Raw Data'!$A$6:$A$3646,"*"&amp;$A26&amp;"*",'Diags Raw Data'!$AB$6:$AB$3646))</f>
        <v>2</v>
      </c>
      <c r="R26" s="376">
        <f t="shared" ref="R26" si="17">IF((J26=0),0,P26/J26)</f>
        <v>1</v>
      </c>
      <c r="S26" s="376">
        <f t="shared" ref="S26" si="18">IF((P26=0),0,Q26/P26)</f>
        <v>1</v>
      </c>
      <c r="T26" s="377">
        <f t="shared" ref="T26" si="19">R26*S26</f>
        <v>1</v>
      </c>
      <c r="U26" s="433" t="s">
        <v>426</v>
      </c>
      <c r="V26" s="170"/>
    </row>
    <row r="27" spans="1:22" ht="30" x14ac:dyDescent="0.25">
      <c r="A27" s="485" t="s">
        <v>378</v>
      </c>
      <c r="B27" s="326" t="str">
        <f>VLOOKUP(A27,'Feature Raw Data'!$A$3:$B$3897,2,FALSE)</f>
        <v>Lib development</v>
      </c>
      <c r="C27" s="290" t="str">
        <f>VLOOKUP(A27,'Feature Raw Data'!$A$3:$C$3897,3,FALSE)</f>
        <v>P1</v>
      </c>
      <c r="D27" s="94" t="str" cm="1">
        <f t="array" ref="D27">_xlfn.TEXTJOIN("",TRUE,IF(ISNUMBER(SEARCH($A27,'Diags Raw Data'!$A$6:$A$3646)),CONCATENATE('Diags Raw Data'!$H$6:$H$3646,", "),""))</f>
        <v xml:space="preserve">tmp_DF_lib_test.1-10, </v>
      </c>
      <c r="E27" s="169" t="str">
        <f>VLOOKUP(A27,'Diags Raw Data'!$A$6:$D$3646,4,FALSE)</f>
        <v>DF</v>
      </c>
      <c r="F27" s="169" t="str">
        <f>VLOOKUP(A27,'Feature Raw Data'!$A$3:$E$3897,5,FALSE)</f>
        <v>Delta</v>
      </c>
      <c r="G27" s="169" t="str">
        <f t="shared" si="0"/>
        <v>Yes</v>
      </c>
      <c r="H27" s="169" t="str">
        <f t="shared" si="1"/>
        <v>Yes</v>
      </c>
      <c r="I27" s="290">
        <f>SUMIF('Diags Raw Data'!$A$6:$A$3646,"*"&amp;$A27&amp;"*",'Diags Raw Data'!$K$6:$K$3646)</f>
        <v>10</v>
      </c>
      <c r="J27" s="181">
        <f>SUMIF('Diags Raw Data'!$A$6:$A$3646,"*"&amp;$A27&amp;"*",'Diags Raw Data'!$L$6:$L$3646)</f>
        <v>10</v>
      </c>
      <c r="K27" s="372" cm="1">
        <f t="array" ref="K27">IF(D27="",0, SUMPRODUCT(--(ISNUMBER(SEARCH($A27,'Diags Raw Data'!$A$6:$A$3646))),'Diags Raw Data'!$L$6:$L$3646,'Diags Raw Data'!$N$6:$N$3646)/J27)</f>
        <v>1</v>
      </c>
      <c r="L27" s="373" t="e" cm="1">
        <f t="array" ref="L27">IF(D27="",0, SUMPRODUCT(--(ISNUMBER(SEARCH($A27,'Diags Raw Data'!$A$6:$A$3646))),'Diags Raw Data'!$L$6:$L$3646,'Diags Raw Data'!$P$6:$P$3646)/J27)</f>
        <v>#DIV/0!</v>
      </c>
      <c r="M27" s="374" cm="1">
        <f t="array" ref="M27">SUMPRODUCT(--(ISNUMBER(SEARCH($A27,'Diags Raw Data'!$A$6:$A$3646))),--('Diags Raw Data'!$Q$6:$Q$3646&lt;&gt;"N/A"),'Diags Raw Data'!$R$6:$R$3646)</f>
        <v>10</v>
      </c>
      <c r="N27" s="375" cm="1">
        <f t="array" ref="N27">SUMPRODUCT(--(ISNUMBER(SEARCH($A27,'Diags Raw Data'!$A$6:$A$3646))),--('Diags Raw Data'!$Q$6:$Q$3646&lt;&gt;"N/A"),'Diags Raw Data'!$T$6:$T$3646)+SUMPRODUCT(--(ISNUMBER(SEARCH($A27,'Diags Raw Data'!$A$6:$A$3646))),--('Diags Raw Data'!$Q$6:$Q$3646&lt;&gt;"N/A"),'Diags Raw Data'!$U$6:$U$3646)</f>
        <v>10</v>
      </c>
      <c r="O27" s="405">
        <f>IF((M27=0),0,N27/M27)</f>
        <v>1</v>
      </c>
      <c r="P27" s="429">
        <f>SUMIF('Diags Raw Data'!$A$6:$A$3646,"*"&amp;$A27&amp;"*",'Diags Raw Data'!$Z$6:$Z$3646)</f>
        <v>10</v>
      </c>
      <c r="Q27" s="430">
        <f>SUM(SUMIF('Diags Raw Data'!$A$6:$A$3646,"*"&amp;$A27&amp;"*",'Diags Raw Data'!$AA$6:$AA$3646),SUMIF('Diags Raw Data'!$A$6:$A$3646,"*"&amp;$A27&amp;"*",'Diags Raw Data'!$AB$6:$AB$3646))</f>
        <v>10</v>
      </c>
      <c r="R27" s="376">
        <f>IF((J27=0),0,P27/J27)</f>
        <v>1</v>
      </c>
      <c r="S27" s="376">
        <f>IF((P27=0),0,Q27/P27)</f>
        <v>1</v>
      </c>
      <c r="T27" s="377">
        <f>R27*S27</f>
        <v>1</v>
      </c>
      <c r="U27" s="433" t="s">
        <v>424</v>
      </c>
      <c r="V27" s="170"/>
    </row>
    <row r="28" spans="1:22" x14ac:dyDescent="0.25">
      <c r="A28" s="485" t="s">
        <v>381</v>
      </c>
      <c r="B28" s="326" t="str">
        <f>VLOOKUP(A28,'Feature Raw Data'!$A$3:$B$3897,2,FALSE)</f>
        <v>System Fatal Error Event Notification</v>
      </c>
      <c r="C28" s="290" t="str">
        <f>VLOOKUP(A28,'Feature Raw Data'!$A$3:$C$3897,3,FALSE)</f>
        <v>P2</v>
      </c>
      <c r="D28" s="94" t="str" cm="1">
        <f t="array" ref="D28">_xlfn.TEXTJOIN("",TRUE,IF(ISNUMBER(SEARCH($A28,'Diags Raw Data'!$A$6:$A$3646)),CONCATENATE('Diags Raw Data'!$H$6:$H$3646,", "),""))</f>
        <v xml:space="preserve">df100, </v>
      </c>
      <c r="E28" s="169" t="str">
        <f>VLOOKUP(A28,'Diags Raw Data'!$A$6:$D$3646,4,FALSE)</f>
        <v>DF</v>
      </c>
      <c r="F28" s="169" t="str">
        <f>VLOOKUP(A28,'Feature Raw Data'!$A$3:$E$3897,5,FALSE)</f>
        <v>Legacy</v>
      </c>
      <c r="G28" s="169" t="str">
        <f t="shared" si="0"/>
        <v>Yes</v>
      </c>
      <c r="H28" s="169" t="str">
        <f t="shared" si="1"/>
        <v>Yes</v>
      </c>
      <c r="I28" s="290">
        <f>SUMIF('Diags Raw Data'!$A$6:$A$3646,"*"&amp;$A28&amp;"*",'Diags Raw Data'!$K$6:$K$3646)</f>
        <v>1</v>
      </c>
      <c r="J28" s="181">
        <f>SUMIF('Diags Raw Data'!$A$6:$A$3646,"*"&amp;$A28&amp;"*",'Diags Raw Data'!$L$6:$L$3646)</f>
        <v>1</v>
      </c>
      <c r="K28" s="372" cm="1">
        <f t="array" ref="K28">IF(D28="",0, SUMPRODUCT(--(ISNUMBER(SEARCH($A28,'Diags Raw Data'!$A$6:$A$3646))),'Diags Raw Data'!$L$6:$L$3646,'Diags Raw Data'!$N$6:$N$3646)/J28)</f>
        <v>1</v>
      </c>
      <c r="L28" s="373" t="e" cm="1">
        <f t="array" ref="L28">IF(D28="",0, SUMPRODUCT(--(ISNUMBER(SEARCH($A28,'Diags Raw Data'!$A$6:$A$3646))),'Diags Raw Data'!$L$6:$L$3646,'Diags Raw Data'!$P$6:$P$3646)/J28)</f>
        <v>#DIV/0!</v>
      </c>
      <c r="M28" s="374" cm="1">
        <f t="array" ref="M28">SUMPRODUCT(--(ISNUMBER(SEARCH($A28,'Diags Raw Data'!$A$6:$A$3646))),--('Diags Raw Data'!$Q$6:$Q$3646&lt;&gt;"N/A"),'Diags Raw Data'!$R$6:$R$3646)</f>
        <v>0</v>
      </c>
      <c r="N28" s="375" cm="1">
        <f t="array" ref="N28">SUMPRODUCT(--(ISNUMBER(SEARCH($A28,'Diags Raw Data'!$A$6:$A$3646))),--('Diags Raw Data'!$Q$6:$Q$3646&lt;&gt;"N/A"),'Diags Raw Data'!$T$6:$T$3646)+SUMPRODUCT(--(ISNUMBER(SEARCH($A28,'Diags Raw Data'!$A$6:$A$3646))),--('Diags Raw Data'!$Q$6:$Q$3646&lt;&gt;"N/A"),'Diags Raw Data'!$U$6:$U$3646)</f>
        <v>0</v>
      </c>
      <c r="O28" s="405">
        <f t="shared" ref="O28" si="20">IF((M28=0),0,N28/M28)</f>
        <v>0</v>
      </c>
      <c r="P28" s="429">
        <f>SUMIF('Diags Raw Data'!$A$6:$A$3646,"*"&amp;$A28&amp;"*",'Diags Raw Data'!$Z$6:$Z$3646)</f>
        <v>1</v>
      </c>
      <c r="Q28" s="430">
        <f>SUM(SUMIF('Diags Raw Data'!$A$6:$A$3646,"*"&amp;$A28&amp;"*",'Diags Raw Data'!$AA$6:$AA$3646),SUMIF('Diags Raw Data'!$A$6:$A$3646,"*"&amp;$A28&amp;"*",'Diags Raw Data'!$AB$6:$AB$3646))</f>
        <v>1</v>
      </c>
      <c r="R28" s="376">
        <f t="shared" ref="R28" si="21">IF((J28=0),0,P28/J28)</f>
        <v>1</v>
      </c>
      <c r="S28" s="376">
        <f t="shared" ref="S28" si="22">IF((P28=0),0,Q28/P28)</f>
        <v>1</v>
      </c>
      <c r="T28" s="377">
        <f t="shared" ref="T28" si="23">R28*S28</f>
        <v>1</v>
      </c>
      <c r="U28" s="433" t="s">
        <v>425</v>
      </c>
      <c r="V28" s="170"/>
    </row>
    <row r="29" spans="1:22" x14ac:dyDescent="0.25">
      <c r="A29" s="546" t="s">
        <v>429</v>
      </c>
      <c r="B29" s="609"/>
      <c r="C29" s="609"/>
      <c r="D29" s="609"/>
      <c r="E29" s="609"/>
      <c r="F29" s="609"/>
      <c r="G29" s="609"/>
      <c r="H29" s="609"/>
      <c r="I29" s="609"/>
      <c r="J29" s="609"/>
      <c r="K29" s="610"/>
      <c r="L29" s="610"/>
      <c r="M29" s="610"/>
      <c r="N29" s="610"/>
      <c r="O29" s="610"/>
      <c r="P29" s="609"/>
      <c r="Q29" s="609"/>
      <c r="R29" s="609"/>
      <c r="S29" s="609"/>
      <c r="T29" s="609"/>
      <c r="U29" s="611"/>
      <c r="V29" s="170"/>
    </row>
    <row r="30" spans="1:22" ht="15.75" thickBot="1" x14ac:dyDescent="0.3">
      <c r="A30" s="612"/>
      <c r="B30" s="609"/>
      <c r="C30" s="609"/>
      <c r="D30" s="609"/>
      <c r="E30" s="609"/>
      <c r="F30" s="609"/>
      <c r="G30" s="609"/>
      <c r="H30" s="609"/>
      <c r="I30" s="609"/>
      <c r="J30" s="609"/>
      <c r="K30" s="609"/>
      <c r="L30" s="609"/>
      <c r="M30" s="609"/>
      <c r="N30" s="609"/>
      <c r="O30" s="609"/>
      <c r="P30" s="609"/>
      <c r="Q30" s="609"/>
      <c r="R30" s="609"/>
      <c r="S30" s="609"/>
      <c r="T30" s="609"/>
      <c r="U30" s="611"/>
      <c r="V30" s="170"/>
    </row>
    <row r="31" spans="1:22" s="175" customFormat="1" ht="18.75" x14ac:dyDescent="0.25">
      <c r="A31" s="603" t="s">
        <v>296</v>
      </c>
      <c r="B31" s="604"/>
      <c r="C31" s="604"/>
      <c r="D31" s="604"/>
      <c r="E31" s="604"/>
      <c r="F31" s="605"/>
      <c r="G31" s="314">
        <f>COUNTIF(G7:G27,"Yes")</f>
        <v>21</v>
      </c>
      <c r="H31" s="314">
        <f>COUNTIF(H7:H27,"Yes")</f>
        <v>21</v>
      </c>
      <c r="I31" s="633">
        <f>'Diags Raw Data'!K36</f>
        <v>83</v>
      </c>
      <c r="J31" s="635">
        <f>'Diags Raw Data'!L36</f>
        <v>99</v>
      </c>
      <c r="K31" s="621">
        <f>'Diags Raw Data'!N36</f>
        <v>1</v>
      </c>
      <c r="L31" s="623" t="e">
        <f>'Diags Raw Data'!P36</f>
        <v>#DIV/0!</v>
      </c>
      <c r="M31" s="625">
        <f>'Diags Raw Data'!R36</f>
        <v>75</v>
      </c>
      <c r="N31" s="617">
        <f>SUM('Diags Raw Data'!T36+'Diags Raw Data'!U36)</f>
        <v>75</v>
      </c>
      <c r="O31" s="613">
        <f>IF((M31=0),0,N31/M31)</f>
        <v>1</v>
      </c>
      <c r="P31" s="615">
        <f>'Diags Raw Data'!Z36</f>
        <v>90</v>
      </c>
      <c r="Q31" s="631">
        <f>SUM('Diags Raw Data'!AA36+'Diags Raw Data'!AB36)</f>
        <v>90</v>
      </c>
      <c r="R31" s="627">
        <f>IF((J31=0),0,P31/J31)</f>
        <v>0.90909090909090906</v>
      </c>
      <c r="S31" s="627">
        <f>IF((P31=0),0,Q31/P31)</f>
        <v>1</v>
      </c>
      <c r="T31" s="627">
        <f>R31*S31</f>
        <v>0.90909090909090906</v>
      </c>
      <c r="U31" s="629"/>
      <c r="V31" s="174"/>
    </row>
    <row r="32" spans="1:22" ht="19.5" thickBot="1" x14ac:dyDescent="0.3">
      <c r="A32" s="606"/>
      <c r="B32" s="607"/>
      <c r="C32" s="607"/>
      <c r="D32" s="607"/>
      <c r="E32" s="607"/>
      <c r="F32" s="608"/>
      <c r="G32" s="315">
        <f>COUNTIF(G7:G27,"Yes")/COUNTA(A7:A27)</f>
        <v>1</v>
      </c>
      <c r="H32" s="315">
        <f>(COUNTIF(H7:H27,"Yes")/G31)</f>
        <v>1</v>
      </c>
      <c r="I32" s="634"/>
      <c r="J32" s="636"/>
      <c r="K32" s="622"/>
      <c r="L32" s="624"/>
      <c r="M32" s="626"/>
      <c r="N32" s="618"/>
      <c r="O32" s="614"/>
      <c r="P32" s="616"/>
      <c r="Q32" s="632"/>
      <c r="R32" s="628"/>
      <c r="S32" s="628"/>
      <c r="T32" s="628"/>
      <c r="U32" s="630"/>
      <c r="V32" s="170"/>
    </row>
    <row r="33" spans="1:21" x14ac:dyDescent="0.25">
      <c r="A33" s="176"/>
      <c r="B33" s="177"/>
      <c r="C33" s="177"/>
      <c r="D33" s="176"/>
      <c r="E33" s="177"/>
      <c r="F33" s="177"/>
      <c r="G33" s="302"/>
      <c r="H33" s="177"/>
      <c r="I33" s="306"/>
      <c r="J33" s="306"/>
      <c r="K33" s="182"/>
      <c r="L33" s="182"/>
      <c r="M33" s="183"/>
      <c r="N33" s="183"/>
      <c r="O33" s="182"/>
      <c r="P33" s="179"/>
      <c r="Q33" s="179"/>
      <c r="R33" s="186"/>
      <c r="S33" s="186"/>
      <c r="T33" s="187"/>
      <c r="U33" s="176"/>
    </row>
  </sheetData>
  <sheetProtection insertColumns="0" insertRows="0" deleteRows="0" sort="0"/>
  <autoFilter ref="A6:U3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31:K32"/>
    <mergeCell ref="L31:L32"/>
    <mergeCell ref="M31:M32"/>
    <mergeCell ref="T2:T3"/>
    <mergeCell ref="U2:U3"/>
    <mergeCell ref="R2:R3"/>
    <mergeCell ref="S2:S3"/>
    <mergeCell ref="S31:S32"/>
    <mergeCell ref="T31:T32"/>
    <mergeCell ref="U31:U32"/>
    <mergeCell ref="Q31:Q32"/>
    <mergeCell ref="R31:R32"/>
    <mergeCell ref="I31:I32"/>
    <mergeCell ref="J31:J32"/>
    <mergeCell ref="K5:L5"/>
    <mergeCell ref="A5:J5"/>
    <mergeCell ref="M5:O5"/>
    <mergeCell ref="P5:U5"/>
    <mergeCell ref="A31:F32"/>
    <mergeCell ref="A29:U30"/>
    <mergeCell ref="O31:O32"/>
    <mergeCell ref="P31:P32"/>
    <mergeCell ref="N31:N32"/>
  </mergeCells>
  <phoneticPr fontId="30" type="noConversion"/>
  <conditionalFormatting sqref="A7:A27">
    <cfRule type="duplicateValues" dxfId="1" priority="1747"/>
  </conditionalFormatting>
  <conditionalFormatting sqref="A28">
    <cfRule type="duplicateValues" dxfId="0" priority="1748"/>
  </conditionalFormatting>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20C51000-ABF8-447F-8D4E-D5D656836344}">
          <x14:formula1>
            <xm:f>Lookup!$A$2:$A$62</xm:f>
          </x14:formula1>
          <xm:sqref>U7:U28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430</v>
      </c>
      <c r="C1" s="36" t="s">
        <v>431</v>
      </c>
      <c r="D1" s="36" t="s">
        <v>432</v>
      </c>
      <c r="E1" s="36" t="s">
        <v>433</v>
      </c>
      <c r="F1" s="36" t="s">
        <v>434</v>
      </c>
      <c r="G1" s="37" t="s">
        <v>435</v>
      </c>
      <c r="H1" s="12"/>
      <c r="I1" s="12"/>
      <c r="J1" s="12"/>
      <c r="K1" s="12"/>
      <c r="L1" s="13"/>
      <c r="M1" s="1"/>
      <c r="N1" s="11"/>
      <c r="X1" s="11"/>
      <c r="AB1" s="651" t="s">
        <v>436</v>
      </c>
      <c r="AM1" s="651" t="s">
        <v>437</v>
      </c>
    </row>
    <row r="2" spans="1:40" s="14" customFormat="1" ht="12" x14ac:dyDescent="0.2">
      <c r="A2" s="35" t="s">
        <v>438</v>
      </c>
      <c r="B2" s="15">
        <v>42994</v>
      </c>
      <c r="C2" s="15">
        <v>43190</v>
      </c>
      <c r="D2" s="16" t="e">
        <f>#REF!</f>
        <v>#REF!</v>
      </c>
      <c r="E2" s="16" t="e">
        <f>#REF!</f>
        <v>#REF!</v>
      </c>
      <c r="F2" s="16">
        <f>(C2-B2)/7</f>
        <v>28</v>
      </c>
      <c r="G2" s="17" t="e">
        <f>E2/F2</f>
        <v>#REF!</v>
      </c>
      <c r="H2" s="18"/>
      <c r="I2" s="18"/>
      <c r="J2" s="18"/>
      <c r="K2" s="18"/>
      <c r="L2" s="19"/>
      <c r="M2" s="20"/>
      <c r="N2" s="21"/>
      <c r="X2" s="21"/>
      <c r="AB2" s="652"/>
      <c r="AM2" s="652"/>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53" t="s">
        <v>439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54"/>
      <c r="B5" s="47" t="s">
        <v>440</v>
      </c>
      <c r="C5" s="47" t="s">
        <v>441</v>
      </c>
      <c r="D5" s="47" t="s">
        <v>442</v>
      </c>
      <c r="E5" s="47" t="s">
        <v>443</v>
      </c>
      <c r="F5" s="47" t="s">
        <v>444</v>
      </c>
      <c r="G5" s="47" t="s">
        <v>445</v>
      </c>
      <c r="H5" s="47" t="s">
        <v>446</v>
      </c>
      <c r="I5" s="47" t="s">
        <v>447</v>
      </c>
      <c r="J5" s="47" t="s">
        <v>448</v>
      </c>
      <c r="K5" s="47" t="s">
        <v>449</v>
      </c>
      <c r="L5" s="47" t="s">
        <v>450</v>
      </c>
      <c r="M5" s="47" t="s">
        <v>451</v>
      </c>
      <c r="N5" s="47" t="s">
        <v>452</v>
      </c>
      <c r="O5" s="47" t="s">
        <v>453</v>
      </c>
      <c r="P5" s="47" t="s">
        <v>454</v>
      </c>
      <c r="Q5" s="47" t="s">
        <v>455</v>
      </c>
      <c r="R5" s="47" t="s">
        <v>456</v>
      </c>
      <c r="S5" s="47" t="s">
        <v>457</v>
      </c>
      <c r="T5" s="47" t="s">
        <v>458</v>
      </c>
      <c r="U5" s="47" t="s">
        <v>459</v>
      </c>
      <c r="V5" s="47" t="s">
        <v>460</v>
      </c>
      <c r="W5" s="47" t="s">
        <v>461</v>
      </c>
      <c r="X5" s="47" t="s">
        <v>462</v>
      </c>
      <c r="Y5" s="47" t="s">
        <v>463</v>
      </c>
      <c r="Z5" s="47" t="s">
        <v>464</v>
      </c>
      <c r="AA5" s="47" t="s">
        <v>465</v>
      </c>
      <c r="AB5" s="47" t="s">
        <v>466</v>
      </c>
      <c r="AC5" s="47" t="s">
        <v>467</v>
      </c>
      <c r="AD5" s="47" t="s">
        <v>468</v>
      </c>
      <c r="AE5" s="47" t="s">
        <v>469</v>
      </c>
      <c r="AF5" s="47" t="s">
        <v>470</v>
      </c>
      <c r="AG5" s="47" t="s">
        <v>471</v>
      </c>
      <c r="AH5" s="47" t="s">
        <v>472</v>
      </c>
      <c r="AI5" s="47" t="s">
        <v>473</v>
      </c>
      <c r="AJ5" s="47" t="s">
        <v>474</v>
      </c>
      <c r="AK5" s="47" t="s">
        <v>475</v>
      </c>
      <c r="AL5" s="66" t="s">
        <v>476</v>
      </c>
      <c r="AM5" s="65" t="s">
        <v>477</v>
      </c>
      <c r="AN5" s="50"/>
    </row>
    <row r="6" spans="1:40" ht="12" x14ac:dyDescent="0.2">
      <c r="A6" s="48" t="s">
        <v>478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479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53" t="s">
        <v>480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55"/>
      <c r="B10" s="32" t="s">
        <v>440</v>
      </c>
      <c r="C10" s="32" t="s">
        <v>441</v>
      </c>
      <c r="D10" s="32" t="s">
        <v>442</v>
      </c>
      <c r="E10" s="32" t="s">
        <v>443</v>
      </c>
      <c r="F10" s="32" t="s">
        <v>444</v>
      </c>
      <c r="G10" s="32" t="s">
        <v>445</v>
      </c>
      <c r="H10" s="32" t="s">
        <v>446</v>
      </c>
      <c r="I10" s="32" t="s">
        <v>447</v>
      </c>
      <c r="J10" s="32" t="s">
        <v>448</v>
      </c>
      <c r="K10" s="32" t="s">
        <v>449</v>
      </c>
      <c r="L10" s="32" t="s">
        <v>450</v>
      </c>
      <c r="M10" s="32" t="s">
        <v>451</v>
      </c>
      <c r="N10" s="32" t="s">
        <v>452</v>
      </c>
      <c r="O10" s="32" t="s">
        <v>453</v>
      </c>
      <c r="P10" s="32" t="s">
        <v>454</v>
      </c>
      <c r="Q10" s="32" t="s">
        <v>455</v>
      </c>
      <c r="R10" s="32" t="s">
        <v>456</v>
      </c>
      <c r="S10" s="32" t="s">
        <v>457</v>
      </c>
      <c r="T10" s="32" t="s">
        <v>458</v>
      </c>
      <c r="U10" s="32" t="s">
        <v>459</v>
      </c>
      <c r="V10" s="32" t="s">
        <v>460</v>
      </c>
      <c r="W10" s="32" t="s">
        <v>461</v>
      </c>
      <c r="X10" s="32" t="s">
        <v>462</v>
      </c>
      <c r="Y10" s="32" t="s">
        <v>463</v>
      </c>
      <c r="Z10" s="32" t="s">
        <v>464</v>
      </c>
      <c r="AA10" s="32" t="s">
        <v>465</v>
      </c>
      <c r="AB10" s="32" t="s">
        <v>466</v>
      </c>
      <c r="AC10" s="32" t="s">
        <v>467</v>
      </c>
      <c r="AD10" s="32" t="s">
        <v>468</v>
      </c>
      <c r="AE10" s="32" t="s">
        <v>469</v>
      </c>
      <c r="AF10" s="32" t="s">
        <v>470</v>
      </c>
      <c r="AG10" s="32" t="s">
        <v>471</v>
      </c>
      <c r="AH10" s="32" t="s">
        <v>472</v>
      </c>
      <c r="AI10" s="32" t="s">
        <v>473</v>
      </c>
      <c r="AJ10" s="64" t="s">
        <v>474</v>
      </c>
      <c r="AK10" s="63" t="s">
        <v>475</v>
      </c>
      <c r="AL10" s="47" t="s">
        <v>476</v>
      </c>
      <c r="AM10" s="72" t="s">
        <v>477</v>
      </c>
      <c r="AN10" s="68"/>
    </row>
    <row r="11" spans="1:40" x14ac:dyDescent="0.25">
      <c r="A11" s="42" t="s">
        <v>478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479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481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482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4" sqref="D4"/>
    </sheetView>
  </sheetViews>
  <sheetFormatPr defaultColWidth="15" defaultRowHeight="12.75" x14ac:dyDescent="0.2"/>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3.5" thickBot="1" x14ac:dyDescent="0.25">
      <c r="A1" s="149" t="s">
        <v>483</v>
      </c>
      <c r="B1" s="150" t="s">
        <v>484</v>
      </c>
      <c r="C1" s="151" t="s">
        <v>485</v>
      </c>
      <c r="D1" s="151" t="s">
        <v>486</v>
      </c>
      <c r="E1" s="151" t="s">
        <v>487</v>
      </c>
      <c r="F1" s="151" t="s">
        <v>488</v>
      </c>
      <c r="G1" s="151" t="s">
        <v>489</v>
      </c>
      <c r="H1" s="151" t="s">
        <v>490</v>
      </c>
      <c r="I1" s="151" t="s">
        <v>491</v>
      </c>
      <c r="J1" s="151" t="s">
        <v>492</v>
      </c>
      <c r="K1" s="151" t="s">
        <v>493</v>
      </c>
      <c r="L1" s="151" t="s">
        <v>494</v>
      </c>
      <c r="M1" s="151" t="s">
        <v>495</v>
      </c>
      <c r="N1" s="151" t="s">
        <v>496</v>
      </c>
      <c r="O1" s="151" t="s">
        <v>497</v>
      </c>
      <c r="P1" s="151" t="s">
        <v>498</v>
      </c>
      <c r="Q1" s="151" t="s">
        <v>499</v>
      </c>
      <c r="R1" s="151" t="s">
        <v>500</v>
      </c>
      <c r="S1" s="151" t="s">
        <v>501</v>
      </c>
      <c r="T1" s="151" t="s">
        <v>502</v>
      </c>
      <c r="U1" s="151" t="s">
        <v>503</v>
      </c>
      <c r="V1" s="151" t="s">
        <v>504</v>
      </c>
      <c r="W1" s="151" t="s">
        <v>505</v>
      </c>
      <c r="X1" s="151" t="s">
        <v>506</v>
      </c>
      <c r="Y1" s="151" t="s">
        <v>507</v>
      </c>
      <c r="Z1" s="151" t="s">
        <v>508</v>
      </c>
      <c r="AA1" s="151" t="s">
        <v>509</v>
      </c>
      <c r="AB1" s="151" t="s">
        <v>510</v>
      </c>
      <c r="AC1" s="151" t="s">
        <v>511</v>
      </c>
      <c r="AD1" s="151" t="s">
        <v>512</v>
      </c>
      <c r="AE1" s="151" t="s">
        <v>513</v>
      </c>
      <c r="AF1" s="151" t="s">
        <v>514</v>
      </c>
      <c r="AG1" s="151" t="s">
        <v>515</v>
      </c>
      <c r="AH1" s="151" t="s">
        <v>516</v>
      </c>
      <c r="AI1" s="151" t="s">
        <v>517</v>
      </c>
      <c r="AJ1" s="151" t="s">
        <v>518</v>
      </c>
      <c r="AK1" s="151" t="s">
        <v>519</v>
      </c>
      <c r="AL1" s="151" t="s">
        <v>520</v>
      </c>
      <c r="AM1" s="151" t="s">
        <v>521</v>
      </c>
      <c r="AN1" s="151" t="s">
        <v>522</v>
      </c>
      <c r="AO1" s="151" t="s">
        <v>523</v>
      </c>
      <c r="AP1" s="151" t="s">
        <v>524</v>
      </c>
      <c r="AQ1" s="151" t="s">
        <v>525</v>
      </c>
      <c r="AR1" s="151" t="s">
        <v>526</v>
      </c>
      <c r="AS1" s="151" t="s">
        <v>527</v>
      </c>
      <c r="AT1" s="151" t="s">
        <v>528</v>
      </c>
      <c r="AU1" s="151" t="s">
        <v>529</v>
      </c>
      <c r="AV1" s="151" t="s">
        <v>530</v>
      </c>
      <c r="AW1" s="151" t="s">
        <v>531</v>
      </c>
      <c r="AX1" s="151" t="s">
        <v>532</v>
      </c>
      <c r="AY1" s="151" t="s">
        <v>533</v>
      </c>
      <c r="AZ1" s="151" t="s">
        <v>534</v>
      </c>
      <c r="BA1" s="151" t="s">
        <v>535</v>
      </c>
      <c r="BB1" s="152" t="s">
        <v>536</v>
      </c>
    </row>
    <row r="2" spans="1:54" s="134" customFormat="1" x14ac:dyDescent="0.2">
      <c r="A2" s="146" t="s">
        <v>479</v>
      </c>
      <c r="B2" s="397">
        <v>0.1</v>
      </c>
      <c r="C2" s="398">
        <v>0.15</v>
      </c>
      <c r="D2" s="398">
        <v>0.17</v>
      </c>
      <c r="E2" s="398">
        <v>0.23</v>
      </c>
      <c r="F2" s="398">
        <v>0.28000000000000003</v>
      </c>
      <c r="G2" s="398">
        <v>0.35</v>
      </c>
      <c r="H2" s="398">
        <v>0.4</v>
      </c>
      <c r="I2" s="398">
        <v>0.45</v>
      </c>
      <c r="J2" s="398">
        <v>0.5</v>
      </c>
      <c r="K2" s="398">
        <v>0.57999999999999996</v>
      </c>
      <c r="L2" s="398">
        <v>0.62</v>
      </c>
      <c r="M2" s="398">
        <v>0.68</v>
      </c>
      <c r="N2" s="398">
        <v>0.71000000000000008</v>
      </c>
      <c r="O2" s="398">
        <v>0.7400000000000001</v>
      </c>
      <c r="P2" s="398">
        <v>0.75000000000000011</v>
      </c>
      <c r="Q2" s="398">
        <v>0.76000000000000012</v>
      </c>
      <c r="R2" s="398">
        <v>0.79000000000000015</v>
      </c>
      <c r="S2" s="398">
        <v>0.82000000000000017</v>
      </c>
      <c r="T2" s="398">
        <v>0.8500000000000002</v>
      </c>
      <c r="U2" s="398">
        <v>0.88000000000000023</v>
      </c>
      <c r="V2" s="398">
        <v>0.91000000000000025</v>
      </c>
      <c r="W2" s="398">
        <v>0.94000000000000028</v>
      </c>
      <c r="X2" s="398">
        <v>0.97000000000000031</v>
      </c>
      <c r="Y2" s="398">
        <v>1.0000000000000002</v>
      </c>
      <c r="Z2" s="398"/>
      <c r="AA2" s="398"/>
      <c r="AB2" s="398"/>
      <c r="AC2" s="398"/>
      <c r="AD2" s="398"/>
      <c r="AE2" s="398"/>
      <c r="AF2" s="398"/>
      <c r="AG2" s="398"/>
      <c r="AH2" s="398"/>
      <c r="AI2" s="398"/>
      <c r="AJ2" s="398"/>
      <c r="AK2" s="398"/>
      <c r="AL2" s="398"/>
      <c r="AM2" s="147"/>
      <c r="AN2" s="147"/>
      <c r="AO2" s="147"/>
      <c r="AP2" s="147"/>
      <c r="AQ2" s="147"/>
      <c r="AR2" s="147"/>
      <c r="AS2" s="147"/>
      <c r="AT2" s="147"/>
      <c r="AU2" s="147"/>
      <c r="AV2" s="147"/>
      <c r="AW2" s="147"/>
      <c r="AX2" s="147"/>
      <c r="AY2" s="147"/>
      <c r="AZ2" s="147"/>
      <c r="BA2" s="147"/>
      <c r="BB2" s="148"/>
    </row>
    <row r="3" spans="1:54" s="134" customFormat="1" x14ac:dyDescent="0.2">
      <c r="A3" s="143" t="s">
        <v>482</v>
      </c>
      <c r="B3" s="399"/>
      <c r="C3" s="400"/>
      <c r="D3" s="400"/>
      <c r="E3" s="400"/>
      <c r="F3" s="400"/>
      <c r="G3" s="400"/>
      <c r="H3" s="400"/>
      <c r="I3" s="400"/>
      <c r="J3" s="400"/>
      <c r="K3" s="400"/>
      <c r="L3" s="400">
        <v>0.1</v>
      </c>
      <c r="M3" s="400">
        <v>0.15</v>
      </c>
      <c r="N3" s="400">
        <v>0.2</v>
      </c>
      <c r="O3" s="400">
        <v>0.3</v>
      </c>
      <c r="P3" s="400">
        <v>0.35</v>
      </c>
      <c r="Q3" s="400">
        <v>0.4</v>
      </c>
      <c r="R3" s="400">
        <v>0.4</v>
      </c>
      <c r="S3" s="400">
        <v>0.4</v>
      </c>
      <c r="T3" s="400">
        <v>0.4</v>
      </c>
      <c r="U3" s="400">
        <v>0.4</v>
      </c>
      <c r="V3" s="400">
        <v>0.5</v>
      </c>
      <c r="W3" s="400">
        <v>0.6</v>
      </c>
      <c r="X3" s="400">
        <v>0.65</v>
      </c>
      <c r="Y3" s="400">
        <v>0.7</v>
      </c>
      <c r="Z3" s="400">
        <v>0.8</v>
      </c>
      <c r="AA3" s="400">
        <v>0.9</v>
      </c>
      <c r="AB3" s="400">
        <v>1</v>
      </c>
      <c r="AC3" s="400"/>
      <c r="AD3" s="400"/>
      <c r="AE3" s="400"/>
      <c r="AF3" s="400"/>
      <c r="AG3" s="400"/>
      <c r="AH3" s="400"/>
      <c r="AI3" s="400"/>
      <c r="AJ3" s="400"/>
      <c r="AK3" s="400"/>
      <c r="AL3" s="400"/>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401"/>
      <c r="C4" s="402"/>
      <c r="D4" s="402"/>
      <c r="E4" s="402"/>
      <c r="F4" s="402"/>
      <c r="G4" s="402"/>
      <c r="H4" s="402"/>
      <c r="I4" s="402"/>
      <c r="J4" s="402"/>
      <c r="K4" s="402"/>
      <c r="L4" s="402"/>
      <c r="M4" s="402"/>
      <c r="N4" s="402"/>
      <c r="O4" s="402"/>
      <c r="P4" s="402"/>
      <c r="Q4" s="402"/>
      <c r="R4" s="402"/>
      <c r="S4" s="402"/>
      <c r="T4" s="402"/>
      <c r="U4" s="402"/>
      <c r="V4" s="402"/>
      <c r="W4" s="402"/>
      <c r="X4" s="402"/>
      <c r="Y4" s="402"/>
      <c r="Z4" s="402"/>
      <c r="AA4" s="402"/>
      <c r="AB4" s="402">
        <v>0.05</v>
      </c>
      <c r="AC4" s="402">
        <v>0.2</v>
      </c>
      <c r="AD4" s="402">
        <v>0.3</v>
      </c>
      <c r="AE4" s="402">
        <v>0.5</v>
      </c>
      <c r="AF4" s="402">
        <v>0.6</v>
      </c>
      <c r="AG4" s="402">
        <v>0.65</v>
      </c>
      <c r="AH4" s="402">
        <v>0.7</v>
      </c>
      <c r="AI4" s="402">
        <v>0.85</v>
      </c>
      <c r="AJ4" s="402">
        <v>0.9</v>
      </c>
      <c r="AK4" s="402">
        <v>0.95</v>
      </c>
      <c r="AL4" s="402">
        <v>1</v>
      </c>
      <c r="AM4" s="138"/>
      <c r="AN4" s="138"/>
      <c r="AO4" s="138"/>
      <c r="AP4" s="138"/>
      <c r="AQ4" s="138"/>
      <c r="AR4" s="138"/>
      <c r="AS4" s="138"/>
      <c r="AT4" s="138"/>
      <c r="AU4" s="138"/>
      <c r="AV4" s="138"/>
      <c r="AW4" s="138"/>
      <c r="AX4" s="138"/>
      <c r="AY4" s="138"/>
      <c r="AZ4" s="138"/>
      <c r="BA4" s="138"/>
      <c r="BB4" s="139"/>
    </row>
    <row r="5" spans="1:54" x14ac:dyDescent="0.2">
      <c r="A5" s="153" t="s">
        <v>480</v>
      </c>
      <c r="B5" s="382">
        <v>5</v>
      </c>
      <c r="C5" s="383">
        <v>6</v>
      </c>
      <c r="D5" s="383">
        <v>7</v>
      </c>
      <c r="E5" s="383">
        <v>8</v>
      </c>
      <c r="F5" s="383">
        <v>9</v>
      </c>
      <c r="G5" s="383"/>
      <c r="H5" s="383"/>
      <c r="I5" s="383"/>
      <c r="J5" s="383"/>
      <c r="K5" s="383"/>
      <c r="L5" s="383"/>
      <c r="M5" s="383"/>
      <c r="N5" s="383"/>
      <c r="O5" s="383"/>
      <c r="P5" s="383"/>
      <c r="Q5" s="383"/>
      <c r="R5" s="383"/>
      <c r="S5" s="383"/>
      <c r="T5" s="383"/>
      <c r="U5" s="383"/>
      <c r="V5" s="383"/>
      <c r="W5" s="383"/>
      <c r="X5" s="383"/>
      <c r="Y5" s="383"/>
      <c r="Z5" s="383"/>
      <c r="AA5" s="383"/>
      <c r="AB5" s="383"/>
      <c r="AC5" s="383"/>
      <c r="AD5" s="383"/>
      <c r="AE5" s="383"/>
      <c r="AF5" s="384"/>
      <c r="AG5" s="385"/>
      <c r="AH5" s="38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479</v>
      </c>
      <c r="B6" s="399">
        <v>0.08</v>
      </c>
      <c r="C6" s="400">
        <v>0.12</v>
      </c>
      <c r="D6" s="400">
        <v>0.15</v>
      </c>
      <c r="E6" s="400">
        <v>0.18</v>
      </c>
      <c r="F6" s="400">
        <v>0.24</v>
      </c>
      <c r="G6" s="400">
        <v>0.3</v>
      </c>
      <c r="H6" s="400">
        <v>0.35</v>
      </c>
      <c r="I6" s="400">
        <v>0.4</v>
      </c>
      <c r="J6" s="400">
        <v>0.45</v>
      </c>
      <c r="K6" s="400">
        <v>0.5</v>
      </c>
      <c r="L6" s="400">
        <v>0.57999999999999996</v>
      </c>
      <c r="M6" s="400">
        <v>0.59</v>
      </c>
      <c r="N6" s="400">
        <v>0.6</v>
      </c>
      <c r="O6" s="400">
        <v>0.65</v>
      </c>
      <c r="P6" s="400">
        <v>0.68</v>
      </c>
      <c r="Q6" s="400">
        <v>0.7</v>
      </c>
      <c r="R6" s="400">
        <v>0.72</v>
      </c>
      <c r="S6" s="400">
        <v>0.74</v>
      </c>
      <c r="T6" s="400">
        <v>0.76</v>
      </c>
      <c r="U6" s="400">
        <v>0.78</v>
      </c>
      <c r="V6" s="400">
        <v>0.8</v>
      </c>
      <c r="W6" s="400">
        <v>0.85</v>
      </c>
      <c r="X6" s="400">
        <v>0.88</v>
      </c>
      <c r="Y6" s="400">
        <v>0.9</v>
      </c>
      <c r="Z6" s="400"/>
      <c r="AA6" s="400"/>
      <c r="AB6" s="400"/>
      <c r="AC6" s="400"/>
      <c r="AD6" s="400"/>
      <c r="AE6" s="400"/>
      <c r="AF6" s="400"/>
      <c r="AG6" s="400"/>
      <c r="AH6" s="400"/>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481</v>
      </c>
      <c r="B7" s="399"/>
      <c r="C7" s="400"/>
      <c r="D7" s="400"/>
      <c r="E7" s="400"/>
      <c r="F7" s="400"/>
      <c r="G7" s="400"/>
      <c r="H7" s="400"/>
      <c r="I7" s="400"/>
      <c r="J7" s="400"/>
      <c r="K7" s="400"/>
      <c r="L7" s="400"/>
      <c r="M7" s="400">
        <v>7.0000000000000007E-2</v>
      </c>
      <c r="N7" s="400">
        <v>0.12</v>
      </c>
      <c r="O7" s="400">
        <v>0.17</v>
      </c>
      <c r="P7" s="400">
        <v>0.27</v>
      </c>
      <c r="Q7" s="400">
        <v>0.31999999999999995</v>
      </c>
      <c r="R7" s="400">
        <v>0.37</v>
      </c>
      <c r="S7" s="400">
        <v>0.37</v>
      </c>
      <c r="T7" s="400">
        <v>0.37</v>
      </c>
      <c r="U7" s="400">
        <v>0.37</v>
      </c>
      <c r="V7" s="400">
        <v>0.37</v>
      </c>
      <c r="W7" s="400">
        <v>0.47</v>
      </c>
      <c r="X7" s="400">
        <v>0.56999999999999995</v>
      </c>
      <c r="Y7" s="400">
        <v>0.62</v>
      </c>
      <c r="Z7" s="400">
        <v>0.66999999999999993</v>
      </c>
      <c r="AA7" s="400">
        <v>0.77</v>
      </c>
      <c r="AB7" s="400">
        <v>0.87</v>
      </c>
      <c r="AC7" s="400">
        <v>0.97</v>
      </c>
      <c r="AD7" s="400"/>
      <c r="AE7" s="400"/>
      <c r="AF7" s="403"/>
      <c r="AG7" s="400"/>
      <c r="AH7" s="403"/>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01"/>
      <c r="C8" s="402"/>
      <c r="D8" s="402"/>
      <c r="E8" s="402"/>
      <c r="F8" s="402"/>
      <c r="G8" s="402"/>
      <c r="H8" s="402"/>
      <c r="I8" s="402"/>
      <c r="J8" s="402"/>
      <c r="K8" s="402"/>
      <c r="L8" s="402"/>
      <c r="M8" s="402"/>
      <c r="N8" s="402"/>
      <c r="O8" s="402"/>
      <c r="P8" s="402"/>
      <c r="Q8" s="402"/>
      <c r="R8" s="402"/>
      <c r="S8" s="402"/>
      <c r="T8" s="402"/>
      <c r="U8" s="402"/>
      <c r="V8" s="402"/>
      <c r="W8" s="402"/>
      <c r="X8" s="402"/>
      <c r="Y8" s="402"/>
      <c r="Z8" s="402"/>
      <c r="AA8" s="402"/>
      <c r="AB8" s="402">
        <v>0.08</v>
      </c>
      <c r="AC8" s="402">
        <v>0.15</v>
      </c>
      <c r="AD8" s="402">
        <v>0.26</v>
      </c>
      <c r="AE8" s="402">
        <v>0.4</v>
      </c>
      <c r="AF8" s="402">
        <v>0.5</v>
      </c>
      <c r="AG8" s="402">
        <v>0.55000000000000004</v>
      </c>
      <c r="AH8" s="402">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5EBE4-9DBD-4713-9C27-29C5DF754697}">
  <dimension ref="A1:A62"/>
  <sheetViews>
    <sheetView topLeftCell="A37" workbookViewId="0">
      <selection activeCell="I15" sqref="I15"/>
    </sheetView>
  </sheetViews>
  <sheetFormatPr defaultRowHeight="15" x14ac:dyDescent="0.25"/>
  <sheetData>
    <row r="1" spans="1:1" x14ac:dyDescent="0.25">
      <c r="A1" t="s">
        <v>537</v>
      </c>
    </row>
    <row r="2" spans="1:1" x14ac:dyDescent="0.25">
      <c r="A2" t="s">
        <v>44</v>
      </c>
    </row>
    <row r="3" spans="1:1" x14ac:dyDescent="0.25">
      <c r="A3" t="s">
        <v>538</v>
      </c>
    </row>
    <row r="4" spans="1:1" x14ac:dyDescent="0.25">
      <c r="A4" t="s">
        <v>539</v>
      </c>
    </row>
    <row r="5" spans="1:1" x14ac:dyDescent="0.25">
      <c r="A5" t="s">
        <v>540</v>
      </c>
    </row>
    <row r="6" spans="1:1" x14ac:dyDescent="0.25">
      <c r="A6" t="s">
        <v>541</v>
      </c>
    </row>
    <row r="7" spans="1:1" x14ac:dyDescent="0.25">
      <c r="A7" t="s">
        <v>542</v>
      </c>
    </row>
    <row r="8" spans="1:1" x14ac:dyDescent="0.25">
      <c r="A8" t="s">
        <v>281</v>
      </c>
    </row>
    <row r="9" spans="1:1" x14ac:dyDescent="0.25">
      <c r="A9" t="s">
        <v>272</v>
      </c>
    </row>
    <row r="10" spans="1:1" x14ac:dyDescent="0.25">
      <c r="A10" t="s">
        <v>543</v>
      </c>
    </row>
    <row r="11" spans="1:1" x14ac:dyDescent="0.25">
      <c r="A11" t="s">
        <v>544</v>
      </c>
    </row>
    <row r="12" spans="1:1" x14ac:dyDescent="0.25">
      <c r="A12" t="s">
        <v>545</v>
      </c>
    </row>
    <row r="13" spans="1:1" x14ac:dyDescent="0.25">
      <c r="A13" t="s">
        <v>546</v>
      </c>
    </row>
    <row r="14" spans="1:1" x14ac:dyDescent="0.25">
      <c r="A14" t="s">
        <v>547</v>
      </c>
    </row>
    <row r="15" spans="1:1" x14ac:dyDescent="0.25">
      <c r="A15" t="s">
        <v>548</v>
      </c>
    </row>
    <row r="16" spans="1:1" x14ac:dyDescent="0.25">
      <c r="A16" t="s">
        <v>549</v>
      </c>
    </row>
    <row r="17" spans="1:1" x14ac:dyDescent="0.25">
      <c r="A17" t="s">
        <v>550</v>
      </c>
    </row>
    <row r="18" spans="1:1" x14ac:dyDescent="0.25">
      <c r="A18" t="s">
        <v>551</v>
      </c>
    </row>
    <row r="19" spans="1:1" x14ac:dyDescent="0.25">
      <c r="A19" t="s">
        <v>552</v>
      </c>
    </row>
    <row r="20" spans="1:1" x14ac:dyDescent="0.25">
      <c r="A20" t="s">
        <v>553</v>
      </c>
    </row>
    <row r="21" spans="1:1" x14ac:dyDescent="0.25">
      <c r="A21" t="s">
        <v>554</v>
      </c>
    </row>
    <row r="22" spans="1:1" x14ac:dyDescent="0.25">
      <c r="A22" t="s">
        <v>555</v>
      </c>
    </row>
    <row r="23" spans="1:1" x14ac:dyDescent="0.25">
      <c r="A23" t="s">
        <v>556</v>
      </c>
    </row>
    <row r="24" spans="1:1" x14ac:dyDescent="0.25">
      <c r="A24" t="s">
        <v>557</v>
      </c>
    </row>
    <row r="25" spans="1:1" x14ac:dyDescent="0.25">
      <c r="A25" t="s">
        <v>558</v>
      </c>
    </row>
    <row r="26" spans="1:1" x14ac:dyDescent="0.25">
      <c r="A26" t="s">
        <v>559</v>
      </c>
    </row>
    <row r="27" spans="1:1" x14ac:dyDescent="0.25">
      <c r="A27" t="s">
        <v>560</v>
      </c>
    </row>
    <row r="28" spans="1:1" x14ac:dyDescent="0.25">
      <c r="A28" t="s">
        <v>561</v>
      </c>
    </row>
    <row r="29" spans="1:1" x14ac:dyDescent="0.25">
      <c r="A29" t="s">
        <v>562</v>
      </c>
    </row>
    <row r="30" spans="1:1" x14ac:dyDescent="0.25">
      <c r="A30" t="s">
        <v>563</v>
      </c>
    </row>
    <row r="31" spans="1:1" x14ac:dyDescent="0.25">
      <c r="A31" t="s">
        <v>564</v>
      </c>
    </row>
    <row r="32" spans="1:1" x14ac:dyDescent="0.25">
      <c r="A32" t="s">
        <v>565</v>
      </c>
    </row>
    <row r="33" spans="1:1" x14ac:dyDescent="0.25">
      <c r="A33" t="s">
        <v>566</v>
      </c>
    </row>
    <row r="34" spans="1:1" x14ac:dyDescent="0.25">
      <c r="A34" t="s">
        <v>567</v>
      </c>
    </row>
    <row r="35" spans="1:1" x14ac:dyDescent="0.25">
      <c r="A35" t="s">
        <v>568</v>
      </c>
    </row>
    <row r="36" spans="1:1" x14ac:dyDescent="0.25">
      <c r="A36" t="s">
        <v>569</v>
      </c>
    </row>
    <row r="37" spans="1:1" x14ac:dyDescent="0.25">
      <c r="A37" t="s">
        <v>570</v>
      </c>
    </row>
    <row r="38" spans="1:1" x14ac:dyDescent="0.25">
      <c r="A38" t="s">
        <v>571</v>
      </c>
    </row>
    <row r="39" spans="1:1" x14ac:dyDescent="0.25">
      <c r="A39" t="s">
        <v>572</v>
      </c>
    </row>
    <row r="40" spans="1:1" x14ac:dyDescent="0.25">
      <c r="A40" t="s">
        <v>573</v>
      </c>
    </row>
    <row r="41" spans="1:1" x14ac:dyDescent="0.25">
      <c r="A41" t="s">
        <v>574</v>
      </c>
    </row>
    <row r="42" spans="1:1" x14ac:dyDescent="0.25">
      <c r="A42" t="s">
        <v>575</v>
      </c>
    </row>
    <row r="43" spans="1:1" x14ac:dyDescent="0.25">
      <c r="A43" t="s">
        <v>576</v>
      </c>
    </row>
    <row r="44" spans="1:1" x14ac:dyDescent="0.25">
      <c r="A44" t="s">
        <v>577</v>
      </c>
    </row>
    <row r="45" spans="1:1" x14ac:dyDescent="0.25">
      <c r="A45" t="s">
        <v>578</v>
      </c>
    </row>
    <row r="46" spans="1:1" x14ac:dyDescent="0.25">
      <c r="A46" t="s">
        <v>579</v>
      </c>
    </row>
    <row r="47" spans="1:1" x14ac:dyDescent="0.25">
      <c r="A47" t="s">
        <v>580</v>
      </c>
    </row>
    <row r="48" spans="1:1" x14ac:dyDescent="0.25">
      <c r="A48" t="s">
        <v>581</v>
      </c>
    </row>
    <row r="49" spans="1:1" x14ac:dyDescent="0.25">
      <c r="A49" t="s">
        <v>582</v>
      </c>
    </row>
    <row r="50" spans="1:1" x14ac:dyDescent="0.25">
      <c r="A50" t="s">
        <v>583</v>
      </c>
    </row>
    <row r="51" spans="1:1" x14ac:dyDescent="0.25">
      <c r="A51" t="s">
        <v>584</v>
      </c>
    </row>
    <row r="52" spans="1:1" x14ac:dyDescent="0.25">
      <c r="A52" t="s">
        <v>585</v>
      </c>
    </row>
    <row r="53" spans="1:1" x14ac:dyDescent="0.25">
      <c r="A53" t="s">
        <v>586</v>
      </c>
    </row>
    <row r="54" spans="1:1" x14ac:dyDescent="0.25">
      <c r="A54" t="s">
        <v>587</v>
      </c>
    </row>
    <row r="55" spans="1:1" x14ac:dyDescent="0.25">
      <c r="A55" t="s">
        <v>588</v>
      </c>
    </row>
    <row r="56" spans="1:1" x14ac:dyDescent="0.25">
      <c r="A56" t="s">
        <v>589</v>
      </c>
    </row>
    <row r="57" spans="1:1" x14ac:dyDescent="0.25">
      <c r="A57" t="s">
        <v>590</v>
      </c>
    </row>
    <row r="58" spans="1:1" x14ac:dyDescent="0.25">
      <c r="A58" t="s">
        <v>591</v>
      </c>
    </row>
    <row r="59" spans="1:1" x14ac:dyDescent="0.25">
      <c r="A59" t="s">
        <v>592</v>
      </c>
    </row>
    <row r="60" spans="1:1" x14ac:dyDescent="0.25">
      <c r="A60" t="s">
        <v>593</v>
      </c>
    </row>
    <row r="61" spans="1:1" x14ac:dyDescent="0.25">
      <c r="A61" t="s">
        <v>594</v>
      </c>
    </row>
    <row r="62" spans="1:1" x14ac:dyDescent="0.25">
      <c r="A62" t="s">
        <v>595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42578125" bestFit="1" customWidth="1"/>
    <col min="4" max="4" width="9.140625" style="130"/>
  </cols>
  <sheetData>
    <row r="3" spans="1:5" x14ac:dyDescent="0.25">
      <c r="A3" s="129" t="s">
        <v>596</v>
      </c>
      <c r="B3" s="129" t="s">
        <v>597</v>
      </c>
      <c r="C3" s="129"/>
      <c r="D3" s="198"/>
      <c r="E3" s="129"/>
    </row>
    <row r="4" spans="1:5" x14ac:dyDescent="0.25">
      <c r="A4" s="79" t="s">
        <v>44</v>
      </c>
      <c r="B4">
        <v>0</v>
      </c>
    </row>
    <row r="5" spans="1:5" x14ac:dyDescent="0.25">
      <c r="A5" s="79" t="s">
        <v>421</v>
      </c>
      <c r="B5">
        <v>85</v>
      </c>
      <c r="D5" s="130">
        <f>GETPIVOTDATA("#Tests",$A$3,"ETA","wk-1")/GETPIVOTDATA("#Tests",$A$3)</f>
        <v>0.17</v>
      </c>
      <c r="E5" s="131">
        <f>D5</f>
        <v>0.17</v>
      </c>
    </row>
    <row r="6" spans="1:5" x14ac:dyDescent="0.25">
      <c r="A6" s="79" t="s">
        <v>422</v>
      </c>
      <c r="B6">
        <v>48</v>
      </c>
      <c r="D6" s="130">
        <f>GETPIVOTDATA("#Tests",$A$3,"ETA","wk-2")/GETPIVOTDATA("#Tests",$A$3)</f>
        <v>9.6000000000000002E-2</v>
      </c>
      <c r="E6" s="131">
        <f t="shared" ref="E6:E12" si="0">E5+D6</f>
        <v>0.26600000000000001</v>
      </c>
    </row>
    <row r="7" spans="1:5" x14ac:dyDescent="0.25">
      <c r="A7" s="79" t="s">
        <v>423</v>
      </c>
      <c r="B7">
        <v>96</v>
      </c>
      <c r="D7" s="130">
        <f>GETPIVOTDATA("#Tests",$A$3,"ETA","wk-3")/GETPIVOTDATA("#Tests",$A$3)</f>
        <v>0.192</v>
      </c>
      <c r="E7" s="131">
        <f t="shared" si="0"/>
        <v>0.45800000000000002</v>
      </c>
    </row>
    <row r="8" spans="1:5" x14ac:dyDescent="0.25">
      <c r="A8" s="79" t="s">
        <v>428</v>
      </c>
      <c r="B8">
        <v>79</v>
      </c>
      <c r="D8" s="130">
        <f>GETPIVOTDATA("#Tests",$A$3,"ETA","wk-4")/GETPIVOTDATA("#Tests",$A$3)</f>
        <v>0.158</v>
      </c>
      <c r="E8" s="131">
        <f t="shared" si="0"/>
        <v>0.61599999999999999</v>
      </c>
    </row>
    <row r="9" spans="1:5" x14ac:dyDescent="0.25">
      <c r="A9" s="79" t="s">
        <v>426</v>
      </c>
      <c r="B9">
        <v>82</v>
      </c>
      <c r="D9" s="130">
        <f>GETPIVOTDATA("#Tests",$A$3,"ETA","wk-5")/GETPIVOTDATA("#Tests",$A$3)</f>
        <v>0.16400000000000001</v>
      </c>
      <c r="E9" s="131">
        <f t="shared" si="0"/>
        <v>0.78</v>
      </c>
    </row>
    <row r="10" spans="1:5" x14ac:dyDescent="0.25">
      <c r="A10" s="79" t="s">
        <v>424</v>
      </c>
      <c r="B10">
        <v>60</v>
      </c>
      <c r="D10" s="130">
        <f>GETPIVOTDATA("#Tests",$A$3,"ETA","wk-6")/GETPIVOTDATA("#Tests",$A$3)</f>
        <v>0.12</v>
      </c>
      <c r="E10" s="131">
        <f t="shared" si="0"/>
        <v>0.9</v>
      </c>
    </row>
    <row r="11" spans="1:5" x14ac:dyDescent="0.25">
      <c r="A11" s="79" t="s">
        <v>425</v>
      </c>
      <c r="B11">
        <v>30</v>
      </c>
      <c r="D11" s="130">
        <f>GETPIVOTDATA("#Tests",$A$3,"ETA","wk-7")/GETPIVOTDATA("#Tests",$A$3)</f>
        <v>0.06</v>
      </c>
      <c r="E11" s="131">
        <f t="shared" si="0"/>
        <v>0.96</v>
      </c>
    </row>
    <row r="12" spans="1:5" x14ac:dyDescent="0.25">
      <c r="A12" s="79" t="s">
        <v>427</v>
      </c>
      <c r="B12">
        <v>20</v>
      </c>
      <c r="D12" s="130">
        <f>GETPIVOTDATA("#Tests",$A$3,"ETA","wk-8")/GETPIVOTDATA("#Tests",$A$3)</f>
        <v>0.04</v>
      </c>
      <c r="E12" s="131">
        <f t="shared" si="0"/>
        <v>1</v>
      </c>
    </row>
    <row r="13" spans="1:5" x14ac:dyDescent="0.25">
      <c r="A13" s="79" t="s">
        <v>414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documentManagement/types"/>
    <ds:schemaRef ds:uri="http://purl.org/dc/terms/"/>
    <ds:schemaRef ds:uri="http://schemas.microsoft.com/office/2006/metadata/properties"/>
    <ds:schemaRef ds:uri="http://www.w3.org/XML/1998/namespace"/>
    <ds:schemaRef ds:uri="http://schemas.microsoft.com/office/infopath/2007/PartnerControls"/>
    <ds:schemaRef ds:uri="http://purl.org/dc/dcmitype/"/>
    <ds:schemaRef ds:uri="http://schemas.openxmlformats.org/package/2006/metadata/core-properties"/>
    <ds:schemaRef ds:uri="ec5a97c5-2653-49c6-b3a5-07f7dd96f613"/>
    <ds:schemaRef ds:uri="6d5e1dd9-3d6d-4d57-aaa4-c6398f910d60"/>
    <ds:schemaRef ds:uri="http://purl.org/dc/elements/1.1/"/>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DB7E816-2AC6-4BB0-A41A-4A92C872F1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8914ebd-7e6c-4e12-a031-a9906be2db14}" enabled="1" method="Standar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Diags Raw Data</vt:lpstr>
      <vt:lpstr>Feature Raw Data</vt:lpstr>
      <vt:lpstr>Sub-IP Block Summary</vt:lpstr>
      <vt:lpstr>Feature Summary</vt:lpstr>
      <vt:lpstr>Progress (WIP)</vt:lpstr>
      <vt:lpstr>Progress</vt:lpstr>
      <vt:lpstr>Lookup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2024-06-21T21:47:33Z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