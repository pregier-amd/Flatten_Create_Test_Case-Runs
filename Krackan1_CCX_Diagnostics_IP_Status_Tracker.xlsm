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amdcloud-my.sharepoint.com/personal/sharsha_amd_com/Documents/Documents/Project/programs/Strix/"/>
    </mc:Choice>
  </mc:AlternateContent>
  <xr:revisionPtr revIDLastSave="391" documentId="13_ncr:1_{FA6AE058-4DFB-4F91-B8B1-AFA28DF56F64}" xr6:coauthVersionLast="36" xr6:coauthVersionMax="47" xr10:uidLastSave="{66B17BB1-B584-45B2-AB02-7AA8CD6511DD}"/>
  <bookViews>
    <workbookView xWindow="28680" yWindow="-120" windowWidth="29040" windowHeight="158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61" r:id="rId8"/>
    <sheet name="Feature Summary" sheetId="55" r:id="rId9"/>
    <sheet name="Progress (WIP)" sheetId="26" state="hidden" r:id="rId10"/>
    <sheet name="Progress" sheetId="51" r:id="rId11"/>
    <sheet name="Coverage Plan" sheetId="57" state="hidden" r:id="rId12"/>
  </sheets>
  <externalReferences>
    <externalReference r:id="rId13"/>
  </externalReferences>
  <definedNames>
    <definedName name="_xlnm._FilterDatabase" localSheetId="5" hidden="1">'Diags Raw Data'!$5:$148</definedName>
    <definedName name="_xlnm._FilterDatabase" localSheetId="8" hidden="1">'Feature Summary'!$A$6:$U$156</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ETA_V">[1]Lookup!$A$2:$A$41</definedName>
  </definedNames>
  <calcPr calcId="191028"/>
  <pivotCaches>
    <pivotCache cacheId="16867" r:id="rId14"/>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P121" i="53" l="1"/>
  <c r="S121" i="53"/>
  <c r="X121" i="53"/>
  <c r="Z121" i="53"/>
  <c r="AE121" i="53"/>
  <c r="AG121" i="53"/>
  <c r="P122" i="53"/>
  <c r="S122" i="53"/>
  <c r="X122" i="53"/>
  <c r="Z122" i="53"/>
  <c r="AE122" i="53"/>
  <c r="AG122" i="53"/>
  <c r="P123" i="53"/>
  <c r="S123" i="53"/>
  <c r="X123" i="53"/>
  <c r="Z123" i="53"/>
  <c r="AE123" i="53"/>
  <c r="AG123" i="53"/>
  <c r="P124" i="53"/>
  <c r="S124" i="53"/>
  <c r="X124" i="53"/>
  <c r="Z124" i="53"/>
  <c r="AE124" i="53"/>
  <c r="P125" i="53"/>
  <c r="S125" i="53"/>
  <c r="X125" i="53"/>
  <c r="Z125" i="53"/>
  <c r="AE125" i="53"/>
  <c r="P126" i="53"/>
  <c r="S126" i="53"/>
  <c r="X126" i="53"/>
  <c r="Z126" i="53"/>
  <c r="AE126" i="53"/>
  <c r="P127" i="53"/>
  <c r="S127" i="53"/>
  <c r="X127" i="53"/>
  <c r="Z127" i="53"/>
  <c r="AE127" i="53"/>
  <c r="P128" i="53"/>
  <c r="S128" i="53"/>
  <c r="X128" i="53"/>
  <c r="Z128" i="53"/>
  <c r="AE128" i="53"/>
  <c r="P129" i="53"/>
  <c r="S129" i="53"/>
  <c r="X129" i="53"/>
  <c r="Z129" i="53"/>
  <c r="AE129" i="53"/>
  <c r="P130" i="53"/>
  <c r="S130" i="53"/>
  <c r="X130" i="53"/>
  <c r="Z130" i="53"/>
  <c r="AE130" i="53"/>
  <c r="P131" i="53"/>
  <c r="S131" i="53"/>
  <c r="X131" i="53"/>
  <c r="Z131" i="53"/>
  <c r="AE131" i="53"/>
  <c r="P132" i="53"/>
  <c r="S132" i="53"/>
  <c r="X132" i="53"/>
  <c r="Z132" i="53"/>
  <c r="AE132" i="53"/>
  <c r="P133" i="53"/>
  <c r="S133" i="53"/>
  <c r="X133" i="53"/>
  <c r="Z133" i="53"/>
  <c r="AE133" i="53"/>
  <c r="P134" i="53"/>
  <c r="S134" i="53"/>
  <c r="X134" i="53"/>
  <c r="Z134" i="53"/>
  <c r="AE134" i="53"/>
  <c r="P135" i="53"/>
  <c r="S135" i="53"/>
  <c r="X135" i="53"/>
  <c r="Z135" i="53"/>
  <c r="AE135" i="53"/>
  <c r="P136" i="53"/>
  <c r="S136" i="53"/>
  <c r="X136" i="53"/>
  <c r="Z136" i="53"/>
  <c r="AE136" i="53"/>
  <c r="P137" i="53"/>
  <c r="S137" i="53"/>
  <c r="X137" i="53"/>
  <c r="Z137" i="53"/>
  <c r="AE137" i="53"/>
  <c r="P138" i="53"/>
  <c r="S138" i="53"/>
  <c r="X138" i="53"/>
  <c r="Z138" i="53"/>
  <c r="AE138" i="53"/>
  <c r="P139" i="53"/>
  <c r="S139" i="53"/>
  <c r="X139" i="53"/>
  <c r="Z139" i="53"/>
  <c r="AE139" i="53"/>
  <c r="P140" i="53"/>
  <c r="S140" i="53"/>
  <c r="X140" i="53"/>
  <c r="Z140" i="53"/>
  <c r="AE140" i="53"/>
  <c r="P141" i="53"/>
  <c r="S141" i="53"/>
  <c r="X141" i="53"/>
  <c r="Z141" i="53"/>
  <c r="AE141" i="53"/>
  <c r="P142" i="53"/>
  <c r="S142" i="53"/>
  <c r="X142" i="53"/>
  <c r="Z142" i="53"/>
  <c r="AE142" i="53"/>
  <c r="G143" i="53"/>
  <c r="P143" i="53"/>
  <c r="S143" i="53"/>
  <c r="X143" i="53"/>
  <c r="Z143" i="53"/>
  <c r="AE143" i="53"/>
  <c r="P144" i="53"/>
  <c r="S144" i="53"/>
  <c r="X144" i="53"/>
  <c r="Z144" i="53"/>
  <c r="AE144" i="53"/>
  <c r="P145" i="53"/>
  <c r="S145" i="53"/>
  <c r="X145" i="53"/>
  <c r="Z145" i="53"/>
  <c r="AE145" i="53"/>
  <c r="P146" i="53"/>
  <c r="S146" i="53"/>
  <c r="X146" i="53"/>
  <c r="Z146" i="53"/>
  <c r="AE146" i="53"/>
  <c r="B122" i="55"/>
  <c r="C122" i="55"/>
  <c r="G121" i="53"/>
  <c r="D122" i="55" a="1"/>
  <c r="D122" i="55"/>
  <c r="E122" i="55"/>
  <c r="F122" i="55"/>
  <c r="I122" i="55"/>
  <c r="J122" i="55"/>
  <c r="P122" i="55"/>
  <c r="Q122" i="55"/>
  <c r="B123" i="55"/>
  <c r="C123" i="55"/>
  <c r="G122" i="53"/>
  <c r="D123" i="55" a="1"/>
  <c r="D123" i="55"/>
  <c r="E123" i="55"/>
  <c r="F123" i="55"/>
  <c r="I123" i="55"/>
  <c r="J123" i="55"/>
  <c r="P123" i="55"/>
  <c r="Q123" i="55"/>
  <c r="B124" i="55"/>
  <c r="C124" i="55"/>
  <c r="G123" i="53"/>
  <c r="D124" i="55" a="1"/>
  <c r="D124" i="55"/>
  <c r="E124" i="55"/>
  <c r="F124" i="55"/>
  <c r="I124" i="55"/>
  <c r="J124" i="55"/>
  <c r="Q124" i="55"/>
  <c r="S8" i="53"/>
  <c r="D149" i="55" a="1"/>
  <c r="D149" i="55"/>
  <c r="G149" i="55"/>
  <c r="B142" i="55"/>
  <c r="C142" i="55"/>
  <c r="G141" i="53"/>
  <c r="D142" i="55" a="1"/>
  <c r="D142" i="55"/>
  <c r="H142" i="55"/>
  <c r="E142" i="55"/>
  <c r="F142" i="55"/>
  <c r="I142" i="55"/>
  <c r="J142" i="55"/>
  <c r="B143" i="55"/>
  <c r="C143" i="55"/>
  <c r="G142" i="53"/>
  <c r="D143" i="55" a="1"/>
  <c r="D143" i="55"/>
  <c r="H143" i="55"/>
  <c r="E143" i="55"/>
  <c r="F143" i="55"/>
  <c r="I143" i="55"/>
  <c r="J143" i="55"/>
  <c r="B144" i="55"/>
  <c r="C144" i="55"/>
  <c r="D144" i="55" a="1"/>
  <c r="D144" i="55"/>
  <c r="H144" i="55"/>
  <c r="E144" i="55"/>
  <c r="F144" i="55"/>
  <c r="I144" i="55"/>
  <c r="J144" i="55"/>
  <c r="B145" i="55"/>
  <c r="C145" i="55"/>
  <c r="G144" i="53"/>
  <c r="D145" i="55" a="1"/>
  <c r="D145" i="55"/>
  <c r="G145" i="55"/>
  <c r="E145" i="55"/>
  <c r="F145" i="55"/>
  <c r="I145" i="55"/>
  <c r="J145" i="55"/>
  <c r="B146" i="55"/>
  <c r="C146" i="55"/>
  <c r="G145" i="53"/>
  <c r="D146" i="55" a="1"/>
  <c r="D146" i="55"/>
  <c r="G146" i="55"/>
  <c r="E146" i="55"/>
  <c r="F146" i="55"/>
  <c r="I146" i="55"/>
  <c r="J146" i="55"/>
  <c r="B147" i="55"/>
  <c r="C147" i="55"/>
  <c r="G146" i="53"/>
  <c r="D147" i="55" a="1"/>
  <c r="D147" i="55"/>
  <c r="E147" i="55"/>
  <c r="F147" i="55"/>
  <c r="I147" i="55"/>
  <c r="J147" i="55"/>
  <c r="B148" i="55"/>
  <c r="C148" i="55"/>
  <c r="D148" i="55" a="1"/>
  <c r="D148" i="55"/>
  <c r="G148" i="55"/>
  <c r="E148" i="55"/>
  <c r="F148" i="55"/>
  <c r="I148" i="55"/>
  <c r="J148" i="55"/>
  <c r="B149" i="55"/>
  <c r="C149" i="55"/>
  <c r="E149" i="55"/>
  <c r="F149" i="55"/>
  <c r="I149" i="55"/>
  <c r="J149" i="55"/>
  <c r="B101" i="55"/>
  <c r="C101" i="55"/>
  <c r="D101" i="55" a="1"/>
  <c r="D101" i="55"/>
  <c r="G101" i="55"/>
  <c r="E101" i="55"/>
  <c r="F101" i="55"/>
  <c r="I101" i="55"/>
  <c r="J101" i="55"/>
  <c r="B102" i="55"/>
  <c r="C102" i="55"/>
  <c r="G101" i="53"/>
  <c r="D102" i="55" a="1"/>
  <c r="D102" i="55"/>
  <c r="G102" i="55"/>
  <c r="E102" i="55"/>
  <c r="F102" i="55"/>
  <c r="I102" i="55"/>
  <c r="J102" i="55"/>
  <c r="B103" i="55"/>
  <c r="C103" i="55"/>
  <c r="G102" i="53"/>
  <c r="D103" i="55" a="1"/>
  <c r="D103" i="55"/>
  <c r="G103" i="55"/>
  <c r="E103" i="55"/>
  <c r="F103" i="55"/>
  <c r="I103" i="55"/>
  <c r="J103" i="55"/>
  <c r="B104" i="55"/>
  <c r="C104" i="55"/>
  <c r="D104" i="55" a="1"/>
  <c r="D104" i="55"/>
  <c r="G104" i="55"/>
  <c r="E104" i="55"/>
  <c r="F104" i="55"/>
  <c r="I104" i="55"/>
  <c r="J104" i="55"/>
  <c r="B105" i="55"/>
  <c r="C105" i="55"/>
  <c r="G104" i="53"/>
  <c r="D105" i="55" a="1"/>
  <c r="D105" i="55"/>
  <c r="G105" i="55"/>
  <c r="E105" i="55"/>
  <c r="F105" i="55"/>
  <c r="I105" i="55"/>
  <c r="J105" i="55"/>
  <c r="B106" i="55"/>
  <c r="C106" i="55"/>
  <c r="G105" i="53"/>
  <c r="D106" i="55" a="1"/>
  <c r="D106" i="55"/>
  <c r="E106" i="55"/>
  <c r="F106" i="55"/>
  <c r="I106" i="55"/>
  <c r="J106" i="55"/>
  <c r="B107" i="55"/>
  <c r="C107" i="55"/>
  <c r="D107" i="55" a="1"/>
  <c r="D107" i="55"/>
  <c r="G107" i="55"/>
  <c r="E107" i="55"/>
  <c r="F107" i="55"/>
  <c r="I107" i="55"/>
  <c r="J107" i="55"/>
  <c r="B108" i="55"/>
  <c r="C108" i="55"/>
  <c r="D108" i="55" a="1"/>
  <c r="D108" i="55"/>
  <c r="E108" i="55"/>
  <c r="F108" i="55"/>
  <c r="I108" i="55"/>
  <c r="J108" i="55"/>
  <c r="B109" i="55"/>
  <c r="C109" i="55"/>
  <c r="G108" i="53"/>
  <c r="D109" i="55" a="1"/>
  <c r="D109" i="55"/>
  <c r="G109" i="55"/>
  <c r="E109" i="55"/>
  <c r="F109" i="55"/>
  <c r="I109" i="55"/>
  <c r="J109" i="55"/>
  <c r="B110" i="55"/>
  <c r="C110" i="55"/>
  <c r="G109" i="53"/>
  <c r="D110" i="55" a="1"/>
  <c r="D110" i="55"/>
  <c r="G110" i="55"/>
  <c r="E110" i="55"/>
  <c r="F110" i="55"/>
  <c r="I110" i="55"/>
  <c r="J110" i="55"/>
  <c r="B111" i="55"/>
  <c r="C111" i="55"/>
  <c r="G110" i="53"/>
  <c r="D111" i="55" a="1"/>
  <c r="D111" i="55"/>
  <c r="H111" i="55"/>
  <c r="E111" i="55"/>
  <c r="F111" i="55"/>
  <c r="I111" i="55"/>
  <c r="J111" i="55"/>
  <c r="B112" i="55"/>
  <c r="C112" i="55"/>
  <c r="G111" i="53"/>
  <c r="D112" i="55" a="1"/>
  <c r="D112" i="55"/>
  <c r="E112" i="55"/>
  <c r="F112" i="55"/>
  <c r="I112" i="55"/>
  <c r="J112" i="55"/>
  <c r="B113" i="55"/>
  <c r="C113" i="55"/>
  <c r="D113" i="55" a="1"/>
  <c r="D113" i="55"/>
  <c r="G113" i="55"/>
  <c r="E113" i="55"/>
  <c r="F113" i="55"/>
  <c r="I113" i="55"/>
  <c r="J113" i="55"/>
  <c r="B114" i="55"/>
  <c r="C114" i="55"/>
  <c r="G113" i="53"/>
  <c r="D114" i="55" a="1"/>
  <c r="D114" i="55"/>
  <c r="E114" i="55"/>
  <c r="F114" i="55"/>
  <c r="I114" i="55"/>
  <c r="J114" i="55"/>
  <c r="B115" i="55"/>
  <c r="C115" i="55"/>
  <c r="G114" i="53"/>
  <c r="D115" i="55" a="1"/>
  <c r="D115" i="55"/>
  <c r="G115" i="55"/>
  <c r="E115" i="55"/>
  <c r="F115" i="55"/>
  <c r="I115" i="55"/>
  <c r="J115" i="55"/>
  <c r="B116" i="55"/>
  <c r="C116" i="55"/>
  <c r="D116" i="55" a="1"/>
  <c r="D116" i="55"/>
  <c r="G116" i="55"/>
  <c r="E116" i="55"/>
  <c r="F116" i="55"/>
  <c r="I116" i="55"/>
  <c r="J116" i="55"/>
  <c r="B117" i="55"/>
  <c r="C117" i="55"/>
  <c r="D117" i="55" a="1"/>
  <c r="D117" i="55"/>
  <c r="G117" i="55"/>
  <c r="E117" i="55"/>
  <c r="F117" i="55"/>
  <c r="I117" i="55"/>
  <c r="J117" i="55"/>
  <c r="B118" i="55"/>
  <c r="C118" i="55"/>
  <c r="G117" i="53"/>
  <c r="D118" i="55" a="1"/>
  <c r="D118" i="55"/>
  <c r="H118" i="55"/>
  <c r="E118" i="55"/>
  <c r="F118" i="55"/>
  <c r="I118" i="55"/>
  <c r="J118" i="55"/>
  <c r="B119" i="55"/>
  <c r="C119" i="55"/>
  <c r="G118" i="53"/>
  <c r="D119" i="55" a="1"/>
  <c r="D119" i="55"/>
  <c r="E119" i="55"/>
  <c r="F119" i="55"/>
  <c r="I119" i="55"/>
  <c r="J119" i="55"/>
  <c r="B120" i="55"/>
  <c r="C120" i="55"/>
  <c r="D120" i="55" a="1"/>
  <c r="D120" i="55"/>
  <c r="H120" i="55"/>
  <c r="E120" i="55"/>
  <c r="F120" i="55"/>
  <c r="I120" i="55"/>
  <c r="J120" i="55"/>
  <c r="B121" i="55"/>
  <c r="C121" i="55"/>
  <c r="G120" i="53"/>
  <c r="D121" i="55" a="1"/>
  <c r="D121" i="55"/>
  <c r="H121" i="55"/>
  <c r="E121" i="55"/>
  <c r="F121" i="55"/>
  <c r="I121" i="55"/>
  <c r="J121" i="55"/>
  <c r="B125" i="55"/>
  <c r="C125" i="55"/>
  <c r="G124" i="53"/>
  <c r="D125" i="55" a="1"/>
  <c r="D125" i="55"/>
  <c r="H125" i="55"/>
  <c r="E125" i="55"/>
  <c r="F125" i="55"/>
  <c r="I125" i="55"/>
  <c r="J125" i="55"/>
  <c r="B126" i="55"/>
  <c r="C126" i="55"/>
  <c r="G125" i="53"/>
  <c r="D126" i="55" a="1"/>
  <c r="D126" i="55"/>
  <c r="E126" i="55"/>
  <c r="F126" i="55"/>
  <c r="I126" i="55"/>
  <c r="J126" i="55"/>
  <c r="B127" i="55"/>
  <c r="C127" i="55"/>
  <c r="G126" i="53"/>
  <c r="D127" i="55" a="1"/>
  <c r="D127" i="55"/>
  <c r="E127" i="55"/>
  <c r="F127" i="55"/>
  <c r="I127" i="55"/>
  <c r="J127" i="55"/>
  <c r="B128" i="55"/>
  <c r="C128" i="55"/>
  <c r="G127" i="53"/>
  <c r="D128" i="55" a="1"/>
  <c r="D128" i="55"/>
  <c r="E128" i="55"/>
  <c r="F128" i="55"/>
  <c r="I128" i="55"/>
  <c r="J128" i="55"/>
  <c r="B129" i="55"/>
  <c r="C129" i="55"/>
  <c r="G128" i="53"/>
  <c r="D129" i="55" a="1"/>
  <c r="D129" i="55"/>
  <c r="E129" i="55"/>
  <c r="F129" i="55"/>
  <c r="I129" i="55"/>
  <c r="J129" i="55"/>
  <c r="B130" i="55"/>
  <c r="C130" i="55"/>
  <c r="G129" i="53"/>
  <c r="D130" i="55" a="1"/>
  <c r="D130" i="55"/>
  <c r="H130" i="55"/>
  <c r="E130" i="55"/>
  <c r="F130" i="55"/>
  <c r="I130" i="55"/>
  <c r="J130" i="55"/>
  <c r="B131" i="55"/>
  <c r="C131" i="55"/>
  <c r="G130" i="53"/>
  <c r="D131" i="55" a="1"/>
  <c r="D131" i="55"/>
  <c r="H131" i="55"/>
  <c r="E131" i="55"/>
  <c r="F131" i="55"/>
  <c r="I131" i="55"/>
  <c r="J131" i="55"/>
  <c r="B132" i="55"/>
  <c r="C132" i="55"/>
  <c r="G131" i="53"/>
  <c r="D132" i="55" a="1"/>
  <c r="D132" i="55"/>
  <c r="G132" i="55"/>
  <c r="E132" i="55"/>
  <c r="F132" i="55"/>
  <c r="I132" i="55"/>
  <c r="J132" i="55"/>
  <c r="B133" i="55"/>
  <c r="C133" i="55"/>
  <c r="G132" i="53"/>
  <c r="D133" i="55" a="1"/>
  <c r="D133" i="55"/>
  <c r="G133" i="55"/>
  <c r="E133" i="55"/>
  <c r="F133" i="55"/>
  <c r="I133" i="55"/>
  <c r="J133" i="55"/>
  <c r="B134" i="55"/>
  <c r="C134" i="55"/>
  <c r="G133" i="53"/>
  <c r="D134" i="55" a="1"/>
  <c r="D134" i="55"/>
  <c r="G134" i="55"/>
  <c r="E134" i="55"/>
  <c r="F134" i="55"/>
  <c r="I134" i="55"/>
  <c r="J134" i="55"/>
  <c r="B135" i="55"/>
  <c r="C135" i="55"/>
  <c r="G134" i="53"/>
  <c r="D135" i="55" a="1"/>
  <c r="D135" i="55"/>
  <c r="G135" i="55"/>
  <c r="E135" i="55"/>
  <c r="F135" i="55"/>
  <c r="I135" i="55"/>
  <c r="J135" i="55"/>
  <c r="B136" i="55"/>
  <c r="C136" i="55"/>
  <c r="G135" i="53"/>
  <c r="D136" i="55" a="1"/>
  <c r="D136" i="55"/>
  <c r="G136" i="55"/>
  <c r="E136" i="55"/>
  <c r="F136" i="55"/>
  <c r="I136" i="55"/>
  <c r="J136" i="55"/>
  <c r="B137" i="55"/>
  <c r="C137" i="55"/>
  <c r="G136" i="53"/>
  <c r="D137" i="55" a="1"/>
  <c r="D137" i="55"/>
  <c r="E137" i="55"/>
  <c r="F137" i="55"/>
  <c r="I137" i="55"/>
  <c r="J137" i="55"/>
  <c r="B138" i="55"/>
  <c r="C138" i="55"/>
  <c r="G137" i="53"/>
  <c r="D138" i="55" a="1"/>
  <c r="D138" i="55"/>
  <c r="H138" i="55"/>
  <c r="E138" i="55"/>
  <c r="F138" i="55"/>
  <c r="I138" i="55"/>
  <c r="J138" i="55"/>
  <c r="B139" i="55"/>
  <c r="C139" i="55"/>
  <c r="G138" i="53"/>
  <c r="D139" i="55" a="1"/>
  <c r="D139" i="55"/>
  <c r="H139" i="55"/>
  <c r="E139" i="55"/>
  <c r="F139" i="55"/>
  <c r="I139" i="55"/>
  <c r="J139" i="55"/>
  <c r="B140" i="55"/>
  <c r="C140" i="55"/>
  <c r="G139" i="53"/>
  <c r="D140" i="55" a="1"/>
  <c r="D140" i="55"/>
  <c r="H140" i="55"/>
  <c r="E140" i="55"/>
  <c r="F140" i="55"/>
  <c r="I140" i="55"/>
  <c r="J140" i="55"/>
  <c r="B141" i="55"/>
  <c r="C141" i="55"/>
  <c r="G140" i="53"/>
  <c r="D141" i="55" a="1"/>
  <c r="D141" i="55"/>
  <c r="H141" i="55"/>
  <c r="E141" i="55"/>
  <c r="F141" i="55"/>
  <c r="I141" i="55"/>
  <c r="J141" i="55"/>
  <c r="B10" i="55"/>
  <c r="C10" i="55"/>
  <c r="G9" i="53"/>
  <c r="D10" i="55" a="1"/>
  <c r="D10" i="55"/>
  <c r="G10" i="55"/>
  <c r="E10" i="55"/>
  <c r="F10" i="55"/>
  <c r="I10" i="55"/>
  <c r="J10" i="55"/>
  <c r="B11" i="55"/>
  <c r="C11" i="55"/>
  <c r="G10" i="53"/>
  <c r="D11" i="55" a="1"/>
  <c r="D11" i="55"/>
  <c r="G11" i="55"/>
  <c r="E11" i="55"/>
  <c r="F11" i="55"/>
  <c r="I11" i="55"/>
  <c r="J11" i="55"/>
  <c r="B12" i="55"/>
  <c r="C12" i="55"/>
  <c r="G11" i="53"/>
  <c r="D12" i="55" a="1"/>
  <c r="D12" i="55"/>
  <c r="E12" i="55"/>
  <c r="F12" i="55"/>
  <c r="I12" i="55"/>
  <c r="J12" i="55"/>
  <c r="B13" i="55"/>
  <c r="C13" i="55"/>
  <c r="G12" i="53"/>
  <c r="D13" i="55" a="1"/>
  <c r="D13" i="55"/>
  <c r="G13" i="55"/>
  <c r="E13" i="55"/>
  <c r="F13" i="55"/>
  <c r="I13" i="55"/>
  <c r="J13" i="55"/>
  <c r="B14" i="55"/>
  <c r="C14" i="55"/>
  <c r="G13" i="53"/>
  <c r="D14" i="55" a="1"/>
  <c r="D14" i="55"/>
  <c r="G14" i="55"/>
  <c r="E14" i="55"/>
  <c r="F14" i="55"/>
  <c r="I14" i="55"/>
  <c r="J14" i="55"/>
  <c r="B15" i="55"/>
  <c r="C15" i="55"/>
  <c r="G14" i="53"/>
  <c r="D15" i="55" a="1"/>
  <c r="D15" i="55"/>
  <c r="G15" i="55"/>
  <c r="E15" i="55"/>
  <c r="F15" i="55"/>
  <c r="I15" i="55"/>
  <c r="J15" i="55"/>
  <c r="B16" i="55"/>
  <c r="C16" i="55"/>
  <c r="D16" i="55" a="1"/>
  <c r="D16" i="55"/>
  <c r="E16" i="55"/>
  <c r="F16" i="55"/>
  <c r="I16" i="55"/>
  <c r="J16" i="55"/>
  <c r="B17" i="55"/>
  <c r="C17" i="55"/>
  <c r="G16" i="53"/>
  <c r="D17" i="55" a="1"/>
  <c r="D17" i="55"/>
  <c r="H17" i="55"/>
  <c r="E17" i="55"/>
  <c r="F17" i="55"/>
  <c r="I17" i="55"/>
  <c r="J17" i="55"/>
  <c r="B18" i="55"/>
  <c r="C18" i="55"/>
  <c r="G17" i="53"/>
  <c r="D18" i="55" a="1"/>
  <c r="D18" i="55"/>
  <c r="E18" i="55"/>
  <c r="F18" i="55"/>
  <c r="I18" i="55"/>
  <c r="J18" i="55"/>
  <c r="B19" i="55"/>
  <c r="C19" i="55"/>
  <c r="D19" i="55" a="1"/>
  <c r="D19" i="55"/>
  <c r="H19" i="55"/>
  <c r="E19" i="55"/>
  <c r="F19" i="55"/>
  <c r="I19" i="55"/>
  <c r="J19" i="55"/>
  <c r="B20" i="55"/>
  <c r="C20" i="55"/>
  <c r="D20" i="55" a="1"/>
  <c r="D20" i="55"/>
  <c r="G20" i="55"/>
  <c r="E20" i="55"/>
  <c r="F20" i="55"/>
  <c r="I20" i="55"/>
  <c r="J20" i="55"/>
  <c r="B21" i="55"/>
  <c r="C21" i="55"/>
  <c r="G20" i="53"/>
  <c r="G21" i="55"/>
  <c r="E21" i="55"/>
  <c r="F21" i="55"/>
  <c r="I21" i="55"/>
  <c r="J21" i="55"/>
  <c r="B22" i="55"/>
  <c r="C22" i="55"/>
  <c r="G21" i="53"/>
  <c r="D22" i="55" a="1"/>
  <c r="D22" i="55"/>
  <c r="G22" i="55"/>
  <c r="E22" i="55"/>
  <c r="F22" i="55"/>
  <c r="I22" i="55"/>
  <c r="J22" i="55"/>
  <c r="B23" i="55"/>
  <c r="C23" i="55"/>
  <c r="G22" i="53"/>
  <c r="D23" i="55" a="1"/>
  <c r="D23" i="55"/>
  <c r="E23" i="55"/>
  <c r="F23" i="55"/>
  <c r="I23" i="55"/>
  <c r="J23" i="55"/>
  <c r="B24" i="55"/>
  <c r="C24" i="55"/>
  <c r="G23" i="53"/>
  <c r="D24" i="55" a="1"/>
  <c r="D24" i="55"/>
  <c r="G24" i="55"/>
  <c r="E24" i="55"/>
  <c r="F24" i="55"/>
  <c r="I24" i="55"/>
  <c r="J24" i="55"/>
  <c r="B25" i="55"/>
  <c r="C25" i="55"/>
  <c r="G24" i="53"/>
  <c r="D25" i="55" a="1"/>
  <c r="D25" i="55"/>
  <c r="E25" i="55"/>
  <c r="F25" i="55"/>
  <c r="I25" i="55"/>
  <c r="J25" i="55"/>
  <c r="R25" i="55"/>
  <c r="B26" i="55"/>
  <c r="C26" i="55"/>
  <c r="G25" i="53"/>
  <c r="D26" i="55" a="1"/>
  <c r="D26" i="55"/>
  <c r="E26" i="55"/>
  <c r="F26" i="55"/>
  <c r="I26" i="55"/>
  <c r="J26" i="55"/>
  <c r="B27" i="55"/>
  <c r="C27" i="55"/>
  <c r="G26" i="53"/>
  <c r="D27" i="55" a="1"/>
  <c r="D27" i="55"/>
  <c r="G27" i="55"/>
  <c r="E27" i="55"/>
  <c r="F27" i="55"/>
  <c r="I27" i="55"/>
  <c r="J27" i="55"/>
  <c r="B28" i="55"/>
  <c r="C28" i="55"/>
  <c r="G27" i="53"/>
  <c r="D28" i="55" a="1"/>
  <c r="D28" i="55"/>
  <c r="H28" i="55"/>
  <c r="E28" i="55"/>
  <c r="F28" i="55"/>
  <c r="I28" i="55"/>
  <c r="J28" i="55"/>
  <c r="B29" i="55"/>
  <c r="C29" i="55"/>
  <c r="G28" i="53"/>
  <c r="D29" i="55" a="1"/>
  <c r="D29" i="55"/>
  <c r="E29" i="55"/>
  <c r="F29" i="55"/>
  <c r="I29" i="55"/>
  <c r="J29" i="55"/>
  <c r="B30" i="55"/>
  <c r="C30" i="55"/>
  <c r="G29" i="53"/>
  <c r="E30" i="55"/>
  <c r="F30" i="55"/>
  <c r="I30" i="55"/>
  <c r="J30" i="55"/>
  <c r="B31" i="55"/>
  <c r="C31" i="55"/>
  <c r="G30" i="53"/>
  <c r="D31" i="55" a="1"/>
  <c r="D31" i="55"/>
  <c r="H31" i="55"/>
  <c r="E31" i="55"/>
  <c r="F31" i="55"/>
  <c r="I31" i="55"/>
  <c r="J31" i="55"/>
  <c r="B32" i="55"/>
  <c r="C32" i="55"/>
  <c r="G31" i="53"/>
  <c r="D32" i="55" a="1"/>
  <c r="D32" i="55"/>
  <c r="G32" i="55"/>
  <c r="E32" i="55"/>
  <c r="F32" i="55"/>
  <c r="I32" i="55"/>
  <c r="J32" i="55"/>
  <c r="B33" i="55"/>
  <c r="C33" i="55"/>
  <c r="G32" i="53"/>
  <c r="D33" i="55" a="1"/>
  <c r="D33" i="55"/>
  <c r="E33" i="55"/>
  <c r="F33" i="55"/>
  <c r="I33" i="55"/>
  <c r="J33" i="55"/>
  <c r="B34" i="55"/>
  <c r="C34" i="55"/>
  <c r="G33" i="53"/>
  <c r="D34" i="55" a="1"/>
  <c r="D34" i="55"/>
  <c r="E34" i="55"/>
  <c r="F34" i="55"/>
  <c r="I34" i="55"/>
  <c r="J34" i="55"/>
  <c r="B35" i="55"/>
  <c r="C35" i="55"/>
  <c r="G34" i="53"/>
  <c r="D35" i="55" a="1"/>
  <c r="D35" i="55"/>
  <c r="H35" i="55"/>
  <c r="E35" i="55"/>
  <c r="F35" i="55"/>
  <c r="I35" i="55"/>
  <c r="J35" i="55"/>
  <c r="B36" i="55"/>
  <c r="C36" i="55"/>
  <c r="G35" i="53"/>
  <c r="D36" i="55" a="1"/>
  <c r="D36" i="55"/>
  <c r="H36" i="55"/>
  <c r="E36" i="55"/>
  <c r="F36" i="55"/>
  <c r="I36" i="55"/>
  <c r="J36" i="55"/>
  <c r="B37" i="55"/>
  <c r="C37" i="55"/>
  <c r="G36" i="53"/>
  <c r="D37" i="55" a="1"/>
  <c r="D37" i="55"/>
  <c r="E37" i="55"/>
  <c r="F37" i="55"/>
  <c r="I37" i="55"/>
  <c r="J37" i="55"/>
  <c r="B38" i="55"/>
  <c r="C38" i="55"/>
  <c r="G37" i="53"/>
  <c r="D38" i="55" a="1"/>
  <c r="D38" i="55"/>
  <c r="E38" i="55"/>
  <c r="F38" i="55"/>
  <c r="I38" i="55"/>
  <c r="J38" i="55"/>
  <c r="B39" i="55"/>
  <c r="C39" i="55"/>
  <c r="G38" i="53"/>
  <c r="D39" i="55" a="1"/>
  <c r="D39" i="55"/>
  <c r="G39" i="55"/>
  <c r="E39" i="55"/>
  <c r="F39" i="55"/>
  <c r="I39" i="55"/>
  <c r="J39" i="55"/>
  <c r="B40" i="55"/>
  <c r="C40" i="55"/>
  <c r="G39" i="53"/>
  <c r="D40" i="55" a="1"/>
  <c r="D40" i="55"/>
  <c r="E40" i="55"/>
  <c r="F40" i="55"/>
  <c r="I40" i="55"/>
  <c r="J40" i="55"/>
  <c r="B41" i="55"/>
  <c r="C41" i="55"/>
  <c r="G40" i="53"/>
  <c r="D41" i="55" a="1"/>
  <c r="D41" i="55"/>
  <c r="H41" i="55"/>
  <c r="E41" i="55"/>
  <c r="F41" i="55"/>
  <c r="I41" i="55"/>
  <c r="J41" i="55"/>
  <c r="B42" i="55"/>
  <c r="C42" i="55"/>
  <c r="G41" i="53"/>
  <c r="D42" i="55" a="1"/>
  <c r="D42" i="55"/>
  <c r="G42" i="55"/>
  <c r="E42" i="55"/>
  <c r="F42" i="55"/>
  <c r="I42" i="55"/>
  <c r="J42" i="55"/>
  <c r="B43" i="55"/>
  <c r="C43" i="55"/>
  <c r="G42" i="53"/>
  <c r="D43" i="55" a="1"/>
  <c r="D43" i="55"/>
  <c r="G43" i="55"/>
  <c r="E43" i="55"/>
  <c r="F43" i="55"/>
  <c r="I43" i="55"/>
  <c r="J43" i="55"/>
  <c r="B44" i="55"/>
  <c r="C44" i="55"/>
  <c r="G43" i="53"/>
  <c r="D44" i="55" a="1"/>
  <c r="D44" i="55"/>
  <c r="E44" i="55"/>
  <c r="F44" i="55"/>
  <c r="I44" i="55"/>
  <c r="J44" i="55"/>
  <c r="B45" i="55"/>
  <c r="C45" i="55"/>
  <c r="G44" i="53"/>
  <c r="D45" i="55" a="1"/>
  <c r="D45" i="55"/>
  <c r="G45" i="55"/>
  <c r="E45" i="55"/>
  <c r="F45" i="55"/>
  <c r="I45" i="55"/>
  <c r="J45" i="55"/>
  <c r="B46" i="55"/>
  <c r="C46" i="55"/>
  <c r="G45" i="53"/>
  <c r="D46" i="55" a="1"/>
  <c r="D46" i="55"/>
  <c r="H46" i="55"/>
  <c r="E46" i="55"/>
  <c r="F46" i="55"/>
  <c r="I46" i="55"/>
  <c r="J46" i="55"/>
  <c r="B47" i="55"/>
  <c r="C47" i="55"/>
  <c r="G46" i="53"/>
  <c r="D47" i="55" a="1"/>
  <c r="D47" i="55"/>
  <c r="H47" i="55"/>
  <c r="E47" i="55"/>
  <c r="F47" i="55"/>
  <c r="I47" i="55"/>
  <c r="J47" i="55"/>
  <c r="B48" i="55"/>
  <c r="C48" i="55"/>
  <c r="G47" i="53"/>
  <c r="D48" i="55" a="1"/>
  <c r="D48" i="55"/>
  <c r="G48" i="55"/>
  <c r="E48" i="55"/>
  <c r="F48" i="55"/>
  <c r="I48" i="55"/>
  <c r="J48" i="55"/>
  <c r="B49" i="55"/>
  <c r="C49" i="55"/>
  <c r="G48" i="53"/>
  <c r="D49" i="55" a="1"/>
  <c r="D49" i="55"/>
  <c r="E49" i="55"/>
  <c r="F49" i="55"/>
  <c r="I49" i="55"/>
  <c r="J49" i="55"/>
  <c r="B50" i="55"/>
  <c r="C50" i="55"/>
  <c r="G49" i="53"/>
  <c r="D50" i="55" a="1"/>
  <c r="D50" i="55"/>
  <c r="E50" i="55"/>
  <c r="F50" i="55"/>
  <c r="I50" i="55"/>
  <c r="J50" i="55"/>
  <c r="B51" i="55"/>
  <c r="C51" i="55"/>
  <c r="G50" i="53"/>
  <c r="D51" i="55" a="1"/>
  <c r="D51" i="55"/>
  <c r="H51" i="55"/>
  <c r="E51" i="55"/>
  <c r="F51" i="55"/>
  <c r="I51" i="55"/>
  <c r="J51" i="55"/>
  <c r="B52" i="55"/>
  <c r="C52" i="55"/>
  <c r="G51" i="53"/>
  <c r="D52" i="55" a="1"/>
  <c r="D52" i="55"/>
  <c r="H52" i="55"/>
  <c r="E52" i="55"/>
  <c r="F52" i="55"/>
  <c r="I52" i="55"/>
  <c r="J52" i="55"/>
  <c r="B53" i="55"/>
  <c r="C53" i="55"/>
  <c r="G52" i="53"/>
  <c r="D53" i="55" a="1"/>
  <c r="D53" i="55"/>
  <c r="E53" i="55"/>
  <c r="F53" i="55"/>
  <c r="I53" i="55"/>
  <c r="J53" i="55"/>
  <c r="B54" i="55"/>
  <c r="C54" i="55"/>
  <c r="G53" i="53"/>
  <c r="D54" i="55" a="1"/>
  <c r="D54" i="55"/>
  <c r="H54" i="55"/>
  <c r="E54" i="55"/>
  <c r="F54" i="55"/>
  <c r="I54" i="55"/>
  <c r="J54" i="55"/>
  <c r="B55" i="55"/>
  <c r="C55" i="55"/>
  <c r="G54" i="53"/>
  <c r="D55" i="55" a="1"/>
  <c r="D55" i="55"/>
  <c r="E55" i="55"/>
  <c r="F55" i="55"/>
  <c r="I55" i="55"/>
  <c r="J55" i="55"/>
  <c r="B56" i="55"/>
  <c r="C56" i="55"/>
  <c r="G55" i="53"/>
  <c r="H56" i="55"/>
  <c r="E56" i="55"/>
  <c r="F56" i="55"/>
  <c r="I56" i="55"/>
  <c r="J56" i="55"/>
  <c r="B57" i="55"/>
  <c r="C57" i="55"/>
  <c r="G56" i="53"/>
  <c r="D57" i="55" a="1"/>
  <c r="D57" i="55"/>
  <c r="G57" i="55"/>
  <c r="E57" i="55"/>
  <c r="F57" i="55"/>
  <c r="I57" i="55"/>
  <c r="J57" i="55"/>
  <c r="B58" i="55"/>
  <c r="C58" i="55"/>
  <c r="G57" i="53"/>
  <c r="D58" i="55" a="1"/>
  <c r="D58" i="55"/>
  <c r="E58" i="55"/>
  <c r="F58" i="55"/>
  <c r="I58" i="55"/>
  <c r="J58" i="55"/>
  <c r="B59" i="55"/>
  <c r="C59" i="55"/>
  <c r="G58" i="53"/>
  <c r="D59" i="55" a="1"/>
  <c r="D59" i="55"/>
  <c r="E59" i="55"/>
  <c r="F59" i="55"/>
  <c r="I59" i="55"/>
  <c r="J59" i="55"/>
  <c r="B60" i="55"/>
  <c r="C60" i="55"/>
  <c r="G59" i="53"/>
  <c r="D60" i="55" a="1"/>
  <c r="D60" i="55"/>
  <c r="E60" i="55"/>
  <c r="F60" i="55"/>
  <c r="I60" i="55"/>
  <c r="J60" i="55"/>
  <c r="B61" i="55"/>
  <c r="C61" i="55"/>
  <c r="G60" i="53"/>
  <c r="D61" i="55" a="1"/>
  <c r="D61" i="55"/>
  <c r="E61" i="55"/>
  <c r="F61" i="55"/>
  <c r="I61" i="55"/>
  <c r="J61" i="55"/>
  <c r="B62" i="55"/>
  <c r="C62" i="55"/>
  <c r="G61" i="53"/>
  <c r="E62" i="55"/>
  <c r="F62" i="55"/>
  <c r="I62" i="55"/>
  <c r="J62" i="55"/>
  <c r="B63" i="55"/>
  <c r="C63" i="55"/>
  <c r="D63" i="55" a="1"/>
  <c r="D63" i="55"/>
  <c r="H63" i="55"/>
  <c r="E63" i="55"/>
  <c r="F63" i="55"/>
  <c r="I63" i="55"/>
  <c r="J63" i="55"/>
  <c r="B64" i="55"/>
  <c r="C64" i="55"/>
  <c r="G63" i="53"/>
  <c r="D64" i="55" a="1"/>
  <c r="D64" i="55"/>
  <c r="G64" i="55"/>
  <c r="E64" i="55"/>
  <c r="F64" i="55"/>
  <c r="I64" i="55"/>
  <c r="J64" i="55"/>
  <c r="B65" i="55"/>
  <c r="C65" i="55"/>
  <c r="G64" i="53"/>
  <c r="D65" i="55" a="1"/>
  <c r="D65" i="55"/>
  <c r="G65" i="55"/>
  <c r="E65" i="55"/>
  <c r="F65" i="55"/>
  <c r="I65" i="55"/>
  <c r="J65" i="55"/>
  <c r="B66" i="55"/>
  <c r="C66" i="55"/>
  <c r="G65" i="53"/>
  <c r="D66" i="55" a="1"/>
  <c r="D66" i="55"/>
  <c r="H66" i="55"/>
  <c r="E66" i="55"/>
  <c r="F66" i="55"/>
  <c r="I66" i="55"/>
  <c r="J66" i="55"/>
  <c r="B67" i="55"/>
  <c r="C67" i="55"/>
  <c r="G66" i="53"/>
  <c r="D67" i="55" a="1"/>
  <c r="D67" i="55"/>
  <c r="E67" i="55"/>
  <c r="F67" i="55"/>
  <c r="I67" i="55"/>
  <c r="J67" i="55"/>
  <c r="B68" i="55"/>
  <c r="C68" i="55"/>
  <c r="G67" i="53"/>
  <c r="D68" i="55" a="1"/>
  <c r="D68" i="55"/>
  <c r="G68" i="55"/>
  <c r="E68" i="55"/>
  <c r="F68" i="55"/>
  <c r="I68" i="55"/>
  <c r="J68" i="55"/>
  <c r="B69" i="55"/>
  <c r="C69" i="55"/>
  <c r="G68" i="53"/>
  <c r="D69" i="55" a="1"/>
  <c r="D69" i="55"/>
  <c r="G69" i="55"/>
  <c r="E69" i="55"/>
  <c r="F69" i="55"/>
  <c r="I69" i="55"/>
  <c r="J69" i="55"/>
  <c r="B70" i="55"/>
  <c r="C70" i="55"/>
  <c r="G69" i="53"/>
  <c r="D70" i="55" a="1"/>
  <c r="D70" i="55"/>
  <c r="E70" i="55"/>
  <c r="F70" i="55"/>
  <c r="I70" i="55"/>
  <c r="J70" i="55"/>
  <c r="B71" i="55"/>
  <c r="C71" i="55"/>
  <c r="G70" i="53"/>
  <c r="D71" i="55" a="1"/>
  <c r="D71" i="55"/>
  <c r="E71" i="55"/>
  <c r="F71" i="55"/>
  <c r="I71" i="55"/>
  <c r="J71" i="55"/>
  <c r="B72" i="55"/>
  <c r="C72" i="55"/>
  <c r="G71" i="53"/>
  <c r="D72" i="55" a="1"/>
  <c r="D72" i="55"/>
  <c r="E72" i="55"/>
  <c r="F72" i="55"/>
  <c r="I72" i="55"/>
  <c r="J72" i="55"/>
  <c r="B73" i="55"/>
  <c r="C73" i="55"/>
  <c r="G72" i="53"/>
  <c r="D73" i="55" a="1"/>
  <c r="D73" i="55"/>
  <c r="E73" i="55"/>
  <c r="F73" i="55"/>
  <c r="I73" i="55"/>
  <c r="J73" i="55"/>
  <c r="R73" i="55"/>
  <c r="B74" i="55"/>
  <c r="C74" i="55"/>
  <c r="G73" i="53"/>
  <c r="D74" i="55" a="1"/>
  <c r="D74" i="55"/>
  <c r="G74" i="55"/>
  <c r="E74" i="55"/>
  <c r="F74" i="55"/>
  <c r="I74" i="55"/>
  <c r="J74" i="55"/>
  <c r="B75" i="55"/>
  <c r="C75" i="55"/>
  <c r="G74" i="53"/>
  <c r="D75" i="55" a="1"/>
  <c r="D75" i="55"/>
  <c r="G75" i="55"/>
  <c r="E75" i="55"/>
  <c r="F75" i="55"/>
  <c r="I75" i="55"/>
  <c r="J75" i="55"/>
  <c r="B76" i="55"/>
  <c r="C76" i="55"/>
  <c r="G75" i="53"/>
  <c r="D76" i="55" a="1"/>
  <c r="D76" i="55"/>
  <c r="H76" i="55"/>
  <c r="E76" i="55"/>
  <c r="F76" i="55"/>
  <c r="I76" i="55"/>
  <c r="J76" i="55"/>
  <c r="B77" i="55"/>
  <c r="C77" i="55"/>
  <c r="G76" i="53"/>
  <c r="D77" i="55" a="1"/>
  <c r="D77" i="55"/>
  <c r="H77" i="55"/>
  <c r="E77" i="55"/>
  <c r="F77" i="55"/>
  <c r="I77" i="55"/>
  <c r="J77" i="55"/>
  <c r="B78" i="55"/>
  <c r="C78" i="55"/>
  <c r="G77" i="53"/>
  <c r="D78" i="55" a="1"/>
  <c r="D78" i="55"/>
  <c r="H78" i="55"/>
  <c r="E78" i="55"/>
  <c r="F78" i="55"/>
  <c r="I78" i="55"/>
  <c r="J78" i="55"/>
  <c r="B79" i="55"/>
  <c r="C79" i="55"/>
  <c r="G78" i="53"/>
  <c r="D79" i="55" a="1"/>
  <c r="D79" i="55"/>
  <c r="E79" i="55"/>
  <c r="F79" i="55"/>
  <c r="I79" i="55"/>
  <c r="J79" i="55"/>
  <c r="B80" i="55"/>
  <c r="C80" i="55"/>
  <c r="G79" i="53"/>
  <c r="D80" i="55" a="1"/>
  <c r="D80" i="55"/>
  <c r="H80" i="55"/>
  <c r="E80" i="55"/>
  <c r="F80" i="55"/>
  <c r="I80" i="55"/>
  <c r="J80" i="55"/>
  <c r="B81" i="55"/>
  <c r="C81" i="55"/>
  <c r="G80" i="53"/>
  <c r="D81" i="55" a="1"/>
  <c r="D81" i="55"/>
  <c r="E81" i="55"/>
  <c r="F81" i="55"/>
  <c r="I81" i="55"/>
  <c r="J81" i="55"/>
  <c r="R81" i="55"/>
  <c r="B82" i="55"/>
  <c r="C82" i="55"/>
  <c r="G81" i="53"/>
  <c r="D82" i="55" a="1"/>
  <c r="D82" i="55"/>
  <c r="G82" i="55"/>
  <c r="E82" i="55"/>
  <c r="F82" i="55"/>
  <c r="I82" i="55"/>
  <c r="J82" i="55"/>
  <c r="R82" i="55"/>
  <c r="B83" i="55"/>
  <c r="C83" i="55"/>
  <c r="G82" i="53"/>
  <c r="D83" i="55" a="1"/>
  <c r="D83" i="55"/>
  <c r="E83" i="55"/>
  <c r="F83" i="55"/>
  <c r="I83" i="55"/>
  <c r="J83" i="55"/>
  <c r="B84" i="55"/>
  <c r="C84" i="55"/>
  <c r="G83" i="53"/>
  <c r="D84" i="55" a="1"/>
  <c r="D84" i="55"/>
  <c r="H84" i="55"/>
  <c r="E84" i="55"/>
  <c r="F84" i="55"/>
  <c r="I84" i="55"/>
  <c r="J84" i="55"/>
  <c r="R84" i="55"/>
  <c r="B85" i="55"/>
  <c r="C85" i="55"/>
  <c r="G84" i="53"/>
  <c r="D85" i="55" a="1"/>
  <c r="D85" i="55"/>
  <c r="H85" i="55"/>
  <c r="E85" i="55"/>
  <c r="F85" i="55"/>
  <c r="I85" i="55"/>
  <c r="J85" i="55"/>
  <c r="B86" i="55"/>
  <c r="C86" i="55"/>
  <c r="G85" i="53"/>
  <c r="D86" i="55" a="1"/>
  <c r="D86" i="55"/>
  <c r="G86" i="55"/>
  <c r="E86" i="55"/>
  <c r="F86" i="55"/>
  <c r="I86" i="55"/>
  <c r="J86" i="55"/>
  <c r="B87" i="55"/>
  <c r="C87" i="55"/>
  <c r="G86" i="53"/>
  <c r="D87" i="55" a="1"/>
  <c r="D87" i="55"/>
  <c r="E87" i="55"/>
  <c r="F87" i="55"/>
  <c r="I87" i="55"/>
  <c r="J87" i="55"/>
  <c r="B88" i="55"/>
  <c r="C88" i="55"/>
  <c r="G87" i="53"/>
  <c r="D88" i="55" a="1"/>
  <c r="D88" i="55"/>
  <c r="G88" i="55"/>
  <c r="E88" i="55"/>
  <c r="F88" i="55"/>
  <c r="I88" i="55"/>
  <c r="J88" i="55"/>
  <c r="B89" i="55"/>
  <c r="C89" i="55"/>
  <c r="G88" i="53"/>
  <c r="D89" i="55" a="1"/>
  <c r="D89" i="55"/>
  <c r="E89" i="55"/>
  <c r="F89" i="55"/>
  <c r="I89" i="55"/>
  <c r="J89" i="55"/>
  <c r="B90" i="55"/>
  <c r="C90" i="55"/>
  <c r="G89" i="53"/>
  <c r="D90" i="55" a="1"/>
  <c r="D90" i="55"/>
  <c r="G90" i="55"/>
  <c r="E90" i="55"/>
  <c r="F90" i="55"/>
  <c r="I90" i="55"/>
  <c r="J90" i="55"/>
  <c r="B91" i="55"/>
  <c r="C91" i="55"/>
  <c r="G90" i="53"/>
  <c r="D91" i="55" a="1"/>
  <c r="D91" i="55"/>
  <c r="H91" i="55"/>
  <c r="E91" i="55"/>
  <c r="F91" i="55"/>
  <c r="I91" i="55"/>
  <c r="J91" i="55"/>
  <c r="B92" i="55"/>
  <c r="C92" i="55"/>
  <c r="G91" i="53"/>
  <c r="D92" i="55" a="1"/>
  <c r="D92" i="55"/>
  <c r="E92" i="55"/>
  <c r="F92" i="55"/>
  <c r="I92" i="55"/>
  <c r="J92" i="55"/>
  <c r="B93" i="55"/>
  <c r="C93" i="55"/>
  <c r="G92" i="53"/>
  <c r="D93" i="55" a="1"/>
  <c r="D93" i="55"/>
  <c r="G93" i="55"/>
  <c r="E93" i="55"/>
  <c r="F93" i="55"/>
  <c r="I93" i="55"/>
  <c r="J93" i="55"/>
  <c r="B94" i="55"/>
  <c r="C94" i="55"/>
  <c r="G93" i="53"/>
  <c r="D94" i="55" a="1"/>
  <c r="D94" i="55"/>
  <c r="H94" i="55"/>
  <c r="E94" i="55"/>
  <c r="F94" i="55"/>
  <c r="I94" i="55"/>
  <c r="J94" i="55"/>
  <c r="B95" i="55"/>
  <c r="C95" i="55"/>
  <c r="G94" i="53"/>
  <c r="D95" i="55" a="1"/>
  <c r="D95" i="55"/>
  <c r="E95" i="55"/>
  <c r="F95" i="55"/>
  <c r="I95" i="55"/>
  <c r="J95" i="55"/>
  <c r="B96" i="55"/>
  <c r="C96" i="55"/>
  <c r="G95" i="53"/>
  <c r="D96" i="55" a="1"/>
  <c r="D96" i="55"/>
  <c r="G96" i="55"/>
  <c r="E96" i="55"/>
  <c r="F96" i="55"/>
  <c r="I96" i="55"/>
  <c r="J96" i="55"/>
  <c r="B97" i="55"/>
  <c r="C97" i="55"/>
  <c r="G96" i="53"/>
  <c r="D97" i="55" a="1"/>
  <c r="D97" i="55"/>
  <c r="G97" i="55"/>
  <c r="E97" i="55"/>
  <c r="F97" i="55"/>
  <c r="I97" i="55"/>
  <c r="J97" i="55"/>
  <c r="B98" i="55"/>
  <c r="C98" i="55"/>
  <c r="G97" i="53"/>
  <c r="D98" i="55" a="1"/>
  <c r="D98" i="55"/>
  <c r="H98" i="55"/>
  <c r="E98" i="55"/>
  <c r="F98" i="55"/>
  <c r="I98" i="55"/>
  <c r="J98" i="55"/>
  <c r="B99" i="55"/>
  <c r="C99" i="55"/>
  <c r="G98" i="53"/>
  <c r="D99" i="55" a="1"/>
  <c r="D99" i="55"/>
  <c r="G99" i="55"/>
  <c r="E99" i="55"/>
  <c r="F99" i="55"/>
  <c r="I99" i="55"/>
  <c r="J99" i="55"/>
  <c r="B100" i="55"/>
  <c r="C100" i="55"/>
  <c r="G99" i="53"/>
  <c r="D100" i="55" a="1"/>
  <c r="D100" i="55"/>
  <c r="E100" i="55"/>
  <c r="F100" i="55"/>
  <c r="I100" i="55"/>
  <c r="J100" i="55"/>
  <c r="J9" i="55"/>
  <c r="I9" i="55"/>
  <c r="F9" i="55"/>
  <c r="E9" i="55"/>
  <c r="D9" i="55" a="1"/>
  <c r="D9" i="55"/>
  <c r="C9" i="55"/>
  <c r="G8" i="53"/>
  <c r="B9" i="55"/>
  <c r="J8" i="55"/>
  <c r="I8" i="55"/>
  <c r="F8" i="55"/>
  <c r="E8" i="55"/>
  <c r="D8" i="55" a="1"/>
  <c r="D8" i="55"/>
  <c r="H8" i="55"/>
  <c r="C8" i="55"/>
  <c r="G7" i="53"/>
  <c r="B8" i="55"/>
  <c r="J7" i="55"/>
  <c r="I7" i="55"/>
  <c r="F7" i="55"/>
  <c r="E7" i="55"/>
  <c r="D7" i="55" a="1"/>
  <c r="D7" i="55"/>
  <c r="H7" i="55"/>
  <c r="C7" i="55"/>
  <c r="G6" i="53"/>
  <c r="B7" i="55"/>
  <c r="I14" i="61"/>
  <c r="I13" i="61"/>
  <c r="I12" i="61"/>
  <c r="I11" i="61"/>
  <c r="I10" i="61"/>
  <c r="I9" i="61"/>
  <c r="I8" i="61"/>
  <c r="I7" i="61"/>
  <c r="I6" i="61"/>
  <c r="I5" i="61"/>
  <c r="I4" i="61"/>
  <c r="I3" i="61"/>
  <c r="H148" i="55"/>
  <c r="G62" i="55"/>
  <c r="H62" i="55"/>
  <c r="G30" i="55"/>
  <c r="H30" i="55"/>
  <c r="G56" i="55"/>
  <c r="P79" i="53"/>
  <c r="P53" i="53"/>
  <c r="P20" i="53"/>
  <c r="P45" i="53"/>
  <c r="AI2" i="53"/>
  <c r="B17" i="59"/>
  <c r="C17" i="59"/>
  <c r="N17" i="59"/>
  <c r="D17" i="59"/>
  <c r="E17" i="59"/>
  <c r="G17" i="59"/>
  <c r="M17" i="59"/>
  <c r="H17" i="59"/>
  <c r="I17" i="59"/>
  <c r="J17" i="59"/>
  <c r="K17" i="59"/>
  <c r="O17" i="59"/>
  <c r="U17" i="59"/>
  <c r="P17" i="59"/>
  <c r="Q17" i="59"/>
  <c r="R17" i="59"/>
  <c r="S17" i="59"/>
  <c r="P55" i="53"/>
  <c r="Z7" i="53"/>
  <c r="AE7" i="53"/>
  <c r="Z8" i="53"/>
  <c r="AE8" i="53"/>
  <c r="Z9" i="53"/>
  <c r="AE9" i="53"/>
  <c r="Z10" i="53"/>
  <c r="P11" i="55"/>
  <c r="Z11" i="53"/>
  <c r="P12" i="55"/>
  <c r="Z12" i="53"/>
  <c r="Z13" i="53"/>
  <c r="Z14" i="53"/>
  <c r="P15" i="55"/>
  <c r="Z15" i="53"/>
  <c r="P16" i="55"/>
  <c r="Z16" i="53"/>
  <c r="P17" i="55"/>
  <c r="Z17" i="53"/>
  <c r="AE17" i="53"/>
  <c r="Z18" i="53"/>
  <c r="AE18" i="53"/>
  <c r="Z19" i="53"/>
  <c r="P20" i="55"/>
  <c r="Z20" i="53"/>
  <c r="Z21" i="53"/>
  <c r="P22" i="55"/>
  <c r="Z22" i="53"/>
  <c r="Z23" i="53"/>
  <c r="P24" i="55"/>
  <c r="Z24" i="53"/>
  <c r="Z25" i="53"/>
  <c r="Z26" i="53"/>
  <c r="AE26" i="53"/>
  <c r="Z27" i="53"/>
  <c r="P28" i="55"/>
  <c r="Z29" i="53"/>
  <c r="P30" i="55"/>
  <c r="Z30" i="53"/>
  <c r="P31" i="55"/>
  <c r="Z31" i="53"/>
  <c r="P32" i="55"/>
  <c r="Z32" i="53"/>
  <c r="Z33" i="53"/>
  <c r="Z34" i="53"/>
  <c r="P35" i="55"/>
  <c r="Z35" i="53"/>
  <c r="P36" i="55"/>
  <c r="Z36" i="53"/>
  <c r="Z37" i="53"/>
  <c r="AE37" i="53"/>
  <c r="Z38" i="53"/>
  <c r="AE38" i="53"/>
  <c r="Z39" i="53"/>
  <c r="P40" i="55"/>
  <c r="Z40" i="53"/>
  <c r="P41" i="55"/>
  <c r="Z41" i="53"/>
  <c r="P42" i="55"/>
  <c r="Z42" i="53"/>
  <c r="P43" i="55"/>
  <c r="Z43" i="53"/>
  <c r="Z44" i="53"/>
  <c r="P45" i="55"/>
  <c r="Z45" i="53"/>
  <c r="AE45" i="53"/>
  <c r="Z46" i="53"/>
  <c r="AE46" i="53"/>
  <c r="Z47" i="53"/>
  <c r="AE47" i="53"/>
  <c r="Z48" i="53"/>
  <c r="P49" i="55"/>
  <c r="Z49" i="53"/>
  <c r="P50" i="55"/>
  <c r="Z50" i="53"/>
  <c r="P51" i="55"/>
  <c r="Z51" i="53"/>
  <c r="Z52" i="53"/>
  <c r="Z53" i="53"/>
  <c r="AE53" i="53"/>
  <c r="Z54" i="53"/>
  <c r="Z55" i="53"/>
  <c r="AE55" i="53"/>
  <c r="Z56" i="53"/>
  <c r="AE56" i="53"/>
  <c r="Z57" i="53"/>
  <c r="AE57" i="53"/>
  <c r="Z58" i="53"/>
  <c r="AE58" i="53"/>
  <c r="Z59" i="53"/>
  <c r="Z60" i="53"/>
  <c r="AE60" i="53"/>
  <c r="Z61" i="53"/>
  <c r="Z62" i="53"/>
  <c r="AE62" i="53"/>
  <c r="Z63" i="53"/>
  <c r="Z64" i="53"/>
  <c r="AE64" i="53"/>
  <c r="Z65" i="53"/>
  <c r="AE65" i="53"/>
  <c r="Z66" i="53"/>
  <c r="AE66" i="53"/>
  <c r="Z67" i="53"/>
  <c r="AE67" i="53"/>
  <c r="Z68" i="53"/>
  <c r="P69" i="55"/>
  <c r="Z69" i="53"/>
  <c r="P70" i="55"/>
  <c r="Z70" i="53"/>
  <c r="AE70" i="53"/>
  <c r="Z71" i="53"/>
  <c r="AE71" i="53"/>
  <c r="Z72" i="53"/>
  <c r="P73" i="55"/>
  <c r="Z73" i="53"/>
  <c r="AE73" i="53"/>
  <c r="Z74" i="53"/>
  <c r="Z75" i="53"/>
  <c r="AE75" i="53"/>
  <c r="Z76" i="53"/>
  <c r="AE76" i="53"/>
  <c r="Z77" i="53"/>
  <c r="AE77" i="53"/>
  <c r="Z78" i="53"/>
  <c r="Z79" i="53"/>
  <c r="Z80" i="53"/>
  <c r="AE80" i="53"/>
  <c r="Z81" i="53"/>
  <c r="Z82" i="53"/>
  <c r="AE82" i="53"/>
  <c r="Z83" i="53"/>
  <c r="P84" i="55"/>
  <c r="S84" i="55"/>
  <c r="Z84" i="53"/>
  <c r="P85" i="55"/>
  <c r="S85" i="55"/>
  <c r="Z85" i="53"/>
  <c r="AE85" i="53"/>
  <c r="Z86" i="53"/>
  <c r="P87" i="55"/>
  <c r="Z87" i="53"/>
  <c r="Z88" i="53"/>
  <c r="AE88" i="53"/>
  <c r="Z89" i="53"/>
  <c r="P90" i="55"/>
  <c r="S90" i="55"/>
  <c r="Z90" i="53"/>
  <c r="Z91" i="53"/>
  <c r="Z92" i="53"/>
  <c r="P93" i="55"/>
  <c r="Z93" i="53"/>
  <c r="AE93" i="53"/>
  <c r="Z94" i="53"/>
  <c r="P95" i="55"/>
  <c r="Z95" i="53"/>
  <c r="AE95" i="53"/>
  <c r="Z96" i="53"/>
  <c r="AE96" i="53"/>
  <c r="Z97" i="53"/>
  <c r="P98" i="55"/>
  <c r="Z98" i="53"/>
  <c r="P99" i="55"/>
  <c r="Z99" i="53"/>
  <c r="P100" i="55"/>
  <c r="Z100" i="53"/>
  <c r="AE100" i="53"/>
  <c r="Z101" i="53"/>
  <c r="Z102" i="53"/>
  <c r="AE102" i="53"/>
  <c r="Z103" i="53"/>
  <c r="AE103" i="53"/>
  <c r="Z104" i="53"/>
  <c r="P105" i="55"/>
  <c r="Z105" i="53"/>
  <c r="Z106" i="53"/>
  <c r="P107" i="55"/>
  <c r="Z107" i="53"/>
  <c r="AE107" i="53"/>
  <c r="P108" i="55"/>
  <c r="Z108" i="53"/>
  <c r="Z109" i="53"/>
  <c r="Z110" i="53"/>
  <c r="AE110" i="53"/>
  <c r="Z111" i="53"/>
  <c r="AE111" i="53"/>
  <c r="Z112" i="53"/>
  <c r="AE112" i="53"/>
  <c r="Z113" i="53"/>
  <c r="AE113" i="53"/>
  <c r="Z114" i="53"/>
  <c r="Z115" i="53"/>
  <c r="Z116" i="53"/>
  <c r="AE116" i="53"/>
  <c r="Z117" i="53"/>
  <c r="AE117" i="53"/>
  <c r="Z118" i="53"/>
  <c r="P119" i="55"/>
  <c r="Z119" i="53"/>
  <c r="AE119" i="53"/>
  <c r="Z120" i="53"/>
  <c r="AE120" i="53"/>
  <c r="P126" i="55"/>
  <c r="P130" i="55"/>
  <c r="P134" i="55"/>
  <c r="P135" i="55"/>
  <c r="P137" i="55"/>
  <c r="P138" i="55"/>
  <c r="P139" i="55"/>
  <c r="P142" i="55"/>
  <c r="P144" i="55"/>
  <c r="P146" i="55"/>
  <c r="P147" i="55"/>
  <c r="Z147" i="53"/>
  <c r="Z148" i="53"/>
  <c r="S7" i="53"/>
  <c r="X7" i="53"/>
  <c r="X8" i="53"/>
  <c r="S9" i="53"/>
  <c r="X9" i="53"/>
  <c r="S10" i="53"/>
  <c r="X10" i="53"/>
  <c r="S11" i="53"/>
  <c r="X11" i="53"/>
  <c r="S12" i="53"/>
  <c r="X12" i="53"/>
  <c r="S13" i="53"/>
  <c r="S14" i="53"/>
  <c r="X14" i="53"/>
  <c r="S15" i="53"/>
  <c r="X15" i="53"/>
  <c r="S16" i="53"/>
  <c r="X16" i="53"/>
  <c r="S17" i="53"/>
  <c r="X17" i="53"/>
  <c r="S18" i="53"/>
  <c r="X18" i="53"/>
  <c r="S19" i="53"/>
  <c r="X19" i="53"/>
  <c r="S20" i="53"/>
  <c r="X20" i="53"/>
  <c r="S21" i="53"/>
  <c r="X21" i="53"/>
  <c r="S22" i="53"/>
  <c r="X22" i="53"/>
  <c r="S23" i="53"/>
  <c r="X23" i="53"/>
  <c r="S24" i="53"/>
  <c r="X24" i="53"/>
  <c r="S25" i="53"/>
  <c r="X25" i="53"/>
  <c r="S26" i="53"/>
  <c r="X26" i="53"/>
  <c r="S27" i="53"/>
  <c r="X27" i="53"/>
  <c r="S28" i="53"/>
  <c r="X28" i="53"/>
  <c r="S29" i="53"/>
  <c r="X29" i="53"/>
  <c r="S30" i="53"/>
  <c r="X30" i="53"/>
  <c r="S31" i="53"/>
  <c r="X31" i="53"/>
  <c r="S32" i="53"/>
  <c r="X32" i="53"/>
  <c r="S33" i="53"/>
  <c r="X33" i="53"/>
  <c r="S34" i="53"/>
  <c r="X34" i="53"/>
  <c r="S35" i="53"/>
  <c r="X35" i="53"/>
  <c r="S36" i="53"/>
  <c r="S37" i="53"/>
  <c r="X37" i="53"/>
  <c r="S38" i="53"/>
  <c r="X38" i="53"/>
  <c r="S39" i="53"/>
  <c r="X39" i="53"/>
  <c r="S40" i="53"/>
  <c r="X40" i="53"/>
  <c r="S41" i="53"/>
  <c r="X41" i="53"/>
  <c r="S42" i="53"/>
  <c r="X42" i="53"/>
  <c r="S43" i="53"/>
  <c r="X43" i="53"/>
  <c r="S44" i="53"/>
  <c r="X44" i="53"/>
  <c r="S45" i="53"/>
  <c r="X45" i="53"/>
  <c r="S46" i="53"/>
  <c r="X46" i="53"/>
  <c r="S47" i="53"/>
  <c r="X47" i="53"/>
  <c r="S48" i="53"/>
  <c r="X48" i="53"/>
  <c r="S49" i="53"/>
  <c r="X49" i="53"/>
  <c r="S50" i="53"/>
  <c r="X50" i="53"/>
  <c r="S51" i="53"/>
  <c r="X51" i="53"/>
  <c r="S52" i="53"/>
  <c r="S53" i="53"/>
  <c r="X53" i="53"/>
  <c r="S54" i="53"/>
  <c r="S55" i="53"/>
  <c r="X55" i="53"/>
  <c r="S56" i="53"/>
  <c r="X56" i="53"/>
  <c r="S57" i="53"/>
  <c r="X57" i="53"/>
  <c r="S58" i="53"/>
  <c r="S59" i="53"/>
  <c r="X59" i="53"/>
  <c r="S60" i="53"/>
  <c r="X60" i="53"/>
  <c r="S61" i="53"/>
  <c r="X61" i="53"/>
  <c r="S62" i="53"/>
  <c r="X62" i="53"/>
  <c r="S63" i="53"/>
  <c r="X63" i="53"/>
  <c r="S64" i="53"/>
  <c r="X64" i="53"/>
  <c r="S65" i="53"/>
  <c r="X65" i="53"/>
  <c r="S66" i="53"/>
  <c r="X66" i="53"/>
  <c r="S67" i="53"/>
  <c r="X67" i="53"/>
  <c r="S68" i="53"/>
  <c r="X68" i="53"/>
  <c r="S69" i="53"/>
  <c r="S70" i="53"/>
  <c r="X70" i="53"/>
  <c r="S71" i="53"/>
  <c r="X71" i="53"/>
  <c r="S72" i="53"/>
  <c r="X72" i="53"/>
  <c r="S73" i="53"/>
  <c r="X73" i="53"/>
  <c r="S74" i="53"/>
  <c r="X74" i="53"/>
  <c r="S75" i="53"/>
  <c r="X75" i="53"/>
  <c r="S76" i="53"/>
  <c r="X76" i="53"/>
  <c r="S77" i="53"/>
  <c r="X77" i="53"/>
  <c r="S78" i="53"/>
  <c r="X78" i="53"/>
  <c r="S79" i="53"/>
  <c r="X79" i="53"/>
  <c r="S80" i="53"/>
  <c r="X80" i="53"/>
  <c r="S81" i="53"/>
  <c r="X81" i="53"/>
  <c r="S82" i="53"/>
  <c r="X82" i="53"/>
  <c r="S83" i="53"/>
  <c r="X83" i="53"/>
  <c r="S84" i="53"/>
  <c r="X84" i="53"/>
  <c r="S85" i="53"/>
  <c r="X85" i="53"/>
  <c r="S86" i="53"/>
  <c r="X86" i="53"/>
  <c r="S87" i="53"/>
  <c r="X87" i="53"/>
  <c r="S88" i="53"/>
  <c r="X88" i="53"/>
  <c r="S89" i="53"/>
  <c r="X89" i="53"/>
  <c r="S90" i="53"/>
  <c r="X90" i="53"/>
  <c r="S91" i="53"/>
  <c r="X91" i="53"/>
  <c r="S92" i="53"/>
  <c r="X92" i="53"/>
  <c r="S93" i="53"/>
  <c r="X93" i="53"/>
  <c r="S94" i="53"/>
  <c r="X94" i="53"/>
  <c r="S95" i="53"/>
  <c r="X95" i="53"/>
  <c r="S96" i="53"/>
  <c r="X96" i="53"/>
  <c r="S97" i="53"/>
  <c r="X97" i="53"/>
  <c r="S98" i="53"/>
  <c r="X98" i="53"/>
  <c r="S99" i="53"/>
  <c r="X99" i="53"/>
  <c r="S100" i="53"/>
  <c r="X100" i="53"/>
  <c r="S101" i="53"/>
  <c r="X101" i="53"/>
  <c r="S102" i="53"/>
  <c r="X102" i="53"/>
  <c r="S103" i="53"/>
  <c r="X103" i="53"/>
  <c r="S104" i="53"/>
  <c r="X104" i="53"/>
  <c r="S105" i="53"/>
  <c r="X105" i="53"/>
  <c r="S106" i="53"/>
  <c r="X106" i="53"/>
  <c r="S107" i="53"/>
  <c r="X107" i="53"/>
  <c r="S108" i="53"/>
  <c r="X108" i="53"/>
  <c r="S109" i="53"/>
  <c r="X109" i="53"/>
  <c r="S110" i="53"/>
  <c r="X110" i="53"/>
  <c r="S111" i="53"/>
  <c r="X111" i="53"/>
  <c r="S112" i="53"/>
  <c r="X112" i="53"/>
  <c r="S113" i="53"/>
  <c r="X113" i="53"/>
  <c r="S114" i="53"/>
  <c r="X114" i="53"/>
  <c r="S115" i="53"/>
  <c r="S116" i="53"/>
  <c r="X116" i="53"/>
  <c r="S117" i="53"/>
  <c r="X117" i="53"/>
  <c r="S118" i="53"/>
  <c r="S119" i="53"/>
  <c r="X119" i="53"/>
  <c r="S120" i="53"/>
  <c r="X120" i="53"/>
  <c r="S147" i="53"/>
  <c r="X147" i="53"/>
  <c r="S148" i="53"/>
  <c r="X148" i="53"/>
  <c r="AG19" i="53"/>
  <c r="AG20" i="53"/>
  <c r="AG21" i="53"/>
  <c r="AG22" i="53"/>
  <c r="AG24" i="53"/>
  <c r="AG25" i="53"/>
  <c r="AG26" i="53"/>
  <c r="AG29" i="53"/>
  <c r="AG32" i="53"/>
  <c r="AG34" i="53"/>
  <c r="AG39" i="53"/>
  <c r="AG43" i="53"/>
  <c r="AG47" i="53"/>
  <c r="AG49" i="53"/>
  <c r="AG55" i="53"/>
  <c r="AG56" i="53"/>
  <c r="AG57" i="53"/>
  <c r="AG61" i="53"/>
  <c r="AG69" i="53"/>
  <c r="AG71" i="53"/>
  <c r="AG72" i="53"/>
  <c r="AG74" i="53"/>
  <c r="AG75" i="53"/>
  <c r="AG82" i="53"/>
  <c r="AG83" i="53"/>
  <c r="AG87" i="53"/>
  <c r="AG88" i="53"/>
  <c r="AG90" i="53"/>
  <c r="AG91" i="53"/>
  <c r="AG92" i="53"/>
  <c r="AG97" i="53"/>
  <c r="AG102" i="53"/>
  <c r="AG103" i="53"/>
  <c r="AG105" i="53"/>
  <c r="AG106" i="53"/>
  <c r="AG107" i="53"/>
  <c r="AG108" i="53"/>
  <c r="AG112" i="53"/>
  <c r="AG113" i="53"/>
  <c r="AG114" i="53"/>
  <c r="AG117" i="53"/>
  <c r="AG118" i="53"/>
  <c r="AG119" i="53"/>
  <c r="AG120" i="53"/>
  <c r="AG147" i="53"/>
  <c r="AG148" i="53"/>
  <c r="Z6" i="53"/>
  <c r="P7" i="55"/>
  <c r="S6" i="53"/>
  <c r="X6" i="53"/>
  <c r="G147" i="53"/>
  <c r="G119" i="53"/>
  <c r="G103" i="53"/>
  <c r="G100" i="53"/>
  <c r="G19" i="53"/>
  <c r="Q58" i="55"/>
  <c r="Q57" i="55"/>
  <c r="Q92" i="55"/>
  <c r="Q18" i="55"/>
  <c r="P17" i="53"/>
  <c r="P115" i="53"/>
  <c r="P116" i="53"/>
  <c r="P117" i="53"/>
  <c r="P118" i="53"/>
  <c r="P119" i="53"/>
  <c r="P120" i="53"/>
  <c r="P147" i="53"/>
  <c r="P112" i="53"/>
  <c r="P114" i="53"/>
  <c r="P113" i="53"/>
  <c r="P111" i="53"/>
  <c r="P110" i="53"/>
  <c r="P109" i="53"/>
  <c r="P108" i="53"/>
  <c r="P107" i="53"/>
  <c r="P106" i="53"/>
  <c r="P105" i="53"/>
  <c r="P104" i="53"/>
  <c r="P103" i="53"/>
  <c r="P102" i="53"/>
  <c r="P101" i="53"/>
  <c r="P100" i="53"/>
  <c r="P99" i="53"/>
  <c r="P98" i="53"/>
  <c r="P97" i="53"/>
  <c r="P96" i="53"/>
  <c r="P95" i="53"/>
  <c r="P94" i="53"/>
  <c r="P93" i="53"/>
  <c r="P92" i="53"/>
  <c r="P91" i="53"/>
  <c r="P90" i="53"/>
  <c r="P89" i="53"/>
  <c r="P88" i="53"/>
  <c r="P85" i="53"/>
  <c r="P84" i="53"/>
  <c r="P82" i="53"/>
  <c r="P78" i="53"/>
  <c r="P76" i="53"/>
  <c r="P74" i="53"/>
  <c r="P73" i="53"/>
  <c r="P71" i="53"/>
  <c r="P70" i="53"/>
  <c r="P69" i="53"/>
  <c r="P68" i="53"/>
  <c r="P67" i="53"/>
  <c r="P66" i="53"/>
  <c r="P64" i="53"/>
  <c r="P63" i="53"/>
  <c r="P62" i="53"/>
  <c r="P60" i="53"/>
  <c r="P59" i="53"/>
  <c r="P58" i="53"/>
  <c r="P56" i="53"/>
  <c r="P54" i="53"/>
  <c r="P51" i="53"/>
  <c r="P50" i="53"/>
  <c r="P48" i="53"/>
  <c r="P47" i="53"/>
  <c r="P46" i="53"/>
  <c r="P44" i="53"/>
  <c r="P42" i="53"/>
  <c r="P38" i="53"/>
  <c r="P37" i="53"/>
  <c r="P34" i="53"/>
  <c r="P33" i="53"/>
  <c r="P32" i="53"/>
  <c r="P31" i="53"/>
  <c r="P30" i="53"/>
  <c r="P28" i="53"/>
  <c r="P27" i="53"/>
  <c r="P26" i="53"/>
  <c r="P25" i="53"/>
  <c r="P23" i="53"/>
  <c r="P22" i="53"/>
  <c r="P21" i="53"/>
  <c r="P19" i="53"/>
  <c r="P18" i="53"/>
  <c r="P16" i="53"/>
  <c r="P15" i="53"/>
  <c r="P14" i="53"/>
  <c r="P13" i="53"/>
  <c r="P12" i="53"/>
  <c r="P11" i="53"/>
  <c r="P10" i="53"/>
  <c r="P9" i="53"/>
  <c r="P8" i="53"/>
  <c r="P7" i="53"/>
  <c r="P6" i="53"/>
  <c r="Q8" i="55"/>
  <c r="Q9" i="55"/>
  <c r="Q10" i="55"/>
  <c r="Q11" i="55"/>
  <c r="Q12" i="55"/>
  <c r="Q13" i="55"/>
  <c r="Q14" i="55"/>
  <c r="Q15" i="55"/>
  <c r="Q16" i="55"/>
  <c r="Q17" i="55"/>
  <c r="Q19" i="55"/>
  <c r="Q20" i="55"/>
  <c r="Q21" i="55"/>
  <c r="Q22" i="55"/>
  <c r="Q23" i="55"/>
  <c r="Q24" i="55"/>
  <c r="Q25" i="55"/>
  <c r="Q26" i="55"/>
  <c r="Q27" i="55"/>
  <c r="Q28" i="55"/>
  <c r="P29"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3" i="55"/>
  <c r="Q94" i="55"/>
  <c r="Q95" i="55"/>
  <c r="Q96" i="55"/>
  <c r="Q97" i="55"/>
  <c r="Q98" i="55"/>
  <c r="Q99" i="55"/>
  <c r="Q100" i="55"/>
  <c r="Q101" i="55"/>
  <c r="Q102" i="55"/>
  <c r="Q103" i="55"/>
  <c r="Q104" i="55"/>
  <c r="Q105" i="55"/>
  <c r="Q106" i="55"/>
  <c r="Q107" i="55"/>
  <c r="Q108" i="55"/>
  <c r="Q109" i="55"/>
  <c r="Q110" i="55"/>
  <c r="Q111" i="55"/>
  <c r="Q112" i="55"/>
  <c r="Q113" i="55"/>
  <c r="Q114" i="55"/>
  <c r="Q115" i="55"/>
  <c r="Q116" i="55"/>
  <c r="Q117" i="55"/>
  <c r="Q118" i="55"/>
  <c r="Q119" i="55"/>
  <c r="Q120" i="55"/>
  <c r="Q121" i="55"/>
  <c r="Q125" i="55"/>
  <c r="Q126" i="55"/>
  <c r="Q127" i="55"/>
  <c r="Q128" i="55"/>
  <c r="Q129" i="55"/>
  <c r="Q130" i="55"/>
  <c r="Q131" i="55"/>
  <c r="Q132" i="55"/>
  <c r="Q133" i="55"/>
  <c r="Q134" i="55"/>
  <c r="Q135" i="55"/>
  <c r="Q136" i="55"/>
  <c r="Q137" i="55"/>
  <c r="Q138" i="55"/>
  <c r="Q139" i="55"/>
  <c r="Q140" i="55"/>
  <c r="Q141" i="55"/>
  <c r="Q142" i="55"/>
  <c r="Q143" i="55"/>
  <c r="Q144" i="55"/>
  <c r="Q145" i="55"/>
  <c r="Q146" i="55"/>
  <c r="Q147" i="55"/>
  <c r="Q148" i="55"/>
  <c r="Q149" i="55"/>
  <c r="Q7" i="55"/>
  <c r="G148" i="53"/>
  <c r="G116" i="53"/>
  <c r="G115" i="53"/>
  <c r="G107" i="53"/>
  <c r="G106" i="53"/>
  <c r="G112" i="53"/>
  <c r="G18" i="53"/>
  <c r="B50" i="59"/>
  <c r="C50" i="59"/>
  <c r="D50" i="59"/>
  <c r="E50" i="59"/>
  <c r="H50" i="59"/>
  <c r="J50" i="59"/>
  <c r="K50" i="59"/>
  <c r="P50" i="59"/>
  <c r="Q50" i="59"/>
  <c r="R50" i="59"/>
  <c r="S50" i="59"/>
  <c r="B51" i="59"/>
  <c r="C51" i="59"/>
  <c r="D51" i="59"/>
  <c r="E51" i="59"/>
  <c r="H51" i="59"/>
  <c r="J51" i="59"/>
  <c r="K51" i="59"/>
  <c r="P51" i="59"/>
  <c r="Q51" i="59"/>
  <c r="R51" i="59"/>
  <c r="S51" i="59"/>
  <c r="B52" i="59"/>
  <c r="C52" i="59"/>
  <c r="D52" i="59"/>
  <c r="E52" i="59"/>
  <c r="H52" i="59"/>
  <c r="J52" i="59"/>
  <c r="K52" i="59"/>
  <c r="P52" i="59"/>
  <c r="Q52" i="59"/>
  <c r="R52" i="59"/>
  <c r="S52" i="59"/>
  <c r="B53" i="59"/>
  <c r="C53" i="59"/>
  <c r="L53" i="59"/>
  <c r="D53" i="59"/>
  <c r="E53" i="59"/>
  <c r="H53" i="59"/>
  <c r="J53" i="59"/>
  <c r="K53" i="59"/>
  <c r="O53" i="59"/>
  <c r="U53" i="59"/>
  <c r="P53" i="59"/>
  <c r="Q53" i="59"/>
  <c r="R53" i="59"/>
  <c r="S53" i="59"/>
  <c r="B35" i="59"/>
  <c r="F35" i="59"/>
  <c r="C35" i="59"/>
  <c r="D35" i="59"/>
  <c r="E35" i="59"/>
  <c r="G35" i="59"/>
  <c r="M35" i="59"/>
  <c r="H35" i="59"/>
  <c r="I35" i="59"/>
  <c r="J35" i="59"/>
  <c r="K35" i="59"/>
  <c r="O35" i="59"/>
  <c r="U35" i="59"/>
  <c r="P35" i="59"/>
  <c r="Q35" i="59"/>
  <c r="R35" i="59"/>
  <c r="S35" i="59"/>
  <c r="B32" i="59"/>
  <c r="T32" i="59"/>
  <c r="C32" i="59"/>
  <c r="N32" i="59"/>
  <c r="D32" i="59"/>
  <c r="E32" i="59"/>
  <c r="G32" i="59"/>
  <c r="M32" i="59"/>
  <c r="H32" i="59"/>
  <c r="I32" i="59"/>
  <c r="J32" i="59"/>
  <c r="K32" i="59"/>
  <c r="O32" i="59"/>
  <c r="U32" i="59"/>
  <c r="P32" i="59"/>
  <c r="Q32" i="59"/>
  <c r="R32" i="59"/>
  <c r="S32" i="59"/>
  <c r="B33" i="59"/>
  <c r="C33" i="59"/>
  <c r="N33" i="59"/>
  <c r="D33" i="59"/>
  <c r="E33" i="59"/>
  <c r="G33" i="59"/>
  <c r="M33" i="59"/>
  <c r="H33" i="59"/>
  <c r="I33" i="59"/>
  <c r="J33" i="59"/>
  <c r="K33" i="59"/>
  <c r="O33" i="59"/>
  <c r="U33" i="59"/>
  <c r="P33" i="59"/>
  <c r="Q33" i="59"/>
  <c r="R33" i="59"/>
  <c r="S33" i="59"/>
  <c r="B34" i="59"/>
  <c r="C34" i="59"/>
  <c r="L34" i="59"/>
  <c r="D34" i="59"/>
  <c r="E34" i="59"/>
  <c r="G34" i="59"/>
  <c r="M34" i="59"/>
  <c r="H34" i="59"/>
  <c r="I34" i="59"/>
  <c r="J34" i="59"/>
  <c r="K34" i="59"/>
  <c r="O34" i="59"/>
  <c r="U34" i="59"/>
  <c r="P34" i="59"/>
  <c r="Q34" i="59"/>
  <c r="R34" i="59"/>
  <c r="S34" i="59"/>
  <c r="D14" i="59"/>
  <c r="E14" i="59"/>
  <c r="H14" i="59"/>
  <c r="J14" i="59"/>
  <c r="K14" i="59"/>
  <c r="P14" i="59"/>
  <c r="Q14" i="59"/>
  <c r="R14" i="59"/>
  <c r="S14" i="59"/>
  <c r="D15" i="59"/>
  <c r="E15" i="59"/>
  <c r="H15" i="59"/>
  <c r="J15" i="59"/>
  <c r="K15" i="59"/>
  <c r="P15" i="59"/>
  <c r="Q15" i="59"/>
  <c r="R15" i="59"/>
  <c r="S15" i="59"/>
  <c r="D16" i="59"/>
  <c r="E16" i="59"/>
  <c r="H16" i="59"/>
  <c r="J16" i="59"/>
  <c r="K16" i="59"/>
  <c r="P16" i="59"/>
  <c r="Q16" i="59"/>
  <c r="R16" i="59"/>
  <c r="S16" i="59"/>
  <c r="C14" i="59"/>
  <c r="C15" i="59"/>
  <c r="C16" i="59"/>
  <c r="B14" i="59"/>
  <c r="B15" i="59"/>
  <c r="B16" i="59"/>
  <c r="AE94" i="53"/>
  <c r="AE28" i="53"/>
  <c r="B4" i="59"/>
  <c r="T2" i="53"/>
  <c r="R152" i="53"/>
  <c r="M2" i="55"/>
  <c r="O152" i="53"/>
  <c r="K2" i="53"/>
  <c r="K42" i="59"/>
  <c r="C13" i="59"/>
  <c r="C22" i="59"/>
  <c r="D49" i="59"/>
  <c r="D42" i="59"/>
  <c r="D43" i="59"/>
  <c r="D44" i="59"/>
  <c r="D45" i="59"/>
  <c r="D46" i="59"/>
  <c r="D47" i="59"/>
  <c r="D48" i="59"/>
  <c r="D41" i="59"/>
  <c r="D40" i="59"/>
  <c r="D31" i="59"/>
  <c r="D24" i="59"/>
  <c r="D25" i="59"/>
  <c r="D26" i="59"/>
  <c r="D27" i="59"/>
  <c r="D28" i="59"/>
  <c r="D29" i="59"/>
  <c r="D30" i="59"/>
  <c r="D23" i="59"/>
  <c r="D22" i="59"/>
  <c r="D13" i="59"/>
  <c r="D6" i="59"/>
  <c r="D7" i="59"/>
  <c r="D8" i="59"/>
  <c r="D9" i="59"/>
  <c r="D10" i="59"/>
  <c r="D11" i="59"/>
  <c r="D12" i="59"/>
  <c r="D5" i="59"/>
  <c r="D4" i="59"/>
  <c r="E8" i="59"/>
  <c r="AD2" i="53"/>
  <c r="AC2" i="53"/>
  <c r="AB2" i="53"/>
  <c r="AA2" i="53"/>
  <c r="W2" i="53"/>
  <c r="V2" i="53"/>
  <c r="R2" i="53"/>
  <c r="O2" i="53"/>
  <c r="L2" i="53"/>
  <c r="S13" i="59"/>
  <c r="R13" i="59"/>
  <c r="Q13" i="59"/>
  <c r="P13" i="59"/>
  <c r="K13" i="59"/>
  <c r="J13" i="59"/>
  <c r="I13" i="59"/>
  <c r="H13" i="59"/>
  <c r="E13" i="59"/>
  <c r="B13" i="59"/>
  <c r="S12" i="59"/>
  <c r="R12" i="59"/>
  <c r="Q12" i="59"/>
  <c r="P12" i="59"/>
  <c r="K12" i="59"/>
  <c r="J12" i="59"/>
  <c r="H12" i="59"/>
  <c r="E12" i="59"/>
  <c r="C12" i="59"/>
  <c r="B12" i="59"/>
  <c r="S11" i="59"/>
  <c r="R11" i="59"/>
  <c r="Q11" i="59"/>
  <c r="P11" i="59"/>
  <c r="K11" i="59"/>
  <c r="J11" i="59"/>
  <c r="H11" i="59"/>
  <c r="E11" i="59"/>
  <c r="C11" i="59"/>
  <c r="L11" i="59"/>
  <c r="B11" i="59"/>
  <c r="V11" i="59"/>
  <c r="S10" i="59"/>
  <c r="R10" i="59"/>
  <c r="Q10" i="59"/>
  <c r="P10" i="59"/>
  <c r="K10" i="59"/>
  <c r="J10" i="59"/>
  <c r="H10" i="59"/>
  <c r="E10" i="59"/>
  <c r="C10" i="59"/>
  <c r="B10" i="59"/>
  <c r="S9" i="59"/>
  <c r="R9" i="59"/>
  <c r="Q9" i="59"/>
  <c r="P9" i="59"/>
  <c r="K9" i="59"/>
  <c r="J9" i="59"/>
  <c r="H9" i="59"/>
  <c r="E9" i="59"/>
  <c r="C9" i="59"/>
  <c r="B9" i="59"/>
  <c r="S8" i="59"/>
  <c r="R8" i="59"/>
  <c r="Q8" i="59"/>
  <c r="P8" i="59"/>
  <c r="K8" i="59"/>
  <c r="J8" i="59"/>
  <c r="H8" i="59"/>
  <c r="C8" i="59"/>
  <c r="B8" i="59"/>
  <c r="S7" i="59"/>
  <c r="R7" i="59"/>
  <c r="Q7" i="59"/>
  <c r="P7" i="59"/>
  <c r="K7" i="59"/>
  <c r="J7" i="59"/>
  <c r="H7" i="59"/>
  <c r="E7" i="59"/>
  <c r="C7" i="59"/>
  <c r="B7" i="59"/>
  <c r="S6" i="59"/>
  <c r="R6" i="59"/>
  <c r="Q6" i="59"/>
  <c r="P6" i="59"/>
  <c r="K6" i="59"/>
  <c r="J6" i="59"/>
  <c r="H6" i="59"/>
  <c r="E6" i="59"/>
  <c r="C6" i="59"/>
  <c r="B6" i="59"/>
  <c r="S5" i="59"/>
  <c r="R5" i="59"/>
  <c r="Q5" i="59"/>
  <c r="P5" i="59"/>
  <c r="K5" i="59"/>
  <c r="J5" i="59"/>
  <c r="H5" i="59"/>
  <c r="E5" i="59"/>
  <c r="C5" i="59"/>
  <c r="B5" i="59"/>
  <c r="S4" i="59"/>
  <c r="R4" i="59"/>
  <c r="Q4" i="59"/>
  <c r="P4" i="59"/>
  <c r="K4" i="59"/>
  <c r="J4" i="59"/>
  <c r="H4" i="59"/>
  <c r="E4" i="59"/>
  <c r="C4" i="59"/>
  <c r="P46" i="59"/>
  <c r="T152" i="53"/>
  <c r="N109" i="55" a="1"/>
  <c r="N109" i="55"/>
  <c r="K152" i="53"/>
  <c r="K25" i="59"/>
  <c r="I26" i="59"/>
  <c r="C25" i="59"/>
  <c r="L25" i="59"/>
  <c r="C49" i="59"/>
  <c r="B41" i="59"/>
  <c r="K49" i="59"/>
  <c r="J49" i="59"/>
  <c r="K48" i="59"/>
  <c r="J48" i="59"/>
  <c r="K47" i="59"/>
  <c r="J47" i="59"/>
  <c r="K46" i="59"/>
  <c r="J46" i="59"/>
  <c r="K45" i="59"/>
  <c r="J45" i="59"/>
  <c r="K44" i="59"/>
  <c r="J44" i="59"/>
  <c r="K43" i="59"/>
  <c r="J43" i="59"/>
  <c r="J42" i="59"/>
  <c r="K41" i="59"/>
  <c r="J41" i="59"/>
  <c r="K40" i="59"/>
  <c r="J40" i="59"/>
  <c r="K31" i="59"/>
  <c r="J31" i="59"/>
  <c r="K30" i="59"/>
  <c r="J30" i="59"/>
  <c r="K29" i="59"/>
  <c r="J29" i="59"/>
  <c r="K28" i="59"/>
  <c r="J28" i="59"/>
  <c r="K27" i="59"/>
  <c r="J27" i="59"/>
  <c r="K26" i="59"/>
  <c r="J26" i="59"/>
  <c r="J25" i="59"/>
  <c r="K24" i="59"/>
  <c r="J24" i="59"/>
  <c r="K23" i="59"/>
  <c r="J23" i="59"/>
  <c r="K22" i="59"/>
  <c r="J22" i="59"/>
  <c r="S22" i="59"/>
  <c r="S49" i="59"/>
  <c r="R49" i="59"/>
  <c r="S48" i="59"/>
  <c r="R48" i="59"/>
  <c r="S47" i="59"/>
  <c r="R47" i="59"/>
  <c r="S46" i="59"/>
  <c r="R46" i="59"/>
  <c r="S45" i="59"/>
  <c r="R45" i="59"/>
  <c r="S44" i="59"/>
  <c r="R44" i="59"/>
  <c r="S43" i="59"/>
  <c r="R43" i="59"/>
  <c r="S42" i="59"/>
  <c r="R42" i="59"/>
  <c r="S41" i="59"/>
  <c r="R41" i="59"/>
  <c r="S40" i="59"/>
  <c r="R40" i="59"/>
  <c r="S31" i="59"/>
  <c r="R31" i="59"/>
  <c r="S30" i="59"/>
  <c r="R30" i="59"/>
  <c r="S29" i="59"/>
  <c r="R29" i="59"/>
  <c r="S28" i="59"/>
  <c r="R28" i="59"/>
  <c r="S27" i="59"/>
  <c r="R27" i="59"/>
  <c r="S26" i="59"/>
  <c r="R26" i="59"/>
  <c r="S25" i="59"/>
  <c r="R25" i="59"/>
  <c r="S24" i="59"/>
  <c r="R24" i="59"/>
  <c r="S23" i="59"/>
  <c r="R23" i="59"/>
  <c r="R22" i="59"/>
  <c r="AD152" i="53"/>
  <c r="AC152" i="53"/>
  <c r="AB152" i="53"/>
  <c r="AA152" i="53"/>
  <c r="W152" i="53"/>
  <c r="V152" i="53"/>
  <c r="L152" i="53"/>
  <c r="J155" i="55"/>
  <c r="P31" i="59"/>
  <c r="H40" i="59"/>
  <c r="C41" i="59"/>
  <c r="C42" i="59"/>
  <c r="C43" i="59"/>
  <c r="C44" i="59"/>
  <c r="C45" i="59"/>
  <c r="C46" i="59"/>
  <c r="C47" i="59"/>
  <c r="L47" i="59"/>
  <c r="C48" i="59"/>
  <c r="C40" i="59"/>
  <c r="C23" i="59"/>
  <c r="C24" i="59"/>
  <c r="N24" i="59"/>
  <c r="C26" i="59"/>
  <c r="C27" i="59"/>
  <c r="L27" i="59"/>
  <c r="C28" i="59"/>
  <c r="L28" i="59"/>
  <c r="C29" i="59"/>
  <c r="C30" i="59"/>
  <c r="L30" i="59"/>
  <c r="C31" i="59"/>
  <c r="L31" i="59"/>
  <c r="B40" i="59"/>
  <c r="B22" i="59"/>
  <c r="F22" i="59"/>
  <c r="Q23" i="59"/>
  <c r="Q24" i="59"/>
  <c r="Q25" i="59"/>
  <c r="Q26" i="59"/>
  <c r="Q27" i="59"/>
  <c r="Q28" i="59"/>
  <c r="Q29" i="59"/>
  <c r="Q30" i="59"/>
  <c r="Q31" i="59"/>
  <c r="Q22" i="59"/>
  <c r="P23" i="59"/>
  <c r="P24" i="59"/>
  <c r="P25" i="59"/>
  <c r="P26" i="59"/>
  <c r="P27" i="59"/>
  <c r="P28" i="59"/>
  <c r="P29" i="59"/>
  <c r="P30" i="59"/>
  <c r="P22" i="59"/>
  <c r="I24" i="59"/>
  <c r="I25" i="59"/>
  <c r="I27" i="59"/>
  <c r="I29" i="59"/>
  <c r="I30" i="59"/>
  <c r="I31" i="59"/>
  <c r="I22" i="59"/>
  <c r="H23" i="59"/>
  <c r="H24" i="59"/>
  <c r="H25" i="59"/>
  <c r="H26" i="59"/>
  <c r="H27" i="59"/>
  <c r="H28" i="59"/>
  <c r="H29" i="59"/>
  <c r="H30" i="59"/>
  <c r="H31" i="59"/>
  <c r="H22" i="59"/>
  <c r="E23" i="59"/>
  <c r="E24" i="59"/>
  <c r="E25" i="59"/>
  <c r="E26" i="59"/>
  <c r="E27" i="59"/>
  <c r="E28" i="59"/>
  <c r="E29" i="59"/>
  <c r="E30" i="59"/>
  <c r="E31" i="59"/>
  <c r="E22" i="59"/>
  <c r="B23" i="59"/>
  <c r="B26" i="59"/>
  <c r="F26" i="59"/>
  <c r="B24" i="59"/>
  <c r="T24" i="59"/>
  <c r="B25" i="59"/>
  <c r="V25" i="59"/>
  <c r="B27" i="59"/>
  <c r="T27" i="59"/>
  <c r="B28" i="59"/>
  <c r="B29" i="59"/>
  <c r="V29" i="59"/>
  <c r="B30" i="59"/>
  <c r="B31" i="59"/>
  <c r="T31" i="59"/>
  <c r="E41" i="59"/>
  <c r="E42" i="59"/>
  <c r="E43" i="59"/>
  <c r="E44" i="59"/>
  <c r="E45" i="59"/>
  <c r="E46" i="59"/>
  <c r="E47" i="59"/>
  <c r="E48" i="59"/>
  <c r="E49" i="59"/>
  <c r="Q41" i="59"/>
  <c r="Q42" i="59"/>
  <c r="Q43" i="59"/>
  <c r="Q44" i="59"/>
  <c r="Q45" i="59"/>
  <c r="Q46" i="59"/>
  <c r="Q47" i="59"/>
  <c r="Q48" i="59"/>
  <c r="Q49" i="59"/>
  <c r="Q40" i="59"/>
  <c r="P41" i="59"/>
  <c r="P42" i="59"/>
  <c r="P43" i="59"/>
  <c r="P44" i="59"/>
  <c r="P45" i="59"/>
  <c r="P47" i="59"/>
  <c r="P48" i="59"/>
  <c r="P49" i="59"/>
  <c r="P40" i="59"/>
  <c r="H41" i="59"/>
  <c r="H42" i="59"/>
  <c r="H43" i="59"/>
  <c r="H44" i="59"/>
  <c r="H45" i="59"/>
  <c r="H46" i="59"/>
  <c r="H47" i="59"/>
  <c r="H48" i="59"/>
  <c r="H49" i="59"/>
  <c r="E40" i="59"/>
  <c r="B42" i="59"/>
  <c r="B43" i="59"/>
  <c r="B44" i="59"/>
  <c r="B45" i="59"/>
  <c r="B46" i="59"/>
  <c r="B47" i="59"/>
  <c r="B48" i="59"/>
  <c r="B49" i="59"/>
  <c r="O31" i="59"/>
  <c r="U31" i="59"/>
  <c r="C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K12" i="26"/>
  <c r="O26" i="59"/>
  <c r="U26" i="59"/>
  <c r="G29" i="59"/>
  <c r="M29" i="59"/>
  <c r="G31" i="59"/>
  <c r="M31" i="59"/>
  <c r="G25" i="59"/>
  <c r="M25" i="59"/>
  <c r="O30" i="59"/>
  <c r="U30" i="59"/>
  <c r="G26" i="59"/>
  <c r="M26" i="59"/>
  <c r="O47" i="59"/>
  <c r="U47" i="59"/>
  <c r="O24" i="59"/>
  <c r="U24" i="59"/>
  <c r="O25" i="59"/>
  <c r="U25" i="59"/>
  <c r="O22" i="59"/>
  <c r="U22" i="59"/>
  <c r="O28" i="59"/>
  <c r="U28" i="59"/>
  <c r="O11" i="59"/>
  <c r="U11" i="59"/>
  <c r="G27" i="59"/>
  <c r="M27" i="59"/>
  <c r="AL12" i="26"/>
  <c r="I49" i="59"/>
  <c r="I12" i="59"/>
  <c r="I46" i="59"/>
  <c r="I16" i="59"/>
  <c r="I41" i="59"/>
  <c r="I6" i="59"/>
  <c r="I7" i="59"/>
  <c r="I10" i="59"/>
  <c r="I40" i="59"/>
  <c r="I23" i="59"/>
  <c r="I51" i="59"/>
  <c r="G53" i="59"/>
  <c r="M53" i="59"/>
  <c r="I53" i="59"/>
  <c r="G28" i="59"/>
  <c r="M28" i="59"/>
  <c r="G11" i="59"/>
  <c r="M11" i="59"/>
  <c r="G47" i="59"/>
  <c r="M47" i="59"/>
  <c r="I15" i="59"/>
  <c r="I50" i="59"/>
  <c r="I5" i="59"/>
  <c r="I48" i="59"/>
  <c r="I8" i="59"/>
  <c r="I52" i="59"/>
  <c r="I45" i="59"/>
  <c r="I44" i="59"/>
  <c r="I9" i="59"/>
  <c r="U2" i="53"/>
  <c r="I14" i="59"/>
  <c r="I47" i="59"/>
  <c r="I11" i="59"/>
  <c r="I43" i="59"/>
  <c r="I28" i="59"/>
  <c r="U152" i="53"/>
  <c r="I42" i="59"/>
  <c r="I4" i="59"/>
  <c r="G22" i="59"/>
  <c r="M22" i="59"/>
  <c r="O29" i="59"/>
  <c r="U29" i="59"/>
  <c r="G24" i="59"/>
  <c r="M24" i="59"/>
  <c r="D7" i="26"/>
  <c r="D6" i="26"/>
  <c r="O27" i="59"/>
  <c r="U27" i="59"/>
  <c r="G30" i="59"/>
  <c r="M30" i="59"/>
  <c r="F12" i="26"/>
  <c r="E7" i="26"/>
  <c r="F7" i="26"/>
  <c r="G7" i="26"/>
  <c r="H7" i="26"/>
  <c r="E6" i="26"/>
  <c r="I7" i="26"/>
  <c r="I6" i="26"/>
  <c r="H6" i="26"/>
  <c r="F6" i="26"/>
  <c r="K14" i="26"/>
  <c r="AB12" i="26"/>
  <c r="AE12" i="26"/>
  <c r="T12" i="26"/>
  <c r="U12" i="26"/>
  <c r="AF14" i="26"/>
  <c r="S14" i="26"/>
  <c r="G14" i="26"/>
  <c r="AA14" i="26"/>
  <c r="U14" i="26"/>
  <c r="W12" i="26"/>
  <c r="B12" i="26"/>
  <c r="R12" i="26"/>
  <c r="J7" i="26"/>
  <c r="J6" i="26"/>
  <c r="K7" i="26"/>
  <c r="K6" i="26"/>
  <c r="L7" i="26"/>
  <c r="M7" i="26"/>
  <c r="Q14" i="26"/>
  <c r="H12" i="26"/>
  <c r="D12" i="26"/>
  <c r="Q12" i="26"/>
  <c r="F14" i="26"/>
  <c r="AH12" i="26"/>
  <c r="AC12" i="26"/>
  <c r="S12" i="26"/>
  <c r="G2" i="26"/>
  <c r="I12" i="26"/>
  <c r="L12" i="26"/>
  <c r="AC14" i="26"/>
  <c r="AE14" i="26"/>
  <c r="X14" i="26"/>
  <c r="H101" i="55"/>
  <c r="AH14" i="26"/>
  <c r="J12" i="26"/>
  <c r="C12" i="26"/>
  <c r="I14" i="26"/>
  <c r="P14" i="26"/>
  <c r="Y12" i="26"/>
  <c r="AG14" i="26"/>
  <c r="AB14" i="26"/>
  <c r="P12" i="26"/>
  <c r="N14" i="26"/>
  <c r="H14" i="26"/>
  <c r="D9" i="57"/>
  <c r="D8" i="57"/>
  <c r="D10" i="57"/>
  <c r="D6" i="57"/>
  <c r="D7" i="57"/>
  <c r="D5" i="57"/>
  <c r="D12" i="57"/>
  <c r="D11" i="57"/>
  <c r="R105" i="55"/>
  <c r="R49" i="55"/>
  <c r="G143" i="55"/>
  <c r="G142" i="55"/>
  <c r="R135" i="55"/>
  <c r="R126" i="55"/>
  <c r="R40" i="55"/>
  <c r="R43" i="55"/>
  <c r="R36" i="55"/>
  <c r="AE35" i="53"/>
  <c r="AE19" i="53"/>
  <c r="AE50" i="53"/>
  <c r="M58" i="55" a="1"/>
  <c r="M58" i="55"/>
  <c r="O58" i="55"/>
  <c r="P124" i="55"/>
  <c r="S124" i="55"/>
  <c r="G144" i="55"/>
  <c r="S123" i="55"/>
  <c r="R123" i="55"/>
  <c r="R122" i="55"/>
  <c r="R30" i="55"/>
  <c r="S147" i="55"/>
  <c r="H109" i="55"/>
  <c r="H116" i="55"/>
  <c r="H146" i="55"/>
  <c r="G28" i="55"/>
  <c r="H145" i="55"/>
  <c r="G131" i="55"/>
  <c r="H107" i="55"/>
  <c r="M124" i="55" a="1"/>
  <c r="M124" i="55"/>
  <c r="AE69" i="53"/>
  <c r="AE16" i="53"/>
  <c r="S122" i="55"/>
  <c r="P65" i="55"/>
  <c r="N122" i="55" a="1"/>
  <c r="N122" i="55"/>
  <c r="M122" i="55" a="1"/>
  <c r="M122" i="55"/>
  <c r="N123" i="55" a="1"/>
  <c r="N123" i="55"/>
  <c r="M123" i="55" a="1"/>
  <c r="M123" i="55"/>
  <c r="N124" i="55" a="1"/>
  <c r="N124" i="55"/>
  <c r="G123" i="55"/>
  <c r="H123" i="55"/>
  <c r="G124" i="55"/>
  <c r="H124" i="55"/>
  <c r="G122" i="55"/>
  <c r="H122" i="55"/>
  <c r="R45" i="55"/>
  <c r="S65" i="55"/>
  <c r="R32" i="55"/>
  <c r="R41" i="55"/>
  <c r="S142" i="55"/>
  <c r="AE29" i="53"/>
  <c r="H149" i="55"/>
  <c r="AE49" i="53"/>
  <c r="P117" i="55"/>
  <c r="S117" i="55"/>
  <c r="H43" i="55"/>
  <c r="P111" i="55"/>
  <c r="R111" i="55"/>
  <c r="V14" i="59"/>
  <c r="S107" i="55"/>
  <c r="G111" i="55"/>
  <c r="H105" i="55"/>
  <c r="G63" i="55"/>
  <c r="G121" i="55"/>
  <c r="H103" i="55"/>
  <c r="G118" i="55"/>
  <c r="G139" i="55"/>
  <c r="R85" i="55"/>
  <c r="H133" i="55"/>
  <c r="S108" i="55"/>
  <c r="S93" i="55"/>
  <c r="R69" i="55"/>
  <c r="R31" i="55"/>
  <c r="S36" i="55"/>
  <c r="H14" i="55"/>
  <c r="AE23" i="53"/>
  <c r="AE83" i="53"/>
  <c r="N14" i="59"/>
  <c r="S28" i="55"/>
  <c r="S12" i="55"/>
  <c r="G52" i="55"/>
  <c r="AE84" i="53"/>
  <c r="S11" i="55"/>
  <c r="P57" i="55"/>
  <c r="S57" i="55"/>
  <c r="R15" i="55"/>
  <c r="H39" i="55"/>
  <c r="S138" i="55"/>
  <c r="S22" i="55"/>
  <c r="R35" i="55"/>
  <c r="P94" i="55"/>
  <c r="S94" i="55"/>
  <c r="V7" i="59"/>
  <c r="S49" i="55"/>
  <c r="T49" i="55"/>
  <c r="P114" i="55"/>
  <c r="R114" i="55"/>
  <c r="R98" i="55"/>
  <c r="P48" i="55"/>
  <c r="S48" i="55"/>
  <c r="S144" i="55"/>
  <c r="G47" i="55"/>
  <c r="H10" i="55"/>
  <c r="H132" i="55"/>
  <c r="G76" i="55"/>
  <c r="G54" i="55"/>
  <c r="G17" i="55"/>
  <c r="H99" i="55"/>
  <c r="H57" i="55"/>
  <c r="G46" i="55"/>
  <c r="H93" i="55"/>
  <c r="H104" i="55"/>
  <c r="H45" i="55"/>
  <c r="R108" i="55"/>
  <c r="P78" i="55"/>
  <c r="R78" i="55"/>
  <c r="M61" i="55" a="1"/>
  <c r="M61" i="55"/>
  <c r="P120" i="55"/>
  <c r="S120" i="55"/>
  <c r="AE30" i="53"/>
  <c r="H102" i="55"/>
  <c r="V15" i="59"/>
  <c r="H134" i="55"/>
  <c r="R28" i="55"/>
  <c r="M98" i="55" a="1"/>
  <c r="M98" i="55"/>
  <c r="O98" i="55"/>
  <c r="H11" i="55"/>
  <c r="G140" i="55"/>
  <c r="F6" i="59"/>
  <c r="S24" i="55"/>
  <c r="P76" i="55"/>
  <c r="R76" i="55"/>
  <c r="P72" i="55"/>
  <c r="S72" i="55"/>
  <c r="AE6" i="53"/>
  <c r="N82" i="55" a="1"/>
  <c r="N82" i="55"/>
  <c r="R100" i="55"/>
  <c r="P38" i="55"/>
  <c r="R38" i="55"/>
  <c r="R93" i="55"/>
  <c r="R87" i="55"/>
  <c r="G138" i="55"/>
  <c r="M93" i="55" a="1"/>
  <c r="M93" i="55"/>
  <c r="S29" i="55"/>
  <c r="H20" i="55"/>
  <c r="P77" i="55"/>
  <c r="R77" i="55"/>
  <c r="S20" i="55"/>
  <c r="G125" i="55"/>
  <c r="M68" i="55" a="1"/>
  <c r="M68" i="55"/>
  <c r="N143" i="55" a="1"/>
  <c r="N143" i="55"/>
  <c r="G7" i="55"/>
  <c r="G94" i="55"/>
  <c r="H65" i="55"/>
  <c r="J2" i="55"/>
  <c r="R95" i="55"/>
  <c r="H97" i="55"/>
  <c r="P8" i="55"/>
  <c r="H75" i="55"/>
  <c r="P10" i="55"/>
  <c r="R10" i="55"/>
  <c r="AE10" i="53"/>
  <c r="G98" i="55"/>
  <c r="P89" i="55"/>
  <c r="R89" i="55"/>
  <c r="H136" i="55"/>
  <c r="P131" i="55"/>
  <c r="S131" i="55"/>
  <c r="H24" i="55"/>
  <c r="M47" i="55" a="1"/>
  <c r="M47" i="55"/>
  <c r="AE27" i="53"/>
  <c r="V5" i="59"/>
  <c r="R137" i="55"/>
  <c r="O45" i="59"/>
  <c r="U45" i="59"/>
  <c r="N107" i="55" a="1"/>
  <c r="N107" i="55"/>
  <c r="N66" i="55" a="1"/>
  <c r="N66" i="55"/>
  <c r="M27" i="55" a="1"/>
  <c r="M27" i="55"/>
  <c r="N134" i="55" a="1"/>
  <c r="N134" i="55"/>
  <c r="N50" i="59"/>
  <c r="N16" i="59"/>
  <c r="O6" i="59"/>
  <c r="U6" i="59"/>
  <c r="N63" i="55" a="1"/>
  <c r="N63" i="55"/>
  <c r="H48" i="55"/>
  <c r="H42" i="55"/>
  <c r="G8" i="55"/>
  <c r="G31" i="55"/>
  <c r="P67" i="55"/>
  <c r="H32" i="55"/>
  <c r="H113" i="55"/>
  <c r="N76" i="55" a="1"/>
  <c r="N76" i="55"/>
  <c r="N128" i="55" a="1"/>
  <c r="N128" i="55"/>
  <c r="N7" i="55" a="1"/>
  <c r="N7" i="55"/>
  <c r="F12" i="59"/>
  <c r="AE34" i="53"/>
  <c r="N15" i="59"/>
  <c r="P128" i="55"/>
  <c r="S128" i="55"/>
  <c r="R99" i="55"/>
  <c r="AE41" i="53"/>
  <c r="P47" i="55"/>
  <c r="R47" i="55"/>
  <c r="S31" i="55"/>
  <c r="S15" i="55"/>
  <c r="S130" i="55"/>
  <c r="H74" i="55"/>
  <c r="N101" i="55" a="1"/>
  <c r="N101" i="55"/>
  <c r="M145" i="55" a="1"/>
  <c r="M145" i="55"/>
  <c r="H88" i="55"/>
  <c r="H64" i="55"/>
  <c r="H13" i="55"/>
  <c r="N144" i="55" a="1"/>
  <c r="N144" i="55"/>
  <c r="V52" i="59"/>
  <c r="R142" i="55"/>
  <c r="T142" i="55"/>
  <c r="M52" i="55" a="1"/>
  <c r="M52" i="55"/>
  <c r="P132" i="55"/>
  <c r="S132" i="55"/>
  <c r="N9" i="59"/>
  <c r="M54" i="55" a="1"/>
  <c r="M54" i="55"/>
  <c r="N126" i="55" a="1"/>
  <c r="N126" i="55"/>
  <c r="N40" i="55" a="1"/>
  <c r="N40" i="55"/>
  <c r="H21" i="55"/>
  <c r="P112" i="55"/>
  <c r="R112" i="55"/>
  <c r="S42" i="55"/>
  <c r="R29" i="55"/>
  <c r="T84" i="55"/>
  <c r="M147" i="55" a="1"/>
  <c r="M147" i="55"/>
  <c r="R20" i="55"/>
  <c r="G19" i="55"/>
  <c r="S146" i="55"/>
  <c r="N39" i="55" a="1"/>
  <c r="N39" i="55"/>
  <c r="N10" i="55" a="1"/>
  <c r="N10" i="55"/>
  <c r="N138" i="55" a="1"/>
  <c r="N138" i="55"/>
  <c r="M111" i="55" a="1"/>
  <c r="M111" i="55"/>
  <c r="H96" i="55"/>
  <c r="N18" i="55" a="1"/>
  <c r="N18" i="55"/>
  <c r="M79" i="55" a="1"/>
  <c r="M79" i="55"/>
  <c r="AE86" i="53"/>
  <c r="Q155" i="55"/>
  <c r="V50" i="59"/>
  <c r="S134" i="55"/>
  <c r="S87" i="55"/>
  <c r="H22" i="55"/>
  <c r="R42" i="55"/>
  <c r="N142" i="55" a="1"/>
  <c r="N142" i="55"/>
  <c r="P58" i="55"/>
  <c r="S58" i="55"/>
  <c r="N79" i="55" a="1"/>
  <c r="N79" i="55"/>
  <c r="N38" i="55" a="1"/>
  <c r="N38" i="55"/>
  <c r="N118" i="55" a="1"/>
  <c r="N118" i="55"/>
  <c r="N8" i="59"/>
  <c r="F13" i="59"/>
  <c r="R107" i="55"/>
  <c r="S16" i="55"/>
  <c r="H79" i="55"/>
  <c r="G79" i="55"/>
  <c r="G129" i="55"/>
  <c r="H129" i="55"/>
  <c r="G33" i="55"/>
  <c r="H33" i="55"/>
  <c r="H26" i="55"/>
  <c r="G26" i="55"/>
  <c r="G108" i="55"/>
  <c r="H108" i="55"/>
  <c r="R7" i="55"/>
  <c r="S7" i="55"/>
  <c r="H95" i="55"/>
  <c r="G95" i="55"/>
  <c r="H112" i="55"/>
  <c r="G112" i="55"/>
  <c r="H147" i="55"/>
  <c r="G147" i="55"/>
  <c r="S119" i="55"/>
  <c r="R119" i="55"/>
  <c r="R50" i="55"/>
  <c r="S50" i="55"/>
  <c r="R17" i="55"/>
  <c r="S17" i="55"/>
  <c r="G58" i="55"/>
  <c r="H58" i="55"/>
  <c r="N60" i="55" a="1"/>
  <c r="N60" i="55"/>
  <c r="M76" i="55" a="1"/>
  <c r="M76" i="55"/>
  <c r="M38" i="55" a="1"/>
  <c r="M38" i="55"/>
  <c r="N49" i="59"/>
  <c r="AE44" i="53"/>
  <c r="S98" i="55"/>
  <c r="P143" i="55"/>
  <c r="P118" i="55"/>
  <c r="P104" i="55"/>
  <c r="R104" i="55"/>
  <c r="R134" i="55"/>
  <c r="O42" i="59"/>
  <c r="U42" i="59"/>
  <c r="AE68" i="53"/>
  <c r="Q2" i="55"/>
  <c r="M131" i="55" a="1"/>
  <c r="M131" i="55"/>
  <c r="N8" i="55" a="1"/>
  <c r="N8" i="55"/>
  <c r="M138" i="55" a="1"/>
  <c r="M138" i="55"/>
  <c r="N90" i="55" a="1"/>
  <c r="N90" i="55"/>
  <c r="N84" i="55" a="1"/>
  <c r="N84" i="55"/>
  <c r="N43" i="55" a="1"/>
  <c r="N43" i="55"/>
  <c r="N136" i="55" a="1"/>
  <c r="N136" i="55"/>
  <c r="M55" i="55" a="1"/>
  <c r="M55" i="55"/>
  <c r="M155" i="55"/>
  <c r="N12" i="55" a="1"/>
  <c r="N12" i="55"/>
  <c r="N10" i="59"/>
  <c r="S139" i="55"/>
  <c r="H117" i="55"/>
  <c r="V13" i="59"/>
  <c r="H18" i="59"/>
  <c r="G36" i="55"/>
  <c r="R144" i="55"/>
  <c r="T144" i="55"/>
  <c r="P56" i="55"/>
  <c r="S56" i="55"/>
  <c r="N9" i="55" a="1"/>
  <c r="N9" i="55"/>
  <c r="N119" i="55" a="1"/>
  <c r="N119" i="55"/>
  <c r="N145" i="55" a="1"/>
  <c r="N145" i="55"/>
  <c r="N93" i="55" a="1"/>
  <c r="N93" i="55"/>
  <c r="M10" i="55" a="1"/>
  <c r="M10" i="55"/>
  <c r="H86" i="55"/>
  <c r="F7" i="59"/>
  <c r="AE97" i="53"/>
  <c r="S137" i="55"/>
  <c r="AE39" i="53"/>
  <c r="N7" i="59"/>
  <c r="S100" i="55"/>
  <c r="P121" i="55"/>
  <c r="R121" i="55"/>
  <c r="G85" i="55"/>
  <c r="N125" i="55" a="1"/>
  <c r="N125" i="55"/>
  <c r="M121" i="55" a="1"/>
  <c r="M121" i="55"/>
  <c r="M127" i="55" a="1"/>
  <c r="M127" i="55"/>
  <c r="N29" i="55" a="1"/>
  <c r="N29" i="55"/>
  <c r="M75" i="55" a="1"/>
  <c r="M75" i="55"/>
  <c r="N48" i="55" a="1"/>
  <c r="N48" i="55"/>
  <c r="M39" i="55" a="1"/>
  <c r="M39" i="55"/>
  <c r="R138" i="55"/>
  <c r="G13" i="59"/>
  <c r="L13" i="59"/>
  <c r="G141" i="55"/>
  <c r="C18" i="59"/>
  <c r="S45" i="55"/>
  <c r="O41" i="59"/>
  <c r="U41" i="59"/>
  <c r="G10" i="59"/>
  <c r="L10" i="59"/>
  <c r="N75" i="55" a="1"/>
  <c r="N75" i="55"/>
  <c r="N32" i="55" a="1"/>
  <c r="N32" i="55"/>
  <c r="M45" i="55" a="1"/>
  <c r="M45" i="55"/>
  <c r="M21" i="55" a="1"/>
  <c r="M21" i="55"/>
  <c r="M125" i="55" a="1"/>
  <c r="M125" i="55"/>
  <c r="G91" i="55"/>
  <c r="N12" i="59"/>
  <c r="M49" i="55" a="1"/>
  <c r="M49" i="55"/>
  <c r="M130" i="55" a="1"/>
  <c r="M130" i="55"/>
  <c r="N106" i="55" a="1"/>
  <c r="N106" i="55"/>
  <c r="N15" i="55" a="1"/>
  <c r="N15" i="55"/>
  <c r="N67" i="55" a="1"/>
  <c r="N67" i="55"/>
  <c r="N78" i="55" a="1"/>
  <c r="N78" i="55"/>
  <c r="S30" i="55"/>
  <c r="T30" i="55"/>
  <c r="N4" i="59"/>
  <c r="P74" i="55"/>
  <c r="R74" i="55"/>
  <c r="P59" i="55"/>
  <c r="R59" i="55"/>
  <c r="M44" i="55" a="1"/>
  <c r="M44" i="55"/>
  <c r="S73" i="55"/>
  <c r="T73" i="55"/>
  <c r="S95" i="55"/>
  <c r="S51" i="55"/>
  <c r="AE118" i="53"/>
  <c r="N55" i="55" a="1"/>
  <c r="N55" i="55"/>
  <c r="P18" i="55"/>
  <c r="S18" i="55"/>
  <c r="N98" i="55" a="1"/>
  <c r="N98" i="55"/>
  <c r="M43" i="55" a="1"/>
  <c r="M43" i="55"/>
  <c r="M105" i="55" a="1"/>
  <c r="M105" i="55"/>
  <c r="M71" i="55" a="1"/>
  <c r="M71" i="55"/>
  <c r="M40" i="55" a="1"/>
  <c r="M40" i="55"/>
  <c r="N74" i="55" a="1"/>
  <c r="N74" i="55"/>
  <c r="M19" i="55" a="1"/>
  <c r="M19" i="55"/>
  <c r="N140" i="55" a="1"/>
  <c r="N140" i="55"/>
  <c r="AE21" i="53"/>
  <c r="M50" i="55" a="1"/>
  <c r="M50" i="55"/>
  <c r="N87" i="55" a="1"/>
  <c r="N87" i="55"/>
  <c r="AE40" i="53"/>
  <c r="R130" i="55"/>
  <c r="AE11" i="53"/>
  <c r="M149" i="55" a="1"/>
  <c r="M149" i="55"/>
  <c r="O5" i="59"/>
  <c r="T5" i="59"/>
  <c r="M59" i="55" a="1"/>
  <c r="M59" i="55"/>
  <c r="O59" i="55"/>
  <c r="N71" i="55" a="1"/>
  <c r="N71" i="55"/>
  <c r="M32" i="55" a="1"/>
  <c r="M32" i="55"/>
  <c r="G80" i="55"/>
  <c r="V9" i="59"/>
  <c r="P129" i="55"/>
  <c r="P145" i="55"/>
  <c r="P46" i="55"/>
  <c r="S46" i="55"/>
  <c r="P19" i="55"/>
  <c r="F50" i="59"/>
  <c r="V35" i="59"/>
  <c r="T35" i="59"/>
  <c r="N46" i="59"/>
  <c r="V45" i="59"/>
  <c r="N23" i="59"/>
  <c r="N53" i="59"/>
  <c r="Q54" i="59"/>
  <c r="F48" i="59"/>
  <c r="L32" i="59"/>
  <c r="N43" i="59"/>
  <c r="P106" i="55"/>
  <c r="AE105" i="53"/>
  <c r="H25" i="55"/>
  <c r="G25" i="55"/>
  <c r="H16" i="55"/>
  <c r="G16" i="55"/>
  <c r="H128" i="55"/>
  <c r="G128" i="55"/>
  <c r="S70" i="55"/>
  <c r="R70" i="55"/>
  <c r="T6" i="59"/>
  <c r="J18" i="59"/>
  <c r="G29" i="55"/>
  <c r="H29" i="55"/>
  <c r="H18" i="55"/>
  <c r="G18" i="55"/>
  <c r="H27" i="55"/>
  <c r="H114" i="55"/>
  <c r="G114" i="55"/>
  <c r="H61" i="55"/>
  <c r="G61" i="55"/>
  <c r="S18" i="59"/>
  <c r="H67" i="55"/>
  <c r="G67" i="55"/>
  <c r="G106" i="55"/>
  <c r="H106" i="55"/>
  <c r="O13" i="59"/>
  <c r="O49" i="59"/>
  <c r="P18" i="59"/>
  <c r="V8" i="59"/>
  <c r="N133" i="55" a="1"/>
  <c r="N133" i="55"/>
  <c r="M64" i="55" a="1"/>
  <c r="M64" i="55"/>
  <c r="N22" i="55" a="1"/>
  <c r="N22" i="55"/>
  <c r="N26" i="55" a="1"/>
  <c r="N26" i="55"/>
  <c r="M104" i="55" a="1"/>
  <c r="M104" i="55"/>
  <c r="O104" i="55"/>
  <c r="M65" i="55" a="1"/>
  <c r="M65" i="55"/>
  <c r="M94" i="55" a="1"/>
  <c r="M94" i="55"/>
  <c r="N91" i="55" a="1"/>
  <c r="N91" i="55"/>
  <c r="T22" i="59"/>
  <c r="I2" i="55"/>
  <c r="N2" i="53"/>
  <c r="P141" i="55"/>
  <c r="S141" i="55"/>
  <c r="S105" i="55"/>
  <c r="T105" i="55"/>
  <c r="T28" i="55"/>
  <c r="N51" i="55" a="1"/>
  <c r="N51" i="55"/>
  <c r="N23" i="55" a="1"/>
  <c r="N23" i="55"/>
  <c r="N114" i="55" a="1"/>
  <c r="N114" i="55"/>
  <c r="N95" i="55" a="1"/>
  <c r="N95" i="55"/>
  <c r="N116" i="55" a="1"/>
  <c r="N116" i="55"/>
  <c r="N53" i="55" a="1"/>
  <c r="N53" i="55"/>
  <c r="N33" i="55" a="1"/>
  <c r="N33" i="55"/>
  <c r="M20" i="55" a="1"/>
  <c r="M20" i="55"/>
  <c r="N99" i="55" a="1"/>
  <c r="N99" i="55"/>
  <c r="M67" i="55" a="1"/>
  <c r="M67" i="55"/>
  <c r="N132" i="55" a="1"/>
  <c r="N132" i="55"/>
  <c r="N146" i="55" a="1"/>
  <c r="N146" i="55"/>
  <c r="N44" i="55" a="1"/>
  <c r="N44" i="55"/>
  <c r="N45" i="55" a="1"/>
  <c r="N45" i="55"/>
  <c r="M70" i="55" a="1"/>
  <c r="M70" i="55"/>
  <c r="M96" i="55" a="1"/>
  <c r="M96" i="55"/>
  <c r="M120" i="55" a="1"/>
  <c r="M120" i="55"/>
  <c r="N112" i="55" a="1"/>
  <c r="N112" i="55"/>
  <c r="N2" i="55"/>
  <c r="M85" i="55" a="1"/>
  <c r="M85" i="55"/>
  <c r="O85" i="55"/>
  <c r="M46" i="55" a="1"/>
  <c r="M46" i="55"/>
  <c r="N131" i="55" a="1"/>
  <c r="N131" i="55"/>
  <c r="M103" i="55" a="1"/>
  <c r="M103" i="55"/>
  <c r="N127" i="55" a="1"/>
  <c r="N127" i="55"/>
  <c r="M95" i="55" a="1"/>
  <c r="M95" i="55"/>
  <c r="N97" i="55" a="1"/>
  <c r="N97" i="55"/>
  <c r="N121" i="55" a="1"/>
  <c r="N121" i="55"/>
  <c r="M90" i="55" a="1"/>
  <c r="M90" i="55"/>
  <c r="O90" i="55"/>
  <c r="N130" i="55" a="1"/>
  <c r="N130" i="55"/>
  <c r="M84" i="55" a="1"/>
  <c r="M84" i="55"/>
  <c r="O84" i="55"/>
  <c r="N49" i="55" a="1"/>
  <c r="N49" i="55"/>
  <c r="N110" i="55" a="1"/>
  <c r="N110" i="55"/>
  <c r="M15" i="55" a="1"/>
  <c r="M15" i="55"/>
  <c r="M60" i="55" a="1"/>
  <c r="M60" i="55"/>
  <c r="M11" i="55" a="1"/>
  <c r="M11" i="55"/>
  <c r="M77" i="55" a="1"/>
  <c r="M77" i="55"/>
  <c r="N68" i="55" a="1"/>
  <c r="N68" i="55"/>
  <c r="O68" i="55"/>
  <c r="M116" i="55" a="1"/>
  <c r="M116" i="55"/>
  <c r="M48" i="55" a="1"/>
  <c r="M48" i="55"/>
  <c r="O48" i="55"/>
  <c r="N25" i="55" a="1"/>
  <c r="N25" i="55"/>
  <c r="M91" i="55" a="1"/>
  <c r="M91" i="55"/>
  <c r="M109" i="55" a="1"/>
  <c r="M109" i="55"/>
  <c r="O109" i="55"/>
  <c r="M30" i="55" a="1"/>
  <c r="M30" i="55"/>
  <c r="M13" i="55" a="1"/>
  <c r="M13" i="55"/>
  <c r="M82" i="55" a="1"/>
  <c r="M82" i="55"/>
  <c r="O82" i="55"/>
  <c r="M18" i="55" a="1"/>
  <c r="M18" i="55"/>
  <c r="M143" i="55" a="1"/>
  <c r="M143" i="55"/>
  <c r="N94" i="55" a="1"/>
  <c r="N94" i="55"/>
  <c r="M14" i="55" a="1"/>
  <c r="M14" i="55"/>
  <c r="N120" i="55" a="1"/>
  <c r="N120" i="55"/>
  <c r="M100" i="55" a="1"/>
  <c r="M100" i="55"/>
  <c r="N21" i="55" a="1"/>
  <c r="N21" i="55"/>
  <c r="N89" i="55" a="1"/>
  <c r="N89" i="55"/>
  <c r="N139" i="55" a="1"/>
  <c r="N139" i="55"/>
  <c r="N73" i="55" a="1"/>
  <c r="N73" i="55"/>
  <c r="M72" i="55" a="1"/>
  <c r="M72" i="55"/>
  <c r="N135" i="55" a="1"/>
  <c r="N135" i="55"/>
  <c r="N148" i="55" a="1"/>
  <c r="N148" i="55"/>
  <c r="N31" i="55" a="1"/>
  <c r="N31" i="55"/>
  <c r="N129" i="55" a="1"/>
  <c r="N129" i="55"/>
  <c r="M92" i="55" a="1"/>
  <c r="M92" i="55"/>
  <c r="N52" i="55" a="1"/>
  <c r="N52" i="55"/>
  <c r="N14" i="55" a="1"/>
  <c r="N14" i="55"/>
  <c r="M66" i="55" a="1"/>
  <c r="M66" i="55"/>
  <c r="M31" i="55" a="1"/>
  <c r="M31" i="55"/>
  <c r="M37" i="55" a="1"/>
  <c r="M37" i="55"/>
  <c r="M133" i="55" a="1"/>
  <c r="M133" i="55"/>
  <c r="M35" i="55" a="1"/>
  <c r="M35" i="55"/>
  <c r="N115" i="55" a="1"/>
  <c r="N115" i="55"/>
  <c r="N92" i="55" a="1"/>
  <c r="N92" i="55"/>
  <c r="M12" i="55" a="1"/>
  <c r="M12" i="55"/>
  <c r="M114" i="55" a="1"/>
  <c r="M114" i="55"/>
  <c r="O114" i="55"/>
  <c r="N65" i="55" a="1"/>
  <c r="N65" i="55"/>
  <c r="M80" i="55" a="1"/>
  <c r="M80" i="55"/>
  <c r="O80" i="55"/>
  <c r="M106" i="55" a="1"/>
  <c r="M106" i="55"/>
  <c r="N147" i="55" a="1"/>
  <c r="N147" i="55"/>
  <c r="N86" i="55" a="1"/>
  <c r="N86" i="55"/>
  <c r="M97" i="55" a="1"/>
  <c r="M97" i="55"/>
  <c r="M83" i="55" a="1"/>
  <c r="M83" i="55"/>
  <c r="M144" i="55" a="1"/>
  <c r="M144" i="55"/>
  <c r="O144" i="55"/>
  <c r="M113" i="55" a="1"/>
  <c r="M113" i="55"/>
  <c r="M22" i="55" a="1"/>
  <c r="M22" i="55"/>
  <c r="M87" i="55" a="1"/>
  <c r="M87" i="55"/>
  <c r="N50" i="55" a="1"/>
  <c r="N50" i="55"/>
  <c r="M24" i="55" a="1"/>
  <c r="M24" i="55"/>
  <c r="N96" i="55" a="1"/>
  <c r="N96" i="55"/>
  <c r="N72" i="55" a="1"/>
  <c r="N72" i="55"/>
  <c r="N46" i="55" a="1"/>
  <c r="N46" i="55"/>
  <c r="N58" i="55" a="1"/>
  <c r="N58" i="55"/>
  <c r="M56" i="55" a="1"/>
  <c r="M56" i="55"/>
  <c r="M110" i="55" a="1"/>
  <c r="M110" i="55"/>
  <c r="M88" i="55" a="1"/>
  <c r="M88" i="55"/>
  <c r="M135" i="55" a="1"/>
  <c r="M135" i="55"/>
  <c r="N77" i="55" a="1"/>
  <c r="N77" i="55"/>
  <c r="P125" i="55"/>
  <c r="R125" i="55"/>
  <c r="H55" i="55"/>
  <c r="G55" i="55"/>
  <c r="G59" i="55"/>
  <c r="H59" i="55"/>
  <c r="S76" i="55"/>
  <c r="M140" i="55" a="1"/>
  <c r="M140" i="55"/>
  <c r="O140" i="55"/>
  <c r="M36" i="55" a="1"/>
  <c r="M36" i="55"/>
  <c r="M119" i="55" a="1"/>
  <c r="M119" i="55"/>
  <c r="O119" i="55"/>
  <c r="M142" i="55" a="1"/>
  <c r="M142" i="55"/>
  <c r="M107" i="55" a="1"/>
  <c r="M107" i="55"/>
  <c r="O107" i="55"/>
  <c r="N13" i="55" a="1"/>
  <c r="N13" i="55"/>
  <c r="M53" i="55" a="1"/>
  <c r="M53" i="55"/>
  <c r="M33" i="55" a="1"/>
  <c r="M33" i="55"/>
  <c r="M23" i="55" a="1"/>
  <c r="M23" i="55"/>
  <c r="O23" i="55"/>
  <c r="M28" i="55" a="1"/>
  <c r="M28" i="55"/>
  <c r="N17" i="55" a="1"/>
  <c r="N17" i="55"/>
  <c r="N111" i="55" a="1"/>
  <c r="N111" i="55"/>
  <c r="O111" i="55"/>
  <c r="M69" i="55" a="1"/>
  <c r="M69" i="55"/>
  <c r="O69" i="55"/>
  <c r="V51" i="59"/>
  <c r="O15" i="59"/>
  <c r="U15" i="59"/>
  <c r="O10" i="59"/>
  <c r="O46" i="59"/>
  <c r="U46" i="59"/>
  <c r="P88" i="55"/>
  <c r="R88" i="55"/>
  <c r="T85" i="55"/>
  <c r="N41" i="55" a="1"/>
  <c r="N41" i="55"/>
  <c r="N80" i="55" a="1"/>
  <c r="N80" i="55"/>
  <c r="M148" i="55" a="1"/>
  <c r="M148" i="55"/>
  <c r="M86" i="55" a="1"/>
  <c r="M86" i="55"/>
  <c r="O86" i="55"/>
  <c r="M41" i="55" a="1"/>
  <c r="M41" i="55"/>
  <c r="N36" i="55" a="1"/>
  <c r="N36" i="55"/>
  <c r="N105" i="55" a="1"/>
  <c r="N105" i="55"/>
  <c r="N34" i="55" a="1"/>
  <c r="N34" i="55"/>
  <c r="G77" i="55"/>
  <c r="M57" i="55" a="1"/>
  <c r="M57" i="55"/>
  <c r="P83" i="55"/>
  <c r="AE115" i="53"/>
  <c r="P116" i="55"/>
  <c r="N29" i="59"/>
  <c r="L29" i="59"/>
  <c r="G4" i="59"/>
  <c r="L4" i="59"/>
  <c r="M51" i="55" a="1"/>
  <c r="M51" i="55"/>
  <c r="M139" i="55" a="1"/>
  <c r="M139" i="55"/>
  <c r="N37" i="55" a="1"/>
  <c r="N37" i="55"/>
  <c r="G49" i="59"/>
  <c r="M49" i="59"/>
  <c r="P14" i="55"/>
  <c r="AE13" i="53"/>
  <c r="AE12" i="53"/>
  <c r="P13" i="55"/>
  <c r="G48" i="59"/>
  <c r="M48" i="59"/>
  <c r="N16" i="55" a="1"/>
  <c r="N16" i="55"/>
  <c r="M101" i="55" a="1"/>
  <c r="M101" i="55"/>
  <c r="O101" i="55"/>
  <c r="N102" i="55" a="1"/>
  <c r="N102" i="55"/>
  <c r="M134" i="55" a="1"/>
  <c r="M134" i="55"/>
  <c r="N42" i="55" a="1"/>
  <c r="N42" i="55"/>
  <c r="N117" i="55" a="1"/>
  <c r="N117" i="55"/>
  <c r="N35" i="55" a="1"/>
  <c r="N35" i="55"/>
  <c r="M118" i="55" a="1"/>
  <c r="M118" i="55"/>
  <c r="M146" i="55" a="1"/>
  <c r="M146" i="55"/>
  <c r="M62" i="55" a="1"/>
  <c r="M62" i="55"/>
  <c r="N137" i="55" a="1"/>
  <c r="N137" i="55"/>
  <c r="M81" i="55" a="1"/>
  <c r="M81" i="55"/>
  <c r="O81" i="55"/>
  <c r="M7" i="55" a="1"/>
  <c r="M7" i="55"/>
  <c r="M128" i="55" a="1"/>
  <c r="M128" i="55"/>
  <c r="P68" i="55"/>
  <c r="S40" i="55"/>
  <c r="T40" i="55"/>
  <c r="G81" i="55"/>
  <c r="H81" i="55"/>
  <c r="N62" i="55" a="1"/>
  <c r="N62" i="55"/>
  <c r="M129" i="55" a="1"/>
  <c r="M129" i="55"/>
  <c r="N155" i="55"/>
  <c r="O155" i="55"/>
  <c r="M89" i="55" a="1"/>
  <c r="M89" i="55"/>
  <c r="M115" i="55" a="1"/>
  <c r="M115" i="55"/>
  <c r="O115" i="55"/>
  <c r="N56" i="55" a="1"/>
  <c r="N56" i="55"/>
  <c r="AE52" i="53"/>
  <c r="P53" i="55"/>
  <c r="G83" i="55"/>
  <c r="H83" i="55"/>
  <c r="H60" i="55"/>
  <c r="G60" i="55"/>
  <c r="N108" i="55" a="1"/>
  <c r="N108" i="55"/>
  <c r="AE81" i="53"/>
  <c r="P82" i="55"/>
  <c r="S82" i="55"/>
  <c r="T82" i="55"/>
  <c r="M102" i="55" a="1"/>
  <c r="M102" i="55"/>
  <c r="N103" i="55" a="1"/>
  <c r="N103" i="55"/>
  <c r="M73" i="55" a="1"/>
  <c r="M73" i="55"/>
  <c r="N64" i="55" a="1"/>
  <c r="N64" i="55"/>
  <c r="M17" i="55" a="1"/>
  <c r="M17" i="55"/>
  <c r="O17" i="55"/>
  <c r="N27" i="55" a="1"/>
  <c r="N27" i="55"/>
  <c r="N83" i="55" a="1"/>
  <c r="N83" i="55"/>
  <c r="M112" i="55" a="1"/>
  <c r="M112" i="55"/>
  <c r="M126" i="55" a="1"/>
  <c r="M126" i="55"/>
  <c r="O126" i="55"/>
  <c r="M34" i="55" a="1"/>
  <c r="M34" i="55"/>
  <c r="M25" i="55" a="1"/>
  <c r="M25" i="55"/>
  <c r="O25" i="55"/>
  <c r="M132" i="55" a="1"/>
  <c r="M132" i="55"/>
  <c r="F49" i="59"/>
  <c r="P66" i="55"/>
  <c r="O16" i="59"/>
  <c r="M74" i="55" a="1"/>
  <c r="M74" i="55"/>
  <c r="O74" i="55"/>
  <c r="N81" i="55" a="1"/>
  <c r="N81" i="55"/>
  <c r="M136" i="55" a="1"/>
  <c r="M136" i="55"/>
  <c r="N69" i="55" a="1"/>
  <c r="N69" i="55"/>
  <c r="M137" i="55" a="1"/>
  <c r="M137" i="55"/>
  <c r="N19" i="55" a="1"/>
  <c r="N19" i="55"/>
  <c r="M42" i="55" a="1"/>
  <c r="M42" i="55"/>
  <c r="O42" i="55"/>
  <c r="M8" i="55" a="1"/>
  <c r="M8" i="55"/>
  <c r="O8" i="55"/>
  <c r="M99" i="55" a="1"/>
  <c r="M99" i="55"/>
  <c r="O99" i="55"/>
  <c r="N11" i="55" a="1"/>
  <c r="N11" i="55"/>
  <c r="P27" i="55"/>
  <c r="M108" i="55" a="1"/>
  <c r="M108" i="55"/>
  <c r="H90" i="55"/>
  <c r="F5" i="59"/>
  <c r="X54" i="53"/>
  <c r="G42" i="59"/>
  <c r="L42" i="59"/>
  <c r="P80" i="55"/>
  <c r="S80" i="55"/>
  <c r="AE79" i="53"/>
  <c r="AE36" i="53"/>
  <c r="P37" i="55"/>
  <c r="S37" i="55"/>
  <c r="G38" i="55"/>
  <c r="H38" i="55"/>
  <c r="O14" i="59"/>
  <c r="P103" i="55"/>
  <c r="S103" i="55"/>
  <c r="S121" i="55"/>
  <c r="N149" i="55" a="1"/>
  <c r="N149" i="55"/>
  <c r="N28" i="55" a="1"/>
  <c r="N28" i="55"/>
  <c r="M16" i="55" a="1"/>
  <c r="M16" i="55"/>
  <c r="M117" i="55" a="1"/>
  <c r="M117" i="55"/>
  <c r="N88" i="55" a="1"/>
  <c r="N88" i="55"/>
  <c r="N30" i="55" a="1"/>
  <c r="N30" i="55"/>
  <c r="M9" i="55" a="1"/>
  <c r="M9" i="55"/>
  <c r="N54" i="55" a="1"/>
  <c r="N54" i="55"/>
  <c r="M78" i="55" a="1"/>
  <c r="M78" i="55"/>
  <c r="O78" i="55"/>
  <c r="M63" i="55" a="1"/>
  <c r="M63" i="55"/>
  <c r="M29" i="55" a="1"/>
  <c r="M29" i="55"/>
  <c r="O29" i="55"/>
  <c r="M141" i="55" a="1"/>
  <c r="M141" i="55"/>
  <c r="N20" i="55" a="1"/>
  <c r="N20" i="55"/>
  <c r="N104" i="55" a="1"/>
  <c r="N104" i="55"/>
  <c r="N5" i="59"/>
  <c r="V6" i="59"/>
  <c r="F10" i="59"/>
  <c r="V10" i="59"/>
  <c r="N22" i="59"/>
  <c r="L22" i="59"/>
  <c r="G40" i="55"/>
  <c r="H40" i="55"/>
  <c r="H137" i="55"/>
  <c r="G137" i="55"/>
  <c r="N61" i="55" a="1"/>
  <c r="N61" i="55"/>
  <c r="O61" i="55"/>
  <c r="N70" i="55" a="1"/>
  <c r="N70" i="55"/>
  <c r="N24" i="55" a="1"/>
  <c r="N24" i="55"/>
  <c r="N100" i="55" a="1"/>
  <c r="N100" i="55"/>
  <c r="N59" i="55" a="1"/>
  <c r="N59" i="55"/>
  <c r="N141" i="55" a="1"/>
  <c r="N141" i="55"/>
  <c r="N13" i="59"/>
  <c r="P92" i="55"/>
  <c r="AE91" i="53"/>
  <c r="O4" i="59"/>
  <c r="AE42" i="53"/>
  <c r="S43" i="55"/>
  <c r="T43" i="55"/>
  <c r="G46" i="59"/>
  <c r="M46" i="59"/>
  <c r="R147" i="55"/>
  <c r="S135" i="55"/>
  <c r="T135" i="55"/>
  <c r="F43" i="59"/>
  <c r="N52" i="59"/>
  <c r="I18" i="59"/>
  <c r="P86" i="55"/>
  <c r="S32" i="55"/>
  <c r="O52" i="59"/>
  <c r="U52" i="59"/>
  <c r="Q18" i="59"/>
  <c r="S99" i="55"/>
  <c r="R8" i="55"/>
  <c r="H82" i="55"/>
  <c r="AE99" i="53"/>
  <c r="N27" i="59"/>
  <c r="R18" i="59"/>
  <c r="F8" i="59"/>
  <c r="D36" i="59"/>
  <c r="AE89" i="53"/>
  <c r="F15" i="59"/>
  <c r="G41" i="55"/>
  <c r="S112" i="55"/>
  <c r="AE15" i="53"/>
  <c r="V48" i="59"/>
  <c r="F14" i="59"/>
  <c r="S35" i="55"/>
  <c r="S69" i="55"/>
  <c r="G12" i="55"/>
  <c r="H12" i="55"/>
  <c r="R65" i="55"/>
  <c r="T65" i="55"/>
  <c r="H135" i="55"/>
  <c r="S152" i="53"/>
  <c r="S38" i="55"/>
  <c r="P23" i="55"/>
  <c r="AE22" i="53"/>
  <c r="G53" i="55"/>
  <c r="H53" i="55"/>
  <c r="X115" i="53"/>
  <c r="G51" i="59"/>
  <c r="M51" i="59"/>
  <c r="P91" i="55"/>
  <c r="AE90" i="53"/>
  <c r="AE78" i="53"/>
  <c r="P79" i="55"/>
  <c r="AE63" i="53"/>
  <c r="P64" i="55"/>
  <c r="G71" i="55"/>
  <c r="H71" i="55"/>
  <c r="P136" i="55"/>
  <c r="H73" i="55"/>
  <c r="G73" i="55"/>
  <c r="G44" i="55"/>
  <c r="H44" i="55"/>
  <c r="P25" i="55"/>
  <c r="S25" i="55"/>
  <c r="T25" i="55"/>
  <c r="AE24" i="53"/>
  <c r="G23" i="55"/>
  <c r="H23" i="55"/>
  <c r="G15" i="59"/>
  <c r="O12" i="59"/>
  <c r="U12" i="59"/>
  <c r="E18" i="59"/>
  <c r="G12" i="59"/>
  <c r="S2" i="53"/>
  <c r="X13" i="53"/>
  <c r="AE61" i="53"/>
  <c r="P62" i="55"/>
  <c r="G100" i="55"/>
  <c r="H100" i="55"/>
  <c r="L24" i="59"/>
  <c r="O7" i="59"/>
  <c r="H87" i="55"/>
  <c r="G87" i="55"/>
  <c r="G92" i="55"/>
  <c r="P52" i="55"/>
  <c r="AE51" i="53"/>
  <c r="H92" i="55"/>
  <c r="F4" i="59"/>
  <c r="B18" i="59"/>
  <c r="V4" i="59"/>
  <c r="T33" i="59"/>
  <c r="V33" i="59"/>
  <c r="G50" i="55"/>
  <c r="AE114" i="53"/>
  <c r="P115" i="55"/>
  <c r="P102" i="55"/>
  <c r="AE101" i="53"/>
  <c r="H9" i="55"/>
  <c r="G9" i="55"/>
  <c r="G34" i="55"/>
  <c r="H34" i="55"/>
  <c r="Z2" i="53"/>
  <c r="N26" i="59"/>
  <c r="L26" i="59"/>
  <c r="F11" i="59"/>
  <c r="T11" i="59"/>
  <c r="V12" i="59"/>
  <c r="V34" i="59"/>
  <c r="T34" i="59"/>
  <c r="F34" i="59"/>
  <c r="G23" i="59"/>
  <c r="M23" i="59"/>
  <c r="X52" i="53"/>
  <c r="P152" i="53"/>
  <c r="L144" i="55" a="1"/>
  <c r="L144" i="55"/>
  <c r="Z152" i="53"/>
  <c r="AE2" i="53"/>
  <c r="R12" i="55"/>
  <c r="T12" i="55"/>
  <c r="T30" i="59"/>
  <c r="F30" i="59"/>
  <c r="V30" i="59"/>
  <c r="F16" i="59"/>
  <c r="V16" i="59"/>
  <c r="G5" i="59"/>
  <c r="G72" i="55"/>
  <c r="H15" i="55"/>
  <c r="G127" i="55"/>
  <c r="H127" i="55"/>
  <c r="O48" i="59"/>
  <c r="T48" i="59"/>
  <c r="H50" i="55"/>
  <c r="T47" i="59"/>
  <c r="V47" i="59"/>
  <c r="F47" i="59"/>
  <c r="T28" i="59"/>
  <c r="V28" i="59"/>
  <c r="F28" i="59"/>
  <c r="I36" i="59"/>
  <c r="H72" i="55"/>
  <c r="G84" i="55"/>
  <c r="H110" i="55"/>
  <c r="V46" i="59"/>
  <c r="J36" i="59"/>
  <c r="K54" i="59"/>
  <c r="P63" i="55"/>
  <c r="R22" i="55"/>
  <c r="H70" i="55"/>
  <c r="P61" i="55"/>
  <c r="L17" i="59"/>
  <c r="R36" i="59"/>
  <c r="R54" i="59"/>
  <c r="J54" i="59"/>
  <c r="H115" i="55"/>
  <c r="G70" i="55"/>
  <c r="R139" i="55"/>
  <c r="T139" i="55"/>
  <c r="V27" i="59"/>
  <c r="I54" i="59"/>
  <c r="Q36" i="59"/>
  <c r="S36" i="59"/>
  <c r="F52" i="59"/>
  <c r="F27" i="59"/>
  <c r="T29" i="59"/>
  <c r="N45" i="59"/>
  <c r="O43" i="59"/>
  <c r="G8" i="59"/>
  <c r="M8" i="59"/>
  <c r="F29" i="59"/>
  <c r="AE72" i="53"/>
  <c r="V23" i="59"/>
  <c r="N44" i="59"/>
  <c r="AE98" i="53"/>
  <c r="P96" i="55"/>
  <c r="P97" i="55"/>
  <c r="AE31" i="53"/>
  <c r="N6" i="59"/>
  <c r="V44" i="59"/>
  <c r="V40" i="59"/>
  <c r="G120" i="55"/>
  <c r="G51" i="55"/>
  <c r="H69" i="55"/>
  <c r="G66" i="55"/>
  <c r="H89" i="55"/>
  <c r="N11" i="59"/>
  <c r="V43" i="59"/>
  <c r="N42" i="59"/>
  <c r="S54" i="59"/>
  <c r="D18" i="59"/>
  <c r="O40" i="59"/>
  <c r="U40" i="59"/>
  <c r="G89" i="55"/>
  <c r="V42" i="59"/>
  <c r="H36" i="59"/>
  <c r="P36" i="59"/>
  <c r="N41" i="59"/>
  <c r="K18" i="59"/>
  <c r="AE104" i="53"/>
  <c r="G40" i="59"/>
  <c r="L40" i="59"/>
  <c r="I155" i="55"/>
  <c r="L33" i="59"/>
  <c r="P54" i="59"/>
  <c r="F44" i="59"/>
  <c r="N40" i="59"/>
  <c r="F9" i="59"/>
  <c r="AE106" i="53"/>
  <c r="S41" i="55"/>
  <c r="T41" i="55"/>
  <c r="G130" i="55"/>
  <c r="H68" i="55"/>
  <c r="N152" i="53"/>
  <c r="K110" i="55" a="1"/>
  <c r="K110" i="55"/>
  <c r="R16" i="55"/>
  <c r="T16" i="55"/>
  <c r="AE87" i="53"/>
  <c r="V49" i="59"/>
  <c r="P39" i="55"/>
  <c r="G14" i="59"/>
  <c r="P133" i="55"/>
  <c r="K36" i="59"/>
  <c r="E36" i="59"/>
  <c r="H54" i="59"/>
  <c r="N28" i="59"/>
  <c r="F40" i="59"/>
  <c r="V22" i="59"/>
  <c r="F45" i="59"/>
  <c r="D54" i="59"/>
  <c r="V24" i="59"/>
  <c r="N25" i="59"/>
  <c r="N51" i="59"/>
  <c r="F46" i="59"/>
  <c r="F24" i="59"/>
  <c r="F33" i="59"/>
  <c r="E54" i="59"/>
  <c r="N30" i="59"/>
  <c r="F51" i="59"/>
  <c r="B36" i="59"/>
  <c r="T45" i="59"/>
  <c r="D13" i="57"/>
  <c r="E5" i="57"/>
  <c r="E6" i="57"/>
  <c r="E7" i="57"/>
  <c r="E8" i="57"/>
  <c r="E9" i="57"/>
  <c r="E10" i="57"/>
  <c r="E11" i="57"/>
  <c r="E12" i="57"/>
  <c r="R24" i="55"/>
  <c r="T24" i="55"/>
  <c r="S8" i="55"/>
  <c r="R146" i="55"/>
  <c r="T42" i="59"/>
  <c r="R51" i="55"/>
  <c r="T51" i="55"/>
  <c r="R56" i="55"/>
  <c r="T56" i="55"/>
  <c r="S126" i="55"/>
  <c r="T126" i="55"/>
  <c r="R94" i="55"/>
  <c r="S10" i="55"/>
  <c r="M6" i="26"/>
  <c r="N7" i="26"/>
  <c r="L6" i="26"/>
  <c r="N34" i="59"/>
  <c r="L35" i="59"/>
  <c r="N35" i="59"/>
  <c r="V31" i="59"/>
  <c r="F31" i="59"/>
  <c r="F32" i="59"/>
  <c r="V32" i="59"/>
  <c r="X58" i="53"/>
  <c r="G7" i="59"/>
  <c r="G43" i="59"/>
  <c r="AE74" i="53"/>
  <c r="P75" i="55"/>
  <c r="O50" i="59"/>
  <c r="P60" i="55"/>
  <c r="AE59" i="53"/>
  <c r="G12" i="26"/>
  <c r="T14" i="26"/>
  <c r="K12" i="26"/>
  <c r="AD12" i="26"/>
  <c r="AK14" i="26"/>
  <c r="O12" i="26"/>
  <c r="W14" i="26"/>
  <c r="M12" i="26"/>
  <c r="AF12" i="26"/>
  <c r="AJ14" i="26"/>
  <c r="Z12" i="26"/>
  <c r="AI12" i="26"/>
  <c r="V12" i="26"/>
  <c r="Y14" i="26"/>
  <c r="O14" i="26"/>
  <c r="R14" i="26"/>
  <c r="L14" i="26"/>
  <c r="M14" i="26"/>
  <c r="X12" i="26"/>
  <c r="E12" i="26"/>
  <c r="AI14" i="26"/>
  <c r="AG12" i="26"/>
  <c r="B6" i="26"/>
  <c r="V14" i="26"/>
  <c r="AA12" i="26"/>
  <c r="N12" i="26"/>
  <c r="AD14" i="26"/>
  <c r="J14" i="26"/>
  <c r="AJ12" i="26"/>
  <c r="G37" i="55"/>
  <c r="H37" i="55"/>
  <c r="AL14" i="26"/>
  <c r="X69" i="53"/>
  <c r="G45" i="59"/>
  <c r="M45" i="59"/>
  <c r="O9" i="59"/>
  <c r="AE20" i="53"/>
  <c r="P21" i="55"/>
  <c r="G9" i="59"/>
  <c r="X118" i="53"/>
  <c r="G50" i="59"/>
  <c r="M50" i="59"/>
  <c r="P127" i="55"/>
  <c r="AE33" i="53"/>
  <c r="P34" i="55"/>
  <c r="AE48" i="53"/>
  <c r="AE147" i="53"/>
  <c r="P148" i="55"/>
  <c r="P140" i="55"/>
  <c r="AE32" i="53"/>
  <c r="P33" i="55"/>
  <c r="S33" i="55"/>
  <c r="C54" i="59"/>
  <c r="G44" i="59"/>
  <c r="M44" i="59"/>
  <c r="AE108" i="53"/>
  <c r="P109" i="55"/>
  <c r="P44" i="55"/>
  <c r="AE43" i="53"/>
  <c r="H49" i="55"/>
  <c r="G49" i="55"/>
  <c r="Z14" i="26"/>
  <c r="N31" i="59"/>
  <c r="N48" i="59"/>
  <c r="F41" i="59"/>
  <c r="V41" i="59"/>
  <c r="AE14" i="53"/>
  <c r="P55" i="55"/>
  <c r="AE54" i="53"/>
  <c r="F17" i="59"/>
  <c r="T17" i="59"/>
  <c r="V17" i="59"/>
  <c r="H119" i="55"/>
  <c r="G119" i="55"/>
  <c r="T26" i="59"/>
  <c r="V26" i="59"/>
  <c r="O44" i="59"/>
  <c r="O8" i="59"/>
  <c r="C36" i="59"/>
  <c r="B54" i="59"/>
  <c r="X36" i="53"/>
  <c r="G41" i="59"/>
  <c r="G6" i="26"/>
  <c r="P2" i="53"/>
  <c r="T53" i="59"/>
  <c r="V53" i="59"/>
  <c r="F53" i="59"/>
  <c r="O51" i="59"/>
  <c r="AE25" i="53"/>
  <c r="P26" i="55"/>
  <c r="F25" i="59"/>
  <c r="G52" i="59"/>
  <c r="AE92" i="53"/>
  <c r="P71" i="55"/>
  <c r="G6" i="59"/>
  <c r="N113" i="55" a="1"/>
  <c r="N113" i="55"/>
  <c r="N85" i="55" a="1"/>
  <c r="N85" i="55"/>
  <c r="P81" i="55"/>
  <c r="S81" i="55"/>
  <c r="T81" i="55"/>
  <c r="P113" i="55"/>
  <c r="P101" i="55"/>
  <c r="G35" i="55"/>
  <c r="M26" i="55" a="1"/>
  <c r="M26" i="55"/>
  <c r="O26" i="55"/>
  <c r="P149" i="55"/>
  <c r="AE148" i="53"/>
  <c r="P9" i="55"/>
  <c r="G126" i="55"/>
  <c r="H126" i="55"/>
  <c r="N57" i="55" a="1"/>
  <c r="N57" i="55"/>
  <c r="N47" i="59"/>
  <c r="N47" i="55" a="1"/>
  <c r="N47" i="55"/>
  <c r="O47" i="55"/>
  <c r="F23" i="59"/>
  <c r="P54" i="55"/>
  <c r="G78" i="55"/>
  <c r="P110" i="55"/>
  <c r="AE109" i="53"/>
  <c r="G16" i="59"/>
  <c r="O23" i="59"/>
  <c r="T25" i="59"/>
  <c r="F42" i="59"/>
  <c r="R90" i="55"/>
  <c r="T90" i="55"/>
  <c r="R11" i="55"/>
  <c r="T11" i="55"/>
  <c r="T100" i="55"/>
  <c r="T98" i="55"/>
  <c r="T108" i="55"/>
  <c r="T36" i="55"/>
  <c r="O22" i="55"/>
  <c r="O15" i="55"/>
  <c r="O66" i="55"/>
  <c r="O7" i="55"/>
  <c r="O147" i="55"/>
  <c r="N18" i="59"/>
  <c r="O76" i="55"/>
  <c r="T121" i="55"/>
  <c r="T112" i="55"/>
  <c r="T38" i="55"/>
  <c r="T32" i="55"/>
  <c r="T95" i="55"/>
  <c r="R141" i="55"/>
  <c r="T141" i="55"/>
  <c r="R132" i="55"/>
  <c r="T132" i="55"/>
  <c r="R131" i="55"/>
  <c r="T131" i="55"/>
  <c r="R128" i="55"/>
  <c r="T128" i="55"/>
  <c r="O142" i="55"/>
  <c r="O149" i="55"/>
  <c r="O89" i="55"/>
  <c r="T107" i="55"/>
  <c r="S47" i="55"/>
  <c r="T47" i="55"/>
  <c r="T69" i="55"/>
  <c r="T22" i="55"/>
  <c r="O54" i="55"/>
  <c r="S78" i="55"/>
  <c r="T78" i="55"/>
  <c r="O93" i="55"/>
  <c r="T123" i="55"/>
  <c r="T130" i="55"/>
  <c r="S114" i="55"/>
  <c r="T114" i="55"/>
  <c r="O38" i="55"/>
  <c r="K41" i="55" a="1"/>
  <c r="K41" i="55"/>
  <c r="R124" i="55"/>
  <c r="T124" i="55"/>
  <c r="O9" i="55"/>
  <c r="T147" i="55"/>
  <c r="O18" i="55"/>
  <c r="O43" i="55"/>
  <c r="T31" i="55"/>
  <c r="S59" i="55"/>
  <c r="T59" i="55"/>
  <c r="R57" i="55"/>
  <c r="T57" i="55"/>
  <c r="O122" i="55"/>
  <c r="R58" i="55"/>
  <c r="T58" i="55"/>
  <c r="S77" i="55"/>
  <c r="T77" i="55"/>
  <c r="T146" i="55"/>
  <c r="T35" i="55"/>
  <c r="T99" i="55"/>
  <c r="O50" i="55"/>
  <c r="O60" i="55"/>
  <c r="T93" i="55"/>
  <c r="T122" i="55"/>
  <c r="O132" i="55"/>
  <c r="T29" i="55"/>
  <c r="T138" i="55"/>
  <c r="R48" i="55"/>
  <c r="T48" i="55"/>
  <c r="O124" i="55"/>
  <c r="T94" i="55"/>
  <c r="O87" i="55"/>
  <c r="O57" i="55"/>
  <c r="T15" i="55"/>
  <c r="T45" i="55"/>
  <c r="L124" i="55" a="1"/>
  <c r="L124" i="55"/>
  <c r="K124" i="55" a="1"/>
  <c r="K124" i="55"/>
  <c r="S111" i="55"/>
  <c r="T111" i="55"/>
  <c r="L122" i="55" a="1"/>
  <c r="L122" i="55"/>
  <c r="K122" i="55" a="1"/>
  <c r="K122" i="55"/>
  <c r="O123" i="55"/>
  <c r="L123" i="55" a="1"/>
  <c r="L123" i="55"/>
  <c r="K123" i="55" a="1"/>
  <c r="K123" i="55"/>
  <c r="T76" i="55"/>
  <c r="T137" i="55"/>
  <c r="O33" i="55"/>
  <c r="O121" i="55"/>
  <c r="T10" i="55"/>
  <c r="O67" i="55"/>
  <c r="U5" i="59"/>
  <c r="O13" i="55"/>
  <c r="T20" i="55"/>
  <c r="R117" i="55"/>
  <c r="T117" i="55"/>
  <c r="K120" i="55" a="1"/>
  <c r="K120" i="55"/>
  <c r="O134" i="55"/>
  <c r="O51" i="55"/>
  <c r="O143" i="55"/>
  <c r="O12" i="55"/>
  <c r="O44" i="55"/>
  <c r="S104" i="55"/>
  <c r="T104" i="55"/>
  <c r="T119" i="55"/>
  <c r="R80" i="55"/>
  <c r="T80" i="55"/>
  <c r="O145" i="55"/>
  <c r="T7" i="55"/>
  <c r="O45" i="55"/>
  <c r="T17" i="55"/>
  <c r="AE152" i="53"/>
  <c r="K21" i="55" a="1"/>
  <c r="K21" i="55"/>
  <c r="K44" i="55" a="1"/>
  <c r="K44" i="55"/>
  <c r="K61" i="55" a="1"/>
  <c r="K61" i="55"/>
  <c r="O36" i="55"/>
  <c r="M10" i="59"/>
  <c r="R18" i="55"/>
  <c r="T18" i="55"/>
  <c r="K97" i="55" a="1"/>
  <c r="K97" i="55"/>
  <c r="O97" i="55"/>
  <c r="O138" i="55"/>
  <c r="O139" i="55"/>
  <c r="O131" i="55"/>
  <c r="O56" i="55"/>
  <c r="O83" i="55"/>
  <c r="O73" i="55"/>
  <c r="O128" i="55"/>
  <c r="O146" i="55"/>
  <c r="O52" i="55"/>
  <c r="O118" i="55"/>
  <c r="O63" i="55"/>
  <c r="O65" i="55"/>
  <c r="O130" i="55"/>
  <c r="O39" i="55"/>
  <c r="O148" i="55"/>
  <c r="O91" i="55"/>
  <c r="O41" i="55"/>
  <c r="O95" i="55"/>
  <c r="L49" i="59"/>
  <c r="T41" i="59"/>
  <c r="O105" i="55"/>
  <c r="O27" i="55"/>
  <c r="O21" i="55"/>
  <c r="R72" i="55"/>
  <c r="T72" i="55"/>
  <c r="O35" i="55"/>
  <c r="O46" i="55"/>
  <c r="O19" i="55"/>
  <c r="O133" i="55"/>
  <c r="O120" i="55"/>
  <c r="O110" i="55"/>
  <c r="O28" i="55"/>
  <c r="O103" i="55"/>
  <c r="O53" i="55"/>
  <c r="T87" i="55"/>
  <c r="S89" i="55"/>
  <c r="T89" i="55"/>
  <c r="O136" i="55"/>
  <c r="O34" i="55"/>
  <c r="R120" i="55"/>
  <c r="T120" i="55"/>
  <c r="O127" i="55"/>
  <c r="M13" i="59"/>
  <c r="O40" i="55"/>
  <c r="O79" i="55"/>
  <c r="O10" i="55"/>
  <c r="S88" i="55"/>
  <c r="T88" i="55"/>
  <c r="S74" i="55"/>
  <c r="T74" i="55"/>
  <c r="O55" i="55"/>
  <c r="T134" i="55"/>
  <c r="O24" i="55"/>
  <c r="T8" i="55"/>
  <c r="K146" i="55" a="1"/>
  <c r="K146" i="55"/>
  <c r="S125" i="55"/>
  <c r="T125" i="55"/>
  <c r="T50" i="55"/>
  <c r="K148" i="55" a="1"/>
  <c r="K148" i="55"/>
  <c r="O106" i="55"/>
  <c r="O62" i="55"/>
  <c r="K112" i="55" a="1"/>
  <c r="K112" i="55"/>
  <c r="O72" i="55"/>
  <c r="T42" i="55"/>
  <c r="O75" i="55"/>
  <c r="O117" i="55"/>
  <c r="O16" i="55"/>
  <c r="R67" i="55"/>
  <c r="S67" i="55"/>
  <c r="R143" i="55"/>
  <c r="S143" i="55"/>
  <c r="O88" i="55"/>
  <c r="O100" i="55"/>
  <c r="L126" i="55" a="1"/>
  <c r="L126" i="55"/>
  <c r="L22" i="55" a="1"/>
  <c r="L22" i="55"/>
  <c r="O32" i="55"/>
  <c r="L90" i="55" a="1"/>
  <c r="L90" i="55"/>
  <c r="L24" i="55" a="1"/>
  <c r="L24" i="55"/>
  <c r="O112" i="55"/>
  <c r="R19" i="55"/>
  <c r="S19" i="55"/>
  <c r="L74" i="55" a="1"/>
  <c r="L74" i="55"/>
  <c r="L49" i="55" a="1"/>
  <c r="L49" i="55"/>
  <c r="L68" i="55" a="1"/>
  <c r="L68" i="55"/>
  <c r="S145" i="55"/>
  <c r="R145" i="55"/>
  <c r="L145" i="55" a="1"/>
  <c r="L145" i="55"/>
  <c r="R103" i="55"/>
  <c r="T103" i="55"/>
  <c r="L103" i="55" a="1"/>
  <c r="L103" i="55"/>
  <c r="K35" i="55" a="1"/>
  <c r="K35" i="55"/>
  <c r="O37" i="55"/>
  <c r="O71" i="55"/>
  <c r="R129" i="55"/>
  <c r="S129" i="55"/>
  <c r="R46" i="55"/>
  <c r="T46" i="55"/>
  <c r="L55" i="55" a="1"/>
  <c r="L55" i="55"/>
  <c r="O125" i="55"/>
  <c r="L15" i="55" a="1"/>
  <c r="L15" i="55"/>
  <c r="L40" i="55" a="1"/>
  <c r="L40" i="55"/>
  <c r="O135" i="55"/>
  <c r="L125" i="55" a="1"/>
  <c r="L125" i="55"/>
  <c r="M4" i="59"/>
  <c r="L54" i="55" a="1"/>
  <c r="L54" i="55"/>
  <c r="L138" i="55" a="1"/>
  <c r="L138" i="55"/>
  <c r="O49" i="55"/>
  <c r="R118" i="55"/>
  <c r="S118" i="55"/>
  <c r="T46" i="59"/>
  <c r="L51" i="59"/>
  <c r="T52" i="59"/>
  <c r="L48" i="59"/>
  <c r="U48" i="59"/>
  <c r="T16" i="59"/>
  <c r="U16" i="59"/>
  <c r="L41" i="55" a="1"/>
  <c r="L41" i="55"/>
  <c r="L98" i="55" a="1"/>
  <c r="L98" i="55"/>
  <c r="L51" i="55" a="1"/>
  <c r="L51" i="55"/>
  <c r="T15" i="59"/>
  <c r="R14" i="55"/>
  <c r="S14" i="55"/>
  <c r="L56" i="55" a="1"/>
  <c r="L56" i="55"/>
  <c r="L86" i="55" a="1"/>
  <c r="L86" i="55"/>
  <c r="L82" i="55" a="1"/>
  <c r="L82" i="55"/>
  <c r="L62" i="55" a="1"/>
  <c r="L62" i="55"/>
  <c r="F36" i="59" a="1"/>
  <c r="F36" i="59"/>
  <c r="L91" i="55" a="1"/>
  <c r="L91" i="55"/>
  <c r="S116" i="55"/>
  <c r="R116" i="55"/>
  <c r="O116" i="55"/>
  <c r="O94" i="55"/>
  <c r="L113" i="55" a="1"/>
  <c r="L113" i="55"/>
  <c r="L70" i="55" a="1"/>
  <c r="L70" i="55"/>
  <c r="L120" i="55" a="1"/>
  <c r="L120" i="55"/>
  <c r="L84" i="55" a="1"/>
  <c r="L84" i="55"/>
  <c r="L118" i="55" a="1"/>
  <c r="L118" i="55"/>
  <c r="L121" i="55" a="1"/>
  <c r="L121" i="55"/>
  <c r="L89" i="55" a="1"/>
  <c r="L89" i="55"/>
  <c r="L19" i="55" a="1"/>
  <c r="L19" i="55"/>
  <c r="L105" i="55" a="1"/>
  <c r="L105" i="55"/>
  <c r="L146" i="55" a="1"/>
  <c r="L146" i="55"/>
  <c r="L50" i="59"/>
  <c r="L47" i="55" a="1"/>
  <c r="L47" i="55"/>
  <c r="O113" i="55"/>
  <c r="L114" i="55" a="1"/>
  <c r="L114" i="55"/>
  <c r="L38" i="55" a="1"/>
  <c r="L38" i="55"/>
  <c r="F18" i="59" a="1"/>
  <c r="F18" i="59"/>
  <c r="L69" i="55" a="1"/>
  <c r="L69" i="55"/>
  <c r="T12" i="59"/>
  <c r="M42" i="59"/>
  <c r="K75" i="55" a="1"/>
  <c r="K75" i="55"/>
  <c r="L66" i="55" a="1"/>
  <c r="L66" i="55"/>
  <c r="L149" i="55" a="1"/>
  <c r="L149" i="55"/>
  <c r="L102" i="55" a="1"/>
  <c r="L102" i="55"/>
  <c r="R66" i="55"/>
  <c r="S66" i="55"/>
  <c r="O129" i="55"/>
  <c r="S83" i="55"/>
  <c r="R83" i="55"/>
  <c r="T40" i="59"/>
  <c r="L137" i="55" a="1"/>
  <c r="L137" i="55"/>
  <c r="L52" i="55" a="1"/>
  <c r="L52" i="55"/>
  <c r="L108" i="55" a="1"/>
  <c r="L108" i="55"/>
  <c r="L12" i="55" a="1"/>
  <c r="L12" i="55"/>
  <c r="O77" i="55"/>
  <c r="S13" i="55"/>
  <c r="R13" i="55"/>
  <c r="O31" i="55"/>
  <c r="U49" i="59"/>
  <c r="T49" i="59"/>
  <c r="L46" i="59"/>
  <c r="L147" i="55" a="1"/>
  <c r="L147" i="55"/>
  <c r="L35" i="55" a="1"/>
  <c r="L35" i="55"/>
  <c r="L115" i="55" a="1"/>
  <c r="L115" i="55"/>
  <c r="L16" i="55" a="1"/>
  <c r="L16" i="55"/>
  <c r="L11" i="55" a="1"/>
  <c r="L11" i="55"/>
  <c r="O141" i="55"/>
  <c r="O137" i="55"/>
  <c r="O64" i="55"/>
  <c r="U13" i="59"/>
  <c r="T13" i="59"/>
  <c r="L109" i="55" a="1"/>
  <c r="L109" i="55"/>
  <c r="L58" i="55" a="1"/>
  <c r="L58" i="55"/>
  <c r="L30" i="55" a="1"/>
  <c r="L30" i="55"/>
  <c r="O11" i="55"/>
  <c r="R37" i="55"/>
  <c r="T37" i="55"/>
  <c r="L81" i="55" a="1"/>
  <c r="L81" i="55"/>
  <c r="R53" i="55"/>
  <c r="S53" i="55"/>
  <c r="L64" i="55" a="1"/>
  <c r="L64" i="55"/>
  <c r="F54" i="59" a="1"/>
  <c r="F54" i="59"/>
  <c r="L78" i="55" a="1"/>
  <c r="L78" i="55"/>
  <c r="L106" i="55" a="1"/>
  <c r="L106" i="55"/>
  <c r="L65" i="55" a="1"/>
  <c r="L65" i="55"/>
  <c r="U4" i="59"/>
  <c r="T4" i="59"/>
  <c r="O20" i="55"/>
  <c r="T10" i="59"/>
  <c r="U10" i="59"/>
  <c r="L127" i="55" a="1"/>
  <c r="L127" i="55"/>
  <c r="L73" i="55" a="1"/>
  <c r="L73" i="55"/>
  <c r="K80" i="55" a="1"/>
  <c r="K80" i="55"/>
  <c r="L36" i="55" a="1"/>
  <c r="L36" i="55"/>
  <c r="L136" i="55" a="1"/>
  <c r="L136" i="55"/>
  <c r="L148" i="55" a="1"/>
  <c r="L148" i="55"/>
  <c r="S68" i="55"/>
  <c r="R68" i="55"/>
  <c r="O2" i="55"/>
  <c r="K58" i="55" a="1"/>
  <c r="K58" i="55"/>
  <c r="L111" i="55" a="1"/>
  <c r="L111" i="55"/>
  <c r="L34" i="55" a="1"/>
  <c r="L34" i="55"/>
  <c r="K82" i="55" a="1"/>
  <c r="K82" i="55"/>
  <c r="L104" i="55" a="1"/>
  <c r="L104" i="55"/>
  <c r="L72" i="55" a="1"/>
  <c r="L72" i="55"/>
  <c r="L142" i="55" a="1"/>
  <c r="L142" i="55"/>
  <c r="S86" i="55"/>
  <c r="R86" i="55"/>
  <c r="O108" i="55"/>
  <c r="O102" i="55"/>
  <c r="O14" i="55"/>
  <c r="O30" i="55"/>
  <c r="O96" i="55"/>
  <c r="S106" i="55"/>
  <c r="R106" i="55"/>
  <c r="L135" i="55" a="1"/>
  <c r="L135" i="55"/>
  <c r="L76" i="55" a="1"/>
  <c r="L76" i="55"/>
  <c r="L17" i="55" a="1"/>
  <c r="L17" i="55"/>
  <c r="L116" i="55" a="1"/>
  <c r="L116" i="55"/>
  <c r="L110" i="55" a="1"/>
  <c r="L110" i="55"/>
  <c r="L92" i="55" a="1"/>
  <c r="L92" i="55"/>
  <c r="L112" i="55" a="1"/>
  <c r="L112" i="55"/>
  <c r="V36" i="59"/>
  <c r="L134" i="55" a="1"/>
  <c r="L134" i="55"/>
  <c r="L133" i="55" a="1"/>
  <c r="L133" i="55"/>
  <c r="L75" i="55" a="1"/>
  <c r="L75" i="55"/>
  <c r="L20" i="55" a="1"/>
  <c r="L20" i="55"/>
  <c r="L59" i="55" a="1"/>
  <c r="L59" i="55"/>
  <c r="U14" i="59"/>
  <c r="T14" i="59"/>
  <c r="S27" i="55"/>
  <c r="R27" i="55"/>
  <c r="L33" i="55" a="1"/>
  <c r="L33" i="55"/>
  <c r="L140" i="55" a="1"/>
  <c r="L140" i="55"/>
  <c r="O54" i="59"/>
  <c r="U54" i="59"/>
  <c r="L128" i="55" a="1"/>
  <c r="L128" i="55"/>
  <c r="L13" i="55" a="1"/>
  <c r="L13" i="55"/>
  <c r="L85" i="55" a="1"/>
  <c r="L85" i="55"/>
  <c r="L99" i="55" a="1"/>
  <c r="L99" i="55"/>
  <c r="L39" i="55" a="1"/>
  <c r="L39" i="55"/>
  <c r="V18" i="59"/>
  <c r="S92" i="55"/>
  <c r="R92" i="55"/>
  <c r="O92" i="55"/>
  <c r="O70" i="55"/>
  <c r="T70" i="55"/>
  <c r="K55" i="55" a="1"/>
  <c r="K55" i="55"/>
  <c r="S96" i="55"/>
  <c r="R96" i="55"/>
  <c r="S61" i="55"/>
  <c r="R61" i="55"/>
  <c r="L8" i="59"/>
  <c r="K54" i="55" a="1"/>
  <c r="K54" i="55"/>
  <c r="K147" i="55" a="1"/>
  <c r="K147" i="55"/>
  <c r="K145" i="55" a="1"/>
  <c r="K145" i="55"/>
  <c r="L61" i="55" a="1"/>
  <c r="L61" i="55"/>
  <c r="L71" i="55" a="1"/>
  <c r="L71" i="55"/>
  <c r="K12" i="55" a="1"/>
  <c r="K12" i="55"/>
  <c r="K64" i="55" a="1"/>
  <c r="K64" i="55"/>
  <c r="K48" i="55" a="1"/>
  <c r="K48" i="55"/>
  <c r="S64" i="55"/>
  <c r="R64" i="55"/>
  <c r="K53" i="55" a="1"/>
  <c r="K53" i="55"/>
  <c r="S133" i="55"/>
  <c r="R133" i="55"/>
  <c r="K70" i="55" a="1"/>
  <c r="K70" i="55"/>
  <c r="L155" i="55"/>
  <c r="L2" i="55"/>
  <c r="L79" i="55" a="1"/>
  <c r="L79" i="55"/>
  <c r="L141" i="55" a="1"/>
  <c r="L141" i="55"/>
  <c r="L95" i="55" a="1"/>
  <c r="L95" i="55"/>
  <c r="L18" i="55" a="1"/>
  <c r="L18" i="55"/>
  <c r="L96" i="55" a="1"/>
  <c r="L96" i="55"/>
  <c r="L14" i="55" a="1"/>
  <c r="L14" i="55"/>
  <c r="L8" i="55" a="1"/>
  <c r="L8" i="55"/>
  <c r="L28" i="55" a="1"/>
  <c r="L28" i="55"/>
  <c r="L93" i="55" a="1"/>
  <c r="L93" i="55"/>
  <c r="L129" i="55" a="1"/>
  <c r="L129" i="55"/>
  <c r="L63" i="55" a="1"/>
  <c r="L63" i="55"/>
  <c r="L32" i="55" a="1"/>
  <c r="L32" i="55"/>
  <c r="L117" i="55" a="1"/>
  <c r="L117" i="55"/>
  <c r="L130" i="55" a="1"/>
  <c r="L130" i="55"/>
  <c r="L83" i="55" a="1"/>
  <c r="L83" i="55"/>
  <c r="L132" i="55" a="1"/>
  <c r="L132" i="55"/>
  <c r="L27" i="55" a="1"/>
  <c r="L27" i="55"/>
  <c r="L26" i="55" a="1"/>
  <c r="L26" i="55"/>
  <c r="L45" i="55" a="1"/>
  <c r="L45" i="55"/>
  <c r="L119" i="55" a="1"/>
  <c r="L119" i="55"/>
  <c r="L67" i="55" a="1"/>
  <c r="L67" i="55"/>
  <c r="L139" i="55" a="1"/>
  <c r="L139" i="55"/>
  <c r="L50" i="55" a="1"/>
  <c r="L50" i="55"/>
  <c r="L25" i="55" a="1"/>
  <c r="L25" i="55"/>
  <c r="L29" i="55" a="1"/>
  <c r="L29" i="55"/>
  <c r="L42" i="55" a="1"/>
  <c r="L42" i="55"/>
  <c r="L31" i="55" a="1"/>
  <c r="L31" i="55"/>
  <c r="L46" i="55" a="1"/>
  <c r="L46" i="55"/>
  <c r="L77" i="55" a="1"/>
  <c r="L77" i="55"/>
  <c r="L94" i="55" a="1"/>
  <c r="L94" i="55"/>
  <c r="L10" i="55" a="1"/>
  <c r="L10" i="55"/>
  <c r="L37" i="55" a="1"/>
  <c r="L37" i="55"/>
  <c r="L57" i="55" a="1"/>
  <c r="L57" i="55"/>
  <c r="L97" i="55" a="1"/>
  <c r="L97" i="55"/>
  <c r="K37" i="55" a="1"/>
  <c r="K37" i="55"/>
  <c r="L107" i="55" a="1"/>
  <c r="L107" i="55"/>
  <c r="K89" i="55" a="1"/>
  <c r="K89" i="55"/>
  <c r="K133" i="55" a="1"/>
  <c r="K133" i="55"/>
  <c r="K51" i="55" a="1"/>
  <c r="K51" i="55"/>
  <c r="P155" i="55"/>
  <c r="P2" i="55"/>
  <c r="K111" i="55" a="1"/>
  <c r="K111" i="55"/>
  <c r="K39" i="55" a="1"/>
  <c r="K39" i="55"/>
  <c r="S79" i="55"/>
  <c r="R79" i="55"/>
  <c r="K99" i="55" a="1"/>
  <c r="K99" i="55"/>
  <c r="K30" i="55" a="1"/>
  <c r="K30" i="55"/>
  <c r="K87" i="55" a="1"/>
  <c r="K87" i="55"/>
  <c r="L143" i="55" a="1"/>
  <c r="L143" i="55"/>
  <c r="S23" i="55"/>
  <c r="R23" i="55"/>
  <c r="AJ2" i="53"/>
  <c r="K74" i="55" a="1"/>
  <c r="K74" i="55"/>
  <c r="S63" i="55"/>
  <c r="R63" i="55"/>
  <c r="M5" i="59"/>
  <c r="L5" i="59"/>
  <c r="U7" i="59"/>
  <c r="T7" i="59"/>
  <c r="K83" i="55" a="1"/>
  <c r="K83" i="55"/>
  <c r="M15" i="59"/>
  <c r="L15" i="59"/>
  <c r="K143" i="55" a="1"/>
  <c r="K143" i="55"/>
  <c r="K113" i="55" a="1"/>
  <c r="K113" i="55"/>
  <c r="K81" i="55" a="1"/>
  <c r="K81" i="55"/>
  <c r="K88" i="55" a="1"/>
  <c r="K88" i="55"/>
  <c r="K137" i="55" a="1"/>
  <c r="K137" i="55"/>
  <c r="K56" i="55" a="1"/>
  <c r="K56" i="55"/>
  <c r="K104" i="55" a="1"/>
  <c r="K104" i="55"/>
  <c r="K22" i="55" a="1"/>
  <c r="K22" i="55"/>
  <c r="K43" i="55" a="1"/>
  <c r="K43" i="55"/>
  <c r="K128" i="55" a="1"/>
  <c r="K128" i="55"/>
  <c r="K155" i="55"/>
  <c r="K2" i="55"/>
  <c r="K65" i="55" a="1"/>
  <c r="K65" i="55"/>
  <c r="K149" i="55" a="1"/>
  <c r="K149" i="55"/>
  <c r="K59" i="55" a="1"/>
  <c r="K59" i="55"/>
  <c r="K76" i="55" a="1"/>
  <c r="K76" i="55"/>
  <c r="K38" i="55" a="1"/>
  <c r="K38" i="55"/>
  <c r="K47" i="55" a="1"/>
  <c r="K47" i="55"/>
  <c r="K18" i="55" a="1"/>
  <c r="K18" i="55"/>
  <c r="K36" i="55" a="1"/>
  <c r="K36" i="55"/>
  <c r="K20" i="55" a="1"/>
  <c r="K20" i="55"/>
  <c r="K134" i="55" a="1"/>
  <c r="K134" i="55"/>
  <c r="K108" i="55" a="1"/>
  <c r="K108" i="55"/>
  <c r="K85" i="55" a="1"/>
  <c r="K85" i="55"/>
  <c r="K86" i="55" a="1"/>
  <c r="K86" i="55"/>
  <c r="K91" i="55" a="1"/>
  <c r="K91" i="55"/>
  <c r="K14" i="55" a="1"/>
  <c r="K14" i="55"/>
  <c r="K57" i="55" a="1"/>
  <c r="K57" i="55"/>
  <c r="K79" i="55" a="1"/>
  <c r="K79" i="55"/>
  <c r="K28" i="55" a="1"/>
  <c r="K28" i="55"/>
  <c r="K40" i="55" a="1"/>
  <c r="K40" i="55"/>
  <c r="K119" i="55" a="1"/>
  <c r="K119" i="55"/>
  <c r="K10" i="55" a="1"/>
  <c r="K10" i="55"/>
  <c r="K131" i="55" a="1"/>
  <c r="K131" i="55"/>
  <c r="K93" i="55" a="1"/>
  <c r="K93" i="55"/>
  <c r="K96" i="55" a="1"/>
  <c r="K96" i="55"/>
  <c r="K129" i="55" a="1"/>
  <c r="K129" i="55"/>
  <c r="K101" i="55" a="1"/>
  <c r="K101" i="55"/>
  <c r="K132" i="55" a="1"/>
  <c r="K132" i="55"/>
  <c r="K136" i="55" a="1"/>
  <c r="K136" i="55"/>
  <c r="K8" i="55" a="1"/>
  <c r="K8" i="55"/>
  <c r="K95" i="55" a="1"/>
  <c r="K95" i="55"/>
  <c r="K52" i="55" a="1"/>
  <c r="K52" i="55"/>
  <c r="K27" i="55" a="1"/>
  <c r="K27" i="55"/>
  <c r="K98" i="55" a="1"/>
  <c r="K98" i="55"/>
  <c r="K139" i="55" a="1"/>
  <c r="K139" i="55"/>
  <c r="K63" i="55" a="1"/>
  <c r="K63" i="55"/>
  <c r="K94" i="55" a="1"/>
  <c r="K94" i="55"/>
  <c r="K140" i="55" a="1"/>
  <c r="K140" i="55"/>
  <c r="K72" i="55" a="1"/>
  <c r="K72" i="55"/>
  <c r="K33" i="55" a="1"/>
  <c r="K33" i="55"/>
  <c r="K118" i="55" a="1"/>
  <c r="K118" i="55"/>
  <c r="K138" i="55" a="1"/>
  <c r="K138" i="55"/>
  <c r="K16" i="55" a="1"/>
  <c r="K16" i="55"/>
  <c r="K106" i="55" a="1"/>
  <c r="K106" i="55"/>
  <c r="K141" i="55" a="1"/>
  <c r="K141" i="55"/>
  <c r="K126" i="55" a="1"/>
  <c r="K126" i="55"/>
  <c r="K109" i="55" a="1"/>
  <c r="K109" i="55"/>
  <c r="K62" i="55" a="1"/>
  <c r="K62" i="55"/>
  <c r="K11" i="55" a="1"/>
  <c r="K11" i="55"/>
  <c r="K105" i="55" a="1"/>
  <c r="K105" i="55"/>
  <c r="K29" i="55" a="1"/>
  <c r="K29" i="55"/>
  <c r="K77" i="55" a="1"/>
  <c r="K77" i="55"/>
  <c r="K142" i="55" a="1"/>
  <c r="K142" i="55"/>
  <c r="K26" i="55" a="1"/>
  <c r="K26" i="55"/>
  <c r="K45" i="55" a="1"/>
  <c r="K45" i="55"/>
  <c r="K60" i="55" a="1"/>
  <c r="K60" i="55"/>
  <c r="K116" i="55" a="1"/>
  <c r="K116" i="55"/>
  <c r="K46" i="55" a="1"/>
  <c r="K46" i="55"/>
  <c r="K68" i="55" a="1"/>
  <c r="K68" i="55"/>
  <c r="K102" i="55" a="1"/>
  <c r="K102" i="55"/>
  <c r="K31" i="55" a="1"/>
  <c r="K31" i="55"/>
  <c r="K7" i="55" a="1"/>
  <c r="K7" i="55"/>
  <c r="K32" i="55" a="1"/>
  <c r="K32" i="55"/>
  <c r="K25" i="55" a="1"/>
  <c r="K25" i="55"/>
  <c r="M14" i="59"/>
  <c r="L14" i="59"/>
  <c r="K144" i="55" a="1"/>
  <c r="K144" i="55"/>
  <c r="L9" i="55" a="1"/>
  <c r="L9" i="55"/>
  <c r="K103" i="55" a="1"/>
  <c r="K103" i="55"/>
  <c r="L43" i="55" a="1"/>
  <c r="L43" i="55"/>
  <c r="S62" i="55"/>
  <c r="R62" i="55"/>
  <c r="R91" i="55"/>
  <c r="S91" i="55"/>
  <c r="M40" i="59"/>
  <c r="S39" i="55"/>
  <c r="R39" i="55"/>
  <c r="K121" i="55" a="1"/>
  <c r="K121" i="55"/>
  <c r="K24" i="55" a="1"/>
  <c r="K24" i="55"/>
  <c r="L88" i="55" a="1"/>
  <c r="L88" i="55"/>
  <c r="L23" i="59"/>
  <c r="G36" i="59"/>
  <c r="M36" i="59"/>
  <c r="K90" i="55" a="1"/>
  <c r="K90" i="55"/>
  <c r="K78" i="55" a="1"/>
  <c r="K78" i="55"/>
  <c r="K17" i="55" a="1"/>
  <c r="K17" i="55"/>
  <c r="K125" i="55" a="1"/>
  <c r="K125" i="55"/>
  <c r="K9" i="55" a="1"/>
  <c r="K9" i="55"/>
  <c r="L131" i="55" a="1"/>
  <c r="L131" i="55"/>
  <c r="L101" i="55" a="1"/>
  <c r="L101" i="55"/>
  <c r="K117" i="55" a="1"/>
  <c r="K117" i="55"/>
  <c r="K49" i="55" a="1"/>
  <c r="K49" i="55"/>
  <c r="L60" i="55" a="1"/>
  <c r="L60" i="55"/>
  <c r="L44" i="55" a="1"/>
  <c r="L44" i="55"/>
  <c r="L87" i="55" a="1"/>
  <c r="L87" i="55"/>
  <c r="K42" i="55" a="1"/>
  <c r="K42" i="55"/>
  <c r="K19" i="55" a="1"/>
  <c r="K19" i="55"/>
  <c r="K130" i="55" a="1"/>
  <c r="K130" i="55"/>
  <c r="K107" i="55" a="1"/>
  <c r="K107" i="55"/>
  <c r="S102" i="55"/>
  <c r="R102" i="55"/>
  <c r="K50" i="55" a="1"/>
  <c r="K50" i="55"/>
  <c r="L12" i="59"/>
  <c r="M12" i="59"/>
  <c r="K23" i="55" a="1"/>
  <c r="K23" i="55"/>
  <c r="L48" i="55" a="1"/>
  <c r="L48" i="55"/>
  <c r="G2" i="55"/>
  <c r="L44" i="59"/>
  <c r="K13" i="55" a="1"/>
  <c r="K13" i="55"/>
  <c r="S115" i="55"/>
  <c r="R115" i="55"/>
  <c r="L23" i="55" a="1"/>
  <c r="L23" i="55"/>
  <c r="K67" i="55" a="1"/>
  <c r="K67" i="55"/>
  <c r="L80" i="55" a="1"/>
  <c r="L80" i="55"/>
  <c r="K114" i="55" a="1"/>
  <c r="K114" i="55"/>
  <c r="K34" i="55" a="1"/>
  <c r="K34" i="55"/>
  <c r="K127" i="55" a="1"/>
  <c r="K127" i="55"/>
  <c r="L7" i="55" a="1"/>
  <c r="L7" i="55"/>
  <c r="R52" i="55"/>
  <c r="S52" i="55"/>
  <c r="L100" i="55" a="1"/>
  <c r="L100" i="55"/>
  <c r="L21" i="55" a="1"/>
  <c r="L21" i="55"/>
  <c r="K69" i="55" a="1"/>
  <c r="K69" i="55"/>
  <c r="K66" i="55" a="1"/>
  <c r="K66" i="55"/>
  <c r="K92" i="55" a="1"/>
  <c r="K92" i="55"/>
  <c r="K73" i="55" a="1"/>
  <c r="K73" i="55"/>
  <c r="K71" i="55" a="1"/>
  <c r="K71" i="55"/>
  <c r="K135" i="55" a="1"/>
  <c r="K135" i="55"/>
  <c r="X152" i="53"/>
  <c r="X2" i="53"/>
  <c r="K115" i="55" a="1"/>
  <c r="K115" i="55"/>
  <c r="K84" i="55" a="1"/>
  <c r="K84" i="55"/>
  <c r="K15" i="55" a="1"/>
  <c r="K15" i="55"/>
  <c r="H155" i="55"/>
  <c r="S97" i="55"/>
  <c r="R97" i="55"/>
  <c r="U43" i="59"/>
  <c r="T43" i="59"/>
  <c r="K100" i="55" a="1"/>
  <c r="K100" i="55"/>
  <c r="R136" i="55"/>
  <c r="S136" i="55"/>
  <c r="L53" i="55" a="1"/>
  <c r="L53" i="55"/>
  <c r="L45" i="59"/>
  <c r="S148" i="55"/>
  <c r="R148" i="55"/>
  <c r="L43" i="59"/>
  <c r="M43" i="59"/>
  <c r="L7" i="59"/>
  <c r="M7" i="59"/>
  <c r="S9" i="55"/>
  <c r="R9" i="55"/>
  <c r="O7" i="26"/>
  <c r="N6" i="26"/>
  <c r="R21" i="55"/>
  <c r="S21" i="55"/>
  <c r="R34" i="55"/>
  <c r="S34" i="55"/>
  <c r="S60" i="55"/>
  <c r="R60" i="55"/>
  <c r="S44" i="55"/>
  <c r="R44" i="55"/>
  <c r="U9" i="59"/>
  <c r="T9" i="59"/>
  <c r="L6" i="59"/>
  <c r="M6" i="59"/>
  <c r="G18" i="59"/>
  <c r="S109" i="55"/>
  <c r="R109" i="55"/>
  <c r="G155" i="55"/>
  <c r="G3" i="55"/>
  <c r="M16" i="59"/>
  <c r="L16" i="59"/>
  <c r="U50" i="59"/>
  <c r="T50" i="59"/>
  <c r="O18" i="59"/>
  <c r="U8" i="59"/>
  <c r="T8" i="59"/>
  <c r="G54" i="59"/>
  <c r="M54" i="59"/>
  <c r="M41" i="59"/>
  <c r="R127" i="55"/>
  <c r="S127" i="55"/>
  <c r="U23" i="59"/>
  <c r="T23" i="59"/>
  <c r="O36" i="59"/>
  <c r="R26" i="55"/>
  <c r="S26" i="55"/>
  <c r="S55" i="55"/>
  <c r="R55" i="55"/>
  <c r="H2" i="55"/>
  <c r="G156" i="55"/>
  <c r="R33" i="55"/>
  <c r="T33" i="55"/>
  <c r="U51" i="59"/>
  <c r="T51" i="59"/>
  <c r="U44" i="59"/>
  <c r="T44" i="59"/>
  <c r="S101" i="55"/>
  <c r="R101" i="55"/>
  <c r="V54" i="59"/>
  <c r="S75" i="55"/>
  <c r="R75" i="55"/>
  <c r="S149" i="55"/>
  <c r="R149" i="55"/>
  <c r="S110" i="55"/>
  <c r="R110" i="55"/>
  <c r="R54" i="55"/>
  <c r="S54" i="55"/>
  <c r="R71" i="55"/>
  <c r="S71" i="55"/>
  <c r="R113" i="55"/>
  <c r="S113" i="55"/>
  <c r="L52" i="59"/>
  <c r="M52" i="59"/>
  <c r="S140" i="55"/>
  <c r="R140" i="55"/>
  <c r="L9" i="59"/>
  <c r="M9" i="59"/>
  <c r="N36" i="59"/>
  <c r="N54" i="59"/>
  <c r="L41" i="59"/>
  <c r="T9" i="55"/>
  <c r="T101" i="55"/>
  <c r="T60" i="55"/>
  <c r="T148" i="55"/>
  <c r="T129" i="55"/>
  <c r="T66" i="55"/>
  <c r="T97" i="55"/>
  <c r="T13" i="55"/>
  <c r="T145" i="55"/>
  <c r="T106" i="55"/>
  <c r="T64" i="55"/>
  <c r="T143" i="55"/>
  <c r="T67" i="55"/>
  <c r="T136" i="55"/>
  <c r="T92" i="55"/>
  <c r="T19" i="55"/>
  <c r="T96" i="55"/>
  <c r="T116" i="55"/>
  <c r="T75" i="55"/>
  <c r="T53" i="55"/>
  <c r="T118" i="55"/>
  <c r="T63" i="55"/>
  <c r="T79" i="55"/>
  <c r="L36" i="59"/>
  <c r="T54" i="59"/>
  <c r="T140" i="55"/>
  <c r="T83" i="55"/>
  <c r="T27" i="55"/>
  <c r="T86" i="55"/>
  <c r="T62" i="55"/>
  <c r="T68" i="55"/>
  <c r="T14" i="55"/>
  <c r="T52" i="55"/>
  <c r="T115" i="55"/>
  <c r="T23" i="55"/>
  <c r="T34" i="55"/>
  <c r="T39" i="55"/>
  <c r="T91" i="55"/>
  <c r="T133" i="55"/>
  <c r="T113" i="55"/>
  <c r="T127" i="55"/>
  <c r="T54" i="55"/>
  <c r="T44" i="55"/>
  <c r="T61" i="55"/>
  <c r="T149" i="55"/>
  <c r="T102" i="55"/>
  <c r="S155" i="55"/>
  <c r="S2" i="55"/>
  <c r="R155" i="55"/>
  <c r="R2" i="55"/>
  <c r="L54" i="59"/>
  <c r="H3" i="55"/>
  <c r="H156" i="55"/>
  <c r="T36" i="59"/>
  <c r="U36" i="59"/>
  <c r="T109" i="55"/>
  <c r="T21" i="55"/>
  <c r="P7" i="26"/>
  <c r="O6" i="26"/>
  <c r="M18" i="59"/>
  <c r="L18" i="59"/>
  <c r="T26" i="55"/>
  <c r="T71" i="55"/>
  <c r="U18" i="59"/>
  <c r="T18" i="59"/>
  <c r="T110" i="55"/>
  <c r="T55" i="55"/>
  <c r="T2" i="55"/>
  <c r="U2" i="55"/>
  <c r="T155" i="55"/>
  <c r="Q7" i="26"/>
  <c r="P6" i="26"/>
  <c r="Q6" i="26"/>
  <c r="R7" i="26"/>
  <c r="R6" i="26"/>
  <c r="S7" i="26"/>
  <c r="T7" i="26"/>
  <c r="S6" i="26"/>
  <c r="T6" i="26"/>
  <c r="U7" i="26"/>
  <c r="V7" i="26"/>
  <c r="U6" i="26"/>
  <c r="V6" i="26"/>
  <c r="W7" i="26"/>
  <c r="X7" i="26"/>
  <c r="W6" i="26"/>
  <c r="X6" i="26"/>
  <c r="Y7" i="26"/>
  <c r="Z7" i="26"/>
  <c r="Y6" i="26"/>
  <c r="Z6" i="26"/>
  <c r="AA7" i="26"/>
  <c r="AB7" i="26"/>
  <c r="AA6" i="26"/>
  <c r="AB6" i="26"/>
  <c r="AC7" i="26"/>
  <c r="AD7" i="26"/>
  <c r="AC6" i="26"/>
  <c r="AE7" i="26"/>
  <c r="AD6" i="26"/>
  <c r="AE6" i="26"/>
  <c r="AF7" i="26"/>
  <c r="AG7" i="26"/>
  <c r="AF6" i="26"/>
  <c r="AH7" i="26"/>
  <c r="AG6" i="26"/>
  <c r="AI7" i="26"/>
  <c r="AH6" i="26"/>
  <c r="AJ7" i="26"/>
  <c r="AI6" i="26"/>
  <c r="AK7" i="26"/>
  <c r="AJ6" i="26"/>
  <c r="AL7" i="26"/>
  <c r="AK6"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tc={1C3F85AF-62EC-4437-8253-C0CAD5CAAE26}</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 ref="AA75" authorId="2" shapeId="0" xr:uid="{1C3F85AF-62EC-4437-8253-C0CAD5CAAE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Cache_Walker_L3 is still pending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1"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9"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761FE57D-D7DF-4431-A52D-4A43EE4A1660}">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A809E92D-0C38-4805-BCA3-E56219F8016F}">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<sst xmlns="http://schemas.openxmlformats.org/spreadsheetml/2006/main" count="3932" uniqueCount="1202">
  <si>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</si>
  <si>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</si>
  <si>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</si>
  <si>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</si>
  <si>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</si>
  <si>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</si>
  <si>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</si>
  <si>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</si>
  <si>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</si>
  <si>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</si>
  <si>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</si>
  <si>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</si>
  <si>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</si>
  <si>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</si>
  <si>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</si>
  <si>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</si>
  <si>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</si>
  <si>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</si>
  <si>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</si>
  <si>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</si>
  <si>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</si>
  <si>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</si>
  <si>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</si>
  <si>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</si>
  <si>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</si>
  <si>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</si>
  <si>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</si>
  <si>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</si>
  <si>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</si>
  <si>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</si>
  <si>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</si>
  <si>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</si>
  <si>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</si>
  <si>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</si>
  <si>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</si>
  <si>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</si>
  <si>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</si>
  <si>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</si>
  <si>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</si>
  <si>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</si>
  <si>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</si>
  <si>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</si>
  <si>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</si>
  <si>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</si>
  <si>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</si>
  <si>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</si>
  <si>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</si>
  <si>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</si>
  <si>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</si>
  <si>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</si>
  <si>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</si>
  <si>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</si>
  <si>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</si>
  <si>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</si>
  <si>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</si>
  <si>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</si>
  <si>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</si>
  <si>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</si>
  <si>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</si>
  <si>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</si>
  <si>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</si>
  <si>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</si>
  <si>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</si>
  <si>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</si>
  <si>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</si>
  <si>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</si>
  <si>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</si>
  <si>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</si>
  <si>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</si>
  <si>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</si>
  <si>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</si>
  <si>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</si>
  <si>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</si>
  <si>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</si>
  <si>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</si>
  <si>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</si>
  <si>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</si>
  <si>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</si>
  <si>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</si>
  <si>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</si>
  <si>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</si>
  <si>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</si>
  <si>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</si>
  <si>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</si>
  <si>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</si>
  <si>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</si>
  <si>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</si>
  <si>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</si>
  <si>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</si>
  <si>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</si>
  <si>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</si>
  <si>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</si>
  <si>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</si>
  <si>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</si>
  <si>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</si>
  <si>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</si>
  <si>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</si>
  <si>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</si>
  <si>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</si>
  <si>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</si>
  <si>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</si>
  <si>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</si>
  <si>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</si>
  <si>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</si>
  <si>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</si>
  <si>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</si>
  <si>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</si>
  <si>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</si>
  <si>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</si>
  <si>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</si>
  <si>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</si>
  <si>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</si>
  <si>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</si>
  <si>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</si>
  <si>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</si>
  <si>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</si>
  <si>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</si>
  <si>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</si>
  <si>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</si>
  <si>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</si>
  <si>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</si>
  <si>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</si>
  <si>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</si>
  <si>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</si>
  <si>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</si>
  <si>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</si>
  <si>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</si>
  <si>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</si>
  <si>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</si>
  <si>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</si>
  <si>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</si>
  <si>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</si>
  <si>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</si>
  <si>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</si>
  <si>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</si>
  <si>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</si>
  <si>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</si>
  <si>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</si>
  <si>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</si>
  <si>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</si>
  <si>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</si>
  <si>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</si>
  <si>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</si>
  <si>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</si>
  <si>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</si>
  <si>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</si>
  <si>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</si>
  <si>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</si>
  <si>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</si>
  <si>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</si>
  <si>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</si>
  <si>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</si>
  <si>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</si>
  <si>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</si>
  <si>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</si>
  <si>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</si>
  <si>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</si>
  <si>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</si>
  <si>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</si>
  <si>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</si>
  <si>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</si>
  <si>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</si>
  <si>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</si>
  <si>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</si>
  <si>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</si>
  <si>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</si>
  <si>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</si>
  <si>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</si>
  <si>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</si>
  <si>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</si>
  <si>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</si>
  <si>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</si>
  <si>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</si>
  <si>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</si>
  <si>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</si>
  <si>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</si>
  <si>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</si>
  <si>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</si>
  <si>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</si>
  <si>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</si>
  <si>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</si>
  <si>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</si>
  <si>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</si>
  <si>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</si>
  <si>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</si>
  <si>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</si>
  <si>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</si>
  <si>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</si>
  <si>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</si>
  <si>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</si>
  <si>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</si>
  <si>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</si>
  <si>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</si>
  <si>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</si>
  <si>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</si>
  <si>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</si>
  <si>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</si>
  <si>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</si>
  <si>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</si>
  <si>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</si>
  <si>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</si>
  <si>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</si>
  <si>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</si>
  <si>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</si>
  <si>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</si>
  <si>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</si>
  <si>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</si>
  <si>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</si>
  <si>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</si>
  <si>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</si>
  <si>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</si>
  <si>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</si>
  <si>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</si>
  <si>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</si>
  <si>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</si>
  <si>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</si>
  <si>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</si>
  <si>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</si>
  <si>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</si>
  <si>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</si>
  <si>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</si>
  <si>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</si>
  <si>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</si>
  <si>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</si>
  <si>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</si>
  <si>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</si>
  <si>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</si>
  <si>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</si>
  <si>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</si>
  <si>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</si>
  <si>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</si>
  <si>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</si>
  <si>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</si>
  <si>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</si>
  <si>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</si>
  <si>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</si>
  <si>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</si>
  <si>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</si>
  <si>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</si>
  <si>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</si>
  <si>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</si>
  <si>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</si>
  <si>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</si>
  <si>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</si>
  <si>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</si>
  <si>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</si>
  <si>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</si>
  <si>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</si>
  <si>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</si>
  <si>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</si>
  <si>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</si>
  <si>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</si>
  <si>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</si>
  <si>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</si>
  <si>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</si>
  <si>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</si>
  <si>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</si>
  <si>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</si>
  <si>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</si>
  <si>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</si>
  <si>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</si>
  <si>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</si>
  <si>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</si>
  <si>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</si>
  <si>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</si>
  <si>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</si>
  <si>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</si>
  <si>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</si>
  <si>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</si>
  <si>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</si>
  <si>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</si>
  <si>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</si>
  <si>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</si>
  <si>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</si>
  <si>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</si>
  <si>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</si>
  <si>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</si>
  <si>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</si>
  <si>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</si>
  <si>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</si>
  <si>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</si>
  <si>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</si>
  <si>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</si>
  <si>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</si>
  <si>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</si>
  <si>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</si>
  <si>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</si>
  <si>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</si>
  <si>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</si>
  <si>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</si>
  <si>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</si>
  <si>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</si>
  <si>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</si>
  <si>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</si>
  <si>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</si>
  <si>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</si>
  <si>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</si>
  <si>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</si>
  <si>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</si>
  <si>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</si>
  <si>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</si>
  <si>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</si>
  <si>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</si>
  <si>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</si>
  <si>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</si>
  <si>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</si>
  <si>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</si>
  <si>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</si>
  <si>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Covered in 
Framework?</t>
  </si>
  <si>
    <t>FunctionalBlock</t>
  </si>
  <si>
    <t>Bring-up</t>
  </si>
  <si>
    <t>Stage 1 
Test duration in hours</t>
  </si>
  <si>
    <t>Stgae 1 
Execution Status</t>
  </si>
  <si>
    <t>Stage 2 
Test duration in Min</t>
  </si>
  <si>
    <t>Stgae 2 
Execution Status</t>
  </si>
  <si>
    <t>CORE-FEAT-001</t>
  </si>
  <si>
    <t>WS.Storm.Core.ISA.1</t>
  </si>
  <si>
    <t>Joseph, Swapnesh</t>
  </si>
  <si>
    <t>CORE-09</t>
  </si>
  <si>
    <t>[EX_01] CRC32, 
[EX_03] BSWAP,
[EX_04] BITREV,
[EX_05] POPCNT,
[EX_06] CLZR,
[EX_07] BEXTR, 
[EX_08] MOVBE, 
[EX_09] MOBBEB, 
[EX_10] MUL,
[EX_11] Combine MUL instructions and non-arithmetic instructions
[EX_12] PUSH, 
[EX_13] POP, 
[EX_14] FpMOV[LH]PD,
[EX_16] SHIFT by Zero,
[EX_17] FP, 
[EX_22]  Immediate+Displacement Instructions
[EX_29] Arithmetic, 
Logical and Conditionals,
[EX_30] Shift and Rotate Operations,
Miscellaneous Operations,
[EX_39]ADCX,
[EX_40] ADOX, 
[EX_36] Retire Atomicity,
[EX_61] CMPXCHG,
[EX_43] LZCNT,
[EX_43] TZCNT
[CPU013] - CPL 0-3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BLSI,BLSMSK,BLSR,BSR/BSF</t>
  </si>
  <si>
    <t>Provides Coverage for various ISAs
CCX_EXSC_Diag_Testplan.docx
CCX_Decode_Diag_Testplan.docx
CCX_UC_Diag_testPlan.docx
CCX_LS_DC_Diag_Testplan.docx
CCX_Cache_Diag_Testplan.docx</t>
  </si>
  <si>
    <t xml:space="preserve">all_insts.yml
</t>
  </si>
  <si>
    <t>STORM</t>
  </si>
  <si>
    <t xml:space="preserve">N-1 Completed </t>
  </si>
  <si>
    <t>CORE</t>
  </si>
  <si>
    <t xml:space="preserve">92/310 </t>
  </si>
  <si>
    <t>CORE-FEAT-002</t>
  </si>
  <si>
    <t>WS.Storm.Core.ISA.2</t>
  </si>
  <si>
    <t>Bijesh</t>
  </si>
  <si>
    <t>[EX_01] CRC32, 
[EX_03] BSWAP,
[EX_04] BITREV,
[EX_05] POPCNT,
[EX_06] CLZR,
[EX_07] BEXTR, 
[EX_08] MOVBE, 
[EX_09] MOBBEB, 
[EX_10] MUL,
[EX_11] Combine MUL instructions and non-arithmetic instructions
[EX_12] PUSH, 
[EX_13] POP, 
[EX_14] FpMOV[LH]PD,
[EX_16] SHIFT by Zero,
[EX_17] FP, 
[EX_22]  Immediate+Displacement Instructions
[EX_29] Arithmetic, 
Logical and Conditionals,
[EX_30] Shift and Rotate Operations,
Miscellaneous Operations,
[EX_39]ADCX,
[EX_40] ADOX, 
[EX_36] Retire Atomicity,
[EX_61] CMPXCHG,
[EX_43] LZCNT,
[EX_43] TZCNT
[CPU013] - CPL 0-3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BLSI,BLSMSK,BLSR,BSR/BSF</t>
  </si>
  <si>
    <t xml:space="preserve">
all_insts_in_guest_mode.yml</t>
  </si>
  <si>
    <t>CORE-FEAT-003</t>
  </si>
  <si>
    <t>WS.Storm.Core.ISA.3</t>
  </si>
  <si>
    <t>[EX_01] CRC32, 
[EX_03] BSWAP,
[EX_04] BITREV,
[EX_05] POPCNT,
[EX_06] CLZR,
[EX_07] BEXTR, 
[EX_08] MOVBE, 
[EX_09] MOBBEB, 
[EX_10] MUL,
[EX_11] – Combine MUL instructions and non-arithmetic instructions
[EX_12] PUSH, 
[EX_13] POP, 
[EX_14] FpMOV[LH]PD,
[EX_16] SHIFT by Zero,
[EX_17] FP, 
[EX_22]Immediate+Displacement Instructions
[EX_29] Arithmetic, 
Logical and Conditionals,
[EX_30] Shift and Rotate Operations,
Miscellaneous Operations,
[EX_36] Retire Atomicity,
[EX_39]ADCX,
[EX_40] ADOX, 
[EX_43] LZCNT,
[EX_43] TZCNT, 
[EX_61] CMPXCHG,
[EX_60] – Improved CRC
[CPU013] - CPL 0-3
[CPU016] - Hardware Integer Divider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BLSI,BLSMSK,BLSR,BSR/BSF
[LS_26] - Secure Mode Access Prevention (SMAP)
[LS_27] - Supervisor Mode Execution Prevention (SMEP)
[LS_35] - MSRs
[LS_36] - Memory Type Range Registers (MTRR)
[LS_39] - Extended Fixed Range MTRR Type Field Encoding
[LS_38] - IORR
[PS_LS_92] – 4 cycle load to use for EMEM
[LS_45] - Emulation memory stored in DC</t>
  </si>
  <si>
    <t>deluge.yml</t>
  </si>
  <si>
    <t>CORE-FEAT-004</t>
  </si>
  <si>
    <t>WS.Storm.Core.ISA.4</t>
  </si>
  <si>
    <t>[EX_01] CRC32, 
[EX_03] BSWAP,
[EX_04] BITREV,
[EX_05] POPCNT,
[EX_06] CLZR,
[EX_07] BEXTR, 
[EX_08] MOVBE, 
[EX_09] MOBBEB, 
[EX_10] MUL,
[EX_11] – Combine MUL instructions and non-arithmetic instructions
[EX_12] PUSH, 
[EX_13] POP, 
[EX_14] FpMOV[LH]PD,
[EX_16] SHIFT by Zero,
[EX_17] FP, 
[EX_22]Immediate+Displacement Instructions
[EX_29] Arithmetic, 
Logical and Conditionals,
[EX_30] Shift and Rotate Operations,
Miscellaneous Operations,
[EX_36] Retire Atomicity,
[EX_39]ADCX,
[EX_40] ADOX, 
[EX_43] LZCNT,
[EX_43] TZCNT, 
[EX_61] CMPXCHG,
[EX_60] – Improved CRC
[CPU013] - CPL 0-3
[CPU016] - Hardware Integer Divider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[LS_26] - Secure Mode Access Prevention (SMAP)
[LS_27] - Supervisor Mode Execution Prevention (SMEP)
[LS_35] - MSRs
[LS_36] - Memory Type Range Registers (MTRR)
[LS_39] - Extended Fixed Range MTRR Type Field Encoding
[LS_38] - IORR</t>
  </si>
  <si>
    <t>Provides Coverage for various ISAs from Guest mode
CCX_EXSC_Diag_Testplan.docx
CCX_Decode_Diag_Testplan.docx
CCX_UC_Diag_testPlan.docx
CCX_LS_DC_Diag_Testplan.docx
CCX_Cache_Diag_Testplan.docx</t>
  </si>
  <si>
    <t>deluge_in_guest_mode.yml</t>
  </si>
  <si>
    <t xml:space="preserve">N-1 completed </t>
  </si>
  <si>
    <t>CORE-FEAT-005</t>
  </si>
  <si>
    <t>WS.Storm.Core.ISA.5</t>
  </si>
  <si>
    <t>Broad level coverage for Core Features</t>
  </si>
  <si>
    <t>rapid_deluge.yml</t>
  </si>
  <si>
    <t>CORE-FEAT-006</t>
  </si>
  <si>
    <t>WS.Storm.Core.ISA.6</t>
  </si>
  <si>
    <t>rapid_deluge_in_guest_mode.yml</t>
  </si>
  <si>
    <t>CORE-FEAT-007</t>
  </si>
  <si>
    <t>WS.Storm.CORE.Exerciser.1</t>
  </si>
  <si>
    <t>Provides coverage for various Structures and Quese from BP
 CCX_IC_BP_Diag_Testplan.docx</t>
  </si>
  <si>
    <t>stateless_function_call.yml</t>
  </si>
  <si>
    <t>CORE-FEAT-008</t>
  </si>
  <si>
    <t>WS.Storm.CORE.Exerciser.2</t>
  </si>
  <si>
    <t>stateless_function_call_in_guest_mode.yml</t>
  </si>
  <si>
    <t>CORE-FEAT-009</t>
  </si>
  <si>
    <t>WS.Storm.CORE.Exerciser.3</t>
  </si>
  <si>
    <t>Provides coverage for various Structures and Quese from BP
CCX_IC_BP_Diag_Testplan.docx
CCX_Decode_Diag_Testplan.docx</t>
  </si>
  <si>
    <t>Riptide.yml</t>
  </si>
  <si>
    <t>CORE-FEAT-010</t>
  </si>
  <si>
    <t>WS.Storm.CORE.Exerciser.4</t>
  </si>
  <si>
    <t>Provides coverage for various Structures and Quese in BP from Guest mode
CCX_IC_BP_Diag_Testplan.docx
CCX_Decode_Diag_Testplan.docx</t>
  </si>
  <si>
    <t>ubursts.yml</t>
  </si>
  <si>
    <t>CORE-FEAT-011</t>
  </si>
  <si>
    <t>WS.Storm.CORE.Exerciser.5</t>
  </si>
  <si>
    <t>supercell.yml</t>
  </si>
  <si>
    <t>CORE-FEAT-012</t>
  </si>
  <si>
    <t>WS.Storm.CORE.Exerciser.6</t>
  </si>
  <si>
    <t>rep_op_generator.rb.yml</t>
  </si>
  <si>
    <t>CORE-FEAT-013</t>
  </si>
  <si>
    <t>WS.Storm.Core.SRB</t>
  </si>
  <si>
    <t>[EX_037] - SRB Registers,Retire Atomicity
[LS_09] - Special Register Block (SRB) Controller and Queue
[DE_05] DE SRB write</t>
  </si>
  <si>
    <t>Validated SRB register access
CCX_EXSC_Diag_Testplan.docx
CCX_Decode_Diag_Testplan.docx
CCX_LS_DC_Diag_Testplan.docx</t>
  </si>
  <si>
    <t>ssp_zp_compat_exsc_leg037_srb_registers.yml</t>
  </si>
  <si>
    <t>CORE-FEAT-014</t>
  </si>
  <si>
    <t>WS.CDL.Core.TSCTestCases</t>
  </si>
  <si>
    <t>Vivek</t>
  </si>
  <si>
    <t>[EX_42] TSC test cases</t>
  </si>
  <si>
    <t>To ensure that time-stamp counter (TSC) feature is working as per the specification. CCX_EXSC_Diag_Testplan(4.6.42[EX_42])</t>
  </si>
  <si>
    <t>Core3.1.172_TSC_Sync_Correctness_Check.stf
Core_Group_18_TSC_Sync_Check_Using_RDTSC.stf
Core3.1.180_TSC_Check.stf
Rdtsc_Rollover.stf
Core_TSC_Stability_Check_With_External_Source.stf</t>
  </si>
  <si>
    <t>CORE-FEAT-015</t>
  </si>
  <si>
    <t>WS.CDL.Core.AperfMperfTestCases</t>
  </si>
  <si>
    <t>Core3.1.181_MPERF_TSC_Check.stf
Core3.1.181_APERF_TSC_Check.stf
APERF_MPERF_TSC_Ratio.stf
mperf_pmc(new diag).stf
Core3.1.180_MPRF_Check.stf
Core3.1.180_APRF_Check.stf</t>
  </si>
  <si>
    <t>CORE-FEAT-016</t>
  </si>
  <si>
    <t>WS.CDL.Core.TSCSemTestCases</t>
  </si>
  <si>
    <t>Core_Group_15_TSC_Sync_Check_with_Semaphore_Lock.stf
Core_Group_16_TSC_Sync_Check_with_Semaphore_Lock_and_C6_Irritator.stf</t>
  </si>
  <si>
    <t>CORE-FEAT-017</t>
  </si>
  <si>
    <t>WS.CDL.Core.Down-coring</t>
  </si>
  <si>
    <t>[EX_49] Down-coring</t>
  </si>
  <si>
    <t>To ensure that the Down-coring feature is working as per specification. CCX_EXSC_Diag_Testplan(4.6.53[EX_53])</t>
  </si>
  <si>
    <t>Manual</t>
  </si>
  <si>
    <t>CORE-FEAT-018</t>
  </si>
  <si>
    <t>WS.Storm.CPU.CET</t>
  </si>
  <si>
    <t>[CPU002] – Control-flow Enforcement Technology (CET) – Shadow Stack
[CPU003] – Control-flow Enforcement Technology (CET) – Indirect Branch Tracking</t>
  </si>
  <si>
    <t xml:space="preserve"> Shadow Stack and Indirect branch tracking.
[4.6.2]CCX_Cache_Diag_TestPlan.docx</t>
  </si>
  <si>
    <t>shadowstack.yml</t>
  </si>
  <si>
    <t>CORE-FEAT-019</t>
  </si>
  <si>
    <t>WS.CDL.CPU.PPIN</t>
  </si>
  <si>
    <t>Kulkarni, Ganesh</t>
  </si>
  <si>
    <t>[CPU007] - Add PPIN support to CB core</t>
  </si>
  <si>
    <t>PPIN is a feature that provides a unique ID for each 
processor that can be used for inventory or other purposes.
[4.6.7]CCX_Cache_Diag_TestPlan.docx</t>
  </si>
  <si>
    <t>ppin.stf</t>
  </si>
  <si>
    <t xml:space="preserve">No Test </t>
  </si>
  <si>
    <t>CORE-FEAT-020</t>
  </si>
  <si>
    <t>WS.CDL.CPU.CPUIDValues</t>
  </si>
  <si>
    <t>CPUID [CPU015] – CPUID Values</t>
  </si>
  <si>
    <t>CPUID values provide information about the processor
implementation and its capabilities. The purpose of this test is to check the validity of these CPUID values.
[4.6.15]CCX_CPU_Diag_TestPlan.docx</t>
  </si>
  <si>
    <t>Core_3.1.65_CPUID_Values.stf</t>
  </si>
  <si>
    <t>CORE-FEAT-021</t>
  </si>
  <si>
    <t>WS.Storm.CPU.x86ExceptionHandling</t>
  </si>
  <si>
    <t>[CPU017] - x86 Exception Handling
[CPU018] – Exception History Buffer</t>
  </si>
  <si>
    <t>The intent of this test is to verify the x86 exception handling
 capabilities of AMD processors.
[4.6.17]CCX_CPU_Diag_TestPlan.docx</t>
  </si>
  <si>
    <t xml:space="preserve">
st341_rsa0_ps_only_cross_all_insts_all_excps.yml</t>
  </si>
  <si>
    <t>CORE-FEAT-022</t>
  </si>
  <si>
    <t>WS.CDL.CPU.BranchTraceHistoryBuffer</t>
  </si>
  <si>
    <t>[CPU019] – Branch Trace History Buffer</t>
  </si>
  <si>
    <t>Validate Branch trace history feature(BTHB) feature.
[4.6.19]CCX_CPU_Diag_TestPlan.docx</t>
  </si>
  <si>
    <t>Bthb_Trace.stf</t>
  </si>
  <si>
    <t>CORE-FEAT-023</t>
  </si>
  <si>
    <t>WS.CDL.CPU.SKINIT</t>
  </si>
  <si>
    <t>[CPU00X] – Secure Kernel INIT</t>
  </si>
  <si>
    <t>Skinit Unit Test Plan
CCX_CPU_Diag_TestPlan.docx</t>
  </si>
  <si>
    <t>UEFI</t>
  </si>
  <si>
    <t>CORE-FEAT-024</t>
  </si>
  <si>
    <t>WS.CDL.ISA.RepInstructions</t>
  </si>
  <si>
    <t>Pandey, Vivek</t>
  </si>
  <si>
    <t>[LS_78] - The Rep Instructions Exerciser
[LS_76]  - Certain REP MOVS and REP STOS May Result in Unpredictable Behavior
[EX_49] Memory Renaming
UCODE_Exerciser:
[DE_09] Microcode Word Queue (MWQ)
[DE_11] Microcode thread switching
[CPU005] - Use non-temporal requests for Rep Mov and Rep St larger than L3 cache size</t>
  </si>
  <si>
    <t xml:space="preserve">The test verifies and exercises different instructions
 (MOVS, CMPS, SCAS, STOC, ) with the REP prefix. The instructions are exercised with different possible rcx values and different starting pointers for all instructions. The rep movs instructions are specifically exercised with page faults on every page involved in the string copy.
CCX_LS_DC_Diag_Testplan (4.6.78[LS_78] )
</t>
  </si>
  <si>
    <t xml:space="preserve">Core3.1.131_Rep_Instructions_Exerciser_On_Heavy_Memory.stf 
Core3.1.131_Rep_Instructions_Exerciser_On_Heavy_Memory_WC.stf 
Core3.1.131_Rep_Instructions_Exerciser.stf
Core3.1.131_Rep_Instructions_Exerciser_On_Heavy_Memory_UC.stf 
Core3.1.131_Rep_Instructions_Exerciser_On_Heavy_Memory_WT.stf
Rep_Instructions_Exerciser_STOS.stf
</t>
  </si>
  <si>
    <t>EX-FEAT-001</t>
  </si>
  <si>
    <t>WS.Storm.EX.SchedulerQExerciser</t>
  </si>
  <si>
    <t>EX-01</t>
  </si>
  <si>
    <t xml:space="preserve">[EX_18] Checkpoint queue and BBQ,
[EX_19] Dispatch Queue and AGU,
[EX_20] Status Queue,
[EX_21] Branch Prediction Queue,
[EX_23] Checkpoint Array
[EX_24] Flag Register Files
[EX_25] Payload Array
[EX_26] Schedule Queue
[EX_27] Result Muxing 
[EX_28] Retire Queue
[EX_48] Differential Checkpointing
[EX_31] Replay Suppression
[EX_52] Zen Move to Fully Distributed Scheduler Queues,
[EX_54] 3 AGEN
[EX_55] Deeper Scheduler, 
[EX_57] Deeper Retire Queue,
[EX_58] Larger PRF
</t>
  </si>
  <si>
    <t>The purpose/goal of the test is to ensure that the checkpoint queue logic block within the EXSC unit is exercised exhaustively with all corner cases covered.  If default queues sizes do not lead to saturation of the queues during the test, the follow-up method is to constrain the queues sizes before testing.  The queues sizes can be constrained through MSR DeTokenCfg.  Subsequent report is that  BP test plan also has coverage for this – so be sure not to duplicate if BP plan is already implemented.
 CCX_EXSC_Diag_Testplan.docx</t>
  </si>
  <si>
    <t>st279_gnb0_gna0_vmr_compat_deeper_scheduler.yml</t>
  </si>
  <si>
    <t>EX</t>
  </si>
  <si>
    <t>EX-FEAT-002</t>
  </si>
  <si>
    <t>WS.Storm.EX.RetireQExercisers</t>
  </si>
  <si>
    <t xml:space="preserve"> [EX_57]Deeper Retire Queue</t>
  </si>
  <si>
    <t>The purpose/goal of the test is to ensure that the checkpoint queue logic block within the EXSC unit is exercised exhaustively with all corner cases covered.  If default queues sizes do not lead to saturation of the queues during the test, the follow-up method is to constrain the queues sizes before testing.  The queues sizes can be constrained through MSR DeTokenCfg.  Subsequent report is that  BP test plan also has coverage for this – so be sure not to duplicate if BP plan is already implemented.
 CCX_EXSC_Diag_Testplan(4.6.57)</t>
  </si>
  <si>
    <t>st276_gnb0_gna0_vmr_compat_deeper_retire_queue.yml</t>
  </si>
  <si>
    <t>EX-FEAT-003</t>
  </si>
  <si>
    <t>WS.CDL.EX.IntegerUintExercisers</t>
  </si>
  <si>
    <t xml:space="preserve">[EX_11] – Combine MUL instructions and non-arithmetic instruction
[EX_19] – Dispatch Queue and AGU
[EX_24] - Flag Register Files
[EX_29] - ALU  - Arithmetic, Logical and Conditionals
[EX_47] Distributed Issue Queues - 3 (2 ALU, 1 AGU), 20entry, each queue can absorb 6in/clock
[EX_46] ROB/RetQueue 192 entry, static partition for SMT
[EX_56] Improved integer multiply,
[EX_58] – Larger PRF
[LS_28] - Physical Register File (PRF)
[LS_43] - LS-DC Exerciser – Directed Tests
</t>
  </si>
  <si>
    <t>The purpose/goal of the test is to ensure that the Dispatch queue within the EXSC logic block is exercised exhaustively with all corner cases covered.  Subsequent report is that Deltas test plan also has coverage for this – so be sure not to duplicate if Deltas plan is already implemented.
 CCX_EXSC_Diag_Testplan.docx</t>
  </si>
  <si>
    <t>Integer_Unit_Stress.stf</t>
  </si>
  <si>
    <t>EX-FEAT-004</t>
  </si>
  <si>
    <t>WS.Storm.EX.InterfaceExerciser</t>
  </si>
  <si>
    <t>[EX_35]Dispatch/Retire/SpecLockMap Interface</t>
  </si>
  <si>
    <t>This feature allows speculative retire past a LOCK instruction. The Retire Map State and several other registers (listed below) are shadowed in the SpecLockMap State such that if the LOCK is aborted, we can recover that state and proceed correctly.
 CCX_EXSC_Diag_Testplan(4.6.35[EX_35])</t>
  </si>
  <si>
    <t>ssp_zp_compat_exsc_leg035_dispatch_retire_speclockmap_interface.yml</t>
  </si>
  <si>
    <t>LS-FEAT-001</t>
  </si>
  <si>
    <t>WS.CDL.LS.DataCacheExerciser</t>
  </si>
  <si>
    <t>LS-02</t>
  </si>
  <si>
    <t>[LS_01] - Data Cache
[LS_02] - DC uTag
[LS_40] - DC data errors
[LS_41] - DC poison bit errors
[LS_42] - DC tag array errors
[PS_LS_87] – Latch-Array DCache Byte-Write CapableLF using LHash 
[LS_43] - LS-DC Exerciser – Directed Tests</t>
  </si>
  <si>
    <t>The purpose of the test is to ensure that the Data Cache is tested exhaustively with all corner cases covered. 
CCX_LS_DC_Diag_Testplan (4.6.1[LS_01] )</t>
  </si>
  <si>
    <t xml:space="preserve">Cache_L1_Cache_Coherency.stf </t>
  </si>
  <si>
    <t>Passes on Loop of 1 , and fails on anything beyond 1.
Under debug.
DENVRTVF-32744
DENVRTVF-33772
DENVRTVF-34599</t>
  </si>
  <si>
    <t>LS</t>
  </si>
  <si>
    <t>LS-FEAT-002</t>
  </si>
  <si>
    <t>WS.CDL.LS.TLBExerciser</t>
  </si>
  <si>
    <t xml:space="preserve">[LS_02] - DC uTagDC uTag
[LS_03] - Load Queue
[LS_04] - Store Queue
[LS_08] - Miss Address Buffer (MAB)
[PS_LS_96] – Larger Load Queue (STQ)
[PS_LS_97] – Larger Store Queue (STQ)
[LS_53] - Deeper Store Queue (STQ)
[LS_43] - LS-DC Exerciser – Directed Tests
[LS_54] - TLBI
[LS_67] - L1 TLB 2M Page
[LS_55] - 16K Pages
[PS_LS_100] - Larger L1 DTLB
[LS_47] - 2048-entry L2DTLB
[PS_LS_100] - Larger L1 DTLB
[CH22]-Page Size and TLB entries
</t>
  </si>
  <si>
    <t>The purpose of the test is to ensure that the LDQ/STQ and DTLB with all different Page sizes are exercised exhaustively with all corner cases covered. This would also provide coverage fro TLBI(INVLPGB/TLBSYnc) feature.
 CCX_LS_DC_Diag_Testplan (4.6.3[LS_03], 4,8)
Test all types of page translations, i.e. page size of 
4K, 2M and 1G.
CCX_Cache_Diag_TestPlan.docx(4.5.22[CH_022])</t>
  </si>
  <si>
    <t>LS01_TLB_Exerciser.stf
LS01_1_TLB_Exerciser.stf
LS01_2_TLB_Exerciser.stf
LS01_3_TLB_Exerciser.stf
LS01_4_TLB_Exerciser.stf</t>
  </si>
  <si>
    <t>/CPU/linux/Cache_Suite/TLB_Exerciser --cpu all -t 4h</t>
  </si>
  <si>
    <t>LS-FEAT-003</t>
  </si>
  <si>
    <t>WS.CDL.LS.WcbScbExerciser</t>
  </si>
  <si>
    <t xml:space="preserve">[LS_05] - Write Combining Buffer (WCB)
[LS_32] - Speculative WC loads
[PS_LS_88] – Reduce Victim and SCB conflicts with loads
 [LS_75] - WC Timer
[CH04]-Write combining buffer (WCB)
</t>
  </si>
  <si>
    <t>The purpose of the test is to ensure that the WCB is exercised exhaustively with all corner cases covered.
CCX_LS_DC_Diag_Testplan (4.6.5[LS_05])
The Write Combining Buffer (WCB) is a block of 8 cache-line data buffers, which are the data storage for LS non-cacheable in L1D stores. 
CCX_Cache_Diag_TestPlan.docx(4.5.4[CH_004])</t>
  </si>
  <si>
    <t xml:space="preserve">Write_Combining_Buffer.stf
</t>
  </si>
  <si>
    <t>LS-FEAT-004</t>
  </si>
  <si>
    <t>WS.Storm.LS.LdqExerciser</t>
  </si>
  <si>
    <t xml:space="preserve">[LS_006] - Load Ordering 
Queue (LOQ)
[PS_LS_98] –Larger Load Ordering Queue (LOQ)
[PS_LS_93] – LOQ_SP : Separate RSP-based LOQ
[PS_LS_94] – Issue RdBlkWeakX instead of C2X on speculative store
</t>
  </si>
  <si>
    <t>The purpose of the test is to ensure that the LOQ is exercised exhaustively with all corner cases covered.
CCX_LS_DC_Diag_Testplan (4.6.6[LS_06])</t>
  </si>
  <si>
    <t>ssp_zp_compat_lsdc_leg006_load_ordering_queue.yml</t>
  </si>
  <si>
    <t>LS-FEAT-005</t>
  </si>
  <si>
    <t>WS.Storm.LS.OobExerciser</t>
  </si>
  <si>
    <t>[LS_007] - Out of Order Buffer (OOB)
[PS_LS_99] – Larger Out of Order Buffer (OOB)</t>
  </si>
  <si>
    <t>The purpose of the test is to ensure that the OOB is exercised exhaustively with all corner cases covered.
 CCX_LS_DC_Diag_Testplan (4.6.7[LS_07])</t>
  </si>
  <si>
    <t>ssp_zp_compat_lsdc_leg007_out_of_order_buffer.yml</t>
  </si>
  <si>
    <t>LS-FEAT-006</t>
  </si>
  <si>
    <t>WS.CDL.LS.CacheLockBusLock</t>
  </si>
  <si>
    <t>[LS_10] - Load-Op-store
[LS_11] - Locks
[LS_12] - Speculative Lock Map
[LS_13] - Contended Lock Predictor
[LS_14] - Spinning Load/Lock Acquire Widget
[LS_62] - CacheLock And BusLock New
 [LS_69] - CMPXCHG16B
[CH05]-Cache Locks  &amp; BusLocks
[CH21]-Locked Access</t>
  </si>
  <si>
    <t>The purpose of the test is to ensure that the Load-Op-Store and Locks is exercised exhaustively with all corner cases covered. 
CCX_LS_DC_Diag_Testplan (4.6.10[LS_10], 13[LS_13])
Locked Load operations.
CCX_Cache_Diag_TestPlan.docx(4.5.5[CH_005])</t>
  </si>
  <si>
    <t>Cache_Lock_And_Bus_Lock.stf
Cache_Lock_And_Bus_Lock_New.stf</t>
  </si>
  <si>
    <t>LS-FEAT-007</t>
  </si>
  <si>
    <t>WS.CDL.LS.StlfStli</t>
  </si>
  <si>
    <t xml:space="preserve">[LS_16] Store To Load Interleaving 
[LS_17] Store To Load Forwarding 
[LS_22] - Memory renaming
[LS_24] - IC DC sharing
[PS_LS_86] – STLF using Lhash
[LS_82] - MDP 
[DE_14] Resync Prediction
[LS_43] - LS-DC Exerciser – Directed Tests
[EX_49] Memory Renaming
[EX_34] Redirect/Flush Interface
[DE_01] - Dispatch Mem file
[DE_03] - Stack Engine
[DE_02] Dynamic Restrictions and Token Accounting
[DE_04] Mov elimination
[DE_06] Micro Sequencer
[DE_07] Entry Address Queue
[DE_13] Fetch Address Queue
[DE_14] Resync Prediction
[DE_17] Decode Exerciser
[DE_21] Precise NT-T OC Corrections
[DE_36] Fetch address FIFO (FAFIFO): 24 entries, static split for 2T
[DE_39] Resync predictor: 8 entries, 12-bit rIP tag, competitively shared for 2T
[DE_38] Dispatch memfile for predicting store-load links: dedicated 6 entries per thread, memory renaming support 
</t>
  </si>
  <si>
    <t xml:space="preserve">The purpose of the test is to ensure that the “Store To Load Interleaving”  and  “Store To Load forwarding” are exercised exhaustively with all corner cases covered. 
CCX_LS_DC_Diag_Testplan (4.3.16[LS_16], 17[ls_17])  </t>
  </si>
  <si>
    <t>STLF.stf</t>
  </si>
  <si>
    <t>LS-FEAT-008</t>
  </si>
  <si>
    <t>WS.CDL.LS.SmcCmc</t>
  </si>
  <si>
    <t>[LS_018] - SMC and CMC
 [PS_LS_85] – Additional completion port for SMC
[CH19]-Self Modifying Code
[CH20]-Cross Core Data Sharing</t>
  </si>
  <si>
    <t xml:space="preserve">The purpose of the test is to ensure that the SMC &amp; CMS are exercised exhaustively with all corner cases covered. CCX_LS_DC_Diag_Testplan (4.6.18[LS_18]) </t>
  </si>
  <si>
    <t>Cross_Modifying_Code.stf</t>
  </si>
  <si>
    <t>LS-FEAT-009</t>
  </si>
  <si>
    <t>WS.CDL.LS.StreamingStore</t>
  </si>
  <si>
    <t xml:space="preserve"> [LS_31] - Streaming Store</t>
  </si>
  <si>
    <t xml:space="preserve">The purpose of the test is to ensure that the Streaming Store is exercised exhaustively with all corner cases covered. 
CCX_LS_DC_Diag_Testplan (4.6.31[LS_31]) </t>
  </si>
  <si>
    <t>Core_Streaming_Store_Instructions_1.stf - 1.1
Core_Streaming_Store_Instructions_3.stf - 4.1
Core_Streaming_Store_Instructions_6.stf - 7.1
Core_Streaming_Store_Instructions_8.stf</t>
  </si>
  <si>
    <t>/CPU/linux/Core_Suite/Streaming_Store_Instructions --cpu all -t 4h</t>
  </si>
  <si>
    <t>LS-FEAT-010</t>
  </si>
  <si>
    <t>WS.CDL.LS.MonitorMwait</t>
  </si>
  <si>
    <t>[LS_33] - MONITOR/MWAIT Instructions</t>
  </si>
  <si>
    <t xml:space="preserve">The MONITOR instruction establishes a linear address range to be monitored by hardware and causes the processor to enter the monitor event pending state. .
CCX_LS_DC_Diag_Testplan (4.6.33[LS_33]) </t>
  </si>
  <si>
    <t>Monitor_Mwait.stf</t>
  </si>
  <si>
    <t>/CPU/linux/Core_Suite/Monitor_Mwait --cpu all -t 6h</t>
  </si>
  <si>
    <t>6h</t>
  </si>
  <si>
    <t>8h</t>
  </si>
  <si>
    <t>25h</t>
  </si>
  <si>
    <t>LS-FEAT-011</t>
  </si>
  <si>
    <t>WS.Storm.LS.PageMigration</t>
  </si>
  <si>
    <t>[LS_34] - Memory Aliasing to coherent to coherent and non-coherent to non-coherent
 [LS_70] - Linear Address Alias Check
[LS_079] - The Page Size Migration</t>
  </si>
  <si>
    <t>The purpose of the test is to ensure that the SMEP/SMAP/MSRs is exercised exhaustively with all corner cases covered. 
CCX_LS_DC_Diag_Testplan (4.6.35[LS_35])</t>
  </si>
  <si>
    <t xml:space="preserve">Deluge_page_migration.yml
</t>
  </si>
  <si>
    <t>Covered by majority of diags</t>
  </si>
  <si>
    <t>LS-FEAT-012</t>
  </si>
  <si>
    <t>WS.CDL.LS.CacheFlush</t>
  </si>
  <si>
    <t>[LS_51] - WBNOINVD
[CH12]-Flush iterator
[CH18]-Exercise Cache Array Flush Operations</t>
  </si>
  <si>
    <t>The purpose of this test is to check the functionality of new instruction WBNOINVD. CCX_LS_DC_Diag_Testplan (4.6.51[LS_51])   
A hardware iterator inside L2Ctl responds by issuing an  atomic sequence of 1024 special array operations on consecutive clock cycles.
CCX_Cache_Diag_TestPlan.docx(4.5.12[CH_012])</t>
  </si>
  <si>
    <t xml:space="preserve">LS06_Cache_WBNOINVD.stf
LS06_1_Cache_WBNOINVD.stf
LS06_2_Cache_WBNOINVD.stf
LS06_3_Cache_WBNOINVD.stf
Cache_3.1.11_L2_L3_WBINVD_INVD.stf
</t>
  </si>
  <si>
    <t>/CPU/linux/Cache_Suite/Cache_WBNOINVD --cpu all --wbnoinvd-pmc-check -t 1h
/CPU/linux/Cache_Suite/Cache_WBNOINVD --cpu all --wbnoinvd-pmc-check --wbnoinvd-using-mov-cr7 -t 1h
/CPU/linux/Cache_Suite/Cache_WBNOINVD --cpu all --wbnoinvd-performance-check --wbnoinvd-using-mov-cr7 -t 1h
/CPU/linux/Cache_Suite/Cache_WBNOINVD --cpu all --wbnoinvd-performance-check -t 1h</t>
  </si>
  <si>
    <t>LS-FEAT-013</t>
  </si>
  <si>
    <t>WS.Storm.LS.TLBI.1</t>
  </si>
  <si>
    <t xml:space="preserve">[LS_54] - TLBI
</t>
  </si>
  <si>
    <t xml:space="preserve">The purpose of this test is to check the functionality of TLBI Feature. 
CCX_LS_DC_Diag_Testplan (4.6.54[LS_54]) </t>
  </si>
  <si>
    <t>tlbi_stress.rb</t>
  </si>
  <si>
    <t>LS-FEAT-014</t>
  </si>
  <si>
    <t>WS.CDL.LS.TLBI.2</t>
  </si>
  <si>
    <t xml:space="preserve">The purpose of this test is to check the functionality of TLBI Featureenhancement.
CCX_LS_DC_Diag_Testplan (4.6.54[LS_54]) 
Below is the setup for AMDSOS, TLBI with latest SVM support is on v5.7
http://confluence.amd.com/display/CoreSiDebug/amdsos+kernel+patch
Once updated “tlbi=enable” has to be added in Grub setting. </t>
  </si>
  <si>
    <t>TBD</t>
  </si>
  <si>
    <t>/CPU/linux/Cache_Suite/TLB_Exerciser --cpu all --reduce-tlb-size --reduce-mab-size --enable-1g-page --enable-2m-page --execute-tlbi --internal-loop 1 --page-access-count 1000 --page-count-4k 256 -t 4h</t>
  </si>
  <si>
    <t>LS-FEAT-015</t>
  </si>
  <si>
    <t>WS.Storm.LS.MPK</t>
  </si>
  <si>
    <t xml:space="preserve">[LS066] – Memory Protection Keys </t>
  </si>
  <si>
    <t xml:space="preserve">Validate the Memory Protection Keys\, which is a security feature introduced  to restrict data accesses to user mode addresses.
CCX_LS_DC_Diag_Testplan(4.6.66[LS_66]) </t>
  </si>
  <si>
    <t>/proj/diags_blr_storm/common_storm/yml/gna0_vmr_compat/cbb0_vmra0_paging_faults_for_mpk.yml</t>
  </si>
  <si>
    <t>LS-FEAT-016</t>
  </si>
  <si>
    <t>WS.CDL.LS.MisallignedAccess</t>
  </si>
  <si>
    <t>Ramakrishna</t>
  </si>
  <si>
    <t>[LS_80] – Instruction and Data Misalignment</t>
  </si>
  <si>
    <t xml:space="preserve">The intent of this test is to exercise Misaligned loads and stores, to certify the feature
CCX_LS_DC_Diag_Testplan </t>
  </si>
  <si>
    <t>LSDC_Stress.stf</t>
  </si>
  <si>
    <t>LS-FEAT-017</t>
  </si>
  <si>
    <t>WS.Storm.LS.LargerVA</t>
  </si>
  <si>
    <t>[PS_LS_83] - Larger VA (57 or 52 bits)/ PA (52 bits)</t>
  </si>
  <si>
    <t>Extend the address space to support 52-bit Physical and 57-bit Virtual Address.
CCX_LS_DC_Diag_Testplan (4.6.83[LS_83] )</t>
  </si>
  <si>
    <t>deluge_for_larger_va.yml
(With Larger VA enables)</t>
  </si>
  <si>
    <t>LS-FEAT-018</t>
  </si>
  <si>
    <t>WS.Storm.LS.UpperAddressIgnore</t>
  </si>
  <si>
    <t>[PS_LS_84] – Upper Address Ignor</t>
  </si>
  <si>
    <t>Address sanitizer (ASAN) is a software method for checking accesses to ensure that they do not go outside of bounds.
CCX_LS_DC_Diag_Testplan (4.6.84[LS_84] )</t>
  </si>
  <si>
    <t>deluge_for_upper_address_range.yml
(With Upper address Ignore enabled)</t>
  </si>
  <si>
    <t>LS-FEAT-019</t>
  </si>
  <si>
    <t>SW.CDL.LS.Prefetch</t>
  </si>
  <si>
    <t xml:space="preserve">[LS_15] -RIP based Stride Prefetcher
[PS_LS_90] – SW prefetch with PREFETCHT0 to L1 and PREFETCHT1/2 to L2
 [LS_73] - PREFETCH/PREFETCHW Instructions
 [LS_68] - PrefetchLock
[LS_46] - HW Prefetchers, prefetcher hint interface to L2
[LS_52] - Prefetching Improvements
[CH06]-L2 prefetcher - L2 Independent Stream Prefetcher
[CH07]-L2 prefetcher - Up/Down Prefetcher 
[CH_08] - L2 prefetcher - Dependent Stride Prefetche
[CH24]-Improved Pre-fetch Throttling
</t>
  </si>
  <si>
    <t>PS should only prefetch to L2 for PREFETCHT1 and PREFETCHT2.
CCX_LS_DC_Diag_Testplan (4.6.90[LS_90] )
The purpose of the L2 Prefetcher is to generate and queue 
prefetches which will return data to the L2 cache.
CCX_Cache_Diag_TestPlan.docx(4.5.6[CH_006])
The Up/Down Prefetcher (UDP) is used to identify 
“slow-moving” stride/stream patterns which run into limitations with the existing stride/stream prefetchers.
CCX_Cache_Diag_TestPlan.docx(4.5.7[CH_007])</t>
  </si>
  <si>
    <t>Core_3.1.20_Prefetch_Lock.stf 
LS11_0_Cache_Region_Prefetching.stf
LS11_1_Cache_Stream_Prefetching.stf</t>
  </si>
  <si>
    <t>Region prefetching is complete</t>
  </si>
  <si>
    <t>LS-FEAT-020</t>
  </si>
  <si>
    <t>WS.CDL.LS.DTLB</t>
  </si>
  <si>
    <t>[LS_67] - L1 TLB 2M Page
[LS_55] - 16K Pages
[PS_LS_100] - Larger L1 DTLB
[LS_47] - 2048-entry L2DTLB
[PS_LS_100] - Larger L1 DTLB
[CH22]-Page Size and TLB entries</t>
  </si>
  <si>
    <t>Increased to72-entry L1DTLB from 64.
CCX_LS_DC_Diag_Testplan (4.6.100[LS_100] )</t>
  </si>
  <si>
    <t>DTLB_stress.stf</t>
  </si>
  <si>
    <t>FP-FEAT-001</t>
  </si>
  <si>
    <t>WS.Storm.FP.Exerciser.1</t>
  </si>
  <si>
    <t>Shyamasundar, Srilakshmi
Khaleel, Uzma</t>
  </si>
  <si>
    <t>FP-03</t>
  </si>
  <si>
    <t xml:space="preserve">[FP_01] - Accelerated Flush
[FP_03] - FMAC instruction( already present),
[FP_04] - ALL instructions – x87/MMX/SSE/AVX,
[FP_05] - Replay Optimization,
[FP_06] - Optimized IMUL/IMAC,
[FP_07] - Optimized SRT,
[FP_09] - FPCVT - Dedicated Int to FP bus and FP2INT,
[FP_10] – FMUL instruction,
[FP_11] – FPA  and FADD instructions,
[FP_12] – 4 pipe with 3 source op pipe sharing
[FP_13] – Full Single Cycle Support,
[FP_14] – FpMOV[LH]PD  and interrupts/Traps,
[FP_15] – FP Status Register File ( SRF),
[FP_16] – FPU Freelist,
[FP_17] – FP and non-FP – Uncacheable space,
[FP_20] – FP Operand Types and Special Datapaths,
[FP_23] – FPU Exceptions and Special Cases
[FP_25] – FPU Suppress Write,
[FP_28] – FPSCE – MBV( Match Bit Vector),
[FP_34] - Exception and Pipe Control
[FP_43] - FPDIV massive underflow/overflow,
[FP_44] – FPU State Loads
[FP_45] – FPCVT and EP ( Extended Precision)
 [FP_46] - 3DNow Instructions
 [FP_47] - 3DNowExtension Instructions
[FP_48] – FPCVT and EP ( Extended Precision),   
[FP_49] – SSE2
[FP_50] – SSE3
[FP_51] – SSE4a
[FP_52] – MMX Extension
[FP_53] – Legacy Instructions, 
[FP_54] – Increase FPU skid-buffer capacity[FP_55] - MOVNTSS/MOVNTSD Instructions, 
[FP_56] - 128-bit FPU Data Path for Vector SSE,
[FP_57] - Instruction Bytes Fetching Per Cycle,
[FP_58] - SSE move-compute single-entry scheme,
[FP_59] - FST and FSTP Instructions May Calculate Operand Address in Incorrect Mode,
[FP_60] - FP scalar merge source removal via zero bit,
[FP_61] - PIFU for one-cycle scheduling of dependent SSE/MMX PI ops,
[FP_62] - BT x87 instructions,
[FP_63] - x87 accuracy, 
[FP_64] - Supplemental SSE3, (SSSE3) Opcodes, 
[FP_65] - x87 and SSE exceptions,
[FP_66] - Aliased FPU instructions,
[FP_67] - FP Move Eliminate optimization,
[FP_68] - FP scalar z bit (zero bit) optimizaton for XMM,
[FP_69] - Movlpd/Movhpd optimization - Merge dependency; requires that the instruction pair retire,
[FP_70] - FP Xor/Com/Shifts optimization to force zeros or ones on MMX, 
SSE/AVX, 
[FP_72] - FP multiplies underneath div/sqrt,
[FP_73] - FP denormal handling,
[FP_74] - New instructions – SSE 4.1, 4.2, TBM, AVX,
[FP_75] - VMaskMov (and interactions with exceptions/faults),
[FP_76] - FMAC Denormal support,
[FP_77] - FP: PCLMUL,
[FP_78] - SSE 4.2 String Compare, 
[FP_79] - AES instructions,
[FP_80] -MPSAD instructions,
[FP_81] - DPP instructions, 
[FP_82] - SSE 4.1 new instructions,
[FP_83] - 3 to 2 cycle instructions &amp; debug breakpoint,
[FP_84] - AVX/VEX and F16C,
[FP_85] - SSE Misaligned Mode
[FP_86] - Add AVX256 support for AES &amp; PCLMULQDQ instructions 
[FP_87] - Floating-Point Divide and Square Root (FPDIV) ,
[FP_88] - Separate x87 unit, 
[FP_89] - SHA1/SHA256, 
[DE_19] Floating Point (FP) 256 instructions
</t>
  </si>
  <si>
    <t>Provides coverage for FP ISA
CCX_FP_Diag_Testplan</t>
  </si>
  <si>
    <t>fp256.rb</t>
  </si>
  <si>
    <t>FP</t>
  </si>
  <si>
    <t>FP-FEAT-002</t>
  </si>
  <si>
    <t>WS.CDL.FP.Exerciser.2</t>
  </si>
  <si>
    <t>[FP_10] - FMUL, 
[FP_11] - FPA  and FADD instructions
[FP_12] - 4 pipe with 3 source op pipe sharing
4.6.18 Committed Translate Map( CRM) 
[FP_21] – FPU Denorm Reissue Widget
[FP_24] – FPU PRN Recovery
[FP_26] – Di/dt and power throttle control interface
[FP_27] – AVFS/ODDI/PSM/HWA interface
[FP_29] – FPU Schedule Queue ( NSQ + SQ)
[FP_30] – FPU Non-Schedule Queue ( FPU NSQ)
[FP_31] – FPU Retire Queue
[FP_32] - Load Map ( LDM)
[FP_33] - DXR( Decode/Transition/Rename) Logic
[FP_35] - Load Convert ( LDC)
[FP_36] – FPU Physical Register File( PRF)
[FP_37] – Integer to Floating Point Buffer( I2FQ)
[FP_38] – Speculative Translate Map(SXM)
[FP_39] – Committed Register Map(CRM),
[FP_40] – FP SRB Interface
[FP_71] - FP unrounded bypass for FMAC
[FP_90] - Resync Predictor 
[DE_41] Final decoders: 6 integer, 4 FP, 4 microcode</t>
  </si>
  <si>
    <t>The purpose of the test is to ensure that the integer, fp and microcode decoders are working as per expectation.
CCX_LS_DC_Diag_Testplan
CCX_Decode_Diag_Testplan(4.6.41[DE_41])</t>
  </si>
  <si>
    <t xml:space="preserve">_x000D_
FP_Deluge_V2_avx512_integer_stlf.stf_x000D_
FP_Deluge_V2_avx512_limiter.stf_x000D_
FP_Deluge_V2_high_ipc.stf_x000D_
FP_Deluge_V2_high_vmin_avx512.stf_x000D_
FP_Deluge_V2_high_vmin.stf_x000D_
FP_Deluge_V2_limiter.stf_x000D_
</t>
  </si>
  <si>
    <t>FP-FEAT-003</t>
  </si>
  <si>
    <t>WS.CDL.FP.AVX256</t>
  </si>
  <si>
    <t>AVX256 instruction set</t>
  </si>
  <si>
    <t>To validate AVX256 Instructions and Data path. 
CCX_EXSC_Diag_Testplan(4.6. 44)</t>
  </si>
  <si>
    <t xml:space="preserve">
DE01_fp256.stf
</t>
  </si>
  <si>
    <t>FP-FEAT-004</t>
  </si>
  <si>
    <t>WS.CDL.FP.AVX512</t>
  </si>
  <si>
    <t>AVX512 Instruction set</t>
  </si>
  <si>
    <t>To validate AVX512(FpGfni, bfloat16) Instructions and Data path. 
CCX_FP_Diag_Testplan(4.6. 44)</t>
  </si>
  <si>
    <t xml:space="preserve">
FPU_AVX512.stf
</t>
  </si>
  <si>
    <t>BP-FEAT-001</t>
  </si>
  <si>
    <t>WS.Storm.BP.Exerciser.1</t>
  </si>
  <si>
    <t>Pissay, Chetan gunashekar</t>
  </si>
  <si>
    <t>BP-04</t>
  </si>
  <si>
    <t>[BP_01] - L1 BTB and L2BTB validation on silicon,
[BP_02] - Larger L1 BTB validation on silicon,
[BP_03] - Multi-Table Larger L2BTB validation on silicon,
[BP_04] - Tagged Geometric Conditional Predictor (TAGE) validation on silicon,
[BP_05] - Improved Recent Predictor (RP) validation on silicon,
[BP_06] - Return Address Stack,
[BP_07] - Fetch Address Queue(FAQ),
[BP_08] - Branch Processing Queue (BPQ),
[BP_09] - Speculative CS,
[BP_10] - IC-BP registers,
[BP_12] - BP Read Filter
[BP_13] - Ghist Saturation Widget
[BP_15] - Stalls
[BP-16] - ITLB L0/L1/L2
[BP_17] - Branch Predictor Exerciser
[BP_19] - Indirect Branch Control (IBC),
[BP_21] - Branch Fusion, 
[BP_22] - BSR, 
[BP_23] - Context-partitioned branch predictor, 
[BP_24] - ICMAB, [BP_25] - ITTAGE,
[BP_00] - Add two or three bits to ITTAGE target</t>
  </si>
  <si>
    <t>The purpose of the test is to ensure that this feature exercised under stressful conditions and target the rare corner-case situations buried deep in the design state space. 
CCX_IC_BP_Diag_Testplan</t>
  </si>
  <si>
    <t xml:space="preserve">st283_gnb0_gna0_vmr_compat_bp_exerciser_bumped_visits.yml
</t>
  </si>
  <si>
    <t>BP</t>
  </si>
  <si>
    <t>BP-FEAT-002</t>
  </si>
  <si>
    <t>WS.Storm.BP.Exerciser.2</t>
  </si>
  <si>
    <t xml:space="preserve">st279_gnb0_gna0_vmr_compat_twister_bumped_visits.yml
</t>
  </si>
  <si>
    <t>BP-FEAT-003</t>
  </si>
  <si>
    <t>WS.Storm.BP.Exerciser.3</t>
  </si>
  <si>
    <t xml:space="preserve">
st279_gnb0_gna0_vmr_compat_twister_bumped_visits_in_guest_mode.yml</t>
  </si>
  <si>
    <t>BP-FEAT-004</t>
  </si>
  <si>
    <t>WS.CDL.BP.Exerciser.4</t>
  </si>
  <si>
    <t>[BP_01] - L1 BTB and L2BTB validation on silicon,
[BP_02] - Larger L1 BTB validation on silicon,
[BP_03] - Multi-Table Larger L2BTB validation on silicon,
[BP_04] - Tagged Geometric Conditional Predictor (TAGE) validation on silicon,
[BP_05] - Improved Recent Predictor (RP) validation on silicon,
[BP_06] - Return Address Stack,
[BP_07] - Fetch Address Queue(FAQ),
[BP_08] - Branch Processing Queue (BPQ),
[BP_09] - Speculative CS,
[BP_10] - IC-BP registers,
[BP_12] - BP Read Filter
[BP_13] - Ghist Saturation Widget
[BP_15] - Stalls
[BP-16] - ITLB L0/L1/L2
[BP_17] - Branch Predictor Exerciser
[BP_19] - Indirect Branch Control (IBC),
[BP_21] - Branch Fusion, 
[BP_22] - BSR, 
[BP_23] - Context-partitioned branch predictor, 
[BP_24] - ICMAB, [BP_25] - ITTAGE,
[BP_00] - Add two or three bits to ITTAGE target
DE_Exerciser:
[DE_01] - Dispatch Mem file
[DE_03] - Stack Engine
[DE_02] Dynamic Restrictions and Token Accounting
[DE_04] Mov elimination
[DE_06] Micro Sequencer
[DE_07] Entry Address Queue
[DE_13] Fetch Address Queue
[DE_14] Resync Prediction
[DE_17] Decode Exerciser
[DE_21] Precise NT-T OC Corrections
[DE_36] Fetch address FIFO (FAFIFO): 24 entries, static split for 2T
[DE_39] Resync predictor: 8 entries, 12-bit rIP tag, competitively shared for 2T
[DE_38] Dispatch memfile for predicting store-load links: dedicated 6 entries per thread, memory renaming support
[EX_34] Redirect/Flush Interface</t>
  </si>
  <si>
    <t>The purpose of the test is to ensure that the L1 BTB and L2BTB validation on silicon is exercised exhaustively with all corner cases covered.
 CCX_IC_BP_Diag_Testplan</t>
  </si>
  <si>
    <t>BP01_Branch_Predictor_Stress.stf
BP02_Branch_Predictor_Stress.stf   
Core_Stress_BP_V3.stf
Core_Stress_BP_V3_BP_BTB.stf
Core_Stress_BP_V3_HDRT.stf
Core_Stress_BP_V3_LB.stf
Core_Stress_BP_V3_SMC_Btb_pair.stf
Core_Stress_BP_V3_SMC_Statecheck.stf
Core_Stress_BP_V3_back_to_back_branches.stf
Core_Stress_BP_V3_nested_calls.stf
Core_Stress_BP_V3_BP_BTB.stf
Core_Stress_BP_V3_Nested_BP_BTB.stf
Core_Stress_BP_V3_SMC_BP_BTB.stf
Core_Stress_BP_V3_TPAIR_BP_BTB.stf </t>
  </si>
  <si>
    <t>IC-FEAT-001</t>
  </si>
  <si>
    <t>WS.CDL.IC.Exerciser.1</t>
  </si>
  <si>
    <t>IC-04</t>
  </si>
  <si>
    <t>[BP_01] - L1 BTB and L2BTB validation on silicon,
[BP_02] - Larger L1 BTB validation on silicon,
[BP_03] - Multi-Table Larger L2BTB validation on silicon,
[BP_04] - Tagged Geometric Conditional Predictor (TAGE) validation on silicon,
[BP_05] - Improved Recent Predictor (RP) validation on silicon,
[BP_06] - Return Address Stack,
[BP_07] - Fetch Address Queue(FAQ),
[BP_08] - Branch Processing Queue (BPQ),
[BP_09] - Speculative CS,
[BP_10] - IC-BP registers,
[BP_12] - BP Read Filter
[BP_13] - Ghist Saturation Widget
[BP_15] - Stalls
[BP-16] - ITLB L0/L1/L2
[BP_17] - Branch Predictor Exerciser
[BP_19] - Indirect Branch Control (IBC),
[BP_21] - Branch Fusion, 
[BP_22] - BSR, 
[BP_23] - Context-partitioned branch predictor, 
[BP_24] - ICMAB, [BP_25] - ITTAGE,
[BP_00] - Add two or three bits to ITTAGE target
DE_Exerciser:
[DE_01] - Dispatch Mem file
[DE_03] - Stack Engine
[DE_02] Dynamic Restrictions and Token Accounting
[DE_04] Mov elimination
[DE_06] Micro Sequencer
[DE_07] Entry Address Queue
[DE_13] Fetch Address Queue
[DE_14] Resync Prediction
[DE_17] Decode Exerciser
[DE_21] Precise NT-T OC Corrections
[DE_36] Fetch address FIFO (FAFIFO): 24 entries, static split for 2T
[DE_39] Resync predictor: 8 entries, 12-bit rIP tag, competitively shared for 2T
[DE_38] Dispatch memfile for predicting store-load links: dedicated 6 entries per thread, memory renaming support
[EX_34] Redirect/Flush Interface</t>
  </si>
  <si>
    <t xml:space="preserve">The purpose of the test is to ensure that this feature exercised under stressful conditions and target the rare corner-case situations buried deep in the design state space.
CCX_IC_BP_Diag_Testplan(4.5.11[BP_11]) </t>
  </si>
  <si>
    <t>IC01_Branch_predictor_Stress.stf                                              IC02_Branch_predictor_Stress_1.stf
Ic32k_Branch_Predictor_Stress.stf</t>
  </si>
  <si>
    <t>IC</t>
  </si>
  <si>
    <t>IC-FEAT-002</t>
  </si>
  <si>
    <t>WS.Storm.IC.Exerciser.2</t>
  </si>
  <si>
    <t>st283_gnb0_gna0_vmr_compat_instruction_cache_bumped_visits.yml</t>
  </si>
  <si>
    <t>IC-FEAT-003</t>
  </si>
  <si>
    <t>WS.Storm.IC.ICMaskAddrExt</t>
  </si>
  <si>
    <t>BP_18</t>
  </si>
  <si>
    <t xml:space="preserve">The purpose of the test is to verify the CPUID field indicating AdMaskExtnInstBP support. CPUID[AdMaskExtnInstBP]: Fn8000_0001_ECX[30] = 1.
CCX_IC_BP_Diag_Testplan(4.5.18[BP_18]) </t>
  </si>
  <si>
    <t xml:space="preserve">BP08_ICMask_Address_Extension.stf 
BP09_ICMask_Address_Extension.stf 
</t>
  </si>
  <si>
    <t>IC-FEAT-004</t>
  </si>
  <si>
    <t>WS.CDL.IC.ITLB</t>
  </si>
  <si>
    <t xml:space="preserve">  [LS_77] - Speculative ITLB Writes</t>
  </si>
  <si>
    <t>This test generates speculative ITLB reloads after 
enabling/disabling the speculative ITLB write and verifies that the execution time is less when speculative ITLB write is enabled.
CCX_LS_DC_Diag_Testplan (4.6.77[LS_77] )</t>
  </si>
  <si>
    <t>ITLB.stf</t>
  </si>
  <si>
    <t>DE-FEAT-001</t>
  </si>
  <si>
    <t>WS.Storm.De.Exerciser</t>
  </si>
  <si>
    <t>KV, Bijesh</t>
  </si>
  <si>
    <t>DE-05</t>
  </si>
  <si>
    <t>[DE_08] Jamcount
[DE_09] Microcode Word Queue (MWQ)</t>
  </si>
  <si>
    <t>The purpose of the test is to ensure that UCODE is tested and is functioning as per the specification, no failures were observed as mentioned in Pass/Fail criteria.
CCX_Decode_Diag_Testplan(4.6.8[DE_08])</t>
  </si>
  <si>
    <t>ssp_zp_compat_exsc_leg013_special_ops_jamming.yml</t>
  </si>
  <si>
    <t>DE</t>
  </si>
  <si>
    <t>DE-FEAT-002</t>
  </si>
  <si>
    <t>WS.CDL.De.UnifiedOpCache.1</t>
  </si>
  <si>
    <t xml:space="preserve">[DE_20] Double Micro-OP (UOP) cache size
[DE042] – Unified Op Cache (Same As DE_20)
[PS_DE_102]TwoTakenBranchDispatch
[DE_24] Early Redirect
[DE_22] MicroOpQueue (UopQ) Loop Buffer
[DE_23] Increasing IDQ and UOPQ Read Slots
[DE_40] Final-decode micro-op queue (UOPQ): 72-entry, static split for 2T
</t>
  </si>
  <si>
    <t>CB's unified op cache (UOC or just OC) stores instructions in form of unified ops.
CCX_Decode_Diag_Testplan</t>
  </si>
  <si>
    <t>DE04_opcache_stress.stf</t>
  </si>
  <si>
    <t>/CPU/linux/Cache_Suite/Opcache_Stress --cpu all --enable-demand-paging -t 4h</t>
  </si>
  <si>
    <t>DE-FEAT-003</t>
  </si>
  <si>
    <t>WS.Storm.De.UnifiedOpCache.2</t>
  </si>
  <si>
    <t>[DE042] – Unified Op Cache (Same As DE_20)
[PS_DE_102]TwoTakenBranchDispatch
[DE_22] MicroOpQueue (UopQ) Loop Buffer
[DE_23] Increasing IDQ and UOPQ Read Slots</t>
  </si>
  <si>
    <t>CB's unified op cache (UOC or just OC) stores instructions in form of unified ops.
 CCX_Decode_Diag_Testplan(4.6.42[DE_01])</t>
  </si>
  <si>
    <t>st260_gna0_ssp_compat_uop_cache_bumped_visits.yml</t>
  </si>
  <si>
    <t>CH-FEAT-001</t>
  </si>
  <si>
    <t>WS.CDL.CH.L2CacheCoherencyExerciser</t>
  </si>
  <si>
    <t>CH-06</t>
  </si>
  <si>
    <t>[CH01]-L2 cache Tag-Data (TD) pipeline &amp; Response pipeline
[CH02]-L1D, L2 &amp; L3 cache coherency state transitions
[CH03]-L1, L2 &amp; L3 cache coherency and Probe filter
[CH23]-Cache Coherency 
[CH16]-Gate clocks to the L2 data macros while L2 is idle</t>
  </si>
  <si>
    <t>L2Macro tag and data lookups and  L2 Coherency
CCX_Cache_Diag_TestPlan.docx(4.5.1[CH_001])</t>
  </si>
  <si>
    <t xml:space="preserve"> 
Cache_L2_Cache_Coherency.stf
</t>
  </si>
  <si>
    <t>CH</t>
  </si>
  <si>
    <t>CH-FEAT-002</t>
  </si>
  <si>
    <t>WS.CDL.CH.L1L2CacheExerciser</t>
  </si>
  <si>
    <t xml:space="preserve"> Cache_Group_1_2.stf</t>
  </si>
  <si>
    <t>CH-FEAT-003</t>
  </si>
  <si>
    <t>WS.CDL.CH.L3CacheCoherencyExerciser</t>
  </si>
  <si>
    <t>Varifes the L3 Coherency protocol
CCX_Cache_Diag_TestPlan.docx(4.5.1[CH_001])</t>
  </si>
  <si>
    <t>Cache_L3_Cache_Coherency.stf</t>
  </si>
  <si>
    <t>CH-FEAT-004</t>
  </si>
  <si>
    <t>WS.CDL.CH.CacheableIO</t>
  </si>
  <si>
    <t>[CH_10] - Cacheable IO</t>
  </si>
  <si>
    <t>Cacheable IO is a memory-mapped IO region that is allowed  to be copied into the cache and used from there. 
CCX_Cache_Diag_TestPlan.docx(4.5.10[CH_010])</t>
  </si>
  <si>
    <t>CacheableIO.stf</t>
  </si>
  <si>
    <t>CH-FEAT-005</t>
  </si>
  <si>
    <t>WS.CDL.CH.CacheRangeLock</t>
  </si>
  <si>
    <t>[CH11]-Cache Range Locking/6.2.2 Cache Range Locking</t>
  </si>
  <si>
    <t>Cache range locking is a mechanism for forcing something to stay in the cache, rather than being replaced by other normal transactions.
CCX_Cache_Diag_TestPlan.docx(4.5.11[CH_011])</t>
  </si>
  <si>
    <t>Cache_Range_Lock.stf</t>
  </si>
  <si>
    <t>/CPU/linux/Cache_Suite/Cache_Range_Lock --cpu all -p -t 6h</t>
  </si>
  <si>
    <t>CH-FEAT-006</t>
  </si>
  <si>
    <t>WS.CDL.CH.L3CacheExerciser</t>
  </si>
  <si>
    <t>[CH14] - L3 cache Tag-Data (TD) pipeline &amp; Response pipeline</t>
  </si>
  <si>
    <t>L3Macro tag and data lookups(Interfaces, L3 Q &amp; Buffers).
CCX_Cache_Diag_TestPlan.docx(4.5.14[CH_014])</t>
  </si>
  <si>
    <t xml:space="preserve">Cache_All_L3_Cache.stf
</t>
  </si>
  <si>
    <t>/CPU/linux/Core_Suite/Cache_Exerciser_With_Mem_Types --cpu all --enable-demand-paging -t 6h</t>
  </si>
  <si>
    <t>CH-FEAT-007</t>
  </si>
  <si>
    <t>WS.CDL.CH.AllCacheExerciser</t>
  </si>
  <si>
    <t>[CH01]-L2 cache Tag-Data (TD) pipeline &amp; Response pipeline 
[CH14] - L3 cache Tag-Data (TD) pipeline &amp; Response pipeline</t>
  </si>
  <si>
    <t xml:space="preserve">Cache_Walker_Dring.stf		
Cache_Walker_Vring_2P.stf		
Cache_Walker_L1.stf		
Cache_Walker_Vring_1P.stf	
Cache_walker_L3.stf				
Cache_Walker_L2.stf	Cache_Walker_L3_Max_Hits.stf			</t>
  </si>
  <si>
    <t>CH-FEAT-008</t>
  </si>
  <si>
    <t>WS.Storm.CH.CacheExerciser</t>
  </si>
  <si>
    <t xml:space="preserve"> [PS_LS_85] – Additional completion port for SMC,
Larger L2,
Additional L2 MIBs and finer-grained throttling,
RdBlkWeakX,
L3 C2C speedup,
Additional L2/L3 index hashing,
Double CCD probe request bandwidth,
CleanShared probe type,
Enhanced buslock support,
Allow 9 ops per OC entry,
[UC05] - 4-in-1 Jresync Jcc Setcnt Combo op,
[PS_UC_113] - Faster REP CMPB,
[PS_UC_100] - FpDestNum Support for Fast String FP Loads and Stores
</t>
  </si>
  <si>
    <t xml:space="preserve">
CCX_Cache_Diag_TestPlan.docx
CCX_Ucode_Diag_TestPlan.docx</t>
  </si>
  <si>
    <t>st341_rsa0_gn_compat_mp_blocks.yml</t>
  </si>
  <si>
    <t>CH-FEAT-009</t>
  </si>
  <si>
    <t>WS.CDL.CH.MemoryOrdering</t>
  </si>
  <si>
    <t>[CH15]-Memory Ordering</t>
  </si>
  <si>
    <t>Load Ordering Rules, Store Ordering Rules.
CCX_Cache_Diag_TestPlan.docx(4.5.15[CH_015])</t>
  </si>
  <si>
    <t>Core_Memory_Ordering.stf</t>
  </si>
  <si>
    <t>/CPU/linux/Core_Suite/Memory_Ordering --cpu all -t 6h</t>
  </si>
  <si>
    <t>CH-FEAT-010</t>
  </si>
  <si>
    <t>WS.Storm.CH.SelfModifyingCode.1</t>
  </si>
  <si>
    <t>[CH19]-Self Modifying Code
 [PS_LS_85] – Additional completion port for SMC</t>
  </si>
  <si>
    <t>Software that writes in to the code segment is called 
Self Modifying Code.
CCX_Cache_Diag_TestPlan.docx(4.5.19[CH_019])</t>
  </si>
  <si>
    <t xml:space="preserve">smc.rb
</t>
  </si>
  <si>
    <t>CH-FEAT-011</t>
  </si>
  <si>
    <t>WS.Storm.CH.SelfModifyingCode.2</t>
  </si>
  <si>
    <t xml:space="preserve">
mp_blocks_biased_to_smc.rb</t>
  </si>
  <si>
    <t>CH-FEAT-012</t>
  </si>
  <si>
    <t xml:space="preserve"> WS.Storm.CH.MCOMMIT</t>
  </si>
  <si>
    <t>[CH25]-MCOMMIT plumbing</t>
  </si>
  <si>
    <t>The purpose of the test is to ensure thatMCOMMIT is functioning as per the specification, no failures were observed as mentioned in Pass/Fail criteria.
CCX_Cache_Diag_Testplan(4.6.25[CH_25])</t>
  </si>
  <si>
    <t>cba0_gn_only_mcommit.yml</t>
  </si>
  <si>
    <t>CH-FEAT-013</t>
  </si>
  <si>
    <t>WS.CDL.CH.InterruptibleWBINVD</t>
  </si>
  <si>
    <t>[CH26]-Interruptible WBINVD/WBNOINVD</t>
  </si>
  <si>
    <t>L2Macro tag and data lookups.
CCX_Cache_Diag_TestPlan.docx(4.5.26[CH_026])</t>
  </si>
  <si>
    <t xml:space="preserve">TBD(Find a new stf for this)
</t>
  </si>
  <si>
    <t>CH-FEAT-014</t>
  </si>
  <si>
    <t>WS.CDL.CH.Memcopy</t>
  </si>
  <si>
    <t>[CH_028] - Memcopy</t>
  </si>
  <si>
    <t>CCX_Cache_Diag_Testplan(4.6.25[CH_26])</t>
  </si>
  <si>
    <t>Core_Mem_Copy.stf
CCX_Mem_Test.stf
CCX_Mem_Test_bit_shift.stf
Produ_Consu.stf</t>
  </si>
  <si>
    <t>/CPU/linux/Core_Suite/Mem_Copy --cpu all --MemorySize 0x10000000 --RepMov --isCacheable -t 4h</t>
  </si>
  <si>
    <t>CH-FEAT-015</t>
  </si>
  <si>
    <t>WS.CDL.CH.Downcaching</t>
  </si>
  <si>
    <t>[CH_033] - Downcaching</t>
  </si>
  <si>
    <t>CCX_Cache_Diag_Testplan(4.6.25[CH_33])</t>
  </si>
  <si>
    <t xml:space="preserve">Manual_test </t>
  </si>
  <si>
    <t>MANUAL</t>
  </si>
  <si>
    <t>UC-FEAT-001</t>
  </si>
  <si>
    <t>WS.CDL.Core.Ucode.Func.QualityOfService</t>
  </si>
  <si>
    <t>Sekharappa, Harsha</t>
  </si>
  <si>
    <t>UC-07</t>
  </si>
  <si>
    <t>Quality Of Service</t>
  </si>
  <si>
    <t>Validate Cahce Allocation Technology(CAT), (CMT)Cache Management Technology and CDP features .
[4.6.1] CCX_UC_Diag_testPlan.docx</t>
  </si>
  <si>
    <t>UC01_Qos.stf</t>
  </si>
  <si>
    <t>/CPU/linux/Cache_Suite/Qos --cpu all -t 4h</t>
  </si>
  <si>
    <t>UC</t>
  </si>
  <si>
    <t>UC-FEAT-002</t>
  </si>
  <si>
    <t>WS.STORM.Ucode.Setcnt</t>
  </si>
  <si>
    <t>[UC_005] - Setcnt
[CPU006] - REP string Setcnt enhancements
[PS_UC_107] – Faster REP STOSB
[PF_UC_113] – Faster REP CMPB
[CPU006] - REP string Setcnt enhancements</t>
  </si>
  <si>
    <t xml:space="preserve">Validates setcnt feature enhancement.
[4.6.5] CCX_UC_Diag_testPlan.docx
</t>
  </si>
  <si>
    <t xml:space="preserve">
st279_gnb0_gna0_vmr_compat_setcnt.yml
</t>
  </si>
  <si>
    <t>UC-FEAT-003</t>
  </si>
  <si>
    <t>WS.CDL.Ucode.ChangeApicIDAssignment</t>
  </si>
  <si>
    <t>[PF_UC_127] – Change APIC ID assignment to reduce interrupt delivery overhead</t>
  </si>
  <si>
    <t>Change APIC ID assignment to reduce interrupt delivery overhead
[4.6.11] CCX_UC_Diag_testPlan.docx</t>
  </si>
  <si>
    <t>Manual  or CDL</t>
  </si>
  <si>
    <t>OSBOOT</t>
  </si>
  <si>
    <t>UC-FEAT-004</t>
  </si>
  <si>
    <t>WS.CDL.Ucode.RdrandRdseed</t>
  </si>
  <si>
    <t>[PF_UC_130] – Complete Microcoded RDRAND implementation
[DE_26] RDRAND/RDSEED instruction</t>
  </si>
  <si>
    <t>Complete Microcoded RDRAND implementation
[4.6.12] CCX_UC_Diag_testPlan.docx
The purpose of the test is to ensure that the RDRAND/RDSEED instruction is working as per expectation.
CCX_Decode_Diag_Testplan(4.6.26[DE_26])</t>
  </si>
  <si>
    <t>Core_RDRAND_Exerciser.stf
Core_RDSEED_Exerciser.stf 
With Manual verification of Key/Value/Entropy fiedls for each HW thread. Use Ruby Script read_rdrand_kve_hdt.rb periodicaly to read Key/Value/Entropy fileds </t>
  </si>
  <si>
    <t>APIC-FEAT-001</t>
  </si>
  <si>
    <t>WS.CDL.Apic.Local_APIC_Fixed_Interrupts</t>
  </si>
  <si>
    <t>APIC-10</t>
  </si>
  <si>
    <t>[APIC_01]Local_APIC_Fixed_Interrupts
[APIC_04] SELF IPI Register - Local_APIC_Self_IPI</t>
  </si>
  <si>
    <t xml:space="preserve">Fixed interrupts are vectored interrupts, either remote or local.
[4.4.1]  CCX_APIC_Diag_testplan.docx
</t>
  </si>
  <si>
    <t>Local_APIC_Fixed_Interrupts.stf</t>
  </si>
  <si>
    <t>APIC</t>
  </si>
  <si>
    <t>APIC-FEAT-002</t>
  </si>
  <si>
    <t>WS.CDL.Apic.Local_APIC_Lowest_Priority_Interrupts</t>
  </si>
  <si>
    <t>[APIC_02] Local_APIC_Lowest_Priority_Interrupts</t>
  </si>
  <si>
    <t>Lowest-Priority or Arbitrated Interrupt:
A Lowest-Priority (also known as Arbitrated) Interrupt is a special type of remote fixed interrupt
[4.4.2] CCX_APIC_Diag_testplan.docx:</t>
  </si>
  <si>
    <t>Local_APIC_Lowest_Priority_Interrupts.stf</t>
  </si>
  <si>
    <t>/CPU/linux/Local_APIC_Suite/Lowest_Priority_Interrupts --cpu all -t 4h</t>
  </si>
  <si>
    <t>APIC-FEAT-003</t>
  </si>
  <si>
    <t>WS.CDL.Apic.Local_APIC_NMI_Check</t>
  </si>
  <si>
    <t>[APIC_03]Local_APIC_NMI_Check
[APIC_21]Local_APIC_NMI_Flood</t>
  </si>
  <si>
    <t>Non-Maskable Interrupts : The remote NMI interrupt received by the APIC is a non-vectored interrupt
[4.4.3] CCX_APIC_Diag_testplan.docx</t>
  </si>
  <si>
    <t>Local_APIC_NMI_Check.stf</t>
  </si>
  <si>
    <t>/CPU/linux/Local_APIC_Suite/NMI_Check --cpu all -t 4h</t>
  </si>
  <si>
    <t>APIC-FEAT-004</t>
  </si>
  <si>
    <t>WS.CDL.Apic.Local_APIC_SMI_Check</t>
  </si>
  <si>
    <t>[APIC_05] Local_APIC_SMI_Check 
[CPU011]- SMM Entry/Execution/Resume</t>
  </si>
  <si>
    <t>The most common source of an SMI CPU Interrupt is the  remote SMI interrupt request
[4.4.5] CCX_APIC_Diag_testplan.docx: 
The intent here is to test the SMM
 (System Management Mode) architecture of AMD processors. 
[4.611]CCX_CPU_Diag_TestPlan.docx</t>
  </si>
  <si>
    <t>Local_APIC_SMI_Check.stf</t>
  </si>
  <si>
    <t>/CPU/linux/Local_APIC_Suite/SMI_Check --cpu all -t 4h</t>
  </si>
  <si>
    <t>APIC-FEAT-005</t>
  </si>
  <si>
    <t>WS.CDL.Apic.Local_APIC_Timer_LVT</t>
  </si>
  <si>
    <t>[APIC_06] Local_APIC_Timer_LVT</t>
  </si>
  <si>
    <t xml:space="preserve">Each APIC contains a timer which counts down from an initial value to zero, and causes an interrupt to the CPU when it reaches zero
[4.4.6] CCX_APIC_Diag_testplan.docx: 
</t>
  </si>
  <si>
    <t>Local_APIC_Timer_LVT.stf</t>
  </si>
  <si>
    <t>/CPU/linux/Local_APIC_Suite/Timer_LVT --cpu all --delay 10ms -t 4h</t>
  </si>
  <si>
    <t>APIC-FEAT-006</t>
  </si>
  <si>
    <t>WS.CDL.Apic.Local_APIC_Performance_Counter_LVT</t>
  </si>
  <si>
    <t>[APIC_07]Local_APIC_Performance_Counter_LVT</t>
  </si>
  <si>
    <t>Performance Counter Overflow Interrupts : CPU performance monitor countergenerates APIC interrupts on counter overflow
[4.4.7] CCX_APIC_Diag_testplan.docx:</t>
  </si>
  <si>
    <t xml:space="preserve">Performance_Counter_LVT_Interrupts.stf
Performance_Counter_LVT.stf </t>
  </si>
  <si>
    <t>/CPU/linux/Local_APIC_Suite/Performance_Counter_LVT --cpu all --serial --run-time 6h
/CPU/linux/Local_APIC_Suite/Performance_Counter_LVT --cpu all --serial --EventSelect 0x76 --UnitMask 0 --run-time 6h</t>
  </si>
  <si>
    <t>APIC-FEAT-007</t>
  </si>
  <si>
    <t>WS.CDL.Apic.Local_APIC_Error_LVT</t>
  </si>
  <si>
    <t>[APIC_08]Local_APIC_Error_LVT</t>
  </si>
  <si>
    <t>Error Interrupt: An error interrupt request is asserted whenever the APIC detects an internal error
[4.4.8] CCX_APIC_Diag_testplan.docx</t>
  </si>
  <si>
    <t>Local_APIC_Error_LVT.stf</t>
  </si>
  <si>
    <t>/CPU/linux/Local_APIC_Suite/Error_LVT --cpu all -t 4h</t>
  </si>
  <si>
    <t>APIC-FEAT-008</t>
  </si>
  <si>
    <t>WS.CDL.Apic.Local_APIC_Spurious_Interrupt</t>
  </si>
  <si>
    <t>[APIC_09] Local_APIC_Spurious_Interrupt</t>
  </si>
  <si>
    <t>Spurious Interrupts:
[4.4.9] CCX_APIC_Diag_testplan.docx</t>
  </si>
  <si>
    <t>Local_APIC_Spurious_Interrupt.stf</t>
  </si>
  <si>
    <t>/CPU/linux/Local_APIC_Suite/Spurious_Interrupt --cpu all -t 4h</t>
  </si>
  <si>
    <t>APIC-FEAT-009</t>
  </si>
  <si>
    <t>WS.CDL.Apic.Local_APIC_IOAPIC_Interrupts</t>
  </si>
  <si>
    <t>[APIC_10]Local_APIC_IOAPIC_Interrupts</t>
  </si>
  <si>
    <t xml:space="preserve">The purpose of this test is to validate the ability of the local APIC to receive and handle different interrupt types from the IO APIC
[4.4.10] CCX_APIC_Diag_testplan.docx </t>
  </si>
  <si>
    <t>Local_APIC_IOAPIC_Interrupts.stf</t>
  </si>
  <si>
    <t>/CPU/linux/Local_APIC_Suite/IOAPIC_Interrupts --cpu all:0 -t 4h</t>
  </si>
  <si>
    <t>APIC-FEAT-010</t>
  </si>
  <si>
    <t>WS.CDL.Core.Apic.Func.Local_APIC_Nested_Interrupt</t>
  </si>
  <si>
    <t>[APIC_11] Local_APIC_Nested_Interrupt</t>
  </si>
  <si>
    <t xml:space="preserve">The APIC forwards a vectored interrupt to the CPU for  servicing only when the interrupt's priority is higher than the interrupt which the APIC is currently servicing (if any), and when the interrupt's priority is higher than that of the task currently executing in the CPU.
[4.4.11] CCX_APIC_Diag_testplan.docx: 
Nested Interrupts 
4.4.12  [APIC_12] Nested TPR: </t>
  </si>
  <si>
    <t>Coverage by all APIC diags</t>
  </si>
  <si>
    <t>APIC-FEAT-011</t>
  </si>
  <si>
    <t>WS.CDL.Apic.Local_APIC_TPR_And_Interrupt_Priority</t>
  </si>
  <si>
    <t>[APIC_12] Local_APIC_TPR_And_Interrupt_Priority</t>
  </si>
  <si>
    <t>APIC Register: Nested TPR
[4.4.13] CCX_APIC_Diag_testplan.docx</t>
  </si>
  <si>
    <t>Local_APIC_TPR_And_Interrupt_Priority.stf</t>
  </si>
  <si>
    <t>/CPU/linux/Local_APIC_Suite/TPR_And_Interrupt_Priority --cpu all -t 4h</t>
  </si>
  <si>
    <t>APIC-FEAT-012</t>
  </si>
  <si>
    <t>WS.CDL.Apic.Local_APIC_Register_Bits_Read_Write</t>
  </si>
  <si>
    <t>[APIC_13] Local_APIC_Register_Bits_Read_Write</t>
  </si>
  <si>
    <t xml:space="preserve">The test writes zero and one to each bit of every local apic  register and read back the values to verify the write has done
[4.4.13] CCX_APIC_Diag_testplan.docx
</t>
  </si>
  <si>
    <t>Local_APIC_Register_Bits_Read_Write.stf</t>
  </si>
  <si>
    <t>/CPU/linux/Local_APIC_Suite/Register_Bits_Read_Write --cpu all --repeat 1</t>
  </si>
  <si>
    <t>APIC-FEAT-013</t>
  </si>
  <si>
    <t>WS.CDL.Apic.APIC 52bit Base Address MSR</t>
  </si>
  <si>
    <t>[APIC_19] APIC 52bit Base Address MSR
[CPU022] - Support 52-bit PA mode</t>
  </si>
  <si>
    <t xml:space="preserve">APIC 52bit Base Address MSR: Verify that a local apic can be mapped to a physical address above the 40 bit boundary
[4.4.19] CCX_APIC_Diag_testplan.docx: </t>
  </si>
  <si>
    <t>Manual verification</t>
  </si>
  <si>
    <t>APIC-FEAT-014</t>
  </si>
  <si>
    <t>WS.CDL.Apic.APIC Stress</t>
  </si>
  <si>
    <t xml:space="preserve"> [APIC_20] APIC Stress</t>
  </si>
  <si>
    <t xml:space="preserve">Integrated Testing: Interrupts of different types are generated simultaneously from different interrupt sources like timer interrupts, performance overflow interrupts, spurious interrupts, NMI, HPET timers etc.
[4.4.20] CCX_APIC_Diag_testplan.docx:
</t>
  </si>
  <si>
    <t>XAPIC_Stress_Test.stf</t>
  </si>
  <si>
    <t>/CPU/linux/Local_APIC_Suite/APIC_Stress_Test --cpu all --run-time 4h</t>
  </si>
  <si>
    <t>APIC-FEAT-015</t>
  </si>
  <si>
    <t>WS.CDL.Apic.Extended LVT interrupts</t>
  </si>
  <si>
    <t xml:space="preserve">[APIC_23] Extended LVT interrupts
[APIC_14] IBS Interrupts
[LS_64] - IBS Periodic Interrupt
</t>
  </si>
  <si>
    <t>This set of registers is located at APIC[530:500] and provide additional local vector table entries for selected internal interrupt sources: Machine Check Thresholding, IBS, Deffered Error, SBI etc
[4.4.23] CCX_APIC_Diag_testplan.docx
Instruction-Based Sampling (IBS) is a hardware facility that can be used to gather specific metrics related to processor instruction fetch and instruction execution activity.
[4.4.14] CCX_APIC_Diag_testplan.docx: CCX_LS_DC_Diag_Testplan(4.6.64[LS_64])</t>
  </si>
  <si>
    <t>3.1.45_IBS_Interrupt_Mapping_Instruction_fetch_feature.stf
3.1.45_IBS_Interrupt_Mapping_Instruction_Execution_feature.stf</t>
  </si>
  <si>
    <t>/CPU/linux/Core_Suite/Instruction_Based_Sampling_Fetch --cpu all -t 4h
/CPU/linux/Core_Suite/Instruction_Based_Sampling_Execution --cpu all -t 4h</t>
  </si>
  <si>
    <t>APIC-FEAT-016</t>
  </si>
  <si>
    <t>WS.CDL.Apic.Local_APIC_Faster TPR write for mov CR8</t>
  </si>
  <si>
    <t>[APIC_24] Local_APIC_Faster TPR write for mov CR8
[LS_71] - MOV CR8 Instruction
[LS_74] - CR8 Read/Write using MOV (CRn) with LOCK prefix in Legacy Mode
[LS_63] - TPR Read Write</t>
  </si>
  <si>
    <t>This feature is to improve performance of TPR writes done by a MOV CR8 instruction
[4.4.28] CCX_APIC_Diag_testplan.docx</t>
  </si>
  <si>
    <t>TPR_Read_Write.stf</t>
  </si>
  <si>
    <t>X2APIC-FEAT-030</t>
  </si>
  <si>
    <t>WS.CDL.X2Apic.X2APIC_X2APIC_Check</t>
  </si>
  <si>
    <t>[X2APIC_00]X2APIC_X2APIC_Check</t>
  </si>
  <si>
    <t xml:space="preserve"> Detecting and Enabling x2APIC Mode
[4.5.1] CCX_APIC_Diag_testplan.docx</t>
  </si>
  <si>
    <t>LS08_10_X2APIC_Check.stf</t>
  </si>
  <si>
    <t>/CPU/linux/Core_Suite/TPR_Read_Write --cpu all --internal-loop 1 --block-size 0x100000 -v -t 4h</t>
  </si>
  <si>
    <t>X2APIC</t>
  </si>
  <si>
    <t>X2APIC-FEAT-031</t>
  </si>
  <si>
    <t>WS.CDL.X2Apic.X2APIC_APIC_Fixed_Interrupts</t>
  </si>
  <si>
    <t>[X2APIC_01]X2APIC_APIC_Fixed_Interrupts</t>
  </si>
  <si>
    <t>Fixed interrupts are vectored interrupts, either remote or local.
[4.4.1]  CCX_APIC_Diag_testplan.docx</t>
  </si>
  <si>
    <t>LS08_2_Fixed_Interrupts_X2APIC.stf</t>
  </si>
  <si>
    <t>/CPU/linux/Local_APIC_Suite/X2APIC_Check --cpu all -t 1h</t>
  </si>
  <si>
    <t>X2APIC-FEAT-033</t>
  </si>
  <si>
    <t>WS.CDL.X2Apic.X2APIC_NMI_Check_X2APIC</t>
  </si>
  <si>
    <t>[X2APIC_03]X2APIC_NMI_Check_X2APIC</t>
  </si>
  <si>
    <t xml:space="preserve"> The remote NMI interrupt received by the
APIC is a non-vectored interrupt
[4.4.3] CCX_APIC_Diag_testplan.docx</t>
  </si>
  <si>
    <t>LS08_4_NMI_Check_X2APIC.stf</t>
  </si>
  <si>
    <t>/CPU/linux/Local_APIC_Suite/Fixed_Interrupts_X2APIC --cpu all -t 4h</t>
  </si>
  <si>
    <t>X2APIC-FEAT-034</t>
  </si>
  <si>
    <t>WS.CDL.X2Apic.X2APIC_Self_IPI_X2APIC</t>
  </si>
  <si>
    <t>[X2APIC_04]X2APIC_Self_IPI_X2APIC</t>
  </si>
  <si>
    <t>The ICR is used to generate APIC-initiated interrupts which are sent to other APICs or to itself.
[4.4.4] CCX_APIC_Diag_testplan.docx</t>
  </si>
  <si>
    <t>LS08_8_Self_IPI_X2APIC.stf</t>
  </si>
  <si>
    <t>/CPU/linux/Local_APIC_Suite/NMI_Check_X2APIC --cpu all -t 4h</t>
  </si>
  <si>
    <t>X2APIC-FEAT-035</t>
  </si>
  <si>
    <t>WS.CDL.X2Apic.X2APIC_SMI_Check_X2APIC</t>
  </si>
  <si>
    <t xml:space="preserve">[X2APIC_05]X2APIC_SMI_Check_X2APIC </t>
  </si>
  <si>
    <t>The most common source of an SMI CPU Interrupt is the remote SMI interrupt request
[4.4.5] CCX_APIC_Diag_testplan.docx</t>
  </si>
  <si>
    <t>LS08_7_SMI_Check_X2APIC.stf</t>
  </si>
  <si>
    <t>/CPU/linux/Local_APIC_Suite/Self_IPI_X2APIC --cpu all -t 4h</t>
  </si>
  <si>
    <t>X2APIC-FEAT-036</t>
  </si>
  <si>
    <t>WS.CDL.X2Apic.X2APIC_Timer_LVT_X2APIC</t>
  </si>
  <si>
    <t>[X2APIC_06]X2APIC_Timer_LVT_X2APIC</t>
  </si>
  <si>
    <t>APIC Timer: Each APIC contains a timer which counts down from an initial value to zero, and causes an interrupt to the CPU when it reaches zero
[4.4.6] CCX_APIC_Diag_testplan.docx</t>
  </si>
  <si>
    <t>LS08_9_Timer_LVT_X2APIC.stf</t>
  </si>
  <si>
    <t>/CPU/linux/Local_APIC_Suite/Timer_LVT_X2APIC --cpu all -t 4h</t>
  </si>
  <si>
    <t>X2APIC-FEAT-037</t>
  </si>
  <si>
    <t>WS.CDL.X2Apic.X2APIC_Performance_Counter_LVT_X2APIC</t>
  </si>
  <si>
    <t>[X2APIC_07]X2APIC_Performance_Counter_LVT_X2APIC</t>
  </si>
  <si>
    <t>CPU performance monitor countergenerates APIC interrupts on counter overflow
[4.4.7] CCX_APIC_Diag_testplan.docx</t>
  </si>
  <si>
    <t>LS08_6_Performance_Counter_LVT_X2APIC.stf</t>
  </si>
  <si>
    <t>/CPU/linux/Local_APIC_Suite/Performance_Counter_LVT_X2APIC --cpu all -t 4h</t>
  </si>
  <si>
    <t>X2APIC-FEAT-038</t>
  </si>
  <si>
    <t>WS.CDL.X2Apic.X2APIC_Error_LVT_X2APIC</t>
  </si>
  <si>
    <t>[X2APIC_08]X2APIC_Error_LVT_X2APIC</t>
  </si>
  <si>
    <t>APIC Logs internal errors in the status register
[4.4.2]  CCX_APIC_Diag_testplan.docx</t>
  </si>
  <si>
    <t>LS08_1_Error_LVT_X2APIC.stf</t>
  </si>
  <si>
    <t>/CPU/linux/Local_APIC_Suite/Error_LVT_X2APIC --cpu all -t 4h</t>
  </si>
  <si>
    <t>X2APIC-FEAT-039</t>
  </si>
  <si>
    <t>WS.CDL.X2Apic.X2APIC_5_NMI_Flood_X2APIC</t>
  </si>
  <si>
    <t>[X2APIC_21]X2APIC_5_NMI_Flood_X2APIC</t>
  </si>
  <si>
    <t>LS08_5_NMI_Flood_X2APIC.stf</t>
  </si>
  <si>
    <t>X2APIC-FEAT-040</t>
  </si>
  <si>
    <t>WS.CDL.X2Apic.X2APIC_IOAPIC_Interrupts_X2APIC</t>
  </si>
  <si>
    <t>[X2APIC_10]X2APIC_IOAPIC_Interrupts_X2APIC</t>
  </si>
  <si>
    <t xml:space="preserve">
The purpose of this test is to validate the ability of the local APIC to receive and handle different interrupt types from the IO APIC
[4.4.10] CCX_APIC_Diag_testplan.docx</t>
  </si>
  <si>
    <t>LS08_3_IOAPIC_Interrupts_X2APIC.stf</t>
  </si>
  <si>
    <t>/CPU/linux/Local_APIC_Suite/IOAPIC_Interrupts_X2APIC --cpu all:0 -t 4h</t>
  </si>
  <si>
    <t>X2APIC-FEAT-050</t>
  </si>
  <si>
    <t>WS.CDL.X2Apic.X2APIC_APIC Stress</t>
  </si>
  <si>
    <t>[X2APIC_20]X2APIC_APIC Stress</t>
  </si>
  <si>
    <t xml:space="preserve">
 Integrated Testing: Interrupts of different types are generated simultaneously from different interrupt sources like timer interrupts, performance overflow interrupts, spurious interrupts, NMI, HPET timers etc.
[4.4.20] CCX_APIC_Diag_testplan.docx</t>
  </si>
  <si>
    <t>X2APIC_Stress_Test.stf</t>
  </si>
  <si>
    <t>No separate diag. Coverage with existing X2APIC testcases.</t>
  </si>
  <si>
    <t>SVM-FEAT-001</t>
  </si>
  <si>
    <t>WS.Storm.SVM.BasicSVMFeatures</t>
  </si>
  <si>
    <t>SVM-12</t>
  </si>
  <si>
    <t xml:space="preserve">[SVM_4] - VM_HSAVE_PA MSR (C001_0117h)
[SVM_5] - TSC Ratio MSR (C000_0104h)
[SVM_6] - A guest/host Tagged TLB
[SVM_7] - Enhanced Pause filter
[SVM_8] - Intercepts
[SVM_9] - VMRUN
[SVM_13] - VMCB State Caching
[SVM_14] - TLB Control
[SVM_15] - Last Branch Record Virtualization
[SVM_16] - Nested Paging
[SVM_17] - Next RIP on VMEXIT
[SVM_19] - Monitor and Mwait
</t>
  </si>
  <si>
    <t>The 64-bit read/write VM_HSAVE_PA MSR holds the physical address of a 4KB block of memory where VMRUN saves host state, and from which #VMEXIT reloads host state.
4.6.4 [SVM_4]CCX_SVM_Diag_Testplan.docx</t>
  </si>
  <si>
    <t xml:space="preserve">svm_migration.yml
</t>
  </si>
  <si>
    <t>SVM</t>
  </si>
  <si>
    <t>SVM-FEAT-002</t>
  </si>
  <si>
    <t>WS.Storm.SVM.svm_vmexit_invalid</t>
  </si>
  <si>
    <t>[SVM_12] - VMEXIT_INVALID</t>
  </si>
  <si>
    <t>The VMRUN instruction performs consistency checks on guest state and #VMEXIT performs the appropriate subset of these consistency checks on host state. Illegal guest state combinations cause a #VMEXIT with error code VMEXIT_INVALID.
4.6.12 [SVM_12]CCX_SVM_Diag_Testplan.docx</t>
  </si>
  <si>
    <t xml:space="preserve">vmexit_invalid.yml
</t>
  </si>
  <si>
    <t>SVM-FEAT-003</t>
  </si>
  <si>
    <t>WS.CDL.CDLOverSVM.Diag1</t>
  </si>
  <si>
    <t xml:space="preserve"> [LS_48] - SVM
</t>
  </si>
  <si>
    <t xml:space="preserve">
[4.6.48] CCX_LS_DC_Diag_Testplan.docxc
Refer to " Different VM Configurations"  from below link
https://confluence.amd.com/display/AVD/CDL+over+SVM
</t>
  </si>
  <si>
    <t>https://confluence.amd.com/download/attachments/772258342/command_input_short_list_Turin.yaml?api=v2
python3 cdl_it_executor.py --time 15m --sleepTime 10s --numberOfIterations 1000 --runCPU all --runCommands short --numberOfCommands 5 --shuffleThreads --commandFile command_input_short_list_Turin.yaml --testerName “Prachi” --workStream 6</t>
  </si>
  <si>
    <t>IT-FEAT-001</t>
  </si>
  <si>
    <t>WS.IT.CDL.CrossSMTPair.IT_Group_1</t>
  </si>
  <si>
    <t>IT-11</t>
  </si>
  <si>
    <t>IntegrationTesting</t>
  </si>
  <si>
    <t>ALL</t>
  </si>
  <si>
    <t xml:space="preserve">
command_input_short_list_Turin.yaml  can  found here
https://confluence.amd.com/download/attachments/772258342/command_input_short_list_Turin.yaml?api=v2
</t>
  </si>
  <si>
    <t xml:space="preserve">python3 cdl_it_executor.py --time 25m --sleepTime 0s --numberOfIterations 10000 --runCPU all --runCommands short --numberOfCommands &lt;&gt; --shuffleThreads --commandFile command_input_short_list_Turin.yaml --testerName “UserName” --workStream 1 </t>
  </si>
  <si>
    <t>IT</t>
  </si>
  <si>
    <t>IT-FEAT-002</t>
  </si>
  <si>
    <t>WS.IT.CDL.CrossSMTPair.IT_Group_2</t>
  </si>
  <si>
    <t xml:space="preserve">
command_input_short_list_Turin.yaml  can  found here
https://confluence.amd.com/download/attachments/772258342/command_input_short_list_Turin.yaml?api=v2</t>
  </si>
  <si>
    <t>python3 cdl_it_executor.py --time 15m --sleepTime 0s --numberOfIterations 10000 --runCPU all --runCommands long --numberOfCommands &lt;&gt; --shuffleThreads --commandFile command_input_short_list_Turin.yaml --testerName “UserName” --workStream 1</t>
  </si>
  <si>
    <t>IT-FEAT-003</t>
  </si>
  <si>
    <t>WS.IT.CDL.CrossSMTPair.IT_Group_3</t>
  </si>
  <si>
    <t>Terminal 1:
python3 cdl_it_executor.py --time 25m --sleepTime 0s --numberOfIterations 40000 --runCPU T1 --runCommands short --numberOfCommands &lt;&gt; --shuffleThreads --commandFile command_input_short_list_Turin.yaml --testerName “UserName” --workStream 1
Terminal 2:
python3 cdl_it_executor.py --time 15m --sleepTime 0s --numberOfIterations &lt;&gt; --runCPU T0 --runCommands long --numberOfCommands 10 --shuffleThreads --commandFile command_input_short_list_Turin.yaml --testerName “UserName” --workStream 1</t>
  </si>
  <si>
    <t>IT-FEAT-004</t>
  </si>
  <si>
    <t>WS.IT.CDL.CrossSMTPairIT_Group_4</t>
  </si>
  <si>
    <t xml:space="preserve">
command_input_short_list_Turin.yaml  can  found here
https://confluence.amd.com/download/attachments/772258342/command_input_short_list_Turin.yaml?api=v2</t>
  </si>
  <si>
    <t xml:space="preserve">python3 cdl_it_executor.py --time 25m --sleepTime 0s --numberOfIterations 10000 --runCPU all --runCommands short --numberOfCommands &lt;&gt; --shuffleThreads --commandFile command_input_short_list_Turin_P1.yaml --testerName “UserName” --workStream 1 </t>
  </si>
  <si>
    <t>IT-FEAT-005</t>
  </si>
  <si>
    <t>WS.IT.CDL.CrossSMTPair.IT_Group_5</t>
  </si>
  <si>
    <t xml:space="preserve">python3 cdl_it_executor.py --time 25m --sleepTime 0s --numberOfIterations 10000 --runCPU all --runCommands short --numberOfCommands &lt;&gt; --shuffleThreads --commandFile command_input_short_list_Turin_P2.yaml --testerName “UserName” --workStream 1 </t>
  </si>
  <si>
    <t>IT-FEAT-006</t>
  </si>
  <si>
    <t>WS.IT.CDL.CrossSMTPair.IT_Group_6</t>
  </si>
  <si>
    <t xml:space="preserve">
command_input_short_list_Turin.yaml  can  found here
https://confluence.amd.com/downl</t>
  </si>
  <si>
    <t>Terminal 1:
Dieter MonitorMwait DIag
Terminal 2:
python3 cdl_it_executor.py --time 15m --sleepTime 0s --numberOfIterations &lt;&gt; --runCPU T0 --runCommands short --numberOfCommands 10 --shuffleThreads --commandFile command_input_short_list_Turin.yaml --testerName “UserName” --workStream 1</t>
  </si>
  <si>
    <t>MSR-IRR-FEAT-000</t>
  </si>
  <si>
    <t>WS.IRR.CDL.MSR</t>
  </si>
  <si>
    <t>IRR-13</t>
  </si>
  <si>
    <t>rdwrmsr_NVA0_ChickenBit_High.lst</t>
  </si>
  <si>
    <t>MSR IRR
command_input_short_list_Turin.yaml  can  found here
https://confluence.amd.com/download/attachments/772258342/command_input_short_list_Turin.yaml?api=v2</t>
  </si>
  <si>
    <t xml:space="preserve">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/rdwrmsr_20231030/cfg/rdwrmsr_NVA0_ChickenBit_High.lst
T1: long
python3 cdl_it_executor.py --time 15m --sleepTime 1s --numberOfIterations 10000 --runCPU T1 --runCommands long --numberOfCommands 1 --shuffleThreads --commandFile command_input_short_list_Turin_repro_DF_fatal.yaml --testerName “UserName” --workStream 5
</t>
  </si>
  <si>
    <t>IRR</t>
  </si>
  <si>
    <t>MSR-IRR-FEAT-001</t>
  </si>
  <si>
    <t>rdwrmsr_NVA0_ChickenBit_Medium.lst</t>
  </si>
  <si>
    <t xml:space="preserve">
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/rdwrmsr_20231030/cfg/rdwrmsr_NVA0_ChickenBit_Medium.lst
T1: long
python3 cdl_it_executor.py --time 15m --sleepTime 1s --numberOfIterations 10000 --runCPU T1 --runCommands long --numberOfCommands 1 --shuffleThreads --commandFile command_input_short_list_Turin_repro_DF_fatal.yaml --testerName “UserName” --workStream 5</t>
  </si>
  <si>
    <t>MSR-IRR-FEAT-002</t>
  </si>
  <si>
    <t>rdwrmsr_NVA0_ChickenBit_Low.lst</t>
  </si>
  <si>
    <t xml:space="preserve">
command_input_short_list_Turin.yaml  can  found here
https://confluence.amd.com/download/attachments/772258342/command_input_short_list_Turin.yaml?api=v2</t>
  </si>
  <si>
    <t>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/rdwrmsr_20231030/cfg/rdwrmsr_NVA0_ChickenBit_Low.lst
T1: long
python3 cdl_it_executor.py --time 15m --sleepTime 1s --numberOfIterations 10000 --runCPU T1 --runCommands long --numberOfCommands 1 --shuffleThreads --commandFile command_input_short_list_Turin_repro_DF_fatal.yaml --testerName “UserName” --workStream 5</t>
  </si>
  <si>
    <t>MSR-IRR-FEAT-003</t>
  </si>
  <si>
    <t>rdwrmsr_NVA0_ChickenBit_All.lst</t>
  </si>
  <si>
    <t xml:space="preserve">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/rdwrmsr_20231030/cfg/rdwrmsr_NVA0_ChickenBit_All.lst
T1: long
python3 cdl_it_executor.py --time 15m --sleepTime 1s --numberOfIterations 10000 --runCPU T1 --runCommands long --numberOfCommands 1 --shuffleThreads --commandFile command_input_short_list_Turin_repro_DF_fatal.yaml --testerName “UserName” --workStream 5
</t>
  </si>
  <si>
    <t>MSR-IRR-FEAT-004</t>
  </si>
  <si>
    <t>T0 and T1: Short
python3 cdl_it_executor.py --time 15m --sleepTime 1s --numberOfIterations 10000 --runCPU All --runCommands short --numberOfCommands 10 --shuffleThreads --commandFile command_input_short_list_Turin.yaml --testerName “UserName” --workStream 5 --msrIRR  --restoreMSR 1 --chickenBitsFile /rdwrmsr_20231030/cfg/rdwrmsr_NVA0_ChickenBit_All.lst</t>
  </si>
  <si>
    <t>MSR-IRR-FEAT-005</t>
  </si>
  <si>
    <t>T0 and T1: Long
python3 cdl_it_executor.py --time 15m --sleepTime 1s --numberOfIterations 10000 --runCPU All --runCommands long --numberOfCommands 10 --shuffleThreads --commandFile command_input_short_list_Turin.yaml --testerName “UserName” --workStream 5 --msrIRR  --restoreMSR 1 --chickenBitsFile /rdwrmsr_20231030/cfg/rdwrmsr_NVA0_ChickenBit_All.lst</t>
  </si>
  <si>
    <t>MSR-IRR-FEAT-006</t>
  </si>
  <si>
    <t>T0 and T1: Short
python3 cdl_it_executor.py --time 15m --sleepTime 1s --numberOfIterations 10000 --runCPU All --runCommands short --numberOfCommands 10 --shuffleThreads --commandFile command_input_short_list_Turin_p1.yaml --testerName “UserName” --workStream 5 --msrIRR  --restoreMSR 1 --chickenBitsFile /rdwrmsr_20231030/cfg/rdwrmsr_NVA0_ChickenBit_All.lst</t>
  </si>
  <si>
    <t>MSR-IRR-FEAT-007</t>
  </si>
  <si>
    <t xml:space="preserve">T0 and T1: Short
python3 cdl_it_executor.py --time 15m --sleepTime 1s --numberOfIterations 10000 --runCPU All --runCommands long --numberOfCommands 10 --shuffleThreads --commandFile command_input_short_list_Turin_p1.yaml --testerName “UserName” --workStream 5 --msrIRR  --restoreMSR 1 --chickenBitsFile /rdwrmsr_20231030/cfg/rdwrmsr_NVA0_ChickenBit_All.lst
</t>
  </si>
  <si>
    <t>MSR-IRR-FEAT-008</t>
  </si>
  <si>
    <t>T0 and T1: Short
python3 cdl_it_executor.py --time 15m --sleepTime 1s --numberOfIterations 10000 --runCPU All --runCommands long --numberOfCommands 10 --shuffleThreads --commandFile command_input_short_list_Turin_p2.yaml --testerName “UserName” --workStream 5 --msrIRR  --restoreMSR 1 --chickenBitsFile /rdwrmsr_20231030/cfg/rdwrmsr_NVA0_ChickenBit_All.lst</t>
  </si>
  <si>
    <t>DSM-IRR-FEAT-009</t>
  </si>
  <si>
    <t>WS.IRR.CDL.DSM</t>
  </si>
  <si>
    <t>IRR_X_IntegrationTesting</t>
  </si>
  <si>
    <t xml:space="preserve">
command_input_short_list_Turin.yaml  can  found here
https://confluence.amd.com/download/attachments/772258342/command_input_short_list_Turin.yaml?api=v2
 </t>
  </si>
  <si>
    <t>DSM IRR
below commands are in 1 file run_cmds.yaml
- python3 cdl_it_executor.py --time 15m --sleepTime 0s --numberOfIterations 3000 --dsmCyclesOn 300 --runCPU T1 --runCommands short --numberOfCommands 23 --commandFile command_input_short_list_Turin.yaml --testerName amit --workStream 6 --dsmIRR --clearDSM 5
- python3 cdl_it_executor.py --time 15m --sleepTime 0s --numberOfIterations 1000 --dsmCyclesOn 300 --runCPU T0 --runCommands long --numberOfCommands 1 --commandFile command_input_short_list_Turin.yaml --testerName amit --workStream 2
Command to run the session: python3 cdl_it_executor.py --multiProcess --runScriptFile run_cmds.yaml</t>
  </si>
  <si>
    <t>DSM-IRR-FEAT-010</t>
  </si>
  <si>
    <t>DSM IRR
below commands are in 1 file run_cmds.yaml
- python3 cdl_it_executor.py --time 15m --sleepTime 0s --numberOfIterations 3000 --dsmCyclesOn 300 --runCPU All --runCommands short --numberOfCommands 23 --commandFile command_input_short_list_Turin_P1.yaml --testerName amit --workStream 6 --dsmIRR --clearDSM 5
Command to run the session: python3 cdl_it_executor.py --multiProcess --runScriptFile run_cmds.yaml</t>
  </si>
  <si>
    <t>DSM-IRR-FEAT-011</t>
  </si>
  <si>
    <t xml:space="preserve">
command_input_short_list_Turin_P1.yaml  can  found here
https://confluence.amd.com/download/attachments/772258342/command_input_short_list_Turin.yaml?api=v2</t>
  </si>
  <si>
    <t>DSM IRR
below commands are in 1 file run_cmds.yaml
- python3 cdl_it_executor.py --time 15m --sleepTime 0s --numberOfIterations 3000 --dsmCyclesOn 300 --runCPU All --runCommands short --numberOfCommands 23 --commandFile command_input_short_list_Turin_P2.yaml --testerName amit --workStream 6 --dsmIRR --clearDSM 5
Command to run the session: python3 cdl_it_executor.py --multiProcess --runScriptFile run_cmds.yaml</t>
  </si>
  <si>
    <t>DSM-IRR-FEAT-012</t>
  </si>
  <si>
    <t xml:space="preserve">
command_input_short_list_Turin_P1.yaml  can  found here
https://confluence.amd.com/download/attachments/772258342/command_input_short_list_Turin.yaml?api=v2</t>
  </si>
  <si>
    <t>DSM IRR
below commands are in 1 file run_cmds.yaml
- python3 cdl_it_executor.py --time 15m --sleepTime 0s --numberOfIterations 3000 --dsmCyclesOn 300 --runCPU All --runCommands long --numberOfCommands 23 --commandFile command_input_short_list_Turin_P1.yaml --testerName amit --workStream 6 --dsmIRR --clearDSM 5
Command to run the session: python3 cdl_it_executor.py --multiProcess --runScriptFile run_cmds.yaml</t>
  </si>
  <si>
    <t>DSM-IRR-FEAT-013</t>
  </si>
  <si>
    <t>DSM IRR
below commands are in 1 file run_cmds.yaml
- python3 cdl_it_executor.py --time 15m --sleepTime 0s --numberOfIterations 3000 --dsmCyclesOn 300 --runCPU All --runCommands long --numberOfCommands 23 --commandFile command_input_short_list_Turin_P2.yaml --testerName amit --workStream 6 --dsmIRR --clearDSM 5
Command to run the session: python3 cdl_it_executor.py --multiProcess --runScriptFile run_cmds.yaml</t>
  </si>
  <si>
    <t>DSM-IRR-FEAT-014</t>
  </si>
  <si>
    <t>DSM IRR
below commands are in 1 file run_cmds.yaml
- python3 cdl_it_executor.py --time 15m --sleepTime 0s --numberOfIterations 3000 --dsmCyclesOn 300 --runCPU All --runCommands short --numberOfCommands 23 --commandFile command_input_short_list_Turin.yaml --testerName amit --workStream 6 --dsmIRR --clearDSM 5
Command to run the session: python3 cdl_it_executor.py --multiProcess --runScriptFile run_cmds.yaml</t>
  </si>
  <si>
    <t>DSM-IRR-FEAT-015</t>
  </si>
  <si>
    <t xml:space="preserve">DSM IRR
below commands are in 1 file run_cmds.yaml
- python3 cdl_it_executor.py --time 15m --sleepTime 0s --numberOfIterations 3000 --dsmCyclesOn 300 --runCPU All --runCommands long --numberOfCommands 23 --commandFile command_input_short_list_Turin.yaml --testerName amit --workStream 6 --dsmIRR --clearDSM 5
Command to run the session: python3 cdl_it_executor.py --multiProcess --runScriptFile run_cmds.yaml
</t>
  </si>
  <si>
    <t>MSR-DSM-IRR-FEAT-016</t>
  </si>
  <si>
    <t>WS.IRR.CDL.MSR+DSM</t>
  </si>
  <si>
    <t xml:space="preserve">
command_input_short_list_Turin_P1.yaml  can  found here
https://confluence.amd.com/download/attachments/772258342/command_input_short_list_Turin.yaml?api=v2
</t>
  </si>
  <si>
    <t>MSR + DSM IRR 
below commands are in 1 file run_cmds.yaml
- python3 cdl_it_executor.py --time 15m --sleepTime 0s --numberOfIterations 3000 --runCPU T0 --runCommands short --numberOfCommands 20 --shuffleThreads --commandFile command_input_short_list_Turin.yaml --testerName "UserName" --workStream 6 --dsmIRR --clearDSM 20 --msrIRR  --restoreMSR 5 --chickenBitsFile /rdwrmsr_20231030/cfg/rdwrmsr_NVA0_ChickenBit_High.lst
- python3 cdl_it_executor.py --time 15m --sleepTime 0s --numberOfIterations 1000 --runCPU T1 --runCommands long --numberOfCommands 1 --shuffleThreads --commandFile command_input_short_list_Turin.yaml --testerName "UserName" --workStream 2
Command to run the session: python3 cdl_it_executor.py --multiProcess --runScriptFile run_cmds.yaml</t>
  </si>
  <si>
    <t>MSR-DSM-IRR-FEAT-017</t>
  </si>
  <si>
    <t xml:space="preserve">
command_input_short_list_Turin_P1.yaml  can  found here
https://confluence.amd.com/download/attachments/772258342/command_input_short_list_Turin.yaml?api=v2
</t>
  </si>
  <si>
    <t>MSR + DSM IRR 
below commands are in 1 file run_cmds.yaml
- python3 cdl_it_executor.py --time 15m --sleepTime 0s --numberOfIterations 3000 --runCPU All --runCommands short --numberOfCommands 20 --shuffleThreads --commandFile command_input_short_list_Turin.yaml --testerName "UserName" --workStream 6 --dsmIRR --clearDSM 20 --msrIRR  --restoreMSR 5 --chickenBitsFile /rdwrmsr_20231030/cfg/rdwrmsr_NVA0_ChickenBit_High.lst
Command to run the session: python3 cdl_it_executor.py --multiProcess --runScriptFile run_cmds.yaml</t>
  </si>
  <si>
    <t>MSR-DSM-IRR-FEAT-018</t>
  </si>
  <si>
    <t xml:space="preserve">
Command to run the session: python3 cdl_it_executor.py --multiProcess --runScriptFile run_cmds.yaml</t>
  </si>
  <si>
    <t xml:space="preserve">MSR + DSM IRR 
below commands are in 1 file run_cmds.yaml
- python3 cdl_it_executor.py --time 15m --sleepTime 0s --numberOfIterations 3000 --runCPU All --runCommands short --numberOfCommands 20 --shuffleThreads --commandFile command_input_short_list_Turin_P1.yaml --testerName "UserName" --workStream 6 --dsmIRR --clearDSM 20 --msrIRR  --restoreMSR 5 --chickenBitsFile /rdwrmsr_20231030/cfg/rdwrmsr_NVA0_ChickenBit_High.lst
</t>
  </si>
  <si>
    <t>MSR-DSM-RR-FEAT-019</t>
  </si>
  <si>
    <t>MSR + DSM IRR 
below commands are in 1 file run_cmds.yaml
- python3 cdl_it_executor.py --time 15m --sleepTime 0s --numberOfIterations 3000 --runCPU All --runCommands short --numberOfCommands 20 --shuffleThreads --commandFile command_input_short_list_Turin_P2.yaml --testerName "UserName" --workStream 6 --dsmIRR --clearDSM 20 --msrIRR  --restoreMSR 5 --chickenBitsFile /rdwrmsr_20231030/cfg/rdwrmsr_NVA0_ChickenBit_High.lst
Command to run the session: python3 cdl_it_executor.py --multiProcess --runScriptFile run_cmds.yaml</t>
  </si>
  <si>
    <t>MSR-DSM-IRR-FEAT-020</t>
  </si>
  <si>
    <t>MSR + DSM IRR 
below commands are in 1 file run_cmds.yaml
- python3 cdl_it_executor.py --time 15m --sleepTime 0s --numberOfIterations 3000 --runCPU All --runCommands long --numberOfCommands 20 --shuffleThreads --commandFile command_input_short_list_Turin.yaml --testerName "UserName" --workStream 6 --dsmIRR --clearDSM 20 --msrIRR  --restoreMSR 5 --chickenBitsFile /rdwrmsr_20231030/cfg/rdwrmsr_NVA0_ChickenBit_High.lst
Command to run the session: python3 cdl_it_executor.py --multiProcess --runScriptFile run_cmds.yaml</t>
  </si>
  <si>
    <t>MSR-DSM-IRR-FEAT-021</t>
  </si>
  <si>
    <t xml:space="preserve">
command_input_short_list_Turin_P1.yaml  can  found here
https://confluence.amd.com/download/attachments/772258342/command_input_short_list_Turin.yaml?api=v2
</t>
  </si>
  <si>
    <t xml:space="preserve">MSR + DSM IRR 
below commands are in 1 file run_cmds.yaml
- python3 cdl_it_executor.py --time 15m --sleepTime 0s --numberOfIterations 3000 --runCPU All --runCommands long --numberOfCommands 20 --shuffleThreads --commandFile command_input_short_list_Turin_P1.yaml --testerName "UserName" --workStream 6 --dsmIRR --clearDSM 20 --msrIRR  --restoreMSR 5 --chickenBitsFile /rdwrmsr_20231030/cfg/rdwrmsr_NVA0_ChickenBit_High.lst
Command to run the session: python3 cdl_it_executor.py --multiProcess --runScriptFile run_cmds.yaml
</t>
  </si>
  <si>
    <t>MSR-DSM-IRR-FEAT-022</t>
  </si>
  <si>
    <t>MSR + DSM IRR 
below commands are in 1 file run_cmds.yaml
- python3 cdl_it_executor.py --time 15m --sleepTime 0s --numberOfIterations 3000 --runCPU All --runCommands long --numberOfCommands 20 --shuffleThreads --commandFile command_input_short_list_Turin_P2.yaml --testerName "UserName" --workStream 6 --dsmIRR --clearDSM 20 --msrIRR  --restoreMSR 5 --chickenBitsFile /rdwrmsr_20231030/cfg/rdwrmsr_NVA0_ChickenBit_High.lst</t>
  </si>
  <si>
    <t>IT-FEAT-020</t>
  </si>
  <si>
    <t>WS.IT.CDL.HDRT</t>
  </si>
  <si>
    <t>HDRT.stf</t>
  </si>
  <si>
    <t>Cobra</t>
  </si>
  <si>
    <t>IT-FEAT-021</t>
  </si>
  <si>
    <t>WS.IT.CDL.CCX_Exerciser</t>
  </si>
  <si>
    <t>CCX_Exerciser.stf
CCX_Exerciser_fusion.stf
CCX_Exerciser_random.stf
CCX_Exerciser_clbl.stf
CCX_Exerciser_hdrt.stf
CCX_Exerciser_retq.stf
CCX_Exerciser_diag_instances.stf
CCX_Exerciser_lsdc.stf
CCX_Exerciser_stlf.stf</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</si>
  <si>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</si>
  <si>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</si>
  <si>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</si>
  <si>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</si>
  <si>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SEC-08</t>
  </si>
  <si>
    <t>BUG-REGRESSION-15</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</si>
  <si>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</si>
  <si>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</si>
  <si>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</si>
  <si>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</si>
  <si>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</si>
  <si>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P4</t>
  </si>
  <si>
    <t>Total # of Features</t>
  </si>
  <si>
    <t>Total # of P1</t>
  </si>
  <si>
    <t>Total # of P2</t>
  </si>
  <si>
    <t>Total # of P3</t>
  </si>
  <si>
    <t>Total # of Diagnostics</t>
  </si>
  <si>
    <t>Total # of Driver</t>
  </si>
  <si>
    <t>Total # of IPSE</t>
  </si>
  <si>
    <t>Total # of N/A</t>
  </si>
  <si>
    <t>Total # of Legacy</t>
  </si>
  <si>
    <t>Total # of Delta</t>
  </si>
  <si>
    <t>Total # of New</t>
  </si>
  <si>
    <t>WS.CDL.CPU.CPUID Values</t>
  </si>
  <si>
    <t>WS.CDL.IC.ICMaskAddrExt</t>
  </si>
  <si>
    <t>WS.CDL.CH.CacheExerciser</t>
  </si>
  <si>
    <t>WS.Storm.CH.InterruptibleWBINVD</t>
  </si>
  <si>
    <t>WS.CDL.Ucode.Setcnt</t>
  </si>
  <si>
    <t>WS.IT.CDL.CrossSMTPair.IT_Group_4</t>
  </si>
  <si>
    <t>WS.IRR.CDL.BP_CFG_Bit_10</t>
  </si>
  <si>
    <t>WS.IRR.CDL.BP_CFG_Bit_09</t>
  </si>
  <si>
    <t>WS.IRR.CDL.BP_CFG_Bit_11</t>
  </si>
  <si>
    <t>WS.IRR.CDL.BP_CFG_Bit_06</t>
  </si>
  <si>
    <t>WS.IRR.CDL.DE_TKN_CFG_Bit_50_45</t>
  </si>
  <si>
    <t>WS.IRR.CDL.DE_TKN_CFG_Bit_08_10</t>
  </si>
  <si>
    <t>WS.IRR.CDL.DE_TKN_CFG_Bit_57_51</t>
  </si>
  <si>
    <t>WS.IRR.CDL.IC_CFG_Bit_5</t>
  </si>
  <si>
    <t>WS.IRR.CDL.IC_CFG_Bit_26</t>
  </si>
  <si>
    <t>WS.IRR.CDL.IC_CFG_Bit_25</t>
  </si>
  <si>
    <t>WS.IRR.CDL.IC_CFG_Bit_2</t>
  </si>
  <si>
    <t>WS.IRR.CDL.IC_CFG_Bit_20_13</t>
  </si>
  <si>
    <t>WS.IRR.CDL.IC_CFG_Bit_38_35</t>
  </si>
  <si>
    <t>WS.IRR.CDL.LS_CFG_Bit_60</t>
  </si>
  <si>
    <t>WS.IRR.CDL.LS_CFG3_Bit_30</t>
  </si>
  <si>
    <t>WS.IRR.CDL.EX_CFG_Bit_52</t>
  </si>
  <si>
    <t>WS.IRR.CDL.EX_CFG_Bit_24</t>
  </si>
  <si>
    <t>WS.IRR.CDL.CH_L2_CFG0_Bit_0</t>
  </si>
  <si>
    <t>MSR-DSM-IRR-FEAT-019</t>
  </si>
  <si>
    <t>WS.IRR.CDL.CH_L2_CFG0_Bit_1</t>
  </si>
  <si>
    <t>WS.IRR.CDL.CH_L2_CFG0_Bit_2</t>
  </si>
  <si>
    <t>WS.IRR.CDL.CH_L2_CFG0_Bit_3</t>
  </si>
  <si>
    <t>WS.IRR.CDL.CH_L2_CFG0_Bit_4</t>
  </si>
  <si>
    <t>PLEASE CAREFULLY READ 'Usage' tab’s descriptions and instructions of all columns and tabs</t>
  </si>
  <si>
    <t>Execution is complete, No plan to rerun, the coverage is reuse from BRH/GNR as the core remains the same.  </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</si>
  <si>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</si>
  <si>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ETA  Comments</t>
  </si>
  <si>
    <t>No plan to rerun. The coverage is reuse from Stones as it is same Zen4 core</t>
  </si>
  <si>
    <t>{=TEXTJOIN("",TRUE,IF(ISNUMBER(SEARCH($A21,'Diags Raw Data'!$A$6:$A$3768)),CONCATENATE('Diags Raw Data'!$H$6:$H$3768,", "),""))}</t>
  </si>
  <si>
    <t>NA</t>
  </si>
  <si>
    <t>Not POR</t>
  </si>
  <si>
    <t>Core3.1.131_Rep_Instructions_Exerciser_On_Heavy_Memory.stf _x000D_
Core3.1.131_Rep_Instructions_Exerciser_On_Heavy_Memory_WC.stf _x000D_
Core3.1.131_Rep_Instructions_Exerciser.stf_x000D_
Core3.1.131_Rep_Instructions_Exerciser_On_Heavy_Memory_UC.stf _x000D_
Core3.1.131_Rep_Instructions_Exerciser_On_Heavy_Memory_WT.stf_x000D_
Rep_Instructions_Exerciser_STOS.stf</t>
  </si>
  <si>
    <t xml:space="preserve">Write_Combining_Buffer.stf
, </t>
  </si>
  <si>
    <t xml:space="preserve">BP01_Branch_Predictor_Stress.stf_x000D_
BP02_Branch_Predictor_Stress.stf   _x000D_
Core_Stress_BP_V3.stf_x000D_
Core_Stress_BP_V3_BP_BTB.stf_x000D_
Core_Stress_BP_V3_HDRT.stf_x000D_
Core_Stress_BP_V3_LB.stf_x000D_
Core_Stress_BP_V3_SMC_Btb_pair.stf_x000D_
Core_Stress_BP_V3_SMC_Statecheck.stf_x000D_
Core_Stress_BP_V3_back_to_back_branches.stf_x000D_
Core_Stress_BP_V3_nested_calls.stf_x000D_
Core_Stress_BP_V3_BP_BTB.stf_x000D_
Core_Stress_BP_V3_Nested_BP_BTB.stf_x000D_
Core_Stress_BP_V3_SMC_BP_BTB.stf_x000D_
Core_Stress_BP_V3_TPAIR_BP_BTB.stf </t>
  </si>
  <si>
    <t>No plan to rerun. The coverage is reuse from BRH/GNR as the core remains same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</si>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</sst>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2" fillId="0" borderId="0" applyNumberFormat="0" applyFill="0" applyBorder="0" applyAlignment="0" applyProtection="0"/>
  </cellStyleXfs>
  <cellXfs count="75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29" xfId="0" applyFill="1" applyBorder="1" applyAlignment="1" applyProtection="1">
      <alignment horizontal="center"/>
      <protection locked="0"/>
    </xf>
    <xf numFmtId="0" fontId="18" fillId="52" borderId="70" xfId="0" applyFont="1" applyFill="1" applyBorder="1" applyAlignment="1" applyProtection="1">
      <alignment horizontal="left" vertical="center" wrapText="1"/>
      <protection locked="0"/>
    </xf>
    <xf numFmtId="0" fontId="18" fillId="52" borderId="70" xfId="0" applyFont="1" applyFill="1" applyBorder="1" applyAlignment="1" applyProtection="1">
      <alignment horizontal="left" vertical="center"/>
      <protection locked="0"/>
    </xf>
    <xf numFmtId="0" fontId="18" fillId="52" borderId="10" xfId="0" applyFont="1" applyFill="1" applyBorder="1" applyAlignment="1" applyProtection="1">
      <alignment horizontal="center" vertical="center" wrapText="1"/>
      <protection locked="0"/>
    </xf>
    <xf numFmtId="0" fontId="18" fillId="52" borderId="10" xfId="0" applyFont="1" applyFill="1" applyBorder="1" applyAlignment="1" applyProtection="1">
      <alignment horizontal="left" vertical="center" wrapText="1"/>
      <protection locked="0"/>
    </xf>
    <xf numFmtId="0" fontId="49" fillId="52" borderId="81" xfId="0" applyFont="1" applyFill="1" applyBorder="1" applyAlignment="1">
      <alignment vertical="center"/>
    </xf>
    <xf numFmtId="0" fontId="49" fillId="52" borderId="47" xfId="0" applyFont="1" applyFill="1" applyBorder="1" applyAlignment="1">
      <alignment vertical="center" wrapText="1"/>
    </xf>
    <xf numFmtId="0" fontId="49" fillId="52" borderId="81" xfId="0" applyFont="1" applyFill="1" applyBorder="1" applyAlignment="1">
      <alignment vertical="center" wrapText="1"/>
    </xf>
    <xf numFmtId="0" fontId="0" fillId="0" borderId="0" xfId="0" applyAlignment="1">
      <alignment horizontal="left" vertical="top"/>
    </xf>
    <xf numFmtId="0" fontId="18" fillId="52" borderId="13" xfId="0" applyFont="1" applyFill="1" applyBorder="1" applyAlignment="1" applyProtection="1">
      <alignment vertical="center"/>
      <protection locked="0"/>
    </xf>
    <xf numFmtId="0" fontId="18" fillId="52" borderId="37" xfId="0" applyFont="1" applyFill="1" applyBorder="1" applyAlignment="1" applyProtection="1">
      <alignment vertical="center" wrapText="1"/>
      <protection locked="0"/>
    </xf>
    <xf numFmtId="0" fontId="18" fillId="52" borderId="19" xfId="0" applyFont="1" applyFill="1" applyBorder="1" applyAlignment="1" applyProtection="1">
      <alignment vertical="center"/>
      <protection locked="0"/>
    </xf>
    <xf numFmtId="0" fontId="18" fillId="52" borderId="19" xfId="0" applyFont="1" applyFill="1" applyBorder="1" applyAlignment="1" applyProtection="1">
      <alignment horizontal="center" vertical="center"/>
      <protection locked="0"/>
    </xf>
    <xf numFmtId="0" fontId="18" fillId="52" borderId="29" xfId="0" applyFont="1" applyFill="1" applyBorder="1" applyAlignment="1" applyProtection="1">
      <alignment horizontal="left" vertical="center" wrapText="1"/>
      <protection locked="0"/>
    </xf>
    <xf numFmtId="0" fontId="18" fillId="52" borderId="19" xfId="0" applyFont="1" applyFill="1" applyBorder="1" applyAlignment="1" applyProtection="1">
      <alignment vertical="center" wrapText="1"/>
      <protection locked="0"/>
    </xf>
    <xf numFmtId="0" fontId="18" fillId="40" borderId="19" xfId="0" applyFont="1" applyFill="1" applyBorder="1" applyAlignment="1">
      <alignment horizontal="center" vertical="center"/>
    </xf>
    <xf numFmtId="0" fontId="18" fillId="52" borderId="19" xfId="0" applyFont="1" applyFill="1" applyBorder="1" applyAlignment="1" applyProtection="1">
      <alignment horizontal="left" vertical="center" wrapText="1"/>
      <protection locked="0"/>
    </xf>
    <xf numFmtId="43" fontId="18" fillId="52" borderId="83" xfId="44" applyFont="1" applyFill="1" applyBorder="1" applyAlignment="1" applyProtection="1">
      <alignment horizontal="center" vertical="center"/>
      <protection locked="0"/>
    </xf>
    <xf numFmtId="9" fontId="18" fillId="52" borderId="37" xfId="0" applyNumberFormat="1" applyFont="1" applyFill="1" applyBorder="1" applyAlignment="1" applyProtection="1">
      <alignment horizontal="center" vertical="center"/>
      <protection locked="0"/>
    </xf>
    <xf numFmtId="0" fontId="18" fillId="52" borderId="19" xfId="42" applyNumberFormat="1" applyFont="1" applyFill="1" applyBorder="1" applyAlignment="1" applyProtection="1">
      <alignment horizontal="center" vertical="center"/>
      <protection locked="0"/>
    </xf>
    <xf numFmtId="0" fontId="18" fillId="52" borderId="43" xfId="0" applyFont="1" applyFill="1" applyBorder="1" applyAlignment="1" applyProtection="1">
      <alignment vertical="center"/>
      <protection locked="0"/>
    </xf>
    <xf numFmtId="1" fontId="18" fillId="52" borderId="19" xfId="0" applyNumberFormat="1" applyFont="1" applyFill="1" applyBorder="1" applyAlignment="1" applyProtection="1">
      <alignment horizontal="center" vertical="center"/>
      <protection locked="0"/>
    </xf>
    <xf numFmtId="166" fontId="18" fillId="41" borderId="19" xfId="0" applyNumberFormat="1" applyFont="1" applyFill="1" applyBorder="1" applyAlignment="1">
      <alignment horizontal="center" vertical="center"/>
    </xf>
    <xf numFmtId="1" fontId="18" fillId="52" borderId="83" xfId="0" applyNumberFormat="1" applyFont="1" applyFill="1" applyBorder="1" applyAlignment="1" applyProtection="1">
      <alignment vertical="center"/>
      <protection locked="0"/>
    </xf>
    <xf numFmtId="1" fontId="18" fillId="33" borderId="37" xfId="0" applyNumberFormat="1" applyFont="1" applyFill="1" applyBorder="1" applyAlignment="1">
      <alignment horizontal="center" vertical="center"/>
    </xf>
    <xf numFmtId="166" fontId="18" fillId="33" borderId="19" xfId="0" applyNumberFormat="1" applyFont="1" applyFill="1" applyBorder="1" applyAlignment="1">
      <alignment horizontal="center" vertical="center"/>
    </xf>
    <xf numFmtId="0" fontId="18" fillId="33" borderId="19" xfId="0" applyFont="1" applyFill="1" applyBorder="1" applyAlignment="1">
      <alignment vertical="center"/>
    </xf>
    <xf numFmtId="0" fontId="19" fillId="43" borderId="11" xfId="0" applyFont="1" applyFill="1" applyBorder="1" applyAlignment="1" applyProtection="1">
      <alignment horizontal="left" vertical="center" wrapText="1"/>
      <protection locked="0"/>
    </xf>
    <xf numFmtId="0" fontId="19" fillId="43" borderId="12" xfId="0" applyFont="1" applyFill="1" applyBorder="1" applyAlignment="1" applyProtection="1">
      <alignment horizontal="left" vertical="center"/>
      <protection locked="0"/>
    </xf>
    <xf numFmtId="0" fontId="19" fillId="53" borderId="12" xfId="0" applyFont="1" applyFill="1" applyBorder="1" applyAlignment="1" applyProtection="1">
      <alignment horizontal="left" vertical="center"/>
      <protection locked="0"/>
    </xf>
    <xf numFmtId="0" fontId="38" fillId="43" borderId="12" xfId="0" applyFont="1" applyFill="1" applyBorder="1" applyAlignment="1" applyProtection="1">
      <alignment horizontal="left" vertical="center"/>
      <protection locked="0"/>
    </xf>
    <xf numFmtId="0" fontId="19" fillId="5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41" fillId="40" borderId="58" xfId="0" applyFont="1" applyFill="1" applyBorder="1" applyAlignment="1" applyProtection="1">
      <alignment horizontal="center" vertical="center"/>
      <protection locked="0"/>
    </xf>
    <xf numFmtId="0" fontId="41" fillId="40" borderId="59" xfId="0" applyFont="1" applyFill="1" applyBorder="1" applyAlignment="1" applyProtection="1">
      <alignment vertical="center"/>
      <protection locked="0"/>
    </xf>
    <xf numFmtId="166" fontId="41" fillId="42" borderId="72" xfId="0" applyNumberFormat="1" applyFont="1" applyFill="1" applyBorder="1" applyAlignment="1" applyProtection="1">
      <alignment horizontal="center" vertical="center"/>
      <protection locked="0"/>
    </xf>
    <xf numFmtId="0" fontId="41" fillId="42" borderId="58" xfId="0" applyFont="1" applyFill="1" applyBorder="1" applyAlignment="1" applyProtection="1">
      <alignment horizontal="center" vertical="center"/>
      <protection locked="0"/>
    </xf>
    <xf numFmtId="166" fontId="41" fillId="42" borderId="61" xfId="42" applyNumberFormat="1" applyFont="1" applyFill="1" applyBorder="1" applyAlignment="1" applyProtection="1">
      <alignment horizontal="center" vertical="center"/>
      <protection locked="0"/>
    </xf>
    <xf numFmtId="0" fontId="41" fillId="41" borderId="60" xfId="0" applyFont="1" applyFill="1" applyBorder="1" applyAlignment="1" applyProtection="1">
      <alignment vertical="center"/>
      <protection locked="0"/>
    </xf>
    <xf numFmtId="0" fontId="41" fillId="41" borderId="58" xfId="0" applyFont="1" applyFill="1" applyBorder="1" applyAlignment="1" applyProtection="1">
      <alignment horizontal="center" vertical="center"/>
      <protection locked="0"/>
    </xf>
    <xf numFmtId="1" fontId="41" fillId="41" borderId="58" xfId="0" applyNumberFormat="1" applyFont="1" applyFill="1" applyBorder="1" applyAlignment="1" applyProtection="1">
      <alignment horizontal="center" vertical="center"/>
      <protection locked="0"/>
    </xf>
    <xf numFmtId="166" fontId="41" fillId="41" borderId="58" xfId="0" applyNumberFormat="1" applyFont="1" applyFill="1" applyBorder="1" applyAlignment="1" applyProtection="1">
      <alignment horizontal="center" vertical="center"/>
      <protection locked="0"/>
    </xf>
    <xf numFmtId="1" fontId="41" fillId="41" borderId="59" xfId="0" applyNumberFormat="1" applyFont="1" applyFill="1" applyBorder="1" applyAlignment="1">
      <alignment vertical="center"/>
    </xf>
    <xf numFmtId="1" fontId="41" fillId="33" borderId="60" xfId="0" applyNumberFormat="1" applyFont="1" applyFill="1" applyBorder="1" applyAlignment="1" applyProtection="1">
      <alignment horizontal="center" vertical="center"/>
      <protection locked="0"/>
    </xf>
    <xf numFmtId="1" fontId="41" fillId="33" borderId="58" xfId="0" applyNumberFormat="1" applyFont="1" applyFill="1" applyBorder="1" applyAlignment="1" applyProtection="1">
      <alignment horizontal="center" vertical="center"/>
      <protection locked="0"/>
    </xf>
    <xf numFmtId="166" fontId="41" fillId="33" borderId="58" xfId="0" applyNumberFormat="1" applyFont="1" applyFill="1" applyBorder="1" applyAlignment="1" applyProtection="1">
      <alignment horizontal="center" vertical="center"/>
      <protection locked="0"/>
    </xf>
    <xf numFmtId="0" fontId="41" fillId="33" borderId="58" xfId="0" applyFont="1" applyFill="1" applyBorder="1" applyAlignment="1" applyProtection="1">
      <alignment vertical="center"/>
      <protection locked="0"/>
    </xf>
    <xf numFmtId="0" fontId="0" fillId="0" borderId="10" xfId="0" applyBorder="1" applyAlignment="1" applyProtection="1">
      <alignment vertical="center"/>
      <protection locked="0"/>
    </xf>
    <xf numFmtId="0" fontId="0" fillId="0" borderId="12" xfId="0" applyBorder="1" applyAlignment="1" applyProtection="1">
      <alignment vertical="center"/>
      <protection locked="0"/>
    </xf>
    <xf numFmtId="0" fontId="0" fillId="0" borderId="15" xfId="0" applyBorder="1" applyAlignment="1" applyProtection="1">
      <alignment vertical="center"/>
      <protection locked="0"/>
    </xf>
    <xf numFmtId="0" fontId="41" fillId="33" borderId="61" xfId="0" applyFont="1" applyFill="1" applyBorder="1" applyAlignment="1" applyProtection="1">
      <alignment vertical="center"/>
      <protection locked="0"/>
    </xf>
    <xf numFmtId="0" fontId="18" fillId="52" borderId="83" xfId="0" applyFont="1" applyFill="1" applyBorder="1" applyAlignment="1" applyProtection="1">
      <alignment vertical="center"/>
      <protection locked="0"/>
    </xf>
    <xf numFmtId="0" fontId="18" fillId="52" borderId="57" xfId="0" applyFont="1" applyFill="1" applyBorder="1" applyAlignment="1" applyProtection="1">
      <alignment vertical="center"/>
      <protection locked="0"/>
    </xf>
    <xf numFmtId="0" fontId="0" fillId="33" borderId="40" xfId="0" applyFill="1" applyBorder="1" applyAlignment="1" applyProtection="1">
      <alignment vertical="center"/>
      <protection locked="0"/>
    </xf>
    <xf numFmtId="0" fontId="41" fillId="33" borderId="41" xfId="0" applyFont="1" applyFill="1" applyBorder="1" applyAlignment="1" applyProtection="1">
      <alignment vertical="center"/>
      <protection locked="0"/>
    </xf>
    <xf numFmtId="0" fontId="0" fillId="0" borderId="14" xfId="0" applyBorder="1" applyAlignment="1" applyProtection="1">
      <alignment vertical="center"/>
      <protection locked="0"/>
    </xf>
    <xf numFmtId="0" fontId="0" fillId="0" borderId="13" xfId="0" applyBorder="1" applyAlignment="1" applyProtection="1">
      <alignment vertical="center"/>
      <protection locked="0"/>
    </xf>
    <xf numFmtId="0" fontId="0" fillId="0" borderId="23" xfId="0" applyBorder="1" applyAlignment="1" applyProtection="1">
      <alignment vertical="center"/>
      <protection locked="0"/>
    </xf>
    <xf numFmtId="0" fontId="0" fillId="0" borderId="24" xfId="0" applyBorder="1" applyAlignment="1" applyProtection="1">
      <alignment vertical="center"/>
      <protection locked="0"/>
    </xf>
    <xf numFmtId="0" fontId="0" fillId="0" borderId="36" xfId="0" applyBorder="1" applyAlignment="1" applyProtection="1">
      <alignment vertical="center"/>
      <protection locked="0"/>
    </xf>
    <xf numFmtId="0" fontId="0" fillId="0" borderId="19" xfId="0" applyBorder="1" applyAlignment="1" applyProtection="1">
      <alignment vertical="center"/>
      <protection locked="0"/>
    </xf>
    <xf numFmtId="0" fontId="0" fillId="0" borderId="20" xfId="0" applyBorder="1" applyAlignment="1" applyProtection="1">
      <alignment vertical="center"/>
      <protection locked="0"/>
    </xf>
    <xf numFmtId="0" fontId="0" fillId="0" borderId="11" xfId="0" applyBorder="1" applyAlignment="1" applyProtection="1">
      <alignment vertical="center"/>
      <protection locked="0"/>
    </xf>
    <xf numFmtId="0" fontId="0" fillId="0" borderId="37" xfId="0" applyBorder="1" applyAlignment="1" applyProtection="1">
      <alignment vertical="center"/>
      <protection locked="0"/>
    </xf>
    <xf numFmtId="0" fontId="0" fillId="0" borderId="11" xfId="0" applyBorder="1" applyAlignment="1" applyProtection="1">
      <alignment horizontal="left" vertical="center" wrapText="1"/>
      <protection locked="0"/>
    </xf>
    <xf numFmtId="0" fontId="0" fillId="0" borderId="12" xfId="0" applyBorder="1" applyAlignment="1" applyProtection="1">
      <alignment horizontal="left" vertical="center"/>
      <protection locked="0"/>
    </xf>
    <xf numFmtId="0" fontId="0" fillId="0" borderId="12" xfId="0" applyBorder="1" applyAlignment="1" applyProtection="1">
      <alignment horizontal="left" vertical="center" wrapText="1"/>
      <protection locked="0"/>
    </xf>
    <xf numFmtId="0" fontId="0" fillId="0" borderId="15" xfId="0" applyBorder="1" applyAlignment="1" applyProtection="1">
      <alignment horizontal="left" vertical="center"/>
      <protection locked="0"/>
    </xf>
    <xf numFmtId="0" fontId="16" fillId="43" borderId="55" xfId="0" applyFont="1" applyFill="1" applyBorder="1" applyAlignment="1">
      <alignment horizontal="center" vertical="center"/>
    </xf>
    <xf numFmtId="1" fontId="10" fillId="6" borderId="5" xfId="10" applyNumberFormat="1" applyAlignment="1">
      <alignment horizontal="center" vertical="center"/>
    </xf>
    <xf numFmtId="1" fontId="18" fillId="52" borderId="57" xfId="0" applyNumberFormat="1" applyFont="1" applyFill="1" applyBorder="1" applyAlignment="1" applyProtection="1">
      <alignment vertical="center" wrapText="1"/>
      <protection locked="0"/>
    </xf>
    <xf numFmtId="0" fontId="52" fillId="52" borderId="10" xfId="45" applyFill="1" applyBorder="1" applyAlignment="1" applyProtection="1">
      <alignment horizontal="left" vertical="center" wrapText="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11" xfId="0" applyFont="1" applyFill="1" applyBorder="1" applyAlignment="1" applyProtection="1">
      <alignment horizontal="center" vertical="center" wrapText="1"/>
      <protection locked="0"/>
    </xf>
    <xf numFmtId="0" fontId="39" fillId="51" borderId="12" xfId="0" applyFont="1" applyFill="1" applyBorder="1" applyAlignment="1" applyProtection="1">
      <alignment horizontal="center" vertical="center" wrapText="1"/>
      <protection locked="0"/>
    </xf>
    <xf numFmtId="0" fontId="39" fillId="51" borderId="4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41" fillId="40" borderId="55" xfId="0" applyFont="1" applyFill="1" applyBorder="1" applyAlignment="1" applyProtection="1">
      <alignment horizontal="center" vertical="center" wrapText="1"/>
      <protection locked="0"/>
    </xf>
    <xf numFmtId="0" fontId="41" fillId="40" borderId="75" xfId="0" applyFont="1" applyFill="1" applyBorder="1" applyAlignment="1" applyProtection="1">
      <alignment horizontal="center" vertical="center" wrapText="1"/>
      <protection locked="0"/>
    </xf>
    <xf numFmtId="0" fontId="41" fillId="40" borderId="72"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5"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166" fontId="41" fillId="33" borderId="18" xfId="0" applyNumberFormat="1"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8"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nfluence.amd.com/Users/amitnegi/Documents/Office_current/Trackers_update_Format/Copy%20of%20MI300A_CCX_Diagnostics_Status%20Track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List Options"/>
      <sheetName val="Usage"/>
      <sheetName val="Revision History"/>
      <sheetName val="Feature Raw Data"/>
      <sheetName val="Diags Raw Data"/>
      <sheetName val="Sub-IP Block Summary"/>
      <sheetName val="Feature Summary"/>
      <sheetName val="Progress (WIP)"/>
      <sheetName val="Progress"/>
      <sheetName val="Lookup"/>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A2" t="str">
            <v>WK1</v>
          </cell>
        </row>
        <row r="3">
          <cell r="A3" t="str">
            <v>WK2</v>
          </cell>
        </row>
        <row r="4">
          <cell r="A4" t="str">
            <v>WK3</v>
          </cell>
        </row>
        <row r="5">
          <cell r="A5" t="str">
            <v>WK4</v>
          </cell>
        </row>
        <row r="6">
          <cell r="A6" t="str">
            <v>WK5</v>
          </cell>
        </row>
        <row r="7">
          <cell r="A7" t="str">
            <v>WK6</v>
          </cell>
        </row>
        <row r="8">
          <cell r="A8" t="str">
            <v>WK7</v>
          </cell>
        </row>
        <row r="9">
          <cell r="A9" t="str">
            <v>WK8</v>
          </cell>
        </row>
        <row r="10">
          <cell r="A10" t="str">
            <v>WK9</v>
          </cell>
        </row>
        <row r="11">
          <cell r="A11" t="str">
            <v>WK10</v>
          </cell>
        </row>
        <row r="12">
          <cell r="A12" t="str">
            <v>WK11</v>
          </cell>
        </row>
        <row r="13">
          <cell r="A13" t="str">
            <v>WK12</v>
          </cell>
        </row>
        <row r="14">
          <cell r="A14" t="str">
            <v>WK13</v>
          </cell>
        </row>
        <row r="15">
          <cell r="A15" t="str">
            <v>WK14</v>
          </cell>
        </row>
        <row r="16">
          <cell r="A16" t="str">
            <v>WK15</v>
          </cell>
        </row>
        <row r="17">
          <cell r="A17" t="str">
            <v>WK16</v>
          </cell>
        </row>
        <row r="18">
          <cell r="A18" t="str">
            <v>WK17</v>
          </cell>
        </row>
        <row r="19">
          <cell r="A19" t="str">
            <v>WK18</v>
          </cell>
        </row>
        <row r="20">
          <cell r="A20" t="str">
            <v>WK19</v>
          </cell>
        </row>
        <row r="21">
          <cell r="A21" t="str">
            <v>WK20</v>
          </cell>
        </row>
        <row r="22">
          <cell r="A22" t="str">
            <v>WK21</v>
          </cell>
        </row>
        <row r="23">
          <cell r="A23" t="str">
            <v>WK22</v>
          </cell>
        </row>
        <row r="24">
          <cell r="A24" t="str">
            <v>WK23</v>
          </cell>
        </row>
        <row r="25">
          <cell r="A25" t="str">
            <v>WK24</v>
          </cell>
        </row>
        <row r="26">
          <cell r="A26" t="str">
            <v>WK25</v>
          </cell>
        </row>
        <row r="27">
          <cell r="A27" t="str">
            <v>WK26</v>
          </cell>
        </row>
        <row r="28">
          <cell r="A28" t="str">
            <v>WK27</v>
          </cell>
        </row>
        <row r="29">
          <cell r="A29" t="str">
            <v>WK28</v>
          </cell>
        </row>
        <row r="30">
          <cell r="A30" t="str">
            <v>WK29</v>
          </cell>
        </row>
        <row r="31">
          <cell r="A31" t="str">
            <v>WK30</v>
          </cell>
        </row>
        <row r="32">
          <cell r="A32" t="str">
            <v>WK31</v>
          </cell>
        </row>
        <row r="33">
          <cell r="A33" t="str">
            <v>WK32</v>
          </cell>
        </row>
        <row r="34">
          <cell r="A34" t="str">
            <v>WK33</v>
          </cell>
        </row>
        <row r="35">
          <cell r="A35" t="str">
            <v>WK34</v>
          </cell>
        </row>
        <row r="36">
          <cell r="A36" t="str">
            <v>WK35</v>
          </cell>
        </row>
        <row r="37">
          <cell r="A37" t="str">
            <v>WK36</v>
          </cell>
        </row>
        <row r="38">
          <cell r="A38" t="str">
            <v>WK37</v>
          </cell>
        </row>
        <row r="39">
          <cell r="A39" t="str">
            <v>WK38</v>
          </cell>
        </row>
        <row r="40">
          <cell r="A40" t="str">
            <v>WK39</v>
          </cell>
        </row>
        <row r="41">
          <cell r="A41" t="str">
            <v>WK40</v>
          </cell>
        </row>
      </sheetData>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Negi, Amit" id="{E418D551-4EF1-4A82-89CA-5B761F4381C8}" userId="S::amitnegi@amd.com::38f59e66-7da1-4cc0-ad10-38fe75ce9e18"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68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A75" dT="2022-03-17T05:16:06.18" personId="{E418D551-4EF1-4A82-89CA-5B761F4381C8}" id="{1C3F85AF-62EC-4437-8253-C0CAD5CAAE26}">
    <text>Cache_Walker_L3 is still pending</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hyperlink" Target="https://confluence.amd.com/download/attachments/772258342/command_input_short_list_Turin.yaml?api=v2python3%20cdl_it_executor.py%20--time%2015m%20--sleepTime%2010s%20--numberOfIterations%201000%20--runCPU%20all%20--runCommands%20short%20--numberOfCommands%205%20--shuffleThreads%20--commandFile%20command_input_short_list_Turin.yaml%20--testerName%20&#8220;Prachi&#8221;%20--workStream%206"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4.4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42" activePane="bottomRight" state="frozen"/>
      <selection pane="bottomRight" activeCell="D9" sqref="D9"/>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53</v>
      </c>
      <c r="B1" s="609" t="s">
        <v>54</v>
      </c>
      <c r="C1" s="610"/>
      <c r="D1" s="610"/>
      <c r="E1" s="167" t="s">
        <v>55</v>
      </c>
      <c r="F1" s="167" t="s">
        <v>56</v>
      </c>
      <c r="G1" s="110" t="s">
        <v>57</v>
      </c>
    </row>
    <row r="2" spans="1:7">
      <c r="A2" s="116" t="s">
        <v>58</v>
      </c>
      <c r="B2" s="611" t="s">
        <v>59</v>
      </c>
      <c r="C2" s="612"/>
      <c r="D2" s="612"/>
      <c r="E2" s="293" t="s">
        <v>60</v>
      </c>
      <c r="F2" s="293" t="s">
        <v>61</v>
      </c>
      <c r="G2" s="324" t="s">
        <v>62</v>
      </c>
    </row>
    <row r="3" spans="1:7" s="81" customFormat="1">
      <c r="A3" s="201" t="s">
        <v>63</v>
      </c>
      <c r="B3" s="618" t="s">
        <v>64</v>
      </c>
      <c r="C3" s="619"/>
      <c r="D3" s="620"/>
      <c r="E3" s="80" t="s">
        <v>60</v>
      </c>
      <c r="F3" s="80" t="s">
        <v>61</v>
      </c>
      <c r="G3" s="325" t="s">
        <v>62</v>
      </c>
    </row>
    <row r="4" spans="1:7">
      <c r="A4" s="201" t="s">
        <v>65</v>
      </c>
      <c r="B4" s="615" t="s">
        <v>66</v>
      </c>
      <c r="C4" s="616"/>
      <c r="D4" s="617"/>
      <c r="E4" s="80" t="s">
        <v>67</v>
      </c>
      <c r="F4" s="80" t="s">
        <v>61</v>
      </c>
      <c r="G4" s="325" t="s">
        <v>62</v>
      </c>
    </row>
    <row r="5" spans="1:7">
      <c r="A5" s="117" t="s">
        <v>68</v>
      </c>
      <c r="B5" s="615" t="s">
        <v>69</v>
      </c>
      <c r="C5" s="616"/>
      <c r="D5" s="617"/>
      <c r="E5" s="80" t="s">
        <v>67</v>
      </c>
      <c r="F5" s="80" t="s">
        <v>61</v>
      </c>
      <c r="G5" s="325" t="s">
        <v>62</v>
      </c>
    </row>
    <row r="6" spans="1:7">
      <c r="A6" s="117" t="s">
        <v>70</v>
      </c>
      <c r="B6" s="615" t="s">
        <v>71</v>
      </c>
      <c r="C6" s="616"/>
      <c r="D6" s="617"/>
      <c r="E6" s="80" t="s">
        <v>72</v>
      </c>
      <c r="F6" s="80" t="s">
        <v>61</v>
      </c>
      <c r="G6" s="85"/>
    </row>
    <row r="7" spans="1:7" ht="15" thickBot="1">
      <c r="A7" s="118" t="s">
        <v>73</v>
      </c>
      <c r="B7" s="613" t="s">
        <v>74</v>
      </c>
      <c r="C7" s="614"/>
      <c r="D7" s="614"/>
      <c r="E7" s="86" t="s">
        <v>72</v>
      </c>
      <c r="F7" s="86"/>
      <c r="G7" s="87"/>
    </row>
    <row r="8" spans="1:7" s="84" customFormat="1" ht="15" thickBot="1">
      <c r="A8" s="115" t="s">
        <v>53</v>
      </c>
      <c r="B8" s="393" t="s">
        <v>1</v>
      </c>
      <c r="C8" s="167" t="s">
        <v>75</v>
      </c>
      <c r="D8" s="167" t="s">
        <v>54</v>
      </c>
      <c r="E8" s="167" t="s">
        <v>55</v>
      </c>
      <c r="F8" s="167" t="s">
        <v>56</v>
      </c>
      <c r="G8" s="110" t="s">
        <v>57</v>
      </c>
    </row>
    <row r="9" spans="1:7" ht="101.45">
      <c r="A9" s="586" t="s">
        <v>58</v>
      </c>
      <c r="B9" s="583" t="s">
        <v>76</v>
      </c>
      <c r="C9" s="331" t="s">
        <v>77</v>
      </c>
      <c r="D9" s="94" t="s">
        <v>78</v>
      </c>
      <c r="E9" s="94" t="s">
        <v>60</v>
      </c>
      <c r="F9" s="94" t="s">
        <v>79</v>
      </c>
      <c r="G9" s="394" t="s">
        <v>80</v>
      </c>
    </row>
    <row r="10" spans="1:7" ht="57.95">
      <c r="A10" s="587"/>
      <c r="B10" s="584"/>
      <c r="C10" s="327" t="s">
        <v>81</v>
      </c>
      <c r="D10" s="82" t="s">
        <v>82</v>
      </c>
      <c r="E10" s="82" t="s">
        <v>60</v>
      </c>
      <c r="F10" s="82" t="s">
        <v>79</v>
      </c>
      <c r="G10" s="320" t="s">
        <v>83</v>
      </c>
    </row>
    <row r="11" spans="1:7" ht="43.5">
      <c r="A11" s="587"/>
      <c r="B11" s="584"/>
      <c r="C11" s="327" t="s">
        <v>84</v>
      </c>
      <c r="D11" s="82" t="s">
        <v>85</v>
      </c>
      <c r="E11" s="82" t="s">
        <v>86</v>
      </c>
      <c r="F11" s="82" t="s">
        <v>79</v>
      </c>
      <c r="G11" s="95" t="s">
        <v>87</v>
      </c>
    </row>
    <row r="12" spans="1:7" ht="116.1">
      <c r="A12" s="587"/>
      <c r="B12" s="584"/>
      <c r="C12" s="327" t="s">
        <v>88</v>
      </c>
      <c r="D12" s="343" t="s">
        <v>89</v>
      </c>
      <c r="E12" s="82" t="s">
        <v>86</v>
      </c>
      <c r="F12" s="82" t="s">
        <v>79</v>
      </c>
      <c r="G12" s="320" t="s">
        <v>90</v>
      </c>
    </row>
    <row r="13" spans="1:7" ht="29.1">
      <c r="A13" s="587"/>
      <c r="B13" s="584"/>
      <c r="C13" s="327" t="s">
        <v>91</v>
      </c>
      <c r="D13" s="82" t="s">
        <v>92</v>
      </c>
      <c r="E13" s="82" t="s">
        <v>86</v>
      </c>
      <c r="F13" s="82" t="s">
        <v>79</v>
      </c>
      <c r="G13" s="95" t="s">
        <v>93</v>
      </c>
    </row>
    <row r="14" spans="1:7" ht="29.1">
      <c r="A14" s="587"/>
      <c r="B14" s="584"/>
      <c r="C14" s="327" t="s">
        <v>94</v>
      </c>
      <c r="D14" s="82" t="s">
        <v>95</v>
      </c>
      <c r="E14" s="82" t="s">
        <v>86</v>
      </c>
      <c r="F14" s="82" t="s">
        <v>79</v>
      </c>
      <c r="G14" s="95" t="s">
        <v>93</v>
      </c>
    </row>
    <row r="15" spans="1:7">
      <c r="A15" s="587"/>
      <c r="B15" s="584"/>
      <c r="C15" s="121" t="s">
        <v>96</v>
      </c>
      <c r="D15" s="82" t="s">
        <v>97</v>
      </c>
      <c r="E15" s="82" t="s">
        <v>60</v>
      </c>
      <c r="F15" s="82" t="s">
        <v>79</v>
      </c>
      <c r="G15" s="95" t="s">
        <v>98</v>
      </c>
    </row>
    <row r="16" spans="1:7" ht="57.95">
      <c r="A16" s="587"/>
      <c r="B16" s="584"/>
      <c r="C16" s="327" t="s">
        <v>99</v>
      </c>
      <c r="D16" s="343" t="s">
        <v>100</v>
      </c>
      <c r="E16" s="82" t="s">
        <v>86</v>
      </c>
      <c r="F16" s="82" t="s">
        <v>79</v>
      </c>
      <c r="G16" s="320" t="s">
        <v>101</v>
      </c>
    </row>
    <row r="17" spans="1:7" ht="29.1">
      <c r="A17" s="587"/>
      <c r="B17" s="584"/>
      <c r="C17" s="327" t="s">
        <v>102</v>
      </c>
      <c r="D17" s="82" t="s">
        <v>103</v>
      </c>
      <c r="E17" s="82" t="s">
        <v>86</v>
      </c>
      <c r="F17" s="82" t="s">
        <v>79</v>
      </c>
      <c r="G17" s="95" t="s">
        <v>104</v>
      </c>
    </row>
    <row r="18" spans="1:7" ht="43.5">
      <c r="A18" s="587"/>
      <c r="B18" s="584"/>
      <c r="C18" s="327" t="s">
        <v>105</v>
      </c>
      <c r="D18" s="82" t="s">
        <v>106</v>
      </c>
      <c r="E18" s="82" t="s">
        <v>86</v>
      </c>
      <c r="F18" s="82" t="s">
        <v>79</v>
      </c>
      <c r="G18" s="95" t="s">
        <v>107</v>
      </c>
    </row>
    <row r="19" spans="1:7">
      <c r="A19" s="587"/>
      <c r="B19" s="584"/>
      <c r="C19" s="327" t="s">
        <v>108</v>
      </c>
      <c r="D19" s="82" t="s">
        <v>109</v>
      </c>
      <c r="E19" s="82" t="s">
        <v>86</v>
      </c>
      <c r="F19" s="82" t="s">
        <v>79</v>
      </c>
      <c r="G19" s="95" t="s">
        <v>110</v>
      </c>
    </row>
    <row r="20" spans="1:7" ht="102" thickBot="1">
      <c r="A20" s="587"/>
      <c r="B20" s="585"/>
      <c r="C20" s="395" t="s">
        <v>1</v>
      </c>
      <c r="D20" s="478" t="s">
        <v>111</v>
      </c>
      <c r="E20" s="365" t="s">
        <v>86</v>
      </c>
      <c r="F20" s="365" t="s">
        <v>79</v>
      </c>
      <c r="G20" s="396" t="s">
        <v>112</v>
      </c>
    </row>
    <row r="21" spans="1:7" ht="43.5">
      <c r="A21" s="587"/>
      <c r="B21" s="600" t="s">
        <v>113</v>
      </c>
      <c r="C21" s="328" t="s">
        <v>114</v>
      </c>
      <c r="D21" s="105" t="s">
        <v>115</v>
      </c>
      <c r="E21" s="105" t="s">
        <v>86</v>
      </c>
      <c r="F21" s="105" t="s">
        <v>116</v>
      </c>
      <c r="G21" s="168" t="s">
        <v>117</v>
      </c>
    </row>
    <row r="22" spans="1:7" ht="29.1">
      <c r="A22" s="587"/>
      <c r="B22" s="601"/>
      <c r="C22" s="329" t="s">
        <v>118</v>
      </c>
      <c r="D22" s="400" t="s">
        <v>119</v>
      </c>
      <c r="E22" s="400" t="s">
        <v>86</v>
      </c>
      <c r="F22" s="400" t="s">
        <v>116</v>
      </c>
      <c r="G22" s="401" t="s">
        <v>120</v>
      </c>
    </row>
    <row r="23" spans="1:7" ht="15" thickBot="1">
      <c r="A23" s="587"/>
      <c r="B23" s="602"/>
      <c r="C23" s="402" t="s">
        <v>121</v>
      </c>
      <c r="D23" s="107" t="s">
        <v>122</v>
      </c>
      <c r="E23" s="107" t="s">
        <v>86</v>
      </c>
      <c r="F23" s="107" t="s">
        <v>116</v>
      </c>
      <c r="G23" s="108" t="s">
        <v>123</v>
      </c>
    </row>
    <row r="24" spans="1:7" ht="30" customHeight="1">
      <c r="A24" s="587"/>
      <c r="B24" s="603" t="s">
        <v>124</v>
      </c>
      <c r="C24" s="397" t="s">
        <v>125</v>
      </c>
      <c r="D24" s="398" t="s">
        <v>126</v>
      </c>
      <c r="E24" s="398" t="s">
        <v>86</v>
      </c>
      <c r="F24" s="398" t="s">
        <v>79</v>
      </c>
      <c r="G24" s="399" t="s">
        <v>127</v>
      </c>
    </row>
    <row r="25" spans="1:7" ht="30" customHeight="1">
      <c r="A25" s="587"/>
      <c r="B25" s="604"/>
      <c r="C25" s="329" t="s">
        <v>128</v>
      </c>
      <c r="D25" s="109" t="s">
        <v>129</v>
      </c>
      <c r="E25" s="109" t="s">
        <v>86</v>
      </c>
      <c r="F25" s="109" t="s">
        <v>130</v>
      </c>
      <c r="G25" s="621" t="s">
        <v>131</v>
      </c>
    </row>
    <row r="26" spans="1:7" ht="29.1">
      <c r="A26" s="587"/>
      <c r="B26" s="604"/>
      <c r="C26" s="274" t="s">
        <v>132</v>
      </c>
      <c r="D26" s="109" t="s">
        <v>133</v>
      </c>
      <c r="E26" s="109" t="s">
        <v>86</v>
      </c>
      <c r="F26" s="109" t="s">
        <v>130</v>
      </c>
      <c r="G26" s="622"/>
    </row>
    <row r="27" spans="1:7">
      <c r="A27" s="587"/>
      <c r="B27" s="604"/>
      <c r="C27" s="329" t="s">
        <v>30</v>
      </c>
      <c r="D27" s="109" t="s">
        <v>134</v>
      </c>
      <c r="E27" s="109" t="s">
        <v>86</v>
      </c>
      <c r="F27" s="109" t="s">
        <v>130</v>
      </c>
      <c r="G27" s="622"/>
    </row>
    <row r="28" spans="1:7">
      <c r="A28" s="587"/>
      <c r="B28" s="604"/>
      <c r="C28" s="329" t="s">
        <v>135</v>
      </c>
      <c r="D28" s="109" t="s">
        <v>136</v>
      </c>
      <c r="E28" s="109" t="s">
        <v>86</v>
      </c>
      <c r="F28" s="109" t="s">
        <v>130</v>
      </c>
      <c r="G28" s="622"/>
    </row>
    <row r="29" spans="1:7">
      <c r="A29" s="587"/>
      <c r="B29" s="604"/>
      <c r="C29" s="329" t="s">
        <v>36</v>
      </c>
      <c r="D29" s="109" t="s">
        <v>137</v>
      </c>
      <c r="E29" s="109" t="s">
        <v>86</v>
      </c>
      <c r="F29" s="109" t="s">
        <v>130</v>
      </c>
      <c r="G29" s="622"/>
    </row>
    <row r="30" spans="1:7">
      <c r="A30" s="587"/>
      <c r="B30" s="604"/>
      <c r="C30" s="329" t="s">
        <v>138</v>
      </c>
      <c r="D30" s="109" t="s">
        <v>139</v>
      </c>
      <c r="E30" s="109" t="s">
        <v>86</v>
      </c>
      <c r="F30" s="109" t="s">
        <v>130</v>
      </c>
      <c r="G30" s="622"/>
    </row>
    <row r="31" spans="1:7">
      <c r="A31" s="587"/>
      <c r="B31" s="604"/>
      <c r="C31" s="274" t="s">
        <v>140</v>
      </c>
      <c r="D31" s="109" t="s">
        <v>141</v>
      </c>
      <c r="E31" s="109" t="s">
        <v>86</v>
      </c>
      <c r="F31" s="109" t="s">
        <v>130</v>
      </c>
      <c r="G31" s="622"/>
    </row>
    <row r="32" spans="1:7" ht="29.45" thickBot="1">
      <c r="A32" s="587"/>
      <c r="B32" s="605"/>
      <c r="C32" s="330" t="s">
        <v>142</v>
      </c>
      <c r="D32" s="104" t="s">
        <v>143</v>
      </c>
      <c r="E32" s="104" t="s">
        <v>86</v>
      </c>
      <c r="F32" s="104" t="s">
        <v>130</v>
      </c>
      <c r="G32" s="623"/>
    </row>
    <row r="33" spans="1:7" ht="29.1">
      <c r="A33" s="587"/>
      <c r="B33" s="606" t="s">
        <v>144</v>
      </c>
      <c r="C33" s="309" t="s">
        <v>132</v>
      </c>
      <c r="D33" s="272" t="s">
        <v>145</v>
      </c>
      <c r="E33" s="272" t="s">
        <v>86</v>
      </c>
      <c r="F33" s="272" t="s">
        <v>146</v>
      </c>
      <c r="G33" s="273" t="s">
        <v>147</v>
      </c>
    </row>
    <row r="34" spans="1:7">
      <c r="A34" s="587"/>
      <c r="B34" s="607"/>
      <c r="C34" s="327" t="s">
        <v>30</v>
      </c>
      <c r="D34" s="83" t="s">
        <v>148</v>
      </c>
      <c r="E34" s="83" t="s">
        <v>86</v>
      </c>
      <c r="F34" s="83" t="s">
        <v>146</v>
      </c>
      <c r="G34" s="99"/>
    </row>
    <row r="35" spans="1:7">
      <c r="A35" s="587"/>
      <c r="B35" s="607"/>
      <c r="C35" s="327" t="s">
        <v>135</v>
      </c>
      <c r="D35" s="83" t="s">
        <v>149</v>
      </c>
      <c r="E35" s="83" t="s">
        <v>86</v>
      </c>
      <c r="F35" s="83" t="s">
        <v>146</v>
      </c>
      <c r="G35" s="99" t="s">
        <v>150</v>
      </c>
    </row>
    <row r="36" spans="1:7">
      <c r="A36" s="587"/>
      <c r="B36" s="607"/>
      <c r="C36" s="327" t="s">
        <v>36</v>
      </c>
      <c r="D36" s="83" t="s">
        <v>151</v>
      </c>
      <c r="E36" s="83" t="s">
        <v>86</v>
      </c>
      <c r="F36" s="83" t="s">
        <v>146</v>
      </c>
      <c r="G36" s="113"/>
    </row>
    <row r="37" spans="1:7">
      <c r="A37" s="587"/>
      <c r="B37" s="607"/>
      <c r="C37" s="327" t="s">
        <v>138</v>
      </c>
      <c r="D37" s="83" t="s">
        <v>152</v>
      </c>
      <c r="E37" s="83" t="s">
        <v>86</v>
      </c>
      <c r="F37" s="83" t="s">
        <v>146</v>
      </c>
      <c r="G37" s="99" t="s">
        <v>153</v>
      </c>
    </row>
    <row r="38" spans="1:7">
      <c r="A38" s="587"/>
      <c r="B38" s="607"/>
      <c r="C38" s="275" t="s">
        <v>140</v>
      </c>
      <c r="D38" s="83" t="s">
        <v>154</v>
      </c>
      <c r="E38" s="83" t="s">
        <v>86</v>
      </c>
      <c r="F38" s="83" t="s">
        <v>146</v>
      </c>
      <c r="G38" s="99"/>
    </row>
    <row r="39" spans="1:7" ht="29.1">
      <c r="A39" s="587"/>
      <c r="B39" s="607"/>
      <c r="C39" s="329" t="s">
        <v>155</v>
      </c>
      <c r="D39" s="83" t="s">
        <v>156</v>
      </c>
      <c r="E39" s="83" t="s">
        <v>86</v>
      </c>
      <c r="F39" s="83" t="s">
        <v>146</v>
      </c>
      <c r="G39" s="99"/>
    </row>
    <row r="40" spans="1:7" ht="29.1">
      <c r="A40" s="587"/>
      <c r="B40" s="607"/>
      <c r="C40" s="275" t="s">
        <v>157</v>
      </c>
      <c r="D40" s="83" t="s">
        <v>158</v>
      </c>
      <c r="E40" s="83" t="s">
        <v>60</v>
      </c>
      <c r="F40" s="83" t="s">
        <v>146</v>
      </c>
      <c r="G40" s="99" t="s">
        <v>159</v>
      </c>
    </row>
    <row r="41" spans="1:7" ht="29.45" thickBot="1">
      <c r="A41" s="587"/>
      <c r="B41" s="608"/>
      <c r="C41" s="326" t="s">
        <v>160</v>
      </c>
      <c r="D41" s="100" t="s">
        <v>161</v>
      </c>
      <c r="E41" s="100" t="s">
        <v>86</v>
      </c>
      <c r="F41" s="100" t="s">
        <v>146</v>
      </c>
      <c r="G41" s="101" t="s">
        <v>162</v>
      </c>
    </row>
    <row r="42" spans="1:7" ht="131.1" thickBot="1">
      <c r="A42" s="586" t="s">
        <v>63</v>
      </c>
      <c r="B42" s="403" t="s">
        <v>163</v>
      </c>
      <c r="C42" s="331" t="s">
        <v>88</v>
      </c>
      <c r="D42" s="404" t="s">
        <v>164</v>
      </c>
      <c r="E42" s="404" t="s">
        <v>86</v>
      </c>
      <c r="F42" s="404" t="s">
        <v>79</v>
      </c>
      <c r="G42" s="405" t="s">
        <v>165</v>
      </c>
    </row>
    <row r="43" spans="1:7" ht="15" customHeight="1">
      <c r="A43" s="587"/>
      <c r="B43" s="591" t="s">
        <v>166</v>
      </c>
      <c r="C43" s="306" t="s">
        <v>167</v>
      </c>
      <c r="D43" s="294" t="s">
        <v>168</v>
      </c>
      <c r="E43" s="294" t="s">
        <v>67</v>
      </c>
      <c r="F43" s="294" t="s">
        <v>79</v>
      </c>
      <c r="G43" s="277" t="s">
        <v>169</v>
      </c>
    </row>
    <row r="44" spans="1:7" ht="29.1">
      <c r="A44" s="587"/>
      <c r="B44" s="592"/>
      <c r="C44" s="307" t="s">
        <v>128</v>
      </c>
      <c r="D44" s="295" t="s">
        <v>170</v>
      </c>
      <c r="E44" s="295" t="s">
        <v>67</v>
      </c>
      <c r="F44" s="295" t="s">
        <v>79</v>
      </c>
      <c r="G44" s="278" t="s">
        <v>169</v>
      </c>
    </row>
    <row r="45" spans="1:7" ht="29.1">
      <c r="A45" s="587"/>
      <c r="B45" s="592"/>
      <c r="C45" s="307" t="s">
        <v>105</v>
      </c>
      <c r="D45" s="295" t="s">
        <v>171</v>
      </c>
      <c r="E45" s="295" t="s">
        <v>67</v>
      </c>
      <c r="F45" s="295" t="s">
        <v>79</v>
      </c>
      <c r="G45" s="278" t="s">
        <v>172</v>
      </c>
    </row>
    <row r="46" spans="1:7">
      <c r="A46" s="587"/>
      <c r="B46" s="592"/>
      <c r="C46" s="307" t="s">
        <v>173</v>
      </c>
      <c r="D46" s="295" t="s">
        <v>174</v>
      </c>
      <c r="E46" s="295" t="s">
        <v>67</v>
      </c>
      <c r="F46" s="295" t="s">
        <v>79</v>
      </c>
      <c r="G46" s="278" t="s">
        <v>169</v>
      </c>
    </row>
    <row r="47" spans="1:7" ht="15" thickBot="1">
      <c r="A47" s="587"/>
      <c r="B47" s="593"/>
      <c r="C47" s="308" t="s">
        <v>175</v>
      </c>
      <c r="D47" s="296" t="s">
        <v>176</v>
      </c>
      <c r="E47" s="295" t="s">
        <v>67</v>
      </c>
      <c r="F47" s="296" t="s">
        <v>79</v>
      </c>
      <c r="G47" s="279" t="s">
        <v>169</v>
      </c>
    </row>
    <row r="48" spans="1:7" ht="29.1">
      <c r="A48" s="587"/>
      <c r="B48" s="594" t="s">
        <v>177</v>
      </c>
      <c r="C48" s="303" t="s">
        <v>132</v>
      </c>
      <c r="D48" s="297" t="s">
        <v>178</v>
      </c>
      <c r="E48" s="297" t="s">
        <v>67</v>
      </c>
      <c r="F48" s="297" t="s">
        <v>130</v>
      </c>
      <c r="G48" s="624" t="s">
        <v>179</v>
      </c>
    </row>
    <row r="49" spans="1:7" ht="29.1">
      <c r="A49" s="587"/>
      <c r="B49" s="594"/>
      <c r="C49" s="304" t="s">
        <v>30</v>
      </c>
      <c r="D49" s="280" t="s">
        <v>180</v>
      </c>
      <c r="E49" s="280" t="s">
        <v>67</v>
      </c>
      <c r="F49" s="280" t="s">
        <v>130</v>
      </c>
      <c r="G49" s="625"/>
    </row>
    <row r="50" spans="1:7" ht="29.1">
      <c r="A50" s="587"/>
      <c r="B50" s="594"/>
      <c r="C50" s="304" t="s">
        <v>135</v>
      </c>
      <c r="D50" s="280" t="s">
        <v>181</v>
      </c>
      <c r="E50" s="280" t="s">
        <v>67</v>
      </c>
      <c r="F50" s="280" t="s">
        <v>130</v>
      </c>
      <c r="G50" s="625"/>
    </row>
    <row r="51" spans="1:7">
      <c r="A51" s="587"/>
      <c r="B51" s="594"/>
      <c r="C51" s="304" t="s">
        <v>36</v>
      </c>
      <c r="D51" s="280" t="s">
        <v>182</v>
      </c>
      <c r="E51" s="280" t="s">
        <v>67</v>
      </c>
      <c r="F51" s="280" t="s">
        <v>130</v>
      </c>
      <c r="G51" s="625"/>
    </row>
    <row r="52" spans="1:7">
      <c r="A52" s="587"/>
      <c r="B52" s="594"/>
      <c r="C52" s="304" t="s">
        <v>138</v>
      </c>
      <c r="D52" s="280" t="s">
        <v>183</v>
      </c>
      <c r="E52" s="280" t="s">
        <v>67</v>
      </c>
      <c r="F52" s="280" t="s">
        <v>130</v>
      </c>
      <c r="G52" s="625"/>
    </row>
    <row r="53" spans="1:7">
      <c r="A53" s="587"/>
      <c r="B53" s="594"/>
      <c r="C53" s="304" t="s">
        <v>184</v>
      </c>
      <c r="D53" s="280" t="s">
        <v>185</v>
      </c>
      <c r="E53" s="280" t="s">
        <v>67</v>
      </c>
      <c r="F53" s="280" t="s">
        <v>130</v>
      </c>
      <c r="G53" s="625"/>
    </row>
    <row r="54" spans="1:7">
      <c r="A54" s="587"/>
      <c r="B54" s="594"/>
      <c r="C54" s="304" t="s">
        <v>140</v>
      </c>
      <c r="D54" s="280" t="s">
        <v>186</v>
      </c>
      <c r="E54" s="280" t="s">
        <v>67</v>
      </c>
      <c r="F54" s="280" t="s">
        <v>130</v>
      </c>
      <c r="G54" s="625"/>
    </row>
    <row r="55" spans="1:7" ht="29.45" thickBot="1">
      <c r="A55" s="587"/>
      <c r="B55" s="595"/>
      <c r="C55" s="305" t="s">
        <v>187</v>
      </c>
      <c r="D55" s="298" t="s">
        <v>188</v>
      </c>
      <c r="E55" s="298" t="s">
        <v>67</v>
      </c>
      <c r="F55" s="298" t="s">
        <v>130</v>
      </c>
      <c r="G55" s="626"/>
    </row>
    <row r="56" spans="1:7" ht="29.1">
      <c r="A56" s="587"/>
      <c r="B56" s="596" t="s">
        <v>144</v>
      </c>
      <c r="C56" s="390" t="s">
        <v>132</v>
      </c>
      <c r="D56" s="391" t="s">
        <v>189</v>
      </c>
      <c r="E56" s="391" t="s">
        <v>67</v>
      </c>
      <c r="F56" s="391" t="s">
        <v>146</v>
      </c>
      <c r="G56" s="392" t="s">
        <v>169</v>
      </c>
    </row>
    <row r="57" spans="1:7">
      <c r="A57" s="587"/>
      <c r="B57" s="597"/>
      <c r="C57" s="301" t="s">
        <v>30</v>
      </c>
      <c r="D57" s="299" t="s">
        <v>190</v>
      </c>
      <c r="E57" s="299" t="s">
        <v>67</v>
      </c>
      <c r="F57" s="299" t="s">
        <v>146</v>
      </c>
      <c r="G57" s="276" t="s">
        <v>169</v>
      </c>
    </row>
    <row r="58" spans="1:7" ht="29.1">
      <c r="A58" s="587"/>
      <c r="B58" s="597"/>
      <c r="C58" s="301" t="s">
        <v>135</v>
      </c>
      <c r="D58" s="299" t="s">
        <v>191</v>
      </c>
      <c r="E58" s="299" t="s">
        <v>67</v>
      </c>
      <c r="F58" s="299" t="s">
        <v>146</v>
      </c>
      <c r="G58" s="276" t="s">
        <v>169</v>
      </c>
    </row>
    <row r="59" spans="1:7">
      <c r="A59" s="587"/>
      <c r="B59" s="597"/>
      <c r="C59" s="301" t="s">
        <v>36</v>
      </c>
      <c r="D59" s="299" t="s">
        <v>192</v>
      </c>
      <c r="E59" s="299" t="s">
        <v>67</v>
      </c>
      <c r="F59" s="299" t="s">
        <v>146</v>
      </c>
      <c r="G59" s="276" t="s">
        <v>169</v>
      </c>
    </row>
    <row r="60" spans="1:7">
      <c r="A60" s="587"/>
      <c r="B60" s="597"/>
      <c r="C60" s="301" t="s">
        <v>138</v>
      </c>
      <c r="D60" s="299" t="s">
        <v>193</v>
      </c>
      <c r="E60" s="299" t="s">
        <v>67</v>
      </c>
      <c r="F60" s="299" t="s">
        <v>146</v>
      </c>
      <c r="G60" s="276" t="s">
        <v>169</v>
      </c>
    </row>
    <row r="61" spans="1:7">
      <c r="A61" s="587"/>
      <c r="B61" s="597"/>
      <c r="C61" s="301" t="s">
        <v>184</v>
      </c>
      <c r="D61" s="299" t="s">
        <v>194</v>
      </c>
      <c r="E61" s="299" t="s">
        <v>67</v>
      </c>
      <c r="F61" s="299" t="s">
        <v>146</v>
      </c>
      <c r="G61" s="276" t="s">
        <v>169</v>
      </c>
    </row>
    <row r="62" spans="1:7">
      <c r="A62" s="587"/>
      <c r="B62" s="597"/>
      <c r="C62" s="301" t="s">
        <v>140</v>
      </c>
      <c r="D62" s="299" t="s">
        <v>195</v>
      </c>
      <c r="E62" s="299" t="s">
        <v>67</v>
      </c>
      <c r="F62" s="299" t="s">
        <v>146</v>
      </c>
      <c r="G62" s="276" t="s">
        <v>169</v>
      </c>
    </row>
    <row r="63" spans="1:7" ht="15" thickBot="1">
      <c r="A63" s="599"/>
      <c r="B63" s="598"/>
      <c r="C63" s="302" t="s">
        <v>187</v>
      </c>
      <c r="D63" s="300" t="s">
        <v>196</v>
      </c>
      <c r="E63" s="300" t="s">
        <v>67</v>
      </c>
      <c r="F63" s="300" t="s">
        <v>146</v>
      </c>
      <c r="G63" s="281" t="s">
        <v>169</v>
      </c>
    </row>
    <row r="64" spans="1:7" ht="116.1">
      <c r="A64" s="587" t="s">
        <v>65</v>
      </c>
      <c r="B64" s="588" t="s">
        <v>197</v>
      </c>
      <c r="C64" s="328" t="s">
        <v>77</v>
      </c>
      <c r="D64" s="283" t="s">
        <v>198</v>
      </c>
      <c r="E64" s="283" t="s">
        <v>60</v>
      </c>
      <c r="F64" s="283" t="s">
        <v>79</v>
      </c>
      <c r="G64" s="406" t="s">
        <v>199</v>
      </c>
    </row>
    <row r="65" spans="1:7" ht="57.95">
      <c r="A65" s="587"/>
      <c r="B65" s="589"/>
      <c r="C65" s="329" t="s">
        <v>81</v>
      </c>
      <c r="D65" s="284" t="s">
        <v>82</v>
      </c>
      <c r="E65" s="284" t="s">
        <v>60</v>
      </c>
      <c r="F65" s="284" t="s">
        <v>79</v>
      </c>
      <c r="G65" s="408" t="s">
        <v>200</v>
      </c>
    </row>
    <row r="66" spans="1:7">
      <c r="A66" s="587"/>
      <c r="B66" s="589"/>
      <c r="C66" s="329" t="s">
        <v>96</v>
      </c>
      <c r="D66" s="284" t="s">
        <v>97</v>
      </c>
      <c r="E66" s="284" t="s">
        <v>60</v>
      </c>
      <c r="F66" s="284" t="s">
        <v>79</v>
      </c>
      <c r="G66" s="285" t="s">
        <v>201</v>
      </c>
    </row>
    <row r="67" spans="1:7" ht="29.1">
      <c r="A67" s="587"/>
      <c r="B67" s="589"/>
      <c r="C67" s="329" t="s">
        <v>202</v>
      </c>
      <c r="D67" s="284" t="s">
        <v>203</v>
      </c>
      <c r="E67" s="284" t="s">
        <v>60</v>
      </c>
      <c r="F67" s="284" t="s">
        <v>79</v>
      </c>
      <c r="G67" s="285" t="s">
        <v>204</v>
      </c>
    </row>
    <row r="68" spans="1:7">
      <c r="A68" s="587"/>
      <c r="B68" s="589"/>
      <c r="C68" s="329" t="s">
        <v>1</v>
      </c>
      <c r="D68" s="284" t="s">
        <v>205</v>
      </c>
      <c r="E68" s="284" t="s">
        <v>60</v>
      </c>
      <c r="F68" s="284" t="s">
        <v>79</v>
      </c>
      <c r="G68" s="285" t="s">
        <v>206</v>
      </c>
    </row>
    <row r="69" spans="1:7" ht="15" thickBot="1">
      <c r="A69" s="587"/>
      <c r="B69" s="590"/>
      <c r="C69" s="330" t="s">
        <v>207</v>
      </c>
      <c r="D69" s="286" t="s">
        <v>208</v>
      </c>
      <c r="E69" s="286" t="s">
        <v>60</v>
      </c>
      <c r="F69" s="286" t="s">
        <v>79</v>
      </c>
      <c r="G69" s="287"/>
    </row>
    <row r="70" spans="1:7" ht="130.5">
      <c r="A70" s="586" t="s">
        <v>68</v>
      </c>
      <c r="B70" s="583" t="s">
        <v>76</v>
      </c>
      <c r="C70" s="335" t="s">
        <v>77</v>
      </c>
      <c r="D70" s="282" t="s">
        <v>209</v>
      </c>
      <c r="E70" s="282" t="s">
        <v>60</v>
      </c>
      <c r="F70" s="282" t="s">
        <v>79</v>
      </c>
      <c r="G70" s="407" t="s">
        <v>210</v>
      </c>
    </row>
    <row r="71" spans="1:7">
      <c r="A71" s="587"/>
      <c r="B71" s="584"/>
      <c r="C71" s="121" t="s">
        <v>81</v>
      </c>
      <c r="D71" s="82" t="s">
        <v>82</v>
      </c>
      <c r="E71" s="82" t="s">
        <v>60</v>
      </c>
      <c r="F71" s="82" t="s">
        <v>79</v>
      </c>
      <c r="G71" s="95" t="s">
        <v>169</v>
      </c>
    </row>
    <row r="72" spans="1:7">
      <c r="A72" s="587"/>
      <c r="B72" s="584"/>
      <c r="C72" s="121" t="s">
        <v>96</v>
      </c>
      <c r="D72" s="82" t="s">
        <v>97</v>
      </c>
      <c r="E72" s="82" t="s">
        <v>60</v>
      </c>
      <c r="F72" s="82" t="s">
        <v>79</v>
      </c>
      <c r="G72" s="95" t="s">
        <v>211</v>
      </c>
    </row>
    <row r="73" spans="1:7">
      <c r="A73" s="587"/>
      <c r="B73" s="584"/>
      <c r="C73" s="121" t="s">
        <v>212</v>
      </c>
      <c r="D73" s="82" t="s">
        <v>213</v>
      </c>
      <c r="E73" s="82" t="s">
        <v>86</v>
      </c>
      <c r="F73" s="82" t="s">
        <v>79</v>
      </c>
      <c r="G73" s="95" t="s">
        <v>169</v>
      </c>
    </row>
    <row r="74" spans="1:7" ht="60" customHeight="1">
      <c r="A74" s="587"/>
      <c r="B74" s="584"/>
      <c r="C74" s="121" t="s">
        <v>88</v>
      </c>
      <c r="D74" s="82" t="s">
        <v>214</v>
      </c>
      <c r="E74" s="82" t="s">
        <v>86</v>
      </c>
      <c r="F74" s="82" t="s">
        <v>79</v>
      </c>
      <c r="G74" s="95" t="s">
        <v>169</v>
      </c>
    </row>
    <row r="75" spans="1:7">
      <c r="A75" s="587"/>
      <c r="B75" s="584"/>
      <c r="C75" s="121" t="s">
        <v>1</v>
      </c>
      <c r="D75" s="82" t="s">
        <v>205</v>
      </c>
      <c r="E75" s="82" t="s">
        <v>86</v>
      </c>
      <c r="F75" s="82" t="s">
        <v>79</v>
      </c>
      <c r="G75" s="95" t="s">
        <v>169</v>
      </c>
    </row>
    <row r="76" spans="1:7" ht="87">
      <c r="A76" s="587"/>
      <c r="B76" s="584"/>
      <c r="C76" s="121" t="s">
        <v>215</v>
      </c>
      <c r="D76" s="82" t="s">
        <v>216</v>
      </c>
      <c r="E76" s="82" t="s">
        <v>60</v>
      </c>
      <c r="F76" s="82" t="s">
        <v>79</v>
      </c>
      <c r="G76" s="320" t="s">
        <v>217</v>
      </c>
    </row>
    <row r="77" spans="1:7" ht="87">
      <c r="A77" s="587"/>
      <c r="B77" s="584"/>
      <c r="C77" s="121" t="s">
        <v>218</v>
      </c>
      <c r="D77" s="82" t="s">
        <v>219</v>
      </c>
      <c r="E77" s="82" t="s">
        <v>60</v>
      </c>
      <c r="F77" s="82" t="s">
        <v>79</v>
      </c>
      <c r="G77" s="320" t="s">
        <v>220</v>
      </c>
    </row>
    <row r="78" spans="1:7" ht="29.1">
      <c r="A78" s="587"/>
      <c r="B78" s="584"/>
      <c r="C78" s="121" t="s">
        <v>105</v>
      </c>
      <c r="D78" s="82" t="s">
        <v>171</v>
      </c>
      <c r="E78" s="82" t="s">
        <v>86</v>
      </c>
      <c r="F78" s="82" t="s">
        <v>79</v>
      </c>
      <c r="G78" s="95" t="s">
        <v>172</v>
      </c>
    </row>
    <row r="79" spans="1:7" ht="29.45" thickBot="1">
      <c r="A79" s="587"/>
      <c r="B79" s="585"/>
      <c r="C79" s="122" t="s">
        <v>221</v>
      </c>
      <c r="D79" s="96" t="s">
        <v>222</v>
      </c>
      <c r="E79" s="96" t="s">
        <v>60</v>
      </c>
      <c r="F79" s="96" t="s">
        <v>79</v>
      </c>
      <c r="G79" s="97" t="s">
        <v>223</v>
      </c>
    </row>
    <row r="80" spans="1:7" ht="29.1">
      <c r="A80" s="587"/>
      <c r="B80" s="627" t="s">
        <v>113</v>
      </c>
      <c r="C80" s="123" t="s">
        <v>114</v>
      </c>
      <c r="D80" s="105" t="s">
        <v>224</v>
      </c>
      <c r="E80" s="105" t="s">
        <v>60</v>
      </c>
      <c r="F80" s="105" t="s">
        <v>225</v>
      </c>
      <c r="G80" s="106" t="s">
        <v>223</v>
      </c>
    </row>
    <row r="81" spans="1:7" ht="29.45" thickBot="1">
      <c r="A81" s="587"/>
      <c r="B81" s="628"/>
      <c r="C81" s="124" t="s">
        <v>121</v>
      </c>
      <c r="D81" s="107" t="s">
        <v>226</v>
      </c>
      <c r="E81" s="107" t="s">
        <v>60</v>
      </c>
      <c r="F81" s="107" t="s">
        <v>225</v>
      </c>
      <c r="G81" s="108" t="s">
        <v>223</v>
      </c>
    </row>
    <row r="82" spans="1:7" ht="29.1">
      <c r="A82" s="587"/>
      <c r="B82" s="629" t="s">
        <v>124</v>
      </c>
      <c r="C82" s="125" t="s">
        <v>227</v>
      </c>
      <c r="D82" s="102" t="s">
        <v>228</v>
      </c>
      <c r="E82" s="102" t="s">
        <v>60</v>
      </c>
      <c r="F82" s="102" t="s">
        <v>79</v>
      </c>
      <c r="G82" s="103" t="s">
        <v>223</v>
      </c>
    </row>
    <row r="83" spans="1:7" ht="29.1">
      <c r="A83" s="587"/>
      <c r="B83" s="630"/>
      <c r="C83" s="127" t="s">
        <v>229</v>
      </c>
      <c r="D83" s="109" t="s">
        <v>230</v>
      </c>
      <c r="E83" s="109" t="s">
        <v>60</v>
      </c>
      <c r="F83" s="109" t="s">
        <v>225</v>
      </c>
      <c r="G83" s="114" t="s">
        <v>223</v>
      </c>
    </row>
    <row r="84" spans="1:7" ht="29.45" thickBot="1">
      <c r="A84" s="587"/>
      <c r="B84" s="631"/>
      <c r="C84" s="128" t="s">
        <v>187</v>
      </c>
      <c r="D84" s="119" t="s">
        <v>231</v>
      </c>
      <c r="E84" s="119" t="s">
        <v>60</v>
      </c>
      <c r="F84" s="119" t="s">
        <v>225</v>
      </c>
      <c r="G84" s="120" t="s">
        <v>223</v>
      </c>
    </row>
    <row r="85" spans="1:7" ht="29.1">
      <c r="A85" s="587"/>
      <c r="B85" s="632" t="s">
        <v>144</v>
      </c>
      <c r="C85" s="126" t="s">
        <v>232</v>
      </c>
      <c r="D85" s="111" t="s">
        <v>233</v>
      </c>
      <c r="E85" s="111" t="s">
        <v>60</v>
      </c>
      <c r="F85" s="111" t="s">
        <v>225</v>
      </c>
      <c r="G85" s="112" t="s">
        <v>223</v>
      </c>
    </row>
    <row r="86" spans="1:7" ht="29.1">
      <c r="A86" s="587"/>
      <c r="B86" s="633"/>
      <c r="C86" s="98" t="s">
        <v>229</v>
      </c>
      <c r="D86" s="83" t="s">
        <v>234</v>
      </c>
      <c r="E86" s="83" t="s">
        <v>60</v>
      </c>
      <c r="F86" s="83" t="s">
        <v>225</v>
      </c>
      <c r="G86" s="99" t="s">
        <v>223</v>
      </c>
    </row>
    <row r="87" spans="1:7" ht="29.1">
      <c r="A87" s="587"/>
      <c r="B87" s="633"/>
      <c r="C87" s="98" t="s">
        <v>184</v>
      </c>
      <c r="D87" s="83" t="s">
        <v>235</v>
      </c>
      <c r="E87" s="83" t="s">
        <v>60</v>
      </c>
      <c r="F87" s="83" t="s">
        <v>225</v>
      </c>
      <c r="G87" s="99" t="s">
        <v>223</v>
      </c>
    </row>
    <row r="88" spans="1:7" ht="29.1">
      <c r="A88" s="587"/>
      <c r="B88" s="633"/>
      <c r="C88" s="98" t="s">
        <v>140</v>
      </c>
      <c r="D88" s="83" t="s">
        <v>236</v>
      </c>
      <c r="E88" s="83" t="s">
        <v>60</v>
      </c>
      <c r="F88" s="83" t="s">
        <v>225</v>
      </c>
      <c r="G88" s="99" t="s">
        <v>223</v>
      </c>
    </row>
    <row r="89" spans="1:7" ht="45" customHeight="1">
      <c r="A89" s="587"/>
      <c r="B89" s="633"/>
      <c r="C89" s="98" t="s">
        <v>187</v>
      </c>
      <c r="D89" s="83" t="s">
        <v>237</v>
      </c>
      <c r="E89" s="83" t="s">
        <v>60</v>
      </c>
      <c r="F89" s="83" t="s">
        <v>225</v>
      </c>
      <c r="G89" s="99" t="s">
        <v>223</v>
      </c>
    </row>
    <row r="90" spans="1:7" ht="29.45" thickBot="1">
      <c r="A90" s="599"/>
      <c r="B90" s="634"/>
      <c r="C90" s="326"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xr3:uid="{5945094E-5B0A-5C92-AD52-36A0BCBA7BC1}">
      <selection activeCell="B27" sqref="B27"/>
    </sheetView>
  </sheetViews>
  <sheetFormatPr defaultRowHeight="14.4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35" t="s">
        <v>240</v>
      </c>
      <c r="B2" s="635"/>
      <c r="C2" s="635"/>
      <c r="D2" s="635"/>
      <c r="E2" s="635"/>
      <c r="F2" s="89"/>
      <c r="G2" s="89"/>
      <c r="H2" s="89"/>
      <c r="I2" s="89"/>
      <c r="J2" s="89"/>
      <c r="K2" s="89"/>
      <c r="L2" s="89"/>
      <c r="M2" s="89"/>
      <c r="N2" s="89"/>
      <c r="O2" s="89"/>
      <c r="P2" s="89"/>
      <c r="Q2" s="89"/>
      <c r="R2" s="89"/>
    </row>
    <row r="3" spans="1:19" ht="43.5">
      <c r="A3" s="479" t="s">
        <v>241</v>
      </c>
      <c r="B3" s="479" t="s">
        <v>242</v>
      </c>
      <c r="C3" s="479" t="s">
        <v>243</v>
      </c>
      <c r="D3" s="479" t="s">
        <v>244</v>
      </c>
      <c r="E3" s="479" t="s">
        <v>245</v>
      </c>
    </row>
    <row r="4" spans="1:19">
      <c r="A4" s="480" t="s">
        <v>246</v>
      </c>
      <c r="B4" s="480" t="s">
        <v>247</v>
      </c>
      <c r="C4" s="480" t="s">
        <v>248</v>
      </c>
      <c r="D4" s="480" t="s">
        <v>249</v>
      </c>
      <c r="E4" s="480" t="s">
        <v>248</v>
      </c>
    </row>
    <row r="5" spans="1:19">
      <c r="A5" s="480" t="s">
        <v>250</v>
      </c>
      <c r="B5" s="480" t="s">
        <v>251</v>
      </c>
      <c r="C5" s="480" t="s">
        <v>252</v>
      </c>
      <c r="D5" s="480" t="s">
        <v>249</v>
      </c>
      <c r="E5" s="480" t="s">
        <v>248</v>
      </c>
    </row>
    <row r="6" spans="1:19">
      <c r="A6" s="81"/>
    </row>
    <row r="7" spans="1:19" ht="59.25" customHeight="1">
      <c r="A7" s="635" t="s">
        <v>253</v>
      </c>
      <c r="B7" s="636"/>
      <c r="C7" s="636"/>
      <c r="D7" s="636"/>
      <c r="E7" s="636"/>
      <c r="F7" s="636"/>
      <c r="G7" s="636"/>
      <c r="H7" s="636"/>
      <c r="I7" s="636"/>
      <c r="J7" s="636"/>
      <c r="K7" s="636"/>
      <c r="L7" s="636"/>
      <c r="M7" s="89"/>
      <c r="N7" s="89"/>
      <c r="O7" s="89"/>
      <c r="P7" s="89"/>
      <c r="Q7" s="89"/>
      <c r="R7" s="89"/>
      <c r="S7" s="89"/>
    </row>
    <row r="8" spans="1:19">
      <c r="A8" s="481" t="s">
        <v>254</v>
      </c>
      <c r="B8" s="482"/>
      <c r="C8" s="482"/>
      <c r="D8" s="482"/>
      <c r="E8" s="482"/>
      <c r="F8" s="482"/>
      <c r="G8" s="482"/>
      <c r="H8" s="482"/>
      <c r="I8" s="482"/>
      <c r="J8" s="482"/>
      <c r="K8" s="482"/>
      <c r="L8" s="482"/>
      <c r="M8" s="89"/>
      <c r="N8" s="89"/>
      <c r="O8" s="89"/>
      <c r="P8" s="89"/>
      <c r="Q8" s="89"/>
      <c r="R8" s="89"/>
      <c r="S8" s="89"/>
    </row>
    <row r="9" spans="1:19">
      <c r="A9" s="483" t="s">
        <v>77</v>
      </c>
      <c r="B9" s="484" t="s">
        <v>81</v>
      </c>
      <c r="C9" s="484" t="s">
        <v>84</v>
      </c>
      <c r="D9" s="485" t="s">
        <v>88</v>
      </c>
      <c r="E9" s="484" t="s">
        <v>91</v>
      </c>
      <c r="F9" s="484" t="s">
        <v>94</v>
      </c>
      <c r="G9" s="484" t="s">
        <v>96</v>
      </c>
      <c r="H9" s="484" t="s">
        <v>99</v>
      </c>
      <c r="I9" s="484" t="s">
        <v>102</v>
      </c>
      <c r="J9" s="486" t="s">
        <v>105</v>
      </c>
      <c r="K9" s="486" t="s">
        <v>108</v>
      </c>
      <c r="L9" s="487" t="s">
        <v>1</v>
      </c>
    </row>
    <row r="10" spans="1:19">
      <c r="A10" s="488" t="s">
        <v>255</v>
      </c>
      <c r="B10" s="489" t="s">
        <v>256</v>
      </c>
      <c r="C10" s="489"/>
      <c r="D10" s="490" t="s">
        <v>257</v>
      </c>
      <c r="E10" s="491"/>
      <c r="F10" s="489" t="s">
        <v>258</v>
      </c>
      <c r="G10" s="490" t="s">
        <v>259</v>
      </c>
      <c r="H10" s="489" t="s">
        <v>260</v>
      </c>
      <c r="I10" s="489"/>
      <c r="J10" s="490">
        <v>1</v>
      </c>
      <c r="K10" s="490">
        <v>1</v>
      </c>
      <c r="L10" s="490" t="s">
        <v>261</v>
      </c>
    </row>
    <row r="11" spans="1:19">
      <c r="A11" s="488" t="s">
        <v>262</v>
      </c>
      <c r="B11" s="489" t="s">
        <v>263</v>
      </c>
      <c r="C11" s="489"/>
      <c r="D11" s="490" t="s">
        <v>264</v>
      </c>
      <c r="E11" s="491"/>
      <c r="F11" s="489" t="s">
        <v>265</v>
      </c>
      <c r="G11" s="490" t="s">
        <v>259</v>
      </c>
      <c r="H11" s="489" t="s">
        <v>266</v>
      </c>
      <c r="I11" s="489"/>
      <c r="J11" s="490">
        <v>1</v>
      </c>
      <c r="K11" s="490">
        <v>1</v>
      </c>
      <c r="L11" s="490" t="s">
        <v>267</v>
      </c>
    </row>
    <row r="12" spans="1:19" ht="29.1">
      <c r="A12" s="488" t="s">
        <v>268</v>
      </c>
      <c r="B12" s="488" t="s">
        <v>269</v>
      </c>
      <c r="C12" s="489"/>
      <c r="D12" s="490" t="s">
        <v>247</v>
      </c>
      <c r="E12" s="491"/>
      <c r="F12" s="489" t="s">
        <v>270</v>
      </c>
      <c r="G12" s="490" t="e">
        <v>#N/A</v>
      </c>
      <c r="H12" s="489" t="s">
        <v>249</v>
      </c>
      <c r="I12" s="489"/>
      <c r="J12" s="490">
        <v>1</v>
      </c>
      <c r="K12" s="490">
        <v>1</v>
      </c>
      <c r="L12" s="490" t="s">
        <v>261</v>
      </c>
    </row>
    <row r="13" spans="1:19">
      <c r="A13" s="492" t="s">
        <v>271</v>
      </c>
    </row>
    <row r="14" spans="1:19">
      <c r="A14" s="483" t="s">
        <v>77</v>
      </c>
      <c r="B14" s="484" t="s">
        <v>81</v>
      </c>
      <c r="C14" s="484" t="s">
        <v>84</v>
      </c>
      <c r="D14" s="485" t="s">
        <v>88</v>
      </c>
      <c r="E14" s="484" t="s">
        <v>91</v>
      </c>
      <c r="F14" s="484" t="s">
        <v>94</v>
      </c>
      <c r="G14" s="484" t="s">
        <v>96</v>
      </c>
      <c r="H14" s="484" t="s">
        <v>99</v>
      </c>
      <c r="I14" s="484" t="s">
        <v>102</v>
      </c>
      <c r="J14" s="486" t="s">
        <v>105</v>
      </c>
      <c r="K14" s="486" t="s">
        <v>108</v>
      </c>
      <c r="L14" s="493" t="s">
        <v>1</v>
      </c>
      <c r="M14" s="486" t="s">
        <v>114</v>
      </c>
      <c r="N14" s="486" t="s">
        <v>118</v>
      </c>
      <c r="O14" s="486" t="s">
        <v>121</v>
      </c>
      <c r="P14" s="486" t="s">
        <v>125</v>
      </c>
      <c r="Q14" s="486" t="s">
        <v>128</v>
      </c>
      <c r="R14" s="486" t="s">
        <v>132</v>
      </c>
      <c r="S14" s="486" t="s">
        <v>157</v>
      </c>
    </row>
    <row r="15" spans="1:19">
      <c r="A15" s="488" t="s">
        <v>272</v>
      </c>
      <c r="B15" s="489" t="s">
        <v>273</v>
      </c>
      <c r="C15" s="489"/>
      <c r="D15" s="490" t="s">
        <v>252</v>
      </c>
      <c r="E15" s="489"/>
      <c r="F15" s="489" t="s">
        <v>274</v>
      </c>
      <c r="G15" s="490" t="s">
        <v>259</v>
      </c>
      <c r="H15" s="489" t="s">
        <v>275</v>
      </c>
      <c r="I15" s="489"/>
      <c r="J15" s="490">
        <v>1</v>
      </c>
      <c r="K15" s="490">
        <v>1</v>
      </c>
      <c r="L15" s="490" t="s">
        <v>276</v>
      </c>
      <c r="M15" s="494">
        <v>0</v>
      </c>
      <c r="N15" s="490"/>
      <c r="O15" s="494">
        <v>0</v>
      </c>
      <c r="P15" s="489" t="s">
        <v>48</v>
      </c>
      <c r="Q15" s="490">
        <v>1</v>
      </c>
      <c r="R15" s="490">
        <v>0</v>
      </c>
      <c r="S15" s="489" t="s">
        <v>277</v>
      </c>
    </row>
    <row r="16" spans="1:19">
      <c r="A16" s="488" t="s">
        <v>250</v>
      </c>
      <c r="B16" s="489" t="s">
        <v>278</v>
      </c>
      <c r="C16" s="489"/>
      <c r="D16" s="495" t="s">
        <v>247</v>
      </c>
      <c r="E16" s="489"/>
      <c r="F16" s="489" t="s">
        <v>279</v>
      </c>
      <c r="G16" s="490" t="s">
        <v>280</v>
      </c>
      <c r="H16" s="496" t="s">
        <v>249</v>
      </c>
      <c r="I16" s="489"/>
      <c r="J16" s="490">
        <v>1</v>
      </c>
      <c r="K16" s="490">
        <v>1</v>
      </c>
      <c r="L16" s="490" t="s">
        <v>261</v>
      </c>
      <c r="M16" s="494">
        <v>0</v>
      </c>
      <c r="N16" s="490"/>
      <c r="O16" s="494">
        <v>0</v>
      </c>
      <c r="P16" s="489" t="s">
        <v>48</v>
      </c>
      <c r="Q16" s="490">
        <v>1</v>
      </c>
      <c r="R16" s="490">
        <v>0</v>
      </c>
      <c r="S16" s="489" t="s">
        <v>277</v>
      </c>
    </row>
    <row r="17" spans="1:19">
      <c r="A17" s="488" t="s">
        <v>281</v>
      </c>
      <c r="B17" s="489" t="s">
        <v>282</v>
      </c>
      <c r="C17" s="489"/>
      <c r="D17" s="490" t="s">
        <v>252</v>
      </c>
      <c r="E17" s="489"/>
      <c r="F17" s="489" t="s">
        <v>283</v>
      </c>
      <c r="G17" s="490" t="s">
        <v>284</v>
      </c>
      <c r="H17" s="489" t="s">
        <v>285</v>
      </c>
      <c r="I17" s="489"/>
      <c r="J17" s="490">
        <v>1</v>
      </c>
      <c r="K17" s="490">
        <v>1</v>
      </c>
      <c r="L17" s="490" t="s">
        <v>276</v>
      </c>
      <c r="M17" s="494">
        <v>0</v>
      </c>
      <c r="N17" s="490"/>
      <c r="O17" s="494">
        <v>0</v>
      </c>
      <c r="P17" s="489" t="s">
        <v>48</v>
      </c>
      <c r="Q17" s="490">
        <v>1</v>
      </c>
      <c r="R17" s="490">
        <v>0</v>
      </c>
      <c r="S17" s="489"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2" activePane="bottomRight" state="frozen"/>
      <selection pane="bottomRight" activeCell="B14" sqref="B14"/>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c r="A1" s="497" t="s">
        <v>0</v>
      </c>
      <c r="B1" s="498" t="s">
        <v>287</v>
      </c>
      <c r="C1" s="498" t="s">
        <v>288</v>
      </c>
    </row>
    <row r="2" spans="1:3">
      <c r="A2" s="499">
        <v>43807</v>
      </c>
      <c r="B2" s="500" t="s">
        <v>289</v>
      </c>
      <c r="C2" s="500" t="s">
        <v>11</v>
      </c>
    </row>
    <row r="3" spans="1:3" ht="29.1">
      <c r="A3" s="499">
        <v>43937</v>
      </c>
      <c r="B3" s="80" t="s">
        <v>290</v>
      </c>
      <c r="C3" s="500" t="s">
        <v>11</v>
      </c>
    </row>
    <row r="4" spans="1:3">
      <c r="A4" s="499">
        <v>43941</v>
      </c>
      <c r="B4" s="500" t="s">
        <v>291</v>
      </c>
      <c r="C4" s="500" t="s">
        <v>11</v>
      </c>
    </row>
    <row r="5" spans="1:3">
      <c r="A5" s="499">
        <v>43942</v>
      </c>
      <c r="B5" s="500" t="s">
        <v>292</v>
      </c>
      <c r="C5" s="500" t="s">
        <v>11</v>
      </c>
    </row>
    <row r="6" spans="1:3">
      <c r="A6" s="499">
        <v>43963</v>
      </c>
      <c r="B6" s="500" t="s">
        <v>293</v>
      </c>
      <c r="C6" s="500" t="s">
        <v>11</v>
      </c>
    </row>
    <row r="7" spans="1:3">
      <c r="A7" s="499">
        <v>43990</v>
      </c>
      <c r="B7" s="500" t="s">
        <v>294</v>
      </c>
      <c r="C7" s="500" t="s">
        <v>11</v>
      </c>
    </row>
    <row r="8" spans="1:3" ht="29.1">
      <c r="A8" s="499">
        <v>44104</v>
      </c>
      <c r="B8" s="80" t="s">
        <v>295</v>
      </c>
      <c r="C8" s="500" t="s">
        <v>296</v>
      </c>
    </row>
    <row r="9" spans="1:3" ht="144.94999999999999">
      <c r="A9" s="499">
        <v>44128</v>
      </c>
      <c r="B9" s="80" t="s">
        <v>297</v>
      </c>
      <c r="C9" s="500" t="s">
        <v>296</v>
      </c>
    </row>
    <row r="10" spans="1:3">
      <c r="A10" s="499">
        <v>44361</v>
      </c>
      <c r="B10" s="500" t="s">
        <v>298</v>
      </c>
      <c r="C10" s="500" t="s">
        <v>299</v>
      </c>
    </row>
    <row r="11" spans="1:3">
      <c r="A11" s="499">
        <v>44813</v>
      </c>
      <c r="B11" s="500" t="s">
        <v>300</v>
      </c>
      <c r="C11" s="500"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P433"/>
  <sheetViews>
    <sheetView tabSelected="1" zoomScale="70" zoomScaleNormal="70" workbookViewId="0" xr3:uid="{842E5F09-E766-5B8D-85AF-A39847EA96FD}">
      <pane xSplit="2" ySplit="5" topLeftCell="C145" activePane="bottomRight" state="frozen"/>
      <selection pane="bottomRight" activeCell="H145" sqref="H145"/>
      <selection pane="bottomLeft" activeCell="A4" sqref="A4"/>
      <selection pane="topRight" activeCell="C1" sqref="C1"/>
    </sheetView>
  </sheetViews>
  <sheetFormatPr defaultColWidth="9.140625" defaultRowHeight="14.45"/>
  <cols>
    <col min="1" max="1" width="21.5703125" style="172" customWidth="1"/>
    <col min="2" max="2" width="32.42578125" style="170" customWidth="1"/>
    <col min="3" max="3" width="17.140625" style="170" customWidth="1"/>
    <col min="4" max="4" width="14.140625" style="173" bestFit="1" customWidth="1"/>
    <col min="5" max="5" width="25.7109375" style="170" customWidth="1"/>
    <col min="6" max="6" width="50.7109375" style="170" customWidth="1"/>
    <col min="7" max="7" width="9.85546875" style="170" bestFit="1" customWidth="1"/>
    <col min="8" max="8" width="32.28515625" style="173" customWidth="1"/>
    <col min="9" max="9" width="13.42578125" style="173" customWidth="1"/>
    <col min="10" max="10" width="54.5703125" style="170" customWidth="1"/>
    <col min="11" max="11" width="8.28515625" style="170" bestFit="1" customWidth="1"/>
    <col min="12" max="12" width="17.28515625" style="170" bestFit="1" customWidth="1"/>
    <col min="13" max="13" width="18.5703125" style="170"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8.140625" style="174" bestFit="1" customWidth="1"/>
    <col min="21" max="21" width="11.5703125" style="174" bestFit="1" customWidth="1"/>
    <col min="22" max="22" width="6.42578125" style="174" customWidth="1"/>
    <col min="23" max="23" width="8.5703125" style="174" bestFit="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73.7109375" style="170" bestFit="1" customWidth="1"/>
    <col min="35" max="35" width="13.85546875" style="170" bestFit="1" customWidth="1"/>
    <col min="36" max="36" width="21.28515625" style="170" bestFit="1" customWidth="1"/>
    <col min="37" max="37" width="14.42578125" style="170" bestFit="1" customWidth="1"/>
    <col min="38" max="38" width="13.7109375" style="170" bestFit="1" customWidth="1"/>
    <col min="39" max="39" width="12.85546875" style="170" bestFit="1" customWidth="1"/>
    <col min="40" max="40" width="13.7109375" style="170" bestFit="1" customWidth="1"/>
    <col min="41" max="41" width="13.42578125" style="170" bestFit="1" customWidth="1"/>
    <col min="42" max="16384" width="9.140625" style="170"/>
  </cols>
  <sheetData>
    <row r="1" spans="1:42" ht="18.95" thickBot="1">
      <c r="A1" s="641" t="s">
        <v>301</v>
      </c>
      <c r="B1" s="642"/>
      <c r="C1" s="642"/>
      <c r="D1" s="642"/>
      <c r="E1" s="642"/>
      <c r="F1" s="642"/>
      <c r="G1" s="642"/>
      <c r="H1" s="642"/>
      <c r="I1" s="642"/>
      <c r="J1" s="642"/>
      <c r="K1" s="642"/>
      <c r="L1" s="642"/>
      <c r="M1" s="642"/>
      <c r="N1" s="642"/>
      <c r="O1" s="642"/>
      <c r="P1" s="642"/>
      <c r="Q1" s="642"/>
      <c r="R1" s="642"/>
      <c r="S1" s="642"/>
      <c r="T1" s="642"/>
      <c r="U1" s="642"/>
      <c r="V1" s="642"/>
      <c r="W1" s="642"/>
      <c r="X1" s="642"/>
      <c r="Y1" s="642"/>
      <c r="Z1" s="642"/>
      <c r="AA1" s="642"/>
      <c r="AB1" s="642"/>
      <c r="AC1" s="642"/>
      <c r="AD1" s="642"/>
      <c r="AE1" s="642"/>
      <c r="AF1" s="642"/>
      <c r="AG1" s="642"/>
      <c r="AH1" s="643"/>
      <c r="AI1" s="573"/>
      <c r="AJ1" s="559"/>
      <c r="AK1" s="559"/>
      <c r="AL1" s="559"/>
      <c r="AM1" s="559"/>
      <c r="AN1" s="559"/>
      <c r="AO1" s="559"/>
      <c r="AP1" s="560"/>
    </row>
    <row r="2" spans="1:42" ht="18.95" thickBot="1">
      <c r="A2" s="646" t="s">
        <v>302</v>
      </c>
      <c r="B2" s="647"/>
      <c r="C2" s="647"/>
      <c r="D2" s="647"/>
      <c r="E2" s="647"/>
      <c r="F2" s="647"/>
      <c r="G2" s="647"/>
      <c r="H2" s="647"/>
      <c r="I2" s="647"/>
      <c r="J2" s="648"/>
      <c r="K2" s="544">
        <f>SUM(K6:K149)</f>
        <v>170</v>
      </c>
      <c r="L2" s="544">
        <f>SUM(L6:L149)</f>
        <v>88769</v>
      </c>
      <c r="M2" s="545"/>
      <c r="N2" s="546">
        <f>SUMPRODUCT(K6:K149,N6:N149)/K152</f>
        <v>1</v>
      </c>
      <c r="O2" s="547">
        <f>SUM(O6:O149)</f>
        <v>88747</v>
      </c>
      <c r="P2" s="548">
        <f>SUMPRODUCT(K6:K149,P6:P149)/K152</f>
        <v>1</v>
      </c>
      <c r="Q2" s="549"/>
      <c r="R2" s="550">
        <f t="shared" ref="R2:W2" si="0">SUM(R6:R149)</f>
        <v>48458</v>
      </c>
      <c r="S2" s="551">
        <f t="shared" si="0"/>
        <v>48748</v>
      </c>
      <c r="T2" s="551">
        <f t="shared" si="0"/>
        <v>48586</v>
      </c>
      <c r="U2" s="551">
        <f t="shared" si="0"/>
        <v>2</v>
      </c>
      <c r="V2" s="551">
        <f t="shared" si="0"/>
        <v>154</v>
      </c>
      <c r="W2" s="551">
        <f t="shared" si="0"/>
        <v>6</v>
      </c>
      <c r="X2" s="552">
        <f>IF((S152=0),0,((T152+U152)/S152*100%))</f>
        <v>0.99671781406416671</v>
      </c>
      <c r="Y2" s="553"/>
      <c r="Z2" s="554">
        <f>SUM(Z6:Z149)</f>
        <v>88733</v>
      </c>
      <c r="AA2" s="555">
        <f>SUM(AA6:AA149)</f>
        <v>88725</v>
      </c>
      <c r="AB2" s="555">
        <f>SUM(AB6:AB149)</f>
        <v>8</v>
      </c>
      <c r="AC2" s="555">
        <f>SUM(AC6:AC149)</f>
        <v>0</v>
      </c>
      <c r="AD2" s="555">
        <f>SUM(AD6:AD149)</f>
        <v>0</v>
      </c>
      <c r="AE2" s="556">
        <f>IF((Z152=0),0,((AA152+AB152)/Z152*100%))</f>
        <v>1</v>
      </c>
      <c r="AF2" s="557"/>
      <c r="AG2" s="557"/>
      <c r="AH2" s="561"/>
      <c r="AI2" s="573">
        <f>COUNTIF(AB6:AB148,"&lt; &gt;0")</f>
        <v>0</v>
      </c>
      <c r="AJ2" s="559">
        <f>(SUMIF(AB6:AB148, "=0", AE6:AE148)/(COUNTA(AE6:AE148) - AI2))</f>
        <v>0</v>
      </c>
      <c r="AK2" s="559"/>
      <c r="AL2" s="559"/>
      <c r="AM2" s="559"/>
      <c r="AN2" s="559"/>
      <c r="AO2" s="559"/>
      <c r="AP2" s="560"/>
    </row>
    <row r="3" spans="1:42" ht="19.5" customHeight="1" thickBot="1">
      <c r="A3" s="644" t="s">
        <v>303</v>
      </c>
      <c r="B3" s="645"/>
      <c r="C3" s="645"/>
      <c r="D3" s="645"/>
      <c r="E3" s="645"/>
      <c r="F3" s="645"/>
      <c r="G3" s="645"/>
      <c r="H3" s="645"/>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573"/>
      <c r="AJ3" s="559"/>
      <c r="AK3" s="559"/>
      <c r="AL3" s="559"/>
      <c r="AM3" s="559"/>
      <c r="AN3" s="559"/>
      <c r="AO3" s="559"/>
      <c r="AP3" s="560"/>
    </row>
    <row r="4" spans="1:42" ht="31.5" customHeight="1" thickBot="1">
      <c r="A4" s="652" t="s">
        <v>76</v>
      </c>
      <c r="B4" s="653"/>
      <c r="C4" s="653"/>
      <c r="D4" s="653"/>
      <c r="E4" s="653"/>
      <c r="F4" s="653"/>
      <c r="G4" s="653"/>
      <c r="H4" s="653"/>
      <c r="I4" s="653"/>
      <c r="J4" s="653"/>
      <c r="K4" s="653"/>
      <c r="L4" s="653"/>
      <c r="M4" s="654"/>
      <c r="N4" s="655" t="s">
        <v>304</v>
      </c>
      <c r="O4" s="656"/>
      <c r="P4" s="657"/>
      <c r="Q4" s="661" t="s">
        <v>305</v>
      </c>
      <c r="R4" s="662"/>
      <c r="S4" s="662"/>
      <c r="T4" s="662"/>
      <c r="U4" s="662"/>
      <c r="V4" s="662"/>
      <c r="W4" s="662"/>
      <c r="X4" s="662"/>
      <c r="Y4" s="663"/>
      <c r="Z4" s="658" t="s">
        <v>306</v>
      </c>
      <c r="AA4" s="659"/>
      <c r="AB4" s="659"/>
      <c r="AC4" s="659"/>
      <c r="AD4" s="659"/>
      <c r="AE4" s="660"/>
      <c r="AF4" s="660"/>
      <c r="AG4" s="660"/>
      <c r="AH4" s="660"/>
      <c r="AI4" s="573"/>
      <c r="AJ4" s="559"/>
      <c r="AK4" s="559"/>
      <c r="AL4" s="559"/>
      <c r="AM4" s="559"/>
      <c r="AN4" s="559"/>
      <c r="AO4" s="559"/>
      <c r="AP4" s="560"/>
    </row>
    <row r="5" spans="1:42" s="171" customFormat="1" ht="44.1" thickBot="1">
      <c r="A5" s="531" t="s">
        <v>77</v>
      </c>
      <c r="B5" s="532" t="s">
        <v>81</v>
      </c>
      <c r="C5" s="532" t="s">
        <v>84</v>
      </c>
      <c r="D5" s="533" t="s">
        <v>88</v>
      </c>
      <c r="E5" s="532" t="s">
        <v>91</v>
      </c>
      <c r="F5" s="532" t="s">
        <v>94</v>
      </c>
      <c r="G5" s="532" t="s">
        <v>96</v>
      </c>
      <c r="H5" s="532" t="s">
        <v>99</v>
      </c>
      <c r="I5" s="532" t="s">
        <v>307</v>
      </c>
      <c r="J5" s="532" t="s">
        <v>102</v>
      </c>
      <c r="K5" s="534" t="s">
        <v>105</v>
      </c>
      <c r="L5" s="534" t="s">
        <v>108</v>
      </c>
      <c r="M5" s="535" t="s">
        <v>1</v>
      </c>
      <c r="N5" s="536" t="s">
        <v>114</v>
      </c>
      <c r="O5" s="537" t="s">
        <v>118</v>
      </c>
      <c r="P5" s="538" t="s">
        <v>121</v>
      </c>
      <c r="Q5" s="539" t="s">
        <v>125</v>
      </c>
      <c r="R5" s="540" t="s">
        <v>128</v>
      </c>
      <c r="S5" s="540" t="s">
        <v>132</v>
      </c>
      <c r="T5" s="541" t="s">
        <v>30</v>
      </c>
      <c r="U5" s="541" t="s">
        <v>135</v>
      </c>
      <c r="V5" s="541" t="s">
        <v>36</v>
      </c>
      <c r="W5" s="541" t="s">
        <v>138</v>
      </c>
      <c r="X5" s="541" t="s">
        <v>140</v>
      </c>
      <c r="Y5" s="542" t="s">
        <v>142</v>
      </c>
      <c r="Z5" s="543" t="s">
        <v>132</v>
      </c>
      <c r="AA5" s="541" t="s">
        <v>30</v>
      </c>
      <c r="AB5" s="541" t="s">
        <v>135</v>
      </c>
      <c r="AC5" s="541" t="s">
        <v>36</v>
      </c>
      <c r="AD5" s="541" t="s">
        <v>138</v>
      </c>
      <c r="AE5" s="541" t="s">
        <v>140</v>
      </c>
      <c r="AF5" s="532" t="s">
        <v>155</v>
      </c>
      <c r="AG5" s="532" t="s">
        <v>157</v>
      </c>
      <c r="AH5" s="542" t="s">
        <v>160</v>
      </c>
      <c r="AI5" s="575" t="s">
        <v>308</v>
      </c>
      <c r="AJ5" s="576" t="s">
        <v>309</v>
      </c>
      <c r="AK5" s="576" t="s">
        <v>310</v>
      </c>
      <c r="AL5" s="577" t="s">
        <v>311</v>
      </c>
      <c r="AM5" s="577" t="s">
        <v>312</v>
      </c>
      <c r="AN5" s="577" t="s">
        <v>313</v>
      </c>
      <c r="AO5" s="577" t="s">
        <v>314</v>
      </c>
      <c r="AP5" s="578"/>
    </row>
    <row r="6" spans="1:42" ht="409.6" thickBot="1">
      <c r="A6" s="514" t="s">
        <v>315</v>
      </c>
      <c r="B6" s="515" t="s">
        <v>316</v>
      </c>
      <c r="C6" s="515" t="s">
        <v>317</v>
      </c>
      <c r="D6" s="516" t="s">
        <v>318</v>
      </c>
      <c r="E6" s="517" t="s">
        <v>319</v>
      </c>
      <c r="F6" s="518" t="s">
        <v>320</v>
      </c>
      <c r="G6" s="519" t="str">
        <f>VLOOKUP(A6,'Feature Summary'!$A$7:$C$4049,3,FALSE)</f>
        <v>P4</v>
      </c>
      <c r="H6" s="520" t="s">
        <v>321</v>
      </c>
      <c r="I6" s="515" t="s">
        <v>322</v>
      </c>
      <c r="J6" s="516"/>
      <c r="K6" s="516">
        <v>1</v>
      </c>
      <c r="L6" s="516">
        <v>2000</v>
      </c>
      <c r="M6" s="521" t="s">
        <v>323</v>
      </c>
      <c r="N6" s="522">
        <v>1</v>
      </c>
      <c r="O6" s="523">
        <v>2000</v>
      </c>
      <c r="P6" s="422">
        <f>IF((O6=0),0,(O6/L6))</f>
        <v>1</v>
      </c>
      <c r="Q6" s="524" t="s">
        <v>48</v>
      </c>
      <c r="R6" s="516">
        <v>1000</v>
      </c>
      <c r="S6" s="580">
        <f>SUM(T6:W6)</f>
        <v>2000</v>
      </c>
      <c r="T6" s="525">
        <v>2000</v>
      </c>
      <c r="U6" s="525"/>
      <c r="V6" s="525">
        <v>0</v>
      </c>
      <c r="W6" s="525"/>
      <c r="X6" s="526">
        <f t="shared" ref="X6:X28" si="1">IF((S6=0),0,((T6+U6)/S6*100%))</f>
        <v>1</v>
      </c>
      <c r="Y6" s="527"/>
      <c r="Z6" s="528">
        <f>SUM(AA6:AD6)</f>
        <v>6000</v>
      </c>
      <c r="AA6" s="525">
        <v>6000</v>
      </c>
      <c r="AB6" s="525"/>
      <c r="AC6" s="525"/>
      <c r="AD6" s="525"/>
      <c r="AE6" s="529">
        <f t="shared" ref="AE6:AE62" si="2">IF((Z6=0),0,((AA6+AB6)/Z6*100%))</f>
        <v>1</v>
      </c>
      <c r="AF6" s="515"/>
      <c r="AG6" s="530"/>
      <c r="AH6" s="562"/>
      <c r="AI6" s="574" t="s">
        <v>322</v>
      </c>
      <c r="AJ6" s="571" t="s">
        <v>324</v>
      </c>
      <c r="AK6" s="571" t="s">
        <v>37</v>
      </c>
      <c r="AL6" s="571"/>
      <c r="AM6" s="571"/>
      <c r="AN6" s="571"/>
      <c r="AO6" s="571" t="s">
        <v>325</v>
      </c>
      <c r="AP6" s="572"/>
    </row>
    <row r="7" spans="1:42" ht="409.6" thickBot="1">
      <c r="A7" s="321" t="s">
        <v>326</v>
      </c>
      <c r="B7" s="322" t="s">
        <v>327</v>
      </c>
      <c r="C7" s="322" t="s">
        <v>328</v>
      </c>
      <c r="D7" s="323" t="s">
        <v>318</v>
      </c>
      <c r="E7" s="505" t="s">
        <v>329</v>
      </c>
      <c r="F7" s="411" t="s">
        <v>320</v>
      </c>
      <c r="G7" s="241" t="str">
        <f>VLOOKUP(A7,'Feature Summary'!$A$7:$C$4049,3,FALSE)</f>
        <v>P4</v>
      </c>
      <c r="H7" s="508" t="s">
        <v>330</v>
      </c>
      <c r="I7" s="322" t="s">
        <v>322</v>
      </c>
      <c r="J7" s="323"/>
      <c r="K7" s="323">
        <v>1</v>
      </c>
      <c r="L7" s="323">
        <v>500</v>
      </c>
      <c r="M7" s="387" t="s">
        <v>323</v>
      </c>
      <c r="N7" s="420">
        <v>1</v>
      </c>
      <c r="O7" s="421">
        <v>500</v>
      </c>
      <c r="P7" s="422">
        <f>IF((O7=0),0,(O7/L7))</f>
        <v>1</v>
      </c>
      <c r="Q7" s="409" t="s">
        <v>48</v>
      </c>
      <c r="R7" s="323">
        <v>500</v>
      </c>
      <c r="S7" s="580">
        <f t="shared" ref="S7:S70" si="3">SUM(T7:W7)</f>
        <v>2173</v>
      </c>
      <c r="T7" s="434">
        <v>2173</v>
      </c>
      <c r="U7" s="434">
        <v>0</v>
      </c>
      <c r="V7" s="434">
        <v>0</v>
      </c>
      <c r="W7" s="434"/>
      <c r="X7" s="439">
        <f t="shared" si="1"/>
        <v>1</v>
      </c>
      <c r="Y7" s="410"/>
      <c r="Z7" s="528">
        <f t="shared" ref="Z7:Z70" si="4">SUM(AA7:AD7)</f>
        <v>1000</v>
      </c>
      <c r="AA7" s="434">
        <v>1000</v>
      </c>
      <c r="AB7" s="434"/>
      <c r="AC7" s="434"/>
      <c r="AD7" s="434"/>
      <c r="AE7" s="435">
        <f t="shared" si="2"/>
        <v>1</v>
      </c>
      <c r="AF7" s="322"/>
      <c r="AG7" s="530"/>
      <c r="AH7" s="563"/>
      <c r="AI7" s="567" t="s">
        <v>322</v>
      </c>
      <c r="AJ7" s="558" t="s">
        <v>324</v>
      </c>
      <c r="AK7" s="558" t="s">
        <v>37</v>
      </c>
      <c r="AL7" s="558"/>
      <c r="AM7" s="558"/>
      <c r="AN7" s="558"/>
      <c r="AO7" s="558"/>
      <c r="AP7" s="566"/>
    </row>
    <row r="8" spans="1:42" ht="409.6" thickBot="1">
      <c r="A8" s="321" t="s">
        <v>331</v>
      </c>
      <c r="B8" s="322" t="s">
        <v>332</v>
      </c>
      <c r="C8" s="322" t="s">
        <v>317</v>
      </c>
      <c r="D8" s="323" t="s">
        <v>318</v>
      </c>
      <c r="E8" s="505" t="s">
        <v>333</v>
      </c>
      <c r="F8" s="411" t="s">
        <v>320</v>
      </c>
      <c r="G8" s="241" t="str">
        <f>VLOOKUP(A8,'Feature Summary'!$A$7:$C$4049,3,FALSE)</f>
        <v>P4</v>
      </c>
      <c r="H8" s="508" t="s">
        <v>334</v>
      </c>
      <c r="I8" s="322" t="s">
        <v>322</v>
      </c>
      <c r="J8" s="323"/>
      <c r="K8" s="323">
        <v>1</v>
      </c>
      <c r="L8" s="323">
        <v>5000</v>
      </c>
      <c r="M8" s="387" t="s">
        <v>323</v>
      </c>
      <c r="N8" s="420">
        <v>1</v>
      </c>
      <c r="O8" s="421">
        <v>5000</v>
      </c>
      <c r="P8" s="422">
        <f t="shared" ref="P8:P18" si="5">IF((O8=0),0,(O8/L8))</f>
        <v>1</v>
      </c>
      <c r="Q8" s="409" t="s">
        <v>48</v>
      </c>
      <c r="R8" s="323">
        <v>5000</v>
      </c>
      <c r="S8" s="580">
        <f t="shared" si="3"/>
        <v>1000</v>
      </c>
      <c r="T8" s="434">
        <v>1000</v>
      </c>
      <c r="U8" s="434"/>
      <c r="V8" s="434"/>
      <c r="W8" s="434"/>
      <c r="X8" s="439">
        <f t="shared" si="1"/>
        <v>1</v>
      </c>
      <c r="Y8" s="410"/>
      <c r="Z8" s="528">
        <f t="shared" si="4"/>
        <v>2000</v>
      </c>
      <c r="AA8" s="434">
        <v>2000</v>
      </c>
      <c r="AB8" s="434"/>
      <c r="AC8" s="434"/>
      <c r="AD8" s="434"/>
      <c r="AE8" s="435">
        <f t="shared" si="2"/>
        <v>1</v>
      </c>
      <c r="AF8" s="322"/>
      <c r="AG8" s="530"/>
      <c r="AH8" s="563"/>
      <c r="AI8" s="567" t="s">
        <v>322</v>
      </c>
      <c r="AJ8" s="558" t="s">
        <v>324</v>
      </c>
      <c r="AK8" s="558" t="s">
        <v>37</v>
      </c>
      <c r="AL8" s="558"/>
      <c r="AM8" s="558"/>
      <c r="AN8" s="558"/>
      <c r="AO8" s="558"/>
      <c r="AP8" s="566"/>
    </row>
    <row r="9" spans="1:42" ht="409.6" thickBot="1">
      <c r="A9" s="321" t="s">
        <v>335</v>
      </c>
      <c r="B9" s="322" t="s">
        <v>336</v>
      </c>
      <c r="C9" s="322" t="s">
        <v>317</v>
      </c>
      <c r="D9" s="323" t="s">
        <v>318</v>
      </c>
      <c r="E9" s="505" t="s">
        <v>337</v>
      </c>
      <c r="F9" s="411" t="s">
        <v>338</v>
      </c>
      <c r="G9" s="241" t="str">
        <f>VLOOKUP(A9,'Feature Summary'!$A$7:$C$4049,3,FALSE)</f>
        <v>P4</v>
      </c>
      <c r="H9" s="508" t="s">
        <v>339</v>
      </c>
      <c r="I9" s="322" t="s">
        <v>322</v>
      </c>
      <c r="J9" s="323"/>
      <c r="K9" s="323">
        <v>1</v>
      </c>
      <c r="L9" s="323">
        <v>1000</v>
      </c>
      <c r="M9" s="387" t="s">
        <v>340</v>
      </c>
      <c r="N9" s="420">
        <v>1</v>
      </c>
      <c r="O9" s="421">
        <v>1000</v>
      </c>
      <c r="P9" s="422">
        <f t="shared" si="5"/>
        <v>1</v>
      </c>
      <c r="Q9" s="409" t="s">
        <v>48</v>
      </c>
      <c r="R9" s="323">
        <v>1000</v>
      </c>
      <c r="S9" s="580">
        <f t="shared" si="3"/>
        <v>1816</v>
      </c>
      <c r="T9" s="434">
        <v>1816</v>
      </c>
      <c r="U9" s="434"/>
      <c r="V9" s="434"/>
      <c r="W9" s="434"/>
      <c r="X9" s="439">
        <f t="shared" si="1"/>
        <v>1</v>
      </c>
      <c r="Y9" s="410"/>
      <c r="Z9" s="528">
        <f t="shared" si="4"/>
        <v>1000</v>
      </c>
      <c r="AA9" s="434">
        <v>1000</v>
      </c>
      <c r="AB9" s="434"/>
      <c r="AC9" s="434"/>
      <c r="AD9" s="434"/>
      <c r="AE9" s="435">
        <f t="shared" si="2"/>
        <v>1</v>
      </c>
      <c r="AF9" s="322"/>
      <c r="AG9" s="530"/>
      <c r="AH9" s="563"/>
      <c r="AI9" s="567" t="s">
        <v>322</v>
      </c>
      <c r="AJ9" s="558" t="s">
        <v>324</v>
      </c>
      <c r="AK9" s="558" t="s">
        <v>37</v>
      </c>
      <c r="AL9" s="558"/>
      <c r="AM9" s="558"/>
      <c r="AN9" s="558"/>
      <c r="AO9" s="558"/>
      <c r="AP9" s="566"/>
    </row>
    <row r="10" spans="1:42" ht="102" thickBot="1">
      <c r="A10" s="321" t="s">
        <v>341</v>
      </c>
      <c r="B10" s="322" t="s">
        <v>342</v>
      </c>
      <c r="C10" s="322" t="s">
        <v>317</v>
      </c>
      <c r="D10" s="323" t="s">
        <v>318</v>
      </c>
      <c r="E10" s="505" t="s">
        <v>343</v>
      </c>
      <c r="F10" s="411" t="s">
        <v>320</v>
      </c>
      <c r="G10" s="241" t="str">
        <f>VLOOKUP(A10,'Feature Summary'!$A$7:$C$4049,3,FALSE)</f>
        <v>P4</v>
      </c>
      <c r="H10" s="508" t="s">
        <v>344</v>
      </c>
      <c r="I10" s="322" t="s">
        <v>322</v>
      </c>
      <c r="J10" s="323"/>
      <c r="K10" s="323">
        <v>1</v>
      </c>
      <c r="L10" s="323">
        <v>1000</v>
      </c>
      <c r="M10" s="387" t="s">
        <v>323</v>
      </c>
      <c r="N10" s="420">
        <v>1</v>
      </c>
      <c r="O10" s="421">
        <v>1000</v>
      </c>
      <c r="P10" s="422">
        <f t="shared" si="5"/>
        <v>1</v>
      </c>
      <c r="Q10" s="409" t="s">
        <v>48</v>
      </c>
      <c r="R10" s="323">
        <v>1000</v>
      </c>
      <c r="S10" s="580">
        <f t="shared" si="3"/>
        <v>1782</v>
      </c>
      <c r="T10" s="434">
        <v>1782</v>
      </c>
      <c r="U10" s="434"/>
      <c r="V10" s="434"/>
      <c r="W10" s="434"/>
      <c r="X10" s="439">
        <f t="shared" si="1"/>
        <v>1</v>
      </c>
      <c r="Y10" s="410"/>
      <c r="Z10" s="528">
        <f t="shared" si="4"/>
        <v>3000</v>
      </c>
      <c r="AA10" s="434">
        <v>3000</v>
      </c>
      <c r="AB10" s="434"/>
      <c r="AC10" s="434"/>
      <c r="AD10" s="434"/>
      <c r="AE10" s="435">
        <f t="shared" si="2"/>
        <v>1</v>
      </c>
      <c r="AF10" s="322"/>
      <c r="AG10" s="530"/>
      <c r="AH10" s="563"/>
      <c r="AI10" s="567" t="s">
        <v>322</v>
      </c>
      <c r="AJ10" s="558" t="s">
        <v>324</v>
      </c>
      <c r="AK10" s="558" t="s">
        <v>37</v>
      </c>
      <c r="AL10" s="558"/>
      <c r="AM10" s="558"/>
      <c r="AN10" s="558"/>
      <c r="AO10" s="558"/>
      <c r="AP10" s="566"/>
    </row>
    <row r="11" spans="1:42" ht="101.45">
      <c r="A11" s="321" t="s">
        <v>345</v>
      </c>
      <c r="B11" s="322" t="s">
        <v>346</v>
      </c>
      <c r="C11" s="322" t="s">
        <v>317</v>
      </c>
      <c r="D11" s="323" t="s">
        <v>318</v>
      </c>
      <c r="E11" s="505" t="s">
        <v>343</v>
      </c>
      <c r="F11" s="411" t="s">
        <v>320</v>
      </c>
      <c r="G11" s="241" t="str">
        <f>VLOOKUP(A11,'Feature Summary'!$A$7:$C$4049,3,FALSE)</f>
        <v>P4</v>
      </c>
      <c r="H11" s="508" t="s">
        <v>347</v>
      </c>
      <c r="I11" s="322" t="s">
        <v>322</v>
      </c>
      <c r="J11" s="323"/>
      <c r="K11" s="323">
        <v>1</v>
      </c>
      <c r="L11" s="323">
        <v>200</v>
      </c>
      <c r="M11" s="387" t="s">
        <v>323</v>
      </c>
      <c r="N11" s="420">
        <v>1</v>
      </c>
      <c r="O11" s="421">
        <v>200</v>
      </c>
      <c r="P11" s="422">
        <f t="shared" si="5"/>
        <v>1</v>
      </c>
      <c r="Q11" s="409" t="s">
        <v>48</v>
      </c>
      <c r="R11" s="323">
        <v>200</v>
      </c>
      <c r="S11" s="580">
        <f t="shared" si="3"/>
        <v>2000</v>
      </c>
      <c r="T11" s="434">
        <v>2000</v>
      </c>
      <c r="U11" s="434"/>
      <c r="V11" s="434"/>
      <c r="W11" s="434"/>
      <c r="X11" s="439">
        <f t="shared" si="1"/>
        <v>1</v>
      </c>
      <c r="Y11" s="410"/>
      <c r="Z11" s="528">
        <f t="shared" si="4"/>
        <v>2000</v>
      </c>
      <c r="AA11" s="434">
        <v>2000</v>
      </c>
      <c r="AB11" s="434"/>
      <c r="AC11" s="434"/>
      <c r="AD11" s="434"/>
      <c r="AE11" s="435">
        <f t="shared" si="2"/>
        <v>1</v>
      </c>
      <c r="AF11" s="322"/>
      <c r="AG11" s="530"/>
      <c r="AH11" s="563"/>
      <c r="AI11" s="567" t="s">
        <v>322</v>
      </c>
      <c r="AJ11" s="558" t="s">
        <v>324</v>
      </c>
      <c r="AK11" s="558" t="s">
        <v>37</v>
      </c>
      <c r="AL11" s="558"/>
      <c r="AM11" s="558"/>
      <c r="AN11" s="558"/>
      <c r="AO11" s="558"/>
      <c r="AP11" s="566"/>
    </row>
    <row r="12" spans="1:42" ht="57.95">
      <c r="A12" s="321" t="s">
        <v>348</v>
      </c>
      <c r="B12" s="322" t="s">
        <v>349</v>
      </c>
      <c r="C12" s="411" t="s">
        <v>328</v>
      </c>
      <c r="D12" s="323" t="s">
        <v>318</v>
      </c>
      <c r="E12" s="411" t="s">
        <v>343</v>
      </c>
      <c r="F12" s="411" t="s">
        <v>350</v>
      </c>
      <c r="G12" s="241" t="str">
        <f>VLOOKUP(A12,'Feature Summary'!$A$7:$C$4049,3,FALSE)</f>
        <v>P4</v>
      </c>
      <c r="H12" s="508" t="s">
        <v>351</v>
      </c>
      <c r="I12" s="322" t="s">
        <v>322</v>
      </c>
      <c r="J12" s="323"/>
      <c r="K12" s="323">
        <v>3</v>
      </c>
      <c r="L12" s="323">
        <v>5000</v>
      </c>
      <c r="M12" s="387" t="s">
        <v>323</v>
      </c>
      <c r="N12" s="420">
        <v>1</v>
      </c>
      <c r="O12" s="421">
        <v>5000</v>
      </c>
      <c r="P12" s="422">
        <f t="shared" si="5"/>
        <v>1</v>
      </c>
      <c r="Q12" s="409" t="s">
        <v>48</v>
      </c>
      <c r="R12" s="323">
        <v>1000</v>
      </c>
      <c r="S12" s="580">
        <f t="shared" si="3"/>
        <v>4000</v>
      </c>
      <c r="T12" s="434">
        <v>4000</v>
      </c>
      <c r="U12" s="434"/>
      <c r="V12" s="434"/>
      <c r="W12" s="434"/>
      <c r="X12" s="439">
        <f t="shared" si="1"/>
        <v>1</v>
      </c>
      <c r="Y12" s="410"/>
      <c r="Z12" s="528">
        <f t="shared" si="4"/>
        <v>5000</v>
      </c>
      <c r="AA12" s="434">
        <v>5000</v>
      </c>
      <c r="AB12" s="434"/>
      <c r="AC12" s="434"/>
      <c r="AD12" s="434"/>
      <c r="AE12" s="435">
        <f t="shared" si="2"/>
        <v>1</v>
      </c>
      <c r="AF12" s="322"/>
      <c r="AG12" s="530"/>
      <c r="AH12" s="563"/>
      <c r="AI12" s="567" t="s">
        <v>322</v>
      </c>
      <c r="AJ12" s="558" t="s">
        <v>324</v>
      </c>
      <c r="AK12" s="558" t="s">
        <v>37</v>
      </c>
      <c r="AL12" s="558"/>
      <c r="AM12" s="558"/>
      <c r="AN12" s="558"/>
      <c r="AO12" s="558"/>
      <c r="AP12" s="566"/>
    </row>
    <row r="13" spans="1:42" ht="57.95">
      <c r="A13" s="321" t="s">
        <v>352</v>
      </c>
      <c r="B13" s="322" t="s">
        <v>353</v>
      </c>
      <c r="C13" s="411" t="s">
        <v>328</v>
      </c>
      <c r="D13" s="323" t="s">
        <v>318</v>
      </c>
      <c r="E13" s="411" t="s">
        <v>343</v>
      </c>
      <c r="F13" s="411" t="s">
        <v>350</v>
      </c>
      <c r="G13" s="241" t="str">
        <f>VLOOKUP(A13,'Feature Summary'!$A$7:$C$4049,3,FALSE)</f>
        <v>P4</v>
      </c>
      <c r="H13" s="508" t="s">
        <v>354</v>
      </c>
      <c r="I13" s="322" t="s">
        <v>322</v>
      </c>
      <c r="J13" s="323"/>
      <c r="K13" s="323">
        <v>1</v>
      </c>
      <c r="L13" s="323">
        <v>1000</v>
      </c>
      <c r="M13" s="387" t="s">
        <v>323</v>
      </c>
      <c r="N13" s="420">
        <v>1</v>
      </c>
      <c r="O13" s="421">
        <v>1000</v>
      </c>
      <c r="P13" s="422">
        <f t="shared" si="5"/>
        <v>1</v>
      </c>
      <c r="Q13" s="409" t="s">
        <v>48</v>
      </c>
      <c r="R13" s="323">
        <v>1000</v>
      </c>
      <c r="S13" s="580">
        <f t="shared" si="3"/>
        <v>1000</v>
      </c>
      <c r="T13" s="434">
        <v>1000</v>
      </c>
      <c r="U13" s="434"/>
      <c r="V13" s="434"/>
      <c r="W13" s="434"/>
      <c r="X13" s="439">
        <f t="shared" si="1"/>
        <v>1</v>
      </c>
      <c r="Y13" s="410"/>
      <c r="Z13" s="528">
        <f t="shared" si="4"/>
        <v>1000</v>
      </c>
      <c r="AA13" s="434">
        <v>1000</v>
      </c>
      <c r="AB13" s="434"/>
      <c r="AC13" s="434"/>
      <c r="AD13" s="434"/>
      <c r="AE13" s="435">
        <f t="shared" si="2"/>
        <v>1</v>
      </c>
      <c r="AF13" s="322"/>
      <c r="AG13" s="530"/>
      <c r="AH13" s="563"/>
      <c r="AI13" s="567" t="s">
        <v>322</v>
      </c>
      <c r="AJ13" s="558" t="s">
        <v>324</v>
      </c>
      <c r="AK13" s="558" t="s">
        <v>37</v>
      </c>
      <c r="AL13" s="558"/>
      <c r="AM13" s="558"/>
      <c r="AN13" s="558"/>
      <c r="AO13" s="558"/>
      <c r="AP13" s="566"/>
    </row>
    <row r="14" spans="1:42" ht="72.599999999999994">
      <c r="A14" s="321" t="s">
        <v>355</v>
      </c>
      <c r="B14" s="322" t="s">
        <v>356</v>
      </c>
      <c r="C14" s="411" t="s">
        <v>328</v>
      </c>
      <c r="D14" s="323" t="s">
        <v>318</v>
      </c>
      <c r="E14" s="411" t="s">
        <v>343</v>
      </c>
      <c r="F14" s="411" t="s">
        <v>357</v>
      </c>
      <c r="G14" s="241" t="str">
        <f>VLOOKUP(A14,'Feature Summary'!$A$7:$C$4049,3,FALSE)</f>
        <v>P4</v>
      </c>
      <c r="H14" s="508" t="s">
        <v>358</v>
      </c>
      <c r="I14" s="322" t="s">
        <v>322</v>
      </c>
      <c r="J14" s="323"/>
      <c r="K14" s="323">
        <v>10</v>
      </c>
      <c r="L14" s="323">
        <v>20000</v>
      </c>
      <c r="M14" s="387" t="s">
        <v>323</v>
      </c>
      <c r="N14" s="420">
        <v>1</v>
      </c>
      <c r="O14" s="421">
        <v>20000</v>
      </c>
      <c r="P14" s="422">
        <f t="shared" si="5"/>
        <v>1</v>
      </c>
      <c r="Q14" s="409" t="s">
        <v>48</v>
      </c>
      <c r="R14" s="323">
        <v>2000</v>
      </c>
      <c r="S14" s="580">
        <f t="shared" si="3"/>
        <v>827</v>
      </c>
      <c r="T14" s="434">
        <v>827</v>
      </c>
      <c r="U14" s="434"/>
      <c r="V14" s="434"/>
      <c r="W14" s="434"/>
      <c r="X14" s="439">
        <f t="shared" si="1"/>
        <v>1</v>
      </c>
      <c r="Y14" s="410"/>
      <c r="Z14" s="528">
        <f t="shared" si="4"/>
        <v>10000</v>
      </c>
      <c r="AA14" s="434">
        <v>10000</v>
      </c>
      <c r="AB14" s="434"/>
      <c r="AC14" s="434"/>
      <c r="AD14" s="434"/>
      <c r="AE14" s="435">
        <f t="shared" si="2"/>
        <v>1</v>
      </c>
      <c r="AF14" s="322"/>
      <c r="AG14" s="530"/>
      <c r="AH14" s="563"/>
      <c r="AI14" s="567" t="s">
        <v>322</v>
      </c>
      <c r="AJ14" s="558" t="s">
        <v>324</v>
      </c>
      <c r="AK14" s="558" t="s">
        <v>37</v>
      </c>
      <c r="AL14" s="558"/>
      <c r="AM14" s="558"/>
      <c r="AN14" s="558"/>
      <c r="AO14" s="558"/>
      <c r="AP14" s="566"/>
    </row>
    <row r="15" spans="1:42" ht="72.599999999999994">
      <c r="A15" s="322" t="s">
        <v>359</v>
      </c>
      <c r="B15" s="322" t="s">
        <v>360</v>
      </c>
      <c r="C15" s="411" t="s">
        <v>328</v>
      </c>
      <c r="D15" s="323" t="s">
        <v>318</v>
      </c>
      <c r="E15" s="411" t="s">
        <v>343</v>
      </c>
      <c r="F15" s="411" t="s">
        <v>361</v>
      </c>
      <c r="G15" s="241" t="s">
        <v>259</v>
      </c>
      <c r="H15" s="508" t="s">
        <v>362</v>
      </c>
      <c r="I15" s="322" t="s">
        <v>322</v>
      </c>
      <c r="J15" s="323"/>
      <c r="K15" s="323">
        <v>10</v>
      </c>
      <c r="L15" s="323">
        <v>10000</v>
      </c>
      <c r="M15" s="387" t="s">
        <v>323</v>
      </c>
      <c r="N15" s="420">
        <v>1</v>
      </c>
      <c r="O15" s="421">
        <v>10000</v>
      </c>
      <c r="P15" s="422">
        <f t="shared" si="5"/>
        <v>1</v>
      </c>
      <c r="Q15" s="409" t="s">
        <v>48</v>
      </c>
      <c r="R15" s="323">
        <v>1000</v>
      </c>
      <c r="S15" s="580">
        <f t="shared" si="3"/>
        <v>520</v>
      </c>
      <c r="T15" s="434">
        <v>520</v>
      </c>
      <c r="U15" s="434"/>
      <c r="V15" s="434"/>
      <c r="W15" s="434"/>
      <c r="X15" s="439">
        <f t="shared" si="1"/>
        <v>1</v>
      </c>
      <c r="Y15" s="410"/>
      <c r="Z15" s="528">
        <f t="shared" si="4"/>
        <v>10000</v>
      </c>
      <c r="AA15" s="434">
        <v>10000</v>
      </c>
      <c r="AB15" s="434"/>
      <c r="AC15" s="434"/>
      <c r="AD15" s="434"/>
      <c r="AE15" s="435">
        <f t="shared" si="2"/>
        <v>1</v>
      </c>
      <c r="AF15" s="322"/>
      <c r="AG15" s="530"/>
      <c r="AH15" s="563"/>
      <c r="AI15" s="567" t="s">
        <v>322</v>
      </c>
      <c r="AJ15" s="558" t="s">
        <v>324</v>
      </c>
      <c r="AK15" s="558" t="s">
        <v>37</v>
      </c>
      <c r="AL15" s="558"/>
      <c r="AM15" s="558"/>
      <c r="AN15" s="558"/>
      <c r="AO15" s="558"/>
      <c r="AP15" s="566"/>
    </row>
    <row r="16" spans="1:42" ht="72.599999999999994">
      <c r="A16" s="322" t="s">
        <v>363</v>
      </c>
      <c r="B16" s="322" t="s">
        <v>364</v>
      </c>
      <c r="C16" s="411" t="s">
        <v>328</v>
      </c>
      <c r="D16" s="323" t="s">
        <v>318</v>
      </c>
      <c r="E16" s="411" t="s">
        <v>343</v>
      </c>
      <c r="F16" s="411" t="s">
        <v>357</v>
      </c>
      <c r="G16" s="241" t="str">
        <f>VLOOKUP(A16,'Feature Summary'!$A$7:$C$4049,3,FALSE)</f>
        <v>P4</v>
      </c>
      <c r="H16" s="508" t="s">
        <v>365</v>
      </c>
      <c r="I16" s="322" t="s">
        <v>322</v>
      </c>
      <c r="J16" s="323"/>
      <c r="K16" s="323">
        <v>3</v>
      </c>
      <c r="L16" s="323">
        <v>5000</v>
      </c>
      <c r="M16" s="387" t="s">
        <v>323</v>
      </c>
      <c r="N16" s="420">
        <v>1</v>
      </c>
      <c r="O16" s="421">
        <v>5000</v>
      </c>
      <c r="P16" s="422">
        <f t="shared" si="5"/>
        <v>1</v>
      </c>
      <c r="Q16" s="409" t="s">
        <v>48</v>
      </c>
      <c r="R16" s="323">
        <v>5000</v>
      </c>
      <c r="S16" s="580">
        <f t="shared" si="3"/>
        <v>0</v>
      </c>
      <c r="T16" s="434"/>
      <c r="U16" s="434"/>
      <c r="V16" s="434"/>
      <c r="W16" s="434"/>
      <c r="X16" s="439">
        <f t="shared" si="1"/>
        <v>0</v>
      </c>
      <c r="Y16" s="410"/>
      <c r="Z16" s="528">
        <f t="shared" si="4"/>
        <v>0</v>
      </c>
      <c r="AA16" s="434"/>
      <c r="AB16" s="434"/>
      <c r="AC16" s="434"/>
      <c r="AD16" s="434"/>
      <c r="AE16" s="435">
        <f t="shared" si="2"/>
        <v>0</v>
      </c>
      <c r="AF16" s="322"/>
      <c r="AG16" s="530"/>
      <c r="AH16" s="563"/>
      <c r="AI16" s="567" t="s">
        <v>322</v>
      </c>
      <c r="AJ16" s="558" t="s">
        <v>324</v>
      </c>
      <c r="AK16" s="558" t="s">
        <v>37</v>
      </c>
      <c r="AL16" s="558"/>
      <c r="AM16" s="558"/>
      <c r="AN16" s="558"/>
      <c r="AO16" s="558"/>
      <c r="AP16" s="566"/>
    </row>
    <row r="17" spans="1:42" ht="72.95" thickBot="1">
      <c r="A17" s="322" t="s">
        <v>366</v>
      </c>
      <c r="B17" s="322" t="s">
        <v>367</v>
      </c>
      <c r="C17" s="411" t="s">
        <v>328</v>
      </c>
      <c r="D17" s="323" t="s">
        <v>318</v>
      </c>
      <c r="E17" s="411" t="s">
        <v>343</v>
      </c>
      <c r="F17" s="411" t="s">
        <v>357</v>
      </c>
      <c r="G17" s="241" t="str">
        <f>VLOOKUP(A17,'Feature Summary'!$A$7:$C$4049,3,FALSE)</f>
        <v>P4</v>
      </c>
      <c r="H17" s="508" t="s">
        <v>368</v>
      </c>
      <c r="I17" s="322" t="s">
        <v>322</v>
      </c>
      <c r="J17" s="323"/>
      <c r="K17" s="323">
        <v>3</v>
      </c>
      <c r="L17" s="323">
        <v>5000</v>
      </c>
      <c r="M17" s="387" t="s">
        <v>323</v>
      </c>
      <c r="N17" s="420">
        <v>1</v>
      </c>
      <c r="O17" s="421">
        <v>5000</v>
      </c>
      <c r="P17" s="422">
        <f t="shared" ref="P17" si="6">IF((O17=0),0,(O17/L17))</f>
        <v>1</v>
      </c>
      <c r="Q17" s="409" t="s">
        <v>48</v>
      </c>
      <c r="R17" s="323">
        <v>1000</v>
      </c>
      <c r="S17" s="580">
        <f t="shared" si="3"/>
        <v>135</v>
      </c>
      <c r="T17" s="434">
        <v>135</v>
      </c>
      <c r="U17" s="434"/>
      <c r="V17" s="434"/>
      <c r="W17" s="434"/>
      <c r="X17" s="439">
        <f t="shared" ref="X17" si="7">IF((S17=0),0,((T17+U17)/S17*100%))</f>
        <v>1</v>
      </c>
      <c r="Y17" s="410"/>
      <c r="Z17" s="528">
        <f t="shared" si="4"/>
        <v>4000</v>
      </c>
      <c r="AA17" s="434">
        <v>4000</v>
      </c>
      <c r="AB17" s="434"/>
      <c r="AC17" s="434"/>
      <c r="AD17" s="434"/>
      <c r="AE17" s="435">
        <f t="shared" ref="AE17" si="8">IF((Z17=0),0,((AA17+AB17)/Z17*100%))</f>
        <v>1</v>
      </c>
      <c r="AF17" s="322"/>
      <c r="AG17" s="530"/>
      <c r="AH17" s="563"/>
      <c r="AI17" s="567" t="s">
        <v>322</v>
      </c>
      <c r="AJ17" s="558" t="s">
        <v>324</v>
      </c>
      <c r="AK17" s="558" t="s">
        <v>37</v>
      </c>
      <c r="AL17" s="558"/>
      <c r="AM17" s="558"/>
      <c r="AN17" s="558"/>
      <c r="AO17" s="558"/>
      <c r="AP17" s="566"/>
    </row>
    <row r="18" spans="1:42" ht="87.6" thickBot="1">
      <c r="A18" s="321" t="s">
        <v>369</v>
      </c>
      <c r="B18" s="322" t="s">
        <v>370</v>
      </c>
      <c r="C18" s="322" t="s">
        <v>317</v>
      </c>
      <c r="D18" s="323" t="s">
        <v>318</v>
      </c>
      <c r="E18" s="505" t="s">
        <v>371</v>
      </c>
      <c r="F18" s="411" t="s">
        <v>372</v>
      </c>
      <c r="G18" s="241" t="str">
        <f>VLOOKUP(A18,'Feature Summary'!$A$7:$C$4049,3,FALSE)</f>
        <v>P4</v>
      </c>
      <c r="H18" s="508" t="s">
        <v>373</v>
      </c>
      <c r="I18" s="322" t="s">
        <v>322</v>
      </c>
      <c r="J18" s="323"/>
      <c r="K18" s="323">
        <v>1</v>
      </c>
      <c r="L18" s="323">
        <v>500</v>
      </c>
      <c r="M18" s="387" t="s">
        <v>323</v>
      </c>
      <c r="N18" s="420">
        <v>1</v>
      </c>
      <c r="O18" s="421">
        <v>500</v>
      </c>
      <c r="P18" s="422">
        <f t="shared" si="5"/>
        <v>1</v>
      </c>
      <c r="Q18" s="409" t="s">
        <v>48</v>
      </c>
      <c r="R18" s="323">
        <v>500</v>
      </c>
      <c r="S18" s="580">
        <f t="shared" si="3"/>
        <v>1076</v>
      </c>
      <c r="T18" s="434">
        <v>1076</v>
      </c>
      <c r="U18" s="434"/>
      <c r="V18" s="434"/>
      <c r="W18" s="434"/>
      <c r="X18" s="439">
        <f t="shared" si="1"/>
        <v>1</v>
      </c>
      <c r="Y18" s="410"/>
      <c r="Z18" s="528">
        <f t="shared" si="4"/>
        <v>1000</v>
      </c>
      <c r="AA18" s="434">
        <v>1000</v>
      </c>
      <c r="AB18" s="434"/>
      <c r="AC18" s="434"/>
      <c r="AD18" s="434"/>
      <c r="AE18" s="435">
        <f t="shared" si="2"/>
        <v>1</v>
      </c>
      <c r="AF18" s="322"/>
      <c r="AG18" s="530"/>
      <c r="AH18" s="563"/>
      <c r="AI18" s="567" t="s">
        <v>322</v>
      </c>
      <c r="AJ18" s="558" t="s">
        <v>324</v>
      </c>
      <c r="AK18" s="558" t="s">
        <v>37</v>
      </c>
      <c r="AL18" s="558"/>
      <c r="AM18" s="558"/>
      <c r="AN18" s="558"/>
      <c r="AO18" s="558"/>
      <c r="AP18" s="566"/>
    </row>
    <row r="19" spans="1:42" ht="116.45" thickBot="1">
      <c r="A19" s="321" t="s">
        <v>374</v>
      </c>
      <c r="B19" s="322" t="s">
        <v>375</v>
      </c>
      <c r="C19" s="322" t="s">
        <v>376</v>
      </c>
      <c r="D19" s="323" t="s">
        <v>318</v>
      </c>
      <c r="E19" s="505" t="s">
        <v>377</v>
      </c>
      <c r="F19" s="411" t="s">
        <v>378</v>
      </c>
      <c r="G19" s="241" t="str">
        <f>VLOOKUP(A19,'Feature Summary'!$A$7:$C$4049,3,FALSE)</f>
        <v>P1</v>
      </c>
      <c r="H19" s="508" t="s">
        <v>379</v>
      </c>
      <c r="I19" s="322" t="s">
        <v>46</v>
      </c>
      <c r="J19" s="323"/>
      <c r="K19" s="323">
        <v>1</v>
      </c>
      <c r="L19" s="323">
        <v>5</v>
      </c>
      <c r="M19" s="387" t="s">
        <v>323</v>
      </c>
      <c r="N19" s="420">
        <v>1</v>
      </c>
      <c r="O19" s="421">
        <v>5</v>
      </c>
      <c r="P19" s="422">
        <f>IF((O19=0),0,(O19/L19))</f>
        <v>1</v>
      </c>
      <c r="Q19" s="409" t="s">
        <v>48</v>
      </c>
      <c r="R19" s="421">
        <v>5</v>
      </c>
      <c r="S19" s="580">
        <f t="shared" si="3"/>
        <v>5</v>
      </c>
      <c r="T19" s="421">
        <v>5</v>
      </c>
      <c r="U19" s="434"/>
      <c r="V19" s="434"/>
      <c r="W19" s="434"/>
      <c r="X19" s="439">
        <f t="shared" si="1"/>
        <v>1</v>
      </c>
      <c r="Y19" s="410"/>
      <c r="Z19" s="528">
        <f t="shared" si="4"/>
        <v>5</v>
      </c>
      <c r="AA19" s="434">
        <v>5</v>
      </c>
      <c r="AB19" s="434"/>
      <c r="AC19" s="434"/>
      <c r="AD19" s="434"/>
      <c r="AE19" s="435">
        <f t="shared" si="2"/>
        <v>1</v>
      </c>
      <c r="AF19" s="322"/>
      <c r="AG19" s="530">
        <f>VLOOKUP(A19,'Feature Summary'!$A$7:$U$3900,21,FALSE)</f>
        <v>0</v>
      </c>
      <c r="AH19" s="563"/>
      <c r="AI19" s="567" t="s">
        <v>46</v>
      </c>
      <c r="AJ19" s="558" t="s">
        <v>324</v>
      </c>
      <c r="AK19" s="558" t="s">
        <v>37</v>
      </c>
      <c r="AL19" s="558">
        <v>30</v>
      </c>
      <c r="AM19" s="558">
        <v>20</v>
      </c>
      <c r="AN19" s="558">
        <v>50</v>
      </c>
      <c r="AO19" s="558"/>
      <c r="AP19" s="566"/>
    </row>
    <row r="20" spans="1:42" ht="90">
      <c r="A20" s="321" t="s">
        <v>380</v>
      </c>
      <c r="B20" s="322" t="s">
        <v>381</v>
      </c>
      <c r="C20" s="322" t="s">
        <v>376</v>
      </c>
      <c r="D20" s="323" t="s">
        <v>318</v>
      </c>
      <c r="E20" s="505" t="s">
        <v>377</v>
      </c>
      <c r="F20" s="411" t="s">
        <v>378</v>
      </c>
      <c r="G20" s="241" t="str">
        <f>VLOOKUP(A20,'Feature Summary'!$A$7:$C$4049,3,FALSE)</f>
        <v>P1</v>
      </c>
      <c r="H20" s="508" t="s">
        <v>382</v>
      </c>
      <c r="I20" s="322" t="s">
        <v>46</v>
      </c>
      <c r="J20" s="323"/>
      <c r="K20" s="323">
        <v>1</v>
      </c>
      <c r="L20" s="323">
        <v>5</v>
      </c>
      <c r="M20" s="387" t="s">
        <v>323</v>
      </c>
      <c r="N20" s="420">
        <v>1</v>
      </c>
      <c r="O20" s="421">
        <v>5</v>
      </c>
      <c r="P20" s="422">
        <f>IF((O20=0),0,(O20/L20))</f>
        <v>1</v>
      </c>
      <c r="Q20" s="409" t="s">
        <v>48</v>
      </c>
      <c r="R20" s="421">
        <v>5</v>
      </c>
      <c r="S20" s="580">
        <f t="shared" si="3"/>
        <v>5</v>
      </c>
      <c r="T20" s="421">
        <v>5</v>
      </c>
      <c r="U20" s="434"/>
      <c r="V20" s="434"/>
      <c r="W20" s="434"/>
      <c r="X20" s="439">
        <f t="shared" si="1"/>
        <v>1</v>
      </c>
      <c r="Y20" s="410"/>
      <c r="Z20" s="528">
        <f t="shared" si="4"/>
        <v>5</v>
      </c>
      <c r="AA20" s="434">
        <v>5</v>
      </c>
      <c r="AB20" s="434"/>
      <c r="AC20" s="434"/>
      <c r="AD20" s="434"/>
      <c r="AE20" s="435">
        <f t="shared" si="2"/>
        <v>1</v>
      </c>
      <c r="AF20" s="322"/>
      <c r="AG20" s="530">
        <f>VLOOKUP(A20,'Feature Summary'!$A$7:$U$3900,21,FALSE)</f>
        <v>0</v>
      </c>
      <c r="AH20" s="563"/>
      <c r="AI20" s="567" t="s">
        <v>46</v>
      </c>
      <c r="AJ20" s="558" t="s">
        <v>324</v>
      </c>
      <c r="AK20" s="558" t="s">
        <v>37</v>
      </c>
      <c r="AL20" s="558">
        <v>18</v>
      </c>
      <c r="AM20" s="558">
        <v>12</v>
      </c>
      <c r="AN20" s="558">
        <v>50</v>
      </c>
      <c r="AO20" s="558"/>
      <c r="AP20" s="566"/>
    </row>
    <row r="21" spans="1:42" ht="72.95" thickBot="1">
      <c r="A21" s="321" t="s">
        <v>383</v>
      </c>
      <c r="B21" s="322" t="s">
        <v>384</v>
      </c>
      <c r="C21" s="322" t="s">
        <v>376</v>
      </c>
      <c r="D21" s="323" t="s">
        <v>318</v>
      </c>
      <c r="E21" s="505" t="s">
        <v>377</v>
      </c>
      <c r="F21" s="411" t="s">
        <v>378</v>
      </c>
      <c r="G21" s="241" t="str">
        <f>VLOOKUP(A21,'Feature Summary'!$A$7:$C$4049,3,FALSE)</f>
        <v>P1</v>
      </c>
      <c r="H21" s="508" t="s">
        <v>385</v>
      </c>
      <c r="I21" s="322" t="s">
        <v>46</v>
      </c>
      <c r="J21" s="323"/>
      <c r="K21" s="323">
        <v>1</v>
      </c>
      <c r="L21" s="323">
        <v>2</v>
      </c>
      <c r="M21" s="387" t="s">
        <v>323</v>
      </c>
      <c r="N21" s="420">
        <v>1</v>
      </c>
      <c r="O21" s="421">
        <v>2</v>
      </c>
      <c r="P21" s="422">
        <f t="shared" ref="P21:P28" si="9">IF((O21=0),0,(O21/L21))</f>
        <v>1</v>
      </c>
      <c r="Q21" s="409" t="s">
        <v>48</v>
      </c>
      <c r="R21" s="421">
        <v>2</v>
      </c>
      <c r="S21" s="580">
        <f t="shared" si="3"/>
        <v>2</v>
      </c>
      <c r="T21" s="421">
        <v>2</v>
      </c>
      <c r="U21" s="434"/>
      <c r="V21" s="434"/>
      <c r="W21" s="434"/>
      <c r="X21" s="439">
        <f t="shared" si="1"/>
        <v>1</v>
      </c>
      <c r="Y21" s="410"/>
      <c r="Z21" s="528">
        <f t="shared" si="4"/>
        <v>2</v>
      </c>
      <c r="AA21" s="434">
        <v>2</v>
      </c>
      <c r="AB21" s="434"/>
      <c r="AC21" s="434"/>
      <c r="AD21" s="434"/>
      <c r="AE21" s="435">
        <f t="shared" si="2"/>
        <v>1</v>
      </c>
      <c r="AF21" s="322"/>
      <c r="AG21" s="530">
        <f>VLOOKUP(A21,'Feature Summary'!$A$7:$U$3900,21,FALSE)</f>
        <v>0</v>
      </c>
      <c r="AH21" s="563"/>
      <c r="AI21" s="567" t="s">
        <v>46</v>
      </c>
      <c r="AJ21" s="558" t="s">
        <v>324</v>
      </c>
      <c r="AK21" s="558" t="s">
        <v>37</v>
      </c>
      <c r="AL21" s="558">
        <v>12</v>
      </c>
      <c r="AM21" s="558">
        <v>8</v>
      </c>
      <c r="AN21" s="558">
        <v>50</v>
      </c>
      <c r="AO21" s="558"/>
      <c r="AP21" s="566"/>
    </row>
    <row r="22" spans="1:42" ht="29.1">
      <c r="A22" s="321" t="s">
        <v>386</v>
      </c>
      <c r="B22" s="322" t="s">
        <v>387</v>
      </c>
      <c r="C22" s="322" t="s">
        <v>376</v>
      </c>
      <c r="D22" s="323" t="s">
        <v>318</v>
      </c>
      <c r="E22" s="505" t="s">
        <v>388</v>
      </c>
      <c r="F22" s="411" t="s">
        <v>389</v>
      </c>
      <c r="G22" s="241" t="str">
        <f>VLOOKUP(A22,'Feature Summary'!$A$7:$C$4049,3,FALSE)</f>
        <v>P3</v>
      </c>
      <c r="H22" s="385" t="s">
        <v>390</v>
      </c>
      <c r="I22" s="322"/>
      <c r="J22" s="323"/>
      <c r="K22" s="323">
        <v>1</v>
      </c>
      <c r="L22" s="323">
        <v>1</v>
      </c>
      <c r="M22" s="387" t="s">
        <v>323</v>
      </c>
      <c r="N22" s="420">
        <v>1</v>
      </c>
      <c r="O22" s="421">
        <v>1</v>
      </c>
      <c r="P22" s="422">
        <f t="shared" si="9"/>
        <v>1</v>
      </c>
      <c r="Q22" s="409" t="s">
        <v>48</v>
      </c>
      <c r="R22" s="421">
        <v>1</v>
      </c>
      <c r="S22" s="580">
        <f t="shared" si="3"/>
        <v>1</v>
      </c>
      <c r="T22" s="421">
        <v>0</v>
      </c>
      <c r="U22" s="434"/>
      <c r="V22" s="434"/>
      <c r="W22" s="434">
        <v>1</v>
      </c>
      <c r="X22" s="439">
        <f t="shared" si="1"/>
        <v>0</v>
      </c>
      <c r="Y22" s="410"/>
      <c r="Z22" s="528">
        <f t="shared" si="4"/>
        <v>1</v>
      </c>
      <c r="AA22" s="434"/>
      <c r="AB22" s="434">
        <v>1</v>
      </c>
      <c r="AC22" s="434"/>
      <c r="AD22" s="434"/>
      <c r="AE22" s="435">
        <f t="shared" si="2"/>
        <v>1</v>
      </c>
      <c r="AF22" s="322"/>
      <c r="AG22" s="530">
        <f>VLOOKUP(A22,'Feature Summary'!$A$7:$U$3900,21,FALSE)</f>
        <v>0</v>
      </c>
      <c r="AH22" s="563"/>
      <c r="AI22" s="567" t="s">
        <v>46</v>
      </c>
      <c r="AJ22" s="558" t="s">
        <v>324</v>
      </c>
      <c r="AK22" s="558" t="s">
        <v>37</v>
      </c>
      <c r="AL22" s="558"/>
      <c r="AM22" s="558"/>
      <c r="AN22" s="558"/>
      <c r="AO22" s="558"/>
      <c r="AP22" s="566"/>
    </row>
    <row r="23" spans="1:42" ht="101.45">
      <c r="A23" s="321" t="s">
        <v>391</v>
      </c>
      <c r="B23" s="322" t="s">
        <v>392</v>
      </c>
      <c r="C23" s="322" t="s">
        <v>328</v>
      </c>
      <c r="D23" s="323" t="s">
        <v>318</v>
      </c>
      <c r="E23" s="411" t="s">
        <v>393</v>
      </c>
      <c r="F23" s="411" t="s">
        <v>394</v>
      </c>
      <c r="G23" s="241" t="str">
        <f>VLOOKUP(A23,'Feature Summary'!$A$7:$C$4049,3,FALSE)</f>
        <v>P4</v>
      </c>
      <c r="H23" s="385" t="s">
        <v>395</v>
      </c>
      <c r="I23" s="322" t="s">
        <v>322</v>
      </c>
      <c r="J23" s="323"/>
      <c r="K23" s="323">
        <v>1</v>
      </c>
      <c r="L23" s="323">
        <v>1000</v>
      </c>
      <c r="M23" s="387" t="s">
        <v>323</v>
      </c>
      <c r="N23" s="420">
        <v>1</v>
      </c>
      <c r="O23" s="421">
        <v>1000</v>
      </c>
      <c r="P23" s="422">
        <f t="shared" si="9"/>
        <v>1</v>
      </c>
      <c r="Q23" s="409" t="s">
        <v>48</v>
      </c>
      <c r="R23" s="421">
        <v>1000</v>
      </c>
      <c r="S23" s="580">
        <f t="shared" si="3"/>
        <v>3400</v>
      </c>
      <c r="T23" s="421">
        <v>3400</v>
      </c>
      <c r="U23" s="434"/>
      <c r="V23" s="434"/>
      <c r="W23" s="434"/>
      <c r="X23" s="439">
        <f t="shared" si="1"/>
        <v>1</v>
      </c>
      <c r="Y23" s="410"/>
      <c r="Z23" s="528">
        <f t="shared" si="4"/>
        <v>3000</v>
      </c>
      <c r="AA23" s="434">
        <v>3000</v>
      </c>
      <c r="AB23" s="434"/>
      <c r="AC23" s="434"/>
      <c r="AD23" s="434"/>
      <c r="AE23" s="435">
        <f t="shared" si="2"/>
        <v>1</v>
      </c>
      <c r="AF23" s="322"/>
      <c r="AG23" s="530"/>
      <c r="AH23" s="563"/>
      <c r="AI23" s="567" t="s">
        <v>322</v>
      </c>
      <c r="AJ23" s="558" t="s">
        <v>324</v>
      </c>
      <c r="AK23" s="558" t="s">
        <v>37</v>
      </c>
      <c r="AL23" s="558"/>
      <c r="AM23" s="558"/>
      <c r="AN23" s="558"/>
      <c r="AO23" s="558"/>
      <c r="AP23" s="566"/>
    </row>
    <row r="24" spans="1:42" ht="57.95">
      <c r="A24" s="321" t="s">
        <v>396</v>
      </c>
      <c r="B24" s="322" t="s">
        <v>397</v>
      </c>
      <c r="C24" s="322" t="s">
        <v>398</v>
      </c>
      <c r="D24" s="323" t="s">
        <v>318</v>
      </c>
      <c r="E24" s="322" t="s">
        <v>399</v>
      </c>
      <c r="F24" s="411" t="s">
        <v>400</v>
      </c>
      <c r="G24" s="241" t="str">
        <f>VLOOKUP(A24,'Feature Summary'!$A$7:$C$4049,3,FALSE)</f>
        <v>P4</v>
      </c>
      <c r="H24" s="508" t="s">
        <v>401</v>
      </c>
      <c r="I24" s="322" t="s">
        <v>46</v>
      </c>
      <c r="J24" s="323"/>
      <c r="K24" s="323">
        <v>1</v>
      </c>
      <c r="L24" s="323">
        <v>0</v>
      </c>
      <c r="M24" s="387" t="s">
        <v>402</v>
      </c>
      <c r="N24" s="420">
        <v>1</v>
      </c>
      <c r="O24" s="421">
        <v>0</v>
      </c>
      <c r="P24" s="422">
        <v>1</v>
      </c>
      <c r="Q24" s="409" t="s">
        <v>48</v>
      </c>
      <c r="R24" s="421">
        <v>0</v>
      </c>
      <c r="S24" s="580">
        <f t="shared" si="3"/>
        <v>1</v>
      </c>
      <c r="T24" s="421">
        <v>0</v>
      </c>
      <c r="U24" s="434"/>
      <c r="V24" s="434"/>
      <c r="W24" s="434">
        <v>1</v>
      </c>
      <c r="X24" s="439">
        <f t="shared" si="1"/>
        <v>0</v>
      </c>
      <c r="Y24" s="410"/>
      <c r="Z24" s="528">
        <f t="shared" si="4"/>
        <v>1</v>
      </c>
      <c r="AA24" s="434"/>
      <c r="AB24" s="434">
        <v>1</v>
      </c>
      <c r="AC24" s="434"/>
      <c r="AD24" s="434"/>
      <c r="AE24" s="435">
        <f t="shared" si="2"/>
        <v>1</v>
      </c>
      <c r="AF24" s="322"/>
      <c r="AG24" s="530" t="str">
        <f>VLOOKUP(A24,'Feature Summary'!$A$7:$U$3900,21,FALSE)</f>
        <v>NA</v>
      </c>
      <c r="AH24" s="563"/>
      <c r="AI24" s="567" t="s">
        <v>46</v>
      </c>
      <c r="AJ24" s="558" t="s">
        <v>324</v>
      </c>
      <c r="AK24" s="558" t="s">
        <v>37</v>
      </c>
      <c r="AL24" s="558"/>
      <c r="AM24" s="558"/>
      <c r="AN24" s="558"/>
      <c r="AO24" s="558"/>
      <c r="AP24" s="566"/>
    </row>
    <row r="25" spans="1:42" ht="57.95">
      <c r="A25" s="321" t="s">
        <v>403</v>
      </c>
      <c r="B25" s="322" t="s">
        <v>404</v>
      </c>
      <c r="C25" s="322" t="s">
        <v>398</v>
      </c>
      <c r="D25" s="323" t="s">
        <v>318</v>
      </c>
      <c r="E25" s="322" t="s">
        <v>405</v>
      </c>
      <c r="F25" s="411" t="s">
        <v>406</v>
      </c>
      <c r="G25" s="241" t="str">
        <f>VLOOKUP(A25,'Feature Summary'!$A$7:$C$4049,3,FALSE)</f>
        <v>P2</v>
      </c>
      <c r="H25" s="385" t="s">
        <v>407</v>
      </c>
      <c r="I25" s="322" t="s">
        <v>46</v>
      </c>
      <c r="J25" s="323"/>
      <c r="K25" s="323">
        <v>1</v>
      </c>
      <c r="L25" s="323">
        <v>1</v>
      </c>
      <c r="M25" s="387" t="s">
        <v>323</v>
      </c>
      <c r="N25" s="420">
        <v>1</v>
      </c>
      <c r="O25" s="421">
        <v>1</v>
      </c>
      <c r="P25" s="422">
        <f t="shared" si="9"/>
        <v>1</v>
      </c>
      <c r="Q25" s="409" t="s">
        <v>48</v>
      </c>
      <c r="R25" s="421">
        <v>1</v>
      </c>
      <c r="S25" s="580">
        <f t="shared" si="3"/>
        <v>1</v>
      </c>
      <c r="T25" s="421">
        <v>1</v>
      </c>
      <c r="U25" s="434"/>
      <c r="V25" s="434"/>
      <c r="W25" s="434"/>
      <c r="X25" s="439">
        <f t="shared" si="1"/>
        <v>1</v>
      </c>
      <c r="Y25" s="410"/>
      <c r="Z25" s="528">
        <f t="shared" si="4"/>
        <v>1</v>
      </c>
      <c r="AA25" s="434">
        <v>1</v>
      </c>
      <c r="AB25" s="434"/>
      <c r="AC25" s="434"/>
      <c r="AD25" s="434"/>
      <c r="AE25" s="435">
        <f t="shared" si="2"/>
        <v>1</v>
      </c>
      <c r="AF25" s="322"/>
      <c r="AG25" s="530" t="str">
        <f>VLOOKUP(A25,'Feature Summary'!$A$7:$U$3900,21,FALSE)</f>
        <v>Not POR</v>
      </c>
      <c r="AH25" s="563"/>
      <c r="AI25" s="567" t="s">
        <v>46</v>
      </c>
      <c r="AJ25" s="558" t="s">
        <v>324</v>
      </c>
      <c r="AK25" s="558" t="s">
        <v>37</v>
      </c>
      <c r="AL25" s="558"/>
      <c r="AM25" s="558"/>
      <c r="AN25" s="558"/>
      <c r="AO25" s="558"/>
      <c r="AP25" s="566"/>
    </row>
    <row r="26" spans="1:42" ht="57.95">
      <c r="A26" s="321" t="s">
        <v>408</v>
      </c>
      <c r="B26" s="322" t="s">
        <v>409</v>
      </c>
      <c r="C26" s="322" t="s">
        <v>398</v>
      </c>
      <c r="D26" s="323" t="s">
        <v>318</v>
      </c>
      <c r="E26" s="411" t="s">
        <v>410</v>
      </c>
      <c r="F26" s="411" t="s">
        <v>411</v>
      </c>
      <c r="G26" s="241" t="str">
        <f>VLOOKUP(A26,'Feature Summary'!$A$7:$C$4049,3,FALSE)</f>
        <v>P4</v>
      </c>
      <c r="H26" s="508" t="s">
        <v>412</v>
      </c>
      <c r="I26" s="322" t="s">
        <v>322</v>
      </c>
      <c r="J26" s="323"/>
      <c r="K26" s="323">
        <v>1</v>
      </c>
      <c r="L26" s="323">
        <v>1000</v>
      </c>
      <c r="M26" s="387" t="s">
        <v>323</v>
      </c>
      <c r="N26" s="420">
        <v>1</v>
      </c>
      <c r="O26" s="421">
        <v>1000</v>
      </c>
      <c r="P26" s="422">
        <f t="shared" si="9"/>
        <v>1</v>
      </c>
      <c r="Q26" s="409" t="s">
        <v>48</v>
      </c>
      <c r="R26" s="421">
        <v>1000</v>
      </c>
      <c r="S26" s="580">
        <f t="shared" si="3"/>
        <v>1000</v>
      </c>
      <c r="T26" s="421">
        <v>1000</v>
      </c>
      <c r="U26" s="434"/>
      <c r="V26" s="434"/>
      <c r="W26" s="434"/>
      <c r="X26" s="439">
        <f t="shared" si="1"/>
        <v>1</v>
      </c>
      <c r="Y26" s="410"/>
      <c r="Z26" s="528">
        <f t="shared" si="4"/>
        <v>2000</v>
      </c>
      <c r="AA26" s="434">
        <v>2000</v>
      </c>
      <c r="AB26" s="434"/>
      <c r="AC26" s="434"/>
      <c r="AD26" s="434"/>
      <c r="AE26" s="435">
        <f t="shared" si="2"/>
        <v>1</v>
      </c>
      <c r="AF26" s="322"/>
      <c r="AG26" s="530">
        <f>VLOOKUP(A26,'Feature Summary'!$A$7:$U$3900,21,FALSE)</f>
        <v>0</v>
      </c>
      <c r="AH26" s="563"/>
      <c r="AI26" s="567" t="s">
        <v>322</v>
      </c>
      <c r="AJ26" s="558" t="s">
        <v>324</v>
      </c>
      <c r="AK26" s="558" t="s">
        <v>37</v>
      </c>
      <c r="AL26" s="558"/>
      <c r="AM26" s="558"/>
      <c r="AN26" s="558"/>
      <c r="AO26" s="558"/>
      <c r="AP26" s="566"/>
    </row>
    <row r="27" spans="1:42" ht="29.1">
      <c r="A27" s="321" t="s">
        <v>413</v>
      </c>
      <c r="B27" s="322" t="s">
        <v>414</v>
      </c>
      <c r="C27" s="322" t="s">
        <v>398</v>
      </c>
      <c r="D27" s="323" t="s">
        <v>318</v>
      </c>
      <c r="E27" s="322" t="s">
        <v>415</v>
      </c>
      <c r="F27" s="411" t="s">
        <v>416</v>
      </c>
      <c r="G27" s="241" t="str">
        <f>VLOOKUP(A27,'Feature Summary'!$A$7:$C$4049,3,FALSE)</f>
        <v>P4</v>
      </c>
      <c r="H27" s="385" t="s">
        <v>417</v>
      </c>
      <c r="I27" s="322" t="s">
        <v>46</v>
      </c>
      <c r="J27" s="323"/>
      <c r="K27" s="323">
        <v>1</v>
      </c>
      <c r="L27" s="323">
        <v>1</v>
      </c>
      <c r="M27" s="387" t="s">
        <v>323</v>
      </c>
      <c r="N27" s="420">
        <v>1</v>
      </c>
      <c r="O27" s="421">
        <v>1</v>
      </c>
      <c r="P27" s="422">
        <f t="shared" si="9"/>
        <v>1</v>
      </c>
      <c r="Q27" s="409" t="s">
        <v>48</v>
      </c>
      <c r="R27" s="421">
        <v>1</v>
      </c>
      <c r="S27" s="580">
        <f t="shared" si="3"/>
        <v>1</v>
      </c>
      <c r="T27" s="421">
        <v>1</v>
      </c>
      <c r="U27" s="434"/>
      <c r="V27" s="434"/>
      <c r="W27" s="434"/>
      <c r="X27" s="439">
        <f t="shared" si="1"/>
        <v>1</v>
      </c>
      <c r="Y27" s="410"/>
      <c r="Z27" s="528">
        <f t="shared" si="4"/>
        <v>1</v>
      </c>
      <c r="AA27" s="434">
        <v>1</v>
      </c>
      <c r="AB27" s="434"/>
      <c r="AC27" s="434"/>
      <c r="AD27" s="434"/>
      <c r="AE27" s="435">
        <f t="shared" si="2"/>
        <v>1</v>
      </c>
      <c r="AF27" s="322"/>
      <c r="AG27" s="530"/>
      <c r="AH27" s="563"/>
      <c r="AI27" s="567" t="s">
        <v>46</v>
      </c>
      <c r="AJ27" s="558" t="s">
        <v>324</v>
      </c>
      <c r="AK27" s="558" t="s">
        <v>37</v>
      </c>
      <c r="AL27" s="558"/>
      <c r="AM27" s="558"/>
      <c r="AN27" s="558"/>
      <c r="AO27" s="558"/>
      <c r="AP27" s="566"/>
    </row>
    <row r="28" spans="1:42" ht="29.1">
      <c r="A28" s="321" t="s">
        <v>418</v>
      </c>
      <c r="B28" s="322" t="s">
        <v>419</v>
      </c>
      <c r="C28" s="322" t="s">
        <v>398</v>
      </c>
      <c r="D28" s="323" t="s">
        <v>318</v>
      </c>
      <c r="E28" s="322" t="s">
        <v>420</v>
      </c>
      <c r="F28" s="411" t="s">
        <v>421</v>
      </c>
      <c r="G28" s="241" t="str">
        <f>VLOOKUP(A28,'Feature Summary'!$A$7:$C$4049,3,FALSE)</f>
        <v>P2</v>
      </c>
      <c r="H28" s="321" t="s">
        <v>390</v>
      </c>
      <c r="I28" s="322" t="s">
        <v>422</v>
      </c>
      <c r="J28" s="323"/>
      <c r="K28" s="323">
        <v>1</v>
      </c>
      <c r="L28" s="323">
        <v>1</v>
      </c>
      <c r="M28" s="387" t="s">
        <v>323</v>
      </c>
      <c r="N28" s="420">
        <v>1</v>
      </c>
      <c r="O28" s="421">
        <v>1</v>
      </c>
      <c r="P28" s="422">
        <f t="shared" si="9"/>
        <v>1</v>
      </c>
      <c r="Q28" s="409" t="s">
        <v>48</v>
      </c>
      <c r="R28" s="421">
        <v>1</v>
      </c>
      <c r="S28" s="580">
        <f t="shared" si="3"/>
        <v>1</v>
      </c>
      <c r="T28" s="421">
        <v>1</v>
      </c>
      <c r="U28" s="434"/>
      <c r="V28" s="434"/>
      <c r="W28" s="321"/>
      <c r="X28" s="439">
        <f t="shared" si="1"/>
        <v>1</v>
      </c>
      <c r="Y28" s="410"/>
      <c r="Z28" s="528">
        <v>1</v>
      </c>
      <c r="AA28" s="434">
        <v>1</v>
      </c>
      <c r="AB28" s="434"/>
      <c r="AC28" s="434"/>
      <c r="AD28" s="434"/>
      <c r="AE28" s="435">
        <f t="shared" si="2"/>
        <v>1</v>
      </c>
      <c r="AF28" s="322"/>
      <c r="AG28" s="530"/>
      <c r="AH28" s="563"/>
      <c r="AI28" s="567" t="s">
        <v>46</v>
      </c>
      <c r="AJ28" s="558" t="s">
        <v>324</v>
      </c>
      <c r="AK28" s="558" t="s">
        <v>37</v>
      </c>
      <c r="AL28" s="558"/>
      <c r="AM28" s="558"/>
      <c r="AN28" s="558"/>
      <c r="AO28" s="558"/>
      <c r="AP28" s="566"/>
    </row>
    <row r="29" spans="1:42" ht="276" thickBot="1">
      <c r="A29" s="321" t="s">
        <v>423</v>
      </c>
      <c r="B29" s="322" t="s">
        <v>424</v>
      </c>
      <c r="C29" s="322" t="s">
        <v>425</v>
      </c>
      <c r="D29" s="323" t="s">
        <v>318</v>
      </c>
      <c r="E29" s="411" t="s">
        <v>426</v>
      </c>
      <c r="F29" s="411" t="s">
        <v>427</v>
      </c>
      <c r="G29" s="241" t="str">
        <f>VLOOKUP(A29,'Feature Summary'!$A$7:$C$4049,3,FALSE)</f>
        <v>P1</v>
      </c>
      <c r="H29" s="508" t="s">
        <v>428</v>
      </c>
      <c r="I29" s="411" t="s">
        <v>46</v>
      </c>
      <c r="J29" s="323"/>
      <c r="K29" s="323">
        <v>1</v>
      </c>
      <c r="L29" s="323">
        <v>8</v>
      </c>
      <c r="M29" s="387" t="s">
        <v>323</v>
      </c>
      <c r="N29" s="420">
        <v>1</v>
      </c>
      <c r="O29" s="421">
        <v>5</v>
      </c>
      <c r="P29" s="422">
        <v>1</v>
      </c>
      <c r="Q29" s="409" t="s">
        <v>48</v>
      </c>
      <c r="R29" s="421">
        <v>5</v>
      </c>
      <c r="S29" s="580">
        <f t="shared" si="3"/>
        <v>5</v>
      </c>
      <c r="T29" s="421">
        <v>5</v>
      </c>
      <c r="U29" s="434"/>
      <c r="V29" s="434"/>
      <c r="W29" s="434"/>
      <c r="X29" s="439">
        <f t="shared" ref="X29:X49" si="10">IF((S29=0),0,((T29+U29)/S29*100%))</f>
        <v>1</v>
      </c>
      <c r="Y29" s="410"/>
      <c r="Z29" s="528">
        <f t="shared" si="4"/>
        <v>8</v>
      </c>
      <c r="AA29" s="434">
        <v>8</v>
      </c>
      <c r="AB29" s="434"/>
      <c r="AC29" s="434"/>
      <c r="AD29" s="434"/>
      <c r="AE29" s="435">
        <f t="shared" si="2"/>
        <v>1</v>
      </c>
      <c r="AF29" s="322"/>
      <c r="AG29" s="530">
        <f>VLOOKUP(A29,'Feature Summary'!$A$7:$U$3900,21,FALSE)</f>
        <v>0</v>
      </c>
      <c r="AH29" s="563"/>
      <c r="AI29" s="567" t="s">
        <v>46</v>
      </c>
      <c r="AJ29" s="558" t="s">
        <v>324</v>
      </c>
      <c r="AK29" s="558" t="s">
        <v>31</v>
      </c>
      <c r="AL29" s="558">
        <v>18</v>
      </c>
      <c r="AM29" s="558">
        <v>20</v>
      </c>
      <c r="AN29" s="558">
        <v>100</v>
      </c>
      <c r="AO29" s="558"/>
      <c r="AP29" s="566"/>
    </row>
    <row r="30" spans="1:42" ht="409.6" thickBot="1">
      <c r="A30" s="321" t="s">
        <v>429</v>
      </c>
      <c r="B30" s="322" t="s">
        <v>430</v>
      </c>
      <c r="C30" s="322" t="s">
        <v>317</v>
      </c>
      <c r="D30" s="323" t="s">
        <v>431</v>
      </c>
      <c r="E30" s="505" t="s">
        <v>432</v>
      </c>
      <c r="F30" s="411" t="s">
        <v>433</v>
      </c>
      <c r="G30" s="241" t="str">
        <f>VLOOKUP(A30,'Feature Summary'!$A$7:$C$4049,3,FALSE)</f>
        <v>P4</v>
      </c>
      <c r="H30" s="508" t="s">
        <v>434</v>
      </c>
      <c r="I30" s="322" t="s">
        <v>322</v>
      </c>
      <c r="J30" s="323"/>
      <c r="K30" s="323">
        <v>1</v>
      </c>
      <c r="L30" s="323">
        <v>1000</v>
      </c>
      <c r="M30" s="387" t="s">
        <v>323</v>
      </c>
      <c r="N30" s="420">
        <v>1</v>
      </c>
      <c r="O30" s="421">
        <v>1000</v>
      </c>
      <c r="P30" s="422">
        <f t="shared" ref="P30:P48" si="11">IF((O30=0),0,(O30/L30))</f>
        <v>1</v>
      </c>
      <c r="Q30" s="409" t="s">
        <v>48</v>
      </c>
      <c r="R30" s="421">
        <v>1000</v>
      </c>
      <c r="S30" s="580">
        <f t="shared" si="3"/>
        <v>948</v>
      </c>
      <c r="T30" s="421">
        <v>948</v>
      </c>
      <c r="U30" s="434"/>
      <c r="V30" s="434"/>
      <c r="W30" s="434"/>
      <c r="X30" s="439">
        <f t="shared" si="10"/>
        <v>1</v>
      </c>
      <c r="Y30" s="410"/>
      <c r="Z30" s="528">
        <f t="shared" si="4"/>
        <v>2500</v>
      </c>
      <c r="AA30" s="434">
        <v>2500</v>
      </c>
      <c r="AB30" s="434"/>
      <c r="AC30" s="434"/>
      <c r="AD30" s="434"/>
      <c r="AE30" s="435">
        <f t="shared" si="2"/>
        <v>1</v>
      </c>
      <c r="AF30" s="322"/>
      <c r="AG30" s="530"/>
      <c r="AH30" s="563"/>
      <c r="AI30" s="567" t="s">
        <v>322</v>
      </c>
      <c r="AJ30" s="558" t="s">
        <v>435</v>
      </c>
      <c r="AK30" s="558" t="s">
        <v>37</v>
      </c>
      <c r="AL30" s="558"/>
      <c r="AM30" s="558"/>
      <c r="AN30" s="558"/>
      <c r="AO30" s="558"/>
      <c r="AP30" s="566"/>
    </row>
    <row r="31" spans="1:42" ht="174.6" thickBot="1">
      <c r="A31" s="321" t="s">
        <v>436</v>
      </c>
      <c r="B31" s="322" t="s">
        <v>437</v>
      </c>
      <c r="C31" s="322" t="s">
        <v>317</v>
      </c>
      <c r="D31" s="323" t="s">
        <v>431</v>
      </c>
      <c r="E31" s="505" t="s">
        <v>438</v>
      </c>
      <c r="F31" s="411" t="s">
        <v>439</v>
      </c>
      <c r="G31" s="241" t="str">
        <f>VLOOKUP(A31,'Feature Summary'!$A$7:$C$4049,3,FALSE)</f>
        <v>P4</v>
      </c>
      <c r="H31" s="508" t="s">
        <v>440</v>
      </c>
      <c r="I31" s="322" t="s">
        <v>322</v>
      </c>
      <c r="J31" s="323"/>
      <c r="K31" s="323">
        <v>1</v>
      </c>
      <c r="L31" s="323">
        <v>1000</v>
      </c>
      <c r="M31" s="387" t="s">
        <v>323</v>
      </c>
      <c r="N31" s="420">
        <v>1</v>
      </c>
      <c r="O31" s="421">
        <v>1000</v>
      </c>
      <c r="P31" s="422">
        <f t="shared" si="11"/>
        <v>1</v>
      </c>
      <c r="Q31" s="409" t="s">
        <v>48</v>
      </c>
      <c r="R31" s="421">
        <v>1000</v>
      </c>
      <c r="S31" s="580">
        <f t="shared" si="3"/>
        <v>2640</v>
      </c>
      <c r="T31" s="421">
        <v>2640</v>
      </c>
      <c r="U31" s="434"/>
      <c r="V31" s="434"/>
      <c r="W31" s="434"/>
      <c r="X31" s="439">
        <f t="shared" si="10"/>
        <v>1</v>
      </c>
      <c r="Y31" s="410"/>
      <c r="Z31" s="528">
        <f t="shared" si="4"/>
        <v>2500</v>
      </c>
      <c r="AA31" s="434">
        <v>2500</v>
      </c>
      <c r="AB31" s="434"/>
      <c r="AC31" s="434"/>
      <c r="AD31" s="434"/>
      <c r="AE31" s="435">
        <f t="shared" si="2"/>
        <v>1</v>
      </c>
      <c r="AF31" s="322"/>
      <c r="AG31" s="530"/>
      <c r="AH31" s="563"/>
      <c r="AI31" s="567" t="s">
        <v>322</v>
      </c>
      <c r="AJ31" s="558" t="s">
        <v>435</v>
      </c>
      <c r="AK31" s="558" t="s">
        <v>37</v>
      </c>
      <c r="AL31" s="558"/>
      <c r="AM31" s="558"/>
      <c r="AN31" s="558"/>
      <c r="AO31" s="558"/>
      <c r="AP31" s="566"/>
    </row>
    <row r="32" spans="1:42" ht="333.95" thickBot="1">
      <c r="A32" s="321" t="s">
        <v>441</v>
      </c>
      <c r="B32" s="322" t="s">
        <v>442</v>
      </c>
      <c r="C32" s="322" t="s">
        <v>376</v>
      </c>
      <c r="D32" s="323" t="s">
        <v>431</v>
      </c>
      <c r="E32" s="505" t="s">
        <v>443</v>
      </c>
      <c r="F32" s="411" t="s">
        <v>444</v>
      </c>
      <c r="G32" s="241" t="str">
        <f>VLOOKUP(A32,'Feature Summary'!$A$7:$C$4049,3,FALSE)</f>
        <v>P1</v>
      </c>
      <c r="H32" s="508" t="s">
        <v>445</v>
      </c>
      <c r="I32" s="322" t="s">
        <v>46</v>
      </c>
      <c r="J32" s="323"/>
      <c r="K32" s="323">
        <v>1</v>
      </c>
      <c r="L32" s="323">
        <v>1</v>
      </c>
      <c r="M32" s="387" t="s">
        <v>323</v>
      </c>
      <c r="N32" s="420">
        <v>1</v>
      </c>
      <c r="O32" s="421">
        <v>1</v>
      </c>
      <c r="P32" s="422">
        <f t="shared" si="11"/>
        <v>1</v>
      </c>
      <c r="Q32" s="409" t="s">
        <v>48</v>
      </c>
      <c r="R32" s="421">
        <v>1</v>
      </c>
      <c r="S32" s="580">
        <f t="shared" si="3"/>
        <v>1</v>
      </c>
      <c r="T32" s="421">
        <v>1</v>
      </c>
      <c r="U32" s="434"/>
      <c r="V32" s="434"/>
      <c r="W32" s="434"/>
      <c r="X32" s="439">
        <f t="shared" si="10"/>
        <v>1</v>
      </c>
      <c r="Y32" s="410"/>
      <c r="Z32" s="528">
        <f t="shared" si="4"/>
        <v>1</v>
      </c>
      <c r="AA32" s="434">
        <v>1</v>
      </c>
      <c r="AB32" s="434"/>
      <c r="AC32" s="434"/>
      <c r="AD32" s="434"/>
      <c r="AE32" s="435">
        <f t="shared" si="2"/>
        <v>1</v>
      </c>
      <c r="AF32" s="322"/>
      <c r="AG32" s="530">
        <f>VLOOKUP(A32,'Feature Summary'!$A$7:$U$3900,21,FALSE)</f>
        <v>0</v>
      </c>
      <c r="AH32" s="563"/>
      <c r="AI32" s="567" t="s">
        <v>46</v>
      </c>
      <c r="AJ32" s="558" t="s">
        <v>435</v>
      </c>
      <c r="AK32" s="558" t="s">
        <v>37</v>
      </c>
      <c r="AL32" s="558"/>
      <c r="AM32" s="558"/>
      <c r="AN32" s="558"/>
      <c r="AO32" s="558"/>
      <c r="AP32" s="566"/>
    </row>
    <row r="33" spans="1:42" ht="101.45">
      <c r="A33" s="321" t="s">
        <v>446</v>
      </c>
      <c r="B33" s="322" t="s">
        <v>447</v>
      </c>
      <c r="C33" s="322" t="s">
        <v>317</v>
      </c>
      <c r="D33" s="323" t="s">
        <v>431</v>
      </c>
      <c r="E33" s="505" t="s">
        <v>448</v>
      </c>
      <c r="F33" s="411" t="s">
        <v>449</v>
      </c>
      <c r="G33" s="241" t="str">
        <f>VLOOKUP(A33,'Feature Summary'!$A$7:$C$4049,3,FALSE)</f>
        <v>P4</v>
      </c>
      <c r="H33" s="385" t="s">
        <v>450</v>
      </c>
      <c r="I33" s="322" t="s">
        <v>322</v>
      </c>
      <c r="J33" s="323"/>
      <c r="K33" s="323">
        <v>1</v>
      </c>
      <c r="L33" s="323">
        <v>1000</v>
      </c>
      <c r="M33" s="387" t="s">
        <v>323</v>
      </c>
      <c r="N33" s="420">
        <v>1</v>
      </c>
      <c r="O33" s="421">
        <v>1000</v>
      </c>
      <c r="P33" s="422">
        <f t="shared" si="11"/>
        <v>1</v>
      </c>
      <c r="Q33" s="409" t="s">
        <v>48</v>
      </c>
      <c r="R33" s="421">
        <v>1000</v>
      </c>
      <c r="S33" s="580">
        <f t="shared" si="3"/>
        <v>1000</v>
      </c>
      <c r="T33" s="421">
        <v>1000</v>
      </c>
      <c r="U33" s="434"/>
      <c r="V33" s="434"/>
      <c r="W33" s="434"/>
      <c r="X33" s="439">
        <f t="shared" si="10"/>
        <v>1</v>
      </c>
      <c r="Y33" s="410"/>
      <c r="Z33" s="528">
        <f t="shared" si="4"/>
        <v>1000</v>
      </c>
      <c r="AA33" s="434">
        <v>1000</v>
      </c>
      <c r="AB33" s="434"/>
      <c r="AC33" s="434"/>
      <c r="AD33" s="434"/>
      <c r="AE33" s="435">
        <f t="shared" si="2"/>
        <v>1</v>
      </c>
      <c r="AF33" s="322"/>
      <c r="AG33" s="530"/>
      <c r="AH33" s="563"/>
      <c r="AI33" s="567" t="s">
        <v>322</v>
      </c>
      <c r="AJ33" s="558" t="s">
        <v>435</v>
      </c>
      <c r="AK33" s="558" t="s">
        <v>37</v>
      </c>
      <c r="AL33" s="558"/>
      <c r="AM33" s="558"/>
      <c r="AN33" s="558"/>
      <c r="AO33" s="558"/>
      <c r="AP33" s="566"/>
    </row>
    <row r="34" spans="1:42" ht="144.94999999999999">
      <c r="A34" s="321" t="s">
        <v>451</v>
      </c>
      <c r="B34" s="322" t="s">
        <v>452</v>
      </c>
      <c r="C34" s="322" t="s">
        <v>425</v>
      </c>
      <c r="D34" s="323" t="s">
        <v>453</v>
      </c>
      <c r="E34" s="411" t="s">
        <v>454</v>
      </c>
      <c r="F34" s="411" t="s">
        <v>455</v>
      </c>
      <c r="G34" s="241" t="str">
        <f>VLOOKUP(A34,'Feature Summary'!$A$7:$C$4049,3,FALSE)</f>
        <v>P1</v>
      </c>
      <c r="H34" s="508" t="s">
        <v>456</v>
      </c>
      <c r="I34" s="411" t="s">
        <v>46</v>
      </c>
      <c r="J34" s="323"/>
      <c r="K34" s="323">
        <v>1</v>
      </c>
      <c r="L34" s="323">
        <v>1</v>
      </c>
      <c r="M34" s="387" t="s">
        <v>323</v>
      </c>
      <c r="N34" s="420">
        <v>1</v>
      </c>
      <c r="O34" s="421">
        <v>1</v>
      </c>
      <c r="P34" s="422">
        <f t="shared" si="11"/>
        <v>1</v>
      </c>
      <c r="Q34" s="409" t="s">
        <v>48</v>
      </c>
      <c r="R34" s="421">
        <v>1</v>
      </c>
      <c r="S34" s="580">
        <f t="shared" si="3"/>
        <v>1</v>
      </c>
      <c r="T34" s="421">
        <v>1</v>
      </c>
      <c r="U34" s="434"/>
      <c r="V34" s="434"/>
      <c r="W34" s="434"/>
      <c r="X34" s="439">
        <f t="shared" si="10"/>
        <v>1</v>
      </c>
      <c r="Y34" s="581" t="s">
        <v>457</v>
      </c>
      <c r="Z34" s="528">
        <f t="shared" si="4"/>
        <v>1</v>
      </c>
      <c r="AA34" s="434">
        <v>1</v>
      </c>
      <c r="AB34" s="434"/>
      <c r="AC34" s="434"/>
      <c r="AD34" s="434"/>
      <c r="AE34" s="435">
        <f t="shared" si="2"/>
        <v>1</v>
      </c>
      <c r="AF34" s="322"/>
      <c r="AG34" s="530">
        <f>VLOOKUP(A34,'Feature Summary'!$A$7:$U$3900,21,FALSE)</f>
        <v>0</v>
      </c>
      <c r="AH34" s="563"/>
      <c r="AI34" s="567" t="s">
        <v>46</v>
      </c>
      <c r="AJ34" s="558" t="s">
        <v>458</v>
      </c>
      <c r="AK34" s="558" t="s">
        <v>37</v>
      </c>
      <c r="AL34" s="558">
        <v>6</v>
      </c>
      <c r="AM34" s="558">
        <v>4</v>
      </c>
      <c r="AN34" s="558">
        <v>50</v>
      </c>
      <c r="AO34" s="558"/>
      <c r="AP34" s="566"/>
    </row>
    <row r="35" spans="1:42" ht="348">
      <c r="A35" s="321" t="s">
        <v>459</v>
      </c>
      <c r="B35" s="322" t="s">
        <v>460</v>
      </c>
      <c r="C35" s="322" t="s">
        <v>425</v>
      </c>
      <c r="D35" s="323" t="s">
        <v>453</v>
      </c>
      <c r="E35" s="411" t="s">
        <v>461</v>
      </c>
      <c r="F35" s="411" t="s">
        <v>462</v>
      </c>
      <c r="G35" s="241" t="str">
        <f>VLOOKUP(A35,'Feature Summary'!$A$7:$C$4049,3,FALSE)</f>
        <v>P3</v>
      </c>
      <c r="H35" s="508" t="s">
        <v>463</v>
      </c>
      <c r="I35" s="322" t="s">
        <v>46</v>
      </c>
      <c r="J35" s="323" t="s">
        <v>464</v>
      </c>
      <c r="K35" s="323">
        <v>1</v>
      </c>
      <c r="L35" s="323">
        <v>6</v>
      </c>
      <c r="M35" s="387" t="s">
        <v>323</v>
      </c>
      <c r="N35" s="420">
        <v>1</v>
      </c>
      <c r="O35" s="421">
        <v>5</v>
      </c>
      <c r="P35" s="422">
        <v>1</v>
      </c>
      <c r="Q35" s="409" t="s">
        <v>48</v>
      </c>
      <c r="R35" s="421">
        <v>5</v>
      </c>
      <c r="S35" s="580">
        <f t="shared" si="3"/>
        <v>5</v>
      </c>
      <c r="T35" s="421">
        <v>5</v>
      </c>
      <c r="U35" s="434"/>
      <c r="V35" s="434"/>
      <c r="W35" s="434"/>
      <c r="X35" s="439">
        <f t="shared" si="10"/>
        <v>1</v>
      </c>
      <c r="Y35" s="410"/>
      <c r="Z35" s="528">
        <f t="shared" si="4"/>
        <v>6</v>
      </c>
      <c r="AA35" s="434">
        <v>6</v>
      </c>
      <c r="AB35" s="434"/>
      <c r="AC35" s="434"/>
      <c r="AD35" s="434"/>
      <c r="AE35" s="435">
        <f t="shared" si="2"/>
        <v>1</v>
      </c>
      <c r="AF35" s="322"/>
      <c r="AG35" s="530"/>
      <c r="AH35" s="563"/>
      <c r="AI35" s="567" t="s">
        <v>46</v>
      </c>
      <c r="AJ35" s="558" t="s">
        <v>458</v>
      </c>
      <c r="AK35" s="558" t="s">
        <v>37</v>
      </c>
      <c r="AL35" s="558"/>
      <c r="AM35" s="558"/>
      <c r="AN35" s="558"/>
      <c r="AO35" s="558"/>
      <c r="AP35" s="566"/>
    </row>
    <row r="36" spans="1:42" ht="203.1">
      <c r="A36" s="321" t="s">
        <v>465</v>
      </c>
      <c r="B36" s="322" t="s">
        <v>466</v>
      </c>
      <c r="C36" s="322" t="s">
        <v>425</v>
      </c>
      <c r="D36" s="323" t="s">
        <v>453</v>
      </c>
      <c r="E36" s="411" t="s">
        <v>467</v>
      </c>
      <c r="F36" s="411" t="s">
        <v>468</v>
      </c>
      <c r="G36" s="241" t="str">
        <f>VLOOKUP(A36,'Feature Summary'!$A$7:$C$4049,3,FALSE)</f>
        <v>P3</v>
      </c>
      <c r="H36" s="508" t="s">
        <v>469</v>
      </c>
      <c r="I36" s="411" t="s">
        <v>46</v>
      </c>
      <c r="J36" s="323"/>
      <c r="K36" s="323">
        <v>1</v>
      </c>
      <c r="L36" s="323">
        <v>5</v>
      </c>
      <c r="M36" s="387" t="s">
        <v>323</v>
      </c>
      <c r="N36" s="420">
        <v>1</v>
      </c>
      <c r="O36" s="421">
        <v>4</v>
      </c>
      <c r="P36" s="422">
        <v>1</v>
      </c>
      <c r="Q36" s="409" t="s">
        <v>48</v>
      </c>
      <c r="R36" s="421">
        <v>2</v>
      </c>
      <c r="S36" s="580">
        <f t="shared" si="3"/>
        <v>5</v>
      </c>
      <c r="T36" s="421">
        <v>5</v>
      </c>
      <c r="U36" s="434"/>
      <c r="V36" s="434"/>
      <c r="W36" s="434"/>
      <c r="X36" s="439">
        <f t="shared" si="10"/>
        <v>1</v>
      </c>
      <c r="Y36" s="410"/>
      <c r="Z36" s="528">
        <f t="shared" si="4"/>
        <v>5</v>
      </c>
      <c r="AA36" s="434">
        <v>5</v>
      </c>
      <c r="AB36" s="434"/>
      <c r="AC36" s="434"/>
      <c r="AD36" s="434"/>
      <c r="AE36" s="435">
        <f t="shared" si="2"/>
        <v>1</v>
      </c>
      <c r="AF36" s="322"/>
      <c r="AG36" s="530"/>
      <c r="AH36" s="563"/>
      <c r="AI36" s="567" t="s">
        <v>46</v>
      </c>
      <c r="AJ36" s="558" t="s">
        <v>458</v>
      </c>
      <c r="AK36" s="558" t="s">
        <v>37</v>
      </c>
      <c r="AL36" s="558"/>
      <c r="AM36" s="558"/>
      <c r="AN36" s="558"/>
      <c r="AO36" s="558"/>
      <c r="AP36" s="566"/>
    </row>
    <row r="37" spans="1:42" ht="159.6">
      <c r="A37" s="321" t="s">
        <v>470</v>
      </c>
      <c r="B37" s="322" t="s">
        <v>471</v>
      </c>
      <c r="C37" s="322" t="s">
        <v>328</v>
      </c>
      <c r="D37" s="323" t="s">
        <v>453</v>
      </c>
      <c r="E37" s="411" t="s">
        <v>472</v>
      </c>
      <c r="F37" s="411" t="s">
        <v>473</v>
      </c>
      <c r="G37" s="241" t="str">
        <f>VLOOKUP(A37,'Feature Summary'!$A$7:$C$4049,3,FALSE)</f>
        <v>P4</v>
      </c>
      <c r="H37" s="385" t="s">
        <v>474</v>
      </c>
      <c r="I37" s="323" t="s">
        <v>322</v>
      </c>
      <c r="J37" s="323"/>
      <c r="K37" s="323">
        <v>1</v>
      </c>
      <c r="L37" s="323">
        <v>500</v>
      </c>
      <c r="M37" s="387" t="s">
        <v>323</v>
      </c>
      <c r="N37" s="420">
        <v>1</v>
      </c>
      <c r="O37" s="421">
        <v>500</v>
      </c>
      <c r="P37" s="422">
        <f t="shared" si="11"/>
        <v>1</v>
      </c>
      <c r="Q37" s="409" t="s">
        <v>48</v>
      </c>
      <c r="R37" s="421">
        <v>500</v>
      </c>
      <c r="S37" s="580">
        <f t="shared" si="3"/>
        <v>500</v>
      </c>
      <c r="T37" s="421">
        <v>500</v>
      </c>
      <c r="U37" s="434"/>
      <c r="V37" s="434"/>
      <c r="W37" s="434"/>
      <c r="X37" s="439">
        <f t="shared" si="10"/>
        <v>1</v>
      </c>
      <c r="Y37" s="410"/>
      <c r="Z37" s="528">
        <f t="shared" si="4"/>
        <v>500</v>
      </c>
      <c r="AA37" s="434">
        <v>500</v>
      </c>
      <c r="AB37" s="434"/>
      <c r="AC37" s="434"/>
      <c r="AD37" s="434"/>
      <c r="AE37" s="435">
        <f t="shared" si="2"/>
        <v>1</v>
      </c>
      <c r="AF37" s="322"/>
      <c r="AG37" s="530"/>
      <c r="AH37" s="563"/>
      <c r="AI37" s="567" t="s">
        <v>322</v>
      </c>
      <c r="AJ37" s="558" t="s">
        <v>458</v>
      </c>
      <c r="AK37" s="558" t="s">
        <v>37</v>
      </c>
      <c r="AL37" s="558"/>
      <c r="AM37" s="558"/>
      <c r="AN37" s="558"/>
      <c r="AO37" s="558"/>
      <c r="AP37" s="566"/>
    </row>
    <row r="38" spans="1:42" ht="57.95">
      <c r="A38" s="321" t="s">
        <v>475</v>
      </c>
      <c r="B38" s="322" t="s">
        <v>476</v>
      </c>
      <c r="C38" s="322" t="s">
        <v>328</v>
      </c>
      <c r="D38" s="323" t="s">
        <v>453</v>
      </c>
      <c r="E38" s="411" t="s">
        <v>477</v>
      </c>
      <c r="F38" s="411" t="s">
        <v>478</v>
      </c>
      <c r="G38" s="241" t="str">
        <f>VLOOKUP(A38,'Feature Summary'!$A$7:$C$4049,3,FALSE)</f>
        <v>P4</v>
      </c>
      <c r="H38" s="385" t="s">
        <v>479</v>
      </c>
      <c r="I38" s="322" t="s">
        <v>322</v>
      </c>
      <c r="J38" s="323"/>
      <c r="K38" s="323">
        <v>1</v>
      </c>
      <c r="L38" s="323">
        <v>500</v>
      </c>
      <c r="M38" s="387" t="s">
        <v>323</v>
      </c>
      <c r="N38" s="420">
        <v>1</v>
      </c>
      <c r="O38" s="421">
        <v>500</v>
      </c>
      <c r="P38" s="422">
        <f t="shared" si="11"/>
        <v>1</v>
      </c>
      <c r="Q38" s="409" t="s">
        <v>48</v>
      </c>
      <c r="R38" s="421">
        <v>500</v>
      </c>
      <c r="S38" s="580">
        <f t="shared" si="3"/>
        <v>500</v>
      </c>
      <c r="T38" s="421">
        <v>500</v>
      </c>
      <c r="U38" s="434"/>
      <c r="V38" s="434"/>
      <c r="W38" s="434"/>
      <c r="X38" s="439">
        <f t="shared" si="10"/>
        <v>1</v>
      </c>
      <c r="Y38" s="410"/>
      <c r="Z38" s="528">
        <f t="shared" si="4"/>
        <v>500</v>
      </c>
      <c r="AA38" s="434">
        <v>500</v>
      </c>
      <c r="AB38" s="434"/>
      <c r="AC38" s="434"/>
      <c r="AD38" s="434"/>
      <c r="AE38" s="435">
        <f t="shared" si="2"/>
        <v>1</v>
      </c>
      <c r="AF38" s="322"/>
      <c r="AG38" s="530"/>
      <c r="AH38" s="563"/>
      <c r="AI38" s="567" t="s">
        <v>322</v>
      </c>
      <c r="AJ38" s="558" t="s">
        <v>458</v>
      </c>
      <c r="AK38" s="558" t="s">
        <v>37</v>
      </c>
      <c r="AL38" s="558"/>
      <c r="AM38" s="558"/>
      <c r="AN38" s="558"/>
      <c r="AO38" s="558"/>
      <c r="AP38" s="566"/>
    </row>
    <row r="39" spans="1:42" ht="231.95">
      <c r="A39" s="321" t="s">
        <v>480</v>
      </c>
      <c r="B39" s="411" t="s">
        <v>481</v>
      </c>
      <c r="C39" s="322" t="s">
        <v>425</v>
      </c>
      <c r="D39" s="323" t="s">
        <v>453</v>
      </c>
      <c r="E39" s="411" t="s">
        <v>482</v>
      </c>
      <c r="F39" s="411" t="s">
        <v>483</v>
      </c>
      <c r="G39" s="241" t="str">
        <f>VLOOKUP(A39,'Feature Summary'!$A$7:$C$4049,3,FALSE)</f>
        <v>P1</v>
      </c>
      <c r="H39" s="508" t="s">
        <v>484</v>
      </c>
      <c r="I39" s="411" t="s">
        <v>46</v>
      </c>
      <c r="J39" s="323"/>
      <c r="K39" s="323">
        <v>1</v>
      </c>
      <c r="L39" s="323">
        <v>2</v>
      </c>
      <c r="M39" s="387" t="s">
        <v>323</v>
      </c>
      <c r="N39" s="420">
        <v>1</v>
      </c>
      <c r="O39" s="421">
        <v>1</v>
      </c>
      <c r="P39" s="422">
        <v>1</v>
      </c>
      <c r="Q39" s="409" t="s">
        <v>48</v>
      </c>
      <c r="R39" s="421">
        <v>2</v>
      </c>
      <c r="S39" s="580">
        <f t="shared" si="3"/>
        <v>2</v>
      </c>
      <c r="T39" s="421">
        <v>2</v>
      </c>
      <c r="U39" s="434"/>
      <c r="V39" s="434"/>
      <c r="W39" s="434"/>
      <c r="X39" s="439">
        <f t="shared" si="10"/>
        <v>1</v>
      </c>
      <c r="Y39" s="410"/>
      <c r="Z39" s="528">
        <f t="shared" si="4"/>
        <v>2</v>
      </c>
      <c r="AA39" s="434">
        <v>2</v>
      </c>
      <c r="AB39" s="434"/>
      <c r="AC39" s="434"/>
      <c r="AD39" s="434"/>
      <c r="AE39" s="435">
        <f t="shared" si="2"/>
        <v>1</v>
      </c>
      <c r="AF39" s="322"/>
      <c r="AG39" s="530">
        <f>VLOOKUP(A39,'Feature Summary'!$A$7:$U$3900,21,FALSE)</f>
        <v>0</v>
      </c>
      <c r="AH39" s="563"/>
      <c r="AI39" s="567" t="s">
        <v>46</v>
      </c>
      <c r="AJ39" s="558" t="s">
        <v>458</v>
      </c>
      <c r="AK39" s="558" t="s">
        <v>37</v>
      </c>
      <c r="AL39" s="558"/>
      <c r="AM39" s="558"/>
      <c r="AN39" s="558"/>
      <c r="AO39" s="558"/>
      <c r="AP39" s="566"/>
    </row>
    <row r="40" spans="1:42" ht="409.5">
      <c r="A40" s="321" t="s">
        <v>485</v>
      </c>
      <c r="B40" s="322" t="s">
        <v>486</v>
      </c>
      <c r="C40" s="322" t="s">
        <v>425</v>
      </c>
      <c r="D40" s="323" t="s">
        <v>453</v>
      </c>
      <c r="E40" s="411" t="s">
        <v>487</v>
      </c>
      <c r="F40" s="411" t="s">
        <v>488</v>
      </c>
      <c r="G40" s="241" t="str">
        <f>VLOOKUP(A40,'Feature Summary'!$A$7:$C$4049,3,FALSE)</f>
        <v>P3</v>
      </c>
      <c r="H40" s="385" t="s">
        <v>489</v>
      </c>
      <c r="I40" s="322" t="s">
        <v>46</v>
      </c>
      <c r="J40" s="323"/>
      <c r="K40" s="323">
        <v>1</v>
      </c>
      <c r="L40" s="323">
        <v>1</v>
      </c>
      <c r="M40" s="387" t="s">
        <v>323</v>
      </c>
      <c r="N40" s="420">
        <v>1</v>
      </c>
      <c r="O40" s="421">
        <v>0</v>
      </c>
      <c r="P40" s="422">
        <v>1</v>
      </c>
      <c r="Q40" s="409" t="s">
        <v>48</v>
      </c>
      <c r="R40" s="421">
        <v>1</v>
      </c>
      <c r="S40" s="580">
        <f t="shared" si="3"/>
        <v>1</v>
      </c>
      <c r="T40" s="421">
        <v>1</v>
      </c>
      <c r="U40" s="434"/>
      <c r="V40" s="434"/>
      <c r="W40" s="434"/>
      <c r="X40" s="439">
        <f t="shared" si="10"/>
        <v>1</v>
      </c>
      <c r="Y40" s="410"/>
      <c r="Z40" s="528">
        <f t="shared" si="4"/>
        <v>1</v>
      </c>
      <c r="AA40" s="434">
        <v>1</v>
      </c>
      <c r="AB40" s="434"/>
      <c r="AC40" s="434"/>
      <c r="AD40" s="434"/>
      <c r="AE40" s="435">
        <f t="shared" si="2"/>
        <v>1</v>
      </c>
      <c r="AF40" s="322"/>
      <c r="AG40" s="530"/>
      <c r="AH40" s="563"/>
      <c r="AI40" s="567" t="s">
        <v>46</v>
      </c>
      <c r="AJ40" s="558" t="s">
        <v>458</v>
      </c>
      <c r="AK40" s="558" t="s">
        <v>37</v>
      </c>
      <c r="AL40" s="558"/>
      <c r="AM40" s="558"/>
      <c r="AN40" s="558"/>
      <c r="AO40" s="558"/>
      <c r="AP40" s="566"/>
    </row>
    <row r="41" spans="1:42" ht="116.1">
      <c r="A41" s="321" t="s">
        <v>490</v>
      </c>
      <c r="B41" s="322" t="s">
        <v>491</v>
      </c>
      <c r="C41" s="322" t="s">
        <v>425</v>
      </c>
      <c r="D41" s="323" t="s">
        <v>453</v>
      </c>
      <c r="E41" s="411" t="s">
        <v>492</v>
      </c>
      <c r="F41" s="411" t="s">
        <v>493</v>
      </c>
      <c r="G41" s="241" t="str">
        <f>VLOOKUP(A41,'Feature Summary'!$A$7:$C$4049,3,FALSE)</f>
        <v>P4</v>
      </c>
      <c r="H41" s="385" t="s">
        <v>494</v>
      </c>
      <c r="I41" s="322" t="s">
        <v>46</v>
      </c>
      <c r="J41" s="323"/>
      <c r="K41" s="323">
        <v>1</v>
      </c>
      <c r="L41" s="323">
        <v>1</v>
      </c>
      <c r="M41" s="387" t="s">
        <v>323</v>
      </c>
      <c r="N41" s="420">
        <v>1</v>
      </c>
      <c r="O41" s="421">
        <v>0</v>
      </c>
      <c r="P41" s="422">
        <v>1</v>
      </c>
      <c r="Q41" s="409" t="s">
        <v>48</v>
      </c>
      <c r="R41" s="421">
        <v>1</v>
      </c>
      <c r="S41" s="580">
        <f t="shared" si="3"/>
        <v>1</v>
      </c>
      <c r="T41" s="421">
        <v>0</v>
      </c>
      <c r="U41" s="434"/>
      <c r="V41" s="434"/>
      <c r="W41" s="434">
        <v>1</v>
      </c>
      <c r="X41" s="439">
        <f t="shared" si="10"/>
        <v>0</v>
      </c>
      <c r="Y41" s="410"/>
      <c r="Z41" s="528">
        <f t="shared" si="4"/>
        <v>1</v>
      </c>
      <c r="AA41" s="434"/>
      <c r="AB41" s="434">
        <v>1</v>
      </c>
      <c r="AC41" s="434"/>
      <c r="AD41" s="434"/>
      <c r="AE41" s="435">
        <f t="shared" si="2"/>
        <v>1</v>
      </c>
      <c r="AF41" s="322"/>
      <c r="AG41" s="530"/>
      <c r="AH41" s="563"/>
      <c r="AI41" s="567" t="s">
        <v>46</v>
      </c>
      <c r="AJ41" s="558" t="s">
        <v>458</v>
      </c>
      <c r="AK41" s="558" t="s">
        <v>37</v>
      </c>
      <c r="AL41" s="558"/>
      <c r="AM41" s="558"/>
      <c r="AN41" s="558"/>
      <c r="AO41" s="558"/>
      <c r="AP41" s="566"/>
    </row>
    <row r="42" spans="1:42" ht="116.1">
      <c r="A42" s="321" t="s">
        <v>495</v>
      </c>
      <c r="B42" s="322" t="s">
        <v>496</v>
      </c>
      <c r="C42" s="322" t="s">
        <v>425</v>
      </c>
      <c r="D42" s="323" t="s">
        <v>453</v>
      </c>
      <c r="E42" s="322" t="s">
        <v>497</v>
      </c>
      <c r="F42" s="411" t="s">
        <v>498</v>
      </c>
      <c r="G42" s="241" t="str">
        <f>VLOOKUP(A42,'Feature Summary'!$A$7:$C$4049,3,FALSE)</f>
        <v>P4</v>
      </c>
      <c r="H42" s="508" t="s">
        <v>499</v>
      </c>
      <c r="I42" s="322" t="s">
        <v>46</v>
      </c>
      <c r="J42" s="323" t="s">
        <v>500</v>
      </c>
      <c r="K42" s="323">
        <v>1</v>
      </c>
      <c r="L42" s="323">
        <v>11</v>
      </c>
      <c r="M42" s="387" t="s">
        <v>323</v>
      </c>
      <c r="N42" s="420">
        <v>1</v>
      </c>
      <c r="O42" s="421">
        <v>11</v>
      </c>
      <c r="P42" s="422">
        <f t="shared" si="11"/>
        <v>1</v>
      </c>
      <c r="Q42" s="409" t="s">
        <v>48</v>
      </c>
      <c r="R42" s="421">
        <v>11</v>
      </c>
      <c r="S42" s="580">
        <f t="shared" si="3"/>
        <v>1</v>
      </c>
      <c r="T42" s="421">
        <v>1</v>
      </c>
      <c r="U42" s="434"/>
      <c r="V42" s="434"/>
      <c r="W42" s="434"/>
      <c r="X42" s="439">
        <f t="shared" si="10"/>
        <v>1</v>
      </c>
      <c r="Y42" s="410"/>
      <c r="Z42" s="528">
        <f t="shared" si="4"/>
        <v>1</v>
      </c>
      <c r="AA42" s="434">
        <v>1</v>
      </c>
      <c r="AB42" s="434"/>
      <c r="AC42" s="434"/>
      <c r="AD42" s="434"/>
      <c r="AE42" s="435">
        <f t="shared" si="2"/>
        <v>1</v>
      </c>
      <c r="AF42" s="322"/>
      <c r="AG42" s="530"/>
      <c r="AH42" s="563"/>
      <c r="AI42" s="567" t="s">
        <v>46</v>
      </c>
      <c r="AJ42" s="558" t="s">
        <v>458</v>
      </c>
      <c r="AK42" s="558" t="s">
        <v>37</v>
      </c>
      <c r="AL42" s="558"/>
      <c r="AM42" s="558"/>
      <c r="AN42" s="558"/>
      <c r="AO42" s="558"/>
      <c r="AP42" s="566"/>
    </row>
    <row r="43" spans="1:42" ht="72.599999999999994">
      <c r="A43" s="321" t="s">
        <v>501</v>
      </c>
      <c r="B43" s="322" t="s">
        <v>502</v>
      </c>
      <c r="C43" s="322" t="s">
        <v>425</v>
      </c>
      <c r="D43" s="323" t="s">
        <v>453</v>
      </c>
      <c r="E43" s="411" t="s">
        <v>503</v>
      </c>
      <c r="F43" s="411" t="s">
        <v>504</v>
      </c>
      <c r="G43" s="241" t="str">
        <f>VLOOKUP(A43,'Feature Summary'!$A$7:$C$4049,3,FALSE)</f>
        <v>P1</v>
      </c>
      <c r="H43" s="385" t="s">
        <v>505</v>
      </c>
      <c r="I43" s="322" t="s">
        <v>46</v>
      </c>
      <c r="J43" s="323" t="s">
        <v>506</v>
      </c>
      <c r="K43" s="323">
        <v>1</v>
      </c>
      <c r="L43" s="323">
        <v>1</v>
      </c>
      <c r="M43" s="387" t="s">
        <v>323</v>
      </c>
      <c r="N43" s="420">
        <v>1</v>
      </c>
      <c r="O43" s="421">
        <v>0</v>
      </c>
      <c r="P43" s="422">
        <v>1</v>
      </c>
      <c r="Q43" s="409" t="s">
        <v>48</v>
      </c>
      <c r="R43" s="421">
        <v>1</v>
      </c>
      <c r="S43" s="580">
        <f t="shared" si="3"/>
        <v>1</v>
      </c>
      <c r="T43" s="421">
        <v>1</v>
      </c>
      <c r="U43" s="434"/>
      <c r="V43" s="434"/>
      <c r="W43" s="434"/>
      <c r="X43" s="439">
        <f t="shared" si="10"/>
        <v>1</v>
      </c>
      <c r="Y43" s="410"/>
      <c r="Z43" s="528">
        <f t="shared" si="4"/>
        <v>1</v>
      </c>
      <c r="AA43" s="434">
        <v>1</v>
      </c>
      <c r="AB43" s="434"/>
      <c r="AC43" s="434"/>
      <c r="AD43" s="434"/>
      <c r="AE43" s="435">
        <f t="shared" si="2"/>
        <v>1</v>
      </c>
      <c r="AF43" s="322"/>
      <c r="AG43" s="530">
        <f>VLOOKUP(A43,'Feature Summary'!$A$7:$U$3900,21,FALSE)</f>
        <v>0</v>
      </c>
      <c r="AH43" s="563"/>
      <c r="AI43" s="567" t="s">
        <v>46</v>
      </c>
      <c r="AJ43" s="558" t="s">
        <v>458</v>
      </c>
      <c r="AK43" s="558" t="s">
        <v>37</v>
      </c>
      <c r="AL43" s="558" t="s">
        <v>507</v>
      </c>
      <c r="AM43" s="558" t="s">
        <v>508</v>
      </c>
      <c r="AN43" s="558" t="s">
        <v>509</v>
      </c>
      <c r="AO43" s="558"/>
      <c r="AP43" s="566"/>
    </row>
    <row r="44" spans="1:42" ht="116.1">
      <c r="A44" s="321" t="s">
        <v>510</v>
      </c>
      <c r="B44" s="322" t="s">
        <v>511</v>
      </c>
      <c r="C44" s="322" t="s">
        <v>328</v>
      </c>
      <c r="D44" s="323" t="s">
        <v>453</v>
      </c>
      <c r="E44" s="411" t="s">
        <v>512</v>
      </c>
      <c r="F44" s="411" t="s">
        <v>513</v>
      </c>
      <c r="G44" s="241" t="str">
        <f>VLOOKUP(A44,'Feature Summary'!$A$7:$C$4049,3,FALSE)</f>
        <v>P4</v>
      </c>
      <c r="H44" s="508" t="s">
        <v>514</v>
      </c>
      <c r="I44" s="322" t="s">
        <v>322</v>
      </c>
      <c r="J44" s="323" t="s">
        <v>515</v>
      </c>
      <c r="K44" s="323">
        <v>1</v>
      </c>
      <c r="L44" s="323">
        <v>1000</v>
      </c>
      <c r="M44" s="387" t="s">
        <v>323</v>
      </c>
      <c r="N44" s="420">
        <v>1</v>
      </c>
      <c r="O44" s="421">
        <v>1000</v>
      </c>
      <c r="P44" s="422">
        <f t="shared" si="11"/>
        <v>1</v>
      </c>
      <c r="Q44" s="409" t="s">
        <v>48</v>
      </c>
      <c r="R44" s="421">
        <v>1000</v>
      </c>
      <c r="S44" s="580">
        <f t="shared" si="3"/>
        <v>2000</v>
      </c>
      <c r="T44" s="421">
        <v>2000</v>
      </c>
      <c r="U44" s="434"/>
      <c r="V44" s="434"/>
      <c r="W44" s="434"/>
      <c r="X44" s="439">
        <f t="shared" si="10"/>
        <v>1</v>
      </c>
      <c r="Y44" s="410"/>
      <c r="Z44" s="528">
        <f t="shared" si="4"/>
        <v>3500</v>
      </c>
      <c r="AA44" s="434">
        <v>3500</v>
      </c>
      <c r="AB44" s="434"/>
      <c r="AC44" s="434"/>
      <c r="AD44" s="434"/>
      <c r="AE44" s="435">
        <f t="shared" si="2"/>
        <v>1</v>
      </c>
      <c r="AF44" s="322"/>
      <c r="AG44" s="530"/>
      <c r="AH44" s="563"/>
      <c r="AI44" s="567" t="s">
        <v>322</v>
      </c>
      <c r="AJ44" s="558" t="s">
        <v>458</v>
      </c>
      <c r="AK44" s="558" t="s">
        <v>37</v>
      </c>
      <c r="AL44" s="558"/>
      <c r="AM44" s="558"/>
      <c r="AN44" s="558"/>
      <c r="AO44" s="558"/>
      <c r="AP44" s="566"/>
    </row>
    <row r="45" spans="1:42" ht="130.5">
      <c r="A45" s="321" t="s">
        <v>516</v>
      </c>
      <c r="B45" s="322" t="s">
        <v>517</v>
      </c>
      <c r="C45" s="322" t="s">
        <v>425</v>
      </c>
      <c r="D45" s="323" t="s">
        <v>453</v>
      </c>
      <c r="E45" s="411" t="s">
        <v>518</v>
      </c>
      <c r="F45" s="411" t="s">
        <v>519</v>
      </c>
      <c r="G45" s="241" t="str">
        <f>VLOOKUP(A45,'Feature Summary'!$A$7:$C$4049,3,FALSE)</f>
        <v>P3</v>
      </c>
      <c r="H45" s="508" t="s">
        <v>520</v>
      </c>
      <c r="I45" s="411" t="s">
        <v>46</v>
      </c>
      <c r="J45" s="507" t="s">
        <v>521</v>
      </c>
      <c r="K45" s="323">
        <v>1</v>
      </c>
      <c r="L45" s="323">
        <v>5</v>
      </c>
      <c r="M45" s="387" t="s">
        <v>323</v>
      </c>
      <c r="N45" s="420">
        <v>1</v>
      </c>
      <c r="O45" s="421">
        <v>5</v>
      </c>
      <c r="P45" s="422">
        <f t="shared" si="11"/>
        <v>1</v>
      </c>
      <c r="Q45" s="409" t="s">
        <v>48</v>
      </c>
      <c r="R45" s="421">
        <v>5</v>
      </c>
      <c r="S45" s="580">
        <f t="shared" si="3"/>
        <v>5</v>
      </c>
      <c r="T45" s="421">
        <v>5</v>
      </c>
      <c r="U45" s="434"/>
      <c r="V45" s="434"/>
      <c r="W45" s="434"/>
      <c r="X45" s="439">
        <f t="shared" si="10"/>
        <v>1</v>
      </c>
      <c r="Y45" s="410"/>
      <c r="Z45" s="528">
        <f t="shared" si="4"/>
        <v>5</v>
      </c>
      <c r="AA45" s="434">
        <v>5</v>
      </c>
      <c r="AB45" s="434"/>
      <c r="AC45" s="434"/>
      <c r="AD45" s="434"/>
      <c r="AE45" s="435">
        <f t="shared" si="2"/>
        <v>1</v>
      </c>
      <c r="AF45" s="322"/>
      <c r="AG45" s="530"/>
      <c r="AH45" s="563"/>
      <c r="AI45" s="567" t="s">
        <v>46</v>
      </c>
      <c r="AJ45" s="558" t="s">
        <v>458</v>
      </c>
      <c r="AK45" s="558" t="s">
        <v>37</v>
      </c>
      <c r="AL45" s="558"/>
      <c r="AM45" s="558"/>
      <c r="AN45" s="558"/>
      <c r="AO45" s="558"/>
      <c r="AP45" s="566"/>
    </row>
    <row r="46" spans="1:42" ht="57.95">
      <c r="A46" s="322" t="s">
        <v>522</v>
      </c>
      <c r="B46" s="322" t="s">
        <v>523</v>
      </c>
      <c r="C46" s="322" t="s">
        <v>425</v>
      </c>
      <c r="D46" s="323" t="s">
        <v>453</v>
      </c>
      <c r="E46" s="411" t="s">
        <v>524</v>
      </c>
      <c r="F46" s="411" t="s">
        <v>525</v>
      </c>
      <c r="G46" s="241" t="str">
        <f>VLOOKUP(A46,'Feature Summary'!$A$7:$C$4049,3,FALSE)</f>
        <v>P4</v>
      </c>
      <c r="H46" s="385" t="s">
        <v>526</v>
      </c>
      <c r="I46" s="322" t="s">
        <v>322</v>
      </c>
      <c r="J46" s="323"/>
      <c r="K46" s="323">
        <v>1</v>
      </c>
      <c r="L46" s="323">
        <v>1000</v>
      </c>
      <c r="M46" s="387" t="s">
        <v>323</v>
      </c>
      <c r="N46" s="420">
        <v>1</v>
      </c>
      <c r="O46" s="421">
        <v>1000</v>
      </c>
      <c r="P46" s="422">
        <f t="shared" si="11"/>
        <v>1</v>
      </c>
      <c r="Q46" s="409" t="s">
        <v>48</v>
      </c>
      <c r="R46" s="421">
        <v>1000</v>
      </c>
      <c r="S46" s="580">
        <f t="shared" si="3"/>
        <v>3000</v>
      </c>
      <c r="T46" s="421">
        <v>3000</v>
      </c>
      <c r="U46" s="434"/>
      <c r="V46" s="434"/>
      <c r="W46" s="434"/>
      <c r="X46" s="439">
        <f t="shared" si="10"/>
        <v>1</v>
      </c>
      <c r="Y46" s="410"/>
      <c r="Z46" s="528">
        <f t="shared" si="4"/>
        <v>3500</v>
      </c>
      <c r="AA46" s="434">
        <v>3500</v>
      </c>
      <c r="AB46" s="434"/>
      <c r="AC46" s="434"/>
      <c r="AD46" s="434"/>
      <c r="AE46" s="435">
        <f t="shared" si="2"/>
        <v>1</v>
      </c>
      <c r="AF46" s="322"/>
      <c r="AG46" s="530"/>
      <c r="AH46" s="563"/>
      <c r="AI46" s="567" t="s">
        <v>322</v>
      </c>
      <c r="AJ46" s="558" t="s">
        <v>458</v>
      </c>
      <c r="AK46" s="558" t="s">
        <v>37</v>
      </c>
      <c r="AL46" s="558"/>
      <c r="AM46" s="558"/>
      <c r="AN46" s="558"/>
      <c r="AO46" s="558"/>
      <c r="AP46" s="566"/>
    </row>
    <row r="47" spans="1:42" ht="174">
      <c r="A47" s="321" t="s">
        <v>527</v>
      </c>
      <c r="B47" s="322" t="s">
        <v>528</v>
      </c>
      <c r="C47" s="322" t="s">
        <v>425</v>
      </c>
      <c r="D47" s="323" t="s">
        <v>453</v>
      </c>
      <c r="E47" s="411" t="s">
        <v>524</v>
      </c>
      <c r="F47" s="411" t="s">
        <v>529</v>
      </c>
      <c r="G47" s="241" t="str">
        <f>VLOOKUP(A47,'Feature Summary'!$A$7:$C$4049,3,FALSE)</f>
        <v>P4</v>
      </c>
      <c r="H47" s="508" t="s">
        <v>530</v>
      </c>
      <c r="I47" s="322" t="s">
        <v>530</v>
      </c>
      <c r="J47" s="323" t="s">
        <v>531</v>
      </c>
      <c r="K47" s="323">
        <v>1</v>
      </c>
      <c r="L47" s="323">
        <v>1</v>
      </c>
      <c r="M47" s="387" t="s">
        <v>323</v>
      </c>
      <c r="N47" s="420">
        <v>1</v>
      </c>
      <c r="O47" s="421">
        <v>1</v>
      </c>
      <c r="P47" s="422">
        <f t="shared" si="11"/>
        <v>1</v>
      </c>
      <c r="Q47" s="409" t="s">
        <v>48</v>
      </c>
      <c r="R47" s="421">
        <v>1</v>
      </c>
      <c r="S47" s="580">
        <f t="shared" si="3"/>
        <v>0</v>
      </c>
      <c r="T47" s="421"/>
      <c r="U47" s="434"/>
      <c r="V47" s="434"/>
      <c r="W47" s="434"/>
      <c r="X47" s="439">
        <f t="shared" si="10"/>
        <v>0</v>
      </c>
      <c r="Y47" s="410"/>
      <c r="Z47" s="528">
        <f t="shared" si="4"/>
        <v>1</v>
      </c>
      <c r="AA47" s="434">
        <v>1</v>
      </c>
      <c r="AB47" s="434"/>
      <c r="AC47" s="434"/>
      <c r="AD47" s="434"/>
      <c r="AE47" s="435">
        <f t="shared" si="2"/>
        <v>1</v>
      </c>
      <c r="AF47" s="322"/>
      <c r="AG47" s="530" t="str">
        <f>VLOOKUP(A47,'Feature Summary'!$A$7:$U$3900,21,FALSE)</f>
        <v>NA</v>
      </c>
      <c r="AH47" s="563"/>
      <c r="AI47" s="567" t="s">
        <v>46</v>
      </c>
      <c r="AJ47" s="558" t="s">
        <v>458</v>
      </c>
      <c r="AK47" s="558" t="s">
        <v>37</v>
      </c>
      <c r="AL47" s="558"/>
      <c r="AM47" s="558"/>
      <c r="AN47" s="558"/>
      <c r="AO47" s="558"/>
      <c r="AP47" s="566"/>
    </row>
    <row r="48" spans="1:42" ht="72.599999999999994">
      <c r="A48" s="321" t="s">
        <v>532</v>
      </c>
      <c r="B48" s="322" t="s">
        <v>533</v>
      </c>
      <c r="C48" s="322" t="s">
        <v>425</v>
      </c>
      <c r="D48" s="323" t="s">
        <v>453</v>
      </c>
      <c r="E48" s="322" t="s">
        <v>534</v>
      </c>
      <c r="F48" s="411" t="s">
        <v>535</v>
      </c>
      <c r="G48" s="241" t="str">
        <f>VLOOKUP(A48,'Feature Summary'!$A$7:$C$4049,3,FALSE)</f>
        <v>P4</v>
      </c>
      <c r="H48" s="508" t="s">
        <v>536</v>
      </c>
      <c r="I48" s="322" t="s">
        <v>322</v>
      </c>
      <c r="J48" s="323"/>
      <c r="K48" s="323">
        <v>1</v>
      </c>
      <c r="L48" s="323">
        <v>500</v>
      </c>
      <c r="M48" s="387" t="s">
        <v>323</v>
      </c>
      <c r="N48" s="420">
        <v>1</v>
      </c>
      <c r="O48" s="421">
        <v>500</v>
      </c>
      <c r="P48" s="422">
        <f t="shared" si="11"/>
        <v>1</v>
      </c>
      <c r="Q48" s="409" t="s">
        <v>48</v>
      </c>
      <c r="R48" s="421">
        <v>500</v>
      </c>
      <c r="S48" s="580">
        <f t="shared" si="3"/>
        <v>2000</v>
      </c>
      <c r="T48" s="421">
        <v>2000</v>
      </c>
      <c r="U48" s="434"/>
      <c r="V48" s="434"/>
      <c r="W48" s="434"/>
      <c r="X48" s="439">
        <f t="shared" si="10"/>
        <v>1</v>
      </c>
      <c r="Y48" s="410"/>
      <c r="Z48" s="528">
        <f t="shared" si="4"/>
        <v>500</v>
      </c>
      <c r="AA48" s="434">
        <v>500</v>
      </c>
      <c r="AB48" s="434"/>
      <c r="AC48" s="434"/>
      <c r="AD48" s="434"/>
      <c r="AE48" s="435">
        <f t="shared" si="2"/>
        <v>1</v>
      </c>
      <c r="AF48" s="322"/>
      <c r="AG48" s="530"/>
      <c r="AH48" s="563"/>
      <c r="AI48" s="567" t="s">
        <v>322</v>
      </c>
      <c r="AJ48" s="558" t="s">
        <v>458</v>
      </c>
      <c r="AK48" s="558" t="s">
        <v>37</v>
      </c>
      <c r="AL48" s="558"/>
      <c r="AM48" s="558"/>
      <c r="AN48" s="558"/>
      <c r="AO48" s="558"/>
      <c r="AP48" s="566"/>
    </row>
    <row r="49" spans="1:42" ht="57.95">
      <c r="A49" s="321" t="s">
        <v>537</v>
      </c>
      <c r="B49" s="322" t="s">
        <v>538</v>
      </c>
      <c r="C49" s="322" t="s">
        <v>539</v>
      </c>
      <c r="D49" s="323" t="s">
        <v>453</v>
      </c>
      <c r="E49" s="322" t="s">
        <v>540</v>
      </c>
      <c r="F49" s="411" t="s">
        <v>541</v>
      </c>
      <c r="G49" s="241" t="str">
        <f>VLOOKUP(A49,'Feature Summary'!$A$7:$C$4049,3,FALSE)</f>
        <v>P1</v>
      </c>
      <c r="H49" s="385" t="s">
        <v>542</v>
      </c>
      <c r="I49" s="322" t="s">
        <v>46</v>
      </c>
      <c r="J49" s="323"/>
      <c r="K49" s="323">
        <v>1</v>
      </c>
      <c r="L49" s="323">
        <v>5</v>
      </c>
      <c r="M49" s="387" t="s">
        <v>323</v>
      </c>
      <c r="N49" s="420">
        <v>1</v>
      </c>
      <c r="O49" s="421">
        <v>2</v>
      </c>
      <c r="P49" s="422">
        <v>1</v>
      </c>
      <c r="Q49" s="409" t="s">
        <v>48</v>
      </c>
      <c r="R49" s="421">
        <v>2</v>
      </c>
      <c r="S49" s="580">
        <f t="shared" si="3"/>
        <v>2</v>
      </c>
      <c r="T49" s="421">
        <v>2</v>
      </c>
      <c r="U49" s="434"/>
      <c r="V49" s="434"/>
      <c r="W49" s="434"/>
      <c r="X49" s="439">
        <f t="shared" si="10"/>
        <v>1</v>
      </c>
      <c r="Y49" s="410"/>
      <c r="Z49" s="528">
        <f t="shared" si="4"/>
        <v>5</v>
      </c>
      <c r="AA49" s="434">
        <v>5</v>
      </c>
      <c r="AB49" s="434"/>
      <c r="AC49" s="434"/>
      <c r="AD49" s="434"/>
      <c r="AE49" s="435">
        <f t="shared" si="2"/>
        <v>1</v>
      </c>
      <c r="AF49" s="322"/>
      <c r="AG49" s="530">
        <f>VLOOKUP(A49,'Feature Summary'!$A$7:$U$3900,21,FALSE)</f>
        <v>0</v>
      </c>
      <c r="AH49" s="563"/>
      <c r="AI49" s="567" t="s">
        <v>46</v>
      </c>
      <c r="AJ49" s="558" t="s">
        <v>458</v>
      </c>
      <c r="AK49" s="558" t="s">
        <v>37</v>
      </c>
      <c r="AL49" s="558">
        <v>6</v>
      </c>
      <c r="AM49" s="558">
        <v>4</v>
      </c>
      <c r="AN49" s="558">
        <v>50</v>
      </c>
      <c r="AO49" s="558"/>
      <c r="AP49" s="566"/>
    </row>
    <row r="50" spans="1:42" ht="57.95">
      <c r="A50" s="321" t="s">
        <v>543</v>
      </c>
      <c r="B50" s="322" t="s">
        <v>544</v>
      </c>
      <c r="C50" s="322" t="s">
        <v>425</v>
      </c>
      <c r="D50" s="323" t="s">
        <v>453</v>
      </c>
      <c r="E50" s="322" t="s">
        <v>545</v>
      </c>
      <c r="F50" s="411" t="s">
        <v>546</v>
      </c>
      <c r="G50" s="241" t="str">
        <f>VLOOKUP(A50,'Feature Summary'!$A$7:$C$4049,3,FALSE)</f>
        <v>P4</v>
      </c>
      <c r="H50" s="508" t="s">
        <v>547</v>
      </c>
      <c r="I50" s="322" t="s">
        <v>322</v>
      </c>
      <c r="J50" s="323"/>
      <c r="K50" s="323">
        <v>1</v>
      </c>
      <c r="L50" s="323">
        <v>1000</v>
      </c>
      <c r="M50" s="387" t="s">
        <v>323</v>
      </c>
      <c r="N50" s="420">
        <v>1</v>
      </c>
      <c r="O50" s="421">
        <v>1000</v>
      </c>
      <c r="P50" s="422">
        <f t="shared" ref="P50:P60" si="12">IF((O50=0),0,(O50/L50))</f>
        <v>1</v>
      </c>
      <c r="Q50" s="409" t="s">
        <v>48</v>
      </c>
      <c r="R50" s="421">
        <v>1000</v>
      </c>
      <c r="S50" s="580">
        <f t="shared" si="3"/>
        <v>1</v>
      </c>
      <c r="T50" s="421"/>
      <c r="U50" s="434">
        <v>1</v>
      </c>
      <c r="V50" s="434"/>
      <c r="W50" s="434"/>
      <c r="X50" s="439">
        <f t="shared" ref="X50:X65" si="13">IF((S50=0),0,((T50+U50)/S50*100%))</f>
        <v>1</v>
      </c>
      <c r="Y50" s="410"/>
      <c r="Z50" s="528">
        <f t="shared" si="4"/>
        <v>1</v>
      </c>
      <c r="AA50" s="434"/>
      <c r="AB50" s="434">
        <v>1</v>
      </c>
      <c r="AC50" s="434"/>
      <c r="AD50" s="434"/>
      <c r="AE50" s="435">
        <f t="shared" si="2"/>
        <v>1</v>
      </c>
      <c r="AF50" s="322"/>
      <c r="AG50" s="530"/>
      <c r="AH50" s="563"/>
      <c r="AI50" s="567" t="s">
        <v>322</v>
      </c>
      <c r="AJ50" s="558" t="s">
        <v>458</v>
      </c>
      <c r="AK50" s="558" t="s">
        <v>37</v>
      </c>
      <c r="AL50" s="558"/>
      <c r="AM50" s="558"/>
      <c r="AN50" s="558"/>
      <c r="AO50" s="558"/>
      <c r="AP50" s="566"/>
    </row>
    <row r="51" spans="1:42" ht="57.95">
      <c r="A51" s="321" t="s">
        <v>548</v>
      </c>
      <c r="B51" s="322" t="s">
        <v>549</v>
      </c>
      <c r="C51" s="322" t="s">
        <v>425</v>
      </c>
      <c r="D51" s="323" t="s">
        <v>453</v>
      </c>
      <c r="E51" s="322" t="s">
        <v>550</v>
      </c>
      <c r="F51" s="411" t="s">
        <v>551</v>
      </c>
      <c r="G51" s="241" t="str">
        <f>VLOOKUP(A51,'Feature Summary'!$A$7:$C$4049,3,FALSE)</f>
        <v>P4</v>
      </c>
      <c r="H51" s="508" t="s">
        <v>552</v>
      </c>
      <c r="I51" s="322" t="s">
        <v>322</v>
      </c>
      <c r="J51" s="323"/>
      <c r="K51" s="323">
        <v>1</v>
      </c>
      <c r="L51" s="323">
        <v>1000</v>
      </c>
      <c r="M51" s="387" t="s">
        <v>323</v>
      </c>
      <c r="N51" s="420">
        <v>1</v>
      </c>
      <c r="O51" s="421">
        <v>1000</v>
      </c>
      <c r="P51" s="422">
        <f t="shared" si="12"/>
        <v>1</v>
      </c>
      <c r="Q51" s="409" t="s">
        <v>48</v>
      </c>
      <c r="R51" s="421">
        <v>1000</v>
      </c>
      <c r="S51" s="580">
        <f t="shared" si="3"/>
        <v>1900</v>
      </c>
      <c r="T51" s="421">
        <v>1900</v>
      </c>
      <c r="U51" s="434"/>
      <c r="V51" s="434"/>
      <c r="W51" s="434"/>
      <c r="X51" s="439">
        <f t="shared" si="13"/>
        <v>1</v>
      </c>
      <c r="Y51" s="410"/>
      <c r="Z51" s="528">
        <f t="shared" si="4"/>
        <v>4400</v>
      </c>
      <c r="AA51" s="434">
        <v>4400</v>
      </c>
      <c r="AB51" s="434"/>
      <c r="AC51" s="434"/>
      <c r="AD51" s="434"/>
      <c r="AE51" s="435">
        <f t="shared" si="2"/>
        <v>1</v>
      </c>
      <c r="AF51" s="322"/>
      <c r="AG51" s="530"/>
      <c r="AH51" s="563"/>
      <c r="AI51" s="567" t="s">
        <v>322</v>
      </c>
      <c r="AJ51" s="558" t="s">
        <v>458</v>
      </c>
      <c r="AK51" s="558" t="s">
        <v>37</v>
      </c>
      <c r="AL51" s="558"/>
      <c r="AM51" s="558"/>
      <c r="AN51" s="558"/>
      <c r="AO51" s="558"/>
      <c r="AP51" s="566"/>
    </row>
    <row r="52" spans="1:42" ht="409.5">
      <c r="A52" s="321" t="s">
        <v>553</v>
      </c>
      <c r="B52" s="322" t="s">
        <v>554</v>
      </c>
      <c r="C52" s="322" t="s">
        <v>425</v>
      </c>
      <c r="D52" s="323" t="s">
        <v>453</v>
      </c>
      <c r="E52" s="411" t="s">
        <v>555</v>
      </c>
      <c r="F52" s="411" t="s">
        <v>556</v>
      </c>
      <c r="G52" s="241" t="str">
        <f>VLOOKUP(A52,'Feature Summary'!$A$7:$C$4049,3,FALSE)</f>
        <v>P4</v>
      </c>
      <c r="H52" s="508" t="s">
        <v>557</v>
      </c>
      <c r="I52" s="322" t="s">
        <v>46</v>
      </c>
      <c r="J52" s="323"/>
      <c r="K52" s="323">
        <v>1</v>
      </c>
      <c r="L52" s="323">
        <v>3</v>
      </c>
      <c r="M52" s="387" t="s">
        <v>323</v>
      </c>
      <c r="N52" s="420">
        <v>1</v>
      </c>
      <c r="O52" s="421">
        <v>2</v>
      </c>
      <c r="P52" s="422">
        <v>1</v>
      </c>
      <c r="Q52" s="409" t="s">
        <v>48</v>
      </c>
      <c r="R52" s="421">
        <v>3</v>
      </c>
      <c r="S52" s="580">
        <f t="shared" si="3"/>
        <v>3</v>
      </c>
      <c r="T52" s="421">
        <v>3</v>
      </c>
      <c r="U52" s="434"/>
      <c r="V52" s="434"/>
      <c r="W52" s="434"/>
      <c r="X52" s="439">
        <f t="shared" si="13"/>
        <v>1</v>
      </c>
      <c r="Y52" s="410" t="s">
        <v>558</v>
      </c>
      <c r="Z52" s="528">
        <f t="shared" si="4"/>
        <v>3</v>
      </c>
      <c r="AA52" s="434">
        <v>3</v>
      </c>
      <c r="AB52" s="434"/>
      <c r="AC52" s="434"/>
      <c r="AD52" s="434"/>
      <c r="AE52" s="435">
        <f t="shared" si="2"/>
        <v>1</v>
      </c>
      <c r="AF52" s="322"/>
      <c r="AG52" s="530"/>
      <c r="AH52" s="563"/>
      <c r="AI52" s="567" t="s">
        <v>46</v>
      </c>
      <c r="AJ52" s="558" t="s">
        <v>458</v>
      </c>
      <c r="AK52" s="558" t="s">
        <v>37</v>
      </c>
      <c r="AL52" s="558"/>
      <c r="AM52" s="558"/>
      <c r="AN52" s="558"/>
      <c r="AO52" s="558"/>
      <c r="AP52" s="566"/>
    </row>
    <row r="53" spans="1:42" ht="130.5">
      <c r="A53" s="321" t="s">
        <v>559</v>
      </c>
      <c r="B53" s="322" t="s">
        <v>560</v>
      </c>
      <c r="C53" s="322" t="s">
        <v>425</v>
      </c>
      <c r="D53" s="323" t="s">
        <v>453</v>
      </c>
      <c r="E53" s="411" t="s">
        <v>561</v>
      </c>
      <c r="F53" s="411" t="s">
        <v>562</v>
      </c>
      <c r="G53" s="241" t="str">
        <f>VLOOKUP(A53,'Feature Summary'!$A$7:$C$4049,3,FALSE)</f>
        <v>P4</v>
      </c>
      <c r="H53" s="508" t="s">
        <v>563</v>
      </c>
      <c r="I53" s="322" t="s">
        <v>46</v>
      </c>
      <c r="J53" s="323"/>
      <c r="K53" s="323">
        <v>1</v>
      </c>
      <c r="L53" s="323">
        <v>2</v>
      </c>
      <c r="M53" s="387" t="s">
        <v>323</v>
      </c>
      <c r="N53" s="420">
        <v>1</v>
      </c>
      <c r="O53" s="421">
        <v>2</v>
      </c>
      <c r="P53" s="422">
        <f t="shared" si="12"/>
        <v>1</v>
      </c>
      <c r="Q53" s="409" t="s">
        <v>48</v>
      </c>
      <c r="R53" s="421">
        <v>2</v>
      </c>
      <c r="S53" s="580">
        <f t="shared" si="3"/>
        <v>2</v>
      </c>
      <c r="T53" s="421">
        <v>2</v>
      </c>
      <c r="U53" s="434"/>
      <c r="V53" s="434"/>
      <c r="W53" s="434"/>
      <c r="X53" s="439">
        <f t="shared" si="13"/>
        <v>1</v>
      </c>
      <c r="Y53" s="410"/>
      <c r="Z53" s="528">
        <f t="shared" si="4"/>
        <v>2</v>
      </c>
      <c r="AA53" s="434">
        <v>2</v>
      </c>
      <c r="AB53" s="434"/>
      <c r="AC53" s="434"/>
      <c r="AD53" s="434"/>
      <c r="AE53" s="435">
        <f t="shared" si="2"/>
        <v>1</v>
      </c>
      <c r="AF53" s="322"/>
      <c r="AG53" s="530"/>
      <c r="AH53" s="563"/>
      <c r="AI53" s="567" t="s">
        <v>46</v>
      </c>
      <c r="AJ53" s="558" t="s">
        <v>458</v>
      </c>
      <c r="AK53" s="558" t="s">
        <v>37</v>
      </c>
      <c r="AL53" s="558"/>
      <c r="AM53" s="558"/>
      <c r="AN53" s="558"/>
      <c r="AO53" s="558"/>
      <c r="AP53" s="566"/>
    </row>
    <row r="54" spans="1:42" ht="409.5">
      <c r="A54" s="321" t="s">
        <v>564</v>
      </c>
      <c r="B54" s="322" t="s">
        <v>565</v>
      </c>
      <c r="C54" s="411" t="s">
        <v>566</v>
      </c>
      <c r="D54" s="323" t="s">
        <v>567</v>
      </c>
      <c r="E54" s="411" t="s">
        <v>568</v>
      </c>
      <c r="F54" s="411" t="s">
        <v>569</v>
      </c>
      <c r="G54" s="241" t="str">
        <f>VLOOKUP(A54,'Feature Summary'!$A$7:$C$4049,3,FALSE)</f>
        <v>P4</v>
      </c>
      <c r="H54" s="508" t="s">
        <v>570</v>
      </c>
      <c r="I54" s="322" t="s">
        <v>322</v>
      </c>
      <c r="J54" s="323"/>
      <c r="K54" s="323">
        <v>1</v>
      </c>
      <c r="L54" s="323">
        <v>500</v>
      </c>
      <c r="M54" s="387" t="s">
        <v>323</v>
      </c>
      <c r="N54" s="420">
        <v>1</v>
      </c>
      <c r="O54" s="421">
        <v>500</v>
      </c>
      <c r="P54" s="422">
        <f>IF((O54=0),0,(O54/L54))</f>
        <v>1</v>
      </c>
      <c r="Q54" s="409" t="s">
        <v>48</v>
      </c>
      <c r="R54" s="421">
        <v>500</v>
      </c>
      <c r="S54" s="580">
        <f t="shared" si="3"/>
        <v>2628</v>
      </c>
      <c r="T54" s="421">
        <v>2628</v>
      </c>
      <c r="U54" s="434"/>
      <c r="V54" s="434"/>
      <c r="W54" s="434"/>
      <c r="X54" s="439">
        <f t="shared" si="13"/>
        <v>1</v>
      </c>
      <c r="Y54" s="410"/>
      <c r="Z54" s="528">
        <f t="shared" si="4"/>
        <v>2000</v>
      </c>
      <c r="AA54" s="434">
        <v>2000</v>
      </c>
      <c r="AB54" s="434"/>
      <c r="AC54" s="434"/>
      <c r="AD54" s="434"/>
      <c r="AE54" s="435">
        <f t="shared" si="2"/>
        <v>1</v>
      </c>
      <c r="AF54" s="322"/>
      <c r="AG54" s="530"/>
      <c r="AH54" s="563"/>
      <c r="AI54" s="567" t="s">
        <v>322</v>
      </c>
      <c r="AJ54" s="558" t="s">
        <v>571</v>
      </c>
      <c r="AK54" s="558" t="s">
        <v>37</v>
      </c>
      <c r="AL54" s="558"/>
      <c r="AM54" s="558"/>
      <c r="AN54" s="558"/>
      <c r="AO54" s="558"/>
      <c r="AP54" s="566"/>
    </row>
    <row r="55" spans="1:42" ht="409.6" thickBot="1">
      <c r="A55" s="321" t="s">
        <v>572</v>
      </c>
      <c r="B55" s="322" t="s">
        <v>573</v>
      </c>
      <c r="C55" s="411" t="s">
        <v>566</v>
      </c>
      <c r="D55" s="323" t="s">
        <v>567</v>
      </c>
      <c r="E55" s="411" t="s">
        <v>574</v>
      </c>
      <c r="F55" s="411" t="s">
        <v>575</v>
      </c>
      <c r="G55" s="241" t="str">
        <f>VLOOKUP(A55,'Feature Summary'!$A$7:$C$4049,3,FALSE)</f>
        <v>P1</v>
      </c>
      <c r="H55" s="411" t="s">
        <v>576</v>
      </c>
      <c r="I55" s="322" t="s">
        <v>46</v>
      </c>
      <c r="J55" s="323"/>
      <c r="K55" s="323">
        <v>1</v>
      </c>
      <c r="L55" s="323">
        <v>11</v>
      </c>
      <c r="M55" s="387" t="s">
        <v>323</v>
      </c>
      <c r="N55" s="420">
        <v>1</v>
      </c>
      <c r="O55" s="421">
        <v>11</v>
      </c>
      <c r="P55" s="422">
        <f>IF((O55=0),0,(O55/L55))</f>
        <v>1</v>
      </c>
      <c r="Q55" s="409" t="s">
        <v>48</v>
      </c>
      <c r="R55" s="421">
        <v>11</v>
      </c>
      <c r="S55" s="580">
        <f t="shared" si="3"/>
        <v>11</v>
      </c>
      <c r="T55" s="421">
        <v>11</v>
      </c>
      <c r="U55" s="434"/>
      <c r="V55" s="434"/>
      <c r="W55" s="434"/>
      <c r="X55" s="439">
        <f t="shared" si="13"/>
        <v>1</v>
      </c>
      <c r="Y55" s="410"/>
      <c r="Z55" s="528">
        <f t="shared" si="4"/>
        <v>11</v>
      </c>
      <c r="AA55" s="434">
        <v>11</v>
      </c>
      <c r="AB55" s="434"/>
      <c r="AC55" s="434"/>
      <c r="AD55" s="434"/>
      <c r="AE55" s="435">
        <f t="shared" si="2"/>
        <v>1</v>
      </c>
      <c r="AF55" s="322"/>
      <c r="AG55" s="530">
        <f>VLOOKUP(A55,'Feature Summary'!$A$7:$U$3900,21,FALSE)</f>
        <v>0</v>
      </c>
      <c r="AH55" s="563"/>
      <c r="AI55" s="567" t="s">
        <v>46</v>
      </c>
      <c r="AJ55" s="558" t="s">
        <v>571</v>
      </c>
      <c r="AK55" s="558" t="s">
        <v>31</v>
      </c>
      <c r="AL55" s="558">
        <v>50</v>
      </c>
      <c r="AM55" s="558">
        <v>44</v>
      </c>
      <c r="AN55" s="558">
        <v>100</v>
      </c>
      <c r="AO55" s="558"/>
      <c r="AP55" s="566"/>
    </row>
    <row r="56" spans="1:42" ht="44.1" thickBot="1">
      <c r="A56" s="321" t="s">
        <v>577</v>
      </c>
      <c r="B56" s="322" t="s">
        <v>578</v>
      </c>
      <c r="C56" s="322" t="s">
        <v>317</v>
      </c>
      <c r="D56" s="323" t="s">
        <v>567</v>
      </c>
      <c r="E56" s="506" t="s">
        <v>579</v>
      </c>
      <c r="F56" s="411" t="s">
        <v>580</v>
      </c>
      <c r="G56" s="241" t="str">
        <f>VLOOKUP(A56,'Feature Summary'!$A$7:$C$4049,3,FALSE)</f>
        <v>P3</v>
      </c>
      <c r="H56" s="508" t="s">
        <v>581</v>
      </c>
      <c r="I56" s="322" t="s">
        <v>46</v>
      </c>
      <c r="J56" s="323"/>
      <c r="K56" s="323">
        <v>1</v>
      </c>
      <c r="L56" s="323">
        <v>1</v>
      </c>
      <c r="M56" s="387" t="s">
        <v>323</v>
      </c>
      <c r="N56" s="420">
        <v>1</v>
      </c>
      <c r="O56" s="421">
        <v>1</v>
      </c>
      <c r="P56" s="422">
        <f>IF((O56=0),0,(O56/L56))</f>
        <v>1</v>
      </c>
      <c r="Q56" s="409" t="s">
        <v>48</v>
      </c>
      <c r="R56" s="421">
        <v>1</v>
      </c>
      <c r="S56" s="580">
        <f t="shared" si="3"/>
        <v>1</v>
      </c>
      <c r="T56" s="421">
        <v>1</v>
      </c>
      <c r="U56" s="434"/>
      <c r="V56" s="434"/>
      <c r="W56" s="434"/>
      <c r="X56" s="439">
        <f t="shared" si="13"/>
        <v>1</v>
      </c>
      <c r="Y56" s="410"/>
      <c r="Z56" s="528">
        <f t="shared" si="4"/>
        <v>1</v>
      </c>
      <c r="AA56" s="434">
        <v>1</v>
      </c>
      <c r="AB56" s="434"/>
      <c r="AC56" s="434"/>
      <c r="AD56" s="434"/>
      <c r="AE56" s="435">
        <f t="shared" si="2"/>
        <v>1</v>
      </c>
      <c r="AF56" s="322"/>
      <c r="AG56" s="530">
        <f>VLOOKUP(A56,'Feature Summary'!$A$7:$U$3900,21,FALSE)</f>
        <v>0</v>
      </c>
      <c r="AH56" s="563"/>
      <c r="AI56" s="567" t="s">
        <v>46</v>
      </c>
      <c r="AJ56" s="558" t="s">
        <v>571</v>
      </c>
      <c r="AK56" s="558" t="s">
        <v>37</v>
      </c>
      <c r="AL56" s="558"/>
      <c r="AM56" s="558"/>
      <c r="AN56" s="558"/>
      <c r="AO56" s="558"/>
      <c r="AP56" s="566"/>
    </row>
    <row r="57" spans="1:42" ht="57.95">
      <c r="A57" s="321" t="s">
        <v>582</v>
      </c>
      <c r="B57" s="322" t="s">
        <v>583</v>
      </c>
      <c r="C57" s="322" t="s">
        <v>328</v>
      </c>
      <c r="D57" s="323" t="s">
        <v>567</v>
      </c>
      <c r="E57" s="506" t="s">
        <v>584</v>
      </c>
      <c r="F57" s="411" t="s">
        <v>585</v>
      </c>
      <c r="G57" s="241" t="str">
        <f>VLOOKUP(A57,'Feature Summary'!$A$7:$C$4049,3,FALSE)</f>
        <v>P1</v>
      </c>
      <c r="H57" s="508" t="s">
        <v>586</v>
      </c>
      <c r="I57" s="322" t="s">
        <v>46</v>
      </c>
      <c r="J57" s="323"/>
      <c r="K57" s="323">
        <v>1</v>
      </c>
      <c r="L57" s="323">
        <v>2</v>
      </c>
      <c r="M57" s="387" t="s">
        <v>323</v>
      </c>
      <c r="N57" s="420">
        <v>1</v>
      </c>
      <c r="O57" s="421">
        <v>1</v>
      </c>
      <c r="P57" s="422">
        <v>1</v>
      </c>
      <c r="Q57" s="409" t="s">
        <v>48</v>
      </c>
      <c r="R57" s="421">
        <v>1</v>
      </c>
      <c r="S57" s="580">
        <f t="shared" si="3"/>
        <v>0</v>
      </c>
      <c r="T57" s="421"/>
      <c r="U57" s="434"/>
      <c r="V57" s="434"/>
      <c r="W57" s="434"/>
      <c r="X57" s="439">
        <f t="shared" si="13"/>
        <v>0</v>
      </c>
      <c r="Y57" s="410"/>
      <c r="Z57" s="528">
        <f t="shared" si="4"/>
        <v>2</v>
      </c>
      <c r="AA57" s="434">
        <v>2</v>
      </c>
      <c r="AB57" s="434"/>
      <c r="AC57" s="434"/>
      <c r="AD57" s="434"/>
      <c r="AE57" s="435">
        <f t="shared" si="2"/>
        <v>1</v>
      </c>
      <c r="AF57" s="322"/>
      <c r="AG57" s="530">
        <f>VLOOKUP(A57,'Feature Summary'!$A$7:$U$3900,21,FALSE)</f>
        <v>0</v>
      </c>
      <c r="AH57" s="563"/>
      <c r="AI57" s="567" t="s">
        <v>46</v>
      </c>
      <c r="AJ57" s="558" t="s">
        <v>571</v>
      </c>
      <c r="AK57" s="558" t="s">
        <v>37</v>
      </c>
      <c r="AL57" s="558">
        <v>6</v>
      </c>
      <c r="AM57" s="558">
        <v>4</v>
      </c>
      <c r="AN57" s="558">
        <v>50</v>
      </c>
      <c r="AO57" s="558"/>
      <c r="AP57" s="566"/>
    </row>
    <row r="58" spans="1:42" ht="409.5">
      <c r="A58" s="321" t="s">
        <v>587</v>
      </c>
      <c r="B58" s="322" t="s">
        <v>588</v>
      </c>
      <c r="C58" s="411" t="s">
        <v>589</v>
      </c>
      <c r="D58" s="323" t="s">
        <v>590</v>
      </c>
      <c r="E58" s="411" t="s">
        <v>591</v>
      </c>
      <c r="F58" s="411" t="s">
        <v>592</v>
      </c>
      <c r="G58" s="241" t="str">
        <f>VLOOKUP(A58,'Feature Summary'!$A$7:$C$4049,3,FALSE)</f>
        <v>P4</v>
      </c>
      <c r="H58" s="508" t="s">
        <v>593</v>
      </c>
      <c r="I58" s="322" t="s">
        <v>322</v>
      </c>
      <c r="J58" s="323"/>
      <c r="K58" s="323">
        <v>1</v>
      </c>
      <c r="L58" s="323">
        <v>1000</v>
      </c>
      <c r="M58" s="387" t="s">
        <v>323</v>
      </c>
      <c r="N58" s="420">
        <v>1</v>
      </c>
      <c r="O58" s="421">
        <v>1000</v>
      </c>
      <c r="P58" s="422">
        <f t="shared" si="12"/>
        <v>1</v>
      </c>
      <c r="Q58" s="409" t="s">
        <v>48</v>
      </c>
      <c r="R58" s="421">
        <v>1000</v>
      </c>
      <c r="S58" s="580">
        <f t="shared" si="3"/>
        <v>0</v>
      </c>
      <c r="T58" s="421"/>
      <c r="U58" s="434"/>
      <c r="V58" s="434"/>
      <c r="W58" s="434"/>
      <c r="X58" s="439">
        <f t="shared" si="13"/>
        <v>0</v>
      </c>
      <c r="Y58" s="410"/>
      <c r="Z58" s="528">
        <f t="shared" si="4"/>
        <v>2000</v>
      </c>
      <c r="AA58" s="434">
        <v>2000</v>
      </c>
      <c r="AB58" s="434"/>
      <c r="AC58" s="434"/>
      <c r="AD58" s="434"/>
      <c r="AE58" s="435">
        <f t="shared" si="2"/>
        <v>1</v>
      </c>
      <c r="AF58" s="322"/>
      <c r="AG58" s="530"/>
      <c r="AH58" s="563"/>
      <c r="AI58" s="567" t="s">
        <v>322</v>
      </c>
      <c r="AJ58" s="558" t="s">
        <v>594</v>
      </c>
      <c r="AK58" s="558" t="s">
        <v>37</v>
      </c>
      <c r="AL58" s="558"/>
      <c r="AM58" s="558"/>
      <c r="AN58" s="558"/>
      <c r="AO58" s="558"/>
      <c r="AP58" s="566"/>
    </row>
    <row r="59" spans="1:42" ht="409.5">
      <c r="A59" s="321" t="s">
        <v>595</v>
      </c>
      <c r="B59" s="322" t="s">
        <v>596</v>
      </c>
      <c r="C59" s="411" t="s">
        <v>589</v>
      </c>
      <c r="D59" s="323" t="s">
        <v>590</v>
      </c>
      <c r="E59" s="411" t="s">
        <v>591</v>
      </c>
      <c r="F59" s="411" t="s">
        <v>592</v>
      </c>
      <c r="G59" s="241" t="str">
        <f>VLOOKUP(A59,'Feature Summary'!$A$7:$C$4049,3,FALSE)</f>
        <v>P4</v>
      </c>
      <c r="H59" s="508" t="s">
        <v>597</v>
      </c>
      <c r="I59" s="322" t="s">
        <v>322</v>
      </c>
      <c r="J59" s="323"/>
      <c r="K59" s="323">
        <v>1</v>
      </c>
      <c r="L59" s="323">
        <v>5000</v>
      </c>
      <c r="M59" s="387" t="s">
        <v>340</v>
      </c>
      <c r="N59" s="420">
        <v>1</v>
      </c>
      <c r="O59" s="421">
        <v>5000</v>
      </c>
      <c r="P59" s="422">
        <f t="shared" si="12"/>
        <v>1</v>
      </c>
      <c r="Q59" s="409" t="s">
        <v>48</v>
      </c>
      <c r="R59" s="421">
        <v>5000</v>
      </c>
      <c r="S59" s="580">
        <f t="shared" si="3"/>
        <v>1731</v>
      </c>
      <c r="T59" s="421">
        <v>1712</v>
      </c>
      <c r="U59" s="434"/>
      <c r="V59" s="434">
        <v>19</v>
      </c>
      <c r="W59" s="434"/>
      <c r="X59" s="439">
        <f t="shared" si="13"/>
        <v>0.98902368573079147</v>
      </c>
      <c r="Y59" s="410"/>
      <c r="Z59" s="528">
        <f t="shared" si="4"/>
        <v>2000</v>
      </c>
      <c r="AA59" s="434">
        <v>2000</v>
      </c>
      <c r="AB59" s="434"/>
      <c r="AC59" s="434"/>
      <c r="AD59" s="434"/>
      <c r="AE59" s="435">
        <f t="shared" si="2"/>
        <v>1</v>
      </c>
      <c r="AF59" s="322"/>
      <c r="AG59" s="530"/>
      <c r="AH59" s="563"/>
      <c r="AI59" s="567" t="s">
        <v>322</v>
      </c>
      <c r="AJ59" s="558" t="s">
        <v>594</v>
      </c>
      <c r="AK59" s="558" t="s">
        <v>37</v>
      </c>
      <c r="AL59" s="558"/>
      <c r="AM59" s="558"/>
      <c r="AN59" s="558"/>
      <c r="AO59" s="558"/>
      <c r="AP59" s="566"/>
    </row>
    <row r="60" spans="1:42" ht="409.5">
      <c r="A60" s="321" t="s">
        <v>598</v>
      </c>
      <c r="B60" s="322" t="s">
        <v>599</v>
      </c>
      <c r="C60" s="411" t="s">
        <v>589</v>
      </c>
      <c r="D60" s="323" t="s">
        <v>590</v>
      </c>
      <c r="E60" s="411" t="s">
        <v>591</v>
      </c>
      <c r="F60" s="411" t="s">
        <v>592</v>
      </c>
      <c r="G60" s="241" t="str">
        <f>VLOOKUP(A60,'Feature Summary'!$A$7:$C$4049,3,FALSE)</f>
        <v>P4</v>
      </c>
      <c r="H60" s="508" t="s">
        <v>600</v>
      </c>
      <c r="I60" s="322" t="s">
        <v>322</v>
      </c>
      <c r="J60" s="323"/>
      <c r="K60" s="323">
        <v>1</v>
      </c>
      <c r="L60" s="323">
        <v>5000</v>
      </c>
      <c r="M60" s="387" t="s">
        <v>323</v>
      </c>
      <c r="N60" s="420">
        <v>1</v>
      </c>
      <c r="O60" s="421">
        <v>5000</v>
      </c>
      <c r="P60" s="422">
        <f t="shared" si="12"/>
        <v>1</v>
      </c>
      <c r="Q60" s="409" t="s">
        <v>48</v>
      </c>
      <c r="R60" s="421">
        <v>5000</v>
      </c>
      <c r="S60" s="580">
        <f t="shared" si="3"/>
        <v>500</v>
      </c>
      <c r="T60" s="421">
        <v>500</v>
      </c>
      <c r="U60" s="434"/>
      <c r="V60" s="434"/>
      <c r="W60" s="434"/>
      <c r="X60" s="439">
        <f t="shared" si="13"/>
        <v>1</v>
      </c>
      <c r="Y60" s="410"/>
      <c r="Z60" s="528">
        <f t="shared" si="4"/>
        <v>1000</v>
      </c>
      <c r="AA60" s="434">
        <v>1000</v>
      </c>
      <c r="AB60" s="434"/>
      <c r="AC60" s="434"/>
      <c r="AD60" s="434"/>
      <c r="AE60" s="435">
        <f t="shared" si="2"/>
        <v>1</v>
      </c>
      <c r="AF60" s="322"/>
      <c r="AG60" s="530"/>
      <c r="AH60" s="563"/>
      <c r="AI60" s="567" t="s">
        <v>322</v>
      </c>
      <c r="AJ60" s="558" t="s">
        <v>594</v>
      </c>
      <c r="AK60" s="558" t="s">
        <v>37</v>
      </c>
      <c r="AL60" s="558"/>
      <c r="AM60" s="558"/>
      <c r="AN60" s="558"/>
      <c r="AO60" s="558"/>
      <c r="AP60" s="566"/>
    </row>
    <row r="61" spans="1:42" ht="409.5">
      <c r="A61" s="321" t="s">
        <v>601</v>
      </c>
      <c r="B61" s="322" t="s">
        <v>602</v>
      </c>
      <c r="C61" s="411" t="s">
        <v>589</v>
      </c>
      <c r="D61" s="323" t="s">
        <v>590</v>
      </c>
      <c r="E61" s="411" t="s">
        <v>603</v>
      </c>
      <c r="F61" s="411" t="s">
        <v>604</v>
      </c>
      <c r="G61" s="241" t="str">
        <f>VLOOKUP(A61,'Feature Summary'!$A$7:$C$4049,3,FALSE)</f>
        <v>P1</v>
      </c>
      <c r="H61" s="508" t="s">
        <v>605</v>
      </c>
      <c r="I61" s="322" t="s">
        <v>46</v>
      </c>
      <c r="J61" s="323"/>
      <c r="K61" s="323">
        <v>1</v>
      </c>
      <c r="L61" s="323">
        <v>22</v>
      </c>
      <c r="M61" s="387" t="s">
        <v>323</v>
      </c>
      <c r="N61" s="420">
        <v>1</v>
      </c>
      <c r="O61" s="421">
        <v>20</v>
      </c>
      <c r="P61" s="422">
        <v>1</v>
      </c>
      <c r="Q61" s="409" t="s">
        <v>48</v>
      </c>
      <c r="R61" s="421">
        <v>20</v>
      </c>
      <c r="S61" s="580">
        <f t="shared" si="3"/>
        <v>7</v>
      </c>
      <c r="T61" s="421">
        <v>7</v>
      </c>
      <c r="U61" s="434"/>
      <c r="V61" s="434"/>
      <c r="W61" s="434"/>
      <c r="X61" s="439">
        <f t="shared" si="13"/>
        <v>1</v>
      </c>
      <c r="Y61" s="410"/>
      <c r="Z61" s="528">
        <f t="shared" si="4"/>
        <v>7</v>
      </c>
      <c r="AA61" s="434">
        <v>7</v>
      </c>
      <c r="AB61" s="434"/>
      <c r="AC61" s="434"/>
      <c r="AD61" s="434"/>
      <c r="AE61" s="435">
        <f t="shared" si="2"/>
        <v>1</v>
      </c>
      <c r="AF61" s="322"/>
      <c r="AG61" s="530">
        <f>VLOOKUP(A61,'Feature Summary'!$A$7:$U$3900,21,FALSE)</f>
        <v>0</v>
      </c>
      <c r="AH61" s="563"/>
      <c r="AI61" s="567" t="s">
        <v>46</v>
      </c>
      <c r="AJ61" s="558" t="s">
        <v>594</v>
      </c>
      <c r="AK61" s="558" t="s">
        <v>31</v>
      </c>
      <c r="AL61" s="558">
        <v>50</v>
      </c>
      <c r="AM61" s="558">
        <v>100</v>
      </c>
      <c r="AN61" s="558">
        <v>200</v>
      </c>
      <c r="AO61" s="558"/>
      <c r="AP61" s="566"/>
    </row>
    <row r="62" spans="1:42" ht="409.5">
      <c r="A62" s="321" t="s">
        <v>606</v>
      </c>
      <c r="B62" s="322" t="s">
        <v>607</v>
      </c>
      <c r="C62" s="411" t="s">
        <v>589</v>
      </c>
      <c r="D62" s="323" t="s">
        <v>608</v>
      </c>
      <c r="E62" s="411" t="s">
        <v>609</v>
      </c>
      <c r="F62" s="411" t="s">
        <v>610</v>
      </c>
      <c r="G62" s="241" t="s">
        <v>259</v>
      </c>
      <c r="H62" s="508" t="s">
        <v>611</v>
      </c>
      <c r="I62" s="322" t="s">
        <v>46</v>
      </c>
      <c r="J62" s="323"/>
      <c r="K62" s="323">
        <v>1</v>
      </c>
      <c r="L62" s="323">
        <v>2</v>
      </c>
      <c r="M62" s="387" t="s">
        <v>323</v>
      </c>
      <c r="N62" s="420">
        <v>1</v>
      </c>
      <c r="O62" s="421">
        <v>2</v>
      </c>
      <c r="P62" s="422">
        <f t="shared" ref="P62:P103" si="14">IF((O62=0),0,(O62/L62))</f>
        <v>1</v>
      </c>
      <c r="Q62" s="409" t="s">
        <v>48</v>
      </c>
      <c r="R62" s="421">
        <v>2</v>
      </c>
      <c r="S62" s="580">
        <f t="shared" si="3"/>
        <v>2</v>
      </c>
      <c r="T62" s="421">
        <v>2</v>
      </c>
      <c r="U62" s="434"/>
      <c r="V62" s="434"/>
      <c r="W62" s="434"/>
      <c r="X62" s="439">
        <f t="shared" si="13"/>
        <v>1</v>
      </c>
      <c r="Y62" s="410"/>
      <c r="Z62" s="528">
        <f t="shared" si="4"/>
        <v>3</v>
      </c>
      <c r="AA62" s="434">
        <v>3</v>
      </c>
      <c r="AB62" s="434"/>
      <c r="AC62" s="434"/>
      <c r="AD62" s="434"/>
      <c r="AE62" s="435">
        <f t="shared" si="2"/>
        <v>1</v>
      </c>
      <c r="AF62" s="322"/>
      <c r="AG62" s="530"/>
      <c r="AH62" s="563"/>
      <c r="AI62" s="567" t="s">
        <v>46</v>
      </c>
      <c r="AJ62" s="558" t="s">
        <v>612</v>
      </c>
      <c r="AK62" s="558" t="s">
        <v>37</v>
      </c>
      <c r="AL62" s="558">
        <v>4</v>
      </c>
      <c r="AM62" s="558">
        <v>4</v>
      </c>
      <c r="AN62" s="558">
        <v>20</v>
      </c>
      <c r="AO62" s="558"/>
      <c r="AP62" s="566"/>
    </row>
    <row r="63" spans="1:42" ht="409.5">
      <c r="A63" s="321" t="s">
        <v>613</v>
      </c>
      <c r="B63" s="322" t="s">
        <v>614</v>
      </c>
      <c r="C63" s="411" t="s">
        <v>589</v>
      </c>
      <c r="D63" s="323" t="s">
        <v>608</v>
      </c>
      <c r="E63" s="411" t="s">
        <v>609</v>
      </c>
      <c r="F63" s="411" t="s">
        <v>610</v>
      </c>
      <c r="G63" s="241" t="str">
        <f>VLOOKUP(A63,'Feature Summary'!$A$7:$C$4049,3,FALSE)</f>
        <v>P4</v>
      </c>
      <c r="H63" s="508" t="s">
        <v>615</v>
      </c>
      <c r="I63" s="322" t="s">
        <v>322</v>
      </c>
      <c r="J63" s="323"/>
      <c r="K63" s="323">
        <v>1</v>
      </c>
      <c r="L63" s="323">
        <v>500</v>
      </c>
      <c r="M63" s="387" t="s">
        <v>323</v>
      </c>
      <c r="N63" s="420">
        <v>1</v>
      </c>
      <c r="O63" s="421">
        <v>500</v>
      </c>
      <c r="P63" s="422">
        <f t="shared" si="14"/>
        <v>1</v>
      </c>
      <c r="Q63" s="409" t="s">
        <v>48</v>
      </c>
      <c r="R63" s="421">
        <v>500</v>
      </c>
      <c r="S63" s="580">
        <f t="shared" si="3"/>
        <v>500</v>
      </c>
      <c r="T63" s="421">
        <v>500</v>
      </c>
      <c r="U63" s="434"/>
      <c r="V63" s="434"/>
      <c r="W63" s="434"/>
      <c r="X63" s="439">
        <f t="shared" si="13"/>
        <v>1</v>
      </c>
      <c r="Y63" s="410"/>
      <c r="Z63" s="528">
        <f t="shared" si="4"/>
        <v>2000</v>
      </c>
      <c r="AA63" s="434">
        <v>2000</v>
      </c>
      <c r="AB63" s="434"/>
      <c r="AC63" s="434"/>
      <c r="AD63" s="434"/>
      <c r="AE63" s="435">
        <f t="shared" ref="AE63:AE116" si="15">IF((Z63=0),0,((AA63+AB63)/Z63*100%))</f>
        <v>1</v>
      </c>
      <c r="AF63" s="322"/>
      <c r="AG63" s="530"/>
      <c r="AH63" s="563"/>
      <c r="AI63" s="567" t="s">
        <v>49</v>
      </c>
      <c r="AJ63" s="558" t="s">
        <v>612</v>
      </c>
      <c r="AK63" s="558" t="s">
        <v>37</v>
      </c>
      <c r="AL63" s="558"/>
      <c r="AM63" s="558"/>
      <c r="AN63" s="558"/>
      <c r="AO63" s="558"/>
      <c r="AP63" s="566"/>
    </row>
    <row r="64" spans="1:42" ht="72.599999999999994">
      <c r="A64" s="321" t="s">
        <v>616</v>
      </c>
      <c r="B64" s="322" t="s">
        <v>617</v>
      </c>
      <c r="C64" s="411" t="s">
        <v>589</v>
      </c>
      <c r="D64" s="507" t="s">
        <v>608</v>
      </c>
      <c r="E64" s="411" t="s">
        <v>618</v>
      </c>
      <c r="F64" s="411" t="s">
        <v>619</v>
      </c>
      <c r="G64" s="241" t="str">
        <f>VLOOKUP(A64,'Feature Summary'!$A$7:$C$4049,3,FALSE)</f>
        <v>P4</v>
      </c>
      <c r="H64" s="508" t="s">
        <v>620</v>
      </c>
      <c r="I64" s="322" t="s">
        <v>46</v>
      </c>
      <c r="J64" s="323"/>
      <c r="K64" s="323">
        <v>1</v>
      </c>
      <c r="L64" s="323">
        <v>2</v>
      </c>
      <c r="M64" s="387" t="s">
        <v>323</v>
      </c>
      <c r="N64" s="420">
        <v>1</v>
      </c>
      <c r="O64" s="421">
        <v>2</v>
      </c>
      <c r="P64" s="422">
        <f t="shared" si="14"/>
        <v>1</v>
      </c>
      <c r="Q64" s="409" t="s">
        <v>48</v>
      </c>
      <c r="R64" s="421">
        <v>2</v>
      </c>
      <c r="S64" s="580">
        <f t="shared" si="3"/>
        <v>0</v>
      </c>
      <c r="T64" s="421"/>
      <c r="U64" s="434"/>
      <c r="V64" s="434"/>
      <c r="W64" s="434"/>
      <c r="X64" s="439">
        <f t="shared" si="13"/>
        <v>0</v>
      </c>
      <c r="Y64" s="410"/>
      <c r="Z64" s="528">
        <f t="shared" si="4"/>
        <v>0</v>
      </c>
      <c r="AA64" s="434"/>
      <c r="AB64" s="434"/>
      <c r="AC64" s="434"/>
      <c r="AD64" s="434"/>
      <c r="AE64" s="435">
        <f t="shared" si="15"/>
        <v>0</v>
      </c>
      <c r="AF64" s="322"/>
      <c r="AG64" s="530"/>
      <c r="AH64" s="563"/>
      <c r="AI64" s="567" t="s">
        <v>49</v>
      </c>
      <c r="AJ64" s="558" t="s">
        <v>612</v>
      </c>
      <c r="AK64" s="558" t="s">
        <v>37</v>
      </c>
      <c r="AL64" s="558"/>
      <c r="AM64" s="558"/>
      <c r="AN64" s="558"/>
      <c r="AO64" s="558"/>
      <c r="AP64" s="566"/>
    </row>
    <row r="65" spans="1:42" ht="87">
      <c r="A65" s="321" t="s">
        <v>621</v>
      </c>
      <c r="B65" s="322" t="s">
        <v>622</v>
      </c>
      <c r="C65" s="322" t="s">
        <v>425</v>
      </c>
      <c r="D65" s="323" t="s">
        <v>608</v>
      </c>
      <c r="E65" s="411" t="s">
        <v>623</v>
      </c>
      <c r="F65" s="411" t="s">
        <v>624</v>
      </c>
      <c r="G65" s="241" t="str">
        <f>VLOOKUP(A65,'Feature Summary'!$A$7:$C$4049,3,FALSE)</f>
        <v>P4</v>
      </c>
      <c r="H65" s="385" t="s">
        <v>625</v>
      </c>
      <c r="I65" s="322" t="s">
        <v>46</v>
      </c>
      <c r="J65" s="323"/>
      <c r="K65" s="323">
        <v>1</v>
      </c>
      <c r="L65" s="323">
        <v>1</v>
      </c>
      <c r="M65" s="387" t="s">
        <v>323</v>
      </c>
      <c r="N65" s="420">
        <v>1</v>
      </c>
      <c r="O65" s="421">
        <v>0</v>
      </c>
      <c r="P65" s="422">
        <v>1</v>
      </c>
      <c r="Q65" s="409" t="s">
        <v>48</v>
      </c>
      <c r="R65" s="421">
        <v>0</v>
      </c>
      <c r="S65" s="580">
        <f t="shared" si="3"/>
        <v>0</v>
      </c>
      <c r="T65" s="421"/>
      <c r="U65" s="434"/>
      <c r="V65" s="434"/>
      <c r="W65" s="434"/>
      <c r="X65" s="439">
        <f t="shared" si="13"/>
        <v>0</v>
      </c>
      <c r="Y65" s="410"/>
      <c r="Z65" s="528">
        <f t="shared" si="4"/>
        <v>0</v>
      </c>
      <c r="AA65" s="434"/>
      <c r="AB65" s="434"/>
      <c r="AC65" s="434"/>
      <c r="AD65" s="434"/>
      <c r="AE65" s="435">
        <f t="shared" si="15"/>
        <v>0</v>
      </c>
      <c r="AF65" s="322"/>
      <c r="AG65" s="530"/>
      <c r="AH65" s="563"/>
      <c r="AI65" s="567" t="s">
        <v>46</v>
      </c>
      <c r="AJ65" s="558" t="s">
        <v>612</v>
      </c>
      <c r="AK65" s="558" t="s">
        <v>37</v>
      </c>
      <c r="AL65" s="558"/>
      <c r="AM65" s="558"/>
      <c r="AN65" s="558"/>
      <c r="AO65" s="558"/>
      <c r="AP65" s="566"/>
    </row>
    <row r="66" spans="1:42" ht="72.599999999999994">
      <c r="A66" s="321" t="s">
        <v>626</v>
      </c>
      <c r="B66" s="322" t="s">
        <v>627</v>
      </c>
      <c r="C66" s="322" t="s">
        <v>628</v>
      </c>
      <c r="D66" s="323" t="s">
        <v>629</v>
      </c>
      <c r="E66" s="411" t="s">
        <v>630</v>
      </c>
      <c r="F66" s="411" t="s">
        <v>631</v>
      </c>
      <c r="G66" s="241" t="str">
        <f>VLOOKUP(A66,'Feature Summary'!$A$7:$C$4049,3,FALSE)</f>
        <v>P3</v>
      </c>
      <c r="H66" s="508" t="s">
        <v>632</v>
      </c>
      <c r="I66" s="322" t="s">
        <v>322</v>
      </c>
      <c r="J66" s="323"/>
      <c r="K66" s="323">
        <v>1</v>
      </c>
      <c r="L66" s="323">
        <v>200</v>
      </c>
      <c r="M66" s="387" t="s">
        <v>323</v>
      </c>
      <c r="N66" s="420">
        <v>1</v>
      </c>
      <c r="O66" s="421">
        <v>200</v>
      </c>
      <c r="P66" s="422">
        <f t="shared" si="14"/>
        <v>1</v>
      </c>
      <c r="Q66" s="409" t="s">
        <v>48</v>
      </c>
      <c r="R66" s="421">
        <v>200</v>
      </c>
      <c r="S66" s="580">
        <f t="shared" si="3"/>
        <v>312</v>
      </c>
      <c r="T66" s="421">
        <v>234</v>
      </c>
      <c r="U66" s="434"/>
      <c r="V66" s="434">
        <v>78</v>
      </c>
      <c r="W66" s="434"/>
      <c r="X66" s="439">
        <f t="shared" ref="X66:X72" si="16">IF((S66=0),0,((T66+U66)/S66*100%))</f>
        <v>0.75</v>
      </c>
      <c r="Y66" s="410"/>
      <c r="Z66" s="528">
        <f t="shared" si="4"/>
        <v>500</v>
      </c>
      <c r="AA66" s="434">
        <v>500</v>
      </c>
      <c r="AB66" s="434"/>
      <c r="AC66" s="434"/>
      <c r="AD66" s="434"/>
      <c r="AE66" s="435">
        <f t="shared" si="15"/>
        <v>1</v>
      </c>
      <c r="AF66" s="322"/>
      <c r="AG66" s="530"/>
      <c r="AH66" s="563"/>
      <c r="AI66" s="567" t="s">
        <v>322</v>
      </c>
      <c r="AJ66" s="558" t="s">
        <v>633</v>
      </c>
      <c r="AK66" s="558" t="s">
        <v>37</v>
      </c>
      <c r="AL66" s="558"/>
      <c r="AM66" s="558"/>
      <c r="AN66" s="558"/>
      <c r="AO66" s="558"/>
      <c r="AP66" s="566"/>
    </row>
    <row r="67" spans="1:42" ht="231.95">
      <c r="A67" s="321" t="s">
        <v>634</v>
      </c>
      <c r="B67" s="322" t="s">
        <v>635</v>
      </c>
      <c r="C67" s="322" t="s">
        <v>628</v>
      </c>
      <c r="D67" s="323" t="s">
        <v>629</v>
      </c>
      <c r="E67" s="411" t="s">
        <v>636</v>
      </c>
      <c r="F67" s="411" t="s">
        <v>637</v>
      </c>
      <c r="G67" s="241" t="str">
        <f>VLOOKUP(A67,'Feature Summary'!$A$7:$C$4049,3,FALSE)</f>
        <v>P3</v>
      </c>
      <c r="H67" s="508" t="s">
        <v>638</v>
      </c>
      <c r="I67" s="411" t="s">
        <v>46</v>
      </c>
      <c r="J67" s="323" t="s">
        <v>639</v>
      </c>
      <c r="K67" s="323">
        <v>1</v>
      </c>
      <c r="L67" s="507">
        <v>1</v>
      </c>
      <c r="M67" s="387" t="s">
        <v>323</v>
      </c>
      <c r="N67" s="420">
        <v>1</v>
      </c>
      <c r="O67" s="421">
        <v>1</v>
      </c>
      <c r="P67" s="422">
        <f t="shared" si="14"/>
        <v>1</v>
      </c>
      <c r="Q67" s="409" t="s">
        <v>48</v>
      </c>
      <c r="R67" s="421">
        <v>1</v>
      </c>
      <c r="S67" s="580">
        <f t="shared" si="3"/>
        <v>1</v>
      </c>
      <c r="T67" s="421">
        <v>1</v>
      </c>
      <c r="U67" s="434"/>
      <c r="V67" s="434"/>
      <c r="W67" s="434"/>
      <c r="X67" s="439">
        <f t="shared" si="16"/>
        <v>1</v>
      </c>
      <c r="Y67" s="410"/>
      <c r="Z67" s="528">
        <f t="shared" si="4"/>
        <v>1</v>
      </c>
      <c r="AA67" s="434">
        <v>1</v>
      </c>
      <c r="AB67" s="434"/>
      <c r="AC67" s="434"/>
      <c r="AD67" s="434"/>
      <c r="AE67" s="435">
        <f t="shared" si="15"/>
        <v>1</v>
      </c>
      <c r="AF67" s="322"/>
      <c r="AG67" s="530"/>
      <c r="AH67" s="563"/>
      <c r="AI67" s="567" t="s">
        <v>46</v>
      </c>
      <c r="AJ67" s="558" t="s">
        <v>633</v>
      </c>
      <c r="AK67" s="558" t="s">
        <v>37</v>
      </c>
      <c r="AL67" s="558"/>
      <c r="AM67" s="558"/>
      <c r="AN67" s="558"/>
      <c r="AO67" s="558"/>
      <c r="AP67" s="566"/>
    </row>
    <row r="68" spans="1:42" ht="116.1">
      <c r="A68" s="321" t="s">
        <v>640</v>
      </c>
      <c r="B68" s="322" t="s">
        <v>641</v>
      </c>
      <c r="C68" s="322" t="s">
        <v>628</v>
      </c>
      <c r="D68" s="323" t="s">
        <v>629</v>
      </c>
      <c r="E68" s="411" t="s">
        <v>642</v>
      </c>
      <c r="F68" s="411" t="s">
        <v>643</v>
      </c>
      <c r="G68" s="241" t="str">
        <f>VLOOKUP(A68,'Feature Summary'!$A$7:$C$4049,3,FALSE)</f>
        <v>P2</v>
      </c>
      <c r="H68" s="508" t="s">
        <v>644</v>
      </c>
      <c r="I68" s="411" t="s">
        <v>322</v>
      </c>
      <c r="J68" s="323"/>
      <c r="K68" s="323">
        <v>1</v>
      </c>
      <c r="L68" s="507">
        <v>500</v>
      </c>
      <c r="M68" s="387" t="s">
        <v>323</v>
      </c>
      <c r="N68" s="420">
        <v>1</v>
      </c>
      <c r="O68" s="421">
        <v>500</v>
      </c>
      <c r="P68" s="422">
        <f t="shared" si="14"/>
        <v>1</v>
      </c>
      <c r="Q68" s="409" t="s">
        <v>48</v>
      </c>
      <c r="R68" s="421">
        <v>500</v>
      </c>
      <c r="S68" s="580">
        <f t="shared" si="3"/>
        <v>0</v>
      </c>
      <c r="T68" s="421"/>
      <c r="U68" s="434"/>
      <c r="V68" s="434"/>
      <c r="W68" s="434"/>
      <c r="X68" s="439">
        <f t="shared" si="16"/>
        <v>0</v>
      </c>
      <c r="Y68" s="410"/>
      <c r="Z68" s="528">
        <f t="shared" si="4"/>
        <v>1000</v>
      </c>
      <c r="AA68" s="434">
        <v>1000</v>
      </c>
      <c r="AB68" s="434"/>
      <c r="AC68" s="434"/>
      <c r="AD68" s="434"/>
      <c r="AE68" s="435">
        <f t="shared" si="15"/>
        <v>1</v>
      </c>
      <c r="AF68" s="322"/>
      <c r="AG68" s="530"/>
      <c r="AH68" s="563"/>
      <c r="AI68" s="567" t="s">
        <v>322</v>
      </c>
      <c r="AJ68" s="558" t="s">
        <v>633</v>
      </c>
      <c r="AK68" s="558" t="s">
        <v>37</v>
      </c>
      <c r="AL68" s="558"/>
      <c r="AM68" s="558"/>
      <c r="AN68" s="558"/>
      <c r="AO68" s="558"/>
      <c r="AP68" s="566"/>
    </row>
    <row r="69" spans="1:42" ht="159.6">
      <c r="A69" s="321" t="s">
        <v>645</v>
      </c>
      <c r="B69" s="322" t="s">
        <v>646</v>
      </c>
      <c r="C69" s="322" t="s">
        <v>425</v>
      </c>
      <c r="D69" s="323" t="s">
        <v>647</v>
      </c>
      <c r="E69" s="411" t="s">
        <v>648</v>
      </c>
      <c r="F69" s="411" t="s">
        <v>649</v>
      </c>
      <c r="G69" s="241" t="str">
        <f>VLOOKUP(A69,'Feature Summary'!$A$7:$C$4049,3,FALSE)</f>
        <v>P1</v>
      </c>
      <c r="H69" s="508" t="s">
        <v>650</v>
      </c>
      <c r="I69" s="322" t="s">
        <v>46</v>
      </c>
      <c r="J69" s="323"/>
      <c r="K69" s="323">
        <v>1</v>
      </c>
      <c r="L69" s="507">
        <v>1</v>
      </c>
      <c r="M69" s="387" t="s">
        <v>323</v>
      </c>
      <c r="N69" s="420">
        <v>1</v>
      </c>
      <c r="O69" s="421">
        <v>1</v>
      </c>
      <c r="P69" s="422">
        <f t="shared" si="14"/>
        <v>1</v>
      </c>
      <c r="Q69" s="409" t="s">
        <v>48</v>
      </c>
      <c r="R69" s="421">
        <v>1</v>
      </c>
      <c r="S69" s="580">
        <f t="shared" si="3"/>
        <v>1</v>
      </c>
      <c r="T69" s="421">
        <v>1</v>
      </c>
      <c r="U69" s="434"/>
      <c r="V69" s="434"/>
      <c r="W69" s="434"/>
      <c r="X69" s="439">
        <f t="shared" si="16"/>
        <v>1</v>
      </c>
      <c r="Y69" s="410"/>
      <c r="Z69" s="528">
        <f t="shared" si="4"/>
        <v>1</v>
      </c>
      <c r="AA69" s="434">
        <v>1</v>
      </c>
      <c r="AB69" s="434"/>
      <c r="AC69" s="434"/>
      <c r="AD69" s="434"/>
      <c r="AE69" s="435">
        <f t="shared" si="15"/>
        <v>1</v>
      </c>
      <c r="AF69" s="322"/>
      <c r="AG69" s="530">
        <f>VLOOKUP(A69,'Feature Summary'!$A$7:$U$3900,21,FALSE)</f>
        <v>0</v>
      </c>
      <c r="AH69" s="563"/>
      <c r="AI69" s="567" t="s">
        <v>46</v>
      </c>
      <c r="AJ69" s="558" t="s">
        <v>651</v>
      </c>
      <c r="AK69" s="558" t="s">
        <v>37</v>
      </c>
      <c r="AL69" s="558">
        <v>4</v>
      </c>
      <c r="AM69" s="558">
        <v>4</v>
      </c>
      <c r="AN69" s="558">
        <v>50</v>
      </c>
      <c r="AO69" s="558"/>
      <c r="AP69" s="566"/>
    </row>
    <row r="70" spans="1:42" ht="159.6">
      <c r="A70" s="321" t="s">
        <v>652</v>
      </c>
      <c r="B70" s="322" t="s">
        <v>653</v>
      </c>
      <c r="C70" s="322" t="s">
        <v>425</v>
      </c>
      <c r="D70" s="323" t="s">
        <v>647</v>
      </c>
      <c r="E70" s="411" t="s">
        <v>648</v>
      </c>
      <c r="F70" s="411" t="s">
        <v>649</v>
      </c>
      <c r="G70" s="241" t="str">
        <f>VLOOKUP(A70,'Feature Summary'!$A$7:$C$4049,3,FALSE)</f>
        <v>P3</v>
      </c>
      <c r="H70" s="508" t="s">
        <v>654</v>
      </c>
      <c r="I70" s="322" t="s">
        <v>46</v>
      </c>
      <c r="J70" s="323"/>
      <c r="K70" s="323">
        <v>1</v>
      </c>
      <c r="L70" s="507">
        <v>1</v>
      </c>
      <c r="M70" s="387" t="s">
        <v>323</v>
      </c>
      <c r="N70" s="420">
        <v>1</v>
      </c>
      <c r="O70" s="421">
        <v>1</v>
      </c>
      <c r="P70" s="422">
        <f t="shared" si="14"/>
        <v>1</v>
      </c>
      <c r="Q70" s="409" t="s">
        <v>48</v>
      </c>
      <c r="R70" s="421">
        <v>1</v>
      </c>
      <c r="S70" s="580">
        <f t="shared" si="3"/>
        <v>1</v>
      </c>
      <c r="T70" s="421">
        <v>1</v>
      </c>
      <c r="U70" s="434"/>
      <c r="V70" s="434"/>
      <c r="W70" s="434"/>
      <c r="X70" s="439">
        <f t="shared" si="16"/>
        <v>1</v>
      </c>
      <c r="Y70" s="410"/>
      <c r="Z70" s="528">
        <f t="shared" si="4"/>
        <v>1</v>
      </c>
      <c r="AA70" s="434">
        <v>1</v>
      </c>
      <c r="AB70" s="434"/>
      <c r="AC70" s="434"/>
      <c r="AD70" s="434"/>
      <c r="AE70" s="435">
        <f t="shared" si="15"/>
        <v>1</v>
      </c>
      <c r="AF70" s="322"/>
      <c r="AG70" s="530"/>
      <c r="AH70" s="563"/>
      <c r="AI70" s="567" t="s">
        <v>46</v>
      </c>
      <c r="AJ70" s="558" t="s">
        <v>651</v>
      </c>
      <c r="AK70" s="558" t="s">
        <v>37</v>
      </c>
      <c r="AL70" s="558"/>
      <c r="AM70" s="558"/>
      <c r="AN70" s="558"/>
      <c r="AO70" s="558"/>
      <c r="AP70" s="566"/>
    </row>
    <row r="71" spans="1:42" ht="159.6">
      <c r="A71" s="513" t="s">
        <v>655</v>
      </c>
      <c r="B71" s="322" t="s">
        <v>656</v>
      </c>
      <c r="C71" s="322" t="s">
        <v>425</v>
      </c>
      <c r="D71" s="323" t="s">
        <v>647</v>
      </c>
      <c r="E71" s="411" t="s">
        <v>648</v>
      </c>
      <c r="F71" s="411" t="s">
        <v>657</v>
      </c>
      <c r="G71" s="241" t="str">
        <f>VLOOKUP(A71,'Feature Summary'!$A$7:$C$4049,3,FALSE)</f>
        <v>P1</v>
      </c>
      <c r="H71" s="322" t="s">
        <v>658</v>
      </c>
      <c r="I71" s="322" t="s">
        <v>46</v>
      </c>
      <c r="J71" s="323"/>
      <c r="K71" s="323">
        <v>1</v>
      </c>
      <c r="L71" s="507">
        <v>1</v>
      </c>
      <c r="M71" s="387" t="s">
        <v>323</v>
      </c>
      <c r="N71" s="420">
        <v>1</v>
      </c>
      <c r="O71" s="421">
        <v>1</v>
      </c>
      <c r="P71" s="422">
        <f t="shared" si="14"/>
        <v>1</v>
      </c>
      <c r="Q71" s="409" t="s">
        <v>48</v>
      </c>
      <c r="R71" s="421">
        <v>1</v>
      </c>
      <c r="S71" s="580">
        <f t="shared" ref="S71:S117" si="17">SUM(T71:W71)</f>
        <v>1</v>
      </c>
      <c r="T71" s="421">
        <v>1</v>
      </c>
      <c r="U71" s="434"/>
      <c r="V71" s="434"/>
      <c r="W71" s="322"/>
      <c r="X71" s="439">
        <f t="shared" si="16"/>
        <v>1</v>
      </c>
      <c r="Y71" s="410"/>
      <c r="Z71" s="528">
        <f t="shared" ref="Z71:Z117" si="18">SUM(AA71:AD71)</f>
        <v>1</v>
      </c>
      <c r="AA71" s="434">
        <v>1</v>
      </c>
      <c r="AB71" s="434"/>
      <c r="AC71" s="434"/>
      <c r="AD71" s="434"/>
      <c r="AE71" s="435">
        <f t="shared" si="15"/>
        <v>1</v>
      </c>
      <c r="AF71" s="322"/>
      <c r="AG71" s="530">
        <f>VLOOKUP(A71,'Feature Summary'!$A$7:$U$3900,21,FALSE)</f>
        <v>0</v>
      </c>
      <c r="AH71" s="563"/>
      <c r="AI71" s="567" t="s">
        <v>46</v>
      </c>
      <c r="AJ71" s="558" t="s">
        <v>651</v>
      </c>
      <c r="AK71" s="558" t="s">
        <v>37</v>
      </c>
      <c r="AL71" s="558">
        <v>6</v>
      </c>
      <c r="AM71" s="558">
        <v>4</v>
      </c>
      <c r="AN71" s="558">
        <v>50</v>
      </c>
      <c r="AO71" s="558"/>
      <c r="AP71" s="566"/>
    </row>
    <row r="72" spans="1:42" ht="57.95">
      <c r="A72" s="321" t="s">
        <v>659</v>
      </c>
      <c r="B72" s="322" t="s">
        <v>660</v>
      </c>
      <c r="C72" s="322" t="s">
        <v>425</v>
      </c>
      <c r="D72" s="323" t="s">
        <v>647</v>
      </c>
      <c r="E72" s="322" t="s">
        <v>661</v>
      </c>
      <c r="F72" s="411" t="s">
        <v>662</v>
      </c>
      <c r="G72" s="241" t="str">
        <f>VLOOKUP(A72,'Feature Summary'!$A$7:$C$4049,3,FALSE)</f>
        <v>P4</v>
      </c>
      <c r="H72" s="508" t="s">
        <v>663</v>
      </c>
      <c r="I72" s="322" t="s">
        <v>46</v>
      </c>
      <c r="J72" s="323"/>
      <c r="K72" s="323">
        <v>0</v>
      </c>
      <c r="L72" s="323">
        <v>0</v>
      </c>
      <c r="M72" s="387" t="s">
        <v>323</v>
      </c>
      <c r="N72" s="420">
        <v>1</v>
      </c>
      <c r="O72" s="421">
        <v>0</v>
      </c>
      <c r="P72" s="422">
        <v>1</v>
      </c>
      <c r="Q72" s="409" t="s">
        <v>48</v>
      </c>
      <c r="R72" s="421">
        <v>0</v>
      </c>
      <c r="S72" s="580">
        <f t="shared" si="17"/>
        <v>1</v>
      </c>
      <c r="T72" s="421"/>
      <c r="U72" s="434">
        <v>1</v>
      </c>
      <c r="V72" s="434"/>
      <c r="W72" s="434"/>
      <c r="X72" s="439">
        <f t="shared" si="16"/>
        <v>1</v>
      </c>
      <c r="Y72" s="410"/>
      <c r="Z72" s="528">
        <f t="shared" si="18"/>
        <v>1</v>
      </c>
      <c r="AA72" s="434"/>
      <c r="AB72" s="434">
        <v>1</v>
      </c>
      <c r="AC72" s="434"/>
      <c r="AD72" s="434"/>
      <c r="AE72" s="435">
        <f t="shared" si="15"/>
        <v>1</v>
      </c>
      <c r="AF72" s="322"/>
      <c r="AG72" s="530" t="str">
        <f>VLOOKUP(A72,'Feature Summary'!$A$7:$U$3900,21,FALSE)</f>
        <v>NA</v>
      </c>
      <c r="AH72" s="563"/>
      <c r="AI72" s="567" t="s">
        <v>46</v>
      </c>
      <c r="AJ72" s="558" t="s">
        <v>651</v>
      </c>
      <c r="AK72" s="558" t="s">
        <v>37</v>
      </c>
      <c r="AL72" s="558"/>
      <c r="AM72" s="558"/>
      <c r="AN72" s="558"/>
      <c r="AO72" s="558"/>
      <c r="AP72" s="566"/>
    </row>
    <row r="73" spans="1:42" ht="72.599999999999994">
      <c r="A73" s="321" t="s">
        <v>664</v>
      </c>
      <c r="B73" s="322" t="s">
        <v>665</v>
      </c>
      <c r="C73" s="322" t="s">
        <v>425</v>
      </c>
      <c r="D73" s="323" t="s">
        <v>647</v>
      </c>
      <c r="E73" s="322" t="s">
        <v>666</v>
      </c>
      <c r="F73" s="411" t="s">
        <v>667</v>
      </c>
      <c r="G73" s="241" t="str">
        <f>VLOOKUP(A73,'Feature Summary'!$A$7:$C$4049,3,FALSE)</f>
        <v>P3</v>
      </c>
      <c r="H73" s="385" t="s">
        <v>668</v>
      </c>
      <c r="I73" s="322" t="s">
        <v>46</v>
      </c>
      <c r="J73" s="323" t="s">
        <v>669</v>
      </c>
      <c r="K73" s="323">
        <v>1</v>
      </c>
      <c r="L73" s="323">
        <v>1</v>
      </c>
      <c r="M73" s="387" t="s">
        <v>323</v>
      </c>
      <c r="N73" s="420">
        <v>1</v>
      </c>
      <c r="O73" s="421">
        <v>1</v>
      </c>
      <c r="P73" s="422">
        <f t="shared" si="14"/>
        <v>1</v>
      </c>
      <c r="Q73" s="409" t="s">
        <v>48</v>
      </c>
      <c r="R73" s="421">
        <v>1</v>
      </c>
      <c r="S73" s="580">
        <f t="shared" si="17"/>
        <v>0</v>
      </c>
      <c r="T73" s="421"/>
      <c r="U73" s="434"/>
      <c r="V73" s="434"/>
      <c r="W73" s="434"/>
      <c r="X73" s="439">
        <f t="shared" ref="X73:X96" si="19">IF((S73=0),0,((T73+U73)/S73*100%))</f>
        <v>0</v>
      </c>
      <c r="Y73" s="410"/>
      <c r="Z73" s="528">
        <f t="shared" si="18"/>
        <v>0</v>
      </c>
      <c r="AA73" s="434"/>
      <c r="AB73" s="434"/>
      <c r="AC73" s="434"/>
      <c r="AD73" s="434"/>
      <c r="AE73" s="435">
        <f t="shared" si="15"/>
        <v>0</v>
      </c>
      <c r="AF73" s="322"/>
      <c r="AG73" s="530"/>
      <c r="AH73" s="563"/>
      <c r="AI73" s="567" t="s">
        <v>46</v>
      </c>
      <c r="AJ73" s="558" t="s">
        <v>651</v>
      </c>
      <c r="AK73" s="558" t="s">
        <v>37</v>
      </c>
      <c r="AL73" s="558"/>
      <c r="AM73" s="558"/>
      <c r="AN73" s="558"/>
      <c r="AO73" s="558"/>
      <c r="AP73" s="566"/>
    </row>
    <row r="74" spans="1:42" ht="43.5">
      <c r="A74" s="321" t="s">
        <v>670</v>
      </c>
      <c r="B74" s="322" t="s">
        <v>671</v>
      </c>
      <c r="C74" s="322" t="s">
        <v>425</v>
      </c>
      <c r="D74" s="323" t="s">
        <v>647</v>
      </c>
      <c r="E74" s="322" t="s">
        <v>672</v>
      </c>
      <c r="F74" s="411" t="s">
        <v>673</v>
      </c>
      <c r="G74" s="241" t="str">
        <f>VLOOKUP(A74,'Feature Summary'!$A$7:$C$4049,3,FALSE)</f>
        <v>P1</v>
      </c>
      <c r="H74" s="508" t="s">
        <v>674</v>
      </c>
      <c r="I74" s="322" t="s">
        <v>46</v>
      </c>
      <c r="J74" s="323" t="s">
        <v>675</v>
      </c>
      <c r="K74" s="323">
        <v>1</v>
      </c>
      <c r="L74" s="323">
        <v>1</v>
      </c>
      <c r="M74" s="387" t="s">
        <v>323</v>
      </c>
      <c r="N74" s="420">
        <v>1</v>
      </c>
      <c r="O74" s="421">
        <v>1</v>
      </c>
      <c r="P74" s="422">
        <f t="shared" si="14"/>
        <v>1</v>
      </c>
      <c r="Q74" s="409" t="s">
        <v>48</v>
      </c>
      <c r="R74" s="421">
        <v>1</v>
      </c>
      <c r="S74" s="580">
        <f t="shared" si="17"/>
        <v>1</v>
      </c>
      <c r="T74" s="421">
        <v>1</v>
      </c>
      <c r="U74" s="434"/>
      <c r="V74" s="434"/>
      <c r="W74" s="434"/>
      <c r="X74" s="439">
        <f t="shared" si="19"/>
        <v>1</v>
      </c>
      <c r="Y74" s="410"/>
      <c r="Z74" s="528">
        <f t="shared" si="18"/>
        <v>1</v>
      </c>
      <c r="AA74" s="434">
        <v>1</v>
      </c>
      <c r="AB74" s="434"/>
      <c r="AC74" s="434"/>
      <c r="AD74" s="434"/>
      <c r="AE74" s="435">
        <f t="shared" si="15"/>
        <v>1</v>
      </c>
      <c r="AF74" s="322"/>
      <c r="AG74" s="530">
        <f>VLOOKUP(A74,'Feature Summary'!$A$7:$U$3900,21,FALSE)</f>
        <v>0</v>
      </c>
      <c r="AH74" s="563"/>
      <c r="AI74" s="567" t="s">
        <v>46</v>
      </c>
      <c r="AJ74" s="558" t="s">
        <v>651</v>
      </c>
      <c r="AK74" s="558" t="s">
        <v>37</v>
      </c>
      <c r="AL74" s="558">
        <v>6</v>
      </c>
      <c r="AM74" s="558">
        <v>6</v>
      </c>
      <c r="AN74" s="558">
        <v>50</v>
      </c>
      <c r="AO74" s="558"/>
      <c r="AP74" s="566"/>
    </row>
    <row r="75" spans="1:42" ht="101.45">
      <c r="A75" s="321" t="s">
        <v>676</v>
      </c>
      <c r="B75" s="322" t="s">
        <v>677</v>
      </c>
      <c r="C75" s="322" t="s">
        <v>425</v>
      </c>
      <c r="D75" s="323" t="s">
        <v>647</v>
      </c>
      <c r="E75" s="411" t="s">
        <v>678</v>
      </c>
      <c r="F75" s="411" t="s">
        <v>673</v>
      </c>
      <c r="G75" s="241" t="str">
        <f>VLOOKUP(A75,'Feature Summary'!$A$7:$C$4049,3,FALSE)</f>
        <v>P1</v>
      </c>
      <c r="H75" s="508" t="s">
        <v>679</v>
      </c>
      <c r="I75" s="322" t="s">
        <v>46</v>
      </c>
      <c r="J75" s="323" t="s">
        <v>675</v>
      </c>
      <c r="K75" s="323">
        <v>1</v>
      </c>
      <c r="L75" s="323">
        <v>8</v>
      </c>
      <c r="M75" s="387" t="s">
        <v>323</v>
      </c>
      <c r="N75" s="420">
        <v>1</v>
      </c>
      <c r="O75" s="421">
        <v>6</v>
      </c>
      <c r="P75" s="422">
        <v>1</v>
      </c>
      <c r="Q75" s="409" t="s">
        <v>48</v>
      </c>
      <c r="R75" s="421">
        <v>6</v>
      </c>
      <c r="S75" s="580">
        <f t="shared" si="17"/>
        <v>1</v>
      </c>
      <c r="T75" s="421">
        <v>1</v>
      </c>
      <c r="U75" s="434"/>
      <c r="V75" s="434"/>
      <c r="W75" s="434"/>
      <c r="X75" s="439">
        <f t="shared" si="19"/>
        <v>1</v>
      </c>
      <c r="Y75" s="410"/>
      <c r="Z75" s="528">
        <f t="shared" si="18"/>
        <v>1</v>
      </c>
      <c r="AA75" s="434">
        <v>1</v>
      </c>
      <c r="AB75" s="434"/>
      <c r="AC75" s="434"/>
      <c r="AD75" s="434"/>
      <c r="AE75" s="435">
        <f t="shared" si="15"/>
        <v>1</v>
      </c>
      <c r="AF75" s="322"/>
      <c r="AG75" s="530">
        <f>VLOOKUP(A75,'Feature Summary'!$A$7:$U$3900,21,FALSE)</f>
        <v>0</v>
      </c>
      <c r="AH75" s="563"/>
      <c r="AI75" s="567" t="s">
        <v>46</v>
      </c>
      <c r="AJ75" s="558" t="s">
        <v>651</v>
      </c>
      <c r="AK75" s="558" t="s">
        <v>37</v>
      </c>
      <c r="AL75" s="558">
        <v>30</v>
      </c>
      <c r="AM75" s="558">
        <v>24</v>
      </c>
      <c r="AN75" s="558">
        <v>100</v>
      </c>
      <c r="AO75" s="558"/>
      <c r="AP75" s="566"/>
    </row>
    <row r="76" spans="1:42" ht="348">
      <c r="A76" s="321" t="s">
        <v>680</v>
      </c>
      <c r="B76" s="322" t="s">
        <v>681</v>
      </c>
      <c r="C76" s="322" t="s">
        <v>328</v>
      </c>
      <c r="D76" s="323" t="s">
        <v>647</v>
      </c>
      <c r="E76" s="411" t="s">
        <v>682</v>
      </c>
      <c r="F76" s="411" t="s">
        <v>683</v>
      </c>
      <c r="G76" s="241" t="str">
        <f>VLOOKUP(A76,'Feature Summary'!$A$7:$C$4049,3,FALSE)</f>
        <v>P2</v>
      </c>
      <c r="H76" s="508" t="s">
        <v>684</v>
      </c>
      <c r="I76" s="322" t="s">
        <v>46</v>
      </c>
      <c r="J76" s="323"/>
      <c r="K76" s="323">
        <v>3</v>
      </c>
      <c r="L76" s="323">
        <v>5000</v>
      </c>
      <c r="M76" s="387" t="s">
        <v>323</v>
      </c>
      <c r="N76" s="420">
        <v>1</v>
      </c>
      <c r="O76" s="421">
        <v>5000</v>
      </c>
      <c r="P76" s="422">
        <f t="shared" ref="P76" si="20">IF((O76=0),0,(O76/L76))</f>
        <v>1</v>
      </c>
      <c r="Q76" s="409" t="s">
        <v>48</v>
      </c>
      <c r="R76" s="421">
        <v>500</v>
      </c>
      <c r="S76" s="580">
        <f t="shared" si="17"/>
        <v>25</v>
      </c>
      <c r="T76" s="421">
        <v>25</v>
      </c>
      <c r="U76" s="434"/>
      <c r="V76" s="434"/>
      <c r="W76" s="434"/>
      <c r="X76" s="439">
        <f t="shared" si="19"/>
        <v>1</v>
      </c>
      <c r="Y76" s="410"/>
      <c r="Z76" s="528">
        <f t="shared" si="18"/>
        <v>3000</v>
      </c>
      <c r="AA76" s="434">
        <v>3000</v>
      </c>
      <c r="AB76" s="434"/>
      <c r="AC76" s="434"/>
      <c r="AD76" s="434"/>
      <c r="AE76" s="435">
        <f t="shared" si="15"/>
        <v>1</v>
      </c>
      <c r="AF76" s="322"/>
      <c r="AG76" s="530"/>
      <c r="AH76" s="563"/>
      <c r="AI76" s="567" t="s">
        <v>322</v>
      </c>
      <c r="AJ76" s="558" t="s">
        <v>651</v>
      </c>
      <c r="AK76" s="558" t="s">
        <v>37</v>
      </c>
      <c r="AL76" s="558"/>
      <c r="AM76" s="558"/>
      <c r="AN76" s="558"/>
      <c r="AO76" s="558"/>
      <c r="AP76" s="566"/>
    </row>
    <row r="77" spans="1:42" ht="43.5">
      <c r="A77" s="321" t="s">
        <v>685</v>
      </c>
      <c r="B77" s="322" t="s">
        <v>686</v>
      </c>
      <c r="C77" s="322" t="s">
        <v>425</v>
      </c>
      <c r="D77" s="323" t="s">
        <v>647</v>
      </c>
      <c r="E77" s="322" t="s">
        <v>687</v>
      </c>
      <c r="F77" s="411" t="s">
        <v>688</v>
      </c>
      <c r="G77" s="241" t="str">
        <f>VLOOKUP(A77,'Feature Summary'!$A$7:$C$4049,3,FALSE)</f>
        <v>P3</v>
      </c>
      <c r="H77" s="385" t="s">
        <v>689</v>
      </c>
      <c r="I77" s="322" t="s">
        <v>46</v>
      </c>
      <c r="J77" s="323" t="s">
        <v>690</v>
      </c>
      <c r="K77" s="323">
        <v>1</v>
      </c>
      <c r="L77" s="323">
        <v>1</v>
      </c>
      <c r="M77" s="387" t="s">
        <v>323</v>
      </c>
      <c r="N77" s="420">
        <v>1</v>
      </c>
      <c r="O77" s="421">
        <v>0</v>
      </c>
      <c r="P77" s="422">
        <v>1</v>
      </c>
      <c r="Q77" s="409" t="s">
        <v>48</v>
      </c>
      <c r="R77" s="421">
        <v>1</v>
      </c>
      <c r="S77" s="580">
        <f t="shared" si="17"/>
        <v>0</v>
      </c>
      <c r="T77" s="421"/>
      <c r="U77" s="434"/>
      <c r="V77" s="434"/>
      <c r="W77" s="434"/>
      <c r="X77" s="439">
        <f t="shared" si="19"/>
        <v>0</v>
      </c>
      <c r="Y77" s="410"/>
      <c r="Z77" s="528">
        <f t="shared" si="18"/>
        <v>1</v>
      </c>
      <c r="AA77" s="434">
        <v>1</v>
      </c>
      <c r="AB77" s="434"/>
      <c r="AC77" s="434"/>
      <c r="AD77" s="434"/>
      <c r="AE77" s="435">
        <f t="shared" si="15"/>
        <v>1</v>
      </c>
      <c r="AF77" s="322"/>
      <c r="AG77" s="530"/>
      <c r="AH77" s="563"/>
      <c r="AI77" s="567" t="s">
        <v>46</v>
      </c>
      <c r="AJ77" s="558" t="s">
        <v>651</v>
      </c>
      <c r="AK77" s="558" t="s">
        <v>37</v>
      </c>
      <c r="AL77" s="558"/>
      <c r="AM77" s="558"/>
      <c r="AN77" s="558"/>
      <c r="AO77" s="558"/>
      <c r="AP77" s="566"/>
    </row>
    <row r="78" spans="1:42" ht="57.95">
      <c r="A78" s="321" t="s">
        <v>691</v>
      </c>
      <c r="B78" s="322" t="s">
        <v>692</v>
      </c>
      <c r="C78" s="322" t="s">
        <v>425</v>
      </c>
      <c r="D78" s="323" t="s">
        <v>647</v>
      </c>
      <c r="E78" s="411" t="s">
        <v>693</v>
      </c>
      <c r="F78" s="411" t="s">
        <v>694</v>
      </c>
      <c r="G78" s="241" t="str">
        <f>VLOOKUP(A78,'Feature Summary'!$A$7:$C$4049,3,FALSE)</f>
        <v>P3</v>
      </c>
      <c r="H78" s="508" t="s">
        <v>695</v>
      </c>
      <c r="I78" s="322" t="s">
        <v>322</v>
      </c>
      <c r="J78" s="323"/>
      <c r="K78" s="323">
        <v>1</v>
      </c>
      <c r="L78" s="323">
        <v>1000</v>
      </c>
      <c r="M78" s="387" t="s">
        <v>323</v>
      </c>
      <c r="N78" s="420">
        <v>1</v>
      </c>
      <c r="O78" s="421">
        <v>1000</v>
      </c>
      <c r="P78" s="422">
        <f t="shared" si="14"/>
        <v>1</v>
      </c>
      <c r="Q78" s="409" t="s">
        <v>48</v>
      </c>
      <c r="R78" s="421">
        <v>1000</v>
      </c>
      <c r="S78" s="580">
        <f t="shared" si="17"/>
        <v>2580</v>
      </c>
      <c r="T78" s="421">
        <v>2523</v>
      </c>
      <c r="U78" s="434"/>
      <c r="V78" s="434">
        <v>57</v>
      </c>
      <c r="W78" s="434"/>
      <c r="X78" s="439">
        <f t="shared" si="19"/>
        <v>0.97790697674418603</v>
      </c>
      <c r="Y78" s="410"/>
      <c r="Z78" s="528">
        <f t="shared" si="18"/>
        <v>1000</v>
      </c>
      <c r="AA78" s="434">
        <v>1000</v>
      </c>
      <c r="AB78" s="434"/>
      <c r="AC78" s="434"/>
      <c r="AD78" s="434"/>
      <c r="AE78" s="435">
        <f t="shared" si="15"/>
        <v>1</v>
      </c>
      <c r="AF78" s="322"/>
      <c r="AG78" s="530"/>
      <c r="AH78" s="563"/>
      <c r="AI78" s="567" t="s">
        <v>322</v>
      </c>
      <c r="AJ78" s="558" t="s">
        <v>651</v>
      </c>
      <c r="AK78" s="558" t="s">
        <v>37</v>
      </c>
      <c r="AL78" s="558"/>
      <c r="AM78" s="558"/>
      <c r="AN78" s="558"/>
      <c r="AO78" s="558"/>
      <c r="AP78" s="566"/>
    </row>
    <row r="79" spans="1:42" ht="57.95">
      <c r="A79" s="321" t="s">
        <v>696</v>
      </c>
      <c r="B79" s="322" t="s">
        <v>697</v>
      </c>
      <c r="C79" s="322" t="s">
        <v>425</v>
      </c>
      <c r="D79" s="323" t="s">
        <v>647</v>
      </c>
      <c r="E79" s="411" t="s">
        <v>693</v>
      </c>
      <c r="F79" s="411" t="s">
        <v>694</v>
      </c>
      <c r="G79" s="241" t="str">
        <f>VLOOKUP(A79,'Feature Summary'!$A$7:$C$4049,3,FALSE)</f>
        <v>P3</v>
      </c>
      <c r="H79" s="508" t="s">
        <v>698</v>
      </c>
      <c r="I79" s="322" t="s">
        <v>322</v>
      </c>
      <c r="J79" s="323"/>
      <c r="K79" s="323">
        <v>1</v>
      </c>
      <c r="L79" s="323">
        <v>500</v>
      </c>
      <c r="M79" s="387" t="s">
        <v>323</v>
      </c>
      <c r="N79" s="420">
        <v>1</v>
      </c>
      <c r="O79" s="421">
        <v>500</v>
      </c>
      <c r="P79" s="422">
        <f t="shared" si="14"/>
        <v>1</v>
      </c>
      <c r="Q79" s="409" t="s">
        <v>48</v>
      </c>
      <c r="R79" s="421">
        <v>500</v>
      </c>
      <c r="S79" s="580">
        <f t="shared" si="17"/>
        <v>0</v>
      </c>
      <c r="T79" s="421"/>
      <c r="U79" s="434"/>
      <c r="V79" s="434"/>
      <c r="W79" s="434"/>
      <c r="X79" s="439">
        <f t="shared" si="19"/>
        <v>0</v>
      </c>
      <c r="Y79" s="410"/>
      <c r="Z79" s="528">
        <f t="shared" si="18"/>
        <v>0</v>
      </c>
      <c r="AA79" s="434"/>
      <c r="AB79" s="434"/>
      <c r="AC79" s="434"/>
      <c r="AD79" s="434"/>
      <c r="AE79" s="435">
        <f t="shared" si="15"/>
        <v>0</v>
      </c>
      <c r="AF79" s="322"/>
      <c r="AG79" s="530"/>
      <c r="AH79" s="563"/>
      <c r="AI79" s="567" t="s">
        <v>322</v>
      </c>
      <c r="AJ79" s="558" t="s">
        <v>651</v>
      </c>
      <c r="AK79" s="558" t="s">
        <v>37</v>
      </c>
      <c r="AL79" s="558"/>
      <c r="AM79" s="558"/>
      <c r="AN79" s="558"/>
      <c r="AO79" s="558"/>
      <c r="AP79" s="566"/>
    </row>
    <row r="80" spans="1:42" ht="72.599999999999994">
      <c r="A80" s="321" t="s">
        <v>699</v>
      </c>
      <c r="B80" s="322" t="s">
        <v>700</v>
      </c>
      <c r="C80" s="322" t="s">
        <v>328</v>
      </c>
      <c r="D80" s="323" t="s">
        <v>647</v>
      </c>
      <c r="E80" s="322" t="s">
        <v>701</v>
      </c>
      <c r="F80" s="411" t="s">
        <v>702</v>
      </c>
      <c r="G80" s="241" t="str">
        <f>VLOOKUP(A80,'Feature Summary'!$A$7:$C$4049,3,FALSE)</f>
        <v>P4</v>
      </c>
      <c r="H80" s="508" t="s">
        <v>703</v>
      </c>
      <c r="I80" s="411" t="s">
        <v>322</v>
      </c>
      <c r="J80" s="323"/>
      <c r="K80" s="323">
        <v>0</v>
      </c>
      <c r="L80" s="507">
        <v>0</v>
      </c>
      <c r="M80" s="387" t="s">
        <v>323</v>
      </c>
      <c r="N80" s="420">
        <v>1</v>
      </c>
      <c r="O80" s="421">
        <v>0</v>
      </c>
      <c r="P80" s="422">
        <v>1</v>
      </c>
      <c r="Q80" s="409" t="s">
        <v>48</v>
      </c>
      <c r="R80" s="421">
        <v>0</v>
      </c>
      <c r="S80" s="580">
        <f t="shared" si="17"/>
        <v>0</v>
      </c>
      <c r="T80" s="421"/>
      <c r="U80" s="434"/>
      <c r="V80" s="434"/>
      <c r="W80" s="434"/>
      <c r="X80" s="439">
        <f t="shared" si="19"/>
        <v>0</v>
      </c>
      <c r="Y80" s="410"/>
      <c r="Z80" s="528">
        <f t="shared" si="18"/>
        <v>0</v>
      </c>
      <c r="AA80" s="434"/>
      <c r="AB80" s="434"/>
      <c r="AC80" s="434"/>
      <c r="AD80" s="434"/>
      <c r="AE80" s="435">
        <f t="shared" si="15"/>
        <v>0</v>
      </c>
      <c r="AF80" s="322"/>
      <c r="AG80" s="530"/>
      <c r="AH80" s="563"/>
      <c r="AI80" s="567" t="s">
        <v>322</v>
      </c>
      <c r="AJ80" s="558" t="s">
        <v>651</v>
      </c>
      <c r="AK80" s="558" t="s">
        <v>37</v>
      </c>
      <c r="AL80" s="558"/>
      <c r="AM80" s="558"/>
      <c r="AN80" s="558"/>
      <c r="AO80" s="558"/>
      <c r="AP80" s="566"/>
    </row>
    <row r="81" spans="1:42" ht="29.1">
      <c r="A81" s="321" t="s">
        <v>704</v>
      </c>
      <c r="B81" s="322" t="s">
        <v>705</v>
      </c>
      <c r="C81" s="322" t="s">
        <v>425</v>
      </c>
      <c r="D81" s="323" t="s">
        <v>647</v>
      </c>
      <c r="E81" s="322" t="s">
        <v>706</v>
      </c>
      <c r="F81" s="411" t="s">
        <v>707</v>
      </c>
      <c r="G81" s="241" t="str">
        <f>VLOOKUP(A81,'Feature Summary'!$A$7:$C$4049,3,FALSE)</f>
        <v>P4</v>
      </c>
      <c r="H81" s="508" t="s">
        <v>708</v>
      </c>
      <c r="I81" s="322" t="s">
        <v>322</v>
      </c>
      <c r="J81" s="323"/>
      <c r="K81" s="323">
        <v>1</v>
      </c>
      <c r="L81" s="323">
        <v>0</v>
      </c>
      <c r="M81" s="387" t="s">
        <v>323</v>
      </c>
      <c r="N81" s="420">
        <v>1</v>
      </c>
      <c r="O81" s="421">
        <v>0</v>
      </c>
      <c r="P81" s="422">
        <v>1</v>
      </c>
      <c r="Q81" s="409" t="s">
        <v>48</v>
      </c>
      <c r="R81" s="421">
        <v>0</v>
      </c>
      <c r="S81" s="580">
        <f t="shared" si="17"/>
        <v>0</v>
      </c>
      <c r="T81" s="421"/>
      <c r="U81" s="434"/>
      <c r="V81" s="434"/>
      <c r="W81" s="434"/>
      <c r="X81" s="439">
        <f t="shared" si="19"/>
        <v>0</v>
      </c>
      <c r="Y81" s="410"/>
      <c r="Z81" s="528">
        <f t="shared" si="18"/>
        <v>0</v>
      </c>
      <c r="AA81" s="434"/>
      <c r="AB81" s="434"/>
      <c r="AC81" s="434"/>
      <c r="AD81" s="434"/>
      <c r="AE81" s="435">
        <f t="shared" si="15"/>
        <v>0</v>
      </c>
      <c r="AF81" s="322"/>
      <c r="AG81" s="530"/>
      <c r="AH81" s="563"/>
      <c r="AI81" s="567" t="s">
        <v>46</v>
      </c>
      <c r="AJ81" s="558" t="s">
        <v>651</v>
      </c>
      <c r="AK81" s="558" t="s">
        <v>37</v>
      </c>
      <c r="AL81" s="558"/>
      <c r="AM81" s="558"/>
      <c r="AN81" s="558"/>
      <c r="AO81" s="558"/>
      <c r="AP81" s="566"/>
    </row>
    <row r="82" spans="1:42" ht="57.95">
      <c r="A82" s="321" t="s">
        <v>709</v>
      </c>
      <c r="B82" s="322" t="s">
        <v>710</v>
      </c>
      <c r="C82" s="322" t="s">
        <v>425</v>
      </c>
      <c r="D82" s="323" t="s">
        <v>647</v>
      </c>
      <c r="E82" s="322" t="s">
        <v>711</v>
      </c>
      <c r="F82" s="322" t="s">
        <v>712</v>
      </c>
      <c r="G82" s="241" t="str">
        <f>VLOOKUP(A82,'Feature Summary'!$A$7:$C$4049,3,FALSE)</f>
        <v>P3</v>
      </c>
      <c r="H82" s="508" t="s">
        <v>713</v>
      </c>
      <c r="I82" s="322" t="s">
        <v>46</v>
      </c>
      <c r="J82" s="323" t="s">
        <v>714</v>
      </c>
      <c r="K82" s="323">
        <v>1</v>
      </c>
      <c r="L82" s="323">
        <v>4</v>
      </c>
      <c r="M82" s="387" t="s">
        <v>323</v>
      </c>
      <c r="N82" s="420">
        <v>1</v>
      </c>
      <c r="O82" s="421">
        <v>4</v>
      </c>
      <c r="P82" s="422">
        <f t="shared" si="14"/>
        <v>1</v>
      </c>
      <c r="Q82" s="409" t="s">
        <v>48</v>
      </c>
      <c r="R82" s="421">
        <v>4</v>
      </c>
      <c r="S82" s="580">
        <f t="shared" si="17"/>
        <v>4</v>
      </c>
      <c r="T82" s="421">
        <v>4</v>
      </c>
      <c r="U82" s="434"/>
      <c r="V82" s="434"/>
      <c r="W82" s="434"/>
      <c r="X82" s="439">
        <f t="shared" si="19"/>
        <v>1</v>
      </c>
      <c r="Y82" s="410"/>
      <c r="Z82" s="528">
        <f t="shared" si="18"/>
        <v>4</v>
      </c>
      <c r="AA82" s="434">
        <v>4</v>
      </c>
      <c r="AB82" s="434"/>
      <c r="AC82" s="434"/>
      <c r="AD82" s="434"/>
      <c r="AE82" s="435">
        <f t="shared" si="15"/>
        <v>1</v>
      </c>
      <c r="AF82" s="322"/>
      <c r="AG82" s="530">
        <f>VLOOKUP(A82,'Feature Summary'!$A$7:$U$3900,21,FALSE)</f>
        <v>0</v>
      </c>
      <c r="AH82" s="563"/>
      <c r="AI82" s="567" t="s">
        <v>46</v>
      </c>
      <c r="AJ82" s="558" t="s">
        <v>651</v>
      </c>
      <c r="AK82" s="558" t="s">
        <v>31</v>
      </c>
      <c r="AL82" s="558"/>
      <c r="AM82" s="558"/>
      <c r="AN82" s="558"/>
      <c r="AO82" s="558"/>
      <c r="AP82" s="566"/>
    </row>
    <row r="83" spans="1:42">
      <c r="A83" s="321" t="s">
        <v>715</v>
      </c>
      <c r="B83" s="322" t="s">
        <v>716</v>
      </c>
      <c r="C83" s="322" t="s">
        <v>425</v>
      </c>
      <c r="D83" s="323" t="s">
        <v>647</v>
      </c>
      <c r="E83" s="322" t="s">
        <v>717</v>
      </c>
      <c r="F83" s="322" t="s">
        <v>718</v>
      </c>
      <c r="G83" s="241" t="str">
        <f>VLOOKUP(A83,'Feature Summary'!$A$7:$C$4049,3,FALSE)</f>
        <v>P4</v>
      </c>
      <c r="H83" s="385" t="s">
        <v>719</v>
      </c>
      <c r="I83" s="322" t="s">
        <v>720</v>
      </c>
      <c r="J83" s="323"/>
      <c r="K83" s="323">
        <v>0</v>
      </c>
      <c r="L83" s="323">
        <v>0</v>
      </c>
      <c r="M83" s="387" t="s">
        <v>323</v>
      </c>
      <c r="N83" s="420">
        <v>1</v>
      </c>
      <c r="O83" s="421">
        <v>0</v>
      </c>
      <c r="P83" s="422">
        <v>1</v>
      </c>
      <c r="Q83" s="409" t="s">
        <v>48</v>
      </c>
      <c r="R83" s="421">
        <v>0</v>
      </c>
      <c r="S83" s="580">
        <f t="shared" si="17"/>
        <v>0</v>
      </c>
      <c r="T83" s="421"/>
      <c r="U83" s="434"/>
      <c r="V83" s="434"/>
      <c r="W83" s="434"/>
      <c r="X83" s="439">
        <f t="shared" si="19"/>
        <v>0</v>
      </c>
      <c r="Y83" s="410"/>
      <c r="Z83" s="528">
        <f t="shared" si="18"/>
        <v>0</v>
      </c>
      <c r="AA83" s="434"/>
      <c r="AB83" s="434"/>
      <c r="AC83" s="434"/>
      <c r="AD83" s="434"/>
      <c r="AE83" s="435">
        <f t="shared" si="15"/>
        <v>0</v>
      </c>
      <c r="AF83" s="322"/>
      <c r="AG83" s="530" t="str">
        <f>VLOOKUP(A83,'Feature Summary'!$A$7:$U$3900,21,FALSE)</f>
        <v>NA</v>
      </c>
      <c r="AH83" s="563"/>
      <c r="AI83" s="567" t="s">
        <v>46</v>
      </c>
      <c r="AJ83" s="558" t="s">
        <v>651</v>
      </c>
      <c r="AK83" s="558" t="s">
        <v>37</v>
      </c>
      <c r="AL83" s="558"/>
      <c r="AM83" s="558"/>
      <c r="AN83" s="558"/>
      <c r="AO83" s="558"/>
      <c r="AP83" s="566"/>
    </row>
    <row r="84" spans="1:42" ht="57.95">
      <c r="A84" s="321" t="s">
        <v>721</v>
      </c>
      <c r="B84" s="322" t="s">
        <v>722</v>
      </c>
      <c r="C84" s="322" t="s">
        <v>723</v>
      </c>
      <c r="D84" s="323" t="s">
        <v>724</v>
      </c>
      <c r="E84" s="322" t="s">
        <v>725</v>
      </c>
      <c r="F84" s="411" t="s">
        <v>726</v>
      </c>
      <c r="G84" s="241" t="str">
        <f>VLOOKUP(A84,'Feature Summary'!$A$7:$C$4049,3,FALSE)</f>
        <v>P4</v>
      </c>
      <c r="H84" s="385" t="s">
        <v>727</v>
      </c>
      <c r="I84" s="322" t="s">
        <v>46</v>
      </c>
      <c r="J84" s="323" t="s">
        <v>728</v>
      </c>
      <c r="K84" s="323">
        <v>1</v>
      </c>
      <c r="L84" s="323">
        <v>1</v>
      </c>
      <c r="M84" s="387" t="s">
        <v>323</v>
      </c>
      <c r="N84" s="420">
        <v>1</v>
      </c>
      <c r="O84" s="421">
        <v>1</v>
      </c>
      <c r="P84" s="422">
        <f t="shared" si="14"/>
        <v>1</v>
      </c>
      <c r="Q84" s="409" t="s">
        <v>48</v>
      </c>
      <c r="R84" s="421">
        <v>0</v>
      </c>
      <c r="S84" s="580">
        <f t="shared" si="17"/>
        <v>0</v>
      </c>
      <c r="T84" s="421"/>
      <c r="U84" s="434"/>
      <c r="V84" s="434"/>
      <c r="W84" s="434"/>
      <c r="X84" s="439">
        <f t="shared" si="19"/>
        <v>0</v>
      </c>
      <c r="Y84" s="410"/>
      <c r="Z84" s="528">
        <f t="shared" si="18"/>
        <v>0</v>
      </c>
      <c r="AA84" s="434"/>
      <c r="AB84" s="434"/>
      <c r="AC84" s="434"/>
      <c r="AD84" s="434"/>
      <c r="AE84" s="435">
        <f t="shared" si="15"/>
        <v>0</v>
      </c>
      <c r="AF84" s="322"/>
      <c r="AG84" s="530"/>
      <c r="AH84" s="563"/>
      <c r="AI84" s="567" t="s">
        <v>46</v>
      </c>
      <c r="AJ84" s="558" t="s">
        <v>729</v>
      </c>
      <c r="AK84" s="558" t="s">
        <v>37</v>
      </c>
      <c r="AL84" s="558"/>
      <c r="AM84" s="558"/>
      <c r="AN84" s="558"/>
      <c r="AO84" s="558"/>
      <c r="AP84" s="566"/>
    </row>
    <row r="85" spans="1:42" ht="144.94999999999999">
      <c r="A85" s="321" t="s">
        <v>730</v>
      </c>
      <c r="B85" s="322" t="s">
        <v>731</v>
      </c>
      <c r="C85" s="322" t="s">
        <v>723</v>
      </c>
      <c r="D85" s="323" t="s">
        <v>724</v>
      </c>
      <c r="E85" s="411" t="s">
        <v>732</v>
      </c>
      <c r="F85" s="411" t="s">
        <v>733</v>
      </c>
      <c r="G85" s="241" t="str">
        <f>VLOOKUP(A85,'Feature Summary'!$A$7:$C$4049,3,FALSE)</f>
        <v>P4</v>
      </c>
      <c r="H85" s="508" t="s">
        <v>734</v>
      </c>
      <c r="I85" s="411" t="s">
        <v>322</v>
      </c>
      <c r="J85" s="323"/>
      <c r="K85" s="323">
        <v>1</v>
      </c>
      <c r="L85" s="507">
        <v>500</v>
      </c>
      <c r="M85" s="387" t="s">
        <v>323</v>
      </c>
      <c r="N85" s="420">
        <v>1</v>
      </c>
      <c r="O85" s="421">
        <v>500</v>
      </c>
      <c r="P85" s="422">
        <f t="shared" si="14"/>
        <v>1</v>
      </c>
      <c r="Q85" s="409" t="s">
        <v>48</v>
      </c>
      <c r="R85" s="421">
        <v>500</v>
      </c>
      <c r="S85" s="580">
        <f t="shared" si="17"/>
        <v>0</v>
      </c>
      <c r="T85" s="421"/>
      <c r="U85" s="434"/>
      <c r="V85" s="434"/>
      <c r="W85" s="434"/>
      <c r="X85" s="439">
        <f t="shared" si="19"/>
        <v>0</v>
      </c>
      <c r="Y85" s="410"/>
      <c r="Z85" s="528">
        <f t="shared" si="18"/>
        <v>0</v>
      </c>
      <c r="AA85" s="434"/>
      <c r="AB85" s="434"/>
      <c r="AC85" s="434"/>
      <c r="AD85" s="434"/>
      <c r="AE85" s="435">
        <f t="shared" si="15"/>
        <v>0</v>
      </c>
      <c r="AF85" s="322"/>
      <c r="AG85" s="530"/>
      <c r="AH85" s="563"/>
      <c r="AI85" s="567" t="s">
        <v>322</v>
      </c>
      <c r="AJ85" s="558" t="s">
        <v>729</v>
      </c>
      <c r="AK85" s="558" t="s">
        <v>37</v>
      </c>
      <c r="AL85" s="558"/>
      <c r="AM85" s="558"/>
      <c r="AN85" s="558"/>
      <c r="AO85" s="558"/>
      <c r="AP85" s="566"/>
    </row>
    <row r="86" spans="1:42" ht="57.95">
      <c r="A86" s="321" t="s">
        <v>735</v>
      </c>
      <c r="B86" s="322" t="s">
        <v>736</v>
      </c>
      <c r="C86" s="322" t="s">
        <v>723</v>
      </c>
      <c r="D86" s="323" t="s">
        <v>724</v>
      </c>
      <c r="E86" s="411" t="s">
        <v>737</v>
      </c>
      <c r="F86" s="411" t="s">
        <v>738</v>
      </c>
      <c r="G86" s="241" t="str">
        <f>VLOOKUP(A86,'Feature Summary'!$A$7:$C$4049,3,FALSE)</f>
        <v>P4</v>
      </c>
      <c r="H86" s="508" t="s">
        <v>739</v>
      </c>
      <c r="I86" s="411" t="s">
        <v>740</v>
      </c>
      <c r="J86" s="323"/>
      <c r="K86" s="323">
        <v>1</v>
      </c>
      <c r="L86" s="323">
        <v>1</v>
      </c>
      <c r="M86" s="387" t="s">
        <v>323</v>
      </c>
      <c r="N86" s="420">
        <v>1</v>
      </c>
      <c r="O86" s="421">
        <v>1</v>
      </c>
      <c r="P86" s="422">
        <v>1</v>
      </c>
      <c r="Q86" s="409" t="s">
        <v>48</v>
      </c>
      <c r="R86" s="421">
        <v>1</v>
      </c>
      <c r="S86" s="580">
        <f t="shared" si="17"/>
        <v>1</v>
      </c>
      <c r="T86" s="421">
        <v>1</v>
      </c>
      <c r="U86" s="434"/>
      <c r="V86" s="434"/>
      <c r="W86" s="434"/>
      <c r="X86" s="439">
        <f t="shared" si="19"/>
        <v>1</v>
      </c>
      <c r="Y86" s="410"/>
      <c r="Z86" s="528">
        <f t="shared" si="18"/>
        <v>1</v>
      </c>
      <c r="AA86" s="434">
        <v>1</v>
      </c>
      <c r="AB86" s="434"/>
      <c r="AC86" s="434"/>
      <c r="AD86" s="434"/>
      <c r="AE86" s="435">
        <f t="shared" si="15"/>
        <v>1</v>
      </c>
      <c r="AF86" s="322"/>
      <c r="AG86" s="530"/>
      <c r="AH86" s="563"/>
      <c r="AI86" s="567" t="s">
        <v>46</v>
      </c>
      <c r="AJ86" s="558" t="s">
        <v>729</v>
      </c>
      <c r="AK86" s="558" t="s">
        <v>37</v>
      </c>
      <c r="AL86" s="558"/>
      <c r="AM86" s="558"/>
      <c r="AN86" s="558"/>
      <c r="AO86" s="558"/>
      <c r="AP86" s="566"/>
    </row>
    <row r="87" spans="1:42" ht="150">
      <c r="A87" s="321" t="s">
        <v>741</v>
      </c>
      <c r="B87" s="322" t="s">
        <v>742</v>
      </c>
      <c r="C87" s="322" t="s">
        <v>723</v>
      </c>
      <c r="D87" s="323" t="s">
        <v>724</v>
      </c>
      <c r="E87" s="411" t="s">
        <v>743</v>
      </c>
      <c r="F87" s="411" t="s">
        <v>744</v>
      </c>
      <c r="G87" s="241" t="str">
        <f>VLOOKUP(A87,'Feature Summary'!$A$7:$C$4049,3,FALSE)</f>
        <v>P1</v>
      </c>
      <c r="H87" s="508" t="s">
        <v>745</v>
      </c>
      <c r="I87" s="411" t="s">
        <v>46</v>
      </c>
      <c r="J87" s="323"/>
      <c r="K87" s="323">
        <v>1</v>
      </c>
      <c r="L87" s="323">
        <v>2</v>
      </c>
      <c r="M87" s="387" t="s">
        <v>323</v>
      </c>
      <c r="N87" s="420">
        <v>1</v>
      </c>
      <c r="O87" s="421">
        <v>2</v>
      </c>
      <c r="P87" s="422">
        <v>1</v>
      </c>
      <c r="Q87" s="409" t="s">
        <v>48</v>
      </c>
      <c r="R87" s="421">
        <v>2</v>
      </c>
      <c r="S87" s="580">
        <f t="shared" si="17"/>
        <v>2</v>
      </c>
      <c r="T87" s="421">
        <v>2</v>
      </c>
      <c r="U87" s="434"/>
      <c r="V87" s="434"/>
      <c r="W87" s="434"/>
      <c r="X87" s="439">
        <f t="shared" si="19"/>
        <v>1</v>
      </c>
      <c r="Y87" s="410"/>
      <c r="Z87" s="528">
        <f t="shared" si="18"/>
        <v>2</v>
      </c>
      <c r="AA87" s="434">
        <v>2</v>
      </c>
      <c r="AB87" s="434"/>
      <c r="AC87" s="434"/>
      <c r="AD87" s="434"/>
      <c r="AE87" s="435">
        <f t="shared" si="15"/>
        <v>1</v>
      </c>
      <c r="AF87" s="322"/>
      <c r="AG87" s="530">
        <f>VLOOKUP(A87,'Feature Summary'!$A$7:$U$3900,21,FALSE)</f>
        <v>0</v>
      </c>
      <c r="AH87" s="563"/>
      <c r="AI87" s="567" t="s">
        <v>46</v>
      </c>
      <c r="AJ87" s="558" t="s">
        <v>729</v>
      </c>
      <c r="AK87" s="558" t="s">
        <v>37</v>
      </c>
      <c r="AL87" s="558">
        <v>12</v>
      </c>
      <c r="AM87" s="558">
        <v>8</v>
      </c>
      <c r="AN87" s="558">
        <v>50</v>
      </c>
      <c r="AO87" s="558"/>
      <c r="AP87" s="566"/>
    </row>
    <row r="88" spans="1:42" ht="72.599999999999994">
      <c r="A88" s="321" t="s">
        <v>746</v>
      </c>
      <c r="B88" s="322" t="s">
        <v>747</v>
      </c>
      <c r="C88" s="322" t="s">
        <v>425</v>
      </c>
      <c r="D88" s="323" t="s">
        <v>748</v>
      </c>
      <c r="E88" s="411" t="s">
        <v>749</v>
      </c>
      <c r="F88" s="411" t="s">
        <v>750</v>
      </c>
      <c r="G88" s="241" t="str">
        <f>VLOOKUP(A88,'Feature Summary'!$A$7:$C$4049,3,FALSE)</f>
        <v>P1</v>
      </c>
      <c r="H88" s="385" t="s">
        <v>751</v>
      </c>
      <c r="I88" s="322" t="s">
        <v>46</v>
      </c>
      <c r="J88" s="323"/>
      <c r="K88" s="323">
        <v>1</v>
      </c>
      <c r="L88" s="323">
        <v>1</v>
      </c>
      <c r="M88" s="387" t="s">
        <v>323</v>
      </c>
      <c r="N88" s="420">
        <v>1</v>
      </c>
      <c r="O88" s="421">
        <v>1</v>
      </c>
      <c r="P88" s="422">
        <f t="shared" si="14"/>
        <v>1</v>
      </c>
      <c r="Q88" s="409" t="s">
        <v>48</v>
      </c>
      <c r="R88" s="421">
        <v>1</v>
      </c>
      <c r="S88" s="580">
        <f t="shared" si="17"/>
        <v>1</v>
      </c>
      <c r="T88" s="421">
        <v>1</v>
      </c>
      <c r="U88" s="434"/>
      <c r="V88" s="434"/>
      <c r="W88" s="434"/>
      <c r="X88" s="439">
        <f t="shared" si="19"/>
        <v>1</v>
      </c>
      <c r="Y88" s="410"/>
      <c r="Z88" s="528">
        <f t="shared" si="18"/>
        <v>1</v>
      </c>
      <c r="AA88" s="434">
        <v>1</v>
      </c>
      <c r="AB88" s="434"/>
      <c r="AC88" s="434"/>
      <c r="AD88" s="434"/>
      <c r="AE88" s="435">
        <f t="shared" si="15"/>
        <v>1</v>
      </c>
      <c r="AF88" s="322"/>
      <c r="AG88" s="530">
        <f>VLOOKUP(A88,'Feature Summary'!$A$7:$U$3900,21,FALSE)</f>
        <v>0</v>
      </c>
      <c r="AH88" s="563"/>
      <c r="AI88" s="567" t="s">
        <v>46</v>
      </c>
      <c r="AJ88" s="558" t="s">
        <v>752</v>
      </c>
      <c r="AK88" s="558" t="s">
        <v>37</v>
      </c>
      <c r="AL88" s="558">
        <v>6</v>
      </c>
      <c r="AM88" s="558">
        <v>6</v>
      </c>
      <c r="AN88" s="558"/>
      <c r="AO88" s="558"/>
      <c r="AP88" s="566"/>
    </row>
    <row r="89" spans="1:42" ht="72.95" thickBot="1">
      <c r="A89" s="321" t="s">
        <v>753</v>
      </c>
      <c r="B89" s="322" t="s">
        <v>754</v>
      </c>
      <c r="C89" s="322" t="s">
        <v>425</v>
      </c>
      <c r="D89" s="323" t="s">
        <v>748</v>
      </c>
      <c r="E89" s="322" t="s">
        <v>755</v>
      </c>
      <c r="F89" s="411" t="s">
        <v>756</v>
      </c>
      <c r="G89" s="241" t="str">
        <f>VLOOKUP(A89,'Feature Summary'!$A$7:$C$4049,3,FALSE)</f>
        <v>P2</v>
      </c>
      <c r="H89" s="509" t="s">
        <v>757</v>
      </c>
      <c r="I89" s="509" t="s">
        <v>46</v>
      </c>
      <c r="J89" s="323" t="s">
        <v>758</v>
      </c>
      <c r="K89" s="323">
        <v>1</v>
      </c>
      <c r="L89" s="323">
        <v>1</v>
      </c>
      <c r="M89" s="387" t="s">
        <v>323</v>
      </c>
      <c r="N89" s="420">
        <v>1</v>
      </c>
      <c r="O89" s="421">
        <v>1</v>
      </c>
      <c r="P89" s="422">
        <f t="shared" si="14"/>
        <v>1</v>
      </c>
      <c r="Q89" s="409" t="s">
        <v>48</v>
      </c>
      <c r="R89" s="421">
        <v>0</v>
      </c>
      <c r="S89" s="580">
        <f t="shared" si="17"/>
        <v>0</v>
      </c>
      <c r="T89" s="421">
        <v>0</v>
      </c>
      <c r="U89" s="434"/>
      <c r="V89" s="434"/>
      <c r="W89" s="434"/>
      <c r="X89" s="439">
        <f t="shared" si="19"/>
        <v>0</v>
      </c>
      <c r="Y89" s="410"/>
      <c r="Z89" s="528">
        <f t="shared" si="18"/>
        <v>0</v>
      </c>
      <c r="AA89" s="434">
        <v>0</v>
      </c>
      <c r="AB89" s="434"/>
      <c r="AC89" s="434"/>
      <c r="AD89" s="434"/>
      <c r="AE89" s="435">
        <f t="shared" si="15"/>
        <v>0</v>
      </c>
      <c r="AF89" s="322"/>
      <c r="AG89" s="530"/>
      <c r="AH89" s="563"/>
      <c r="AI89" s="567" t="s">
        <v>46</v>
      </c>
      <c r="AJ89" s="558" t="s">
        <v>752</v>
      </c>
      <c r="AK89" s="558" t="s">
        <v>37</v>
      </c>
      <c r="AL89" s="558"/>
      <c r="AM89" s="558"/>
      <c r="AN89" s="558"/>
      <c r="AO89" s="558"/>
      <c r="AP89" s="566"/>
    </row>
    <row r="90" spans="1:42" ht="58.5" thickBot="1">
      <c r="A90" s="321" t="s">
        <v>759</v>
      </c>
      <c r="B90" s="322" t="s">
        <v>760</v>
      </c>
      <c r="C90" s="322" t="s">
        <v>425</v>
      </c>
      <c r="D90" s="323" t="s">
        <v>748</v>
      </c>
      <c r="E90" s="411" t="s">
        <v>761</v>
      </c>
      <c r="F90" s="411" t="s">
        <v>762</v>
      </c>
      <c r="G90" s="241" t="str">
        <f>VLOOKUP(A90,'Feature Summary'!$A$7:$C$4049,3,FALSE)</f>
        <v>P1</v>
      </c>
      <c r="H90" s="509" t="s">
        <v>763</v>
      </c>
      <c r="I90" s="509" t="s">
        <v>46</v>
      </c>
      <c r="J90" s="323" t="s">
        <v>764</v>
      </c>
      <c r="K90" s="323">
        <v>1</v>
      </c>
      <c r="L90" s="323">
        <v>1</v>
      </c>
      <c r="M90" s="387" t="s">
        <v>323</v>
      </c>
      <c r="N90" s="420">
        <v>1</v>
      </c>
      <c r="O90" s="421">
        <v>1</v>
      </c>
      <c r="P90" s="422">
        <f t="shared" si="14"/>
        <v>1</v>
      </c>
      <c r="Q90" s="409" t="s">
        <v>48</v>
      </c>
      <c r="R90" s="421">
        <v>1</v>
      </c>
      <c r="S90" s="580">
        <f t="shared" si="17"/>
        <v>1</v>
      </c>
      <c r="T90" s="421">
        <v>1</v>
      </c>
      <c r="U90" s="434"/>
      <c r="V90" s="434"/>
      <c r="W90" s="434"/>
      <c r="X90" s="439">
        <f t="shared" si="19"/>
        <v>1</v>
      </c>
      <c r="Y90" s="410"/>
      <c r="Z90" s="528">
        <f t="shared" si="18"/>
        <v>1</v>
      </c>
      <c r="AA90" s="434">
        <v>1</v>
      </c>
      <c r="AB90" s="434"/>
      <c r="AC90" s="434"/>
      <c r="AD90" s="434"/>
      <c r="AE90" s="435">
        <f t="shared" si="15"/>
        <v>1</v>
      </c>
      <c r="AF90" s="322"/>
      <c r="AG90" s="530">
        <f>VLOOKUP(A90,'Feature Summary'!$A$7:$U$3900,21,FALSE)</f>
        <v>0</v>
      </c>
      <c r="AH90" s="563"/>
      <c r="AI90" s="567" t="s">
        <v>46</v>
      </c>
      <c r="AJ90" s="558" t="s">
        <v>752</v>
      </c>
      <c r="AK90" s="558" t="s">
        <v>37</v>
      </c>
      <c r="AL90" s="558">
        <v>6</v>
      </c>
      <c r="AM90" s="558">
        <v>6</v>
      </c>
      <c r="AN90" s="558"/>
      <c r="AO90" s="558"/>
      <c r="AP90" s="566"/>
    </row>
    <row r="91" spans="1:42" ht="189" thickBot="1">
      <c r="A91" s="321" t="s">
        <v>765</v>
      </c>
      <c r="B91" s="322" t="s">
        <v>766</v>
      </c>
      <c r="C91" s="322" t="s">
        <v>425</v>
      </c>
      <c r="D91" s="323" t="s">
        <v>748</v>
      </c>
      <c r="E91" s="411" t="s">
        <v>767</v>
      </c>
      <c r="F91" s="411" t="s">
        <v>768</v>
      </c>
      <c r="G91" s="241" t="str">
        <f>VLOOKUP(A91,'Feature Summary'!$A$7:$C$4049,3,FALSE)</f>
        <v>P1</v>
      </c>
      <c r="H91" s="509" t="s">
        <v>769</v>
      </c>
      <c r="I91" s="509" t="s">
        <v>46</v>
      </c>
      <c r="J91" s="323" t="s">
        <v>770</v>
      </c>
      <c r="K91" s="323">
        <v>1</v>
      </c>
      <c r="L91" s="323">
        <v>1</v>
      </c>
      <c r="M91" s="387" t="s">
        <v>323</v>
      </c>
      <c r="N91" s="420">
        <v>1</v>
      </c>
      <c r="O91" s="421">
        <v>1</v>
      </c>
      <c r="P91" s="422">
        <f t="shared" si="14"/>
        <v>1</v>
      </c>
      <c r="Q91" s="409" t="s">
        <v>48</v>
      </c>
      <c r="R91" s="421">
        <v>1</v>
      </c>
      <c r="S91" s="580">
        <f t="shared" si="17"/>
        <v>1</v>
      </c>
      <c r="T91" s="421">
        <v>1</v>
      </c>
      <c r="U91" s="434"/>
      <c r="V91" s="434"/>
      <c r="W91" s="434"/>
      <c r="X91" s="439">
        <f t="shared" si="19"/>
        <v>1</v>
      </c>
      <c r="Y91" s="410"/>
      <c r="Z91" s="528">
        <f t="shared" si="18"/>
        <v>1</v>
      </c>
      <c r="AA91" s="434">
        <v>1</v>
      </c>
      <c r="AB91" s="434"/>
      <c r="AC91" s="434"/>
      <c r="AD91" s="434"/>
      <c r="AE91" s="435">
        <f t="shared" si="15"/>
        <v>1</v>
      </c>
      <c r="AF91" s="322"/>
      <c r="AG91" s="530">
        <f>VLOOKUP(A91,'Feature Summary'!$A$7:$U$3900,21,FALSE)</f>
        <v>0</v>
      </c>
      <c r="AH91" s="563"/>
      <c r="AI91" s="567" t="s">
        <v>46</v>
      </c>
      <c r="AJ91" s="558" t="s">
        <v>752</v>
      </c>
      <c r="AK91" s="558" t="s">
        <v>37</v>
      </c>
      <c r="AL91" s="558">
        <v>6</v>
      </c>
      <c r="AM91" s="558">
        <v>6</v>
      </c>
      <c r="AN91" s="558"/>
      <c r="AO91" s="558"/>
      <c r="AP91" s="566"/>
    </row>
    <row r="92" spans="1:42" ht="87.6" thickBot="1">
      <c r="A92" s="321" t="s">
        <v>771</v>
      </c>
      <c r="B92" s="322" t="s">
        <v>772</v>
      </c>
      <c r="C92" s="322" t="s">
        <v>425</v>
      </c>
      <c r="D92" s="323" t="s">
        <v>748</v>
      </c>
      <c r="E92" s="322" t="s">
        <v>773</v>
      </c>
      <c r="F92" s="411" t="s">
        <v>774</v>
      </c>
      <c r="G92" s="241" t="str">
        <f>VLOOKUP(A92,'Feature Summary'!$A$7:$C$4049,3,FALSE)</f>
        <v>P2</v>
      </c>
      <c r="H92" s="509" t="s">
        <v>775</v>
      </c>
      <c r="I92" s="509" t="s">
        <v>46</v>
      </c>
      <c r="J92" s="323" t="s">
        <v>776</v>
      </c>
      <c r="K92" s="323">
        <v>1</v>
      </c>
      <c r="L92" s="323">
        <v>1</v>
      </c>
      <c r="M92" s="387" t="s">
        <v>323</v>
      </c>
      <c r="N92" s="420">
        <v>1</v>
      </c>
      <c r="O92" s="421">
        <v>1</v>
      </c>
      <c r="P92" s="422">
        <f t="shared" si="14"/>
        <v>1</v>
      </c>
      <c r="Q92" s="409" t="s">
        <v>48</v>
      </c>
      <c r="R92" s="421">
        <v>1</v>
      </c>
      <c r="S92" s="580">
        <f t="shared" si="17"/>
        <v>1</v>
      </c>
      <c r="T92" s="421">
        <v>1</v>
      </c>
      <c r="U92" s="434"/>
      <c r="V92" s="434"/>
      <c r="W92" s="434"/>
      <c r="X92" s="439">
        <f t="shared" si="19"/>
        <v>1</v>
      </c>
      <c r="Y92" s="410"/>
      <c r="Z92" s="528">
        <f t="shared" si="18"/>
        <v>1</v>
      </c>
      <c r="AA92" s="434">
        <v>1</v>
      </c>
      <c r="AB92" s="434"/>
      <c r="AC92" s="434"/>
      <c r="AD92" s="434"/>
      <c r="AE92" s="435">
        <f t="shared" si="15"/>
        <v>1</v>
      </c>
      <c r="AF92" s="322"/>
      <c r="AG92" s="530">
        <f>VLOOKUP(A92,'Feature Summary'!$A$7:$U$3900,21,FALSE)</f>
        <v>0</v>
      </c>
      <c r="AH92" s="563"/>
      <c r="AI92" s="567" t="s">
        <v>46</v>
      </c>
      <c r="AJ92" s="558" t="s">
        <v>752</v>
      </c>
      <c r="AK92" s="558" t="s">
        <v>37</v>
      </c>
      <c r="AL92" s="558">
        <v>6</v>
      </c>
      <c r="AM92" s="558"/>
      <c r="AN92" s="558"/>
      <c r="AO92" s="558"/>
      <c r="AP92" s="566"/>
    </row>
    <row r="93" spans="1:42" ht="72.599999999999994">
      <c r="A93" s="321" t="s">
        <v>777</v>
      </c>
      <c r="B93" s="322" t="s">
        <v>778</v>
      </c>
      <c r="C93" s="322" t="s">
        <v>425</v>
      </c>
      <c r="D93" s="323" t="s">
        <v>748</v>
      </c>
      <c r="E93" s="322" t="s">
        <v>779</v>
      </c>
      <c r="F93" s="411" t="s">
        <v>780</v>
      </c>
      <c r="G93" s="241" t="str">
        <f>VLOOKUP(A93,'Feature Summary'!$A$7:$C$4049,3,FALSE)</f>
        <v>P2</v>
      </c>
      <c r="H93" s="510" t="s">
        <v>781</v>
      </c>
      <c r="I93" s="411" t="s">
        <v>46</v>
      </c>
      <c r="J93" s="507" t="s">
        <v>782</v>
      </c>
      <c r="K93" s="323">
        <v>1</v>
      </c>
      <c r="L93" s="323">
        <v>2</v>
      </c>
      <c r="M93" s="387" t="s">
        <v>323</v>
      </c>
      <c r="N93" s="420">
        <v>1</v>
      </c>
      <c r="O93" s="421">
        <v>2</v>
      </c>
      <c r="P93" s="422">
        <f t="shared" si="14"/>
        <v>1</v>
      </c>
      <c r="Q93" s="409" t="s">
        <v>48</v>
      </c>
      <c r="R93" s="421">
        <v>2</v>
      </c>
      <c r="S93" s="580">
        <f t="shared" si="17"/>
        <v>2</v>
      </c>
      <c r="T93" s="421">
        <v>2</v>
      </c>
      <c r="U93" s="434"/>
      <c r="V93" s="434"/>
      <c r="W93" s="434"/>
      <c r="X93" s="439">
        <f t="shared" si="19"/>
        <v>1</v>
      </c>
      <c r="Y93" s="410"/>
      <c r="Z93" s="528">
        <f t="shared" si="18"/>
        <v>2</v>
      </c>
      <c r="AA93" s="434">
        <v>2</v>
      </c>
      <c r="AB93" s="434"/>
      <c r="AC93" s="434"/>
      <c r="AD93" s="434"/>
      <c r="AE93" s="435">
        <f t="shared" si="15"/>
        <v>1</v>
      </c>
      <c r="AF93" s="322"/>
      <c r="AG93" s="530"/>
      <c r="AH93" s="563"/>
      <c r="AI93" s="567" t="s">
        <v>46</v>
      </c>
      <c r="AJ93" s="558" t="s">
        <v>752</v>
      </c>
      <c r="AK93" s="558" t="s">
        <v>37</v>
      </c>
      <c r="AL93" s="558"/>
      <c r="AM93" s="558"/>
      <c r="AN93" s="558"/>
      <c r="AO93" s="558"/>
      <c r="AP93" s="566"/>
    </row>
    <row r="94" spans="1:42" ht="58.5" thickBot="1">
      <c r="A94" s="321" t="s">
        <v>783</v>
      </c>
      <c r="B94" s="322" t="s">
        <v>784</v>
      </c>
      <c r="C94" s="322" t="s">
        <v>425</v>
      </c>
      <c r="D94" s="323" t="s">
        <v>748</v>
      </c>
      <c r="E94" s="322" t="s">
        <v>785</v>
      </c>
      <c r="F94" s="411" t="s">
        <v>786</v>
      </c>
      <c r="G94" s="241" t="str">
        <f>VLOOKUP(A94,'Feature Summary'!$A$7:$C$4049,3,FALSE)</f>
        <v>P2</v>
      </c>
      <c r="H94" s="509" t="s">
        <v>787</v>
      </c>
      <c r="I94" s="509" t="s">
        <v>46</v>
      </c>
      <c r="J94" s="323" t="s">
        <v>788</v>
      </c>
      <c r="K94" s="323">
        <v>1</v>
      </c>
      <c r="L94" s="323">
        <v>1</v>
      </c>
      <c r="M94" s="387" t="s">
        <v>323</v>
      </c>
      <c r="N94" s="420">
        <v>1</v>
      </c>
      <c r="O94" s="421">
        <v>1</v>
      </c>
      <c r="P94" s="422">
        <f t="shared" si="14"/>
        <v>1</v>
      </c>
      <c r="Q94" s="409" t="s">
        <v>48</v>
      </c>
      <c r="R94" s="421">
        <v>1</v>
      </c>
      <c r="S94" s="580">
        <f t="shared" si="17"/>
        <v>1</v>
      </c>
      <c r="T94" s="421">
        <v>1</v>
      </c>
      <c r="U94" s="434"/>
      <c r="V94" s="434"/>
      <c r="W94" s="434"/>
      <c r="X94" s="439">
        <f t="shared" si="19"/>
        <v>1</v>
      </c>
      <c r="Y94" s="410"/>
      <c r="Z94" s="528">
        <f t="shared" si="18"/>
        <v>1</v>
      </c>
      <c r="AA94" s="434">
        <v>1</v>
      </c>
      <c r="AB94" s="434"/>
      <c r="AC94" s="434"/>
      <c r="AD94" s="434"/>
      <c r="AE94" s="435">
        <f t="shared" si="15"/>
        <v>1</v>
      </c>
      <c r="AF94" s="322"/>
      <c r="AG94" s="530"/>
      <c r="AH94" s="563"/>
      <c r="AI94" s="567" t="s">
        <v>46</v>
      </c>
      <c r="AJ94" s="558" t="s">
        <v>752</v>
      </c>
      <c r="AK94" s="558" t="s">
        <v>37</v>
      </c>
      <c r="AL94" s="558"/>
      <c r="AM94" s="558"/>
      <c r="AN94" s="558"/>
      <c r="AO94" s="558"/>
      <c r="AP94" s="566"/>
    </row>
    <row r="95" spans="1:42" ht="44.1" thickBot="1">
      <c r="A95" s="321" t="s">
        <v>789</v>
      </c>
      <c r="B95" s="322" t="s">
        <v>790</v>
      </c>
      <c r="C95" s="322" t="s">
        <v>425</v>
      </c>
      <c r="D95" s="323" t="s">
        <v>748</v>
      </c>
      <c r="E95" s="322" t="s">
        <v>791</v>
      </c>
      <c r="F95" s="411" t="s">
        <v>792</v>
      </c>
      <c r="G95" s="241" t="str">
        <f>VLOOKUP(A95,'Feature Summary'!$A$7:$C$4049,3,FALSE)</f>
        <v>P2</v>
      </c>
      <c r="H95" s="509" t="s">
        <v>793</v>
      </c>
      <c r="I95" s="509" t="s">
        <v>46</v>
      </c>
      <c r="J95" s="323" t="s">
        <v>794</v>
      </c>
      <c r="K95" s="323">
        <v>1</v>
      </c>
      <c r="L95" s="323">
        <v>1</v>
      </c>
      <c r="M95" s="387" t="s">
        <v>323</v>
      </c>
      <c r="N95" s="420">
        <v>1</v>
      </c>
      <c r="O95" s="421">
        <v>1</v>
      </c>
      <c r="P95" s="422">
        <f t="shared" si="14"/>
        <v>1</v>
      </c>
      <c r="Q95" s="409" t="s">
        <v>48</v>
      </c>
      <c r="R95" s="421">
        <v>1</v>
      </c>
      <c r="S95" s="580">
        <f t="shared" si="17"/>
        <v>1</v>
      </c>
      <c r="T95" s="421">
        <v>1</v>
      </c>
      <c r="U95" s="434"/>
      <c r="V95" s="434"/>
      <c r="W95" s="434"/>
      <c r="X95" s="439">
        <f t="shared" si="19"/>
        <v>1</v>
      </c>
      <c r="Y95" s="410"/>
      <c r="Z95" s="528">
        <f t="shared" si="18"/>
        <v>1</v>
      </c>
      <c r="AA95" s="434">
        <v>1</v>
      </c>
      <c r="AB95" s="434"/>
      <c r="AC95" s="434"/>
      <c r="AD95" s="434"/>
      <c r="AE95" s="435">
        <f t="shared" si="15"/>
        <v>1</v>
      </c>
      <c r="AF95" s="322"/>
      <c r="AG95" s="530"/>
      <c r="AH95" s="563"/>
      <c r="AI95" s="567" t="s">
        <v>46</v>
      </c>
      <c r="AJ95" s="558" t="s">
        <v>752</v>
      </c>
      <c r="AK95" s="558" t="s">
        <v>37</v>
      </c>
      <c r="AL95" s="558"/>
      <c r="AM95" s="558"/>
      <c r="AN95" s="558"/>
      <c r="AO95" s="558"/>
      <c r="AP95" s="566"/>
    </row>
    <row r="96" spans="1:42" ht="72.95" thickBot="1">
      <c r="A96" s="321" t="s">
        <v>795</v>
      </c>
      <c r="B96" s="322" t="s">
        <v>796</v>
      </c>
      <c r="C96" s="322" t="s">
        <v>425</v>
      </c>
      <c r="D96" s="323" t="s">
        <v>748</v>
      </c>
      <c r="E96" s="322" t="s">
        <v>797</v>
      </c>
      <c r="F96" s="411" t="s">
        <v>798</v>
      </c>
      <c r="G96" s="241" t="str">
        <f>VLOOKUP(A96,'Feature Summary'!$A$7:$C$4049,3,FALSE)</f>
        <v>P1</v>
      </c>
      <c r="H96" s="509" t="s">
        <v>799</v>
      </c>
      <c r="I96" s="509" t="s">
        <v>46</v>
      </c>
      <c r="J96" s="323" t="s">
        <v>800</v>
      </c>
      <c r="K96" s="323">
        <v>1</v>
      </c>
      <c r="L96" s="323">
        <v>1</v>
      </c>
      <c r="M96" s="387" t="s">
        <v>323</v>
      </c>
      <c r="N96" s="420">
        <v>1</v>
      </c>
      <c r="O96" s="421">
        <v>1</v>
      </c>
      <c r="P96" s="422">
        <f t="shared" si="14"/>
        <v>1</v>
      </c>
      <c r="Q96" s="409" t="s">
        <v>48</v>
      </c>
      <c r="R96" s="421">
        <v>1</v>
      </c>
      <c r="S96" s="580">
        <f t="shared" si="17"/>
        <v>1</v>
      </c>
      <c r="T96" s="421">
        <v>1</v>
      </c>
      <c r="U96" s="434"/>
      <c r="V96" s="434"/>
      <c r="W96" s="434"/>
      <c r="X96" s="439">
        <f t="shared" si="19"/>
        <v>1</v>
      </c>
      <c r="Y96" s="410"/>
      <c r="Z96" s="528">
        <f t="shared" si="18"/>
        <v>1</v>
      </c>
      <c r="AA96" s="434">
        <v>1</v>
      </c>
      <c r="AB96" s="434"/>
      <c r="AC96" s="434"/>
      <c r="AD96" s="434"/>
      <c r="AE96" s="435">
        <f t="shared" si="15"/>
        <v>1</v>
      </c>
      <c r="AF96" s="322"/>
      <c r="AG96" s="530"/>
      <c r="AH96" s="563"/>
      <c r="AI96" s="567" t="s">
        <v>46</v>
      </c>
      <c r="AJ96" s="558" t="s">
        <v>752</v>
      </c>
      <c r="AK96" s="558" t="s">
        <v>37</v>
      </c>
      <c r="AL96" s="558">
        <v>6</v>
      </c>
      <c r="AM96" s="558"/>
      <c r="AN96" s="558"/>
      <c r="AO96" s="558"/>
      <c r="AP96" s="566"/>
    </row>
    <row r="97" spans="1:42" ht="130.5">
      <c r="A97" s="321" t="s">
        <v>801</v>
      </c>
      <c r="B97" s="322" t="s">
        <v>802</v>
      </c>
      <c r="C97" s="322" t="s">
        <v>425</v>
      </c>
      <c r="D97" s="323" t="s">
        <v>748</v>
      </c>
      <c r="E97" s="322" t="s">
        <v>803</v>
      </c>
      <c r="F97" s="411" t="s">
        <v>804</v>
      </c>
      <c r="G97" s="241" t="str">
        <f>VLOOKUP(A97,'Feature Summary'!$A$7:$C$4049,3,FALSE)</f>
        <v>P2</v>
      </c>
      <c r="H97" s="385" t="s">
        <v>530</v>
      </c>
      <c r="I97" s="322" t="s">
        <v>530</v>
      </c>
      <c r="J97" s="323" t="s">
        <v>805</v>
      </c>
      <c r="K97" s="323">
        <v>1</v>
      </c>
      <c r="L97" s="323">
        <v>1</v>
      </c>
      <c r="M97" s="387" t="s">
        <v>323</v>
      </c>
      <c r="N97" s="420">
        <v>1</v>
      </c>
      <c r="O97" s="421">
        <v>1</v>
      </c>
      <c r="P97" s="422">
        <f t="shared" si="14"/>
        <v>1</v>
      </c>
      <c r="Q97" s="409" t="s">
        <v>48</v>
      </c>
      <c r="R97" s="421">
        <v>0</v>
      </c>
      <c r="S97" s="580">
        <f t="shared" si="17"/>
        <v>1</v>
      </c>
      <c r="T97" s="421"/>
      <c r="U97" s="434"/>
      <c r="V97" s="434"/>
      <c r="W97" s="434">
        <v>1</v>
      </c>
      <c r="X97" s="439">
        <f t="shared" ref="X97:X116" si="21">IF((S97=0),0,((T97+U97)/S97*100%))</f>
        <v>0</v>
      </c>
      <c r="Y97" s="410"/>
      <c r="Z97" s="528">
        <f t="shared" si="18"/>
        <v>1</v>
      </c>
      <c r="AA97" s="434"/>
      <c r="AB97" s="434">
        <v>1</v>
      </c>
      <c r="AC97" s="434"/>
      <c r="AD97" s="434"/>
      <c r="AE97" s="435">
        <f t="shared" si="15"/>
        <v>1</v>
      </c>
      <c r="AF97" s="322"/>
      <c r="AG97" s="530">
        <f>VLOOKUP(A97,'Feature Summary'!$A$7:$U$3900,21,FALSE)</f>
        <v>0</v>
      </c>
      <c r="AH97" s="563"/>
      <c r="AI97" s="567" t="s">
        <v>46</v>
      </c>
      <c r="AJ97" s="558" t="s">
        <v>752</v>
      </c>
      <c r="AK97" s="558" t="s">
        <v>37</v>
      </c>
      <c r="AL97" s="558"/>
      <c r="AM97" s="558"/>
      <c r="AN97" s="558"/>
      <c r="AO97" s="558"/>
      <c r="AP97" s="566"/>
    </row>
    <row r="98" spans="1:42" ht="44.1" thickBot="1">
      <c r="A98" s="321" t="s">
        <v>806</v>
      </c>
      <c r="B98" s="322" t="s">
        <v>807</v>
      </c>
      <c r="C98" s="322" t="s">
        <v>425</v>
      </c>
      <c r="D98" s="323" t="s">
        <v>748</v>
      </c>
      <c r="E98" s="322" t="s">
        <v>808</v>
      </c>
      <c r="F98" s="411" t="s">
        <v>809</v>
      </c>
      <c r="G98" s="241" t="str">
        <f>VLOOKUP(A98,'Feature Summary'!$A$7:$C$4049,3,FALSE)</f>
        <v>P2</v>
      </c>
      <c r="H98" s="509" t="s">
        <v>810</v>
      </c>
      <c r="I98" s="509" t="s">
        <v>46</v>
      </c>
      <c r="J98" s="323" t="s">
        <v>811</v>
      </c>
      <c r="K98" s="323">
        <v>1</v>
      </c>
      <c r="L98" s="323">
        <v>1</v>
      </c>
      <c r="M98" s="387" t="s">
        <v>323</v>
      </c>
      <c r="N98" s="420">
        <v>1</v>
      </c>
      <c r="O98" s="421">
        <v>1</v>
      </c>
      <c r="P98" s="422">
        <f t="shared" si="14"/>
        <v>1</v>
      </c>
      <c r="Q98" s="409" t="s">
        <v>48</v>
      </c>
      <c r="R98" s="421">
        <v>0</v>
      </c>
      <c r="S98" s="580">
        <f t="shared" si="17"/>
        <v>1</v>
      </c>
      <c r="T98" s="421"/>
      <c r="U98" s="434"/>
      <c r="V98" s="434"/>
      <c r="W98" s="434">
        <v>1</v>
      </c>
      <c r="X98" s="439">
        <f t="shared" si="21"/>
        <v>0</v>
      </c>
      <c r="Y98" s="410"/>
      <c r="Z98" s="528">
        <f t="shared" si="18"/>
        <v>1</v>
      </c>
      <c r="AA98" s="434"/>
      <c r="AB98" s="434">
        <v>1</v>
      </c>
      <c r="AC98" s="434"/>
      <c r="AD98" s="434"/>
      <c r="AE98" s="435">
        <f t="shared" si="15"/>
        <v>1</v>
      </c>
      <c r="AF98" s="322"/>
      <c r="AG98" s="530"/>
      <c r="AH98" s="563"/>
      <c r="AI98" s="567" t="s">
        <v>46</v>
      </c>
      <c r="AJ98" s="558" t="s">
        <v>752</v>
      </c>
      <c r="AK98" s="558" t="s">
        <v>37</v>
      </c>
      <c r="AL98" s="558"/>
      <c r="AM98" s="558"/>
      <c r="AN98" s="558"/>
      <c r="AO98" s="558"/>
      <c r="AP98" s="566"/>
    </row>
    <row r="99" spans="1:42" ht="87.6" thickBot="1">
      <c r="A99" s="321" t="s">
        <v>812</v>
      </c>
      <c r="B99" s="322" t="s">
        <v>813</v>
      </c>
      <c r="C99" s="322" t="s">
        <v>425</v>
      </c>
      <c r="D99" s="323" t="s">
        <v>748</v>
      </c>
      <c r="E99" s="322" t="s">
        <v>814</v>
      </c>
      <c r="F99" s="411" t="s">
        <v>815</v>
      </c>
      <c r="G99" s="241" t="str">
        <f>VLOOKUP(A99,'Feature Summary'!$A$7:$C$4049,3,FALSE)</f>
        <v>P2</v>
      </c>
      <c r="H99" s="509" t="s">
        <v>816</v>
      </c>
      <c r="I99" s="509" t="s">
        <v>46</v>
      </c>
      <c r="J99" s="323" t="s">
        <v>817</v>
      </c>
      <c r="K99" s="323">
        <v>1</v>
      </c>
      <c r="L99" s="323">
        <v>1</v>
      </c>
      <c r="M99" s="387" t="s">
        <v>323</v>
      </c>
      <c r="N99" s="420">
        <v>1</v>
      </c>
      <c r="O99" s="421">
        <v>1</v>
      </c>
      <c r="P99" s="422">
        <f t="shared" si="14"/>
        <v>1</v>
      </c>
      <c r="Q99" s="409" t="s">
        <v>48</v>
      </c>
      <c r="R99" s="421">
        <v>1</v>
      </c>
      <c r="S99" s="580">
        <f t="shared" si="17"/>
        <v>1</v>
      </c>
      <c r="T99" s="421">
        <v>1</v>
      </c>
      <c r="U99" s="434"/>
      <c r="V99" s="434"/>
      <c r="W99" s="434"/>
      <c r="X99" s="439">
        <f t="shared" si="21"/>
        <v>1</v>
      </c>
      <c r="Y99" s="410"/>
      <c r="Z99" s="528">
        <f t="shared" si="18"/>
        <v>1</v>
      </c>
      <c r="AA99" s="434">
        <v>1</v>
      </c>
      <c r="AB99" s="434"/>
      <c r="AC99" s="434"/>
      <c r="AD99" s="434"/>
      <c r="AE99" s="435">
        <f t="shared" si="15"/>
        <v>1</v>
      </c>
      <c r="AF99" s="322"/>
      <c r="AG99" s="530"/>
      <c r="AH99" s="563"/>
      <c r="AI99" s="567" t="s">
        <v>46</v>
      </c>
      <c r="AJ99" s="558" t="s">
        <v>752</v>
      </c>
      <c r="AK99" s="558" t="s">
        <v>37</v>
      </c>
      <c r="AL99" s="558"/>
      <c r="AM99" s="558"/>
      <c r="AN99" s="558"/>
      <c r="AO99" s="558"/>
      <c r="AP99" s="566"/>
    </row>
    <row r="100" spans="1:42" ht="72.599999999999994">
      <c r="A100" s="321" t="s">
        <v>818</v>
      </c>
      <c r="B100" s="322" t="s">
        <v>819</v>
      </c>
      <c r="C100" s="322" t="s">
        <v>425</v>
      </c>
      <c r="D100" s="323" t="s">
        <v>748</v>
      </c>
      <c r="E100" s="411" t="s">
        <v>820</v>
      </c>
      <c r="F100" s="411" t="s">
        <v>821</v>
      </c>
      <c r="G100" s="241" t="str">
        <f>VLOOKUP(A100,'Feature Summary'!$A$7:$C$4049,3,FALSE)</f>
        <v>P2</v>
      </c>
      <c r="H100" s="385" t="s">
        <v>390</v>
      </c>
      <c r="I100" s="322" t="s">
        <v>720</v>
      </c>
      <c r="J100" s="323" t="s">
        <v>822</v>
      </c>
      <c r="K100" s="323">
        <v>1</v>
      </c>
      <c r="L100" s="323">
        <v>1</v>
      </c>
      <c r="M100" s="387" t="s">
        <v>323</v>
      </c>
      <c r="N100" s="420">
        <v>1</v>
      </c>
      <c r="O100" s="421">
        <v>1</v>
      </c>
      <c r="P100" s="422">
        <f t="shared" si="14"/>
        <v>1</v>
      </c>
      <c r="Q100" s="409" t="s">
        <v>48</v>
      </c>
      <c r="R100" s="421">
        <v>1</v>
      </c>
      <c r="S100" s="580">
        <f t="shared" si="17"/>
        <v>1</v>
      </c>
      <c r="T100" s="421">
        <v>1</v>
      </c>
      <c r="U100" s="434"/>
      <c r="V100" s="434"/>
      <c r="W100" s="434"/>
      <c r="X100" s="439">
        <f t="shared" si="21"/>
        <v>1</v>
      </c>
      <c r="Y100" s="410"/>
      <c r="Z100" s="528">
        <f t="shared" si="18"/>
        <v>1</v>
      </c>
      <c r="AA100" s="434">
        <v>1</v>
      </c>
      <c r="AB100" s="434"/>
      <c r="AC100" s="434"/>
      <c r="AD100" s="434"/>
      <c r="AE100" s="435">
        <f t="shared" si="15"/>
        <v>1</v>
      </c>
      <c r="AF100" s="322"/>
      <c r="AG100" s="530"/>
      <c r="AH100" s="563"/>
      <c r="AI100" s="567" t="s">
        <v>46</v>
      </c>
      <c r="AJ100" s="558" t="s">
        <v>752</v>
      </c>
      <c r="AK100" s="558" t="s">
        <v>37</v>
      </c>
      <c r="AL100" s="558"/>
      <c r="AM100" s="558"/>
      <c r="AN100" s="558"/>
      <c r="AO100" s="558"/>
      <c r="AP100" s="566"/>
    </row>
    <row r="101" spans="1:42" ht="102" thickBot="1">
      <c r="A101" s="321" t="s">
        <v>823</v>
      </c>
      <c r="B101" s="322" t="s">
        <v>824</v>
      </c>
      <c r="C101" s="322" t="s">
        <v>425</v>
      </c>
      <c r="D101" s="323" t="s">
        <v>748</v>
      </c>
      <c r="E101" s="322" t="s">
        <v>825</v>
      </c>
      <c r="F101" s="411" t="s">
        <v>826</v>
      </c>
      <c r="G101" s="241" t="str">
        <f>VLOOKUP(A101,'Feature Summary'!$A$7:$C$4049,3,FALSE)</f>
        <v>P1</v>
      </c>
      <c r="H101" s="509" t="s">
        <v>827</v>
      </c>
      <c r="I101" s="509" t="s">
        <v>46</v>
      </c>
      <c r="J101" s="323" t="s">
        <v>828</v>
      </c>
      <c r="K101" s="323">
        <v>1</v>
      </c>
      <c r="L101" s="323">
        <v>1</v>
      </c>
      <c r="M101" s="387" t="s">
        <v>323</v>
      </c>
      <c r="N101" s="420">
        <v>1</v>
      </c>
      <c r="O101" s="421">
        <v>1</v>
      </c>
      <c r="P101" s="422">
        <f t="shared" si="14"/>
        <v>1</v>
      </c>
      <c r="Q101" s="409" t="s">
        <v>48</v>
      </c>
      <c r="R101" s="421">
        <v>1</v>
      </c>
      <c r="S101" s="580">
        <f t="shared" si="17"/>
        <v>1</v>
      </c>
      <c r="T101" s="421">
        <v>1</v>
      </c>
      <c r="U101" s="434"/>
      <c r="V101" s="434"/>
      <c r="W101" s="434"/>
      <c r="X101" s="439">
        <f t="shared" si="21"/>
        <v>1</v>
      </c>
      <c r="Y101" s="410"/>
      <c r="Z101" s="528">
        <f t="shared" si="18"/>
        <v>1</v>
      </c>
      <c r="AA101" s="434">
        <v>1</v>
      </c>
      <c r="AB101" s="434"/>
      <c r="AC101" s="434"/>
      <c r="AD101" s="434"/>
      <c r="AE101" s="435">
        <f t="shared" si="15"/>
        <v>1</v>
      </c>
      <c r="AF101" s="322"/>
      <c r="AG101" s="530"/>
      <c r="AH101" s="563"/>
      <c r="AI101" s="567" t="s">
        <v>46</v>
      </c>
      <c r="AJ101" s="558" t="s">
        <v>752</v>
      </c>
      <c r="AK101" s="558" t="s">
        <v>37</v>
      </c>
      <c r="AL101" s="558">
        <v>6</v>
      </c>
      <c r="AM101" s="558"/>
      <c r="AN101" s="558"/>
      <c r="AO101" s="558"/>
      <c r="AP101" s="566"/>
    </row>
    <row r="102" spans="1:42" ht="203.45" thickBot="1">
      <c r="A102" s="321" t="s">
        <v>829</v>
      </c>
      <c r="B102" s="322" t="s">
        <v>830</v>
      </c>
      <c r="C102" s="322" t="s">
        <v>425</v>
      </c>
      <c r="D102" s="323" t="s">
        <v>748</v>
      </c>
      <c r="E102" s="411" t="s">
        <v>831</v>
      </c>
      <c r="F102" s="411" t="s">
        <v>832</v>
      </c>
      <c r="G102" s="241" t="str">
        <f>VLOOKUP(A102,'Feature Summary'!$A$7:$C$4049,3,FALSE)</f>
        <v>P1</v>
      </c>
      <c r="H102" s="511" t="s">
        <v>833</v>
      </c>
      <c r="I102" s="411" t="s">
        <v>46</v>
      </c>
      <c r="J102" s="507" t="s">
        <v>834</v>
      </c>
      <c r="K102" s="323">
        <v>1</v>
      </c>
      <c r="L102" s="323">
        <v>2</v>
      </c>
      <c r="M102" s="387" t="s">
        <v>323</v>
      </c>
      <c r="N102" s="420">
        <v>1</v>
      </c>
      <c r="O102" s="421">
        <v>2</v>
      </c>
      <c r="P102" s="422">
        <f>IF((O102=0),0,(O102/L102))</f>
        <v>1</v>
      </c>
      <c r="Q102" s="409" t="s">
        <v>48</v>
      </c>
      <c r="R102" s="421">
        <v>2</v>
      </c>
      <c r="S102" s="580">
        <f t="shared" si="17"/>
        <v>2</v>
      </c>
      <c r="T102" s="421">
        <v>2</v>
      </c>
      <c r="U102" s="434"/>
      <c r="V102" s="434"/>
      <c r="W102" s="434"/>
      <c r="X102" s="439">
        <f t="shared" si="21"/>
        <v>1</v>
      </c>
      <c r="Y102" s="410"/>
      <c r="Z102" s="528">
        <f t="shared" si="18"/>
        <v>2</v>
      </c>
      <c r="AA102" s="434">
        <v>2</v>
      </c>
      <c r="AB102" s="434"/>
      <c r="AC102" s="434"/>
      <c r="AD102" s="434"/>
      <c r="AE102" s="435">
        <f t="shared" si="15"/>
        <v>1</v>
      </c>
      <c r="AF102" s="322"/>
      <c r="AG102" s="530">
        <f>VLOOKUP(A102,'Feature Summary'!$A$7:$U$3900,21,FALSE)</f>
        <v>0</v>
      </c>
      <c r="AH102" s="563"/>
      <c r="AI102" s="567" t="s">
        <v>46</v>
      </c>
      <c r="AJ102" s="558" t="s">
        <v>752</v>
      </c>
      <c r="AK102" s="558" t="s">
        <v>37</v>
      </c>
      <c r="AL102" s="558"/>
      <c r="AM102" s="558"/>
      <c r="AN102" s="558"/>
      <c r="AO102" s="558"/>
      <c r="AP102" s="566"/>
    </row>
    <row r="103" spans="1:42" ht="131.1" thickBot="1">
      <c r="A103" s="321" t="s">
        <v>835</v>
      </c>
      <c r="B103" s="322" t="s">
        <v>836</v>
      </c>
      <c r="C103" s="322" t="s">
        <v>425</v>
      </c>
      <c r="D103" s="323" t="s">
        <v>748</v>
      </c>
      <c r="E103" s="411" t="s">
        <v>837</v>
      </c>
      <c r="F103" s="411" t="s">
        <v>838</v>
      </c>
      <c r="G103" s="241" t="str">
        <f>VLOOKUP(A103,'Feature Summary'!$A$7:$C$4049,3,FALSE)</f>
        <v>P2</v>
      </c>
      <c r="H103" s="509" t="s">
        <v>839</v>
      </c>
      <c r="I103" s="322" t="s">
        <v>46</v>
      </c>
      <c r="J103" s="323"/>
      <c r="K103" s="323">
        <v>1</v>
      </c>
      <c r="L103" s="323">
        <v>1</v>
      </c>
      <c r="M103" s="387" t="s">
        <v>323</v>
      </c>
      <c r="N103" s="420">
        <v>1</v>
      </c>
      <c r="O103" s="421">
        <v>1</v>
      </c>
      <c r="P103" s="422">
        <f t="shared" si="14"/>
        <v>1</v>
      </c>
      <c r="Q103" s="409" t="s">
        <v>48</v>
      </c>
      <c r="R103" s="323">
        <v>0</v>
      </c>
      <c r="S103" s="580">
        <f t="shared" si="17"/>
        <v>1</v>
      </c>
      <c r="T103" s="434"/>
      <c r="U103" s="434"/>
      <c r="V103" s="434"/>
      <c r="W103" s="434">
        <v>1</v>
      </c>
      <c r="X103" s="439">
        <f t="shared" si="21"/>
        <v>0</v>
      </c>
      <c r="Y103" s="410"/>
      <c r="Z103" s="528">
        <f t="shared" si="18"/>
        <v>1</v>
      </c>
      <c r="AA103" s="434"/>
      <c r="AB103" s="434">
        <v>1</v>
      </c>
      <c r="AC103" s="434"/>
      <c r="AD103" s="434"/>
      <c r="AE103" s="435">
        <f t="shared" si="15"/>
        <v>1</v>
      </c>
      <c r="AF103" s="322"/>
      <c r="AG103" s="530">
        <f>VLOOKUP(A103,'Feature Summary'!$A$7:$U$3900,21,FALSE)</f>
        <v>0</v>
      </c>
      <c r="AH103" s="563"/>
      <c r="AI103" s="567" t="s">
        <v>46</v>
      </c>
      <c r="AJ103" s="558" t="s">
        <v>752</v>
      </c>
      <c r="AK103" s="558" t="s">
        <v>37</v>
      </c>
      <c r="AL103" s="558"/>
      <c r="AM103" s="558"/>
      <c r="AN103" s="558"/>
      <c r="AO103" s="558"/>
      <c r="AP103" s="566"/>
    </row>
    <row r="104" spans="1:42" ht="44.1" thickBot="1">
      <c r="A104" s="321" t="s">
        <v>840</v>
      </c>
      <c r="B104" s="322" t="s">
        <v>841</v>
      </c>
      <c r="C104" s="322" t="s">
        <v>425</v>
      </c>
      <c r="D104" s="323" t="s">
        <v>748</v>
      </c>
      <c r="E104" s="322" t="s">
        <v>842</v>
      </c>
      <c r="F104" s="411" t="s">
        <v>843</v>
      </c>
      <c r="G104" s="241" t="str">
        <f>VLOOKUP(A104,'Feature Summary'!$A$7:$C$4049,3,FALSE)</f>
        <v>P2</v>
      </c>
      <c r="H104" s="509" t="s">
        <v>844</v>
      </c>
      <c r="I104" s="509" t="s">
        <v>46</v>
      </c>
      <c r="J104" s="323" t="s">
        <v>845</v>
      </c>
      <c r="K104" s="323">
        <v>1</v>
      </c>
      <c r="L104" s="323">
        <v>1</v>
      </c>
      <c r="M104" s="387" t="s">
        <v>323</v>
      </c>
      <c r="N104" s="420">
        <v>1</v>
      </c>
      <c r="O104" s="421">
        <v>1</v>
      </c>
      <c r="P104" s="422">
        <f>IF((O104=0),0,(O104/L104))</f>
        <v>1</v>
      </c>
      <c r="Q104" s="409" t="s">
        <v>48</v>
      </c>
      <c r="R104" s="323">
        <v>1</v>
      </c>
      <c r="S104" s="580">
        <f t="shared" si="17"/>
        <v>1</v>
      </c>
      <c r="T104" s="434">
        <v>1</v>
      </c>
      <c r="U104" s="434"/>
      <c r="V104" s="434"/>
      <c r="W104" s="434"/>
      <c r="X104" s="439">
        <f t="shared" si="21"/>
        <v>1</v>
      </c>
      <c r="Y104" s="410"/>
      <c r="Z104" s="528">
        <f t="shared" si="18"/>
        <v>1</v>
      </c>
      <c r="AA104" s="434">
        <v>1</v>
      </c>
      <c r="AB104" s="434"/>
      <c r="AC104" s="434"/>
      <c r="AD104" s="434"/>
      <c r="AE104" s="435">
        <f t="shared" si="15"/>
        <v>1</v>
      </c>
      <c r="AF104" s="322"/>
      <c r="AG104" s="530"/>
      <c r="AH104" s="563"/>
      <c r="AI104" s="567" t="s">
        <v>46</v>
      </c>
      <c r="AJ104" s="558" t="s">
        <v>846</v>
      </c>
      <c r="AK104" s="558" t="s">
        <v>37</v>
      </c>
      <c r="AL104" s="558"/>
      <c r="AM104" s="558"/>
      <c r="AN104" s="558"/>
      <c r="AO104" s="558"/>
      <c r="AP104" s="566"/>
    </row>
    <row r="105" spans="1:42" ht="58.5" thickBot="1">
      <c r="A105" s="321" t="s">
        <v>847</v>
      </c>
      <c r="B105" s="322" t="s">
        <v>848</v>
      </c>
      <c r="C105" s="322" t="s">
        <v>425</v>
      </c>
      <c r="D105" s="323" t="s">
        <v>748</v>
      </c>
      <c r="E105" s="322" t="s">
        <v>849</v>
      </c>
      <c r="F105" s="411" t="s">
        <v>850</v>
      </c>
      <c r="G105" s="241" t="str">
        <f>VLOOKUP(A105,'Feature Summary'!$A$7:$C$4049,3,FALSE)</f>
        <v>P1</v>
      </c>
      <c r="H105" s="509" t="s">
        <v>851</v>
      </c>
      <c r="I105" s="509" t="s">
        <v>46</v>
      </c>
      <c r="J105" s="323" t="s">
        <v>852</v>
      </c>
      <c r="K105" s="323">
        <v>1</v>
      </c>
      <c r="L105" s="323">
        <v>1</v>
      </c>
      <c r="M105" s="387" t="s">
        <v>323</v>
      </c>
      <c r="N105" s="420">
        <v>1</v>
      </c>
      <c r="O105" s="421">
        <v>1</v>
      </c>
      <c r="P105" s="422">
        <f>IF((O105=0),0,(O105/L105))</f>
        <v>1</v>
      </c>
      <c r="Q105" s="409" t="s">
        <v>48</v>
      </c>
      <c r="R105" s="323">
        <v>1</v>
      </c>
      <c r="S105" s="580">
        <f t="shared" si="17"/>
        <v>1</v>
      </c>
      <c r="T105" s="434">
        <v>1</v>
      </c>
      <c r="U105" s="434"/>
      <c r="V105" s="434"/>
      <c r="W105" s="434"/>
      <c r="X105" s="439">
        <f t="shared" si="21"/>
        <v>1</v>
      </c>
      <c r="Y105" s="410"/>
      <c r="Z105" s="528">
        <f t="shared" si="18"/>
        <v>1</v>
      </c>
      <c r="AA105" s="434">
        <v>1</v>
      </c>
      <c r="AB105" s="434"/>
      <c r="AC105" s="434"/>
      <c r="AD105" s="434"/>
      <c r="AE105" s="435">
        <f t="shared" si="15"/>
        <v>1</v>
      </c>
      <c r="AF105" s="322"/>
      <c r="AG105" s="530">
        <f>VLOOKUP(A105,'Feature Summary'!$A$7:$U$3900,21,FALSE)</f>
        <v>0</v>
      </c>
      <c r="AH105" s="563"/>
      <c r="AI105" s="567" t="s">
        <v>46</v>
      </c>
      <c r="AJ105" s="558" t="s">
        <v>846</v>
      </c>
      <c r="AK105" s="558" t="s">
        <v>37</v>
      </c>
      <c r="AL105" s="558">
        <v>6</v>
      </c>
      <c r="AM105" s="558"/>
      <c r="AN105" s="558"/>
      <c r="AO105" s="558"/>
      <c r="AP105" s="566"/>
    </row>
    <row r="106" spans="1:42" ht="58.5" thickBot="1">
      <c r="A106" s="321" t="s">
        <v>853</v>
      </c>
      <c r="B106" s="322" t="s">
        <v>854</v>
      </c>
      <c r="C106" s="322" t="s">
        <v>425</v>
      </c>
      <c r="D106" s="323" t="s">
        <v>748</v>
      </c>
      <c r="E106" s="322" t="s">
        <v>855</v>
      </c>
      <c r="F106" s="411" t="s">
        <v>856</v>
      </c>
      <c r="G106" s="241" t="str">
        <f>VLOOKUP(A106,'Feature Summary'!$A$7:$C$4049,3,FALSE)</f>
        <v>P1</v>
      </c>
      <c r="H106" s="509" t="s">
        <v>857</v>
      </c>
      <c r="I106" s="509" t="s">
        <v>46</v>
      </c>
      <c r="J106" s="323" t="s">
        <v>858</v>
      </c>
      <c r="K106" s="323">
        <v>1</v>
      </c>
      <c r="L106" s="323">
        <v>1</v>
      </c>
      <c r="M106" s="387" t="s">
        <v>323</v>
      </c>
      <c r="N106" s="420">
        <v>1</v>
      </c>
      <c r="O106" s="421">
        <v>1</v>
      </c>
      <c r="P106" s="422">
        <f>IF((O106=0),0,(O106/L106))</f>
        <v>1</v>
      </c>
      <c r="Q106" s="409" t="s">
        <v>48</v>
      </c>
      <c r="R106" s="323">
        <v>1</v>
      </c>
      <c r="S106" s="580">
        <f t="shared" si="17"/>
        <v>1</v>
      </c>
      <c r="T106" s="434">
        <v>1</v>
      </c>
      <c r="U106" s="434"/>
      <c r="V106" s="434"/>
      <c r="W106" s="434"/>
      <c r="X106" s="439">
        <f t="shared" si="21"/>
        <v>1</v>
      </c>
      <c r="Y106" s="410"/>
      <c r="Z106" s="528">
        <f t="shared" si="18"/>
        <v>1</v>
      </c>
      <c r="AA106" s="434">
        <v>1</v>
      </c>
      <c r="AB106" s="434"/>
      <c r="AC106" s="434"/>
      <c r="AD106" s="434"/>
      <c r="AE106" s="435">
        <f t="shared" si="15"/>
        <v>1</v>
      </c>
      <c r="AF106" s="322"/>
      <c r="AG106" s="530">
        <f>VLOOKUP(A106,'Feature Summary'!$A$7:$U$3900,21,FALSE)</f>
        <v>0</v>
      </c>
      <c r="AH106" s="563"/>
      <c r="AI106" s="567" t="s">
        <v>46</v>
      </c>
      <c r="AJ106" s="558" t="s">
        <v>846</v>
      </c>
      <c r="AK106" s="558" t="s">
        <v>37</v>
      </c>
      <c r="AL106" s="558">
        <v>6</v>
      </c>
      <c r="AM106" s="558"/>
      <c r="AN106" s="558"/>
      <c r="AO106" s="558"/>
      <c r="AP106" s="566"/>
    </row>
    <row r="107" spans="1:42" ht="58.5" thickBot="1">
      <c r="A107" s="321" t="s">
        <v>859</v>
      </c>
      <c r="B107" s="322" t="s">
        <v>860</v>
      </c>
      <c r="C107" s="322" t="s">
        <v>425</v>
      </c>
      <c r="D107" s="323" t="s">
        <v>748</v>
      </c>
      <c r="E107" s="322" t="s">
        <v>861</v>
      </c>
      <c r="F107" s="411" t="s">
        <v>862</v>
      </c>
      <c r="G107" s="241" t="str">
        <f>VLOOKUP(A107,'Feature Summary'!$A$7:$C$4049,3,FALSE)</f>
        <v>P1</v>
      </c>
      <c r="H107" s="509" t="s">
        <v>863</v>
      </c>
      <c r="I107" s="509" t="s">
        <v>46</v>
      </c>
      <c r="J107" s="323" t="s">
        <v>864</v>
      </c>
      <c r="K107" s="323">
        <v>1</v>
      </c>
      <c r="L107" s="323">
        <v>1</v>
      </c>
      <c r="M107" s="387" t="s">
        <v>323</v>
      </c>
      <c r="N107" s="420">
        <v>1</v>
      </c>
      <c r="O107" s="421">
        <v>1</v>
      </c>
      <c r="P107" s="422">
        <f t="shared" ref="P107:P114" si="22">IF((O107=0),0,(O107/L107))</f>
        <v>1</v>
      </c>
      <c r="Q107" s="409" t="s">
        <v>48</v>
      </c>
      <c r="R107" s="323">
        <v>1</v>
      </c>
      <c r="S107" s="580">
        <f t="shared" si="17"/>
        <v>1</v>
      </c>
      <c r="T107" s="434">
        <v>1</v>
      </c>
      <c r="U107" s="434"/>
      <c r="V107" s="434"/>
      <c r="W107" s="434"/>
      <c r="X107" s="439">
        <f t="shared" si="21"/>
        <v>1</v>
      </c>
      <c r="Y107" s="410"/>
      <c r="Z107" s="528">
        <f t="shared" si="18"/>
        <v>1</v>
      </c>
      <c r="AA107" s="434">
        <v>1</v>
      </c>
      <c r="AB107" s="434"/>
      <c r="AC107" s="434"/>
      <c r="AD107" s="434"/>
      <c r="AE107" s="435">
        <f t="shared" si="15"/>
        <v>1</v>
      </c>
      <c r="AF107" s="322"/>
      <c r="AG107" s="530">
        <f>VLOOKUP(A107,'Feature Summary'!$A$7:$U$3900,21,FALSE)</f>
        <v>0</v>
      </c>
      <c r="AH107" s="563"/>
      <c r="AI107" s="567" t="s">
        <v>46</v>
      </c>
      <c r="AJ107" s="558" t="s">
        <v>846</v>
      </c>
      <c r="AK107" s="558" t="s">
        <v>37</v>
      </c>
      <c r="AL107" s="558">
        <v>6</v>
      </c>
      <c r="AM107" s="558"/>
      <c r="AN107" s="558"/>
      <c r="AO107" s="558"/>
      <c r="AP107" s="566"/>
    </row>
    <row r="108" spans="1:42" ht="58.5" thickBot="1">
      <c r="A108" s="321" t="s">
        <v>865</v>
      </c>
      <c r="B108" s="322" t="s">
        <v>866</v>
      </c>
      <c r="C108" s="322" t="s">
        <v>425</v>
      </c>
      <c r="D108" s="323" t="s">
        <v>748</v>
      </c>
      <c r="E108" s="322" t="s">
        <v>867</v>
      </c>
      <c r="F108" s="411" t="s">
        <v>868</v>
      </c>
      <c r="G108" s="241" t="str">
        <f>VLOOKUP(A108,'Feature Summary'!$A$7:$C$4049,3,FALSE)</f>
        <v>P1</v>
      </c>
      <c r="H108" s="509" t="s">
        <v>869</v>
      </c>
      <c r="I108" s="509" t="s">
        <v>46</v>
      </c>
      <c r="J108" s="323" t="s">
        <v>870</v>
      </c>
      <c r="K108" s="323">
        <v>1</v>
      </c>
      <c r="L108" s="323">
        <v>1</v>
      </c>
      <c r="M108" s="387" t="s">
        <v>323</v>
      </c>
      <c r="N108" s="420">
        <v>1</v>
      </c>
      <c r="O108" s="421">
        <v>1</v>
      </c>
      <c r="P108" s="422">
        <f>IF((O108=0),0,(O108/L108))</f>
        <v>1</v>
      </c>
      <c r="Q108" s="409" t="s">
        <v>48</v>
      </c>
      <c r="R108" s="323">
        <v>1</v>
      </c>
      <c r="S108" s="580">
        <f t="shared" si="17"/>
        <v>1</v>
      </c>
      <c r="T108" s="434">
        <v>1</v>
      </c>
      <c r="U108" s="434"/>
      <c r="V108" s="434"/>
      <c r="W108" s="434"/>
      <c r="X108" s="439">
        <f t="shared" si="21"/>
        <v>1</v>
      </c>
      <c r="Y108" s="410"/>
      <c r="Z108" s="528">
        <f t="shared" si="18"/>
        <v>1</v>
      </c>
      <c r="AA108" s="434">
        <v>1</v>
      </c>
      <c r="AB108" s="434"/>
      <c r="AC108" s="434"/>
      <c r="AD108" s="434"/>
      <c r="AE108" s="435">
        <f t="shared" si="15"/>
        <v>1</v>
      </c>
      <c r="AF108" s="322"/>
      <c r="AG108" s="530">
        <f>VLOOKUP(A108,'Feature Summary'!$A$7:$U$3900,21,FALSE)</f>
        <v>0</v>
      </c>
      <c r="AH108" s="563"/>
      <c r="AI108" s="567" t="s">
        <v>46</v>
      </c>
      <c r="AJ108" s="558" t="s">
        <v>846</v>
      </c>
      <c r="AK108" s="558" t="s">
        <v>37</v>
      </c>
      <c r="AL108" s="558">
        <v>6</v>
      </c>
      <c r="AM108" s="558"/>
      <c r="AN108" s="558"/>
      <c r="AO108" s="558"/>
      <c r="AP108" s="566"/>
    </row>
    <row r="109" spans="1:42" ht="72.95" thickBot="1">
      <c r="A109" s="321" t="s">
        <v>871</v>
      </c>
      <c r="B109" s="322" t="s">
        <v>872</v>
      </c>
      <c r="C109" s="322" t="s">
        <v>425</v>
      </c>
      <c r="D109" s="323" t="s">
        <v>748</v>
      </c>
      <c r="E109" s="322" t="s">
        <v>873</v>
      </c>
      <c r="F109" s="411" t="s">
        <v>874</v>
      </c>
      <c r="G109" s="241" t="str">
        <f>VLOOKUP(A109,'Feature Summary'!$A$7:$C$4049,3,FALSE)</f>
        <v>P2</v>
      </c>
      <c r="H109" s="509" t="s">
        <v>875</v>
      </c>
      <c r="I109" s="509" t="s">
        <v>46</v>
      </c>
      <c r="J109" s="323" t="s">
        <v>876</v>
      </c>
      <c r="K109" s="323">
        <v>1</v>
      </c>
      <c r="L109" s="323">
        <v>1</v>
      </c>
      <c r="M109" s="387" t="s">
        <v>340</v>
      </c>
      <c r="N109" s="420">
        <v>1</v>
      </c>
      <c r="O109" s="421">
        <v>1</v>
      </c>
      <c r="P109" s="422">
        <f>IF((O109=0),0,(O109/L109))</f>
        <v>1</v>
      </c>
      <c r="Q109" s="409" t="s">
        <v>48</v>
      </c>
      <c r="R109" s="323">
        <v>1</v>
      </c>
      <c r="S109" s="580">
        <f t="shared" si="17"/>
        <v>1</v>
      </c>
      <c r="T109" s="434">
        <v>1</v>
      </c>
      <c r="U109" s="434"/>
      <c r="V109" s="434"/>
      <c r="W109" s="434"/>
      <c r="X109" s="439">
        <f t="shared" si="21"/>
        <v>1</v>
      </c>
      <c r="Y109" s="410"/>
      <c r="Z109" s="528">
        <f t="shared" si="18"/>
        <v>1</v>
      </c>
      <c r="AA109" s="434">
        <v>1</v>
      </c>
      <c r="AB109" s="434"/>
      <c r="AC109" s="434"/>
      <c r="AD109" s="434"/>
      <c r="AE109" s="435">
        <f t="shared" si="15"/>
        <v>1</v>
      </c>
      <c r="AF109" s="322"/>
      <c r="AG109" s="530"/>
      <c r="AH109" s="563"/>
      <c r="AI109" s="567" t="s">
        <v>46</v>
      </c>
      <c r="AJ109" s="558" t="s">
        <v>846</v>
      </c>
      <c r="AK109" s="558" t="s">
        <v>37</v>
      </c>
      <c r="AL109" s="558">
        <v>6</v>
      </c>
      <c r="AM109" s="558"/>
      <c r="AN109" s="558"/>
      <c r="AO109" s="558"/>
      <c r="AP109" s="566"/>
    </row>
    <row r="110" spans="1:42" ht="58.5" thickBot="1">
      <c r="A110" s="321" t="s">
        <v>877</v>
      </c>
      <c r="B110" s="322" t="s">
        <v>878</v>
      </c>
      <c r="C110" s="322" t="s">
        <v>425</v>
      </c>
      <c r="D110" s="323" t="s">
        <v>748</v>
      </c>
      <c r="E110" s="322" t="s">
        <v>879</v>
      </c>
      <c r="F110" s="411" t="s">
        <v>880</v>
      </c>
      <c r="G110" s="241" t="str">
        <f>VLOOKUP(A110,'Feature Summary'!$A$7:$C$4049,3,FALSE)</f>
        <v>P2</v>
      </c>
      <c r="H110" s="509" t="s">
        <v>881</v>
      </c>
      <c r="I110" s="509" t="s">
        <v>46</v>
      </c>
      <c r="J110" s="323" t="s">
        <v>882</v>
      </c>
      <c r="K110" s="323">
        <v>1</v>
      </c>
      <c r="L110" s="323">
        <v>1</v>
      </c>
      <c r="M110" s="387" t="s">
        <v>323</v>
      </c>
      <c r="N110" s="420">
        <v>1</v>
      </c>
      <c r="O110" s="421">
        <v>1</v>
      </c>
      <c r="P110" s="422">
        <f t="shared" si="22"/>
        <v>1</v>
      </c>
      <c r="Q110" s="409" t="s">
        <v>48</v>
      </c>
      <c r="R110" s="323">
        <v>1</v>
      </c>
      <c r="S110" s="580">
        <f t="shared" si="17"/>
        <v>1</v>
      </c>
      <c r="T110" s="434">
        <v>1</v>
      </c>
      <c r="U110" s="434"/>
      <c r="V110" s="434"/>
      <c r="W110" s="434"/>
      <c r="X110" s="439">
        <f t="shared" si="21"/>
        <v>1</v>
      </c>
      <c r="Y110" s="410"/>
      <c r="Z110" s="528">
        <f t="shared" si="18"/>
        <v>1</v>
      </c>
      <c r="AA110" s="434">
        <v>1</v>
      </c>
      <c r="AB110" s="434"/>
      <c r="AC110" s="434"/>
      <c r="AD110" s="434"/>
      <c r="AE110" s="435">
        <f t="shared" si="15"/>
        <v>1</v>
      </c>
      <c r="AF110" s="322"/>
      <c r="AG110" s="530"/>
      <c r="AH110" s="563"/>
      <c r="AI110" s="567" t="s">
        <v>46</v>
      </c>
      <c r="AJ110" s="558" t="s">
        <v>846</v>
      </c>
      <c r="AK110" s="558" t="s">
        <v>37</v>
      </c>
      <c r="AL110" s="558"/>
      <c r="AM110" s="558"/>
      <c r="AN110" s="558"/>
      <c r="AO110" s="558"/>
      <c r="AP110" s="566"/>
    </row>
    <row r="111" spans="1:42" ht="44.1" thickBot="1">
      <c r="A111" s="321" t="s">
        <v>883</v>
      </c>
      <c r="B111" s="322" t="s">
        <v>884</v>
      </c>
      <c r="C111" s="322" t="s">
        <v>425</v>
      </c>
      <c r="D111" s="323" t="s">
        <v>748</v>
      </c>
      <c r="E111" s="322" t="s">
        <v>885</v>
      </c>
      <c r="F111" s="411" t="s">
        <v>886</v>
      </c>
      <c r="G111" s="241" t="str">
        <f>VLOOKUP(A111,'Feature Summary'!$A$7:$C$4049,3,FALSE)</f>
        <v>P2</v>
      </c>
      <c r="H111" s="509" t="s">
        <v>887</v>
      </c>
      <c r="I111" s="509" t="s">
        <v>46</v>
      </c>
      <c r="J111" s="323" t="s">
        <v>888</v>
      </c>
      <c r="K111" s="323">
        <v>1</v>
      </c>
      <c r="L111" s="323">
        <v>1</v>
      </c>
      <c r="M111" s="387" t="s">
        <v>323</v>
      </c>
      <c r="N111" s="420">
        <v>1</v>
      </c>
      <c r="O111" s="421">
        <v>1</v>
      </c>
      <c r="P111" s="422">
        <f>IF((O111=0),0,(O111/L111))</f>
        <v>1</v>
      </c>
      <c r="Q111" s="409" t="s">
        <v>48</v>
      </c>
      <c r="R111" s="323">
        <v>1</v>
      </c>
      <c r="S111" s="580">
        <f t="shared" si="17"/>
        <v>1</v>
      </c>
      <c r="T111" s="434">
        <v>1</v>
      </c>
      <c r="U111" s="434"/>
      <c r="V111" s="434"/>
      <c r="W111" s="434"/>
      <c r="X111" s="439">
        <f t="shared" si="21"/>
        <v>1</v>
      </c>
      <c r="Y111" s="410"/>
      <c r="Z111" s="528">
        <f t="shared" si="18"/>
        <v>1</v>
      </c>
      <c r="AA111" s="434">
        <v>1</v>
      </c>
      <c r="AB111" s="434"/>
      <c r="AC111" s="434"/>
      <c r="AD111" s="434"/>
      <c r="AE111" s="435">
        <f t="shared" si="15"/>
        <v>1</v>
      </c>
      <c r="AF111" s="322"/>
      <c r="AG111" s="530"/>
      <c r="AH111" s="563"/>
      <c r="AI111" s="567" t="s">
        <v>46</v>
      </c>
      <c r="AJ111" s="558" t="s">
        <v>846</v>
      </c>
      <c r="AK111" s="558" t="s">
        <v>37</v>
      </c>
      <c r="AL111" s="558"/>
      <c r="AM111" s="558"/>
      <c r="AN111" s="558"/>
      <c r="AO111" s="558"/>
      <c r="AP111" s="566"/>
    </row>
    <row r="112" spans="1:42" ht="57.95">
      <c r="A112" s="321" t="s">
        <v>889</v>
      </c>
      <c r="B112" s="322" t="s">
        <v>890</v>
      </c>
      <c r="C112" s="322" t="s">
        <v>425</v>
      </c>
      <c r="D112" s="323" t="s">
        <v>748</v>
      </c>
      <c r="E112" s="322" t="s">
        <v>891</v>
      </c>
      <c r="F112" s="411" t="s">
        <v>856</v>
      </c>
      <c r="G112" s="241" t="str">
        <f>VLOOKUP(A112,'Feature Summary'!$A$7:$C$4049,3,FALSE)</f>
        <v>P2</v>
      </c>
      <c r="H112" s="385" t="s">
        <v>892</v>
      </c>
      <c r="I112" s="322" t="s">
        <v>46</v>
      </c>
      <c r="J112" s="323" t="s">
        <v>882</v>
      </c>
      <c r="K112" s="323">
        <v>1</v>
      </c>
      <c r="L112" s="323">
        <v>1</v>
      </c>
      <c r="M112" s="387" t="s">
        <v>323</v>
      </c>
      <c r="N112" s="420">
        <v>1</v>
      </c>
      <c r="O112" s="421">
        <v>1</v>
      </c>
      <c r="P112" s="422">
        <f>IF((O112=0),0,(O112/L112))</f>
        <v>1</v>
      </c>
      <c r="Q112" s="409" t="s">
        <v>48</v>
      </c>
      <c r="R112" s="323">
        <v>0</v>
      </c>
      <c r="S112" s="580">
        <f t="shared" si="17"/>
        <v>1</v>
      </c>
      <c r="T112" s="434">
        <v>1</v>
      </c>
      <c r="U112" s="434"/>
      <c r="V112" s="434"/>
      <c r="W112" s="434"/>
      <c r="X112" s="439">
        <f>IF((S112=0),0,((T112+U112)/S112*100%))</f>
        <v>1</v>
      </c>
      <c r="Y112" s="410"/>
      <c r="Z112" s="528">
        <f t="shared" si="18"/>
        <v>1</v>
      </c>
      <c r="AA112" s="434">
        <v>1</v>
      </c>
      <c r="AB112" s="434"/>
      <c r="AC112" s="434"/>
      <c r="AD112" s="434"/>
      <c r="AE112" s="435">
        <f>IF((Z112=0),0,((AA112+AB112)/Z112*100%))</f>
        <v>1</v>
      </c>
      <c r="AF112" s="322"/>
      <c r="AG112" s="530" t="str">
        <f>VLOOKUP(A112,'Feature Summary'!$A$7:$U$3900,21,FALSE)</f>
        <v>NA</v>
      </c>
      <c r="AH112" s="563"/>
      <c r="AI112" s="567" t="s">
        <v>46</v>
      </c>
      <c r="AJ112" s="558" t="s">
        <v>846</v>
      </c>
      <c r="AK112" s="558" t="s">
        <v>37</v>
      </c>
      <c r="AL112" s="558"/>
      <c r="AM112" s="558"/>
      <c r="AN112" s="558"/>
      <c r="AO112" s="558"/>
      <c r="AP112" s="566"/>
    </row>
    <row r="113" spans="1:42" ht="87.6" thickBot="1">
      <c r="A113" s="321" t="s">
        <v>893</v>
      </c>
      <c r="B113" s="322" t="s">
        <v>894</v>
      </c>
      <c r="C113" s="322" t="s">
        <v>425</v>
      </c>
      <c r="D113" s="323" t="s">
        <v>748</v>
      </c>
      <c r="E113" s="322" t="s">
        <v>895</v>
      </c>
      <c r="F113" s="411" t="s">
        <v>896</v>
      </c>
      <c r="G113" s="241" t="str">
        <f>VLOOKUP(A113,'Feature Summary'!$A$7:$C$4049,3,FALSE)</f>
        <v>P2</v>
      </c>
      <c r="H113" s="509" t="s">
        <v>897</v>
      </c>
      <c r="I113" s="509" t="s">
        <v>46</v>
      </c>
      <c r="J113" s="323" t="s">
        <v>898</v>
      </c>
      <c r="K113" s="323">
        <v>1</v>
      </c>
      <c r="L113" s="323">
        <v>1</v>
      </c>
      <c r="M113" s="387" t="s">
        <v>323</v>
      </c>
      <c r="N113" s="420">
        <v>1</v>
      </c>
      <c r="O113" s="421">
        <v>1</v>
      </c>
      <c r="P113" s="422">
        <f>IF((O113=0),0,(O113/L113))</f>
        <v>1</v>
      </c>
      <c r="Q113" s="409" t="s">
        <v>48</v>
      </c>
      <c r="R113" s="323">
        <v>0</v>
      </c>
      <c r="S113" s="580">
        <f t="shared" si="17"/>
        <v>0</v>
      </c>
      <c r="T113" s="434"/>
      <c r="U113" s="434"/>
      <c r="V113" s="434"/>
      <c r="W113" s="434"/>
      <c r="X113" s="439">
        <f t="shared" si="21"/>
        <v>0</v>
      </c>
      <c r="Y113" s="410"/>
      <c r="Z113" s="528">
        <f t="shared" si="18"/>
        <v>0</v>
      </c>
      <c r="AA113" s="434"/>
      <c r="AB113" s="434"/>
      <c r="AC113" s="434"/>
      <c r="AD113" s="434"/>
      <c r="AE113" s="435">
        <f t="shared" si="15"/>
        <v>0</v>
      </c>
      <c r="AF113" s="322"/>
      <c r="AG113" s="530" t="str">
        <f>VLOOKUP(A113,'Feature Summary'!$A$7:$U$3900,21,FALSE)</f>
        <v>NA</v>
      </c>
      <c r="AH113" s="563"/>
      <c r="AI113" s="567" t="s">
        <v>46</v>
      </c>
      <c r="AJ113" s="558" t="s">
        <v>846</v>
      </c>
      <c r="AK113" s="558" t="s">
        <v>37</v>
      </c>
      <c r="AL113" s="558"/>
      <c r="AM113" s="558"/>
      <c r="AN113" s="558"/>
      <c r="AO113" s="558"/>
      <c r="AP113" s="566"/>
    </row>
    <row r="114" spans="1:42" ht="101.45">
      <c r="A114" s="321" t="s">
        <v>899</v>
      </c>
      <c r="B114" s="322" t="s">
        <v>900</v>
      </c>
      <c r="C114" s="322" t="s">
        <v>425</v>
      </c>
      <c r="D114" s="323" t="s">
        <v>748</v>
      </c>
      <c r="E114" s="322" t="s">
        <v>901</v>
      </c>
      <c r="F114" s="411" t="s">
        <v>902</v>
      </c>
      <c r="G114" s="241" t="str">
        <f>VLOOKUP(A114,'Feature Summary'!$A$7:$C$4049,3,FALSE)</f>
        <v>P2</v>
      </c>
      <c r="H114" s="385" t="s">
        <v>903</v>
      </c>
      <c r="I114" s="322" t="s">
        <v>46</v>
      </c>
      <c r="J114" s="323" t="s">
        <v>904</v>
      </c>
      <c r="K114" s="323">
        <v>1</v>
      </c>
      <c r="L114" s="323">
        <v>1</v>
      </c>
      <c r="M114" s="387" t="s">
        <v>323</v>
      </c>
      <c r="N114" s="420">
        <v>1</v>
      </c>
      <c r="O114" s="421">
        <v>1</v>
      </c>
      <c r="P114" s="422">
        <f t="shared" si="22"/>
        <v>1</v>
      </c>
      <c r="Q114" s="409" t="s">
        <v>48</v>
      </c>
      <c r="R114" s="323">
        <v>0</v>
      </c>
      <c r="S114" s="580">
        <f t="shared" si="17"/>
        <v>0</v>
      </c>
      <c r="T114" s="434"/>
      <c r="U114" s="434"/>
      <c r="V114" s="434"/>
      <c r="W114" s="434"/>
      <c r="X114" s="439">
        <f t="shared" si="21"/>
        <v>0</v>
      </c>
      <c r="Y114" s="410"/>
      <c r="Z114" s="528">
        <f t="shared" si="18"/>
        <v>0</v>
      </c>
      <c r="AA114" s="434"/>
      <c r="AB114" s="434"/>
      <c r="AC114" s="434"/>
      <c r="AD114" s="434"/>
      <c r="AE114" s="435">
        <f t="shared" si="15"/>
        <v>0</v>
      </c>
      <c r="AF114" s="322"/>
      <c r="AG114" s="530">
        <f>VLOOKUP(A114,'Feature Summary'!$A$7:$U$3900,21,FALSE)</f>
        <v>0</v>
      </c>
      <c r="AH114" s="563"/>
      <c r="AI114" s="567" t="s">
        <v>46</v>
      </c>
      <c r="AJ114" s="558" t="s">
        <v>846</v>
      </c>
      <c r="AK114" s="558" t="s">
        <v>37</v>
      </c>
      <c r="AL114" s="558"/>
      <c r="AM114" s="558"/>
      <c r="AN114" s="558"/>
      <c r="AO114" s="558"/>
      <c r="AP114" s="566"/>
    </row>
    <row r="115" spans="1:42" ht="318.95">
      <c r="A115" s="321" t="s">
        <v>905</v>
      </c>
      <c r="B115" s="322" t="s">
        <v>906</v>
      </c>
      <c r="C115" s="322" t="s">
        <v>723</v>
      </c>
      <c r="D115" s="323" t="s">
        <v>907</v>
      </c>
      <c r="E115" s="411" t="s">
        <v>908</v>
      </c>
      <c r="F115" s="411" t="s">
        <v>909</v>
      </c>
      <c r="G115" s="241" t="str">
        <f>VLOOKUP(A115,'Feature Summary'!$A$7:$C$4049,3,FALSE)</f>
        <v>P2</v>
      </c>
      <c r="H115" s="508" t="s">
        <v>910</v>
      </c>
      <c r="I115" s="322" t="s">
        <v>322</v>
      </c>
      <c r="J115" s="323"/>
      <c r="K115" s="323">
        <v>1</v>
      </c>
      <c r="L115" s="323">
        <v>1000</v>
      </c>
      <c r="M115" s="387" t="s">
        <v>323</v>
      </c>
      <c r="N115" s="420">
        <v>1</v>
      </c>
      <c r="O115" s="421">
        <v>1000</v>
      </c>
      <c r="P115" s="422">
        <f t="shared" ref="P115:P117" si="23">IF((O115=0),0,(O115/L115))</f>
        <v>1</v>
      </c>
      <c r="Q115" s="409" t="s">
        <v>48</v>
      </c>
      <c r="R115" s="323">
        <v>1000</v>
      </c>
      <c r="S115" s="580">
        <f t="shared" si="17"/>
        <v>1000</v>
      </c>
      <c r="T115" s="434">
        <v>1000</v>
      </c>
      <c r="U115" s="434"/>
      <c r="V115" s="434"/>
      <c r="W115" s="434"/>
      <c r="X115" s="439">
        <f t="shared" si="21"/>
        <v>1</v>
      </c>
      <c r="Y115" s="410"/>
      <c r="Z115" s="528">
        <f t="shared" si="18"/>
        <v>2000</v>
      </c>
      <c r="AA115" s="434">
        <v>2000</v>
      </c>
      <c r="AB115" s="434"/>
      <c r="AC115" s="434"/>
      <c r="AD115" s="434"/>
      <c r="AE115" s="435">
        <f t="shared" si="15"/>
        <v>1</v>
      </c>
      <c r="AF115" s="322"/>
      <c r="AG115" s="530"/>
      <c r="AH115" s="563"/>
      <c r="AI115" s="567" t="s">
        <v>322</v>
      </c>
      <c r="AJ115" s="558" t="s">
        <v>911</v>
      </c>
      <c r="AK115" s="558" t="s">
        <v>37</v>
      </c>
      <c r="AL115" s="558"/>
      <c r="AM115" s="558"/>
      <c r="AN115" s="558"/>
      <c r="AO115" s="558"/>
      <c r="AP115" s="566"/>
    </row>
    <row r="116" spans="1:42" ht="101.45">
      <c r="A116" s="321" t="s">
        <v>912</v>
      </c>
      <c r="B116" s="322" t="s">
        <v>913</v>
      </c>
      <c r="C116" s="322" t="s">
        <v>723</v>
      </c>
      <c r="D116" s="323" t="s">
        <v>907</v>
      </c>
      <c r="E116" s="322" t="s">
        <v>914</v>
      </c>
      <c r="F116" s="411" t="s">
        <v>915</v>
      </c>
      <c r="G116" s="241" t="str">
        <f>VLOOKUP(A116,'Feature Summary'!$A$7:$C$4049,3,FALSE)</f>
        <v>P4</v>
      </c>
      <c r="H116" s="508" t="s">
        <v>916</v>
      </c>
      <c r="I116" s="322" t="s">
        <v>322</v>
      </c>
      <c r="J116" s="323"/>
      <c r="K116" s="323">
        <v>1</v>
      </c>
      <c r="L116" s="507">
        <v>1000</v>
      </c>
      <c r="M116" s="387" t="s">
        <v>323</v>
      </c>
      <c r="N116" s="420">
        <v>1</v>
      </c>
      <c r="O116" s="421">
        <v>1000</v>
      </c>
      <c r="P116" s="422">
        <f t="shared" si="23"/>
        <v>1</v>
      </c>
      <c r="Q116" s="409" t="s">
        <v>48</v>
      </c>
      <c r="R116" s="323">
        <v>1000</v>
      </c>
      <c r="S116" s="580">
        <f t="shared" si="17"/>
        <v>1719</v>
      </c>
      <c r="T116" s="434">
        <v>1719</v>
      </c>
      <c r="U116" s="434"/>
      <c r="V116" s="434"/>
      <c r="W116" s="434"/>
      <c r="X116" s="439">
        <f t="shared" si="21"/>
        <v>1</v>
      </c>
      <c r="Y116" s="410"/>
      <c r="Z116" s="528">
        <f t="shared" si="18"/>
        <v>2000</v>
      </c>
      <c r="AA116" s="434">
        <v>2000</v>
      </c>
      <c r="AB116" s="434"/>
      <c r="AC116" s="434"/>
      <c r="AD116" s="434"/>
      <c r="AE116" s="435">
        <f t="shared" si="15"/>
        <v>1</v>
      </c>
      <c r="AF116" s="322"/>
      <c r="AG116" s="530"/>
      <c r="AH116" s="563"/>
      <c r="AI116" s="567" t="s">
        <v>322</v>
      </c>
      <c r="AJ116" s="558" t="s">
        <v>911</v>
      </c>
      <c r="AK116" s="558" t="s">
        <v>37</v>
      </c>
      <c r="AL116" s="558"/>
      <c r="AM116" s="558"/>
      <c r="AN116" s="558"/>
      <c r="AO116" s="558"/>
      <c r="AP116" s="566"/>
    </row>
    <row r="117" spans="1:42" ht="217.5">
      <c r="A117" s="321" t="s">
        <v>917</v>
      </c>
      <c r="B117" s="322" t="s">
        <v>918</v>
      </c>
      <c r="C117" s="322" t="s">
        <v>723</v>
      </c>
      <c r="D117" s="323" t="s">
        <v>907</v>
      </c>
      <c r="E117" s="411" t="s">
        <v>919</v>
      </c>
      <c r="F117" s="411" t="s">
        <v>920</v>
      </c>
      <c r="G117" s="241" t="str">
        <f>VLOOKUP(A117,'Feature Summary'!$A$7:$C$4049,3,FALSE)</f>
        <v>P1</v>
      </c>
      <c r="H117" s="582" t="s">
        <v>921</v>
      </c>
      <c r="I117" s="322" t="s">
        <v>46</v>
      </c>
      <c r="J117" s="323"/>
      <c r="K117" s="323">
        <v>1</v>
      </c>
      <c r="L117" s="323">
        <v>2</v>
      </c>
      <c r="M117" s="387" t="s">
        <v>323</v>
      </c>
      <c r="N117" s="420">
        <v>1</v>
      </c>
      <c r="O117" s="421">
        <v>2</v>
      </c>
      <c r="P117" s="422">
        <f t="shared" si="23"/>
        <v>1</v>
      </c>
      <c r="Q117" s="409" t="s">
        <v>48</v>
      </c>
      <c r="R117" s="323">
        <v>10</v>
      </c>
      <c r="S117" s="580">
        <f t="shared" si="17"/>
        <v>10</v>
      </c>
      <c r="T117" s="434">
        <v>10</v>
      </c>
      <c r="U117" s="434"/>
      <c r="V117" s="434"/>
      <c r="W117" s="434"/>
      <c r="X117" s="439">
        <f t="shared" ref="X117" si="24">IF((S117=0),0,((T117+U117)/S117*100%))</f>
        <v>1</v>
      </c>
      <c r="Y117" s="410"/>
      <c r="Z117" s="528">
        <f t="shared" si="18"/>
        <v>2</v>
      </c>
      <c r="AA117" s="434">
        <v>2</v>
      </c>
      <c r="AB117" s="434"/>
      <c r="AC117" s="434"/>
      <c r="AD117" s="434"/>
      <c r="AE117" s="435">
        <f t="shared" ref="AE117" si="25">IF((Z117=0),0,((AA117+AB117)/Z117*100%))</f>
        <v>1</v>
      </c>
      <c r="AF117" s="322"/>
      <c r="AG117" s="530">
        <f>VLOOKUP(A117,'Feature Summary'!$A$7:$U$3900,21,FALSE)</f>
        <v>0</v>
      </c>
      <c r="AH117" s="563"/>
      <c r="AI117" s="567" t="s">
        <v>46</v>
      </c>
      <c r="AJ117" s="558" t="s">
        <v>911</v>
      </c>
      <c r="AK117" s="558" t="s">
        <v>37</v>
      </c>
      <c r="AL117" s="558">
        <v>6</v>
      </c>
      <c r="AM117" s="558"/>
      <c r="AN117" s="558"/>
      <c r="AO117" s="558"/>
      <c r="AP117" s="566"/>
    </row>
    <row r="118" spans="1:42" ht="159.6">
      <c r="A118" s="321" t="s">
        <v>922</v>
      </c>
      <c r="B118" s="322" t="s">
        <v>923</v>
      </c>
      <c r="C118" s="322" t="s">
        <v>723</v>
      </c>
      <c r="D118" s="323" t="s">
        <v>924</v>
      </c>
      <c r="E118" s="322" t="s">
        <v>925</v>
      </c>
      <c r="F118" s="411" t="s">
        <v>926</v>
      </c>
      <c r="G118" s="241" t="str">
        <f>VLOOKUP(A118,'Feature Summary'!$A$7:$C$4049,3,FALSE)</f>
        <v>P1</v>
      </c>
      <c r="H118" s="508" t="s">
        <v>927</v>
      </c>
      <c r="I118" s="322" t="s">
        <v>46</v>
      </c>
      <c r="J118" s="507" t="s">
        <v>928</v>
      </c>
      <c r="K118" s="323">
        <v>1</v>
      </c>
      <c r="L118" s="507">
        <v>10</v>
      </c>
      <c r="M118" s="387" t="s">
        <v>323</v>
      </c>
      <c r="N118" s="420">
        <v>1</v>
      </c>
      <c r="O118" s="421">
        <v>10</v>
      </c>
      <c r="P118" s="422">
        <f t="shared" ref="P118:P147" si="26">IF((O118=0),0,(O118/L118))</f>
        <v>1</v>
      </c>
      <c r="Q118" s="409" t="s">
        <v>48</v>
      </c>
      <c r="R118" s="323">
        <v>10</v>
      </c>
      <c r="S118" s="580">
        <f t="shared" ref="S118:S148" si="27">SUM(T118:W118)</f>
        <v>10</v>
      </c>
      <c r="T118" s="434">
        <v>10</v>
      </c>
      <c r="U118" s="434"/>
      <c r="V118" s="434"/>
      <c r="W118" s="434"/>
      <c r="X118" s="439">
        <f t="shared" ref="X118:X120" si="28">IF((S118=0),0,((T118+U118)/S118*100%))</f>
        <v>1</v>
      </c>
      <c r="Y118" s="410"/>
      <c r="Z118" s="528">
        <f t="shared" ref="Z118:Z148" si="29">SUM(AA118:AD118)</f>
        <v>10</v>
      </c>
      <c r="AA118" s="434">
        <v>10</v>
      </c>
      <c r="AB118" s="434"/>
      <c r="AC118" s="434"/>
      <c r="AD118" s="434"/>
      <c r="AE118" s="435">
        <f t="shared" ref="AE118:AE148" si="30">IF((Z118=0),0,((AA118+AB118)/Z118*100%))</f>
        <v>1</v>
      </c>
      <c r="AF118" s="322"/>
      <c r="AG118" s="530">
        <f>VLOOKUP(A118,'Feature Summary'!$A$7:$U$3900,21,FALSE)</f>
        <v>0</v>
      </c>
      <c r="AH118" s="563"/>
      <c r="AI118" s="567" t="s">
        <v>46</v>
      </c>
      <c r="AJ118" s="558" t="s">
        <v>929</v>
      </c>
      <c r="AK118" s="558" t="s">
        <v>37</v>
      </c>
      <c r="AL118" s="558">
        <v>40</v>
      </c>
      <c r="AM118" s="558"/>
      <c r="AN118" s="558">
        <v>120</v>
      </c>
      <c r="AO118" s="558"/>
      <c r="AP118" s="566"/>
    </row>
    <row r="119" spans="1:42" ht="130.5">
      <c r="A119" s="321" t="s">
        <v>930</v>
      </c>
      <c r="B119" s="322" t="s">
        <v>931</v>
      </c>
      <c r="C119" s="322" t="s">
        <v>723</v>
      </c>
      <c r="D119" s="323" t="s">
        <v>924</v>
      </c>
      <c r="E119" s="322" t="s">
        <v>925</v>
      </c>
      <c r="F119" s="411" t="s">
        <v>926</v>
      </c>
      <c r="G119" s="241" t="str">
        <f>VLOOKUP(A119,'Feature Summary'!$A$7:$C$4049,3,FALSE)</f>
        <v>P1</v>
      </c>
      <c r="H119" s="508" t="s">
        <v>932</v>
      </c>
      <c r="I119" s="322" t="s">
        <v>46</v>
      </c>
      <c r="J119" s="507" t="s">
        <v>933</v>
      </c>
      <c r="K119" s="323">
        <v>1</v>
      </c>
      <c r="L119" s="507">
        <v>10</v>
      </c>
      <c r="M119" s="387" t="s">
        <v>323</v>
      </c>
      <c r="N119" s="420">
        <v>1</v>
      </c>
      <c r="O119" s="421">
        <v>10</v>
      </c>
      <c r="P119" s="422">
        <f t="shared" si="26"/>
        <v>1</v>
      </c>
      <c r="Q119" s="409" t="s">
        <v>48</v>
      </c>
      <c r="R119" s="323">
        <v>10</v>
      </c>
      <c r="S119" s="580">
        <f t="shared" si="27"/>
        <v>10</v>
      </c>
      <c r="T119" s="434">
        <v>10</v>
      </c>
      <c r="U119" s="434"/>
      <c r="V119" s="434"/>
      <c r="W119" s="434"/>
      <c r="X119" s="439">
        <f t="shared" si="28"/>
        <v>1</v>
      </c>
      <c r="Y119" s="410"/>
      <c r="Z119" s="528">
        <f t="shared" si="29"/>
        <v>10</v>
      </c>
      <c r="AA119" s="434">
        <v>10</v>
      </c>
      <c r="AB119" s="434"/>
      <c r="AC119" s="434"/>
      <c r="AD119" s="434"/>
      <c r="AE119" s="435">
        <f t="shared" si="30"/>
        <v>1</v>
      </c>
      <c r="AF119" s="322"/>
      <c r="AG119" s="530">
        <f>VLOOKUP(A119,'Feature Summary'!$A$7:$U$3900,21,FALSE)</f>
        <v>0</v>
      </c>
      <c r="AH119" s="563"/>
      <c r="AI119" s="567" t="s">
        <v>46</v>
      </c>
      <c r="AJ119" s="558" t="s">
        <v>929</v>
      </c>
      <c r="AK119" s="558" t="s">
        <v>37</v>
      </c>
      <c r="AL119" s="558">
        <v>40</v>
      </c>
      <c r="AM119" s="558"/>
      <c r="AN119" s="558">
        <v>120</v>
      </c>
      <c r="AO119" s="558"/>
      <c r="AP119" s="566"/>
    </row>
    <row r="120" spans="1:42" ht="188.45">
      <c r="A120" s="321" t="s">
        <v>934</v>
      </c>
      <c r="B120" s="322" t="s">
        <v>935</v>
      </c>
      <c r="C120" s="322" t="s">
        <v>723</v>
      </c>
      <c r="D120" s="323" t="s">
        <v>924</v>
      </c>
      <c r="E120" s="322" t="s">
        <v>925</v>
      </c>
      <c r="F120" s="411" t="s">
        <v>926</v>
      </c>
      <c r="G120" s="241" t="str">
        <f>VLOOKUP(A120,'Feature Summary'!$A$7:$C$4049,3,FALSE)</f>
        <v>P1</v>
      </c>
      <c r="H120" s="508" t="s">
        <v>932</v>
      </c>
      <c r="I120" s="322" t="s">
        <v>46</v>
      </c>
      <c r="J120" s="507" t="s">
        <v>936</v>
      </c>
      <c r="K120" s="323">
        <v>1</v>
      </c>
      <c r="L120" s="507">
        <v>10</v>
      </c>
      <c r="M120" s="387" t="s">
        <v>323</v>
      </c>
      <c r="N120" s="420">
        <v>1</v>
      </c>
      <c r="O120" s="421">
        <v>10</v>
      </c>
      <c r="P120" s="422">
        <f t="shared" si="26"/>
        <v>1</v>
      </c>
      <c r="Q120" s="409" t="s">
        <v>48</v>
      </c>
      <c r="R120" s="323">
        <v>10</v>
      </c>
      <c r="S120" s="580">
        <f t="shared" si="27"/>
        <v>10</v>
      </c>
      <c r="T120" s="434">
        <v>10</v>
      </c>
      <c r="U120" s="434"/>
      <c r="V120" s="434"/>
      <c r="W120" s="434"/>
      <c r="X120" s="439">
        <f t="shared" si="28"/>
        <v>1</v>
      </c>
      <c r="Y120" s="410"/>
      <c r="Z120" s="528">
        <f t="shared" si="29"/>
        <v>10</v>
      </c>
      <c r="AA120" s="434">
        <v>10</v>
      </c>
      <c r="AB120" s="434"/>
      <c r="AC120" s="434"/>
      <c r="AD120" s="434"/>
      <c r="AE120" s="435">
        <f t="shared" si="30"/>
        <v>1</v>
      </c>
      <c r="AF120" s="322"/>
      <c r="AG120" s="530">
        <f>VLOOKUP(A120,'Feature Summary'!$A$7:$U$3900,21,FALSE)</f>
        <v>0</v>
      </c>
      <c r="AH120" s="563"/>
      <c r="AI120" s="567" t="s">
        <v>46</v>
      </c>
      <c r="AJ120" s="558" t="s">
        <v>929</v>
      </c>
      <c r="AK120" s="558" t="s">
        <v>37</v>
      </c>
      <c r="AL120" s="558">
        <v>40</v>
      </c>
      <c r="AM120" s="558"/>
      <c r="AN120" s="558">
        <v>120</v>
      </c>
      <c r="AO120" s="558"/>
      <c r="AP120" s="566"/>
    </row>
    <row r="121" spans="1:42" ht="148.5" customHeight="1">
      <c r="A121" s="321" t="s">
        <v>937</v>
      </c>
      <c r="B121" s="322" t="s">
        <v>938</v>
      </c>
      <c r="C121" s="322" t="s">
        <v>723</v>
      </c>
      <c r="D121" s="323" t="s">
        <v>924</v>
      </c>
      <c r="E121" s="322" t="s">
        <v>925</v>
      </c>
      <c r="F121" s="411" t="s">
        <v>926</v>
      </c>
      <c r="G121" s="241" t="str">
        <f>VLOOKUP(A121,'Feature Summary'!$A$7:$C$4049,3,FALSE)</f>
        <v>P1</v>
      </c>
      <c r="H121" s="508" t="s">
        <v>939</v>
      </c>
      <c r="I121" s="322" t="s">
        <v>46</v>
      </c>
      <c r="J121" s="507" t="s">
        <v>940</v>
      </c>
      <c r="K121" s="323">
        <v>1</v>
      </c>
      <c r="L121" s="507">
        <v>10</v>
      </c>
      <c r="M121" s="387" t="s">
        <v>323</v>
      </c>
      <c r="N121" s="420">
        <v>1</v>
      </c>
      <c r="O121" s="421">
        <v>10</v>
      </c>
      <c r="P121" s="422">
        <f t="shared" si="26"/>
        <v>1</v>
      </c>
      <c r="Q121" s="409" t="s">
        <v>48</v>
      </c>
      <c r="R121" s="323">
        <v>10</v>
      </c>
      <c r="S121" s="580">
        <f t="shared" si="27"/>
        <v>10</v>
      </c>
      <c r="T121" s="434">
        <v>10</v>
      </c>
      <c r="U121" s="434"/>
      <c r="V121" s="434"/>
      <c r="W121" s="434"/>
      <c r="X121" s="439">
        <f t="shared" ref="X121:X148" si="31">IF((S121=0),0,((T121+U121)/S121*100%))</f>
        <v>1</v>
      </c>
      <c r="Y121" s="410"/>
      <c r="Z121" s="528">
        <f t="shared" si="29"/>
        <v>10</v>
      </c>
      <c r="AA121" s="434">
        <v>10</v>
      </c>
      <c r="AB121" s="434"/>
      <c r="AC121" s="434"/>
      <c r="AD121" s="434"/>
      <c r="AE121" s="435">
        <f t="shared" si="30"/>
        <v>1</v>
      </c>
      <c r="AF121" s="322"/>
      <c r="AG121" s="530">
        <f>VLOOKUP(A121,'Feature Summary'!$A$7:$U$3900,21,FALSE)</f>
        <v>0</v>
      </c>
      <c r="AH121" s="563"/>
      <c r="AI121" s="567" t="s">
        <v>46</v>
      </c>
      <c r="AJ121" s="558" t="s">
        <v>929</v>
      </c>
      <c r="AK121" s="558" t="s">
        <v>37</v>
      </c>
      <c r="AL121" s="558">
        <v>40</v>
      </c>
      <c r="AM121" s="558"/>
      <c r="AN121" s="558">
        <v>120</v>
      </c>
      <c r="AO121" s="558"/>
      <c r="AP121" s="566"/>
    </row>
    <row r="122" spans="1:42" ht="153" customHeight="1">
      <c r="A122" s="321" t="s">
        <v>941</v>
      </c>
      <c r="B122" s="322" t="s">
        <v>942</v>
      </c>
      <c r="C122" s="322" t="s">
        <v>723</v>
      </c>
      <c r="D122" s="323" t="s">
        <v>924</v>
      </c>
      <c r="E122" s="322" t="s">
        <v>925</v>
      </c>
      <c r="F122" s="411" t="s">
        <v>926</v>
      </c>
      <c r="G122" s="241" t="str">
        <f>VLOOKUP(A122,'Feature Summary'!$A$7:$C$4049,3,FALSE)</f>
        <v>P1</v>
      </c>
      <c r="H122" s="508" t="s">
        <v>939</v>
      </c>
      <c r="I122" s="322" t="s">
        <v>46</v>
      </c>
      <c r="J122" s="507" t="s">
        <v>943</v>
      </c>
      <c r="K122" s="323">
        <v>1</v>
      </c>
      <c r="L122" s="507">
        <v>10</v>
      </c>
      <c r="M122" s="387" t="s">
        <v>323</v>
      </c>
      <c r="N122" s="420">
        <v>1</v>
      </c>
      <c r="O122" s="421">
        <v>10</v>
      </c>
      <c r="P122" s="422">
        <f t="shared" ref="P122:P123" si="32">IF((O122=0),0,(O122/L122))</f>
        <v>1</v>
      </c>
      <c r="Q122" s="409" t="s">
        <v>48</v>
      </c>
      <c r="R122" s="323">
        <v>10</v>
      </c>
      <c r="S122" s="580">
        <f t="shared" si="27"/>
        <v>10</v>
      </c>
      <c r="T122" s="434">
        <v>10</v>
      </c>
      <c r="U122" s="434"/>
      <c r="V122" s="434"/>
      <c r="W122" s="434"/>
      <c r="X122" s="439">
        <f t="shared" si="31"/>
        <v>1</v>
      </c>
      <c r="Y122" s="410"/>
      <c r="Z122" s="528">
        <f t="shared" si="29"/>
        <v>10</v>
      </c>
      <c r="AA122" s="434">
        <v>10</v>
      </c>
      <c r="AB122" s="434"/>
      <c r="AC122" s="434"/>
      <c r="AD122" s="434"/>
      <c r="AE122" s="435">
        <f t="shared" ref="AE122:AE123" si="33">IF((Z122=0),0,((AA122+AB122)/Z122*100%))</f>
        <v>1</v>
      </c>
      <c r="AF122" s="322"/>
      <c r="AG122" s="530">
        <f>VLOOKUP(A122,'Feature Summary'!$A$7:$U$3900,21,FALSE)</f>
        <v>0</v>
      </c>
      <c r="AH122" s="563"/>
      <c r="AI122" s="567" t="s">
        <v>46</v>
      </c>
      <c r="AJ122" s="558" t="s">
        <v>929</v>
      </c>
      <c r="AK122" s="558" t="s">
        <v>37</v>
      </c>
      <c r="AL122" s="558">
        <v>40</v>
      </c>
      <c r="AM122" s="558"/>
      <c r="AN122" s="558">
        <v>120</v>
      </c>
      <c r="AO122" s="558"/>
      <c r="AP122" s="566"/>
    </row>
    <row r="123" spans="1:42" ht="130.5">
      <c r="A123" s="321" t="s">
        <v>944</v>
      </c>
      <c r="B123" s="322" t="s">
        <v>945</v>
      </c>
      <c r="C123" s="322" t="s">
        <v>723</v>
      </c>
      <c r="D123" s="323" t="s">
        <v>924</v>
      </c>
      <c r="E123" s="322" t="s">
        <v>925</v>
      </c>
      <c r="F123" s="411" t="s">
        <v>926</v>
      </c>
      <c r="G123" s="241" t="str">
        <f>VLOOKUP(A123,'Feature Summary'!$A$7:$C$4049,3,FALSE)</f>
        <v>P1</v>
      </c>
      <c r="H123" s="508" t="s">
        <v>946</v>
      </c>
      <c r="I123" s="322" t="s">
        <v>46</v>
      </c>
      <c r="J123" s="507" t="s">
        <v>947</v>
      </c>
      <c r="K123" s="323">
        <v>1</v>
      </c>
      <c r="L123" s="507">
        <v>10</v>
      </c>
      <c r="M123" s="387" t="s">
        <v>323</v>
      </c>
      <c r="N123" s="420">
        <v>1</v>
      </c>
      <c r="O123" s="421">
        <v>10</v>
      </c>
      <c r="P123" s="422">
        <f t="shared" si="32"/>
        <v>1</v>
      </c>
      <c r="Q123" s="409" t="s">
        <v>48</v>
      </c>
      <c r="R123" s="323">
        <v>10</v>
      </c>
      <c r="S123" s="580">
        <f t="shared" si="27"/>
        <v>10</v>
      </c>
      <c r="T123" s="434">
        <v>10</v>
      </c>
      <c r="U123" s="434"/>
      <c r="V123" s="434"/>
      <c r="W123" s="434"/>
      <c r="X123" s="439">
        <f t="shared" si="31"/>
        <v>1</v>
      </c>
      <c r="Y123" s="410"/>
      <c r="Z123" s="528">
        <f t="shared" si="29"/>
        <v>10</v>
      </c>
      <c r="AA123" s="434">
        <v>10</v>
      </c>
      <c r="AB123" s="434"/>
      <c r="AC123" s="434"/>
      <c r="AD123" s="434"/>
      <c r="AE123" s="435">
        <f t="shared" si="33"/>
        <v>1</v>
      </c>
      <c r="AF123" s="322"/>
      <c r="AG123" s="530">
        <f>VLOOKUP(A123,'Feature Summary'!$A$7:$U$3900,21,FALSE)</f>
        <v>0</v>
      </c>
      <c r="AH123" s="563"/>
      <c r="AI123" s="567" t="s">
        <v>46</v>
      </c>
      <c r="AJ123" s="558" t="s">
        <v>929</v>
      </c>
      <c r="AK123" s="558" t="s">
        <v>37</v>
      </c>
      <c r="AL123" s="558">
        <v>40</v>
      </c>
      <c r="AM123" s="558"/>
      <c r="AN123" s="558">
        <v>120</v>
      </c>
      <c r="AO123" s="558"/>
      <c r="AP123" s="566"/>
    </row>
    <row r="124" spans="1:42" ht="275.45">
      <c r="A124" s="321" t="s">
        <v>948</v>
      </c>
      <c r="B124" s="322" t="s">
        <v>949</v>
      </c>
      <c r="C124" s="322" t="s">
        <v>723</v>
      </c>
      <c r="D124" s="323" t="s">
        <v>950</v>
      </c>
      <c r="E124" s="322" t="s">
        <v>951</v>
      </c>
      <c r="F124" s="411" t="s">
        <v>926</v>
      </c>
      <c r="G124" s="241" t="str">
        <f>VLOOKUP(A124,'Feature Summary'!$A$7:$C$4049,3,FALSE)</f>
        <v>P2</v>
      </c>
      <c r="H124" s="508" t="s">
        <v>952</v>
      </c>
      <c r="I124" s="322" t="s">
        <v>46</v>
      </c>
      <c r="J124" s="507" t="s">
        <v>953</v>
      </c>
      <c r="K124" s="323">
        <v>1</v>
      </c>
      <c r="L124" s="507">
        <v>1</v>
      </c>
      <c r="M124" s="387" t="s">
        <v>323</v>
      </c>
      <c r="N124" s="420">
        <v>1</v>
      </c>
      <c r="O124" s="421">
        <v>1</v>
      </c>
      <c r="P124" s="422">
        <f t="shared" si="26"/>
        <v>1</v>
      </c>
      <c r="Q124" s="409" t="s">
        <v>48</v>
      </c>
      <c r="R124" s="323">
        <v>10</v>
      </c>
      <c r="S124" s="580">
        <f t="shared" si="27"/>
        <v>10</v>
      </c>
      <c r="T124" s="434">
        <v>10</v>
      </c>
      <c r="U124" s="434"/>
      <c r="V124" s="434"/>
      <c r="W124" s="434"/>
      <c r="X124" s="439">
        <f t="shared" si="31"/>
        <v>1</v>
      </c>
      <c r="Y124" s="410"/>
      <c r="Z124" s="528">
        <f t="shared" si="29"/>
        <v>1</v>
      </c>
      <c r="AA124" s="434">
        <v>1</v>
      </c>
      <c r="AB124" s="434"/>
      <c r="AC124" s="434"/>
      <c r="AD124" s="434"/>
      <c r="AE124" s="435">
        <f t="shared" si="30"/>
        <v>1</v>
      </c>
      <c r="AF124" s="322"/>
      <c r="AG124" s="530"/>
      <c r="AH124" s="563"/>
      <c r="AI124" s="567" t="s">
        <v>46</v>
      </c>
      <c r="AJ124" s="558" t="s">
        <v>954</v>
      </c>
      <c r="AK124" s="558" t="s">
        <v>37</v>
      </c>
      <c r="AL124" s="558">
        <v>120</v>
      </c>
      <c r="AM124" s="558"/>
      <c r="AN124" s="558">
        <v>100</v>
      </c>
      <c r="AO124" s="558"/>
      <c r="AP124" s="566"/>
    </row>
    <row r="125" spans="1:42" ht="290.10000000000002">
      <c r="A125" s="321" t="s">
        <v>955</v>
      </c>
      <c r="B125" s="322" t="s">
        <v>949</v>
      </c>
      <c r="C125" s="322" t="s">
        <v>723</v>
      </c>
      <c r="D125" s="323" t="s">
        <v>950</v>
      </c>
      <c r="E125" s="322" t="s">
        <v>956</v>
      </c>
      <c r="F125" s="411" t="s">
        <v>926</v>
      </c>
      <c r="G125" s="241" t="str">
        <f>VLOOKUP(A125,'Feature Summary'!$A$7:$C$4049,3,FALSE)</f>
        <v>P2</v>
      </c>
      <c r="H125" s="508" t="s">
        <v>932</v>
      </c>
      <c r="I125" s="322" t="s">
        <v>46</v>
      </c>
      <c r="J125" s="507" t="s">
        <v>957</v>
      </c>
      <c r="K125" s="323">
        <v>1</v>
      </c>
      <c r="L125" s="507">
        <v>1</v>
      </c>
      <c r="M125" s="387" t="s">
        <v>323</v>
      </c>
      <c r="N125" s="420">
        <v>1</v>
      </c>
      <c r="O125" s="421">
        <v>1</v>
      </c>
      <c r="P125" s="422">
        <f t="shared" si="26"/>
        <v>1</v>
      </c>
      <c r="Q125" s="409" t="s">
        <v>48</v>
      </c>
      <c r="R125" s="323">
        <v>10</v>
      </c>
      <c r="S125" s="580">
        <f t="shared" si="27"/>
        <v>10</v>
      </c>
      <c r="T125" s="434">
        <v>10</v>
      </c>
      <c r="U125" s="434"/>
      <c r="V125" s="434"/>
      <c r="W125" s="434"/>
      <c r="X125" s="439">
        <f t="shared" si="31"/>
        <v>1</v>
      </c>
      <c r="Y125" s="410"/>
      <c r="Z125" s="528">
        <f t="shared" si="29"/>
        <v>1</v>
      </c>
      <c r="AA125" s="434">
        <v>1</v>
      </c>
      <c r="AB125" s="434"/>
      <c r="AC125" s="434"/>
      <c r="AD125" s="434"/>
      <c r="AE125" s="435">
        <f t="shared" si="30"/>
        <v>1</v>
      </c>
      <c r="AF125" s="322"/>
      <c r="AG125" s="530"/>
      <c r="AH125" s="563"/>
      <c r="AI125" s="567" t="s">
        <v>46</v>
      </c>
      <c r="AJ125" s="558" t="s">
        <v>954</v>
      </c>
      <c r="AK125" s="558" t="s">
        <v>37</v>
      </c>
      <c r="AL125" s="558">
        <v>120</v>
      </c>
      <c r="AM125" s="558"/>
      <c r="AN125" s="558">
        <v>100</v>
      </c>
      <c r="AO125" s="558"/>
      <c r="AP125" s="566"/>
    </row>
    <row r="126" spans="1:42" ht="246.6">
      <c r="A126" s="321" t="s">
        <v>958</v>
      </c>
      <c r="B126" s="322" t="s">
        <v>949</v>
      </c>
      <c r="C126" s="322" t="s">
        <v>723</v>
      </c>
      <c r="D126" s="323" t="s">
        <v>950</v>
      </c>
      <c r="E126" s="322" t="s">
        <v>959</v>
      </c>
      <c r="F126" s="411" t="s">
        <v>926</v>
      </c>
      <c r="G126" s="241" t="str">
        <f>VLOOKUP(A126,'Feature Summary'!$A$7:$C$4049,3,FALSE)</f>
        <v>P2</v>
      </c>
      <c r="H126" s="508" t="s">
        <v>960</v>
      </c>
      <c r="I126" s="322" t="s">
        <v>46</v>
      </c>
      <c r="J126" s="507" t="s">
        <v>961</v>
      </c>
      <c r="K126" s="323">
        <v>1</v>
      </c>
      <c r="L126" s="507">
        <v>1</v>
      </c>
      <c r="M126" s="387" t="s">
        <v>323</v>
      </c>
      <c r="N126" s="420">
        <v>1</v>
      </c>
      <c r="O126" s="421">
        <v>1</v>
      </c>
      <c r="P126" s="422">
        <f t="shared" si="26"/>
        <v>1</v>
      </c>
      <c r="Q126" s="409" t="s">
        <v>48</v>
      </c>
      <c r="R126" s="323">
        <v>10</v>
      </c>
      <c r="S126" s="580">
        <f t="shared" si="27"/>
        <v>10</v>
      </c>
      <c r="T126" s="434">
        <v>10</v>
      </c>
      <c r="U126" s="434"/>
      <c r="V126" s="434"/>
      <c r="W126" s="434"/>
      <c r="X126" s="439">
        <f t="shared" si="31"/>
        <v>1</v>
      </c>
      <c r="Y126" s="410"/>
      <c r="Z126" s="528">
        <f t="shared" si="29"/>
        <v>1</v>
      </c>
      <c r="AA126" s="434">
        <v>1</v>
      </c>
      <c r="AB126" s="434"/>
      <c r="AC126" s="434"/>
      <c r="AD126" s="434"/>
      <c r="AE126" s="435">
        <f t="shared" si="30"/>
        <v>1</v>
      </c>
      <c r="AF126" s="322"/>
      <c r="AG126" s="530"/>
      <c r="AH126" s="563"/>
      <c r="AI126" s="567" t="s">
        <v>46</v>
      </c>
      <c r="AJ126" s="558" t="s">
        <v>954</v>
      </c>
      <c r="AK126" s="558" t="s">
        <v>37</v>
      </c>
      <c r="AL126" s="558">
        <v>120</v>
      </c>
      <c r="AM126" s="558"/>
      <c r="AN126" s="558">
        <v>100</v>
      </c>
      <c r="AO126" s="558"/>
      <c r="AP126" s="566"/>
    </row>
    <row r="127" spans="1:42" ht="261">
      <c r="A127" s="321" t="s">
        <v>962</v>
      </c>
      <c r="B127" s="322" t="s">
        <v>949</v>
      </c>
      <c r="C127" s="322" t="s">
        <v>723</v>
      </c>
      <c r="D127" s="323" t="s">
        <v>950</v>
      </c>
      <c r="E127" s="322" t="s">
        <v>963</v>
      </c>
      <c r="F127" s="411" t="s">
        <v>926</v>
      </c>
      <c r="G127" s="241" t="str">
        <f>VLOOKUP(A127,'Feature Summary'!$A$7:$C$4049,3,FALSE)</f>
        <v>P2</v>
      </c>
      <c r="H127" s="508" t="s">
        <v>939</v>
      </c>
      <c r="I127" s="322" t="s">
        <v>46</v>
      </c>
      <c r="J127" s="507" t="s">
        <v>964</v>
      </c>
      <c r="K127" s="323">
        <v>1</v>
      </c>
      <c r="L127" s="507">
        <v>1</v>
      </c>
      <c r="M127" s="387" t="s">
        <v>323</v>
      </c>
      <c r="N127" s="420">
        <v>1</v>
      </c>
      <c r="O127" s="421">
        <v>1</v>
      </c>
      <c r="P127" s="422">
        <f t="shared" si="26"/>
        <v>1</v>
      </c>
      <c r="Q127" s="409" t="s">
        <v>48</v>
      </c>
      <c r="R127" s="323">
        <v>10</v>
      </c>
      <c r="S127" s="580">
        <f t="shared" si="27"/>
        <v>10</v>
      </c>
      <c r="T127" s="434">
        <v>10</v>
      </c>
      <c r="U127" s="434"/>
      <c r="V127" s="434"/>
      <c r="W127" s="434"/>
      <c r="X127" s="439">
        <f t="shared" si="31"/>
        <v>1</v>
      </c>
      <c r="Y127" s="410"/>
      <c r="Z127" s="528">
        <f t="shared" si="29"/>
        <v>1</v>
      </c>
      <c r="AA127" s="434">
        <v>1</v>
      </c>
      <c r="AB127" s="434"/>
      <c r="AC127" s="434"/>
      <c r="AD127" s="434"/>
      <c r="AE127" s="435">
        <f t="shared" si="30"/>
        <v>1</v>
      </c>
      <c r="AF127" s="322"/>
      <c r="AG127" s="530"/>
      <c r="AH127" s="563"/>
      <c r="AI127" s="567" t="s">
        <v>46</v>
      </c>
      <c r="AJ127" s="558" t="s">
        <v>954</v>
      </c>
      <c r="AK127" s="558" t="s">
        <v>37</v>
      </c>
      <c r="AL127" s="558">
        <v>120</v>
      </c>
      <c r="AM127" s="558"/>
      <c r="AN127" s="558">
        <v>100</v>
      </c>
      <c r="AO127" s="558"/>
      <c r="AP127" s="566"/>
    </row>
    <row r="128" spans="1:42" ht="144.94999999999999">
      <c r="A128" s="321" t="s">
        <v>965</v>
      </c>
      <c r="B128" s="322" t="s">
        <v>949</v>
      </c>
      <c r="C128" s="322" t="s">
        <v>723</v>
      </c>
      <c r="D128" s="323" t="s">
        <v>950</v>
      </c>
      <c r="E128" s="322" t="s">
        <v>963</v>
      </c>
      <c r="F128" s="411" t="s">
        <v>926</v>
      </c>
      <c r="G128" s="241" t="str">
        <f>VLOOKUP(A128,'Feature Summary'!$A$7:$C$4049,3,FALSE)</f>
        <v>P2</v>
      </c>
      <c r="H128" s="508" t="s">
        <v>960</v>
      </c>
      <c r="I128" s="322" t="s">
        <v>46</v>
      </c>
      <c r="J128" s="507" t="s">
        <v>966</v>
      </c>
      <c r="K128" s="323">
        <v>1</v>
      </c>
      <c r="L128" s="507">
        <v>1</v>
      </c>
      <c r="M128" s="387" t="s">
        <v>323</v>
      </c>
      <c r="N128" s="420">
        <v>1</v>
      </c>
      <c r="O128" s="421">
        <v>1</v>
      </c>
      <c r="P128" s="422">
        <f t="shared" si="26"/>
        <v>1</v>
      </c>
      <c r="Q128" s="409" t="s">
        <v>48</v>
      </c>
      <c r="R128" s="323">
        <v>10</v>
      </c>
      <c r="S128" s="580">
        <f t="shared" si="27"/>
        <v>10</v>
      </c>
      <c r="T128" s="434">
        <v>10</v>
      </c>
      <c r="U128" s="434"/>
      <c r="V128" s="434"/>
      <c r="W128" s="434"/>
      <c r="X128" s="439">
        <f t="shared" si="31"/>
        <v>1</v>
      </c>
      <c r="Y128" s="410"/>
      <c r="Z128" s="528">
        <f t="shared" si="29"/>
        <v>1</v>
      </c>
      <c r="AA128" s="434">
        <v>1</v>
      </c>
      <c r="AB128" s="434"/>
      <c r="AC128" s="434"/>
      <c r="AD128" s="434"/>
      <c r="AE128" s="435">
        <f t="shared" si="30"/>
        <v>1</v>
      </c>
      <c r="AF128" s="322"/>
      <c r="AG128" s="530"/>
      <c r="AH128" s="563"/>
      <c r="AI128" s="567" t="s">
        <v>46</v>
      </c>
      <c r="AJ128" s="558" t="s">
        <v>954</v>
      </c>
      <c r="AK128" s="558" t="s">
        <v>37</v>
      </c>
      <c r="AL128" s="558">
        <v>120</v>
      </c>
      <c r="AM128" s="558"/>
      <c r="AN128" s="558">
        <v>100</v>
      </c>
      <c r="AO128" s="558"/>
      <c r="AP128" s="566"/>
    </row>
    <row r="129" spans="1:42" ht="144.94999999999999">
      <c r="A129" s="321" t="s">
        <v>967</v>
      </c>
      <c r="B129" s="322" t="s">
        <v>949</v>
      </c>
      <c r="C129" s="322" t="s">
        <v>723</v>
      </c>
      <c r="D129" s="323" t="s">
        <v>950</v>
      </c>
      <c r="E129" s="322" t="s">
        <v>963</v>
      </c>
      <c r="F129" s="411" t="s">
        <v>926</v>
      </c>
      <c r="G129" s="241" t="str">
        <f>VLOOKUP(A129,'Feature Summary'!$A$7:$C$4049,3,FALSE)</f>
        <v>P2</v>
      </c>
      <c r="H129" s="508" t="s">
        <v>960</v>
      </c>
      <c r="I129" s="322" t="s">
        <v>46</v>
      </c>
      <c r="J129" s="507" t="s">
        <v>968</v>
      </c>
      <c r="K129" s="323">
        <v>1</v>
      </c>
      <c r="L129" s="507">
        <v>1</v>
      </c>
      <c r="M129" s="387" t="s">
        <v>323</v>
      </c>
      <c r="N129" s="420">
        <v>1</v>
      </c>
      <c r="O129" s="421">
        <v>1</v>
      </c>
      <c r="P129" s="422">
        <f t="shared" si="26"/>
        <v>1</v>
      </c>
      <c r="Q129" s="409" t="s">
        <v>48</v>
      </c>
      <c r="R129" s="323">
        <v>10</v>
      </c>
      <c r="S129" s="580">
        <f t="shared" si="27"/>
        <v>10</v>
      </c>
      <c r="T129" s="434">
        <v>10</v>
      </c>
      <c r="U129" s="434"/>
      <c r="V129" s="434"/>
      <c r="W129" s="434"/>
      <c r="X129" s="439">
        <f t="shared" si="31"/>
        <v>1</v>
      </c>
      <c r="Y129" s="410"/>
      <c r="Z129" s="528">
        <f t="shared" si="29"/>
        <v>1</v>
      </c>
      <c r="AA129" s="434">
        <v>1</v>
      </c>
      <c r="AB129" s="434"/>
      <c r="AC129" s="434"/>
      <c r="AD129" s="434"/>
      <c r="AE129" s="435">
        <f t="shared" si="30"/>
        <v>1</v>
      </c>
      <c r="AF129" s="322"/>
      <c r="AG129" s="530"/>
      <c r="AH129" s="563"/>
      <c r="AI129" s="567" t="s">
        <v>46</v>
      </c>
      <c r="AJ129" s="558" t="s">
        <v>954</v>
      </c>
      <c r="AK129" s="558" t="s">
        <v>37</v>
      </c>
      <c r="AL129" s="558">
        <v>120</v>
      </c>
      <c r="AM129" s="558"/>
      <c r="AN129" s="558">
        <v>100</v>
      </c>
      <c r="AO129" s="558"/>
      <c r="AP129" s="566"/>
    </row>
    <row r="130" spans="1:42" ht="144.94999999999999">
      <c r="A130" s="321" t="s">
        <v>969</v>
      </c>
      <c r="B130" s="322" t="s">
        <v>949</v>
      </c>
      <c r="C130" s="322" t="s">
        <v>723</v>
      </c>
      <c r="D130" s="323" t="s">
        <v>950</v>
      </c>
      <c r="E130" s="322" t="s">
        <v>963</v>
      </c>
      <c r="F130" s="411" t="s">
        <v>926</v>
      </c>
      <c r="G130" s="241" t="str">
        <f>VLOOKUP(A130,'Feature Summary'!$A$7:$C$4049,3,FALSE)</f>
        <v>P2</v>
      </c>
      <c r="H130" s="508" t="s">
        <v>960</v>
      </c>
      <c r="I130" s="322" t="s">
        <v>46</v>
      </c>
      <c r="J130" s="507" t="s">
        <v>970</v>
      </c>
      <c r="K130" s="323">
        <v>1</v>
      </c>
      <c r="L130" s="507">
        <v>1</v>
      </c>
      <c r="M130" s="387" t="s">
        <v>323</v>
      </c>
      <c r="N130" s="420">
        <v>1</v>
      </c>
      <c r="O130" s="421">
        <v>1</v>
      </c>
      <c r="P130" s="422">
        <f t="shared" si="26"/>
        <v>1</v>
      </c>
      <c r="Q130" s="409" t="s">
        <v>48</v>
      </c>
      <c r="R130" s="323">
        <v>10</v>
      </c>
      <c r="S130" s="580">
        <f t="shared" si="27"/>
        <v>10</v>
      </c>
      <c r="T130" s="434">
        <v>10</v>
      </c>
      <c r="U130" s="434"/>
      <c r="V130" s="434"/>
      <c r="W130" s="434"/>
      <c r="X130" s="439">
        <f t="shared" si="31"/>
        <v>1</v>
      </c>
      <c r="Y130" s="410"/>
      <c r="Z130" s="528">
        <f t="shared" si="29"/>
        <v>1</v>
      </c>
      <c r="AA130" s="434">
        <v>1</v>
      </c>
      <c r="AB130" s="434"/>
      <c r="AC130" s="434"/>
      <c r="AD130" s="434"/>
      <c r="AE130" s="435">
        <f t="shared" si="30"/>
        <v>1</v>
      </c>
      <c r="AF130" s="322"/>
      <c r="AG130" s="530"/>
      <c r="AH130" s="563"/>
      <c r="AI130" s="567" t="s">
        <v>46</v>
      </c>
      <c r="AJ130" s="558" t="s">
        <v>954</v>
      </c>
      <c r="AK130" s="558" t="s">
        <v>37</v>
      </c>
      <c r="AL130" s="558">
        <v>120</v>
      </c>
      <c r="AM130" s="558"/>
      <c r="AN130" s="558">
        <v>100</v>
      </c>
      <c r="AO130" s="558"/>
      <c r="AP130" s="566"/>
    </row>
    <row r="131" spans="1:42" ht="144.94999999999999">
      <c r="A131" s="321" t="s">
        <v>971</v>
      </c>
      <c r="B131" s="322" t="s">
        <v>949</v>
      </c>
      <c r="C131" s="322" t="s">
        <v>723</v>
      </c>
      <c r="D131" s="323" t="s">
        <v>950</v>
      </c>
      <c r="E131" s="322" t="s">
        <v>963</v>
      </c>
      <c r="F131" s="411" t="s">
        <v>926</v>
      </c>
      <c r="G131" s="241" t="str">
        <f>VLOOKUP(A131,'Feature Summary'!$A$7:$C$4049,3,FALSE)</f>
        <v>P2</v>
      </c>
      <c r="H131" s="508" t="s">
        <v>932</v>
      </c>
      <c r="I131" s="322" t="s">
        <v>46</v>
      </c>
      <c r="J131" s="507" t="s">
        <v>972</v>
      </c>
      <c r="K131" s="323">
        <v>1</v>
      </c>
      <c r="L131" s="507">
        <v>1</v>
      </c>
      <c r="M131" s="387" t="s">
        <v>323</v>
      </c>
      <c r="N131" s="420">
        <v>1</v>
      </c>
      <c r="O131" s="421">
        <v>1</v>
      </c>
      <c r="P131" s="422">
        <f t="shared" si="26"/>
        <v>1</v>
      </c>
      <c r="Q131" s="409" t="s">
        <v>48</v>
      </c>
      <c r="R131" s="323">
        <v>10</v>
      </c>
      <c r="S131" s="580">
        <f t="shared" si="27"/>
        <v>10</v>
      </c>
      <c r="T131" s="434">
        <v>10</v>
      </c>
      <c r="U131" s="434"/>
      <c r="V131" s="434"/>
      <c r="W131" s="434"/>
      <c r="X131" s="439">
        <f t="shared" si="31"/>
        <v>1</v>
      </c>
      <c r="Y131" s="410"/>
      <c r="Z131" s="528">
        <f t="shared" si="29"/>
        <v>1</v>
      </c>
      <c r="AA131" s="434">
        <v>1</v>
      </c>
      <c r="AB131" s="434"/>
      <c r="AC131" s="434"/>
      <c r="AD131" s="434"/>
      <c r="AE131" s="435">
        <f t="shared" si="30"/>
        <v>1</v>
      </c>
      <c r="AF131" s="322"/>
      <c r="AG131" s="530"/>
      <c r="AH131" s="563"/>
      <c r="AI131" s="567" t="s">
        <v>46</v>
      </c>
      <c r="AJ131" s="558" t="s">
        <v>954</v>
      </c>
      <c r="AK131" s="558" t="s">
        <v>37</v>
      </c>
      <c r="AL131" s="558">
        <v>120</v>
      </c>
      <c r="AM131" s="558"/>
      <c r="AN131" s="558">
        <v>100</v>
      </c>
      <c r="AO131" s="558"/>
      <c r="AP131" s="566"/>
    </row>
    <row r="132" spans="1:42" ht="144.94999999999999">
      <c r="A132" s="321" t="s">
        <v>973</v>
      </c>
      <c r="B132" s="322" t="s">
        <v>949</v>
      </c>
      <c r="C132" s="322" t="s">
        <v>723</v>
      </c>
      <c r="D132" s="323" t="s">
        <v>950</v>
      </c>
      <c r="E132" s="322" t="s">
        <v>963</v>
      </c>
      <c r="F132" s="411" t="s">
        <v>926</v>
      </c>
      <c r="G132" s="241" t="str">
        <f>VLOOKUP(A132,'Feature Summary'!$A$7:$C$4049,3,FALSE)</f>
        <v>P2</v>
      </c>
      <c r="H132" s="508" t="s">
        <v>960</v>
      </c>
      <c r="I132" s="322" t="s">
        <v>46</v>
      </c>
      <c r="J132" s="507" t="s">
        <v>974</v>
      </c>
      <c r="K132" s="323">
        <v>1</v>
      </c>
      <c r="L132" s="507">
        <v>1</v>
      </c>
      <c r="M132" s="387" t="s">
        <v>323</v>
      </c>
      <c r="N132" s="420">
        <v>1</v>
      </c>
      <c r="O132" s="421">
        <v>1</v>
      </c>
      <c r="P132" s="422">
        <f t="shared" si="26"/>
        <v>1</v>
      </c>
      <c r="Q132" s="409" t="s">
        <v>48</v>
      </c>
      <c r="R132" s="323">
        <v>10</v>
      </c>
      <c r="S132" s="580">
        <f t="shared" si="27"/>
        <v>10</v>
      </c>
      <c r="T132" s="434">
        <v>10</v>
      </c>
      <c r="U132" s="434"/>
      <c r="V132" s="434"/>
      <c r="W132" s="434"/>
      <c r="X132" s="439">
        <f t="shared" si="31"/>
        <v>1</v>
      </c>
      <c r="Y132" s="410"/>
      <c r="Z132" s="528">
        <f t="shared" si="29"/>
        <v>1</v>
      </c>
      <c r="AA132" s="434">
        <v>1</v>
      </c>
      <c r="AB132" s="434"/>
      <c r="AC132" s="434"/>
      <c r="AD132" s="434"/>
      <c r="AE132" s="435">
        <f t="shared" si="30"/>
        <v>1</v>
      </c>
      <c r="AF132" s="322"/>
      <c r="AG132" s="530"/>
      <c r="AH132" s="563"/>
      <c r="AI132" s="567" t="s">
        <v>46</v>
      </c>
      <c r="AJ132" s="558" t="s">
        <v>954</v>
      </c>
      <c r="AK132" s="558" t="s">
        <v>37</v>
      </c>
      <c r="AL132" s="558">
        <v>120</v>
      </c>
      <c r="AM132" s="558"/>
      <c r="AN132" s="558">
        <v>100</v>
      </c>
      <c r="AO132" s="558"/>
      <c r="AP132" s="566"/>
    </row>
    <row r="133" spans="1:42" ht="261">
      <c r="A133" s="321" t="s">
        <v>975</v>
      </c>
      <c r="B133" s="322" t="s">
        <v>976</v>
      </c>
      <c r="C133" s="322" t="s">
        <v>723</v>
      </c>
      <c r="D133" s="323" t="s">
        <v>950</v>
      </c>
      <c r="E133" s="322" t="s">
        <v>977</v>
      </c>
      <c r="F133" s="411" t="s">
        <v>926</v>
      </c>
      <c r="G133" s="241" t="str">
        <f>VLOOKUP(A133,'Feature Summary'!$A$7:$C$4049,3,FALSE)</f>
        <v>P2</v>
      </c>
      <c r="H133" s="508" t="s">
        <v>978</v>
      </c>
      <c r="I133" s="322" t="s">
        <v>46</v>
      </c>
      <c r="J133" s="507" t="s">
        <v>979</v>
      </c>
      <c r="K133" s="323">
        <v>1</v>
      </c>
      <c r="L133" s="507">
        <v>1</v>
      </c>
      <c r="M133" s="387" t="s">
        <v>323</v>
      </c>
      <c r="N133" s="420">
        <v>1</v>
      </c>
      <c r="O133" s="421">
        <v>1</v>
      </c>
      <c r="P133" s="422">
        <f t="shared" si="26"/>
        <v>1</v>
      </c>
      <c r="Q133" s="409" t="s">
        <v>48</v>
      </c>
      <c r="R133" s="323">
        <v>10</v>
      </c>
      <c r="S133" s="580">
        <f t="shared" si="27"/>
        <v>10</v>
      </c>
      <c r="T133" s="434">
        <v>10</v>
      </c>
      <c r="U133" s="434"/>
      <c r="V133" s="434"/>
      <c r="W133" s="434"/>
      <c r="X133" s="439">
        <f t="shared" si="31"/>
        <v>1</v>
      </c>
      <c r="Y133" s="410"/>
      <c r="Z133" s="528">
        <f t="shared" si="29"/>
        <v>1</v>
      </c>
      <c r="AA133" s="434">
        <v>1</v>
      </c>
      <c r="AB133" s="434"/>
      <c r="AC133" s="434"/>
      <c r="AD133" s="434"/>
      <c r="AE133" s="435">
        <f t="shared" si="30"/>
        <v>1</v>
      </c>
      <c r="AF133" s="322"/>
      <c r="AG133" s="530"/>
      <c r="AH133" s="563"/>
      <c r="AI133" s="567" t="s">
        <v>46</v>
      </c>
      <c r="AJ133" s="558" t="s">
        <v>954</v>
      </c>
      <c r="AK133" s="558" t="s">
        <v>37</v>
      </c>
      <c r="AL133" s="558">
        <v>120</v>
      </c>
      <c r="AM133" s="558"/>
      <c r="AN133" s="558">
        <v>100</v>
      </c>
      <c r="AO133" s="558"/>
      <c r="AP133" s="566"/>
    </row>
    <row r="134" spans="1:42" ht="159.6">
      <c r="A134" s="321" t="s">
        <v>980</v>
      </c>
      <c r="B134" s="322" t="s">
        <v>976</v>
      </c>
      <c r="C134" s="322" t="s">
        <v>723</v>
      </c>
      <c r="D134" s="323" t="s">
        <v>950</v>
      </c>
      <c r="E134" s="322" t="s">
        <v>977</v>
      </c>
      <c r="F134" s="411" t="s">
        <v>926</v>
      </c>
      <c r="G134" s="241" t="str">
        <f>VLOOKUP(A134,'Feature Summary'!$A$7:$C$4049,3,FALSE)</f>
        <v>P2</v>
      </c>
      <c r="H134" s="508" t="s">
        <v>939</v>
      </c>
      <c r="I134" s="322" t="s">
        <v>46</v>
      </c>
      <c r="J134" s="507" t="s">
        <v>981</v>
      </c>
      <c r="K134" s="323">
        <v>1</v>
      </c>
      <c r="L134" s="507">
        <v>1</v>
      </c>
      <c r="M134" s="387" t="s">
        <v>323</v>
      </c>
      <c r="N134" s="420">
        <v>1</v>
      </c>
      <c r="O134" s="421">
        <v>1</v>
      </c>
      <c r="P134" s="422">
        <f t="shared" si="26"/>
        <v>1</v>
      </c>
      <c r="Q134" s="409" t="s">
        <v>48</v>
      </c>
      <c r="R134" s="323">
        <v>10</v>
      </c>
      <c r="S134" s="580">
        <f t="shared" si="27"/>
        <v>10</v>
      </c>
      <c r="T134" s="434">
        <v>10</v>
      </c>
      <c r="U134" s="434"/>
      <c r="V134" s="434"/>
      <c r="W134" s="434"/>
      <c r="X134" s="439">
        <f t="shared" si="31"/>
        <v>1</v>
      </c>
      <c r="Y134" s="410"/>
      <c r="Z134" s="528">
        <f t="shared" si="29"/>
        <v>1</v>
      </c>
      <c r="AA134" s="434">
        <v>1</v>
      </c>
      <c r="AB134" s="434"/>
      <c r="AC134" s="434"/>
      <c r="AD134" s="434"/>
      <c r="AE134" s="435">
        <f t="shared" si="30"/>
        <v>1</v>
      </c>
      <c r="AF134" s="322"/>
      <c r="AG134" s="530"/>
      <c r="AH134" s="563"/>
      <c r="AI134" s="567" t="s">
        <v>46</v>
      </c>
      <c r="AJ134" s="558" t="s">
        <v>954</v>
      </c>
      <c r="AK134" s="558" t="s">
        <v>37</v>
      </c>
      <c r="AL134" s="558">
        <v>120</v>
      </c>
      <c r="AM134" s="558"/>
      <c r="AN134" s="558">
        <v>100</v>
      </c>
      <c r="AO134" s="558"/>
      <c r="AP134" s="566"/>
    </row>
    <row r="135" spans="1:42" ht="159.6">
      <c r="A135" s="321" t="s">
        <v>982</v>
      </c>
      <c r="B135" s="322" t="s">
        <v>976</v>
      </c>
      <c r="C135" s="322" t="s">
        <v>723</v>
      </c>
      <c r="D135" s="323" t="s">
        <v>950</v>
      </c>
      <c r="E135" s="322" t="s">
        <v>977</v>
      </c>
      <c r="F135" s="411" t="s">
        <v>926</v>
      </c>
      <c r="G135" s="241" t="str">
        <f>VLOOKUP(A135,'Feature Summary'!$A$7:$C$4049,3,FALSE)</f>
        <v>P2</v>
      </c>
      <c r="H135" s="508" t="s">
        <v>983</v>
      </c>
      <c r="I135" s="322" t="s">
        <v>46</v>
      </c>
      <c r="J135" s="507" t="s">
        <v>984</v>
      </c>
      <c r="K135" s="323">
        <v>1</v>
      </c>
      <c r="L135" s="507">
        <v>1</v>
      </c>
      <c r="M135" s="387" t="s">
        <v>323</v>
      </c>
      <c r="N135" s="420">
        <v>1</v>
      </c>
      <c r="O135" s="421">
        <v>1</v>
      </c>
      <c r="P135" s="422">
        <f t="shared" si="26"/>
        <v>1</v>
      </c>
      <c r="Q135" s="409" t="s">
        <v>48</v>
      </c>
      <c r="R135" s="323">
        <v>10</v>
      </c>
      <c r="S135" s="580">
        <f t="shared" si="27"/>
        <v>10</v>
      </c>
      <c r="T135" s="434">
        <v>10</v>
      </c>
      <c r="U135" s="434"/>
      <c r="V135" s="434"/>
      <c r="W135" s="434"/>
      <c r="X135" s="439">
        <f t="shared" si="31"/>
        <v>1</v>
      </c>
      <c r="Y135" s="410"/>
      <c r="Z135" s="528">
        <f t="shared" si="29"/>
        <v>1</v>
      </c>
      <c r="AA135" s="434">
        <v>1</v>
      </c>
      <c r="AB135" s="434"/>
      <c r="AC135" s="434"/>
      <c r="AD135" s="434"/>
      <c r="AE135" s="435">
        <f t="shared" si="30"/>
        <v>1</v>
      </c>
      <c r="AF135" s="322"/>
      <c r="AG135" s="530"/>
      <c r="AH135" s="563"/>
      <c r="AI135" s="567" t="s">
        <v>46</v>
      </c>
      <c r="AJ135" s="558" t="s">
        <v>954</v>
      </c>
      <c r="AK135" s="558" t="s">
        <v>37</v>
      </c>
      <c r="AL135" s="558">
        <v>120</v>
      </c>
      <c r="AM135" s="558"/>
      <c r="AN135" s="558">
        <v>100</v>
      </c>
      <c r="AO135" s="558"/>
      <c r="AP135" s="566"/>
    </row>
    <row r="136" spans="1:42" ht="159.6">
      <c r="A136" s="321" t="s">
        <v>985</v>
      </c>
      <c r="B136" s="322" t="s">
        <v>976</v>
      </c>
      <c r="C136" s="322" t="s">
        <v>723</v>
      </c>
      <c r="D136" s="323" t="s">
        <v>950</v>
      </c>
      <c r="E136" s="322" t="s">
        <v>977</v>
      </c>
      <c r="F136" s="411" t="s">
        <v>926</v>
      </c>
      <c r="G136" s="241" t="str">
        <f>VLOOKUP(A136,'Feature Summary'!$A$7:$C$4049,3,FALSE)</f>
        <v>P2</v>
      </c>
      <c r="H136" s="508" t="s">
        <v>986</v>
      </c>
      <c r="I136" s="322" t="s">
        <v>46</v>
      </c>
      <c r="J136" s="507" t="s">
        <v>987</v>
      </c>
      <c r="K136" s="323">
        <v>1</v>
      </c>
      <c r="L136" s="507">
        <v>1</v>
      </c>
      <c r="M136" s="387" t="s">
        <v>323</v>
      </c>
      <c r="N136" s="420">
        <v>1</v>
      </c>
      <c r="O136" s="421">
        <v>1</v>
      </c>
      <c r="P136" s="422">
        <f t="shared" si="26"/>
        <v>1</v>
      </c>
      <c r="Q136" s="409" t="s">
        <v>48</v>
      </c>
      <c r="R136" s="323">
        <v>10</v>
      </c>
      <c r="S136" s="580">
        <f t="shared" si="27"/>
        <v>10</v>
      </c>
      <c r="T136" s="434">
        <v>10</v>
      </c>
      <c r="U136" s="434"/>
      <c r="V136" s="434"/>
      <c r="W136" s="434"/>
      <c r="X136" s="439">
        <f t="shared" si="31"/>
        <v>1</v>
      </c>
      <c r="Y136" s="410"/>
      <c r="Z136" s="528">
        <f t="shared" si="29"/>
        <v>1</v>
      </c>
      <c r="AA136" s="434">
        <v>1</v>
      </c>
      <c r="AB136" s="434"/>
      <c r="AC136" s="434"/>
      <c r="AD136" s="434"/>
      <c r="AE136" s="435">
        <f t="shared" si="30"/>
        <v>1</v>
      </c>
      <c r="AF136" s="322"/>
      <c r="AG136" s="530"/>
      <c r="AH136" s="563"/>
      <c r="AI136" s="567" t="s">
        <v>46</v>
      </c>
      <c r="AJ136" s="558" t="s">
        <v>954</v>
      </c>
      <c r="AK136" s="558" t="s">
        <v>37</v>
      </c>
      <c r="AL136" s="558">
        <v>120</v>
      </c>
      <c r="AM136" s="558"/>
      <c r="AN136" s="558">
        <v>100</v>
      </c>
      <c r="AO136" s="558"/>
      <c r="AP136" s="566"/>
    </row>
    <row r="137" spans="1:42" ht="159.6">
      <c r="A137" s="321" t="s">
        <v>988</v>
      </c>
      <c r="B137" s="322" t="s">
        <v>976</v>
      </c>
      <c r="C137" s="322" t="s">
        <v>723</v>
      </c>
      <c r="D137" s="323" t="s">
        <v>950</v>
      </c>
      <c r="E137" s="322" t="s">
        <v>977</v>
      </c>
      <c r="F137" s="411" t="s">
        <v>926</v>
      </c>
      <c r="G137" s="241" t="str">
        <f>VLOOKUP(A137,'Feature Summary'!$A$7:$C$4049,3,FALSE)</f>
        <v>P2</v>
      </c>
      <c r="H137" s="508" t="s">
        <v>986</v>
      </c>
      <c r="I137" s="322" t="s">
        <v>46</v>
      </c>
      <c r="J137" s="507" t="s">
        <v>989</v>
      </c>
      <c r="K137" s="323">
        <v>1</v>
      </c>
      <c r="L137" s="507">
        <v>1</v>
      </c>
      <c r="M137" s="387" t="s">
        <v>323</v>
      </c>
      <c r="N137" s="420">
        <v>1</v>
      </c>
      <c r="O137" s="421">
        <v>1</v>
      </c>
      <c r="P137" s="422">
        <f t="shared" si="26"/>
        <v>1</v>
      </c>
      <c r="Q137" s="409" t="s">
        <v>48</v>
      </c>
      <c r="R137" s="323">
        <v>10</v>
      </c>
      <c r="S137" s="580">
        <f t="shared" si="27"/>
        <v>10</v>
      </c>
      <c r="T137" s="434">
        <v>10</v>
      </c>
      <c r="U137" s="434"/>
      <c r="V137" s="434"/>
      <c r="W137" s="434"/>
      <c r="X137" s="439">
        <f t="shared" si="31"/>
        <v>1</v>
      </c>
      <c r="Y137" s="410"/>
      <c r="Z137" s="528">
        <f t="shared" si="29"/>
        <v>1</v>
      </c>
      <c r="AA137" s="434">
        <v>1</v>
      </c>
      <c r="AB137" s="434"/>
      <c r="AC137" s="434"/>
      <c r="AD137" s="434"/>
      <c r="AE137" s="435">
        <f t="shared" si="30"/>
        <v>1</v>
      </c>
      <c r="AF137" s="322"/>
      <c r="AG137" s="530"/>
      <c r="AH137" s="563"/>
      <c r="AI137" s="567" t="s">
        <v>46</v>
      </c>
      <c r="AJ137" s="558" t="s">
        <v>954</v>
      </c>
      <c r="AK137" s="558" t="s">
        <v>37</v>
      </c>
      <c r="AL137" s="558">
        <v>120</v>
      </c>
      <c r="AM137" s="558"/>
      <c r="AN137" s="558">
        <v>100</v>
      </c>
      <c r="AO137" s="558"/>
      <c r="AP137" s="566"/>
    </row>
    <row r="138" spans="1:42" ht="159.6">
      <c r="A138" s="321" t="s">
        <v>990</v>
      </c>
      <c r="B138" s="322" t="s">
        <v>976</v>
      </c>
      <c r="C138" s="322" t="s">
        <v>723</v>
      </c>
      <c r="D138" s="323" t="s">
        <v>950</v>
      </c>
      <c r="E138" s="322" t="s">
        <v>977</v>
      </c>
      <c r="F138" s="411" t="s">
        <v>926</v>
      </c>
      <c r="G138" s="241" t="str">
        <f>VLOOKUP(A138,'Feature Summary'!$A$7:$C$4049,3,FALSE)</f>
        <v>P2</v>
      </c>
      <c r="H138" s="508" t="s">
        <v>986</v>
      </c>
      <c r="I138" s="322" t="s">
        <v>46</v>
      </c>
      <c r="J138" s="507" t="s">
        <v>991</v>
      </c>
      <c r="K138" s="323">
        <v>1</v>
      </c>
      <c r="L138" s="507">
        <v>1</v>
      </c>
      <c r="M138" s="387" t="s">
        <v>323</v>
      </c>
      <c r="N138" s="420">
        <v>1</v>
      </c>
      <c r="O138" s="421">
        <v>1</v>
      </c>
      <c r="P138" s="422">
        <f t="shared" si="26"/>
        <v>1</v>
      </c>
      <c r="Q138" s="409" t="s">
        <v>48</v>
      </c>
      <c r="R138" s="323">
        <v>10</v>
      </c>
      <c r="S138" s="580">
        <f t="shared" si="27"/>
        <v>10</v>
      </c>
      <c r="T138" s="434">
        <v>10</v>
      </c>
      <c r="U138" s="434"/>
      <c r="V138" s="434"/>
      <c r="W138" s="434"/>
      <c r="X138" s="439">
        <f t="shared" si="31"/>
        <v>1</v>
      </c>
      <c r="Y138" s="410"/>
      <c r="Z138" s="528">
        <f t="shared" si="29"/>
        <v>1</v>
      </c>
      <c r="AA138" s="434">
        <v>1</v>
      </c>
      <c r="AB138" s="434"/>
      <c r="AC138" s="434"/>
      <c r="AD138" s="434"/>
      <c r="AE138" s="435">
        <f t="shared" si="30"/>
        <v>1</v>
      </c>
      <c r="AF138" s="322"/>
      <c r="AG138" s="530"/>
      <c r="AH138" s="563"/>
      <c r="AI138" s="567" t="s">
        <v>46</v>
      </c>
      <c r="AJ138" s="558" t="s">
        <v>954</v>
      </c>
      <c r="AK138" s="558" t="s">
        <v>37</v>
      </c>
      <c r="AL138" s="558">
        <v>120</v>
      </c>
      <c r="AM138" s="558"/>
      <c r="AN138" s="558">
        <v>100</v>
      </c>
      <c r="AO138" s="558"/>
      <c r="AP138" s="566"/>
    </row>
    <row r="139" spans="1:42" ht="174">
      <c r="A139" s="321" t="s">
        <v>992</v>
      </c>
      <c r="B139" s="322" t="s">
        <v>976</v>
      </c>
      <c r="C139" s="322" t="s">
        <v>723</v>
      </c>
      <c r="D139" s="323" t="s">
        <v>950</v>
      </c>
      <c r="E139" s="322" t="s">
        <v>977</v>
      </c>
      <c r="F139" s="411" t="s">
        <v>926</v>
      </c>
      <c r="G139" s="241" t="str">
        <f>VLOOKUP(A139,'Feature Summary'!$A$7:$C$4049,3,FALSE)</f>
        <v>P2</v>
      </c>
      <c r="H139" s="508" t="s">
        <v>986</v>
      </c>
      <c r="I139" s="322" t="s">
        <v>46</v>
      </c>
      <c r="J139" s="507" t="s">
        <v>993</v>
      </c>
      <c r="K139" s="323">
        <v>1</v>
      </c>
      <c r="L139" s="507">
        <v>1</v>
      </c>
      <c r="M139" s="387" t="s">
        <v>323</v>
      </c>
      <c r="N139" s="420">
        <v>1</v>
      </c>
      <c r="O139" s="421">
        <v>1</v>
      </c>
      <c r="P139" s="422">
        <f t="shared" si="26"/>
        <v>1</v>
      </c>
      <c r="Q139" s="409" t="s">
        <v>48</v>
      </c>
      <c r="R139" s="323">
        <v>10</v>
      </c>
      <c r="S139" s="580">
        <f t="shared" si="27"/>
        <v>10</v>
      </c>
      <c r="T139" s="434">
        <v>10</v>
      </c>
      <c r="U139" s="434"/>
      <c r="V139" s="434"/>
      <c r="W139" s="434"/>
      <c r="X139" s="439">
        <f t="shared" si="31"/>
        <v>1</v>
      </c>
      <c r="Y139" s="410"/>
      <c r="Z139" s="528">
        <f t="shared" si="29"/>
        <v>1</v>
      </c>
      <c r="AA139" s="434">
        <v>1</v>
      </c>
      <c r="AB139" s="434"/>
      <c r="AC139" s="434"/>
      <c r="AD139" s="434"/>
      <c r="AE139" s="435">
        <f t="shared" si="30"/>
        <v>1</v>
      </c>
      <c r="AF139" s="322"/>
      <c r="AG139" s="530"/>
      <c r="AH139" s="563"/>
      <c r="AI139" s="567" t="s">
        <v>46</v>
      </c>
      <c r="AJ139" s="558" t="s">
        <v>954</v>
      </c>
      <c r="AK139" s="558" t="s">
        <v>37</v>
      </c>
      <c r="AL139" s="558">
        <v>120</v>
      </c>
      <c r="AM139" s="558"/>
      <c r="AN139" s="558">
        <v>100</v>
      </c>
      <c r="AO139" s="558"/>
      <c r="AP139" s="566"/>
    </row>
    <row r="140" spans="1:42" ht="275.45">
      <c r="A140" s="321" t="s">
        <v>994</v>
      </c>
      <c r="B140" s="322" t="s">
        <v>995</v>
      </c>
      <c r="C140" s="322" t="s">
        <v>723</v>
      </c>
      <c r="D140" s="323" t="s">
        <v>950</v>
      </c>
      <c r="E140" s="322" t="s">
        <v>977</v>
      </c>
      <c r="F140" s="411" t="s">
        <v>926</v>
      </c>
      <c r="G140" s="241" t="str">
        <f>VLOOKUP(A140,'Feature Summary'!$A$7:$C$4049,3,FALSE)</f>
        <v>P2</v>
      </c>
      <c r="H140" s="508" t="s">
        <v>996</v>
      </c>
      <c r="I140" s="322" t="s">
        <v>46</v>
      </c>
      <c r="J140" s="507" t="s">
        <v>997</v>
      </c>
      <c r="K140" s="323">
        <v>1</v>
      </c>
      <c r="L140" s="507">
        <v>1</v>
      </c>
      <c r="M140" s="387" t="s">
        <v>323</v>
      </c>
      <c r="N140" s="420">
        <v>1</v>
      </c>
      <c r="O140" s="421">
        <v>1</v>
      </c>
      <c r="P140" s="422">
        <f t="shared" si="26"/>
        <v>1</v>
      </c>
      <c r="Q140" s="409" t="s">
        <v>48</v>
      </c>
      <c r="R140" s="323">
        <v>10</v>
      </c>
      <c r="S140" s="580">
        <f t="shared" si="27"/>
        <v>10</v>
      </c>
      <c r="T140" s="434">
        <v>10</v>
      </c>
      <c r="U140" s="434"/>
      <c r="V140" s="434"/>
      <c r="W140" s="434"/>
      <c r="X140" s="439">
        <f t="shared" si="31"/>
        <v>1</v>
      </c>
      <c r="Y140" s="410"/>
      <c r="Z140" s="528">
        <f t="shared" si="29"/>
        <v>1</v>
      </c>
      <c r="AA140" s="434">
        <v>1</v>
      </c>
      <c r="AB140" s="434"/>
      <c r="AC140" s="434"/>
      <c r="AD140" s="434"/>
      <c r="AE140" s="435">
        <f t="shared" si="30"/>
        <v>1</v>
      </c>
      <c r="AF140" s="322"/>
      <c r="AG140" s="530"/>
      <c r="AH140" s="563"/>
      <c r="AI140" s="567" t="s">
        <v>46</v>
      </c>
      <c r="AJ140" s="558" t="s">
        <v>954</v>
      </c>
      <c r="AK140" s="558" t="s">
        <v>37</v>
      </c>
      <c r="AL140" s="558">
        <v>120</v>
      </c>
      <c r="AM140" s="558"/>
      <c r="AN140" s="558">
        <v>100</v>
      </c>
      <c r="AO140" s="558"/>
      <c r="AP140" s="566"/>
    </row>
    <row r="141" spans="1:42" ht="203.1">
      <c r="A141" s="321" t="s">
        <v>998</v>
      </c>
      <c r="B141" s="322" t="s">
        <v>995</v>
      </c>
      <c r="C141" s="322" t="s">
        <v>723</v>
      </c>
      <c r="D141" s="323" t="s">
        <v>950</v>
      </c>
      <c r="E141" s="322" t="s">
        <v>977</v>
      </c>
      <c r="F141" s="411" t="s">
        <v>926</v>
      </c>
      <c r="G141" s="241" t="str">
        <f>VLOOKUP(A141,'Feature Summary'!$A$7:$C$4049,3,FALSE)</f>
        <v>P2</v>
      </c>
      <c r="H141" s="508" t="s">
        <v>999</v>
      </c>
      <c r="I141" s="322" t="s">
        <v>46</v>
      </c>
      <c r="J141" s="507" t="s">
        <v>1000</v>
      </c>
      <c r="K141" s="323">
        <v>1</v>
      </c>
      <c r="L141" s="507">
        <v>1</v>
      </c>
      <c r="M141" s="387" t="s">
        <v>323</v>
      </c>
      <c r="N141" s="420">
        <v>1</v>
      </c>
      <c r="O141" s="421">
        <v>1</v>
      </c>
      <c r="P141" s="422">
        <f t="shared" si="26"/>
        <v>1</v>
      </c>
      <c r="Q141" s="409" t="s">
        <v>48</v>
      </c>
      <c r="R141" s="323">
        <v>10</v>
      </c>
      <c r="S141" s="580">
        <f t="shared" si="27"/>
        <v>10</v>
      </c>
      <c r="T141" s="434">
        <v>10</v>
      </c>
      <c r="U141" s="434"/>
      <c r="V141" s="434"/>
      <c r="W141" s="434"/>
      <c r="X141" s="439">
        <f t="shared" si="31"/>
        <v>1</v>
      </c>
      <c r="Y141" s="410"/>
      <c r="Z141" s="528">
        <f t="shared" si="29"/>
        <v>1</v>
      </c>
      <c r="AA141" s="434">
        <v>1</v>
      </c>
      <c r="AB141" s="434"/>
      <c r="AC141" s="434"/>
      <c r="AD141" s="434"/>
      <c r="AE141" s="435">
        <f t="shared" si="30"/>
        <v>1</v>
      </c>
      <c r="AF141" s="322"/>
      <c r="AG141" s="530"/>
      <c r="AH141" s="563"/>
      <c r="AI141" s="567" t="s">
        <v>46</v>
      </c>
      <c r="AJ141" s="558" t="s">
        <v>954</v>
      </c>
      <c r="AK141" s="558" t="s">
        <v>37</v>
      </c>
      <c r="AL141" s="558">
        <v>120</v>
      </c>
      <c r="AM141" s="558"/>
      <c r="AN141" s="558">
        <v>100</v>
      </c>
      <c r="AO141" s="558"/>
      <c r="AP141" s="566"/>
    </row>
    <row r="142" spans="1:42" ht="159.6">
      <c r="A142" s="321" t="s">
        <v>1001</v>
      </c>
      <c r="B142" s="322" t="s">
        <v>995</v>
      </c>
      <c r="C142" s="322" t="s">
        <v>723</v>
      </c>
      <c r="D142" s="323" t="s">
        <v>950</v>
      </c>
      <c r="E142" s="322" t="s">
        <v>977</v>
      </c>
      <c r="F142" s="411" t="s">
        <v>926</v>
      </c>
      <c r="G142" s="241" t="str">
        <f>VLOOKUP(A142,'Feature Summary'!$A$7:$C$4049,3,FALSE)</f>
        <v>P2</v>
      </c>
      <c r="H142" s="508" t="s">
        <v>1002</v>
      </c>
      <c r="I142" s="322" t="s">
        <v>46</v>
      </c>
      <c r="J142" s="507" t="s">
        <v>1003</v>
      </c>
      <c r="K142" s="323">
        <v>1</v>
      </c>
      <c r="L142" s="507">
        <v>1</v>
      </c>
      <c r="M142" s="387" t="s">
        <v>323</v>
      </c>
      <c r="N142" s="420">
        <v>1</v>
      </c>
      <c r="O142" s="421">
        <v>1</v>
      </c>
      <c r="P142" s="422">
        <f t="shared" si="26"/>
        <v>1</v>
      </c>
      <c r="Q142" s="409" t="s">
        <v>48</v>
      </c>
      <c r="R142" s="323">
        <v>10</v>
      </c>
      <c r="S142" s="580">
        <f t="shared" si="27"/>
        <v>10</v>
      </c>
      <c r="T142" s="434">
        <v>10</v>
      </c>
      <c r="U142" s="434"/>
      <c r="V142" s="434"/>
      <c r="W142" s="434"/>
      <c r="X142" s="439">
        <f t="shared" si="31"/>
        <v>1</v>
      </c>
      <c r="Y142" s="410"/>
      <c r="Z142" s="528">
        <f t="shared" si="29"/>
        <v>1</v>
      </c>
      <c r="AA142" s="434">
        <v>1</v>
      </c>
      <c r="AB142" s="434"/>
      <c r="AC142" s="434"/>
      <c r="AD142" s="434"/>
      <c r="AE142" s="435">
        <f t="shared" si="30"/>
        <v>1</v>
      </c>
      <c r="AF142" s="322"/>
      <c r="AG142" s="530"/>
      <c r="AH142" s="563"/>
      <c r="AI142" s="567" t="s">
        <v>46</v>
      </c>
      <c r="AJ142" s="558" t="s">
        <v>954</v>
      </c>
      <c r="AK142" s="558" t="s">
        <v>37</v>
      </c>
      <c r="AL142" s="558">
        <v>120</v>
      </c>
      <c r="AM142" s="558"/>
      <c r="AN142" s="558">
        <v>100</v>
      </c>
      <c r="AO142" s="558"/>
      <c r="AP142" s="566"/>
    </row>
    <row r="143" spans="1:42" ht="203.1">
      <c r="A143" s="321" t="s">
        <v>1004</v>
      </c>
      <c r="B143" s="322" t="s">
        <v>995</v>
      </c>
      <c r="C143" s="322" t="s">
        <v>723</v>
      </c>
      <c r="D143" s="323" t="s">
        <v>950</v>
      </c>
      <c r="E143" s="322" t="s">
        <v>977</v>
      </c>
      <c r="F143" s="411" t="s">
        <v>926</v>
      </c>
      <c r="G143" s="241" t="e">
        <f>VLOOKUP(A143,'Feature Summary'!$A$7:$C$4049,3,FALSE)</f>
        <v>#N/A</v>
      </c>
      <c r="H143" s="508" t="s">
        <v>999</v>
      </c>
      <c r="I143" s="322" t="s">
        <v>46</v>
      </c>
      <c r="J143" s="507" t="s">
        <v>1005</v>
      </c>
      <c r="K143" s="323">
        <v>1</v>
      </c>
      <c r="L143" s="507">
        <v>1</v>
      </c>
      <c r="M143" s="387" t="s">
        <v>323</v>
      </c>
      <c r="N143" s="420">
        <v>1</v>
      </c>
      <c r="O143" s="421">
        <v>1</v>
      </c>
      <c r="P143" s="422">
        <f t="shared" si="26"/>
        <v>1</v>
      </c>
      <c r="Q143" s="409" t="s">
        <v>48</v>
      </c>
      <c r="R143" s="323">
        <v>10</v>
      </c>
      <c r="S143" s="580">
        <f t="shared" si="27"/>
        <v>10</v>
      </c>
      <c r="T143" s="434">
        <v>10</v>
      </c>
      <c r="U143" s="434"/>
      <c r="V143" s="434"/>
      <c r="W143" s="434"/>
      <c r="X143" s="439">
        <f t="shared" si="31"/>
        <v>1</v>
      </c>
      <c r="Y143" s="410"/>
      <c r="Z143" s="528">
        <f t="shared" si="29"/>
        <v>1</v>
      </c>
      <c r="AA143" s="434">
        <v>1</v>
      </c>
      <c r="AB143" s="434"/>
      <c r="AC143" s="434"/>
      <c r="AD143" s="434"/>
      <c r="AE143" s="435">
        <f t="shared" si="30"/>
        <v>1</v>
      </c>
      <c r="AF143" s="322"/>
      <c r="AG143" s="530"/>
      <c r="AH143" s="563"/>
      <c r="AI143" s="567" t="s">
        <v>46</v>
      </c>
      <c r="AJ143" s="558" t="s">
        <v>954</v>
      </c>
      <c r="AK143" s="558" t="s">
        <v>37</v>
      </c>
      <c r="AL143" s="558">
        <v>120</v>
      </c>
      <c r="AM143" s="558"/>
      <c r="AN143" s="558">
        <v>100</v>
      </c>
      <c r="AO143" s="558"/>
      <c r="AP143" s="566"/>
    </row>
    <row r="144" spans="1:42" ht="188.45">
      <c r="A144" s="321" t="s">
        <v>1006</v>
      </c>
      <c r="B144" s="322" t="s">
        <v>995</v>
      </c>
      <c r="C144" s="322" t="s">
        <v>723</v>
      </c>
      <c r="D144" s="323" t="s">
        <v>950</v>
      </c>
      <c r="E144" s="322" t="s">
        <v>977</v>
      </c>
      <c r="F144" s="411" t="s">
        <v>926</v>
      </c>
      <c r="G144" s="241" t="str">
        <f>VLOOKUP(A144,'Feature Summary'!$A$7:$C$4049,3,FALSE)</f>
        <v>P2</v>
      </c>
      <c r="H144" s="508" t="s">
        <v>999</v>
      </c>
      <c r="I144" s="322" t="s">
        <v>46</v>
      </c>
      <c r="J144" s="507" t="s">
        <v>1007</v>
      </c>
      <c r="K144" s="323">
        <v>1</v>
      </c>
      <c r="L144" s="507">
        <v>1</v>
      </c>
      <c r="M144" s="387" t="s">
        <v>323</v>
      </c>
      <c r="N144" s="420">
        <v>1</v>
      </c>
      <c r="O144" s="421">
        <v>1</v>
      </c>
      <c r="P144" s="422">
        <f t="shared" si="26"/>
        <v>1</v>
      </c>
      <c r="Q144" s="409" t="s">
        <v>48</v>
      </c>
      <c r="R144" s="323">
        <v>10</v>
      </c>
      <c r="S144" s="580">
        <f t="shared" si="27"/>
        <v>10</v>
      </c>
      <c r="T144" s="434">
        <v>10</v>
      </c>
      <c r="U144" s="434"/>
      <c r="V144" s="434"/>
      <c r="W144" s="434"/>
      <c r="X144" s="439">
        <f t="shared" si="31"/>
        <v>1</v>
      </c>
      <c r="Y144" s="410"/>
      <c r="Z144" s="528">
        <f t="shared" si="29"/>
        <v>1</v>
      </c>
      <c r="AA144" s="434">
        <v>1</v>
      </c>
      <c r="AB144" s="434"/>
      <c r="AC144" s="434"/>
      <c r="AD144" s="434"/>
      <c r="AE144" s="435">
        <f t="shared" si="30"/>
        <v>1</v>
      </c>
      <c r="AF144" s="322"/>
      <c r="AG144" s="530"/>
      <c r="AH144" s="563"/>
      <c r="AI144" s="567" t="s">
        <v>46</v>
      </c>
      <c r="AJ144" s="558" t="s">
        <v>954</v>
      </c>
      <c r="AK144" s="558" t="s">
        <v>37</v>
      </c>
      <c r="AL144" s="558">
        <v>120</v>
      </c>
      <c r="AM144" s="558"/>
      <c r="AN144" s="558">
        <v>100</v>
      </c>
      <c r="AO144" s="558"/>
      <c r="AP144" s="566"/>
    </row>
    <row r="145" spans="1:42" ht="255">
      <c r="A145" s="321" t="s">
        <v>1008</v>
      </c>
      <c r="B145" s="322" t="s">
        <v>995</v>
      </c>
      <c r="C145" s="322" t="s">
        <v>723</v>
      </c>
      <c r="D145" s="323" t="s">
        <v>950</v>
      </c>
      <c r="E145" s="322" t="s">
        <v>977</v>
      </c>
      <c r="F145" s="411" t="s">
        <v>926</v>
      </c>
      <c r="G145" s="241" t="str">
        <f>VLOOKUP(A145,'Feature Summary'!$A$7:$C$4049,3,FALSE)</f>
        <v>P2</v>
      </c>
      <c r="H145" s="508" t="s">
        <v>1009</v>
      </c>
      <c r="I145" s="322" t="s">
        <v>46</v>
      </c>
      <c r="J145" s="507" t="s">
        <v>1010</v>
      </c>
      <c r="K145" s="323">
        <v>1</v>
      </c>
      <c r="L145" s="507">
        <v>1</v>
      </c>
      <c r="M145" s="387" t="s">
        <v>323</v>
      </c>
      <c r="N145" s="420">
        <v>1</v>
      </c>
      <c r="O145" s="421">
        <v>1</v>
      </c>
      <c r="P145" s="422">
        <f t="shared" si="26"/>
        <v>1</v>
      </c>
      <c r="Q145" s="409" t="s">
        <v>48</v>
      </c>
      <c r="R145" s="323">
        <v>10</v>
      </c>
      <c r="S145" s="580">
        <f t="shared" si="27"/>
        <v>10</v>
      </c>
      <c r="T145" s="434">
        <v>10</v>
      </c>
      <c r="U145" s="434"/>
      <c r="V145" s="434"/>
      <c r="W145" s="434"/>
      <c r="X145" s="439">
        <f t="shared" si="31"/>
        <v>1</v>
      </c>
      <c r="Y145" s="410"/>
      <c r="Z145" s="528">
        <f t="shared" si="29"/>
        <v>1</v>
      </c>
      <c r="AA145" s="434">
        <v>1</v>
      </c>
      <c r="AB145" s="434"/>
      <c r="AC145" s="434"/>
      <c r="AD145" s="434"/>
      <c r="AE145" s="435">
        <f t="shared" si="30"/>
        <v>1</v>
      </c>
      <c r="AF145" s="322"/>
      <c r="AG145" s="530"/>
      <c r="AH145" s="563"/>
      <c r="AI145" s="567" t="s">
        <v>46</v>
      </c>
      <c r="AJ145" s="558" t="s">
        <v>954</v>
      </c>
      <c r="AK145" s="558" t="s">
        <v>37</v>
      </c>
      <c r="AL145" s="558">
        <v>120</v>
      </c>
      <c r="AM145" s="558"/>
      <c r="AN145" s="558">
        <v>100</v>
      </c>
      <c r="AO145" s="558"/>
      <c r="AP145" s="566"/>
    </row>
    <row r="146" spans="1:42" ht="144.94999999999999">
      <c r="A146" s="321" t="s">
        <v>1011</v>
      </c>
      <c r="B146" s="322" t="s">
        <v>995</v>
      </c>
      <c r="C146" s="322" t="s">
        <v>723</v>
      </c>
      <c r="D146" s="323" t="s">
        <v>950</v>
      </c>
      <c r="E146" s="322" t="s">
        <v>977</v>
      </c>
      <c r="F146" s="411" t="s">
        <v>926</v>
      </c>
      <c r="G146" s="241" t="str">
        <f>VLOOKUP(A146,'Feature Summary'!$A$7:$C$4049,3,FALSE)</f>
        <v>P2</v>
      </c>
      <c r="H146" s="508" t="s">
        <v>1002</v>
      </c>
      <c r="I146" s="322" t="s">
        <v>46</v>
      </c>
      <c r="J146" s="507" t="s">
        <v>1012</v>
      </c>
      <c r="K146" s="323">
        <v>1</v>
      </c>
      <c r="L146" s="507">
        <v>1</v>
      </c>
      <c r="M146" s="387" t="s">
        <v>323</v>
      </c>
      <c r="N146" s="420">
        <v>1</v>
      </c>
      <c r="O146" s="421">
        <v>1</v>
      </c>
      <c r="P146" s="422">
        <f t="shared" si="26"/>
        <v>1</v>
      </c>
      <c r="Q146" s="409" t="s">
        <v>48</v>
      </c>
      <c r="R146" s="323">
        <v>10</v>
      </c>
      <c r="S146" s="580">
        <f t="shared" si="27"/>
        <v>10</v>
      </c>
      <c r="T146" s="434">
        <v>10</v>
      </c>
      <c r="U146" s="434"/>
      <c r="V146" s="434"/>
      <c r="W146" s="434"/>
      <c r="X146" s="439">
        <f t="shared" si="31"/>
        <v>1</v>
      </c>
      <c r="Y146" s="410"/>
      <c r="Z146" s="528">
        <f t="shared" si="29"/>
        <v>1</v>
      </c>
      <c r="AA146" s="434">
        <v>1</v>
      </c>
      <c r="AB146" s="434"/>
      <c r="AC146" s="434"/>
      <c r="AD146" s="434"/>
      <c r="AE146" s="435">
        <f t="shared" si="30"/>
        <v>1</v>
      </c>
      <c r="AF146" s="322"/>
      <c r="AG146" s="530"/>
      <c r="AH146" s="563"/>
      <c r="AI146" s="567" t="s">
        <v>46</v>
      </c>
      <c r="AJ146" s="558" t="s">
        <v>954</v>
      </c>
      <c r="AK146" s="558" t="s">
        <v>37</v>
      </c>
      <c r="AL146" s="558">
        <v>120</v>
      </c>
      <c r="AM146" s="558"/>
      <c r="AN146" s="558">
        <v>100</v>
      </c>
      <c r="AO146" s="558"/>
      <c r="AP146" s="566"/>
    </row>
    <row r="147" spans="1:42">
      <c r="A147" s="321" t="s">
        <v>1013</v>
      </c>
      <c r="B147" s="322" t="s">
        <v>1014</v>
      </c>
      <c r="C147" s="322" t="s">
        <v>317</v>
      </c>
      <c r="D147" s="323" t="s">
        <v>924</v>
      </c>
      <c r="E147" s="322" t="s">
        <v>925</v>
      </c>
      <c r="F147" s="411" t="s">
        <v>926</v>
      </c>
      <c r="G147" s="241" t="str">
        <f>VLOOKUP(A147,'Feature Summary'!$A$7:$C$4049,3,FALSE)</f>
        <v>P1</v>
      </c>
      <c r="H147" s="508" t="s">
        <v>1015</v>
      </c>
      <c r="I147" s="322" t="s">
        <v>46</v>
      </c>
      <c r="J147" s="323"/>
      <c r="K147" s="323">
        <v>1</v>
      </c>
      <c r="L147" s="507">
        <v>100</v>
      </c>
      <c r="M147" s="387" t="s">
        <v>323</v>
      </c>
      <c r="N147" s="420">
        <v>1</v>
      </c>
      <c r="O147" s="421">
        <v>100</v>
      </c>
      <c r="P147" s="422">
        <f t="shared" si="26"/>
        <v>1</v>
      </c>
      <c r="Q147" s="409" t="s">
        <v>1016</v>
      </c>
      <c r="R147" s="323">
        <v>100</v>
      </c>
      <c r="S147" s="580">
        <f t="shared" si="27"/>
        <v>100</v>
      </c>
      <c r="T147" s="434">
        <v>100</v>
      </c>
      <c r="U147" s="434"/>
      <c r="V147" s="434"/>
      <c r="W147" s="434"/>
      <c r="X147" s="439">
        <f t="shared" si="31"/>
        <v>1</v>
      </c>
      <c r="Y147" s="410"/>
      <c r="Z147" s="528">
        <f t="shared" si="29"/>
        <v>100</v>
      </c>
      <c r="AA147" s="434">
        <v>100</v>
      </c>
      <c r="AB147" s="434"/>
      <c r="AC147" s="434"/>
      <c r="AD147" s="434"/>
      <c r="AE147" s="435">
        <f t="shared" si="30"/>
        <v>1</v>
      </c>
      <c r="AF147" s="322"/>
      <c r="AG147" s="530" t="str">
        <f>VLOOKUP(A147,'Feature Summary'!$A$7:$U$3900,21,FALSE)</f>
        <v>No plan to rerun. The coverage is reuse from BRH/GNR as the core remains same</v>
      </c>
      <c r="AH147" s="563"/>
      <c r="AI147" s="567" t="s">
        <v>46</v>
      </c>
      <c r="AJ147" s="558" t="s">
        <v>929</v>
      </c>
      <c r="AK147" s="558" t="s">
        <v>31</v>
      </c>
      <c r="AL147" s="558">
        <v>6</v>
      </c>
      <c r="AM147" s="558"/>
      <c r="AN147" s="558"/>
      <c r="AO147" s="558"/>
      <c r="AP147" s="566"/>
    </row>
    <row r="148" spans="1:42" ht="130.5">
      <c r="A148" s="321" t="s">
        <v>1017</v>
      </c>
      <c r="B148" s="322" t="s">
        <v>1018</v>
      </c>
      <c r="C148" s="322" t="s">
        <v>317</v>
      </c>
      <c r="D148" s="323" t="s">
        <v>924</v>
      </c>
      <c r="E148" s="322" t="s">
        <v>925</v>
      </c>
      <c r="F148" s="411" t="s">
        <v>926</v>
      </c>
      <c r="G148" s="241" t="str">
        <f>VLOOKUP(A148,'Feature Summary'!$A$7:$C$4049,3,FALSE)</f>
        <v>P1</v>
      </c>
      <c r="H148" s="508" t="s">
        <v>1019</v>
      </c>
      <c r="I148" s="322" t="s">
        <v>46</v>
      </c>
      <c r="J148" s="323"/>
      <c r="K148" s="323">
        <v>5</v>
      </c>
      <c r="L148" s="507">
        <v>22</v>
      </c>
      <c r="M148" s="387" t="s">
        <v>323</v>
      </c>
      <c r="N148" s="420">
        <v>1</v>
      </c>
      <c r="O148" s="421">
        <v>20</v>
      </c>
      <c r="P148" s="422">
        <v>1</v>
      </c>
      <c r="Q148" s="409" t="s">
        <v>1016</v>
      </c>
      <c r="R148" s="323">
        <v>20</v>
      </c>
      <c r="S148" s="580">
        <f t="shared" si="27"/>
        <v>22</v>
      </c>
      <c r="T148" s="434">
        <v>22</v>
      </c>
      <c r="U148" s="434"/>
      <c r="V148" s="434"/>
      <c r="W148" s="434"/>
      <c r="X148" s="439">
        <f t="shared" si="31"/>
        <v>1</v>
      </c>
      <c r="Y148" s="410"/>
      <c r="Z148" s="528">
        <f t="shared" si="29"/>
        <v>22</v>
      </c>
      <c r="AA148" s="434">
        <v>22</v>
      </c>
      <c r="AB148" s="434"/>
      <c r="AC148" s="434"/>
      <c r="AD148" s="434"/>
      <c r="AE148" s="435">
        <f t="shared" si="30"/>
        <v>1</v>
      </c>
      <c r="AF148" s="322"/>
      <c r="AG148" s="530" t="str">
        <f>VLOOKUP(A148,'Feature Summary'!$A$7:$U$3900,21,FALSE)</f>
        <v>No plan to rerun. The coverage is reuse from BRH/GNR as the core remains same</v>
      </c>
      <c r="AH148" s="563"/>
      <c r="AI148" s="567" t="s">
        <v>46</v>
      </c>
      <c r="AJ148" s="558" t="s">
        <v>929</v>
      </c>
      <c r="AK148" s="558" t="s">
        <v>31</v>
      </c>
      <c r="AL148" s="558">
        <v>36</v>
      </c>
      <c r="AM148" s="558">
        <v>36</v>
      </c>
      <c r="AN148" s="558">
        <v>200</v>
      </c>
      <c r="AO148" s="558"/>
      <c r="AP148" s="566"/>
    </row>
    <row r="149" spans="1:42" ht="15" thickBot="1">
      <c r="A149" s="348"/>
      <c r="B149" s="349"/>
      <c r="C149" s="349"/>
      <c r="D149" s="350"/>
      <c r="E149" s="349"/>
      <c r="F149" s="349"/>
      <c r="G149" s="350"/>
      <c r="H149" s="386"/>
      <c r="I149" s="503"/>
      <c r="J149" s="349"/>
      <c r="K149" s="349"/>
      <c r="L149" s="351"/>
      <c r="M149" s="352"/>
      <c r="N149" s="423"/>
      <c r="O149" s="424"/>
      <c r="P149" s="425"/>
      <c r="Q149" s="353"/>
      <c r="R149" s="354"/>
      <c r="S149" s="440"/>
      <c r="T149" s="441"/>
      <c r="U149" s="441"/>
      <c r="V149" s="441"/>
      <c r="W149" s="441"/>
      <c r="X149" s="442"/>
      <c r="Y149" s="355"/>
      <c r="Z149" s="436"/>
      <c r="AA149" s="437"/>
      <c r="AB149" s="437"/>
      <c r="AC149" s="437"/>
      <c r="AD149" s="437"/>
      <c r="AE149" s="438"/>
      <c r="AF149" s="356"/>
      <c r="AG149" s="356"/>
      <c r="AH149" s="564"/>
      <c r="AI149" s="567"/>
      <c r="AJ149" s="558"/>
      <c r="AK149" s="558"/>
      <c r="AL149" s="558"/>
      <c r="AM149" s="558"/>
      <c r="AN149" s="558"/>
      <c r="AO149" s="558"/>
      <c r="AP149" s="566"/>
    </row>
    <row r="150" spans="1:42">
      <c r="A150" s="637" t="s">
        <v>1020</v>
      </c>
      <c r="B150" s="638"/>
      <c r="C150" s="638"/>
      <c r="D150" s="638"/>
      <c r="E150" s="638"/>
      <c r="F150" s="638"/>
      <c r="G150" s="638"/>
      <c r="H150" s="638"/>
      <c r="I150" s="638"/>
      <c r="J150" s="638"/>
      <c r="K150" s="638"/>
      <c r="L150" s="638"/>
      <c r="M150" s="638"/>
      <c r="N150" s="638"/>
      <c r="O150" s="638"/>
      <c r="P150" s="638"/>
      <c r="Q150" s="638"/>
      <c r="R150" s="638"/>
      <c r="S150" s="638"/>
      <c r="T150" s="638"/>
      <c r="U150" s="638"/>
      <c r="V150" s="638"/>
      <c r="W150" s="638"/>
      <c r="X150" s="638"/>
      <c r="Y150" s="638"/>
      <c r="Z150" s="638"/>
      <c r="AA150" s="638"/>
      <c r="AB150" s="638"/>
      <c r="AC150" s="638"/>
      <c r="AD150" s="638"/>
      <c r="AE150" s="638"/>
      <c r="AF150" s="638"/>
      <c r="AG150" s="638"/>
      <c r="AH150" s="638"/>
      <c r="AI150" s="567"/>
      <c r="AJ150" s="558"/>
      <c r="AK150" s="558"/>
      <c r="AL150" s="558"/>
      <c r="AM150" s="558"/>
      <c r="AN150" s="558"/>
      <c r="AO150" s="558"/>
      <c r="AP150" s="566"/>
    </row>
    <row r="151" spans="1:42" ht="15" thickBot="1">
      <c r="A151" s="639"/>
      <c r="B151" s="640"/>
      <c r="C151" s="640"/>
      <c r="D151" s="640"/>
      <c r="E151" s="640"/>
      <c r="F151" s="640"/>
      <c r="G151" s="640"/>
      <c r="H151" s="640"/>
      <c r="I151" s="640"/>
      <c r="J151" s="640"/>
      <c r="K151" s="640"/>
      <c r="L151" s="640"/>
      <c r="M151" s="640"/>
      <c r="N151" s="640"/>
      <c r="O151" s="640"/>
      <c r="P151" s="640"/>
      <c r="Q151" s="640"/>
      <c r="R151" s="640"/>
      <c r="S151" s="640"/>
      <c r="T151" s="640"/>
      <c r="U151" s="640"/>
      <c r="V151" s="640"/>
      <c r="W151" s="640"/>
      <c r="X151" s="640"/>
      <c r="Y151" s="640"/>
      <c r="Z151" s="640"/>
      <c r="AA151" s="640"/>
      <c r="AB151" s="640"/>
      <c r="AC151" s="640"/>
      <c r="AD151" s="640"/>
      <c r="AE151" s="640"/>
      <c r="AF151" s="640"/>
      <c r="AG151" s="640"/>
      <c r="AH151" s="640"/>
      <c r="AI151" s="567"/>
      <c r="AJ151" s="558"/>
      <c r="AK151" s="558"/>
      <c r="AL151" s="558"/>
      <c r="AM151" s="558"/>
      <c r="AN151" s="558"/>
      <c r="AO151" s="558"/>
      <c r="AP151" s="566"/>
    </row>
    <row r="152" spans="1:42" ht="18.95" thickBot="1">
      <c r="A152" s="649" t="s">
        <v>302</v>
      </c>
      <c r="B152" s="650"/>
      <c r="C152" s="650"/>
      <c r="D152" s="650"/>
      <c r="E152" s="650"/>
      <c r="F152" s="650"/>
      <c r="G152" s="650"/>
      <c r="H152" s="650"/>
      <c r="I152" s="650"/>
      <c r="J152" s="651"/>
      <c r="K152" s="370">
        <f>SUM(K6:K149)</f>
        <v>170</v>
      </c>
      <c r="L152" s="370">
        <f>SUM(L6:L149)</f>
        <v>88769</v>
      </c>
      <c r="M152" s="371"/>
      <c r="N152" s="426">
        <f>SUMPRODUCT(K6:K149,N6:N149)/K152</f>
        <v>1</v>
      </c>
      <c r="O152" s="427">
        <f>SUM(O6:O149)</f>
        <v>88747</v>
      </c>
      <c r="P152" s="428">
        <f>SUMPRODUCT(K6:K149,P6:P149)/K152</f>
        <v>1</v>
      </c>
      <c r="Q152" s="372"/>
      <c r="R152" s="373">
        <f t="shared" ref="R152:W152" si="34">SUM(R6:R149)</f>
        <v>48458</v>
      </c>
      <c r="S152" s="429">
        <f t="shared" si="34"/>
        <v>48748</v>
      </c>
      <c r="T152" s="429">
        <f t="shared" si="34"/>
        <v>48586</v>
      </c>
      <c r="U152" s="373">
        <f t="shared" si="34"/>
        <v>2</v>
      </c>
      <c r="V152" s="373">
        <f t="shared" si="34"/>
        <v>154</v>
      </c>
      <c r="W152" s="373">
        <f t="shared" si="34"/>
        <v>6</v>
      </c>
      <c r="X152" s="430">
        <f>IF((S152=0),0,((T152+U152)/S152*100%))</f>
        <v>0.99671781406416671</v>
      </c>
      <c r="Y152" s="374"/>
      <c r="Z152" s="431">
        <f>SUM(Z6:Z149)</f>
        <v>88733</v>
      </c>
      <c r="AA152" s="432">
        <f>SUM(AA6:AA149)</f>
        <v>88725</v>
      </c>
      <c r="AB152" s="432">
        <f>SUM(AB6:AB149)</f>
        <v>8</v>
      </c>
      <c r="AC152" s="432">
        <f>SUM(AC6:AC149)</f>
        <v>0</v>
      </c>
      <c r="AD152" s="432">
        <f>SUM(AD6:AD149)</f>
        <v>0</v>
      </c>
      <c r="AE152" s="433">
        <f>IF((Z152=0),0,((AA152+AB152)/Z152*100%))</f>
        <v>1</v>
      </c>
      <c r="AF152" s="375"/>
      <c r="AG152" s="375"/>
      <c r="AH152" s="565"/>
      <c r="AI152" s="568"/>
      <c r="AJ152" s="569"/>
      <c r="AK152" s="569"/>
      <c r="AL152" s="569"/>
      <c r="AM152" s="569"/>
      <c r="AN152" s="569"/>
      <c r="AO152" s="569"/>
      <c r="AP152" s="570"/>
    </row>
    <row r="154" spans="1:42">
      <c r="L154" s="170" t="s">
        <v>1021</v>
      </c>
    </row>
    <row r="199" spans="35:42">
      <c r="AI199" s="512"/>
      <c r="AJ199" s="512"/>
      <c r="AK199" s="512"/>
      <c r="AL199" s="512"/>
      <c r="AM199" s="512"/>
      <c r="AN199" s="512"/>
      <c r="AO199" s="512"/>
      <c r="AP199" s="512"/>
    </row>
    <row r="200" spans="35:42">
      <c r="AI200" s="512"/>
      <c r="AJ200" s="512"/>
      <c r="AK200" s="512"/>
      <c r="AL200" s="512"/>
      <c r="AM200" s="512"/>
      <c r="AN200" s="512"/>
      <c r="AO200" s="512"/>
      <c r="AP200" s="512"/>
    </row>
    <row r="201" spans="35:42">
      <c r="AI201" s="512"/>
      <c r="AJ201" s="512"/>
      <c r="AK201" s="512"/>
      <c r="AL201" s="512"/>
      <c r="AM201" s="512"/>
      <c r="AN201" s="512"/>
      <c r="AO201" s="512"/>
      <c r="AP201" s="512"/>
    </row>
    <row r="202" spans="35:42">
      <c r="AI202" s="512"/>
      <c r="AJ202" s="512"/>
      <c r="AK202" s="512"/>
      <c r="AL202" s="512"/>
      <c r="AM202" s="512"/>
      <c r="AN202" s="512"/>
      <c r="AO202" s="512"/>
      <c r="AP202" s="512"/>
    </row>
    <row r="203" spans="35:42">
      <c r="AI203" s="512"/>
      <c r="AJ203" s="512"/>
      <c r="AK203" s="512"/>
      <c r="AL203" s="512"/>
      <c r="AM203" s="512"/>
      <c r="AN203" s="512"/>
      <c r="AO203" s="512"/>
      <c r="AP203" s="512"/>
    </row>
    <row r="204" spans="35:42">
      <c r="AI204" s="512"/>
      <c r="AJ204" s="512"/>
      <c r="AK204" s="512"/>
      <c r="AL204" s="512"/>
      <c r="AM204" s="512"/>
      <c r="AN204" s="512"/>
      <c r="AO204" s="512"/>
      <c r="AP204" s="512"/>
    </row>
    <row r="205" spans="35:42">
      <c r="AI205" s="512"/>
      <c r="AJ205" s="512"/>
      <c r="AK205" s="512"/>
      <c r="AL205" s="512"/>
      <c r="AM205" s="512"/>
      <c r="AN205" s="512"/>
      <c r="AO205" s="512"/>
      <c r="AP205" s="512"/>
    </row>
    <row r="206" spans="35:42">
      <c r="AI206" s="512"/>
      <c r="AJ206" s="512"/>
      <c r="AK206" s="512"/>
      <c r="AL206" s="512"/>
      <c r="AM206" s="512"/>
      <c r="AN206" s="512"/>
      <c r="AO206" s="512"/>
      <c r="AP206" s="512"/>
    </row>
    <row r="207" spans="35:42">
      <c r="AI207" s="512"/>
      <c r="AJ207" s="512"/>
      <c r="AK207" s="512"/>
      <c r="AL207" s="512"/>
      <c r="AM207" s="512"/>
      <c r="AN207" s="512"/>
      <c r="AO207" s="512"/>
      <c r="AP207" s="512"/>
    </row>
    <row r="208" spans="35:42">
      <c r="AI208" s="512"/>
      <c r="AJ208" s="512"/>
      <c r="AK208" s="512"/>
      <c r="AL208" s="512"/>
      <c r="AM208" s="512"/>
      <c r="AN208" s="512"/>
      <c r="AO208" s="512"/>
      <c r="AP208" s="512"/>
    </row>
    <row r="209" spans="35:42">
      <c r="AI209" s="512"/>
      <c r="AJ209" s="512"/>
      <c r="AK209" s="512"/>
      <c r="AL209" s="512"/>
      <c r="AM209" s="512"/>
      <c r="AN209" s="512"/>
      <c r="AO209" s="512"/>
      <c r="AP209" s="512"/>
    </row>
    <row r="210" spans="35:42">
      <c r="AI210" s="512"/>
      <c r="AJ210" s="512"/>
      <c r="AK210" s="512"/>
      <c r="AL210" s="512"/>
      <c r="AM210" s="512"/>
      <c r="AN210" s="512"/>
      <c r="AO210" s="512"/>
      <c r="AP210" s="512"/>
    </row>
    <row r="211" spans="35:42">
      <c r="AI211" s="512"/>
      <c r="AJ211" s="512"/>
      <c r="AK211" s="512"/>
      <c r="AL211" s="512"/>
      <c r="AM211" s="512"/>
      <c r="AN211" s="512"/>
      <c r="AO211" s="512"/>
      <c r="AP211" s="512"/>
    </row>
    <row r="212" spans="35:42">
      <c r="AI212" s="512"/>
      <c r="AJ212" s="512"/>
      <c r="AK212" s="512"/>
      <c r="AL212" s="512"/>
      <c r="AM212" s="512"/>
      <c r="AN212" s="512"/>
      <c r="AO212" s="512"/>
      <c r="AP212" s="512"/>
    </row>
    <row r="213" spans="35:42">
      <c r="AI213" s="512"/>
      <c r="AJ213" s="512"/>
      <c r="AK213" s="512"/>
      <c r="AL213" s="512"/>
      <c r="AM213" s="512"/>
      <c r="AN213" s="512"/>
      <c r="AO213" s="512"/>
      <c r="AP213" s="512"/>
    </row>
    <row r="214" spans="35:42">
      <c r="AI214" s="512"/>
      <c r="AJ214" s="512"/>
      <c r="AK214" s="512"/>
      <c r="AL214" s="512"/>
      <c r="AM214" s="512"/>
      <c r="AN214" s="512"/>
      <c r="AO214" s="512"/>
      <c r="AP214" s="512"/>
    </row>
    <row r="215" spans="35:42">
      <c r="AI215" s="512"/>
      <c r="AJ215" s="512"/>
      <c r="AK215" s="512"/>
      <c r="AL215" s="512"/>
      <c r="AM215" s="512"/>
      <c r="AN215" s="512"/>
      <c r="AO215" s="512"/>
      <c r="AP215" s="512"/>
    </row>
    <row r="216" spans="35:42">
      <c r="AI216" s="512"/>
      <c r="AJ216" s="512"/>
      <c r="AK216" s="512"/>
      <c r="AL216" s="512"/>
      <c r="AM216" s="512"/>
      <c r="AN216" s="512"/>
      <c r="AO216" s="512"/>
      <c r="AP216" s="512"/>
    </row>
    <row r="217" spans="35:42">
      <c r="AI217" s="512"/>
      <c r="AJ217" s="512"/>
      <c r="AK217" s="512"/>
      <c r="AL217" s="512"/>
      <c r="AM217" s="512"/>
      <c r="AN217" s="512"/>
      <c r="AO217" s="512"/>
      <c r="AP217" s="512"/>
    </row>
    <row r="218" spans="35:42">
      <c r="AI218" s="512"/>
      <c r="AJ218" s="512"/>
      <c r="AK218" s="512"/>
      <c r="AL218" s="512"/>
      <c r="AM218" s="512"/>
      <c r="AN218" s="512"/>
      <c r="AO218" s="512"/>
      <c r="AP218" s="512"/>
    </row>
    <row r="219" spans="35:42">
      <c r="AI219" s="512"/>
      <c r="AJ219" s="512"/>
      <c r="AK219" s="512"/>
      <c r="AL219" s="512"/>
      <c r="AM219" s="512"/>
      <c r="AN219" s="512"/>
      <c r="AO219" s="512"/>
      <c r="AP219" s="512"/>
    </row>
    <row r="220" spans="35:42">
      <c r="AI220" s="512"/>
      <c r="AJ220" s="512"/>
      <c r="AK220" s="512"/>
      <c r="AL220" s="512"/>
      <c r="AM220" s="512"/>
      <c r="AN220" s="512"/>
      <c r="AO220" s="512"/>
      <c r="AP220" s="512"/>
    </row>
    <row r="221" spans="35:42">
      <c r="AI221" s="512"/>
      <c r="AJ221" s="512"/>
      <c r="AK221" s="512"/>
      <c r="AL221" s="512"/>
      <c r="AM221" s="512"/>
      <c r="AN221" s="512"/>
      <c r="AO221" s="512"/>
      <c r="AP221" s="512"/>
    </row>
    <row r="222" spans="35:42">
      <c r="AI222" s="512"/>
      <c r="AJ222" s="512"/>
      <c r="AK222" s="512"/>
      <c r="AL222" s="512"/>
      <c r="AM222" s="512"/>
      <c r="AN222" s="512"/>
      <c r="AO222" s="512"/>
      <c r="AP222" s="512"/>
    </row>
    <row r="223" spans="35:42">
      <c r="AI223" s="512"/>
      <c r="AJ223" s="512"/>
      <c r="AK223" s="512"/>
      <c r="AL223" s="512"/>
      <c r="AM223" s="512"/>
      <c r="AN223" s="512"/>
      <c r="AO223" s="512"/>
      <c r="AP223" s="512"/>
    </row>
    <row r="224" spans="35:42">
      <c r="AI224" s="512"/>
      <c r="AJ224" s="512"/>
      <c r="AK224" s="512"/>
      <c r="AL224" s="512"/>
      <c r="AM224" s="512"/>
      <c r="AN224" s="512"/>
      <c r="AO224" s="512"/>
      <c r="AP224" s="512"/>
    </row>
    <row r="225" spans="35:42">
      <c r="AI225" s="512"/>
      <c r="AJ225" s="512"/>
      <c r="AK225" s="512"/>
      <c r="AL225" s="512"/>
      <c r="AM225" s="512"/>
      <c r="AN225" s="512"/>
      <c r="AO225" s="512"/>
      <c r="AP225" s="512"/>
    </row>
    <row r="226" spans="35:42">
      <c r="AI226" s="512"/>
      <c r="AJ226" s="512"/>
      <c r="AK226" s="512"/>
      <c r="AL226" s="512"/>
      <c r="AM226" s="512"/>
      <c r="AN226" s="512"/>
      <c r="AO226" s="512"/>
      <c r="AP226" s="512"/>
    </row>
    <row r="227" spans="35:42">
      <c r="AI227" s="512"/>
      <c r="AJ227" s="512"/>
      <c r="AK227" s="512"/>
      <c r="AL227" s="512"/>
      <c r="AM227" s="512"/>
      <c r="AN227" s="512"/>
      <c r="AO227" s="512"/>
      <c r="AP227" s="512"/>
    </row>
    <row r="228" spans="35:42">
      <c r="AI228" s="512"/>
      <c r="AJ228" s="512"/>
      <c r="AK228" s="512"/>
      <c r="AL228" s="512"/>
      <c r="AM228" s="512"/>
      <c r="AN228" s="512"/>
      <c r="AO228" s="512"/>
      <c r="AP228" s="512"/>
    </row>
    <row r="229" spans="35:42">
      <c r="AI229" s="512"/>
      <c r="AJ229" s="512"/>
      <c r="AK229" s="512"/>
      <c r="AL229" s="512"/>
      <c r="AM229" s="512"/>
      <c r="AN229" s="512"/>
      <c r="AO229" s="512"/>
      <c r="AP229" s="512"/>
    </row>
    <row r="230" spans="35:42">
      <c r="AI230" s="512"/>
      <c r="AJ230" s="512"/>
      <c r="AK230" s="512"/>
      <c r="AL230" s="512"/>
      <c r="AM230" s="512"/>
      <c r="AN230" s="512"/>
      <c r="AO230" s="512"/>
      <c r="AP230" s="512"/>
    </row>
    <row r="231" spans="35:42">
      <c r="AI231" s="512"/>
      <c r="AJ231" s="512"/>
      <c r="AK231" s="512"/>
      <c r="AL231" s="512"/>
      <c r="AM231" s="512"/>
      <c r="AN231" s="512"/>
      <c r="AO231" s="512"/>
      <c r="AP231" s="512"/>
    </row>
    <row r="232" spans="35:42">
      <c r="AI232" s="512"/>
      <c r="AJ232" s="512"/>
      <c r="AK232" s="512"/>
      <c r="AL232" s="512"/>
      <c r="AM232" s="512"/>
      <c r="AN232" s="512"/>
      <c r="AO232" s="512"/>
      <c r="AP232" s="512"/>
    </row>
    <row r="233" spans="35:42">
      <c r="AI233" s="512"/>
      <c r="AJ233" s="512"/>
      <c r="AK233" s="512"/>
      <c r="AL233" s="512"/>
      <c r="AM233" s="512"/>
      <c r="AN233" s="512"/>
      <c r="AO233" s="512"/>
      <c r="AP233" s="512"/>
    </row>
    <row r="234" spans="35:42">
      <c r="AI234" s="512"/>
      <c r="AJ234" s="512"/>
      <c r="AK234" s="512"/>
      <c r="AL234" s="512"/>
      <c r="AM234" s="512"/>
      <c r="AN234" s="512"/>
      <c r="AO234" s="512"/>
      <c r="AP234" s="512"/>
    </row>
    <row r="235" spans="35:42">
      <c r="AI235" s="512"/>
      <c r="AJ235" s="512"/>
      <c r="AK235" s="512"/>
      <c r="AL235" s="512"/>
      <c r="AM235" s="512"/>
      <c r="AN235" s="512"/>
      <c r="AO235" s="512"/>
      <c r="AP235" s="512"/>
    </row>
    <row r="236" spans="35:42">
      <c r="AI236" s="512"/>
      <c r="AJ236" s="512"/>
      <c r="AK236" s="512"/>
      <c r="AL236" s="512"/>
      <c r="AM236" s="512"/>
      <c r="AN236" s="512"/>
      <c r="AO236" s="512"/>
      <c r="AP236" s="512"/>
    </row>
    <row r="237" spans="35:42">
      <c r="AI237" s="512"/>
      <c r="AJ237" s="512"/>
      <c r="AK237" s="512"/>
      <c r="AL237" s="512"/>
      <c r="AM237" s="512"/>
      <c r="AN237" s="512"/>
      <c r="AO237" s="512"/>
      <c r="AP237" s="512"/>
    </row>
    <row r="238" spans="35:42">
      <c r="AI238" s="512"/>
      <c r="AJ238" s="512"/>
      <c r="AK238" s="512"/>
      <c r="AL238" s="512"/>
      <c r="AM238" s="512"/>
      <c r="AN238" s="512"/>
      <c r="AO238" s="512"/>
      <c r="AP238" s="512"/>
    </row>
    <row r="239" spans="35:42">
      <c r="AI239" s="512"/>
      <c r="AJ239" s="512"/>
      <c r="AK239" s="512"/>
      <c r="AL239" s="512"/>
      <c r="AM239" s="512"/>
      <c r="AN239" s="512"/>
      <c r="AO239" s="512"/>
      <c r="AP239" s="512"/>
    </row>
    <row r="240" spans="35:42">
      <c r="AI240" s="512"/>
      <c r="AJ240" s="512"/>
      <c r="AK240" s="512"/>
      <c r="AL240" s="512"/>
      <c r="AM240" s="512"/>
      <c r="AN240" s="512"/>
      <c r="AO240" s="512"/>
      <c r="AP240" s="512"/>
    </row>
    <row r="241" spans="35:42">
      <c r="AI241" s="512"/>
      <c r="AJ241" s="512"/>
      <c r="AK241" s="512"/>
      <c r="AL241" s="512"/>
      <c r="AM241" s="512"/>
      <c r="AN241" s="512"/>
      <c r="AO241" s="512"/>
      <c r="AP241" s="512"/>
    </row>
    <row r="242" spans="35:42">
      <c r="AI242" s="512"/>
      <c r="AJ242" s="512"/>
      <c r="AK242" s="512"/>
      <c r="AL242" s="512"/>
      <c r="AM242" s="512"/>
      <c r="AN242" s="512"/>
      <c r="AO242" s="512"/>
      <c r="AP242" s="512"/>
    </row>
    <row r="243" spans="35:42">
      <c r="AI243" s="512"/>
      <c r="AJ243" s="512"/>
      <c r="AK243" s="512"/>
      <c r="AL243" s="512"/>
      <c r="AM243" s="512"/>
      <c r="AN243" s="512"/>
      <c r="AO243" s="512"/>
      <c r="AP243" s="512"/>
    </row>
    <row r="244" spans="35:42">
      <c r="AI244" s="512"/>
      <c r="AJ244" s="512"/>
      <c r="AK244" s="512"/>
      <c r="AL244" s="512"/>
      <c r="AM244" s="512"/>
      <c r="AN244" s="512"/>
      <c r="AO244" s="512"/>
      <c r="AP244" s="512"/>
    </row>
    <row r="245" spans="35:42">
      <c r="AI245" s="512"/>
      <c r="AJ245" s="512"/>
      <c r="AK245" s="512"/>
      <c r="AL245" s="512"/>
      <c r="AM245" s="512"/>
      <c r="AN245" s="512"/>
      <c r="AO245" s="512"/>
      <c r="AP245" s="512"/>
    </row>
    <row r="246" spans="35:42">
      <c r="AI246" s="512"/>
      <c r="AJ246" s="512"/>
      <c r="AK246" s="512"/>
      <c r="AL246" s="512"/>
      <c r="AM246" s="512"/>
      <c r="AN246" s="512"/>
      <c r="AO246" s="512"/>
      <c r="AP246" s="512"/>
    </row>
    <row r="247" spans="35:42">
      <c r="AI247" s="512"/>
      <c r="AJ247" s="512"/>
      <c r="AK247" s="512"/>
      <c r="AL247" s="512"/>
      <c r="AM247" s="512"/>
      <c r="AN247" s="512"/>
      <c r="AO247" s="512"/>
      <c r="AP247" s="512"/>
    </row>
    <row r="248" spans="35:42">
      <c r="AI248" s="512"/>
      <c r="AJ248" s="512"/>
      <c r="AK248" s="512"/>
      <c r="AL248" s="512"/>
      <c r="AM248" s="512"/>
      <c r="AN248" s="512"/>
      <c r="AO248" s="512"/>
      <c r="AP248" s="512"/>
    </row>
    <row r="249" spans="35:42">
      <c r="AI249" s="512"/>
      <c r="AJ249" s="512"/>
      <c r="AK249" s="512"/>
      <c r="AL249" s="512"/>
      <c r="AM249" s="512"/>
      <c r="AN249" s="512"/>
      <c r="AO249" s="512"/>
      <c r="AP249" s="512"/>
    </row>
    <row r="250" spans="35:42">
      <c r="AI250" s="512"/>
      <c r="AJ250" s="512"/>
      <c r="AK250" s="512"/>
      <c r="AL250" s="512"/>
      <c r="AM250" s="512"/>
      <c r="AN250" s="512"/>
      <c r="AO250" s="512"/>
      <c r="AP250" s="512"/>
    </row>
    <row r="251" spans="35:42">
      <c r="AI251" s="512"/>
      <c r="AJ251" s="512"/>
      <c r="AK251" s="512"/>
      <c r="AL251" s="512"/>
      <c r="AM251" s="512"/>
      <c r="AN251" s="512"/>
      <c r="AO251" s="512"/>
      <c r="AP251" s="512"/>
    </row>
    <row r="252" spans="35:42">
      <c r="AI252" s="512"/>
      <c r="AJ252" s="512"/>
      <c r="AK252" s="512"/>
      <c r="AL252" s="512"/>
      <c r="AM252" s="512"/>
      <c r="AN252" s="512"/>
      <c r="AO252" s="512"/>
      <c r="AP252" s="512"/>
    </row>
    <row r="253" spans="35:42">
      <c r="AI253" s="512"/>
      <c r="AJ253" s="512"/>
      <c r="AK253" s="512"/>
      <c r="AL253" s="512"/>
      <c r="AM253" s="512"/>
      <c r="AN253" s="512"/>
      <c r="AO253" s="512"/>
      <c r="AP253" s="512"/>
    </row>
    <row r="254" spans="35:42">
      <c r="AI254" s="512"/>
      <c r="AJ254" s="512"/>
      <c r="AK254" s="512"/>
      <c r="AL254" s="512"/>
      <c r="AM254" s="512"/>
      <c r="AN254" s="512"/>
      <c r="AO254" s="512"/>
      <c r="AP254" s="512"/>
    </row>
    <row r="255" spans="35:42">
      <c r="AI255" s="512"/>
      <c r="AJ255" s="512"/>
      <c r="AK255" s="512"/>
      <c r="AL255" s="512"/>
      <c r="AM255" s="512"/>
      <c r="AN255" s="512"/>
      <c r="AO255" s="512"/>
      <c r="AP255" s="512"/>
    </row>
    <row r="256" spans="35:42">
      <c r="AI256" s="512"/>
      <c r="AJ256" s="512"/>
      <c r="AK256" s="512"/>
      <c r="AL256" s="512"/>
      <c r="AM256" s="512"/>
      <c r="AN256" s="512"/>
      <c r="AO256" s="512"/>
      <c r="AP256" s="512"/>
    </row>
    <row r="257" spans="35:42">
      <c r="AI257" s="512"/>
      <c r="AJ257" s="512"/>
      <c r="AK257" s="512"/>
      <c r="AL257" s="512"/>
      <c r="AM257" s="512"/>
      <c r="AN257" s="512"/>
      <c r="AO257" s="512"/>
      <c r="AP257" s="512"/>
    </row>
    <row r="258" spans="35:42">
      <c r="AI258" s="512"/>
      <c r="AJ258" s="512"/>
      <c r="AK258" s="512"/>
      <c r="AL258" s="512"/>
      <c r="AM258" s="512"/>
      <c r="AN258" s="512"/>
      <c r="AO258" s="512"/>
      <c r="AP258" s="512"/>
    </row>
    <row r="259" spans="35:42">
      <c r="AI259" s="512"/>
      <c r="AJ259" s="512"/>
      <c r="AK259" s="512"/>
      <c r="AL259" s="512"/>
      <c r="AM259" s="512"/>
      <c r="AN259" s="512"/>
      <c r="AO259" s="512"/>
      <c r="AP259" s="512"/>
    </row>
    <row r="260" spans="35:42">
      <c r="AI260" s="512"/>
      <c r="AJ260" s="512"/>
      <c r="AK260" s="512"/>
      <c r="AL260" s="512"/>
      <c r="AM260" s="512"/>
      <c r="AN260" s="512"/>
      <c r="AO260" s="512"/>
      <c r="AP260" s="512"/>
    </row>
    <row r="261" spans="35:42">
      <c r="AI261" s="512"/>
      <c r="AJ261" s="512"/>
      <c r="AK261" s="512"/>
      <c r="AL261" s="512"/>
      <c r="AM261" s="512"/>
      <c r="AN261" s="512"/>
      <c r="AO261" s="512"/>
      <c r="AP261" s="512"/>
    </row>
    <row r="262" spans="35:42">
      <c r="AI262" s="512"/>
      <c r="AJ262" s="512"/>
      <c r="AK262" s="512"/>
      <c r="AL262" s="512"/>
      <c r="AM262" s="512"/>
      <c r="AN262" s="512"/>
      <c r="AO262" s="512"/>
      <c r="AP262" s="512"/>
    </row>
    <row r="263" spans="35:42">
      <c r="AI263" s="512"/>
      <c r="AJ263" s="512"/>
      <c r="AK263" s="512"/>
      <c r="AL263" s="512"/>
      <c r="AM263" s="512"/>
      <c r="AN263" s="512"/>
      <c r="AO263" s="512"/>
      <c r="AP263" s="512"/>
    </row>
    <row r="264" spans="35:42">
      <c r="AI264" s="512"/>
      <c r="AJ264" s="512"/>
      <c r="AK264" s="512"/>
      <c r="AL264" s="512"/>
      <c r="AM264" s="512"/>
      <c r="AN264" s="512"/>
      <c r="AO264" s="512"/>
      <c r="AP264" s="512"/>
    </row>
    <row r="265" spans="35:42">
      <c r="AI265" s="512"/>
      <c r="AJ265" s="512"/>
      <c r="AK265" s="512"/>
      <c r="AL265" s="512"/>
      <c r="AM265" s="512"/>
      <c r="AN265" s="512"/>
      <c r="AO265" s="512"/>
      <c r="AP265" s="512"/>
    </row>
    <row r="266" spans="35:42">
      <c r="AI266" s="512"/>
      <c r="AJ266" s="512"/>
      <c r="AK266" s="512"/>
      <c r="AL266" s="512"/>
      <c r="AM266" s="512"/>
      <c r="AN266" s="512"/>
      <c r="AO266" s="512"/>
      <c r="AP266" s="512"/>
    </row>
    <row r="267" spans="35:42">
      <c r="AI267" s="512"/>
      <c r="AJ267" s="512"/>
      <c r="AK267" s="512"/>
      <c r="AL267" s="512"/>
      <c r="AM267" s="512"/>
      <c r="AN267" s="512"/>
      <c r="AO267" s="512"/>
      <c r="AP267" s="512"/>
    </row>
    <row r="268" spans="35:42">
      <c r="AI268" s="512"/>
      <c r="AJ268" s="512"/>
      <c r="AK268" s="512"/>
      <c r="AL268" s="512"/>
      <c r="AM268" s="512"/>
      <c r="AN268" s="512"/>
      <c r="AO268" s="512"/>
      <c r="AP268" s="512"/>
    </row>
    <row r="269" spans="35:42">
      <c r="AI269" s="512"/>
      <c r="AJ269" s="512"/>
      <c r="AK269" s="512"/>
      <c r="AL269" s="512"/>
      <c r="AM269" s="512"/>
      <c r="AN269" s="512"/>
      <c r="AO269" s="512"/>
      <c r="AP269" s="512"/>
    </row>
    <row r="270" spans="35:42">
      <c r="AI270" s="512"/>
      <c r="AJ270" s="512"/>
      <c r="AK270" s="512"/>
      <c r="AL270" s="512"/>
      <c r="AM270" s="512"/>
      <c r="AN270" s="512"/>
      <c r="AO270" s="512"/>
      <c r="AP270" s="512"/>
    </row>
    <row r="271" spans="35:42">
      <c r="AI271" s="512"/>
      <c r="AJ271" s="512"/>
      <c r="AK271" s="512"/>
      <c r="AL271" s="512"/>
      <c r="AM271" s="512"/>
      <c r="AN271" s="512"/>
      <c r="AO271" s="512"/>
      <c r="AP271" s="512"/>
    </row>
    <row r="272" spans="35:42">
      <c r="AI272" s="512"/>
      <c r="AJ272" s="512"/>
      <c r="AK272" s="512"/>
      <c r="AL272" s="512"/>
      <c r="AM272" s="512"/>
      <c r="AN272" s="512"/>
      <c r="AO272" s="512"/>
      <c r="AP272" s="512"/>
    </row>
    <row r="273" spans="35:42">
      <c r="AI273" s="512"/>
      <c r="AJ273" s="512"/>
      <c r="AK273" s="512"/>
      <c r="AL273" s="512"/>
      <c r="AM273" s="512"/>
      <c r="AN273" s="512"/>
      <c r="AO273" s="512"/>
      <c r="AP273" s="512"/>
    </row>
    <row r="274" spans="35:42">
      <c r="AI274" s="512"/>
      <c r="AJ274" s="512"/>
      <c r="AK274" s="512"/>
      <c r="AL274" s="512"/>
      <c r="AM274" s="512"/>
      <c r="AN274" s="512"/>
      <c r="AO274" s="512"/>
      <c r="AP274" s="512"/>
    </row>
    <row r="275" spans="35:42">
      <c r="AI275" s="512"/>
      <c r="AJ275" s="512"/>
      <c r="AK275" s="512"/>
      <c r="AL275" s="512"/>
      <c r="AM275" s="512"/>
      <c r="AN275" s="512"/>
      <c r="AO275" s="512"/>
      <c r="AP275" s="512"/>
    </row>
    <row r="276" spans="35:42">
      <c r="AI276" s="512"/>
      <c r="AJ276" s="512"/>
      <c r="AK276" s="512"/>
      <c r="AL276" s="512"/>
      <c r="AM276" s="512"/>
      <c r="AN276" s="512"/>
      <c r="AO276" s="512"/>
      <c r="AP276" s="512"/>
    </row>
    <row r="277" spans="35:42">
      <c r="AI277" s="512"/>
      <c r="AJ277" s="512"/>
      <c r="AK277" s="512"/>
      <c r="AL277" s="512"/>
      <c r="AM277" s="512"/>
      <c r="AN277" s="512"/>
      <c r="AO277" s="512"/>
      <c r="AP277" s="512"/>
    </row>
    <row r="278" spans="35:42">
      <c r="AI278" s="512"/>
      <c r="AJ278" s="512"/>
      <c r="AK278" s="512"/>
      <c r="AL278" s="512"/>
      <c r="AM278" s="512"/>
      <c r="AN278" s="512"/>
      <c r="AO278" s="512"/>
      <c r="AP278" s="512"/>
    </row>
    <row r="279" spans="35:42">
      <c r="AI279" s="512"/>
      <c r="AJ279" s="512"/>
      <c r="AK279" s="512"/>
      <c r="AL279" s="512"/>
      <c r="AM279" s="512"/>
      <c r="AN279" s="512"/>
      <c r="AO279" s="512"/>
      <c r="AP279" s="512"/>
    </row>
    <row r="280" spans="35:42">
      <c r="AI280" s="512"/>
      <c r="AJ280" s="512"/>
      <c r="AK280" s="512"/>
      <c r="AL280" s="512"/>
      <c r="AM280" s="512"/>
      <c r="AN280" s="512"/>
      <c r="AO280" s="512"/>
      <c r="AP280" s="512"/>
    </row>
    <row r="281" spans="35:42">
      <c r="AI281" s="512"/>
      <c r="AJ281" s="512"/>
      <c r="AK281" s="512"/>
      <c r="AL281" s="512"/>
      <c r="AM281" s="512"/>
      <c r="AN281" s="512"/>
      <c r="AO281" s="512"/>
      <c r="AP281" s="512"/>
    </row>
    <row r="282" spans="35:42">
      <c r="AI282" s="512"/>
      <c r="AJ282" s="512"/>
      <c r="AK282" s="512"/>
      <c r="AL282" s="512"/>
      <c r="AM282" s="512"/>
      <c r="AN282" s="512"/>
      <c r="AO282" s="512"/>
      <c r="AP282" s="512"/>
    </row>
    <row r="283" spans="35:42">
      <c r="AI283" s="512"/>
      <c r="AJ283" s="512"/>
      <c r="AK283" s="512"/>
      <c r="AL283" s="512"/>
      <c r="AM283" s="512"/>
      <c r="AN283" s="512"/>
      <c r="AO283" s="512"/>
      <c r="AP283" s="512"/>
    </row>
    <row r="284" spans="35:42">
      <c r="AI284" s="512"/>
      <c r="AJ284" s="512"/>
      <c r="AK284" s="512"/>
      <c r="AL284" s="512"/>
      <c r="AM284" s="512"/>
      <c r="AN284" s="512"/>
      <c r="AO284" s="512"/>
      <c r="AP284" s="512"/>
    </row>
    <row r="285" spans="35:42">
      <c r="AI285" s="512"/>
      <c r="AJ285" s="512"/>
      <c r="AK285" s="512"/>
      <c r="AL285" s="512"/>
      <c r="AM285" s="512"/>
      <c r="AN285" s="512"/>
      <c r="AO285" s="512"/>
      <c r="AP285" s="512"/>
    </row>
    <row r="286" spans="35:42">
      <c r="AI286" s="512"/>
      <c r="AJ286" s="512"/>
      <c r="AK286" s="512"/>
      <c r="AL286" s="512"/>
      <c r="AM286" s="512"/>
      <c r="AN286" s="512"/>
      <c r="AO286" s="512"/>
      <c r="AP286" s="512"/>
    </row>
    <row r="287" spans="35:42">
      <c r="AI287" s="512"/>
      <c r="AJ287" s="512"/>
      <c r="AK287" s="512"/>
      <c r="AL287" s="512"/>
      <c r="AM287" s="512"/>
      <c r="AN287" s="512"/>
      <c r="AO287" s="512"/>
      <c r="AP287" s="512"/>
    </row>
    <row r="288" spans="35:42">
      <c r="AI288" s="512"/>
      <c r="AJ288" s="512"/>
      <c r="AK288" s="512"/>
      <c r="AL288" s="512"/>
      <c r="AM288" s="512"/>
      <c r="AN288" s="512"/>
      <c r="AO288" s="512"/>
      <c r="AP288" s="512"/>
    </row>
    <row r="289" spans="35:42">
      <c r="AI289" s="512"/>
      <c r="AJ289" s="512"/>
      <c r="AK289" s="512"/>
      <c r="AL289" s="512"/>
      <c r="AM289" s="512"/>
      <c r="AN289" s="512"/>
      <c r="AO289" s="512"/>
      <c r="AP289" s="512"/>
    </row>
    <row r="290" spans="35:42">
      <c r="AI290" s="512"/>
      <c r="AJ290" s="512"/>
      <c r="AK290" s="512"/>
      <c r="AL290" s="512"/>
      <c r="AM290" s="512"/>
      <c r="AN290" s="512"/>
      <c r="AO290" s="512"/>
      <c r="AP290" s="512"/>
    </row>
    <row r="291" spans="35:42">
      <c r="AI291" s="512"/>
      <c r="AJ291" s="512"/>
      <c r="AK291" s="512"/>
      <c r="AL291" s="512"/>
      <c r="AM291" s="512"/>
      <c r="AN291" s="512"/>
      <c r="AO291" s="512"/>
      <c r="AP291" s="512"/>
    </row>
    <row r="292" spans="35:42">
      <c r="AI292" s="512"/>
      <c r="AJ292" s="512"/>
      <c r="AK292" s="512"/>
      <c r="AL292" s="512"/>
      <c r="AM292" s="512"/>
      <c r="AN292" s="512"/>
      <c r="AO292" s="512"/>
      <c r="AP292" s="512"/>
    </row>
    <row r="293" spans="35:42">
      <c r="AI293" s="512"/>
      <c r="AJ293" s="512"/>
      <c r="AK293" s="512"/>
      <c r="AL293" s="512"/>
      <c r="AM293" s="512"/>
      <c r="AN293" s="512"/>
      <c r="AO293" s="512"/>
      <c r="AP293" s="512"/>
    </row>
    <row r="294" spans="35:42">
      <c r="AI294" s="512"/>
      <c r="AJ294" s="512"/>
      <c r="AK294" s="512"/>
      <c r="AL294" s="512"/>
      <c r="AM294" s="512"/>
      <c r="AN294" s="512"/>
      <c r="AO294" s="512"/>
      <c r="AP294" s="512"/>
    </row>
    <row r="295" spans="35:42">
      <c r="AI295" s="512"/>
      <c r="AJ295" s="512"/>
      <c r="AK295" s="512"/>
      <c r="AL295" s="512"/>
      <c r="AM295" s="512"/>
      <c r="AN295" s="512"/>
      <c r="AO295" s="512"/>
      <c r="AP295" s="512"/>
    </row>
    <row r="296" spans="35:42">
      <c r="AI296" s="512"/>
      <c r="AJ296" s="512"/>
      <c r="AK296" s="512"/>
      <c r="AL296" s="512"/>
      <c r="AM296" s="512"/>
      <c r="AN296" s="512"/>
      <c r="AO296" s="512"/>
      <c r="AP296" s="512"/>
    </row>
    <row r="297" spans="35:42">
      <c r="AI297" s="512"/>
      <c r="AJ297" s="512"/>
      <c r="AK297" s="512"/>
      <c r="AL297" s="512"/>
      <c r="AM297" s="512"/>
      <c r="AN297" s="512"/>
      <c r="AO297" s="512"/>
      <c r="AP297" s="512"/>
    </row>
    <row r="298" spans="35:42">
      <c r="AI298" s="512"/>
      <c r="AJ298" s="512"/>
      <c r="AK298" s="512"/>
      <c r="AL298" s="512"/>
      <c r="AM298" s="512"/>
      <c r="AN298" s="512"/>
      <c r="AO298" s="512"/>
      <c r="AP298" s="512"/>
    </row>
    <row r="299" spans="35:42">
      <c r="AI299" s="512"/>
      <c r="AJ299" s="512"/>
      <c r="AK299" s="512"/>
      <c r="AL299" s="512"/>
      <c r="AM299" s="512"/>
      <c r="AN299" s="512"/>
      <c r="AO299" s="512"/>
      <c r="AP299" s="512"/>
    </row>
    <row r="300" spans="35:42">
      <c r="AI300" s="512"/>
      <c r="AJ300" s="512"/>
      <c r="AK300" s="512"/>
      <c r="AL300" s="512"/>
      <c r="AM300" s="512"/>
      <c r="AN300" s="512"/>
      <c r="AO300" s="512"/>
      <c r="AP300" s="512"/>
    </row>
    <row r="301" spans="35:42">
      <c r="AI301" s="512"/>
      <c r="AJ301" s="512"/>
      <c r="AK301" s="512"/>
      <c r="AL301" s="512"/>
      <c r="AM301" s="512"/>
      <c r="AN301" s="512"/>
      <c r="AO301" s="512"/>
      <c r="AP301" s="512"/>
    </row>
    <row r="302" spans="35:42">
      <c r="AI302" s="512"/>
      <c r="AJ302" s="512"/>
      <c r="AK302" s="512"/>
      <c r="AL302" s="512"/>
      <c r="AM302" s="512"/>
      <c r="AN302" s="512"/>
      <c r="AO302" s="512"/>
      <c r="AP302" s="512"/>
    </row>
    <row r="303" spans="35:42">
      <c r="AI303" s="512"/>
      <c r="AJ303" s="512"/>
      <c r="AK303" s="512"/>
      <c r="AL303" s="512"/>
      <c r="AM303" s="512"/>
      <c r="AN303" s="512"/>
      <c r="AO303" s="512"/>
      <c r="AP303" s="512"/>
    </row>
    <row r="304" spans="35:42">
      <c r="AI304" s="512"/>
      <c r="AJ304" s="512"/>
      <c r="AK304" s="512"/>
      <c r="AL304" s="512"/>
      <c r="AM304" s="512"/>
      <c r="AN304" s="512"/>
      <c r="AO304" s="512"/>
      <c r="AP304" s="512"/>
    </row>
    <row r="305" spans="35:42">
      <c r="AI305" s="512"/>
      <c r="AJ305" s="512"/>
      <c r="AK305" s="512"/>
      <c r="AL305" s="512"/>
      <c r="AM305" s="512"/>
      <c r="AN305" s="512"/>
      <c r="AO305" s="512"/>
      <c r="AP305" s="512"/>
    </row>
    <row r="306" spans="35:42">
      <c r="AI306" s="512"/>
      <c r="AJ306" s="512"/>
      <c r="AK306" s="512"/>
      <c r="AL306" s="512"/>
      <c r="AM306" s="512"/>
      <c r="AN306" s="512"/>
      <c r="AO306" s="512"/>
      <c r="AP306" s="512"/>
    </row>
    <row r="307" spans="35:42">
      <c r="AI307" s="512"/>
      <c r="AJ307" s="512"/>
      <c r="AK307" s="512"/>
      <c r="AL307" s="512"/>
      <c r="AM307" s="512"/>
      <c r="AN307" s="512"/>
      <c r="AO307" s="512"/>
      <c r="AP307" s="512"/>
    </row>
    <row r="308" spans="35:42">
      <c r="AI308" s="512"/>
      <c r="AJ308" s="512"/>
      <c r="AK308" s="512"/>
      <c r="AL308" s="512"/>
      <c r="AM308" s="512"/>
      <c r="AN308" s="512"/>
      <c r="AO308" s="512"/>
      <c r="AP308" s="512"/>
    </row>
    <row r="309" spans="35:42">
      <c r="AI309" s="512"/>
      <c r="AJ309" s="512"/>
      <c r="AK309" s="512"/>
      <c r="AL309" s="512"/>
      <c r="AM309" s="512"/>
      <c r="AN309" s="512"/>
      <c r="AO309" s="512"/>
      <c r="AP309" s="512"/>
    </row>
    <row r="310" spans="35:42">
      <c r="AI310" s="512"/>
      <c r="AJ310" s="512"/>
      <c r="AK310" s="512"/>
      <c r="AL310" s="512"/>
      <c r="AM310" s="512"/>
      <c r="AN310" s="512"/>
      <c r="AO310" s="512"/>
      <c r="AP310" s="512"/>
    </row>
    <row r="311" spans="35:42">
      <c r="AI311" s="512"/>
      <c r="AJ311" s="512"/>
      <c r="AK311" s="512"/>
      <c r="AL311" s="512"/>
      <c r="AM311" s="512"/>
      <c r="AN311" s="512"/>
      <c r="AO311" s="512"/>
      <c r="AP311" s="512"/>
    </row>
    <row r="312" spans="35:42">
      <c r="AI312" s="512"/>
      <c r="AJ312" s="512"/>
      <c r="AK312" s="512"/>
      <c r="AL312" s="512"/>
      <c r="AM312" s="512"/>
      <c r="AN312" s="512"/>
      <c r="AO312" s="512"/>
      <c r="AP312" s="512"/>
    </row>
    <row r="313" spans="35:42">
      <c r="AI313" s="512"/>
      <c r="AJ313" s="512"/>
      <c r="AK313" s="512"/>
      <c r="AL313" s="512"/>
      <c r="AM313" s="512"/>
      <c r="AN313" s="512"/>
      <c r="AO313" s="512"/>
      <c r="AP313" s="512"/>
    </row>
    <row r="314" spans="35:42">
      <c r="AI314" s="512"/>
      <c r="AJ314" s="512"/>
      <c r="AK314" s="512"/>
      <c r="AL314" s="512"/>
      <c r="AM314" s="512"/>
      <c r="AN314" s="512"/>
      <c r="AO314" s="512"/>
      <c r="AP314" s="512"/>
    </row>
    <row r="315" spans="35:42">
      <c r="AI315" s="512"/>
      <c r="AJ315" s="512"/>
      <c r="AK315" s="512"/>
      <c r="AL315" s="512"/>
      <c r="AM315" s="512"/>
      <c r="AN315" s="512"/>
      <c r="AO315" s="512"/>
      <c r="AP315" s="512"/>
    </row>
    <row r="316" spans="35:42">
      <c r="AI316" s="512"/>
      <c r="AJ316" s="512"/>
      <c r="AK316" s="512"/>
      <c r="AL316" s="512"/>
      <c r="AM316" s="512"/>
      <c r="AN316" s="512"/>
      <c r="AO316" s="512"/>
      <c r="AP316" s="512"/>
    </row>
    <row r="317" spans="35:42">
      <c r="AI317" s="512"/>
      <c r="AJ317" s="512"/>
      <c r="AK317" s="512"/>
      <c r="AL317" s="512"/>
      <c r="AM317" s="512"/>
      <c r="AN317" s="512"/>
      <c r="AO317" s="512"/>
      <c r="AP317" s="512"/>
    </row>
    <row r="318" spans="35:42">
      <c r="AI318" s="512"/>
      <c r="AJ318" s="512"/>
      <c r="AK318" s="512"/>
      <c r="AL318" s="512"/>
      <c r="AM318" s="512"/>
      <c r="AN318" s="512"/>
      <c r="AO318" s="512"/>
      <c r="AP318" s="512"/>
    </row>
    <row r="319" spans="35:42">
      <c r="AI319" s="512"/>
      <c r="AJ319" s="512"/>
      <c r="AK319" s="512"/>
      <c r="AL319" s="512"/>
      <c r="AM319" s="512"/>
      <c r="AN319" s="512"/>
      <c r="AO319" s="512"/>
      <c r="AP319" s="512"/>
    </row>
    <row r="320" spans="35:42">
      <c r="AI320" s="512"/>
      <c r="AJ320" s="512"/>
      <c r="AK320" s="512"/>
      <c r="AL320" s="512"/>
      <c r="AM320" s="512"/>
      <c r="AN320" s="512"/>
      <c r="AO320" s="512"/>
      <c r="AP320" s="512"/>
    </row>
    <row r="321" spans="35:42">
      <c r="AI321" s="512"/>
      <c r="AJ321" s="512"/>
      <c r="AK321" s="512"/>
      <c r="AL321" s="512"/>
      <c r="AM321" s="512"/>
      <c r="AN321" s="512"/>
      <c r="AO321" s="512"/>
      <c r="AP321" s="512"/>
    </row>
    <row r="322" spans="35:42">
      <c r="AI322" s="512"/>
      <c r="AJ322" s="512"/>
      <c r="AK322" s="512"/>
      <c r="AL322" s="512"/>
      <c r="AM322" s="512"/>
      <c r="AN322" s="512"/>
      <c r="AO322" s="512"/>
      <c r="AP322" s="512"/>
    </row>
    <row r="323" spans="35:42">
      <c r="AI323" s="512"/>
      <c r="AJ323" s="512"/>
      <c r="AK323" s="512"/>
      <c r="AL323" s="512"/>
      <c r="AM323" s="512"/>
      <c r="AN323" s="512"/>
      <c r="AO323" s="512"/>
      <c r="AP323" s="512"/>
    </row>
    <row r="324" spans="35:42">
      <c r="AI324" s="512"/>
      <c r="AJ324" s="512"/>
      <c r="AK324" s="512"/>
      <c r="AL324" s="512"/>
      <c r="AM324" s="512"/>
      <c r="AN324" s="512"/>
      <c r="AO324" s="512"/>
      <c r="AP324" s="512"/>
    </row>
    <row r="325" spans="35:42">
      <c r="AI325" s="512"/>
      <c r="AJ325" s="512"/>
      <c r="AK325" s="512"/>
      <c r="AL325" s="512"/>
      <c r="AM325" s="512"/>
      <c r="AN325" s="512"/>
      <c r="AO325" s="512"/>
      <c r="AP325" s="512"/>
    </row>
    <row r="326" spans="35:42">
      <c r="AI326" s="512"/>
      <c r="AJ326" s="512"/>
      <c r="AK326" s="512"/>
      <c r="AL326" s="512"/>
      <c r="AM326" s="512"/>
      <c r="AN326" s="512"/>
      <c r="AO326" s="512"/>
      <c r="AP326" s="512"/>
    </row>
    <row r="327" spans="35:42">
      <c r="AI327" s="512"/>
      <c r="AJ327" s="512"/>
      <c r="AK327" s="512"/>
      <c r="AL327" s="512"/>
      <c r="AM327" s="512"/>
      <c r="AN327" s="512"/>
      <c r="AO327" s="512"/>
      <c r="AP327" s="512"/>
    </row>
    <row r="328" spans="35:42">
      <c r="AI328" s="512"/>
      <c r="AJ328" s="512"/>
      <c r="AK328" s="512"/>
      <c r="AL328" s="512"/>
      <c r="AM328" s="512"/>
      <c r="AN328" s="512"/>
      <c r="AO328" s="512"/>
      <c r="AP328" s="512"/>
    </row>
    <row r="329" spans="35:42">
      <c r="AI329" s="512"/>
      <c r="AJ329" s="512"/>
      <c r="AK329" s="512"/>
      <c r="AL329" s="512"/>
      <c r="AM329" s="512"/>
      <c r="AN329" s="512"/>
      <c r="AO329" s="512"/>
      <c r="AP329" s="512"/>
    </row>
    <row r="330" spans="35:42">
      <c r="AI330" s="512"/>
      <c r="AJ330" s="512"/>
      <c r="AK330" s="512"/>
      <c r="AL330" s="512"/>
      <c r="AM330" s="512"/>
      <c r="AN330" s="512"/>
      <c r="AO330" s="512"/>
      <c r="AP330" s="512"/>
    </row>
    <row r="331" spans="35:42">
      <c r="AI331" s="512"/>
      <c r="AJ331" s="512"/>
      <c r="AK331" s="512"/>
      <c r="AL331" s="512"/>
      <c r="AM331" s="512"/>
      <c r="AN331" s="512"/>
      <c r="AO331" s="512"/>
      <c r="AP331" s="512"/>
    </row>
    <row r="332" spans="35:42">
      <c r="AI332" s="512"/>
      <c r="AJ332" s="512"/>
      <c r="AK332" s="512"/>
      <c r="AL332" s="512"/>
      <c r="AM332" s="512"/>
      <c r="AN332" s="512"/>
      <c r="AO332" s="512"/>
      <c r="AP332" s="512"/>
    </row>
    <row r="333" spans="35:42">
      <c r="AI333" s="512"/>
      <c r="AJ333" s="512"/>
      <c r="AK333" s="512"/>
      <c r="AL333" s="512"/>
      <c r="AM333" s="512"/>
      <c r="AN333" s="512"/>
      <c r="AO333" s="512"/>
      <c r="AP333" s="512"/>
    </row>
    <row r="334" spans="35:42">
      <c r="AI334" s="512"/>
      <c r="AJ334" s="512"/>
      <c r="AK334" s="512"/>
      <c r="AL334" s="512"/>
      <c r="AM334" s="512"/>
      <c r="AN334" s="512"/>
      <c r="AO334" s="512"/>
      <c r="AP334" s="512"/>
    </row>
    <row r="335" spans="35:42">
      <c r="AI335" s="512"/>
      <c r="AJ335" s="512"/>
      <c r="AK335" s="512"/>
      <c r="AL335" s="512"/>
      <c r="AM335" s="512"/>
      <c r="AN335" s="512"/>
      <c r="AO335" s="512"/>
      <c r="AP335" s="512"/>
    </row>
    <row r="336" spans="35:42">
      <c r="AI336" s="512"/>
      <c r="AJ336" s="512"/>
      <c r="AK336" s="512"/>
      <c r="AL336" s="512"/>
      <c r="AM336" s="512"/>
      <c r="AN336" s="512"/>
      <c r="AO336" s="512"/>
      <c r="AP336" s="512"/>
    </row>
    <row r="337" spans="35:42">
      <c r="AI337" s="512"/>
      <c r="AJ337" s="512"/>
      <c r="AK337" s="512"/>
      <c r="AL337" s="512"/>
      <c r="AM337" s="512"/>
      <c r="AN337" s="512"/>
      <c r="AO337" s="512"/>
      <c r="AP337" s="512"/>
    </row>
    <row r="338" spans="35:42">
      <c r="AI338" s="512"/>
      <c r="AJ338" s="512"/>
      <c r="AK338" s="512"/>
      <c r="AL338" s="512"/>
      <c r="AM338" s="512"/>
      <c r="AN338" s="512"/>
      <c r="AO338" s="512"/>
      <c r="AP338" s="512"/>
    </row>
    <row r="339" spans="35:42">
      <c r="AI339" s="512"/>
      <c r="AJ339" s="512"/>
      <c r="AK339" s="512"/>
      <c r="AL339" s="512"/>
      <c r="AM339" s="512"/>
      <c r="AN339" s="512"/>
      <c r="AO339" s="512"/>
      <c r="AP339" s="512"/>
    </row>
    <row r="340" spans="35:42">
      <c r="AI340" s="512"/>
      <c r="AJ340" s="512"/>
      <c r="AK340" s="512"/>
      <c r="AL340" s="512"/>
      <c r="AM340" s="512"/>
      <c r="AN340" s="512"/>
      <c r="AO340" s="512"/>
      <c r="AP340" s="512"/>
    </row>
    <row r="341" spans="35:42">
      <c r="AI341" s="512"/>
      <c r="AJ341" s="512"/>
      <c r="AK341" s="512"/>
      <c r="AL341" s="512"/>
      <c r="AM341" s="512"/>
      <c r="AN341" s="512"/>
      <c r="AO341" s="512"/>
      <c r="AP341" s="512"/>
    </row>
    <row r="342" spans="35:42">
      <c r="AI342" s="512"/>
      <c r="AJ342" s="512"/>
      <c r="AK342" s="512"/>
      <c r="AL342" s="512"/>
      <c r="AM342" s="512"/>
      <c r="AN342" s="512"/>
      <c r="AO342" s="512"/>
      <c r="AP342" s="512"/>
    </row>
    <row r="343" spans="35:42">
      <c r="AI343" s="512"/>
      <c r="AJ343" s="512"/>
      <c r="AK343" s="512"/>
      <c r="AL343" s="512"/>
      <c r="AM343" s="512"/>
      <c r="AN343" s="512"/>
      <c r="AO343" s="512"/>
      <c r="AP343" s="512"/>
    </row>
    <row r="344" spans="35:42">
      <c r="AI344" s="512"/>
      <c r="AJ344" s="512"/>
      <c r="AK344" s="512"/>
      <c r="AL344" s="512"/>
      <c r="AM344" s="512"/>
      <c r="AN344" s="512"/>
      <c r="AO344" s="512"/>
      <c r="AP344" s="512"/>
    </row>
    <row r="345" spans="35:42">
      <c r="AI345" s="512"/>
      <c r="AJ345" s="512"/>
      <c r="AK345" s="512"/>
      <c r="AL345" s="512"/>
      <c r="AM345" s="512"/>
      <c r="AN345" s="512"/>
      <c r="AO345" s="512"/>
      <c r="AP345" s="512"/>
    </row>
    <row r="346" spans="35:42">
      <c r="AI346" s="512"/>
      <c r="AJ346" s="512"/>
      <c r="AK346" s="512"/>
      <c r="AL346" s="512"/>
      <c r="AM346" s="512"/>
      <c r="AN346" s="512"/>
      <c r="AO346" s="512"/>
      <c r="AP346" s="512"/>
    </row>
    <row r="347" spans="35:42">
      <c r="AI347" s="512"/>
      <c r="AJ347" s="512"/>
      <c r="AK347" s="512"/>
      <c r="AL347" s="512"/>
      <c r="AM347" s="512"/>
      <c r="AN347" s="512"/>
      <c r="AO347" s="512"/>
      <c r="AP347" s="512"/>
    </row>
    <row r="348" spans="35:42">
      <c r="AI348" s="512"/>
      <c r="AJ348" s="512"/>
      <c r="AK348" s="512"/>
      <c r="AL348" s="512"/>
      <c r="AM348" s="512"/>
      <c r="AN348" s="512"/>
      <c r="AO348" s="512"/>
      <c r="AP348" s="512"/>
    </row>
    <row r="349" spans="35:42">
      <c r="AI349" s="512"/>
      <c r="AJ349" s="512"/>
      <c r="AK349" s="512"/>
      <c r="AL349" s="512"/>
      <c r="AM349" s="512"/>
      <c r="AN349" s="512"/>
      <c r="AO349" s="512"/>
      <c r="AP349" s="512"/>
    </row>
    <row r="350" spans="35:42">
      <c r="AI350" s="512"/>
      <c r="AJ350" s="512"/>
      <c r="AK350" s="512"/>
      <c r="AL350" s="512"/>
      <c r="AM350" s="512"/>
      <c r="AN350" s="512"/>
      <c r="AO350" s="512"/>
      <c r="AP350" s="512"/>
    </row>
    <row r="351" spans="35:42">
      <c r="AI351" s="512"/>
      <c r="AJ351" s="512"/>
      <c r="AK351" s="512"/>
      <c r="AL351" s="512"/>
      <c r="AM351" s="512"/>
      <c r="AN351" s="512"/>
      <c r="AO351" s="512"/>
      <c r="AP351" s="512"/>
    </row>
    <row r="352" spans="35:42">
      <c r="AI352" s="512"/>
      <c r="AJ352" s="512"/>
      <c r="AK352" s="512"/>
      <c r="AL352" s="512"/>
      <c r="AM352" s="512"/>
      <c r="AN352" s="512"/>
      <c r="AO352" s="512"/>
      <c r="AP352" s="512"/>
    </row>
    <row r="353" spans="35:42">
      <c r="AI353" s="512"/>
      <c r="AJ353" s="512"/>
      <c r="AK353" s="512"/>
      <c r="AL353" s="512"/>
      <c r="AM353" s="512"/>
      <c r="AN353" s="512"/>
      <c r="AO353" s="512"/>
      <c r="AP353" s="512"/>
    </row>
    <row r="354" spans="35:42">
      <c r="AI354" s="512"/>
      <c r="AJ354" s="512"/>
      <c r="AK354" s="512"/>
      <c r="AL354" s="512"/>
      <c r="AM354" s="512"/>
      <c r="AN354" s="512"/>
      <c r="AO354" s="512"/>
      <c r="AP354" s="512"/>
    </row>
    <row r="355" spans="35:42">
      <c r="AI355" s="512"/>
      <c r="AJ355" s="512"/>
      <c r="AK355" s="512"/>
      <c r="AL355" s="512"/>
      <c r="AM355" s="512"/>
      <c r="AN355" s="512"/>
      <c r="AO355" s="512"/>
      <c r="AP355" s="512"/>
    </row>
    <row r="356" spans="35:42">
      <c r="AI356" s="512"/>
      <c r="AJ356" s="512"/>
      <c r="AK356" s="512"/>
      <c r="AL356" s="512"/>
      <c r="AM356" s="512"/>
      <c r="AN356" s="512"/>
      <c r="AO356" s="512"/>
      <c r="AP356" s="512"/>
    </row>
    <row r="357" spans="35:42">
      <c r="AI357" s="512"/>
      <c r="AJ357" s="512"/>
      <c r="AK357" s="512"/>
      <c r="AL357" s="512"/>
      <c r="AM357" s="512"/>
      <c r="AN357" s="512"/>
      <c r="AO357" s="512"/>
      <c r="AP357" s="512"/>
    </row>
    <row r="358" spans="35:42">
      <c r="AI358" s="512"/>
      <c r="AJ358" s="512"/>
      <c r="AK358" s="512"/>
      <c r="AL358" s="512"/>
      <c r="AM358" s="512"/>
      <c r="AN358" s="512"/>
      <c r="AO358" s="512"/>
      <c r="AP358" s="512"/>
    </row>
    <row r="359" spans="35:42">
      <c r="AI359" s="512"/>
      <c r="AJ359" s="512"/>
      <c r="AK359" s="512"/>
      <c r="AL359" s="512"/>
      <c r="AM359" s="512"/>
      <c r="AN359" s="512"/>
      <c r="AO359" s="512"/>
      <c r="AP359" s="512"/>
    </row>
    <row r="360" spans="35:42">
      <c r="AI360" s="512"/>
      <c r="AJ360" s="512"/>
      <c r="AK360" s="512"/>
      <c r="AL360" s="512"/>
      <c r="AM360" s="512"/>
      <c r="AN360" s="512"/>
      <c r="AO360" s="512"/>
      <c r="AP360" s="512"/>
    </row>
    <row r="361" spans="35:42">
      <c r="AI361" s="512"/>
      <c r="AJ361" s="512"/>
      <c r="AK361" s="512"/>
      <c r="AL361" s="512"/>
      <c r="AM361" s="512"/>
      <c r="AN361" s="512"/>
      <c r="AO361" s="512"/>
      <c r="AP361" s="512"/>
    </row>
    <row r="362" spans="35:42">
      <c r="AI362" s="512"/>
      <c r="AJ362" s="512"/>
      <c r="AK362" s="512"/>
      <c r="AL362" s="512"/>
      <c r="AM362" s="512"/>
      <c r="AN362" s="512"/>
      <c r="AO362" s="512"/>
      <c r="AP362" s="512"/>
    </row>
    <row r="363" spans="35:42">
      <c r="AI363" s="512"/>
      <c r="AJ363" s="512"/>
      <c r="AK363" s="512"/>
      <c r="AL363" s="512"/>
      <c r="AM363" s="512"/>
      <c r="AN363" s="512"/>
      <c r="AO363" s="512"/>
      <c r="AP363" s="512"/>
    </row>
    <row r="364" spans="35:42">
      <c r="AI364" s="512"/>
      <c r="AJ364" s="512"/>
      <c r="AK364" s="512"/>
      <c r="AL364" s="512"/>
      <c r="AM364" s="512"/>
      <c r="AN364" s="512"/>
      <c r="AO364" s="512"/>
      <c r="AP364" s="512"/>
    </row>
    <row r="365" spans="35:42">
      <c r="AI365" s="512"/>
      <c r="AJ365" s="512"/>
      <c r="AK365" s="512"/>
      <c r="AL365" s="512"/>
      <c r="AM365" s="512"/>
      <c r="AN365" s="512"/>
      <c r="AO365" s="512"/>
      <c r="AP365" s="512"/>
    </row>
    <row r="366" spans="35:42">
      <c r="AI366" s="512"/>
      <c r="AJ366" s="512"/>
      <c r="AK366" s="512"/>
      <c r="AL366" s="512"/>
      <c r="AM366" s="512"/>
      <c r="AN366" s="512"/>
      <c r="AO366" s="512"/>
      <c r="AP366" s="512"/>
    </row>
    <row r="367" spans="35:42">
      <c r="AI367" s="512"/>
      <c r="AJ367" s="512"/>
      <c r="AK367" s="512"/>
      <c r="AL367" s="512"/>
      <c r="AM367" s="512"/>
      <c r="AN367" s="512"/>
      <c r="AO367" s="512"/>
      <c r="AP367" s="512"/>
    </row>
    <row r="368" spans="35:42">
      <c r="AI368" s="512"/>
      <c r="AJ368" s="512"/>
      <c r="AK368" s="512"/>
      <c r="AL368" s="512"/>
      <c r="AM368" s="512"/>
      <c r="AN368" s="512"/>
      <c r="AO368" s="512"/>
      <c r="AP368" s="512"/>
    </row>
    <row r="369" spans="35:42">
      <c r="AI369" s="512"/>
      <c r="AJ369" s="512"/>
      <c r="AK369" s="512"/>
      <c r="AL369" s="512"/>
      <c r="AM369" s="512"/>
      <c r="AN369" s="512"/>
      <c r="AO369" s="512"/>
      <c r="AP369" s="512"/>
    </row>
    <row r="370" spans="35:42">
      <c r="AI370" s="512"/>
      <c r="AJ370" s="512"/>
      <c r="AK370" s="512"/>
      <c r="AL370" s="512"/>
      <c r="AM370" s="512"/>
      <c r="AN370" s="512"/>
      <c r="AO370" s="512"/>
      <c r="AP370" s="512"/>
    </row>
    <row r="371" spans="35:42">
      <c r="AI371" s="512"/>
      <c r="AJ371" s="512"/>
      <c r="AK371" s="512"/>
      <c r="AL371" s="512"/>
      <c r="AM371" s="512"/>
      <c r="AN371" s="512"/>
      <c r="AO371" s="512"/>
      <c r="AP371" s="512"/>
    </row>
    <row r="372" spans="35:42">
      <c r="AI372" s="512"/>
      <c r="AJ372" s="512"/>
      <c r="AK372" s="512"/>
      <c r="AL372" s="512"/>
      <c r="AM372" s="512"/>
      <c r="AN372" s="512"/>
      <c r="AO372" s="512"/>
      <c r="AP372" s="512"/>
    </row>
    <row r="373" spans="35:42">
      <c r="AI373" s="512"/>
      <c r="AJ373" s="512"/>
      <c r="AK373" s="512"/>
      <c r="AL373" s="512"/>
      <c r="AM373" s="512"/>
      <c r="AN373" s="512"/>
      <c r="AO373" s="512"/>
      <c r="AP373" s="512"/>
    </row>
    <row r="374" spans="35:42">
      <c r="AI374" s="512"/>
      <c r="AJ374" s="512"/>
      <c r="AK374" s="512"/>
      <c r="AL374" s="512"/>
      <c r="AM374" s="512"/>
      <c r="AN374" s="512"/>
      <c r="AO374" s="512"/>
      <c r="AP374" s="512"/>
    </row>
    <row r="375" spans="35:42">
      <c r="AI375" s="512"/>
      <c r="AJ375" s="512"/>
      <c r="AK375" s="512"/>
      <c r="AL375" s="512"/>
      <c r="AM375" s="512"/>
      <c r="AN375" s="512"/>
      <c r="AO375" s="512"/>
      <c r="AP375" s="512"/>
    </row>
    <row r="376" spans="35:42">
      <c r="AI376" s="512"/>
      <c r="AJ376" s="512"/>
      <c r="AK376" s="512"/>
      <c r="AL376" s="512"/>
      <c r="AM376" s="512"/>
      <c r="AN376" s="512"/>
      <c r="AO376" s="512"/>
      <c r="AP376" s="512"/>
    </row>
    <row r="377" spans="35:42">
      <c r="AI377" s="512"/>
      <c r="AJ377" s="512"/>
      <c r="AK377" s="512"/>
      <c r="AL377" s="512"/>
      <c r="AM377" s="512"/>
      <c r="AN377" s="512"/>
      <c r="AO377" s="512"/>
      <c r="AP377" s="512"/>
    </row>
    <row r="378" spans="35:42">
      <c r="AI378" s="512"/>
      <c r="AJ378" s="512"/>
      <c r="AK378" s="512"/>
      <c r="AL378" s="512"/>
      <c r="AM378" s="512"/>
      <c r="AN378" s="512"/>
      <c r="AO378" s="512"/>
      <c r="AP378" s="512"/>
    </row>
    <row r="379" spans="35:42">
      <c r="AI379" s="512"/>
      <c r="AJ379" s="512"/>
      <c r="AK379" s="512"/>
      <c r="AL379" s="512"/>
      <c r="AM379" s="512"/>
      <c r="AN379" s="512"/>
      <c r="AO379" s="512"/>
      <c r="AP379" s="512"/>
    </row>
    <row r="380" spans="35:42">
      <c r="AI380" s="512"/>
      <c r="AJ380" s="512"/>
      <c r="AK380" s="512"/>
      <c r="AL380" s="512"/>
      <c r="AM380" s="512"/>
      <c r="AN380" s="512"/>
      <c r="AO380" s="512"/>
      <c r="AP380" s="512"/>
    </row>
    <row r="381" spans="35:42">
      <c r="AI381" s="512"/>
      <c r="AJ381" s="512"/>
      <c r="AK381" s="512"/>
      <c r="AL381" s="512"/>
      <c r="AM381" s="512"/>
      <c r="AN381" s="512"/>
      <c r="AO381" s="512"/>
      <c r="AP381" s="512"/>
    </row>
    <row r="382" spans="35:42">
      <c r="AI382" s="512"/>
      <c r="AJ382" s="512"/>
      <c r="AK382" s="512"/>
      <c r="AL382" s="512"/>
      <c r="AM382" s="512"/>
      <c r="AN382" s="512"/>
      <c r="AO382" s="512"/>
      <c r="AP382" s="512"/>
    </row>
    <row r="383" spans="35:42">
      <c r="AI383" s="512"/>
      <c r="AJ383" s="512"/>
      <c r="AK383" s="512"/>
      <c r="AL383" s="512"/>
      <c r="AM383" s="512"/>
      <c r="AN383" s="512"/>
      <c r="AO383" s="512"/>
      <c r="AP383" s="512"/>
    </row>
    <row r="384" spans="35:42">
      <c r="AI384" s="512"/>
      <c r="AJ384" s="512"/>
      <c r="AK384" s="512"/>
      <c r="AL384" s="512"/>
      <c r="AM384" s="512"/>
      <c r="AN384" s="512"/>
      <c r="AO384" s="512"/>
      <c r="AP384" s="512"/>
    </row>
    <row r="385" spans="35:42">
      <c r="AI385" s="512"/>
      <c r="AJ385" s="512"/>
      <c r="AK385" s="512"/>
      <c r="AL385" s="512"/>
      <c r="AM385" s="512"/>
      <c r="AN385" s="512"/>
      <c r="AO385" s="512"/>
      <c r="AP385" s="512"/>
    </row>
    <row r="386" spans="35:42">
      <c r="AI386" s="512"/>
      <c r="AJ386" s="512"/>
      <c r="AK386" s="512"/>
      <c r="AL386" s="512"/>
      <c r="AM386" s="512"/>
      <c r="AN386" s="512"/>
      <c r="AO386" s="512"/>
      <c r="AP386" s="512"/>
    </row>
    <row r="387" spans="35:42">
      <c r="AI387" s="512"/>
      <c r="AJ387" s="512"/>
      <c r="AK387" s="512"/>
      <c r="AL387" s="512"/>
      <c r="AM387" s="512"/>
      <c r="AN387" s="512"/>
      <c r="AO387" s="512"/>
      <c r="AP387" s="512"/>
    </row>
    <row r="388" spans="35:42">
      <c r="AI388" s="512"/>
      <c r="AJ388" s="512"/>
      <c r="AK388" s="512"/>
      <c r="AL388" s="512"/>
      <c r="AM388" s="512"/>
      <c r="AN388" s="512"/>
      <c r="AO388" s="512"/>
      <c r="AP388" s="512"/>
    </row>
    <row r="389" spans="35:42">
      <c r="AI389" s="512"/>
      <c r="AJ389" s="512"/>
      <c r="AK389" s="512"/>
      <c r="AL389" s="512"/>
      <c r="AM389" s="512"/>
      <c r="AN389" s="512"/>
      <c r="AO389" s="512"/>
      <c r="AP389" s="512"/>
    </row>
    <row r="390" spans="35:42">
      <c r="AI390" s="512"/>
      <c r="AJ390" s="512"/>
      <c r="AK390" s="512"/>
      <c r="AL390" s="512"/>
      <c r="AM390" s="512"/>
      <c r="AN390" s="512"/>
      <c r="AO390" s="512"/>
      <c r="AP390" s="512"/>
    </row>
    <row r="391" spans="35:42">
      <c r="AI391" s="512"/>
      <c r="AJ391" s="512"/>
      <c r="AK391" s="512"/>
      <c r="AL391" s="512"/>
      <c r="AM391" s="512"/>
      <c r="AN391" s="512"/>
      <c r="AO391" s="512"/>
      <c r="AP391" s="512"/>
    </row>
    <row r="392" spans="35:42">
      <c r="AI392" s="512"/>
      <c r="AJ392" s="512"/>
      <c r="AK392" s="512"/>
      <c r="AL392" s="512"/>
      <c r="AM392" s="512"/>
      <c r="AN392" s="512"/>
      <c r="AO392" s="512"/>
      <c r="AP392" s="512"/>
    </row>
    <row r="393" spans="35:42">
      <c r="AI393" s="512"/>
      <c r="AJ393" s="512"/>
      <c r="AK393" s="512"/>
      <c r="AL393" s="512"/>
      <c r="AM393" s="512"/>
      <c r="AN393" s="512"/>
      <c r="AO393" s="512"/>
      <c r="AP393" s="512"/>
    </row>
    <row r="394" spans="35:42">
      <c r="AI394" s="512"/>
      <c r="AJ394" s="512"/>
      <c r="AK394" s="512"/>
      <c r="AL394" s="512"/>
      <c r="AM394" s="512"/>
      <c r="AN394" s="512"/>
      <c r="AO394" s="512"/>
      <c r="AP394" s="512"/>
    </row>
    <row r="395" spans="35:42">
      <c r="AI395" s="512"/>
      <c r="AJ395" s="512"/>
      <c r="AK395" s="512"/>
      <c r="AL395" s="512"/>
      <c r="AM395" s="512"/>
      <c r="AN395" s="512"/>
      <c r="AO395" s="512"/>
      <c r="AP395" s="512"/>
    </row>
    <row r="396" spans="35:42">
      <c r="AI396" s="512"/>
      <c r="AJ396" s="512"/>
      <c r="AK396" s="512"/>
      <c r="AL396" s="512"/>
      <c r="AM396" s="512"/>
      <c r="AN396" s="512"/>
      <c r="AO396" s="512"/>
      <c r="AP396" s="512"/>
    </row>
    <row r="397" spans="35:42">
      <c r="AI397" s="512"/>
      <c r="AJ397" s="512"/>
      <c r="AK397" s="512"/>
      <c r="AL397" s="512"/>
      <c r="AM397" s="512"/>
      <c r="AN397" s="512"/>
      <c r="AO397" s="512"/>
      <c r="AP397" s="512"/>
    </row>
    <row r="398" spans="35:42">
      <c r="AI398" s="512"/>
      <c r="AJ398" s="512"/>
      <c r="AK398" s="512"/>
      <c r="AL398" s="512"/>
      <c r="AM398" s="512"/>
      <c r="AN398" s="512"/>
      <c r="AO398" s="512"/>
      <c r="AP398" s="512"/>
    </row>
    <row r="399" spans="35:42">
      <c r="AI399" s="512"/>
      <c r="AJ399" s="512"/>
      <c r="AK399" s="512"/>
      <c r="AL399" s="512"/>
      <c r="AM399" s="512"/>
      <c r="AN399" s="512"/>
      <c r="AO399" s="512"/>
      <c r="AP399" s="512"/>
    </row>
    <row r="400" spans="35:42">
      <c r="AI400" s="512"/>
      <c r="AJ400" s="512"/>
      <c r="AK400" s="512"/>
      <c r="AL400" s="512"/>
      <c r="AM400" s="512"/>
      <c r="AN400" s="512"/>
      <c r="AO400" s="512"/>
      <c r="AP400" s="512"/>
    </row>
    <row r="401" spans="35:42">
      <c r="AI401" s="512"/>
      <c r="AJ401" s="512"/>
      <c r="AK401" s="512"/>
      <c r="AL401" s="512"/>
      <c r="AM401" s="512"/>
      <c r="AN401" s="512"/>
      <c r="AO401" s="512"/>
      <c r="AP401" s="512"/>
    </row>
    <row r="402" spans="35:42">
      <c r="AI402" s="512"/>
      <c r="AJ402" s="512"/>
      <c r="AK402" s="512"/>
      <c r="AL402" s="512"/>
      <c r="AM402" s="512"/>
      <c r="AN402" s="512"/>
      <c r="AO402" s="512"/>
      <c r="AP402" s="512"/>
    </row>
    <row r="403" spans="35:42">
      <c r="AI403" s="512"/>
      <c r="AJ403" s="512"/>
      <c r="AK403" s="512"/>
      <c r="AL403" s="512"/>
      <c r="AM403" s="512"/>
      <c r="AN403" s="512"/>
      <c r="AO403" s="512"/>
      <c r="AP403" s="512"/>
    </row>
    <row r="404" spans="35:42">
      <c r="AI404" s="512"/>
      <c r="AJ404" s="512"/>
      <c r="AK404" s="512"/>
      <c r="AL404" s="512"/>
      <c r="AM404" s="512"/>
      <c r="AN404" s="512"/>
      <c r="AO404" s="512"/>
      <c r="AP404" s="512"/>
    </row>
    <row r="405" spans="35:42">
      <c r="AI405" s="512"/>
      <c r="AJ405" s="512"/>
      <c r="AK405" s="512"/>
      <c r="AL405" s="512"/>
      <c r="AM405" s="512"/>
      <c r="AN405" s="512"/>
      <c r="AO405" s="512"/>
      <c r="AP405" s="512"/>
    </row>
    <row r="406" spans="35:42">
      <c r="AI406" s="512"/>
      <c r="AJ406" s="512"/>
      <c r="AK406" s="512"/>
      <c r="AL406" s="512"/>
      <c r="AM406" s="512"/>
      <c r="AN406" s="512"/>
      <c r="AO406" s="512"/>
      <c r="AP406" s="512"/>
    </row>
    <row r="407" spans="35:42">
      <c r="AI407" s="512"/>
      <c r="AJ407" s="512"/>
      <c r="AK407" s="512"/>
      <c r="AL407" s="512"/>
      <c r="AM407" s="512"/>
      <c r="AN407" s="512"/>
      <c r="AO407" s="512"/>
      <c r="AP407" s="512"/>
    </row>
    <row r="408" spans="35:42">
      <c r="AI408" s="512"/>
      <c r="AJ408" s="512"/>
      <c r="AK408" s="512"/>
      <c r="AL408" s="512"/>
      <c r="AM408" s="512"/>
      <c r="AN408" s="512"/>
      <c r="AO408" s="512"/>
      <c r="AP408" s="512"/>
    </row>
    <row r="409" spans="35:42">
      <c r="AI409" s="512"/>
      <c r="AJ409" s="512"/>
      <c r="AK409" s="512"/>
      <c r="AL409" s="512"/>
      <c r="AM409" s="512"/>
      <c r="AN409" s="512"/>
      <c r="AO409" s="512"/>
      <c r="AP409" s="512"/>
    </row>
    <row r="410" spans="35:42">
      <c r="AI410" s="512"/>
      <c r="AJ410" s="512"/>
      <c r="AK410" s="512"/>
      <c r="AL410" s="512"/>
      <c r="AM410" s="512"/>
      <c r="AN410" s="512"/>
      <c r="AO410" s="512"/>
      <c r="AP410" s="512"/>
    </row>
    <row r="411" spans="35:42">
      <c r="AI411" s="512"/>
      <c r="AJ411" s="512"/>
      <c r="AK411" s="512"/>
      <c r="AL411" s="512"/>
      <c r="AM411" s="512"/>
      <c r="AN411" s="512"/>
      <c r="AO411" s="512"/>
      <c r="AP411" s="512"/>
    </row>
    <row r="412" spans="35:42">
      <c r="AI412" s="512"/>
      <c r="AJ412" s="512"/>
      <c r="AK412" s="512"/>
      <c r="AL412" s="512"/>
      <c r="AM412" s="512"/>
      <c r="AN412" s="512"/>
      <c r="AO412" s="512"/>
      <c r="AP412" s="512"/>
    </row>
    <row r="413" spans="35:42">
      <c r="AI413" s="512"/>
      <c r="AJ413" s="512"/>
      <c r="AK413" s="512"/>
      <c r="AL413" s="512"/>
      <c r="AM413" s="512"/>
      <c r="AN413" s="512"/>
      <c r="AO413" s="512"/>
      <c r="AP413" s="512"/>
    </row>
    <row r="414" spans="35:42">
      <c r="AI414" s="512"/>
      <c r="AJ414" s="512"/>
      <c r="AK414" s="512"/>
      <c r="AL414" s="512"/>
      <c r="AM414" s="512"/>
      <c r="AN414" s="512"/>
      <c r="AO414" s="512"/>
      <c r="AP414" s="512"/>
    </row>
    <row r="415" spans="35:42">
      <c r="AI415" s="512"/>
      <c r="AJ415" s="512"/>
      <c r="AK415" s="512"/>
      <c r="AL415" s="512"/>
      <c r="AM415" s="512"/>
      <c r="AN415" s="512"/>
      <c r="AO415" s="512"/>
      <c r="AP415" s="512"/>
    </row>
    <row r="416" spans="35:42">
      <c r="AI416" s="512"/>
      <c r="AJ416" s="512"/>
      <c r="AK416" s="512"/>
      <c r="AL416" s="512"/>
      <c r="AM416" s="512"/>
      <c r="AN416" s="512"/>
      <c r="AO416" s="512"/>
      <c r="AP416" s="512"/>
    </row>
    <row r="417" spans="35:42">
      <c r="AI417" s="512"/>
      <c r="AJ417" s="512"/>
      <c r="AK417" s="512"/>
      <c r="AL417" s="512"/>
      <c r="AM417" s="512"/>
      <c r="AN417" s="512"/>
      <c r="AO417" s="512"/>
      <c r="AP417" s="512"/>
    </row>
    <row r="418" spans="35:42">
      <c r="AI418" s="512"/>
      <c r="AJ418" s="512"/>
      <c r="AK418" s="512"/>
      <c r="AL418" s="512"/>
      <c r="AM418" s="512"/>
      <c r="AN418" s="512"/>
      <c r="AO418" s="512"/>
      <c r="AP418" s="512"/>
    </row>
    <row r="419" spans="35:42">
      <c r="AI419" s="512"/>
      <c r="AJ419" s="512"/>
      <c r="AK419" s="512"/>
      <c r="AL419" s="512"/>
      <c r="AM419" s="512"/>
      <c r="AN419" s="512"/>
      <c r="AO419" s="512"/>
      <c r="AP419" s="512"/>
    </row>
    <row r="420" spans="35:42">
      <c r="AI420" s="512"/>
      <c r="AJ420" s="512"/>
      <c r="AK420" s="512"/>
      <c r="AL420" s="512"/>
      <c r="AM420" s="512"/>
      <c r="AN420" s="512"/>
      <c r="AO420" s="512"/>
      <c r="AP420" s="512"/>
    </row>
    <row r="421" spans="35:42">
      <c r="AI421" s="512"/>
      <c r="AJ421" s="512"/>
      <c r="AK421" s="512"/>
      <c r="AL421" s="512"/>
      <c r="AM421" s="512"/>
      <c r="AN421" s="512"/>
      <c r="AO421" s="512"/>
      <c r="AP421" s="512"/>
    </row>
    <row r="422" spans="35:42">
      <c r="AI422" s="512"/>
      <c r="AJ422" s="512"/>
      <c r="AK422" s="512"/>
      <c r="AL422" s="512"/>
      <c r="AM422" s="512"/>
      <c r="AN422" s="512"/>
      <c r="AO422" s="512"/>
      <c r="AP422" s="512"/>
    </row>
    <row r="423" spans="35:42">
      <c r="AI423" s="512"/>
      <c r="AJ423" s="512"/>
      <c r="AK423" s="512"/>
      <c r="AL423" s="512"/>
      <c r="AM423" s="512"/>
      <c r="AN423" s="512"/>
      <c r="AO423" s="512"/>
      <c r="AP423" s="512"/>
    </row>
    <row r="424" spans="35:42">
      <c r="AI424" s="512"/>
      <c r="AJ424" s="512"/>
      <c r="AK424" s="512"/>
      <c r="AL424" s="512"/>
      <c r="AM424" s="512"/>
      <c r="AN424" s="512"/>
      <c r="AO424" s="512"/>
      <c r="AP424" s="512"/>
    </row>
    <row r="425" spans="35:42">
      <c r="AI425" s="512"/>
      <c r="AJ425" s="512"/>
      <c r="AK425" s="512"/>
      <c r="AL425" s="512"/>
      <c r="AM425" s="512"/>
      <c r="AN425" s="512"/>
      <c r="AO425" s="512"/>
      <c r="AP425" s="512"/>
    </row>
    <row r="426" spans="35:42">
      <c r="AI426" s="512"/>
      <c r="AJ426" s="512"/>
      <c r="AK426" s="512"/>
      <c r="AL426" s="512"/>
      <c r="AM426" s="512"/>
      <c r="AN426" s="512"/>
      <c r="AO426" s="512"/>
      <c r="AP426" s="512"/>
    </row>
    <row r="427" spans="35:42">
      <c r="AI427" s="512"/>
      <c r="AJ427" s="512"/>
      <c r="AK427" s="512"/>
      <c r="AL427" s="512"/>
      <c r="AM427" s="512"/>
      <c r="AN427" s="512"/>
      <c r="AO427" s="512"/>
      <c r="AP427" s="512"/>
    </row>
    <row r="428" spans="35:42">
      <c r="AI428" s="512"/>
      <c r="AJ428" s="512"/>
      <c r="AK428" s="512"/>
      <c r="AL428" s="512"/>
      <c r="AM428" s="512"/>
      <c r="AN428" s="512"/>
      <c r="AO428" s="512"/>
      <c r="AP428" s="512"/>
    </row>
    <row r="429" spans="35:42">
      <c r="AI429" s="512"/>
      <c r="AJ429" s="512"/>
      <c r="AK429" s="512"/>
      <c r="AL429" s="512"/>
      <c r="AM429" s="512"/>
      <c r="AN429" s="512"/>
      <c r="AO429" s="512"/>
      <c r="AP429" s="512"/>
    </row>
    <row r="430" spans="35:42">
      <c r="AI430" s="512"/>
      <c r="AJ430" s="512"/>
      <c r="AK430" s="512"/>
      <c r="AL430" s="512"/>
      <c r="AM430" s="512"/>
      <c r="AN430" s="512"/>
      <c r="AO430" s="512"/>
      <c r="AP430" s="512"/>
    </row>
    <row r="431" spans="35:42">
      <c r="AI431" s="512"/>
      <c r="AJ431" s="512"/>
      <c r="AK431" s="512"/>
      <c r="AL431" s="512"/>
      <c r="AM431" s="512"/>
      <c r="AN431" s="512"/>
      <c r="AO431" s="512"/>
      <c r="AP431" s="512"/>
    </row>
    <row r="432" spans="35:42">
      <c r="AI432" s="512"/>
      <c r="AJ432" s="512"/>
      <c r="AK432" s="512"/>
      <c r="AL432" s="512"/>
      <c r="AM432" s="512"/>
      <c r="AN432" s="512"/>
      <c r="AO432" s="512"/>
      <c r="AP432" s="512"/>
    </row>
    <row r="433" spans="35:42">
      <c r="AI433" s="512"/>
      <c r="AJ433" s="512"/>
      <c r="AK433" s="512"/>
      <c r="AL433" s="512"/>
      <c r="AM433" s="512"/>
      <c r="AN433" s="512"/>
      <c r="AO433" s="512"/>
      <c r="AP433" s="512"/>
    </row>
  </sheetData>
  <sheetProtection insertColumns="0" insertRows="0" deleteRows="0" sort="0"/>
  <autoFilter ref="A5:XFD148" xr:uid="{02EC8B5C-2629-4A7A-963B-AA6B2C99F2E3}"/>
  <mergeCells count="9">
    <mergeCell ref="A150:AH151"/>
    <mergeCell ref="A1:AH1"/>
    <mergeCell ref="A3:AH3"/>
    <mergeCell ref="A2:J2"/>
    <mergeCell ref="A152:J152"/>
    <mergeCell ref="A4:M4"/>
    <mergeCell ref="N4:P4"/>
    <mergeCell ref="Z4:AH4"/>
    <mergeCell ref="Q4:Y4"/>
  </mergeCells>
  <phoneticPr fontId="30" type="noConversion"/>
  <hyperlinks>
    <hyperlink ref="H117" r:id="rId1" display="https://confluence.amd.com/download/attachments/772258342/command_input_short_list_Turin.yaml?api=v2_x000a__x000a__x000a_python3 cdl_it_executor.py --time 15m --sleepTime 10s --numberOfIterations 1000 --runCPU all --runCommands short --numberOfCommands 5 --shuffleThreads --commandFile command_input_short_list_Turin.yaml --testerName “Prachi” --workStream 6" xr:uid="{B0DD9D83-90D5-43AA-97ED-70FF0D6451A5}"/>
  </hyperlinks>
  <pageMargins left="0.7" right="0.7" top="0.75" bottom="0.75" header="0.3" footer="0.3"/>
  <pageSetup orientation="portrait" r:id="rId2"/>
  <headerFooter>
    <oddHeader>&amp;L&amp;"Arial"&amp;10&amp;K0000FF[AMD Official Use Only]&amp;1#</oddHeader>
  </headerFooter>
  <legacyDrawing r:id="rId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513F172-4253-4807-A8CE-34D720193895}">
          <x14:formula1>
            <xm:f>'List Options'!$G$1:$G$3</xm:f>
          </x14:formula1>
          <xm:sqref>M149</xm:sqref>
        </x14:dataValidation>
        <x14:dataValidation type="list" allowBlank="1" showInputMessage="1" showErrorMessage="1" xr:uid="{F3EA239A-476E-4590-924A-7BA0D177C467}">
          <x14:formula1>
            <xm:f>'List Options'!$E$1:$E$6</xm:f>
          </x14:formula1>
          <xm:sqref>Q149</xm:sqref>
        </x14:dataValidation>
        <x14:dataValidation type="list" allowBlank="1" showInputMessage="1" showErrorMessage="1" xr:uid="{8B92A7F6-7ABF-446A-A0A1-23D59ABEAA7C}">
          <x14:formula1>
            <xm:f>'List Options'!$K$1:$K$6</xm:f>
          </x14:formula1>
          <xm:sqref>I149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62"/>
  <sheetViews>
    <sheetView zoomScaleNormal="100" workbookViewId="0" xr3:uid="{8A7DB9E6-5825-5B6E-8AE4-6B4DECE2D06B}">
      <pane xSplit="1" ySplit="3" topLeftCell="B15" activePane="bottomRight" state="frozen"/>
      <selection pane="bottomRight" activeCell="B16" sqref="B16"/>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64" t="s">
        <v>1022</v>
      </c>
      <c r="B1" s="665"/>
      <c r="C1" s="665"/>
      <c r="D1" s="665"/>
      <c r="E1" s="665"/>
      <c r="F1" s="665"/>
      <c r="G1" s="665"/>
      <c r="H1" s="665"/>
      <c r="I1" s="665"/>
      <c r="J1" s="665"/>
      <c r="K1" s="665"/>
      <c r="L1" s="665"/>
      <c r="M1" s="665"/>
      <c r="N1" s="665"/>
      <c r="O1" s="665"/>
      <c r="P1" s="665"/>
      <c r="Q1" s="665"/>
      <c r="R1" s="665"/>
      <c r="S1" s="665"/>
      <c r="T1" s="665"/>
      <c r="U1" s="665"/>
      <c r="V1" s="666"/>
    </row>
    <row r="2" spans="1:22" ht="15" thickBot="1">
      <c r="A2" s="216" t="s">
        <v>1023</v>
      </c>
      <c r="B2" s="667" t="s">
        <v>166</v>
      </c>
      <c r="C2" s="667"/>
      <c r="D2" s="667"/>
      <c r="E2" s="667"/>
      <c r="F2" s="667"/>
      <c r="G2" s="668" t="s">
        <v>177</v>
      </c>
      <c r="H2" s="669"/>
      <c r="I2" s="669"/>
      <c r="J2" s="669"/>
      <c r="K2" s="669"/>
      <c r="L2" s="669"/>
      <c r="M2" s="669"/>
      <c r="N2" s="670"/>
      <c r="O2" s="671" t="s">
        <v>144</v>
      </c>
      <c r="P2" s="672"/>
      <c r="Q2" s="672"/>
      <c r="R2" s="672"/>
      <c r="S2" s="672"/>
      <c r="T2" s="672"/>
      <c r="U2" s="672"/>
      <c r="V2" s="673"/>
    </row>
    <row r="3" spans="1:22" s="249" customFormat="1" ht="15" thickBot="1">
      <c r="A3" s="253" t="s">
        <v>88</v>
      </c>
      <c r="B3" s="310" t="s">
        <v>167</v>
      </c>
      <c r="C3" s="311" t="s">
        <v>128</v>
      </c>
      <c r="D3" s="312" t="s">
        <v>105</v>
      </c>
      <c r="E3" s="312" t="s">
        <v>173</v>
      </c>
      <c r="F3" s="313" t="s">
        <v>175</v>
      </c>
      <c r="G3" s="314" t="s">
        <v>132</v>
      </c>
      <c r="H3" s="315" t="s">
        <v>30</v>
      </c>
      <c r="I3" s="315" t="s">
        <v>135</v>
      </c>
      <c r="J3" s="315" t="s">
        <v>36</v>
      </c>
      <c r="K3" s="315" t="s">
        <v>138</v>
      </c>
      <c r="L3" s="315" t="s">
        <v>184</v>
      </c>
      <c r="M3" s="315" t="s">
        <v>140</v>
      </c>
      <c r="N3" s="316" t="s">
        <v>187</v>
      </c>
      <c r="O3" s="317" t="s">
        <v>132</v>
      </c>
      <c r="P3" s="318" t="s">
        <v>30</v>
      </c>
      <c r="Q3" s="318" t="s">
        <v>135</v>
      </c>
      <c r="R3" s="318" t="s">
        <v>36</v>
      </c>
      <c r="S3" s="318" t="s">
        <v>138</v>
      </c>
      <c r="T3" s="318" t="s">
        <v>184</v>
      </c>
      <c r="U3" s="318" t="s">
        <v>140</v>
      </c>
      <c r="V3" s="319" t="s">
        <v>187</v>
      </c>
    </row>
    <row r="4" spans="1:22">
      <c r="A4" s="332" t="s">
        <v>431</v>
      </c>
      <c r="B4" s="250">
        <f>SUMIFS('Diags Raw Data'!$L$6:$L$4766,'Diags Raw Data'!$D$6:$D$4766,$A4)</f>
        <v>3001</v>
      </c>
      <c r="C4" s="240">
        <f>SUMIFS('Diags Raw Data'!$R$6:$R$4766,'Diags Raw Data'!$D$6:$D$4766,$A4)</f>
        <v>3001</v>
      </c>
      <c r="D4" s="240">
        <f>SUMIFS('Diags Raw Data'!$K$6:$K$4766,'Diags Raw Data'!$D$6:$D$4766,$A4)</f>
        <v>4</v>
      </c>
      <c r="E4" s="240">
        <f>SUMIFS('Diags Raw Data'!$O$6:$O$4766,'Diags Raw Data'!$D$6:$D$4766,$A4)</f>
        <v>3001</v>
      </c>
      <c r="F4" s="246">
        <f>IF(NOT($B4=0), E4/$B4, "---")</f>
        <v>1</v>
      </c>
      <c r="G4" s="218">
        <f>SUMIFS('Diags Raw Data'!$S$6:$S$4766,'Diags Raw Data'!$D$6:$D$4766,$A4)</f>
        <v>4589</v>
      </c>
      <c r="H4" s="219">
        <f>SUMIFS('Diags Raw Data'!$T$6:$T$4766,'Diags Raw Data'!$D$6:$D$4766,$A4)</f>
        <v>4589</v>
      </c>
      <c r="I4" s="221">
        <f>SUMIFS('Diags Raw Data'!$U$6:$U$4766,'Diags Raw Data'!$D$6:$D$4766,$A4)</f>
        <v>0</v>
      </c>
      <c r="J4" s="219">
        <f>SUMIFS('Diags Raw Data'!$V$6:$V$4766,'Diags Raw Data'!$D$6:$D$4766,$A4)</f>
        <v>0</v>
      </c>
      <c r="K4" s="221">
        <f>SUMIFS('Diags Raw Data'!$W$6:$W$4766,'Diags Raw Data'!$D$6:$D$4766,$A4)</f>
        <v>0</v>
      </c>
      <c r="L4" s="220">
        <f>IF(NOT($C4=0), G4/$C4, "---")</f>
        <v>1.5291569476841054</v>
      </c>
      <c r="M4" s="222">
        <f>IF(NOT($G4=0), (H4+I4)/$G4, "---")</f>
        <v>1</v>
      </c>
      <c r="N4" s="224">
        <f>IF(NOT($C4=0), (H4+I4)/$C4, "---")</f>
        <v>1.5291569476841054</v>
      </c>
      <c r="O4" s="211">
        <f>SUMIFS('Diags Raw Data'!$Z$6:$Z$4766,'Diags Raw Data'!$D$6:$D$4766,$A4)</f>
        <v>6001</v>
      </c>
      <c r="P4" s="208">
        <f>SUMIFS('Diags Raw Data'!$AA$6:$AA$4766,'Diags Raw Data'!$D$6:$D$4766,$A4)</f>
        <v>6001</v>
      </c>
      <c r="Q4" s="210">
        <f>SUMIFS('Diags Raw Data'!$AB$6:$AB$4766,'Diags Raw Data'!$D$6:$D$4766,$A4)</f>
        <v>0</v>
      </c>
      <c r="R4" s="208">
        <f>SUMIFS('Diags Raw Data'!$AC$6:$AC$4766,'Diags Raw Data'!$D$6:$D$4766,$A4)</f>
        <v>0</v>
      </c>
      <c r="S4" s="210">
        <f>SUMIFS('Diags Raw Data'!$AD$6:$AD$4766,'Diags Raw Data'!$D$6:$D$4766,$A4)</f>
        <v>0</v>
      </c>
      <c r="T4" s="209">
        <f>IF(NOT($B4=0), O4/$B4, "---")</f>
        <v>1.9996667777407531</v>
      </c>
      <c r="U4" s="223">
        <f>IF(NOT($O4=0), (P4+Q4)/$O4, "---")</f>
        <v>1</v>
      </c>
      <c r="V4" s="239">
        <f>IF(NOT($B4=0), (P4+Q4)/$B4, "---")</f>
        <v>1.9996667777407531</v>
      </c>
    </row>
    <row r="5" spans="1:22">
      <c r="A5" s="332" t="s">
        <v>453</v>
      </c>
      <c r="B5" s="251">
        <f>SUMIFS('Diags Raw Data'!$L$6:$L$4766,'Diags Raw Data'!$D$6:$D$4766,$A5)</f>
        <v>5544</v>
      </c>
      <c r="C5" s="241">
        <f>SUMIFS('Diags Raw Data'!$R$6:$R$4766,'Diags Raw Data'!$D$6:$D$4766,$A5)</f>
        <v>5537</v>
      </c>
      <c r="D5" s="241">
        <f>SUMIFS('Diags Raw Data'!$K$6:$K$4766,'Diags Raw Data'!$D$6:$D$4766,$A5)</f>
        <v>20</v>
      </c>
      <c r="E5" s="241">
        <f>SUMIFS('Diags Raw Data'!$O$6:$O$4766,'Diags Raw Data'!$D$6:$D$4766,$A5)</f>
        <v>5534</v>
      </c>
      <c r="F5" s="247">
        <f t="shared" ref="F5:F12" si="0">IF(NOT($B5=0), E5/$B5, "---")</f>
        <v>0.99819624819624819</v>
      </c>
      <c r="G5" s="229">
        <f>SUMIFS('Diags Raw Data'!$S$6:$S$4766,'Diags Raw Data'!$D$6:$D$4766,$A5)</f>
        <v>9930</v>
      </c>
      <c r="H5" s="225">
        <f>SUMIFS('Diags Raw Data'!$T$6:$T$4766,'Diags Raw Data'!$D$6:$D$4766,$A5)</f>
        <v>9928</v>
      </c>
      <c r="I5" s="226">
        <f>SUMIFS('Diags Raw Data'!$U$6:$U$4766,'Diags Raw Data'!$D$6:$D$4766,$A5)</f>
        <v>1</v>
      </c>
      <c r="J5" s="225">
        <f>SUMIFS('Diags Raw Data'!$V$6:$V$4766,'Diags Raw Data'!$D$6:$D$4766,$A5)</f>
        <v>0</v>
      </c>
      <c r="K5" s="226">
        <f>SUMIFS('Diags Raw Data'!$W$6:$W$4766,'Diags Raw Data'!$D$6:$D$4766,$A5)</f>
        <v>1</v>
      </c>
      <c r="L5" s="242">
        <f t="shared" ref="L5:L13" si="1">IF(NOT($C5=0), G5/$C5, "---")</f>
        <v>1.7933899223406176</v>
      </c>
      <c r="M5" s="227">
        <f t="shared" ref="M5:M13" si="2">IF(NOT($G5=0), (H5+I5)/$G5, "---")</f>
        <v>0.99989929506545816</v>
      </c>
      <c r="N5" s="236">
        <f t="shared" ref="N5:N12" si="3">IF(NOT($C5=0), (H5+I5)/$C5, "---")</f>
        <v>1.7932093191258804</v>
      </c>
      <c r="O5" s="212">
        <f>SUMIFS('Diags Raw Data'!$Z$6:$Z$4766,'Diags Raw Data'!$D$6:$D$4766,$A5)</f>
        <v>12935</v>
      </c>
      <c r="P5" s="202">
        <f>SUMIFS('Diags Raw Data'!$AA$6:$AA$4766,'Diags Raw Data'!$D$6:$D$4766,$A5)</f>
        <v>12933</v>
      </c>
      <c r="Q5" s="204">
        <f>SUMIFS('Diags Raw Data'!$AB$6:$AB$4766,'Diags Raw Data'!$D$6:$D$4766,$A5)</f>
        <v>2</v>
      </c>
      <c r="R5" s="202">
        <f>SUMIFS('Diags Raw Data'!$AC$6:$AC$4766,'Diags Raw Data'!$D$6:$D$4766,$A5)</f>
        <v>0</v>
      </c>
      <c r="S5" s="204">
        <f>SUMIFS('Diags Raw Data'!$AD$6:$AD$4766,'Diags Raw Data'!$D$6:$D$4766,$A5)</f>
        <v>0</v>
      </c>
      <c r="T5" s="203">
        <f t="shared" ref="T5:T13" si="4">IF(NOT($B5=0), O5/$B5, "---")</f>
        <v>2.333152958152958</v>
      </c>
      <c r="U5" s="228">
        <f t="shared" ref="U5:U8" si="5">IF(NOT($O5=0), (P5+Q5)/$O5, "---")</f>
        <v>1</v>
      </c>
      <c r="V5" s="230">
        <f t="shared" ref="V5:V13" si="6">IF(NOT($B5=0), (P5+Q5)/$B5, "---")</f>
        <v>2.333152958152958</v>
      </c>
    </row>
    <row r="6" spans="1:22">
      <c r="A6" s="332" t="s">
        <v>567</v>
      </c>
      <c r="B6" s="251">
        <f>SUMIFS('Diags Raw Data'!$L$6:$L$4766,'Diags Raw Data'!$D$6:$D$4766,$A6)</f>
        <v>514</v>
      </c>
      <c r="C6" s="241">
        <f>SUMIFS('Diags Raw Data'!$R$6:$R$4766,'Diags Raw Data'!$D$6:$D$4766,$A6)</f>
        <v>513</v>
      </c>
      <c r="D6" s="241">
        <f>SUMIFS('Diags Raw Data'!$K$6:$K$4766,'Diags Raw Data'!$D$6:$D$4766,$A6)</f>
        <v>4</v>
      </c>
      <c r="E6" s="241">
        <f>SUMIFS('Diags Raw Data'!$O$6:$O$4766,'Diags Raw Data'!$D$6:$D$4766,$A6)</f>
        <v>513</v>
      </c>
      <c r="F6" s="247">
        <f t="shared" si="0"/>
        <v>0.99805447470817121</v>
      </c>
      <c r="G6" s="229">
        <f>SUMIFS('Diags Raw Data'!$S$6:$S$4766,'Diags Raw Data'!$D$6:$D$4766,$A6)</f>
        <v>2640</v>
      </c>
      <c r="H6" s="225">
        <f>SUMIFS('Diags Raw Data'!$T$6:$T$4766,'Diags Raw Data'!$D$6:$D$4766,$A6)</f>
        <v>2640</v>
      </c>
      <c r="I6" s="226">
        <f>SUMIFS('Diags Raw Data'!$U$6:$U$4766,'Diags Raw Data'!$D$6:$D$4766,$A6)</f>
        <v>0</v>
      </c>
      <c r="J6" s="225">
        <f>SUMIFS('Diags Raw Data'!$V$6:$V$4766,'Diags Raw Data'!$D$6:$D$4766,$A6)</f>
        <v>0</v>
      </c>
      <c r="K6" s="226">
        <f>SUMIFS('Diags Raw Data'!$W$6:$W$4766,'Diags Raw Data'!$D$6:$D$4766,$A6)</f>
        <v>0</v>
      </c>
      <c r="L6" s="242">
        <f t="shared" si="1"/>
        <v>5.1461988304093564</v>
      </c>
      <c r="M6" s="227">
        <f t="shared" si="2"/>
        <v>1</v>
      </c>
      <c r="N6" s="236">
        <f t="shared" si="3"/>
        <v>5.1461988304093564</v>
      </c>
      <c r="O6" s="212">
        <f>SUMIFS('Diags Raw Data'!$Z$6:$Z$4766,'Diags Raw Data'!$D$6:$D$4766,$A6)</f>
        <v>2014</v>
      </c>
      <c r="P6" s="202">
        <f>SUMIFS('Diags Raw Data'!$AA$6:$AA$4766,'Diags Raw Data'!$D$6:$D$4766,$A6)</f>
        <v>2014</v>
      </c>
      <c r="Q6" s="204">
        <f>SUMIFS('Diags Raw Data'!$AB$6:$AB$4766,'Diags Raw Data'!$D$6:$D$4766,$A6)</f>
        <v>0</v>
      </c>
      <c r="R6" s="202">
        <f>SUMIFS('Diags Raw Data'!$AC$6:$AC$4766,'Diags Raw Data'!$D$6:$D$4766,$A6)</f>
        <v>0</v>
      </c>
      <c r="S6" s="204">
        <f>SUMIFS('Diags Raw Data'!$AD$6:$AD$4766,'Diags Raw Data'!$D$6:$D$4766,$A6)</f>
        <v>0</v>
      </c>
      <c r="T6" s="203">
        <f t="shared" si="4"/>
        <v>3.9182879377431905</v>
      </c>
      <c r="U6" s="228">
        <f t="shared" si="5"/>
        <v>1</v>
      </c>
      <c r="V6" s="230">
        <f t="shared" si="6"/>
        <v>3.9182879377431905</v>
      </c>
    </row>
    <row r="7" spans="1:22">
      <c r="A7" s="332" t="s">
        <v>590</v>
      </c>
      <c r="B7" s="251">
        <f>SUMIFS('Diags Raw Data'!$L$6:$L$4766,'Diags Raw Data'!$D$6:$D$4766,$A7)</f>
        <v>11022</v>
      </c>
      <c r="C7" s="241">
        <f>SUMIFS('Diags Raw Data'!$R$6:$R$4766,'Diags Raw Data'!$D$6:$D$4766,$A7)</f>
        <v>11020</v>
      </c>
      <c r="D7" s="241">
        <f>SUMIFS('Diags Raw Data'!$K$6:$K$4766,'Diags Raw Data'!$D$6:$D$4766,$A7)</f>
        <v>4</v>
      </c>
      <c r="E7" s="241">
        <f>SUMIFS('Diags Raw Data'!$O$6:$O$4766,'Diags Raw Data'!$D$6:$D$4766,$A7)</f>
        <v>11020</v>
      </c>
      <c r="F7" s="247">
        <f t="shared" si="0"/>
        <v>0.99981854472872433</v>
      </c>
      <c r="G7" s="229">
        <f>SUMIFS('Diags Raw Data'!$S$6:$S$4766,'Diags Raw Data'!$D$6:$D$4766,$A7)</f>
        <v>2238</v>
      </c>
      <c r="H7" s="225">
        <f>SUMIFS('Diags Raw Data'!$T$6:$T$4766,'Diags Raw Data'!$D$6:$D$4766,$A7)</f>
        <v>2219</v>
      </c>
      <c r="I7" s="226">
        <f>SUMIFS('Diags Raw Data'!$U$6:$U$4766,'Diags Raw Data'!$D$6:$D$4766,$A7)</f>
        <v>0</v>
      </c>
      <c r="J7" s="225">
        <f>SUMIFS('Diags Raw Data'!$V$6:$V$4766,'Diags Raw Data'!$D$6:$D$4766,$A7)</f>
        <v>19</v>
      </c>
      <c r="K7" s="226">
        <f>SUMIFS('Diags Raw Data'!$W$6:$W$4766,'Diags Raw Data'!$D$6:$D$4766,$A7)</f>
        <v>0</v>
      </c>
      <c r="L7" s="242">
        <f t="shared" si="1"/>
        <v>0.20308529945553538</v>
      </c>
      <c r="M7" s="227">
        <f t="shared" si="2"/>
        <v>0.99151027703306527</v>
      </c>
      <c r="N7" s="236">
        <f t="shared" si="3"/>
        <v>0.2013611615245009</v>
      </c>
      <c r="O7" s="212">
        <f>SUMIFS('Diags Raw Data'!$Z$6:$Z$4766,'Diags Raw Data'!$D$6:$D$4766,$A7)</f>
        <v>5007</v>
      </c>
      <c r="P7" s="202">
        <f>SUMIFS('Diags Raw Data'!$AA$6:$AA$4766,'Diags Raw Data'!$D$6:$D$4766,$A7)</f>
        <v>5007</v>
      </c>
      <c r="Q7" s="204">
        <f>SUMIFS('Diags Raw Data'!$AB$6:$AB$4766,'Diags Raw Data'!$D$6:$D$4766,$A7)</f>
        <v>0</v>
      </c>
      <c r="R7" s="202">
        <f>SUMIFS('Diags Raw Data'!$AC$6:$AC$4766,'Diags Raw Data'!$D$6:$D$4766,$A7)</f>
        <v>0</v>
      </c>
      <c r="S7" s="204">
        <f>SUMIFS('Diags Raw Data'!$AD$6:$AD$4766,'Diags Raw Data'!$D$6:$D$4766,$A7)</f>
        <v>0</v>
      </c>
      <c r="T7" s="203">
        <f t="shared" si="4"/>
        <v>0.45427327163854109</v>
      </c>
      <c r="U7" s="228">
        <f t="shared" si="5"/>
        <v>1</v>
      </c>
      <c r="V7" s="230">
        <f t="shared" si="6"/>
        <v>0.45427327163854109</v>
      </c>
    </row>
    <row r="8" spans="1:22">
      <c r="A8" s="332" t="s">
        <v>629</v>
      </c>
      <c r="B8" s="251">
        <f>SUMIFS('Diags Raw Data'!$L$6:$L$4766,'Diags Raw Data'!$D$6:$D$4766,$A8)</f>
        <v>701</v>
      </c>
      <c r="C8" s="241">
        <f>SUMIFS('Diags Raw Data'!$R$6:$R$4766,'Diags Raw Data'!$D$6:$D$4766,$A8)</f>
        <v>701</v>
      </c>
      <c r="D8" s="241">
        <f>SUMIFS('Diags Raw Data'!$K$6:$K$4766,'Diags Raw Data'!$D$6:$D$4766,$A8)</f>
        <v>3</v>
      </c>
      <c r="E8" s="241">
        <f>SUMIFS('Diags Raw Data'!$O$6:$O$4766,'Diags Raw Data'!$D$6:$D$4766,$A8)</f>
        <v>701</v>
      </c>
      <c r="F8" s="247">
        <f t="shared" si="0"/>
        <v>1</v>
      </c>
      <c r="G8" s="229">
        <f>SUMIFS('Diags Raw Data'!$S$6:$S$4766,'Diags Raw Data'!$D$6:$D$4766,$A8)</f>
        <v>313</v>
      </c>
      <c r="H8" s="225">
        <f>SUMIFS('Diags Raw Data'!$T$6:$T$4766,'Diags Raw Data'!$D$6:$D$4766,$A8)</f>
        <v>235</v>
      </c>
      <c r="I8" s="226">
        <f>SUMIFS('Diags Raw Data'!$U$6:$U$4766,'Diags Raw Data'!$D$6:$D$4766,$A8)</f>
        <v>0</v>
      </c>
      <c r="J8" s="225">
        <f>SUMIFS('Diags Raw Data'!$V$6:$V$4766,'Diags Raw Data'!$D$6:$D$4766,$A8)</f>
        <v>78</v>
      </c>
      <c r="K8" s="226">
        <f>SUMIFS('Diags Raw Data'!$W$6:$W$4766,'Diags Raw Data'!$D$6:$D$4766,$A8)</f>
        <v>0</v>
      </c>
      <c r="L8" s="242">
        <f t="shared" si="1"/>
        <v>0.44650499286733236</v>
      </c>
      <c r="M8" s="227">
        <f t="shared" si="2"/>
        <v>0.75079872204472842</v>
      </c>
      <c r="N8" s="236">
        <f t="shared" si="3"/>
        <v>0.33523537803138376</v>
      </c>
      <c r="O8" s="212">
        <f>SUMIFS('Diags Raw Data'!$Z$6:$Z$4766,'Diags Raw Data'!$D$6:$D$4766,$A8)</f>
        <v>1501</v>
      </c>
      <c r="P8" s="202">
        <f>SUMIFS('Diags Raw Data'!$AA$6:$AA$4766,'Diags Raw Data'!$D$6:$D$4766,$A8)</f>
        <v>1501</v>
      </c>
      <c r="Q8" s="204">
        <f>SUMIFS('Diags Raw Data'!$AB$6:$AB$4766,'Diags Raw Data'!$D$6:$D$4766,$A8)</f>
        <v>0</v>
      </c>
      <c r="R8" s="202">
        <f>SUMIFS('Diags Raw Data'!$AC$6:$AC$4766,'Diags Raw Data'!$D$6:$D$4766,$A8)</f>
        <v>0</v>
      </c>
      <c r="S8" s="204">
        <f>SUMIFS('Diags Raw Data'!$AD$6:$AD$4766,'Diags Raw Data'!$D$6:$D$4766,$A8)</f>
        <v>0</v>
      </c>
      <c r="T8" s="203">
        <f t="shared" si="4"/>
        <v>2.1412268188302424</v>
      </c>
      <c r="U8" s="228">
        <f t="shared" si="5"/>
        <v>1</v>
      </c>
      <c r="V8" s="230">
        <f t="shared" si="6"/>
        <v>2.1412268188302424</v>
      </c>
    </row>
    <row r="9" spans="1:22">
      <c r="A9" s="332" t="s">
        <v>647</v>
      </c>
      <c r="B9" s="251">
        <f>SUMIFS('Diags Raw Data'!$L$6:$L$4766,'Diags Raw Data'!$D$6:$D$4766,$A9)</f>
        <v>6518</v>
      </c>
      <c r="C9" s="241">
        <f>SUMIFS('Diags Raw Data'!$R$6:$R$4766,'Diags Raw Data'!$D$6:$D$4766,$A9)</f>
        <v>2016</v>
      </c>
      <c r="D9" s="241">
        <f>SUMIFS('Diags Raw Data'!$K$6:$K$4766,'Diags Raw Data'!$D$6:$D$4766,$A9)</f>
        <v>14</v>
      </c>
      <c r="E9" s="241">
        <f>SUMIFS('Diags Raw Data'!$O$6:$O$4766,'Diags Raw Data'!$D$6:$D$4766,$A9)</f>
        <v>6515</v>
      </c>
      <c r="F9" s="247">
        <f t="shared" si="0"/>
        <v>0.99953973611537283</v>
      </c>
      <c r="G9" s="229">
        <f>SUMIFS('Diags Raw Data'!$S$6:$S$4766,'Diags Raw Data'!$D$6:$D$4766,$A9)</f>
        <v>2615</v>
      </c>
      <c r="H9" s="225">
        <f>SUMIFS('Diags Raw Data'!$T$6:$T$4766,'Diags Raw Data'!$D$6:$D$4766,$A9)</f>
        <v>2557</v>
      </c>
      <c r="I9" s="226">
        <f>SUMIFS('Diags Raw Data'!$U$6:$U$4766,'Diags Raw Data'!$D$6:$D$4766,$A9)</f>
        <v>1</v>
      </c>
      <c r="J9" s="225">
        <f>SUMIFS('Diags Raw Data'!$V$6:$V$4766,'Diags Raw Data'!$D$6:$D$4766,$A9)</f>
        <v>57</v>
      </c>
      <c r="K9" s="226">
        <f>SUMIFS('Diags Raw Data'!$W$6:$W$4766,'Diags Raw Data'!$D$6:$D$4766,$A9)</f>
        <v>0</v>
      </c>
      <c r="L9" s="242">
        <f t="shared" si="1"/>
        <v>1.2971230158730158</v>
      </c>
      <c r="M9" s="227">
        <f t="shared" si="2"/>
        <v>0.97820267686424478</v>
      </c>
      <c r="N9" s="236">
        <f t="shared" si="3"/>
        <v>1.2688492063492063</v>
      </c>
      <c r="O9" s="212">
        <f>SUMIFS('Diags Raw Data'!$Z$6:$Z$4766,'Diags Raw Data'!$D$6:$D$4766,$A9)</f>
        <v>4011</v>
      </c>
      <c r="P9" s="202">
        <f>SUMIFS('Diags Raw Data'!$AA$6:$AA$4766,'Diags Raw Data'!$D$6:$D$4766,$A9)</f>
        <v>4010</v>
      </c>
      <c r="Q9" s="204">
        <f>SUMIFS('Diags Raw Data'!$AB$6:$AB$4766,'Diags Raw Data'!$D$6:$D$4766,$A9)</f>
        <v>1</v>
      </c>
      <c r="R9" s="202">
        <f>SUMIFS('Diags Raw Data'!$AC$6:$AC$4766,'Diags Raw Data'!$D$6:$D$4766,$A9)</f>
        <v>0</v>
      </c>
      <c r="S9" s="204">
        <f>SUMIFS('Diags Raw Data'!$AD$6:$AD$4766,'Diags Raw Data'!$D$6:$D$4766,$A9)</f>
        <v>0</v>
      </c>
      <c r="T9" s="203">
        <f t="shared" si="4"/>
        <v>0.61537281374654806</v>
      </c>
      <c r="U9" s="228">
        <f>IF(NOT($O9=0), (P9+Q9)/$O9, "---")</f>
        <v>1</v>
      </c>
      <c r="V9" s="230">
        <f t="shared" si="6"/>
        <v>0.61537281374654806</v>
      </c>
    </row>
    <row r="10" spans="1:22">
      <c r="A10" s="332" t="s">
        <v>724</v>
      </c>
      <c r="B10" s="251">
        <f>SUMIFS('Diags Raw Data'!$L$6:$L$4766,'Diags Raw Data'!$D$6:$D$4766,$A10)</f>
        <v>504</v>
      </c>
      <c r="C10" s="241">
        <f>SUMIFS('Diags Raw Data'!$R$6:$R$4766,'Diags Raw Data'!$D$6:$D$4766,$A10)</f>
        <v>503</v>
      </c>
      <c r="D10" s="241">
        <f>SUMIFS('Diags Raw Data'!$K$6:$K$4766,'Diags Raw Data'!$D$6:$D$4766,$A10)</f>
        <v>4</v>
      </c>
      <c r="E10" s="241">
        <f>SUMIFS('Diags Raw Data'!$O$6:$O$4766,'Diags Raw Data'!$D$6:$D$4766,$A10)</f>
        <v>504</v>
      </c>
      <c r="F10" s="247">
        <f>IF(NOT($B10=0), E10/$B10, "---")</f>
        <v>1</v>
      </c>
      <c r="G10" s="229">
        <f>SUMIFS('Diags Raw Data'!$S$6:$S$4766,'Diags Raw Data'!$D$6:$D$4766,$A10)</f>
        <v>3</v>
      </c>
      <c r="H10" s="225">
        <f>SUMIFS('Diags Raw Data'!$T$6:$T$4766,'Diags Raw Data'!$D$6:$D$4766,$A10)</f>
        <v>3</v>
      </c>
      <c r="I10" s="226">
        <f>SUMIFS('Diags Raw Data'!$U$6:$U$4766,'Diags Raw Data'!$D$6:$D$4766,$A10)</f>
        <v>0</v>
      </c>
      <c r="J10" s="225">
        <f>SUMIFS('Diags Raw Data'!$V$6:$V$4766,'Diags Raw Data'!$D$6:$D$4766,$A10)</f>
        <v>0</v>
      </c>
      <c r="K10" s="226">
        <f>SUMIFS('Diags Raw Data'!$W$6:$W$4766,'Diags Raw Data'!$D$6:$D$4766,$A10)</f>
        <v>0</v>
      </c>
      <c r="L10" s="242">
        <f t="shared" si="1"/>
        <v>5.9642147117296221E-3</v>
      </c>
      <c r="M10" s="227">
        <f t="shared" si="2"/>
        <v>1</v>
      </c>
      <c r="N10" s="236">
        <f t="shared" si="3"/>
        <v>5.9642147117296221E-3</v>
      </c>
      <c r="O10" s="212">
        <f>SUMIFS('Diags Raw Data'!$Z$6:$Z$4766,'Diags Raw Data'!$D$6:$D$4766,$A10)</f>
        <v>3</v>
      </c>
      <c r="P10" s="202">
        <f>SUMIFS('Diags Raw Data'!$AA$6:$AA$4766,'Diags Raw Data'!$D$6:$D$4766,$A10)</f>
        <v>3</v>
      </c>
      <c r="Q10" s="204">
        <f>SUMIFS('Diags Raw Data'!$AB$6:$AB$4766,'Diags Raw Data'!$D$6:$D$4766,$A10)</f>
        <v>0</v>
      </c>
      <c r="R10" s="202">
        <f>SUMIFS('Diags Raw Data'!$AC$6:$AC$4766,'Diags Raw Data'!$D$6:$D$4766,$A10)</f>
        <v>0</v>
      </c>
      <c r="S10" s="204">
        <f>SUMIFS('Diags Raw Data'!$AD$6:$AD$4766,'Diags Raw Data'!$D$6:$D$4766,$A10)</f>
        <v>0</v>
      </c>
      <c r="T10" s="203">
        <f t="shared" si="4"/>
        <v>5.9523809523809521E-3</v>
      </c>
      <c r="U10" s="228">
        <f t="shared" ref="U10:U13" si="7">IF(NOT($O10=0), (P10+Q10)/$O10, "---")</f>
        <v>1</v>
      </c>
      <c r="V10" s="230">
        <f t="shared" si="6"/>
        <v>5.9523809523809521E-3</v>
      </c>
    </row>
    <row r="11" spans="1:22">
      <c r="A11" s="332" t="s">
        <v>1024</v>
      </c>
      <c r="B11" s="251">
        <f>SUMIFS('Diags Raw Data'!$L$6:$L$4766,'Diags Raw Data'!$D$6:$D$4766,$A11)</f>
        <v>0</v>
      </c>
      <c r="C11" s="241">
        <f>SUMIFS('Diags Raw Data'!$R$6:$R$4766,'Diags Raw Data'!$D$6:$D$4766,$A11)</f>
        <v>0</v>
      </c>
      <c r="D11" s="241">
        <f>SUMIFS('Diags Raw Data'!$K$6:$K$4766,'Diags Raw Data'!$D$6:$D$4766,$A11)</f>
        <v>0</v>
      </c>
      <c r="E11" s="241">
        <f>SUMIFS('Diags Raw Data'!$O$6:$O$4766,'Diags Raw Data'!$D$6:$D$4766,$A11)</f>
        <v>0</v>
      </c>
      <c r="F11" s="247" t="str">
        <f t="shared" si="0"/>
        <v>---</v>
      </c>
      <c r="G11" s="229">
        <f>SUMIFS('Diags Raw Data'!$S$6:$S$4766,'Diags Raw Data'!$D$6:$D$4766,$A11)</f>
        <v>0</v>
      </c>
      <c r="H11" s="225">
        <f>SUMIFS('Diags Raw Data'!$T$6:$T$4766,'Diags Raw Data'!$D$6:$D$4766,$A11)</f>
        <v>0</v>
      </c>
      <c r="I11" s="226">
        <f>SUMIFS('Diags Raw Data'!$U$6:$U$4766,'Diags Raw Data'!$D$6:$D$4766,$A11)</f>
        <v>0</v>
      </c>
      <c r="J11" s="225">
        <f>SUMIFS('Diags Raw Data'!$V$6:$V$4766,'Diags Raw Data'!$D$6:$D$4766,$A11)</f>
        <v>0</v>
      </c>
      <c r="K11" s="226">
        <f>SUMIFS('Diags Raw Data'!$W$6:$W$4766,'Diags Raw Data'!$D$6:$D$4766,$A11)</f>
        <v>0</v>
      </c>
      <c r="L11" s="242" t="str">
        <f t="shared" si="1"/>
        <v>---</v>
      </c>
      <c r="M11" s="227" t="str">
        <f t="shared" si="2"/>
        <v>---</v>
      </c>
      <c r="N11" s="236" t="str">
        <f t="shared" si="3"/>
        <v>---</v>
      </c>
      <c r="O11" s="212">
        <f>SUMIFS('Diags Raw Data'!$Z$6:$Z$4766,'Diags Raw Data'!$D$6:$D$4766,$A11)</f>
        <v>0</v>
      </c>
      <c r="P11" s="202">
        <f>SUMIFS('Diags Raw Data'!$AA$6:$AA$4766,'Diags Raw Data'!$D$6:$D$4766,$A11)</f>
        <v>0</v>
      </c>
      <c r="Q11" s="204">
        <f>SUMIFS('Diags Raw Data'!$AB$6:$AB$4766,'Diags Raw Data'!$D$6:$D$4766,$A11)</f>
        <v>0</v>
      </c>
      <c r="R11" s="202">
        <f>SUMIFS('Diags Raw Data'!$AC$6:$AC$4766,'Diags Raw Data'!$D$6:$D$4766,$A11)</f>
        <v>0</v>
      </c>
      <c r="S11" s="204">
        <f>SUMIFS('Diags Raw Data'!$AD$6:$AD$4766,'Diags Raw Data'!$D$6:$D$4766,$A11)</f>
        <v>0</v>
      </c>
      <c r="T11" s="203" t="str">
        <f t="shared" si="4"/>
        <v>---</v>
      </c>
      <c r="U11" s="228" t="str">
        <f t="shared" si="7"/>
        <v>---</v>
      </c>
      <c r="V11" s="230" t="str">
        <f t="shared" si="6"/>
        <v>---</v>
      </c>
    </row>
    <row r="12" spans="1:22">
      <c r="A12" s="332" t="s">
        <v>318</v>
      </c>
      <c r="B12" s="251">
        <f>SUMIFS('Diags Raw Data'!$L$6:$L$4766,'Diags Raw Data'!$D$6:$D$4766,$A12)</f>
        <v>58224</v>
      </c>
      <c r="C12" s="241">
        <f>SUMIFS('Diags Raw Data'!$R$6:$R$4766,'Diags Raw Data'!$D$6:$D$4766,$A12)</f>
        <v>22221</v>
      </c>
      <c r="D12" s="241">
        <f>SUMIFS('Diags Raw Data'!$K$6:$K$4766,'Diags Raw Data'!$D$6:$D$4766,$A12)</f>
        <v>48</v>
      </c>
      <c r="E12" s="241">
        <f>SUMIFS('Diags Raw Data'!$O$6:$O$4766,'Diags Raw Data'!$D$6:$D$4766,$A12)</f>
        <v>58221</v>
      </c>
      <c r="F12" s="247">
        <f t="shared" si="0"/>
        <v>0.99994847485572957</v>
      </c>
      <c r="G12" s="229">
        <f>SUMIFS('Diags Raw Data'!$S$6:$S$4766,'Diags Raw Data'!$D$6:$D$4766,$A12)</f>
        <v>22751</v>
      </c>
      <c r="H12" s="225">
        <f>SUMIFS('Diags Raw Data'!$T$6:$T$4766,'Diags Raw Data'!$D$6:$D$4766,$A12)</f>
        <v>22749</v>
      </c>
      <c r="I12" s="226">
        <f>SUMIFS('Diags Raw Data'!$U$6:$U$4766,'Diags Raw Data'!$D$6:$D$4766,$A12)</f>
        <v>0</v>
      </c>
      <c r="J12" s="225">
        <f>SUMIFS('Diags Raw Data'!$V$6:$V$4766,'Diags Raw Data'!$D$6:$D$4766,$A12)</f>
        <v>0</v>
      </c>
      <c r="K12" s="226">
        <f>SUMIFS('Diags Raw Data'!$W$6:$W$4766,'Diags Raw Data'!$D$6:$D$4766,$A12)</f>
        <v>2</v>
      </c>
      <c r="L12" s="242">
        <f t="shared" si="1"/>
        <v>1.0238513118221502</v>
      </c>
      <c r="M12" s="227">
        <f t="shared" si="2"/>
        <v>0.99991209177618567</v>
      </c>
      <c r="N12" s="236">
        <f t="shared" si="3"/>
        <v>1.0237613068718781</v>
      </c>
      <c r="O12" s="212">
        <f>SUMIFS('Diags Raw Data'!$Z$6:$Z$4766,'Diags Raw Data'!$D$6:$D$4766,$A12)</f>
        <v>51025</v>
      </c>
      <c r="P12" s="202">
        <f>SUMIFS('Diags Raw Data'!$AA$6:$AA$4766,'Diags Raw Data'!$D$6:$D$4766,$A12)</f>
        <v>51023</v>
      </c>
      <c r="Q12" s="204">
        <f>SUMIFS('Diags Raw Data'!$AB$6:$AB$4766,'Diags Raw Data'!$D$6:$D$4766,$A12)</f>
        <v>2</v>
      </c>
      <c r="R12" s="202">
        <f>SUMIFS('Diags Raw Data'!$AC$6:$AC$4766,'Diags Raw Data'!$D$6:$D$4766,$A12)</f>
        <v>0</v>
      </c>
      <c r="S12" s="204">
        <f>SUMIFS('Diags Raw Data'!$AD$6:$AD$4766,'Diags Raw Data'!$D$6:$D$4766,$A12)</f>
        <v>0</v>
      </c>
      <c r="T12" s="203">
        <f t="shared" si="4"/>
        <v>0.87635682879912069</v>
      </c>
      <c r="U12" s="228">
        <f t="shared" si="7"/>
        <v>1</v>
      </c>
      <c r="V12" s="230">
        <f t="shared" si="6"/>
        <v>0.87635682879912069</v>
      </c>
    </row>
    <row r="13" spans="1:22" ht="15" thickBot="1">
      <c r="A13" s="333" t="s">
        <v>748</v>
      </c>
      <c r="B13" s="252">
        <f>SUMIFS('Diags Raw Data'!$L$6:$L$4766,'Diags Raw Data'!$D$6:$D$4766,$A13)</f>
        <v>29</v>
      </c>
      <c r="C13" s="243">
        <f>SUMIFS('Diags Raw Data'!$R$6:$R$4766,'Diags Raw Data'!$D$6:$D$4766,$A13)</f>
        <v>22</v>
      </c>
      <c r="D13" s="243">
        <f>SUMIFS('Diags Raw Data'!$K$6:$K$4766,'Diags Raw Data'!$D$6:$D$4766,$A13)</f>
        <v>27</v>
      </c>
      <c r="E13" s="243">
        <f>SUMIFS('Diags Raw Data'!$O$6:$O$4766,'Diags Raw Data'!$D$6:$D$4766,$A13)</f>
        <v>29</v>
      </c>
      <c r="F13" s="248">
        <f>IF(NOT($B13=0), E13/$B13, "---")</f>
        <v>1</v>
      </c>
      <c r="G13" s="231">
        <f>SUMIFS('Diags Raw Data'!$S$6:$S$4766,'Diags Raw Data'!$D$6:$D$4766,$A13)</f>
        <v>26</v>
      </c>
      <c r="H13" s="232">
        <f>SUMIFS('Diags Raw Data'!$T$6:$T$4766,'Diags Raw Data'!$D$6:$D$4766,$A13)</f>
        <v>23</v>
      </c>
      <c r="I13" s="233">
        <f>SUMIFS('Diags Raw Data'!$U$6:$U$4766,'Diags Raw Data'!$D$6:$D$4766,$A13)</f>
        <v>0</v>
      </c>
      <c r="J13" s="232">
        <f>SUMIFS('Diags Raw Data'!$V$6:$V$4766,'Diags Raw Data'!$D$6:$D$4766,$A13)</f>
        <v>0</v>
      </c>
      <c r="K13" s="233">
        <f>SUMIFS('Diags Raw Data'!$W$6:$W$4766,'Diags Raw Data'!$D$6:$D$4766,$A13)</f>
        <v>3</v>
      </c>
      <c r="L13" s="244">
        <f t="shared" si="1"/>
        <v>1.1818181818181819</v>
      </c>
      <c r="M13" s="234">
        <f t="shared" si="2"/>
        <v>0.88461538461538458</v>
      </c>
      <c r="N13" s="237">
        <f>IF(NOT($C13=0), (H13+I13)/$C13, "---")</f>
        <v>1.0454545454545454</v>
      </c>
      <c r="O13" s="213">
        <f>SUMIFS('Diags Raw Data'!$Z$6:$Z$4766,'Diags Raw Data'!$D$6:$D$4766,$A13)</f>
        <v>26</v>
      </c>
      <c r="P13" s="205">
        <f>SUMIFS('Diags Raw Data'!$AA$6:$AA$4766,'Diags Raw Data'!$D$6:$D$4766,$A13)</f>
        <v>23</v>
      </c>
      <c r="Q13" s="207">
        <f>SUMIFS('Diags Raw Data'!$AB$6:$AB$4766,'Diags Raw Data'!$D$6:$D$4766,$A13)</f>
        <v>3</v>
      </c>
      <c r="R13" s="205">
        <f>SUMIFS('Diags Raw Data'!$AC$6:$AC$4766,'Diags Raw Data'!$D$6:$D$4766,$A13)</f>
        <v>0</v>
      </c>
      <c r="S13" s="207">
        <f>SUMIFS('Diags Raw Data'!$AD$6:$AD$4766,'Diags Raw Data'!$D$6:$D$4766,$A13)</f>
        <v>0</v>
      </c>
      <c r="T13" s="206">
        <f t="shared" si="4"/>
        <v>0.89655172413793105</v>
      </c>
      <c r="U13" s="238">
        <f t="shared" si="7"/>
        <v>1</v>
      </c>
      <c r="V13" s="235">
        <f t="shared" si="6"/>
        <v>0.89655172413793105</v>
      </c>
    </row>
    <row r="14" spans="1:22" ht="15" thickBot="1">
      <c r="A14" s="333" t="s">
        <v>924</v>
      </c>
      <c r="B14" s="252">
        <f>SUMIFS('Diags Raw Data'!$L$6:$L$4766,'Diags Raw Data'!$D$6:$D$4766,$A14)</f>
        <v>182</v>
      </c>
      <c r="C14" s="243">
        <f>SUMIFS('Diags Raw Data'!$R$6:$R$4766,'Diags Raw Data'!$D$6:$D$4766,$A14)</f>
        <v>180</v>
      </c>
      <c r="D14" s="243">
        <f>SUMIFS('Diags Raw Data'!$K$6:$K$4766,'Diags Raw Data'!$D$6:$D$4766,$A14)</f>
        <v>12</v>
      </c>
      <c r="E14" s="243">
        <f>SUMIFS('Diags Raw Data'!$O$6:$O$4766,'Diags Raw Data'!$D$6:$D$4766,$A14)</f>
        <v>180</v>
      </c>
      <c r="F14" s="248">
        <f t="shared" ref="F14:F17" si="8">IF(NOT($B14=0), E14/$B14, "---")</f>
        <v>0.98901098901098905</v>
      </c>
      <c r="G14" s="231">
        <f>SUMIFS('Diags Raw Data'!$S$6:$S$4766,'Diags Raw Data'!$D$6:$D$4766,$A14)</f>
        <v>182</v>
      </c>
      <c r="H14" s="232">
        <f>SUMIFS('Diags Raw Data'!$T$6:$T$4766,'Diags Raw Data'!$D$6:$D$4766,$A14)</f>
        <v>182</v>
      </c>
      <c r="I14" s="233">
        <f>SUMIFS('Diags Raw Data'!$U$6:$U$4766,'Diags Raw Data'!$D$6:$D$4766,$A14)</f>
        <v>0</v>
      </c>
      <c r="J14" s="232">
        <f>SUMIFS('Diags Raw Data'!$V$6:$V$4766,'Diags Raw Data'!$D$6:$D$4766,$A14)</f>
        <v>0</v>
      </c>
      <c r="K14" s="233">
        <f>SUMIFS('Diags Raw Data'!$W$6:$W$4766,'Diags Raw Data'!$D$6:$D$4766,$A14)</f>
        <v>0</v>
      </c>
      <c r="L14" s="244">
        <f t="shared" ref="L14:L17" si="9">IF(NOT($C14=0), G14/$C14, "---")</f>
        <v>1.0111111111111111</v>
      </c>
      <c r="M14" s="234">
        <f t="shared" ref="M14:M17" si="10">IF(NOT($G14=0), (H14+I14)/$G14, "---")</f>
        <v>1</v>
      </c>
      <c r="N14" s="237">
        <f t="shared" ref="N14:N17" si="11">IF(NOT($C14=0), (H14+I14)/$C14, "---")</f>
        <v>1.0111111111111111</v>
      </c>
      <c r="O14" s="213">
        <f>SUMIFS('Diags Raw Data'!$Z$6:$Z$4766,'Diags Raw Data'!$D$6:$D$4766,$A14)</f>
        <v>182</v>
      </c>
      <c r="P14" s="205">
        <f>SUMIFS('Diags Raw Data'!$AA$6:$AA$4766,'Diags Raw Data'!$D$6:$D$4766,$A14)</f>
        <v>182</v>
      </c>
      <c r="Q14" s="207">
        <f>SUMIFS('Diags Raw Data'!$AB$6:$AB$4766,'Diags Raw Data'!$D$6:$D$4766,$A14)</f>
        <v>0</v>
      </c>
      <c r="R14" s="205">
        <f>SUMIFS('Diags Raw Data'!$AC$6:$AC$4766,'Diags Raw Data'!$D$6:$D$4766,$A14)</f>
        <v>0</v>
      </c>
      <c r="S14" s="207">
        <f>SUMIFS('Diags Raw Data'!$AD$6:$AD$4766,'Diags Raw Data'!$D$6:$D$4766,$A14)</f>
        <v>0</v>
      </c>
      <c r="T14" s="206">
        <f t="shared" ref="T14:T17" si="12">IF(NOT($B14=0), O14/$B14, "---")</f>
        <v>1</v>
      </c>
      <c r="U14" s="238">
        <f t="shared" ref="U14:U17" si="13">IF(NOT($O14=0), (P14+Q14)/$O14, "---")</f>
        <v>1</v>
      </c>
      <c r="V14" s="235">
        <f t="shared" ref="V14:V17" si="14">IF(NOT($B14=0), (P14+Q14)/$B14, "---")</f>
        <v>1</v>
      </c>
    </row>
    <row r="15" spans="1:22" ht="15" thickBot="1">
      <c r="A15" s="333" t="s">
        <v>907</v>
      </c>
      <c r="B15" s="252">
        <f>SUMIFS('Diags Raw Data'!$L$6:$L$4766,'Diags Raw Data'!$D$6:$D$4766,$A15)</f>
        <v>2002</v>
      </c>
      <c r="C15" s="243">
        <f>SUMIFS('Diags Raw Data'!$R$6:$R$4766,'Diags Raw Data'!$D$6:$D$4766,$A15)</f>
        <v>2010</v>
      </c>
      <c r="D15" s="243">
        <f>SUMIFS('Diags Raw Data'!$K$6:$K$4766,'Diags Raw Data'!$D$6:$D$4766,$A15)</f>
        <v>3</v>
      </c>
      <c r="E15" s="243">
        <f>SUMIFS('Diags Raw Data'!$O$6:$O$4766,'Diags Raw Data'!$D$6:$D$4766,$A15)</f>
        <v>2002</v>
      </c>
      <c r="F15" s="248">
        <f t="shared" si="8"/>
        <v>1</v>
      </c>
      <c r="G15" s="231">
        <f>SUMIFS('Diags Raw Data'!$S$6:$S$4766,'Diags Raw Data'!$D$6:$D$4766,$A15)</f>
        <v>2729</v>
      </c>
      <c r="H15" s="232">
        <f>SUMIFS('Diags Raw Data'!$T$6:$T$4766,'Diags Raw Data'!$D$6:$D$4766,$A15)</f>
        <v>2729</v>
      </c>
      <c r="I15" s="233">
        <f>SUMIFS('Diags Raw Data'!$U$6:$U$4766,'Diags Raw Data'!$D$6:$D$4766,$A15)</f>
        <v>0</v>
      </c>
      <c r="J15" s="232">
        <f>SUMIFS('Diags Raw Data'!$V$6:$V$4766,'Diags Raw Data'!$D$6:$D$4766,$A15)</f>
        <v>0</v>
      </c>
      <c r="K15" s="233">
        <f>SUMIFS('Diags Raw Data'!$W$6:$W$4766,'Diags Raw Data'!$D$6:$D$4766,$A15)</f>
        <v>0</v>
      </c>
      <c r="L15" s="244">
        <f t="shared" si="9"/>
        <v>1.3577114427860697</v>
      </c>
      <c r="M15" s="234">
        <f t="shared" si="10"/>
        <v>1</v>
      </c>
      <c r="N15" s="237">
        <f t="shared" si="11"/>
        <v>1.3577114427860697</v>
      </c>
      <c r="O15" s="213">
        <f>SUMIFS('Diags Raw Data'!$Z$6:$Z$4766,'Diags Raw Data'!$D$6:$D$4766,$A15)</f>
        <v>4002</v>
      </c>
      <c r="P15" s="205">
        <f>SUMIFS('Diags Raw Data'!$AA$6:$AA$4766,'Diags Raw Data'!$D$6:$D$4766,$A15)</f>
        <v>4002</v>
      </c>
      <c r="Q15" s="207">
        <f>SUMIFS('Diags Raw Data'!$AB$6:$AB$4766,'Diags Raw Data'!$D$6:$D$4766,$A15)</f>
        <v>0</v>
      </c>
      <c r="R15" s="205">
        <f>SUMIFS('Diags Raw Data'!$AC$6:$AC$4766,'Diags Raw Data'!$D$6:$D$4766,$A15)</f>
        <v>0</v>
      </c>
      <c r="S15" s="207">
        <f>SUMIFS('Diags Raw Data'!$AD$6:$AD$4766,'Diags Raw Data'!$D$6:$D$4766,$A15)</f>
        <v>0</v>
      </c>
      <c r="T15" s="206">
        <f t="shared" si="12"/>
        <v>1.9990009990009989</v>
      </c>
      <c r="U15" s="238">
        <f t="shared" si="13"/>
        <v>1</v>
      </c>
      <c r="V15" s="235">
        <f t="shared" si="14"/>
        <v>1.9990009990009989</v>
      </c>
    </row>
    <row r="16" spans="1:22" ht="15" thickBot="1">
      <c r="A16" s="333" t="s">
        <v>950</v>
      </c>
      <c r="B16" s="252">
        <f>SUMIFS('Diags Raw Data'!$L$6:$L$4766,'Diags Raw Data'!$D$6:$D$4766,$A16)</f>
        <v>23</v>
      </c>
      <c r="C16" s="243">
        <f>SUMIFS('Diags Raw Data'!$R$6:$R$4766,'Diags Raw Data'!$D$6:$D$4766,$A16)</f>
        <v>230</v>
      </c>
      <c r="D16" s="243">
        <f>SUMIFS('Diags Raw Data'!$K$6:$K$4766,'Diags Raw Data'!$D$6:$D$4766,$A16)</f>
        <v>23</v>
      </c>
      <c r="E16" s="243">
        <f>SUMIFS('Diags Raw Data'!$O$6:$O$4766,'Diags Raw Data'!$D$6:$D$4766,$A16)</f>
        <v>23</v>
      </c>
      <c r="F16" s="248">
        <f t="shared" si="8"/>
        <v>1</v>
      </c>
      <c r="G16" s="231">
        <f>SUMIFS('Diags Raw Data'!$S$6:$S$4766,'Diags Raw Data'!$D$6:$D$4766,$A16)</f>
        <v>230</v>
      </c>
      <c r="H16" s="232">
        <f>SUMIFS('Diags Raw Data'!$T$6:$T$4766,'Diags Raw Data'!$D$6:$D$4766,$A16)</f>
        <v>230</v>
      </c>
      <c r="I16" s="233">
        <f>SUMIFS('Diags Raw Data'!$U$6:$U$4766,'Diags Raw Data'!$D$6:$D$4766,$A16)</f>
        <v>0</v>
      </c>
      <c r="J16" s="232">
        <f>SUMIFS('Diags Raw Data'!$V$6:$V$4766,'Diags Raw Data'!$D$6:$D$4766,$A16)</f>
        <v>0</v>
      </c>
      <c r="K16" s="233">
        <f>SUMIFS('Diags Raw Data'!$W$6:$W$4766,'Diags Raw Data'!$D$6:$D$4766,$A16)</f>
        <v>0</v>
      </c>
      <c r="L16" s="244">
        <f t="shared" si="9"/>
        <v>1</v>
      </c>
      <c r="M16" s="234">
        <f t="shared" si="10"/>
        <v>1</v>
      </c>
      <c r="N16" s="237">
        <f t="shared" si="11"/>
        <v>1</v>
      </c>
      <c r="O16" s="213">
        <f>SUMIFS('Diags Raw Data'!$Z$6:$Z$4766,'Diags Raw Data'!$D$6:$D$4766,$A16)</f>
        <v>23</v>
      </c>
      <c r="P16" s="205">
        <f>SUMIFS('Diags Raw Data'!$AA$6:$AA$4766,'Diags Raw Data'!$D$6:$D$4766,$A16)</f>
        <v>23</v>
      </c>
      <c r="Q16" s="207">
        <f>SUMIFS('Diags Raw Data'!$AB$6:$AB$4766,'Diags Raw Data'!$D$6:$D$4766,$A16)</f>
        <v>0</v>
      </c>
      <c r="R16" s="205">
        <f>SUMIFS('Diags Raw Data'!$AC$6:$AC$4766,'Diags Raw Data'!$D$6:$D$4766,$A16)</f>
        <v>0</v>
      </c>
      <c r="S16" s="207">
        <f>SUMIFS('Diags Raw Data'!$AD$6:$AD$4766,'Diags Raw Data'!$D$6:$D$4766,$A16)</f>
        <v>0</v>
      </c>
      <c r="T16" s="206">
        <f t="shared" si="12"/>
        <v>1</v>
      </c>
      <c r="U16" s="238">
        <f t="shared" si="13"/>
        <v>1</v>
      </c>
      <c r="V16" s="235">
        <f t="shared" si="14"/>
        <v>1</v>
      </c>
    </row>
    <row r="17" spans="1:22" ht="15" thickBot="1">
      <c r="A17" s="333" t="s">
        <v>1025</v>
      </c>
      <c r="B17" s="252">
        <f>SUMIFS('Diags Raw Data'!$L$6:$L$4766,'Diags Raw Data'!$D$6:$D$4766,$A17)</f>
        <v>0</v>
      </c>
      <c r="C17" s="243">
        <f>SUMIFS('Diags Raw Data'!$R$6:$R$4766,'Diags Raw Data'!$D$6:$D$4766,$A17)</f>
        <v>0</v>
      </c>
      <c r="D17" s="243">
        <f>SUMIFS('Diags Raw Data'!$K$6:$K$4766,'Diags Raw Data'!$D$6:$D$4766,$A17)</f>
        <v>0</v>
      </c>
      <c r="E17" s="243">
        <f>SUMIFS('Diags Raw Data'!$O$6:$O$4766,'Diags Raw Data'!$D$6:$D$4766,$A17)</f>
        <v>0</v>
      </c>
      <c r="F17" s="248" t="str">
        <f t="shared" si="8"/>
        <v>---</v>
      </c>
      <c r="G17" s="231">
        <f>SUMIFS('Diags Raw Data'!$S$6:$S$4766,'Diags Raw Data'!$D$6:$D$4766,$A17)</f>
        <v>0</v>
      </c>
      <c r="H17" s="232">
        <f>SUMIFS('Diags Raw Data'!$T$6:$T$4766,'Diags Raw Data'!$D$6:$D$4766,$A17)</f>
        <v>0</v>
      </c>
      <c r="I17" s="233">
        <f>SUMIFS('Diags Raw Data'!$U$6:$U$4766,'Diags Raw Data'!$D$6:$D$4766,$A17)</f>
        <v>0</v>
      </c>
      <c r="J17" s="232">
        <f>SUMIFS('Diags Raw Data'!$V$6:$V$4766,'Diags Raw Data'!$D$6:$D$4766,$A17)</f>
        <v>0</v>
      </c>
      <c r="K17" s="233">
        <f>SUMIFS('Diags Raw Data'!$W$6:$W$4766,'Diags Raw Data'!$D$6:$D$4766,$A17)</f>
        <v>0</v>
      </c>
      <c r="L17" s="244" t="str">
        <f t="shared" si="9"/>
        <v>---</v>
      </c>
      <c r="M17" s="234" t="str">
        <f t="shared" si="10"/>
        <v>---</v>
      </c>
      <c r="N17" s="237" t="str">
        <f t="shared" si="11"/>
        <v>---</v>
      </c>
      <c r="O17" s="213">
        <f>SUMIFS('Diags Raw Data'!$Z$6:$Z$4766,'Diags Raw Data'!$D$6:$D$4766,$A17)</f>
        <v>0</v>
      </c>
      <c r="P17" s="205">
        <f>SUMIFS('Diags Raw Data'!$AA$6:$AA$4766,'Diags Raw Data'!$D$6:$D$4766,$A17)</f>
        <v>0</v>
      </c>
      <c r="Q17" s="207">
        <f>SUMIFS('Diags Raw Data'!$AB$6:$AB$4766,'Diags Raw Data'!$D$6:$D$4766,$A17)</f>
        <v>0</v>
      </c>
      <c r="R17" s="205">
        <f>SUMIFS('Diags Raw Data'!$AC$6:$AC$4766,'Diags Raw Data'!$D$6:$D$4766,$A17)</f>
        <v>0</v>
      </c>
      <c r="S17" s="207">
        <f>SUMIFS('Diags Raw Data'!$AD$6:$AD$4766,'Diags Raw Data'!$D$6:$D$4766,$A17)</f>
        <v>0</v>
      </c>
      <c r="T17" s="206" t="str">
        <f t="shared" si="12"/>
        <v>---</v>
      </c>
      <c r="U17" s="238" t="str">
        <f t="shared" si="13"/>
        <v>---</v>
      </c>
      <c r="V17" s="235" t="str">
        <f t="shared" si="14"/>
        <v>---</v>
      </c>
    </row>
    <row r="18" spans="1:22" ht="15.95" thickBot="1">
      <c r="A18" s="271" t="s">
        <v>1026</v>
      </c>
      <c r="B18" s="255">
        <f>SUM(B4:B13)</f>
        <v>86057</v>
      </c>
      <c r="C18" s="256">
        <f>SUM(C4:C13)</f>
        <v>45534</v>
      </c>
      <c r="D18" s="256">
        <f>SUM(D4:D13)</f>
        <v>128</v>
      </c>
      <c r="E18" s="256">
        <f>SUM(E4:E13)</f>
        <v>86038</v>
      </c>
      <c r="F18" s="257" cm="1">
        <f t="array" ref="F18">SUMPRODUCT(--(ISNUMBER(SEARCH("New",'Diags Raw Data'!$M$6:$M$4766))),'Diags Raw Data'!$K$6:$K$4766,'Diags Raw Data'!$P$6:$P$4766)/D18+SUMPRODUCT(--(ISNUMBER(SEARCH("Delta",'Diags Raw Data'!$M$6:$M$4766))),'Diags Raw Data'!$K$6:$K$4766,'Diags Raw Data'!$P$6:$P$4766)/D18+SUMPRODUCT(--(ISNUMBER(SEARCH("Legacy",'Diags Raw Data'!$M$6:$M$4766))),'Diags Raw Data'!$K$6:$K$4766,'Diags Raw Data'!$P$6:$P$4766)/D18</f>
        <v>0</v>
      </c>
      <c r="G18" s="258">
        <f>SUM(G4:G13)</f>
        <v>45105</v>
      </c>
      <c r="H18" s="259">
        <f>SUM(H4:H13)</f>
        <v>44943</v>
      </c>
      <c r="I18" s="260">
        <f>SUM(I4:I13)</f>
        <v>2</v>
      </c>
      <c r="J18" s="259">
        <f>SUM(J4:J13)</f>
        <v>154</v>
      </c>
      <c r="K18" s="260">
        <f>SUM(K4:K13)</f>
        <v>6</v>
      </c>
      <c r="L18" s="261">
        <f>IF(NOT($C18=0), G18/$C18, "---")</f>
        <v>0.99057846883647382</v>
      </c>
      <c r="M18" s="262">
        <f>IF(NOT($G18=0), (H18+I18)/$G18, "---")</f>
        <v>0.99645272142777963</v>
      </c>
      <c r="N18" s="263">
        <f>IF(NOT($C18=0), (H18+I18)/$C18, "---")</f>
        <v>0.98706461105986731</v>
      </c>
      <c r="O18" s="264">
        <f>SUM(O4:O13)</f>
        <v>82523</v>
      </c>
      <c r="P18" s="265">
        <f>SUM(P4:P13)</f>
        <v>82515</v>
      </c>
      <c r="Q18" s="266">
        <f>SUM(Q4:Q13)</f>
        <v>8</v>
      </c>
      <c r="R18" s="265">
        <f>SUM(R4:R13)</f>
        <v>0</v>
      </c>
      <c r="S18" s="266">
        <f>SUM(S4:S13)</f>
        <v>0</v>
      </c>
      <c r="T18" s="267">
        <f>IF(NOT($B18=0), O18/$B18, "---")</f>
        <v>0.95893419477787978</v>
      </c>
      <c r="U18" s="268">
        <f>IF(NOT($O18=0), (P18+Q18)/$O18, "---")</f>
        <v>1</v>
      </c>
      <c r="V18" s="269">
        <f>IF(NOT($B18=0), (P18+Q18)/$B18, "---")</f>
        <v>0.95893419477787978</v>
      </c>
    </row>
    <row r="19" spans="1:22" ht="15" thickBot="1"/>
    <row r="20" spans="1:22" ht="15" thickBot="1">
      <c r="A20" s="214" t="s">
        <v>1027</v>
      </c>
      <c r="B20" s="667" t="s">
        <v>166</v>
      </c>
      <c r="C20" s="667"/>
      <c r="D20" s="667"/>
      <c r="E20" s="667"/>
      <c r="F20" s="667"/>
      <c r="G20" s="668" t="s">
        <v>177</v>
      </c>
      <c r="H20" s="669"/>
      <c r="I20" s="669"/>
      <c r="J20" s="669"/>
      <c r="K20" s="669"/>
      <c r="L20" s="669"/>
      <c r="M20" s="669"/>
      <c r="N20" s="670"/>
      <c r="O20" s="671" t="s">
        <v>144</v>
      </c>
      <c r="P20" s="672"/>
      <c r="Q20" s="672"/>
      <c r="R20" s="672"/>
      <c r="S20" s="672"/>
      <c r="T20" s="672"/>
      <c r="U20" s="672"/>
      <c r="V20" s="673"/>
    </row>
    <row r="21" spans="1:22" s="249" customFormat="1" ht="15" thickBot="1">
      <c r="A21" s="253" t="s">
        <v>88</v>
      </c>
      <c r="B21" s="310" t="s">
        <v>167</v>
      </c>
      <c r="C21" s="311" t="s">
        <v>128</v>
      </c>
      <c r="D21" s="312" t="s">
        <v>105</v>
      </c>
      <c r="E21" s="312" t="s">
        <v>173</v>
      </c>
      <c r="F21" s="313" t="s">
        <v>175</v>
      </c>
      <c r="G21" s="314" t="s">
        <v>132</v>
      </c>
      <c r="H21" s="315" t="s">
        <v>30</v>
      </c>
      <c r="I21" s="315" t="s">
        <v>135</v>
      </c>
      <c r="J21" s="315" t="s">
        <v>36</v>
      </c>
      <c r="K21" s="315" t="s">
        <v>138</v>
      </c>
      <c r="L21" s="315" t="s">
        <v>184</v>
      </c>
      <c r="M21" s="315" t="s">
        <v>140</v>
      </c>
      <c r="N21" s="316" t="s">
        <v>187</v>
      </c>
      <c r="O21" s="317" t="s">
        <v>132</v>
      </c>
      <c r="P21" s="318" t="s">
        <v>30</v>
      </c>
      <c r="Q21" s="318" t="s">
        <v>135</v>
      </c>
      <c r="R21" s="318" t="s">
        <v>36</v>
      </c>
      <c r="S21" s="318" t="s">
        <v>138</v>
      </c>
      <c r="T21" s="318" t="s">
        <v>184</v>
      </c>
      <c r="U21" s="318" t="s">
        <v>140</v>
      </c>
      <c r="V21" s="319" t="s">
        <v>187</v>
      </c>
    </row>
    <row r="22" spans="1:22">
      <c r="A22" s="332" t="s">
        <v>431</v>
      </c>
      <c r="B22" s="250">
        <f>SUMIFS('Diags Raw Data'!$L$6:$L$4766,'Diags Raw Data'!$D$6:$D$4766,$A22,'Diags Raw Data'!$M$6:$M$4766,"New")+SUMIFS('Diags Raw Data'!$L$6:$L$4766,'Diags Raw Data'!$D$6:$D$4766,$A22,'Diags Raw Data'!$M$6:$M$4766,"Delta")</f>
        <v>0</v>
      </c>
      <c r="C22" s="240">
        <f>SUMIFS('Diags Raw Data'!$R$6:$R$4766,'Diags Raw Data'!$D$6:$D$4766,$A22,'Diags Raw Data'!$M$6:$M$4766,"New")+SUMIFS('Diags Raw Data'!$R$6:$R$4766,'Diags Raw Data'!$D$6:$D$4766,$A22,'Diags Raw Data'!$M$6:$M$4766,"Delta")</f>
        <v>0</v>
      </c>
      <c r="D22" s="240">
        <f>SUMIFS('Diags Raw Data'!$K$6:$K$4766,'Diags Raw Data'!$D$6:$D$4766,$A22,'Diags Raw Data'!$M$6:$M$4766,"New")+SUMIFS('Diags Raw Data'!$K$6:$K$4766,'Diags Raw Data'!$D$6:$D$4766,$A22,'Diags Raw Data'!$M$6:$M$4766,"Delta")</f>
        <v>0</v>
      </c>
      <c r="E22" s="240">
        <f>SUMIFS('Diags Raw Data'!$O$6:$O$4766,'Diags Raw Data'!$D$6:$D$4766,$A22,'Diags Raw Data'!$M$6:$M$4766,"New")+SUMIFS('Diags Raw Data'!$O$6:$O$4766,'Diags Raw Data'!$D$6:$D$4766,$A22,'Diags Raw Data'!$M$6:$M$4766,"Delta")</f>
        <v>0</v>
      </c>
      <c r="F22" s="246" t="str">
        <f t="shared" ref="F22:F31" si="15">IF(NOT($B22=0), E22/$B22, "---")</f>
        <v>---</v>
      </c>
      <c r="G22" s="218">
        <f>SUMIFS('Diags Raw Data'!$S$6:$S$4766,'Diags Raw Data'!$D$6:$D$4766,$A22,'Diags Raw Data'!$M$6:$M$4766,"New")+SUMIFS('Diags Raw Data'!$S$6:$S$4766,'Diags Raw Data'!$D$6:$D$4766,$A22,'Diags Raw Data'!$M$6:$M$4766,"Delta")</f>
        <v>0</v>
      </c>
      <c r="H22" s="219">
        <f>SUMIFS('Diags Raw Data'!$T$6:$T$4766,'Diags Raw Data'!$D$6:$D$4766,$A22,'Diags Raw Data'!$M$6:$M$4766,"New")+SUMIFS('Diags Raw Data'!$T$6:$T$4766,'Diags Raw Data'!$D$6:$D$4766,$A22,'Diags Raw Data'!$M$6:$M$4766,"Delta")</f>
        <v>0</v>
      </c>
      <c r="I22" s="219">
        <f>SUMIFS('Diags Raw Data'!$U$6:$U$4766,'Diags Raw Data'!$D$6:$D$4766,$A22,'Diags Raw Data'!$M$6:$M$4766,"New")+SUMIFS('Diags Raw Data'!$U$6:$U$4766,'Diags Raw Data'!$D$6:$D$4766,$A22,'Diags Raw Data'!$M$6:$M$4766,"Delta")</f>
        <v>0</v>
      </c>
      <c r="J22" s="219">
        <f>SUMIFS('Diags Raw Data'!$V$6:$V$4766,'Diags Raw Data'!$D$6:$D$4766,$A22,'Diags Raw Data'!$M$6:$M$4766,"New")+SUMIFS('Diags Raw Data'!$V$6:$V$4766,'Diags Raw Data'!$D$6:$D$4766,$A22,'Diags Raw Data'!$M$6:$M$4766,"Delta")</f>
        <v>0</v>
      </c>
      <c r="K22" s="219">
        <f>SUMIFS('Diags Raw Data'!$W$6:$W$4766,'Diags Raw Data'!$D$6:$D$4766,$A22,'Diags Raw Data'!$M$6:$M$4766,"New")+SUMIFS('Diags Raw Data'!$W$6:$W$4766,'Diags Raw Data'!$D$6:$D$4766,$A22,'Diags Raw Data'!$M$6:$M$4766,"Delta")</f>
        <v>0</v>
      </c>
      <c r="L22" s="220" t="str">
        <f>IF(NOT($C22=0), G22/$C22, "---")</f>
        <v>---</v>
      </c>
      <c r="M22" s="222" t="str">
        <f>IF(NOT($G22=0), (H22+I22)/$G22, "---")</f>
        <v>---</v>
      </c>
      <c r="N22" s="224" t="str">
        <f>IF(NOT($C22=0), (H22+I22)/$C22, "---")</f>
        <v>---</v>
      </c>
      <c r="O22" s="211">
        <f>SUMIFS('Diags Raw Data'!$Z$6:$Z$4766,'Diags Raw Data'!$D$6:$D$4766,$A22,'Diags Raw Data'!$M$6:$M$4766,"New")+SUMIFS('Diags Raw Data'!$Z$6:$Z$4766,'Diags Raw Data'!$D$6:$D$4766,$A22,'Diags Raw Data'!$M$6:$M$4766,"Delta")</f>
        <v>0</v>
      </c>
      <c r="P22" s="208">
        <f>SUMIFS('Diags Raw Data'!$AA$6:$AA$4766,'Diags Raw Data'!$D$6:$D$4766,$A22,'Diags Raw Data'!$M$6:$M$4766,"New")+SUMIFS('Diags Raw Data'!$AA$6:$AA$4766,'Diags Raw Data'!$D$6:$D$4766,$A22,'Diags Raw Data'!$M$6:$M$4766,"Delta")</f>
        <v>0</v>
      </c>
      <c r="Q22" s="208">
        <f>SUMIFS('Diags Raw Data'!$AB$6:$AB$4766,'Diags Raw Data'!$D$6:$D$4766,$A22,'Diags Raw Data'!$M$6:$M$4766,"New")+SUMIFS('Diags Raw Data'!$AB$6:$AB$4766,'Diags Raw Data'!$D$6:$D$4766,$A22,'Diags Raw Data'!$M$6:$M$4766,"Delta")</f>
        <v>0</v>
      </c>
      <c r="R22" s="208">
        <f>SUMIFS('Diags Raw Data'!$AC$6:$AC$4766,'Diags Raw Data'!$D$6:$D$4766,$A22,'Diags Raw Data'!$M$6:$M$4766,"New")+SUMIFS('Diags Raw Data'!$AC$6:$AC$4766,'Diags Raw Data'!$D$6:$D$4766,$A22,'Diags Raw Data'!$M$6:$M$4766,"Delta")</f>
        <v>0</v>
      </c>
      <c r="S22" s="208">
        <f>SUMIFS('Diags Raw Data'!$AD$6:$AD$4766,'Diags Raw Data'!$D$6:$D$4766,$A22,'Diags Raw Data'!$M$6:$M$4766,"New")+SUMIFS('Diags Raw Data'!$AD$6:$AD$4766,'Diags Raw Data'!$D$6:$D$4766,$A22,'Diags Raw Data'!$M$6:$M$4766,"Delta")</f>
        <v>0</v>
      </c>
      <c r="T22" s="209" t="str">
        <f>IF(NOT($B22=0), O22/$B22, "---")</f>
        <v>---</v>
      </c>
      <c r="U22" s="223" t="str">
        <f>IF(NOT($O22=0), (P22+Q22)/$O22, "---")</f>
        <v>---</v>
      </c>
      <c r="V22" s="239" t="str">
        <f>IF(NOT($B22=0), (P22+Q22)/$B22, "---")</f>
        <v>---</v>
      </c>
    </row>
    <row r="23" spans="1:22">
      <c r="A23" s="332" t="s">
        <v>453</v>
      </c>
      <c r="B23" s="251">
        <f>SUMIFS('Diags Raw Data'!$L$6:$L$4766,'Diags Raw Data'!$D$6:$D$4766,$A23,'Diags Raw Data'!$M$6:$M$4766,"New")+SUMIFS('Diags Raw Data'!$L$6:$L$4766,'Diags Raw Data'!$D$6:$D$4766,$A23,'Diags Raw Data'!$M$6:$M$4766,"Delta")</f>
        <v>0</v>
      </c>
      <c r="C23" s="241">
        <f>SUMIFS('Diags Raw Data'!$R$6:$R$4766,'Diags Raw Data'!$D$6:$D$4766,$A23,'Diags Raw Data'!$M$6:$M$4766,"New")+SUMIFS('Diags Raw Data'!$R$6:$R$4766,'Diags Raw Data'!$D$6:$D$4766,$A23,'Diags Raw Data'!$M$6:$M$4766,"Delta")</f>
        <v>0</v>
      </c>
      <c r="D23" s="241">
        <f>SUMIFS('Diags Raw Data'!$K$6:$K$4766,'Diags Raw Data'!$D$6:$D$4766,$A23,'Diags Raw Data'!$M$6:$M$4766,"New")+SUMIFS('Diags Raw Data'!$K$6:$K$4766,'Diags Raw Data'!$D$6:$D$4766,$A23,'Diags Raw Data'!$M$6:$M$4766,"Delta")</f>
        <v>0</v>
      </c>
      <c r="E23" s="241">
        <f>SUMIFS('Diags Raw Data'!$O$6:$O$4766,'Diags Raw Data'!$D$6:$D$4766,$A23,'Diags Raw Data'!$M$6:$M$4766,"New")+SUMIFS('Diags Raw Data'!$O$6:$O$4766,'Diags Raw Data'!$D$6:$D$4766,$A23,'Diags Raw Data'!$M$6:$M$4766,"Delta")</f>
        <v>0</v>
      </c>
      <c r="F23" s="247" t="str">
        <f t="shared" si="15"/>
        <v>---</v>
      </c>
      <c r="G23" s="229">
        <f>SUMIFS('Diags Raw Data'!$S$6:$S$4766,'Diags Raw Data'!$D$6:$D$4766,$A23,'Diags Raw Data'!$M$6:$M$4766,"New")+SUMIFS('Diags Raw Data'!$S$6:$S$4766,'Diags Raw Data'!$D$6:$D$4766,$A23,'Diags Raw Data'!$M$6:$M$4766,"Delta")</f>
        <v>0</v>
      </c>
      <c r="H23" s="225">
        <f>SUMIFS('Diags Raw Data'!$T$6:$T$4766,'Diags Raw Data'!$D$6:$D$4766,$A23,'Diags Raw Data'!$M$6:$M$4766,"New")+SUMIFS('Diags Raw Data'!$T$6:$T$4766,'Diags Raw Data'!$D$6:$D$4766,$A23,'Diags Raw Data'!$M$6:$M$4766,"Delta")</f>
        <v>0</v>
      </c>
      <c r="I23" s="225">
        <f>SUMIFS('Diags Raw Data'!$U$6:$U$4766,'Diags Raw Data'!$D$6:$D$4766,$A23,'Diags Raw Data'!$M$6:$M$4766,"New")+SUMIFS('Diags Raw Data'!$U$6:$U$4766,'Diags Raw Data'!$D$6:$D$4766,$A23,'Diags Raw Data'!$M$6:$M$4766,"Delta")</f>
        <v>0</v>
      </c>
      <c r="J23" s="225">
        <f>SUMIFS('Diags Raw Data'!$V$6:$V$4766,'Diags Raw Data'!$D$6:$D$4766,$A23,'Diags Raw Data'!$M$6:$M$4766,"New")+SUMIFS('Diags Raw Data'!$V$6:$V$4766,'Diags Raw Data'!$D$6:$D$4766,$A23,'Diags Raw Data'!$M$6:$M$4766,"Delta")</f>
        <v>0</v>
      </c>
      <c r="K23" s="225">
        <f>SUMIFS('Diags Raw Data'!$W$6:$W$4766,'Diags Raw Data'!$D$6:$D$4766,$A23,'Diags Raw Data'!$M$6:$M$4766,"New")+SUMIFS('Diags Raw Data'!$W$6:$W$4766,'Diags Raw Data'!$D$6:$D$4766,$A23,'Diags Raw Data'!$M$6:$M$4766,"Delta")</f>
        <v>0</v>
      </c>
      <c r="L23" s="242" t="str">
        <f>IF(NOT($C23=0), G23/$C23, "---")</f>
        <v>---</v>
      </c>
      <c r="M23" s="227" t="str">
        <f>IF(NOT($G23=0), (H23+I23)/$G23, "---")</f>
        <v>---</v>
      </c>
      <c r="N23" s="236" t="str">
        <f>IF(NOT($C23=0), (H23+I23)/$C23, "---")</f>
        <v>---</v>
      </c>
      <c r="O23" s="212">
        <f>SUMIFS('Diags Raw Data'!$Z$6:$Z$4766,'Diags Raw Data'!$D$6:$D$4766,$A23,'Diags Raw Data'!$M$6:$M$4766,"New")+SUMIFS('Diags Raw Data'!$Z$6:$Z$4766,'Diags Raw Data'!$D$6:$D$4766,$A23,'Diags Raw Data'!$M$6:$M$4766,"Delta")</f>
        <v>0</v>
      </c>
      <c r="P23" s="202">
        <f>SUMIFS('Diags Raw Data'!$AA$6:$AA$4766,'Diags Raw Data'!$D$6:$D$4766,$A23,'Diags Raw Data'!$M$6:$M$4766,"New")+SUMIFS('Diags Raw Data'!$AA$6:$AA$4766,'Diags Raw Data'!$D$6:$D$4766,$A23,'Diags Raw Data'!$M$6:$M$4766,"Delta")</f>
        <v>0</v>
      </c>
      <c r="Q23" s="202">
        <f>SUMIFS('Diags Raw Data'!$AB$6:$AB$4766,'Diags Raw Data'!$D$6:$D$4766,$A23,'Diags Raw Data'!$M$6:$M$4766,"New")+SUMIFS('Diags Raw Data'!$AB$6:$AB$4766,'Diags Raw Data'!$D$6:$D$4766,$A23,'Diags Raw Data'!$M$6:$M$4766,"Delta")</f>
        <v>0</v>
      </c>
      <c r="R23" s="202">
        <f>SUMIFS('Diags Raw Data'!$AC$6:$AC$4766,'Diags Raw Data'!$D$6:$D$4766,$A23,'Diags Raw Data'!$M$6:$M$4766,"New")+SUMIFS('Diags Raw Data'!$AC$6:$AC$4766,'Diags Raw Data'!$D$6:$D$4766,$A23,'Diags Raw Data'!$M$6:$M$4766,"Delta")</f>
        <v>0</v>
      </c>
      <c r="S23" s="202">
        <f>SUMIFS('Diags Raw Data'!$AD$6:$AD$4766,'Diags Raw Data'!$D$6:$D$4766,$A23,'Diags Raw Data'!$M$6:$M$4766,"New")+SUMIFS('Diags Raw Data'!$AD$6:$AD$4766,'Diags Raw Data'!$D$6:$D$4766,$A23,'Diags Raw Data'!$M$6:$M$4766,"Delta")</f>
        <v>0</v>
      </c>
      <c r="T23" s="203" t="str">
        <f>IF(NOT($B23=0), O23/$B23, "---")</f>
        <v>---</v>
      </c>
      <c r="U23" s="228" t="str">
        <f>IF(NOT($O23=0), (P23+Q23)/$O23, "---")</f>
        <v>---</v>
      </c>
      <c r="V23" s="230" t="str">
        <f t="shared" ref="V23:V36" si="16">IF(NOT($B23=0), (P23+Q23)/$B23, "---")</f>
        <v>---</v>
      </c>
    </row>
    <row r="24" spans="1:22">
      <c r="A24" s="332" t="s">
        <v>567</v>
      </c>
      <c r="B24" s="251">
        <f>SUMIFS('Diags Raw Data'!$L$6:$L$4766,'Diags Raw Data'!$D$6:$D$4766,$A24,'Diags Raw Data'!$M$6:$M$4766,"New")+SUMIFS('Diags Raw Data'!$L$6:$L$4766,'Diags Raw Data'!$D$6:$D$4766,$A24,'Diags Raw Data'!$M$6:$M$4766,"Delta")</f>
        <v>0</v>
      </c>
      <c r="C24" s="241">
        <f>SUMIFS('Diags Raw Data'!$R$6:$R$4766,'Diags Raw Data'!$D$6:$D$4766,$A24,'Diags Raw Data'!$M$6:$M$4766,"New")+SUMIFS('Diags Raw Data'!$R$6:$R$4766,'Diags Raw Data'!$D$6:$D$4766,$A24,'Diags Raw Data'!$M$6:$M$4766,"Delta")</f>
        <v>0</v>
      </c>
      <c r="D24" s="241">
        <f>SUMIFS('Diags Raw Data'!$K$6:$K$4766,'Diags Raw Data'!$D$6:$D$4766,$A24,'Diags Raw Data'!$M$6:$M$4766,"New")+SUMIFS('Diags Raw Data'!$K$6:$K$4766,'Diags Raw Data'!$D$6:$D$4766,$A24,'Diags Raw Data'!$M$6:$M$4766,"Delta")</f>
        <v>0</v>
      </c>
      <c r="E24" s="241">
        <f>SUMIFS('Diags Raw Data'!$O$6:$O$4766,'Diags Raw Data'!$D$6:$D$4766,$A24,'Diags Raw Data'!$M$6:$M$4766,"New")+SUMIFS('Diags Raw Data'!$O$6:$O$4766,'Diags Raw Data'!$D$6:$D$4766,$A24,'Diags Raw Data'!$M$6:$M$4766,"Delta")</f>
        <v>0</v>
      </c>
      <c r="F24" s="247" t="str">
        <f>IF(NOT($B24=0), E24/$B24, "---")</f>
        <v>---</v>
      </c>
      <c r="G24" s="229">
        <f>SUMIFS('Diags Raw Data'!$S$6:$S$4766,'Diags Raw Data'!$D$6:$D$4766,$A24,'Diags Raw Data'!$M$6:$M$4766,"New")+SUMIFS('Diags Raw Data'!$S$6:$S$4766,'Diags Raw Data'!$D$6:$D$4766,$A24,'Diags Raw Data'!$M$6:$M$4766,"Delta")</f>
        <v>0</v>
      </c>
      <c r="H24" s="225">
        <f>SUMIFS('Diags Raw Data'!$T$6:$T$4766,'Diags Raw Data'!$D$6:$D$4766,$A24,'Diags Raw Data'!$M$6:$M$4766,"New")+SUMIFS('Diags Raw Data'!$T$6:$T$4766,'Diags Raw Data'!$D$6:$D$4766,$A24,'Diags Raw Data'!$M$6:$M$4766,"Delta")</f>
        <v>0</v>
      </c>
      <c r="I24" s="225">
        <f>SUMIFS('Diags Raw Data'!$U$6:$U$4766,'Diags Raw Data'!$D$6:$D$4766,$A24,'Diags Raw Data'!$M$6:$M$4766,"New")+SUMIFS('Diags Raw Data'!$U$6:$U$4766,'Diags Raw Data'!$D$6:$D$4766,$A24,'Diags Raw Data'!$M$6:$M$4766,"Delta")</f>
        <v>0</v>
      </c>
      <c r="J24" s="225">
        <f>SUMIFS('Diags Raw Data'!$V$6:$V$4766,'Diags Raw Data'!$D$6:$D$4766,$A24,'Diags Raw Data'!$M$6:$M$4766,"New")+SUMIFS('Diags Raw Data'!$V$6:$V$4766,'Diags Raw Data'!$D$6:$D$4766,$A24,'Diags Raw Data'!$M$6:$M$4766,"Delta")</f>
        <v>0</v>
      </c>
      <c r="K24" s="225">
        <f>SUMIFS('Diags Raw Data'!$W$6:$W$4766,'Diags Raw Data'!$D$6:$D$4766,$A24,'Diags Raw Data'!$M$6:$M$4766,"New")+SUMIFS('Diags Raw Data'!$W$6:$W$4766,'Diags Raw Data'!$D$6:$D$4766,$A24,'Diags Raw Data'!$M$6:$M$4766,"Delta")</f>
        <v>0</v>
      </c>
      <c r="L24" s="242" t="str">
        <f t="shared" ref="L24:L31" si="17">IF(NOT($C24=0), G24/$C24, "---")</f>
        <v>---</v>
      </c>
      <c r="M24" s="227" t="str">
        <f>IF(NOT($G24=0), (H24+I24)/$G24, "---")</f>
        <v>---</v>
      </c>
      <c r="N24" s="236" t="str">
        <f t="shared" ref="N24:N31" si="18">IF(NOT($C24=0), (H24+I24)/$C24, "---")</f>
        <v>---</v>
      </c>
      <c r="O24" s="212">
        <f>SUMIFS('Diags Raw Data'!$Z$6:$Z$4766,'Diags Raw Data'!$D$6:$D$4766,$A24,'Diags Raw Data'!$M$6:$M$4766,"New")+SUMIFS('Diags Raw Data'!$Z$6:$Z$4766,'Diags Raw Data'!$D$6:$D$4766,$A24,'Diags Raw Data'!$M$6:$M$4766,"Delta")</f>
        <v>0</v>
      </c>
      <c r="P24" s="202">
        <f>SUMIFS('Diags Raw Data'!$AA$6:$AA$4766,'Diags Raw Data'!$D$6:$D$4766,$A24,'Diags Raw Data'!$M$6:$M$4766,"New")+SUMIFS('Diags Raw Data'!$AA$6:$AA$4766,'Diags Raw Data'!$D$6:$D$4766,$A24,'Diags Raw Data'!$M$6:$M$4766,"Delta")</f>
        <v>0</v>
      </c>
      <c r="Q24" s="202">
        <f>SUMIFS('Diags Raw Data'!$AB$6:$AB$4766,'Diags Raw Data'!$D$6:$D$4766,$A24,'Diags Raw Data'!$M$6:$M$4766,"New")+SUMIFS('Diags Raw Data'!$AB$6:$AB$4766,'Diags Raw Data'!$D$6:$D$4766,$A24,'Diags Raw Data'!$M$6:$M$4766,"Delta")</f>
        <v>0</v>
      </c>
      <c r="R24" s="202">
        <f>SUMIFS('Diags Raw Data'!$AC$6:$AC$4766,'Diags Raw Data'!$D$6:$D$4766,$A24,'Diags Raw Data'!$M$6:$M$4766,"New")+SUMIFS('Diags Raw Data'!$AC$6:$AC$4766,'Diags Raw Data'!$D$6:$D$4766,$A24,'Diags Raw Data'!$M$6:$M$4766,"Delta")</f>
        <v>0</v>
      </c>
      <c r="S24" s="202">
        <f>SUMIFS('Diags Raw Data'!$AD$6:$AD$4766,'Diags Raw Data'!$D$6:$D$4766,$A24,'Diags Raw Data'!$M$6:$M$4766,"New")+SUMIFS('Diags Raw Data'!$AD$6:$AD$4766,'Diags Raw Data'!$D$6:$D$4766,$A24,'Diags Raw Data'!$M$6:$M$4766,"Delta")</f>
        <v>0</v>
      </c>
      <c r="T24" s="203" t="str">
        <f t="shared" ref="T24:T31" si="19">IF(NOT($B24=0), O24/$B24, "---")</f>
        <v>---</v>
      </c>
      <c r="U24" s="228" t="str">
        <f t="shared" ref="U24:U36" si="20">IF(NOT($O24=0), (P24+Q24)/$O24, "---")</f>
        <v>---</v>
      </c>
      <c r="V24" s="230" t="str">
        <f>IF(NOT($B24=0), (P24+Q24)/$B24, "---")</f>
        <v>---</v>
      </c>
    </row>
    <row r="25" spans="1:22">
      <c r="A25" s="332" t="s">
        <v>590</v>
      </c>
      <c r="B25" s="251">
        <f>SUMIFS('Diags Raw Data'!$L$6:$L$4766,'Diags Raw Data'!$D$6:$D$4766,$A25,'Diags Raw Data'!$M$6:$M$4766,"New")+SUMIFS('Diags Raw Data'!$L$6:$L$4766,'Diags Raw Data'!$D$6:$D$4766,$A25,'Diags Raw Data'!$M$6:$M$4766,"Delta")</f>
        <v>0</v>
      </c>
      <c r="C25" s="241">
        <f>SUMIFS('Diags Raw Data'!$R$6:$R$4766,'Diags Raw Data'!$D$6:$D$4766,$A25,'Diags Raw Data'!$M$6:$M$4766,"New")+SUMIFS('Diags Raw Data'!$R$6:$R$4766,'Diags Raw Data'!$D$6:$D$4766,$A25,'Diags Raw Data'!$M$6:$M$4766,"Delta")</f>
        <v>0</v>
      </c>
      <c r="D25" s="241">
        <f>SUMIFS('Diags Raw Data'!$K$6:$K$4766,'Diags Raw Data'!$D$6:$D$4766,$A25,'Diags Raw Data'!$M$6:$M$4766,"New")+SUMIFS('Diags Raw Data'!$K$6:$K$4766,'Diags Raw Data'!$D$6:$D$4766,$A25,'Diags Raw Data'!$M$6:$M$4766,"Delta")</f>
        <v>0</v>
      </c>
      <c r="E25" s="241">
        <f>SUMIFS('Diags Raw Data'!$O$6:$O$4766,'Diags Raw Data'!$D$6:$D$4766,$A25,'Diags Raw Data'!$M$6:$M$4766,"New")+SUMIFS('Diags Raw Data'!$O$6:$O$4766,'Diags Raw Data'!$D$6:$D$4766,$A25,'Diags Raw Data'!$M$6:$M$4766,"Delta")</f>
        <v>0</v>
      </c>
      <c r="F25" s="247" t="str">
        <f t="shared" si="15"/>
        <v>---</v>
      </c>
      <c r="G25" s="229">
        <f>SUMIFS('Diags Raw Data'!$S$6:$S$4766,'Diags Raw Data'!$D$6:$D$4766,$A25,'Diags Raw Data'!$M$6:$M$4766,"New")+SUMIFS('Diags Raw Data'!$S$6:$S$4766,'Diags Raw Data'!$D$6:$D$4766,$A25,'Diags Raw Data'!$M$6:$M$4766,"Delta")</f>
        <v>0</v>
      </c>
      <c r="H25" s="225">
        <f>SUMIFS('Diags Raw Data'!$T$6:$T$4766,'Diags Raw Data'!$D$6:$D$4766,$A25,'Diags Raw Data'!$M$6:$M$4766,"New")+SUMIFS('Diags Raw Data'!$T$6:$T$4766,'Diags Raw Data'!$D$6:$D$4766,$A25,'Diags Raw Data'!$M$6:$M$4766,"Delta")</f>
        <v>0</v>
      </c>
      <c r="I25" s="225">
        <f>SUMIFS('Diags Raw Data'!$U$6:$U$4766,'Diags Raw Data'!$D$6:$D$4766,$A25,'Diags Raw Data'!$M$6:$M$4766,"New")+SUMIFS('Diags Raw Data'!$U$6:$U$4766,'Diags Raw Data'!$D$6:$D$4766,$A25,'Diags Raw Data'!$M$6:$M$4766,"Delta")</f>
        <v>0</v>
      </c>
      <c r="J25" s="225">
        <f>SUMIFS('Diags Raw Data'!$V$6:$V$4766,'Diags Raw Data'!$D$6:$D$4766,$A25,'Diags Raw Data'!$M$6:$M$4766,"New")+SUMIFS('Diags Raw Data'!$V$6:$V$4766,'Diags Raw Data'!$D$6:$D$4766,$A25,'Diags Raw Data'!$M$6:$M$4766,"Delta")</f>
        <v>0</v>
      </c>
      <c r="K25" s="225">
        <f>SUMIFS('Diags Raw Data'!$W$6:$W$4766,'Diags Raw Data'!$D$6:$D$4766,$A25,'Diags Raw Data'!$M$6:$M$4766,"New")+SUMIFS('Diags Raw Data'!$W$6:$W$4766,'Diags Raw Data'!$D$6:$D$4766,$A25,'Diags Raw Data'!$M$6:$M$4766,"Delta")</f>
        <v>0</v>
      </c>
      <c r="L25" s="242" t="str">
        <f t="shared" si="17"/>
        <v>---</v>
      </c>
      <c r="M25" s="227" t="str">
        <f t="shared" ref="M25:M36" si="21">IF(NOT($G25=0), (H25+I25)/$G25, "---")</f>
        <v>---</v>
      </c>
      <c r="N25" s="236" t="str">
        <f>IF(NOT($C25=0), (H25+I25)/$C25, "---")</f>
        <v>---</v>
      </c>
      <c r="O25" s="212">
        <f>SUMIFS('Diags Raw Data'!$Z$6:$Z$4766,'Diags Raw Data'!$D$6:$D$4766,$A25,'Diags Raw Data'!$M$6:$M$4766,"New")+SUMIFS('Diags Raw Data'!$Z$6:$Z$4766,'Diags Raw Data'!$D$6:$D$4766,$A25,'Diags Raw Data'!$M$6:$M$4766,"Delta")</f>
        <v>0</v>
      </c>
      <c r="P25" s="202">
        <f>SUMIFS('Diags Raw Data'!$AA$6:$AA$4766,'Diags Raw Data'!$D$6:$D$4766,$A25,'Diags Raw Data'!$M$6:$M$4766,"New")+SUMIFS('Diags Raw Data'!$AA$6:$AA$4766,'Diags Raw Data'!$D$6:$D$4766,$A25,'Diags Raw Data'!$M$6:$M$4766,"Delta")</f>
        <v>0</v>
      </c>
      <c r="Q25" s="202">
        <f>SUMIFS('Diags Raw Data'!$AB$6:$AB$4766,'Diags Raw Data'!$D$6:$D$4766,$A25,'Diags Raw Data'!$M$6:$M$4766,"New")+SUMIFS('Diags Raw Data'!$AB$6:$AB$4766,'Diags Raw Data'!$D$6:$D$4766,$A25,'Diags Raw Data'!$M$6:$M$4766,"Delta")</f>
        <v>0</v>
      </c>
      <c r="R25" s="202">
        <f>SUMIFS('Diags Raw Data'!$AC$6:$AC$4766,'Diags Raw Data'!$D$6:$D$4766,$A25,'Diags Raw Data'!$M$6:$M$4766,"New")+SUMIFS('Diags Raw Data'!$AC$6:$AC$4766,'Diags Raw Data'!$D$6:$D$4766,$A25,'Diags Raw Data'!$M$6:$M$4766,"Delta")</f>
        <v>0</v>
      </c>
      <c r="S25" s="202">
        <f>SUMIFS('Diags Raw Data'!$AD$6:$AD$4766,'Diags Raw Data'!$D$6:$D$4766,$A25,'Diags Raw Data'!$M$6:$M$4766,"New")+SUMIFS('Diags Raw Data'!$AD$6:$AD$4766,'Diags Raw Data'!$D$6:$D$4766,$A25,'Diags Raw Data'!$M$6:$M$4766,"Delta")</f>
        <v>0</v>
      </c>
      <c r="T25" s="203" t="str">
        <f t="shared" si="19"/>
        <v>---</v>
      </c>
      <c r="U25" s="228" t="str">
        <f t="shared" si="20"/>
        <v>---</v>
      </c>
      <c r="V25" s="230" t="str">
        <f>IF(NOT($B25=0), (P25+Q25)/$B25, "---")</f>
        <v>---</v>
      </c>
    </row>
    <row r="26" spans="1:22">
      <c r="A26" s="332" t="s">
        <v>629</v>
      </c>
      <c r="B26" s="251">
        <f>SUMIFS('Diags Raw Data'!$L$6:$L$4766,'Diags Raw Data'!$D$6:$D$4766,$A26,'Diags Raw Data'!$M$6:$M$4766,"New")+SUMIFS('Diags Raw Data'!$L$6:$L$4766,'Diags Raw Data'!$D$6:$D$4766,$A26,'Diags Raw Data'!$M$6:$M$4766,"Delta")</f>
        <v>0</v>
      </c>
      <c r="C26" s="241">
        <f>SUMIFS('Diags Raw Data'!$R$6:$R$4766,'Diags Raw Data'!$D$6:$D$4766,$A26,'Diags Raw Data'!$M$6:$M$4766,"New")+SUMIFS('Diags Raw Data'!$R$6:$R$4766,'Diags Raw Data'!$D$6:$D$4766,$A26,'Diags Raw Data'!$M$6:$M$4766,"Delta")</f>
        <v>0</v>
      </c>
      <c r="D26" s="241">
        <f>SUMIFS('Diags Raw Data'!$K$6:$K$4766,'Diags Raw Data'!$D$6:$D$4766,$A26,'Diags Raw Data'!$M$6:$M$4766,"New")+SUMIFS('Diags Raw Data'!$K$6:$K$4766,'Diags Raw Data'!$D$6:$D$4766,$A26,'Diags Raw Data'!$M$6:$M$4766,"Delta")</f>
        <v>0</v>
      </c>
      <c r="E26" s="241">
        <f>SUMIFS('Diags Raw Data'!$O$6:$O$4766,'Diags Raw Data'!$D$6:$D$4766,$A26,'Diags Raw Data'!$M$6:$M$4766,"New")+SUMIFS('Diags Raw Data'!$O$6:$O$4766,'Diags Raw Data'!$D$6:$D$4766,$A26,'Diags Raw Data'!$M$6:$M$4766,"Delta")</f>
        <v>0</v>
      </c>
      <c r="F26" s="247" t="str">
        <f>IF(NOT($B26=0), E26/$B26, "---")</f>
        <v>---</v>
      </c>
      <c r="G26" s="229">
        <f>SUMIFS('Diags Raw Data'!$S$6:$S$4766,'Diags Raw Data'!$D$6:$D$4766,$A26,'Diags Raw Data'!$M$6:$M$4766,"New")+SUMIFS('Diags Raw Data'!$S$6:$S$4766,'Diags Raw Data'!$D$6:$D$4766,$A26,'Diags Raw Data'!$M$6:$M$4766,"Delta")</f>
        <v>0</v>
      </c>
      <c r="H26" s="225">
        <f>SUMIFS('Diags Raw Data'!$T$6:$T$4766,'Diags Raw Data'!$D$6:$D$4766,$A26,'Diags Raw Data'!$M$6:$M$4766,"New")+SUMIFS('Diags Raw Data'!$T$6:$T$4766,'Diags Raw Data'!$D$6:$D$4766,$A26,'Diags Raw Data'!$M$6:$M$4766,"Delta")</f>
        <v>0</v>
      </c>
      <c r="I26" s="225">
        <f>SUMIFS('Diags Raw Data'!$U$6:$U$4766,'Diags Raw Data'!$D$6:$D$4766,$A26,'Diags Raw Data'!$M$6:$M$4766,"New")+SUMIFS('Diags Raw Data'!$U$6:$U$4766,'Diags Raw Data'!$D$6:$D$4766,$A26,'Diags Raw Data'!$M$6:$M$4766,"Delta")</f>
        <v>0</v>
      </c>
      <c r="J26" s="225">
        <f>SUMIFS('Diags Raw Data'!$V$6:$V$4766,'Diags Raw Data'!$D$6:$D$4766,$A26,'Diags Raw Data'!$M$6:$M$4766,"New")+SUMIFS('Diags Raw Data'!$V$6:$V$4766,'Diags Raw Data'!$D$6:$D$4766,$A26,'Diags Raw Data'!$M$6:$M$4766,"Delta")</f>
        <v>0</v>
      </c>
      <c r="K26" s="225">
        <f>SUMIFS('Diags Raw Data'!$W$6:$W$4766,'Diags Raw Data'!$D$6:$D$4766,$A26,'Diags Raw Data'!$M$6:$M$4766,"New")+SUMIFS('Diags Raw Data'!$W$6:$W$4766,'Diags Raw Data'!$D$6:$D$4766,$A26,'Diags Raw Data'!$M$6:$M$4766,"Delta")</f>
        <v>0</v>
      </c>
      <c r="L26" s="242" t="str">
        <f t="shared" si="17"/>
        <v>---</v>
      </c>
      <c r="M26" s="227" t="str">
        <f t="shared" si="21"/>
        <v>---</v>
      </c>
      <c r="N26" s="236" t="str">
        <f t="shared" si="18"/>
        <v>---</v>
      </c>
      <c r="O26" s="212">
        <f>SUMIFS('Diags Raw Data'!$Z$6:$Z$4766,'Diags Raw Data'!$D$6:$D$4766,$A26,'Diags Raw Data'!$M$6:$M$4766,"New")+SUMIFS('Diags Raw Data'!$Z$6:$Z$4766,'Diags Raw Data'!$D$6:$D$4766,$A26,'Diags Raw Data'!$M$6:$M$4766,"Delta")</f>
        <v>0</v>
      </c>
      <c r="P26" s="202">
        <f>SUMIFS('Diags Raw Data'!$AA$6:$AA$4766,'Diags Raw Data'!$D$6:$D$4766,$A26,'Diags Raw Data'!$M$6:$M$4766,"New")+SUMIFS('Diags Raw Data'!$AA$6:$AA$4766,'Diags Raw Data'!$D$6:$D$4766,$A26,'Diags Raw Data'!$M$6:$M$4766,"Delta")</f>
        <v>0</v>
      </c>
      <c r="Q26" s="202">
        <f>SUMIFS('Diags Raw Data'!$AB$6:$AB$4766,'Diags Raw Data'!$D$6:$D$4766,$A26,'Diags Raw Data'!$M$6:$M$4766,"New")+SUMIFS('Diags Raw Data'!$AB$6:$AB$4766,'Diags Raw Data'!$D$6:$D$4766,$A26,'Diags Raw Data'!$M$6:$M$4766,"Delta")</f>
        <v>0</v>
      </c>
      <c r="R26" s="202">
        <f>SUMIFS('Diags Raw Data'!$AC$6:$AC$4766,'Diags Raw Data'!$D$6:$D$4766,$A26,'Diags Raw Data'!$M$6:$M$4766,"New")+SUMIFS('Diags Raw Data'!$AC$6:$AC$4766,'Diags Raw Data'!$D$6:$D$4766,$A26,'Diags Raw Data'!$M$6:$M$4766,"Delta")</f>
        <v>0</v>
      </c>
      <c r="S26" s="202">
        <f>SUMIFS('Diags Raw Data'!$AD$6:$AD$4766,'Diags Raw Data'!$D$6:$D$4766,$A26,'Diags Raw Data'!$M$6:$M$4766,"New")+SUMIFS('Diags Raw Data'!$AD$6:$AD$4766,'Diags Raw Data'!$D$6:$D$4766,$A26,'Diags Raw Data'!$M$6:$M$4766,"Delta")</f>
        <v>0</v>
      </c>
      <c r="T26" s="203" t="str">
        <f t="shared" si="19"/>
        <v>---</v>
      </c>
      <c r="U26" s="228" t="str">
        <f t="shared" si="20"/>
        <v>---</v>
      </c>
      <c r="V26" s="230" t="str">
        <f t="shared" si="16"/>
        <v>---</v>
      </c>
    </row>
    <row r="27" spans="1:22">
      <c r="A27" s="332" t="s">
        <v>647</v>
      </c>
      <c r="B27" s="251">
        <f>SUMIFS('Diags Raw Data'!$L$6:$L$4766,'Diags Raw Data'!$D$6:$D$4766,$A27,'Diags Raw Data'!$M$6:$M$4766,"New")+SUMIFS('Diags Raw Data'!$L$6:$L$4766,'Diags Raw Data'!$D$6:$D$4766,$A27,'Diags Raw Data'!$M$6:$M$4766,"Delta")</f>
        <v>0</v>
      </c>
      <c r="C27" s="241">
        <f>SUMIFS('Diags Raw Data'!$R$6:$R$4766,'Diags Raw Data'!$D$6:$D$4766,$A27,'Diags Raw Data'!$M$6:$M$4766,"New")+SUMIFS('Diags Raw Data'!$R$6:$R$4766,'Diags Raw Data'!$D$6:$D$4766,$A27,'Diags Raw Data'!$M$6:$M$4766,"Delta")</f>
        <v>0</v>
      </c>
      <c r="D27" s="241">
        <f>SUMIFS('Diags Raw Data'!$K$6:$K$4766,'Diags Raw Data'!$D$6:$D$4766,$A27,'Diags Raw Data'!$M$6:$M$4766,"New")+SUMIFS('Diags Raw Data'!$K$6:$K$4766,'Diags Raw Data'!$D$6:$D$4766,$A27,'Diags Raw Data'!$M$6:$M$4766,"Delta")</f>
        <v>0</v>
      </c>
      <c r="E27" s="241">
        <f>SUMIFS('Diags Raw Data'!$O$6:$O$4766,'Diags Raw Data'!$D$6:$D$4766,$A27,'Diags Raw Data'!$M$6:$M$4766,"New")+SUMIFS('Diags Raw Data'!$O$6:$O$4766,'Diags Raw Data'!$D$6:$D$4766,$A27,'Diags Raw Data'!$M$6:$M$4766,"Delta")</f>
        <v>0</v>
      </c>
      <c r="F27" s="247" t="str">
        <f t="shared" si="15"/>
        <v>---</v>
      </c>
      <c r="G27" s="229">
        <f>SUMIFS('Diags Raw Data'!$S$6:$S$4766,'Diags Raw Data'!$D$6:$D$4766,$A27,'Diags Raw Data'!$M$6:$M$4766,"New")+SUMIFS('Diags Raw Data'!$S$6:$S$4766,'Diags Raw Data'!$D$6:$D$4766,$A27,'Diags Raw Data'!$M$6:$M$4766,"Delta")</f>
        <v>0</v>
      </c>
      <c r="H27" s="225">
        <f>SUMIFS('Diags Raw Data'!$T$6:$T$4766,'Diags Raw Data'!$D$6:$D$4766,$A27,'Diags Raw Data'!$M$6:$M$4766,"New")+SUMIFS('Diags Raw Data'!$T$6:$T$4766,'Diags Raw Data'!$D$6:$D$4766,$A27,'Diags Raw Data'!$M$6:$M$4766,"Delta")</f>
        <v>0</v>
      </c>
      <c r="I27" s="225">
        <f>SUMIFS('Diags Raw Data'!$U$6:$U$4766,'Diags Raw Data'!$D$6:$D$4766,$A27,'Diags Raw Data'!$M$6:$M$4766,"New")+SUMIFS('Diags Raw Data'!$U$6:$U$4766,'Diags Raw Data'!$D$6:$D$4766,$A27,'Diags Raw Data'!$M$6:$M$4766,"Delta")</f>
        <v>0</v>
      </c>
      <c r="J27" s="225">
        <f>SUMIFS('Diags Raw Data'!$V$6:$V$4766,'Diags Raw Data'!$D$6:$D$4766,$A27,'Diags Raw Data'!$M$6:$M$4766,"New")+SUMIFS('Diags Raw Data'!$V$6:$V$4766,'Diags Raw Data'!$D$6:$D$4766,$A27,'Diags Raw Data'!$M$6:$M$4766,"Delta")</f>
        <v>0</v>
      </c>
      <c r="K27" s="225">
        <f>SUMIFS('Diags Raw Data'!$W$6:$W$4766,'Diags Raw Data'!$D$6:$D$4766,$A27,'Diags Raw Data'!$M$6:$M$4766,"New")+SUMIFS('Diags Raw Data'!$W$6:$W$4766,'Diags Raw Data'!$D$6:$D$4766,$A27,'Diags Raw Data'!$M$6:$M$4766,"Delta")</f>
        <v>0</v>
      </c>
      <c r="L27" s="242" t="str">
        <f t="shared" si="17"/>
        <v>---</v>
      </c>
      <c r="M27" s="227" t="str">
        <f t="shared" si="21"/>
        <v>---</v>
      </c>
      <c r="N27" s="236" t="str">
        <f t="shared" si="18"/>
        <v>---</v>
      </c>
      <c r="O27" s="212">
        <f>SUMIFS('Diags Raw Data'!$Z$6:$Z$4766,'Diags Raw Data'!$D$6:$D$4766,$A27,'Diags Raw Data'!$M$6:$M$4766,"New")+SUMIFS('Diags Raw Data'!$Z$6:$Z$4766,'Diags Raw Data'!$D$6:$D$4766,$A27,'Diags Raw Data'!$M$6:$M$4766,"Delta")</f>
        <v>0</v>
      </c>
      <c r="P27" s="202">
        <f>SUMIFS('Diags Raw Data'!$AA$6:$AA$4766,'Diags Raw Data'!$D$6:$D$4766,$A27,'Diags Raw Data'!$M$6:$M$4766,"New")+SUMIFS('Diags Raw Data'!$AA$6:$AA$4766,'Diags Raw Data'!$D$6:$D$4766,$A27,'Diags Raw Data'!$M$6:$M$4766,"Delta")</f>
        <v>0</v>
      </c>
      <c r="Q27" s="202">
        <f>SUMIFS('Diags Raw Data'!$AB$6:$AB$4766,'Diags Raw Data'!$D$6:$D$4766,$A27,'Diags Raw Data'!$M$6:$M$4766,"New")+SUMIFS('Diags Raw Data'!$AB$6:$AB$4766,'Diags Raw Data'!$D$6:$D$4766,$A27,'Diags Raw Data'!$M$6:$M$4766,"Delta")</f>
        <v>0</v>
      </c>
      <c r="R27" s="202">
        <f>SUMIFS('Diags Raw Data'!$AC$6:$AC$4766,'Diags Raw Data'!$D$6:$D$4766,$A27,'Diags Raw Data'!$M$6:$M$4766,"New")+SUMIFS('Diags Raw Data'!$AC$6:$AC$4766,'Diags Raw Data'!$D$6:$D$4766,$A27,'Diags Raw Data'!$M$6:$M$4766,"Delta")</f>
        <v>0</v>
      </c>
      <c r="S27" s="202">
        <f>SUMIFS('Diags Raw Data'!$AD$6:$AD$4766,'Diags Raw Data'!$D$6:$D$4766,$A27,'Diags Raw Data'!$M$6:$M$4766,"New")+SUMIFS('Diags Raw Data'!$AD$6:$AD$4766,'Diags Raw Data'!$D$6:$D$4766,$A27,'Diags Raw Data'!$M$6:$M$4766,"Delta")</f>
        <v>0</v>
      </c>
      <c r="T27" s="203" t="str">
        <f t="shared" si="19"/>
        <v>---</v>
      </c>
      <c r="U27" s="228" t="str">
        <f t="shared" si="20"/>
        <v>---</v>
      </c>
      <c r="V27" s="230" t="str">
        <f t="shared" si="16"/>
        <v>---</v>
      </c>
    </row>
    <row r="28" spans="1:22">
      <c r="A28" s="332" t="s">
        <v>724</v>
      </c>
      <c r="B28" s="251">
        <f>SUMIFS('Diags Raw Data'!$L$6:$L$4766,'Diags Raw Data'!$D$6:$D$4766,$A28,'Diags Raw Data'!$M$6:$M$4766,"New")+SUMIFS('Diags Raw Data'!$L$6:$L$4766,'Diags Raw Data'!$D$6:$D$4766,$A28,'Diags Raw Data'!$M$6:$M$4766,"Delta")</f>
        <v>0</v>
      </c>
      <c r="C28" s="241">
        <f>SUMIFS('Diags Raw Data'!$R$6:$R$4766,'Diags Raw Data'!$D$6:$D$4766,$A28,'Diags Raw Data'!$M$6:$M$4766,"New")+SUMIFS('Diags Raw Data'!$R$6:$R$4766,'Diags Raw Data'!$D$6:$D$4766,$A28,'Diags Raw Data'!$M$6:$M$4766,"Delta")</f>
        <v>0</v>
      </c>
      <c r="D28" s="241">
        <f>SUMIFS('Diags Raw Data'!$K$6:$K$4766,'Diags Raw Data'!$D$6:$D$4766,$A28,'Diags Raw Data'!$M$6:$M$4766,"New")+SUMIFS('Diags Raw Data'!$K$6:$K$4766,'Diags Raw Data'!$D$6:$D$4766,$A28,'Diags Raw Data'!$M$6:$M$4766,"Delta")</f>
        <v>0</v>
      </c>
      <c r="E28" s="241">
        <f>SUMIFS('Diags Raw Data'!$O$6:$O$4766,'Diags Raw Data'!$D$6:$D$4766,$A28,'Diags Raw Data'!$M$6:$M$4766,"New")+SUMIFS('Diags Raw Data'!$O$6:$O$4766,'Diags Raw Data'!$D$6:$D$4766,$A28,'Diags Raw Data'!$M$6:$M$4766,"Delta")</f>
        <v>0</v>
      </c>
      <c r="F28" s="247" t="str">
        <f t="shared" si="15"/>
        <v>---</v>
      </c>
      <c r="G28" s="229">
        <f>SUMIFS('Diags Raw Data'!$S$6:$S$4766,'Diags Raw Data'!$D$6:$D$4766,$A28,'Diags Raw Data'!$M$6:$M$4766,"New")+SUMIFS('Diags Raw Data'!$S$6:$S$4766,'Diags Raw Data'!$D$6:$D$4766,$A28,'Diags Raw Data'!$M$6:$M$4766,"Delta")</f>
        <v>0</v>
      </c>
      <c r="H28" s="225">
        <f>SUMIFS('Diags Raw Data'!$T$6:$T$4766,'Diags Raw Data'!$D$6:$D$4766,$A28,'Diags Raw Data'!$M$6:$M$4766,"New")+SUMIFS('Diags Raw Data'!$T$6:$T$4766,'Diags Raw Data'!$D$6:$D$4766,$A28,'Diags Raw Data'!$M$6:$M$4766,"Delta")</f>
        <v>0</v>
      </c>
      <c r="I28" s="225">
        <f>SUMIFS('Diags Raw Data'!$U$6:$U$4766,'Diags Raw Data'!$D$6:$D$4766,$A28,'Diags Raw Data'!$M$6:$M$4766,"New")+SUMIFS('Diags Raw Data'!$U$6:$U$4766,'Diags Raw Data'!$D$6:$D$4766,$A28,'Diags Raw Data'!$M$6:$M$4766,"Delta")</f>
        <v>0</v>
      </c>
      <c r="J28" s="225">
        <f>SUMIFS('Diags Raw Data'!$V$6:$V$4766,'Diags Raw Data'!$D$6:$D$4766,$A28,'Diags Raw Data'!$M$6:$M$4766,"New")+SUMIFS('Diags Raw Data'!$V$6:$V$4766,'Diags Raw Data'!$D$6:$D$4766,$A28,'Diags Raw Data'!$M$6:$M$4766,"Delta")</f>
        <v>0</v>
      </c>
      <c r="K28" s="225">
        <f>SUMIFS('Diags Raw Data'!$W$6:$W$4766,'Diags Raw Data'!$D$6:$D$4766,$A28,'Diags Raw Data'!$M$6:$M$4766,"New")+SUMIFS('Diags Raw Data'!$W$6:$W$4766,'Diags Raw Data'!$D$6:$D$4766,$A28,'Diags Raw Data'!$M$6:$M$4766,"Delta")</f>
        <v>0</v>
      </c>
      <c r="L28" s="242" t="str">
        <f t="shared" si="17"/>
        <v>---</v>
      </c>
      <c r="M28" s="227" t="str">
        <f t="shared" si="21"/>
        <v>---</v>
      </c>
      <c r="N28" s="236" t="str">
        <f t="shared" si="18"/>
        <v>---</v>
      </c>
      <c r="O28" s="212">
        <f>SUMIFS('Diags Raw Data'!$Z$6:$Z$4766,'Diags Raw Data'!$D$6:$D$4766,$A28,'Diags Raw Data'!$M$6:$M$4766,"New")+SUMIFS('Diags Raw Data'!$Z$6:$Z$4766,'Diags Raw Data'!$D$6:$D$4766,$A28,'Diags Raw Data'!$M$6:$M$4766,"Delta")</f>
        <v>0</v>
      </c>
      <c r="P28" s="202">
        <f>SUMIFS('Diags Raw Data'!$AA$6:$AA$4766,'Diags Raw Data'!$D$6:$D$4766,$A28,'Diags Raw Data'!$M$6:$M$4766,"New")+SUMIFS('Diags Raw Data'!$AA$6:$AA$4766,'Diags Raw Data'!$D$6:$D$4766,$A28,'Diags Raw Data'!$M$6:$M$4766,"Delta")</f>
        <v>0</v>
      </c>
      <c r="Q28" s="202">
        <f>SUMIFS('Diags Raw Data'!$AB$6:$AB$4766,'Diags Raw Data'!$D$6:$D$4766,$A28,'Diags Raw Data'!$M$6:$M$4766,"New")+SUMIFS('Diags Raw Data'!$AB$6:$AB$4766,'Diags Raw Data'!$D$6:$D$4766,$A28,'Diags Raw Data'!$M$6:$M$4766,"Delta")</f>
        <v>0</v>
      </c>
      <c r="R28" s="202">
        <f>SUMIFS('Diags Raw Data'!$AC$6:$AC$4766,'Diags Raw Data'!$D$6:$D$4766,$A28,'Diags Raw Data'!$M$6:$M$4766,"New")+SUMIFS('Diags Raw Data'!$AC$6:$AC$4766,'Diags Raw Data'!$D$6:$D$4766,$A28,'Diags Raw Data'!$M$6:$M$4766,"Delta")</f>
        <v>0</v>
      </c>
      <c r="S28" s="202">
        <f>SUMIFS('Diags Raw Data'!$AD$6:$AD$4766,'Diags Raw Data'!$D$6:$D$4766,$A28,'Diags Raw Data'!$M$6:$M$4766,"New")+SUMIFS('Diags Raw Data'!$AD$6:$AD$4766,'Diags Raw Data'!$D$6:$D$4766,$A28,'Diags Raw Data'!$M$6:$M$4766,"Delta")</f>
        <v>0</v>
      </c>
      <c r="T28" s="203" t="str">
        <f t="shared" si="19"/>
        <v>---</v>
      </c>
      <c r="U28" s="228" t="str">
        <f t="shared" si="20"/>
        <v>---</v>
      </c>
      <c r="V28" s="230" t="str">
        <f t="shared" si="16"/>
        <v>---</v>
      </c>
    </row>
    <row r="29" spans="1:22">
      <c r="A29" s="332" t="s">
        <v>1024</v>
      </c>
      <c r="B29" s="251">
        <f>SUMIFS('Diags Raw Data'!$L$6:$L$4766,'Diags Raw Data'!$D$6:$D$4766,$A29,'Diags Raw Data'!$M$6:$M$4766,"New")+SUMIFS('Diags Raw Data'!$L$6:$L$4766,'Diags Raw Data'!$D$6:$D$4766,$A29,'Diags Raw Data'!$M$6:$M$4766,"Delta")</f>
        <v>0</v>
      </c>
      <c r="C29" s="241">
        <f>SUMIFS('Diags Raw Data'!$R$6:$R$4766,'Diags Raw Data'!$D$6:$D$4766,$A29,'Diags Raw Data'!$M$6:$M$4766,"New")+SUMIFS('Diags Raw Data'!$R$6:$R$4766,'Diags Raw Data'!$D$6:$D$4766,$A29,'Diags Raw Data'!$M$6:$M$4766,"Delta")</f>
        <v>0</v>
      </c>
      <c r="D29" s="241">
        <f>SUMIFS('Diags Raw Data'!$K$6:$K$4766,'Diags Raw Data'!$D$6:$D$4766,$A29,'Diags Raw Data'!$M$6:$M$4766,"New")+SUMIFS('Diags Raw Data'!$K$6:$K$4766,'Diags Raw Data'!$D$6:$D$4766,$A29,'Diags Raw Data'!$M$6:$M$4766,"Delta")</f>
        <v>0</v>
      </c>
      <c r="E29" s="241">
        <f>SUMIFS('Diags Raw Data'!$O$6:$O$4766,'Diags Raw Data'!$D$6:$D$4766,$A29,'Diags Raw Data'!$M$6:$M$4766,"New")+SUMIFS('Diags Raw Data'!$O$6:$O$4766,'Diags Raw Data'!$D$6:$D$4766,$A29,'Diags Raw Data'!$M$6:$M$4766,"Delta")</f>
        <v>0</v>
      </c>
      <c r="F29" s="247" t="str">
        <f t="shared" si="15"/>
        <v>---</v>
      </c>
      <c r="G29" s="229">
        <f>SUMIFS('Diags Raw Data'!$S$6:$S$4766,'Diags Raw Data'!$D$6:$D$4766,$A29,'Diags Raw Data'!$M$6:$M$4766,"New")+SUMIFS('Diags Raw Data'!$S$6:$S$4766,'Diags Raw Data'!$D$6:$D$4766,$A29,'Diags Raw Data'!$M$6:$M$4766,"Delta")</f>
        <v>0</v>
      </c>
      <c r="H29" s="225">
        <f>SUMIFS('Diags Raw Data'!$T$6:$T$4766,'Diags Raw Data'!$D$6:$D$4766,$A29,'Diags Raw Data'!$M$6:$M$4766,"New")+SUMIFS('Diags Raw Data'!$T$6:$T$4766,'Diags Raw Data'!$D$6:$D$4766,$A29,'Diags Raw Data'!$M$6:$M$4766,"Delta")</f>
        <v>0</v>
      </c>
      <c r="I29" s="225">
        <f>SUMIFS('Diags Raw Data'!$U$6:$U$4766,'Diags Raw Data'!$D$6:$D$4766,$A29,'Diags Raw Data'!$M$6:$M$4766,"New")+SUMIFS('Diags Raw Data'!$U$6:$U$4766,'Diags Raw Data'!$D$6:$D$4766,$A29,'Diags Raw Data'!$M$6:$M$4766,"Delta")</f>
        <v>0</v>
      </c>
      <c r="J29" s="225">
        <f>SUMIFS('Diags Raw Data'!$V$6:$V$4766,'Diags Raw Data'!$D$6:$D$4766,$A29,'Diags Raw Data'!$M$6:$M$4766,"New")+SUMIFS('Diags Raw Data'!$V$6:$V$4766,'Diags Raw Data'!$D$6:$D$4766,$A29,'Diags Raw Data'!$M$6:$M$4766,"Delta")</f>
        <v>0</v>
      </c>
      <c r="K29" s="225">
        <f>SUMIFS('Diags Raw Data'!$W$6:$W$4766,'Diags Raw Data'!$D$6:$D$4766,$A29,'Diags Raw Data'!$M$6:$M$4766,"New")+SUMIFS('Diags Raw Data'!$W$6:$W$4766,'Diags Raw Data'!$D$6:$D$4766,$A29,'Diags Raw Data'!$M$6:$M$4766,"Delta")</f>
        <v>0</v>
      </c>
      <c r="L29" s="242" t="str">
        <f t="shared" si="17"/>
        <v>---</v>
      </c>
      <c r="M29" s="227" t="str">
        <f>IF(NOT($G29=0), (H29+I29)/$G29, "---")</f>
        <v>---</v>
      </c>
      <c r="N29" s="236" t="str">
        <f t="shared" si="18"/>
        <v>---</v>
      </c>
      <c r="O29" s="212">
        <f>SUMIFS('Diags Raw Data'!$Z$6:$Z$4766,'Diags Raw Data'!$D$6:$D$4766,$A29,'Diags Raw Data'!$M$6:$M$4766,"New")+SUMIFS('Diags Raw Data'!$Z$6:$Z$4766,'Diags Raw Data'!$D$6:$D$4766,$A29,'Diags Raw Data'!$M$6:$M$4766,"Delta")</f>
        <v>0</v>
      </c>
      <c r="P29" s="202">
        <f>SUMIFS('Diags Raw Data'!$AA$6:$AA$4766,'Diags Raw Data'!$D$6:$D$4766,$A29,'Diags Raw Data'!$M$6:$M$4766,"New")+SUMIFS('Diags Raw Data'!$AA$6:$AA$4766,'Diags Raw Data'!$D$6:$D$4766,$A29,'Diags Raw Data'!$M$6:$M$4766,"Delta")</f>
        <v>0</v>
      </c>
      <c r="Q29" s="202">
        <f>SUMIFS('Diags Raw Data'!$AB$6:$AB$4766,'Diags Raw Data'!$D$6:$D$4766,$A29,'Diags Raw Data'!$M$6:$M$4766,"New")+SUMIFS('Diags Raw Data'!$AB$6:$AB$4766,'Diags Raw Data'!$D$6:$D$4766,$A29,'Diags Raw Data'!$M$6:$M$4766,"Delta")</f>
        <v>0</v>
      </c>
      <c r="R29" s="202">
        <f>SUMIFS('Diags Raw Data'!$AC$6:$AC$4766,'Diags Raw Data'!$D$6:$D$4766,$A29,'Diags Raw Data'!$M$6:$M$4766,"New")+SUMIFS('Diags Raw Data'!$AC$6:$AC$4766,'Diags Raw Data'!$D$6:$D$4766,$A29,'Diags Raw Data'!$M$6:$M$4766,"Delta")</f>
        <v>0</v>
      </c>
      <c r="S29" s="202">
        <f>SUMIFS('Diags Raw Data'!$AD$6:$AD$4766,'Diags Raw Data'!$D$6:$D$4766,$A29,'Diags Raw Data'!$M$6:$M$4766,"New")+SUMIFS('Diags Raw Data'!$AD$6:$AD$4766,'Diags Raw Data'!$D$6:$D$4766,$A29,'Diags Raw Data'!$M$6:$M$4766,"Delta")</f>
        <v>0</v>
      </c>
      <c r="T29" s="203" t="str">
        <f t="shared" si="19"/>
        <v>---</v>
      </c>
      <c r="U29" s="228" t="str">
        <f t="shared" si="20"/>
        <v>---</v>
      </c>
      <c r="V29" s="230" t="str">
        <f t="shared" si="16"/>
        <v>---</v>
      </c>
    </row>
    <row r="30" spans="1:22">
      <c r="A30" s="332" t="s">
        <v>318</v>
      </c>
      <c r="B30" s="251">
        <f>SUMIFS('Diags Raw Data'!$L$6:$L$4766,'Diags Raw Data'!$D$6:$D$4766,$A30,'Diags Raw Data'!$M$6:$M$4766,"New")+SUMIFS('Diags Raw Data'!$L$6:$L$4766,'Diags Raw Data'!$D$6:$D$4766,$A30,'Diags Raw Data'!$M$6:$M$4766,"Delta")</f>
        <v>0</v>
      </c>
      <c r="C30" s="241">
        <f>SUMIFS('Diags Raw Data'!$R$6:$R$4766,'Diags Raw Data'!$D$6:$D$4766,$A30,'Diags Raw Data'!$M$6:$M$4766,"New")+SUMIFS('Diags Raw Data'!$R$6:$R$4766,'Diags Raw Data'!$D$6:$D$4766,$A30,'Diags Raw Data'!$M$6:$M$4766,"Delta")</f>
        <v>0</v>
      </c>
      <c r="D30" s="241">
        <f>SUMIFS('Diags Raw Data'!$K$6:$K$4766,'Diags Raw Data'!$D$6:$D$4766,$A30,'Diags Raw Data'!$M$6:$M$4766,"New")+SUMIFS('Diags Raw Data'!$K$6:$K$4766,'Diags Raw Data'!$D$6:$D$4766,$A30,'Diags Raw Data'!$M$6:$M$4766,"Delta")</f>
        <v>0</v>
      </c>
      <c r="E30" s="241">
        <f>SUMIFS('Diags Raw Data'!$O$6:$O$4766,'Diags Raw Data'!$D$6:$D$4766,$A30,'Diags Raw Data'!$M$6:$M$4766,"New")+SUMIFS('Diags Raw Data'!$O$6:$O$4766,'Diags Raw Data'!$D$6:$D$4766,$A30,'Diags Raw Data'!$M$6:$M$4766,"Delta")</f>
        <v>0</v>
      </c>
      <c r="F30" s="247" t="str">
        <f t="shared" si="15"/>
        <v>---</v>
      </c>
      <c r="G30" s="229">
        <f>SUMIFS('Diags Raw Data'!$S$6:$S$4766,'Diags Raw Data'!$D$6:$D$4766,$A30,'Diags Raw Data'!$M$6:$M$4766,"New")+SUMIFS('Diags Raw Data'!$S$6:$S$4766,'Diags Raw Data'!$D$6:$D$4766,$A30,'Diags Raw Data'!$M$6:$M$4766,"Delta")</f>
        <v>0</v>
      </c>
      <c r="H30" s="225">
        <f>SUMIFS('Diags Raw Data'!$T$6:$T$4766,'Diags Raw Data'!$D$6:$D$4766,$A30,'Diags Raw Data'!$M$6:$M$4766,"New")+SUMIFS('Diags Raw Data'!$T$6:$T$4766,'Diags Raw Data'!$D$6:$D$4766,$A30,'Diags Raw Data'!$M$6:$M$4766,"Delta")</f>
        <v>0</v>
      </c>
      <c r="I30" s="225">
        <f>SUMIFS('Diags Raw Data'!$U$6:$U$4766,'Diags Raw Data'!$D$6:$D$4766,$A30,'Diags Raw Data'!$M$6:$M$4766,"New")+SUMIFS('Diags Raw Data'!$U$6:$U$4766,'Diags Raw Data'!$D$6:$D$4766,$A30,'Diags Raw Data'!$M$6:$M$4766,"Delta")</f>
        <v>0</v>
      </c>
      <c r="J30" s="225">
        <f>SUMIFS('Diags Raw Data'!$V$6:$V$4766,'Diags Raw Data'!$D$6:$D$4766,$A30,'Diags Raw Data'!$M$6:$M$4766,"New")+SUMIFS('Diags Raw Data'!$V$6:$V$4766,'Diags Raw Data'!$D$6:$D$4766,$A30,'Diags Raw Data'!$M$6:$M$4766,"Delta")</f>
        <v>0</v>
      </c>
      <c r="K30" s="225">
        <f>SUMIFS('Diags Raw Data'!$W$6:$W$4766,'Diags Raw Data'!$D$6:$D$4766,$A30,'Diags Raw Data'!$M$6:$M$4766,"New")+SUMIFS('Diags Raw Data'!$W$6:$W$4766,'Diags Raw Data'!$D$6:$D$4766,$A30,'Diags Raw Data'!$M$6:$M$4766,"Delta")</f>
        <v>0</v>
      </c>
      <c r="L30" s="242" t="str">
        <f t="shared" si="17"/>
        <v>---</v>
      </c>
      <c r="M30" s="227" t="str">
        <f t="shared" si="21"/>
        <v>---</v>
      </c>
      <c r="N30" s="236" t="str">
        <f t="shared" si="18"/>
        <v>---</v>
      </c>
      <c r="O30" s="212">
        <f>SUMIFS('Diags Raw Data'!$Z$6:$Z$4766,'Diags Raw Data'!$D$6:$D$4766,$A30,'Diags Raw Data'!$M$6:$M$4766,"New")+SUMIFS('Diags Raw Data'!$Z$6:$Z$4766,'Diags Raw Data'!$D$6:$D$4766,$A30,'Diags Raw Data'!$M$6:$M$4766,"Delta")</f>
        <v>0</v>
      </c>
      <c r="P30" s="202">
        <f>SUMIFS('Diags Raw Data'!$AA$6:$AA$4766,'Diags Raw Data'!$D$6:$D$4766,$A30,'Diags Raw Data'!$M$6:$M$4766,"New")+SUMIFS('Diags Raw Data'!$AA$6:$AA$4766,'Diags Raw Data'!$D$6:$D$4766,$A30,'Diags Raw Data'!$M$6:$M$4766,"Delta")</f>
        <v>0</v>
      </c>
      <c r="Q30" s="202">
        <f>SUMIFS('Diags Raw Data'!$AB$6:$AB$4766,'Diags Raw Data'!$D$6:$D$4766,$A30,'Diags Raw Data'!$M$6:$M$4766,"New")+SUMIFS('Diags Raw Data'!$AB$6:$AB$4766,'Diags Raw Data'!$D$6:$D$4766,$A30,'Diags Raw Data'!$M$6:$M$4766,"Delta")</f>
        <v>0</v>
      </c>
      <c r="R30" s="202">
        <f>SUMIFS('Diags Raw Data'!$AC$6:$AC$4766,'Diags Raw Data'!$D$6:$D$4766,$A30,'Diags Raw Data'!$M$6:$M$4766,"New")+SUMIFS('Diags Raw Data'!$AC$6:$AC$4766,'Diags Raw Data'!$D$6:$D$4766,$A30,'Diags Raw Data'!$M$6:$M$4766,"Delta")</f>
        <v>0</v>
      </c>
      <c r="S30" s="202">
        <f>SUMIFS('Diags Raw Data'!$AD$6:$AD$4766,'Diags Raw Data'!$D$6:$D$4766,$A30,'Diags Raw Data'!$M$6:$M$4766,"New")+SUMIFS('Diags Raw Data'!$AD$6:$AD$4766,'Diags Raw Data'!$D$6:$D$4766,$A30,'Diags Raw Data'!$M$6:$M$4766,"Delta")</f>
        <v>0</v>
      </c>
      <c r="T30" s="203" t="str">
        <f t="shared" si="19"/>
        <v>---</v>
      </c>
      <c r="U30" s="228" t="str">
        <f t="shared" si="20"/>
        <v>---</v>
      </c>
      <c r="V30" s="230" t="str">
        <f t="shared" si="16"/>
        <v>---</v>
      </c>
    </row>
    <row r="31" spans="1:22" ht="15" thickBot="1">
      <c r="A31" s="333" t="s">
        <v>748</v>
      </c>
      <c r="B31" s="252">
        <f>SUMIFS('Diags Raw Data'!$L$6:$L$4766,'Diags Raw Data'!$D$6:$D$4766,$A31,'Diags Raw Data'!$M$6:$M$4766,"New")+SUMIFS('Diags Raw Data'!$L$6:$L$4766,'Diags Raw Data'!$D$6:$D$4766,$A31,'Diags Raw Data'!$M$6:$M$4766,"Delta")</f>
        <v>0</v>
      </c>
      <c r="C31" s="243">
        <f>SUMIFS('Diags Raw Data'!$R$6:$R$4766,'Diags Raw Data'!$D$6:$D$4766,$A31,'Diags Raw Data'!$M$6:$M$4766,"New")+SUMIFS('Diags Raw Data'!$R$6:$R$4766,'Diags Raw Data'!$D$6:$D$4766,$A31,'Diags Raw Data'!$M$6:$M$4766,"Delta")</f>
        <v>0</v>
      </c>
      <c r="D31" s="243">
        <f>SUMIFS('Diags Raw Data'!$K$6:$K$4766,'Diags Raw Data'!$D$6:$D$4766,$A31,'Diags Raw Data'!$M$6:$M$4766,"New")+SUMIFS('Diags Raw Data'!$K$6:$K$4766,'Diags Raw Data'!$D$6:$D$4766,$A31,'Diags Raw Data'!$M$6:$M$4766,"Delta")</f>
        <v>0</v>
      </c>
      <c r="E31" s="243">
        <f>SUMIFS('Diags Raw Data'!$O$6:$O$4766,'Diags Raw Data'!$D$6:$D$4766,$A31,'Diags Raw Data'!$M$6:$M$4766,"New")+SUMIFS('Diags Raw Data'!$O$6:$O$4766,'Diags Raw Data'!$D$6:$D$4766,$A31,'Diags Raw Data'!$M$6:$M$4766,"Delta")</f>
        <v>0</v>
      </c>
      <c r="F31" s="248" t="str">
        <f t="shared" si="15"/>
        <v>---</v>
      </c>
      <c r="G31" s="231">
        <f>SUMIFS('Diags Raw Data'!$S$6:$S$4766,'Diags Raw Data'!$D$6:$D$4766,$A31,'Diags Raw Data'!$M$6:$M$4766,"New")+SUMIFS('Diags Raw Data'!$S$6:$S$4766,'Diags Raw Data'!$D$6:$D$4766,$A31,'Diags Raw Data'!$M$6:$M$4766,"Delta")</f>
        <v>0</v>
      </c>
      <c r="H31" s="232">
        <f>SUMIFS('Diags Raw Data'!$T$6:$T$4766,'Diags Raw Data'!$D$6:$D$4766,$A31,'Diags Raw Data'!$M$6:$M$4766,"New")+SUMIFS('Diags Raw Data'!$T$6:$T$4766,'Diags Raw Data'!$D$6:$D$4766,$A31,'Diags Raw Data'!$M$6:$M$4766,"Delta")</f>
        <v>0</v>
      </c>
      <c r="I31" s="232">
        <f>SUMIFS('Diags Raw Data'!$U$6:$U$4766,'Diags Raw Data'!$D$6:$D$4766,$A31,'Diags Raw Data'!$M$6:$M$4766,"New")+SUMIFS('Diags Raw Data'!$U$6:$U$4766,'Diags Raw Data'!$D$6:$D$4766,$A31,'Diags Raw Data'!$M$6:$M$4766,"Delta")</f>
        <v>0</v>
      </c>
      <c r="J31" s="232">
        <f>SUMIFS('Diags Raw Data'!$V$6:$V$4766,'Diags Raw Data'!$D$6:$D$4766,$A31,'Diags Raw Data'!$M$6:$M$4766,"New")+SUMIFS('Diags Raw Data'!$V$6:$V$4766,'Diags Raw Data'!$D$6:$D$4766,$A31,'Diags Raw Data'!$M$6:$M$4766,"Delta")</f>
        <v>0</v>
      </c>
      <c r="K31" s="232">
        <f>SUMIFS('Diags Raw Data'!$W$6:$W$4766,'Diags Raw Data'!$D$6:$D$4766,$A31,'Diags Raw Data'!$M$6:$M$4766,"New")+SUMIFS('Diags Raw Data'!$W$6:$W$4766,'Diags Raw Data'!$D$6:$D$4766,$A31,'Diags Raw Data'!$M$6:$M$4766,"Delta")</f>
        <v>0</v>
      </c>
      <c r="L31" s="244" t="str">
        <f t="shared" si="17"/>
        <v>---</v>
      </c>
      <c r="M31" s="234" t="str">
        <f t="shared" si="21"/>
        <v>---</v>
      </c>
      <c r="N31" s="237" t="str">
        <f t="shared" si="18"/>
        <v>---</v>
      </c>
      <c r="O31" s="213">
        <f>SUMIFS('Diags Raw Data'!$Z$6:$Z$4766,'Diags Raw Data'!$D$6:$D$4766,$A31,'Diags Raw Data'!$M$6:$M$4766,"New")+SUMIFS('Diags Raw Data'!$Z$6:$Z$4766,'Diags Raw Data'!$D$6:$D$4766,$A31,'Diags Raw Data'!$M$6:$M$4766,"Delta")</f>
        <v>0</v>
      </c>
      <c r="P31" s="205">
        <f>SUMIFS('Diags Raw Data'!$AA$6:$AA$4766,'Diags Raw Data'!$D$6:$D$4766,$A31,'Diags Raw Data'!$M$6:$M$4766,"New")+SUMIFS('Diags Raw Data'!$AA$6:$AA$4766,'Diags Raw Data'!$D$6:$D$4766,$A31,'Diags Raw Data'!$M$6:$M$4766,"Delta")</f>
        <v>0</v>
      </c>
      <c r="Q31" s="205">
        <f>SUMIFS('Diags Raw Data'!$AB$6:$AB$4766,'Diags Raw Data'!$D$6:$D$4766,$A31,'Diags Raw Data'!$M$6:$M$4766,"New")+SUMIFS('Diags Raw Data'!$AB$6:$AB$4766,'Diags Raw Data'!$D$6:$D$4766,$A31,'Diags Raw Data'!$M$6:$M$4766,"Delta")</f>
        <v>0</v>
      </c>
      <c r="R31" s="205">
        <f>SUMIFS('Diags Raw Data'!$AC$6:$AC$4766,'Diags Raw Data'!$D$6:$D$4766,$A31,'Diags Raw Data'!$M$6:$M$4766,"New")+SUMIFS('Diags Raw Data'!$AC$6:$AC$4766,'Diags Raw Data'!$D$6:$D$4766,$A31,'Diags Raw Data'!$M$6:$M$4766,"Delta")</f>
        <v>0</v>
      </c>
      <c r="S31" s="205">
        <f>SUMIFS('Diags Raw Data'!$AD$6:$AD$4766,'Diags Raw Data'!$D$6:$D$4766,$A31,'Diags Raw Data'!$M$6:$M$4766,"New")+SUMIFS('Diags Raw Data'!$AD$6:$AD$4766,'Diags Raw Data'!$D$6:$D$4766,$A31,'Diags Raw Data'!$M$6:$M$4766,"Delta")</f>
        <v>0</v>
      </c>
      <c r="T31" s="206" t="str">
        <f t="shared" si="19"/>
        <v>---</v>
      </c>
      <c r="U31" s="238" t="str">
        <f t="shared" si="20"/>
        <v>---</v>
      </c>
      <c r="V31" s="235" t="str">
        <f t="shared" si="16"/>
        <v>---</v>
      </c>
    </row>
    <row r="32" spans="1:22" ht="15" thickBot="1">
      <c r="A32" s="332" t="s">
        <v>924</v>
      </c>
      <c r="B32" s="252">
        <f>SUMIFS('Diags Raw Data'!$L$6:$L$4766,'Diags Raw Data'!$D$6:$D$4766,$A32,'Diags Raw Data'!$M$6:$M$4766,"New")+SUMIFS('Diags Raw Data'!$L$6:$L$4766,'Diags Raw Data'!$D$6:$D$4766,$A32,'Diags Raw Data'!$M$6:$M$4766,"Delta")</f>
        <v>0</v>
      </c>
      <c r="C32" s="243">
        <f>SUMIFS('Diags Raw Data'!$R$6:$R$4766,'Diags Raw Data'!$D$6:$D$4766,$A32,'Diags Raw Data'!$M$6:$M$4766,"New")+SUMIFS('Diags Raw Data'!$R$6:$R$4766,'Diags Raw Data'!$D$6:$D$4766,$A32,'Diags Raw Data'!$M$6:$M$4766,"Delta")</f>
        <v>0</v>
      </c>
      <c r="D32" s="243">
        <f>SUMIFS('Diags Raw Data'!$K$6:$K$4766,'Diags Raw Data'!$D$6:$D$4766,$A32,'Diags Raw Data'!$M$6:$M$4766,"New")+SUMIFS('Diags Raw Data'!$K$6:$K$4766,'Diags Raw Data'!$D$6:$D$4766,$A32,'Diags Raw Data'!$M$6:$M$4766,"Delta")</f>
        <v>0</v>
      </c>
      <c r="E32" s="243">
        <f>SUMIFS('Diags Raw Data'!$O$6:$O$4766,'Diags Raw Data'!$D$6:$D$4766,$A32,'Diags Raw Data'!$M$6:$M$4766,"New")+SUMIFS('Diags Raw Data'!$O$6:$O$4766,'Diags Raw Data'!$D$6:$D$4766,$A32,'Diags Raw Data'!$M$6:$M$4766,"Delta")</f>
        <v>0</v>
      </c>
      <c r="F32" s="248" t="str">
        <f t="shared" ref="F32:F34" si="22">IF(NOT($B32=0), E32/$B32, "---")</f>
        <v>---</v>
      </c>
      <c r="G32" s="231">
        <f>SUMIFS('Diags Raw Data'!$S$6:$S$4766,'Diags Raw Data'!$D$6:$D$4766,$A32,'Diags Raw Data'!$M$6:$M$4766,"New")+SUMIFS('Diags Raw Data'!$S$6:$S$4766,'Diags Raw Data'!$D$6:$D$4766,$A32,'Diags Raw Data'!$M$6:$M$4766,"Delta")</f>
        <v>0</v>
      </c>
      <c r="H32" s="232">
        <f>SUMIFS('Diags Raw Data'!$T$6:$T$4766,'Diags Raw Data'!$D$6:$D$4766,$A32,'Diags Raw Data'!$M$6:$M$4766,"New")+SUMIFS('Diags Raw Data'!$T$6:$T$4766,'Diags Raw Data'!$D$6:$D$4766,$A32,'Diags Raw Data'!$M$6:$M$4766,"Delta")</f>
        <v>0</v>
      </c>
      <c r="I32" s="232">
        <f>SUMIFS('Diags Raw Data'!$U$6:$U$4766,'Diags Raw Data'!$D$6:$D$4766,$A32,'Diags Raw Data'!$M$6:$M$4766,"New")+SUMIFS('Diags Raw Data'!$U$6:$U$4766,'Diags Raw Data'!$D$6:$D$4766,$A32,'Diags Raw Data'!$M$6:$M$4766,"Delta")</f>
        <v>0</v>
      </c>
      <c r="J32" s="232">
        <f>SUMIFS('Diags Raw Data'!$V$6:$V$4766,'Diags Raw Data'!$D$6:$D$4766,$A32,'Diags Raw Data'!$M$6:$M$4766,"New")+SUMIFS('Diags Raw Data'!$V$6:$V$4766,'Diags Raw Data'!$D$6:$D$4766,$A32,'Diags Raw Data'!$M$6:$M$4766,"Delta")</f>
        <v>0</v>
      </c>
      <c r="K32" s="232">
        <f>SUMIFS('Diags Raw Data'!$W$6:$W$4766,'Diags Raw Data'!$D$6:$D$4766,$A32,'Diags Raw Data'!$M$6:$M$4766,"New")+SUMIFS('Diags Raw Data'!$W$6:$W$4766,'Diags Raw Data'!$D$6:$D$4766,$A32,'Diags Raw Data'!$M$6:$M$4766,"Delta")</f>
        <v>0</v>
      </c>
      <c r="L32" s="244" t="str">
        <f t="shared" ref="L32:L34" si="23">IF(NOT($C32=0), G32/$C32, "---")</f>
        <v>---</v>
      </c>
      <c r="M32" s="234" t="str">
        <f t="shared" ref="M32:M34" si="24">IF(NOT($G32=0), (H32+I32)/$G32, "---")</f>
        <v>---</v>
      </c>
      <c r="N32" s="237" t="str">
        <f t="shared" ref="N32:N34" si="25">IF(NOT($C32=0), (H32+I32)/$C32, "---")</f>
        <v>---</v>
      </c>
      <c r="O32" s="213">
        <f>SUMIFS('Diags Raw Data'!$Z$6:$Z$4766,'Diags Raw Data'!$D$6:$D$4766,$A32,'Diags Raw Data'!$M$6:$M$4766,"New")+SUMIFS('Diags Raw Data'!$Z$6:$Z$4766,'Diags Raw Data'!$D$6:$D$4766,$A32,'Diags Raw Data'!$M$6:$M$4766,"Delta")</f>
        <v>0</v>
      </c>
      <c r="P32" s="205">
        <f>SUMIFS('Diags Raw Data'!$AA$6:$AA$4766,'Diags Raw Data'!$D$6:$D$4766,$A32,'Diags Raw Data'!$M$6:$M$4766,"New")+SUMIFS('Diags Raw Data'!$AA$6:$AA$4766,'Diags Raw Data'!$D$6:$D$4766,$A32,'Diags Raw Data'!$M$6:$M$4766,"Delta")</f>
        <v>0</v>
      </c>
      <c r="Q32" s="205">
        <f>SUMIFS('Diags Raw Data'!$AB$6:$AB$4766,'Diags Raw Data'!$D$6:$D$4766,$A32,'Diags Raw Data'!$M$6:$M$4766,"New")+SUMIFS('Diags Raw Data'!$AB$6:$AB$4766,'Diags Raw Data'!$D$6:$D$4766,$A32,'Diags Raw Data'!$M$6:$M$4766,"Delta")</f>
        <v>0</v>
      </c>
      <c r="R32" s="205">
        <f>SUMIFS('Diags Raw Data'!$AC$6:$AC$4766,'Diags Raw Data'!$D$6:$D$4766,$A32,'Diags Raw Data'!$M$6:$M$4766,"New")+SUMIFS('Diags Raw Data'!$AC$6:$AC$4766,'Diags Raw Data'!$D$6:$D$4766,$A32,'Diags Raw Data'!$M$6:$M$4766,"Delta")</f>
        <v>0</v>
      </c>
      <c r="S32" s="205">
        <f>SUMIFS('Diags Raw Data'!$AD$6:$AD$4766,'Diags Raw Data'!$D$6:$D$4766,$A32,'Diags Raw Data'!$M$6:$M$4766,"New")+SUMIFS('Diags Raw Data'!$AD$6:$AD$4766,'Diags Raw Data'!$D$6:$D$4766,$A32,'Diags Raw Data'!$M$6:$M$4766,"Delta")</f>
        <v>0</v>
      </c>
      <c r="T32" s="206" t="str">
        <f t="shared" ref="T32:T34" si="26">IF(NOT($B32=0), O32/$B32, "---")</f>
        <v>---</v>
      </c>
      <c r="U32" s="238" t="str">
        <f t="shared" ref="U32:U34" si="27">IF(NOT($O32=0), (P32+Q32)/$O32, "---")</f>
        <v>---</v>
      </c>
      <c r="V32" s="235" t="str">
        <f t="shared" ref="V32:V34" si="28">IF(NOT($B32=0), (P32+Q32)/$B32, "---")</f>
        <v>---</v>
      </c>
    </row>
    <row r="33" spans="1:22" ht="15" thickBot="1">
      <c r="A33" s="333" t="s">
        <v>907</v>
      </c>
      <c r="B33" s="252">
        <f>SUMIFS('Diags Raw Data'!$L$6:$L$4766,'Diags Raw Data'!$D$6:$D$4766,$A33,'Diags Raw Data'!$M$6:$M$4766,"New")+SUMIFS('Diags Raw Data'!$L$6:$L$4766,'Diags Raw Data'!$D$6:$D$4766,$A33,'Diags Raw Data'!$M$6:$M$4766,"Delta")</f>
        <v>0</v>
      </c>
      <c r="C33" s="243">
        <f>SUMIFS('Diags Raw Data'!$R$6:$R$4766,'Diags Raw Data'!$D$6:$D$4766,$A33,'Diags Raw Data'!$M$6:$M$4766,"New")+SUMIFS('Diags Raw Data'!$R$6:$R$4766,'Diags Raw Data'!$D$6:$D$4766,$A33,'Diags Raw Data'!$M$6:$M$4766,"Delta")</f>
        <v>0</v>
      </c>
      <c r="D33" s="243">
        <f>SUMIFS('Diags Raw Data'!$K$6:$K$4766,'Diags Raw Data'!$D$6:$D$4766,$A33,'Diags Raw Data'!$M$6:$M$4766,"New")+SUMIFS('Diags Raw Data'!$K$6:$K$4766,'Diags Raw Data'!$D$6:$D$4766,$A33,'Diags Raw Data'!$M$6:$M$4766,"Delta")</f>
        <v>0</v>
      </c>
      <c r="E33" s="243">
        <f>SUMIFS('Diags Raw Data'!$O$6:$O$4766,'Diags Raw Data'!$D$6:$D$4766,$A33,'Diags Raw Data'!$M$6:$M$4766,"New")+SUMIFS('Diags Raw Data'!$O$6:$O$4766,'Diags Raw Data'!$D$6:$D$4766,$A33,'Diags Raw Data'!$M$6:$M$4766,"Delta")</f>
        <v>0</v>
      </c>
      <c r="F33" s="248" t="str">
        <f t="shared" si="22"/>
        <v>---</v>
      </c>
      <c r="G33" s="231">
        <f>SUMIFS('Diags Raw Data'!$S$6:$S$4766,'Diags Raw Data'!$D$6:$D$4766,$A33,'Diags Raw Data'!$M$6:$M$4766,"New")+SUMIFS('Diags Raw Data'!$S$6:$S$4766,'Diags Raw Data'!$D$6:$D$4766,$A33,'Diags Raw Data'!$M$6:$M$4766,"Delta")</f>
        <v>0</v>
      </c>
      <c r="H33" s="232">
        <f>SUMIFS('Diags Raw Data'!$T$6:$T$4766,'Diags Raw Data'!$D$6:$D$4766,$A33,'Diags Raw Data'!$M$6:$M$4766,"New")+SUMIFS('Diags Raw Data'!$T$6:$T$4766,'Diags Raw Data'!$D$6:$D$4766,$A33,'Diags Raw Data'!$M$6:$M$4766,"Delta")</f>
        <v>0</v>
      </c>
      <c r="I33" s="232">
        <f>SUMIFS('Diags Raw Data'!$U$6:$U$4766,'Diags Raw Data'!$D$6:$D$4766,$A33,'Diags Raw Data'!$M$6:$M$4766,"New")+SUMIFS('Diags Raw Data'!$U$6:$U$4766,'Diags Raw Data'!$D$6:$D$4766,$A33,'Diags Raw Data'!$M$6:$M$4766,"Delta")</f>
        <v>0</v>
      </c>
      <c r="J33" s="232">
        <f>SUMIFS('Diags Raw Data'!$V$6:$V$4766,'Diags Raw Data'!$D$6:$D$4766,$A33,'Diags Raw Data'!$M$6:$M$4766,"New")+SUMIFS('Diags Raw Data'!$V$6:$V$4766,'Diags Raw Data'!$D$6:$D$4766,$A33,'Diags Raw Data'!$M$6:$M$4766,"Delta")</f>
        <v>0</v>
      </c>
      <c r="K33" s="232">
        <f>SUMIFS('Diags Raw Data'!$W$6:$W$4766,'Diags Raw Data'!$D$6:$D$4766,$A33,'Diags Raw Data'!$M$6:$M$4766,"New")+SUMIFS('Diags Raw Data'!$W$6:$W$4766,'Diags Raw Data'!$D$6:$D$4766,$A33,'Diags Raw Data'!$M$6:$M$4766,"Delta")</f>
        <v>0</v>
      </c>
      <c r="L33" s="244" t="str">
        <f t="shared" si="23"/>
        <v>---</v>
      </c>
      <c r="M33" s="234" t="str">
        <f t="shared" si="24"/>
        <v>---</v>
      </c>
      <c r="N33" s="237" t="str">
        <f t="shared" si="25"/>
        <v>---</v>
      </c>
      <c r="O33" s="213">
        <f>SUMIFS('Diags Raw Data'!$Z$6:$Z$4766,'Diags Raw Data'!$D$6:$D$4766,$A33,'Diags Raw Data'!$M$6:$M$4766,"New")+SUMIFS('Diags Raw Data'!$Z$6:$Z$4766,'Diags Raw Data'!$D$6:$D$4766,$A33,'Diags Raw Data'!$M$6:$M$4766,"Delta")</f>
        <v>0</v>
      </c>
      <c r="P33" s="205">
        <f>SUMIFS('Diags Raw Data'!$AA$6:$AA$4766,'Diags Raw Data'!$D$6:$D$4766,$A33,'Diags Raw Data'!$M$6:$M$4766,"New")+SUMIFS('Diags Raw Data'!$AA$6:$AA$4766,'Diags Raw Data'!$D$6:$D$4766,$A33,'Diags Raw Data'!$M$6:$M$4766,"Delta")</f>
        <v>0</v>
      </c>
      <c r="Q33" s="205">
        <f>SUMIFS('Diags Raw Data'!$AB$6:$AB$4766,'Diags Raw Data'!$D$6:$D$4766,$A33,'Diags Raw Data'!$M$6:$M$4766,"New")+SUMIFS('Diags Raw Data'!$AB$6:$AB$4766,'Diags Raw Data'!$D$6:$D$4766,$A33,'Diags Raw Data'!$M$6:$M$4766,"Delta")</f>
        <v>0</v>
      </c>
      <c r="R33" s="205">
        <f>SUMIFS('Diags Raw Data'!$AC$6:$AC$4766,'Diags Raw Data'!$D$6:$D$4766,$A33,'Diags Raw Data'!$M$6:$M$4766,"New")+SUMIFS('Diags Raw Data'!$AC$6:$AC$4766,'Diags Raw Data'!$D$6:$D$4766,$A33,'Diags Raw Data'!$M$6:$M$4766,"Delta")</f>
        <v>0</v>
      </c>
      <c r="S33" s="205">
        <f>SUMIFS('Diags Raw Data'!$AD$6:$AD$4766,'Diags Raw Data'!$D$6:$D$4766,$A33,'Diags Raw Data'!$M$6:$M$4766,"New")+SUMIFS('Diags Raw Data'!$AD$6:$AD$4766,'Diags Raw Data'!$D$6:$D$4766,$A33,'Diags Raw Data'!$M$6:$M$4766,"Delta")</f>
        <v>0</v>
      </c>
      <c r="T33" s="206" t="str">
        <f t="shared" si="26"/>
        <v>---</v>
      </c>
      <c r="U33" s="238" t="str">
        <f t="shared" si="27"/>
        <v>---</v>
      </c>
      <c r="V33" s="235" t="str">
        <f t="shared" si="28"/>
        <v>---</v>
      </c>
    </row>
    <row r="34" spans="1:22" ht="15" thickBot="1">
      <c r="A34" s="333" t="s">
        <v>950</v>
      </c>
      <c r="B34" s="252">
        <f>SUMIFS('Diags Raw Data'!$L$6:$L$4766,'Diags Raw Data'!$D$6:$D$4766,$A34,'Diags Raw Data'!$M$6:$M$4766,"New")+SUMIFS('Diags Raw Data'!$L$6:$L$4766,'Diags Raw Data'!$D$6:$D$4766,$A34,'Diags Raw Data'!$M$6:$M$4766,"Delta")</f>
        <v>0</v>
      </c>
      <c r="C34" s="243">
        <f>SUMIFS('Diags Raw Data'!$R$6:$R$4766,'Diags Raw Data'!$D$6:$D$4766,$A34,'Diags Raw Data'!$M$6:$M$4766,"New")+SUMIFS('Diags Raw Data'!$R$6:$R$4766,'Diags Raw Data'!$D$6:$D$4766,$A34,'Diags Raw Data'!$M$6:$M$4766,"Delta")</f>
        <v>0</v>
      </c>
      <c r="D34" s="243">
        <f>SUMIFS('Diags Raw Data'!$K$6:$K$4766,'Diags Raw Data'!$D$6:$D$4766,$A34,'Diags Raw Data'!$M$6:$M$4766,"New")+SUMIFS('Diags Raw Data'!$K$6:$K$4766,'Diags Raw Data'!$D$6:$D$4766,$A34,'Diags Raw Data'!$M$6:$M$4766,"Delta")</f>
        <v>0</v>
      </c>
      <c r="E34" s="243">
        <f>SUMIFS('Diags Raw Data'!$O$6:$O$4766,'Diags Raw Data'!$D$6:$D$4766,$A34,'Diags Raw Data'!$M$6:$M$4766,"New")+SUMIFS('Diags Raw Data'!$O$6:$O$4766,'Diags Raw Data'!$D$6:$D$4766,$A34,'Diags Raw Data'!$M$6:$M$4766,"Delta")</f>
        <v>0</v>
      </c>
      <c r="F34" s="248" t="str">
        <f t="shared" si="22"/>
        <v>---</v>
      </c>
      <c r="G34" s="231">
        <f>SUMIFS('Diags Raw Data'!$S$6:$S$4766,'Diags Raw Data'!$D$6:$D$4766,$A34,'Diags Raw Data'!$M$6:$M$4766,"New")+SUMIFS('Diags Raw Data'!$S$6:$S$4766,'Diags Raw Data'!$D$6:$D$4766,$A34,'Diags Raw Data'!$M$6:$M$4766,"Delta")</f>
        <v>0</v>
      </c>
      <c r="H34" s="232">
        <f>SUMIFS('Diags Raw Data'!$T$6:$T$4766,'Diags Raw Data'!$D$6:$D$4766,$A34,'Diags Raw Data'!$M$6:$M$4766,"New")+SUMIFS('Diags Raw Data'!$T$6:$T$4766,'Diags Raw Data'!$D$6:$D$4766,$A34,'Diags Raw Data'!$M$6:$M$4766,"Delta")</f>
        <v>0</v>
      </c>
      <c r="I34" s="232">
        <f>SUMIFS('Diags Raw Data'!$U$6:$U$4766,'Diags Raw Data'!$D$6:$D$4766,$A34,'Diags Raw Data'!$M$6:$M$4766,"New")+SUMIFS('Diags Raw Data'!$U$6:$U$4766,'Diags Raw Data'!$D$6:$D$4766,$A34,'Diags Raw Data'!$M$6:$M$4766,"Delta")</f>
        <v>0</v>
      </c>
      <c r="J34" s="232">
        <f>SUMIFS('Diags Raw Data'!$V$6:$V$4766,'Diags Raw Data'!$D$6:$D$4766,$A34,'Diags Raw Data'!$M$6:$M$4766,"New")+SUMIFS('Diags Raw Data'!$V$6:$V$4766,'Diags Raw Data'!$D$6:$D$4766,$A34,'Diags Raw Data'!$M$6:$M$4766,"Delta")</f>
        <v>0</v>
      </c>
      <c r="K34" s="232">
        <f>SUMIFS('Diags Raw Data'!$W$6:$W$4766,'Diags Raw Data'!$D$6:$D$4766,$A34,'Diags Raw Data'!$M$6:$M$4766,"New")+SUMIFS('Diags Raw Data'!$W$6:$W$4766,'Diags Raw Data'!$D$6:$D$4766,$A34,'Diags Raw Data'!$M$6:$M$4766,"Delta")</f>
        <v>0</v>
      </c>
      <c r="L34" s="244" t="str">
        <f t="shared" si="23"/>
        <v>---</v>
      </c>
      <c r="M34" s="234" t="str">
        <f t="shared" si="24"/>
        <v>---</v>
      </c>
      <c r="N34" s="237" t="str">
        <f t="shared" si="25"/>
        <v>---</v>
      </c>
      <c r="O34" s="213">
        <f>SUMIFS('Diags Raw Data'!$Z$6:$Z$4766,'Diags Raw Data'!$D$6:$D$4766,$A34,'Diags Raw Data'!$M$6:$M$4766,"New")+SUMIFS('Diags Raw Data'!$Z$6:$Z$4766,'Diags Raw Data'!$D$6:$D$4766,$A34,'Diags Raw Data'!$M$6:$M$4766,"Delta")</f>
        <v>0</v>
      </c>
      <c r="P34" s="205">
        <f>SUMIFS('Diags Raw Data'!$AA$6:$AA$4766,'Diags Raw Data'!$D$6:$D$4766,$A34,'Diags Raw Data'!$M$6:$M$4766,"New")+SUMIFS('Diags Raw Data'!$AA$6:$AA$4766,'Diags Raw Data'!$D$6:$D$4766,$A34,'Diags Raw Data'!$M$6:$M$4766,"Delta")</f>
        <v>0</v>
      </c>
      <c r="Q34" s="205">
        <f>SUMIFS('Diags Raw Data'!$AB$6:$AB$4766,'Diags Raw Data'!$D$6:$D$4766,$A34,'Diags Raw Data'!$M$6:$M$4766,"New")+SUMIFS('Diags Raw Data'!$AB$6:$AB$4766,'Diags Raw Data'!$D$6:$D$4766,$A34,'Diags Raw Data'!$M$6:$M$4766,"Delta")</f>
        <v>0</v>
      </c>
      <c r="R34" s="205">
        <f>SUMIFS('Diags Raw Data'!$AC$6:$AC$4766,'Diags Raw Data'!$D$6:$D$4766,$A34,'Diags Raw Data'!$M$6:$M$4766,"New")+SUMIFS('Diags Raw Data'!$AC$6:$AC$4766,'Diags Raw Data'!$D$6:$D$4766,$A34,'Diags Raw Data'!$M$6:$M$4766,"Delta")</f>
        <v>0</v>
      </c>
      <c r="S34" s="205">
        <f>SUMIFS('Diags Raw Data'!$AD$6:$AD$4766,'Diags Raw Data'!$D$6:$D$4766,$A34,'Diags Raw Data'!$M$6:$M$4766,"New")+SUMIFS('Diags Raw Data'!$AD$6:$AD$4766,'Diags Raw Data'!$D$6:$D$4766,$A34,'Diags Raw Data'!$M$6:$M$4766,"Delta")</f>
        <v>0</v>
      </c>
      <c r="T34" s="206" t="str">
        <f t="shared" si="26"/>
        <v>---</v>
      </c>
      <c r="U34" s="238" t="str">
        <f t="shared" si="27"/>
        <v>---</v>
      </c>
      <c r="V34" s="235" t="str">
        <f t="shared" si="28"/>
        <v>---</v>
      </c>
    </row>
    <row r="35" spans="1:22" ht="15" thickBot="1">
      <c r="A35" s="333" t="s">
        <v>1025</v>
      </c>
      <c r="B35" s="252">
        <f>SUMIFS('Diags Raw Data'!$L$6:$L$4766,'Diags Raw Data'!$D$6:$D$4766,$A35,'Diags Raw Data'!$M$6:$M$4766,"New")+SUMIFS('Diags Raw Data'!$L$6:$L$4766,'Diags Raw Data'!$D$6:$D$4766,$A35,'Diags Raw Data'!$M$6:$M$4766,"Delta")</f>
        <v>0</v>
      </c>
      <c r="C35" s="243">
        <f>SUMIFS('Diags Raw Data'!$R$6:$R$4766,'Diags Raw Data'!$D$6:$D$4766,$A35,'Diags Raw Data'!$M$6:$M$4766,"New")+SUMIFS('Diags Raw Data'!$R$6:$R$4766,'Diags Raw Data'!$D$6:$D$4766,$A35,'Diags Raw Data'!$M$6:$M$4766,"Delta")</f>
        <v>0</v>
      </c>
      <c r="D35" s="243">
        <f>SUMIFS('Diags Raw Data'!$K$6:$K$4766,'Diags Raw Data'!$D$6:$D$4766,$A35,'Diags Raw Data'!$M$6:$M$4766,"New")+SUMIFS('Diags Raw Data'!$K$6:$K$4766,'Diags Raw Data'!$D$6:$D$4766,$A35,'Diags Raw Data'!$M$6:$M$4766,"Delta")</f>
        <v>0</v>
      </c>
      <c r="E35" s="243">
        <f>SUMIFS('Diags Raw Data'!$O$6:$O$4766,'Diags Raw Data'!$D$6:$D$4766,$A35,'Diags Raw Data'!$M$6:$M$4766,"New")+SUMIFS('Diags Raw Data'!$O$6:$O$4766,'Diags Raw Data'!$D$6:$D$4766,$A35,'Diags Raw Data'!$M$6:$M$4766,"Delta")</f>
        <v>0</v>
      </c>
      <c r="F35" s="248" t="str">
        <f t="shared" ref="F35" si="29">IF(NOT($B35=0), E35/$B35, "---")</f>
        <v>---</v>
      </c>
      <c r="G35" s="231">
        <f>SUMIFS('Diags Raw Data'!$S$6:$S$4766,'Diags Raw Data'!$D$6:$D$4766,$A35,'Diags Raw Data'!$M$6:$M$4766,"New")+SUMIFS('Diags Raw Data'!$S$6:$S$4766,'Diags Raw Data'!$D$6:$D$4766,$A35,'Diags Raw Data'!$M$6:$M$4766,"Delta")</f>
        <v>0</v>
      </c>
      <c r="H35" s="232">
        <f>SUMIFS('Diags Raw Data'!$T$6:$T$4766,'Diags Raw Data'!$D$6:$D$4766,$A35,'Diags Raw Data'!$M$6:$M$4766,"New")+SUMIFS('Diags Raw Data'!$T$6:$T$4766,'Diags Raw Data'!$D$6:$D$4766,$A35,'Diags Raw Data'!$M$6:$M$4766,"Delta")</f>
        <v>0</v>
      </c>
      <c r="I35" s="232">
        <f>SUMIFS('Diags Raw Data'!$U$6:$U$4766,'Diags Raw Data'!$D$6:$D$4766,$A35,'Diags Raw Data'!$M$6:$M$4766,"New")+SUMIFS('Diags Raw Data'!$U$6:$U$4766,'Diags Raw Data'!$D$6:$D$4766,$A35,'Diags Raw Data'!$M$6:$M$4766,"Delta")</f>
        <v>0</v>
      </c>
      <c r="J35" s="232">
        <f>SUMIFS('Diags Raw Data'!$V$6:$V$4766,'Diags Raw Data'!$D$6:$D$4766,$A35,'Diags Raw Data'!$M$6:$M$4766,"New")+SUMIFS('Diags Raw Data'!$V$6:$V$4766,'Diags Raw Data'!$D$6:$D$4766,$A35,'Diags Raw Data'!$M$6:$M$4766,"Delta")</f>
        <v>0</v>
      </c>
      <c r="K35" s="232">
        <f>SUMIFS('Diags Raw Data'!$W$6:$W$4766,'Diags Raw Data'!$D$6:$D$4766,$A35,'Diags Raw Data'!$M$6:$M$4766,"New")+SUMIFS('Diags Raw Data'!$W$6:$W$4766,'Diags Raw Data'!$D$6:$D$4766,$A35,'Diags Raw Data'!$M$6:$M$4766,"Delta")</f>
        <v>0</v>
      </c>
      <c r="L35" s="244" t="str">
        <f t="shared" ref="L35" si="30">IF(NOT($C35=0), G35/$C35, "---")</f>
        <v>---</v>
      </c>
      <c r="M35" s="234" t="str">
        <f t="shared" ref="M35" si="31">IF(NOT($G35=0), (H35+I35)/$G35, "---")</f>
        <v>---</v>
      </c>
      <c r="N35" s="237" t="str">
        <f t="shared" ref="N35" si="32">IF(NOT($C35=0), (H35+I35)/$C35, "---")</f>
        <v>---</v>
      </c>
      <c r="O35" s="213">
        <f>SUMIFS('Diags Raw Data'!$Z$6:$Z$4766,'Diags Raw Data'!$D$6:$D$4766,$A35,'Diags Raw Data'!$M$6:$M$4766,"New")+SUMIFS('Diags Raw Data'!$Z$6:$Z$4766,'Diags Raw Data'!$D$6:$D$4766,$A35,'Diags Raw Data'!$M$6:$M$4766,"Delta")</f>
        <v>0</v>
      </c>
      <c r="P35" s="205">
        <f>SUMIFS('Diags Raw Data'!$AA$6:$AA$4766,'Diags Raw Data'!$D$6:$D$4766,$A35,'Diags Raw Data'!$M$6:$M$4766,"New")+SUMIFS('Diags Raw Data'!$AA$6:$AA$4766,'Diags Raw Data'!$D$6:$D$4766,$A35,'Diags Raw Data'!$M$6:$M$4766,"Delta")</f>
        <v>0</v>
      </c>
      <c r="Q35" s="205">
        <f>SUMIFS('Diags Raw Data'!$AB$6:$AB$4766,'Diags Raw Data'!$D$6:$D$4766,$A35,'Diags Raw Data'!$M$6:$M$4766,"New")+SUMIFS('Diags Raw Data'!$AB$6:$AB$4766,'Diags Raw Data'!$D$6:$D$4766,$A35,'Diags Raw Data'!$M$6:$M$4766,"Delta")</f>
        <v>0</v>
      </c>
      <c r="R35" s="205">
        <f>SUMIFS('Diags Raw Data'!$AC$6:$AC$4766,'Diags Raw Data'!$D$6:$D$4766,$A35,'Diags Raw Data'!$M$6:$M$4766,"New")+SUMIFS('Diags Raw Data'!$AC$6:$AC$4766,'Diags Raw Data'!$D$6:$D$4766,$A35,'Diags Raw Data'!$M$6:$M$4766,"Delta")</f>
        <v>0</v>
      </c>
      <c r="S35" s="205">
        <f>SUMIFS('Diags Raw Data'!$AD$6:$AD$4766,'Diags Raw Data'!$D$6:$D$4766,$A35,'Diags Raw Data'!$M$6:$M$4766,"New")+SUMIFS('Diags Raw Data'!$AD$6:$AD$4766,'Diags Raw Data'!$D$6:$D$4766,$A35,'Diags Raw Data'!$M$6:$M$4766,"Delta")</f>
        <v>0</v>
      </c>
      <c r="T35" s="206" t="str">
        <f t="shared" ref="T35" si="33">IF(NOT($B35=0), O35/$B35, "---")</f>
        <v>---</v>
      </c>
      <c r="U35" s="238" t="str">
        <f t="shared" ref="U35" si="34">IF(NOT($O35=0), (P35+Q35)/$O35, "---")</f>
        <v>---</v>
      </c>
      <c r="V35" s="235" t="str">
        <f t="shared" ref="V35" si="35">IF(NOT($B35=0), (P35+Q35)/$B35, "---")</f>
        <v>---</v>
      </c>
    </row>
    <row r="36" spans="1:22" ht="15.95" thickBot="1">
      <c r="A36" s="254" t="s">
        <v>1028</v>
      </c>
      <c r="B36" s="255">
        <f>SUM(B22:B31)</f>
        <v>0</v>
      </c>
      <c r="C36" s="256">
        <f>SUM(C22:C31)</f>
        <v>0</v>
      </c>
      <c r="D36" s="256">
        <f>SUM(D22:D31)</f>
        <v>0</v>
      </c>
      <c r="E36" s="256">
        <f>SUM(E22:E31)</f>
        <v>0</v>
      </c>
      <c r="F36" s="257" t="e" cm="1">
        <f t="array" ref="F36">SUMPRODUCT(--(ISNUMBER(SEARCH("New",'Diags Raw Data'!$M$6:$M$4766))),'Diags Raw Data'!$K$6:$K$4766,'Diags Raw Data'!$P$6:$P$4766)/D36+SUMPRODUCT(--(ISNUMBER(SEARCH("Delta",'Diags Raw Data'!$M$6:$M$4766))),'Diags Raw Data'!$K$6:$K$4766,'Diags Raw Data'!$P$6:$P$4766)/D36</f>
        <v>#DIV/0!</v>
      </c>
      <c r="G36" s="258">
        <f>SUM(G22:G31)</f>
        <v>0</v>
      </c>
      <c r="H36" s="259">
        <f>SUM(H22:H31)</f>
        <v>0</v>
      </c>
      <c r="I36" s="260">
        <f>SUM(I22:I31)</f>
        <v>0</v>
      </c>
      <c r="J36" s="259">
        <f>SUM(J22:J31)</f>
        <v>0</v>
      </c>
      <c r="K36" s="260">
        <f>SUM(K22:K31)</f>
        <v>0</v>
      </c>
      <c r="L36" s="261" t="str">
        <f>IF(NOT($C36=0), G36/$C36, "---")</f>
        <v>---</v>
      </c>
      <c r="M36" s="262" t="str">
        <f t="shared" si="21"/>
        <v>---</v>
      </c>
      <c r="N36" s="263" t="str">
        <f>IF(NOT($C36=0), (H36+I36)/$C36, "---")</f>
        <v>---</v>
      </c>
      <c r="O36" s="264">
        <f>SUM(O22:O31)</f>
        <v>0</v>
      </c>
      <c r="P36" s="265">
        <f>SUM(P22:P31)</f>
        <v>0</v>
      </c>
      <c r="Q36" s="266">
        <f>SUM(Q22:Q31)</f>
        <v>0</v>
      </c>
      <c r="R36" s="265">
        <f>SUM(R22:R31)</f>
        <v>0</v>
      </c>
      <c r="S36" s="266">
        <f>SUM(S22:S31)</f>
        <v>0</v>
      </c>
      <c r="T36" s="267" t="str">
        <f>IF(NOT($B36=0), O36/$B36, "---")</f>
        <v>---</v>
      </c>
      <c r="U36" s="268" t="str">
        <f t="shared" si="20"/>
        <v>---</v>
      </c>
      <c r="V36" s="269" t="str">
        <f t="shared" si="16"/>
        <v>---</v>
      </c>
    </row>
    <row r="37" spans="1:22" ht="15" thickBot="1">
      <c r="A37" s="245"/>
      <c r="B37" s="245"/>
      <c r="C37" s="245"/>
      <c r="D37" s="245"/>
      <c r="E37" s="245"/>
      <c r="F37" s="245"/>
      <c r="G37" s="245"/>
      <c r="H37" s="245"/>
      <c r="I37" s="245"/>
      <c r="J37" s="245"/>
      <c r="K37" s="245"/>
      <c r="L37" s="245"/>
      <c r="M37" s="245"/>
      <c r="N37" s="245"/>
      <c r="O37" s="245"/>
      <c r="P37" s="245"/>
      <c r="Q37" s="245"/>
      <c r="R37" s="245"/>
      <c r="S37" s="245"/>
      <c r="T37" s="245"/>
      <c r="U37" s="245"/>
      <c r="V37" s="245"/>
    </row>
    <row r="38" spans="1:22" ht="15" thickBot="1">
      <c r="A38" s="215" t="s">
        <v>33</v>
      </c>
      <c r="B38" s="667" t="s">
        <v>166</v>
      </c>
      <c r="C38" s="667"/>
      <c r="D38" s="667"/>
      <c r="E38" s="667"/>
      <c r="F38" s="667"/>
      <c r="G38" s="668" t="s">
        <v>177</v>
      </c>
      <c r="H38" s="669"/>
      <c r="I38" s="669"/>
      <c r="J38" s="669"/>
      <c r="K38" s="669"/>
      <c r="L38" s="669"/>
      <c r="M38" s="669"/>
      <c r="N38" s="670"/>
      <c r="O38" s="671" t="s">
        <v>144</v>
      </c>
      <c r="P38" s="672"/>
      <c r="Q38" s="672"/>
      <c r="R38" s="672"/>
      <c r="S38" s="672"/>
      <c r="T38" s="672"/>
      <c r="U38" s="672"/>
      <c r="V38" s="673"/>
    </row>
    <row r="39" spans="1:22" s="249" customFormat="1" ht="15" thickBot="1">
      <c r="A39" s="253" t="s">
        <v>88</v>
      </c>
      <c r="B39" s="310" t="s">
        <v>167</v>
      </c>
      <c r="C39" s="311" t="s">
        <v>128</v>
      </c>
      <c r="D39" s="312" t="s">
        <v>105</v>
      </c>
      <c r="E39" s="312" t="s">
        <v>173</v>
      </c>
      <c r="F39" s="313" t="s">
        <v>175</v>
      </c>
      <c r="G39" s="314" t="s">
        <v>132</v>
      </c>
      <c r="H39" s="315" t="s">
        <v>30</v>
      </c>
      <c r="I39" s="315" t="s">
        <v>135</v>
      </c>
      <c r="J39" s="315" t="s">
        <v>36</v>
      </c>
      <c r="K39" s="315" t="s">
        <v>138</v>
      </c>
      <c r="L39" s="315" t="s">
        <v>184</v>
      </c>
      <c r="M39" s="315" t="s">
        <v>140</v>
      </c>
      <c r="N39" s="316" t="s">
        <v>187</v>
      </c>
      <c r="O39" s="317" t="s">
        <v>132</v>
      </c>
      <c r="P39" s="318" t="s">
        <v>30</v>
      </c>
      <c r="Q39" s="318" t="s">
        <v>135</v>
      </c>
      <c r="R39" s="318" t="s">
        <v>36</v>
      </c>
      <c r="S39" s="318" t="s">
        <v>138</v>
      </c>
      <c r="T39" s="318" t="s">
        <v>184</v>
      </c>
      <c r="U39" s="318" t="s">
        <v>140</v>
      </c>
      <c r="V39" s="319" t="s">
        <v>187</v>
      </c>
    </row>
    <row r="40" spans="1:22">
      <c r="A40" s="332" t="s">
        <v>431</v>
      </c>
      <c r="B40" s="250">
        <f>SUMIFS('Diags Raw Data'!$L$6:$L$4766,'Diags Raw Data'!$D$6:$D$4766,$A40,'Diags Raw Data'!$M$6:$M$4766,"Legacy")</f>
        <v>0</v>
      </c>
      <c r="C40" s="240">
        <f>SUMIFS('Diags Raw Data'!$R$6:$R$4766,'Diags Raw Data'!$D$6:$D$4766,$A40,'Diags Raw Data'!$M$6:$M$4766,"Legacy")</f>
        <v>0</v>
      </c>
      <c r="D40" s="240">
        <f>SUMIFS('Diags Raw Data'!$K$6:$K$4766,'Diags Raw Data'!$D$6:$D$4766,$A40,'Diags Raw Data'!$M$6:$M$4766,"Legacy")</f>
        <v>0</v>
      </c>
      <c r="E40" s="240">
        <f>SUMIFS('Diags Raw Data'!$O$6:$O$4766,'Diags Raw Data'!$D$6:$D$4766,$A40,'Diags Raw Data'!$M$6:$M$4766,"Legacy")</f>
        <v>0</v>
      </c>
      <c r="F40" s="246" t="str">
        <f>IF(NOT($B40=0), E40/$B40, "---")</f>
        <v>---</v>
      </c>
      <c r="G40" s="218">
        <f>SUMIFS('Diags Raw Data'!$S$6:$S$4766,'Diags Raw Data'!$D$6:$D$4766,$A40,'Diags Raw Data'!$M$6:$M$4766,"Legacy")</f>
        <v>0</v>
      </c>
      <c r="H40" s="219">
        <f>SUMIFS('Diags Raw Data'!$T$6:$T$4766,'Diags Raw Data'!$D$6:$D$4766,$A40,'Diags Raw Data'!$M$6:$M$4766,"Legacy")</f>
        <v>0</v>
      </c>
      <c r="I40" s="221">
        <f>SUMIFS('Diags Raw Data'!$U$6:$U$4766,'Diags Raw Data'!$D$6:$D$4766,$A40,'Diags Raw Data'!$M$6:$M$4766,"Legacy")</f>
        <v>0</v>
      </c>
      <c r="J40" s="219">
        <f>SUMIFS('Diags Raw Data'!$V$6:$V$4766,'Diags Raw Data'!$D$6:$D$4766,$A40,'Diags Raw Data'!$M$6:$M$4766,"Legacy")</f>
        <v>0</v>
      </c>
      <c r="K40" s="221">
        <f>SUMIFS('Diags Raw Data'!$W$6:$W$4766,'Diags Raw Data'!$D$6:$D$4766,$A40,'Diags Raw Data'!$M$6:$M$4766,"Legacy")</f>
        <v>0</v>
      </c>
      <c r="L40" s="220" t="str">
        <f>IF(NOT($C40=0), G40/$C40, "---")</f>
        <v>---</v>
      </c>
      <c r="M40" s="222" t="str">
        <f>IF(NOT($G40=0), (H40+I40)/$G40, "---")</f>
        <v>---</v>
      </c>
      <c r="N40" s="224" t="str">
        <f>IF(NOT($C40=0), (H40+I40)/$C40, "---")</f>
        <v>---</v>
      </c>
      <c r="O40" s="211">
        <f>SUMIFS('Diags Raw Data'!$Z$6:$Z$4766,'Diags Raw Data'!$D$6:$D$4766,$A40,'Diags Raw Data'!$M$6:$M$4766,"Legacy")</f>
        <v>0</v>
      </c>
      <c r="P40" s="208">
        <f>SUMIFS('Diags Raw Data'!$AA$6:$AA$4766,'Diags Raw Data'!$D$6:$D$4766,$A40,'Diags Raw Data'!$M$6:$M$4766,"Legacy")</f>
        <v>0</v>
      </c>
      <c r="Q40" s="210">
        <f>SUMIFS('Diags Raw Data'!$AB$6:$AB$4766,'Diags Raw Data'!$D$6:$D$4766,$A40,'Diags Raw Data'!$M$6:$M$4766,"Legacy")</f>
        <v>0</v>
      </c>
      <c r="R40" s="208">
        <f>SUMIFS('Diags Raw Data'!$AC$6:$AC$4766,'Diags Raw Data'!$D$6:$D$4766,$A40,'Diags Raw Data'!$M$6:$M$4766,"Legacy")</f>
        <v>0</v>
      </c>
      <c r="S40" s="210">
        <f>SUMIFS('Diags Raw Data'!$AD$6:$AD$4766,'Diags Raw Data'!$D$6:$D$4766,$A40,'Diags Raw Data'!$M$6:$M$4766,"Legacy")</f>
        <v>0</v>
      </c>
      <c r="T40" s="209" t="str">
        <f>IF(NOT($B40=0), O40/$B40, "---")</f>
        <v>---</v>
      </c>
      <c r="U40" s="223" t="str">
        <f>IF(NOT($O40=0), (P40+Q40)/$O40, "---")</f>
        <v>---</v>
      </c>
      <c r="V40" s="239" t="str">
        <f>IF(NOT($B40=0), (P40+Q40)/$B40, "---")</f>
        <v>---</v>
      </c>
    </row>
    <row r="41" spans="1:22">
      <c r="A41" s="332" t="s">
        <v>453</v>
      </c>
      <c r="B41" s="251">
        <f>SUMIFS('Diags Raw Data'!$L$6:$L$4766,'Diags Raw Data'!$D$6:$D$4766,$A41,'Diags Raw Data'!$M$6:$M$4766,"Legacy")</f>
        <v>0</v>
      </c>
      <c r="C41" s="241">
        <f>SUMIFS('Diags Raw Data'!$R$6:$R$4766,'Diags Raw Data'!$D$6:$D$4766,$A41,'Diags Raw Data'!$M$6:$M$4766,"Legacy")</f>
        <v>0</v>
      </c>
      <c r="D41" s="241">
        <f>SUMIFS('Diags Raw Data'!$K$6:$K$4766,'Diags Raw Data'!$D$6:$D$4766,$A41,'Diags Raw Data'!$M$6:$M$4766,"Legacy")</f>
        <v>0</v>
      </c>
      <c r="E41" s="241">
        <f>SUMIFS('Diags Raw Data'!$O$6:$O$4766,'Diags Raw Data'!$D$6:$D$4766,$A41,'Diags Raw Data'!$M$6:$M$4766,"Legacy")</f>
        <v>0</v>
      </c>
      <c r="F41" s="247" t="str">
        <f t="shared" ref="F41:F48" si="36">IF(NOT($B41=0), E41/$B41, "---")</f>
        <v>---</v>
      </c>
      <c r="G41" s="229">
        <f>SUMIFS('Diags Raw Data'!$S$6:$S$4766,'Diags Raw Data'!$D$6:$D$4766,$A41,'Diags Raw Data'!$M$6:$M$4766,"Legacy")</f>
        <v>0</v>
      </c>
      <c r="H41" s="225">
        <f>SUMIFS('Diags Raw Data'!$T$6:$T$4766,'Diags Raw Data'!$D$6:$D$4766,$A41,'Diags Raw Data'!$M$6:$M$4766,"Legacy")</f>
        <v>0</v>
      </c>
      <c r="I41" s="226">
        <f>SUMIFS('Diags Raw Data'!$U$6:$U$4766,'Diags Raw Data'!$D$6:$D$4766,$A41,'Diags Raw Data'!$M$6:$M$4766,"Legacy")</f>
        <v>0</v>
      </c>
      <c r="J41" s="225">
        <f>SUMIFS('Diags Raw Data'!$V$6:$V$4766,'Diags Raw Data'!$D$6:$D$4766,$A41,'Diags Raw Data'!$M$6:$M$4766,"Legacy")</f>
        <v>0</v>
      </c>
      <c r="K41" s="226">
        <f>SUMIFS('Diags Raw Data'!$W$6:$W$4766,'Diags Raw Data'!$D$6:$D$4766,$A41,'Diags Raw Data'!$M$6:$M$4766,"Legacy")</f>
        <v>0</v>
      </c>
      <c r="L41" s="242" t="str">
        <f t="shared" ref="L41:L48" si="37">IF(NOT($C41=0), G41/$C41, "---")</f>
        <v>---</v>
      </c>
      <c r="M41" s="227" t="str">
        <f t="shared" ref="M41:M54" si="38">IF(NOT($G41=0), (H41+I41)/$G41, "---")</f>
        <v>---</v>
      </c>
      <c r="N41" s="236" t="str">
        <f t="shared" ref="N41:N54" si="39">IF(NOT($C41=0), (H41+I41)/$C41, "---")</f>
        <v>---</v>
      </c>
      <c r="O41" s="212">
        <f>SUMIFS('Diags Raw Data'!$Z$6:$Z$4766,'Diags Raw Data'!$D$6:$D$4766,$A41,'Diags Raw Data'!$M$6:$M$4766,"Legacy")</f>
        <v>0</v>
      </c>
      <c r="P41" s="202">
        <f>SUMIFS('Diags Raw Data'!$AA$6:$AA$4766,'Diags Raw Data'!$D$6:$D$4766,$A41,'Diags Raw Data'!$M$6:$M$4766,"Legacy")</f>
        <v>0</v>
      </c>
      <c r="Q41" s="204">
        <f>SUMIFS('Diags Raw Data'!$AB$6:$AB$4766,'Diags Raw Data'!$D$6:$D$4766,$A41,'Diags Raw Data'!$M$6:$M$4766,"Legacy")</f>
        <v>0</v>
      </c>
      <c r="R41" s="202">
        <f>SUMIFS('Diags Raw Data'!$AC$6:$AC$4766,'Diags Raw Data'!$D$6:$D$4766,$A41,'Diags Raw Data'!$M$6:$M$4766,"Legacy")</f>
        <v>0</v>
      </c>
      <c r="S41" s="204">
        <f>SUMIFS('Diags Raw Data'!$AD$6:$AD$4766,'Diags Raw Data'!$D$6:$D$4766,$A41,'Diags Raw Data'!$M$6:$M$4766,"Legacy")</f>
        <v>0</v>
      </c>
      <c r="T41" s="203" t="str">
        <f t="shared" ref="T41:T48" si="40">IF(NOT($B41=0), O41/$B41, "---")</f>
        <v>---</v>
      </c>
      <c r="U41" s="228" t="str">
        <f t="shared" ref="U41:U54" si="41">IF(NOT($O41=0), (P41+Q41)/$O41, "---")</f>
        <v>---</v>
      </c>
      <c r="V41" s="230" t="str">
        <f t="shared" ref="V41:V48" si="42">IF(NOT($B41=0), (P41+Q41)/$B41, "---")</f>
        <v>---</v>
      </c>
    </row>
    <row r="42" spans="1:22">
      <c r="A42" s="332" t="s">
        <v>567</v>
      </c>
      <c r="B42" s="251">
        <f>SUMIFS('Diags Raw Data'!$L$6:$L$4766,'Diags Raw Data'!$D$6:$D$4766,$A42,'Diags Raw Data'!$M$6:$M$4766,"Legacy")</f>
        <v>0</v>
      </c>
      <c r="C42" s="241">
        <f>SUMIFS('Diags Raw Data'!$R$6:$R$4766,'Diags Raw Data'!$D$6:$D$4766,$A42,'Diags Raw Data'!$M$6:$M$4766,"Legacy")</f>
        <v>0</v>
      </c>
      <c r="D42" s="241">
        <f>SUMIFS('Diags Raw Data'!$K$6:$K$4766,'Diags Raw Data'!$D$6:$D$4766,$A42,'Diags Raw Data'!$M$6:$M$4766,"Legacy")</f>
        <v>0</v>
      </c>
      <c r="E42" s="241">
        <f>SUMIFS('Diags Raw Data'!$O$6:$O$4766,'Diags Raw Data'!$D$6:$D$4766,$A42,'Diags Raw Data'!$M$6:$M$4766,"Legacy")</f>
        <v>0</v>
      </c>
      <c r="F42" s="247" t="str">
        <f t="shared" si="36"/>
        <v>---</v>
      </c>
      <c r="G42" s="229">
        <f>SUMIFS('Diags Raw Data'!$S$6:$S$4766,'Diags Raw Data'!$D$6:$D$4766,$A42,'Diags Raw Data'!$M$6:$M$4766,"Legacy")</f>
        <v>0</v>
      </c>
      <c r="H42" s="225">
        <f>SUMIFS('Diags Raw Data'!$T$6:$T$4766,'Diags Raw Data'!$D$6:$D$4766,$A42,'Diags Raw Data'!$M$6:$M$4766,"Legacy")</f>
        <v>0</v>
      </c>
      <c r="I42" s="226">
        <f>SUMIFS('Diags Raw Data'!$U$6:$U$4766,'Diags Raw Data'!$D$6:$D$4766,$A42,'Diags Raw Data'!$M$6:$M$4766,"Legacy")</f>
        <v>0</v>
      </c>
      <c r="J42" s="225">
        <f>SUMIFS('Diags Raw Data'!$V$6:$V$4766,'Diags Raw Data'!$D$6:$D$4766,$A42,'Diags Raw Data'!$M$6:$M$4766,"Legacy")</f>
        <v>0</v>
      </c>
      <c r="K42" s="226">
        <f>SUMIFS('Diags Raw Data'!$W$6:$W$4766,'Diags Raw Data'!$D$6:$D$4766,$A42,'Diags Raw Data'!$M$6:$M$4766,"Legacy")</f>
        <v>0</v>
      </c>
      <c r="L42" s="242" t="str">
        <f t="shared" si="37"/>
        <v>---</v>
      </c>
      <c r="M42" s="227" t="str">
        <f t="shared" si="38"/>
        <v>---</v>
      </c>
      <c r="N42" s="236" t="str">
        <f t="shared" si="39"/>
        <v>---</v>
      </c>
      <c r="O42" s="212">
        <f>SUMIFS('Diags Raw Data'!$Z$6:$Z$4766,'Diags Raw Data'!$D$6:$D$4766,$A42,'Diags Raw Data'!$M$6:$M$4766,"Legacy")</f>
        <v>0</v>
      </c>
      <c r="P42" s="202">
        <f>SUMIFS('Diags Raw Data'!$AA$6:$AA$4766,'Diags Raw Data'!$D$6:$D$4766,$A42,'Diags Raw Data'!$M$6:$M$4766,"Legacy")</f>
        <v>0</v>
      </c>
      <c r="Q42" s="204">
        <f>SUMIFS('Diags Raw Data'!$AB$6:$AB$4766,'Diags Raw Data'!$D$6:$D$4766,$A42,'Diags Raw Data'!$M$6:$M$4766,"Legacy")</f>
        <v>0</v>
      </c>
      <c r="R42" s="202">
        <f>SUMIFS('Diags Raw Data'!$AC$6:$AC$4766,'Diags Raw Data'!$D$6:$D$4766,$A42,'Diags Raw Data'!$M$6:$M$4766,"Legacy")</f>
        <v>0</v>
      </c>
      <c r="S42" s="204">
        <f>SUMIFS('Diags Raw Data'!$AD$6:$AD$4766,'Diags Raw Data'!$D$6:$D$4766,$A42,'Diags Raw Data'!$M$6:$M$4766,"Legacy")</f>
        <v>0</v>
      </c>
      <c r="T42" s="203" t="str">
        <f t="shared" si="40"/>
        <v>---</v>
      </c>
      <c r="U42" s="228" t="str">
        <f t="shared" si="41"/>
        <v>---</v>
      </c>
      <c r="V42" s="230" t="str">
        <f t="shared" si="42"/>
        <v>---</v>
      </c>
    </row>
    <row r="43" spans="1:22">
      <c r="A43" s="332" t="s">
        <v>590</v>
      </c>
      <c r="B43" s="251">
        <f>SUMIFS('Diags Raw Data'!$L$6:$L$4766,'Diags Raw Data'!$D$6:$D$4766,$A43,'Diags Raw Data'!$M$6:$M$4766,"Legacy")</f>
        <v>0</v>
      </c>
      <c r="C43" s="241">
        <f>SUMIFS('Diags Raw Data'!$R$6:$R$4766,'Diags Raw Data'!$D$6:$D$4766,$A43,'Diags Raw Data'!$M$6:$M$4766,"Legacy")</f>
        <v>0</v>
      </c>
      <c r="D43" s="241">
        <f>SUMIFS('Diags Raw Data'!$K$6:$K$4766,'Diags Raw Data'!$D$6:$D$4766,$A43,'Diags Raw Data'!$M$6:$M$4766,"Legacy")</f>
        <v>0</v>
      </c>
      <c r="E43" s="241">
        <f>SUMIFS('Diags Raw Data'!$O$6:$O$4766,'Diags Raw Data'!$D$6:$D$4766,$A43,'Diags Raw Data'!$M$6:$M$4766,"Legacy")</f>
        <v>0</v>
      </c>
      <c r="F43" s="247" t="str">
        <f t="shared" si="36"/>
        <v>---</v>
      </c>
      <c r="G43" s="229">
        <f>SUMIFS('Diags Raw Data'!$S$6:$S$4766,'Diags Raw Data'!$D$6:$D$4766,$A43,'Diags Raw Data'!$M$6:$M$4766,"Legacy")</f>
        <v>0</v>
      </c>
      <c r="H43" s="225">
        <f>SUMIFS('Diags Raw Data'!$T$6:$T$4766,'Diags Raw Data'!$D$6:$D$4766,$A43,'Diags Raw Data'!$M$6:$M$4766,"Legacy")</f>
        <v>0</v>
      </c>
      <c r="I43" s="226">
        <f>SUMIFS('Diags Raw Data'!$U$6:$U$4766,'Diags Raw Data'!$D$6:$D$4766,$A43,'Diags Raw Data'!$M$6:$M$4766,"Legacy")</f>
        <v>0</v>
      </c>
      <c r="J43" s="225">
        <f>SUMIFS('Diags Raw Data'!$V$6:$V$4766,'Diags Raw Data'!$D$6:$D$4766,$A43,'Diags Raw Data'!$M$6:$M$4766,"Legacy")</f>
        <v>0</v>
      </c>
      <c r="K43" s="226">
        <f>SUMIFS('Diags Raw Data'!$W$6:$W$4766,'Diags Raw Data'!$D$6:$D$4766,$A43,'Diags Raw Data'!$M$6:$M$4766,"Legacy")</f>
        <v>0</v>
      </c>
      <c r="L43" s="242" t="str">
        <f t="shared" si="37"/>
        <v>---</v>
      </c>
      <c r="M43" s="227" t="str">
        <f t="shared" si="38"/>
        <v>---</v>
      </c>
      <c r="N43" s="236" t="str">
        <f t="shared" si="39"/>
        <v>---</v>
      </c>
      <c r="O43" s="212">
        <f>SUMIFS('Diags Raw Data'!$Z$6:$Z$4766,'Diags Raw Data'!$D$6:$D$4766,$A43,'Diags Raw Data'!$M$6:$M$4766,"Legacy")</f>
        <v>0</v>
      </c>
      <c r="P43" s="202">
        <f>SUMIFS('Diags Raw Data'!$AA$6:$AA$4766,'Diags Raw Data'!$D$6:$D$4766,$A43,'Diags Raw Data'!$M$6:$M$4766,"Legacy")</f>
        <v>0</v>
      </c>
      <c r="Q43" s="204">
        <f>SUMIFS('Diags Raw Data'!$AB$6:$AB$4766,'Diags Raw Data'!$D$6:$D$4766,$A43,'Diags Raw Data'!$M$6:$M$4766,"Legacy")</f>
        <v>0</v>
      </c>
      <c r="R43" s="202">
        <f>SUMIFS('Diags Raw Data'!$AC$6:$AC$4766,'Diags Raw Data'!$D$6:$D$4766,$A43,'Diags Raw Data'!$M$6:$M$4766,"Legacy")</f>
        <v>0</v>
      </c>
      <c r="S43" s="204">
        <f>SUMIFS('Diags Raw Data'!$AD$6:$AD$4766,'Diags Raw Data'!$D$6:$D$4766,$A43,'Diags Raw Data'!$M$6:$M$4766,"Legacy")</f>
        <v>0</v>
      </c>
      <c r="T43" s="203" t="str">
        <f t="shared" si="40"/>
        <v>---</v>
      </c>
      <c r="U43" s="228" t="str">
        <f t="shared" si="41"/>
        <v>---</v>
      </c>
      <c r="V43" s="230" t="str">
        <f t="shared" si="42"/>
        <v>---</v>
      </c>
    </row>
    <row r="44" spans="1:22">
      <c r="A44" s="332" t="s">
        <v>629</v>
      </c>
      <c r="B44" s="251">
        <f>SUMIFS('Diags Raw Data'!$L$6:$L$4766,'Diags Raw Data'!$D$6:$D$4766,$A44,'Diags Raw Data'!$M$6:$M$4766,"Legacy")</f>
        <v>0</v>
      </c>
      <c r="C44" s="241">
        <f>SUMIFS('Diags Raw Data'!$R$6:$R$4766,'Diags Raw Data'!$D$6:$D$4766,$A44,'Diags Raw Data'!$M$6:$M$4766,"Legacy")</f>
        <v>0</v>
      </c>
      <c r="D44" s="241">
        <f>SUMIFS('Diags Raw Data'!$K$6:$K$4766,'Diags Raw Data'!$D$6:$D$4766,$A44,'Diags Raw Data'!$M$6:$M$4766,"Legacy")</f>
        <v>0</v>
      </c>
      <c r="E44" s="241">
        <f>SUMIFS('Diags Raw Data'!$O$6:$O$4766,'Diags Raw Data'!$D$6:$D$4766,$A44,'Diags Raw Data'!$M$6:$M$4766,"Legacy")</f>
        <v>0</v>
      </c>
      <c r="F44" s="247" t="str">
        <f t="shared" si="36"/>
        <v>---</v>
      </c>
      <c r="G44" s="229">
        <f>SUMIFS('Diags Raw Data'!$S$6:$S$4766,'Diags Raw Data'!$D$6:$D$4766,$A44,'Diags Raw Data'!$M$6:$M$4766,"Legacy")</f>
        <v>0</v>
      </c>
      <c r="H44" s="225">
        <f>SUMIFS('Diags Raw Data'!$T$6:$T$4766,'Diags Raw Data'!$D$6:$D$4766,$A44,'Diags Raw Data'!$M$6:$M$4766,"Legacy")</f>
        <v>0</v>
      </c>
      <c r="I44" s="226">
        <f>SUMIFS('Diags Raw Data'!$U$6:$U$4766,'Diags Raw Data'!$D$6:$D$4766,$A44,'Diags Raw Data'!$M$6:$M$4766,"Legacy")</f>
        <v>0</v>
      </c>
      <c r="J44" s="225">
        <f>SUMIFS('Diags Raw Data'!$V$6:$V$4766,'Diags Raw Data'!$D$6:$D$4766,$A44,'Diags Raw Data'!$M$6:$M$4766,"Legacy")</f>
        <v>0</v>
      </c>
      <c r="K44" s="226">
        <f>SUMIFS('Diags Raw Data'!$W$6:$W$4766,'Diags Raw Data'!$D$6:$D$4766,$A44,'Diags Raw Data'!$M$6:$M$4766,"Legacy")</f>
        <v>0</v>
      </c>
      <c r="L44" s="242" t="str">
        <f t="shared" si="37"/>
        <v>---</v>
      </c>
      <c r="M44" s="227" t="str">
        <f t="shared" si="38"/>
        <v>---</v>
      </c>
      <c r="N44" s="236" t="str">
        <f t="shared" si="39"/>
        <v>---</v>
      </c>
      <c r="O44" s="212">
        <f>SUMIFS('Diags Raw Data'!$Z$6:$Z$4766,'Diags Raw Data'!$D$6:$D$4766,$A44,'Diags Raw Data'!$M$6:$M$4766,"Legacy")</f>
        <v>0</v>
      </c>
      <c r="P44" s="202">
        <f>SUMIFS('Diags Raw Data'!$AA$6:$AA$4766,'Diags Raw Data'!$D$6:$D$4766,$A44,'Diags Raw Data'!$M$6:$M$4766,"Legacy")</f>
        <v>0</v>
      </c>
      <c r="Q44" s="204">
        <f>SUMIFS('Diags Raw Data'!$AB$6:$AB$4766,'Diags Raw Data'!$D$6:$D$4766,$A44,'Diags Raw Data'!$M$6:$M$4766,"Legacy")</f>
        <v>0</v>
      </c>
      <c r="R44" s="202">
        <f>SUMIFS('Diags Raw Data'!$AC$6:$AC$4766,'Diags Raw Data'!$D$6:$D$4766,$A44,'Diags Raw Data'!$M$6:$M$4766,"Legacy")</f>
        <v>0</v>
      </c>
      <c r="S44" s="204">
        <f>SUMIFS('Diags Raw Data'!$AD$6:$AD$4766,'Diags Raw Data'!$D$6:$D$4766,$A44,'Diags Raw Data'!$M$6:$M$4766,"Legacy")</f>
        <v>0</v>
      </c>
      <c r="T44" s="203" t="str">
        <f t="shared" si="40"/>
        <v>---</v>
      </c>
      <c r="U44" s="228" t="str">
        <f t="shared" si="41"/>
        <v>---</v>
      </c>
      <c r="V44" s="230" t="str">
        <f t="shared" si="42"/>
        <v>---</v>
      </c>
    </row>
    <row r="45" spans="1:22">
      <c r="A45" s="332" t="s">
        <v>647</v>
      </c>
      <c r="B45" s="251">
        <f>SUMIFS('Diags Raw Data'!$L$6:$L$4766,'Diags Raw Data'!$D$6:$D$4766,$A45,'Diags Raw Data'!$M$6:$M$4766,"Legacy")</f>
        <v>0</v>
      </c>
      <c r="C45" s="241">
        <f>SUMIFS('Diags Raw Data'!$R$6:$R$4766,'Diags Raw Data'!$D$6:$D$4766,$A45,'Diags Raw Data'!$M$6:$M$4766,"Legacy")</f>
        <v>0</v>
      </c>
      <c r="D45" s="241">
        <f>SUMIFS('Diags Raw Data'!$K$6:$K$4766,'Diags Raw Data'!$D$6:$D$4766,$A45,'Diags Raw Data'!$M$6:$M$4766,"Legacy")</f>
        <v>0</v>
      </c>
      <c r="E45" s="241">
        <f>SUMIFS('Diags Raw Data'!$O$6:$O$4766,'Diags Raw Data'!$D$6:$D$4766,$A45,'Diags Raw Data'!$M$6:$M$4766,"Legacy")</f>
        <v>0</v>
      </c>
      <c r="F45" s="247" t="str">
        <f t="shared" si="36"/>
        <v>---</v>
      </c>
      <c r="G45" s="229">
        <f>SUMIFS('Diags Raw Data'!$S$6:$S$4766,'Diags Raw Data'!$D$6:$D$4766,$A45,'Diags Raw Data'!$M$6:$M$4766,"Legacy")</f>
        <v>0</v>
      </c>
      <c r="H45" s="225">
        <f>SUMIFS('Diags Raw Data'!$T$6:$T$4766,'Diags Raw Data'!$D$6:$D$4766,$A45,'Diags Raw Data'!$M$6:$M$4766,"Legacy")</f>
        <v>0</v>
      </c>
      <c r="I45" s="226">
        <f>SUMIFS('Diags Raw Data'!$U$6:$U$4766,'Diags Raw Data'!$D$6:$D$4766,$A45,'Diags Raw Data'!$M$6:$M$4766,"Legacy")</f>
        <v>0</v>
      </c>
      <c r="J45" s="225">
        <f>SUMIFS('Diags Raw Data'!$V$6:$V$4766,'Diags Raw Data'!$D$6:$D$4766,$A45,'Diags Raw Data'!$M$6:$M$4766,"Legacy")</f>
        <v>0</v>
      </c>
      <c r="K45" s="226">
        <f>SUMIFS('Diags Raw Data'!$W$6:$W$4766,'Diags Raw Data'!$D$6:$D$4766,$A45,'Diags Raw Data'!$M$6:$M$4766,"Legacy")</f>
        <v>0</v>
      </c>
      <c r="L45" s="242" t="str">
        <f t="shared" si="37"/>
        <v>---</v>
      </c>
      <c r="M45" s="227" t="str">
        <f t="shared" si="38"/>
        <v>---</v>
      </c>
      <c r="N45" s="236" t="str">
        <f t="shared" si="39"/>
        <v>---</v>
      </c>
      <c r="O45" s="212">
        <f>SUMIFS('Diags Raw Data'!$Z$6:$Z$4766,'Diags Raw Data'!$D$6:$D$4766,$A45,'Diags Raw Data'!$M$6:$M$4766,"Legacy")</f>
        <v>0</v>
      </c>
      <c r="P45" s="202">
        <f>SUMIFS('Diags Raw Data'!$AA$6:$AA$4766,'Diags Raw Data'!$D$6:$D$4766,$A45,'Diags Raw Data'!$M$6:$M$4766,"Legacy")</f>
        <v>0</v>
      </c>
      <c r="Q45" s="204">
        <f>SUMIFS('Diags Raw Data'!$AB$6:$AB$4766,'Diags Raw Data'!$D$6:$D$4766,$A45,'Diags Raw Data'!$M$6:$M$4766,"Legacy")</f>
        <v>0</v>
      </c>
      <c r="R45" s="202">
        <f>SUMIFS('Diags Raw Data'!$AC$6:$AC$4766,'Diags Raw Data'!$D$6:$D$4766,$A45,'Diags Raw Data'!$M$6:$M$4766,"Legacy")</f>
        <v>0</v>
      </c>
      <c r="S45" s="204">
        <f>SUMIFS('Diags Raw Data'!$AD$6:$AD$4766,'Diags Raw Data'!$D$6:$D$4766,$A45,'Diags Raw Data'!$M$6:$M$4766,"Legacy")</f>
        <v>0</v>
      </c>
      <c r="T45" s="203" t="str">
        <f t="shared" si="40"/>
        <v>---</v>
      </c>
      <c r="U45" s="228" t="str">
        <f t="shared" si="41"/>
        <v>---</v>
      </c>
      <c r="V45" s="230" t="str">
        <f t="shared" si="42"/>
        <v>---</v>
      </c>
    </row>
    <row r="46" spans="1:22">
      <c r="A46" s="332" t="s">
        <v>724</v>
      </c>
      <c r="B46" s="251">
        <f>SUMIFS('Diags Raw Data'!$L$6:$L$4766,'Diags Raw Data'!$D$6:$D$4766,$A46,'Diags Raw Data'!$M$6:$M$4766,"Legacy")</f>
        <v>0</v>
      </c>
      <c r="C46" s="241">
        <f>SUMIFS('Diags Raw Data'!$R$6:$R$4766,'Diags Raw Data'!$D$6:$D$4766,$A46,'Diags Raw Data'!$M$6:$M$4766,"Legacy")</f>
        <v>0</v>
      </c>
      <c r="D46" s="241">
        <f>SUMIFS('Diags Raw Data'!$K$6:$K$4766,'Diags Raw Data'!$D$6:$D$4766,$A46,'Diags Raw Data'!$M$6:$M$4766,"Legacy")</f>
        <v>0</v>
      </c>
      <c r="E46" s="241">
        <f>SUMIFS('Diags Raw Data'!$O$6:$O$4766,'Diags Raw Data'!$D$6:$D$4766,$A46,'Diags Raw Data'!$M$6:$M$4766,"Legacy")</f>
        <v>0</v>
      </c>
      <c r="F46" s="247" t="str">
        <f t="shared" si="36"/>
        <v>---</v>
      </c>
      <c r="G46" s="229">
        <f>SUMIFS('Diags Raw Data'!$S$6:$S$4766,'Diags Raw Data'!$D$6:$D$4766,$A46,'Diags Raw Data'!$M$6:$M$4766,"Legacy")</f>
        <v>0</v>
      </c>
      <c r="H46" s="225">
        <f>SUMIFS('Diags Raw Data'!$T$6:$T$4766,'Diags Raw Data'!$D$6:$D$4766,$A46,'Diags Raw Data'!$M$6:$M$4766,"Legacy")</f>
        <v>0</v>
      </c>
      <c r="I46" s="226">
        <f>SUMIFS('Diags Raw Data'!$U$6:$U$4766,'Diags Raw Data'!$D$6:$D$4766,$A46,'Diags Raw Data'!$M$6:$M$4766,"Legacy")</f>
        <v>0</v>
      </c>
      <c r="J46" s="225">
        <f>SUMIFS('Diags Raw Data'!$V$6:$V$4766,'Diags Raw Data'!$D$6:$D$4766,$A46,'Diags Raw Data'!$M$6:$M$4766,"Legacy")</f>
        <v>0</v>
      </c>
      <c r="K46" s="226">
        <f>SUMIFS('Diags Raw Data'!$W$6:$W$4766,'Diags Raw Data'!$D$6:$D$4766,$A46,'Diags Raw Data'!$M$6:$M$4766,"Legacy")</f>
        <v>0</v>
      </c>
      <c r="L46" s="242" t="str">
        <f t="shared" si="37"/>
        <v>---</v>
      </c>
      <c r="M46" s="227" t="str">
        <f t="shared" si="38"/>
        <v>---</v>
      </c>
      <c r="N46" s="236" t="str">
        <f t="shared" si="39"/>
        <v>---</v>
      </c>
      <c r="O46" s="212">
        <f>SUMIFS('Diags Raw Data'!$Z$6:$Z$4766,'Diags Raw Data'!$D$6:$D$4766,$A46,'Diags Raw Data'!$M$6:$M$4766,"Legacy")</f>
        <v>0</v>
      </c>
      <c r="P46" s="202">
        <f>SUMIFS('Diags Raw Data'!$AA$6:$AA$4766,'Diags Raw Data'!$D$6:$D$4766,$A46,'Diags Raw Data'!$M$6:$M$4766,"Legacy")</f>
        <v>0</v>
      </c>
      <c r="Q46" s="204">
        <f>SUMIFS('Diags Raw Data'!$AB$6:$AB$4766,'Diags Raw Data'!$D$6:$D$4766,$A46,'Diags Raw Data'!$M$6:$M$4766,"Legacy")</f>
        <v>0</v>
      </c>
      <c r="R46" s="202">
        <f>SUMIFS('Diags Raw Data'!$AC$6:$AC$4766,'Diags Raw Data'!$D$6:$D$4766,$A46,'Diags Raw Data'!$M$6:$M$4766,"Legacy")</f>
        <v>0</v>
      </c>
      <c r="S46" s="204">
        <f>SUMIFS('Diags Raw Data'!$AD$6:$AD$4766,'Diags Raw Data'!$D$6:$D$4766,$A46,'Diags Raw Data'!$M$6:$M$4766,"Legacy")</f>
        <v>0</v>
      </c>
      <c r="T46" s="203" t="str">
        <f t="shared" si="40"/>
        <v>---</v>
      </c>
      <c r="U46" s="228" t="str">
        <f t="shared" si="41"/>
        <v>---</v>
      </c>
      <c r="V46" s="230" t="str">
        <f t="shared" si="42"/>
        <v>---</v>
      </c>
    </row>
    <row r="47" spans="1:22">
      <c r="A47" s="332" t="s">
        <v>1024</v>
      </c>
      <c r="B47" s="251">
        <f>SUMIFS('Diags Raw Data'!$L$6:$L$4766,'Diags Raw Data'!$D$6:$D$4766,$A47,'Diags Raw Data'!$M$6:$M$4766,"Legacy")</f>
        <v>0</v>
      </c>
      <c r="C47" s="241">
        <f>SUMIFS('Diags Raw Data'!$R$6:$R$4766,'Diags Raw Data'!$D$6:$D$4766,$A47,'Diags Raw Data'!$M$6:$M$4766,"Legacy")</f>
        <v>0</v>
      </c>
      <c r="D47" s="241">
        <f>SUMIFS('Diags Raw Data'!$K$6:$K$4766,'Diags Raw Data'!$D$6:$D$4766,$A47,'Diags Raw Data'!$M$6:$M$4766,"Legacy")</f>
        <v>0</v>
      </c>
      <c r="E47" s="241">
        <f>SUMIFS('Diags Raw Data'!$O$6:$O$4766,'Diags Raw Data'!$D$6:$D$4766,$A47,'Diags Raw Data'!$M$6:$M$4766,"Legacy")</f>
        <v>0</v>
      </c>
      <c r="F47" s="247" t="str">
        <f t="shared" si="36"/>
        <v>---</v>
      </c>
      <c r="G47" s="229">
        <f>SUMIFS('Diags Raw Data'!$S$6:$S$4766,'Diags Raw Data'!$D$6:$D$4766,$A47,'Diags Raw Data'!$M$6:$M$4766,"Legacy")</f>
        <v>0</v>
      </c>
      <c r="H47" s="225">
        <f>SUMIFS('Diags Raw Data'!$T$6:$T$4766,'Diags Raw Data'!$D$6:$D$4766,$A47,'Diags Raw Data'!$M$6:$M$4766,"Legacy")</f>
        <v>0</v>
      </c>
      <c r="I47" s="226">
        <f>SUMIFS('Diags Raw Data'!$U$6:$U$4766,'Diags Raw Data'!$D$6:$D$4766,$A47,'Diags Raw Data'!$M$6:$M$4766,"Legacy")</f>
        <v>0</v>
      </c>
      <c r="J47" s="225">
        <f>SUMIFS('Diags Raw Data'!$V$6:$V$4766,'Diags Raw Data'!$D$6:$D$4766,$A47,'Diags Raw Data'!$M$6:$M$4766,"Legacy")</f>
        <v>0</v>
      </c>
      <c r="K47" s="226">
        <f>SUMIFS('Diags Raw Data'!$W$6:$W$4766,'Diags Raw Data'!$D$6:$D$4766,$A47,'Diags Raw Data'!$M$6:$M$4766,"Legacy")</f>
        <v>0</v>
      </c>
      <c r="L47" s="242" t="str">
        <f t="shared" si="37"/>
        <v>---</v>
      </c>
      <c r="M47" s="227" t="str">
        <f t="shared" si="38"/>
        <v>---</v>
      </c>
      <c r="N47" s="236" t="str">
        <f t="shared" si="39"/>
        <v>---</v>
      </c>
      <c r="O47" s="212">
        <f>SUMIFS('Diags Raw Data'!$Z$6:$Z$4766,'Diags Raw Data'!$D$6:$D$4766,$A47,'Diags Raw Data'!$M$6:$M$4766,"Legacy")</f>
        <v>0</v>
      </c>
      <c r="P47" s="202">
        <f>SUMIFS('Diags Raw Data'!$AA$6:$AA$4766,'Diags Raw Data'!$D$6:$D$4766,$A47,'Diags Raw Data'!$M$6:$M$4766,"Legacy")</f>
        <v>0</v>
      </c>
      <c r="Q47" s="204">
        <f>SUMIFS('Diags Raw Data'!$AB$6:$AB$4766,'Diags Raw Data'!$D$6:$D$4766,$A47,'Diags Raw Data'!$M$6:$M$4766,"Legacy")</f>
        <v>0</v>
      </c>
      <c r="R47" s="202">
        <f>SUMIFS('Diags Raw Data'!$AC$6:$AC$4766,'Diags Raw Data'!$D$6:$D$4766,$A47,'Diags Raw Data'!$M$6:$M$4766,"Legacy")</f>
        <v>0</v>
      </c>
      <c r="S47" s="204">
        <f>SUMIFS('Diags Raw Data'!$AD$6:$AD$4766,'Diags Raw Data'!$D$6:$D$4766,$A47,'Diags Raw Data'!$M$6:$M$4766,"Legacy")</f>
        <v>0</v>
      </c>
      <c r="T47" s="203" t="str">
        <f t="shared" si="40"/>
        <v>---</v>
      </c>
      <c r="U47" s="228" t="str">
        <f t="shared" si="41"/>
        <v>---</v>
      </c>
      <c r="V47" s="230" t="str">
        <f t="shared" si="42"/>
        <v>---</v>
      </c>
    </row>
    <row r="48" spans="1:22">
      <c r="A48" s="332" t="s">
        <v>318</v>
      </c>
      <c r="B48" s="251">
        <f>SUMIFS('Diags Raw Data'!$L$6:$L$4766,'Diags Raw Data'!$D$6:$D$4766,$A48,'Diags Raw Data'!$M$6:$M$4766,"Legacy")</f>
        <v>0</v>
      </c>
      <c r="C48" s="241">
        <f>SUMIFS('Diags Raw Data'!$R$6:$R$4766,'Diags Raw Data'!$D$6:$D$4766,$A48,'Diags Raw Data'!$M$6:$M$4766,"Legacy")</f>
        <v>0</v>
      </c>
      <c r="D48" s="241">
        <f>SUMIFS('Diags Raw Data'!$K$6:$K$4766,'Diags Raw Data'!$D$6:$D$4766,$A48,'Diags Raw Data'!$M$6:$M$4766,"Legacy")</f>
        <v>0</v>
      </c>
      <c r="E48" s="241">
        <f>SUMIFS('Diags Raw Data'!$O$6:$O$4766,'Diags Raw Data'!$D$6:$D$4766,$A48,'Diags Raw Data'!$M$6:$M$4766,"Legacy")</f>
        <v>0</v>
      </c>
      <c r="F48" s="247" t="str">
        <f t="shared" si="36"/>
        <v>---</v>
      </c>
      <c r="G48" s="229">
        <f>SUMIFS('Diags Raw Data'!$S$6:$S$4766,'Diags Raw Data'!$D$6:$D$4766,$A48,'Diags Raw Data'!$M$6:$M$4766,"Legacy")</f>
        <v>0</v>
      </c>
      <c r="H48" s="225">
        <f>SUMIFS('Diags Raw Data'!$T$6:$T$4766,'Diags Raw Data'!$D$6:$D$4766,$A48,'Diags Raw Data'!$M$6:$M$4766,"Legacy")</f>
        <v>0</v>
      </c>
      <c r="I48" s="226">
        <f>SUMIFS('Diags Raw Data'!$U$6:$U$4766,'Diags Raw Data'!$D$6:$D$4766,$A48,'Diags Raw Data'!$M$6:$M$4766,"Legacy")</f>
        <v>0</v>
      </c>
      <c r="J48" s="225">
        <f>SUMIFS('Diags Raw Data'!$V$6:$V$4766,'Diags Raw Data'!$D$6:$D$4766,$A48,'Diags Raw Data'!$M$6:$M$4766,"Legacy")</f>
        <v>0</v>
      </c>
      <c r="K48" s="226">
        <f>SUMIFS('Diags Raw Data'!$W$6:$W$4766,'Diags Raw Data'!$D$6:$D$4766,$A48,'Diags Raw Data'!$M$6:$M$4766,"Legacy")</f>
        <v>0</v>
      </c>
      <c r="L48" s="242" t="str">
        <f t="shared" si="37"/>
        <v>---</v>
      </c>
      <c r="M48" s="227" t="str">
        <f t="shared" si="38"/>
        <v>---</v>
      </c>
      <c r="N48" s="236" t="str">
        <f t="shared" si="39"/>
        <v>---</v>
      </c>
      <c r="O48" s="212">
        <f>SUMIFS('Diags Raw Data'!$Z$6:$Z$4766,'Diags Raw Data'!$D$6:$D$4766,$A48,'Diags Raw Data'!$M$6:$M$4766,"Legacy")</f>
        <v>0</v>
      </c>
      <c r="P48" s="202">
        <f>SUMIFS('Diags Raw Data'!$AA$6:$AA$4766,'Diags Raw Data'!$D$6:$D$4766,$A48,'Diags Raw Data'!$M$6:$M$4766,"Legacy")</f>
        <v>0</v>
      </c>
      <c r="Q48" s="204">
        <f>SUMIFS('Diags Raw Data'!$AB$6:$AB$4766,'Diags Raw Data'!$D$6:$D$4766,$A48,'Diags Raw Data'!$M$6:$M$4766,"Legacy")</f>
        <v>0</v>
      </c>
      <c r="R48" s="202">
        <f>SUMIFS('Diags Raw Data'!$AC$6:$AC$4766,'Diags Raw Data'!$D$6:$D$4766,$A48,'Diags Raw Data'!$M$6:$M$4766,"Legacy")</f>
        <v>0</v>
      </c>
      <c r="S48" s="204">
        <f>SUMIFS('Diags Raw Data'!$AD$6:$AD$4766,'Diags Raw Data'!$D$6:$D$4766,$A48,'Diags Raw Data'!$M$6:$M$4766,"Legacy")</f>
        <v>0</v>
      </c>
      <c r="T48" s="203" t="str">
        <f t="shared" si="40"/>
        <v>---</v>
      </c>
      <c r="U48" s="228" t="str">
        <f t="shared" si="41"/>
        <v>---</v>
      </c>
      <c r="V48" s="230" t="str">
        <f t="shared" si="42"/>
        <v>---</v>
      </c>
    </row>
    <row r="49" spans="1:22" ht="15" thickBot="1">
      <c r="A49" s="332" t="s">
        <v>748</v>
      </c>
      <c r="B49" s="252">
        <f>SUMIFS('Diags Raw Data'!$L$6:$L$4766,'Diags Raw Data'!$D$6:$D$4766,$A49,'Diags Raw Data'!$M$6:$M$4766,"Legacy")</f>
        <v>0</v>
      </c>
      <c r="C49" s="243">
        <f>SUMIFS('Diags Raw Data'!$R$6:$R$4766,'Diags Raw Data'!$D$6:$D$4766,$A49,'Diags Raw Data'!$M$6:$M$4766,"Legacy")</f>
        <v>0</v>
      </c>
      <c r="D49" s="243">
        <f>SUMIFS('Diags Raw Data'!$K$6:$K$4766,'Diags Raw Data'!$D$6:$D$4766,$A49,'Diags Raw Data'!$M$6:$M$4766,"Legacy")</f>
        <v>0</v>
      </c>
      <c r="E49" s="243">
        <f>SUMIFS('Diags Raw Data'!$O$6:$O$4766,'Diags Raw Data'!$D$6:$D$4766,$A49,'Diags Raw Data'!$M$6:$M$4766,"Legacy")</f>
        <v>0</v>
      </c>
      <c r="F49" s="248" t="str">
        <f>IF(NOT($B49=0), E49/$B49, "---")</f>
        <v>---</v>
      </c>
      <c r="G49" s="231">
        <f>SUMIFS('Diags Raw Data'!$S$6:$S$4766,'Diags Raw Data'!$D$6:$D$4766,$A49,'Diags Raw Data'!$M$6:$M$4766,"Legacy")</f>
        <v>0</v>
      </c>
      <c r="H49" s="232">
        <f>SUMIFS('Diags Raw Data'!$T$6:$T$4766,'Diags Raw Data'!$D$6:$D$4766,$A49,'Diags Raw Data'!$M$6:$M$4766,"Legacy")</f>
        <v>0</v>
      </c>
      <c r="I49" s="233">
        <f>SUMIFS('Diags Raw Data'!$U$6:$U$4766,'Diags Raw Data'!$D$6:$D$4766,$A49,'Diags Raw Data'!$M$6:$M$4766,"Legacy")</f>
        <v>0</v>
      </c>
      <c r="J49" s="232">
        <f>SUMIFS('Diags Raw Data'!$V$6:$V$4766,'Diags Raw Data'!$D$6:$D$4766,$A49,'Diags Raw Data'!$M$6:$M$4766,"Legacy")</f>
        <v>0</v>
      </c>
      <c r="K49" s="233">
        <f>SUMIFS('Diags Raw Data'!$W$6:$W$4766,'Diags Raw Data'!$D$6:$D$4766,$A49,'Diags Raw Data'!$M$6:$M$4766,"Legacy")</f>
        <v>0</v>
      </c>
      <c r="L49" s="244" t="str">
        <f>IF(NOT($C49=0), G49/$C49, "---")</f>
        <v>---</v>
      </c>
      <c r="M49" s="234" t="str">
        <f>IF(NOT($G49=0), (H49+I49)/$G49, "---")</f>
        <v>---</v>
      </c>
      <c r="N49" s="237" t="str">
        <f>IF(NOT($C49=0), (H49+I49)/$C49, "---")</f>
        <v>---</v>
      </c>
      <c r="O49" s="213">
        <f>SUMIFS('Diags Raw Data'!$Z$6:$Z$4766,'Diags Raw Data'!$D$6:$D$4766,$A49,'Diags Raw Data'!$M$6:$M$4766,"Legacy")</f>
        <v>0</v>
      </c>
      <c r="P49" s="205">
        <f>SUMIFS('Diags Raw Data'!$AA$6:$AA$4766,'Diags Raw Data'!$D$6:$D$4766,$A49,'Diags Raw Data'!$M$6:$M$4766,"Legacy")</f>
        <v>0</v>
      </c>
      <c r="Q49" s="207">
        <f>SUMIFS('Diags Raw Data'!$AB$6:$AB$4766,'Diags Raw Data'!$D$6:$D$4766,$A49,'Diags Raw Data'!$M$6:$M$4766,"Legacy")</f>
        <v>0</v>
      </c>
      <c r="R49" s="205">
        <f>SUMIFS('Diags Raw Data'!$AC$6:$AC$4766,'Diags Raw Data'!$D$6:$D$4766,$A49,'Diags Raw Data'!$M$6:$M$4766,"Legacy")</f>
        <v>0</v>
      </c>
      <c r="S49" s="207">
        <f>SUMIFS('Diags Raw Data'!$AD$6:$AD$4766,'Diags Raw Data'!$D$6:$D$4766,$A49,'Diags Raw Data'!$M$6:$M$4766,"Legacy")</f>
        <v>0</v>
      </c>
      <c r="T49" s="206" t="str">
        <f>IF(NOT($B49=0), O49/$B49, "---")</f>
        <v>---</v>
      </c>
      <c r="U49" s="238" t="str">
        <f>IF(NOT($O49=0), (P49+Q49)/$O49, "---")</f>
        <v>---</v>
      </c>
      <c r="V49" s="235" t="str">
        <f>IF(NOT($B49=0), (P49+Q49)/$B49, "---")</f>
        <v>---</v>
      </c>
    </row>
    <row r="50" spans="1:22" ht="15" thickBot="1">
      <c r="A50" s="332" t="s">
        <v>924</v>
      </c>
      <c r="B50" s="252">
        <f>SUMIFS('Diags Raw Data'!$L$6:$L$4766,'Diags Raw Data'!$D$6:$D$4766,$A50,'Diags Raw Data'!$M$6:$M$4766,"Legacy")</f>
        <v>0</v>
      </c>
      <c r="C50" s="243">
        <f>SUMIFS('Diags Raw Data'!$R$6:$R$4766,'Diags Raw Data'!$D$6:$D$4766,$A50,'Diags Raw Data'!$M$6:$M$4766,"Legacy")</f>
        <v>0</v>
      </c>
      <c r="D50" s="243">
        <f>SUMIFS('Diags Raw Data'!$K$6:$K$4766,'Diags Raw Data'!$D$6:$D$4766,$A50,'Diags Raw Data'!$M$6:$M$4766,"Legacy")</f>
        <v>0</v>
      </c>
      <c r="E50" s="243">
        <f>SUMIFS('Diags Raw Data'!$O$6:$O$4766,'Diags Raw Data'!$D$6:$D$4766,$A50,'Diags Raw Data'!$M$6:$M$4766,"Legacy")</f>
        <v>0</v>
      </c>
      <c r="F50" s="248" t="str">
        <f t="shared" ref="F50:F53" si="43">IF(NOT($B50=0), E50/$B50, "---")</f>
        <v>---</v>
      </c>
      <c r="G50" s="231">
        <f>SUMIFS('Diags Raw Data'!$S$6:$S$4766,'Diags Raw Data'!$D$6:$D$4766,$A50,'Diags Raw Data'!$M$6:$M$4766,"Legacy")</f>
        <v>0</v>
      </c>
      <c r="H50" s="232">
        <f>SUMIFS('Diags Raw Data'!$T$6:$T$4766,'Diags Raw Data'!$D$6:$D$4766,$A50,'Diags Raw Data'!$M$6:$M$4766,"Legacy")</f>
        <v>0</v>
      </c>
      <c r="I50" s="233">
        <f>SUMIFS('Diags Raw Data'!$U$6:$U$4766,'Diags Raw Data'!$D$6:$D$4766,$A50,'Diags Raw Data'!$M$6:$M$4766,"Legacy")</f>
        <v>0</v>
      </c>
      <c r="J50" s="232">
        <f>SUMIFS('Diags Raw Data'!$V$6:$V$4766,'Diags Raw Data'!$D$6:$D$4766,$A50,'Diags Raw Data'!$M$6:$M$4766,"Legacy")</f>
        <v>0</v>
      </c>
      <c r="K50" s="233">
        <f>SUMIFS('Diags Raw Data'!$W$6:$W$4766,'Diags Raw Data'!$D$6:$D$4766,$A50,'Diags Raw Data'!$M$6:$M$4766,"Legacy")</f>
        <v>0</v>
      </c>
      <c r="L50" s="244" t="str">
        <f t="shared" ref="L50:L53" si="44">IF(NOT($C50=0), G50/$C50, "---")</f>
        <v>---</v>
      </c>
      <c r="M50" s="234" t="str">
        <f t="shared" ref="M50:M53" si="45">IF(NOT($G50=0), (H50+I50)/$G50, "---")</f>
        <v>---</v>
      </c>
      <c r="N50" s="237" t="str">
        <f t="shared" ref="N50:N53" si="46">IF(NOT($C50=0), (H50+I50)/$C50, "---")</f>
        <v>---</v>
      </c>
      <c r="O50" s="213">
        <f>SUMIFS('Diags Raw Data'!$Z$6:$Z$4766,'Diags Raw Data'!$D$6:$D$4766,$A50,'Diags Raw Data'!$M$6:$M$4766,"Legacy")</f>
        <v>0</v>
      </c>
      <c r="P50" s="205">
        <f>SUMIFS('Diags Raw Data'!$AA$6:$AA$4766,'Diags Raw Data'!$D$6:$D$4766,$A50,'Diags Raw Data'!$M$6:$M$4766,"Legacy")</f>
        <v>0</v>
      </c>
      <c r="Q50" s="207">
        <f>SUMIFS('Diags Raw Data'!$AB$6:$AB$4766,'Diags Raw Data'!$D$6:$D$4766,$A50,'Diags Raw Data'!$M$6:$M$4766,"Legacy")</f>
        <v>0</v>
      </c>
      <c r="R50" s="205">
        <f>SUMIFS('Diags Raw Data'!$AC$6:$AC$4766,'Diags Raw Data'!$D$6:$D$4766,$A50,'Diags Raw Data'!$M$6:$M$4766,"Legacy")</f>
        <v>0</v>
      </c>
      <c r="S50" s="207">
        <f>SUMIFS('Diags Raw Data'!$AD$6:$AD$4766,'Diags Raw Data'!$D$6:$D$4766,$A50,'Diags Raw Data'!$M$6:$M$4766,"Legacy")</f>
        <v>0</v>
      </c>
      <c r="T50" s="206" t="str">
        <f t="shared" ref="T50:T53" si="47">IF(NOT($B50=0), O50/$B50, "---")</f>
        <v>---</v>
      </c>
      <c r="U50" s="238" t="str">
        <f t="shared" ref="U50:U53" si="48">IF(NOT($O50=0), (P50+Q50)/$O50, "---")</f>
        <v>---</v>
      </c>
      <c r="V50" s="235" t="str">
        <f t="shared" ref="V50:V53" si="49">IF(NOT($B50=0), (P50+Q50)/$B50, "---")</f>
        <v>---</v>
      </c>
    </row>
    <row r="51" spans="1:22" ht="15" thickBot="1">
      <c r="A51" s="333" t="s">
        <v>907</v>
      </c>
      <c r="B51" s="252">
        <f>SUMIFS('Diags Raw Data'!$L$6:$L$4766,'Diags Raw Data'!$D$6:$D$4766,$A51,'Diags Raw Data'!$M$6:$M$4766,"Legacy")</f>
        <v>0</v>
      </c>
      <c r="C51" s="243">
        <f>SUMIFS('Diags Raw Data'!$R$6:$R$4766,'Diags Raw Data'!$D$6:$D$4766,$A51,'Diags Raw Data'!$M$6:$M$4766,"Legacy")</f>
        <v>0</v>
      </c>
      <c r="D51" s="243">
        <f>SUMIFS('Diags Raw Data'!$K$6:$K$4766,'Diags Raw Data'!$D$6:$D$4766,$A51,'Diags Raw Data'!$M$6:$M$4766,"Legacy")</f>
        <v>0</v>
      </c>
      <c r="E51" s="243">
        <f>SUMIFS('Diags Raw Data'!$O$6:$O$4766,'Diags Raw Data'!$D$6:$D$4766,$A51,'Diags Raw Data'!$M$6:$M$4766,"Legacy")</f>
        <v>0</v>
      </c>
      <c r="F51" s="248" t="str">
        <f t="shared" si="43"/>
        <v>---</v>
      </c>
      <c r="G51" s="231">
        <f>SUMIFS('Diags Raw Data'!$S$6:$S$4766,'Diags Raw Data'!$D$6:$D$4766,$A51,'Diags Raw Data'!$M$6:$M$4766,"Legacy")</f>
        <v>0</v>
      </c>
      <c r="H51" s="232">
        <f>SUMIFS('Diags Raw Data'!$T$6:$T$4766,'Diags Raw Data'!$D$6:$D$4766,$A51,'Diags Raw Data'!$M$6:$M$4766,"Legacy")</f>
        <v>0</v>
      </c>
      <c r="I51" s="233">
        <f>SUMIFS('Diags Raw Data'!$U$6:$U$4766,'Diags Raw Data'!$D$6:$D$4766,$A51,'Diags Raw Data'!$M$6:$M$4766,"Legacy")</f>
        <v>0</v>
      </c>
      <c r="J51" s="232">
        <f>SUMIFS('Diags Raw Data'!$V$6:$V$4766,'Diags Raw Data'!$D$6:$D$4766,$A51,'Diags Raw Data'!$M$6:$M$4766,"Legacy")</f>
        <v>0</v>
      </c>
      <c r="K51" s="233">
        <f>SUMIFS('Diags Raw Data'!$W$6:$W$4766,'Diags Raw Data'!$D$6:$D$4766,$A51,'Diags Raw Data'!$M$6:$M$4766,"Legacy")</f>
        <v>0</v>
      </c>
      <c r="L51" s="244" t="str">
        <f t="shared" si="44"/>
        <v>---</v>
      </c>
      <c r="M51" s="234" t="str">
        <f t="shared" si="45"/>
        <v>---</v>
      </c>
      <c r="N51" s="237" t="str">
        <f t="shared" si="46"/>
        <v>---</v>
      </c>
      <c r="O51" s="213">
        <f>SUMIFS('Diags Raw Data'!$Z$6:$Z$4766,'Diags Raw Data'!$D$6:$D$4766,$A51,'Diags Raw Data'!$M$6:$M$4766,"Legacy")</f>
        <v>0</v>
      </c>
      <c r="P51" s="205">
        <f>SUMIFS('Diags Raw Data'!$AA$6:$AA$4766,'Diags Raw Data'!$D$6:$D$4766,$A51,'Diags Raw Data'!$M$6:$M$4766,"Legacy")</f>
        <v>0</v>
      </c>
      <c r="Q51" s="207">
        <f>SUMIFS('Diags Raw Data'!$AB$6:$AB$4766,'Diags Raw Data'!$D$6:$D$4766,$A51,'Diags Raw Data'!$M$6:$M$4766,"Legacy")</f>
        <v>0</v>
      </c>
      <c r="R51" s="205">
        <f>SUMIFS('Diags Raw Data'!$AC$6:$AC$4766,'Diags Raw Data'!$D$6:$D$4766,$A51,'Diags Raw Data'!$M$6:$M$4766,"Legacy")</f>
        <v>0</v>
      </c>
      <c r="S51" s="207">
        <f>SUMIFS('Diags Raw Data'!$AD$6:$AD$4766,'Diags Raw Data'!$D$6:$D$4766,$A51,'Diags Raw Data'!$M$6:$M$4766,"Legacy")</f>
        <v>0</v>
      </c>
      <c r="T51" s="206" t="str">
        <f t="shared" si="47"/>
        <v>---</v>
      </c>
      <c r="U51" s="238" t="str">
        <f t="shared" si="48"/>
        <v>---</v>
      </c>
      <c r="V51" s="235" t="str">
        <f t="shared" si="49"/>
        <v>---</v>
      </c>
    </row>
    <row r="52" spans="1:22" ht="15" thickBot="1">
      <c r="A52" s="332" t="s">
        <v>950</v>
      </c>
      <c r="B52" s="252">
        <f>SUMIFS('Diags Raw Data'!$L$6:$L$4766,'Diags Raw Data'!$D$6:$D$4766,$A52,'Diags Raw Data'!$M$6:$M$4766,"Legacy")</f>
        <v>0</v>
      </c>
      <c r="C52" s="243">
        <f>SUMIFS('Diags Raw Data'!$R$6:$R$4766,'Diags Raw Data'!$D$6:$D$4766,$A52,'Diags Raw Data'!$M$6:$M$4766,"Legacy")</f>
        <v>0</v>
      </c>
      <c r="D52" s="243">
        <f>SUMIFS('Diags Raw Data'!$K$6:$K$4766,'Diags Raw Data'!$D$6:$D$4766,$A52,'Diags Raw Data'!$M$6:$M$4766,"Legacy")</f>
        <v>0</v>
      </c>
      <c r="E52" s="243">
        <f>SUMIFS('Diags Raw Data'!$O$6:$O$4766,'Diags Raw Data'!$D$6:$D$4766,$A52,'Diags Raw Data'!$M$6:$M$4766,"Legacy")</f>
        <v>0</v>
      </c>
      <c r="F52" s="248" t="str">
        <f t="shared" si="43"/>
        <v>---</v>
      </c>
      <c r="G52" s="231">
        <f>SUMIFS('Diags Raw Data'!$S$6:$S$4766,'Diags Raw Data'!$D$6:$D$4766,$A52,'Diags Raw Data'!$M$6:$M$4766,"Legacy")</f>
        <v>0</v>
      </c>
      <c r="H52" s="232">
        <f>SUMIFS('Diags Raw Data'!$T$6:$T$4766,'Diags Raw Data'!$D$6:$D$4766,$A52,'Diags Raw Data'!$M$6:$M$4766,"Legacy")</f>
        <v>0</v>
      </c>
      <c r="I52" s="233">
        <f>SUMIFS('Diags Raw Data'!$U$6:$U$4766,'Diags Raw Data'!$D$6:$D$4766,$A52,'Diags Raw Data'!$M$6:$M$4766,"Legacy")</f>
        <v>0</v>
      </c>
      <c r="J52" s="232">
        <f>SUMIFS('Diags Raw Data'!$V$6:$V$4766,'Diags Raw Data'!$D$6:$D$4766,$A52,'Diags Raw Data'!$M$6:$M$4766,"Legacy")</f>
        <v>0</v>
      </c>
      <c r="K52" s="233">
        <f>SUMIFS('Diags Raw Data'!$W$6:$W$4766,'Diags Raw Data'!$D$6:$D$4766,$A52,'Diags Raw Data'!$M$6:$M$4766,"Legacy")</f>
        <v>0</v>
      </c>
      <c r="L52" s="244" t="str">
        <f t="shared" si="44"/>
        <v>---</v>
      </c>
      <c r="M52" s="234" t="str">
        <f t="shared" si="45"/>
        <v>---</v>
      </c>
      <c r="N52" s="237" t="str">
        <f t="shared" si="46"/>
        <v>---</v>
      </c>
      <c r="O52" s="213">
        <f>SUMIFS('Diags Raw Data'!$Z$6:$Z$4766,'Diags Raw Data'!$D$6:$D$4766,$A52,'Diags Raw Data'!$M$6:$M$4766,"Legacy")</f>
        <v>0</v>
      </c>
      <c r="P52" s="205">
        <f>SUMIFS('Diags Raw Data'!$AA$6:$AA$4766,'Diags Raw Data'!$D$6:$D$4766,$A52,'Diags Raw Data'!$M$6:$M$4766,"Legacy")</f>
        <v>0</v>
      </c>
      <c r="Q52" s="207">
        <f>SUMIFS('Diags Raw Data'!$AB$6:$AB$4766,'Diags Raw Data'!$D$6:$D$4766,$A52,'Diags Raw Data'!$M$6:$M$4766,"Legacy")</f>
        <v>0</v>
      </c>
      <c r="R52" s="205">
        <f>SUMIFS('Diags Raw Data'!$AC$6:$AC$4766,'Diags Raw Data'!$D$6:$D$4766,$A52,'Diags Raw Data'!$M$6:$M$4766,"Legacy")</f>
        <v>0</v>
      </c>
      <c r="S52" s="207">
        <f>SUMIFS('Diags Raw Data'!$AD$6:$AD$4766,'Diags Raw Data'!$D$6:$D$4766,$A52,'Diags Raw Data'!$M$6:$M$4766,"Legacy")</f>
        <v>0</v>
      </c>
      <c r="T52" s="206" t="str">
        <f t="shared" si="47"/>
        <v>---</v>
      </c>
      <c r="U52" s="238" t="str">
        <f t="shared" si="48"/>
        <v>---</v>
      </c>
      <c r="V52" s="235" t="str">
        <f t="shared" si="49"/>
        <v>---</v>
      </c>
    </row>
    <row r="53" spans="1:22" ht="15" thickBot="1">
      <c r="A53" s="332" t="s">
        <v>1025</v>
      </c>
      <c r="B53" s="252">
        <f>SUMIFS('Diags Raw Data'!$L$6:$L$4766,'Diags Raw Data'!$D$6:$D$4766,$A53,'Diags Raw Data'!$M$6:$M$4766,"Legacy")</f>
        <v>0</v>
      </c>
      <c r="C53" s="243">
        <f>SUMIFS('Diags Raw Data'!$R$6:$R$4766,'Diags Raw Data'!$D$6:$D$4766,$A53,'Diags Raw Data'!$M$6:$M$4766,"Legacy")</f>
        <v>0</v>
      </c>
      <c r="D53" s="243">
        <f>SUMIFS('Diags Raw Data'!$K$6:$K$4766,'Diags Raw Data'!$D$6:$D$4766,$A53,'Diags Raw Data'!$M$6:$M$4766,"Legacy")</f>
        <v>0</v>
      </c>
      <c r="E53" s="243">
        <f>SUMIFS('Diags Raw Data'!$O$6:$O$4766,'Diags Raw Data'!$D$6:$D$4766,$A53,'Diags Raw Data'!$M$6:$M$4766,"Legacy")</f>
        <v>0</v>
      </c>
      <c r="F53" s="248" t="str">
        <f t="shared" si="43"/>
        <v>---</v>
      </c>
      <c r="G53" s="231">
        <f>SUMIFS('Diags Raw Data'!$S$6:$S$4766,'Diags Raw Data'!$D$6:$D$4766,$A53,'Diags Raw Data'!$M$6:$M$4766,"Legacy")</f>
        <v>0</v>
      </c>
      <c r="H53" s="232">
        <f>SUMIFS('Diags Raw Data'!$T$6:$T$4766,'Diags Raw Data'!$D$6:$D$4766,$A53,'Diags Raw Data'!$M$6:$M$4766,"Legacy")</f>
        <v>0</v>
      </c>
      <c r="I53" s="233">
        <f>SUMIFS('Diags Raw Data'!$U$6:$U$4766,'Diags Raw Data'!$D$6:$D$4766,$A53,'Diags Raw Data'!$M$6:$M$4766,"Legacy")</f>
        <v>0</v>
      </c>
      <c r="J53" s="232">
        <f>SUMIFS('Diags Raw Data'!$V$6:$V$4766,'Diags Raw Data'!$D$6:$D$4766,$A53,'Diags Raw Data'!$M$6:$M$4766,"Legacy")</f>
        <v>0</v>
      </c>
      <c r="K53" s="233">
        <f>SUMIFS('Diags Raw Data'!$W$6:$W$4766,'Diags Raw Data'!$D$6:$D$4766,$A53,'Diags Raw Data'!$M$6:$M$4766,"Legacy")</f>
        <v>0</v>
      </c>
      <c r="L53" s="244" t="str">
        <f t="shared" si="44"/>
        <v>---</v>
      </c>
      <c r="M53" s="234" t="str">
        <f t="shared" si="45"/>
        <v>---</v>
      </c>
      <c r="N53" s="237" t="str">
        <f t="shared" si="46"/>
        <v>---</v>
      </c>
      <c r="O53" s="213">
        <f>SUMIFS('Diags Raw Data'!$Z$6:$Z$4766,'Diags Raw Data'!$D$6:$D$4766,$A53,'Diags Raw Data'!$M$6:$M$4766,"Legacy")</f>
        <v>0</v>
      </c>
      <c r="P53" s="205">
        <f>SUMIFS('Diags Raw Data'!$AA$6:$AA$4766,'Diags Raw Data'!$D$6:$D$4766,$A53,'Diags Raw Data'!$M$6:$M$4766,"Legacy")</f>
        <v>0</v>
      </c>
      <c r="Q53" s="207">
        <f>SUMIFS('Diags Raw Data'!$AB$6:$AB$4766,'Diags Raw Data'!$D$6:$D$4766,$A53,'Diags Raw Data'!$M$6:$M$4766,"Legacy")</f>
        <v>0</v>
      </c>
      <c r="R53" s="205">
        <f>SUMIFS('Diags Raw Data'!$AC$6:$AC$4766,'Diags Raw Data'!$D$6:$D$4766,$A53,'Diags Raw Data'!$M$6:$M$4766,"Legacy")</f>
        <v>0</v>
      </c>
      <c r="S53" s="207">
        <f>SUMIFS('Diags Raw Data'!$AD$6:$AD$4766,'Diags Raw Data'!$D$6:$D$4766,$A53,'Diags Raw Data'!$M$6:$M$4766,"Legacy")</f>
        <v>0</v>
      </c>
      <c r="T53" s="206" t="str">
        <f t="shared" si="47"/>
        <v>---</v>
      </c>
      <c r="U53" s="238" t="str">
        <f t="shared" si="48"/>
        <v>---</v>
      </c>
      <c r="V53" s="235" t="str">
        <f t="shared" si="49"/>
        <v>---</v>
      </c>
    </row>
    <row r="54" spans="1:22" ht="15.95" thickBot="1">
      <c r="A54" s="270" t="s">
        <v>1029</v>
      </c>
      <c r="B54" s="255">
        <f>SUM(B40:B49)</f>
        <v>0</v>
      </c>
      <c r="C54" s="256">
        <f>SUM(C40:C49)</f>
        <v>0</v>
      </c>
      <c r="D54" s="256">
        <f>SUM(D40:D49)</f>
        <v>0</v>
      </c>
      <c r="E54" s="256">
        <f>SUM(E40:E49)</f>
        <v>0</v>
      </c>
      <c r="F54" s="257" t="e" cm="1">
        <f t="array" ref="F54">SUMPRODUCT(--(ISNUMBER(SEARCH("Legacy",'Diags Raw Data'!$M$6:$M$4766))),'Diags Raw Data'!$K$6:$K$4766,'Diags Raw Data'!$P$6:$P$4766)/D54</f>
        <v>#DIV/0!</v>
      </c>
      <c r="G54" s="258">
        <f>SUM(G40:G49)</f>
        <v>0</v>
      </c>
      <c r="H54" s="259">
        <f>SUM(H40:H49)</f>
        <v>0</v>
      </c>
      <c r="I54" s="260">
        <f>SUM(I40:I49)</f>
        <v>0</v>
      </c>
      <c r="J54" s="259">
        <f>SUM(J40:J49)</f>
        <v>0</v>
      </c>
      <c r="K54" s="260">
        <f>SUM(K40:K49)</f>
        <v>0</v>
      </c>
      <c r="L54" s="261" t="str">
        <f>IF(NOT($C54=0), G54/$C54, "---")</f>
        <v>---</v>
      </c>
      <c r="M54" s="262" t="str">
        <f t="shared" si="38"/>
        <v>---</v>
      </c>
      <c r="N54" s="263" t="str">
        <f t="shared" si="39"/>
        <v>---</v>
      </c>
      <c r="O54" s="264">
        <f>SUM(O40:O49)</f>
        <v>0</v>
      </c>
      <c r="P54" s="265">
        <f>SUM(P40:P49)</f>
        <v>0</v>
      </c>
      <c r="Q54" s="266">
        <f>SUM(Q40:Q49)</f>
        <v>0</v>
      </c>
      <c r="R54" s="265">
        <f>SUM(R40:R49)</f>
        <v>0</v>
      </c>
      <c r="S54" s="266">
        <f>SUM(S40:S49)</f>
        <v>0</v>
      </c>
      <c r="T54" s="267" t="str">
        <f>IF(NOT($B54=0), O54/$B54, "---")</f>
        <v>---</v>
      </c>
      <c r="U54" s="268" t="str">
        <f t="shared" si="41"/>
        <v>---</v>
      </c>
      <c r="V54" s="269" t="str">
        <f>IF(NOT($B54=0), (P54+Q54)/$B54, "---")</f>
        <v>---</v>
      </c>
    </row>
    <row r="55" spans="1:22">
      <c r="A55" s="245"/>
      <c r="B55" s="245"/>
      <c r="C55" s="245"/>
      <c r="D55" s="245"/>
      <c r="E55" s="245"/>
      <c r="F55" s="245"/>
      <c r="G55" s="245"/>
      <c r="H55" s="245"/>
      <c r="I55" s="245"/>
      <c r="J55" s="245"/>
      <c r="K55" s="245"/>
      <c r="L55" s="245"/>
      <c r="M55" s="245"/>
      <c r="N55" s="245"/>
      <c r="O55" s="245"/>
      <c r="P55" s="245"/>
      <c r="Q55" s="245"/>
      <c r="R55" s="245"/>
      <c r="S55" s="245"/>
      <c r="T55" s="245"/>
      <c r="U55" s="245"/>
      <c r="V55" s="245"/>
    </row>
    <row r="57" spans="1:22">
      <c r="F57" s="130"/>
    </row>
    <row r="60" spans="1:22">
      <c r="F60" s="384"/>
    </row>
    <row r="61" spans="1:22">
      <c r="F61" s="383"/>
    </row>
    <row r="62" spans="1:22">
      <c r="F62" s="383"/>
    </row>
  </sheetData>
  <mergeCells count="10">
    <mergeCell ref="A1:V1"/>
    <mergeCell ref="B20:F20"/>
    <mergeCell ref="B38:F38"/>
    <mergeCell ref="G38:N38"/>
    <mergeCell ref="O38:V38"/>
    <mergeCell ref="G20:N20"/>
    <mergeCell ref="O20:V20"/>
    <mergeCell ref="B2:F2"/>
    <mergeCell ref="G2:N2"/>
    <mergeCell ref="O2:V2"/>
  </mergeCells>
  <phoneticPr fontId="30" type="noConversion"/>
  <conditionalFormatting sqref="F4:F17">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2:F35">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40:F53">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7">
    <cfRule type="colorScale" priority="10">
      <colorScale>
        <cfvo type="percent" val="0"/>
        <cfvo type="percent" val="50"/>
        <cfvo type="percent" val="100"/>
        <color rgb="FFF8696B"/>
        <color rgb="FFFFEB84"/>
        <color rgb="FF63BE7B"/>
      </colorScale>
    </cfRule>
  </conditionalFormatting>
  <conditionalFormatting sqref="L22:L35 N22:N35">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40:L53">
    <cfRule type="colorScale" priority="49">
      <colorScale>
        <cfvo type="percent" val="0"/>
        <cfvo type="percent" val="50"/>
        <cfvo type="percent" val="100"/>
        <color rgb="FFF8696B"/>
        <color rgb="FFFFEB84"/>
        <color rgb="FF63BE7B"/>
      </colorScale>
    </cfRule>
  </conditionalFormatting>
  <conditionalFormatting sqref="L4:N17">
    <cfRule type="colorScale" priority="2">
      <colorScale>
        <cfvo type="percent" val="0"/>
        <cfvo type="percent" val="50"/>
        <cfvo type="percent" val="100"/>
        <color rgb="FFF8696B"/>
        <color rgb="FFFFEB84"/>
        <color rgb="FF63BE7B"/>
      </colorScale>
    </cfRule>
  </conditionalFormatting>
  <conditionalFormatting sqref="L22:N35">
    <cfRule type="colorScale" priority="23">
      <colorScale>
        <cfvo type="percent" val="0"/>
        <cfvo type="percentile" val="50"/>
        <cfvo type="percent" val="100"/>
        <color rgb="FFF8696B"/>
        <color rgb="FFFFEB84"/>
        <color rgb="FF63BE7B"/>
      </colorScale>
    </cfRule>
  </conditionalFormatting>
  <conditionalFormatting sqref="L40:N53">
    <cfRule type="colorScale" priority="21">
      <colorScale>
        <cfvo type="percent" val="0"/>
        <cfvo type="percent" val="50"/>
        <cfvo type="percent" val="100"/>
        <color rgb="FFF8696B"/>
        <color rgb="FFFFEB84"/>
        <color rgb="FF63BE7B"/>
      </colorScale>
    </cfRule>
  </conditionalFormatting>
  <conditionalFormatting sqref="M4:M17">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22:M35">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0:M53">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7">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40:N53">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7">
    <cfRule type="colorScale" priority="9">
      <colorScale>
        <cfvo type="percent" val="0"/>
        <cfvo type="percent" val="50"/>
        <cfvo type="percent" val="100"/>
        <color rgb="FFF8696B"/>
        <color rgb="FFFFEB84"/>
        <color rgb="FF63BE7B"/>
      </colorScale>
    </cfRule>
  </conditionalFormatting>
  <conditionalFormatting sqref="T22:T35 V22:V35">
    <cfRule type="colorScale" priority="50">
      <colorScale>
        <cfvo type="percent" val="0"/>
        <cfvo type="percent" val="50"/>
        <cfvo type="percent" val="100"/>
        <color rgb="FFF8696B"/>
        <color rgb="FFFFEB84"/>
        <color rgb="FF63BE7B"/>
      </colorScale>
    </cfRule>
  </conditionalFormatting>
  <conditionalFormatting sqref="T40:T53">
    <cfRule type="colorScale" priority="48">
      <colorScale>
        <cfvo type="percent" val="0"/>
        <cfvo type="percent" val="50"/>
        <cfvo type="percent" val="100"/>
        <color rgb="FFF8696B"/>
        <color rgb="FFFFEB84"/>
        <color rgb="FF63BE7B"/>
      </colorScale>
    </cfRule>
  </conditionalFormatting>
  <conditionalFormatting sqref="T4:V17">
    <cfRule type="colorScale" priority="1">
      <colorScale>
        <cfvo type="percent" val="0"/>
        <cfvo type="percent" val="50"/>
        <cfvo type="percent" val="100"/>
        <color rgb="FFF8696B"/>
        <color rgb="FFFFEB84"/>
        <color rgb="FF63BE7B"/>
      </colorScale>
    </cfRule>
  </conditionalFormatting>
  <conditionalFormatting sqref="T22:V35">
    <cfRule type="colorScale" priority="22">
      <colorScale>
        <cfvo type="percent" val="0"/>
        <cfvo type="percent" val="50"/>
        <cfvo type="percent" val="100"/>
        <color rgb="FFF8696B"/>
        <color rgb="FFFFEB84"/>
        <color rgb="FF63BE7B"/>
      </colorScale>
    </cfRule>
  </conditionalFormatting>
  <conditionalFormatting sqref="T40:V53">
    <cfRule type="colorScale" priority="20">
      <colorScale>
        <cfvo type="percent" val="0"/>
        <cfvo type="percent" val="50"/>
        <cfvo type="percent" val="100"/>
        <color rgb="FFF8696B"/>
        <color rgb="FFFFEB84"/>
        <color rgb="FF63BE7B"/>
      </colorScale>
    </cfRule>
  </conditionalFormatting>
  <conditionalFormatting sqref="U4:U17">
    <cfRule type="colorScale" priority="6">
      <colorScale>
        <cfvo type="percent" val="0"/>
        <cfvo type="percent" val="50"/>
        <cfvo type="percent" val="100"/>
        <color rgb="FFF8696B"/>
        <color rgb="FFFFEB84"/>
        <color rgb="FF63BE7B"/>
      </colorScale>
    </cfRule>
  </conditionalFormatting>
  <conditionalFormatting sqref="U22:U35">
    <cfRule type="colorScale" priority="40">
      <colorScale>
        <cfvo type="percent" val="0"/>
        <cfvo type="percent" val="50"/>
        <cfvo type="percent" val="100"/>
        <color rgb="FFF8696B"/>
        <color rgb="FFFFEB84"/>
        <color rgb="FF63BE7B"/>
      </colorScale>
    </cfRule>
  </conditionalFormatting>
  <conditionalFormatting sqref="U40:U53">
    <cfRule type="colorScale" priority="31">
      <colorScale>
        <cfvo type="percent" val="0"/>
        <cfvo type="percent" val="50"/>
        <cfvo type="percent" val="100"/>
        <color rgb="FFF8696B"/>
        <color rgb="FFFFEB84"/>
        <color rgb="FF63BE7B"/>
      </colorScale>
    </cfRule>
  </conditionalFormatting>
  <conditionalFormatting sqref="V4:V17">
    <cfRule type="colorScale" priority="3">
      <colorScale>
        <cfvo type="percent" val="0"/>
        <cfvo type="percent" val="50"/>
        <cfvo type="percent" val="100"/>
        <color rgb="FFF8696B"/>
        <color rgb="FFFFEB84"/>
        <color rgb="FF63BE7B"/>
      </colorScale>
    </cfRule>
  </conditionalFormatting>
  <conditionalFormatting sqref="V40:V53">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5982E-3296-49AA-BE1D-623902544B23}">
  <dimension ref="A1:I151"/>
  <sheetViews>
    <sheetView topLeftCell="A108" workbookViewId="0" xr3:uid="{BD50A7A9-1EE7-5162-967A-9FED4DF0A30A}">
      <selection activeCell="A143" sqref="A143"/>
    </sheetView>
  </sheetViews>
  <sheetFormatPr defaultRowHeight="14.45"/>
  <cols>
    <col min="1" max="1" width="16.85546875" bestFit="1" customWidth="1"/>
    <col min="2" max="2" width="108.8554687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74" t="s">
        <v>1030</v>
      </c>
      <c r="B1" s="675"/>
      <c r="C1" s="675"/>
      <c r="D1" s="675"/>
      <c r="E1" s="675"/>
      <c r="F1" s="675"/>
      <c r="G1" s="675"/>
      <c r="H1" s="675"/>
      <c r="I1" s="676"/>
    </row>
    <row r="2" spans="1:9" s="79" customFormat="1" ht="15" thickBot="1">
      <c r="A2" s="378" t="s">
        <v>77</v>
      </c>
      <c r="B2" s="379" t="s">
        <v>81</v>
      </c>
      <c r="C2" s="380" t="s">
        <v>96</v>
      </c>
      <c r="D2" s="380" t="s">
        <v>202</v>
      </c>
      <c r="E2" s="381" t="s">
        <v>1</v>
      </c>
    </row>
    <row r="3" spans="1:9" ht="15" thickBot="1">
      <c r="A3" s="321" t="s">
        <v>315</v>
      </c>
      <c r="B3" s="322" t="s">
        <v>316</v>
      </c>
      <c r="C3" s="473" t="s">
        <v>1031</v>
      </c>
      <c r="D3" s="473" t="s">
        <v>34</v>
      </c>
      <c r="E3" s="476" t="s">
        <v>33</v>
      </c>
      <c r="G3" s="288" t="s">
        <v>77</v>
      </c>
      <c r="H3" s="289" t="s">
        <v>1032</v>
      </c>
      <c r="I3" s="469">
        <f>COUNTA(A3:A3812)</f>
        <v>143</v>
      </c>
    </row>
    <row r="4" spans="1:9">
      <c r="A4" s="321" t="s">
        <v>326</v>
      </c>
      <c r="B4" s="322" t="s">
        <v>327</v>
      </c>
      <c r="C4" s="474" t="s">
        <v>1031</v>
      </c>
      <c r="D4" s="474" t="s">
        <v>34</v>
      </c>
      <c r="E4" s="477" t="s">
        <v>33</v>
      </c>
      <c r="G4" s="677" t="s">
        <v>96</v>
      </c>
      <c r="H4" s="290" t="s">
        <v>1033</v>
      </c>
      <c r="I4" s="470">
        <f>COUNTIFS($C3:$C3812,"P1")</f>
        <v>36</v>
      </c>
    </row>
    <row r="5" spans="1:9">
      <c r="A5" s="321" t="s">
        <v>331</v>
      </c>
      <c r="B5" s="322" t="s">
        <v>332</v>
      </c>
      <c r="C5" s="474" t="s">
        <v>1031</v>
      </c>
      <c r="D5" s="474" t="s">
        <v>34</v>
      </c>
      <c r="E5" s="477" t="s">
        <v>33</v>
      </c>
      <c r="G5" s="678"/>
      <c r="H5" s="291" t="s">
        <v>1034</v>
      </c>
      <c r="I5" s="471">
        <f>COUNTIFS($C3:$C3812,"P2")</f>
        <v>45</v>
      </c>
    </row>
    <row r="6" spans="1:9" ht="15" thickBot="1">
      <c r="A6" s="321" t="s">
        <v>335</v>
      </c>
      <c r="B6" s="322" t="s">
        <v>336</v>
      </c>
      <c r="C6" s="474" t="s">
        <v>1031</v>
      </c>
      <c r="D6" s="474" t="s">
        <v>34</v>
      </c>
      <c r="E6" s="477" t="s">
        <v>33</v>
      </c>
      <c r="G6" s="679"/>
      <c r="H6" s="292" t="s">
        <v>1035</v>
      </c>
      <c r="I6" s="472">
        <f>COUNTIFS($C3:$C3812,"P3")</f>
        <v>15</v>
      </c>
    </row>
    <row r="7" spans="1:9">
      <c r="A7" s="321" t="s">
        <v>341</v>
      </c>
      <c r="B7" s="322" t="s">
        <v>342</v>
      </c>
      <c r="C7" s="474" t="s">
        <v>1031</v>
      </c>
      <c r="D7" s="474" t="s">
        <v>34</v>
      </c>
      <c r="E7" s="477" t="s">
        <v>33</v>
      </c>
      <c r="G7" s="680" t="s">
        <v>202</v>
      </c>
      <c r="H7" s="290" t="s">
        <v>1036</v>
      </c>
      <c r="I7" s="470">
        <f>COUNTIFS($D3:$D3812,"Diagnostics")</f>
        <v>143</v>
      </c>
    </row>
    <row r="8" spans="1:9">
      <c r="A8" s="321" t="s">
        <v>345</v>
      </c>
      <c r="B8" s="322" t="s">
        <v>346</v>
      </c>
      <c r="C8" s="474" t="s">
        <v>1031</v>
      </c>
      <c r="D8" s="474" t="s">
        <v>34</v>
      </c>
      <c r="E8" s="477" t="s">
        <v>33</v>
      </c>
      <c r="G8" s="681"/>
      <c r="H8" s="291" t="s">
        <v>1037</v>
      </c>
      <c r="I8" s="471">
        <f>COUNTIFS($D3:$D3812,"Driver")</f>
        <v>0</v>
      </c>
    </row>
    <row r="9" spans="1:9">
      <c r="A9" s="321" t="s">
        <v>348</v>
      </c>
      <c r="B9" s="322" t="s">
        <v>349</v>
      </c>
      <c r="C9" s="474" t="s">
        <v>1031</v>
      </c>
      <c r="D9" s="474" t="s">
        <v>34</v>
      </c>
      <c r="E9" s="477" t="s">
        <v>33</v>
      </c>
      <c r="G9" s="681"/>
      <c r="H9" s="291" t="s">
        <v>1038</v>
      </c>
      <c r="I9" s="471">
        <f>COUNTIFS($D3:$D3812,"IPSE")</f>
        <v>0</v>
      </c>
    </row>
    <row r="10" spans="1:9" ht="15" thickBot="1">
      <c r="A10" s="321" t="s">
        <v>352</v>
      </c>
      <c r="B10" s="322" t="s">
        <v>353</v>
      </c>
      <c r="C10" s="474" t="s">
        <v>1031</v>
      </c>
      <c r="D10" s="474" t="s">
        <v>34</v>
      </c>
      <c r="E10" s="477" t="s">
        <v>33</v>
      </c>
      <c r="G10" s="682"/>
      <c r="H10" s="292" t="s">
        <v>1039</v>
      </c>
      <c r="I10" s="472">
        <f>COUNTIFS($D3:$D3812,"N/A")</f>
        <v>0</v>
      </c>
    </row>
    <row r="11" spans="1:9">
      <c r="A11" s="321" t="s">
        <v>355</v>
      </c>
      <c r="B11" s="322" t="s">
        <v>356</v>
      </c>
      <c r="C11" s="474" t="s">
        <v>1031</v>
      </c>
      <c r="D11" s="474" t="s">
        <v>34</v>
      </c>
      <c r="E11" s="477" t="s">
        <v>33</v>
      </c>
      <c r="G11" s="680" t="s">
        <v>1</v>
      </c>
      <c r="H11" s="290" t="s">
        <v>1040</v>
      </c>
      <c r="I11" s="470">
        <f>COUNTIFS($E3:$E3812,"Legacy")</f>
        <v>125</v>
      </c>
    </row>
    <row r="12" spans="1:9">
      <c r="A12" s="321" t="s">
        <v>359</v>
      </c>
      <c r="B12" s="322" t="s">
        <v>360</v>
      </c>
      <c r="C12" s="474" t="s">
        <v>1031</v>
      </c>
      <c r="D12" s="474" t="s">
        <v>34</v>
      </c>
      <c r="E12" s="477" t="s">
        <v>33</v>
      </c>
      <c r="G12" s="681"/>
      <c r="H12" s="291" t="s">
        <v>1041</v>
      </c>
      <c r="I12" s="471">
        <f>COUNTIFS($E3:$E3812,"Delta")</f>
        <v>17</v>
      </c>
    </row>
    <row r="13" spans="1:9" ht="15" thickBot="1">
      <c r="A13" s="321" t="s">
        <v>363</v>
      </c>
      <c r="B13" s="322" t="s">
        <v>364</v>
      </c>
      <c r="C13" s="474" t="s">
        <v>1031</v>
      </c>
      <c r="D13" s="474" t="s">
        <v>34</v>
      </c>
      <c r="E13" s="477" t="s">
        <v>33</v>
      </c>
      <c r="G13" s="682"/>
      <c r="H13" s="292" t="s">
        <v>1042</v>
      </c>
      <c r="I13" s="472">
        <f>COUNTIFS($E3:$E3812,"New")</f>
        <v>1</v>
      </c>
    </row>
    <row r="14" spans="1:9" ht="15" thickBot="1">
      <c r="A14" s="321" t="s">
        <v>366</v>
      </c>
      <c r="B14" s="322" t="s">
        <v>367</v>
      </c>
      <c r="C14" s="474" t="s">
        <v>1031</v>
      </c>
      <c r="D14" s="474" t="s">
        <v>34</v>
      </c>
      <c r="E14" s="477" t="s">
        <v>33</v>
      </c>
      <c r="G14" s="579"/>
      <c r="H14" s="292" t="s">
        <v>1042</v>
      </c>
      <c r="I14" s="472">
        <f>COUNTIFS($E4:$E3813,"New")</f>
        <v>1</v>
      </c>
    </row>
    <row r="15" spans="1:9" ht="15" thickBot="1">
      <c r="A15" s="321" t="s">
        <v>369</v>
      </c>
      <c r="B15" s="322" t="s">
        <v>370</v>
      </c>
      <c r="C15" s="474" t="s">
        <v>1031</v>
      </c>
      <c r="D15" s="474" t="s">
        <v>34</v>
      </c>
      <c r="E15" s="477" t="s">
        <v>33</v>
      </c>
      <c r="G15" s="382" t="s">
        <v>207</v>
      </c>
      <c r="H15" s="683"/>
      <c r="I15" s="684"/>
    </row>
    <row r="16" spans="1:9">
      <c r="A16" s="321" t="s">
        <v>374</v>
      </c>
      <c r="B16" s="322" t="s">
        <v>375</v>
      </c>
      <c r="C16" s="474" t="s">
        <v>259</v>
      </c>
      <c r="D16" s="474" t="s">
        <v>34</v>
      </c>
      <c r="E16" s="477" t="s">
        <v>33</v>
      </c>
    </row>
    <row r="17" spans="1:5">
      <c r="A17" s="321" t="s">
        <v>380</v>
      </c>
      <c r="B17" s="322" t="s">
        <v>381</v>
      </c>
      <c r="C17" s="474" t="s">
        <v>259</v>
      </c>
      <c r="D17" s="474" t="s">
        <v>34</v>
      </c>
      <c r="E17" s="477" t="s">
        <v>33</v>
      </c>
    </row>
    <row r="18" spans="1:5">
      <c r="A18" s="321" t="s">
        <v>383</v>
      </c>
      <c r="B18" s="322" t="s">
        <v>384</v>
      </c>
      <c r="C18" s="474" t="s">
        <v>259</v>
      </c>
      <c r="D18" s="474" t="s">
        <v>34</v>
      </c>
      <c r="E18" s="477" t="s">
        <v>33</v>
      </c>
    </row>
    <row r="19" spans="1:5">
      <c r="A19" s="321" t="s">
        <v>386</v>
      </c>
      <c r="B19" s="322" t="s">
        <v>387</v>
      </c>
      <c r="C19" s="474" t="s">
        <v>284</v>
      </c>
      <c r="D19" s="474" t="s">
        <v>34</v>
      </c>
      <c r="E19" s="477" t="s">
        <v>33</v>
      </c>
    </row>
    <row r="20" spans="1:5">
      <c r="A20" s="321" t="s">
        <v>391</v>
      </c>
      <c r="B20" s="322" t="s">
        <v>392</v>
      </c>
      <c r="C20" s="474" t="s">
        <v>1031</v>
      </c>
      <c r="D20" s="474" t="s">
        <v>34</v>
      </c>
      <c r="E20" s="477" t="s">
        <v>33</v>
      </c>
    </row>
    <row r="21" spans="1:5">
      <c r="A21" s="321" t="s">
        <v>396</v>
      </c>
      <c r="B21" s="322" t="s">
        <v>397</v>
      </c>
      <c r="C21" s="474" t="s">
        <v>1031</v>
      </c>
      <c r="D21" s="474" t="s">
        <v>34</v>
      </c>
      <c r="E21" s="477" t="s">
        <v>33</v>
      </c>
    </row>
    <row r="22" spans="1:5">
      <c r="A22" s="321" t="s">
        <v>403</v>
      </c>
      <c r="B22" s="322" t="s">
        <v>1043</v>
      </c>
      <c r="C22" s="474" t="s">
        <v>280</v>
      </c>
      <c r="D22" s="474" t="s">
        <v>34</v>
      </c>
      <c r="E22" s="477" t="s">
        <v>39</v>
      </c>
    </row>
    <row r="23" spans="1:5">
      <c r="A23" s="321" t="s">
        <v>408</v>
      </c>
      <c r="B23" s="322" t="s">
        <v>409</v>
      </c>
      <c r="C23" s="474" t="s">
        <v>1031</v>
      </c>
      <c r="D23" s="474" t="s">
        <v>34</v>
      </c>
      <c r="E23" s="477" t="s">
        <v>33</v>
      </c>
    </row>
    <row r="24" spans="1:5">
      <c r="A24" s="321" t="s">
        <v>413</v>
      </c>
      <c r="B24" s="322" t="s">
        <v>414</v>
      </c>
      <c r="C24" s="474" t="s">
        <v>1031</v>
      </c>
      <c r="D24" s="474" t="s">
        <v>34</v>
      </c>
      <c r="E24" s="477" t="s">
        <v>33</v>
      </c>
    </row>
    <row r="25" spans="1:5">
      <c r="A25" s="321" t="s">
        <v>418</v>
      </c>
      <c r="B25" s="322" t="s">
        <v>419</v>
      </c>
      <c r="C25" s="474" t="s">
        <v>280</v>
      </c>
      <c r="D25" s="474" t="s">
        <v>34</v>
      </c>
      <c r="E25" s="477" t="s">
        <v>33</v>
      </c>
    </row>
    <row r="26" spans="1:5">
      <c r="A26" s="321" t="s">
        <v>423</v>
      </c>
      <c r="B26" s="322" t="s">
        <v>424</v>
      </c>
      <c r="C26" s="474" t="s">
        <v>259</v>
      </c>
      <c r="D26" s="474" t="s">
        <v>34</v>
      </c>
      <c r="E26" s="477" t="s">
        <v>39</v>
      </c>
    </row>
    <row r="27" spans="1:5">
      <c r="A27" s="321" t="s">
        <v>429</v>
      </c>
      <c r="B27" s="322" t="s">
        <v>430</v>
      </c>
      <c r="C27" s="474" t="s">
        <v>1031</v>
      </c>
      <c r="D27" s="474" t="s">
        <v>34</v>
      </c>
      <c r="E27" s="477" t="s">
        <v>33</v>
      </c>
    </row>
    <row r="28" spans="1:5">
      <c r="A28" s="321" t="s">
        <v>436</v>
      </c>
      <c r="B28" s="322" t="s">
        <v>437</v>
      </c>
      <c r="C28" s="474" t="s">
        <v>1031</v>
      </c>
      <c r="D28" s="474" t="s">
        <v>34</v>
      </c>
      <c r="E28" s="477" t="s">
        <v>33</v>
      </c>
    </row>
    <row r="29" spans="1:5">
      <c r="A29" s="321" t="s">
        <v>441</v>
      </c>
      <c r="B29" s="322" t="s">
        <v>442</v>
      </c>
      <c r="C29" s="474" t="s">
        <v>259</v>
      </c>
      <c r="D29" s="474" t="s">
        <v>34</v>
      </c>
      <c r="E29" s="477" t="s">
        <v>33</v>
      </c>
    </row>
    <row r="30" spans="1:5">
      <c r="A30" s="321" t="s">
        <v>446</v>
      </c>
      <c r="B30" s="322" t="s">
        <v>447</v>
      </c>
      <c r="C30" s="474" t="s">
        <v>1031</v>
      </c>
      <c r="D30" s="474" t="s">
        <v>34</v>
      </c>
      <c r="E30" s="477" t="s">
        <v>33</v>
      </c>
    </row>
    <row r="31" spans="1:5">
      <c r="A31" s="321" t="s">
        <v>451</v>
      </c>
      <c r="B31" s="322" t="s">
        <v>452</v>
      </c>
      <c r="C31" s="474" t="s">
        <v>259</v>
      </c>
      <c r="D31" s="474" t="s">
        <v>34</v>
      </c>
      <c r="E31" s="477" t="s">
        <v>39</v>
      </c>
    </row>
    <row r="32" spans="1:5">
      <c r="A32" s="321" t="s">
        <v>459</v>
      </c>
      <c r="B32" s="322" t="s">
        <v>460</v>
      </c>
      <c r="C32" s="474" t="s">
        <v>284</v>
      </c>
      <c r="D32" s="474" t="s">
        <v>34</v>
      </c>
      <c r="E32" s="477" t="s">
        <v>39</v>
      </c>
    </row>
    <row r="33" spans="1:5">
      <c r="A33" s="321" t="s">
        <v>465</v>
      </c>
      <c r="B33" s="322" t="s">
        <v>466</v>
      </c>
      <c r="C33" s="474" t="s">
        <v>284</v>
      </c>
      <c r="D33" s="474" t="s">
        <v>34</v>
      </c>
      <c r="E33" s="477" t="s">
        <v>39</v>
      </c>
    </row>
    <row r="34" spans="1:5">
      <c r="A34" s="321" t="s">
        <v>470</v>
      </c>
      <c r="B34" s="322" t="s">
        <v>471</v>
      </c>
      <c r="C34" s="474" t="s">
        <v>1031</v>
      </c>
      <c r="D34" s="474" t="s">
        <v>34</v>
      </c>
      <c r="E34" s="477" t="s">
        <v>33</v>
      </c>
    </row>
    <row r="35" spans="1:5">
      <c r="A35" s="321" t="s">
        <v>475</v>
      </c>
      <c r="B35" s="322" t="s">
        <v>476</v>
      </c>
      <c r="C35" s="474" t="s">
        <v>1031</v>
      </c>
      <c r="D35" s="474" t="s">
        <v>34</v>
      </c>
      <c r="E35" s="477" t="s">
        <v>33</v>
      </c>
    </row>
    <row r="36" spans="1:5">
      <c r="A36" s="321" t="s">
        <v>480</v>
      </c>
      <c r="B36" s="411" t="s">
        <v>481</v>
      </c>
      <c r="C36" s="474" t="s">
        <v>259</v>
      </c>
      <c r="D36" s="474" t="s">
        <v>34</v>
      </c>
      <c r="E36" s="477" t="s">
        <v>33</v>
      </c>
    </row>
    <row r="37" spans="1:5">
      <c r="A37" s="321" t="s">
        <v>485</v>
      </c>
      <c r="B37" s="322" t="s">
        <v>486</v>
      </c>
      <c r="C37" s="474" t="s">
        <v>284</v>
      </c>
      <c r="D37" s="474" t="s">
        <v>34</v>
      </c>
      <c r="E37" s="477" t="s">
        <v>39</v>
      </c>
    </row>
    <row r="38" spans="1:5">
      <c r="A38" s="321" t="s">
        <v>490</v>
      </c>
      <c r="B38" s="322" t="s">
        <v>491</v>
      </c>
      <c r="C38" s="474" t="s">
        <v>1031</v>
      </c>
      <c r="D38" s="474" t="s">
        <v>34</v>
      </c>
      <c r="E38" s="477" t="s">
        <v>33</v>
      </c>
    </row>
    <row r="39" spans="1:5">
      <c r="A39" s="321" t="s">
        <v>495</v>
      </c>
      <c r="B39" s="322" t="s">
        <v>496</v>
      </c>
      <c r="C39" s="474" t="s">
        <v>1031</v>
      </c>
      <c r="D39" s="474" t="s">
        <v>34</v>
      </c>
      <c r="E39" s="477" t="s">
        <v>33</v>
      </c>
    </row>
    <row r="40" spans="1:5">
      <c r="A40" s="321" t="s">
        <v>501</v>
      </c>
      <c r="B40" s="322" t="s">
        <v>502</v>
      </c>
      <c r="C40" s="474" t="s">
        <v>259</v>
      </c>
      <c r="D40" s="474" t="s">
        <v>34</v>
      </c>
      <c r="E40" s="477" t="s">
        <v>33</v>
      </c>
    </row>
    <row r="41" spans="1:5">
      <c r="A41" s="321" t="s">
        <v>510</v>
      </c>
      <c r="B41" s="322" t="s">
        <v>511</v>
      </c>
      <c r="C41" s="474" t="s">
        <v>1031</v>
      </c>
      <c r="D41" s="474" t="s">
        <v>34</v>
      </c>
      <c r="E41" s="477" t="s">
        <v>33</v>
      </c>
    </row>
    <row r="42" spans="1:5">
      <c r="A42" s="321" t="s">
        <v>516</v>
      </c>
      <c r="B42" s="322" t="s">
        <v>517</v>
      </c>
      <c r="C42" s="474" t="s">
        <v>284</v>
      </c>
      <c r="D42" s="474" t="s">
        <v>34</v>
      </c>
      <c r="E42" s="477" t="s">
        <v>33</v>
      </c>
    </row>
    <row r="43" spans="1:5">
      <c r="A43" s="321" t="s">
        <v>522</v>
      </c>
      <c r="B43" s="322" t="s">
        <v>523</v>
      </c>
      <c r="C43" s="474" t="s">
        <v>1031</v>
      </c>
      <c r="D43" s="474" t="s">
        <v>34</v>
      </c>
      <c r="E43" s="477" t="s">
        <v>33</v>
      </c>
    </row>
    <row r="44" spans="1:5">
      <c r="A44" s="321" t="s">
        <v>527</v>
      </c>
      <c r="B44" s="322" t="s">
        <v>528</v>
      </c>
      <c r="C44" s="474" t="s">
        <v>1031</v>
      </c>
      <c r="D44" s="474" t="s">
        <v>34</v>
      </c>
      <c r="E44" s="477" t="s">
        <v>33</v>
      </c>
    </row>
    <row r="45" spans="1:5">
      <c r="A45" s="321" t="s">
        <v>532</v>
      </c>
      <c r="B45" s="322" t="s">
        <v>533</v>
      </c>
      <c r="C45" s="474" t="s">
        <v>1031</v>
      </c>
      <c r="D45" s="474" t="s">
        <v>34</v>
      </c>
      <c r="E45" s="474" t="s">
        <v>33</v>
      </c>
    </row>
    <row r="46" spans="1:5">
      <c r="A46" s="321" t="s">
        <v>537</v>
      </c>
      <c r="B46" s="322" t="s">
        <v>538</v>
      </c>
      <c r="C46" s="474" t="s">
        <v>259</v>
      </c>
      <c r="D46" s="474" t="s">
        <v>34</v>
      </c>
      <c r="E46" s="477" t="s">
        <v>33</v>
      </c>
    </row>
    <row r="47" spans="1:5">
      <c r="A47" s="321" t="s">
        <v>543</v>
      </c>
      <c r="B47" s="322" t="s">
        <v>544</v>
      </c>
      <c r="C47" s="474" t="s">
        <v>1031</v>
      </c>
      <c r="D47" s="474" t="s">
        <v>34</v>
      </c>
      <c r="E47" s="477" t="s">
        <v>33</v>
      </c>
    </row>
    <row r="48" spans="1:5">
      <c r="A48" s="321" t="s">
        <v>548</v>
      </c>
      <c r="B48" s="322" t="s">
        <v>549</v>
      </c>
      <c r="C48" s="474" t="s">
        <v>1031</v>
      </c>
      <c r="D48" s="474" t="s">
        <v>34</v>
      </c>
      <c r="E48" s="477" t="s">
        <v>33</v>
      </c>
    </row>
    <row r="49" spans="1:5">
      <c r="A49" s="321" t="s">
        <v>553</v>
      </c>
      <c r="B49" s="322" t="s">
        <v>554</v>
      </c>
      <c r="C49" s="474" t="s">
        <v>1031</v>
      </c>
      <c r="D49" s="474" t="s">
        <v>34</v>
      </c>
      <c r="E49" s="477" t="s">
        <v>39</v>
      </c>
    </row>
    <row r="50" spans="1:5">
      <c r="A50" s="321" t="s">
        <v>559</v>
      </c>
      <c r="B50" s="322" t="s">
        <v>560</v>
      </c>
      <c r="C50" s="474" t="s">
        <v>1031</v>
      </c>
      <c r="D50" s="474" t="s">
        <v>34</v>
      </c>
      <c r="E50" s="477" t="s">
        <v>39</v>
      </c>
    </row>
    <row r="51" spans="1:5">
      <c r="A51" s="321" t="s">
        <v>564</v>
      </c>
      <c r="B51" s="322" t="s">
        <v>565</v>
      </c>
      <c r="C51" s="474" t="s">
        <v>1031</v>
      </c>
      <c r="D51" s="474" t="s">
        <v>34</v>
      </c>
      <c r="E51" s="477" t="s">
        <v>33</v>
      </c>
    </row>
    <row r="52" spans="1:5">
      <c r="A52" s="321" t="s">
        <v>572</v>
      </c>
      <c r="B52" s="322" t="s">
        <v>573</v>
      </c>
      <c r="C52" s="474" t="s">
        <v>259</v>
      </c>
      <c r="D52" s="474" t="s">
        <v>34</v>
      </c>
      <c r="E52" s="477" t="s">
        <v>39</v>
      </c>
    </row>
    <row r="53" spans="1:5">
      <c r="A53" s="321" t="s">
        <v>577</v>
      </c>
      <c r="B53" s="322" t="s">
        <v>578</v>
      </c>
      <c r="C53" s="474" t="s">
        <v>284</v>
      </c>
      <c r="D53" s="474" t="s">
        <v>34</v>
      </c>
      <c r="E53" s="477" t="s">
        <v>33</v>
      </c>
    </row>
    <row r="54" spans="1:5">
      <c r="A54" s="321" t="s">
        <v>582</v>
      </c>
      <c r="B54" s="322" t="s">
        <v>583</v>
      </c>
      <c r="C54" s="474" t="s">
        <v>259</v>
      </c>
      <c r="D54" s="474" t="s">
        <v>34</v>
      </c>
      <c r="E54" s="477" t="s">
        <v>33</v>
      </c>
    </row>
    <row r="55" spans="1:5">
      <c r="A55" s="321" t="s">
        <v>587</v>
      </c>
      <c r="B55" s="322" t="s">
        <v>588</v>
      </c>
      <c r="C55" s="474" t="s">
        <v>1031</v>
      </c>
      <c r="D55" s="474" t="s">
        <v>34</v>
      </c>
      <c r="E55" s="477" t="s">
        <v>33</v>
      </c>
    </row>
    <row r="56" spans="1:5">
      <c r="A56" s="321" t="s">
        <v>595</v>
      </c>
      <c r="B56" s="322" t="s">
        <v>596</v>
      </c>
      <c r="C56" s="474" t="s">
        <v>1031</v>
      </c>
      <c r="D56" s="474" t="s">
        <v>34</v>
      </c>
      <c r="E56" s="477" t="s">
        <v>33</v>
      </c>
    </row>
    <row r="57" spans="1:5">
      <c r="A57" s="321" t="s">
        <v>598</v>
      </c>
      <c r="B57" s="322" t="s">
        <v>599</v>
      </c>
      <c r="C57" s="474" t="s">
        <v>1031</v>
      </c>
      <c r="D57" s="474" t="s">
        <v>34</v>
      </c>
      <c r="E57" s="477" t="s">
        <v>33</v>
      </c>
    </row>
    <row r="58" spans="1:5">
      <c r="A58" s="321" t="s">
        <v>601</v>
      </c>
      <c r="B58" s="322" t="s">
        <v>602</v>
      </c>
      <c r="C58" s="474" t="s">
        <v>259</v>
      </c>
      <c r="D58" s="474" t="s">
        <v>34</v>
      </c>
      <c r="E58" s="474" t="s">
        <v>39</v>
      </c>
    </row>
    <row r="59" spans="1:5">
      <c r="A59" s="321" t="s">
        <v>606</v>
      </c>
      <c r="B59" s="322" t="s">
        <v>607</v>
      </c>
      <c r="C59" s="474" t="s">
        <v>284</v>
      </c>
      <c r="D59" s="474" t="s">
        <v>34</v>
      </c>
      <c r="E59" s="477" t="s">
        <v>39</v>
      </c>
    </row>
    <row r="60" spans="1:5">
      <c r="A60" s="321" t="s">
        <v>613</v>
      </c>
      <c r="B60" s="322" t="s">
        <v>614</v>
      </c>
      <c r="C60" s="474" t="s">
        <v>1031</v>
      </c>
      <c r="D60" s="474" t="s">
        <v>34</v>
      </c>
      <c r="E60" s="477" t="s">
        <v>33</v>
      </c>
    </row>
    <row r="61" spans="1:5">
      <c r="A61" s="321" t="s">
        <v>616</v>
      </c>
      <c r="B61" s="322" t="s">
        <v>1044</v>
      </c>
      <c r="C61" s="474" t="s">
        <v>1031</v>
      </c>
      <c r="D61" s="474" t="s">
        <v>34</v>
      </c>
      <c r="E61" s="477" t="s">
        <v>33</v>
      </c>
    </row>
    <row r="62" spans="1:5">
      <c r="A62" s="321" t="s">
        <v>621</v>
      </c>
      <c r="B62" s="322" t="s">
        <v>622</v>
      </c>
      <c r="C62" s="474" t="s">
        <v>1031</v>
      </c>
      <c r="D62" s="474" t="s">
        <v>34</v>
      </c>
      <c r="E62" s="477" t="s">
        <v>44</v>
      </c>
    </row>
    <row r="63" spans="1:5">
      <c r="A63" s="321" t="s">
        <v>626</v>
      </c>
      <c r="B63" s="322" t="s">
        <v>627</v>
      </c>
      <c r="C63" s="474" t="s">
        <v>284</v>
      </c>
      <c r="D63" s="474" t="s">
        <v>34</v>
      </c>
      <c r="E63" s="477" t="s">
        <v>33</v>
      </c>
    </row>
    <row r="64" spans="1:5">
      <c r="A64" s="321" t="s">
        <v>634</v>
      </c>
      <c r="B64" s="322" t="s">
        <v>635</v>
      </c>
      <c r="C64" s="474" t="s">
        <v>284</v>
      </c>
      <c r="D64" s="474" t="s">
        <v>34</v>
      </c>
      <c r="E64" s="477" t="s">
        <v>33</v>
      </c>
    </row>
    <row r="65" spans="1:5">
      <c r="A65" s="321" t="s">
        <v>640</v>
      </c>
      <c r="B65" s="322" t="s">
        <v>641</v>
      </c>
      <c r="C65" s="474" t="s">
        <v>280</v>
      </c>
      <c r="D65" s="474" t="s">
        <v>34</v>
      </c>
      <c r="E65" s="477" t="s">
        <v>33</v>
      </c>
    </row>
    <row r="66" spans="1:5">
      <c r="A66" s="321" t="s">
        <v>645</v>
      </c>
      <c r="B66" s="322" t="s">
        <v>646</v>
      </c>
      <c r="C66" s="474" t="s">
        <v>259</v>
      </c>
      <c r="D66" s="474" t="s">
        <v>34</v>
      </c>
      <c r="E66" s="477" t="s">
        <v>33</v>
      </c>
    </row>
    <row r="67" spans="1:5">
      <c r="A67" s="321" t="s">
        <v>652</v>
      </c>
      <c r="B67" s="322" t="s">
        <v>653</v>
      </c>
      <c r="C67" s="474" t="s">
        <v>284</v>
      </c>
      <c r="D67" s="474" t="s">
        <v>34</v>
      </c>
      <c r="E67" s="477" t="s">
        <v>33</v>
      </c>
    </row>
    <row r="68" spans="1:5">
      <c r="A68" s="322" t="s">
        <v>655</v>
      </c>
      <c r="B68" s="322" t="s">
        <v>656</v>
      </c>
      <c r="C68" s="474" t="s">
        <v>259</v>
      </c>
      <c r="D68" s="474" t="s">
        <v>34</v>
      </c>
      <c r="E68" s="477" t="s">
        <v>33</v>
      </c>
    </row>
    <row r="69" spans="1:5">
      <c r="A69" s="321" t="s">
        <v>659</v>
      </c>
      <c r="B69" s="322" t="s">
        <v>660</v>
      </c>
      <c r="C69" s="474" t="s">
        <v>1031</v>
      </c>
      <c r="D69" s="474" t="s">
        <v>34</v>
      </c>
      <c r="E69" s="477" t="s">
        <v>33</v>
      </c>
    </row>
    <row r="70" spans="1:5">
      <c r="A70" s="321" t="s">
        <v>664</v>
      </c>
      <c r="B70" s="322" t="s">
        <v>665</v>
      </c>
      <c r="C70" s="474" t="s">
        <v>284</v>
      </c>
      <c r="D70" s="474" t="s">
        <v>34</v>
      </c>
      <c r="E70" s="477" t="s">
        <v>33</v>
      </c>
    </row>
    <row r="71" spans="1:5">
      <c r="A71" s="321" t="s">
        <v>670</v>
      </c>
      <c r="B71" s="322" t="s">
        <v>671</v>
      </c>
      <c r="C71" s="474" t="s">
        <v>259</v>
      </c>
      <c r="D71" s="474" t="s">
        <v>34</v>
      </c>
      <c r="E71" s="477" t="s">
        <v>33</v>
      </c>
    </row>
    <row r="72" spans="1:5">
      <c r="A72" s="321" t="s">
        <v>676</v>
      </c>
      <c r="B72" s="322" t="s">
        <v>671</v>
      </c>
      <c r="C72" s="474" t="s">
        <v>259</v>
      </c>
      <c r="D72" s="474" t="s">
        <v>34</v>
      </c>
      <c r="E72" s="477" t="s">
        <v>33</v>
      </c>
    </row>
    <row r="73" spans="1:5">
      <c r="A73" s="321" t="s">
        <v>680</v>
      </c>
      <c r="B73" s="322" t="s">
        <v>1045</v>
      </c>
      <c r="C73" s="474" t="s">
        <v>280</v>
      </c>
      <c r="D73" s="474" t="s">
        <v>34</v>
      </c>
      <c r="E73" s="477" t="s">
        <v>39</v>
      </c>
    </row>
    <row r="74" spans="1:5">
      <c r="A74" s="321" t="s">
        <v>685</v>
      </c>
      <c r="B74" s="322" t="s">
        <v>686</v>
      </c>
      <c r="C74" s="474" t="s">
        <v>284</v>
      </c>
      <c r="D74" s="474" t="s">
        <v>34</v>
      </c>
      <c r="E74" s="477" t="s">
        <v>39</v>
      </c>
    </row>
    <row r="75" spans="1:5">
      <c r="A75" s="321" t="s">
        <v>691</v>
      </c>
      <c r="B75" s="322" t="s">
        <v>692</v>
      </c>
      <c r="C75" s="474" t="s">
        <v>284</v>
      </c>
      <c r="D75" s="474" t="s">
        <v>34</v>
      </c>
      <c r="E75" s="477" t="s">
        <v>39</v>
      </c>
    </row>
    <row r="76" spans="1:5">
      <c r="A76" s="321" t="s">
        <v>696</v>
      </c>
      <c r="B76" s="322" t="s">
        <v>697</v>
      </c>
      <c r="C76" s="474" t="s">
        <v>284</v>
      </c>
      <c r="D76" s="474" t="s">
        <v>34</v>
      </c>
      <c r="E76" s="477" t="s">
        <v>39</v>
      </c>
    </row>
    <row r="77" spans="1:5">
      <c r="A77" s="321" t="s">
        <v>699</v>
      </c>
      <c r="B77" s="322" t="s">
        <v>700</v>
      </c>
      <c r="C77" s="474" t="s">
        <v>1031</v>
      </c>
      <c r="D77" s="474" t="s">
        <v>34</v>
      </c>
      <c r="E77" s="477" t="s">
        <v>33</v>
      </c>
    </row>
    <row r="78" spans="1:5">
      <c r="A78" s="321" t="s">
        <v>704</v>
      </c>
      <c r="B78" s="322" t="s">
        <v>1046</v>
      </c>
      <c r="C78" s="474" t="s">
        <v>1031</v>
      </c>
      <c r="D78" s="474" t="s">
        <v>34</v>
      </c>
      <c r="E78" s="477" t="s">
        <v>33</v>
      </c>
    </row>
    <row r="79" spans="1:5">
      <c r="A79" s="321" t="s">
        <v>709</v>
      </c>
      <c r="B79" s="322" t="s">
        <v>710</v>
      </c>
      <c r="C79" s="474" t="s">
        <v>284</v>
      </c>
      <c r="D79" s="474" t="s">
        <v>34</v>
      </c>
      <c r="E79" s="477" t="s">
        <v>39</v>
      </c>
    </row>
    <row r="80" spans="1:5">
      <c r="A80" s="321" t="s">
        <v>715</v>
      </c>
      <c r="B80" s="322" t="s">
        <v>716</v>
      </c>
      <c r="C80" s="474" t="s">
        <v>1031</v>
      </c>
      <c r="D80" s="474" t="s">
        <v>34</v>
      </c>
      <c r="E80" s="477" t="s">
        <v>33</v>
      </c>
    </row>
    <row r="81" spans="1:5">
      <c r="A81" s="321" t="s">
        <v>721</v>
      </c>
      <c r="B81" s="322" t="s">
        <v>722</v>
      </c>
      <c r="C81" s="474" t="s">
        <v>1031</v>
      </c>
      <c r="D81" s="474" t="s">
        <v>34</v>
      </c>
      <c r="E81" s="477" t="s">
        <v>33</v>
      </c>
    </row>
    <row r="82" spans="1:5">
      <c r="A82" s="321" t="s">
        <v>730</v>
      </c>
      <c r="B82" s="322" t="s">
        <v>1047</v>
      </c>
      <c r="C82" s="474" t="s">
        <v>1031</v>
      </c>
      <c r="D82" s="474" t="s">
        <v>34</v>
      </c>
      <c r="E82" s="477" t="s">
        <v>39</v>
      </c>
    </row>
    <row r="83" spans="1:5">
      <c r="A83" s="321" t="s">
        <v>735</v>
      </c>
      <c r="B83" s="322" t="s">
        <v>736</v>
      </c>
      <c r="C83" s="474" t="s">
        <v>1031</v>
      </c>
      <c r="D83" s="474" t="s">
        <v>34</v>
      </c>
      <c r="E83" s="477" t="s">
        <v>33</v>
      </c>
    </row>
    <row r="84" spans="1:5">
      <c r="A84" s="321" t="s">
        <v>741</v>
      </c>
      <c r="B84" s="322" t="s">
        <v>742</v>
      </c>
      <c r="C84" s="474" t="s">
        <v>259</v>
      </c>
      <c r="D84" s="474" t="s">
        <v>34</v>
      </c>
      <c r="E84" s="477" t="s">
        <v>33</v>
      </c>
    </row>
    <row r="85" spans="1:5">
      <c r="A85" s="321" t="s">
        <v>746</v>
      </c>
      <c r="B85" s="322" t="s">
        <v>747</v>
      </c>
      <c r="C85" s="474" t="s">
        <v>259</v>
      </c>
      <c r="D85" s="474" t="s">
        <v>34</v>
      </c>
      <c r="E85" s="477" t="s">
        <v>33</v>
      </c>
    </row>
    <row r="86" spans="1:5">
      <c r="A86" s="321" t="s">
        <v>753</v>
      </c>
      <c r="B86" s="322" t="s">
        <v>754</v>
      </c>
      <c r="C86" s="474" t="s">
        <v>280</v>
      </c>
      <c r="D86" s="474" t="s">
        <v>34</v>
      </c>
      <c r="E86" s="477" t="s">
        <v>33</v>
      </c>
    </row>
    <row r="87" spans="1:5" ht="15" thickBot="1">
      <c r="A87" s="321" t="s">
        <v>759</v>
      </c>
      <c r="B87" s="322" t="s">
        <v>760</v>
      </c>
      <c r="C87" s="475" t="s">
        <v>259</v>
      </c>
      <c r="D87" s="475" t="s">
        <v>34</v>
      </c>
      <c r="E87" s="477" t="s">
        <v>33</v>
      </c>
    </row>
    <row r="88" spans="1:5" ht="15" thickBot="1">
      <c r="A88" s="321" t="s">
        <v>765</v>
      </c>
      <c r="B88" s="322" t="s">
        <v>766</v>
      </c>
      <c r="C88" s="474" t="s">
        <v>259</v>
      </c>
      <c r="D88" s="475" t="s">
        <v>34</v>
      </c>
      <c r="E88" s="477" t="s">
        <v>33</v>
      </c>
    </row>
    <row r="89" spans="1:5" ht="15" thickBot="1">
      <c r="A89" s="321" t="s">
        <v>771</v>
      </c>
      <c r="B89" s="322" t="s">
        <v>772</v>
      </c>
      <c r="C89" s="474" t="s">
        <v>280</v>
      </c>
      <c r="D89" s="475" t="s">
        <v>34</v>
      </c>
      <c r="E89" s="477" t="s">
        <v>33</v>
      </c>
    </row>
    <row r="90" spans="1:5" ht="15" thickBot="1">
      <c r="A90" s="321" t="s">
        <v>777</v>
      </c>
      <c r="B90" s="322" t="s">
        <v>778</v>
      </c>
      <c r="C90" s="474" t="s">
        <v>280</v>
      </c>
      <c r="D90" s="475" t="s">
        <v>34</v>
      </c>
      <c r="E90" s="477" t="s">
        <v>33</v>
      </c>
    </row>
    <row r="91" spans="1:5" ht="15" thickBot="1">
      <c r="A91" s="321" t="s">
        <v>783</v>
      </c>
      <c r="B91" s="322" t="s">
        <v>784</v>
      </c>
      <c r="C91" s="474" t="s">
        <v>280</v>
      </c>
      <c r="D91" s="475" t="s">
        <v>34</v>
      </c>
      <c r="E91" s="477" t="s">
        <v>33</v>
      </c>
    </row>
    <row r="92" spans="1:5" ht="15" thickBot="1">
      <c r="A92" s="321" t="s">
        <v>789</v>
      </c>
      <c r="B92" s="322" t="s">
        <v>790</v>
      </c>
      <c r="C92" s="474" t="s">
        <v>280</v>
      </c>
      <c r="D92" s="475" t="s">
        <v>34</v>
      </c>
      <c r="E92" s="477" t="s">
        <v>33</v>
      </c>
    </row>
    <row r="93" spans="1:5" ht="15" thickBot="1">
      <c r="A93" s="321" t="s">
        <v>795</v>
      </c>
      <c r="B93" s="322" t="s">
        <v>796</v>
      </c>
      <c r="C93" s="474" t="s">
        <v>259</v>
      </c>
      <c r="D93" s="475" t="s">
        <v>34</v>
      </c>
      <c r="E93" s="477" t="s">
        <v>33</v>
      </c>
    </row>
    <row r="94" spans="1:5" ht="15" thickBot="1">
      <c r="A94" s="321" t="s">
        <v>801</v>
      </c>
      <c r="B94" s="322" t="s">
        <v>802</v>
      </c>
      <c r="C94" s="474" t="s">
        <v>280</v>
      </c>
      <c r="D94" s="475" t="s">
        <v>34</v>
      </c>
      <c r="E94" s="477" t="s">
        <v>33</v>
      </c>
    </row>
    <row r="95" spans="1:5" ht="15" thickBot="1">
      <c r="A95" s="321" t="s">
        <v>806</v>
      </c>
      <c r="B95" s="322" t="s">
        <v>807</v>
      </c>
      <c r="C95" s="474" t="s">
        <v>280</v>
      </c>
      <c r="D95" s="475" t="s">
        <v>34</v>
      </c>
      <c r="E95" s="477" t="s">
        <v>33</v>
      </c>
    </row>
    <row r="96" spans="1:5" ht="15" thickBot="1">
      <c r="A96" s="321" t="s">
        <v>812</v>
      </c>
      <c r="B96" s="322" t="s">
        <v>813</v>
      </c>
      <c r="C96" s="474" t="s">
        <v>280</v>
      </c>
      <c r="D96" s="475" t="s">
        <v>34</v>
      </c>
      <c r="E96" s="477" t="s">
        <v>33</v>
      </c>
    </row>
    <row r="97" spans="1:5" ht="15" thickBot="1">
      <c r="A97" s="321" t="s">
        <v>818</v>
      </c>
      <c r="B97" s="322" t="s">
        <v>819</v>
      </c>
      <c r="C97" s="474" t="s">
        <v>280</v>
      </c>
      <c r="D97" s="475" t="s">
        <v>34</v>
      </c>
      <c r="E97" s="477" t="s">
        <v>33</v>
      </c>
    </row>
    <row r="98" spans="1:5" ht="15" thickBot="1">
      <c r="A98" s="321" t="s">
        <v>823</v>
      </c>
      <c r="B98" s="322" t="s">
        <v>824</v>
      </c>
      <c r="C98" s="474" t="s">
        <v>259</v>
      </c>
      <c r="D98" s="475" t="s">
        <v>34</v>
      </c>
      <c r="E98" s="477" t="s">
        <v>33</v>
      </c>
    </row>
    <row r="99" spans="1:5" ht="15" thickBot="1">
      <c r="A99" s="321" t="s">
        <v>829</v>
      </c>
      <c r="B99" s="322" t="s">
        <v>830</v>
      </c>
      <c r="C99" s="474" t="s">
        <v>259</v>
      </c>
      <c r="D99" s="475" t="s">
        <v>34</v>
      </c>
      <c r="E99" s="477" t="s">
        <v>33</v>
      </c>
    </row>
    <row r="100" spans="1:5" ht="15" thickBot="1">
      <c r="A100" s="321" t="s">
        <v>835</v>
      </c>
      <c r="B100" s="322" t="s">
        <v>836</v>
      </c>
      <c r="C100" s="474" t="s">
        <v>280</v>
      </c>
      <c r="D100" s="475" t="s">
        <v>34</v>
      </c>
      <c r="E100" s="477" t="s">
        <v>33</v>
      </c>
    </row>
    <row r="101" spans="1:5" ht="15" thickBot="1">
      <c r="A101" s="321" t="s">
        <v>840</v>
      </c>
      <c r="B101" s="322" t="s">
        <v>841</v>
      </c>
      <c r="C101" s="474" t="s">
        <v>280</v>
      </c>
      <c r="D101" s="475" t="s">
        <v>34</v>
      </c>
      <c r="E101" s="477" t="s">
        <v>33</v>
      </c>
    </row>
    <row r="102" spans="1:5" ht="15" thickBot="1">
      <c r="A102" s="321" t="s">
        <v>847</v>
      </c>
      <c r="B102" s="322" t="s">
        <v>848</v>
      </c>
      <c r="C102" s="474" t="s">
        <v>259</v>
      </c>
      <c r="D102" s="475" t="s">
        <v>34</v>
      </c>
      <c r="E102" s="477" t="s">
        <v>33</v>
      </c>
    </row>
    <row r="103" spans="1:5" ht="15" thickBot="1">
      <c r="A103" s="321" t="s">
        <v>853</v>
      </c>
      <c r="B103" s="322" t="s">
        <v>854</v>
      </c>
      <c r="C103" s="474" t="s">
        <v>259</v>
      </c>
      <c r="D103" s="475" t="s">
        <v>34</v>
      </c>
      <c r="E103" s="477" t="s">
        <v>33</v>
      </c>
    </row>
    <row r="104" spans="1:5" ht="15" thickBot="1">
      <c r="A104" s="321" t="s">
        <v>859</v>
      </c>
      <c r="B104" s="322" t="s">
        <v>860</v>
      </c>
      <c r="C104" s="474" t="s">
        <v>259</v>
      </c>
      <c r="D104" s="475" t="s">
        <v>34</v>
      </c>
      <c r="E104" s="477" t="s">
        <v>33</v>
      </c>
    </row>
    <row r="105" spans="1:5" ht="15" thickBot="1">
      <c r="A105" s="321" t="s">
        <v>865</v>
      </c>
      <c r="B105" s="322" t="s">
        <v>866</v>
      </c>
      <c r="C105" s="474" t="s">
        <v>259</v>
      </c>
      <c r="D105" s="475" t="s">
        <v>34</v>
      </c>
      <c r="E105" s="477" t="s">
        <v>33</v>
      </c>
    </row>
    <row r="106" spans="1:5" ht="15" thickBot="1">
      <c r="A106" s="321" t="s">
        <v>871</v>
      </c>
      <c r="B106" s="322" t="s">
        <v>872</v>
      </c>
      <c r="C106" s="474" t="s">
        <v>280</v>
      </c>
      <c r="D106" s="475" t="s">
        <v>34</v>
      </c>
      <c r="E106" s="477" t="s">
        <v>33</v>
      </c>
    </row>
    <row r="107" spans="1:5" ht="15" thickBot="1">
      <c r="A107" s="321" t="s">
        <v>877</v>
      </c>
      <c r="B107" s="322" t="s">
        <v>878</v>
      </c>
      <c r="C107" s="474" t="s">
        <v>280</v>
      </c>
      <c r="D107" s="475" t="s">
        <v>34</v>
      </c>
      <c r="E107" s="477" t="s">
        <v>33</v>
      </c>
    </row>
    <row r="108" spans="1:5" ht="15" thickBot="1">
      <c r="A108" s="321" t="s">
        <v>883</v>
      </c>
      <c r="B108" s="322" t="s">
        <v>884</v>
      </c>
      <c r="C108" s="474" t="s">
        <v>280</v>
      </c>
      <c r="D108" s="475" t="s">
        <v>34</v>
      </c>
      <c r="E108" s="477" t="s">
        <v>33</v>
      </c>
    </row>
    <row r="109" spans="1:5" ht="15" thickBot="1">
      <c r="A109" s="321" t="s">
        <v>889</v>
      </c>
      <c r="B109" s="322" t="s">
        <v>890</v>
      </c>
      <c r="C109" s="474" t="s">
        <v>280</v>
      </c>
      <c r="D109" s="475" t="s">
        <v>34</v>
      </c>
      <c r="E109" s="477" t="s">
        <v>33</v>
      </c>
    </row>
    <row r="110" spans="1:5" ht="15" thickBot="1">
      <c r="A110" s="321" t="s">
        <v>893</v>
      </c>
      <c r="B110" s="322" t="s">
        <v>894</v>
      </c>
      <c r="C110" s="474" t="s">
        <v>280</v>
      </c>
      <c r="D110" s="475" t="s">
        <v>34</v>
      </c>
      <c r="E110" s="477" t="s">
        <v>33</v>
      </c>
    </row>
    <row r="111" spans="1:5" ht="15" thickBot="1">
      <c r="A111" s="321" t="s">
        <v>899</v>
      </c>
      <c r="B111" s="322" t="s">
        <v>900</v>
      </c>
      <c r="C111" s="474" t="s">
        <v>280</v>
      </c>
      <c r="D111" s="475" t="s">
        <v>34</v>
      </c>
      <c r="E111" s="477" t="s">
        <v>33</v>
      </c>
    </row>
    <row r="112" spans="1:5" ht="15" thickBot="1">
      <c r="A112" s="321" t="s">
        <v>905</v>
      </c>
      <c r="B112" s="322" t="s">
        <v>906</v>
      </c>
      <c r="C112" s="474" t="s">
        <v>280</v>
      </c>
      <c r="D112" s="475" t="s">
        <v>34</v>
      </c>
      <c r="E112" s="477" t="s">
        <v>33</v>
      </c>
    </row>
    <row r="113" spans="1:5" ht="15" thickBot="1">
      <c r="A113" s="321" t="s">
        <v>912</v>
      </c>
      <c r="B113" s="322" t="s">
        <v>913</v>
      </c>
      <c r="C113" s="474" t="s">
        <v>1031</v>
      </c>
      <c r="D113" s="475" t="s">
        <v>34</v>
      </c>
      <c r="E113" s="477" t="s">
        <v>33</v>
      </c>
    </row>
    <row r="114" spans="1:5" ht="15" thickBot="1">
      <c r="A114" s="321" t="s">
        <v>917</v>
      </c>
      <c r="B114" s="322" t="s">
        <v>918</v>
      </c>
      <c r="C114" s="474" t="s">
        <v>259</v>
      </c>
      <c r="D114" s="475" t="s">
        <v>34</v>
      </c>
      <c r="E114" s="477" t="s">
        <v>33</v>
      </c>
    </row>
    <row r="115" spans="1:5" ht="15" thickBot="1">
      <c r="A115" s="321" t="s">
        <v>922</v>
      </c>
      <c r="B115" s="322" t="s">
        <v>923</v>
      </c>
      <c r="C115" s="474" t="s">
        <v>259</v>
      </c>
      <c r="D115" s="475" t="s">
        <v>34</v>
      </c>
      <c r="E115" s="477" t="s">
        <v>33</v>
      </c>
    </row>
    <row r="116" spans="1:5" ht="15" thickBot="1">
      <c r="A116" s="321" t="s">
        <v>930</v>
      </c>
      <c r="B116" s="322" t="s">
        <v>931</v>
      </c>
      <c r="C116" s="474" t="s">
        <v>259</v>
      </c>
      <c r="D116" s="475" t="s">
        <v>34</v>
      </c>
      <c r="E116" s="477" t="s">
        <v>33</v>
      </c>
    </row>
    <row r="117" spans="1:5" ht="15" thickBot="1">
      <c r="A117" s="321" t="s">
        <v>934</v>
      </c>
      <c r="B117" s="322" t="s">
        <v>935</v>
      </c>
      <c r="C117" s="474" t="s">
        <v>259</v>
      </c>
      <c r="D117" s="475" t="s">
        <v>34</v>
      </c>
      <c r="E117" s="477" t="s">
        <v>33</v>
      </c>
    </row>
    <row r="118" spans="1:5" ht="15" thickBot="1">
      <c r="A118" s="321" t="s">
        <v>937</v>
      </c>
      <c r="B118" s="322" t="s">
        <v>1048</v>
      </c>
      <c r="C118" s="474" t="s">
        <v>259</v>
      </c>
      <c r="D118" s="475" t="s">
        <v>34</v>
      </c>
      <c r="E118" s="477" t="s">
        <v>33</v>
      </c>
    </row>
    <row r="119" spans="1:5" ht="15" thickBot="1">
      <c r="A119" s="321" t="s">
        <v>941</v>
      </c>
      <c r="B119" s="322" t="s">
        <v>942</v>
      </c>
      <c r="C119" s="474" t="s">
        <v>259</v>
      </c>
      <c r="D119" s="475" t="s">
        <v>34</v>
      </c>
      <c r="E119" s="477" t="s">
        <v>33</v>
      </c>
    </row>
    <row r="120" spans="1:5" ht="15" thickBot="1">
      <c r="A120" s="321" t="s">
        <v>944</v>
      </c>
      <c r="B120" s="322" t="s">
        <v>945</v>
      </c>
      <c r="C120" s="474" t="s">
        <v>259</v>
      </c>
      <c r="D120" s="475" t="s">
        <v>34</v>
      </c>
      <c r="E120" s="477" t="s">
        <v>33</v>
      </c>
    </row>
    <row r="121" spans="1:5" ht="15" thickBot="1">
      <c r="A121" s="321" t="s">
        <v>948</v>
      </c>
      <c r="B121" s="322" t="s">
        <v>1049</v>
      </c>
      <c r="C121" s="474" t="s">
        <v>280</v>
      </c>
      <c r="D121" s="475" t="s">
        <v>34</v>
      </c>
      <c r="E121" s="477" t="s">
        <v>33</v>
      </c>
    </row>
    <row r="122" spans="1:5" ht="15" thickBot="1">
      <c r="A122" s="321" t="s">
        <v>955</v>
      </c>
      <c r="B122" s="322" t="s">
        <v>1050</v>
      </c>
      <c r="C122" s="474" t="s">
        <v>280</v>
      </c>
      <c r="D122" s="475" t="s">
        <v>34</v>
      </c>
      <c r="E122" s="477" t="s">
        <v>33</v>
      </c>
    </row>
    <row r="123" spans="1:5" ht="15" thickBot="1">
      <c r="A123" s="321" t="s">
        <v>958</v>
      </c>
      <c r="B123" s="322" t="s">
        <v>1051</v>
      </c>
      <c r="C123" s="474" t="s">
        <v>280</v>
      </c>
      <c r="D123" s="475" t="s">
        <v>34</v>
      </c>
      <c r="E123" s="477" t="s">
        <v>33</v>
      </c>
    </row>
    <row r="124" spans="1:5" ht="15" thickBot="1">
      <c r="A124" s="321" t="s">
        <v>962</v>
      </c>
      <c r="B124" s="322" t="s">
        <v>1052</v>
      </c>
      <c r="C124" s="474" t="s">
        <v>280</v>
      </c>
      <c r="D124" s="475" t="s">
        <v>34</v>
      </c>
      <c r="E124" s="477" t="s">
        <v>33</v>
      </c>
    </row>
    <row r="125" spans="1:5" ht="15" thickBot="1">
      <c r="A125" s="321" t="s">
        <v>965</v>
      </c>
      <c r="B125" s="322" t="s">
        <v>1053</v>
      </c>
      <c r="C125" s="474" t="s">
        <v>280</v>
      </c>
      <c r="D125" s="475" t="s">
        <v>34</v>
      </c>
      <c r="E125" s="477" t="s">
        <v>33</v>
      </c>
    </row>
    <row r="126" spans="1:5" ht="15" thickBot="1">
      <c r="A126" s="321" t="s">
        <v>967</v>
      </c>
      <c r="B126" s="322" t="s">
        <v>1054</v>
      </c>
      <c r="C126" s="474" t="s">
        <v>280</v>
      </c>
      <c r="D126" s="475" t="s">
        <v>34</v>
      </c>
      <c r="E126" s="477" t="s">
        <v>33</v>
      </c>
    </row>
    <row r="127" spans="1:5" ht="15" thickBot="1">
      <c r="A127" s="321" t="s">
        <v>969</v>
      </c>
      <c r="B127" s="322" t="s">
        <v>1055</v>
      </c>
      <c r="C127" s="474" t="s">
        <v>280</v>
      </c>
      <c r="D127" s="475" t="s">
        <v>34</v>
      </c>
      <c r="E127" s="477" t="s">
        <v>33</v>
      </c>
    </row>
    <row r="128" spans="1:5" ht="15" thickBot="1">
      <c r="A128" s="321" t="s">
        <v>971</v>
      </c>
      <c r="B128" s="322" t="s">
        <v>1053</v>
      </c>
      <c r="C128" s="474" t="s">
        <v>280</v>
      </c>
      <c r="D128" s="475" t="s">
        <v>34</v>
      </c>
      <c r="E128" s="477" t="s">
        <v>33</v>
      </c>
    </row>
    <row r="129" spans="1:5" ht="15" thickBot="1">
      <c r="A129" s="321" t="s">
        <v>973</v>
      </c>
      <c r="B129" s="322" t="s">
        <v>1056</v>
      </c>
      <c r="C129" s="474" t="s">
        <v>280</v>
      </c>
      <c r="D129" s="475" t="s">
        <v>34</v>
      </c>
      <c r="E129" s="477" t="s">
        <v>33</v>
      </c>
    </row>
    <row r="130" spans="1:5" ht="15" thickBot="1">
      <c r="A130" s="321" t="s">
        <v>975</v>
      </c>
      <c r="B130" s="322" t="s">
        <v>1057</v>
      </c>
      <c r="C130" s="474" t="s">
        <v>280</v>
      </c>
      <c r="D130" s="475" t="s">
        <v>34</v>
      </c>
      <c r="E130" s="477" t="s">
        <v>33</v>
      </c>
    </row>
    <row r="131" spans="1:5" ht="15" thickBot="1">
      <c r="A131" s="321" t="s">
        <v>980</v>
      </c>
      <c r="B131" s="322" t="s">
        <v>1058</v>
      </c>
      <c r="C131" s="474" t="s">
        <v>280</v>
      </c>
      <c r="D131" s="475" t="s">
        <v>34</v>
      </c>
      <c r="E131" s="477" t="s">
        <v>33</v>
      </c>
    </row>
    <row r="132" spans="1:5" ht="15" thickBot="1">
      <c r="A132" s="321" t="s">
        <v>982</v>
      </c>
      <c r="B132" s="322" t="s">
        <v>1059</v>
      </c>
      <c r="C132" s="474" t="s">
        <v>280</v>
      </c>
      <c r="D132" s="475" t="s">
        <v>34</v>
      </c>
      <c r="E132" s="477" t="s">
        <v>33</v>
      </c>
    </row>
    <row r="133" spans="1:5" ht="15" thickBot="1">
      <c r="A133" s="321" t="s">
        <v>985</v>
      </c>
      <c r="B133" s="322" t="s">
        <v>1060</v>
      </c>
      <c r="C133" s="474" t="s">
        <v>280</v>
      </c>
      <c r="D133" s="475" t="s">
        <v>34</v>
      </c>
      <c r="E133" s="477" t="s">
        <v>33</v>
      </c>
    </row>
    <row r="134" spans="1:5" ht="15" thickBot="1">
      <c r="A134" s="321" t="s">
        <v>988</v>
      </c>
      <c r="B134" s="322" t="s">
        <v>1061</v>
      </c>
      <c r="C134" s="474" t="s">
        <v>280</v>
      </c>
      <c r="D134" s="475" t="s">
        <v>34</v>
      </c>
      <c r="E134" s="477" t="s">
        <v>33</v>
      </c>
    </row>
    <row r="135" spans="1:5" ht="15" thickBot="1">
      <c r="A135" s="321" t="s">
        <v>990</v>
      </c>
      <c r="B135" s="322" t="s">
        <v>1062</v>
      </c>
      <c r="C135" s="474" t="s">
        <v>280</v>
      </c>
      <c r="D135" s="475" t="s">
        <v>34</v>
      </c>
      <c r="E135" s="477" t="s">
        <v>33</v>
      </c>
    </row>
    <row r="136" spans="1:5" ht="15" thickBot="1">
      <c r="A136" s="321" t="s">
        <v>992</v>
      </c>
      <c r="B136" s="322" t="s">
        <v>1063</v>
      </c>
      <c r="C136" s="474" t="s">
        <v>280</v>
      </c>
      <c r="D136" s="475" t="s">
        <v>34</v>
      </c>
      <c r="E136" s="477" t="s">
        <v>33</v>
      </c>
    </row>
    <row r="137" spans="1:5" ht="29.45" thickBot="1">
      <c r="A137" s="321" t="s">
        <v>994</v>
      </c>
      <c r="B137" s="322" t="s">
        <v>1064</v>
      </c>
      <c r="C137" s="474" t="s">
        <v>280</v>
      </c>
      <c r="D137" s="475" t="s">
        <v>34</v>
      </c>
      <c r="E137" s="477" t="s">
        <v>33</v>
      </c>
    </row>
    <row r="138" spans="1:5" ht="29.45" thickBot="1">
      <c r="A138" s="321" t="s">
        <v>998</v>
      </c>
      <c r="B138" s="322" t="s">
        <v>1065</v>
      </c>
      <c r="C138" s="474" t="s">
        <v>280</v>
      </c>
      <c r="D138" s="475" t="s">
        <v>34</v>
      </c>
      <c r="E138" s="477" t="s">
        <v>33</v>
      </c>
    </row>
    <row r="139" spans="1:5" ht="29.45" thickBot="1">
      <c r="A139" s="321" t="s">
        <v>1001</v>
      </c>
      <c r="B139" s="322" t="s">
        <v>1066</v>
      </c>
      <c r="C139" s="474" t="s">
        <v>280</v>
      </c>
      <c r="D139" s="475" t="s">
        <v>34</v>
      </c>
      <c r="E139" s="477" t="s">
        <v>33</v>
      </c>
    </row>
    <row r="140" spans="1:5" ht="29.45" thickBot="1">
      <c r="A140" s="321" t="s">
        <v>1067</v>
      </c>
      <c r="B140" s="322" t="s">
        <v>1068</v>
      </c>
      <c r="C140" s="474" t="s">
        <v>280</v>
      </c>
      <c r="D140" s="475" t="s">
        <v>34</v>
      </c>
      <c r="E140" s="477" t="s">
        <v>33</v>
      </c>
    </row>
    <row r="141" spans="1:5" ht="29.45" thickBot="1">
      <c r="A141" s="321" t="s">
        <v>1006</v>
      </c>
      <c r="B141" s="322" t="s">
        <v>1069</v>
      </c>
      <c r="C141" s="474" t="s">
        <v>280</v>
      </c>
      <c r="D141" s="475" t="s">
        <v>34</v>
      </c>
      <c r="E141" s="477" t="s">
        <v>33</v>
      </c>
    </row>
    <row r="142" spans="1:5" ht="29.45" thickBot="1">
      <c r="A142" s="321" t="s">
        <v>1008</v>
      </c>
      <c r="B142" s="322" t="s">
        <v>1070</v>
      </c>
      <c r="C142" s="474" t="s">
        <v>280</v>
      </c>
      <c r="D142" s="475" t="s">
        <v>34</v>
      </c>
      <c r="E142" s="477" t="s">
        <v>33</v>
      </c>
    </row>
    <row r="143" spans="1:5" ht="29.45" thickBot="1">
      <c r="A143" s="321" t="s">
        <v>1011</v>
      </c>
      <c r="B143" s="322" t="s">
        <v>1071</v>
      </c>
      <c r="C143" s="474" t="s">
        <v>280</v>
      </c>
      <c r="D143" s="475" t="s">
        <v>34</v>
      </c>
      <c r="E143" s="477" t="s">
        <v>33</v>
      </c>
    </row>
    <row r="144" spans="1:5" ht="15" thickBot="1">
      <c r="A144" s="321" t="s">
        <v>1013</v>
      </c>
      <c r="B144" s="322" t="s">
        <v>1014</v>
      </c>
      <c r="C144" s="474" t="s">
        <v>259</v>
      </c>
      <c r="D144" s="475" t="s">
        <v>34</v>
      </c>
      <c r="E144" s="477" t="s">
        <v>33</v>
      </c>
    </row>
    <row r="145" spans="1:5" ht="15" thickBot="1">
      <c r="A145" s="321" t="s">
        <v>1017</v>
      </c>
      <c r="B145" s="322" t="s">
        <v>1018</v>
      </c>
      <c r="C145" s="474" t="s">
        <v>259</v>
      </c>
      <c r="D145" s="475" t="s">
        <v>34</v>
      </c>
      <c r="E145" s="477" t="s">
        <v>33</v>
      </c>
    </row>
    <row r="146" spans="1:5" ht="15" thickBot="1">
      <c r="A146" s="321"/>
      <c r="B146" s="322"/>
      <c r="C146" s="504"/>
      <c r="D146" s="475"/>
      <c r="E146" s="477"/>
    </row>
    <row r="147" spans="1:5" ht="15" thickBot="1">
      <c r="A147" s="321"/>
      <c r="B147" s="322"/>
      <c r="C147" s="504"/>
      <c r="D147" s="475"/>
      <c r="E147" s="477"/>
    </row>
    <row r="148" spans="1:5" ht="15" thickBot="1">
      <c r="A148" s="321"/>
      <c r="B148" s="322"/>
      <c r="C148" s="504"/>
      <c r="D148" s="475"/>
      <c r="E148" s="477"/>
    </row>
    <row r="149" spans="1:5" ht="15" thickBot="1">
      <c r="A149" s="321"/>
      <c r="B149" s="322"/>
      <c r="C149" s="504"/>
      <c r="D149" s="475"/>
      <c r="E149" s="477"/>
    </row>
    <row r="150" spans="1:5" ht="15" thickBot="1">
      <c r="A150" s="321"/>
      <c r="B150" s="322"/>
      <c r="C150" s="504"/>
      <c r="D150" s="475"/>
      <c r="E150" s="477"/>
    </row>
    <row r="151" spans="1:5" ht="15" thickBot="1">
      <c r="A151" s="321"/>
      <c r="B151" s="322"/>
      <c r="C151" s="504"/>
      <c r="D151" s="475"/>
      <c r="E151" s="477"/>
    </row>
  </sheetData>
  <mergeCells count="5">
    <mergeCell ref="A1:I1"/>
    <mergeCell ref="G4:G6"/>
    <mergeCell ref="G7:G10"/>
    <mergeCell ref="G11:G13"/>
    <mergeCell ref="H15:I15"/>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57"/>
  <sheetViews>
    <sheetView zoomScale="57" zoomScaleNormal="57" workbookViewId="0" xr3:uid="{F9CF3CF3-643B-5BE6-8B46-32C596A47465}">
      <pane xSplit="4" ySplit="6" topLeftCell="O20" activePane="bottomRight" state="frozen"/>
      <selection pane="bottomRight" activeCell="D24" sqref="D24"/>
      <selection pane="bottomLeft" activeCell="A3" sqref="A3"/>
      <selection pane="topRight" activeCell="D1" sqref="D1"/>
    </sheetView>
  </sheetViews>
  <sheetFormatPr defaultColWidth="8.5703125" defaultRowHeight="14.45"/>
  <cols>
    <col min="1" max="1" width="16.85546875" style="182" bestFit="1" customWidth="1"/>
    <col min="2" max="2" width="28.28515625" style="189" bestFit="1" customWidth="1"/>
    <col min="3" max="3" width="9.85546875" style="189" bestFit="1" customWidth="1"/>
    <col min="4" max="4" width="68" style="182"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19.42578125" style="182" customWidth="1"/>
    <col min="22" max="22" width="45.7109375" style="182" customWidth="1"/>
    <col min="23" max="16384" width="8.5703125" style="182"/>
  </cols>
  <sheetData>
    <row r="1" spans="1:22" s="177" customFormat="1" ht="18.95" thickBot="1">
      <c r="A1" s="637" t="s">
        <v>1072</v>
      </c>
      <c r="B1" s="638"/>
      <c r="C1" s="638"/>
      <c r="D1" s="638"/>
      <c r="E1" s="638"/>
      <c r="F1" s="638"/>
      <c r="G1" s="638"/>
      <c r="H1" s="638"/>
      <c r="I1" s="638"/>
      <c r="J1" s="638"/>
      <c r="K1" s="638"/>
      <c r="L1" s="638"/>
      <c r="M1" s="638"/>
      <c r="N1" s="638"/>
      <c r="O1" s="638"/>
      <c r="P1" s="638"/>
      <c r="Q1" s="638"/>
      <c r="R1" s="638"/>
      <c r="S1" s="638"/>
      <c r="T1" s="638"/>
      <c r="U1" s="685"/>
      <c r="V1" s="501"/>
    </row>
    <row r="2" spans="1:22" s="186" customFormat="1" ht="18.75">
      <c r="A2" s="688" t="s">
        <v>302</v>
      </c>
      <c r="B2" s="689"/>
      <c r="C2" s="689"/>
      <c r="D2" s="689"/>
      <c r="E2" s="689"/>
      <c r="F2" s="690"/>
      <c r="G2" s="376">
        <f>COUNTIF(G7:G152,"Yes")</f>
        <v>141</v>
      </c>
      <c r="H2" s="376">
        <f>COUNTIF(H7:H152,"Yes")</f>
        <v>141</v>
      </c>
      <c r="I2" s="686">
        <f>'Diags Raw Data'!K152</f>
        <v>170</v>
      </c>
      <c r="J2" s="700">
        <f>'Diags Raw Data'!L152</f>
        <v>88769</v>
      </c>
      <c r="K2" s="702">
        <f>'Diags Raw Data'!N152</f>
        <v>1</v>
      </c>
      <c r="L2" s="704">
        <f>'Diags Raw Data'!P152</f>
        <v>1</v>
      </c>
      <c r="M2" s="706">
        <f>'Diags Raw Data'!R152</f>
        <v>48458</v>
      </c>
      <c r="N2" s="708">
        <f>SUM('Diags Raw Data'!T152+'Diags Raw Data'!U152)</f>
        <v>48588</v>
      </c>
      <c r="O2" s="694">
        <f>IF((M155=0),0,N155/M155)</f>
        <v>1.0026827355648191</v>
      </c>
      <c r="P2" s="696">
        <f>'Diags Raw Data'!Z152</f>
        <v>88733</v>
      </c>
      <c r="Q2" s="698">
        <f>SUM('Diags Raw Data'!AA152+'Diags Raw Data'!AB152)</f>
        <v>88733</v>
      </c>
      <c r="R2" s="719">
        <f>IF((J155=0),0,P155/J155)</f>
        <v>0.99959445301850869</v>
      </c>
      <c r="S2" s="719">
        <f>IF((P155=0),0,Q155/P155)</f>
        <v>1</v>
      </c>
      <c r="T2" s="719">
        <f>R155*S155</f>
        <v>0.99959445301850869</v>
      </c>
      <c r="U2" s="721">
        <f>T2-'Diags Raw Data'!AK2</f>
        <v>0.99959445301850869</v>
      </c>
      <c r="V2" s="710" t="s">
        <v>1073</v>
      </c>
    </row>
    <row r="3" spans="1:22" ht="18.95" thickBot="1">
      <c r="A3" s="691"/>
      <c r="B3" s="692"/>
      <c r="C3" s="692"/>
      <c r="D3" s="692"/>
      <c r="E3" s="692"/>
      <c r="F3" s="693"/>
      <c r="G3" s="377">
        <f>COUNTIF(G7:G152,"Yes")/COUNTA(A7:A152)</f>
        <v>0.98601398601398604</v>
      </c>
      <c r="H3" s="377">
        <f>(COUNTIF(H7:H152,"Yes")/G155)</f>
        <v>1</v>
      </c>
      <c r="I3" s="687"/>
      <c r="J3" s="701"/>
      <c r="K3" s="703"/>
      <c r="L3" s="705"/>
      <c r="M3" s="707"/>
      <c r="N3" s="709"/>
      <c r="O3" s="695"/>
      <c r="P3" s="697"/>
      <c r="Q3" s="699"/>
      <c r="R3" s="720"/>
      <c r="S3" s="720"/>
      <c r="T3" s="720"/>
      <c r="U3" s="722"/>
      <c r="V3" s="711"/>
    </row>
    <row r="4" spans="1:22" ht="18.95" thickBot="1">
      <c r="A4" s="639" t="s">
        <v>1074</v>
      </c>
      <c r="B4" s="640"/>
      <c r="C4" s="640"/>
      <c r="D4" s="640"/>
      <c r="E4" s="640"/>
      <c r="F4" s="640"/>
      <c r="G4" s="640"/>
      <c r="H4" s="640"/>
      <c r="I4" s="640"/>
      <c r="J4" s="640"/>
      <c r="K4" s="640"/>
      <c r="L4" s="640"/>
      <c r="M4" s="640"/>
      <c r="N4" s="640"/>
      <c r="O4" s="640"/>
      <c r="P4" s="640"/>
      <c r="Q4" s="640"/>
      <c r="R4" s="640"/>
      <c r="S4" s="640"/>
      <c r="T4" s="640"/>
      <c r="U4" s="712"/>
      <c r="V4" s="502"/>
    </row>
    <row r="5" spans="1:22" s="177" customFormat="1" ht="31.5" customHeight="1" thickBot="1">
      <c r="A5" s="728" t="s">
        <v>76</v>
      </c>
      <c r="B5" s="729"/>
      <c r="C5" s="729"/>
      <c r="D5" s="729"/>
      <c r="E5" s="729"/>
      <c r="F5" s="729"/>
      <c r="G5" s="729"/>
      <c r="H5" s="729"/>
      <c r="I5" s="729"/>
      <c r="J5" s="730"/>
      <c r="K5" s="726" t="s">
        <v>113</v>
      </c>
      <c r="L5" s="727"/>
      <c r="M5" s="731" t="s">
        <v>124</v>
      </c>
      <c r="N5" s="732"/>
      <c r="O5" s="733"/>
      <c r="P5" s="734" t="s">
        <v>144</v>
      </c>
      <c r="Q5" s="735"/>
      <c r="R5" s="735"/>
      <c r="S5" s="735"/>
      <c r="T5" s="735"/>
      <c r="U5" s="736"/>
      <c r="V5" s="176"/>
    </row>
    <row r="6" spans="1:22" s="179" customFormat="1" ht="15" thickBot="1">
      <c r="A6" s="344" t="s">
        <v>77</v>
      </c>
      <c r="B6" s="360" t="s">
        <v>81</v>
      </c>
      <c r="C6" s="360" t="s">
        <v>96</v>
      </c>
      <c r="D6" s="360" t="s">
        <v>212</v>
      </c>
      <c r="E6" s="360" t="s">
        <v>88</v>
      </c>
      <c r="F6" s="360" t="s">
        <v>1</v>
      </c>
      <c r="G6" s="361" t="s">
        <v>215</v>
      </c>
      <c r="H6" s="361" t="s">
        <v>218</v>
      </c>
      <c r="I6" s="362" t="s">
        <v>105</v>
      </c>
      <c r="J6" s="362" t="s">
        <v>221</v>
      </c>
      <c r="K6" s="345" t="s">
        <v>114</v>
      </c>
      <c r="L6" s="346" t="s">
        <v>121</v>
      </c>
      <c r="M6" s="337" t="s">
        <v>227</v>
      </c>
      <c r="N6" s="338" t="s">
        <v>229</v>
      </c>
      <c r="O6" s="336" t="s">
        <v>187</v>
      </c>
      <c r="P6" s="347" t="s">
        <v>232</v>
      </c>
      <c r="Q6" s="339" t="s">
        <v>229</v>
      </c>
      <c r="R6" s="340" t="s">
        <v>184</v>
      </c>
      <c r="S6" s="340" t="s">
        <v>140</v>
      </c>
      <c r="T6" s="341" t="s">
        <v>187</v>
      </c>
      <c r="U6" s="342" t="s">
        <v>1075</v>
      </c>
      <c r="V6" s="178"/>
    </row>
    <row r="7" spans="1:22" ht="58.5" thickBot="1">
      <c r="A7" s="321" t="s">
        <v>315</v>
      </c>
      <c r="B7" s="412" t="str">
        <f>VLOOKUP(A7,'Feature Raw Data'!$A$3:$B$3847,2,FALSE)</f>
        <v>WS.Storm.Core.ISA.1</v>
      </c>
      <c r="C7" s="413" t="str">
        <f>VLOOKUP(A7,'Feature Raw Data'!$A$3:$C$3929,3,FALSE)</f>
        <v>P4</v>
      </c>
      <c r="D7" s="414" t="str" cm="1">
        <f t="array" ref="D7">_xlfn.TEXTJOIN("",TRUE,IF(ISNUMBER(SEARCH($A7,'Diags Raw Data'!$A$6:$A$3768)),CONCATENATE('Diags Raw Data'!$H$6:$H$3768,", "),""))</f>
        <v xml:space="preserve">all_insts.yml
, </v>
      </c>
      <c r="E7" s="415" t="str">
        <f>VLOOKUP(A7,'Diags Raw Data'!$A$6:$D$3768,4,FALSE)</f>
        <v>CORE-09</v>
      </c>
      <c r="F7" s="415" t="str">
        <f>VLOOKUP(A7,'Feature Raw Data'!$A$3:$E$3847,5,FALSE)</f>
        <v>Legacy</v>
      </c>
      <c r="G7" s="415" t="str">
        <f t="shared" ref="G7" si="0">IF(D7="","No","Yes")</f>
        <v>Yes</v>
      </c>
      <c r="H7" s="415" t="str">
        <f t="shared" ref="H7" si="1">IF(D7="","No","Yes")</f>
        <v>Yes</v>
      </c>
      <c r="I7" s="417">
        <f>SUMIF('Diags Raw Data'!$A$6:$A$3768,"*"&amp;$A7&amp;"*",'Diags Raw Data'!$K$6:$K$3768)</f>
        <v>1</v>
      </c>
      <c r="J7" s="418">
        <f>SUMIF('Diags Raw Data'!$A$6:$A$3768,"*"&amp;$A7&amp;"*",'Diags Raw Data'!$L$6:$L$3768)</f>
        <v>2000</v>
      </c>
      <c r="K7" s="443" cm="1">
        <f t="array" ref="K7">IF(D7="",0, SUMPRODUCT(--(ISNUMBER(SEARCH($A7,'Diags Raw Data'!$A$6:$A$3766))),'Diags Raw Data'!$L$6:$L$3766,'Diags Raw Data'!$N$6:$N$3766)/J7)</f>
        <v>1</v>
      </c>
      <c r="L7" s="444" cm="1">
        <f t="array" ref="L7">IF(D7="",0, SUMPRODUCT(--(ISNUMBER(SEARCH($A7,'Diags Raw Data'!$A$6:$A$3766))),'Diags Raw Data'!$L$6:$L$3766,'Diags Raw Data'!$P$6:$P$3766)/J7)</f>
        <v>1</v>
      </c>
      <c r="M7" s="445" cm="1">
        <f t="array" ref="M7">SUMPRODUCT(--(ISNUMBER(SEARCH($A7,'Diags Raw Data'!$A$6:$A$3766))),--('Diags Raw Data'!$Q$6:$Q$3766&lt;&gt;"N/A"),'Diags Raw Data'!$T$6:$T$3766)+SUMPRODUCT(--(ISNUMBER(SEARCH($A7,'Diags Raw Data'!$A$6:$A$3766))),--('Diags Raw Data'!$Q$6:$Q$3766&lt;&gt;"N/A"),'Diags Raw Data'!$U$6:$U$3766)</f>
        <v>2000</v>
      </c>
      <c r="N7" s="445" cm="1">
        <f t="array" ref="N7">SUMPRODUCT(--(ISNUMBER(SEARCH($A7,'Diags Raw Data'!$A$6:$A$3766))),--('Diags Raw Data'!$Q$6:$Q$3766&lt;&gt;"N/A"),'Diags Raw Data'!$T$6:$T$3766)+SUMPRODUCT(--(ISNUMBER(SEARCH($A7,'Diags Raw Data'!$A$6:$A$3766))),--('Diags Raw Data'!$Q$6:$Q$3766&lt;&gt;"N/A"),'Diags Raw Data'!$U$6:$U$3766)</f>
        <v>2000</v>
      </c>
      <c r="O7" s="446">
        <f>IF((M7=0),0,N7/M7)</f>
        <v>1</v>
      </c>
      <c r="P7" s="447">
        <f>SUMIF('Diags Raw Data'!$A$6:$A$3766,"*"&amp;$A7&amp;"*",'Diags Raw Data'!$Z$6:$Z$3766)</f>
        <v>6000</v>
      </c>
      <c r="Q7" s="448">
        <f>SUM(SUMIF('Diags Raw Data'!$A$6:$A$3766,"*"&amp;$A7&amp;"*",'Diags Raw Data'!$AA$6:$AA$3766),SUMIF('Diags Raw Data'!$A$6:$A$3766,"*"&amp;$A7&amp;"*",'Diags Raw Data'!$AB$6:$AB$3766))</f>
        <v>6000</v>
      </c>
      <c r="R7" s="449">
        <f>IF((J7=0),0,P7/J7)</f>
        <v>3</v>
      </c>
      <c r="S7" s="449">
        <f>IF((P7=0),0,Q7/P7)</f>
        <v>1</v>
      </c>
      <c r="T7" s="450">
        <f>R7*S7</f>
        <v>3</v>
      </c>
      <c r="U7" s="416" t="s">
        <v>1076</v>
      </c>
      <c r="V7" s="181"/>
    </row>
    <row r="8" spans="1:22" ht="58.5" thickBot="1">
      <c r="A8" s="321" t="s">
        <v>326</v>
      </c>
      <c r="B8" s="412" t="str">
        <f>VLOOKUP(A8,'Feature Raw Data'!$A$3:$B$3847,2,FALSE)</f>
        <v>WS.Storm.Core.ISA.2</v>
      </c>
      <c r="C8" s="413" t="str">
        <f>VLOOKUP(A8,'Feature Raw Data'!$A$3:$C$3929,3,FALSE)</f>
        <v>P4</v>
      </c>
      <c r="D8" s="414" t="str" cm="1">
        <f t="array" ref="D8">_xlfn.TEXTJOIN("",TRUE,IF(ISNUMBER(SEARCH($A8,'Diags Raw Data'!$A$6:$A$3768)),CONCATENATE('Diags Raw Data'!$H$6:$H$3768,", "),""))</f>
        <v xml:space="preserve">
all_insts_in_guest_mode.yml, </v>
      </c>
      <c r="E8" s="415" t="str">
        <f>VLOOKUP(A8,'Diags Raw Data'!$A$6:$D$3768,4,FALSE)</f>
        <v>CORE-09</v>
      </c>
      <c r="F8" s="415" t="str">
        <f>VLOOKUP(A8,'Feature Raw Data'!$A$3:$E$3847,5,FALSE)</f>
        <v>Legacy</v>
      </c>
      <c r="G8" s="415" t="str">
        <f t="shared" ref="G8" si="2">IF(D8="","No","Yes")</f>
        <v>Yes</v>
      </c>
      <c r="H8" s="415" t="str">
        <f t="shared" ref="H8" si="3">IF(D8="","No","Yes")</f>
        <v>Yes</v>
      </c>
      <c r="I8" s="417">
        <f>SUMIF('Diags Raw Data'!$A$6:$A$3768,"*"&amp;$A8&amp;"*",'Diags Raw Data'!$K$6:$K$3768)</f>
        <v>1</v>
      </c>
      <c r="J8" s="418">
        <f>SUMIF('Diags Raw Data'!$A$6:$A$3768,"*"&amp;$A8&amp;"*",'Diags Raw Data'!$L$6:$L$3768)</f>
        <v>500</v>
      </c>
      <c r="K8" s="443" cm="1">
        <f t="array" ref="K8">IF(D8="",0, SUMPRODUCT(--(ISNUMBER(SEARCH($A8,'Diags Raw Data'!$A$6:$A$3766))),'Diags Raw Data'!$L$6:$L$3766,'Diags Raw Data'!$N$6:$N$3766)/J8)</f>
        <v>1</v>
      </c>
      <c r="L8" s="444" cm="1">
        <f t="array" ref="L8">IF(D8="",0, SUMPRODUCT(--(ISNUMBER(SEARCH($A8,'Diags Raw Data'!$A$6:$A$3766))),'Diags Raw Data'!$L$6:$L$3766,'Diags Raw Data'!$P$6:$P$3766)/J8)</f>
        <v>1</v>
      </c>
      <c r="M8" s="445" cm="1">
        <f t="array" ref="M8">SUMPRODUCT(--(ISNUMBER(SEARCH($A8,'Diags Raw Data'!$A$6:$A$3766))),--('Diags Raw Data'!$Q$6:$Q$3766&lt;&gt;"N/A"),'Diags Raw Data'!$T$6:$T$3766)+SUMPRODUCT(--(ISNUMBER(SEARCH($A8,'Diags Raw Data'!$A$6:$A$3766))),--('Diags Raw Data'!$Q$6:$Q$3766&lt;&gt;"N/A"),'Diags Raw Data'!$U$6:$U$3766)</f>
        <v>2173</v>
      </c>
      <c r="N8" s="445" cm="1">
        <f t="array" ref="N8">SUMPRODUCT(--(ISNUMBER(SEARCH($A8,'Diags Raw Data'!$A$6:$A$3766))),--('Diags Raw Data'!$Q$6:$Q$3766&lt;&gt;"N/A"),'Diags Raw Data'!$T$6:$T$3766)+SUMPRODUCT(--(ISNUMBER(SEARCH($A8,'Diags Raw Data'!$A$6:$A$3766))),--('Diags Raw Data'!$Q$6:$Q$3766&lt;&gt;"N/A"),'Diags Raw Data'!$U$6:$U$3766)</f>
        <v>2173</v>
      </c>
      <c r="O8" s="446">
        <f t="shared" ref="O8:O64" si="4">IF((M8=0),0,N8/M8)</f>
        <v>1</v>
      </c>
      <c r="P8" s="447">
        <f>SUMIF('Diags Raw Data'!$A$6:$A$3766,"*"&amp;$A8&amp;"*",'Diags Raw Data'!$Z$6:$Z$3766)</f>
        <v>1000</v>
      </c>
      <c r="Q8" s="448">
        <f>SUM(SUMIF('Diags Raw Data'!$A$6:$A$3766,"*"&amp;$A8&amp;"*",'Diags Raw Data'!$AA$6:$AA$3766),SUMIF('Diags Raw Data'!$A$6:$A$3766,"*"&amp;$A8&amp;"*",'Diags Raw Data'!$AB$6:$AB$3766))</f>
        <v>1000</v>
      </c>
      <c r="R8" s="449">
        <f t="shared" ref="R8:R64" si="5">IF((J8=0),0,P8/J8)</f>
        <v>2</v>
      </c>
      <c r="S8" s="449">
        <f t="shared" ref="S8:S64" si="6">IF((P8=0),0,Q8/P8)</f>
        <v>1</v>
      </c>
      <c r="T8" s="450">
        <f t="shared" ref="T8:T64" si="7">R8*S8</f>
        <v>2</v>
      </c>
      <c r="U8" s="419" t="s">
        <v>1076</v>
      </c>
      <c r="V8" s="181"/>
    </row>
    <row r="9" spans="1:22" ht="58.5" thickBot="1">
      <c r="A9" s="321" t="s">
        <v>331</v>
      </c>
      <c r="B9" s="412" t="str">
        <f>VLOOKUP(A9,'Feature Raw Data'!$A$3:$B$3847,2,FALSE)</f>
        <v>WS.Storm.Core.ISA.3</v>
      </c>
      <c r="C9" s="413" t="str">
        <f>VLOOKUP(A9,'Feature Raw Data'!$A$3:$C$3929,3,FALSE)</f>
        <v>P4</v>
      </c>
      <c r="D9" s="414" t="str" cm="1">
        <f t="array" ref="D9">_xlfn.TEXTJOIN("",TRUE,IF(ISNUMBER(SEARCH($A9,'Diags Raw Data'!$A$6:$A$3768)),CONCATENATE('Diags Raw Data'!$H$6:$H$3768,", "),""))</f>
        <v xml:space="preserve">deluge.yml, </v>
      </c>
      <c r="E9" s="415" t="str">
        <f>VLOOKUP(A9,'Diags Raw Data'!$A$6:$D$3768,4,FALSE)</f>
        <v>CORE-09</v>
      </c>
      <c r="F9" s="415" t="str">
        <f>VLOOKUP(A9,'Feature Raw Data'!$A$3:$E$3847,5,FALSE)</f>
        <v>Legacy</v>
      </c>
      <c r="G9" s="415" t="str">
        <f t="shared" ref="G9" si="8">IF(D9="","No","Yes")</f>
        <v>Yes</v>
      </c>
      <c r="H9" s="415" t="str">
        <f t="shared" ref="H9" si="9">IF(D9="","No","Yes")</f>
        <v>Yes</v>
      </c>
      <c r="I9" s="417">
        <f>SUMIF('Diags Raw Data'!$A$6:$A$3768,"*"&amp;$A9&amp;"*",'Diags Raw Data'!$K$6:$K$3768)</f>
        <v>1</v>
      </c>
      <c r="J9" s="418">
        <f>SUMIF('Diags Raw Data'!$A$6:$A$3768,"*"&amp;$A9&amp;"*",'Diags Raw Data'!$L$6:$L$3768)</f>
        <v>5000</v>
      </c>
      <c r="K9" s="443" cm="1">
        <f t="array" ref="K9">IF(D9="",0, SUMPRODUCT(--(ISNUMBER(SEARCH($A9,'Diags Raw Data'!$A$6:$A$3766))),'Diags Raw Data'!$L$6:$L$3766,'Diags Raw Data'!$N$6:$N$3766)/J9)</f>
        <v>1</v>
      </c>
      <c r="L9" s="444" cm="1">
        <f t="array" ref="L9">IF(D9="",0, SUMPRODUCT(--(ISNUMBER(SEARCH($A9,'Diags Raw Data'!$A$6:$A$3766))),'Diags Raw Data'!$L$6:$L$3766,'Diags Raw Data'!$P$6:$P$3766)/J9)</f>
        <v>1</v>
      </c>
      <c r="M9" s="445" cm="1">
        <f t="array" ref="M9">SUMPRODUCT(--(ISNUMBER(SEARCH($A9,'Diags Raw Data'!$A$6:$A$3766))),--('Diags Raw Data'!$Q$6:$Q$3766&lt;&gt;"N/A"),'Diags Raw Data'!$T$6:$T$3766)+SUMPRODUCT(--(ISNUMBER(SEARCH($A9,'Diags Raw Data'!$A$6:$A$3766))),--('Diags Raw Data'!$Q$6:$Q$3766&lt;&gt;"N/A"),'Diags Raw Data'!$U$6:$U$3766)</f>
        <v>1000</v>
      </c>
      <c r="N9" s="445" cm="1">
        <f t="array" ref="N9">SUMPRODUCT(--(ISNUMBER(SEARCH($A9,'Diags Raw Data'!$A$6:$A$3766))),--('Diags Raw Data'!$Q$6:$Q$3766&lt;&gt;"N/A"),'Diags Raw Data'!$T$6:$T$3766)+SUMPRODUCT(--(ISNUMBER(SEARCH($A9,'Diags Raw Data'!$A$6:$A$3766))),--('Diags Raw Data'!$Q$6:$Q$3766&lt;&gt;"N/A"),'Diags Raw Data'!$U$6:$U$3766)</f>
        <v>1000</v>
      </c>
      <c r="O9" s="446">
        <f t="shared" si="4"/>
        <v>1</v>
      </c>
      <c r="P9" s="447">
        <f>SUMIF('Diags Raw Data'!$A$6:$A$3766,"*"&amp;$A9&amp;"*",'Diags Raw Data'!$Z$6:$Z$3766)</f>
        <v>2000</v>
      </c>
      <c r="Q9" s="448">
        <f>SUM(SUMIF('Diags Raw Data'!$A$6:$A$3766,"*"&amp;$A9&amp;"*",'Diags Raw Data'!$AA$6:$AA$3766),SUMIF('Diags Raw Data'!$A$6:$A$3766,"*"&amp;$A9&amp;"*",'Diags Raw Data'!$AB$6:$AB$3766))</f>
        <v>2000</v>
      </c>
      <c r="R9" s="449">
        <f t="shared" si="5"/>
        <v>0.4</v>
      </c>
      <c r="S9" s="449">
        <f t="shared" si="6"/>
        <v>1</v>
      </c>
      <c r="T9" s="450">
        <f t="shared" si="7"/>
        <v>0.4</v>
      </c>
      <c r="U9" s="419" t="s">
        <v>1076</v>
      </c>
      <c r="V9" s="181"/>
    </row>
    <row r="10" spans="1:22" ht="58.5" thickBot="1">
      <c r="A10" s="321" t="s">
        <v>335</v>
      </c>
      <c r="B10" s="412" t="str">
        <f>VLOOKUP(A10,'Feature Raw Data'!$A$3:$B$3847,2,FALSE)</f>
        <v>WS.Storm.Core.ISA.4</v>
      </c>
      <c r="C10" s="413" t="str">
        <f>VLOOKUP(A10,'Feature Raw Data'!$A$3:$C$3929,3,FALSE)</f>
        <v>P4</v>
      </c>
      <c r="D10" s="414" t="str" cm="1">
        <f t="array" ref="D10">_xlfn.TEXTJOIN("",TRUE,IF(ISNUMBER(SEARCH($A10,'Diags Raw Data'!$A$6:$A$3768)),CONCATENATE('Diags Raw Data'!$H$6:$H$3768,", "),""))</f>
        <v xml:space="preserve">deluge_in_guest_mode.yml, </v>
      </c>
      <c r="E10" s="415" t="str">
        <f>VLOOKUP(A10,'Diags Raw Data'!$A$6:$D$3768,4,FALSE)</f>
        <v>CORE-09</v>
      </c>
      <c r="F10" s="415" t="str">
        <f>VLOOKUP(A10,'Feature Raw Data'!$A$3:$E$3847,5,FALSE)</f>
        <v>Legacy</v>
      </c>
      <c r="G10" s="415" t="str">
        <f t="shared" ref="G10:G73" si="10">IF(D10="","No","Yes")</f>
        <v>Yes</v>
      </c>
      <c r="H10" s="415" t="str">
        <f t="shared" ref="H10:H73" si="11">IF(D10="","No","Yes")</f>
        <v>Yes</v>
      </c>
      <c r="I10" s="417">
        <f>SUMIF('Diags Raw Data'!$A$6:$A$3768,"*"&amp;$A10&amp;"*",'Diags Raw Data'!$K$6:$K$3768)</f>
        <v>1</v>
      </c>
      <c r="J10" s="418">
        <f>SUMIF('Diags Raw Data'!$A$6:$A$3768,"*"&amp;$A10&amp;"*",'Diags Raw Data'!$L$6:$L$3768)</f>
        <v>1000</v>
      </c>
      <c r="K10" s="443" cm="1">
        <f t="array" ref="K10">IF(D10="",0, SUMPRODUCT(--(ISNUMBER(SEARCH($A10,'Diags Raw Data'!$A$6:$A$3766))),'Diags Raw Data'!$L$6:$L$3766,'Diags Raw Data'!$N$6:$N$3766)/J10)</f>
        <v>1</v>
      </c>
      <c r="L10" s="444" cm="1">
        <f t="array" ref="L10">IF(D10="",0, SUMPRODUCT(--(ISNUMBER(SEARCH($A10,'Diags Raw Data'!$A$6:$A$3766))),'Diags Raw Data'!$L$6:$L$3766,'Diags Raw Data'!$P$6:$P$3766)/J10)</f>
        <v>1</v>
      </c>
      <c r="M10" s="445" cm="1">
        <f t="array" ref="M10">SUMPRODUCT(--(ISNUMBER(SEARCH($A10,'Diags Raw Data'!$A$6:$A$3766))),--('Diags Raw Data'!$Q$6:$Q$3766&lt;&gt;"N/A"),'Diags Raw Data'!$T$6:$T$3766)+SUMPRODUCT(--(ISNUMBER(SEARCH($A10,'Diags Raw Data'!$A$6:$A$3766))),--('Diags Raw Data'!$Q$6:$Q$3766&lt;&gt;"N/A"),'Diags Raw Data'!$U$6:$U$3766)</f>
        <v>1816</v>
      </c>
      <c r="N10" s="445" cm="1">
        <f t="array" ref="N10">SUMPRODUCT(--(ISNUMBER(SEARCH($A10,'Diags Raw Data'!$A$6:$A$3766))),--('Diags Raw Data'!$Q$6:$Q$3766&lt;&gt;"N/A"),'Diags Raw Data'!$T$6:$T$3766)+SUMPRODUCT(--(ISNUMBER(SEARCH($A10,'Diags Raw Data'!$A$6:$A$3766))),--('Diags Raw Data'!$Q$6:$Q$3766&lt;&gt;"N/A"),'Diags Raw Data'!$U$6:$U$3766)</f>
        <v>1816</v>
      </c>
      <c r="O10" s="446">
        <f t="shared" si="4"/>
        <v>1</v>
      </c>
      <c r="P10" s="447">
        <f>SUMIF('Diags Raw Data'!$A$6:$A$3766,"*"&amp;$A10&amp;"*",'Diags Raw Data'!$Z$6:$Z$3766)</f>
        <v>1000</v>
      </c>
      <c r="Q10" s="448">
        <f>SUM(SUMIF('Diags Raw Data'!$A$6:$A$3766,"*"&amp;$A10&amp;"*",'Diags Raw Data'!$AA$6:$AA$3766),SUMIF('Diags Raw Data'!$A$6:$A$3766,"*"&amp;$A10&amp;"*",'Diags Raw Data'!$AB$6:$AB$3766))</f>
        <v>1000</v>
      </c>
      <c r="R10" s="449">
        <f t="shared" si="5"/>
        <v>1</v>
      </c>
      <c r="S10" s="449">
        <f t="shared" si="6"/>
        <v>1</v>
      </c>
      <c r="T10" s="450">
        <f t="shared" si="7"/>
        <v>1</v>
      </c>
      <c r="U10" s="419" t="s">
        <v>1076</v>
      </c>
      <c r="V10" s="181"/>
    </row>
    <row r="11" spans="1:22" ht="58.5" thickBot="1">
      <c r="A11" s="321" t="s">
        <v>341</v>
      </c>
      <c r="B11" s="412" t="str">
        <f>VLOOKUP(A11,'Feature Raw Data'!$A$3:$B$3847,2,FALSE)</f>
        <v>WS.Storm.Core.ISA.5</v>
      </c>
      <c r="C11" s="413" t="str">
        <f>VLOOKUP(A11,'Feature Raw Data'!$A$3:$C$3929,3,FALSE)</f>
        <v>P4</v>
      </c>
      <c r="D11" s="414" t="str" cm="1">
        <f t="array" ref="D11">_xlfn.TEXTJOIN("",TRUE,IF(ISNUMBER(SEARCH($A11,'Diags Raw Data'!$A$6:$A$3768)),CONCATENATE('Diags Raw Data'!$H$6:$H$3768,", "),""))</f>
        <v xml:space="preserve">rapid_deluge.yml, </v>
      </c>
      <c r="E11" s="415" t="str">
        <f>VLOOKUP(A11,'Diags Raw Data'!$A$6:$D$3768,4,FALSE)</f>
        <v>CORE-09</v>
      </c>
      <c r="F11" s="415" t="str">
        <f>VLOOKUP(A11,'Feature Raw Data'!$A$3:$E$3847,5,FALSE)</f>
        <v>Legacy</v>
      </c>
      <c r="G11" s="415" t="str">
        <f t="shared" si="10"/>
        <v>Yes</v>
      </c>
      <c r="H11" s="415" t="str">
        <f t="shared" si="11"/>
        <v>Yes</v>
      </c>
      <c r="I11" s="417">
        <f>SUMIF('Diags Raw Data'!$A$6:$A$3768,"*"&amp;$A11&amp;"*",'Diags Raw Data'!$K$6:$K$3768)</f>
        <v>1</v>
      </c>
      <c r="J11" s="418">
        <f>SUMIF('Diags Raw Data'!$A$6:$A$3768,"*"&amp;$A11&amp;"*",'Diags Raw Data'!$L$6:$L$3768)</f>
        <v>1000</v>
      </c>
      <c r="K11" s="443" cm="1">
        <f t="array" ref="K11">IF(D11="",0, SUMPRODUCT(--(ISNUMBER(SEARCH($A11,'Diags Raw Data'!$A$6:$A$3766))),'Diags Raw Data'!$L$6:$L$3766,'Diags Raw Data'!$N$6:$N$3766)/J11)</f>
        <v>1</v>
      </c>
      <c r="L11" s="444" cm="1">
        <f t="array" ref="L11">IF(D11="",0, SUMPRODUCT(--(ISNUMBER(SEARCH($A11,'Diags Raw Data'!$A$6:$A$3766))),'Diags Raw Data'!$L$6:$L$3766,'Diags Raw Data'!$P$6:$P$3766)/J11)</f>
        <v>1</v>
      </c>
      <c r="M11" s="445" cm="1">
        <f t="array" ref="M11">SUMPRODUCT(--(ISNUMBER(SEARCH($A11,'Diags Raw Data'!$A$6:$A$3766))),--('Diags Raw Data'!$Q$6:$Q$3766&lt;&gt;"N/A"),'Diags Raw Data'!$T$6:$T$3766)+SUMPRODUCT(--(ISNUMBER(SEARCH($A11,'Diags Raw Data'!$A$6:$A$3766))),--('Diags Raw Data'!$Q$6:$Q$3766&lt;&gt;"N/A"),'Diags Raw Data'!$U$6:$U$3766)</f>
        <v>1782</v>
      </c>
      <c r="N11" s="445" cm="1">
        <f t="array" ref="N11">SUMPRODUCT(--(ISNUMBER(SEARCH($A11,'Diags Raw Data'!$A$6:$A$3766))),--('Diags Raw Data'!$Q$6:$Q$3766&lt;&gt;"N/A"),'Diags Raw Data'!$T$6:$T$3766)+SUMPRODUCT(--(ISNUMBER(SEARCH($A11,'Diags Raw Data'!$A$6:$A$3766))),--('Diags Raw Data'!$Q$6:$Q$3766&lt;&gt;"N/A"),'Diags Raw Data'!$U$6:$U$3766)</f>
        <v>1782</v>
      </c>
      <c r="O11" s="446">
        <f t="shared" si="4"/>
        <v>1</v>
      </c>
      <c r="P11" s="447">
        <f>SUMIF('Diags Raw Data'!$A$6:$A$3766,"*"&amp;$A11&amp;"*",'Diags Raw Data'!$Z$6:$Z$3766)</f>
        <v>3000</v>
      </c>
      <c r="Q11" s="448">
        <f>SUM(SUMIF('Diags Raw Data'!$A$6:$A$3766,"*"&amp;$A11&amp;"*",'Diags Raw Data'!$AA$6:$AA$3766),SUMIF('Diags Raw Data'!$A$6:$A$3766,"*"&amp;$A11&amp;"*",'Diags Raw Data'!$AB$6:$AB$3766))</f>
        <v>3000</v>
      </c>
      <c r="R11" s="449">
        <f t="shared" si="5"/>
        <v>3</v>
      </c>
      <c r="S11" s="449">
        <f t="shared" si="6"/>
        <v>1</v>
      </c>
      <c r="T11" s="450">
        <f t="shared" si="7"/>
        <v>3</v>
      </c>
      <c r="U11" s="419" t="s">
        <v>1076</v>
      </c>
      <c r="V11" s="181"/>
    </row>
    <row r="12" spans="1:22" ht="58.5" thickBot="1">
      <c r="A12" s="321" t="s">
        <v>345</v>
      </c>
      <c r="B12" s="412" t="str">
        <f>VLOOKUP(A12,'Feature Raw Data'!$A$3:$B$3847,2,FALSE)</f>
        <v>WS.Storm.Core.ISA.6</v>
      </c>
      <c r="C12" s="413" t="str">
        <f>VLOOKUP(A12,'Feature Raw Data'!$A$3:$C$3929,3,FALSE)</f>
        <v>P4</v>
      </c>
      <c r="D12" s="414" t="str" cm="1">
        <f t="array" ref="D12">_xlfn.TEXTJOIN("",TRUE,IF(ISNUMBER(SEARCH($A12,'Diags Raw Data'!$A$6:$A$3768)),CONCATENATE('Diags Raw Data'!$H$6:$H$3768,", "),""))</f>
        <v xml:space="preserve">rapid_deluge_in_guest_mode.yml, </v>
      </c>
      <c r="E12" s="415" t="str">
        <f>VLOOKUP(A12,'Diags Raw Data'!$A$6:$D$3768,4,FALSE)</f>
        <v>CORE-09</v>
      </c>
      <c r="F12" s="415" t="str">
        <f>VLOOKUP(A12,'Feature Raw Data'!$A$3:$E$3847,5,FALSE)</f>
        <v>Legacy</v>
      </c>
      <c r="G12" s="415" t="str">
        <f t="shared" si="10"/>
        <v>Yes</v>
      </c>
      <c r="H12" s="415" t="str">
        <f t="shared" si="11"/>
        <v>Yes</v>
      </c>
      <c r="I12" s="417">
        <f>SUMIF('Diags Raw Data'!$A$6:$A$3768,"*"&amp;$A12&amp;"*",'Diags Raw Data'!$K$6:$K$3768)</f>
        <v>1</v>
      </c>
      <c r="J12" s="418">
        <f>SUMIF('Diags Raw Data'!$A$6:$A$3768,"*"&amp;$A12&amp;"*",'Diags Raw Data'!$L$6:$L$3768)</f>
        <v>200</v>
      </c>
      <c r="K12" s="443" cm="1">
        <f t="array" ref="K12">IF(D12="",0, SUMPRODUCT(--(ISNUMBER(SEARCH($A12,'Diags Raw Data'!$A$6:$A$3766))),'Diags Raw Data'!$L$6:$L$3766,'Diags Raw Data'!$N$6:$N$3766)/J12)</f>
        <v>1</v>
      </c>
      <c r="L12" s="444" cm="1">
        <f t="array" ref="L12">IF(D12="",0, SUMPRODUCT(--(ISNUMBER(SEARCH($A12,'Diags Raw Data'!$A$6:$A$3766))),'Diags Raw Data'!$L$6:$L$3766,'Diags Raw Data'!$P$6:$P$3766)/J12)</f>
        <v>1</v>
      </c>
      <c r="M12" s="445" cm="1">
        <f t="array" ref="M12">SUMPRODUCT(--(ISNUMBER(SEARCH($A12,'Diags Raw Data'!$A$6:$A$3766))),--('Diags Raw Data'!$Q$6:$Q$3766&lt;&gt;"N/A"),'Diags Raw Data'!$T$6:$T$3766)+SUMPRODUCT(--(ISNUMBER(SEARCH($A12,'Diags Raw Data'!$A$6:$A$3766))),--('Diags Raw Data'!$Q$6:$Q$3766&lt;&gt;"N/A"),'Diags Raw Data'!$U$6:$U$3766)</f>
        <v>2000</v>
      </c>
      <c r="N12" s="445" cm="1">
        <f t="array" ref="N12">SUMPRODUCT(--(ISNUMBER(SEARCH($A12,'Diags Raw Data'!$A$6:$A$3766))),--('Diags Raw Data'!$Q$6:$Q$3766&lt;&gt;"N/A"),'Diags Raw Data'!$T$6:$T$3766)+SUMPRODUCT(--(ISNUMBER(SEARCH($A12,'Diags Raw Data'!$A$6:$A$3766))),--('Diags Raw Data'!$Q$6:$Q$3766&lt;&gt;"N/A"),'Diags Raw Data'!$U$6:$U$3766)</f>
        <v>2000</v>
      </c>
      <c r="O12" s="446">
        <f t="shared" si="4"/>
        <v>1</v>
      </c>
      <c r="P12" s="447">
        <f>SUMIF('Diags Raw Data'!$A$6:$A$3766,"*"&amp;$A12&amp;"*",'Diags Raw Data'!$Z$6:$Z$3766)</f>
        <v>2000</v>
      </c>
      <c r="Q12" s="448">
        <f>SUM(SUMIF('Diags Raw Data'!$A$6:$A$3766,"*"&amp;$A12&amp;"*",'Diags Raw Data'!$AA$6:$AA$3766),SUMIF('Diags Raw Data'!$A$6:$A$3766,"*"&amp;$A12&amp;"*",'Diags Raw Data'!$AB$6:$AB$3766))</f>
        <v>2000</v>
      </c>
      <c r="R12" s="449">
        <f t="shared" si="5"/>
        <v>10</v>
      </c>
      <c r="S12" s="449">
        <f t="shared" si="6"/>
        <v>1</v>
      </c>
      <c r="T12" s="450">
        <f t="shared" si="7"/>
        <v>10</v>
      </c>
      <c r="U12" s="419" t="s">
        <v>1076</v>
      </c>
      <c r="V12" s="181"/>
    </row>
    <row r="13" spans="1:22" ht="58.5" thickBot="1">
      <c r="A13" s="321" t="s">
        <v>348</v>
      </c>
      <c r="B13" s="412" t="str">
        <f>VLOOKUP(A13,'Feature Raw Data'!$A$3:$B$3847,2,FALSE)</f>
        <v>WS.Storm.CORE.Exerciser.1</v>
      </c>
      <c r="C13" s="413" t="str">
        <f>VLOOKUP(A13,'Feature Raw Data'!$A$3:$C$3929,3,FALSE)</f>
        <v>P4</v>
      </c>
      <c r="D13" s="414" t="str" cm="1">
        <f t="array" ref="D13">_xlfn.TEXTJOIN("",TRUE,IF(ISNUMBER(SEARCH($A13,'Diags Raw Data'!$A$6:$A$3768)),CONCATENATE('Diags Raw Data'!$H$6:$H$3768,", "),""))</f>
        <v xml:space="preserve">stateless_function_call.yml, </v>
      </c>
      <c r="E13" s="415" t="str">
        <f>VLOOKUP(A13,'Diags Raw Data'!$A$6:$D$3768,4,FALSE)</f>
        <v>CORE-09</v>
      </c>
      <c r="F13" s="415" t="str">
        <f>VLOOKUP(A13,'Feature Raw Data'!$A$3:$E$3847,5,FALSE)</f>
        <v>Legacy</v>
      </c>
      <c r="G13" s="415" t="str">
        <f t="shared" si="10"/>
        <v>Yes</v>
      </c>
      <c r="H13" s="415" t="str">
        <f t="shared" si="11"/>
        <v>Yes</v>
      </c>
      <c r="I13" s="417">
        <f>SUMIF('Diags Raw Data'!$A$6:$A$3768,"*"&amp;$A13&amp;"*",'Diags Raw Data'!$K$6:$K$3768)</f>
        <v>3</v>
      </c>
      <c r="J13" s="418">
        <f>SUMIF('Diags Raw Data'!$A$6:$A$3768,"*"&amp;$A13&amp;"*",'Diags Raw Data'!$L$6:$L$3768)</f>
        <v>5000</v>
      </c>
      <c r="K13" s="443" cm="1">
        <f t="array" ref="K13">IF(D13="",0, SUMPRODUCT(--(ISNUMBER(SEARCH($A13,'Diags Raw Data'!$A$6:$A$3766))),'Diags Raw Data'!$L$6:$L$3766,'Diags Raw Data'!$N$6:$N$3766)/J13)</f>
        <v>1</v>
      </c>
      <c r="L13" s="444" cm="1">
        <f t="array" ref="L13">IF(D13="",0, SUMPRODUCT(--(ISNUMBER(SEARCH($A13,'Diags Raw Data'!$A$6:$A$3766))),'Diags Raw Data'!$L$6:$L$3766,'Diags Raw Data'!$P$6:$P$3766)/J13)</f>
        <v>1</v>
      </c>
      <c r="M13" s="445" cm="1">
        <f t="array" ref="M13">SUMPRODUCT(--(ISNUMBER(SEARCH($A13,'Diags Raw Data'!$A$6:$A$3766))),--('Diags Raw Data'!$Q$6:$Q$3766&lt;&gt;"N/A"),'Diags Raw Data'!$T$6:$T$3766)+SUMPRODUCT(--(ISNUMBER(SEARCH($A13,'Diags Raw Data'!$A$6:$A$3766))),--('Diags Raw Data'!$Q$6:$Q$3766&lt;&gt;"N/A"),'Diags Raw Data'!$U$6:$U$3766)</f>
        <v>4000</v>
      </c>
      <c r="N13" s="445" cm="1">
        <f t="array" ref="N13">SUMPRODUCT(--(ISNUMBER(SEARCH($A13,'Diags Raw Data'!$A$6:$A$3766))),--('Diags Raw Data'!$Q$6:$Q$3766&lt;&gt;"N/A"),'Diags Raw Data'!$T$6:$T$3766)+SUMPRODUCT(--(ISNUMBER(SEARCH($A13,'Diags Raw Data'!$A$6:$A$3766))),--('Diags Raw Data'!$Q$6:$Q$3766&lt;&gt;"N/A"),'Diags Raw Data'!$U$6:$U$3766)</f>
        <v>4000</v>
      </c>
      <c r="O13" s="446">
        <f t="shared" si="4"/>
        <v>1</v>
      </c>
      <c r="P13" s="447">
        <f>SUMIF('Diags Raw Data'!$A$6:$A$3766,"*"&amp;$A13&amp;"*",'Diags Raw Data'!$Z$6:$Z$3766)</f>
        <v>5000</v>
      </c>
      <c r="Q13" s="448">
        <f>SUM(SUMIF('Diags Raw Data'!$A$6:$A$3766,"*"&amp;$A13&amp;"*",'Diags Raw Data'!$AA$6:$AA$3766),SUMIF('Diags Raw Data'!$A$6:$A$3766,"*"&amp;$A13&amp;"*",'Diags Raw Data'!$AB$6:$AB$3766))</f>
        <v>5000</v>
      </c>
      <c r="R13" s="449">
        <f t="shared" si="5"/>
        <v>1</v>
      </c>
      <c r="S13" s="449">
        <f t="shared" si="6"/>
        <v>1</v>
      </c>
      <c r="T13" s="450">
        <f t="shared" si="7"/>
        <v>1</v>
      </c>
      <c r="U13" s="419" t="s">
        <v>1076</v>
      </c>
      <c r="V13" s="181"/>
    </row>
    <row r="14" spans="1:22" ht="58.5" thickBot="1">
      <c r="A14" s="321" t="s">
        <v>352</v>
      </c>
      <c r="B14" s="412" t="str">
        <f>VLOOKUP(A14,'Feature Raw Data'!$A$3:$B$3847,2,FALSE)</f>
        <v>WS.Storm.CORE.Exerciser.2</v>
      </c>
      <c r="C14" s="413" t="str">
        <f>VLOOKUP(A14,'Feature Raw Data'!$A$3:$C$3929,3,FALSE)</f>
        <v>P4</v>
      </c>
      <c r="D14" s="414" t="str" cm="1">
        <f t="array" ref="D14">_xlfn.TEXTJOIN("",TRUE,IF(ISNUMBER(SEARCH($A14,'Diags Raw Data'!$A$6:$A$3768)),CONCATENATE('Diags Raw Data'!$H$6:$H$3768,", "),""))</f>
        <v xml:space="preserve">stateless_function_call_in_guest_mode.yml, </v>
      </c>
      <c r="E14" s="415" t="str">
        <f>VLOOKUP(A14,'Diags Raw Data'!$A$6:$D$3768,4,FALSE)</f>
        <v>CORE-09</v>
      </c>
      <c r="F14" s="415" t="str">
        <f>VLOOKUP(A14,'Feature Raw Data'!$A$3:$E$3847,5,FALSE)</f>
        <v>Legacy</v>
      </c>
      <c r="G14" s="415" t="str">
        <f t="shared" si="10"/>
        <v>Yes</v>
      </c>
      <c r="H14" s="415" t="str">
        <f t="shared" si="11"/>
        <v>Yes</v>
      </c>
      <c r="I14" s="417">
        <f>SUMIF('Diags Raw Data'!$A$6:$A$3768,"*"&amp;$A14&amp;"*",'Diags Raw Data'!$K$6:$K$3768)</f>
        <v>1</v>
      </c>
      <c r="J14" s="418">
        <f>SUMIF('Diags Raw Data'!$A$6:$A$3768,"*"&amp;$A14&amp;"*",'Diags Raw Data'!$L$6:$L$3768)</f>
        <v>1000</v>
      </c>
      <c r="K14" s="443" cm="1">
        <f t="array" ref="K14">IF(D14="",0, SUMPRODUCT(--(ISNUMBER(SEARCH($A14,'Diags Raw Data'!$A$6:$A$3766))),'Diags Raw Data'!$L$6:$L$3766,'Diags Raw Data'!$N$6:$N$3766)/J14)</f>
        <v>1</v>
      </c>
      <c r="L14" s="444" cm="1">
        <f t="array" ref="L14">IF(D14="",0, SUMPRODUCT(--(ISNUMBER(SEARCH($A14,'Diags Raw Data'!$A$6:$A$3766))),'Diags Raw Data'!$L$6:$L$3766,'Diags Raw Data'!$P$6:$P$3766)/J14)</f>
        <v>1</v>
      </c>
      <c r="M14" s="445" cm="1">
        <f t="array" ref="M14">SUMPRODUCT(--(ISNUMBER(SEARCH($A14,'Diags Raw Data'!$A$6:$A$3766))),--('Diags Raw Data'!$Q$6:$Q$3766&lt;&gt;"N/A"),'Diags Raw Data'!$T$6:$T$3766)+SUMPRODUCT(--(ISNUMBER(SEARCH($A14,'Diags Raw Data'!$A$6:$A$3766))),--('Diags Raw Data'!$Q$6:$Q$3766&lt;&gt;"N/A"),'Diags Raw Data'!$U$6:$U$3766)</f>
        <v>1000</v>
      </c>
      <c r="N14" s="445" cm="1">
        <f t="array" ref="N14">SUMPRODUCT(--(ISNUMBER(SEARCH($A14,'Diags Raw Data'!$A$6:$A$3766))),--('Diags Raw Data'!$Q$6:$Q$3766&lt;&gt;"N/A"),'Diags Raw Data'!$T$6:$T$3766)+SUMPRODUCT(--(ISNUMBER(SEARCH($A14,'Diags Raw Data'!$A$6:$A$3766))),--('Diags Raw Data'!$Q$6:$Q$3766&lt;&gt;"N/A"),'Diags Raw Data'!$U$6:$U$3766)</f>
        <v>1000</v>
      </c>
      <c r="O14" s="446">
        <f t="shared" si="4"/>
        <v>1</v>
      </c>
      <c r="P14" s="447">
        <f>SUMIF('Diags Raw Data'!$A$6:$A$3766,"*"&amp;$A14&amp;"*",'Diags Raw Data'!$Z$6:$Z$3766)</f>
        <v>1000</v>
      </c>
      <c r="Q14" s="448">
        <f>SUM(SUMIF('Diags Raw Data'!$A$6:$A$3766,"*"&amp;$A14&amp;"*",'Diags Raw Data'!$AA$6:$AA$3766),SUMIF('Diags Raw Data'!$A$6:$A$3766,"*"&amp;$A14&amp;"*",'Diags Raw Data'!$AB$6:$AB$3766))</f>
        <v>1000</v>
      </c>
      <c r="R14" s="449">
        <f t="shared" si="5"/>
        <v>1</v>
      </c>
      <c r="S14" s="449">
        <f t="shared" si="6"/>
        <v>1</v>
      </c>
      <c r="T14" s="450">
        <f t="shared" si="7"/>
        <v>1</v>
      </c>
      <c r="U14" s="419" t="s">
        <v>1076</v>
      </c>
      <c r="V14" s="181"/>
    </row>
    <row r="15" spans="1:22" ht="58.5" thickBot="1">
      <c r="A15" s="321" t="s">
        <v>355</v>
      </c>
      <c r="B15" s="412" t="str">
        <f>VLOOKUP(A15,'Feature Raw Data'!$A$3:$B$3847,2,FALSE)</f>
        <v>WS.Storm.CORE.Exerciser.3</v>
      </c>
      <c r="C15" s="413" t="str">
        <f>VLOOKUP(A15,'Feature Raw Data'!$A$3:$C$3929,3,FALSE)</f>
        <v>P4</v>
      </c>
      <c r="D15" s="414" t="str" cm="1">
        <f t="array" ref="D15">_xlfn.TEXTJOIN("",TRUE,IF(ISNUMBER(SEARCH($A15,'Diags Raw Data'!$A$6:$A$3768)),CONCATENATE('Diags Raw Data'!$H$6:$H$3768,", "),""))</f>
        <v xml:space="preserve">Riptide.yml, </v>
      </c>
      <c r="E15" s="415" t="str">
        <f>VLOOKUP(A15,'Diags Raw Data'!$A$6:$D$3768,4,FALSE)</f>
        <v>CORE-09</v>
      </c>
      <c r="F15" s="415" t="str">
        <f>VLOOKUP(A15,'Feature Raw Data'!$A$3:$E$3847,5,FALSE)</f>
        <v>Legacy</v>
      </c>
      <c r="G15" s="415" t="str">
        <f t="shared" si="10"/>
        <v>Yes</v>
      </c>
      <c r="H15" s="415" t="str">
        <f t="shared" si="11"/>
        <v>Yes</v>
      </c>
      <c r="I15" s="417">
        <f>SUMIF('Diags Raw Data'!$A$6:$A$3768,"*"&amp;$A15&amp;"*",'Diags Raw Data'!$K$6:$K$3768)</f>
        <v>10</v>
      </c>
      <c r="J15" s="418">
        <f>SUMIF('Diags Raw Data'!$A$6:$A$3768,"*"&amp;$A15&amp;"*",'Diags Raw Data'!$L$6:$L$3768)</f>
        <v>20000</v>
      </c>
      <c r="K15" s="443" cm="1">
        <f t="array" ref="K15">IF(D15="",0, SUMPRODUCT(--(ISNUMBER(SEARCH($A15,'Diags Raw Data'!$A$6:$A$3766))),'Diags Raw Data'!$L$6:$L$3766,'Diags Raw Data'!$N$6:$N$3766)/J15)</f>
        <v>1</v>
      </c>
      <c r="L15" s="444" cm="1">
        <f t="array" ref="L15">IF(D15="",0, SUMPRODUCT(--(ISNUMBER(SEARCH($A15,'Diags Raw Data'!$A$6:$A$3766))),'Diags Raw Data'!$L$6:$L$3766,'Diags Raw Data'!$P$6:$P$3766)/J15)</f>
        <v>1</v>
      </c>
      <c r="M15" s="445" cm="1">
        <f t="array" ref="M15">SUMPRODUCT(--(ISNUMBER(SEARCH($A15,'Diags Raw Data'!$A$6:$A$3766))),--('Diags Raw Data'!$Q$6:$Q$3766&lt;&gt;"N/A"),'Diags Raw Data'!$T$6:$T$3766)+SUMPRODUCT(--(ISNUMBER(SEARCH($A15,'Diags Raw Data'!$A$6:$A$3766))),--('Diags Raw Data'!$Q$6:$Q$3766&lt;&gt;"N/A"),'Diags Raw Data'!$U$6:$U$3766)</f>
        <v>827</v>
      </c>
      <c r="N15" s="445" cm="1">
        <f t="array" ref="N15">SUMPRODUCT(--(ISNUMBER(SEARCH($A15,'Diags Raw Data'!$A$6:$A$3766))),--('Diags Raw Data'!$Q$6:$Q$3766&lt;&gt;"N/A"),'Diags Raw Data'!$T$6:$T$3766)+SUMPRODUCT(--(ISNUMBER(SEARCH($A15,'Diags Raw Data'!$A$6:$A$3766))),--('Diags Raw Data'!$Q$6:$Q$3766&lt;&gt;"N/A"),'Diags Raw Data'!$U$6:$U$3766)</f>
        <v>827</v>
      </c>
      <c r="O15" s="446">
        <f t="shared" si="4"/>
        <v>1</v>
      </c>
      <c r="P15" s="447">
        <f>SUMIF('Diags Raw Data'!$A$6:$A$3766,"*"&amp;$A15&amp;"*",'Diags Raw Data'!$Z$6:$Z$3766)</f>
        <v>10000</v>
      </c>
      <c r="Q15" s="448">
        <f>SUM(SUMIF('Diags Raw Data'!$A$6:$A$3766,"*"&amp;$A15&amp;"*",'Diags Raw Data'!$AA$6:$AA$3766),SUMIF('Diags Raw Data'!$A$6:$A$3766,"*"&amp;$A15&amp;"*",'Diags Raw Data'!$AB$6:$AB$3766))</f>
        <v>10000</v>
      </c>
      <c r="R15" s="449">
        <f t="shared" si="5"/>
        <v>0.5</v>
      </c>
      <c r="S15" s="449">
        <f t="shared" si="6"/>
        <v>1</v>
      </c>
      <c r="T15" s="450">
        <f t="shared" si="7"/>
        <v>0.5</v>
      </c>
      <c r="U15" s="419" t="s">
        <v>1076</v>
      </c>
      <c r="V15" s="181"/>
    </row>
    <row r="16" spans="1:22" ht="58.5" thickBot="1">
      <c r="A16" s="321" t="s">
        <v>359</v>
      </c>
      <c r="B16" s="412" t="str">
        <f>VLOOKUP(A16,'Feature Raw Data'!$A$3:$B$3847,2,FALSE)</f>
        <v>WS.Storm.CORE.Exerciser.4</v>
      </c>
      <c r="C16" s="413" t="str">
        <f>VLOOKUP(A16,'Feature Raw Data'!$A$3:$C$3929,3,FALSE)</f>
        <v>P4</v>
      </c>
      <c r="D16" s="414" t="str" cm="1">
        <f t="array" ref="D16">_xlfn.TEXTJOIN("",TRUE,IF(ISNUMBER(SEARCH($A16,'Diags Raw Data'!$A$6:$A$3768)),CONCATENATE('Diags Raw Data'!$H$6:$H$3768,", "),""))</f>
        <v xml:space="preserve">ubursts.yml, </v>
      </c>
      <c r="E16" s="415" t="str">
        <f>VLOOKUP(A16,'Diags Raw Data'!$A$6:$D$3768,4,FALSE)</f>
        <v>CORE-09</v>
      </c>
      <c r="F16" s="415" t="str">
        <f>VLOOKUP(A16,'Feature Raw Data'!$A$3:$E$3847,5,FALSE)</f>
        <v>Legacy</v>
      </c>
      <c r="G16" s="415" t="str">
        <f t="shared" si="10"/>
        <v>Yes</v>
      </c>
      <c r="H16" s="415" t="str">
        <f t="shared" si="11"/>
        <v>Yes</v>
      </c>
      <c r="I16" s="417">
        <f>SUMIF('Diags Raw Data'!$A$6:$A$3768,"*"&amp;$A16&amp;"*",'Diags Raw Data'!$K$6:$K$3768)</f>
        <v>10</v>
      </c>
      <c r="J16" s="418">
        <f>SUMIF('Diags Raw Data'!$A$6:$A$3768,"*"&amp;$A16&amp;"*",'Diags Raw Data'!$L$6:$L$3768)</f>
        <v>10000</v>
      </c>
      <c r="K16" s="443" cm="1">
        <f t="array" ref="K16">IF(D16="",0, SUMPRODUCT(--(ISNUMBER(SEARCH($A16,'Diags Raw Data'!$A$6:$A$3766))),'Diags Raw Data'!$L$6:$L$3766,'Diags Raw Data'!$N$6:$N$3766)/J16)</f>
        <v>1</v>
      </c>
      <c r="L16" s="444" cm="1">
        <f t="array" ref="L16">IF(D16="",0, SUMPRODUCT(--(ISNUMBER(SEARCH($A16,'Diags Raw Data'!$A$6:$A$3766))),'Diags Raw Data'!$L$6:$L$3766,'Diags Raw Data'!$P$6:$P$3766)/J16)</f>
        <v>1</v>
      </c>
      <c r="M16" s="445" cm="1">
        <f t="array" ref="M16">SUMPRODUCT(--(ISNUMBER(SEARCH($A16,'Diags Raw Data'!$A$6:$A$3766))),--('Diags Raw Data'!$Q$6:$Q$3766&lt;&gt;"N/A"),'Diags Raw Data'!$T$6:$T$3766)+SUMPRODUCT(--(ISNUMBER(SEARCH($A16,'Diags Raw Data'!$A$6:$A$3766))),--('Diags Raw Data'!$Q$6:$Q$3766&lt;&gt;"N/A"),'Diags Raw Data'!$U$6:$U$3766)</f>
        <v>520</v>
      </c>
      <c r="N16" s="445" cm="1">
        <f t="array" ref="N16">SUMPRODUCT(--(ISNUMBER(SEARCH($A16,'Diags Raw Data'!$A$6:$A$3766))),--('Diags Raw Data'!$Q$6:$Q$3766&lt;&gt;"N/A"),'Diags Raw Data'!$T$6:$T$3766)+SUMPRODUCT(--(ISNUMBER(SEARCH($A16,'Diags Raw Data'!$A$6:$A$3766))),--('Diags Raw Data'!$Q$6:$Q$3766&lt;&gt;"N/A"),'Diags Raw Data'!$U$6:$U$3766)</f>
        <v>520</v>
      </c>
      <c r="O16" s="446">
        <f t="shared" si="4"/>
        <v>1</v>
      </c>
      <c r="P16" s="447">
        <f>SUMIF('Diags Raw Data'!$A$6:$A$3766,"*"&amp;$A16&amp;"*",'Diags Raw Data'!$Z$6:$Z$3766)</f>
        <v>10000</v>
      </c>
      <c r="Q16" s="448">
        <f>SUM(SUMIF('Diags Raw Data'!$A$6:$A$3766,"*"&amp;$A16&amp;"*",'Diags Raw Data'!$AA$6:$AA$3766),SUMIF('Diags Raw Data'!$A$6:$A$3766,"*"&amp;$A16&amp;"*",'Diags Raw Data'!$AB$6:$AB$3766))</f>
        <v>10000</v>
      </c>
      <c r="R16" s="449">
        <f t="shared" si="5"/>
        <v>1</v>
      </c>
      <c r="S16" s="449">
        <f t="shared" si="6"/>
        <v>1</v>
      </c>
      <c r="T16" s="450">
        <f t="shared" si="7"/>
        <v>1</v>
      </c>
      <c r="U16" s="419" t="s">
        <v>1076</v>
      </c>
      <c r="V16" s="181"/>
    </row>
    <row r="17" spans="1:22" s="184" customFormat="1" ht="58.5" thickBot="1">
      <c r="A17" s="321" t="s">
        <v>363</v>
      </c>
      <c r="B17" s="412" t="str">
        <f>VLOOKUP(A17,'Feature Raw Data'!$A$3:$B$3847,2,FALSE)</f>
        <v>WS.Storm.CORE.Exerciser.5</v>
      </c>
      <c r="C17" s="413" t="str">
        <f>VLOOKUP(A17,'Feature Raw Data'!$A$3:$C$3929,3,FALSE)</f>
        <v>P4</v>
      </c>
      <c r="D17" s="414" t="str" cm="1">
        <f t="array" ref="D17">_xlfn.TEXTJOIN("",TRUE,IF(ISNUMBER(SEARCH($A17,'Diags Raw Data'!$A$6:$A$3768)),CONCATENATE('Diags Raw Data'!$H$6:$H$3768,", "),""))</f>
        <v xml:space="preserve">supercell.yml, </v>
      </c>
      <c r="E17" s="415" t="str">
        <f>VLOOKUP(A17,'Diags Raw Data'!$A$6:$D$3768,4,FALSE)</f>
        <v>CORE-09</v>
      </c>
      <c r="F17" s="415" t="str">
        <f>VLOOKUP(A17,'Feature Raw Data'!$A$3:$E$3847,5,FALSE)</f>
        <v>Legacy</v>
      </c>
      <c r="G17" s="415" t="str">
        <f t="shared" si="10"/>
        <v>Yes</v>
      </c>
      <c r="H17" s="415" t="str">
        <f t="shared" si="11"/>
        <v>Yes</v>
      </c>
      <c r="I17" s="417">
        <f>SUMIF('Diags Raw Data'!$A$6:$A$3768,"*"&amp;$A17&amp;"*",'Diags Raw Data'!$K$6:$K$3768)</f>
        <v>3</v>
      </c>
      <c r="J17" s="418">
        <f>SUMIF('Diags Raw Data'!$A$6:$A$3768,"*"&amp;$A17&amp;"*",'Diags Raw Data'!$L$6:$L$3768)</f>
        <v>5000</v>
      </c>
      <c r="K17" s="443" cm="1">
        <f t="array" ref="K17">IF(D17="",0, SUMPRODUCT(--(ISNUMBER(SEARCH($A17,'Diags Raw Data'!$A$6:$A$3766))),'Diags Raw Data'!$L$6:$L$3766,'Diags Raw Data'!$N$6:$N$3766)/J17)</f>
        <v>1</v>
      </c>
      <c r="L17" s="444" cm="1">
        <f t="array" ref="L17">IF(D17="",0, SUMPRODUCT(--(ISNUMBER(SEARCH($A17,'Diags Raw Data'!$A$6:$A$3766))),'Diags Raw Data'!$L$6:$L$3766,'Diags Raw Data'!$P$6:$P$3766)/J17)</f>
        <v>1</v>
      </c>
      <c r="M17" s="445" cm="1">
        <f t="array" ref="M17">SUMPRODUCT(--(ISNUMBER(SEARCH($A17,'Diags Raw Data'!$A$6:$A$3766))),--('Diags Raw Data'!$Q$6:$Q$3766&lt;&gt;"N/A"),'Diags Raw Data'!$T$6:$T$3766)+SUMPRODUCT(--(ISNUMBER(SEARCH($A17,'Diags Raw Data'!$A$6:$A$3766))),--('Diags Raw Data'!$Q$6:$Q$3766&lt;&gt;"N/A"),'Diags Raw Data'!$U$6:$U$3766)</f>
        <v>0</v>
      </c>
      <c r="N17" s="445" cm="1">
        <f t="array" ref="N17">SUMPRODUCT(--(ISNUMBER(SEARCH($A17,'Diags Raw Data'!$A$6:$A$3766))),--('Diags Raw Data'!$Q$6:$Q$3766&lt;&gt;"N/A"),'Diags Raw Data'!$T$6:$T$3766)+SUMPRODUCT(--(ISNUMBER(SEARCH($A17,'Diags Raw Data'!$A$6:$A$3766))),--('Diags Raw Data'!$Q$6:$Q$3766&lt;&gt;"N/A"),'Diags Raw Data'!$U$6:$U$3766)</f>
        <v>0</v>
      </c>
      <c r="O17" s="446">
        <f t="shared" si="4"/>
        <v>0</v>
      </c>
      <c r="P17" s="447">
        <f>SUMIF('Diags Raw Data'!$A$6:$A$3766,"*"&amp;$A17&amp;"*",'Diags Raw Data'!$Z$6:$Z$3766)</f>
        <v>0</v>
      </c>
      <c r="Q17" s="448">
        <f>SUM(SUMIF('Diags Raw Data'!$A$6:$A$3766,"*"&amp;$A17&amp;"*",'Diags Raw Data'!$AA$6:$AA$3766),SUMIF('Diags Raw Data'!$A$6:$A$3766,"*"&amp;$A17&amp;"*",'Diags Raw Data'!$AB$6:$AB$3766))</f>
        <v>0</v>
      </c>
      <c r="R17" s="449">
        <f t="shared" si="5"/>
        <v>0</v>
      </c>
      <c r="S17" s="449">
        <f t="shared" si="6"/>
        <v>0</v>
      </c>
      <c r="T17" s="450">
        <f t="shared" si="7"/>
        <v>0</v>
      </c>
      <c r="U17" s="419" t="s">
        <v>1076</v>
      </c>
      <c r="V17" s="183"/>
    </row>
    <row r="18" spans="1:22" s="184" customFormat="1" ht="58.5" thickBot="1">
      <c r="A18" s="321" t="s">
        <v>366</v>
      </c>
      <c r="B18" s="412" t="str">
        <f>VLOOKUP(A18,'Feature Raw Data'!$A$3:$B$3847,2,FALSE)</f>
        <v>WS.Storm.CORE.Exerciser.6</v>
      </c>
      <c r="C18" s="413" t="str">
        <f>VLOOKUP(A18,'Feature Raw Data'!$A$3:$C$3929,3,FALSE)</f>
        <v>P4</v>
      </c>
      <c r="D18" s="414" t="str" cm="1">
        <f t="array" ref="D18">_xlfn.TEXTJOIN("",TRUE,IF(ISNUMBER(SEARCH($A18,'Diags Raw Data'!$A$6:$A$3768)),CONCATENATE('Diags Raw Data'!$H$6:$H$3768,", "),""))</f>
        <v xml:space="preserve">rep_op_generator.rb.yml, </v>
      </c>
      <c r="E18" s="415" t="str">
        <f>VLOOKUP(A18,'Diags Raw Data'!$A$6:$D$3768,4,FALSE)</f>
        <v>CORE-09</v>
      </c>
      <c r="F18" s="415" t="str">
        <f>VLOOKUP(A18,'Feature Raw Data'!$A$3:$E$3847,5,FALSE)</f>
        <v>Legacy</v>
      </c>
      <c r="G18" s="415" t="str">
        <f t="shared" si="10"/>
        <v>Yes</v>
      </c>
      <c r="H18" s="415" t="str">
        <f t="shared" si="11"/>
        <v>Yes</v>
      </c>
      <c r="I18" s="417">
        <f>SUMIF('Diags Raw Data'!$A$6:$A$3768,"*"&amp;$A18&amp;"*",'Diags Raw Data'!$K$6:$K$3768)</f>
        <v>3</v>
      </c>
      <c r="J18" s="418">
        <f>SUMIF('Diags Raw Data'!$A$6:$A$3768,"*"&amp;$A18&amp;"*",'Diags Raw Data'!$L$6:$L$3768)</f>
        <v>5000</v>
      </c>
      <c r="K18" s="443" cm="1">
        <f t="array" ref="K18">IF(D18="",0, SUMPRODUCT(--(ISNUMBER(SEARCH($A18,'Diags Raw Data'!$A$6:$A$3766))),'Diags Raw Data'!$L$6:$L$3766,'Diags Raw Data'!$N$6:$N$3766)/J18)</f>
        <v>1</v>
      </c>
      <c r="L18" s="444" cm="1">
        <f t="array" ref="L18">IF(D18="",0, SUMPRODUCT(--(ISNUMBER(SEARCH($A18,'Diags Raw Data'!$A$6:$A$3766))),'Diags Raw Data'!$L$6:$L$3766,'Diags Raw Data'!$P$6:$P$3766)/J18)</f>
        <v>1</v>
      </c>
      <c r="M18" s="445" cm="1">
        <f t="array" ref="M18">SUMPRODUCT(--(ISNUMBER(SEARCH($A18,'Diags Raw Data'!$A$6:$A$3766))),--('Diags Raw Data'!$Q$6:$Q$3766&lt;&gt;"N/A"),'Diags Raw Data'!$T$6:$T$3766)+SUMPRODUCT(--(ISNUMBER(SEARCH($A18,'Diags Raw Data'!$A$6:$A$3766))),--('Diags Raw Data'!$Q$6:$Q$3766&lt;&gt;"N/A"),'Diags Raw Data'!$U$6:$U$3766)</f>
        <v>135</v>
      </c>
      <c r="N18" s="445" cm="1">
        <f t="array" ref="N18">SUMPRODUCT(--(ISNUMBER(SEARCH($A18,'Diags Raw Data'!$A$6:$A$3766))),--('Diags Raw Data'!$Q$6:$Q$3766&lt;&gt;"N/A"),'Diags Raw Data'!$T$6:$T$3766)+SUMPRODUCT(--(ISNUMBER(SEARCH($A18,'Diags Raw Data'!$A$6:$A$3766))),--('Diags Raw Data'!$Q$6:$Q$3766&lt;&gt;"N/A"),'Diags Raw Data'!$U$6:$U$3766)</f>
        <v>135</v>
      </c>
      <c r="O18" s="446">
        <f t="shared" ref="O18" si="12">IF((M18=0),0,N18/M18)</f>
        <v>1</v>
      </c>
      <c r="P18" s="447">
        <f>SUMIF('Diags Raw Data'!$A$6:$A$3766,"*"&amp;$A18&amp;"*",'Diags Raw Data'!$Z$6:$Z$3766)</f>
        <v>4000</v>
      </c>
      <c r="Q18" s="448">
        <f>SUM(SUMIF('Diags Raw Data'!$A$6:$A$3766,"*"&amp;$A18&amp;"*",'Diags Raw Data'!$AA$6:$AA$3766),SUMIF('Diags Raw Data'!$A$6:$A$3766,"*"&amp;$A18&amp;"*",'Diags Raw Data'!$AB$6:$AB$3766))</f>
        <v>4000</v>
      </c>
      <c r="R18" s="449">
        <f t="shared" ref="R18" si="13">IF((J18=0),0,P18/J18)</f>
        <v>0.8</v>
      </c>
      <c r="S18" s="449">
        <f t="shared" ref="S18" si="14">IF((P18=0),0,Q18/P18)</f>
        <v>1</v>
      </c>
      <c r="T18" s="450">
        <f t="shared" ref="T18" si="15">R18*S18</f>
        <v>0.8</v>
      </c>
      <c r="U18" s="419" t="s">
        <v>1076</v>
      </c>
      <c r="V18" s="183"/>
    </row>
    <row r="19" spans="1:22" ht="58.5" thickBot="1">
      <c r="A19" s="321" t="s">
        <v>369</v>
      </c>
      <c r="B19" s="412" t="str">
        <f>VLOOKUP(A19,'Feature Raw Data'!$A$3:$B$3847,2,FALSE)</f>
        <v>WS.Storm.Core.SRB</v>
      </c>
      <c r="C19" s="413" t="str">
        <f>VLOOKUP(A19,'Feature Raw Data'!$A$3:$C$3929,3,FALSE)</f>
        <v>P4</v>
      </c>
      <c r="D19" s="414" t="str" cm="1">
        <f t="array" ref="D19">_xlfn.TEXTJOIN("",TRUE,IF(ISNUMBER(SEARCH($A19,'Diags Raw Data'!$A$6:$A$3768)),CONCATENATE('Diags Raw Data'!$H$6:$H$3768,", "),""))</f>
        <v xml:space="preserve">ssp_zp_compat_exsc_leg037_srb_registers.yml, </v>
      </c>
      <c r="E19" s="415" t="str">
        <f>VLOOKUP(A19,'Diags Raw Data'!$A$6:$D$3768,4,FALSE)</f>
        <v>CORE-09</v>
      </c>
      <c r="F19" s="415" t="str">
        <f>VLOOKUP(A19,'Feature Raw Data'!$A$3:$E$3847,5,FALSE)</f>
        <v>Legacy</v>
      </c>
      <c r="G19" s="415" t="str">
        <f t="shared" si="10"/>
        <v>Yes</v>
      </c>
      <c r="H19" s="415" t="str">
        <f t="shared" si="11"/>
        <v>Yes</v>
      </c>
      <c r="I19" s="417">
        <f>SUMIF('Diags Raw Data'!$A$6:$A$3768,"*"&amp;$A19&amp;"*",'Diags Raw Data'!$K$6:$K$3768)</f>
        <v>1</v>
      </c>
      <c r="J19" s="418">
        <f>SUMIF('Diags Raw Data'!$A$6:$A$3768,"*"&amp;$A19&amp;"*",'Diags Raw Data'!$L$6:$L$3768)</f>
        <v>500</v>
      </c>
      <c r="K19" s="443" cm="1">
        <f t="array" ref="K19">IF(D19="",0, SUMPRODUCT(--(ISNUMBER(SEARCH($A19,'Diags Raw Data'!$A$6:$A$3766))),'Diags Raw Data'!$L$6:$L$3766,'Diags Raw Data'!$N$6:$N$3766)/J19)</f>
        <v>1</v>
      </c>
      <c r="L19" s="444" cm="1">
        <f t="array" ref="L19">IF(D19="",0, SUMPRODUCT(--(ISNUMBER(SEARCH($A19,'Diags Raw Data'!$A$6:$A$3766))),'Diags Raw Data'!$L$6:$L$3766,'Diags Raw Data'!$P$6:$P$3766)/J19)</f>
        <v>1</v>
      </c>
      <c r="M19" s="445" cm="1">
        <f t="array" ref="M19">SUMPRODUCT(--(ISNUMBER(SEARCH($A19,'Diags Raw Data'!$A$6:$A$3766))),--('Diags Raw Data'!$Q$6:$Q$3766&lt;&gt;"N/A"),'Diags Raw Data'!$T$6:$T$3766)+SUMPRODUCT(--(ISNUMBER(SEARCH($A19,'Diags Raw Data'!$A$6:$A$3766))),--('Diags Raw Data'!$Q$6:$Q$3766&lt;&gt;"N/A"),'Diags Raw Data'!$U$6:$U$3766)</f>
        <v>1076</v>
      </c>
      <c r="N19" s="445" cm="1">
        <f t="array" ref="N19">SUMPRODUCT(--(ISNUMBER(SEARCH($A19,'Diags Raw Data'!$A$6:$A$3766))),--('Diags Raw Data'!$Q$6:$Q$3766&lt;&gt;"N/A"),'Diags Raw Data'!$T$6:$T$3766)+SUMPRODUCT(--(ISNUMBER(SEARCH($A19,'Diags Raw Data'!$A$6:$A$3766))),--('Diags Raw Data'!$Q$6:$Q$3766&lt;&gt;"N/A"),'Diags Raw Data'!$U$6:$U$3766)</f>
        <v>1076</v>
      </c>
      <c r="O19" s="446">
        <f t="shared" si="4"/>
        <v>1</v>
      </c>
      <c r="P19" s="447">
        <f>SUMIF('Diags Raw Data'!$A$6:$A$3766,"*"&amp;$A19&amp;"*",'Diags Raw Data'!$Z$6:$Z$3766)</f>
        <v>1000</v>
      </c>
      <c r="Q19" s="448">
        <f>SUM(SUMIF('Diags Raw Data'!$A$6:$A$3766,"*"&amp;$A19&amp;"*",'Diags Raw Data'!$AA$6:$AA$3766),SUMIF('Diags Raw Data'!$A$6:$A$3766,"*"&amp;$A19&amp;"*",'Diags Raw Data'!$AB$6:$AB$3766))</f>
        <v>1000</v>
      </c>
      <c r="R19" s="449">
        <f t="shared" si="5"/>
        <v>2</v>
      </c>
      <c r="S19" s="449">
        <f t="shared" si="6"/>
        <v>1</v>
      </c>
      <c r="T19" s="450">
        <f t="shared" si="7"/>
        <v>2</v>
      </c>
      <c r="U19" s="419" t="s">
        <v>1076</v>
      </c>
      <c r="V19" s="181"/>
    </row>
    <row r="20" spans="1:22" ht="91.5" customHeight="1" thickBot="1">
      <c r="A20" s="321" t="s">
        <v>374</v>
      </c>
      <c r="B20" s="412" t="str">
        <f>VLOOKUP(A20,'Feature Raw Data'!$A$3:$B$3847,2,FALSE)</f>
        <v>WS.CDL.Core.TSCTestCases</v>
      </c>
      <c r="C20" s="413" t="str">
        <f>VLOOKUP(A20,'Feature Raw Data'!$A$3:$C$3929,3,FALSE)</f>
        <v>P1</v>
      </c>
      <c r="D20" s="414" t="str" cm="1">
        <f t="array" ref="D20">_xlfn.TEXTJOIN("",TRUE,IF(ISNUMBER(SEARCH($A20,'Diags Raw Data'!$A$6:$A$3768)),CONCATENATE('Diags Raw Data'!$H$6:$H$3768,", "),""))</f>
        <v xml:space="preserve">Core3.1.172_TSC_Sync_Correctness_Check.stf
Core_Group_18_TSC_Sync_Check_Using_RDTSC.stf
Core3.1.180_TSC_Check.stf
Rdtsc_Rollover.stf
Core_TSC_Stability_Check_With_External_Source.stf, </v>
      </c>
      <c r="E20" s="415" t="str">
        <f>VLOOKUP(A20,'Diags Raw Data'!$A$6:$D$3768,4,FALSE)</f>
        <v>CORE-09</v>
      </c>
      <c r="F20" s="415" t="str">
        <f>VLOOKUP(A20,'Feature Raw Data'!$A$3:$E$3847,5,FALSE)</f>
        <v>Legacy</v>
      </c>
      <c r="G20" s="415" t="str">
        <f t="shared" si="10"/>
        <v>Yes</v>
      </c>
      <c r="H20" s="415" t="str">
        <f t="shared" si="11"/>
        <v>Yes</v>
      </c>
      <c r="I20" s="417">
        <f>SUMIF('Diags Raw Data'!$A$6:$A$3768,"*"&amp;$A20&amp;"*",'Diags Raw Data'!$K$6:$K$3768)</f>
        <v>1</v>
      </c>
      <c r="J20" s="418">
        <f>SUMIF('Diags Raw Data'!$A$6:$A$3768,"*"&amp;$A20&amp;"*",'Diags Raw Data'!$L$6:$L$3768)</f>
        <v>5</v>
      </c>
      <c r="K20" s="443" cm="1">
        <f t="array" ref="K20">IF(D20="",0, SUMPRODUCT(--(ISNUMBER(SEARCH($A20,'Diags Raw Data'!$A$6:$A$3766))),'Diags Raw Data'!$L$6:$L$3766,'Diags Raw Data'!$N$6:$N$3766)/J20)</f>
        <v>1</v>
      </c>
      <c r="L20" s="444" cm="1">
        <f t="array" ref="L20">IF(D20="",0, SUMPRODUCT(--(ISNUMBER(SEARCH($A20,'Diags Raw Data'!$A$6:$A$3766))),'Diags Raw Data'!$L$6:$L$3766,'Diags Raw Data'!$P$6:$P$3766)/J20)</f>
        <v>1</v>
      </c>
      <c r="M20" s="445" cm="1">
        <f t="array" ref="M20">SUMPRODUCT(--(ISNUMBER(SEARCH($A20,'Diags Raw Data'!$A$6:$A$3766))),--('Diags Raw Data'!$Q$6:$Q$3766&lt;&gt;"N/A"),'Diags Raw Data'!$T$6:$T$3766)+SUMPRODUCT(--(ISNUMBER(SEARCH($A20,'Diags Raw Data'!$A$6:$A$3766))),--('Diags Raw Data'!$Q$6:$Q$3766&lt;&gt;"N/A"),'Diags Raw Data'!$U$6:$U$3766)</f>
        <v>5</v>
      </c>
      <c r="N20" s="445" cm="1">
        <f t="array" ref="N20">SUMPRODUCT(--(ISNUMBER(SEARCH($A20,'Diags Raw Data'!$A$6:$A$3766))),--('Diags Raw Data'!$Q$6:$Q$3766&lt;&gt;"N/A"),'Diags Raw Data'!$T$6:$T$3766)+SUMPRODUCT(--(ISNUMBER(SEARCH($A20,'Diags Raw Data'!$A$6:$A$3766))),--('Diags Raw Data'!$Q$6:$Q$3766&lt;&gt;"N/A"),'Diags Raw Data'!$U$6:$U$3766)</f>
        <v>5</v>
      </c>
      <c r="O20" s="446">
        <f t="shared" si="4"/>
        <v>1</v>
      </c>
      <c r="P20" s="447">
        <f>SUMIF('Diags Raw Data'!$A$6:$A$3766,"*"&amp;$A20&amp;"*",'Diags Raw Data'!$Z$6:$Z$3766)</f>
        <v>5</v>
      </c>
      <c r="Q20" s="448">
        <f>SUM(SUMIF('Diags Raw Data'!$A$6:$A$3766,"*"&amp;$A20&amp;"*",'Diags Raw Data'!$AA$6:$AA$3766),SUMIF('Diags Raw Data'!$A$6:$A$3766,"*"&amp;$A20&amp;"*",'Diags Raw Data'!$AB$6:$AB$3766))</f>
        <v>5</v>
      </c>
      <c r="R20" s="449">
        <f t="shared" si="5"/>
        <v>1</v>
      </c>
      <c r="S20" s="449">
        <f t="shared" si="6"/>
        <v>1</v>
      </c>
      <c r="T20" s="450">
        <f t="shared" si="7"/>
        <v>1</v>
      </c>
      <c r="U20" s="419"/>
      <c r="V20" s="181"/>
    </row>
    <row r="21" spans="1:22" ht="45">
      <c r="A21" s="321" t="s">
        <v>380</v>
      </c>
      <c r="B21" s="412" t="str">
        <f>VLOOKUP(A21,'Feature Raw Data'!$A$3:$B$3847,2,FALSE)</f>
        <v>WS.CDL.Core.AperfMperfTestCases</v>
      </c>
      <c r="C21" s="413" t="str">
        <f>VLOOKUP(A21,'Feature Raw Data'!$A$3:$C$3929,3,FALSE)</f>
        <v>P1</v>
      </c>
      <c r="D21" s="414" t="s">
        <v>1077</v>
      </c>
      <c r="E21" s="415" t="str">
        <f>VLOOKUP(A21,'Diags Raw Data'!$A$6:$D$3768,4,FALSE)</f>
        <v>CORE-09</v>
      </c>
      <c r="F21" s="415" t="str">
        <f>VLOOKUP(A21,'Feature Raw Data'!$A$3:$E$3847,5,FALSE)</f>
        <v>Legacy</v>
      </c>
      <c r="G21" s="415" t="str">
        <f t="shared" si="10"/>
        <v>Yes</v>
      </c>
      <c r="H21" s="415" t="str">
        <f t="shared" si="11"/>
        <v>Yes</v>
      </c>
      <c r="I21" s="417">
        <f>SUMIF('Diags Raw Data'!$A$6:$A$3768,"*"&amp;$A21&amp;"*",'Diags Raw Data'!$K$6:$K$3768)</f>
        <v>1</v>
      </c>
      <c r="J21" s="418">
        <f>SUMIF('Diags Raw Data'!$A$6:$A$3768,"*"&amp;$A21&amp;"*",'Diags Raw Data'!$L$6:$L$3768)</f>
        <v>5</v>
      </c>
      <c r="K21" s="443" cm="1">
        <f t="array" ref="K21">IF(D21="",0, SUMPRODUCT(--(ISNUMBER(SEARCH($A21,'Diags Raw Data'!$A$6:$A$3766))),'Diags Raw Data'!$L$6:$L$3766,'Diags Raw Data'!$N$6:$N$3766)/J21)</f>
        <v>1</v>
      </c>
      <c r="L21" s="444" cm="1">
        <f t="array" ref="L21">IF(D21="",0, SUMPRODUCT(--(ISNUMBER(SEARCH($A21,'Diags Raw Data'!$A$6:$A$3766))),'Diags Raw Data'!$L$6:$L$3766,'Diags Raw Data'!$P$6:$P$3766)/J21)</f>
        <v>1</v>
      </c>
      <c r="M21" s="445" cm="1">
        <f t="array" ref="M21">SUMPRODUCT(--(ISNUMBER(SEARCH($A21,'Diags Raw Data'!$A$6:$A$3766))),--('Diags Raw Data'!$Q$6:$Q$3766&lt;&gt;"N/A"),'Diags Raw Data'!$T$6:$T$3766)+SUMPRODUCT(--(ISNUMBER(SEARCH($A21,'Diags Raw Data'!$A$6:$A$3766))),--('Diags Raw Data'!$Q$6:$Q$3766&lt;&gt;"N/A"),'Diags Raw Data'!$U$6:$U$3766)</f>
        <v>5</v>
      </c>
      <c r="N21" s="445" cm="1">
        <f t="array" ref="N21">SUMPRODUCT(--(ISNUMBER(SEARCH($A21,'Diags Raw Data'!$A$6:$A$3766))),--('Diags Raw Data'!$Q$6:$Q$3766&lt;&gt;"N/A"),'Diags Raw Data'!$T$6:$T$3766)+SUMPRODUCT(--(ISNUMBER(SEARCH($A21,'Diags Raw Data'!$A$6:$A$3766))),--('Diags Raw Data'!$Q$6:$Q$3766&lt;&gt;"N/A"),'Diags Raw Data'!$U$6:$U$3766)</f>
        <v>5</v>
      </c>
      <c r="O21" s="446">
        <f t="shared" si="4"/>
        <v>1</v>
      </c>
      <c r="P21" s="447">
        <f>SUMIF('Diags Raw Data'!$A$6:$A$3766,"*"&amp;$A21&amp;"*",'Diags Raw Data'!$Z$6:$Z$3766)</f>
        <v>5</v>
      </c>
      <c r="Q21" s="448">
        <f>SUM(SUMIF('Diags Raw Data'!$A$6:$A$3766,"*"&amp;$A21&amp;"*",'Diags Raw Data'!$AA$6:$AA$3766),SUMIF('Diags Raw Data'!$A$6:$A$3766,"*"&amp;$A21&amp;"*",'Diags Raw Data'!$AB$6:$AB$3766))</f>
        <v>5</v>
      </c>
      <c r="R21" s="449">
        <f t="shared" si="5"/>
        <v>1</v>
      </c>
      <c r="S21" s="449">
        <f t="shared" si="6"/>
        <v>1</v>
      </c>
      <c r="T21" s="450">
        <f t="shared" si="7"/>
        <v>1</v>
      </c>
      <c r="U21" s="419"/>
      <c r="V21" s="181"/>
    </row>
    <row r="22" spans="1:22" ht="29.45" thickBot="1">
      <c r="A22" s="321" t="s">
        <v>383</v>
      </c>
      <c r="B22" s="412" t="str">
        <f>VLOOKUP(A22,'Feature Raw Data'!$A$3:$B$3847,2,FALSE)</f>
        <v>WS.CDL.Core.TSCSemTestCases</v>
      </c>
      <c r="C22" s="413" t="str">
        <f>VLOOKUP(A22,'Feature Raw Data'!$A$3:$C$3929,3,FALSE)</f>
        <v>P1</v>
      </c>
      <c r="D22" s="414" t="str" cm="1">
        <f t="array" ref="D22">_xlfn.TEXTJOIN("",TRUE,IF(ISNUMBER(SEARCH($A22,'Diags Raw Data'!$A$6:$A$3768)),CONCATENATE('Diags Raw Data'!$H$6:$H$3768,", "),""))</f>
        <v xml:space="preserve">Core_Group_15_TSC_Sync_Check_with_Semaphore_Lock.stf
Core_Group_16_TSC_Sync_Check_with_Semaphore_Lock_and_C6_Irritator.stf, </v>
      </c>
      <c r="E22" s="415" t="str">
        <f>VLOOKUP(A22,'Diags Raw Data'!$A$6:$D$3768,4,FALSE)</f>
        <v>CORE-09</v>
      </c>
      <c r="F22" s="415" t="str">
        <f>VLOOKUP(A22,'Feature Raw Data'!$A$3:$E$3847,5,FALSE)</f>
        <v>Legacy</v>
      </c>
      <c r="G22" s="415" t="str">
        <f t="shared" si="10"/>
        <v>Yes</v>
      </c>
      <c r="H22" s="415" t="str">
        <f t="shared" si="11"/>
        <v>Yes</v>
      </c>
      <c r="I22" s="417">
        <f>SUMIF('Diags Raw Data'!$A$6:$A$3768,"*"&amp;$A22&amp;"*",'Diags Raw Data'!$K$6:$K$3768)</f>
        <v>1</v>
      </c>
      <c r="J22" s="418">
        <f>SUMIF('Diags Raw Data'!$A$6:$A$3768,"*"&amp;$A22&amp;"*",'Diags Raw Data'!$L$6:$L$3768)</f>
        <v>2</v>
      </c>
      <c r="K22" s="443" cm="1">
        <f t="array" ref="K22">IF(D22="",0, SUMPRODUCT(--(ISNUMBER(SEARCH($A22,'Diags Raw Data'!$A$6:$A$3766))),'Diags Raw Data'!$L$6:$L$3766,'Diags Raw Data'!$N$6:$N$3766)/J22)</f>
        <v>1</v>
      </c>
      <c r="L22" s="444" cm="1">
        <f t="array" ref="L22">IF(D22="",0, SUMPRODUCT(--(ISNUMBER(SEARCH($A22,'Diags Raw Data'!$A$6:$A$3766))),'Diags Raw Data'!$L$6:$L$3766,'Diags Raw Data'!$P$6:$P$3766)/J22)</f>
        <v>1</v>
      </c>
      <c r="M22" s="445" cm="1">
        <f t="array" ref="M22">SUMPRODUCT(--(ISNUMBER(SEARCH($A22,'Diags Raw Data'!$A$6:$A$3766))),--('Diags Raw Data'!$Q$6:$Q$3766&lt;&gt;"N/A"),'Diags Raw Data'!$T$6:$T$3766)+SUMPRODUCT(--(ISNUMBER(SEARCH($A22,'Diags Raw Data'!$A$6:$A$3766))),--('Diags Raw Data'!$Q$6:$Q$3766&lt;&gt;"N/A"),'Diags Raw Data'!$U$6:$U$3766)</f>
        <v>2</v>
      </c>
      <c r="N22" s="445" cm="1">
        <f t="array" ref="N22">SUMPRODUCT(--(ISNUMBER(SEARCH($A22,'Diags Raw Data'!$A$6:$A$3766))),--('Diags Raw Data'!$Q$6:$Q$3766&lt;&gt;"N/A"),'Diags Raw Data'!$T$6:$T$3766)+SUMPRODUCT(--(ISNUMBER(SEARCH($A22,'Diags Raw Data'!$A$6:$A$3766))),--('Diags Raw Data'!$Q$6:$Q$3766&lt;&gt;"N/A"),'Diags Raw Data'!$U$6:$U$3766)</f>
        <v>2</v>
      </c>
      <c r="O22" s="446">
        <f t="shared" si="4"/>
        <v>1</v>
      </c>
      <c r="P22" s="447">
        <f>SUMIF('Diags Raw Data'!$A$6:$A$3766,"*"&amp;$A22&amp;"*",'Diags Raw Data'!$Z$6:$Z$3766)</f>
        <v>2</v>
      </c>
      <c r="Q22" s="448">
        <f>SUM(SUMIF('Diags Raw Data'!$A$6:$A$3766,"*"&amp;$A22&amp;"*",'Diags Raw Data'!$AA$6:$AA$3766),SUMIF('Diags Raw Data'!$A$6:$A$3766,"*"&amp;$A22&amp;"*",'Diags Raw Data'!$AB$6:$AB$3766))</f>
        <v>2</v>
      </c>
      <c r="R22" s="449">
        <f t="shared" si="5"/>
        <v>1</v>
      </c>
      <c r="S22" s="449">
        <f t="shared" si="6"/>
        <v>1</v>
      </c>
      <c r="T22" s="450">
        <f t="shared" si="7"/>
        <v>1</v>
      </c>
      <c r="U22" s="419"/>
      <c r="V22" s="181"/>
    </row>
    <row r="23" spans="1:22" ht="15" thickBot="1">
      <c r="A23" s="321" t="s">
        <v>386</v>
      </c>
      <c r="B23" s="412" t="str">
        <f>VLOOKUP(A23,'Feature Raw Data'!$A$3:$B$3847,2,FALSE)</f>
        <v>WS.CDL.Core.Down-coring</v>
      </c>
      <c r="C23" s="413" t="str">
        <f>VLOOKUP(A23,'Feature Raw Data'!$A$3:$C$3929,3,FALSE)</f>
        <v>P3</v>
      </c>
      <c r="D23" s="414" t="str" cm="1">
        <f t="array" ref="D23">_xlfn.TEXTJOIN("",TRUE,IF(ISNUMBER(SEARCH($A23,'Diags Raw Data'!$A$6:$A$3768)),CONCATENATE('Diags Raw Data'!$H$6:$H$3768,", "),""))</f>
        <v xml:space="preserve">Manual, </v>
      </c>
      <c r="E23" s="415" t="str">
        <f>VLOOKUP(A23,'Diags Raw Data'!$A$6:$D$3768,4,FALSE)</f>
        <v>CORE-09</v>
      </c>
      <c r="F23" s="415" t="str">
        <f>VLOOKUP(A23,'Feature Raw Data'!$A$3:$E$3847,5,FALSE)</f>
        <v>Legacy</v>
      </c>
      <c r="G23" s="415" t="str">
        <f t="shared" si="10"/>
        <v>Yes</v>
      </c>
      <c r="H23" s="415" t="str">
        <f t="shared" si="11"/>
        <v>Yes</v>
      </c>
      <c r="I23" s="417">
        <f>SUMIF('Diags Raw Data'!$A$6:$A$3768,"*"&amp;$A23&amp;"*",'Diags Raw Data'!$K$6:$K$3768)</f>
        <v>1</v>
      </c>
      <c r="J23" s="418">
        <f>SUMIF('Diags Raw Data'!$A$6:$A$3768,"*"&amp;$A23&amp;"*",'Diags Raw Data'!$L$6:$L$3768)</f>
        <v>1</v>
      </c>
      <c r="K23" s="443" cm="1">
        <f t="array" ref="K23">IF(D23="",0, SUMPRODUCT(--(ISNUMBER(SEARCH($A23,'Diags Raw Data'!$A$6:$A$3766))),'Diags Raw Data'!$L$6:$L$3766,'Diags Raw Data'!$N$6:$N$3766)/J23)</f>
        <v>1</v>
      </c>
      <c r="L23" s="444" cm="1">
        <f t="array" ref="L23">IF(D23="",0, SUMPRODUCT(--(ISNUMBER(SEARCH($A23,'Diags Raw Data'!$A$6:$A$3766))),'Diags Raw Data'!$L$6:$L$3766,'Diags Raw Data'!$P$6:$P$3766)/J23)</f>
        <v>1</v>
      </c>
      <c r="M23" s="445" cm="1">
        <f t="array" ref="M23">SUMPRODUCT(--(ISNUMBER(SEARCH($A23,'Diags Raw Data'!$A$6:$A$3766))),--('Diags Raw Data'!$Q$6:$Q$3766&lt;&gt;"N/A"),'Diags Raw Data'!$T$6:$T$3766)+SUMPRODUCT(--(ISNUMBER(SEARCH($A23,'Diags Raw Data'!$A$6:$A$3766))),--('Diags Raw Data'!$Q$6:$Q$3766&lt;&gt;"N/A"),'Diags Raw Data'!$U$6:$U$3766)</f>
        <v>0</v>
      </c>
      <c r="N23" s="445" cm="1">
        <f t="array" ref="N23">SUMPRODUCT(--(ISNUMBER(SEARCH($A23,'Diags Raw Data'!$A$6:$A$3766))),--('Diags Raw Data'!$Q$6:$Q$3766&lt;&gt;"N/A"),'Diags Raw Data'!$T$6:$T$3766)+SUMPRODUCT(--(ISNUMBER(SEARCH($A23,'Diags Raw Data'!$A$6:$A$3766))),--('Diags Raw Data'!$Q$6:$Q$3766&lt;&gt;"N/A"),'Diags Raw Data'!$U$6:$U$3766)</f>
        <v>0</v>
      </c>
      <c r="O23" s="446">
        <f t="shared" si="4"/>
        <v>0</v>
      </c>
      <c r="P23" s="447">
        <f>SUMIF('Diags Raw Data'!$A$6:$A$3766,"*"&amp;$A23&amp;"*",'Diags Raw Data'!$Z$6:$Z$3766)</f>
        <v>1</v>
      </c>
      <c r="Q23" s="448">
        <f>SUM(SUMIF('Diags Raw Data'!$A$6:$A$3766,"*"&amp;$A23&amp;"*",'Diags Raw Data'!$AA$6:$AA$3766),SUMIF('Diags Raw Data'!$A$6:$A$3766,"*"&amp;$A23&amp;"*",'Diags Raw Data'!$AB$6:$AB$3766))</f>
        <v>1</v>
      </c>
      <c r="R23" s="449">
        <f t="shared" si="5"/>
        <v>1</v>
      </c>
      <c r="S23" s="449">
        <f t="shared" si="6"/>
        <v>1</v>
      </c>
      <c r="T23" s="450">
        <f t="shared" si="7"/>
        <v>1</v>
      </c>
      <c r="U23" s="419"/>
      <c r="V23" s="181"/>
    </row>
    <row r="24" spans="1:22" ht="58.5" thickBot="1">
      <c r="A24" s="321" t="s">
        <v>391</v>
      </c>
      <c r="B24" s="412" t="str">
        <f>VLOOKUP(A24,'Feature Raw Data'!$A$3:$B$3847,2,FALSE)</f>
        <v>WS.Storm.CPU.CET</v>
      </c>
      <c r="C24" s="413" t="str">
        <f>VLOOKUP(A24,'Feature Raw Data'!$A$3:$C$3929,3,FALSE)</f>
        <v>P4</v>
      </c>
      <c r="D24" s="414" t="str" cm="1">
        <f t="array" ref="D24">_xlfn.TEXTJOIN("",TRUE,IF(ISNUMBER(SEARCH($A24,'Diags Raw Data'!$A$6:$A$3768)),CONCATENATE('Diags Raw Data'!$H$6:$H$3768,", "),""))</f>
        <v xml:space="preserve">shadowstack.yml, </v>
      </c>
      <c r="E24" s="415" t="str">
        <f>VLOOKUP(A24,'Diags Raw Data'!$A$6:$D$3768,4,FALSE)</f>
        <v>CORE-09</v>
      </c>
      <c r="F24" s="415" t="str">
        <f>VLOOKUP(A24,'Feature Raw Data'!$A$3:$E$3847,5,FALSE)</f>
        <v>Legacy</v>
      </c>
      <c r="G24" s="415" t="str">
        <f t="shared" si="10"/>
        <v>Yes</v>
      </c>
      <c r="H24" s="415" t="str">
        <f t="shared" si="11"/>
        <v>Yes</v>
      </c>
      <c r="I24" s="417">
        <f>SUMIF('Diags Raw Data'!$A$6:$A$3768,"*"&amp;$A24&amp;"*",'Diags Raw Data'!$K$6:$K$3768)</f>
        <v>1</v>
      </c>
      <c r="J24" s="418">
        <f>SUMIF('Diags Raw Data'!$A$6:$A$3768,"*"&amp;$A24&amp;"*",'Diags Raw Data'!$L$6:$L$3768)</f>
        <v>1000</v>
      </c>
      <c r="K24" s="443" cm="1">
        <f t="array" ref="K24">IF(D24="",0, SUMPRODUCT(--(ISNUMBER(SEARCH($A24,'Diags Raw Data'!$A$6:$A$3766))),'Diags Raw Data'!$L$6:$L$3766,'Diags Raw Data'!$N$6:$N$3766)/J24)</f>
        <v>1</v>
      </c>
      <c r="L24" s="444" cm="1">
        <f t="array" ref="L24">IF(D24="",0, SUMPRODUCT(--(ISNUMBER(SEARCH($A24,'Diags Raw Data'!$A$6:$A$3766))),'Diags Raw Data'!$L$6:$L$3766,'Diags Raw Data'!$P$6:$P$3766)/J24)</f>
        <v>1</v>
      </c>
      <c r="M24" s="445" cm="1">
        <f t="array" ref="M24">SUMPRODUCT(--(ISNUMBER(SEARCH($A24,'Diags Raw Data'!$A$6:$A$3766))),--('Diags Raw Data'!$Q$6:$Q$3766&lt;&gt;"N/A"),'Diags Raw Data'!$T$6:$T$3766)+SUMPRODUCT(--(ISNUMBER(SEARCH($A24,'Diags Raw Data'!$A$6:$A$3766))),--('Diags Raw Data'!$Q$6:$Q$3766&lt;&gt;"N/A"),'Diags Raw Data'!$U$6:$U$3766)</f>
        <v>3400</v>
      </c>
      <c r="N24" s="445" cm="1">
        <f t="array" ref="N24">SUMPRODUCT(--(ISNUMBER(SEARCH($A24,'Diags Raw Data'!$A$6:$A$3766))),--('Diags Raw Data'!$Q$6:$Q$3766&lt;&gt;"N/A"),'Diags Raw Data'!$T$6:$T$3766)+SUMPRODUCT(--(ISNUMBER(SEARCH($A24,'Diags Raw Data'!$A$6:$A$3766))),--('Diags Raw Data'!$Q$6:$Q$3766&lt;&gt;"N/A"),'Diags Raw Data'!$U$6:$U$3766)</f>
        <v>3400</v>
      </c>
      <c r="O24" s="446">
        <f t="shared" si="4"/>
        <v>1</v>
      </c>
      <c r="P24" s="447">
        <f>SUMIF('Diags Raw Data'!$A$6:$A$3766,"*"&amp;$A24&amp;"*",'Diags Raw Data'!$Z$6:$Z$3766)</f>
        <v>3000</v>
      </c>
      <c r="Q24" s="448">
        <f>SUM(SUMIF('Diags Raw Data'!$A$6:$A$3766,"*"&amp;$A24&amp;"*",'Diags Raw Data'!$AA$6:$AA$3766),SUMIF('Diags Raw Data'!$A$6:$A$3766,"*"&amp;$A24&amp;"*",'Diags Raw Data'!$AB$6:$AB$3766))</f>
        <v>3000</v>
      </c>
      <c r="R24" s="449">
        <f t="shared" si="5"/>
        <v>3</v>
      </c>
      <c r="S24" s="449">
        <f t="shared" si="6"/>
        <v>1</v>
      </c>
      <c r="T24" s="450">
        <f t="shared" si="7"/>
        <v>3</v>
      </c>
      <c r="U24" s="419" t="s">
        <v>1076</v>
      </c>
      <c r="V24" s="181"/>
    </row>
    <row r="25" spans="1:22" ht="43.5" customHeight="1" thickBot="1">
      <c r="A25" s="321" t="s">
        <v>396</v>
      </c>
      <c r="B25" s="412" t="str">
        <f>VLOOKUP(A25,'Feature Raw Data'!$A$3:$B$3847,2,FALSE)</f>
        <v>WS.CDL.CPU.PPIN</v>
      </c>
      <c r="C25" s="413" t="str">
        <f>VLOOKUP(A25,'Feature Raw Data'!$A$3:$C$3929,3,FALSE)</f>
        <v>P4</v>
      </c>
      <c r="D25" s="414" t="str" cm="1">
        <f t="array" ref="D25">_xlfn.TEXTJOIN("",TRUE,IF(ISNUMBER(SEARCH($A25,'Diags Raw Data'!$A$6:$A$3768)),CONCATENATE('Diags Raw Data'!$H$6:$H$3768,", "),""))</f>
        <v xml:space="preserve">ppin.stf, </v>
      </c>
      <c r="E25" s="415" t="str">
        <f>VLOOKUP(A25,'Diags Raw Data'!$A$6:$D$3768,4,FALSE)</f>
        <v>CORE-09</v>
      </c>
      <c r="F25" s="415" t="str">
        <f>VLOOKUP(A25,'Feature Raw Data'!$A$3:$E$3847,5,FALSE)</f>
        <v>Legacy</v>
      </c>
      <c r="G25" s="415" t="str">
        <f t="shared" si="10"/>
        <v>Yes</v>
      </c>
      <c r="H25" s="415" t="str">
        <f t="shared" si="11"/>
        <v>Yes</v>
      </c>
      <c r="I25" s="417">
        <f>SUMIF('Diags Raw Data'!$A$6:$A$3768,"*"&amp;$A25&amp;"*",'Diags Raw Data'!$K$6:$K$3768)</f>
        <v>1</v>
      </c>
      <c r="J25" s="418">
        <f>SUMIF('Diags Raw Data'!$A$6:$A$3768,"*"&amp;$A25&amp;"*",'Diags Raw Data'!$L$6:$L$3768)</f>
        <v>0</v>
      </c>
      <c r="K25" s="443" t="e" cm="1">
        <f t="array" ref="K25">IF(D25="",0, SUMPRODUCT(--(ISNUMBER(SEARCH($A25,'Diags Raw Data'!$A$6:$A$3766))),'Diags Raw Data'!$L$6:$L$3766,'Diags Raw Data'!$N$6:$N$3766)/J25)</f>
        <v>#DIV/0!</v>
      </c>
      <c r="L25" s="444" t="e" cm="1">
        <f t="array" ref="L25">IF(D25="",0, SUMPRODUCT(--(ISNUMBER(SEARCH($A25,'Diags Raw Data'!$A$6:$A$3766))),'Diags Raw Data'!$L$6:$L$3766,'Diags Raw Data'!$P$6:$P$3766)/J25)</f>
        <v>#DIV/0!</v>
      </c>
      <c r="M25" s="445" cm="1">
        <f t="array" ref="M25">SUMPRODUCT(--(ISNUMBER(SEARCH($A25,'Diags Raw Data'!$A$6:$A$3766))),--('Diags Raw Data'!$Q$6:$Q$3766&lt;&gt;"N/A"),'Diags Raw Data'!$T$6:$T$3766)+SUMPRODUCT(--(ISNUMBER(SEARCH($A25,'Diags Raw Data'!$A$6:$A$3766))),--('Diags Raw Data'!$Q$6:$Q$3766&lt;&gt;"N/A"),'Diags Raw Data'!$U$6:$U$3766)</f>
        <v>0</v>
      </c>
      <c r="N25" s="445" cm="1">
        <f t="array" ref="N25">SUMPRODUCT(--(ISNUMBER(SEARCH($A25,'Diags Raw Data'!$A$6:$A$3766))),--('Diags Raw Data'!$Q$6:$Q$3766&lt;&gt;"N/A"),'Diags Raw Data'!$T$6:$T$3766)+SUMPRODUCT(--(ISNUMBER(SEARCH($A25,'Diags Raw Data'!$A$6:$A$3766))),--('Diags Raw Data'!$Q$6:$Q$3766&lt;&gt;"N/A"),'Diags Raw Data'!$U$6:$U$3766)</f>
        <v>0</v>
      </c>
      <c r="O25" s="446">
        <f t="shared" si="4"/>
        <v>0</v>
      </c>
      <c r="P25" s="447">
        <f>SUMIF('Diags Raw Data'!$A$6:$A$3766,"*"&amp;$A25&amp;"*",'Diags Raw Data'!$Z$6:$Z$3766)</f>
        <v>1</v>
      </c>
      <c r="Q25" s="448">
        <f>SUM(SUMIF('Diags Raw Data'!$A$6:$A$3766,"*"&amp;$A25&amp;"*",'Diags Raw Data'!$AA$6:$AA$3766),SUMIF('Diags Raw Data'!$A$6:$A$3766,"*"&amp;$A25&amp;"*",'Diags Raw Data'!$AB$6:$AB$3766))</f>
        <v>1</v>
      </c>
      <c r="R25" s="449">
        <f t="shared" si="5"/>
        <v>0</v>
      </c>
      <c r="S25" s="449">
        <f t="shared" si="6"/>
        <v>1</v>
      </c>
      <c r="T25" s="450">
        <f t="shared" si="7"/>
        <v>0</v>
      </c>
      <c r="U25" s="419" t="s">
        <v>1078</v>
      </c>
      <c r="V25" s="181"/>
    </row>
    <row r="26" spans="1:22" ht="15" thickBot="1">
      <c r="A26" s="321" t="s">
        <v>403</v>
      </c>
      <c r="B26" s="412" t="str">
        <f>VLOOKUP(A26,'Feature Raw Data'!$A$3:$B$3847,2,FALSE)</f>
        <v>WS.CDL.CPU.CPUID Values</v>
      </c>
      <c r="C26" s="413" t="str">
        <f>VLOOKUP(A26,'Feature Raw Data'!$A$3:$C$3929,3,FALSE)</f>
        <v>P2</v>
      </c>
      <c r="D26" s="414" t="str" cm="1">
        <f t="array" ref="D26">_xlfn.TEXTJOIN("",TRUE,IF(ISNUMBER(SEARCH($A26,'Diags Raw Data'!$A$6:$A$3768)),CONCATENATE('Diags Raw Data'!$H$6:$H$3768,", "),""))</f>
        <v xml:space="preserve">Core_3.1.65_CPUID_Values.stf, </v>
      </c>
      <c r="E26" s="415" t="str">
        <f>VLOOKUP(A26,'Diags Raw Data'!$A$6:$D$3768,4,FALSE)</f>
        <v>CORE-09</v>
      </c>
      <c r="F26" s="415" t="str">
        <f>VLOOKUP(A26,'Feature Raw Data'!$A$3:$E$3847,5,FALSE)</f>
        <v>Delta</v>
      </c>
      <c r="G26" s="415" t="str">
        <f t="shared" si="10"/>
        <v>Yes</v>
      </c>
      <c r="H26" s="415" t="str">
        <f t="shared" si="11"/>
        <v>Yes</v>
      </c>
      <c r="I26" s="417">
        <f>SUMIF('Diags Raw Data'!$A$6:$A$3768,"*"&amp;$A26&amp;"*",'Diags Raw Data'!$K$6:$K$3768)</f>
        <v>1</v>
      </c>
      <c r="J26" s="418">
        <f>SUMIF('Diags Raw Data'!$A$6:$A$3768,"*"&amp;$A26&amp;"*",'Diags Raw Data'!$L$6:$L$3768)</f>
        <v>1</v>
      </c>
      <c r="K26" s="443" cm="1">
        <f t="array" ref="K26">IF(D26="",0, SUMPRODUCT(--(ISNUMBER(SEARCH($A26,'Diags Raw Data'!$A$6:$A$3766))),'Diags Raw Data'!$L$6:$L$3766,'Diags Raw Data'!$N$6:$N$3766)/J26)</f>
        <v>1</v>
      </c>
      <c r="L26" s="444" cm="1">
        <f t="array" ref="L26">IF(D26="",0, SUMPRODUCT(--(ISNUMBER(SEARCH($A26,'Diags Raw Data'!$A$6:$A$3766))),'Diags Raw Data'!$L$6:$L$3766,'Diags Raw Data'!$P$6:$P$3766)/J26)</f>
        <v>1</v>
      </c>
      <c r="M26" s="445" cm="1">
        <f t="array" ref="M26">SUMPRODUCT(--(ISNUMBER(SEARCH($A26,'Diags Raw Data'!$A$6:$A$3766))),--('Diags Raw Data'!$Q$6:$Q$3766&lt;&gt;"N/A"),'Diags Raw Data'!$T$6:$T$3766)+SUMPRODUCT(--(ISNUMBER(SEARCH($A26,'Diags Raw Data'!$A$6:$A$3766))),--('Diags Raw Data'!$Q$6:$Q$3766&lt;&gt;"N/A"),'Diags Raw Data'!$U$6:$U$3766)</f>
        <v>1</v>
      </c>
      <c r="N26" s="445" cm="1">
        <f t="array" ref="N26">SUMPRODUCT(--(ISNUMBER(SEARCH($A26,'Diags Raw Data'!$A$6:$A$3766))),--('Diags Raw Data'!$Q$6:$Q$3766&lt;&gt;"N/A"),'Diags Raw Data'!$T$6:$T$3766)+SUMPRODUCT(--(ISNUMBER(SEARCH($A26,'Diags Raw Data'!$A$6:$A$3766))),--('Diags Raw Data'!$Q$6:$Q$3766&lt;&gt;"N/A"),'Diags Raw Data'!$U$6:$U$3766)</f>
        <v>1</v>
      </c>
      <c r="O26" s="446">
        <f t="shared" si="4"/>
        <v>1</v>
      </c>
      <c r="P26" s="447">
        <f>SUMIF('Diags Raw Data'!$A$6:$A$3766,"*"&amp;$A26&amp;"*",'Diags Raw Data'!$Z$6:$Z$3766)</f>
        <v>1</v>
      </c>
      <c r="Q26" s="448">
        <f>SUM(SUMIF('Diags Raw Data'!$A$6:$A$3766,"*"&amp;$A26&amp;"*",'Diags Raw Data'!$AA$6:$AA$3766),SUMIF('Diags Raw Data'!$A$6:$A$3766,"*"&amp;$A26&amp;"*",'Diags Raw Data'!$AB$6:$AB$3766))</f>
        <v>1</v>
      </c>
      <c r="R26" s="449">
        <f t="shared" si="5"/>
        <v>1</v>
      </c>
      <c r="S26" s="449">
        <f t="shared" si="6"/>
        <v>1</v>
      </c>
      <c r="T26" s="450">
        <f t="shared" si="7"/>
        <v>1</v>
      </c>
      <c r="U26" s="419" t="s">
        <v>1079</v>
      </c>
      <c r="V26" s="181"/>
    </row>
    <row r="27" spans="1:22" ht="83.25" customHeight="1" thickBot="1">
      <c r="A27" s="321" t="s">
        <v>408</v>
      </c>
      <c r="B27" s="412" t="str">
        <f>VLOOKUP(A27,'Feature Raw Data'!$A$3:$B$3847,2,FALSE)</f>
        <v>WS.Storm.CPU.x86ExceptionHandling</v>
      </c>
      <c r="C27" s="413" t="str">
        <f>VLOOKUP(A27,'Feature Raw Data'!$A$3:$C$3929,3,FALSE)</f>
        <v>P4</v>
      </c>
      <c r="D27" s="414" t="str" cm="1">
        <f t="array" ref="D27">_xlfn.TEXTJOIN("",TRUE,IF(ISNUMBER(SEARCH($A27,'Diags Raw Data'!$A$6:$A$3768)),CONCATENATE('Diags Raw Data'!$H$6:$H$3768,", "),""))</f>
        <v xml:space="preserve">
st341_rsa0_ps_only_cross_all_insts_all_excps.yml, </v>
      </c>
      <c r="E27" s="415" t="str">
        <f>VLOOKUP(A27,'Diags Raw Data'!$A$6:$D$3768,4,FALSE)</f>
        <v>CORE-09</v>
      </c>
      <c r="F27" s="415" t="str">
        <f>VLOOKUP(A27,'Feature Raw Data'!$A$3:$E$3847,5,FALSE)</f>
        <v>Legacy</v>
      </c>
      <c r="G27" s="415" t="str">
        <f t="shared" si="10"/>
        <v>Yes</v>
      </c>
      <c r="H27" s="415" t="str">
        <f t="shared" si="11"/>
        <v>Yes</v>
      </c>
      <c r="I27" s="417">
        <f>SUMIF('Diags Raw Data'!$A$6:$A$3768,"*"&amp;$A27&amp;"*",'Diags Raw Data'!$K$6:$K$3768)</f>
        <v>1</v>
      </c>
      <c r="J27" s="418">
        <f>SUMIF('Diags Raw Data'!$A$6:$A$3768,"*"&amp;$A27&amp;"*",'Diags Raw Data'!$L$6:$L$3768)</f>
        <v>1000</v>
      </c>
      <c r="K27" s="443" cm="1">
        <f t="array" ref="K27">IF(D27="",0, SUMPRODUCT(--(ISNUMBER(SEARCH($A27,'Diags Raw Data'!$A$6:$A$3766))),'Diags Raw Data'!$L$6:$L$3766,'Diags Raw Data'!$N$6:$N$3766)/J27)</f>
        <v>1</v>
      </c>
      <c r="L27" s="444" cm="1">
        <f t="array" ref="L27">IF(D27="",0, SUMPRODUCT(--(ISNUMBER(SEARCH($A27,'Diags Raw Data'!$A$6:$A$3766))),'Diags Raw Data'!$L$6:$L$3766,'Diags Raw Data'!$P$6:$P$3766)/J27)</f>
        <v>1</v>
      </c>
      <c r="M27" s="445" cm="1">
        <f t="array" ref="M27">SUMPRODUCT(--(ISNUMBER(SEARCH($A27,'Diags Raw Data'!$A$6:$A$3766))),--('Diags Raw Data'!$Q$6:$Q$3766&lt;&gt;"N/A"),'Diags Raw Data'!$T$6:$T$3766)+SUMPRODUCT(--(ISNUMBER(SEARCH($A27,'Diags Raw Data'!$A$6:$A$3766))),--('Diags Raw Data'!$Q$6:$Q$3766&lt;&gt;"N/A"),'Diags Raw Data'!$U$6:$U$3766)</f>
        <v>1000</v>
      </c>
      <c r="N27" s="445" cm="1">
        <f t="array" ref="N27">SUMPRODUCT(--(ISNUMBER(SEARCH($A27,'Diags Raw Data'!$A$6:$A$3766))),--('Diags Raw Data'!$Q$6:$Q$3766&lt;&gt;"N/A"),'Diags Raw Data'!$T$6:$T$3766)+SUMPRODUCT(--(ISNUMBER(SEARCH($A27,'Diags Raw Data'!$A$6:$A$3766))),--('Diags Raw Data'!$Q$6:$Q$3766&lt;&gt;"N/A"),'Diags Raw Data'!$U$6:$U$3766)</f>
        <v>1000</v>
      </c>
      <c r="O27" s="446">
        <f t="shared" si="4"/>
        <v>1</v>
      </c>
      <c r="P27" s="447">
        <f>SUMIF('Diags Raw Data'!$A$6:$A$3766,"*"&amp;$A27&amp;"*",'Diags Raw Data'!$Z$6:$Z$3766)</f>
        <v>2000</v>
      </c>
      <c r="Q27" s="448">
        <f>SUM(SUMIF('Diags Raw Data'!$A$6:$A$3766,"*"&amp;$A27&amp;"*",'Diags Raw Data'!$AA$6:$AA$3766),SUMIF('Diags Raw Data'!$A$6:$A$3766,"*"&amp;$A27&amp;"*",'Diags Raw Data'!$AB$6:$AB$3766))</f>
        <v>2000</v>
      </c>
      <c r="R27" s="449">
        <f t="shared" si="5"/>
        <v>2</v>
      </c>
      <c r="S27" s="449">
        <f t="shared" si="6"/>
        <v>1</v>
      </c>
      <c r="T27" s="450">
        <f t="shared" si="7"/>
        <v>2</v>
      </c>
      <c r="U27" s="419"/>
      <c r="V27" s="181"/>
    </row>
    <row r="28" spans="1:22" ht="54.75" customHeight="1" thickBot="1">
      <c r="A28" s="321" t="s">
        <v>413</v>
      </c>
      <c r="B28" s="412" t="str">
        <f>VLOOKUP(A28,'Feature Raw Data'!$A$3:$B$3847,2,FALSE)</f>
        <v>WS.CDL.CPU.BranchTraceHistoryBuffer</v>
      </c>
      <c r="C28" s="413" t="str">
        <f>VLOOKUP(A28,'Feature Raw Data'!$A$3:$C$3929,3,FALSE)</f>
        <v>P4</v>
      </c>
      <c r="D28" s="414" t="str" cm="1">
        <f t="array" ref="D28">_xlfn.TEXTJOIN("",TRUE,IF(ISNUMBER(SEARCH($A28,'Diags Raw Data'!$A$6:$A$3768)),CONCATENATE('Diags Raw Data'!$H$6:$H$3768,", "),""))</f>
        <v xml:space="preserve">Bthb_Trace.stf, </v>
      </c>
      <c r="E28" s="415" t="str">
        <f>VLOOKUP(A28,'Diags Raw Data'!$A$6:$D$3768,4,FALSE)</f>
        <v>CORE-09</v>
      </c>
      <c r="F28" s="415" t="str">
        <f>VLOOKUP(A28,'Feature Raw Data'!$A$3:$E$3847,5,FALSE)</f>
        <v>Legacy</v>
      </c>
      <c r="G28" s="415" t="str">
        <f t="shared" si="10"/>
        <v>Yes</v>
      </c>
      <c r="H28" s="415" t="str">
        <f t="shared" si="11"/>
        <v>Yes</v>
      </c>
      <c r="I28" s="417">
        <f>SUMIF('Diags Raw Data'!$A$6:$A$3768,"*"&amp;$A28&amp;"*",'Diags Raw Data'!$K$6:$K$3768)</f>
        <v>1</v>
      </c>
      <c r="J28" s="418">
        <f>SUMIF('Diags Raw Data'!$A$6:$A$3768,"*"&amp;$A28&amp;"*",'Diags Raw Data'!$L$6:$L$3768)</f>
        <v>1</v>
      </c>
      <c r="K28" s="443" cm="1">
        <f t="array" ref="K28">IF(D28="",0, SUMPRODUCT(--(ISNUMBER(SEARCH($A28,'Diags Raw Data'!$A$6:$A$3766))),'Diags Raw Data'!$L$6:$L$3766,'Diags Raw Data'!$N$6:$N$3766)/J28)</f>
        <v>1</v>
      </c>
      <c r="L28" s="444" cm="1">
        <f t="array" ref="L28">IF(D28="",0, SUMPRODUCT(--(ISNUMBER(SEARCH($A28,'Diags Raw Data'!$A$6:$A$3766))),'Diags Raw Data'!$L$6:$L$3766,'Diags Raw Data'!$P$6:$P$3766)/J28)</f>
        <v>1</v>
      </c>
      <c r="M28" s="445" cm="1">
        <f t="array" ref="M28">SUMPRODUCT(--(ISNUMBER(SEARCH($A28,'Diags Raw Data'!$A$6:$A$3766))),--('Diags Raw Data'!$Q$6:$Q$3766&lt;&gt;"N/A"),'Diags Raw Data'!$T$6:$T$3766)+SUMPRODUCT(--(ISNUMBER(SEARCH($A28,'Diags Raw Data'!$A$6:$A$3766))),--('Diags Raw Data'!$Q$6:$Q$3766&lt;&gt;"N/A"),'Diags Raw Data'!$U$6:$U$3766)</f>
        <v>1</v>
      </c>
      <c r="N28" s="445" cm="1">
        <f t="array" ref="N28">SUMPRODUCT(--(ISNUMBER(SEARCH($A28,'Diags Raw Data'!$A$6:$A$3766))),--('Diags Raw Data'!$Q$6:$Q$3766&lt;&gt;"N/A"),'Diags Raw Data'!$T$6:$T$3766)+SUMPRODUCT(--(ISNUMBER(SEARCH($A28,'Diags Raw Data'!$A$6:$A$3766))),--('Diags Raw Data'!$Q$6:$Q$3766&lt;&gt;"N/A"),'Diags Raw Data'!$U$6:$U$3766)</f>
        <v>1</v>
      </c>
      <c r="O28" s="446">
        <f t="shared" si="4"/>
        <v>1</v>
      </c>
      <c r="P28" s="447">
        <f>SUMIF('Diags Raw Data'!$A$6:$A$3766,"*"&amp;$A28&amp;"*",'Diags Raw Data'!$Z$6:$Z$3766)</f>
        <v>1</v>
      </c>
      <c r="Q28" s="448">
        <f>SUM(SUMIF('Diags Raw Data'!$A$6:$A$3766,"*"&amp;$A28&amp;"*",'Diags Raw Data'!$AA$6:$AA$3766),SUMIF('Diags Raw Data'!$A$6:$A$3766,"*"&amp;$A28&amp;"*",'Diags Raw Data'!$AB$6:$AB$3766))</f>
        <v>1</v>
      </c>
      <c r="R28" s="449">
        <f t="shared" si="5"/>
        <v>1</v>
      </c>
      <c r="S28" s="449">
        <f t="shared" si="6"/>
        <v>1</v>
      </c>
      <c r="T28" s="450">
        <f t="shared" si="7"/>
        <v>1</v>
      </c>
      <c r="U28" s="419" t="s">
        <v>1076</v>
      </c>
      <c r="V28" s="181"/>
    </row>
    <row r="29" spans="1:22" ht="58.5" thickBot="1">
      <c r="A29" s="321" t="s">
        <v>418</v>
      </c>
      <c r="B29" s="412" t="str">
        <f>VLOOKUP(A29,'Feature Raw Data'!$A$3:$B$3847,2,FALSE)</f>
        <v>WS.CDL.CPU.SKINIT</v>
      </c>
      <c r="C29" s="413" t="str">
        <f>VLOOKUP(A29,'Feature Raw Data'!$A$3:$C$3929,3,FALSE)</f>
        <v>P2</v>
      </c>
      <c r="D29" s="414" t="str" cm="1">
        <f t="array" ref="D29">_xlfn.TEXTJOIN("",TRUE,IF(ISNUMBER(SEARCH($A29,'Diags Raw Data'!$A$6:$A$3768)),CONCATENATE('Diags Raw Data'!$H$6:$H$3768,", "),""))</f>
        <v xml:space="preserve">Manual, </v>
      </c>
      <c r="E29" s="415" t="str">
        <f>VLOOKUP(A29,'Diags Raw Data'!$A$6:$D$3768,4,FALSE)</f>
        <v>CORE-09</v>
      </c>
      <c r="F29" s="415" t="str">
        <f>VLOOKUP(A29,'Feature Raw Data'!$A$3:$E$3847,5,FALSE)</f>
        <v>Legacy</v>
      </c>
      <c r="G29" s="415" t="str">
        <f t="shared" si="10"/>
        <v>Yes</v>
      </c>
      <c r="H29" s="415" t="str">
        <f t="shared" si="11"/>
        <v>Yes</v>
      </c>
      <c r="I29" s="417">
        <f>SUMIF('Diags Raw Data'!$A$6:$A$3768,"*"&amp;$A29&amp;"*",'Diags Raw Data'!$K$6:$K$3768)</f>
        <v>1</v>
      </c>
      <c r="J29" s="418">
        <f>SUMIF('Diags Raw Data'!$A$6:$A$3768,"*"&amp;$A29&amp;"*",'Diags Raw Data'!$L$6:$L$3768)</f>
        <v>1</v>
      </c>
      <c r="K29" s="443" cm="1">
        <f t="array" ref="K29">IF(D29="",0, SUMPRODUCT(--(ISNUMBER(SEARCH($A29,'Diags Raw Data'!$A$6:$A$3766))),'Diags Raw Data'!$L$6:$L$3766,'Diags Raw Data'!$N$6:$N$3766)/J29)</f>
        <v>1</v>
      </c>
      <c r="L29" s="444" cm="1">
        <f t="array" ref="L29">IF(D29="",0, SUMPRODUCT(--(ISNUMBER(SEARCH($A29,'Diags Raw Data'!$A$6:$A$3766))),'Diags Raw Data'!$L$6:$L$3766,'Diags Raw Data'!$P$6:$P$3766)/J29)</f>
        <v>1</v>
      </c>
      <c r="M29" s="445" cm="1">
        <f t="array" ref="M29">SUMPRODUCT(--(ISNUMBER(SEARCH($A29,'Diags Raw Data'!$A$6:$A$3766))),--('Diags Raw Data'!$Q$6:$Q$3766&lt;&gt;"N/A"),'Diags Raw Data'!$T$6:$T$3766)+SUMPRODUCT(--(ISNUMBER(SEARCH($A29,'Diags Raw Data'!$A$6:$A$3766))),--('Diags Raw Data'!$Q$6:$Q$3766&lt;&gt;"N/A"),'Diags Raw Data'!$U$6:$U$3766)</f>
        <v>1</v>
      </c>
      <c r="N29" s="445" cm="1">
        <f t="array" ref="N29">SUMPRODUCT(--(ISNUMBER(SEARCH($A29,'Diags Raw Data'!$A$6:$A$3766))),--('Diags Raw Data'!$Q$6:$Q$3766&lt;&gt;"N/A"),'Diags Raw Data'!$T$6:$T$3766)+SUMPRODUCT(--(ISNUMBER(SEARCH($A29,'Diags Raw Data'!$A$6:$A$3766))),--('Diags Raw Data'!$Q$6:$Q$3766&lt;&gt;"N/A"),'Diags Raw Data'!$U$6:$U$3766)</f>
        <v>1</v>
      </c>
      <c r="O29" s="446">
        <f t="shared" si="4"/>
        <v>1</v>
      </c>
      <c r="P29" s="447">
        <f>SUMIF('Diags Raw Data'!$A$6:$A$3766,"*"&amp;$A29&amp;"*",'Diags Raw Data'!$Z$6:$Z$3766)</f>
        <v>1</v>
      </c>
      <c r="Q29" s="448">
        <f>SUM(SUMIF('Diags Raw Data'!$A$6:$A$3766,"*"&amp;$A29&amp;"*",'Diags Raw Data'!$AA$6:$AA$3766),SUMIF('Diags Raw Data'!$A$6:$A$3766,"*"&amp;$A29&amp;"*",'Diags Raw Data'!$AB$6:$AB$3766))</f>
        <v>1</v>
      </c>
      <c r="R29" s="449">
        <f t="shared" si="5"/>
        <v>1</v>
      </c>
      <c r="S29" s="449">
        <f t="shared" si="6"/>
        <v>1</v>
      </c>
      <c r="T29" s="450">
        <f t="shared" si="7"/>
        <v>1</v>
      </c>
      <c r="U29" s="419" t="s">
        <v>1076</v>
      </c>
      <c r="V29" s="181"/>
    </row>
    <row r="30" spans="1:22" ht="64.5" customHeight="1" thickBot="1">
      <c r="A30" s="321" t="s">
        <v>423</v>
      </c>
      <c r="B30" s="412" t="str">
        <f>VLOOKUP(A30,'Feature Raw Data'!$A$3:$B$3847,2,FALSE)</f>
        <v>WS.CDL.ISA.RepInstructions</v>
      </c>
      <c r="C30" s="413" t="str">
        <f>VLOOKUP(A30,'Feature Raw Data'!$A$3:$C$3929,3,FALSE)</f>
        <v>P1</v>
      </c>
      <c r="D30" s="414" t="s">
        <v>1080</v>
      </c>
      <c r="E30" s="415" t="str">
        <f>VLOOKUP(A30,'Diags Raw Data'!$A$6:$D$3768,4,FALSE)</f>
        <v>CORE-09</v>
      </c>
      <c r="F30" s="415" t="str">
        <f>VLOOKUP(A30,'Feature Raw Data'!$A$3:$E$3847,5,FALSE)</f>
        <v>Delta</v>
      </c>
      <c r="G30" s="415" t="str">
        <f t="shared" si="10"/>
        <v>Yes</v>
      </c>
      <c r="H30" s="415" t="str">
        <f t="shared" si="11"/>
        <v>Yes</v>
      </c>
      <c r="I30" s="417">
        <f>SUMIF('Diags Raw Data'!$A$6:$A$3768,"*"&amp;$A30&amp;"*",'Diags Raw Data'!$K$6:$K$3768)</f>
        <v>1</v>
      </c>
      <c r="J30" s="418">
        <f>SUMIF('Diags Raw Data'!$A$6:$A$3768,"*"&amp;$A30&amp;"*",'Diags Raw Data'!$L$6:$L$3768)</f>
        <v>8</v>
      </c>
      <c r="K30" s="443" cm="1">
        <f t="array" ref="K30">IF(D30="",0, SUMPRODUCT(--(ISNUMBER(SEARCH($A30,'Diags Raw Data'!$A$6:$A$3766))),'Diags Raw Data'!$L$6:$L$3766,'Diags Raw Data'!$N$6:$N$3766)/J30)</f>
        <v>1</v>
      </c>
      <c r="L30" s="444" cm="1">
        <f t="array" ref="L30">IF(D30="",0, SUMPRODUCT(--(ISNUMBER(SEARCH($A30,'Diags Raw Data'!$A$6:$A$3766))),'Diags Raw Data'!$L$6:$L$3766,'Diags Raw Data'!$P$6:$P$3766)/J30)</f>
        <v>1</v>
      </c>
      <c r="M30" s="445" cm="1">
        <f t="array" ref="M30">SUMPRODUCT(--(ISNUMBER(SEARCH($A30,'Diags Raw Data'!$A$6:$A$3766))),--('Diags Raw Data'!$Q$6:$Q$3766&lt;&gt;"N/A"),'Diags Raw Data'!$T$6:$T$3766)+SUMPRODUCT(--(ISNUMBER(SEARCH($A30,'Diags Raw Data'!$A$6:$A$3766))),--('Diags Raw Data'!$Q$6:$Q$3766&lt;&gt;"N/A"),'Diags Raw Data'!$U$6:$U$3766)</f>
        <v>5</v>
      </c>
      <c r="N30" s="445" cm="1">
        <f t="array" ref="N30">SUMPRODUCT(--(ISNUMBER(SEARCH($A30,'Diags Raw Data'!$A$6:$A$3766))),--('Diags Raw Data'!$Q$6:$Q$3766&lt;&gt;"N/A"),'Diags Raw Data'!$T$6:$T$3766)+SUMPRODUCT(--(ISNUMBER(SEARCH($A30,'Diags Raw Data'!$A$6:$A$3766))),--('Diags Raw Data'!$Q$6:$Q$3766&lt;&gt;"N/A"),'Diags Raw Data'!$U$6:$U$3766)</f>
        <v>5</v>
      </c>
      <c r="O30" s="446">
        <f t="shared" si="4"/>
        <v>1</v>
      </c>
      <c r="P30" s="447">
        <f>SUMIF('Diags Raw Data'!$A$6:$A$3766,"*"&amp;$A30&amp;"*",'Diags Raw Data'!$Z$6:$Z$3766)</f>
        <v>8</v>
      </c>
      <c r="Q30" s="448">
        <f>SUM(SUMIF('Diags Raw Data'!$A$6:$A$3766,"*"&amp;$A30&amp;"*",'Diags Raw Data'!$AA$6:$AA$3766),SUMIF('Diags Raw Data'!$A$6:$A$3766,"*"&amp;$A30&amp;"*",'Diags Raw Data'!$AB$6:$AB$3766))</f>
        <v>8</v>
      </c>
      <c r="R30" s="449">
        <f t="shared" si="5"/>
        <v>1</v>
      </c>
      <c r="S30" s="449">
        <f t="shared" si="6"/>
        <v>1</v>
      </c>
      <c r="T30" s="450">
        <f t="shared" si="7"/>
        <v>1</v>
      </c>
      <c r="U30" s="419"/>
      <c r="V30" s="181"/>
    </row>
    <row r="31" spans="1:22" ht="58.5" thickBot="1">
      <c r="A31" s="321" t="s">
        <v>429</v>
      </c>
      <c r="B31" s="412" t="str">
        <f>VLOOKUP(A31,'Feature Raw Data'!$A$3:$B$3847,2,FALSE)</f>
        <v>WS.Storm.EX.SchedulerQExerciser</v>
      </c>
      <c r="C31" s="413" t="str">
        <f>VLOOKUP(A31,'Feature Raw Data'!$A$3:$C$3929,3,FALSE)</f>
        <v>P4</v>
      </c>
      <c r="D31" s="414" t="str" cm="1">
        <f t="array" ref="D31">_xlfn.TEXTJOIN("",TRUE,IF(ISNUMBER(SEARCH($A31,'Diags Raw Data'!$A$6:$A$3768)),CONCATENATE('Diags Raw Data'!$H$6:$H$3768,", "),""))</f>
        <v xml:space="preserve">st279_gnb0_gna0_vmr_compat_deeper_scheduler.yml, </v>
      </c>
      <c r="E31" s="415" t="str">
        <f>VLOOKUP(A31,'Diags Raw Data'!$A$6:$D$3768,4,FALSE)</f>
        <v>EX-01</v>
      </c>
      <c r="F31" s="415" t="str">
        <f>VLOOKUP(A31,'Feature Raw Data'!$A$3:$E$3847,5,FALSE)</f>
        <v>Legacy</v>
      </c>
      <c r="G31" s="415" t="str">
        <f t="shared" si="10"/>
        <v>Yes</v>
      </c>
      <c r="H31" s="415" t="str">
        <f t="shared" si="11"/>
        <v>Yes</v>
      </c>
      <c r="I31" s="417">
        <f>SUMIF('Diags Raw Data'!$A$6:$A$3768,"*"&amp;$A31&amp;"*",'Diags Raw Data'!$K$6:$K$3768)</f>
        <v>1</v>
      </c>
      <c r="J31" s="418">
        <f>SUMIF('Diags Raw Data'!$A$6:$A$3768,"*"&amp;$A31&amp;"*",'Diags Raw Data'!$L$6:$L$3768)</f>
        <v>1000</v>
      </c>
      <c r="K31" s="443" cm="1">
        <f t="array" ref="K31">IF(D31="",0, SUMPRODUCT(--(ISNUMBER(SEARCH($A31,'Diags Raw Data'!$A$6:$A$3766))),'Diags Raw Data'!$L$6:$L$3766,'Diags Raw Data'!$N$6:$N$3766)/J31)</f>
        <v>1</v>
      </c>
      <c r="L31" s="444" cm="1">
        <f t="array" ref="L31">IF(D31="",0, SUMPRODUCT(--(ISNUMBER(SEARCH($A31,'Diags Raw Data'!$A$6:$A$3766))),'Diags Raw Data'!$L$6:$L$3766,'Diags Raw Data'!$P$6:$P$3766)/J31)</f>
        <v>1</v>
      </c>
      <c r="M31" s="445" cm="1">
        <f t="array" ref="M31">SUMPRODUCT(--(ISNUMBER(SEARCH($A31,'Diags Raw Data'!$A$6:$A$3766))),--('Diags Raw Data'!$Q$6:$Q$3766&lt;&gt;"N/A"),'Diags Raw Data'!$T$6:$T$3766)+SUMPRODUCT(--(ISNUMBER(SEARCH($A31,'Diags Raw Data'!$A$6:$A$3766))),--('Diags Raw Data'!$Q$6:$Q$3766&lt;&gt;"N/A"),'Diags Raw Data'!$U$6:$U$3766)</f>
        <v>948</v>
      </c>
      <c r="N31" s="445" cm="1">
        <f t="array" ref="N31">SUMPRODUCT(--(ISNUMBER(SEARCH($A31,'Diags Raw Data'!$A$6:$A$3766))),--('Diags Raw Data'!$Q$6:$Q$3766&lt;&gt;"N/A"),'Diags Raw Data'!$T$6:$T$3766)+SUMPRODUCT(--(ISNUMBER(SEARCH($A31,'Diags Raw Data'!$A$6:$A$3766))),--('Diags Raw Data'!$Q$6:$Q$3766&lt;&gt;"N/A"),'Diags Raw Data'!$U$6:$U$3766)</f>
        <v>948</v>
      </c>
      <c r="O31" s="446">
        <f t="shared" si="4"/>
        <v>1</v>
      </c>
      <c r="P31" s="447">
        <f>SUMIF('Diags Raw Data'!$A$6:$A$3766,"*"&amp;$A31&amp;"*",'Diags Raw Data'!$Z$6:$Z$3766)</f>
        <v>2500</v>
      </c>
      <c r="Q31" s="448">
        <f>SUM(SUMIF('Diags Raw Data'!$A$6:$A$3766,"*"&amp;$A31&amp;"*",'Diags Raw Data'!$AA$6:$AA$3766),SUMIF('Diags Raw Data'!$A$6:$A$3766,"*"&amp;$A31&amp;"*",'Diags Raw Data'!$AB$6:$AB$3766))</f>
        <v>2500</v>
      </c>
      <c r="R31" s="449">
        <f t="shared" si="5"/>
        <v>2.5</v>
      </c>
      <c r="S31" s="449">
        <f t="shared" si="6"/>
        <v>1</v>
      </c>
      <c r="T31" s="450">
        <f t="shared" si="7"/>
        <v>2.5</v>
      </c>
      <c r="U31" s="419" t="s">
        <v>1076</v>
      </c>
      <c r="V31" s="181"/>
    </row>
    <row r="32" spans="1:22" ht="58.5" thickBot="1">
      <c r="A32" s="321" t="s">
        <v>436</v>
      </c>
      <c r="B32" s="412" t="str">
        <f>VLOOKUP(A32,'Feature Raw Data'!$A$3:$B$3847,2,FALSE)</f>
        <v>WS.Storm.EX.RetireQExercisers</v>
      </c>
      <c r="C32" s="413" t="str">
        <f>VLOOKUP(A32,'Feature Raw Data'!$A$3:$C$3929,3,FALSE)</f>
        <v>P4</v>
      </c>
      <c r="D32" s="414" t="str" cm="1">
        <f t="array" ref="D32">_xlfn.TEXTJOIN("",TRUE,IF(ISNUMBER(SEARCH($A32,'Diags Raw Data'!$A$6:$A$3768)),CONCATENATE('Diags Raw Data'!$H$6:$H$3768,", "),""))</f>
        <v xml:space="preserve">st276_gnb0_gna0_vmr_compat_deeper_retire_queue.yml, </v>
      </c>
      <c r="E32" s="415" t="str">
        <f>VLOOKUP(A32,'Diags Raw Data'!$A$6:$D$3768,4,FALSE)</f>
        <v>EX-01</v>
      </c>
      <c r="F32" s="415" t="str">
        <f>VLOOKUP(A32,'Feature Raw Data'!$A$3:$E$3847,5,FALSE)</f>
        <v>Legacy</v>
      </c>
      <c r="G32" s="415" t="str">
        <f t="shared" si="10"/>
        <v>Yes</v>
      </c>
      <c r="H32" s="415" t="str">
        <f t="shared" si="11"/>
        <v>Yes</v>
      </c>
      <c r="I32" s="417">
        <f>SUMIF('Diags Raw Data'!$A$6:$A$3768,"*"&amp;$A32&amp;"*",'Diags Raw Data'!$K$6:$K$3768)</f>
        <v>1</v>
      </c>
      <c r="J32" s="418">
        <f>SUMIF('Diags Raw Data'!$A$6:$A$3768,"*"&amp;$A32&amp;"*",'Diags Raw Data'!$L$6:$L$3768)</f>
        <v>1000</v>
      </c>
      <c r="K32" s="443" cm="1">
        <f t="array" ref="K32">IF(D32="",0, SUMPRODUCT(--(ISNUMBER(SEARCH($A32,'Diags Raw Data'!$A$6:$A$3766))),'Diags Raw Data'!$L$6:$L$3766,'Diags Raw Data'!$N$6:$N$3766)/J32)</f>
        <v>1</v>
      </c>
      <c r="L32" s="444" cm="1">
        <f t="array" ref="L32">IF(D32="",0, SUMPRODUCT(--(ISNUMBER(SEARCH($A32,'Diags Raw Data'!$A$6:$A$3766))),'Diags Raw Data'!$L$6:$L$3766,'Diags Raw Data'!$P$6:$P$3766)/J32)</f>
        <v>1</v>
      </c>
      <c r="M32" s="445" cm="1">
        <f t="array" ref="M32">SUMPRODUCT(--(ISNUMBER(SEARCH($A32,'Diags Raw Data'!$A$6:$A$3766))),--('Diags Raw Data'!$Q$6:$Q$3766&lt;&gt;"N/A"),'Diags Raw Data'!$T$6:$T$3766)+SUMPRODUCT(--(ISNUMBER(SEARCH($A32,'Diags Raw Data'!$A$6:$A$3766))),--('Diags Raw Data'!$Q$6:$Q$3766&lt;&gt;"N/A"),'Diags Raw Data'!$U$6:$U$3766)</f>
        <v>2640</v>
      </c>
      <c r="N32" s="445" cm="1">
        <f t="array" ref="N32">SUMPRODUCT(--(ISNUMBER(SEARCH($A32,'Diags Raw Data'!$A$6:$A$3766))),--('Diags Raw Data'!$Q$6:$Q$3766&lt;&gt;"N/A"),'Diags Raw Data'!$T$6:$T$3766)+SUMPRODUCT(--(ISNUMBER(SEARCH($A32,'Diags Raw Data'!$A$6:$A$3766))),--('Diags Raw Data'!$Q$6:$Q$3766&lt;&gt;"N/A"),'Diags Raw Data'!$U$6:$U$3766)</f>
        <v>2640</v>
      </c>
      <c r="O32" s="446">
        <f t="shared" si="4"/>
        <v>1</v>
      </c>
      <c r="P32" s="447">
        <f>SUMIF('Diags Raw Data'!$A$6:$A$3766,"*"&amp;$A32&amp;"*",'Diags Raw Data'!$Z$6:$Z$3766)</f>
        <v>2500</v>
      </c>
      <c r="Q32" s="448">
        <f>SUM(SUMIF('Diags Raw Data'!$A$6:$A$3766,"*"&amp;$A32&amp;"*",'Diags Raw Data'!$AA$6:$AA$3766),SUMIF('Diags Raw Data'!$A$6:$A$3766,"*"&amp;$A32&amp;"*",'Diags Raw Data'!$AB$6:$AB$3766))</f>
        <v>2500</v>
      </c>
      <c r="R32" s="449">
        <f t="shared" si="5"/>
        <v>2.5</v>
      </c>
      <c r="S32" s="449">
        <f t="shared" si="6"/>
        <v>1</v>
      </c>
      <c r="T32" s="450">
        <f t="shared" si="7"/>
        <v>2.5</v>
      </c>
      <c r="U32" s="419" t="s">
        <v>1076</v>
      </c>
      <c r="V32" s="181"/>
    </row>
    <row r="33" spans="1:22" ht="29.45" thickBot="1">
      <c r="A33" s="321" t="s">
        <v>441</v>
      </c>
      <c r="B33" s="412" t="str">
        <f>VLOOKUP(A33,'Feature Raw Data'!$A$3:$B$3847,2,FALSE)</f>
        <v>WS.CDL.EX.IntegerUintExercisers</v>
      </c>
      <c r="C33" s="413" t="str">
        <f>VLOOKUP(A33,'Feature Raw Data'!$A$3:$C$3929,3,FALSE)</f>
        <v>P1</v>
      </c>
      <c r="D33" s="414" t="str" cm="1">
        <f t="array" ref="D33">_xlfn.TEXTJOIN("",TRUE,IF(ISNUMBER(SEARCH($A33,'Diags Raw Data'!$A$6:$A$3768)),CONCATENATE('Diags Raw Data'!$H$6:$H$3768,", "),""))</f>
        <v xml:space="preserve">Integer_Unit_Stress.stf, </v>
      </c>
      <c r="E33" s="415" t="str">
        <f>VLOOKUP(A33,'Diags Raw Data'!$A$6:$D$3768,4,FALSE)</f>
        <v>EX-01</v>
      </c>
      <c r="F33" s="415" t="str">
        <f>VLOOKUP(A33,'Feature Raw Data'!$A$3:$E$3847,5,FALSE)</f>
        <v>Legacy</v>
      </c>
      <c r="G33" s="415" t="str">
        <f t="shared" si="10"/>
        <v>Yes</v>
      </c>
      <c r="H33" s="415" t="str">
        <f t="shared" si="11"/>
        <v>Yes</v>
      </c>
      <c r="I33" s="417">
        <f>SUMIF('Diags Raw Data'!$A$6:$A$3768,"*"&amp;$A33&amp;"*",'Diags Raw Data'!$K$6:$K$3768)</f>
        <v>1</v>
      </c>
      <c r="J33" s="418">
        <f>SUMIF('Diags Raw Data'!$A$6:$A$3768,"*"&amp;$A33&amp;"*",'Diags Raw Data'!$L$6:$L$3768)</f>
        <v>1</v>
      </c>
      <c r="K33" s="443" cm="1">
        <f t="array" ref="K33">IF(D33="",0, SUMPRODUCT(--(ISNUMBER(SEARCH($A33,'Diags Raw Data'!$A$6:$A$3766))),'Diags Raw Data'!$L$6:$L$3766,'Diags Raw Data'!$N$6:$N$3766)/J33)</f>
        <v>1</v>
      </c>
      <c r="L33" s="444" cm="1">
        <f t="array" ref="L33">IF(D33="",0, SUMPRODUCT(--(ISNUMBER(SEARCH($A33,'Diags Raw Data'!$A$6:$A$3766))),'Diags Raw Data'!$L$6:$L$3766,'Diags Raw Data'!$P$6:$P$3766)/J33)</f>
        <v>1</v>
      </c>
      <c r="M33" s="445" cm="1">
        <f t="array" ref="M33">SUMPRODUCT(--(ISNUMBER(SEARCH($A33,'Diags Raw Data'!$A$6:$A$3766))),--('Diags Raw Data'!$Q$6:$Q$3766&lt;&gt;"N/A"),'Diags Raw Data'!$T$6:$T$3766)+SUMPRODUCT(--(ISNUMBER(SEARCH($A33,'Diags Raw Data'!$A$6:$A$3766))),--('Diags Raw Data'!$Q$6:$Q$3766&lt;&gt;"N/A"),'Diags Raw Data'!$U$6:$U$3766)</f>
        <v>1</v>
      </c>
      <c r="N33" s="445" cm="1">
        <f t="array" ref="N33">SUMPRODUCT(--(ISNUMBER(SEARCH($A33,'Diags Raw Data'!$A$6:$A$3766))),--('Diags Raw Data'!$Q$6:$Q$3766&lt;&gt;"N/A"),'Diags Raw Data'!$T$6:$T$3766)+SUMPRODUCT(--(ISNUMBER(SEARCH($A33,'Diags Raw Data'!$A$6:$A$3766))),--('Diags Raw Data'!$Q$6:$Q$3766&lt;&gt;"N/A"),'Diags Raw Data'!$U$6:$U$3766)</f>
        <v>1</v>
      </c>
      <c r="O33" s="446">
        <f t="shared" si="4"/>
        <v>1</v>
      </c>
      <c r="P33" s="447">
        <f>SUMIF('Diags Raw Data'!$A$6:$A$3766,"*"&amp;$A33&amp;"*",'Diags Raw Data'!$Z$6:$Z$3766)</f>
        <v>1</v>
      </c>
      <c r="Q33" s="448">
        <f>SUM(SUMIF('Diags Raw Data'!$A$6:$A$3766,"*"&amp;$A33&amp;"*",'Diags Raw Data'!$AA$6:$AA$3766),SUMIF('Diags Raw Data'!$A$6:$A$3766,"*"&amp;$A33&amp;"*",'Diags Raw Data'!$AB$6:$AB$3766))</f>
        <v>1</v>
      </c>
      <c r="R33" s="449">
        <f t="shared" si="5"/>
        <v>1</v>
      </c>
      <c r="S33" s="449">
        <f t="shared" si="6"/>
        <v>1</v>
      </c>
      <c r="T33" s="450">
        <f t="shared" si="7"/>
        <v>1</v>
      </c>
      <c r="U33" s="419"/>
      <c r="V33" s="181"/>
    </row>
    <row r="34" spans="1:22" ht="58.5" thickBot="1">
      <c r="A34" s="321" t="s">
        <v>446</v>
      </c>
      <c r="B34" s="412" t="str">
        <f>VLOOKUP(A34,'Feature Raw Data'!$A$3:$B$3847,2,FALSE)</f>
        <v>WS.Storm.EX.InterfaceExerciser</v>
      </c>
      <c r="C34" s="413" t="str">
        <f>VLOOKUP(A34,'Feature Raw Data'!$A$3:$C$3929,3,FALSE)</f>
        <v>P4</v>
      </c>
      <c r="D34" s="414" t="str" cm="1">
        <f t="array" ref="D34">_xlfn.TEXTJOIN("",TRUE,IF(ISNUMBER(SEARCH($A34,'Diags Raw Data'!$A$6:$A$3768)),CONCATENATE('Diags Raw Data'!$H$6:$H$3768,", "),""))</f>
        <v xml:space="preserve">ssp_zp_compat_exsc_leg035_dispatch_retire_speclockmap_interface.yml, </v>
      </c>
      <c r="E34" s="415" t="str">
        <f>VLOOKUP(A34,'Diags Raw Data'!$A$6:$D$3768,4,FALSE)</f>
        <v>EX-01</v>
      </c>
      <c r="F34" s="415" t="str">
        <f>VLOOKUP(A34,'Feature Raw Data'!$A$3:$E$3847,5,FALSE)</f>
        <v>Legacy</v>
      </c>
      <c r="G34" s="415" t="str">
        <f t="shared" si="10"/>
        <v>Yes</v>
      </c>
      <c r="H34" s="415" t="str">
        <f t="shared" si="11"/>
        <v>Yes</v>
      </c>
      <c r="I34" s="417">
        <f>SUMIF('Diags Raw Data'!$A$6:$A$3768,"*"&amp;$A34&amp;"*",'Diags Raw Data'!$K$6:$K$3768)</f>
        <v>1</v>
      </c>
      <c r="J34" s="418">
        <f>SUMIF('Diags Raw Data'!$A$6:$A$3768,"*"&amp;$A34&amp;"*",'Diags Raw Data'!$L$6:$L$3768)</f>
        <v>1000</v>
      </c>
      <c r="K34" s="443" cm="1">
        <f t="array" ref="K34">IF(D34="",0, SUMPRODUCT(--(ISNUMBER(SEARCH($A34,'Diags Raw Data'!$A$6:$A$3766))),'Diags Raw Data'!$L$6:$L$3766,'Diags Raw Data'!$N$6:$N$3766)/J34)</f>
        <v>1</v>
      </c>
      <c r="L34" s="444" cm="1">
        <f t="array" ref="L34">IF(D34="",0, SUMPRODUCT(--(ISNUMBER(SEARCH($A34,'Diags Raw Data'!$A$6:$A$3766))),'Diags Raw Data'!$L$6:$L$3766,'Diags Raw Data'!$P$6:$P$3766)/J34)</f>
        <v>1</v>
      </c>
      <c r="M34" s="445" cm="1">
        <f t="array" ref="M34">SUMPRODUCT(--(ISNUMBER(SEARCH($A34,'Diags Raw Data'!$A$6:$A$3766))),--('Diags Raw Data'!$Q$6:$Q$3766&lt;&gt;"N/A"),'Diags Raw Data'!$T$6:$T$3766)+SUMPRODUCT(--(ISNUMBER(SEARCH($A34,'Diags Raw Data'!$A$6:$A$3766))),--('Diags Raw Data'!$Q$6:$Q$3766&lt;&gt;"N/A"),'Diags Raw Data'!$U$6:$U$3766)</f>
        <v>1000</v>
      </c>
      <c r="N34" s="445" cm="1">
        <f t="array" ref="N34">SUMPRODUCT(--(ISNUMBER(SEARCH($A34,'Diags Raw Data'!$A$6:$A$3766))),--('Diags Raw Data'!$Q$6:$Q$3766&lt;&gt;"N/A"),'Diags Raw Data'!$T$6:$T$3766)+SUMPRODUCT(--(ISNUMBER(SEARCH($A34,'Diags Raw Data'!$A$6:$A$3766))),--('Diags Raw Data'!$Q$6:$Q$3766&lt;&gt;"N/A"),'Diags Raw Data'!$U$6:$U$3766)</f>
        <v>1000</v>
      </c>
      <c r="O34" s="446">
        <f t="shared" si="4"/>
        <v>1</v>
      </c>
      <c r="P34" s="447">
        <f>SUMIF('Diags Raw Data'!$A$6:$A$3766,"*"&amp;$A34&amp;"*",'Diags Raw Data'!$Z$6:$Z$3766)</f>
        <v>1000</v>
      </c>
      <c r="Q34" s="448">
        <f>SUM(SUMIF('Diags Raw Data'!$A$6:$A$3766,"*"&amp;$A34&amp;"*",'Diags Raw Data'!$AA$6:$AA$3766),SUMIF('Diags Raw Data'!$A$6:$A$3766,"*"&amp;$A34&amp;"*",'Diags Raw Data'!$AB$6:$AB$3766))</f>
        <v>1000</v>
      </c>
      <c r="R34" s="449">
        <f t="shared" si="5"/>
        <v>1</v>
      </c>
      <c r="S34" s="449">
        <f t="shared" si="6"/>
        <v>1</v>
      </c>
      <c r="T34" s="450">
        <f t="shared" si="7"/>
        <v>1</v>
      </c>
      <c r="U34" s="419" t="s">
        <v>1076</v>
      </c>
      <c r="V34" s="181"/>
    </row>
    <row r="35" spans="1:22" ht="15" thickBot="1">
      <c r="A35" s="321" t="s">
        <v>451</v>
      </c>
      <c r="B35" s="412" t="str">
        <f>VLOOKUP(A35,'Feature Raw Data'!$A$3:$B$3847,2,FALSE)</f>
        <v>WS.CDL.LS.DataCacheExerciser</v>
      </c>
      <c r="C35" s="413" t="str">
        <f>VLOOKUP(A35,'Feature Raw Data'!$A$3:$C$3929,3,FALSE)</f>
        <v>P1</v>
      </c>
      <c r="D35" s="414" t="str" cm="1">
        <f t="array" ref="D35">_xlfn.TEXTJOIN("",TRUE,IF(ISNUMBER(SEARCH($A35,'Diags Raw Data'!$A$6:$A$3768)),CONCATENATE('Diags Raw Data'!$H$6:$H$3768,", "),""))</f>
        <v xml:space="preserve">Cache_L1_Cache_Coherency.stf , </v>
      </c>
      <c r="E35" s="415" t="str">
        <f>VLOOKUP(A35,'Diags Raw Data'!$A$6:$D$3768,4,FALSE)</f>
        <v>LS-02</v>
      </c>
      <c r="F35" s="415" t="str">
        <f>VLOOKUP(A35,'Feature Raw Data'!$A$3:$E$3847,5,FALSE)</f>
        <v>Delta</v>
      </c>
      <c r="G35" s="415" t="str">
        <f t="shared" si="10"/>
        <v>Yes</v>
      </c>
      <c r="H35" s="415" t="str">
        <f t="shared" si="11"/>
        <v>Yes</v>
      </c>
      <c r="I35" s="417">
        <f>SUMIF('Diags Raw Data'!$A$6:$A$3768,"*"&amp;$A35&amp;"*",'Diags Raw Data'!$K$6:$K$3768)</f>
        <v>1</v>
      </c>
      <c r="J35" s="418">
        <f>SUMIF('Diags Raw Data'!$A$6:$A$3768,"*"&amp;$A35&amp;"*",'Diags Raw Data'!$L$6:$L$3768)</f>
        <v>1</v>
      </c>
      <c r="K35" s="443" cm="1">
        <f t="array" ref="K35">IF(D35="",0, SUMPRODUCT(--(ISNUMBER(SEARCH($A35,'Diags Raw Data'!$A$6:$A$3766))),'Diags Raw Data'!$L$6:$L$3766,'Diags Raw Data'!$N$6:$N$3766)/J35)</f>
        <v>1</v>
      </c>
      <c r="L35" s="444" cm="1">
        <f t="array" ref="L35">IF(D35="",0, SUMPRODUCT(--(ISNUMBER(SEARCH($A35,'Diags Raw Data'!$A$6:$A$3766))),'Diags Raw Data'!$L$6:$L$3766,'Diags Raw Data'!$P$6:$P$3766)/J35)</f>
        <v>1</v>
      </c>
      <c r="M35" s="445" cm="1">
        <f t="array" ref="M35">SUMPRODUCT(--(ISNUMBER(SEARCH($A35,'Diags Raw Data'!$A$6:$A$3766))),--('Diags Raw Data'!$Q$6:$Q$3766&lt;&gt;"N/A"),'Diags Raw Data'!$T$6:$T$3766)+SUMPRODUCT(--(ISNUMBER(SEARCH($A35,'Diags Raw Data'!$A$6:$A$3766))),--('Diags Raw Data'!$Q$6:$Q$3766&lt;&gt;"N/A"),'Diags Raw Data'!$U$6:$U$3766)</f>
        <v>1</v>
      </c>
      <c r="N35" s="445" cm="1">
        <f t="array" ref="N35">SUMPRODUCT(--(ISNUMBER(SEARCH($A35,'Diags Raw Data'!$A$6:$A$3766))),--('Diags Raw Data'!$Q$6:$Q$3766&lt;&gt;"N/A"),'Diags Raw Data'!$T$6:$T$3766)+SUMPRODUCT(--(ISNUMBER(SEARCH($A35,'Diags Raw Data'!$A$6:$A$3766))),--('Diags Raw Data'!$Q$6:$Q$3766&lt;&gt;"N/A"),'Diags Raw Data'!$U$6:$U$3766)</f>
        <v>1</v>
      </c>
      <c r="O35" s="446">
        <f t="shared" si="4"/>
        <v>1</v>
      </c>
      <c r="P35" s="447">
        <f>SUMIF('Diags Raw Data'!$A$6:$A$3766,"*"&amp;$A35&amp;"*",'Diags Raw Data'!$Z$6:$Z$3766)</f>
        <v>1</v>
      </c>
      <c r="Q35" s="448">
        <f>SUM(SUMIF('Diags Raw Data'!$A$6:$A$3766,"*"&amp;$A35&amp;"*",'Diags Raw Data'!$AA$6:$AA$3766),SUMIF('Diags Raw Data'!$A$6:$A$3766,"*"&amp;$A35&amp;"*",'Diags Raw Data'!$AB$6:$AB$3766))</f>
        <v>1</v>
      </c>
      <c r="R35" s="449">
        <f t="shared" si="5"/>
        <v>1</v>
      </c>
      <c r="S35" s="449">
        <f t="shared" si="6"/>
        <v>1</v>
      </c>
      <c r="T35" s="450">
        <f t="shared" si="7"/>
        <v>1</v>
      </c>
      <c r="U35" s="419"/>
      <c r="V35" s="181"/>
    </row>
    <row r="36" spans="1:22" ht="72.95" thickBot="1">
      <c r="A36" s="321" t="s">
        <v>459</v>
      </c>
      <c r="B36" s="412" t="str">
        <f>VLOOKUP(A36,'Feature Raw Data'!$A$3:$B$3847,2,FALSE)</f>
        <v>WS.CDL.LS.TLBExerciser</v>
      </c>
      <c r="C36" s="413" t="str">
        <f>VLOOKUP(A36,'Feature Raw Data'!$A$3:$C$3929,3,FALSE)</f>
        <v>P3</v>
      </c>
      <c r="D36" s="414" t="str" cm="1">
        <f t="array" ref="D36">_xlfn.TEXTJOIN("",TRUE,IF(ISNUMBER(SEARCH($A36,'Diags Raw Data'!$A$6:$A$3768)),CONCATENATE('Diags Raw Data'!$H$6:$H$3768,", "),""))</f>
        <v xml:space="preserve">LS01_TLB_Exerciser.stf
LS01_1_TLB_Exerciser.stf
LS01_2_TLB_Exerciser.stf
LS01_3_TLB_Exerciser.stf
LS01_4_TLB_Exerciser.stf, </v>
      </c>
      <c r="E36" s="415" t="str">
        <f>VLOOKUP(A36,'Diags Raw Data'!$A$6:$D$3768,4,FALSE)</f>
        <v>LS-02</v>
      </c>
      <c r="F36" s="415" t="str">
        <f>VLOOKUP(A36,'Feature Raw Data'!$A$3:$E$3847,5,FALSE)</f>
        <v>Delta</v>
      </c>
      <c r="G36" s="415" t="str">
        <f t="shared" si="10"/>
        <v>Yes</v>
      </c>
      <c r="H36" s="415" t="str">
        <f t="shared" si="11"/>
        <v>Yes</v>
      </c>
      <c r="I36" s="417">
        <f>SUMIF('Diags Raw Data'!$A$6:$A$3768,"*"&amp;$A36&amp;"*",'Diags Raw Data'!$K$6:$K$3768)</f>
        <v>1</v>
      </c>
      <c r="J36" s="418">
        <f>SUMIF('Diags Raw Data'!$A$6:$A$3768,"*"&amp;$A36&amp;"*",'Diags Raw Data'!$L$6:$L$3768)</f>
        <v>6</v>
      </c>
      <c r="K36" s="443" cm="1">
        <f t="array" ref="K36">IF(D36="",0, SUMPRODUCT(--(ISNUMBER(SEARCH($A36,'Diags Raw Data'!$A$6:$A$3766))),'Diags Raw Data'!$L$6:$L$3766,'Diags Raw Data'!$N$6:$N$3766)/J36)</f>
        <v>1</v>
      </c>
      <c r="L36" s="444" cm="1">
        <f t="array" ref="L36">IF(D36="",0, SUMPRODUCT(--(ISNUMBER(SEARCH($A36,'Diags Raw Data'!$A$6:$A$3766))),'Diags Raw Data'!$L$6:$L$3766,'Diags Raw Data'!$P$6:$P$3766)/J36)</f>
        <v>1</v>
      </c>
      <c r="M36" s="445" cm="1">
        <f t="array" ref="M36">SUMPRODUCT(--(ISNUMBER(SEARCH($A36,'Diags Raw Data'!$A$6:$A$3766))),--('Diags Raw Data'!$Q$6:$Q$3766&lt;&gt;"N/A"),'Diags Raw Data'!$T$6:$T$3766)+SUMPRODUCT(--(ISNUMBER(SEARCH($A36,'Diags Raw Data'!$A$6:$A$3766))),--('Diags Raw Data'!$Q$6:$Q$3766&lt;&gt;"N/A"),'Diags Raw Data'!$U$6:$U$3766)</f>
        <v>5</v>
      </c>
      <c r="N36" s="445" cm="1">
        <f t="array" ref="N36">SUMPRODUCT(--(ISNUMBER(SEARCH($A36,'Diags Raw Data'!$A$6:$A$3766))),--('Diags Raw Data'!$Q$6:$Q$3766&lt;&gt;"N/A"),'Diags Raw Data'!$T$6:$T$3766)+SUMPRODUCT(--(ISNUMBER(SEARCH($A36,'Diags Raw Data'!$A$6:$A$3766))),--('Diags Raw Data'!$Q$6:$Q$3766&lt;&gt;"N/A"),'Diags Raw Data'!$U$6:$U$3766)</f>
        <v>5</v>
      </c>
      <c r="O36" s="446">
        <f t="shared" si="4"/>
        <v>1</v>
      </c>
      <c r="P36" s="447">
        <f>SUMIF('Diags Raw Data'!$A$6:$A$3766,"*"&amp;$A36&amp;"*",'Diags Raw Data'!$Z$6:$Z$3766)</f>
        <v>6</v>
      </c>
      <c r="Q36" s="448">
        <f>SUM(SUMIF('Diags Raw Data'!$A$6:$A$3766,"*"&amp;$A36&amp;"*",'Diags Raw Data'!$AA$6:$AA$3766),SUMIF('Diags Raw Data'!$A$6:$A$3766,"*"&amp;$A36&amp;"*",'Diags Raw Data'!$AB$6:$AB$3766))</f>
        <v>6</v>
      </c>
      <c r="R36" s="449">
        <f t="shared" si="5"/>
        <v>1</v>
      </c>
      <c r="S36" s="449">
        <f t="shared" si="6"/>
        <v>1</v>
      </c>
      <c r="T36" s="450">
        <f t="shared" si="7"/>
        <v>1</v>
      </c>
      <c r="U36" s="419" t="s">
        <v>1076</v>
      </c>
      <c r="V36" s="181"/>
    </row>
    <row r="37" spans="1:22" ht="58.5" thickBot="1">
      <c r="A37" s="321" t="s">
        <v>465</v>
      </c>
      <c r="B37" s="412" t="str">
        <f>VLOOKUP(A37,'Feature Raw Data'!$A$3:$B$3847,2,FALSE)</f>
        <v>WS.CDL.LS.WcbScbExerciser</v>
      </c>
      <c r="C37" s="413" t="str">
        <f>VLOOKUP(A37,'Feature Raw Data'!$A$3:$C$3929,3,FALSE)</f>
        <v>P3</v>
      </c>
      <c r="D37" s="414" t="str" cm="1">
        <f t="array" ref="D37">_xlfn.TEXTJOIN("",TRUE,IF(ISNUMBER(SEARCH($A37,'Diags Raw Data'!$A$6:$A$3768)),CONCATENATE('Diags Raw Data'!$H$6:$H$3768,", "),""))</f>
        <v xml:space="preserve">Write_Combining_Buffer.stf
, </v>
      </c>
      <c r="E37" s="415" t="str">
        <f>VLOOKUP(A37,'Diags Raw Data'!$A$6:$D$3768,4,FALSE)</f>
        <v>LS-02</v>
      </c>
      <c r="F37" s="415" t="str">
        <f>VLOOKUP(A37,'Feature Raw Data'!$A$3:$E$3847,5,FALSE)</f>
        <v>Delta</v>
      </c>
      <c r="G37" s="415" t="str">
        <f t="shared" si="10"/>
        <v>Yes</v>
      </c>
      <c r="H37" s="415" t="str">
        <f t="shared" si="11"/>
        <v>Yes</v>
      </c>
      <c r="I37" s="417">
        <f>SUMIF('Diags Raw Data'!$A$6:$A$3768,"*"&amp;$A37&amp;"*",'Diags Raw Data'!$K$6:$K$3768)</f>
        <v>1</v>
      </c>
      <c r="J37" s="418">
        <f>SUMIF('Diags Raw Data'!$A$6:$A$3768,"*"&amp;$A37&amp;"*",'Diags Raw Data'!$L$6:$L$3768)</f>
        <v>5</v>
      </c>
      <c r="K37" s="443" cm="1">
        <f t="array" ref="K37">IF(D37="",0, SUMPRODUCT(--(ISNUMBER(SEARCH($A37,'Diags Raw Data'!$A$6:$A$3766))),'Diags Raw Data'!$L$6:$L$3766,'Diags Raw Data'!$N$6:$N$3766)/J37)</f>
        <v>1</v>
      </c>
      <c r="L37" s="444" cm="1">
        <f t="array" ref="L37">IF(D37="",0, SUMPRODUCT(--(ISNUMBER(SEARCH($A37,'Diags Raw Data'!$A$6:$A$3766))),'Diags Raw Data'!$L$6:$L$3766,'Diags Raw Data'!$P$6:$P$3766)/J37)</f>
        <v>1</v>
      </c>
      <c r="M37" s="445" cm="1">
        <f t="array" ref="M37">SUMPRODUCT(--(ISNUMBER(SEARCH($A37,'Diags Raw Data'!$A$6:$A$3766))),--('Diags Raw Data'!$Q$6:$Q$3766&lt;&gt;"N/A"),'Diags Raw Data'!$T$6:$T$3766)+SUMPRODUCT(--(ISNUMBER(SEARCH($A37,'Diags Raw Data'!$A$6:$A$3766))),--('Diags Raw Data'!$Q$6:$Q$3766&lt;&gt;"N/A"),'Diags Raw Data'!$U$6:$U$3766)</f>
        <v>5</v>
      </c>
      <c r="N37" s="445" cm="1">
        <f t="array" ref="N37">SUMPRODUCT(--(ISNUMBER(SEARCH($A37,'Diags Raw Data'!$A$6:$A$3766))),--('Diags Raw Data'!$Q$6:$Q$3766&lt;&gt;"N/A"),'Diags Raw Data'!$T$6:$T$3766)+SUMPRODUCT(--(ISNUMBER(SEARCH($A37,'Diags Raw Data'!$A$6:$A$3766))),--('Diags Raw Data'!$Q$6:$Q$3766&lt;&gt;"N/A"),'Diags Raw Data'!$U$6:$U$3766)</f>
        <v>5</v>
      </c>
      <c r="O37" s="446">
        <f t="shared" si="4"/>
        <v>1</v>
      </c>
      <c r="P37" s="447">
        <f>SUMIF('Diags Raw Data'!$A$6:$A$3766,"*"&amp;$A37&amp;"*",'Diags Raw Data'!$Z$6:$Z$3766)</f>
        <v>5</v>
      </c>
      <c r="Q37" s="448">
        <f>SUM(SUMIF('Diags Raw Data'!$A$6:$A$3766,"*"&amp;$A37&amp;"*",'Diags Raw Data'!$AA$6:$AA$3766),SUMIF('Diags Raw Data'!$A$6:$A$3766,"*"&amp;$A37&amp;"*",'Diags Raw Data'!$AB$6:$AB$3766))</f>
        <v>5</v>
      </c>
      <c r="R37" s="449">
        <f t="shared" si="5"/>
        <v>1</v>
      </c>
      <c r="S37" s="449">
        <f t="shared" si="6"/>
        <v>1</v>
      </c>
      <c r="T37" s="450">
        <f t="shared" si="7"/>
        <v>1</v>
      </c>
      <c r="U37" s="419" t="s">
        <v>1076</v>
      </c>
      <c r="V37" s="181"/>
    </row>
    <row r="38" spans="1:22" ht="58.5" thickBot="1">
      <c r="A38" s="321" t="s">
        <v>470</v>
      </c>
      <c r="B38" s="412" t="str">
        <f>VLOOKUP(A38,'Feature Raw Data'!$A$3:$B$3847,2,FALSE)</f>
        <v>WS.Storm.LS.LdqExerciser</v>
      </c>
      <c r="C38" s="413" t="str">
        <f>VLOOKUP(A38,'Feature Raw Data'!$A$3:$C$3929,3,FALSE)</f>
        <v>P4</v>
      </c>
      <c r="D38" s="414" t="str" cm="1">
        <f t="array" ref="D38">_xlfn.TEXTJOIN("",TRUE,IF(ISNUMBER(SEARCH($A38,'Diags Raw Data'!$A$6:$A$3768)),CONCATENATE('Diags Raw Data'!$H$6:$H$3768,", "),""))</f>
        <v xml:space="preserve">ssp_zp_compat_lsdc_leg006_load_ordering_queue.yml, </v>
      </c>
      <c r="E38" s="415" t="str">
        <f>VLOOKUP(A38,'Diags Raw Data'!$A$6:$D$3768,4,FALSE)</f>
        <v>LS-02</v>
      </c>
      <c r="F38" s="415" t="str">
        <f>VLOOKUP(A38,'Feature Raw Data'!$A$3:$E$3847,5,FALSE)</f>
        <v>Legacy</v>
      </c>
      <c r="G38" s="415" t="str">
        <f t="shared" si="10"/>
        <v>Yes</v>
      </c>
      <c r="H38" s="415" t="str">
        <f t="shared" si="11"/>
        <v>Yes</v>
      </c>
      <c r="I38" s="417">
        <f>SUMIF('Diags Raw Data'!$A$6:$A$3768,"*"&amp;$A38&amp;"*",'Diags Raw Data'!$K$6:$K$3768)</f>
        <v>1</v>
      </c>
      <c r="J38" s="418">
        <f>SUMIF('Diags Raw Data'!$A$6:$A$3768,"*"&amp;$A38&amp;"*",'Diags Raw Data'!$L$6:$L$3768)</f>
        <v>500</v>
      </c>
      <c r="K38" s="443" cm="1">
        <f t="array" ref="K38">IF(D38="",0, SUMPRODUCT(--(ISNUMBER(SEARCH($A38,'Diags Raw Data'!$A$6:$A$3766))),'Diags Raw Data'!$L$6:$L$3766,'Diags Raw Data'!$N$6:$N$3766)/J38)</f>
        <v>1</v>
      </c>
      <c r="L38" s="444" cm="1">
        <f t="array" ref="L38">IF(D38="",0, SUMPRODUCT(--(ISNUMBER(SEARCH($A38,'Diags Raw Data'!$A$6:$A$3766))),'Diags Raw Data'!$L$6:$L$3766,'Diags Raw Data'!$P$6:$P$3766)/J38)</f>
        <v>1</v>
      </c>
      <c r="M38" s="445" cm="1">
        <f t="array" ref="M38">SUMPRODUCT(--(ISNUMBER(SEARCH($A38,'Diags Raw Data'!$A$6:$A$3766))),--('Diags Raw Data'!$Q$6:$Q$3766&lt;&gt;"N/A"),'Diags Raw Data'!$T$6:$T$3766)+SUMPRODUCT(--(ISNUMBER(SEARCH($A38,'Diags Raw Data'!$A$6:$A$3766))),--('Diags Raw Data'!$Q$6:$Q$3766&lt;&gt;"N/A"),'Diags Raw Data'!$U$6:$U$3766)</f>
        <v>500</v>
      </c>
      <c r="N38" s="445" cm="1">
        <f t="array" ref="N38">SUMPRODUCT(--(ISNUMBER(SEARCH($A38,'Diags Raw Data'!$A$6:$A$3766))),--('Diags Raw Data'!$Q$6:$Q$3766&lt;&gt;"N/A"),'Diags Raw Data'!$T$6:$T$3766)+SUMPRODUCT(--(ISNUMBER(SEARCH($A38,'Diags Raw Data'!$A$6:$A$3766))),--('Diags Raw Data'!$Q$6:$Q$3766&lt;&gt;"N/A"),'Diags Raw Data'!$U$6:$U$3766)</f>
        <v>500</v>
      </c>
      <c r="O38" s="446">
        <f t="shared" si="4"/>
        <v>1</v>
      </c>
      <c r="P38" s="447">
        <f>SUMIF('Diags Raw Data'!$A$6:$A$3766,"*"&amp;$A38&amp;"*",'Diags Raw Data'!$Z$6:$Z$3766)</f>
        <v>500</v>
      </c>
      <c r="Q38" s="448">
        <f>SUM(SUMIF('Diags Raw Data'!$A$6:$A$3766,"*"&amp;$A38&amp;"*",'Diags Raw Data'!$AA$6:$AA$3766),SUMIF('Diags Raw Data'!$A$6:$A$3766,"*"&amp;$A38&amp;"*",'Diags Raw Data'!$AB$6:$AB$3766))</f>
        <v>500</v>
      </c>
      <c r="R38" s="449">
        <f t="shared" si="5"/>
        <v>1</v>
      </c>
      <c r="S38" s="449">
        <f t="shared" si="6"/>
        <v>1</v>
      </c>
      <c r="T38" s="450">
        <f t="shared" si="7"/>
        <v>1</v>
      </c>
      <c r="U38" s="419" t="s">
        <v>1076</v>
      </c>
      <c r="V38" s="181"/>
    </row>
    <row r="39" spans="1:22" ht="58.5" thickBot="1">
      <c r="A39" s="321" t="s">
        <v>475</v>
      </c>
      <c r="B39" s="412" t="str">
        <f>VLOOKUP(A39,'Feature Raw Data'!$A$3:$B$3847,2,FALSE)</f>
        <v>WS.Storm.LS.OobExerciser</v>
      </c>
      <c r="C39" s="413" t="str">
        <f>VLOOKUP(A39,'Feature Raw Data'!$A$3:$C$3929,3,FALSE)</f>
        <v>P4</v>
      </c>
      <c r="D39" s="414" t="str" cm="1">
        <f t="array" ref="D39">_xlfn.TEXTJOIN("",TRUE,IF(ISNUMBER(SEARCH($A39,'Diags Raw Data'!$A$6:$A$3768)),CONCATENATE('Diags Raw Data'!$H$6:$H$3768,", "),""))</f>
        <v xml:space="preserve">ssp_zp_compat_lsdc_leg007_out_of_order_buffer.yml, </v>
      </c>
      <c r="E39" s="415" t="str">
        <f>VLOOKUP(A39,'Diags Raw Data'!$A$6:$D$3768,4,FALSE)</f>
        <v>LS-02</v>
      </c>
      <c r="F39" s="415" t="str">
        <f>VLOOKUP(A39,'Feature Raw Data'!$A$3:$E$3847,5,FALSE)</f>
        <v>Legacy</v>
      </c>
      <c r="G39" s="415" t="str">
        <f t="shared" si="10"/>
        <v>Yes</v>
      </c>
      <c r="H39" s="415" t="str">
        <f t="shared" si="11"/>
        <v>Yes</v>
      </c>
      <c r="I39" s="417">
        <f>SUMIF('Diags Raw Data'!$A$6:$A$3768,"*"&amp;$A39&amp;"*",'Diags Raw Data'!$K$6:$K$3768)</f>
        <v>1</v>
      </c>
      <c r="J39" s="418">
        <f>SUMIF('Diags Raw Data'!$A$6:$A$3768,"*"&amp;$A39&amp;"*",'Diags Raw Data'!$L$6:$L$3768)</f>
        <v>500</v>
      </c>
      <c r="K39" s="443" cm="1">
        <f t="array" ref="K39">IF(D39="",0, SUMPRODUCT(--(ISNUMBER(SEARCH($A39,'Diags Raw Data'!$A$6:$A$3766))),'Diags Raw Data'!$L$6:$L$3766,'Diags Raw Data'!$N$6:$N$3766)/J39)</f>
        <v>1</v>
      </c>
      <c r="L39" s="444" cm="1">
        <f t="array" ref="L39">IF(D39="",0, SUMPRODUCT(--(ISNUMBER(SEARCH($A39,'Diags Raw Data'!$A$6:$A$3766))),'Diags Raw Data'!$L$6:$L$3766,'Diags Raw Data'!$P$6:$P$3766)/J39)</f>
        <v>1</v>
      </c>
      <c r="M39" s="445" cm="1">
        <f t="array" ref="M39">SUMPRODUCT(--(ISNUMBER(SEARCH($A39,'Diags Raw Data'!$A$6:$A$3766))),--('Diags Raw Data'!$Q$6:$Q$3766&lt;&gt;"N/A"),'Diags Raw Data'!$T$6:$T$3766)+SUMPRODUCT(--(ISNUMBER(SEARCH($A39,'Diags Raw Data'!$A$6:$A$3766))),--('Diags Raw Data'!$Q$6:$Q$3766&lt;&gt;"N/A"),'Diags Raw Data'!$U$6:$U$3766)</f>
        <v>500</v>
      </c>
      <c r="N39" s="445" cm="1">
        <f t="array" ref="N39">SUMPRODUCT(--(ISNUMBER(SEARCH($A39,'Diags Raw Data'!$A$6:$A$3766))),--('Diags Raw Data'!$Q$6:$Q$3766&lt;&gt;"N/A"),'Diags Raw Data'!$T$6:$T$3766)+SUMPRODUCT(--(ISNUMBER(SEARCH($A39,'Diags Raw Data'!$A$6:$A$3766))),--('Diags Raw Data'!$Q$6:$Q$3766&lt;&gt;"N/A"),'Diags Raw Data'!$U$6:$U$3766)</f>
        <v>500</v>
      </c>
      <c r="O39" s="446">
        <f t="shared" si="4"/>
        <v>1</v>
      </c>
      <c r="P39" s="447">
        <f>SUMIF('Diags Raw Data'!$A$6:$A$3766,"*"&amp;$A39&amp;"*",'Diags Raw Data'!$Z$6:$Z$3766)</f>
        <v>500</v>
      </c>
      <c r="Q39" s="448">
        <f>SUM(SUMIF('Diags Raw Data'!$A$6:$A$3766,"*"&amp;$A39&amp;"*",'Diags Raw Data'!$AA$6:$AA$3766),SUMIF('Diags Raw Data'!$A$6:$A$3766,"*"&amp;$A39&amp;"*",'Diags Raw Data'!$AB$6:$AB$3766))</f>
        <v>500</v>
      </c>
      <c r="R39" s="449">
        <f t="shared" si="5"/>
        <v>1</v>
      </c>
      <c r="S39" s="449">
        <f t="shared" si="6"/>
        <v>1</v>
      </c>
      <c r="T39" s="450">
        <f t="shared" si="7"/>
        <v>1</v>
      </c>
      <c r="U39" s="419" t="s">
        <v>1076</v>
      </c>
      <c r="V39" s="181"/>
    </row>
    <row r="40" spans="1:22" ht="29.45" thickBot="1">
      <c r="A40" s="321" t="s">
        <v>480</v>
      </c>
      <c r="B40" s="412" t="str">
        <f>VLOOKUP(A40,'Feature Raw Data'!$A$3:$B$3847,2,FALSE)</f>
        <v>WS.CDL.LS.CacheLockBusLock</v>
      </c>
      <c r="C40" s="413" t="str">
        <f>VLOOKUP(A40,'Feature Raw Data'!$A$3:$C$3929,3,FALSE)</f>
        <v>P1</v>
      </c>
      <c r="D40" s="414" t="str" cm="1">
        <f t="array" ref="D40">_xlfn.TEXTJOIN("",TRUE,IF(ISNUMBER(SEARCH($A40,'Diags Raw Data'!$A$6:$A$3768)),CONCATENATE('Diags Raw Data'!$H$6:$H$3768,", "),""))</f>
        <v xml:space="preserve">Cache_Lock_And_Bus_Lock.stf
Cache_Lock_And_Bus_Lock_New.stf, </v>
      </c>
      <c r="E40" s="415" t="str">
        <f>VLOOKUP(A40,'Diags Raw Data'!$A$6:$D$3768,4,FALSE)</f>
        <v>LS-02</v>
      </c>
      <c r="F40" s="415" t="str">
        <f>VLOOKUP(A40,'Feature Raw Data'!$A$3:$E$3847,5,FALSE)</f>
        <v>Legacy</v>
      </c>
      <c r="G40" s="415" t="str">
        <f t="shared" si="10"/>
        <v>Yes</v>
      </c>
      <c r="H40" s="415" t="str">
        <f t="shared" si="11"/>
        <v>Yes</v>
      </c>
      <c r="I40" s="417">
        <f>SUMIF('Diags Raw Data'!$A$6:$A$3768,"*"&amp;$A40&amp;"*",'Diags Raw Data'!$K$6:$K$3768)</f>
        <v>1</v>
      </c>
      <c r="J40" s="418">
        <f>SUMIF('Diags Raw Data'!$A$6:$A$3768,"*"&amp;$A40&amp;"*",'Diags Raw Data'!$L$6:$L$3768)</f>
        <v>2</v>
      </c>
      <c r="K40" s="443" cm="1">
        <f t="array" ref="K40">IF(D40="",0, SUMPRODUCT(--(ISNUMBER(SEARCH($A40,'Diags Raw Data'!$A$6:$A$3766))),'Diags Raw Data'!$L$6:$L$3766,'Diags Raw Data'!$N$6:$N$3766)/J40)</f>
        <v>1</v>
      </c>
      <c r="L40" s="444" cm="1">
        <f t="array" ref="L40">IF(D40="",0, SUMPRODUCT(--(ISNUMBER(SEARCH($A40,'Diags Raw Data'!$A$6:$A$3766))),'Diags Raw Data'!$L$6:$L$3766,'Diags Raw Data'!$P$6:$P$3766)/J40)</f>
        <v>1</v>
      </c>
      <c r="M40" s="445" cm="1">
        <f t="array" ref="M40">SUMPRODUCT(--(ISNUMBER(SEARCH($A40,'Diags Raw Data'!$A$6:$A$3766))),--('Diags Raw Data'!$Q$6:$Q$3766&lt;&gt;"N/A"),'Diags Raw Data'!$T$6:$T$3766)+SUMPRODUCT(--(ISNUMBER(SEARCH($A40,'Diags Raw Data'!$A$6:$A$3766))),--('Diags Raw Data'!$Q$6:$Q$3766&lt;&gt;"N/A"),'Diags Raw Data'!$U$6:$U$3766)</f>
        <v>2</v>
      </c>
      <c r="N40" s="445" cm="1">
        <f t="array" ref="N40">SUMPRODUCT(--(ISNUMBER(SEARCH($A40,'Diags Raw Data'!$A$6:$A$3766))),--('Diags Raw Data'!$Q$6:$Q$3766&lt;&gt;"N/A"),'Diags Raw Data'!$T$6:$T$3766)+SUMPRODUCT(--(ISNUMBER(SEARCH($A40,'Diags Raw Data'!$A$6:$A$3766))),--('Diags Raw Data'!$Q$6:$Q$3766&lt;&gt;"N/A"),'Diags Raw Data'!$U$6:$U$3766)</f>
        <v>2</v>
      </c>
      <c r="O40" s="446">
        <f t="shared" si="4"/>
        <v>1</v>
      </c>
      <c r="P40" s="447">
        <f>SUMIF('Diags Raw Data'!$A$6:$A$3766,"*"&amp;$A40&amp;"*",'Diags Raw Data'!$Z$6:$Z$3766)</f>
        <v>2</v>
      </c>
      <c r="Q40" s="448">
        <f>SUM(SUMIF('Diags Raw Data'!$A$6:$A$3766,"*"&amp;$A40&amp;"*",'Diags Raw Data'!$AA$6:$AA$3766),SUMIF('Diags Raw Data'!$A$6:$A$3766,"*"&amp;$A40&amp;"*",'Diags Raw Data'!$AB$6:$AB$3766))</f>
        <v>2</v>
      </c>
      <c r="R40" s="449">
        <f t="shared" si="5"/>
        <v>1</v>
      </c>
      <c r="S40" s="449">
        <f t="shared" si="6"/>
        <v>1</v>
      </c>
      <c r="T40" s="450">
        <f t="shared" si="7"/>
        <v>1</v>
      </c>
      <c r="U40" s="419"/>
      <c r="V40" s="181"/>
    </row>
    <row r="41" spans="1:22" ht="58.5" thickBot="1">
      <c r="A41" s="321" t="s">
        <v>485</v>
      </c>
      <c r="B41" s="412" t="str">
        <f>VLOOKUP(A41,'Feature Raw Data'!$A$3:$B$3847,2,FALSE)</f>
        <v>WS.CDL.LS.StlfStli</v>
      </c>
      <c r="C41" s="413" t="str">
        <f>VLOOKUP(A41,'Feature Raw Data'!$A$3:$C$3929,3,FALSE)</f>
        <v>P3</v>
      </c>
      <c r="D41" s="414" t="str" cm="1">
        <f t="array" ref="D41">_xlfn.TEXTJOIN("",TRUE,IF(ISNUMBER(SEARCH($A41,'Diags Raw Data'!$A$6:$A$3768)),CONCATENATE('Diags Raw Data'!$H$6:$H$3768,", "),""))</f>
        <v xml:space="preserve">STLF.stf, </v>
      </c>
      <c r="E41" s="415" t="str">
        <f>VLOOKUP(A41,'Diags Raw Data'!$A$6:$D$3768,4,FALSE)</f>
        <v>LS-02</v>
      </c>
      <c r="F41" s="415" t="str">
        <f>VLOOKUP(A41,'Feature Raw Data'!$A$3:$E$3847,5,FALSE)</f>
        <v>Delta</v>
      </c>
      <c r="G41" s="415" t="str">
        <f t="shared" si="10"/>
        <v>Yes</v>
      </c>
      <c r="H41" s="415" t="str">
        <f t="shared" si="11"/>
        <v>Yes</v>
      </c>
      <c r="I41" s="417">
        <f>SUMIF('Diags Raw Data'!$A$6:$A$3768,"*"&amp;$A41&amp;"*",'Diags Raw Data'!$K$6:$K$3768)</f>
        <v>1</v>
      </c>
      <c r="J41" s="418">
        <f>SUMIF('Diags Raw Data'!$A$6:$A$3768,"*"&amp;$A41&amp;"*",'Diags Raw Data'!$L$6:$L$3768)</f>
        <v>1</v>
      </c>
      <c r="K41" s="443" cm="1">
        <f t="array" ref="K41">IF(D41="",0, SUMPRODUCT(--(ISNUMBER(SEARCH($A41,'Diags Raw Data'!$A$6:$A$3766))),'Diags Raw Data'!$L$6:$L$3766,'Diags Raw Data'!$N$6:$N$3766)/J41)</f>
        <v>1</v>
      </c>
      <c r="L41" s="444" cm="1">
        <f t="array" ref="L41">IF(D41="",0, SUMPRODUCT(--(ISNUMBER(SEARCH($A41,'Diags Raw Data'!$A$6:$A$3766))),'Diags Raw Data'!$L$6:$L$3766,'Diags Raw Data'!$P$6:$P$3766)/J41)</f>
        <v>1</v>
      </c>
      <c r="M41" s="445" cm="1">
        <f t="array" ref="M41">SUMPRODUCT(--(ISNUMBER(SEARCH($A41,'Diags Raw Data'!$A$6:$A$3766))),--('Diags Raw Data'!$Q$6:$Q$3766&lt;&gt;"N/A"),'Diags Raw Data'!$T$6:$T$3766)+SUMPRODUCT(--(ISNUMBER(SEARCH($A41,'Diags Raw Data'!$A$6:$A$3766))),--('Diags Raw Data'!$Q$6:$Q$3766&lt;&gt;"N/A"),'Diags Raw Data'!$U$6:$U$3766)</f>
        <v>1</v>
      </c>
      <c r="N41" s="445" cm="1">
        <f t="array" ref="N41">SUMPRODUCT(--(ISNUMBER(SEARCH($A41,'Diags Raw Data'!$A$6:$A$3766))),--('Diags Raw Data'!$Q$6:$Q$3766&lt;&gt;"N/A"),'Diags Raw Data'!$T$6:$T$3766)+SUMPRODUCT(--(ISNUMBER(SEARCH($A41,'Diags Raw Data'!$A$6:$A$3766))),--('Diags Raw Data'!$Q$6:$Q$3766&lt;&gt;"N/A"),'Diags Raw Data'!$U$6:$U$3766)</f>
        <v>1</v>
      </c>
      <c r="O41" s="446">
        <f t="shared" si="4"/>
        <v>1</v>
      </c>
      <c r="P41" s="447">
        <f>SUMIF('Diags Raw Data'!$A$6:$A$3766,"*"&amp;$A41&amp;"*",'Diags Raw Data'!$Z$6:$Z$3766)</f>
        <v>1</v>
      </c>
      <c r="Q41" s="448">
        <f>SUM(SUMIF('Diags Raw Data'!$A$6:$A$3766,"*"&amp;$A41&amp;"*",'Diags Raw Data'!$AA$6:$AA$3766),SUMIF('Diags Raw Data'!$A$6:$A$3766,"*"&amp;$A41&amp;"*",'Diags Raw Data'!$AB$6:$AB$3766))</f>
        <v>1</v>
      </c>
      <c r="R41" s="449">
        <f t="shared" si="5"/>
        <v>1</v>
      </c>
      <c r="S41" s="449">
        <f t="shared" si="6"/>
        <v>1</v>
      </c>
      <c r="T41" s="450">
        <f t="shared" si="7"/>
        <v>1</v>
      </c>
      <c r="U41" s="419" t="s">
        <v>1076</v>
      </c>
      <c r="V41" s="181"/>
    </row>
    <row r="42" spans="1:22" ht="58.5" thickBot="1">
      <c r="A42" s="321" t="s">
        <v>490</v>
      </c>
      <c r="B42" s="412" t="str">
        <f>VLOOKUP(A42,'Feature Raw Data'!$A$3:$B$3847,2,FALSE)</f>
        <v>WS.CDL.LS.SmcCmc</v>
      </c>
      <c r="C42" s="413" t="str">
        <f>VLOOKUP(A42,'Feature Raw Data'!$A$3:$C$3929,3,FALSE)</f>
        <v>P4</v>
      </c>
      <c r="D42" s="414" t="str" cm="1">
        <f t="array" ref="D42">_xlfn.TEXTJOIN("",TRUE,IF(ISNUMBER(SEARCH($A42,'Diags Raw Data'!$A$6:$A$3768)),CONCATENATE('Diags Raw Data'!$H$6:$H$3768,", "),""))</f>
        <v xml:space="preserve">Cross_Modifying_Code.stf, </v>
      </c>
      <c r="E42" s="415" t="str">
        <f>VLOOKUP(A42,'Diags Raw Data'!$A$6:$D$3768,4,FALSE)</f>
        <v>LS-02</v>
      </c>
      <c r="F42" s="415" t="str">
        <f>VLOOKUP(A42,'Feature Raw Data'!$A$3:$E$3847,5,FALSE)</f>
        <v>Legacy</v>
      </c>
      <c r="G42" s="415" t="str">
        <f t="shared" si="10"/>
        <v>Yes</v>
      </c>
      <c r="H42" s="415" t="str">
        <f t="shared" si="11"/>
        <v>Yes</v>
      </c>
      <c r="I42" s="417">
        <f>SUMIF('Diags Raw Data'!$A$6:$A$3768,"*"&amp;$A42&amp;"*",'Diags Raw Data'!$K$6:$K$3768)</f>
        <v>1</v>
      </c>
      <c r="J42" s="418">
        <f>SUMIF('Diags Raw Data'!$A$6:$A$3768,"*"&amp;$A42&amp;"*",'Diags Raw Data'!$L$6:$L$3768)</f>
        <v>1</v>
      </c>
      <c r="K42" s="443" cm="1">
        <f t="array" ref="K42">IF(D42="",0, SUMPRODUCT(--(ISNUMBER(SEARCH($A42,'Diags Raw Data'!$A$6:$A$3766))),'Diags Raw Data'!$L$6:$L$3766,'Diags Raw Data'!$N$6:$N$3766)/J42)</f>
        <v>1</v>
      </c>
      <c r="L42" s="444" cm="1">
        <f t="array" ref="L42">IF(D42="",0, SUMPRODUCT(--(ISNUMBER(SEARCH($A42,'Diags Raw Data'!$A$6:$A$3766))),'Diags Raw Data'!$L$6:$L$3766,'Diags Raw Data'!$P$6:$P$3766)/J42)</f>
        <v>1</v>
      </c>
      <c r="M42" s="445" cm="1">
        <f t="array" ref="M42">SUMPRODUCT(--(ISNUMBER(SEARCH($A42,'Diags Raw Data'!$A$6:$A$3766))),--('Diags Raw Data'!$Q$6:$Q$3766&lt;&gt;"N/A"),'Diags Raw Data'!$T$6:$T$3766)+SUMPRODUCT(--(ISNUMBER(SEARCH($A42,'Diags Raw Data'!$A$6:$A$3766))),--('Diags Raw Data'!$Q$6:$Q$3766&lt;&gt;"N/A"),'Diags Raw Data'!$U$6:$U$3766)</f>
        <v>0</v>
      </c>
      <c r="N42" s="445" cm="1">
        <f t="array" ref="N42">SUMPRODUCT(--(ISNUMBER(SEARCH($A42,'Diags Raw Data'!$A$6:$A$3766))),--('Diags Raw Data'!$Q$6:$Q$3766&lt;&gt;"N/A"),'Diags Raw Data'!$T$6:$T$3766)+SUMPRODUCT(--(ISNUMBER(SEARCH($A42,'Diags Raw Data'!$A$6:$A$3766))),--('Diags Raw Data'!$Q$6:$Q$3766&lt;&gt;"N/A"),'Diags Raw Data'!$U$6:$U$3766)</f>
        <v>0</v>
      </c>
      <c r="O42" s="446">
        <f>IF((M42=0),0,N42/M42)</f>
        <v>0</v>
      </c>
      <c r="P42" s="447">
        <f>SUMIF('Diags Raw Data'!$A$6:$A$3766,"*"&amp;$A42&amp;"*",'Diags Raw Data'!$Z$6:$Z$3766)</f>
        <v>1</v>
      </c>
      <c r="Q42" s="448">
        <f>SUM(SUMIF('Diags Raw Data'!$A$6:$A$3766,"*"&amp;$A42&amp;"*",'Diags Raw Data'!$AA$6:$AA$3766),SUMIF('Diags Raw Data'!$A$6:$A$3766,"*"&amp;$A42&amp;"*",'Diags Raw Data'!$AB$6:$AB$3766))</f>
        <v>1</v>
      </c>
      <c r="R42" s="449">
        <f t="shared" si="5"/>
        <v>1</v>
      </c>
      <c r="S42" s="449">
        <f t="shared" si="6"/>
        <v>1</v>
      </c>
      <c r="T42" s="450">
        <f t="shared" si="7"/>
        <v>1</v>
      </c>
      <c r="U42" s="419" t="s">
        <v>1076</v>
      </c>
      <c r="V42" s="181"/>
    </row>
    <row r="43" spans="1:22" ht="58.5" thickBot="1">
      <c r="A43" s="321" t="s">
        <v>495</v>
      </c>
      <c r="B43" s="412" t="str">
        <f>VLOOKUP(A43,'Feature Raw Data'!$A$3:$B$3847,2,FALSE)</f>
        <v>WS.CDL.LS.StreamingStore</v>
      </c>
      <c r="C43" s="413" t="str">
        <f>VLOOKUP(A43,'Feature Raw Data'!$A$3:$C$3929,3,FALSE)</f>
        <v>P4</v>
      </c>
      <c r="D43" s="414" t="str" cm="1">
        <f t="array" ref="D43">_xlfn.TEXTJOIN("",TRUE,IF(ISNUMBER(SEARCH($A43,'Diags Raw Data'!$A$6:$A$3768)),CONCATENATE('Diags Raw Data'!$H$6:$H$3768,", "),""))</f>
        <v xml:space="preserve">Core_Streaming_Store_Instructions_1.stf - 1.1
Core_Streaming_Store_Instructions_3.stf - 4.1
Core_Streaming_Store_Instructions_6.stf - 7.1
Core_Streaming_Store_Instructions_8.stf, </v>
      </c>
      <c r="E43" s="415" t="str">
        <f>VLOOKUP(A43,'Diags Raw Data'!$A$6:$D$3768,4,FALSE)</f>
        <v>LS-02</v>
      </c>
      <c r="F43" s="415" t="str">
        <f>VLOOKUP(A43,'Feature Raw Data'!$A$3:$E$3847,5,FALSE)</f>
        <v>Legacy</v>
      </c>
      <c r="G43" s="415" t="str">
        <f t="shared" si="10"/>
        <v>Yes</v>
      </c>
      <c r="H43" s="415" t="str">
        <f t="shared" si="11"/>
        <v>Yes</v>
      </c>
      <c r="I43" s="417">
        <f>SUMIF('Diags Raw Data'!$A$6:$A$3768,"*"&amp;$A43&amp;"*",'Diags Raw Data'!$K$6:$K$3768)</f>
        <v>1</v>
      </c>
      <c r="J43" s="418">
        <f>SUMIF('Diags Raw Data'!$A$6:$A$3768,"*"&amp;$A43&amp;"*",'Diags Raw Data'!$L$6:$L$3768)</f>
        <v>11</v>
      </c>
      <c r="K43" s="443" cm="1">
        <f t="array" ref="K43">IF(D43="",0, SUMPRODUCT(--(ISNUMBER(SEARCH($A43,'Diags Raw Data'!$A$6:$A$3766))),'Diags Raw Data'!$L$6:$L$3766,'Diags Raw Data'!$N$6:$N$3766)/J43)</f>
        <v>1</v>
      </c>
      <c r="L43" s="444" cm="1">
        <f t="array" ref="L43">IF(D43="",0, SUMPRODUCT(--(ISNUMBER(SEARCH($A43,'Diags Raw Data'!$A$6:$A$3766))),'Diags Raw Data'!$L$6:$L$3766,'Diags Raw Data'!$P$6:$P$3766)/J43)</f>
        <v>1</v>
      </c>
      <c r="M43" s="445" cm="1">
        <f t="array" ref="M43">SUMPRODUCT(--(ISNUMBER(SEARCH($A43,'Diags Raw Data'!$A$6:$A$3766))),--('Diags Raw Data'!$Q$6:$Q$3766&lt;&gt;"N/A"),'Diags Raw Data'!$T$6:$T$3766)+SUMPRODUCT(--(ISNUMBER(SEARCH($A43,'Diags Raw Data'!$A$6:$A$3766))),--('Diags Raw Data'!$Q$6:$Q$3766&lt;&gt;"N/A"),'Diags Raw Data'!$U$6:$U$3766)</f>
        <v>1</v>
      </c>
      <c r="N43" s="445" cm="1">
        <f t="array" ref="N43">SUMPRODUCT(--(ISNUMBER(SEARCH($A43,'Diags Raw Data'!$A$6:$A$3766))),--('Diags Raw Data'!$Q$6:$Q$3766&lt;&gt;"N/A"),'Diags Raw Data'!$T$6:$T$3766)+SUMPRODUCT(--(ISNUMBER(SEARCH($A43,'Diags Raw Data'!$A$6:$A$3766))),--('Diags Raw Data'!$Q$6:$Q$3766&lt;&gt;"N/A"),'Diags Raw Data'!$U$6:$U$3766)</f>
        <v>1</v>
      </c>
      <c r="O43" s="446">
        <f t="shared" si="4"/>
        <v>1</v>
      </c>
      <c r="P43" s="447">
        <f>SUMIF('Diags Raw Data'!$A$6:$A$3766,"*"&amp;$A43&amp;"*",'Diags Raw Data'!$Z$6:$Z$3766)</f>
        <v>1</v>
      </c>
      <c r="Q43" s="448">
        <f>SUM(SUMIF('Diags Raw Data'!$A$6:$A$3766,"*"&amp;$A43&amp;"*",'Diags Raw Data'!$AA$6:$AA$3766),SUMIF('Diags Raw Data'!$A$6:$A$3766,"*"&amp;$A43&amp;"*",'Diags Raw Data'!$AB$6:$AB$3766))</f>
        <v>1</v>
      </c>
      <c r="R43" s="449">
        <f t="shared" si="5"/>
        <v>9.0909090909090912E-2</v>
      </c>
      <c r="S43" s="449">
        <f t="shared" si="6"/>
        <v>1</v>
      </c>
      <c r="T43" s="450">
        <f t="shared" si="7"/>
        <v>9.0909090909090912E-2</v>
      </c>
      <c r="U43" s="419" t="s">
        <v>1076</v>
      </c>
      <c r="V43" s="181"/>
    </row>
    <row r="44" spans="1:22" ht="15" thickBot="1">
      <c r="A44" s="321" t="s">
        <v>501</v>
      </c>
      <c r="B44" s="412" t="str">
        <f>VLOOKUP(A44,'Feature Raw Data'!$A$3:$B$3847,2,FALSE)</f>
        <v>WS.CDL.LS.MonitorMwait</v>
      </c>
      <c r="C44" s="413" t="str">
        <f>VLOOKUP(A44,'Feature Raw Data'!$A$3:$C$3929,3,FALSE)</f>
        <v>P1</v>
      </c>
      <c r="D44" s="414" t="str" cm="1">
        <f t="array" ref="D44">_xlfn.TEXTJOIN("",TRUE,IF(ISNUMBER(SEARCH($A44,'Diags Raw Data'!$A$6:$A$3768)),CONCATENATE('Diags Raw Data'!$H$6:$H$3768,", "),""))</f>
        <v xml:space="preserve">Monitor_Mwait.stf, </v>
      </c>
      <c r="E44" s="415" t="str">
        <f>VLOOKUP(A44,'Diags Raw Data'!$A$6:$D$3768,4,FALSE)</f>
        <v>LS-02</v>
      </c>
      <c r="F44" s="415" t="str">
        <f>VLOOKUP(A44,'Feature Raw Data'!$A$3:$E$3847,5,FALSE)</f>
        <v>Legacy</v>
      </c>
      <c r="G44" s="415" t="str">
        <f t="shared" si="10"/>
        <v>Yes</v>
      </c>
      <c r="H44" s="415" t="str">
        <f t="shared" si="11"/>
        <v>Yes</v>
      </c>
      <c r="I44" s="417">
        <f>SUMIF('Diags Raw Data'!$A$6:$A$3768,"*"&amp;$A44&amp;"*",'Diags Raw Data'!$K$6:$K$3768)</f>
        <v>1</v>
      </c>
      <c r="J44" s="418">
        <f>SUMIF('Diags Raw Data'!$A$6:$A$3768,"*"&amp;$A44&amp;"*",'Diags Raw Data'!$L$6:$L$3768)</f>
        <v>1</v>
      </c>
      <c r="K44" s="443" cm="1">
        <f t="array" ref="K44">IF(D44="",0, SUMPRODUCT(--(ISNUMBER(SEARCH($A44,'Diags Raw Data'!$A$6:$A$3766))),'Diags Raw Data'!$L$6:$L$3766,'Diags Raw Data'!$N$6:$N$3766)/J44)</f>
        <v>1</v>
      </c>
      <c r="L44" s="444" cm="1">
        <f t="array" ref="L44">IF(D44="",0, SUMPRODUCT(--(ISNUMBER(SEARCH($A44,'Diags Raw Data'!$A$6:$A$3766))),'Diags Raw Data'!$L$6:$L$3766,'Diags Raw Data'!$P$6:$P$3766)/J44)</f>
        <v>1</v>
      </c>
      <c r="M44" s="445" cm="1">
        <f t="array" ref="M44">SUMPRODUCT(--(ISNUMBER(SEARCH($A44,'Diags Raw Data'!$A$6:$A$3766))),--('Diags Raw Data'!$Q$6:$Q$3766&lt;&gt;"N/A"),'Diags Raw Data'!$T$6:$T$3766)+SUMPRODUCT(--(ISNUMBER(SEARCH($A44,'Diags Raw Data'!$A$6:$A$3766))),--('Diags Raw Data'!$Q$6:$Q$3766&lt;&gt;"N/A"),'Diags Raw Data'!$U$6:$U$3766)</f>
        <v>1</v>
      </c>
      <c r="N44" s="445" cm="1">
        <f t="array" ref="N44">SUMPRODUCT(--(ISNUMBER(SEARCH($A44,'Diags Raw Data'!$A$6:$A$3766))),--('Diags Raw Data'!$Q$6:$Q$3766&lt;&gt;"N/A"),'Diags Raw Data'!$T$6:$T$3766)+SUMPRODUCT(--(ISNUMBER(SEARCH($A44,'Diags Raw Data'!$A$6:$A$3766))),--('Diags Raw Data'!$Q$6:$Q$3766&lt;&gt;"N/A"),'Diags Raw Data'!$U$6:$U$3766)</f>
        <v>1</v>
      </c>
      <c r="O44" s="446">
        <f t="shared" si="4"/>
        <v>1</v>
      </c>
      <c r="P44" s="447">
        <f>SUMIF('Diags Raw Data'!$A$6:$A$3766,"*"&amp;$A44&amp;"*",'Diags Raw Data'!$Z$6:$Z$3766)</f>
        <v>1</v>
      </c>
      <c r="Q44" s="448">
        <f>SUM(SUMIF('Diags Raw Data'!$A$6:$A$3766,"*"&amp;$A44&amp;"*",'Diags Raw Data'!$AA$6:$AA$3766),SUMIF('Diags Raw Data'!$A$6:$A$3766,"*"&amp;$A44&amp;"*",'Diags Raw Data'!$AB$6:$AB$3766))</f>
        <v>1</v>
      </c>
      <c r="R44" s="449">
        <f t="shared" si="5"/>
        <v>1</v>
      </c>
      <c r="S44" s="449">
        <f t="shared" si="6"/>
        <v>1</v>
      </c>
      <c r="T44" s="450">
        <f t="shared" si="7"/>
        <v>1</v>
      </c>
      <c r="U44" s="419"/>
      <c r="V44" s="181"/>
    </row>
    <row r="45" spans="1:22" ht="58.5" thickBot="1">
      <c r="A45" s="321" t="s">
        <v>510</v>
      </c>
      <c r="B45" s="412" t="str">
        <f>VLOOKUP(A45,'Feature Raw Data'!$A$3:$B$3847,2,FALSE)</f>
        <v>WS.Storm.LS.PageMigration</v>
      </c>
      <c r="C45" s="413" t="str">
        <f>VLOOKUP(A45,'Feature Raw Data'!$A$3:$C$3929,3,FALSE)</f>
        <v>P4</v>
      </c>
      <c r="D45" s="414" t="str" cm="1">
        <f t="array" ref="D45">_xlfn.TEXTJOIN("",TRUE,IF(ISNUMBER(SEARCH($A45,'Diags Raw Data'!$A$6:$A$3768)),CONCATENATE('Diags Raw Data'!$H$6:$H$3768,", "),""))</f>
        <v xml:space="preserve">Deluge_page_migration.yml
, </v>
      </c>
      <c r="E45" s="415" t="str">
        <f>VLOOKUP(A45,'Diags Raw Data'!$A$6:$D$3768,4,FALSE)</f>
        <v>LS-02</v>
      </c>
      <c r="F45" s="415" t="str">
        <f>VLOOKUP(A45,'Feature Raw Data'!$A$3:$E$3847,5,FALSE)</f>
        <v>Legacy</v>
      </c>
      <c r="G45" s="415" t="str">
        <f t="shared" si="10"/>
        <v>Yes</v>
      </c>
      <c r="H45" s="415" t="str">
        <f t="shared" si="11"/>
        <v>Yes</v>
      </c>
      <c r="I45" s="417">
        <f>SUMIF('Diags Raw Data'!$A$6:$A$3768,"*"&amp;$A45&amp;"*",'Diags Raw Data'!$K$6:$K$3768)</f>
        <v>1</v>
      </c>
      <c r="J45" s="418">
        <f>SUMIF('Diags Raw Data'!$A$6:$A$3768,"*"&amp;$A45&amp;"*",'Diags Raw Data'!$L$6:$L$3768)</f>
        <v>1000</v>
      </c>
      <c r="K45" s="443" cm="1">
        <f t="array" ref="K45">IF(D45="",0, SUMPRODUCT(--(ISNUMBER(SEARCH($A45,'Diags Raw Data'!$A$6:$A$3766))),'Diags Raw Data'!$L$6:$L$3766,'Diags Raw Data'!$N$6:$N$3766)/J45)</f>
        <v>1</v>
      </c>
      <c r="L45" s="444" cm="1">
        <f t="array" ref="L45">IF(D45="",0, SUMPRODUCT(--(ISNUMBER(SEARCH($A45,'Diags Raw Data'!$A$6:$A$3766))),'Diags Raw Data'!$L$6:$L$3766,'Diags Raw Data'!$P$6:$P$3766)/J45)</f>
        <v>1</v>
      </c>
      <c r="M45" s="445" cm="1">
        <f t="array" ref="M45">SUMPRODUCT(--(ISNUMBER(SEARCH($A45,'Diags Raw Data'!$A$6:$A$3766))),--('Diags Raw Data'!$Q$6:$Q$3766&lt;&gt;"N/A"),'Diags Raw Data'!$T$6:$T$3766)+SUMPRODUCT(--(ISNUMBER(SEARCH($A45,'Diags Raw Data'!$A$6:$A$3766))),--('Diags Raw Data'!$Q$6:$Q$3766&lt;&gt;"N/A"),'Diags Raw Data'!$U$6:$U$3766)</f>
        <v>2000</v>
      </c>
      <c r="N45" s="445" cm="1">
        <f t="array" ref="N45">SUMPRODUCT(--(ISNUMBER(SEARCH($A45,'Diags Raw Data'!$A$6:$A$3766))),--('Diags Raw Data'!$Q$6:$Q$3766&lt;&gt;"N/A"),'Diags Raw Data'!$T$6:$T$3766)+SUMPRODUCT(--(ISNUMBER(SEARCH($A45,'Diags Raw Data'!$A$6:$A$3766))),--('Diags Raw Data'!$Q$6:$Q$3766&lt;&gt;"N/A"),'Diags Raw Data'!$U$6:$U$3766)</f>
        <v>2000</v>
      </c>
      <c r="O45" s="446">
        <f t="shared" si="4"/>
        <v>1</v>
      </c>
      <c r="P45" s="447">
        <f>SUMIF('Diags Raw Data'!$A$6:$A$3766,"*"&amp;$A45&amp;"*",'Diags Raw Data'!$Z$6:$Z$3766)</f>
        <v>3500</v>
      </c>
      <c r="Q45" s="448">
        <f>SUM(SUMIF('Diags Raw Data'!$A$6:$A$3766,"*"&amp;$A45&amp;"*",'Diags Raw Data'!$AA$6:$AA$3766),SUMIF('Diags Raw Data'!$A$6:$A$3766,"*"&amp;$A45&amp;"*",'Diags Raw Data'!$AB$6:$AB$3766))</f>
        <v>3500</v>
      </c>
      <c r="R45" s="449">
        <f t="shared" si="5"/>
        <v>3.5</v>
      </c>
      <c r="S45" s="449">
        <f t="shared" si="6"/>
        <v>1</v>
      </c>
      <c r="T45" s="450">
        <f t="shared" si="7"/>
        <v>3.5</v>
      </c>
      <c r="U45" s="419" t="s">
        <v>1076</v>
      </c>
      <c r="V45" s="181"/>
    </row>
    <row r="46" spans="1:22" ht="102" thickBot="1">
      <c r="A46" s="321" t="s">
        <v>516</v>
      </c>
      <c r="B46" s="412" t="str">
        <f>VLOOKUP(A46,'Feature Raw Data'!$A$3:$B$3847,2,FALSE)</f>
        <v>WS.CDL.LS.CacheFlush</v>
      </c>
      <c r="C46" s="413" t="str">
        <f>VLOOKUP(A46,'Feature Raw Data'!$A$3:$C$3929,3,FALSE)</f>
        <v>P3</v>
      </c>
      <c r="D46" s="414" t="str" cm="1">
        <f t="array" ref="D46">_xlfn.TEXTJOIN("",TRUE,IF(ISNUMBER(SEARCH($A46,'Diags Raw Data'!$A$6:$A$3768)),CONCATENATE('Diags Raw Data'!$H$6:$H$3768,", "),""))</f>
        <v xml:space="preserve">LS06_Cache_WBNOINVD.stf
LS06_1_Cache_WBNOINVD.stf
LS06_2_Cache_WBNOINVD.stf
LS06_3_Cache_WBNOINVD.stf
Cache_3.1.11_L2_L3_WBINVD_INVD.stf
, </v>
      </c>
      <c r="E46" s="415" t="str">
        <f>VLOOKUP(A46,'Diags Raw Data'!$A$6:$D$3768,4,FALSE)</f>
        <v>LS-02</v>
      </c>
      <c r="F46" s="415" t="str">
        <f>VLOOKUP(A46,'Feature Raw Data'!$A$3:$E$3847,5,FALSE)</f>
        <v>Legacy</v>
      </c>
      <c r="G46" s="415" t="str">
        <f t="shared" si="10"/>
        <v>Yes</v>
      </c>
      <c r="H46" s="415" t="str">
        <f t="shared" si="11"/>
        <v>Yes</v>
      </c>
      <c r="I46" s="417">
        <f>SUMIF('Diags Raw Data'!$A$6:$A$3768,"*"&amp;$A46&amp;"*",'Diags Raw Data'!$K$6:$K$3768)</f>
        <v>1</v>
      </c>
      <c r="J46" s="418">
        <f>SUMIF('Diags Raw Data'!$A$6:$A$3768,"*"&amp;$A46&amp;"*",'Diags Raw Data'!$L$6:$L$3768)</f>
        <v>5</v>
      </c>
      <c r="K46" s="443" cm="1">
        <f t="array" ref="K46">IF(D46="",0, SUMPRODUCT(--(ISNUMBER(SEARCH($A46,'Diags Raw Data'!$A$6:$A$3766))),'Diags Raw Data'!$L$6:$L$3766,'Diags Raw Data'!$N$6:$N$3766)/J46)</f>
        <v>1</v>
      </c>
      <c r="L46" s="444" cm="1">
        <f t="array" ref="L46">IF(D46="",0, SUMPRODUCT(--(ISNUMBER(SEARCH($A46,'Diags Raw Data'!$A$6:$A$3766))),'Diags Raw Data'!$L$6:$L$3766,'Diags Raw Data'!$P$6:$P$3766)/J46)</f>
        <v>1</v>
      </c>
      <c r="M46" s="445" cm="1">
        <f t="array" ref="M46">SUMPRODUCT(--(ISNUMBER(SEARCH($A46,'Diags Raw Data'!$A$6:$A$3766))),--('Diags Raw Data'!$Q$6:$Q$3766&lt;&gt;"N/A"),'Diags Raw Data'!$T$6:$T$3766)+SUMPRODUCT(--(ISNUMBER(SEARCH($A46,'Diags Raw Data'!$A$6:$A$3766))),--('Diags Raw Data'!$Q$6:$Q$3766&lt;&gt;"N/A"),'Diags Raw Data'!$U$6:$U$3766)</f>
        <v>5</v>
      </c>
      <c r="N46" s="445" cm="1">
        <f t="array" ref="N46">SUMPRODUCT(--(ISNUMBER(SEARCH($A46,'Diags Raw Data'!$A$6:$A$3766))),--('Diags Raw Data'!$Q$6:$Q$3766&lt;&gt;"N/A"),'Diags Raw Data'!$T$6:$T$3766)+SUMPRODUCT(--(ISNUMBER(SEARCH($A46,'Diags Raw Data'!$A$6:$A$3766))),--('Diags Raw Data'!$Q$6:$Q$3766&lt;&gt;"N/A"),'Diags Raw Data'!$U$6:$U$3766)</f>
        <v>5</v>
      </c>
      <c r="O46" s="446">
        <f t="shared" si="4"/>
        <v>1</v>
      </c>
      <c r="P46" s="447">
        <f>SUMIF('Diags Raw Data'!$A$6:$A$3766,"*"&amp;$A46&amp;"*",'Diags Raw Data'!$Z$6:$Z$3766)</f>
        <v>5</v>
      </c>
      <c r="Q46" s="448">
        <f>SUM(SUMIF('Diags Raw Data'!$A$6:$A$3766,"*"&amp;$A46&amp;"*",'Diags Raw Data'!$AA$6:$AA$3766),SUMIF('Diags Raw Data'!$A$6:$A$3766,"*"&amp;$A46&amp;"*",'Diags Raw Data'!$AB$6:$AB$3766))</f>
        <v>5</v>
      </c>
      <c r="R46" s="449">
        <f t="shared" si="5"/>
        <v>1</v>
      </c>
      <c r="S46" s="449">
        <f t="shared" si="6"/>
        <v>1</v>
      </c>
      <c r="T46" s="450">
        <f t="shared" si="7"/>
        <v>1</v>
      </c>
      <c r="U46" s="419" t="s">
        <v>1076</v>
      </c>
      <c r="V46" s="181"/>
    </row>
    <row r="47" spans="1:22" ht="58.5" thickBot="1">
      <c r="A47" s="321" t="s">
        <v>522</v>
      </c>
      <c r="B47" s="412" t="str">
        <f>VLOOKUP(A47,'Feature Raw Data'!$A$3:$B$3847,2,FALSE)</f>
        <v>WS.Storm.LS.TLBI.1</v>
      </c>
      <c r="C47" s="413" t="str">
        <f>VLOOKUP(A47,'Feature Raw Data'!$A$3:$C$3929,3,FALSE)</f>
        <v>P4</v>
      </c>
      <c r="D47" s="414" t="str" cm="1">
        <f t="array" ref="D47">_xlfn.TEXTJOIN("",TRUE,IF(ISNUMBER(SEARCH($A47,'Diags Raw Data'!$A$6:$A$3768)),CONCATENATE('Diags Raw Data'!$H$6:$H$3768,", "),""))</f>
        <v xml:space="preserve">tlbi_stress.rb, </v>
      </c>
      <c r="E47" s="415" t="str">
        <f>VLOOKUP(A47,'Diags Raw Data'!$A$6:$D$3768,4,FALSE)</f>
        <v>LS-02</v>
      </c>
      <c r="F47" s="415" t="str">
        <f>VLOOKUP(A47,'Feature Raw Data'!$A$3:$E$3847,5,FALSE)</f>
        <v>Legacy</v>
      </c>
      <c r="G47" s="415" t="str">
        <f t="shared" si="10"/>
        <v>Yes</v>
      </c>
      <c r="H47" s="415" t="str">
        <f t="shared" si="11"/>
        <v>Yes</v>
      </c>
      <c r="I47" s="417">
        <f>SUMIF('Diags Raw Data'!$A$6:$A$3768,"*"&amp;$A47&amp;"*",'Diags Raw Data'!$K$6:$K$3768)</f>
        <v>1</v>
      </c>
      <c r="J47" s="418">
        <f>SUMIF('Diags Raw Data'!$A$6:$A$3768,"*"&amp;$A47&amp;"*",'Diags Raw Data'!$L$6:$L$3768)</f>
        <v>1000</v>
      </c>
      <c r="K47" s="443" cm="1">
        <f t="array" ref="K47">IF(D47="",0, SUMPRODUCT(--(ISNUMBER(SEARCH($A47,'Diags Raw Data'!$A$6:$A$3766))),'Diags Raw Data'!$L$6:$L$3766,'Diags Raw Data'!$N$6:$N$3766)/J47)</f>
        <v>1</v>
      </c>
      <c r="L47" s="444" cm="1">
        <f t="array" ref="L47">IF(D47="",0, SUMPRODUCT(--(ISNUMBER(SEARCH($A47,'Diags Raw Data'!$A$6:$A$3766))),'Diags Raw Data'!$L$6:$L$3766,'Diags Raw Data'!$P$6:$P$3766)/J47)</f>
        <v>1</v>
      </c>
      <c r="M47" s="445" cm="1">
        <f t="array" ref="M47">SUMPRODUCT(--(ISNUMBER(SEARCH($A47,'Diags Raw Data'!$A$6:$A$3766))),--('Diags Raw Data'!$Q$6:$Q$3766&lt;&gt;"N/A"),'Diags Raw Data'!$T$6:$T$3766)+SUMPRODUCT(--(ISNUMBER(SEARCH($A47,'Diags Raw Data'!$A$6:$A$3766))),--('Diags Raw Data'!$Q$6:$Q$3766&lt;&gt;"N/A"),'Diags Raw Data'!$U$6:$U$3766)</f>
        <v>3000</v>
      </c>
      <c r="N47" s="445" cm="1">
        <f t="array" ref="N47">SUMPRODUCT(--(ISNUMBER(SEARCH($A47,'Diags Raw Data'!$A$6:$A$3766))),--('Diags Raw Data'!$Q$6:$Q$3766&lt;&gt;"N/A"),'Diags Raw Data'!$T$6:$T$3766)+SUMPRODUCT(--(ISNUMBER(SEARCH($A47,'Diags Raw Data'!$A$6:$A$3766))),--('Diags Raw Data'!$Q$6:$Q$3766&lt;&gt;"N/A"),'Diags Raw Data'!$U$6:$U$3766)</f>
        <v>3000</v>
      </c>
      <c r="O47" s="446">
        <f t="shared" si="4"/>
        <v>1</v>
      </c>
      <c r="P47" s="447">
        <f>SUMIF('Diags Raw Data'!$A$6:$A$3766,"*"&amp;$A47&amp;"*",'Diags Raw Data'!$Z$6:$Z$3766)</f>
        <v>3500</v>
      </c>
      <c r="Q47" s="448">
        <f>SUM(SUMIF('Diags Raw Data'!$A$6:$A$3766,"*"&amp;$A47&amp;"*",'Diags Raw Data'!$AA$6:$AA$3766),SUMIF('Diags Raw Data'!$A$6:$A$3766,"*"&amp;$A47&amp;"*",'Diags Raw Data'!$AB$6:$AB$3766))</f>
        <v>3500</v>
      </c>
      <c r="R47" s="449">
        <f t="shared" si="5"/>
        <v>3.5</v>
      </c>
      <c r="S47" s="449">
        <f t="shared" si="6"/>
        <v>1</v>
      </c>
      <c r="T47" s="450">
        <f t="shared" si="7"/>
        <v>3.5</v>
      </c>
      <c r="U47" s="419" t="s">
        <v>1076</v>
      </c>
      <c r="V47" s="181"/>
    </row>
    <row r="48" spans="1:22" ht="15" thickBot="1">
      <c r="A48" s="321" t="s">
        <v>527</v>
      </c>
      <c r="B48" s="412" t="str">
        <f>VLOOKUP(A48,'Feature Raw Data'!$A$3:$B$3847,2,FALSE)</f>
        <v>WS.CDL.LS.TLBI.2</v>
      </c>
      <c r="C48" s="413" t="str">
        <f>VLOOKUP(A48,'Feature Raw Data'!$A$3:$C$3929,3,FALSE)</f>
        <v>P4</v>
      </c>
      <c r="D48" s="414" t="str" cm="1">
        <f t="array" ref="D48">_xlfn.TEXTJOIN("",TRUE,IF(ISNUMBER(SEARCH($A48,'Diags Raw Data'!$A$6:$A$3768)),CONCATENATE('Diags Raw Data'!$H$6:$H$3768,", "),""))</f>
        <v xml:space="preserve">TBD, </v>
      </c>
      <c r="E48" s="415" t="str">
        <f>VLOOKUP(A48,'Diags Raw Data'!$A$6:$D$3768,4,FALSE)</f>
        <v>LS-02</v>
      </c>
      <c r="F48" s="415" t="str">
        <f>VLOOKUP(A48,'Feature Raw Data'!$A$3:$E$3847,5,FALSE)</f>
        <v>Legacy</v>
      </c>
      <c r="G48" s="415" t="str">
        <f t="shared" si="10"/>
        <v>Yes</v>
      </c>
      <c r="H48" s="415" t="str">
        <f t="shared" si="11"/>
        <v>Yes</v>
      </c>
      <c r="I48" s="417">
        <f>SUMIF('Diags Raw Data'!$A$6:$A$3768,"*"&amp;$A48&amp;"*",'Diags Raw Data'!$K$6:$K$3768)</f>
        <v>1</v>
      </c>
      <c r="J48" s="418">
        <f>SUMIF('Diags Raw Data'!$A$6:$A$3768,"*"&amp;$A48&amp;"*",'Diags Raw Data'!$L$6:$L$3768)</f>
        <v>1</v>
      </c>
      <c r="K48" s="443" cm="1">
        <f t="array" ref="K48">IF(D48="",0, SUMPRODUCT(--(ISNUMBER(SEARCH($A48,'Diags Raw Data'!$A$6:$A$3766))),'Diags Raw Data'!$L$6:$L$3766,'Diags Raw Data'!$N$6:$N$3766)/J48)</f>
        <v>1</v>
      </c>
      <c r="L48" s="444" cm="1">
        <f t="array" ref="L48">IF(D48="",0, SUMPRODUCT(--(ISNUMBER(SEARCH($A48,'Diags Raw Data'!$A$6:$A$3766))),'Diags Raw Data'!$L$6:$L$3766,'Diags Raw Data'!$P$6:$P$3766)/J48)</f>
        <v>1</v>
      </c>
      <c r="M48" s="445" cm="1">
        <f t="array" ref="M48">SUMPRODUCT(--(ISNUMBER(SEARCH($A48,'Diags Raw Data'!$A$6:$A$3766))),--('Diags Raw Data'!$Q$6:$Q$3766&lt;&gt;"N/A"),'Diags Raw Data'!$T$6:$T$3766)+SUMPRODUCT(--(ISNUMBER(SEARCH($A48,'Diags Raw Data'!$A$6:$A$3766))),--('Diags Raw Data'!$Q$6:$Q$3766&lt;&gt;"N/A"),'Diags Raw Data'!$U$6:$U$3766)</f>
        <v>0</v>
      </c>
      <c r="N48" s="445" cm="1">
        <f t="array" ref="N48">SUMPRODUCT(--(ISNUMBER(SEARCH($A48,'Diags Raw Data'!$A$6:$A$3766))),--('Diags Raw Data'!$Q$6:$Q$3766&lt;&gt;"N/A"),'Diags Raw Data'!$T$6:$T$3766)+SUMPRODUCT(--(ISNUMBER(SEARCH($A48,'Diags Raw Data'!$A$6:$A$3766))),--('Diags Raw Data'!$Q$6:$Q$3766&lt;&gt;"N/A"),'Diags Raw Data'!$U$6:$U$3766)</f>
        <v>0</v>
      </c>
      <c r="O48" s="446">
        <f t="shared" si="4"/>
        <v>0</v>
      </c>
      <c r="P48" s="447">
        <f>SUMIF('Diags Raw Data'!$A$6:$A$3766,"*"&amp;$A48&amp;"*",'Diags Raw Data'!$Z$6:$Z$3766)</f>
        <v>1</v>
      </c>
      <c r="Q48" s="448">
        <f>SUM(SUMIF('Diags Raw Data'!$A$6:$A$3766,"*"&amp;$A48&amp;"*",'Diags Raw Data'!$AA$6:$AA$3766),SUMIF('Diags Raw Data'!$A$6:$A$3766,"*"&amp;$A48&amp;"*",'Diags Raw Data'!$AB$6:$AB$3766))</f>
        <v>1</v>
      </c>
      <c r="R48" s="449">
        <f t="shared" si="5"/>
        <v>1</v>
      </c>
      <c r="S48" s="449">
        <f t="shared" si="6"/>
        <v>1</v>
      </c>
      <c r="T48" s="450">
        <f t="shared" si="7"/>
        <v>1</v>
      </c>
      <c r="U48" s="419" t="s">
        <v>1078</v>
      </c>
      <c r="V48" s="181"/>
    </row>
    <row r="49" spans="1:22" ht="58.5" thickBot="1">
      <c r="A49" s="321" t="s">
        <v>532</v>
      </c>
      <c r="B49" s="412" t="str">
        <f>VLOOKUP(A49,'Feature Raw Data'!$A$3:$B$3847,2,FALSE)</f>
        <v>WS.Storm.LS.MPK</v>
      </c>
      <c r="C49" s="413" t="str">
        <f>VLOOKUP(A49,'Feature Raw Data'!$A$3:$C$3929,3,FALSE)</f>
        <v>P4</v>
      </c>
      <c r="D49" s="414" t="str" cm="1">
        <f t="array" ref="D49">_xlfn.TEXTJOIN("",TRUE,IF(ISNUMBER(SEARCH($A49,'Diags Raw Data'!$A$6:$A$3768)),CONCATENATE('Diags Raw Data'!$H$6:$H$3768,", "),""))</f>
        <v xml:space="preserve">/proj/diags_blr_storm/common_storm/yml/gna0_vmr_compat/cbb0_vmra0_paging_faults_for_mpk.yml, </v>
      </c>
      <c r="E49" s="415" t="str">
        <f>VLOOKUP(A49,'Diags Raw Data'!$A$6:$D$3768,4,FALSE)</f>
        <v>LS-02</v>
      </c>
      <c r="F49" s="415" t="str">
        <f>VLOOKUP(A49,'Feature Raw Data'!$A$3:$E$3847,5,FALSE)</f>
        <v>Legacy</v>
      </c>
      <c r="G49" s="415" t="str">
        <f t="shared" si="10"/>
        <v>Yes</v>
      </c>
      <c r="H49" s="415" t="str">
        <f t="shared" si="11"/>
        <v>Yes</v>
      </c>
      <c r="I49" s="417">
        <f>SUMIF('Diags Raw Data'!$A$6:$A$3768,"*"&amp;$A49&amp;"*",'Diags Raw Data'!$K$6:$K$3768)</f>
        <v>1</v>
      </c>
      <c r="J49" s="418">
        <f>SUMIF('Diags Raw Data'!$A$6:$A$3768,"*"&amp;$A49&amp;"*",'Diags Raw Data'!$L$6:$L$3768)</f>
        <v>500</v>
      </c>
      <c r="K49" s="443" cm="1">
        <f t="array" ref="K49">IF(D49="",0, SUMPRODUCT(--(ISNUMBER(SEARCH($A49,'Diags Raw Data'!$A$6:$A$3766))),'Diags Raw Data'!$L$6:$L$3766,'Diags Raw Data'!$N$6:$N$3766)/J49)</f>
        <v>1</v>
      </c>
      <c r="L49" s="444" cm="1">
        <f t="array" ref="L49">IF(D49="",0, SUMPRODUCT(--(ISNUMBER(SEARCH($A49,'Diags Raw Data'!$A$6:$A$3766))),'Diags Raw Data'!$L$6:$L$3766,'Diags Raw Data'!$P$6:$P$3766)/J49)</f>
        <v>1</v>
      </c>
      <c r="M49" s="445" cm="1">
        <f t="array" ref="M49">SUMPRODUCT(--(ISNUMBER(SEARCH($A49,'Diags Raw Data'!$A$6:$A$3766))),--('Diags Raw Data'!$Q$6:$Q$3766&lt;&gt;"N/A"),'Diags Raw Data'!$T$6:$T$3766)+SUMPRODUCT(--(ISNUMBER(SEARCH($A49,'Diags Raw Data'!$A$6:$A$3766))),--('Diags Raw Data'!$Q$6:$Q$3766&lt;&gt;"N/A"),'Diags Raw Data'!$U$6:$U$3766)</f>
        <v>2000</v>
      </c>
      <c r="N49" s="445" cm="1">
        <f t="array" ref="N49">SUMPRODUCT(--(ISNUMBER(SEARCH($A49,'Diags Raw Data'!$A$6:$A$3766))),--('Diags Raw Data'!$Q$6:$Q$3766&lt;&gt;"N/A"),'Diags Raw Data'!$T$6:$T$3766)+SUMPRODUCT(--(ISNUMBER(SEARCH($A49,'Diags Raw Data'!$A$6:$A$3766))),--('Diags Raw Data'!$Q$6:$Q$3766&lt;&gt;"N/A"),'Diags Raw Data'!$U$6:$U$3766)</f>
        <v>2000</v>
      </c>
      <c r="O49" s="446">
        <f t="shared" si="4"/>
        <v>1</v>
      </c>
      <c r="P49" s="447">
        <f>SUMIF('Diags Raw Data'!$A$6:$A$3766,"*"&amp;$A49&amp;"*",'Diags Raw Data'!$Z$6:$Z$3766)</f>
        <v>500</v>
      </c>
      <c r="Q49" s="448">
        <f>SUM(SUMIF('Diags Raw Data'!$A$6:$A$3766,"*"&amp;$A49&amp;"*",'Diags Raw Data'!$AA$6:$AA$3766),SUMIF('Diags Raw Data'!$A$6:$A$3766,"*"&amp;$A49&amp;"*",'Diags Raw Data'!$AB$6:$AB$3766))</f>
        <v>500</v>
      </c>
      <c r="R49" s="449">
        <f t="shared" si="5"/>
        <v>1</v>
      </c>
      <c r="S49" s="449">
        <f t="shared" si="6"/>
        <v>1</v>
      </c>
      <c r="T49" s="450">
        <f t="shared" si="7"/>
        <v>1</v>
      </c>
      <c r="U49" s="419" t="s">
        <v>1076</v>
      </c>
      <c r="V49" s="181"/>
    </row>
    <row r="50" spans="1:22" ht="56.25" customHeight="1" thickBot="1">
      <c r="A50" s="321" t="s">
        <v>537</v>
      </c>
      <c r="B50" s="412" t="str">
        <f>VLOOKUP(A50,'Feature Raw Data'!$A$3:$B$3847,2,FALSE)</f>
        <v>WS.CDL.LS.MisallignedAccess</v>
      </c>
      <c r="C50" s="413" t="str">
        <f>VLOOKUP(A50,'Feature Raw Data'!$A$3:$C$3929,3,FALSE)</f>
        <v>P1</v>
      </c>
      <c r="D50" s="414" t="str" cm="1">
        <f t="array" ref="D50">_xlfn.TEXTJOIN("",TRUE,IF(ISNUMBER(SEARCH($A50,'Diags Raw Data'!$A$6:$A$3768)),CONCATENATE('Diags Raw Data'!$H$6:$H$3768,", "),""))</f>
        <v xml:space="preserve">LSDC_Stress.stf, </v>
      </c>
      <c r="E50" s="415" t="str">
        <f>VLOOKUP(A50,'Diags Raw Data'!$A$6:$D$3768,4,FALSE)</f>
        <v>LS-02</v>
      </c>
      <c r="F50" s="415" t="str">
        <f>VLOOKUP(A50,'Feature Raw Data'!$A$3:$E$3847,5,FALSE)</f>
        <v>Legacy</v>
      </c>
      <c r="G50" s="415" t="str">
        <f t="shared" si="10"/>
        <v>Yes</v>
      </c>
      <c r="H50" s="415" t="str">
        <f t="shared" si="11"/>
        <v>Yes</v>
      </c>
      <c r="I50" s="417">
        <f>SUMIF('Diags Raw Data'!$A$6:$A$3768,"*"&amp;$A50&amp;"*",'Diags Raw Data'!$K$6:$K$3768)</f>
        <v>1</v>
      </c>
      <c r="J50" s="418">
        <f>SUMIF('Diags Raw Data'!$A$6:$A$3768,"*"&amp;$A50&amp;"*",'Diags Raw Data'!$L$6:$L$3768)</f>
        <v>5</v>
      </c>
      <c r="K50" s="443" cm="1">
        <f t="array" ref="K50">IF(D50="",0, SUMPRODUCT(--(ISNUMBER(SEARCH($A50,'Diags Raw Data'!$A$6:$A$3766))),'Diags Raw Data'!$L$6:$L$3766,'Diags Raw Data'!$N$6:$N$3766)/J50)</f>
        <v>1</v>
      </c>
      <c r="L50" s="444" cm="1">
        <f t="array" ref="L50">IF(D50="",0, SUMPRODUCT(--(ISNUMBER(SEARCH($A50,'Diags Raw Data'!$A$6:$A$3766))),'Diags Raw Data'!$L$6:$L$3766,'Diags Raw Data'!$P$6:$P$3766)/J50)</f>
        <v>1</v>
      </c>
      <c r="M50" s="445" cm="1">
        <f t="array" ref="M50">SUMPRODUCT(--(ISNUMBER(SEARCH($A50,'Diags Raw Data'!$A$6:$A$3766))),--('Diags Raw Data'!$Q$6:$Q$3766&lt;&gt;"N/A"),'Diags Raw Data'!$T$6:$T$3766)+SUMPRODUCT(--(ISNUMBER(SEARCH($A50,'Diags Raw Data'!$A$6:$A$3766))),--('Diags Raw Data'!$Q$6:$Q$3766&lt;&gt;"N/A"),'Diags Raw Data'!$U$6:$U$3766)</f>
        <v>2</v>
      </c>
      <c r="N50" s="445" cm="1">
        <f t="array" ref="N50">SUMPRODUCT(--(ISNUMBER(SEARCH($A50,'Diags Raw Data'!$A$6:$A$3766))),--('Diags Raw Data'!$Q$6:$Q$3766&lt;&gt;"N/A"),'Diags Raw Data'!$T$6:$T$3766)+SUMPRODUCT(--(ISNUMBER(SEARCH($A50,'Diags Raw Data'!$A$6:$A$3766))),--('Diags Raw Data'!$Q$6:$Q$3766&lt;&gt;"N/A"),'Diags Raw Data'!$U$6:$U$3766)</f>
        <v>2</v>
      </c>
      <c r="O50" s="446">
        <f t="shared" si="4"/>
        <v>1</v>
      </c>
      <c r="P50" s="447">
        <f>SUMIF('Diags Raw Data'!$A$6:$A$3766,"*"&amp;$A50&amp;"*",'Diags Raw Data'!$Z$6:$Z$3766)</f>
        <v>5</v>
      </c>
      <c r="Q50" s="448">
        <f>SUM(SUMIF('Diags Raw Data'!$A$6:$A$3766,"*"&amp;$A50&amp;"*",'Diags Raw Data'!$AA$6:$AA$3766),SUMIF('Diags Raw Data'!$A$6:$A$3766,"*"&amp;$A50&amp;"*",'Diags Raw Data'!$AB$6:$AB$3766))</f>
        <v>5</v>
      </c>
      <c r="R50" s="449">
        <f t="shared" si="5"/>
        <v>1</v>
      </c>
      <c r="S50" s="449">
        <f t="shared" si="6"/>
        <v>1</v>
      </c>
      <c r="T50" s="450">
        <f t="shared" si="7"/>
        <v>1</v>
      </c>
      <c r="U50" s="419"/>
      <c r="V50" s="181"/>
    </row>
    <row r="51" spans="1:22" ht="58.5" thickBot="1">
      <c r="A51" s="321" t="s">
        <v>543</v>
      </c>
      <c r="B51" s="412" t="str">
        <f>VLOOKUP(A51,'Feature Raw Data'!$A$3:$B$3847,2,FALSE)</f>
        <v>WS.Storm.LS.LargerVA</v>
      </c>
      <c r="C51" s="413" t="str">
        <f>VLOOKUP(A51,'Feature Raw Data'!$A$3:$C$3929,3,FALSE)</f>
        <v>P4</v>
      </c>
      <c r="D51" s="414" t="str" cm="1">
        <f t="array" ref="D51">_xlfn.TEXTJOIN("",TRUE,IF(ISNUMBER(SEARCH($A51,'Diags Raw Data'!$A$6:$A$3768)),CONCATENATE('Diags Raw Data'!$H$6:$H$3768,", "),""))</f>
        <v xml:space="preserve">deluge_for_larger_va.yml
(With Larger VA enables), </v>
      </c>
      <c r="E51" s="415" t="str">
        <f>VLOOKUP(A51,'Diags Raw Data'!$A$6:$D$3768,4,FALSE)</f>
        <v>LS-02</v>
      </c>
      <c r="F51" s="415" t="str">
        <f>VLOOKUP(A51,'Feature Raw Data'!$A$3:$E$3847,5,FALSE)</f>
        <v>Legacy</v>
      </c>
      <c r="G51" s="415" t="str">
        <f t="shared" si="10"/>
        <v>Yes</v>
      </c>
      <c r="H51" s="415" t="str">
        <f t="shared" si="11"/>
        <v>Yes</v>
      </c>
      <c r="I51" s="417">
        <f>SUMIF('Diags Raw Data'!$A$6:$A$3768,"*"&amp;$A51&amp;"*",'Diags Raw Data'!$K$6:$K$3768)</f>
        <v>1</v>
      </c>
      <c r="J51" s="418">
        <f>SUMIF('Diags Raw Data'!$A$6:$A$3768,"*"&amp;$A51&amp;"*",'Diags Raw Data'!$L$6:$L$3768)</f>
        <v>1000</v>
      </c>
      <c r="K51" s="443" cm="1">
        <f t="array" ref="K51">IF(D51="",0, SUMPRODUCT(--(ISNUMBER(SEARCH($A51,'Diags Raw Data'!$A$6:$A$3766))),'Diags Raw Data'!$L$6:$L$3766,'Diags Raw Data'!$N$6:$N$3766)/J51)</f>
        <v>1</v>
      </c>
      <c r="L51" s="444" cm="1">
        <f t="array" ref="L51">IF(D51="",0, SUMPRODUCT(--(ISNUMBER(SEARCH($A51,'Diags Raw Data'!$A$6:$A$3766))),'Diags Raw Data'!$L$6:$L$3766,'Diags Raw Data'!$P$6:$P$3766)/J51)</f>
        <v>1</v>
      </c>
      <c r="M51" s="445" cm="1">
        <f t="array" ref="M51">SUMPRODUCT(--(ISNUMBER(SEARCH($A51,'Diags Raw Data'!$A$6:$A$3766))),--('Diags Raw Data'!$Q$6:$Q$3766&lt;&gt;"N/A"),'Diags Raw Data'!$T$6:$T$3766)+SUMPRODUCT(--(ISNUMBER(SEARCH($A51,'Diags Raw Data'!$A$6:$A$3766))),--('Diags Raw Data'!$Q$6:$Q$3766&lt;&gt;"N/A"),'Diags Raw Data'!$U$6:$U$3766)</f>
        <v>1</v>
      </c>
      <c r="N51" s="445" cm="1">
        <f t="array" ref="N51">SUMPRODUCT(--(ISNUMBER(SEARCH($A51,'Diags Raw Data'!$A$6:$A$3766))),--('Diags Raw Data'!$Q$6:$Q$3766&lt;&gt;"N/A"),'Diags Raw Data'!$T$6:$T$3766)+SUMPRODUCT(--(ISNUMBER(SEARCH($A51,'Diags Raw Data'!$A$6:$A$3766))),--('Diags Raw Data'!$Q$6:$Q$3766&lt;&gt;"N/A"),'Diags Raw Data'!$U$6:$U$3766)</f>
        <v>1</v>
      </c>
      <c r="O51" s="446">
        <f t="shared" si="4"/>
        <v>1</v>
      </c>
      <c r="P51" s="447">
        <f>SUMIF('Diags Raw Data'!$A$6:$A$3766,"*"&amp;$A51&amp;"*",'Diags Raw Data'!$Z$6:$Z$3766)</f>
        <v>1</v>
      </c>
      <c r="Q51" s="448">
        <f>SUM(SUMIF('Diags Raw Data'!$A$6:$A$3766,"*"&amp;$A51&amp;"*",'Diags Raw Data'!$AA$6:$AA$3766),SUMIF('Diags Raw Data'!$A$6:$A$3766,"*"&amp;$A51&amp;"*",'Diags Raw Data'!$AB$6:$AB$3766))</f>
        <v>1</v>
      </c>
      <c r="R51" s="449">
        <f t="shared" si="5"/>
        <v>1E-3</v>
      </c>
      <c r="S51" s="449">
        <f t="shared" si="6"/>
        <v>1</v>
      </c>
      <c r="T51" s="450">
        <f t="shared" si="7"/>
        <v>1E-3</v>
      </c>
      <c r="U51" s="419" t="s">
        <v>1076</v>
      </c>
      <c r="V51" s="181"/>
    </row>
    <row r="52" spans="1:22" ht="58.5" thickBot="1">
      <c r="A52" s="321" t="s">
        <v>548</v>
      </c>
      <c r="B52" s="412" t="str">
        <f>VLOOKUP(A52,'Feature Raw Data'!$A$3:$B$3847,2,FALSE)</f>
        <v>WS.Storm.LS.UpperAddressIgnore</v>
      </c>
      <c r="C52" s="413" t="str">
        <f>VLOOKUP(A52,'Feature Raw Data'!$A$3:$C$3929,3,FALSE)</f>
        <v>P4</v>
      </c>
      <c r="D52" s="414" t="str" cm="1">
        <f t="array" ref="D52">_xlfn.TEXTJOIN("",TRUE,IF(ISNUMBER(SEARCH($A52,'Diags Raw Data'!$A$6:$A$3768)),CONCATENATE('Diags Raw Data'!$H$6:$H$3768,", "),""))</f>
        <v xml:space="preserve">deluge_for_upper_address_range.yml
(With Upper address Ignore enabled), </v>
      </c>
      <c r="E52" s="415" t="str">
        <f>VLOOKUP(A52,'Diags Raw Data'!$A$6:$D$3768,4,FALSE)</f>
        <v>LS-02</v>
      </c>
      <c r="F52" s="415" t="str">
        <f>VLOOKUP(A52,'Feature Raw Data'!$A$3:$E$3847,5,FALSE)</f>
        <v>Legacy</v>
      </c>
      <c r="G52" s="415" t="str">
        <f t="shared" si="10"/>
        <v>Yes</v>
      </c>
      <c r="H52" s="415" t="str">
        <f t="shared" si="11"/>
        <v>Yes</v>
      </c>
      <c r="I52" s="417">
        <f>SUMIF('Diags Raw Data'!$A$6:$A$3768,"*"&amp;$A52&amp;"*",'Diags Raw Data'!$K$6:$K$3768)</f>
        <v>1</v>
      </c>
      <c r="J52" s="418">
        <f>SUMIF('Diags Raw Data'!$A$6:$A$3768,"*"&amp;$A52&amp;"*",'Diags Raw Data'!$L$6:$L$3768)</f>
        <v>1000</v>
      </c>
      <c r="K52" s="443" cm="1">
        <f t="array" ref="K52">IF(D52="",0, SUMPRODUCT(--(ISNUMBER(SEARCH($A52,'Diags Raw Data'!$A$6:$A$3766))),'Diags Raw Data'!$L$6:$L$3766,'Diags Raw Data'!$N$6:$N$3766)/J52)</f>
        <v>1</v>
      </c>
      <c r="L52" s="444" cm="1">
        <f t="array" ref="L52">IF(D52="",0, SUMPRODUCT(--(ISNUMBER(SEARCH($A52,'Diags Raw Data'!$A$6:$A$3766))),'Diags Raw Data'!$L$6:$L$3766,'Diags Raw Data'!$P$6:$P$3766)/J52)</f>
        <v>1</v>
      </c>
      <c r="M52" s="445" cm="1">
        <f t="array" ref="M52">SUMPRODUCT(--(ISNUMBER(SEARCH($A52,'Diags Raw Data'!$A$6:$A$3766))),--('Diags Raw Data'!$Q$6:$Q$3766&lt;&gt;"N/A"),'Diags Raw Data'!$T$6:$T$3766)+SUMPRODUCT(--(ISNUMBER(SEARCH($A52,'Diags Raw Data'!$A$6:$A$3766))),--('Diags Raw Data'!$Q$6:$Q$3766&lt;&gt;"N/A"),'Diags Raw Data'!$U$6:$U$3766)</f>
        <v>1900</v>
      </c>
      <c r="N52" s="445" cm="1">
        <f t="array" ref="N52">SUMPRODUCT(--(ISNUMBER(SEARCH($A52,'Diags Raw Data'!$A$6:$A$3766))),--('Diags Raw Data'!$Q$6:$Q$3766&lt;&gt;"N/A"),'Diags Raw Data'!$T$6:$T$3766)+SUMPRODUCT(--(ISNUMBER(SEARCH($A52,'Diags Raw Data'!$A$6:$A$3766))),--('Diags Raw Data'!$Q$6:$Q$3766&lt;&gt;"N/A"),'Diags Raw Data'!$U$6:$U$3766)</f>
        <v>1900</v>
      </c>
      <c r="O52" s="446">
        <f t="shared" si="4"/>
        <v>1</v>
      </c>
      <c r="P52" s="447">
        <f>SUMIF('Diags Raw Data'!$A$6:$A$3766,"*"&amp;$A52&amp;"*",'Diags Raw Data'!$Z$6:$Z$3766)</f>
        <v>4400</v>
      </c>
      <c r="Q52" s="448">
        <f>SUM(SUMIF('Diags Raw Data'!$A$6:$A$3766,"*"&amp;$A52&amp;"*",'Diags Raw Data'!$AA$6:$AA$3766),SUMIF('Diags Raw Data'!$A$6:$A$3766,"*"&amp;$A52&amp;"*",'Diags Raw Data'!$AB$6:$AB$3766))</f>
        <v>4400</v>
      </c>
      <c r="R52" s="449">
        <f t="shared" si="5"/>
        <v>4.4000000000000004</v>
      </c>
      <c r="S52" s="449">
        <f t="shared" si="6"/>
        <v>1</v>
      </c>
      <c r="T52" s="450">
        <f t="shared" si="7"/>
        <v>4.4000000000000004</v>
      </c>
      <c r="U52" s="419" t="s">
        <v>1076</v>
      </c>
      <c r="V52" s="181"/>
    </row>
    <row r="53" spans="1:22" ht="58.5" thickBot="1">
      <c r="A53" s="321" t="s">
        <v>553</v>
      </c>
      <c r="B53" s="412" t="str">
        <f>VLOOKUP(A53,'Feature Raw Data'!$A$3:$B$3847,2,FALSE)</f>
        <v>SW.CDL.LS.Prefetch</v>
      </c>
      <c r="C53" s="413" t="str">
        <f>VLOOKUP(A53,'Feature Raw Data'!$A$3:$C$3929,3,FALSE)</f>
        <v>P4</v>
      </c>
      <c r="D53" s="414" t="str" cm="1">
        <f t="array" ref="D53">_xlfn.TEXTJOIN("",TRUE,IF(ISNUMBER(SEARCH($A53,'Diags Raw Data'!$A$6:$A$3768)),CONCATENATE('Diags Raw Data'!$H$6:$H$3768,", "),""))</f>
        <v xml:space="preserve">Core_3.1.20_Prefetch_Lock.stf 
LS11_0_Cache_Region_Prefetching.stf
LS11_1_Cache_Stream_Prefetching.stf, </v>
      </c>
      <c r="E53" s="415" t="str">
        <f>VLOOKUP(A53,'Diags Raw Data'!$A$6:$D$3768,4,FALSE)</f>
        <v>LS-02</v>
      </c>
      <c r="F53" s="415" t="str">
        <f>VLOOKUP(A53,'Feature Raw Data'!$A$3:$E$3847,5,FALSE)</f>
        <v>Delta</v>
      </c>
      <c r="G53" s="415" t="str">
        <f t="shared" si="10"/>
        <v>Yes</v>
      </c>
      <c r="H53" s="415" t="str">
        <f t="shared" si="11"/>
        <v>Yes</v>
      </c>
      <c r="I53" s="417">
        <f>SUMIF('Diags Raw Data'!$A$6:$A$3768,"*"&amp;$A53&amp;"*",'Diags Raw Data'!$K$6:$K$3768)</f>
        <v>1</v>
      </c>
      <c r="J53" s="418">
        <f>SUMIF('Diags Raw Data'!$A$6:$A$3768,"*"&amp;$A53&amp;"*",'Diags Raw Data'!$L$6:$L$3768)</f>
        <v>3</v>
      </c>
      <c r="K53" s="443" cm="1">
        <f t="array" ref="K53">IF(D53="",0, SUMPRODUCT(--(ISNUMBER(SEARCH($A53,'Diags Raw Data'!$A$6:$A$3766))),'Diags Raw Data'!$L$6:$L$3766,'Diags Raw Data'!$N$6:$N$3766)/J53)</f>
        <v>1</v>
      </c>
      <c r="L53" s="444" cm="1">
        <f t="array" ref="L53">IF(D53="",0, SUMPRODUCT(--(ISNUMBER(SEARCH($A53,'Diags Raw Data'!$A$6:$A$3766))),'Diags Raw Data'!$L$6:$L$3766,'Diags Raw Data'!$P$6:$P$3766)/J53)</f>
        <v>1</v>
      </c>
      <c r="M53" s="445" cm="1">
        <f t="array" ref="M53">SUMPRODUCT(--(ISNUMBER(SEARCH($A53,'Diags Raw Data'!$A$6:$A$3766))),--('Diags Raw Data'!$Q$6:$Q$3766&lt;&gt;"N/A"),'Diags Raw Data'!$T$6:$T$3766)+SUMPRODUCT(--(ISNUMBER(SEARCH($A53,'Diags Raw Data'!$A$6:$A$3766))),--('Diags Raw Data'!$Q$6:$Q$3766&lt;&gt;"N/A"),'Diags Raw Data'!$U$6:$U$3766)</f>
        <v>3</v>
      </c>
      <c r="N53" s="445" cm="1">
        <f t="array" ref="N53">SUMPRODUCT(--(ISNUMBER(SEARCH($A53,'Diags Raw Data'!$A$6:$A$3766))),--('Diags Raw Data'!$Q$6:$Q$3766&lt;&gt;"N/A"),'Diags Raw Data'!$T$6:$T$3766)+SUMPRODUCT(--(ISNUMBER(SEARCH($A53,'Diags Raw Data'!$A$6:$A$3766))),--('Diags Raw Data'!$Q$6:$Q$3766&lt;&gt;"N/A"),'Diags Raw Data'!$U$6:$U$3766)</f>
        <v>3</v>
      </c>
      <c r="O53" s="446">
        <f t="shared" si="4"/>
        <v>1</v>
      </c>
      <c r="P53" s="447">
        <f>SUMIF('Diags Raw Data'!$A$6:$A$3766,"*"&amp;$A53&amp;"*",'Diags Raw Data'!$Z$6:$Z$3766)</f>
        <v>3</v>
      </c>
      <c r="Q53" s="448">
        <f>SUM(SUMIF('Diags Raw Data'!$A$6:$A$3766,"*"&amp;$A53&amp;"*",'Diags Raw Data'!$AA$6:$AA$3766),SUMIF('Diags Raw Data'!$A$6:$A$3766,"*"&amp;$A53&amp;"*",'Diags Raw Data'!$AB$6:$AB$3766))</f>
        <v>3</v>
      </c>
      <c r="R53" s="449">
        <f t="shared" si="5"/>
        <v>1</v>
      </c>
      <c r="S53" s="449">
        <f t="shared" si="6"/>
        <v>1</v>
      </c>
      <c r="T53" s="450">
        <f t="shared" si="7"/>
        <v>1</v>
      </c>
      <c r="U53" s="419" t="s">
        <v>1076</v>
      </c>
      <c r="V53" s="181"/>
    </row>
    <row r="54" spans="1:22" ht="58.5" thickBot="1">
      <c r="A54" s="321" t="s">
        <v>559</v>
      </c>
      <c r="B54" s="412" t="str">
        <f>VLOOKUP(A54,'Feature Raw Data'!$A$3:$B$3847,2,FALSE)</f>
        <v>WS.CDL.LS.DTLB</v>
      </c>
      <c r="C54" s="413" t="str">
        <f>VLOOKUP(A54,'Feature Raw Data'!$A$3:$C$3929,3,FALSE)</f>
        <v>P4</v>
      </c>
      <c r="D54" s="414" t="str" cm="1">
        <f t="array" ref="D54">_xlfn.TEXTJOIN("",TRUE,IF(ISNUMBER(SEARCH($A54,'Diags Raw Data'!$A$6:$A$3768)),CONCATENATE('Diags Raw Data'!$H$6:$H$3768,", "),""))</f>
        <v xml:space="preserve">DTLB_stress.stf, </v>
      </c>
      <c r="E54" s="415" t="str">
        <f>VLOOKUP(A54,'Diags Raw Data'!$A$6:$D$3768,4,FALSE)</f>
        <v>LS-02</v>
      </c>
      <c r="F54" s="415" t="str">
        <f>VLOOKUP(A54,'Feature Raw Data'!$A$3:$E$3847,5,FALSE)</f>
        <v>Delta</v>
      </c>
      <c r="G54" s="415" t="str">
        <f t="shared" si="10"/>
        <v>Yes</v>
      </c>
      <c r="H54" s="415" t="str">
        <f t="shared" si="11"/>
        <v>Yes</v>
      </c>
      <c r="I54" s="417">
        <f>SUMIF('Diags Raw Data'!$A$6:$A$3768,"*"&amp;$A54&amp;"*",'Diags Raw Data'!$K$6:$K$3768)</f>
        <v>1</v>
      </c>
      <c r="J54" s="418">
        <f>SUMIF('Diags Raw Data'!$A$6:$A$3768,"*"&amp;$A54&amp;"*",'Diags Raw Data'!$L$6:$L$3768)</f>
        <v>2</v>
      </c>
      <c r="K54" s="443" cm="1">
        <f t="array" ref="K54">IF(D54="",0, SUMPRODUCT(--(ISNUMBER(SEARCH($A54,'Diags Raw Data'!$A$6:$A$3766))),'Diags Raw Data'!$L$6:$L$3766,'Diags Raw Data'!$N$6:$N$3766)/J54)</f>
        <v>1</v>
      </c>
      <c r="L54" s="444" cm="1">
        <f t="array" ref="L54">IF(D54="",0, SUMPRODUCT(--(ISNUMBER(SEARCH($A54,'Diags Raw Data'!$A$6:$A$3766))),'Diags Raw Data'!$L$6:$L$3766,'Diags Raw Data'!$P$6:$P$3766)/J54)</f>
        <v>1</v>
      </c>
      <c r="M54" s="445" cm="1">
        <f t="array" ref="M54">SUMPRODUCT(--(ISNUMBER(SEARCH($A54,'Diags Raw Data'!$A$6:$A$3766))),--('Diags Raw Data'!$Q$6:$Q$3766&lt;&gt;"N/A"),'Diags Raw Data'!$T$6:$T$3766)+SUMPRODUCT(--(ISNUMBER(SEARCH($A54,'Diags Raw Data'!$A$6:$A$3766))),--('Diags Raw Data'!$Q$6:$Q$3766&lt;&gt;"N/A"),'Diags Raw Data'!$U$6:$U$3766)</f>
        <v>2</v>
      </c>
      <c r="N54" s="445" cm="1">
        <f t="array" ref="N54">SUMPRODUCT(--(ISNUMBER(SEARCH($A54,'Diags Raw Data'!$A$6:$A$3766))),--('Diags Raw Data'!$Q$6:$Q$3766&lt;&gt;"N/A"),'Diags Raw Data'!$T$6:$T$3766)+SUMPRODUCT(--(ISNUMBER(SEARCH($A54,'Diags Raw Data'!$A$6:$A$3766))),--('Diags Raw Data'!$Q$6:$Q$3766&lt;&gt;"N/A"),'Diags Raw Data'!$U$6:$U$3766)</f>
        <v>2</v>
      </c>
      <c r="O54" s="446">
        <f t="shared" si="4"/>
        <v>1</v>
      </c>
      <c r="P54" s="447">
        <f>SUMIF('Diags Raw Data'!$A$6:$A$3766,"*"&amp;$A54&amp;"*",'Diags Raw Data'!$Z$6:$Z$3766)</f>
        <v>2</v>
      </c>
      <c r="Q54" s="448">
        <f>SUM(SUMIF('Diags Raw Data'!$A$6:$A$3766,"*"&amp;$A54&amp;"*",'Diags Raw Data'!$AA$6:$AA$3766),SUMIF('Diags Raw Data'!$A$6:$A$3766,"*"&amp;$A54&amp;"*",'Diags Raw Data'!$AB$6:$AB$3766))</f>
        <v>2</v>
      </c>
      <c r="R54" s="449">
        <f t="shared" si="5"/>
        <v>1</v>
      </c>
      <c r="S54" s="449">
        <f t="shared" si="6"/>
        <v>1</v>
      </c>
      <c r="T54" s="450">
        <f t="shared" si="7"/>
        <v>1</v>
      </c>
      <c r="U54" s="419" t="s">
        <v>1076</v>
      </c>
      <c r="V54" s="181"/>
    </row>
    <row r="55" spans="1:22" ht="58.5" thickBot="1">
      <c r="A55" s="321" t="s">
        <v>564</v>
      </c>
      <c r="B55" s="412" t="str">
        <f>VLOOKUP(A55,'Feature Raw Data'!$A$3:$B$3847,2,FALSE)</f>
        <v>WS.Storm.FP.Exerciser.1</v>
      </c>
      <c r="C55" s="413" t="str">
        <f>VLOOKUP(A55,'Feature Raw Data'!$A$3:$C$3929,3,FALSE)</f>
        <v>P4</v>
      </c>
      <c r="D55" s="414" t="str" cm="1">
        <f t="array" ref="D55">_xlfn.TEXTJOIN("",TRUE,IF(ISNUMBER(SEARCH($A55,'Diags Raw Data'!$A$6:$A$3768)),CONCATENATE('Diags Raw Data'!$H$6:$H$3768,", "),""))</f>
        <v xml:space="preserve">fp256.rb, </v>
      </c>
      <c r="E55" s="415" t="str">
        <f>VLOOKUP(A55,'Diags Raw Data'!$A$6:$D$3768,4,FALSE)</f>
        <v>FP-03</v>
      </c>
      <c r="F55" s="415" t="str">
        <f>VLOOKUP(A55,'Feature Raw Data'!$A$3:$E$3847,5,FALSE)</f>
        <v>Legacy</v>
      </c>
      <c r="G55" s="415" t="str">
        <f t="shared" si="10"/>
        <v>Yes</v>
      </c>
      <c r="H55" s="415" t="str">
        <f t="shared" si="11"/>
        <v>Yes</v>
      </c>
      <c r="I55" s="417">
        <f>SUMIF('Diags Raw Data'!$A$6:$A$3768,"*"&amp;$A55&amp;"*",'Diags Raw Data'!$K$6:$K$3768)</f>
        <v>1</v>
      </c>
      <c r="J55" s="418">
        <f>SUMIF('Diags Raw Data'!$A$6:$A$3768,"*"&amp;$A55&amp;"*",'Diags Raw Data'!$L$6:$L$3768)</f>
        <v>500</v>
      </c>
      <c r="K55" s="443" cm="1">
        <f t="array" ref="K55">IF(D55="",0, SUMPRODUCT(--(ISNUMBER(SEARCH($A55,'Diags Raw Data'!$A$6:$A$3766))),'Diags Raw Data'!$L$6:$L$3766,'Diags Raw Data'!$N$6:$N$3766)/J55)</f>
        <v>1</v>
      </c>
      <c r="L55" s="444" cm="1">
        <f t="array" ref="L55">IF(D55="",0, SUMPRODUCT(--(ISNUMBER(SEARCH($A55,'Diags Raw Data'!$A$6:$A$3766))),'Diags Raw Data'!$L$6:$L$3766,'Diags Raw Data'!$P$6:$P$3766)/J55)</f>
        <v>1</v>
      </c>
      <c r="M55" s="445" cm="1">
        <f t="array" ref="M55">SUMPRODUCT(--(ISNUMBER(SEARCH($A55,'Diags Raw Data'!$A$6:$A$3766))),--('Diags Raw Data'!$Q$6:$Q$3766&lt;&gt;"N/A"),'Diags Raw Data'!$T$6:$T$3766)+SUMPRODUCT(--(ISNUMBER(SEARCH($A55,'Diags Raw Data'!$A$6:$A$3766))),--('Diags Raw Data'!$Q$6:$Q$3766&lt;&gt;"N/A"),'Diags Raw Data'!$U$6:$U$3766)</f>
        <v>2628</v>
      </c>
      <c r="N55" s="445" cm="1">
        <f t="array" ref="N55">SUMPRODUCT(--(ISNUMBER(SEARCH($A55,'Diags Raw Data'!$A$6:$A$3766))),--('Diags Raw Data'!$Q$6:$Q$3766&lt;&gt;"N/A"),'Diags Raw Data'!$T$6:$T$3766)+SUMPRODUCT(--(ISNUMBER(SEARCH($A55,'Diags Raw Data'!$A$6:$A$3766))),--('Diags Raw Data'!$Q$6:$Q$3766&lt;&gt;"N/A"),'Diags Raw Data'!$U$6:$U$3766)</f>
        <v>2628</v>
      </c>
      <c r="O55" s="446">
        <f t="shared" si="4"/>
        <v>1</v>
      </c>
      <c r="P55" s="447">
        <f>SUMIF('Diags Raw Data'!$A$6:$A$3766,"*"&amp;$A55&amp;"*",'Diags Raw Data'!$Z$6:$Z$3766)</f>
        <v>2000</v>
      </c>
      <c r="Q55" s="448">
        <f>SUM(SUMIF('Diags Raw Data'!$A$6:$A$3766,"*"&amp;$A55&amp;"*",'Diags Raw Data'!$AA$6:$AA$3766),SUMIF('Diags Raw Data'!$A$6:$A$3766,"*"&amp;$A55&amp;"*",'Diags Raw Data'!$AB$6:$AB$3766))</f>
        <v>2000</v>
      </c>
      <c r="R55" s="449">
        <f t="shared" si="5"/>
        <v>4</v>
      </c>
      <c r="S55" s="449">
        <f t="shared" si="6"/>
        <v>1</v>
      </c>
      <c r="T55" s="450">
        <f t="shared" si="7"/>
        <v>4</v>
      </c>
      <c r="U55" s="419" t="s">
        <v>1076</v>
      </c>
      <c r="V55" s="181"/>
    </row>
    <row r="56" spans="1:22" ht="29.45" thickBot="1">
      <c r="A56" s="321" t="s">
        <v>572</v>
      </c>
      <c r="B56" s="412" t="str">
        <f>VLOOKUP(A56,'Feature Raw Data'!$A$3:$B$3847,2,FALSE)</f>
        <v>WS.CDL.FP.Exerciser.2</v>
      </c>
      <c r="C56" s="413" t="str">
        <f>VLOOKUP(A56,'Feature Raw Data'!$A$3:$C$3929,3,FALSE)</f>
        <v>P1</v>
      </c>
      <c r="D56" s="414" t="s">
        <v>1081</v>
      </c>
      <c r="E56" s="415" t="str">
        <f>VLOOKUP(A56,'Diags Raw Data'!$A$6:$D$3768,4,FALSE)</f>
        <v>FP-03</v>
      </c>
      <c r="F56" s="415" t="str">
        <f>VLOOKUP(A56,'Feature Raw Data'!$A$3:$E$3847,5,FALSE)</f>
        <v>Delta</v>
      </c>
      <c r="G56" s="415" t="str">
        <f t="shared" si="10"/>
        <v>Yes</v>
      </c>
      <c r="H56" s="415" t="str">
        <f t="shared" si="11"/>
        <v>Yes</v>
      </c>
      <c r="I56" s="417">
        <f>SUMIF('Diags Raw Data'!$A$6:$A$3768,"*"&amp;$A56&amp;"*",'Diags Raw Data'!$K$6:$K$3768)</f>
        <v>1</v>
      </c>
      <c r="J56" s="418">
        <f>SUMIF('Diags Raw Data'!$A$6:$A$3768,"*"&amp;$A56&amp;"*",'Diags Raw Data'!$L$6:$L$3768)</f>
        <v>11</v>
      </c>
      <c r="K56" s="443" cm="1">
        <f t="array" ref="K56">IF(D56="",0, SUMPRODUCT(--(ISNUMBER(SEARCH($A56,'Diags Raw Data'!$A$6:$A$3766))),'Diags Raw Data'!$L$6:$L$3766,'Diags Raw Data'!$N$6:$N$3766)/J56)</f>
        <v>1</v>
      </c>
      <c r="L56" s="444" cm="1">
        <f t="array" ref="L56">IF(D56="",0, SUMPRODUCT(--(ISNUMBER(SEARCH($A56,'Diags Raw Data'!$A$6:$A$3766))),'Diags Raw Data'!$L$6:$L$3766,'Diags Raw Data'!$P$6:$P$3766)/J56)</f>
        <v>1</v>
      </c>
      <c r="M56" s="445" cm="1">
        <f t="array" ref="M56">SUMPRODUCT(--(ISNUMBER(SEARCH($A56,'Diags Raw Data'!$A$6:$A$3766))),--('Diags Raw Data'!$Q$6:$Q$3766&lt;&gt;"N/A"),'Diags Raw Data'!$T$6:$T$3766)+SUMPRODUCT(--(ISNUMBER(SEARCH($A56,'Diags Raw Data'!$A$6:$A$3766))),--('Diags Raw Data'!$Q$6:$Q$3766&lt;&gt;"N/A"),'Diags Raw Data'!$U$6:$U$3766)</f>
        <v>11</v>
      </c>
      <c r="N56" s="445" cm="1">
        <f t="array" ref="N56">SUMPRODUCT(--(ISNUMBER(SEARCH($A56,'Diags Raw Data'!$A$6:$A$3766))),--('Diags Raw Data'!$Q$6:$Q$3766&lt;&gt;"N/A"),'Diags Raw Data'!$T$6:$T$3766)+SUMPRODUCT(--(ISNUMBER(SEARCH($A56,'Diags Raw Data'!$A$6:$A$3766))),--('Diags Raw Data'!$Q$6:$Q$3766&lt;&gt;"N/A"),'Diags Raw Data'!$U$6:$U$3766)</f>
        <v>11</v>
      </c>
      <c r="O56" s="446">
        <f t="shared" si="4"/>
        <v>1</v>
      </c>
      <c r="P56" s="447">
        <f>SUMIF('Diags Raw Data'!$A$6:$A$3766,"*"&amp;$A56&amp;"*",'Diags Raw Data'!$Z$6:$Z$3766)</f>
        <v>11</v>
      </c>
      <c r="Q56" s="448">
        <f>SUM(SUMIF('Diags Raw Data'!$A$6:$A$3766,"*"&amp;$A56&amp;"*",'Diags Raw Data'!$AA$6:$AA$3766),SUMIF('Diags Raw Data'!$A$6:$A$3766,"*"&amp;$A56&amp;"*",'Diags Raw Data'!$AB$6:$AB$3766))</f>
        <v>11</v>
      </c>
      <c r="R56" s="449">
        <f t="shared" si="5"/>
        <v>1</v>
      </c>
      <c r="S56" s="449">
        <f t="shared" si="6"/>
        <v>1</v>
      </c>
      <c r="T56" s="450">
        <f t="shared" si="7"/>
        <v>1</v>
      </c>
      <c r="U56" s="419"/>
      <c r="V56" s="181"/>
    </row>
    <row r="57" spans="1:22" ht="44.1" thickBot="1">
      <c r="A57" s="321" t="s">
        <v>577</v>
      </c>
      <c r="B57" s="412" t="str">
        <f>VLOOKUP(A57,'Feature Raw Data'!$A$3:$B$3847,2,FALSE)</f>
        <v>WS.CDL.FP.AVX256</v>
      </c>
      <c r="C57" s="413" t="str">
        <f>VLOOKUP(A57,'Feature Raw Data'!$A$3:$C$3929,3,FALSE)</f>
        <v>P3</v>
      </c>
      <c r="D57" s="414" t="str" cm="1">
        <f t="array" ref="D57">_xlfn.TEXTJOIN("",TRUE,IF(ISNUMBER(SEARCH($A57,'Diags Raw Data'!$A$6:$A$3768)),CONCATENATE('Diags Raw Data'!$H$6:$H$3768,", "),""))</f>
        <v xml:space="preserve">
DE01_fp256.stf
, </v>
      </c>
      <c r="E57" s="415" t="str">
        <f>VLOOKUP(A57,'Diags Raw Data'!$A$6:$D$3768,4,FALSE)</f>
        <v>FP-03</v>
      </c>
      <c r="F57" s="415" t="str">
        <f>VLOOKUP(A57,'Feature Raw Data'!$A$3:$E$3847,5,FALSE)</f>
        <v>Legacy</v>
      </c>
      <c r="G57" s="415" t="str">
        <f t="shared" si="10"/>
        <v>Yes</v>
      </c>
      <c r="H57" s="415" t="str">
        <f t="shared" si="11"/>
        <v>Yes</v>
      </c>
      <c r="I57" s="417">
        <f>SUMIF('Diags Raw Data'!$A$6:$A$3768,"*"&amp;$A57&amp;"*",'Diags Raw Data'!$K$6:$K$3768)</f>
        <v>1</v>
      </c>
      <c r="J57" s="418">
        <f>SUMIF('Diags Raw Data'!$A$6:$A$3768,"*"&amp;$A57&amp;"*",'Diags Raw Data'!$L$6:$L$3768)</f>
        <v>1</v>
      </c>
      <c r="K57" s="443" cm="1">
        <f t="array" ref="K57">IF(D57="",0, SUMPRODUCT(--(ISNUMBER(SEARCH($A57,'Diags Raw Data'!$A$6:$A$3766))),'Diags Raw Data'!$L$6:$L$3766,'Diags Raw Data'!$N$6:$N$3766)/J57)</f>
        <v>1</v>
      </c>
      <c r="L57" s="444" cm="1">
        <f t="array" ref="L57">IF(D57="",0, SUMPRODUCT(--(ISNUMBER(SEARCH($A57,'Diags Raw Data'!$A$6:$A$3766))),'Diags Raw Data'!$L$6:$L$3766,'Diags Raw Data'!$P$6:$P$3766)/J57)</f>
        <v>1</v>
      </c>
      <c r="M57" s="445" cm="1">
        <f t="array" ref="M57">SUMPRODUCT(--(ISNUMBER(SEARCH($A57,'Diags Raw Data'!$A$6:$A$3766))),--('Diags Raw Data'!$Q$6:$Q$3766&lt;&gt;"N/A"),'Diags Raw Data'!$T$6:$T$3766)+SUMPRODUCT(--(ISNUMBER(SEARCH($A57,'Diags Raw Data'!$A$6:$A$3766))),--('Diags Raw Data'!$Q$6:$Q$3766&lt;&gt;"N/A"),'Diags Raw Data'!$U$6:$U$3766)</f>
        <v>1</v>
      </c>
      <c r="N57" s="445" cm="1">
        <f t="array" ref="N57">SUMPRODUCT(--(ISNUMBER(SEARCH($A57,'Diags Raw Data'!$A$6:$A$3766))),--('Diags Raw Data'!$Q$6:$Q$3766&lt;&gt;"N/A"),'Diags Raw Data'!$T$6:$T$3766)+SUMPRODUCT(--(ISNUMBER(SEARCH($A57,'Diags Raw Data'!$A$6:$A$3766))),--('Diags Raw Data'!$Q$6:$Q$3766&lt;&gt;"N/A"),'Diags Raw Data'!$U$6:$U$3766)</f>
        <v>1</v>
      </c>
      <c r="O57" s="446">
        <f t="shared" ref="O57" si="16">IF((M57=0),0,N57/M57)</f>
        <v>1</v>
      </c>
      <c r="P57" s="447">
        <f>SUMIF('Diags Raw Data'!$A$6:$A$3766,"*"&amp;$A57&amp;"*",'Diags Raw Data'!$Z$6:$Z$3766)</f>
        <v>1</v>
      </c>
      <c r="Q57" s="448">
        <f>SUM(SUMIF('Diags Raw Data'!$A$6:$A$3766,"*"&amp;$A57&amp;"*",'Diags Raw Data'!$AA$6:$AA$3766),SUMIF('Diags Raw Data'!$A$6:$A$3766,"*"&amp;$A57&amp;"*",'Diags Raw Data'!$AB$6:$AB$3766))</f>
        <v>1</v>
      </c>
      <c r="R57" s="449">
        <f t="shared" ref="R57" si="17">IF((J57=0),0,P57/J57)</f>
        <v>1</v>
      </c>
      <c r="S57" s="449">
        <f t="shared" ref="S57" si="18">IF((P57=0),0,Q57/P57)</f>
        <v>1</v>
      </c>
      <c r="T57" s="450">
        <f t="shared" ref="T57" si="19">R57*S57</f>
        <v>1</v>
      </c>
      <c r="U57" s="419"/>
      <c r="V57" s="181"/>
    </row>
    <row r="58" spans="1:22" ht="44.1" thickBot="1">
      <c r="A58" s="321" t="s">
        <v>582</v>
      </c>
      <c r="B58" s="412" t="str">
        <f>VLOOKUP(A58,'Feature Raw Data'!$A$3:$B$3847,2,FALSE)</f>
        <v>WS.CDL.FP.AVX512</v>
      </c>
      <c r="C58" s="413" t="str">
        <f>VLOOKUP(A58,'Feature Raw Data'!$A$3:$C$3929,3,FALSE)</f>
        <v>P1</v>
      </c>
      <c r="D58" s="414" t="str" cm="1">
        <f t="array" ref="D58">_xlfn.TEXTJOIN("",TRUE,IF(ISNUMBER(SEARCH($A58,'Diags Raw Data'!$A$6:$A$3768)),CONCATENATE('Diags Raw Data'!$H$6:$H$3768,", "),""))</f>
        <v xml:space="preserve">
FPU_AVX512.stf
, </v>
      </c>
      <c r="E58" s="415" t="str">
        <f>VLOOKUP(A58,'Diags Raw Data'!$A$6:$D$3768,4,FALSE)</f>
        <v>FP-03</v>
      </c>
      <c r="F58" s="415" t="str">
        <f>VLOOKUP(A58,'Feature Raw Data'!$A$3:$E$3847,5,FALSE)</f>
        <v>Legacy</v>
      </c>
      <c r="G58" s="415" t="str">
        <f t="shared" si="10"/>
        <v>Yes</v>
      </c>
      <c r="H58" s="415" t="str">
        <f t="shared" si="11"/>
        <v>Yes</v>
      </c>
      <c r="I58" s="417">
        <f>SUMIF('Diags Raw Data'!$A$6:$A$3768,"*"&amp;$A58&amp;"*",'Diags Raw Data'!$K$6:$K$3768)</f>
        <v>1</v>
      </c>
      <c r="J58" s="418">
        <f>SUMIF('Diags Raw Data'!$A$6:$A$3768,"*"&amp;$A58&amp;"*",'Diags Raw Data'!$L$6:$L$3768)</f>
        <v>2</v>
      </c>
      <c r="K58" s="443" cm="1">
        <f t="array" ref="K58">IF(D58="",0, SUMPRODUCT(--(ISNUMBER(SEARCH($A58,'Diags Raw Data'!$A$6:$A$3766))),'Diags Raw Data'!$L$6:$L$3766,'Diags Raw Data'!$N$6:$N$3766)/J58)</f>
        <v>1</v>
      </c>
      <c r="L58" s="444" cm="1">
        <f t="array" ref="L58">IF(D58="",0, SUMPRODUCT(--(ISNUMBER(SEARCH($A58,'Diags Raw Data'!$A$6:$A$3766))),'Diags Raw Data'!$L$6:$L$3766,'Diags Raw Data'!$P$6:$P$3766)/J58)</f>
        <v>1</v>
      </c>
      <c r="M58" s="445" cm="1">
        <f t="array" ref="M58">SUMPRODUCT(--(ISNUMBER(SEARCH($A58,'Diags Raw Data'!$A$6:$A$3766))),--('Diags Raw Data'!$Q$6:$Q$3766&lt;&gt;"N/A"),'Diags Raw Data'!$T$6:$T$3766)+SUMPRODUCT(--(ISNUMBER(SEARCH($A58,'Diags Raw Data'!$A$6:$A$3766))),--('Diags Raw Data'!$Q$6:$Q$3766&lt;&gt;"N/A"),'Diags Raw Data'!$U$6:$U$3766)</f>
        <v>0</v>
      </c>
      <c r="N58" s="445" cm="1">
        <f t="array" ref="N58">SUMPRODUCT(--(ISNUMBER(SEARCH($A58,'Diags Raw Data'!$A$6:$A$3766))),--('Diags Raw Data'!$Q$6:$Q$3766&lt;&gt;"N/A"),'Diags Raw Data'!$T$6:$T$3766)+SUMPRODUCT(--(ISNUMBER(SEARCH($A58,'Diags Raw Data'!$A$6:$A$3766))),--('Diags Raw Data'!$Q$6:$Q$3766&lt;&gt;"N/A"),'Diags Raw Data'!$U$6:$U$3766)</f>
        <v>0</v>
      </c>
      <c r="O58" s="446">
        <f t="shared" ref="O58" si="20">IF((M58=0),0,N58/M58)</f>
        <v>0</v>
      </c>
      <c r="P58" s="447">
        <f>SUMIF('Diags Raw Data'!$A$6:$A$3766,"*"&amp;$A58&amp;"*",'Diags Raw Data'!$Z$6:$Z$3766)</f>
        <v>2</v>
      </c>
      <c r="Q58" s="448">
        <f>SUM(SUMIF('Diags Raw Data'!$A$6:$A$3766,"*"&amp;$A58&amp;"*",'Diags Raw Data'!$AA$6:$AA$3766),SUMIF('Diags Raw Data'!$A$6:$A$3766,"*"&amp;$A58&amp;"*",'Diags Raw Data'!$AB$6:$AB$3766))</f>
        <v>2</v>
      </c>
      <c r="R58" s="449">
        <f t="shared" ref="R58" si="21">IF((J58=0),0,P58/J58)</f>
        <v>1</v>
      </c>
      <c r="S58" s="449">
        <f t="shared" ref="S58" si="22">IF((P58=0),0,Q58/P58)</f>
        <v>1</v>
      </c>
      <c r="T58" s="450">
        <f t="shared" ref="T58" si="23">R58*S58</f>
        <v>1</v>
      </c>
      <c r="U58" s="419"/>
      <c r="V58" s="181"/>
    </row>
    <row r="59" spans="1:22" ht="58.5" thickBot="1">
      <c r="A59" s="321" t="s">
        <v>587</v>
      </c>
      <c r="B59" s="412" t="str">
        <f>VLOOKUP(A59,'Feature Raw Data'!$A$3:$B$3847,2,FALSE)</f>
        <v>WS.Storm.BP.Exerciser.1</v>
      </c>
      <c r="C59" s="413" t="str">
        <f>VLOOKUP(A59,'Feature Raw Data'!$A$3:$C$3929,3,FALSE)</f>
        <v>P4</v>
      </c>
      <c r="D59" s="414" t="str" cm="1">
        <f t="array" ref="D59">_xlfn.TEXTJOIN("",TRUE,IF(ISNUMBER(SEARCH($A59,'Diags Raw Data'!$A$6:$A$3768)),CONCATENATE('Diags Raw Data'!$H$6:$H$3768,", "),""))</f>
        <v xml:space="preserve">st283_gnb0_gna0_vmr_compat_bp_exerciser_bumped_visits.yml
, </v>
      </c>
      <c r="E59" s="415" t="str">
        <f>VLOOKUP(A59,'Diags Raw Data'!$A$6:$D$3768,4,FALSE)</f>
        <v>BP-04</v>
      </c>
      <c r="F59" s="415" t="str">
        <f>VLOOKUP(A59,'Feature Raw Data'!$A$3:$E$3847,5,FALSE)</f>
        <v>Legacy</v>
      </c>
      <c r="G59" s="415" t="str">
        <f t="shared" si="10"/>
        <v>Yes</v>
      </c>
      <c r="H59" s="415" t="str">
        <f t="shared" si="11"/>
        <v>Yes</v>
      </c>
      <c r="I59" s="417">
        <f>SUMIF('Diags Raw Data'!$A$6:$A$3768,"*"&amp;$A59&amp;"*",'Diags Raw Data'!$K$6:$K$3768)</f>
        <v>1</v>
      </c>
      <c r="J59" s="418">
        <f>SUMIF('Diags Raw Data'!$A$6:$A$3768,"*"&amp;$A59&amp;"*",'Diags Raw Data'!$L$6:$L$3768)</f>
        <v>1000</v>
      </c>
      <c r="K59" s="443" cm="1">
        <f t="array" ref="K59">IF(D59="",0, SUMPRODUCT(--(ISNUMBER(SEARCH($A59,'Diags Raw Data'!$A$6:$A$3766))),'Diags Raw Data'!$L$6:$L$3766,'Diags Raw Data'!$N$6:$N$3766)/J59)</f>
        <v>1</v>
      </c>
      <c r="L59" s="444" cm="1">
        <f t="array" ref="L59">IF(D59="",0, SUMPRODUCT(--(ISNUMBER(SEARCH($A59,'Diags Raw Data'!$A$6:$A$3766))),'Diags Raw Data'!$L$6:$L$3766,'Diags Raw Data'!$P$6:$P$3766)/J59)</f>
        <v>1</v>
      </c>
      <c r="M59" s="445" cm="1">
        <f t="array" ref="M59">SUMPRODUCT(--(ISNUMBER(SEARCH($A59,'Diags Raw Data'!$A$6:$A$3766))),--('Diags Raw Data'!$Q$6:$Q$3766&lt;&gt;"N/A"),'Diags Raw Data'!$T$6:$T$3766)+SUMPRODUCT(--(ISNUMBER(SEARCH($A59,'Diags Raw Data'!$A$6:$A$3766))),--('Diags Raw Data'!$Q$6:$Q$3766&lt;&gt;"N/A"),'Diags Raw Data'!$U$6:$U$3766)</f>
        <v>0</v>
      </c>
      <c r="N59" s="445" cm="1">
        <f t="array" ref="N59">SUMPRODUCT(--(ISNUMBER(SEARCH($A59,'Diags Raw Data'!$A$6:$A$3766))),--('Diags Raw Data'!$Q$6:$Q$3766&lt;&gt;"N/A"),'Diags Raw Data'!$T$6:$T$3766)+SUMPRODUCT(--(ISNUMBER(SEARCH($A59,'Diags Raw Data'!$A$6:$A$3766))),--('Diags Raw Data'!$Q$6:$Q$3766&lt;&gt;"N/A"),'Diags Raw Data'!$U$6:$U$3766)</f>
        <v>0</v>
      </c>
      <c r="O59" s="446">
        <f t="shared" si="4"/>
        <v>0</v>
      </c>
      <c r="P59" s="447">
        <f>SUMIF('Diags Raw Data'!$A$6:$A$3766,"*"&amp;$A59&amp;"*",'Diags Raw Data'!$Z$6:$Z$3766)</f>
        <v>2000</v>
      </c>
      <c r="Q59" s="448">
        <f>SUM(SUMIF('Diags Raw Data'!$A$6:$A$3766,"*"&amp;$A59&amp;"*",'Diags Raw Data'!$AA$6:$AA$3766),SUMIF('Diags Raw Data'!$A$6:$A$3766,"*"&amp;$A59&amp;"*",'Diags Raw Data'!$AB$6:$AB$3766))</f>
        <v>2000</v>
      </c>
      <c r="R59" s="449">
        <f t="shared" si="5"/>
        <v>2</v>
      </c>
      <c r="S59" s="449">
        <f t="shared" si="6"/>
        <v>1</v>
      </c>
      <c r="T59" s="450">
        <f t="shared" si="7"/>
        <v>2</v>
      </c>
      <c r="U59" s="419" t="s">
        <v>1076</v>
      </c>
      <c r="V59" s="181"/>
    </row>
    <row r="60" spans="1:22" ht="58.5" thickBot="1">
      <c r="A60" s="321" t="s">
        <v>595</v>
      </c>
      <c r="B60" s="412" t="str">
        <f>VLOOKUP(A60,'Feature Raw Data'!$A$3:$B$3847,2,FALSE)</f>
        <v>WS.Storm.BP.Exerciser.2</v>
      </c>
      <c r="C60" s="413" t="str">
        <f>VLOOKUP(A60,'Feature Raw Data'!$A$3:$C$3929,3,FALSE)</f>
        <v>P4</v>
      </c>
      <c r="D60" s="414" t="str" cm="1">
        <f t="array" ref="D60">_xlfn.TEXTJOIN("",TRUE,IF(ISNUMBER(SEARCH($A60,'Diags Raw Data'!$A$6:$A$3768)),CONCATENATE('Diags Raw Data'!$H$6:$H$3768,", "),""))</f>
        <v xml:space="preserve">st279_gnb0_gna0_vmr_compat_twister_bumped_visits.yml
, </v>
      </c>
      <c r="E60" s="415" t="str">
        <f>VLOOKUP(A60,'Diags Raw Data'!$A$6:$D$3768,4,FALSE)</f>
        <v>BP-04</v>
      </c>
      <c r="F60" s="415" t="str">
        <f>VLOOKUP(A60,'Feature Raw Data'!$A$3:$E$3847,5,FALSE)</f>
        <v>Legacy</v>
      </c>
      <c r="G60" s="415" t="str">
        <f t="shared" si="10"/>
        <v>Yes</v>
      </c>
      <c r="H60" s="415" t="str">
        <f t="shared" si="11"/>
        <v>Yes</v>
      </c>
      <c r="I60" s="417">
        <f>SUMIF('Diags Raw Data'!$A$6:$A$3768,"*"&amp;$A60&amp;"*",'Diags Raw Data'!$K$6:$K$3768)</f>
        <v>1</v>
      </c>
      <c r="J60" s="418">
        <f>SUMIF('Diags Raw Data'!$A$6:$A$3768,"*"&amp;$A60&amp;"*",'Diags Raw Data'!$L$6:$L$3768)</f>
        <v>5000</v>
      </c>
      <c r="K60" s="443" cm="1">
        <f t="array" ref="K60">IF(D60="",0, SUMPRODUCT(--(ISNUMBER(SEARCH($A60,'Diags Raw Data'!$A$6:$A$3766))),'Diags Raw Data'!$L$6:$L$3766,'Diags Raw Data'!$N$6:$N$3766)/J60)</f>
        <v>1</v>
      </c>
      <c r="L60" s="444" cm="1">
        <f t="array" ref="L60">IF(D60="",0, SUMPRODUCT(--(ISNUMBER(SEARCH($A60,'Diags Raw Data'!$A$6:$A$3766))),'Diags Raw Data'!$L$6:$L$3766,'Diags Raw Data'!$P$6:$P$3766)/J60)</f>
        <v>1</v>
      </c>
      <c r="M60" s="445" cm="1">
        <f t="array" ref="M60">SUMPRODUCT(--(ISNUMBER(SEARCH($A60,'Diags Raw Data'!$A$6:$A$3766))),--('Diags Raw Data'!$Q$6:$Q$3766&lt;&gt;"N/A"),'Diags Raw Data'!$T$6:$T$3766)+SUMPRODUCT(--(ISNUMBER(SEARCH($A60,'Diags Raw Data'!$A$6:$A$3766))),--('Diags Raw Data'!$Q$6:$Q$3766&lt;&gt;"N/A"),'Diags Raw Data'!$U$6:$U$3766)</f>
        <v>1712</v>
      </c>
      <c r="N60" s="445" cm="1">
        <f t="array" ref="N60">SUMPRODUCT(--(ISNUMBER(SEARCH($A60,'Diags Raw Data'!$A$6:$A$3766))),--('Diags Raw Data'!$Q$6:$Q$3766&lt;&gt;"N/A"),'Diags Raw Data'!$T$6:$T$3766)+SUMPRODUCT(--(ISNUMBER(SEARCH($A60,'Diags Raw Data'!$A$6:$A$3766))),--('Diags Raw Data'!$Q$6:$Q$3766&lt;&gt;"N/A"),'Diags Raw Data'!$U$6:$U$3766)</f>
        <v>1712</v>
      </c>
      <c r="O60" s="446">
        <f t="shared" si="4"/>
        <v>1</v>
      </c>
      <c r="P60" s="447">
        <f>SUMIF('Diags Raw Data'!$A$6:$A$3766,"*"&amp;$A60&amp;"*",'Diags Raw Data'!$Z$6:$Z$3766)</f>
        <v>2000</v>
      </c>
      <c r="Q60" s="448">
        <f>SUM(SUMIF('Diags Raw Data'!$A$6:$A$3766,"*"&amp;$A60&amp;"*",'Diags Raw Data'!$AA$6:$AA$3766),SUMIF('Diags Raw Data'!$A$6:$A$3766,"*"&amp;$A60&amp;"*",'Diags Raw Data'!$AB$6:$AB$3766))</f>
        <v>2000</v>
      </c>
      <c r="R60" s="449">
        <f t="shared" si="5"/>
        <v>0.4</v>
      </c>
      <c r="S60" s="449">
        <f t="shared" si="6"/>
        <v>1</v>
      </c>
      <c r="T60" s="450">
        <f t="shared" si="7"/>
        <v>0.4</v>
      </c>
      <c r="U60" s="419" t="s">
        <v>1076</v>
      </c>
      <c r="V60" s="181"/>
    </row>
    <row r="61" spans="1:22" ht="58.5" thickBot="1">
      <c r="A61" s="321" t="s">
        <v>598</v>
      </c>
      <c r="B61" s="412" t="str">
        <f>VLOOKUP(A61,'Feature Raw Data'!$A$3:$B$3847,2,FALSE)</f>
        <v>WS.Storm.BP.Exerciser.3</v>
      </c>
      <c r="C61" s="413" t="str">
        <f>VLOOKUP(A61,'Feature Raw Data'!$A$3:$C$3929,3,FALSE)</f>
        <v>P4</v>
      </c>
      <c r="D61" s="414" t="str" cm="1">
        <f t="array" ref="D61">_xlfn.TEXTJOIN("",TRUE,IF(ISNUMBER(SEARCH($A61,'Diags Raw Data'!$A$6:$A$3768)),CONCATENATE('Diags Raw Data'!$H$6:$H$3768,", "),""))</f>
        <v xml:space="preserve">
st279_gnb0_gna0_vmr_compat_twister_bumped_visits_in_guest_mode.yml, </v>
      </c>
      <c r="E61" s="415" t="str">
        <f>VLOOKUP(A61,'Diags Raw Data'!$A$6:$D$3768,4,FALSE)</f>
        <v>BP-04</v>
      </c>
      <c r="F61" s="415" t="str">
        <f>VLOOKUP(A61,'Feature Raw Data'!$A$3:$E$3847,5,FALSE)</f>
        <v>Legacy</v>
      </c>
      <c r="G61" s="415" t="str">
        <f t="shared" si="10"/>
        <v>Yes</v>
      </c>
      <c r="H61" s="415" t="str">
        <f t="shared" si="11"/>
        <v>Yes</v>
      </c>
      <c r="I61" s="417">
        <f>SUMIF('Diags Raw Data'!$A$6:$A$3768,"*"&amp;$A61&amp;"*",'Diags Raw Data'!$K$6:$K$3768)</f>
        <v>1</v>
      </c>
      <c r="J61" s="418">
        <f>SUMIF('Diags Raw Data'!$A$6:$A$3768,"*"&amp;$A61&amp;"*",'Diags Raw Data'!$L$6:$L$3768)</f>
        <v>5000</v>
      </c>
      <c r="K61" s="443" cm="1">
        <f t="array" ref="K61">IF(D61="",0, SUMPRODUCT(--(ISNUMBER(SEARCH($A61,'Diags Raw Data'!$A$6:$A$3766))),'Diags Raw Data'!$L$6:$L$3766,'Diags Raw Data'!$N$6:$N$3766)/J61)</f>
        <v>1</v>
      </c>
      <c r="L61" s="444" cm="1">
        <f t="array" ref="L61">IF(D61="",0, SUMPRODUCT(--(ISNUMBER(SEARCH($A61,'Diags Raw Data'!$A$6:$A$3766))),'Diags Raw Data'!$L$6:$L$3766,'Diags Raw Data'!$P$6:$P$3766)/J61)</f>
        <v>1</v>
      </c>
      <c r="M61" s="445" cm="1">
        <f t="array" ref="M61">SUMPRODUCT(--(ISNUMBER(SEARCH($A61,'Diags Raw Data'!$A$6:$A$3766))),--('Diags Raw Data'!$Q$6:$Q$3766&lt;&gt;"N/A"),'Diags Raw Data'!$T$6:$T$3766)+SUMPRODUCT(--(ISNUMBER(SEARCH($A61,'Diags Raw Data'!$A$6:$A$3766))),--('Diags Raw Data'!$Q$6:$Q$3766&lt;&gt;"N/A"),'Diags Raw Data'!$U$6:$U$3766)</f>
        <v>500</v>
      </c>
      <c r="N61" s="445" cm="1">
        <f t="array" ref="N61">SUMPRODUCT(--(ISNUMBER(SEARCH($A61,'Diags Raw Data'!$A$6:$A$3766))),--('Diags Raw Data'!$Q$6:$Q$3766&lt;&gt;"N/A"),'Diags Raw Data'!$T$6:$T$3766)+SUMPRODUCT(--(ISNUMBER(SEARCH($A61,'Diags Raw Data'!$A$6:$A$3766))),--('Diags Raw Data'!$Q$6:$Q$3766&lt;&gt;"N/A"),'Diags Raw Data'!$U$6:$U$3766)</f>
        <v>500</v>
      </c>
      <c r="O61" s="446">
        <f t="shared" si="4"/>
        <v>1</v>
      </c>
      <c r="P61" s="447">
        <f>SUMIF('Diags Raw Data'!$A$6:$A$3766,"*"&amp;$A61&amp;"*",'Diags Raw Data'!$Z$6:$Z$3766)</f>
        <v>1000</v>
      </c>
      <c r="Q61" s="448">
        <f>SUM(SUMIF('Diags Raw Data'!$A$6:$A$3766,"*"&amp;$A61&amp;"*",'Diags Raw Data'!$AA$6:$AA$3766),SUMIF('Diags Raw Data'!$A$6:$A$3766,"*"&amp;$A61&amp;"*",'Diags Raw Data'!$AB$6:$AB$3766))</f>
        <v>1000</v>
      </c>
      <c r="R61" s="449">
        <f t="shared" si="5"/>
        <v>0.2</v>
      </c>
      <c r="S61" s="449">
        <f t="shared" si="6"/>
        <v>1</v>
      </c>
      <c r="T61" s="450">
        <f t="shared" si="7"/>
        <v>0.2</v>
      </c>
      <c r="U61" s="419" t="s">
        <v>1076</v>
      </c>
      <c r="V61" s="181"/>
    </row>
    <row r="62" spans="1:22" ht="61.5" customHeight="1" thickBot="1">
      <c r="A62" s="321" t="s">
        <v>601</v>
      </c>
      <c r="B62" s="412" t="str">
        <f>VLOOKUP(A62,'Feature Raw Data'!$A$3:$B$3847,2,FALSE)</f>
        <v>WS.CDL.BP.Exerciser.4</v>
      </c>
      <c r="C62" s="413" t="str">
        <f>VLOOKUP(A62,'Feature Raw Data'!$A$3:$C$3929,3,FALSE)</f>
        <v>P1</v>
      </c>
      <c r="D62" s="414" t="s">
        <v>1082</v>
      </c>
      <c r="E62" s="415" t="str">
        <f>VLOOKUP(A62,'Diags Raw Data'!$A$6:$D$3768,4,FALSE)</f>
        <v>BP-04</v>
      </c>
      <c r="F62" s="415" t="str">
        <f>VLOOKUP(A62,'Feature Raw Data'!$A$3:$E$3847,5,FALSE)</f>
        <v>Delta</v>
      </c>
      <c r="G62" s="415" t="str">
        <f t="shared" si="10"/>
        <v>Yes</v>
      </c>
      <c r="H62" s="415" t="str">
        <f t="shared" si="11"/>
        <v>Yes</v>
      </c>
      <c r="I62" s="417">
        <f>SUMIF('Diags Raw Data'!$A$6:$A$3768,"*"&amp;$A62&amp;"*",'Diags Raw Data'!$K$6:$K$3768)</f>
        <v>1</v>
      </c>
      <c r="J62" s="418">
        <f>SUMIF('Diags Raw Data'!$A$6:$A$3768,"*"&amp;$A62&amp;"*",'Diags Raw Data'!$L$6:$L$3768)</f>
        <v>22</v>
      </c>
      <c r="K62" s="443" cm="1">
        <f t="array" ref="K62">IF(D62="",0, SUMPRODUCT(--(ISNUMBER(SEARCH($A62,'Diags Raw Data'!$A$6:$A$3766))),'Diags Raw Data'!$L$6:$L$3766,'Diags Raw Data'!$N$6:$N$3766)/J62)</f>
        <v>1</v>
      </c>
      <c r="L62" s="444" cm="1">
        <f t="array" ref="L62">IF(D62="",0, SUMPRODUCT(--(ISNUMBER(SEARCH($A62,'Diags Raw Data'!$A$6:$A$3766))),'Diags Raw Data'!$L$6:$L$3766,'Diags Raw Data'!$P$6:$P$3766)/J62)</f>
        <v>1</v>
      </c>
      <c r="M62" s="445" cm="1">
        <f t="array" ref="M62">SUMPRODUCT(--(ISNUMBER(SEARCH($A62,'Diags Raw Data'!$A$6:$A$3766))),--('Diags Raw Data'!$Q$6:$Q$3766&lt;&gt;"N/A"),'Diags Raw Data'!$T$6:$T$3766)+SUMPRODUCT(--(ISNUMBER(SEARCH($A62,'Diags Raw Data'!$A$6:$A$3766))),--('Diags Raw Data'!$Q$6:$Q$3766&lt;&gt;"N/A"),'Diags Raw Data'!$U$6:$U$3766)</f>
        <v>7</v>
      </c>
      <c r="N62" s="445" cm="1">
        <f t="array" ref="N62">SUMPRODUCT(--(ISNUMBER(SEARCH($A62,'Diags Raw Data'!$A$6:$A$3766))),--('Diags Raw Data'!$Q$6:$Q$3766&lt;&gt;"N/A"),'Diags Raw Data'!$T$6:$T$3766)+SUMPRODUCT(--(ISNUMBER(SEARCH($A62,'Diags Raw Data'!$A$6:$A$3766))),--('Diags Raw Data'!$Q$6:$Q$3766&lt;&gt;"N/A"),'Diags Raw Data'!$U$6:$U$3766)</f>
        <v>7</v>
      </c>
      <c r="O62" s="446">
        <f t="shared" si="4"/>
        <v>1</v>
      </c>
      <c r="P62" s="447">
        <f>SUMIF('Diags Raw Data'!$A$6:$A$3766,"*"&amp;$A62&amp;"*",'Diags Raw Data'!$Z$6:$Z$3766)</f>
        <v>7</v>
      </c>
      <c r="Q62" s="448">
        <f>SUM(SUMIF('Diags Raw Data'!$A$6:$A$3766,"*"&amp;$A62&amp;"*",'Diags Raw Data'!$AA$6:$AA$3766),SUMIF('Diags Raw Data'!$A$6:$A$3766,"*"&amp;$A62&amp;"*",'Diags Raw Data'!$AB$6:$AB$3766))</f>
        <v>7</v>
      </c>
      <c r="R62" s="449">
        <f t="shared" si="5"/>
        <v>0.31818181818181818</v>
      </c>
      <c r="S62" s="449">
        <f t="shared" si="6"/>
        <v>1</v>
      </c>
      <c r="T62" s="450">
        <f t="shared" si="7"/>
        <v>0.31818181818181818</v>
      </c>
      <c r="U62" s="419"/>
      <c r="V62" s="181"/>
    </row>
    <row r="63" spans="1:22" ht="58.5" thickBot="1">
      <c r="A63" s="321" t="s">
        <v>606</v>
      </c>
      <c r="B63" s="412" t="str">
        <f>VLOOKUP(A63,'Feature Raw Data'!$A$3:$B$3847,2,FALSE)</f>
        <v>WS.CDL.IC.Exerciser.1</v>
      </c>
      <c r="C63" s="413" t="str">
        <f>VLOOKUP(A63,'Feature Raw Data'!$A$3:$C$3929,3,FALSE)</f>
        <v>P3</v>
      </c>
      <c r="D63" s="414" t="str" cm="1">
        <f t="array" ref="D63">_xlfn.TEXTJOIN("",TRUE,IF(ISNUMBER(SEARCH($A63,'Diags Raw Data'!$A$6:$A$3768)),CONCATENATE('Diags Raw Data'!$H$6:$H$3768,", "),""))</f>
        <v xml:space="preserve">IC01_Branch_predictor_Stress.stf                                              IC02_Branch_predictor_Stress_1.stf
Ic32k_Branch_Predictor_Stress.stf, Local_APIC_Fixed_Interrupts.stf, </v>
      </c>
      <c r="E63" s="415" t="str">
        <f>VLOOKUP(A63,'Diags Raw Data'!$A$6:$D$3768,4,FALSE)</f>
        <v>IC-04</v>
      </c>
      <c r="F63" s="415" t="str">
        <f>VLOOKUP(A63,'Feature Raw Data'!$A$3:$E$3847,5,FALSE)</f>
        <v>Delta</v>
      </c>
      <c r="G63" s="415" t="str">
        <f t="shared" si="10"/>
        <v>Yes</v>
      </c>
      <c r="H63" s="415" t="str">
        <f t="shared" si="11"/>
        <v>Yes</v>
      </c>
      <c r="I63" s="417">
        <f>SUMIF('Diags Raw Data'!$A$6:$A$3768,"*"&amp;$A63&amp;"*",'Diags Raw Data'!$K$6:$K$3768)</f>
        <v>2</v>
      </c>
      <c r="J63" s="418">
        <f>SUMIF('Diags Raw Data'!$A$6:$A$3768,"*"&amp;$A63&amp;"*",'Diags Raw Data'!$L$6:$L$3768)</f>
        <v>3</v>
      </c>
      <c r="K63" s="443" cm="1">
        <f t="array" ref="K63">IF(D63="",0, SUMPRODUCT(--(ISNUMBER(SEARCH($A63,'Diags Raw Data'!$A$6:$A$3766))),'Diags Raw Data'!$L$6:$L$3766,'Diags Raw Data'!$N$6:$N$3766)/J63)</f>
        <v>1</v>
      </c>
      <c r="L63" s="444" cm="1">
        <f t="array" ref="L63">IF(D63="",0, SUMPRODUCT(--(ISNUMBER(SEARCH($A63,'Diags Raw Data'!$A$6:$A$3766))),'Diags Raw Data'!$L$6:$L$3766,'Diags Raw Data'!$P$6:$P$3766)/J63)</f>
        <v>1</v>
      </c>
      <c r="M63" s="445" cm="1">
        <f t="array" ref="M63">SUMPRODUCT(--(ISNUMBER(SEARCH($A63,'Diags Raw Data'!$A$6:$A$3766))),--('Diags Raw Data'!$Q$6:$Q$3766&lt;&gt;"N/A"),'Diags Raw Data'!$T$6:$T$3766)+SUMPRODUCT(--(ISNUMBER(SEARCH($A63,'Diags Raw Data'!$A$6:$A$3766))),--('Diags Raw Data'!$Q$6:$Q$3766&lt;&gt;"N/A"),'Diags Raw Data'!$U$6:$U$3766)</f>
        <v>3</v>
      </c>
      <c r="N63" s="445" cm="1">
        <f t="array" ref="N63">SUMPRODUCT(--(ISNUMBER(SEARCH($A63,'Diags Raw Data'!$A$6:$A$3766))),--('Diags Raw Data'!$Q$6:$Q$3766&lt;&gt;"N/A"),'Diags Raw Data'!$T$6:$T$3766)+SUMPRODUCT(--(ISNUMBER(SEARCH($A63,'Diags Raw Data'!$A$6:$A$3766))),--('Diags Raw Data'!$Q$6:$Q$3766&lt;&gt;"N/A"),'Diags Raw Data'!$U$6:$U$3766)</f>
        <v>3</v>
      </c>
      <c r="O63" s="446">
        <f t="shared" si="4"/>
        <v>1</v>
      </c>
      <c r="P63" s="447">
        <f>SUMIF('Diags Raw Data'!$A$6:$A$3766,"*"&amp;$A63&amp;"*",'Diags Raw Data'!$Z$6:$Z$3766)</f>
        <v>4</v>
      </c>
      <c r="Q63" s="448">
        <f>SUM(SUMIF('Diags Raw Data'!$A$6:$A$3766,"*"&amp;$A63&amp;"*",'Diags Raw Data'!$AA$6:$AA$3766),SUMIF('Diags Raw Data'!$A$6:$A$3766,"*"&amp;$A63&amp;"*",'Diags Raw Data'!$AB$6:$AB$3766))</f>
        <v>4</v>
      </c>
      <c r="R63" s="449">
        <f t="shared" si="5"/>
        <v>1.3333333333333333</v>
      </c>
      <c r="S63" s="449">
        <f t="shared" si="6"/>
        <v>1</v>
      </c>
      <c r="T63" s="450">
        <f t="shared" si="7"/>
        <v>1.3333333333333333</v>
      </c>
      <c r="U63" s="419" t="s">
        <v>1076</v>
      </c>
      <c r="V63" s="181"/>
    </row>
    <row r="64" spans="1:22" ht="58.5" thickBot="1">
      <c r="A64" s="321" t="s">
        <v>613</v>
      </c>
      <c r="B64" s="412" t="str">
        <f>VLOOKUP(A64,'Feature Raw Data'!$A$3:$B$3847,2,FALSE)</f>
        <v>WS.Storm.IC.Exerciser.2</v>
      </c>
      <c r="C64" s="413" t="str">
        <f>VLOOKUP(A64,'Feature Raw Data'!$A$3:$C$3929,3,FALSE)</f>
        <v>P4</v>
      </c>
      <c r="D64" s="414" t="str" cm="1">
        <f t="array" ref="D64">_xlfn.TEXTJOIN("",TRUE,IF(ISNUMBER(SEARCH($A64,'Diags Raw Data'!$A$6:$A$3768)),CONCATENATE('Diags Raw Data'!$H$6:$H$3768,", "),""))</f>
        <v xml:space="preserve">st283_gnb0_gna0_vmr_compat_instruction_cache_bumped_visits.yml, Local_APIC_Lowest_Priority_Interrupts.stf, </v>
      </c>
      <c r="E64" s="415" t="str">
        <f>VLOOKUP(A64,'Diags Raw Data'!$A$6:$D$3768,4,FALSE)</f>
        <v>IC-04</v>
      </c>
      <c r="F64" s="415" t="str">
        <f>VLOOKUP(A64,'Feature Raw Data'!$A$3:$E$3847,5,FALSE)</f>
        <v>Legacy</v>
      </c>
      <c r="G64" s="415" t="str">
        <f t="shared" si="10"/>
        <v>Yes</v>
      </c>
      <c r="H64" s="415" t="str">
        <f t="shared" si="11"/>
        <v>Yes</v>
      </c>
      <c r="I64" s="417">
        <f>SUMIF('Diags Raw Data'!$A$6:$A$3768,"*"&amp;$A64&amp;"*",'Diags Raw Data'!$K$6:$K$3768)</f>
        <v>2</v>
      </c>
      <c r="J64" s="418">
        <f>SUMIF('Diags Raw Data'!$A$6:$A$3768,"*"&amp;$A64&amp;"*",'Diags Raw Data'!$L$6:$L$3768)</f>
        <v>501</v>
      </c>
      <c r="K64" s="443" cm="1">
        <f t="array" ref="K64">IF(D64="",0, SUMPRODUCT(--(ISNUMBER(SEARCH($A64,'Diags Raw Data'!$A$6:$A$3766))),'Diags Raw Data'!$L$6:$L$3766,'Diags Raw Data'!$N$6:$N$3766)/J64)</f>
        <v>1</v>
      </c>
      <c r="L64" s="444" cm="1">
        <f t="array" ref="L64">IF(D64="",0, SUMPRODUCT(--(ISNUMBER(SEARCH($A64,'Diags Raw Data'!$A$6:$A$3766))),'Diags Raw Data'!$L$6:$L$3766,'Diags Raw Data'!$P$6:$P$3766)/J64)</f>
        <v>1</v>
      </c>
      <c r="M64" s="445" cm="1">
        <f t="array" ref="M64">SUMPRODUCT(--(ISNUMBER(SEARCH($A64,'Diags Raw Data'!$A$6:$A$3766))),--('Diags Raw Data'!$Q$6:$Q$3766&lt;&gt;"N/A"),'Diags Raw Data'!$T$6:$T$3766)+SUMPRODUCT(--(ISNUMBER(SEARCH($A64,'Diags Raw Data'!$A$6:$A$3766))),--('Diags Raw Data'!$Q$6:$Q$3766&lt;&gt;"N/A"),'Diags Raw Data'!$U$6:$U$3766)</f>
        <v>500</v>
      </c>
      <c r="N64" s="445" cm="1">
        <f t="array" ref="N64">SUMPRODUCT(--(ISNUMBER(SEARCH($A64,'Diags Raw Data'!$A$6:$A$3766))),--('Diags Raw Data'!$Q$6:$Q$3766&lt;&gt;"N/A"),'Diags Raw Data'!$T$6:$T$3766)+SUMPRODUCT(--(ISNUMBER(SEARCH($A64,'Diags Raw Data'!$A$6:$A$3766))),--('Diags Raw Data'!$Q$6:$Q$3766&lt;&gt;"N/A"),'Diags Raw Data'!$U$6:$U$3766)</f>
        <v>500</v>
      </c>
      <c r="O64" s="446">
        <f t="shared" si="4"/>
        <v>1</v>
      </c>
      <c r="P64" s="447">
        <f>SUMIF('Diags Raw Data'!$A$6:$A$3766,"*"&amp;$A64&amp;"*",'Diags Raw Data'!$Z$6:$Z$3766)</f>
        <v>2000</v>
      </c>
      <c r="Q64" s="448">
        <f>SUM(SUMIF('Diags Raw Data'!$A$6:$A$3766,"*"&amp;$A64&amp;"*",'Diags Raw Data'!$AA$6:$AA$3766),SUMIF('Diags Raw Data'!$A$6:$A$3766,"*"&amp;$A64&amp;"*",'Diags Raw Data'!$AB$6:$AB$3766))</f>
        <v>2000</v>
      </c>
      <c r="R64" s="449">
        <f t="shared" si="5"/>
        <v>3.992015968063872</v>
      </c>
      <c r="S64" s="449">
        <f t="shared" si="6"/>
        <v>1</v>
      </c>
      <c r="T64" s="450">
        <f t="shared" si="7"/>
        <v>3.992015968063872</v>
      </c>
      <c r="U64" s="419" t="s">
        <v>1076</v>
      </c>
      <c r="V64" s="181"/>
    </row>
    <row r="65" spans="1:22" ht="58.5" thickBot="1">
      <c r="A65" s="321" t="s">
        <v>616</v>
      </c>
      <c r="B65" s="412" t="str">
        <f>VLOOKUP(A65,'Feature Raw Data'!$A$3:$B$3847,2,FALSE)</f>
        <v>WS.CDL.IC.ICMaskAddrExt</v>
      </c>
      <c r="C65" s="413" t="str">
        <f>VLOOKUP(A65,'Feature Raw Data'!$A$3:$C$3929,3,FALSE)</f>
        <v>P4</v>
      </c>
      <c r="D65" s="414" t="str" cm="1">
        <f t="array" ref="D65">_xlfn.TEXTJOIN("",TRUE,IF(ISNUMBER(SEARCH($A65,'Diags Raw Data'!$A$6:$A$3768)),CONCATENATE('Diags Raw Data'!$H$6:$H$3768,", "),""))</f>
        <v xml:space="preserve">BP08_ICMask_Address_Extension.stf 
BP09_ICMask_Address_Extension.stf 
, Local_APIC_NMI_Check.stf, </v>
      </c>
      <c r="E65" s="415" t="str">
        <f>VLOOKUP(A65,'Diags Raw Data'!$A$6:$D$3768,4,FALSE)</f>
        <v>IC-04</v>
      </c>
      <c r="F65" s="415" t="str">
        <f>VLOOKUP(A65,'Feature Raw Data'!$A$3:$E$3847,5,FALSE)</f>
        <v>Legacy</v>
      </c>
      <c r="G65" s="415" t="str">
        <f t="shared" si="10"/>
        <v>Yes</v>
      </c>
      <c r="H65" s="415" t="str">
        <f t="shared" si="11"/>
        <v>Yes</v>
      </c>
      <c r="I65" s="417">
        <f>SUMIF('Diags Raw Data'!$A$6:$A$3768,"*"&amp;$A65&amp;"*",'Diags Raw Data'!$K$6:$K$3768)</f>
        <v>2</v>
      </c>
      <c r="J65" s="418">
        <f>SUMIF('Diags Raw Data'!$A$6:$A$3768,"*"&amp;$A65&amp;"*",'Diags Raw Data'!$L$6:$L$3768)</f>
        <v>3</v>
      </c>
      <c r="K65" s="443" cm="1">
        <f t="array" ref="K65">IF(D65="",0, SUMPRODUCT(--(ISNUMBER(SEARCH($A65,'Diags Raw Data'!$A$6:$A$3766))),'Diags Raw Data'!$L$6:$L$3766,'Diags Raw Data'!$N$6:$N$3766)/J65)</f>
        <v>1</v>
      </c>
      <c r="L65" s="444" cm="1">
        <f t="array" ref="L65">IF(D65="",0, SUMPRODUCT(--(ISNUMBER(SEARCH($A65,'Diags Raw Data'!$A$6:$A$3766))),'Diags Raw Data'!$L$6:$L$3766,'Diags Raw Data'!$P$6:$P$3766)/J65)</f>
        <v>1</v>
      </c>
      <c r="M65" s="445" cm="1">
        <f t="array" ref="M65">SUMPRODUCT(--(ISNUMBER(SEARCH($A65,'Diags Raw Data'!$A$6:$A$3766))),--('Diags Raw Data'!$Q$6:$Q$3766&lt;&gt;"N/A"),'Diags Raw Data'!$T$6:$T$3766)+SUMPRODUCT(--(ISNUMBER(SEARCH($A65,'Diags Raw Data'!$A$6:$A$3766))),--('Diags Raw Data'!$Q$6:$Q$3766&lt;&gt;"N/A"),'Diags Raw Data'!$U$6:$U$3766)</f>
        <v>1</v>
      </c>
      <c r="N65" s="445" cm="1">
        <f t="array" ref="N65">SUMPRODUCT(--(ISNUMBER(SEARCH($A65,'Diags Raw Data'!$A$6:$A$3766))),--('Diags Raw Data'!$Q$6:$Q$3766&lt;&gt;"N/A"),'Diags Raw Data'!$T$6:$T$3766)+SUMPRODUCT(--(ISNUMBER(SEARCH($A65,'Diags Raw Data'!$A$6:$A$3766))),--('Diags Raw Data'!$Q$6:$Q$3766&lt;&gt;"N/A"),'Diags Raw Data'!$U$6:$U$3766)</f>
        <v>1</v>
      </c>
      <c r="O65" s="446">
        <f t="shared" ref="O65:O117" si="24">IF((M65=0),0,N65/M65)</f>
        <v>1</v>
      </c>
      <c r="P65" s="447">
        <f>SUMIF('Diags Raw Data'!$A$6:$A$3766,"*"&amp;$A65&amp;"*",'Diags Raw Data'!$Z$6:$Z$3766)</f>
        <v>1</v>
      </c>
      <c r="Q65" s="448">
        <f>SUM(SUMIF('Diags Raw Data'!$A$6:$A$3766,"*"&amp;$A65&amp;"*",'Diags Raw Data'!$AA$6:$AA$3766),SUMIF('Diags Raw Data'!$A$6:$A$3766,"*"&amp;$A65&amp;"*",'Diags Raw Data'!$AB$6:$AB$3766))</f>
        <v>1</v>
      </c>
      <c r="R65" s="449">
        <f t="shared" ref="R65:R117" si="25">IF((J65=0),0,P65/J65)</f>
        <v>0.33333333333333331</v>
      </c>
      <c r="S65" s="449">
        <f t="shared" ref="S65:S117" si="26">IF((P65=0),0,Q65/P65)</f>
        <v>1</v>
      </c>
      <c r="T65" s="450">
        <f t="shared" ref="T65:T117" si="27">R65*S65</f>
        <v>0.33333333333333331</v>
      </c>
      <c r="U65" s="419" t="s">
        <v>1076</v>
      </c>
      <c r="V65" s="181"/>
    </row>
    <row r="66" spans="1:22" ht="58.5" thickBot="1">
      <c r="A66" s="321" t="s">
        <v>621</v>
      </c>
      <c r="B66" s="412" t="str">
        <f>VLOOKUP(A66,'Feature Raw Data'!$A$3:$B$3847,2,FALSE)</f>
        <v>WS.CDL.IC.ITLB</v>
      </c>
      <c r="C66" s="413" t="str">
        <f>VLOOKUP(A66,'Feature Raw Data'!$A$3:$C$3929,3,FALSE)</f>
        <v>P4</v>
      </c>
      <c r="D66" s="414" t="str" cm="1">
        <f t="array" ref="D66">_xlfn.TEXTJOIN("",TRUE,IF(ISNUMBER(SEARCH($A66,'Diags Raw Data'!$A$6:$A$3768)),CONCATENATE('Diags Raw Data'!$H$6:$H$3768,", "),""))</f>
        <v xml:space="preserve">ITLB.stf, Local_APIC_SMI_Check.stf, </v>
      </c>
      <c r="E66" s="415" t="str">
        <f>VLOOKUP(A66,'Diags Raw Data'!$A$6:$D$3768,4,FALSE)</f>
        <v>IC-04</v>
      </c>
      <c r="F66" s="415" t="str">
        <f>VLOOKUP(A66,'Feature Raw Data'!$A$3:$E$3847,5,FALSE)</f>
        <v>New</v>
      </c>
      <c r="G66" s="415" t="str">
        <f t="shared" si="10"/>
        <v>Yes</v>
      </c>
      <c r="H66" s="415" t="str">
        <f t="shared" si="11"/>
        <v>Yes</v>
      </c>
      <c r="I66" s="417">
        <f>SUMIF('Diags Raw Data'!$A$6:$A$3768,"*"&amp;$A66&amp;"*",'Diags Raw Data'!$K$6:$K$3768)</f>
        <v>2</v>
      </c>
      <c r="J66" s="418">
        <f>SUMIF('Diags Raw Data'!$A$6:$A$3768,"*"&amp;$A66&amp;"*",'Diags Raw Data'!$L$6:$L$3768)</f>
        <v>2</v>
      </c>
      <c r="K66" s="443" cm="1">
        <f t="array" ref="K66">IF(D66="",0, SUMPRODUCT(--(ISNUMBER(SEARCH($A66,'Diags Raw Data'!$A$6:$A$3766))),'Diags Raw Data'!$L$6:$L$3766,'Diags Raw Data'!$N$6:$N$3766)/J66)</f>
        <v>1</v>
      </c>
      <c r="L66" s="444" cm="1">
        <f t="array" ref="L66">IF(D66="",0, SUMPRODUCT(--(ISNUMBER(SEARCH($A66,'Diags Raw Data'!$A$6:$A$3766))),'Diags Raw Data'!$L$6:$L$3766,'Diags Raw Data'!$P$6:$P$3766)/J66)</f>
        <v>1</v>
      </c>
      <c r="M66" s="445" cm="1">
        <f t="array" ref="M66">SUMPRODUCT(--(ISNUMBER(SEARCH($A66,'Diags Raw Data'!$A$6:$A$3766))),--('Diags Raw Data'!$Q$6:$Q$3766&lt;&gt;"N/A"),'Diags Raw Data'!$T$6:$T$3766)+SUMPRODUCT(--(ISNUMBER(SEARCH($A66,'Diags Raw Data'!$A$6:$A$3766))),--('Diags Raw Data'!$Q$6:$Q$3766&lt;&gt;"N/A"),'Diags Raw Data'!$U$6:$U$3766)</f>
        <v>1</v>
      </c>
      <c r="N66" s="445" cm="1">
        <f t="array" ref="N66">SUMPRODUCT(--(ISNUMBER(SEARCH($A66,'Diags Raw Data'!$A$6:$A$3766))),--('Diags Raw Data'!$Q$6:$Q$3766&lt;&gt;"N/A"),'Diags Raw Data'!$T$6:$T$3766)+SUMPRODUCT(--(ISNUMBER(SEARCH($A66,'Diags Raw Data'!$A$6:$A$3766))),--('Diags Raw Data'!$Q$6:$Q$3766&lt;&gt;"N/A"),'Diags Raw Data'!$U$6:$U$3766)</f>
        <v>1</v>
      </c>
      <c r="O66" s="446">
        <f t="shared" si="24"/>
        <v>1</v>
      </c>
      <c r="P66" s="447">
        <f>SUMIF('Diags Raw Data'!$A$6:$A$3766,"*"&amp;$A66&amp;"*",'Diags Raw Data'!$Z$6:$Z$3766)</f>
        <v>1</v>
      </c>
      <c r="Q66" s="448">
        <f>SUM(SUMIF('Diags Raw Data'!$A$6:$A$3766,"*"&amp;$A66&amp;"*",'Diags Raw Data'!$AA$6:$AA$3766),SUMIF('Diags Raw Data'!$A$6:$A$3766,"*"&amp;$A66&amp;"*",'Diags Raw Data'!$AB$6:$AB$3766))</f>
        <v>1</v>
      </c>
      <c r="R66" s="449">
        <f t="shared" si="25"/>
        <v>0.5</v>
      </c>
      <c r="S66" s="449">
        <f t="shared" si="26"/>
        <v>1</v>
      </c>
      <c r="T66" s="450">
        <f t="shared" si="27"/>
        <v>0.5</v>
      </c>
      <c r="U66" s="419" t="s">
        <v>1076</v>
      </c>
      <c r="V66" s="181"/>
    </row>
    <row r="67" spans="1:22" ht="58.5" thickBot="1">
      <c r="A67" s="321" t="s">
        <v>626</v>
      </c>
      <c r="B67" s="412" t="str">
        <f>VLOOKUP(A67,'Feature Raw Data'!$A$3:$B$3847,2,FALSE)</f>
        <v>WS.Storm.De.Exerciser</v>
      </c>
      <c r="C67" s="413" t="str">
        <f>VLOOKUP(A67,'Feature Raw Data'!$A$3:$C$3929,3,FALSE)</f>
        <v>P3</v>
      </c>
      <c r="D67" s="414" t="str" cm="1">
        <f t="array" ref="D67">_xlfn.TEXTJOIN("",TRUE,IF(ISNUMBER(SEARCH($A67,'Diags Raw Data'!$A$6:$A$3768)),CONCATENATE('Diags Raw Data'!$H$6:$H$3768,", "),""))</f>
        <v xml:space="preserve">ssp_zp_compat_exsc_leg013_special_ops_jamming.yml, </v>
      </c>
      <c r="E67" s="415" t="str">
        <f>VLOOKUP(A67,'Diags Raw Data'!$A$6:$D$3768,4,FALSE)</f>
        <v>DE-05</v>
      </c>
      <c r="F67" s="415" t="str">
        <f>VLOOKUP(A67,'Feature Raw Data'!$A$3:$E$3847,5,FALSE)</f>
        <v>Legacy</v>
      </c>
      <c r="G67" s="415" t="str">
        <f t="shared" si="10"/>
        <v>Yes</v>
      </c>
      <c r="H67" s="415" t="str">
        <f t="shared" si="11"/>
        <v>Yes</v>
      </c>
      <c r="I67" s="417">
        <f>SUMIF('Diags Raw Data'!$A$6:$A$3768,"*"&amp;$A67&amp;"*",'Diags Raw Data'!$K$6:$K$3768)</f>
        <v>1</v>
      </c>
      <c r="J67" s="418">
        <f>SUMIF('Diags Raw Data'!$A$6:$A$3768,"*"&amp;$A67&amp;"*",'Diags Raw Data'!$L$6:$L$3768)</f>
        <v>200</v>
      </c>
      <c r="K67" s="443" cm="1">
        <f t="array" ref="K67">IF(D67="",0, SUMPRODUCT(--(ISNUMBER(SEARCH($A67,'Diags Raw Data'!$A$6:$A$3766))),'Diags Raw Data'!$L$6:$L$3766,'Diags Raw Data'!$N$6:$N$3766)/J67)</f>
        <v>1</v>
      </c>
      <c r="L67" s="444" cm="1">
        <f t="array" ref="L67">IF(D67="",0, SUMPRODUCT(--(ISNUMBER(SEARCH($A67,'Diags Raw Data'!$A$6:$A$3766))),'Diags Raw Data'!$L$6:$L$3766,'Diags Raw Data'!$P$6:$P$3766)/J67)</f>
        <v>1</v>
      </c>
      <c r="M67" s="445" cm="1">
        <f t="array" ref="M67">SUMPRODUCT(--(ISNUMBER(SEARCH($A67,'Diags Raw Data'!$A$6:$A$3766))),--('Diags Raw Data'!$Q$6:$Q$3766&lt;&gt;"N/A"),'Diags Raw Data'!$T$6:$T$3766)+SUMPRODUCT(--(ISNUMBER(SEARCH($A67,'Diags Raw Data'!$A$6:$A$3766))),--('Diags Raw Data'!$Q$6:$Q$3766&lt;&gt;"N/A"),'Diags Raw Data'!$U$6:$U$3766)</f>
        <v>234</v>
      </c>
      <c r="N67" s="445" cm="1">
        <f t="array" ref="N67">SUMPRODUCT(--(ISNUMBER(SEARCH($A67,'Diags Raw Data'!$A$6:$A$3766))),--('Diags Raw Data'!$Q$6:$Q$3766&lt;&gt;"N/A"),'Diags Raw Data'!$T$6:$T$3766)+SUMPRODUCT(--(ISNUMBER(SEARCH($A67,'Diags Raw Data'!$A$6:$A$3766))),--('Diags Raw Data'!$Q$6:$Q$3766&lt;&gt;"N/A"),'Diags Raw Data'!$U$6:$U$3766)</f>
        <v>234</v>
      </c>
      <c r="O67" s="446">
        <f t="shared" si="24"/>
        <v>1</v>
      </c>
      <c r="P67" s="447">
        <f>SUMIF('Diags Raw Data'!$A$6:$A$3766,"*"&amp;$A67&amp;"*",'Diags Raw Data'!$Z$6:$Z$3766)</f>
        <v>500</v>
      </c>
      <c r="Q67" s="448">
        <f>SUM(SUMIF('Diags Raw Data'!$A$6:$A$3766,"*"&amp;$A67&amp;"*",'Diags Raw Data'!$AA$6:$AA$3766),SUMIF('Diags Raw Data'!$A$6:$A$3766,"*"&amp;$A67&amp;"*",'Diags Raw Data'!$AB$6:$AB$3766))</f>
        <v>500</v>
      </c>
      <c r="R67" s="449">
        <f t="shared" si="25"/>
        <v>2.5</v>
      </c>
      <c r="S67" s="449">
        <f t="shared" si="26"/>
        <v>1</v>
      </c>
      <c r="T67" s="450">
        <f t="shared" si="27"/>
        <v>2.5</v>
      </c>
      <c r="U67" s="419" t="s">
        <v>1076</v>
      </c>
      <c r="V67" s="181"/>
    </row>
    <row r="68" spans="1:22" ht="58.5" thickBot="1">
      <c r="A68" s="321" t="s">
        <v>634</v>
      </c>
      <c r="B68" s="412" t="str">
        <f>VLOOKUP(A68,'Feature Raw Data'!$A$3:$B$3847,2,FALSE)</f>
        <v>WS.CDL.De.UnifiedOpCache.1</v>
      </c>
      <c r="C68" s="413" t="str">
        <f>VLOOKUP(A68,'Feature Raw Data'!$A$3:$C$3929,3,FALSE)</f>
        <v>P3</v>
      </c>
      <c r="D68" s="414" t="str" cm="1">
        <f t="array" ref="D68">_xlfn.TEXTJOIN("",TRUE,IF(ISNUMBER(SEARCH($A68,'Diags Raw Data'!$A$6:$A$3768)),CONCATENATE('Diags Raw Data'!$H$6:$H$3768,", "),""))</f>
        <v xml:space="preserve">DE04_opcache_stress.stf, </v>
      </c>
      <c r="E68" s="415" t="str">
        <f>VLOOKUP(A68,'Diags Raw Data'!$A$6:$D$3768,4,FALSE)</f>
        <v>DE-05</v>
      </c>
      <c r="F68" s="415" t="str">
        <f>VLOOKUP(A68,'Feature Raw Data'!$A$3:$E$3847,5,FALSE)</f>
        <v>Legacy</v>
      </c>
      <c r="G68" s="415" t="str">
        <f t="shared" si="10"/>
        <v>Yes</v>
      </c>
      <c r="H68" s="415" t="str">
        <f t="shared" si="11"/>
        <v>Yes</v>
      </c>
      <c r="I68" s="417">
        <f>SUMIF('Diags Raw Data'!$A$6:$A$3768,"*"&amp;$A68&amp;"*",'Diags Raw Data'!$K$6:$K$3768)</f>
        <v>1</v>
      </c>
      <c r="J68" s="418">
        <f>SUMIF('Diags Raw Data'!$A$6:$A$3768,"*"&amp;$A68&amp;"*",'Diags Raw Data'!$L$6:$L$3768)</f>
        <v>1</v>
      </c>
      <c r="K68" s="443" cm="1">
        <f t="array" ref="K68">IF(D68="",0, SUMPRODUCT(--(ISNUMBER(SEARCH($A68,'Diags Raw Data'!$A$6:$A$3766))),'Diags Raw Data'!$L$6:$L$3766,'Diags Raw Data'!$N$6:$N$3766)/J68)</f>
        <v>1</v>
      </c>
      <c r="L68" s="444" cm="1">
        <f t="array" ref="L68">IF(D68="",0, SUMPRODUCT(--(ISNUMBER(SEARCH($A68,'Diags Raw Data'!$A$6:$A$3766))),'Diags Raw Data'!$L$6:$L$3766,'Diags Raw Data'!$P$6:$P$3766)/J68)</f>
        <v>1</v>
      </c>
      <c r="M68" s="445" cm="1">
        <f t="array" ref="M68">SUMPRODUCT(--(ISNUMBER(SEARCH($A68,'Diags Raw Data'!$A$6:$A$3766))),--('Diags Raw Data'!$Q$6:$Q$3766&lt;&gt;"N/A"),'Diags Raw Data'!$T$6:$T$3766)+SUMPRODUCT(--(ISNUMBER(SEARCH($A68,'Diags Raw Data'!$A$6:$A$3766))),--('Diags Raw Data'!$Q$6:$Q$3766&lt;&gt;"N/A"),'Diags Raw Data'!$U$6:$U$3766)</f>
        <v>1</v>
      </c>
      <c r="N68" s="445" cm="1">
        <f t="array" ref="N68">SUMPRODUCT(--(ISNUMBER(SEARCH($A68,'Diags Raw Data'!$A$6:$A$3766))),--('Diags Raw Data'!$Q$6:$Q$3766&lt;&gt;"N/A"),'Diags Raw Data'!$T$6:$T$3766)+SUMPRODUCT(--(ISNUMBER(SEARCH($A68,'Diags Raw Data'!$A$6:$A$3766))),--('Diags Raw Data'!$Q$6:$Q$3766&lt;&gt;"N/A"),'Diags Raw Data'!$U$6:$U$3766)</f>
        <v>1</v>
      </c>
      <c r="O68" s="446">
        <f t="shared" si="24"/>
        <v>1</v>
      </c>
      <c r="P68" s="447">
        <f>SUMIF('Diags Raw Data'!$A$6:$A$3766,"*"&amp;$A68&amp;"*",'Diags Raw Data'!$Z$6:$Z$3766)</f>
        <v>1</v>
      </c>
      <c r="Q68" s="448">
        <f>SUM(SUMIF('Diags Raw Data'!$A$6:$A$3766,"*"&amp;$A68&amp;"*",'Diags Raw Data'!$AA$6:$AA$3766),SUMIF('Diags Raw Data'!$A$6:$A$3766,"*"&amp;$A68&amp;"*",'Diags Raw Data'!$AB$6:$AB$3766))</f>
        <v>1</v>
      </c>
      <c r="R68" s="449">
        <f t="shared" si="25"/>
        <v>1</v>
      </c>
      <c r="S68" s="449">
        <f t="shared" si="26"/>
        <v>1</v>
      </c>
      <c r="T68" s="450">
        <f t="shared" si="27"/>
        <v>1</v>
      </c>
      <c r="U68" s="419" t="s">
        <v>1076</v>
      </c>
      <c r="V68" s="181"/>
    </row>
    <row r="69" spans="1:22" ht="58.5" thickBot="1">
      <c r="A69" s="321" t="s">
        <v>640</v>
      </c>
      <c r="B69" s="412" t="str">
        <f>VLOOKUP(A69,'Feature Raw Data'!$A$3:$B$3847,2,FALSE)</f>
        <v>WS.Storm.De.UnifiedOpCache.2</v>
      </c>
      <c r="C69" s="413" t="str">
        <f>VLOOKUP(A69,'Feature Raw Data'!$A$3:$C$3929,3,FALSE)</f>
        <v>P2</v>
      </c>
      <c r="D69" s="414" t="str" cm="1">
        <f t="array" ref="D69">_xlfn.TEXTJOIN("",TRUE,IF(ISNUMBER(SEARCH($A69,'Diags Raw Data'!$A$6:$A$3768)),CONCATENATE('Diags Raw Data'!$H$6:$H$3768,", "),""))</f>
        <v xml:space="preserve">st260_gna0_ssp_compat_uop_cache_bumped_visits.yml, </v>
      </c>
      <c r="E69" s="415" t="str">
        <f>VLOOKUP(A69,'Diags Raw Data'!$A$6:$D$3768,4,FALSE)</f>
        <v>DE-05</v>
      </c>
      <c r="F69" s="415" t="str">
        <f>VLOOKUP(A69,'Feature Raw Data'!$A$3:$E$3847,5,FALSE)</f>
        <v>Legacy</v>
      </c>
      <c r="G69" s="415" t="str">
        <f t="shared" si="10"/>
        <v>Yes</v>
      </c>
      <c r="H69" s="415" t="str">
        <f t="shared" si="11"/>
        <v>Yes</v>
      </c>
      <c r="I69" s="417">
        <f>SUMIF('Diags Raw Data'!$A$6:$A$3768,"*"&amp;$A69&amp;"*",'Diags Raw Data'!$K$6:$K$3768)</f>
        <v>1</v>
      </c>
      <c r="J69" s="418">
        <f>SUMIF('Diags Raw Data'!$A$6:$A$3768,"*"&amp;$A69&amp;"*",'Diags Raw Data'!$L$6:$L$3768)</f>
        <v>500</v>
      </c>
      <c r="K69" s="443" cm="1">
        <f t="array" ref="K69">IF(D69="",0, SUMPRODUCT(--(ISNUMBER(SEARCH($A69,'Diags Raw Data'!$A$6:$A$3766))),'Diags Raw Data'!$L$6:$L$3766,'Diags Raw Data'!$N$6:$N$3766)/J69)</f>
        <v>1</v>
      </c>
      <c r="L69" s="444" cm="1">
        <f t="array" ref="L69">IF(D69="",0, SUMPRODUCT(--(ISNUMBER(SEARCH($A69,'Diags Raw Data'!$A$6:$A$3766))),'Diags Raw Data'!$L$6:$L$3766,'Diags Raw Data'!$P$6:$P$3766)/J69)</f>
        <v>1</v>
      </c>
      <c r="M69" s="445" cm="1">
        <f t="array" ref="M69">SUMPRODUCT(--(ISNUMBER(SEARCH($A69,'Diags Raw Data'!$A$6:$A$3766))),--('Diags Raw Data'!$Q$6:$Q$3766&lt;&gt;"N/A"),'Diags Raw Data'!$T$6:$T$3766)+SUMPRODUCT(--(ISNUMBER(SEARCH($A69,'Diags Raw Data'!$A$6:$A$3766))),--('Diags Raw Data'!$Q$6:$Q$3766&lt;&gt;"N/A"),'Diags Raw Data'!$U$6:$U$3766)</f>
        <v>0</v>
      </c>
      <c r="N69" s="445" cm="1">
        <f t="array" ref="N69">SUMPRODUCT(--(ISNUMBER(SEARCH($A69,'Diags Raw Data'!$A$6:$A$3766))),--('Diags Raw Data'!$Q$6:$Q$3766&lt;&gt;"N/A"),'Diags Raw Data'!$T$6:$T$3766)+SUMPRODUCT(--(ISNUMBER(SEARCH($A69,'Diags Raw Data'!$A$6:$A$3766))),--('Diags Raw Data'!$Q$6:$Q$3766&lt;&gt;"N/A"),'Diags Raw Data'!$U$6:$U$3766)</f>
        <v>0</v>
      </c>
      <c r="O69" s="446">
        <f t="shared" si="24"/>
        <v>0</v>
      </c>
      <c r="P69" s="447">
        <f>SUMIF('Diags Raw Data'!$A$6:$A$3766,"*"&amp;$A69&amp;"*",'Diags Raw Data'!$Z$6:$Z$3766)</f>
        <v>1000</v>
      </c>
      <c r="Q69" s="448">
        <f>SUM(SUMIF('Diags Raw Data'!$A$6:$A$3766,"*"&amp;$A69&amp;"*",'Diags Raw Data'!$AA$6:$AA$3766),SUMIF('Diags Raw Data'!$A$6:$A$3766,"*"&amp;$A69&amp;"*",'Diags Raw Data'!$AB$6:$AB$3766))</f>
        <v>1000</v>
      </c>
      <c r="R69" s="449">
        <f t="shared" si="25"/>
        <v>2</v>
      </c>
      <c r="S69" s="449">
        <f t="shared" si="26"/>
        <v>1</v>
      </c>
      <c r="T69" s="450">
        <f t="shared" si="27"/>
        <v>2</v>
      </c>
      <c r="U69" s="419" t="s">
        <v>1076</v>
      </c>
      <c r="V69" s="181"/>
    </row>
    <row r="70" spans="1:22" ht="58.5" thickBot="1">
      <c r="A70" s="321" t="s">
        <v>645</v>
      </c>
      <c r="B70" s="412" t="str">
        <f>VLOOKUP(A70,'Feature Raw Data'!$A$3:$B$3847,2,FALSE)</f>
        <v>WS.CDL.CH.L2CacheCoherencyExerciser</v>
      </c>
      <c r="C70" s="413" t="str">
        <f>VLOOKUP(A70,'Feature Raw Data'!$A$3:$C$3929,3,FALSE)</f>
        <v>P1</v>
      </c>
      <c r="D70" s="414" t="str" cm="1">
        <f t="array" ref="D70">_xlfn.TEXTJOIN("",TRUE,IF(ISNUMBER(SEARCH($A70,'Diags Raw Data'!$A$6:$A$3768)),CONCATENATE('Diags Raw Data'!$H$6:$H$3768,", "),""))</f>
        <v xml:space="preserve"> 
Cache_L2_Cache_Coherency.stf
, </v>
      </c>
      <c r="E70" s="415" t="str">
        <f>VLOOKUP(A70,'Diags Raw Data'!$A$6:$D$3768,4,FALSE)</f>
        <v>CH-06</v>
      </c>
      <c r="F70" s="415" t="str">
        <f>VLOOKUP(A70,'Feature Raw Data'!$A$3:$E$3847,5,FALSE)</f>
        <v>Legacy</v>
      </c>
      <c r="G70" s="415" t="str">
        <f t="shared" si="10"/>
        <v>Yes</v>
      </c>
      <c r="H70" s="415" t="str">
        <f t="shared" si="11"/>
        <v>Yes</v>
      </c>
      <c r="I70" s="417">
        <f>SUMIF('Diags Raw Data'!$A$6:$A$3768,"*"&amp;$A70&amp;"*",'Diags Raw Data'!$K$6:$K$3768)</f>
        <v>1</v>
      </c>
      <c r="J70" s="418">
        <f>SUMIF('Diags Raw Data'!$A$6:$A$3768,"*"&amp;$A70&amp;"*",'Diags Raw Data'!$L$6:$L$3768)</f>
        <v>1</v>
      </c>
      <c r="K70" s="443" cm="1">
        <f t="array" ref="K70">IF(D70="",0, SUMPRODUCT(--(ISNUMBER(SEARCH($A70,'Diags Raw Data'!$A$6:$A$3766))),'Diags Raw Data'!$L$6:$L$3766,'Diags Raw Data'!$N$6:$N$3766)/J70)</f>
        <v>1</v>
      </c>
      <c r="L70" s="444" cm="1">
        <f t="array" ref="L70">IF(D70="",0, SUMPRODUCT(--(ISNUMBER(SEARCH($A70,'Diags Raw Data'!$A$6:$A$3766))),'Diags Raw Data'!$L$6:$L$3766,'Diags Raw Data'!$P$6:$P$3766)/J70)</f>
        <v>1</v>
      </c>
      <c r="M70" s="445" cm="1">
        <f t="array" ref="M70">SUMPRODUCT(--(ISNUMBER(SEARCH($A70,'Diags Raw Data'!$A$6:$A$3766))),--('Diags Raw Data'!$Q$6:$Q$3766&lt;&gt;"N/A"),'Diags Raw Data'!$T$6:$T$3766)+SUMPRODUCT(--(ISNUMBER(SEARCH($A70,'Diags Raw Data'!$A$6:$A$3766))),--('Diags Raw Data'!$Q$6:$Q$3766&lt;&gt;"N/A"),'Diags Raw Data'!$U$6:$U$3766)</f>
        <v>1</v>
      </c>
      <c r="N70" s="445" cm="1">
        <f t="array" ref="N70">SUMPRODUCT(--(ISNUMBER(SEARCH($A70,'Diags Raw Data'!$A$6:$A$3766))),--('Diags Raw Data'!$Q$6:$Q$3766&lt;&gt;"N/A"),'Diags Raw Data'!$T$6:$T$3766)+SUMPRODUCT(--(ISNUMBER(SEARCH($A70,'Diags Raw Data'!$A$6:$A$3766))),--('Diags Raw Data'!$Q$6:$Q$3766&lt;&gt;"N/A"),'Diags Raw Data'!$U$6:$U$3766)</f>
        <v>1</v>
      </c>
      <c r="O70" s="446">
        <f t="shared" si="24"/>
        <v>1</v>
      </c>
      <c r="P70" s="447">
        <f>SUMIF('Diags Raw Data'!$A$6:$A$3766,"*"&amp;$A70&amp;"*",'Diags Raw Data'!$Z$6:$Z$3766)</f>
        <v>1</v>
      </c>
      <c r="Q70" s="448">
        <f>SUM(SUMIF('Diags Raw Data'!$A$6:$A$3766,"*"&amp;$A70&amp;"*",'Diags Raw Data'!$AA$6:$AA$3766),SUMIF('Diags Raw Data'!$A$6:$A$3766,"*"&amp;$A70&amp;"*",'Diags Raw Data'!$AB$6:$AB$3766))</f>
        <v>1</v>
      </c>
      <c r="R70" s="449">
        <f t="shared" si="25"/>
        <v>1</v>
      </c>
      <c r="S70" s="449">
        <f t="shared" si="26"/>
        <v>1</v>
      </c>
      <c r="T70" s="450">
        <f t="shared" si="27"/>
        <v>1</v>
      </c>
      <c r="U70" s="419"/>
      <c r="V70" s="181"/>
    </row>
    <row r="71" spans="1:22" ht="58.5" thickBot="1">
      <c r="A71" s="321" t="s">
        <v>652</v>
      </c>
      <c r="B71" s="412" t="str">
        <f>VLOOKUP(A71,'Feature Raw Data'!$A$3:$B$3847,2,FALSE)</f>
        <v>WS.CDL.CH.L1L2CacheExerciser</v>
      </c>
      <c r="C71" s="413" t="str">
        <f>VLOOKUP(A71,'Feature Raw Data'!$A$3:$C$3929,3,FALSE)</f>
        <v>P3</v>
      </c>
      <c r="D71" s="414" t="str" cm="1">
        <f t="array" ref="D71">_xlfn.TEXTJOIN("",TRUE,IF(ISNUMBER(SEARCH($A71,'Diags Raw Data'!$A$6:$A$3768)),CONCATENATE('Diags Raw Data'!$H$6:$H$3768,", "),""))</f>
        <v xml:space="preserve"> Cache_Group_1_2.stf, </v>
      </c>
      <c r="E71" s="415" t="str">
        <f>VLOOKUP(A71,'Diags Raw Data'!$A$6:$D$3768,4,FALSE)</f>
        <v>CH-06</v>
      </c>
      <c r="F71" s="415" t="str">
        <f>VLOOKUP(A71,'Feature Raw Data'!$A$3:$E$3847,5,FALSE)</f>
        <v>Legacy</v>
      </c>
      <c r="G71" s="415" t="str">
        <f t="shared" si="10"/>
        <v>Yes</v>
      </c>
      <c r="H71" s="415" t="str">
        <f t="shared" si="11"/>
        <v>Yes</v>
      </c>
      <c r="I71" s="417">
        <f>SUMIF('Diags Raw Data'!$A$6:$A$3768,"*"&amp;$A71&amp;"*",'Diags Raw Data'!$K$6:$K$3768)</f>
        <v>1</v>
      </c>
      <c r="J71" s="418">
        <f>SUMIF('Diags Raw Data'!$A$6:$A$3768,"*"&amp;$A71&amp;"*",'Diags Raw Data'!$L$6:$L$3768)</f>
        <v>1</v>
      </c>
      <c r="K71" s="443" cm="1">
        <f t="array" ref="K71">IF(D71="",0, SUMPRODUCT(--(ISNUMBER(SEARCH($A71,'Diags Raw Data'!$A$6:$A$3766))),'Diags Raw Data'!$L$6:$L$3766,'Diags Raw Data'!$N$6:$N$3766)/J71)</f>
        <v>1</v>
      </c>
      <c r="L71" s="444" cm="1">
        <f t="array" ref="L71">IF(D71="",0, SUMPRODUCT(--(ISNUMBER(SEARCH($A71,'Diags Raw Data'!$A$6:$A$3766))),'Diags Raw Data'!$L$6:$L$3766,'Diags Raw Data'!$P$6:$P$3766)/J71)</f>
        <v>1</v>
      </c>
      <c r="M71" s="445" cm="1">
        <f t="array" ref="M71">SUMPRODUCT(--(ISNUMBER(SEARCH($A71,'Diags Raw Data'!$A$6:$A$3766))),--('Diags Raw Data'!$Q$6:$Q$3766&lt;&gt;"N/A"),'Diags Raw Data'!$T$6:$T$3766)+SUMPRODUCT(--(ISNUMBER(SEARCH($A71,'Diags Raw Data'!$A$6:$A$3766))),--('Diags Raw Data'!$Q$6:$Q$3766&lt;&gt;"N/A"),'Diags Raw Data'!$U$6:$U$3766)</f>
        <v>1</v>
      </c>
      <c r="N71" s="445" cm="1">
        <f t="array" ref="N71">SUMPRODUCT(--(ISNUMBER(SEARCH($A71,'Diags Raw Data'!$A$6:$A$3766))),--('Diags Raw Data'!$Q$6:$Q$3766&lt;&gt;"N/A"),'Diags Raw Data'!$T$6:$T$3766)+SUMPRODUCT(--(ISNUMBER(SEARCH($A71,'Diags Raw Data'!$A$6:$A$3766))),--('Diags Raw Data'!$Q$6:$Q$3766&lt;&gt;"N/A"),'Diags Raw Data'!$U$6:$U$3766)</f>
        <v>1</v>
      </c>
      <c r="O71" s="446">
        <f t="shared" si="24"/>
        <v>1</v>
      </c>
      <c r="P71" s="447">
        <f>SUMIF('Diags Raw Data'!$A$6:$A$3766,"*"&amp;$A71&amp;"*",'Diags Raw Data'!$Z$6:$Z$3766)</f>
        <v>1</v>
      </c>
      <c r="Q71" s="448">
        <f>SUM(SUMIF('Diags Raw Data'!$A$6:$A$3766,"*"&amp;$A71&amp;"*",'Diags Raw Data'!$AA$6:$AA$3766),SUMIF('Diags Raw Data'!$A$6:$A$3766,"*"&amp;$A71&amp;"*",'Diags Raw Data'!$AB$6:$AB$3766))</f>
        <v>1</v>
      </c>
      <c r="R71" s="449">
        <f t="shared" si="25"/>
        <v>1</v>
      </c>
      <c r="S71" s="449">
        <f t="shared" si="26"/>
        <v>1</v>
      </c>
      <c r="T71" s="450">
        <f t="shared" si="27"/>
        <v>1</v>
      </c>
      <c r="U71" s="419" t="s">
        <v>1076</v>
      </c>
      <c r="V71" s="181"/>
    </row>
    <row r="72" spans="1:22" ht="29.45" thickBot="1">
      <c r="A72" s="322" t="s">
        <v>655</v>
      </c>
      <c r="B72" s="412" t="str">
        <f>VLOOKUP(A72,'Feature Raw Data'!$A$3:$B$3847,2,FALSE)</f>
        <v>WS.CDL.CH.L3CacheCoherencyExerciser</v>
      </c>
      <c r="C72" s="413" t="str">
        <f>VLOOKUP(A72,'Feature Raw Data'!$A$3:$C$3929,3,FALSE)</f>
        <v>P1</v>
      </c>
      <c r="D72" s="414" t="str" cm="1">
        <f t="array" ref="D72">_xlfn.TEXTJOIN("",TRUE,IF(ISNUMBER(SEARCH($A72,'Diags Raw Data'!$A$6:$A$3768)),CONCATENATE('Diags Raw Data'!$H$6:$H$3768,", "),""))</f>
        <v xml:space="preserve">Cache_L3_Cache_Coherency.stf, </v>
      </c>
      <c r="E72" s="415" t="str">
        <f>VLOOKUP(A72,'Diags Raw Data'!$A$6:$D$3768,4,FALSE)</f>
        <v>CH-06</v>
      </c>
      <c r="F72" s="415" t="str">
        <f>VLOOKUP(A72,'Feature Raw Data'!$A$3:$E$3847,5,FALSE)</f>
        <v>Legacy</v>
      </c>
      <c r="G72" s="415" t="str">
        <f t="shared" si="10"/>
        <v>Yes</v>
      </c>
      <c r="H72" s="415" t="str">
        <f t="shared" si="11"/>
        <v>Yes</v>
      </c>
      <c r="I72" s="417">
        <f>SUMIF('Diags Raw Data'!$A$6:$A$3768,"*"&amp;$A72&amp;"*",'Diags Raw Data'!$K$6:$K$3768)</f>
        <v>1</v>
      </c>
      <c r="J72" s="418">
        <f>SUMIF('Diags Raw Data'!$A$6:$A$3768,"*"&amp;$A72&amp;"*",'Diags Raw Data'!$L$6:$L$3768)</f>
        <v>1</v>
      </c>
      <c r="K72" s="443" cm="1">
        <f t="array" ref="K72">IF(D72="",0, SUMPRODUCT(--(ISNUMBER(SEARCH($A72,'Diags Raw Data'!$A$6:$A$3766))),'Diags Raw Data'!$L$6:$L$3766,'Diags Raw Data'!$N$6:$N$3766)/J72)</f>
        <v>1</v>
      </c>
      <c r="L72" s="444" cm="1">
        <f t="array" ref="L72">IF(D72="",0, SUMPRODUCT(--(ISNUMBER(SEARCH($A72,'Diags Raw Data'!$A$6:$A$3766))),'Diags Raw Data'!$L$6:$L$3766,'Diags Raw Data'!$P$6:$P$3766)/J72)</f>
        <v>1</v>
      </c>
      <c r="M72" s="445" cm="1">
        <f t="array" ref="M72">SUMPRODUCT(--(ISNUMBER(SEARCH($A72,'Diags Raw Data'!$A$6:$A$3766))),--('Diags Raw Data'!$Q$6:$Q$3766&lt;&gt;"N/A"),'Diags Raw Data'!$T$6:$T$3766)+SUMPRODUCT(--(ISNUMBER(SEARCH($A72,'Diags Raw Data'!$A$6:$A$3766))),--('Diags Raw Data'!$Q$6:$Q$3766&lt;&gt;"N/A"),'Diags Raw Data'!$U$6:$U$3766)</f>
        <v>1</v>
      </c>
      <c r="N72" s="445" cm="1">
        <f t="array" ref="N72">SUMPRODUCT(--(ISNUMBER(SEARCH($A72,'Diags Raw Data'!$A$6:$A$3766))),--('Diags Raw Data'!$Q$6:$Q$3766&lt;&gt;"N/A"),'Diags Raw Data'!$T$6:$T$3766)+SUMPRODUCT(--(ISNUMBER(SEARCH($A72,'Diags Raw Data'!$A$6:$A$3766))),--('Diags Raw Data'!$Q$6:$Q$3766&lt;&gt;"N/A"),'Diags Raw Data'!$U$6:$U$3766)</f>
        <v>1</v>
      </c>
      <c r="O72" s="446">
        <f t="shared" si="24"/>
        <v>1</v>
      </c>
      <c r="P72" s="447">
        <f>SUMIF('Diags Raw Data'!$A$6:$A$3766,"*"&amp;$A72&amp;"*",'Diags Raw Data'!$Z$6:$Z$3766)</f>
        <v>1</v>
      </c>
      <c r="Q72" s="448">
        <f>SUM(SUMIF('Diags Raw Data'!$A$6:$A$3766,"*"&amp;$A72&amp;"*",'Diags Raw Data'!$AA$6:$AA$3766),SUMIF('Diags Raw Data'!$A$6:$A$3766,"*"&amp;$A72&amp;"*",'Diags Raw Data'!$AB$6:$AB$3766))</f>
        <v>1</v>
      </c>
      <c r="R72" s="449">
        <f t="shared" si="25"/>
        <v>1</v>
      </c>
      <c r="S72" s="449">
        <f t="shared" si="26"/>
        <v>1</v>
      </c>
      <c r="T72" s="450">
        <f t="shared" si="27"/>
        <v>1</v>
      </c>
      <c r="U72" s="419"/>
      <c r="V72" s="181"/>
    </row>
    <row r="73" spans="1:22" ht="15" thickBot="1">
      <c r="A73" s="321" t="s">
        <v>659</v>
      </c>
      <c r="B73" s="412" t="str">
        <f>VLOOKUP(A73,'Feature Raw Data'!$A$3:$B$3847,2,FALSE)</f>
        <v>WS.CDL.CH.CacheableIO</v>
      </c>
      <c r="C73" s="413" t="str">
        <f>VLOOKUP(A73,'Feature Raw Data'!$A$3:$C$3929,3,FALSE)</f>
        <v>P4</v>
      </c>
      <c r="D73" s="414" t="str" cm="1">
        <f t="array" ref="D73">_xlfn.TEXTJOIN("",TRUE,IF(ISNUMBER(SEARCH($A73,'Diags Raw Data'!$A$6:$A$3768)),CONCATENATE('Diags Raw Data'!$H$6:$H$3768,", "),""))</f>
        <v xml:space="preserve">CacheableIO.stf, </v>
      </c>
      <c r="E73" s="415" t="str">
        <f>VLOOKUP(A73,'Diags Raw Data'!$A$6:$D$3768,4,FALSE)</f>
        <v>CH-06</v>
      </c>
      <c r="F73" s="415" t="str">
        <f>VLOOKUP(A73,'Feature Raw Data'!$A$3:$E$3847,5,FALSE)</f>
        <v>Legacy</v>
      </c>
      <c r="G73" s="415" t="str">
        <f t="shared" si="10"/>
        <v>Yes</v>
      </c>
      <c r="H73" s="415" t="str">
        <f t="shared" si="11"/>
        <v>Yes</v>
      </c>
      <c r="I73" s="417">
        <f>SUMIF('Diags Raw Data'!$A$6:$A$3768,"*"&amp;$A73&amp;"*",'Diags Raw Data'!$K$6:$K$3768)</f>
        <v>0</v>
      </c>
      <c r="J73" s="418">
        <f>SUMIF('Diags Raw Data'!$A$6:$A$3768,"*"&amp;$A73&amp;"*",'Diags Raw Data'!$L$6:$L$3768)</f>
        <v>0</v>
      </c>
      <c r="K73" s="443" t="e" cm="1">
        <f t="array" ref="K73">IF(D73="",0, SUMPRODUCT(--(ISNUMBER(SEARCH($A73,'Diags Raw Data'!$A$6:$A$3766))),'Diags Raw Data'!$L$6:$L$3766,'Diags Raw Data'!$N$6:$N$3766)/J73)</f>
        <v>#DIV/0!</v>
      </c>
      <c r="L73" s="444" t="e" cm="1">
        <f t="array" ref="L73">IF(D73="",0, SUMPRODUCT(--(ISNUMBER(SEARCH($A73,'Diags Raw Data'!$A$6:$A$3766))),'Diags Raw Data'!$L$6:$L$3766,'Diags Raw Data'!$P$6:$P$3766)/J73)</f>
        <v>#DIV/0!</v>
      </c>
      <c r="M73" s="445" cm="1">
        <f t="array" ref="M73">SUMPRODUCT(--(ISNUMBER(SEARCH($A73,'Diags Raw Data'!$A$6:$A$3766))),--('Diags Raw Data'!$Q$6:$Q$3766&lt;&gt;"N/A"),'Diags Raw Data'!$T$6:$T$3766)+SUMPRODUCT(--(ISNUMBER(SEARCH($A73,'Diags Raw Data'!$A$6:$A$3766))),--('Diags Raw Data'!$Q$6:$Q$3766&lt;&gt;"N/A"),'Diags Raw Data'!$U$6:$U$3766)</f>
        <v>1</v>
      </c>
      <c r="N73" s="445" cm="1">
        <f t="array" ref="N73">SUMPRODUCT(--(ISNUMBER(SEARCH($A73,'Diags Raw Data'!$A$6:$A$3766))),--('Diags Raw Data'!$Q$6:$Q$3766&lt;&gt;"N/A"),'Diags Raw Data'!$T$6:$T$3766)+SUMPRODUCT(--(ISNUMBER(SEARCH($A73,'Diags Raw Data'!$A$6:$A$3766))),--('Diags Raw Data'!$Q$6:$Q$3766&lt;&gt;"N/A"),'Diags Raw Data'!$U$6:$U$3766)</f>
        <v>1</v>
      </c>
      <c r="O73" s="446">
        <f t="shared" si="24"/>
        <v>1</v>
      </c>
      <c r="P73" s="447">
        <f>SUMIF('Diags Raw Data'!$A$6:$A$3766,"*"&amp;$A73&amp;"*",'Diags Raw Data'!$Z$6:$Z$3766)</f>
        <v>1</v>
      </c>
      <c r="Q73" s="448">
        <f>SUM(SUMIF('Diags Raw Data'!$A$6:$A$3766,"*"&amp;$A73&amp;"*",'Diags Raw Data'!$AA$6:$AA$3766),SUMIF('Diags Raw Data'!$A$6:$A$3766,"*"&amp;$A73&amp;"*",'Diags Raw Data'!$AB$6:$AB$3766))</f>
        <v>1</v>
      </c>
      <c r="R73" s="449">
        <f t="shared" si="25"/>
        <v>0</v>
      </c>
      <c r="S73" s="449">
        <f t="shared" si="26"/>
        <v>1</v>
      </c>
      <c r="T73" s="450">
        <f t="shared" si="27"/>
        <v>0</v>
      </c>
      <c r="U73" s="419" t="s">
        <v>1078</v>
      </c>
      <c r="V73" s="181"/>
    </row>
    <row r="74" spans="1:22" ht="58.5" thickBot="1">
      <c r="A74" s="321" t="s">
        <v>664</v>
      </c>
      <c r="B74" s="412" t="str">
        <f>VLOOKUP(A74,'Feature Raw Data'!$A$3:$B$3847,2,FALSE)</f>
        <v>WS.CDL.CH.CacheRangeLock</v>
      </c>
      <c r="C74" s="413" t="str">
        <f>VLOOKUP(A74,'Feature Raw Data'!$A$3:$C$3929,3,FALSE)</f>
        <v>P3</v>
      </c>
      <c r="D74" s="414" t="str" cm="1">
        <f t="array" ref="D74">_xlfn.TEXTJOIN("",TRUE,IF(ISNUMBER(SEARCH($A74,'Diags Raw Data'!$A$6:$A$3768)),CONCATENATE('Diags Raw Data'!$H$6:$H$3768,", "),""))</f>
        <v xml:space="preserve">Cache_Range_Lock.stf, </v>
      </c>
      <c r="E74" s="415" t="str">
        <f>VLOOKUP(A74,'Diags Raw Data'!$A$6:$D$3768,4,FALSE)</f>
        <v>CH-06</v>
      </c>
      <c r="F74" s="415" t="str">
        <f>VLOOKUP(A74,'Feature Raw Data'!$A$3:$E$3847,5,FALSE)</f>
        <v>Legacy</v>
      </c>
      <c r="G74" s="415" t="str">
        <f t="shared" ref="G74:G100" si="28">IF(D74="","No","Yes")</f>
        <v>Yes</v>
      </c>
      <c r="H74" s="415" t="str">
        <f t="shared" ref="H74:H100" si="29">IF(D74="","No","Yes")</f>
        <v>Yes</v>
      </c>
      <c r="I74" s="417">
        <f>SUMIF('Diags Raw Data'!$A$6:$A$3768,"*"&amp;$A74&amp;"*",'Diags Raw Data'!$K$6:$K$3768)</f>
        <v>1</v>
      </c>
      <c r="J74" s="418">
        <f>SUMIF('Diags Raw Data'!$A$6:$A$3768,"*"&amp;$A74&amp;"*",'Diags Raw Data'!$L$6:$L$3768)</f>
        <v>1</v>
      </c>
      <c r="K74" s="443" cm="1">
        <f t="array" ref="K74">IF(D74="",0, SUMPRODUCT(--(ISNUMBER(SEARCH($A74,'Diags Raw Data'!$A$6:$A$3766))),'Diags Raw Data'!$L$6:$L$3766,'Diags Raw Data'!$N$6:$N$3766)/J74)</f>
        <v>1</v>
      </c>
      <c r="L74" s="444" cm="1">
        <f t="array" ref="L74">IF(D74="",0, SUMPRODUCT(--(ISNUMBER(SEARCH($A74,'Diags Raw Data'!$A$6:$A$3766))),'Diags Raw Data'!$L$6:$L$3766,'Diags Raw Data'!$P$6:$P$3766)/J74)</f>
        <v>1</v>
      </c>
      <c r="M74" s="445" cm="1">
        <f t="array" ref="M74">SUMPRODUCT(--(ISNUMBER(SEARCH($A74,'Diags Raw Data'!$A$6:$A$3766))),--('Diags Raw Data'!$Q$6:$Q$3766&lt;&gt;"N/A"),'Diags Raw Data'!$T$6:$T$3766)+SUMPRODUCT(--(ISNUMBER(SEARCH($A74,'Diags Raw Data'!$A$6:$A$3766))),--('Diags Raw Data'!$Q$6:$Q$3766&lt;&gt;"N/A"),'Diags Raw Data'!$U$6:$U$3766)</f>
        <v>0</v>
      </c>
      <c r="N74" s="445" cm="1">
        <f t="array" ref="N74">SUMPRODUCT(--(ISNUMBER(SEARCH($A74,'Diags Raw Data'!$A$6:$A$3766))),--('Diags Raw Data'!$Q$6:$Q$3766&lt;&gt;"N/A"),'Diags Raw Data'!$T$6:$T$3766)+SUMPRODUCT(--(ISNUMBER(SEARCH($A74,'Diags Raw Data'!$A$6:$A$3766))),--('Diags Raw Data'!$Q$6:$Q$3766&lt;&gt;"N/A"),'Diags Raw Data'!$U$6:$U$3766)</f>
        <v>0</v>
      </c>
      <c r="O74" s="446">
        <f t="shared" si="24"/>
        <v>0</v>
      </c>
      <c r="P74" s="447">
        <f>SUMIF('Diags Raw Data'!$A$6:$A$3766,"*"&amp;$A74&amp;"*",'Diags Raw Data'!$Z$6:$Z$3766)</f>
        <v>0</v>
      </c>
      <c r="Q74" s="448">
        <f>SUM(SUMIF('Diags Raw Data'!$A$6:$A$3766,"*"&amp;$A74&amp;"*",'Diags Raw Data'!$AA$6:$AA$3766),SUMIF('Diags Raw Data'!$A$6:$A$3766,"*"&amp;$A74&amp;"*",'Diags Raw Data'!$AB$6:$AB$3766))</f>
        <v>0</v>
      </c>
      <c r="R74" s="449">
        <f t="shared" si="25"/>
        <v>0</v>
      </c>
      <c r="S74" s="449">
        <f t="shared" si="26"/>
        <v>0</v>
      </c>
      <c r="T74" s="450">
        <f t="shared" si="27"/>
        <v>0</v>
      </c>
      <c r="U74" s="419" t="s">
        <v>1076</v>
      </c>
      <c r="V74" s="181"/>
    </row>
    <row r="75" spans="1:22" ht="29.45" thickBot="1">
      <c r="A75" s="321" t="s">
        <v>670</v>
      </c>
      <c r="B75" s="412" t="str">
        <f>VLOOKUP(A75,'Feature Raw Data'!$A$3:$B$3847,2,FALSE)</f>
        <v>WS.CDL.CH.L3CacheExerciser</v>
      </c>
      <c r="C75" s="413" t="str">
        <f>VLOOKUP(A75,'Feature Raw Data'!$A$3:$C$3929,3,FALSE)</f>
        <v>P1</v>
      </c>
      <c r="D75" s="414" t="str" cm="1">
        <f t="array" ref="D75">_xlfn.TEXTJOIN("",TRUE,IF(ISNUMBER(SEARCH($A75,'Diags Raw Data'!$A$6:$A$3768)),CONCATENATE('Diags Raw Data'!$H$6:$H$3768,", "),""))</f>
        <v xml:space="preserve">Cache_All_L3_Cache.stf
, </v>
      </c>
      <c r="E75" s="415" t="str">
        <f>VLOOKUP(A75,'Diags Raw Data'!$A$6:$D$3768,4,FALSE)</f>
        <v>CH-06</v>
      </c>
      <c r="F75" s="415" t="str">
        <f>VLOOKUP(A75,'Feature Raw Data'!$A$3:$E$3847,5,FALSE)</f>
        <v>Legacy</v>
      </c>
      <c r="G75" s="415" t="str">
        <f t="shared" si="28"/>
        <v>Yes</v>
      </c>
      <c r="H75" s="415" t="str">
        <f t="shared" si="29"/>
        <v>Yes</v>
      </c>
      <c r="I75" s="417">
        <f>SUMIF('Diags Raw Data'!$A$6:$A$3768,"*"&amp;$A75&amp;"*",'Diags Raw Data'!$K$6:$K$3768)</f>
        <v>1</v>
      </c>
      <c r="J75" s="418">
        <f>SUMIF('Diags Raw Data'!$A$6:$A$3768,"*"&amp;$A75&amp;"*",'Diags Raw Data'!$L$6:$L$3768)</f>
        <v>1</v>
      </c>
      <c r="K75" s="443" cm="1">
        <f t="array" ref="K75">IF(D75="",0, SUMPRODUCT(--(ISNUMBER(SEARCH($A75,'Diags Raw Data'!$A$6:$A$3766))),'Diags Raw Data'!$L$6:$L$3766,'Diags Raw Data'!$N$6:$N$3766)/J75)</f>
        <v>1</v>
      </c>
      <c r="L75" s="444" cm="1">
        <f t="array" ref="L75">IF(D75="",0, SUMPRODUCT(--(ISNUMBER(SEARCH($A75,'Diags Raw Data'!$A$6:$A$3766))),'Diags Raw Data'!$L$6:$L$3766,'Diags Raw Data'!$P$6:$P$3766)/J75)</f>
        <v>1</v>
      </c>
      <c r="M75" s="445" cm="1">
        <f t="array" ref="M75">SUMPRODUCT(--(ISNUMBER(SEARCH($A75,'Diags Raw Data'!$A$6:$A$3766))),--('Diags Raw Data'!$Q$6:$Q$3766&lt;&gt;"N/A"),'Diags Raw Data'!$T$6:$T$3766)+SUMPRODUCT(--(ISNUMBER(SEARCH($A75,'Diags Raw Data'!$A$6:$A$3766))),--('Diags Raw Data'!$Q$6:$Q$3766&lt;&gt;"N/A"),'Diags Raw Data'!$U$6:$U$3766)</f>
        <v>1</v>
      </c>
      <c r="N75" s="445" cm="1">
        <f t="array" ref="N75">SUMPRODUCT(--(ISNUMBER(SEARCH($A75,'Diags Raw Data'!$A$6:$A$3766))),--('Diags Raw Data'!$Q$6:$Q$3766&lt;&gt;"N/A"),'Diags Raw Data'!$T$6:$T$3766)+SUMPRODUCT(--(ISNUMBER(SEARCH($A75,'Diags Raw Data'!$A$6:$A$3766))),--('Diags Raw Data'!$Q$6:$Q$3766&lt;&gt;"N/A"),'Diags Raw Data'!$U$6:$U$3766)</f>
        <v>1</v>
      </c>
      <c r="O75" s="446">
        <f t="shared" si="24"/>
        <v>1</v>
      </c>
      <c r="P75" s="447">
        <f>SUMIF('Diags Raw Data'!$A$6:$A$3766,"*"&amp;$A75&amp;"*",'Diags Raw Data'!$Z$6:$Z$3766)</f>
        <v>1</v>
      </c>
      <c r="Q75" s="448">
        <f>SUM(SUMIF('Diags Raw Data'!$A$6:$A$3766,"*"&amp;$A75&amp;"*",'Diags Raw Data'!$AA$6:$AA$3766),SUMIF('Diags Raw Data'!$A$6:$A$3766,"*"&amp;$A75&amp;"*",'Diags Raw Data'!$AB$6:$AB$3766))</f>
        <v>1</v>
      </c>
      <c r="R75" s="449">
        <f t="shared" si="25"/>
        <v>1</v>
      </c>
      <c r="S75" s="449">
        <f t="shared" si="26"/>
        <v>1</v>
      </c>
      <c r="T75" s="450">
        <f t="shared" si="27"/>
        <v>1</v>
      </c>
      <c r="U75" s="419"/>
      <c r="V75" s="181"/>
    </row>
    <row r="76" spans="1:22" ht="87.6" thickBot="1">
      <c r="A76" s="321" t="s">
        <v>676</v>
      </c>
      <c r="B76" s="412" t="str">
        <f>VLOOKUP(A76,'Feature Raw Data'!$A$3:$B$3847,2,FALSE)</f>
        <v>WS.CDL.CH.L3CacheExerciser</v>
      </c>
      <c r="C76" s="413" t="str">
        <f>VLOOKUP(A76,'Feature Raw Data'!$A$3:$C$3929,3,FALSE)</f>
        <v>P1</v>
      </c>
      <c r="D76" s="414" t="str" cm="1">
        <f t="array" ref="D76">_xlfn.TEXTJOIN("",TRUE,IF(ISNUMBER(SEARCH($A76,'Diags Raw Data'!$A$6:$A$3768)),CONCATENATE('Diags Raw Data'!$H$6:$H$3768,", "),""))</f>
        <v xml:space="preserve">Cache_Walker_Dring.stf		
Cache_Walker_Vring_2P.stf		
Cache_Walker_L1.stf		
Cache_Walker_Vring_1P.stf	
Cache_walker_L3.stf				
Cache_Walker_L2.stf	Cache_Walker_L3_Max_Hits.stf			, </v>
      </c>
      <c r="E76" s="415" t="str">
        <f>VLOOKUP(A76,'Diags Raw Data'!$A$6:$D$3768,4,FALSE)</f>
        <v>CH-06</v>
      </c>
      <c r="F76" s="415" t="str">
        <f>VLOOKUP(A76,'Feature Raw Data'!$A$3:$E$3847,5,FALSE)</f>
        <v>Legacy</v>
      </c>
      <c r="G76" s="415" t="str">
        <f t="shared" si="28"/>
        <v>Yes</v>
      </c>
      <c r="H76" s="415" t="str">
        <f t="shared" si="29"/>
        <v>Yes</v>
      </c>
      <c r="I76" s="417">
        <f>SUMIF('Diags Raw Data'!$A$6:$A$3768,"*"&amp;$A76&amp;"*",'Diags Raw Data'!$K$6:$K$3768)</f>
        <v>1</v>
      </c>
      <c r="J76" s="418">
        <f>SUMIF('Diags Raw Data'!$A$6:$A$3768,"*"&amp;$A76&amp;"*",'Diags Raw Data'!$L$6:$L$3768)</f>
        <v>8</v>
      </c>
      <c r="K76" s="443" cm="1">
        <f t="array" ref="K76">IF(D76="",0, SUMPRODUCT(--(ISNUMBER(SEARCH($A76,'Diags Raw Data'!$A$6:$A$3766))),'Diags Raw Data'!$L$6:$L$3766,'Diags Raw Data'!$N$6:$N$3766)/J76)</f>
        <v>1</v>
      </c>
      <c r="L76" s="444" cm="1">
        <f t="array" ref="L76">IF(D76="",0, SUMPRODUCT(--(ISNUMBER(SEARCH($A76,'Diags Raw Data'!$A$6:$A$3766))),'Diags Raw Data'!$L$6:$L$3766,'Diags Raw Data'!$P$6:$P$3766)/J76)</f>
        <v>1</v>
      </c>
      <c r="M76" s="445" cm="1">
        <f t="array" ref="M76">SUMPRODUCT(--(ISNUMBER(SEARCH($A76,'Diags Raw Data'!$A$6:$A$3766))),--('Diags Raw Data'!$Q$6:$Q$3766&lt;&gt;"N/A"),'Diags Raw Data'!$T$6:$T$3766)+SUMPRODUCT(--(ISNUMBER(SEARCH($A76,'Diags Raw Data'!$A$6:$A$3766))),--('Diags Raw Data'!$Q$6:$Q$3766&lt;&gt;"N/A"),'Diags Raw Data'!$U$6:$U$3766)</f>
        <v>1</v>
      </c>
      <c r="N76" s="445" cm="1">
        <f t="array" ref="N76">SUMPRODUCT(--(ISNUMBER(SEARCH($A76,'Diags Raw Data'!$A$6:$A$3766))),--('Diags Raw Data'!$Q$6:$Q$3766&lt;&gt;"N/A"),'Diags Raw Data'!$T$6:$T$3766)+SUMPRODUCT(--(ISNUMBER(SEARCH($A76,'Diags Raw Data'!$A$6:$A$3766))),--('Diags Raw Data'!$Q$6:$Q$3766&lt;&gt;"N/A"),'Diags Raw Data'!$U$6:$U$3766)</f>
        <v>1</v>
      </c>
      <c r="O76" s="446">
        <f t="shared" si="24"/>
        <v>1</v>
      </c>
      <c r="P76" s="447">
        <f>SUMIF('Diags Raw Data'!$A$6:$A$3766,"*"&amp;$A76&amp;"*",'Diags Raw Data'!$Z$6:$Z$3766)</f>
        <v>1</v>
      </c>
      <c r="Q76" s="448">
        <f>SUM(SUMIF('Diags Raw Data'!$A$6:$A$3766,"*"&amp;$A76&amp;"*",'Diags Raw Data'!$AA$6:$AA$3766),SUMIF('Diags Raw Data'!$A$6:$A$3766,"*"&amp;$A76&amp;"*",'Diags Raw Data'!$AB$6:$AB$3766))</f>
        <v>1</v>
      </c>
      <c r="R76" s="449">
        <f t="shared" si="25"/>
        <v>0.125</v>
      </c>
      <c r="S76" s="449">
        <f t="shared" si="26"/>
        <v>1</v>
      </c>
      <c r="T76" s="450">
        <f t="shared" si="27"/>
        <v>0.125</v>
      </c>
      <c r="U76" s="419"/>
      <c r="V76" s="181"/>
    </row>
    <row r="77" spans="1:22" ht="58.5" thickBot="1">
      <c r="A77" s="321" t="s">
        <v>680</v>
      </c>
      <c r="B77" s="412" t="str">
        <f>VLOOKUP(A77,'Feature Raw Data'!$A$3:$B$3847,2,FALSE)</f>
        <v>WS.CDL.CH.CacheExerciser</v>
      </c>
      <c r="C77" s="413" t="str">
        <f>VLOOKUP(A77,'Feature Raw Data'!$A$3:$C$3929,3,FALSE)</f>
        <v>P2</v>
      </c>
      <c r="D77" s="414" t="str" cm="1">
        <f t="array" ref="D77">_xlfn.TEXTJOIN("",TRUE,IF(ISNUMBER(SEARCH($A77,'Diags Raw Data'!$A$6:$A$3768)),CONCATENATE('Diags Raw Data'!$H$6:$H$3768,", "),""))</f>
        <v xml:space="preserve">st341_rsa0_gn_compat_mp_blocks.yml, </v>
      </c>
      <c r="E77" s="415" t="str">
        <f>VLOOKUP(A77,'Diags Raw Data'!$A$6:$D$3768,4,FALSE)</f>
        <v>CH-06</v>
      </c>
      <c r="F77" s="415" t="str">
        <f>VLOOKUP(A77,'Feature Raw Data'!$A$3:$E$3847,5,FALSE)</f>
        <v>Delta</v>
      </c>
      <c r="G77" s="415" t="str">
        <f t="shared" si="28"/>
        <v>Yes</v>
      </c>
      <c r="H77" s="415" t="str">
        <f t="shared" si="29"/>
        <v>Yes</v>
      </c>
      <c r="I77" s="417">
        <f>SUMIF('Diags Raw Data'!$A$6:$A$3768,"*"&amp;$A77&amp;"*",'Diags Raw Data'!$K$6:$K$3768)</f>
        <v>3</v>
      </c>
      <c r="J77" s="418">
        <f>SUMIF('Diags Raw Data'!$A$6:$A$3768,"*"&amp;$A77&amp;"*",'Diags Raw Data'!$L$6:$L$3768)</f>
        <v>5000</v>
      </c>
      <c r="K77" s="443" cm="1">
        <f t="array" ref="K77">IF(D77="",0, SUMPRODUCT(--(ISNUMBER(SEARCH($A77,'Diags Raw Data'!$A$6:$A$3766))),'Diags Raw Data'!$L$6:$L$3766,'Diags Raw Data'!$N$6:$N$3766)/J77)</f>
        <v>1</v>
      </c>
      <c r="L77" s="444" cm="1">
        <f t="array" ref="L77">IF(D77="",0, SUMPRODUCT(--(ISNUMBER(SEARCH($A77,'Diags Raw Data'!$A$6:$A$3766))),'Diags Raw Data'!$L$6:$L$3766,'Diags Raw Data'!$P$6:$P$3766)/J77)</f>
        <v>1</v>
      </c>
      <c r="M77" s="445" cm="1">
        <f t="array" ref="M77">SUMPRODUCT(--(ISNUMBER(SEARCH($A77,'Diags Raw Data'!$A$6:$A$3766))),--('Diags Raw Data'!$Q$6:$Q$3766&lt;&gt;"N/A"),'Diags Raw Data'!$T$6:$T$3766)+SUMPRODUCT(--(ISNUMBER(SEARCH($A77,'Diags Raw Data'!$A$6:$A$3766))),--('Diags Raw Data'!$Q$6:$Q$3766&lt;&gt;"N/A"),'Diags Raw Data'!$U$6:$U$3766)</f>
        <v>25</v>
      </c>
      <c r="N77" s="445" cm="1">
        <f t="array" ref="N77">SUMPRODUCT(--(ISNUMBER(SEARCH($A77,'Diags Raw Data'!$A$6:$A$3766))),--('Diags Raw Data'!$Q$6:$Q$3766&lt;&gt;"N/A"),'Diags Raw Data'!$T$6:$T$3766)+SUMPRODUCT(--(ISNUMBER(SEARCH($A77,'Diags Raw Data'!$A$6:$A$3766))),--('Diags Raw Data'!$Q$6:$Q$3766&lt;&gt;"N/A"),'Diags Raw Data'!$U$6:$U$3766)</f>
        <v>25</v>
      </c>
      <c r="O77" s="446">
        <f t="shared" si="24"/>
        <v>1</v>
      </c>
      <c r="P77" s="447">
        <f>SUMIF('Diags Raw Data'!$A$6:$A$3766,"*"&amp;$A77&amp;"*",'Diags Raw Data'!$Z$6:$Z$3766)</f>
        <v>3000</v>
      </c>
      <c r="Q77" s="448">
        <f>SUM(SUMIF('Diags Raw Data'!$A$6:$A$3766,"*"&amp;$A77&amp;"*",'Diags Raw Data'!$AA$6:$AA$3766),SUMIF('Diags Raw Data'!$A$6:$A$3766,"*"&amp;$A77&amp;"*",'Diags Raw Data'!$AB$6:$AB$3766))</f>
        <v>3000</v>
      </c>
      <c r="R77" s="449">
        <f t="shared" si="25"/>
        <v>0.6</v>
      </c>
      <c r="S77" s="449">
        <f t="shared" si="26"/>
        <v>1</v>
      </c>
      <c r="T77" s="450">
        <f t="shared" si="27"/>
        <v>0.6</v>
      </c>
      <c r="U77" s="419" t="s">
        <v>1076</v>
      </c>
      <c r="V77" s="181"/>
    </row>
    <row r="78" spans="1:22" ht="58.5" thickBot="1">
      <c r="A78" s="321" t="s">
        <v>685</v>
      </c>
      <c r="B78" s="412" t="str">
        <f>VLOOKUP(A78,'Feature Raw Data'!$A$3:$B$3847,2,FALSE)</f>
        <v>WS.CDL.CH.MemoryOrdering</v>
      </c>
      <c r="C78" s="413" t="str">
        <f>VLOOKUP(A78,'Feature Raw Data'!$A$3:$C$3929,3,FALSE)</f>
        <v>P3</v>
      </c>
      <c r="D78" s="414" t="str" cm="1">
        <f t="array" ref="D78">_xlfn.TEXTJOIN("",TRUE,IF(ISNUMBER(SEARCH($A78,'Diags Raw Data'!$A$6:$A$3768)),CONCATENATE('Diags Raw Data'!$H$6:$H$3768,", "),""))</f>
        <v xml:space="preserve">Core_Memory_Ordering.stf, </v>
      </c>
      <c r="E78" s="415" t="str">
        <f>VLOOKUP(A78,'Diags Raw Data'!$A$6:$D$3768,4,FALSE)</f>
        <v>CH-06</v>
      </c>
      <c r="F78" s="415" t="str">
        <f>VLOOKUP(A78,'Feature Raw Data'!$A$3:$E$3847,5,FALSE)</f>
        <v>Delta</v>
      </c>
      <c r="G78" s="415" t="str">
        <f t="shared" si="28"/>
        <v>Yes</v>
      </c>
      <c r="H78" s="415" t="str">
        <f t="shared" si="29"/>
        <v>Yes</v>
      </c>
      <c r="I78" s="417">
        <f>SUMIF('Diags Raw Data'!$A$6:$A$3768,"*"&amp;$A78&amp;"*",'Diags Raw Data'!$K$6:$K$3768)</f>
        <v>1</v>
      </c>
      <c r="J78" s="418">
        <f>SUMIF('Diags Raw Data'!$A$6:$A$3768,"*"&amp;$A78&amp;"*",'Diags Raw Data'!$L$6:$L$3768)</f>
        <v>1</v>
      </c>
      <c r="K78" s="443" cm="1">
        <f t="array" ref="K78">IF(D78="",0, SUMPRODUCT(--(ISNUMBER(SEARCH($A78,'Diags Raw Data'!$A$6:$A$3766))),'Diags Raw Data'!$L$6:$L$3766,'Diags Raw Data'!$N$6:$N$3766)/J78)</f>
        <v>1</v>
      </c>
      <c r="L78" s="444" cm="1">
        <f t="array" ref="L78">IF(D78="",0, SUMPRODUCT(--(ISNUMBER(SEARCH($A78,'Diags Raw Data'!$A$6:$A$3766))),'Diags Raw Data'!$L$6:$L$3766,'Diags Raw Data'!$P$6:$P$3766)/J78)</f>
        <v>1</v>
      </c>
      <c r="M78" s="445" cm="1">
        <f t="array" ref="M78">SUMPRODUCT(--(ISNUMBER(SEARCH($A78,'Diags Raw Data'!$A$6:$A$3766))),--('Diags Raw Data'!$Q$6:$Q$3766&lt;&gt;"N/A"),'Diags Raw Data'!$T$6:$T$3766)+SUMPRODUCT(--(ISNUMBER(SEARCH($A78,'Diags Raw Data'!$A$6:$A$3766))),--('Diags Raw Data'!$Q$6:$Q$3766&lt;&gt;"N/A"),'Diags Raw Data'!$U$6:$U$3766)</f>
        <v>0</v>
      </c>
      <c r="N78" s="445" cm="1">
        <f t="array" ref="N78">SUMPRODUCT(--(ISNUMBER(SEARCH($A78,'Diags Raw Data'!$A$6:$A$3766))),--('Diags Raw Data'!$Q$6:$Q$3766&lt;&gt;"N/A"),'Diags Raw Data'!$T$6:$T$3766)+SUMPRODUCT(--(ISNUMBER(SEARCH($A78,'Diags Raw Data'!$A$6:$A$3766))),--('Diags Raw Data'!$Q$6:$Q$3766&lt;&gt;"N/A"),'Diags Raw Data'!$U$6:$U$3766)</f>
        <v>0</v>
      </c>
      <c r="O78" s="446">
        <f t="shared" si="24"/>
        <v>0</v>
      </c>
      <c r="P78" s="447">
        <f>SUMIF('Diags Raw Data'!$A$6:$A$3766,"*"&amp;$A78&amp;"*",'Diags Raw Data'!$Z$6:$Z$3766)</f>
        <v>1</v>
      </c>
      <c r="Q78" s="448">
        <f>SUM(SUMIF('Diags Raw Data'!$A$6:$A$3766,"*"&amp;$A78&amp;"*",'Diags Raw Data'!$AA$6:$AA$3766),SUMIF('Diags Raw Data'!$A$6:$A$3766,"*"&amp;$A78&amp;"*",'Diags Raw Data'!$AB$6:$AB$3766))</f>
        <v>1</v>
      </c>
      <c r="R78" s="449">
        <f t="shared" si="25"/>
        <v>1</v>
      </c>
      <c r="S78" s="449">
        <f t="shared" si="26"/>
        <v>1</v>
      </c>
      <c r="T78" s="450">
        <f t="shared" si="27"/>
        <v>1</v>
      </c>
      <c r="U78" s="419" t="s">
        <v>1076</v>
      </c>
      <c r="V78" s="181"/>
    </row>
    <row r="79" spans="1:22" ht="58.5" thickBot="1">
      <c r="A79" s="321" t="s">
        <v>691</v>
      </c>
      <c r="B79" s="412" t="str">
        <f>VLOOKUP(A79,'Feature Raw Data'!$A$3:$B$3847,2,FALSE)</f>
        <v>WS.Storm.CH.SelfModifyingCode.1</v>
      </c>
      <c r="C79" s="413" t="str">
        <f>VLOOKUP(A79,'Feature Raw Data'!$A$3:$C$3929,3,FALSE)</f>
        <v>P3</v>
      </c>
      <c r="D79" s="414" t="str" cm="1">
        <f t="array" ref="D79">_xlfn.TEXTJOIN("",TRUE,IF(ISNUMBER(SEARCH($A79,'Diags Raw Data'!$A$6:$A$3768)),CONCATENATE('Diags Raw Data'!$H$6:$H$3768,", "),""))</f>
        <v xml:space="preserve">smc.rb
, </v>
      </c>
      <c r="E79" s="415" t="str">
        <f>VLOOKUP(A79,'Diags Raw Data'!$A$6:$D$3768,4,FALSE)</f>
        <v>CH-06</v>
      </c>
      <c r="F79" s="415" t="str">
        <f>VLOOKUP(A79,'Feature Raw Data'!$A$3:$E$3847,5,FALSE)</f>
        <v>Delta</v>
      </c>
      <c r="G79" s="415" t="str">
        <f t="shared" si="28"/>
        <v>Yes</v>
      </c>
      <c r="H79" s="415" t="str">
        <f t="shared" si="29"/>
        <v>Yes</v>
      </c>
      <c r="I79" s="417">
        <f>SUMIF('Diags Raw Data'!$A$6:$A$3768,"*"&amp;$A79&amp;"*",'Diags Raw Data'!$K$6:$K$3768)</f>
        <v>1</v>
      </c>
      <c r="J79" s="418">
        <f>SUMIF('Diags Raw Data'!$A$6:$A$3768,"*"&amp;$A79&amp;"*",'Diags Raw Data'!$L$6:$L$3768)</f>
        <v>1000</v>
      </c>
      <c r="K79" s="443" cm="1">
        <f t="array" ref="K79">IF(D79="",0, SUMPRODUCT(--(ISNUMBER(SEARCH($A79,'Diags Raw Data'!$A$6:$A$3766))),'Diags Raw Data'!$L$6:$L$3766,'Diags Raw Data'!$N$6:$N$3766)/J79)</f>
        <v>1</v>
      </c>
      <c r="L79" s="444" cm="1">
        <f t="array" ref="L79">IF(D79="",0, SUMPRODUCT(--(ISNUMBER(SEARCH($A79,'Diags Raw Data'!$A$6:$A$3766))),'Diags Raw Data'!$L$6:$L$3766,'Diags Raw Data'!$P$6:$P$3766)/J79)</f>
        <v>1</v>
      </c>
      <c r="M79" s="445" cm="1">
        <f t="array" ref="M79">SUMPRODUCT(--(ISNUMBER(SEARCH($A79,'Diags Raw Data'!$A$6:$A$3766))),--('Diags Raw Data'!$Q$6:$Q$3766&lt;&gt;"N/A"),'Diags Raw Data'!$T$6:$T$3766)+SUMPRODUCT(--(ISNUMBER(SEARCH($A79,'Diags Raw Data'!$A$6:$A$3766))),--('Diags Raw Data'!$Q$6:$Q$3766&lt;&gt;"N/A"),'Diags Raw Data'!$U$6:$U$3766)</f>
        <v>2523</v>
      </c>
      <c r="N79" s="445" cm="1">
        <f t="array" ref="N79">SUMPRODUCT(--(ISNUMBER(SEARCH($A79,'Diags Raw Data'!$A$6:$A$3766))),--('Diags Raw Data'!$Q$6:$Q$3766&lt;&gt;"N/A"),'Diags Raw Data'!$T$6:$T$3766)+SUMPRODUCT(--(ISNUMBER(SEARCH($A79,'Diags Raw Data'!$A$6:$A$3766))),--('Diags Raw Data'!$Q$6:$Q$3766&lt;&gt;"N/A"),'Diags Raw Data'!$U$6:$U$3766)</f>
        <v>2523</v>
      </c>
      <c r="O79" s="446">
        <f t="shared" si="24"/>
        <v>1</v>
      </c>
      <c r="P79" s="447">
        <f>SUMIF('Diags Raw Data'!$A$6:$A$3766,"*"&amp;$A79&amp;"*",'Diags Raw Data'!$Z$6:$Z$3766)</f>
        <v>1000</v>
      </c>
      <c r="Q79" s="448">
        <f>SUM(SUMIF('Diags Raw Data'!$A$6:$A$3766,"*"&amp;$A79&amp;"*",'Diags Raw Data'!$AA$6:$AA$3766),SUMIF('Diags Raw Data'!$A$6:$A$3766,"*"&amp;$A79&amp;"*",'Diags Raw Data'!$AB$6:$AB$3766))</f>
        <v>1000</v>
      </c>
      <c r="R79" s="449">
        <f t="shared" si="25"/>
        <v>1</v>
      </c>
      <c r="S79" s="449">
        <f t="shared" si="26"/>
        <v>1</v>
      </c>
      <c r="T79" s="450">
        <f t="shared" si="27"/>
        <v>1</v>
      </c>
      <c r="U79" s="419" t="s">
        <v>1076</v>
      </c>
      <c r="V79" s="181"/>
    </row>
    <row r="80" spans="1:22" ht="58.5" thickBot="1">
      <c r="A80" s="321" t="s">
        <v>696</v>
      </c>
      <c r="B80" s="412" t="str">
        <f>VLOOKUP(A80,'Feature Raw Data'!$A$3:$B$3847,2,FALSE)</f>
        <v>WS.Storm.CH.SelfModifyingCode.2</v>
      </c>
      <c r="C80" s="413" t="str">
        <f>VLOOKUP(A80,'Feature Raw Data'!$A$3:$C$3929,3,FALSE)</f>
        <v>P3</v>
      </c>
      <c r="D80" s="414" t="str" cm="1">
        <f t="array" ref="D80">_xlfn.TEXTJOIN("",TRUE,IF(ISNUMBER(SEARCH($A80,'Diags Raw Data'!$A$6:$A$3768)),CONCATENATE('Diags Raw Data'!$H$6:$H$3768,", "),""))</f>
        <v xml:space="preserve">
mp_blocks_biased_to_smc.rb, </v>
      </c>
      <c r="E80" s="415" t="str">
        <f>VLOOKUP(A80,'Diags Raw Data'!$A$6:$D$3768,4,FALSE)</f>
        <v>CH-06</v>
      </c>
      <c r="F80" s="415" t="str">
        <f>VLOOKUP(A80,'Feature Raw Data'!$A$3:$E$3847,5,FALSE)</f>
        <v>Delta</v>
      </c>
      <c r="G80" s="415" t="str">
        <f t="shared" si="28"/>
        <v>Yes</v>
      </c>
      <c r="H80" s="415" t="str">
        <f t="shared" si="29"/>
        <v>Yes</v>
      </c>
      <c r="I80" s="417">
        <f>SUMIF('Diags Raw Data'!$A$6:$A$3768,"*"&amp;$A80&amp;"*",'Diags Raw Data'!$K$6:$K$3768)</f>
        <v>1</v>
      </c>
      <c r="J80" s="418">
        <f>SUMIF('Diags Raw Data'!$A$6:$A$3768,"*"&amp;$A80&amp;"*",'Diags Raw Data'!$L$6:$L$3768)</f>
        <v>500</v>
      </c>
      <c r="K80" s="443" cm="1">
        <f t="array" ref="K80">IF(D80="",0, SUMPRODUCT(--(ISNUMBER(SEARCH($A80,'Diags Raw Data'!$A$6:$A$3766))),'Diags Raw Data'!$L$6:$L$3766,'Diags Raw Data'!$N$6:$N$3766)/J80)</f>
        <v>1</v>
      </c>
      <c r="L80" s="444" cm="1">
        <f t="array" ref="L80">IF(D80="",0, SUMPRODUCT(--(ISNUMBER(SEARCH($A80,'Diags Raw Data'!$A$6:$A$3766))),'Diags Raw Data'!$L$6:$L$3766,'Diags Raw Data'!$P$6:$P$3766)/J80)</f>
        <v>1</v>
      </c>
      <c r="M80" s="445" cm="1">
        <f t="array" ref="M80">SUMPRODUCT(--(ISNUMBER(SEARCH($A80,'Diags Raw Data'!$A$6:$A$3766))),--('Diags Raw Data'!$Q$6:$Q$3766&lt;&gt;"N/A"),'Diags Raw Data'!$T$6:$T$3766)+SUMPRODUCT(--(ISNUMBER(SEARCH($A80,'Diags Raw Data'!$A$6:$A$3766))),--('Diags Raw Data'!$Q$6:$Q$3766&lt;&gt;"N/A"),'Diags Raw Data'!$U$6:$U$3766)</f>
        <v>0</v>
      </c>
      <c r="N80" s="445" cm="1">
        <f t="array" ref="N80">SUMPRODUCT(--(ISNUMBER(SEARCH($A80,'Diags Raw Data'!$A$6:$A$3766))),--('Diags Raw Data'!$Q$6:$Q$3766&lt;&gt;"N/A"),'Diags Raw Data'!$T$6:$T$3766)+SUMPRODUCT(--(ISNUMBER(SEARCH($A80,'Diags Raw Data'!$A$6:$A$3766))),--('Diags Raw Data'!$Q$6:$Q$3766&lt;&gt;"N/A"),'Diags Raw Data'!$U$6:$U$3766)</f>
        <v>0</v>
      </c>
      <c r="O80" s="446">
        <f t="shared" si="24"/>
        <v>0</v>
      </c>
      <c r="P80" s="447">
        <f>SUMIF('Diags Raw Data'!$A$6:$A$3766,"*"&amp;$A80&amp;"*",'Diags Raw Data'!$Z$6:$Z$3766)</f>
        <v>0</v>
      </c>
      <c r="Q80" s="448">
        <f>SUM(SUMIF('Diags Raw Data'!$A$6:$A$3766,"*"&amp;$A80&amp;"*",'Diags Raw Data'!$AA$6:$AA$3766),SUMIF('Diags Raw Data'!$A$6:$A$3766,"*"&amp;$A80&amp;"*",'Diags Raw Data'!$AB$6:$AB$3766))</f>
        <v>0</v>
      </c>
      <c r="R80" s="449">
        <f t="shared" si="25"/>
        <v>0</v>
      </c>
      <c r="S80" s="449">
        <f t="shared" si="26"/>
        <v>0</v>
      </c>
      <c r="T80" s="450">
        <f t="shared" si="27"/>
        <v>0</v>
      </c>
      <c r="U80" s="419" t="s">
        <v>1076</v>
      </c>
      <c r="V80" s="181"/>
    </row>
    <row r="81" spans="1:22" ht="58.5" thickBot="1">
      <c r="A81" s="321" t="s">
        <v>699</v>
      </c>
      <c r="B81" s="412" t="str">
        <f>VLOOKUP(A81,'Feature Raw Data'!$A$3:$B$3847,2,FALSE)</f>
        <v xml:space="preserve"> WS.Storm.CH.MCOMMIT</v>
      </c>
      <c r="C81" s="413" t="str">
        <f>VLOOKUP(A81,'Feature Raw Data'!$A$3:$C$3929,3,FALSE)</f>
        <v>P4</v>
      </c>
      <c r="D81" s="414" t="str" cm="1">
        <f t="array" ref="D81">_xlfn.TEXTJOIN("",TRUE,IF(ISNUMBER(SEARCH($A81,'Diags Raw Data'!$A$6:$A$3768)),CONCATENATE('Diags Raw Data'!$H$6:$H$3768,", "),""))</f>
        <v xml:space="preserve">cba0_gn_only_mcommit.yml, </v>
      </c>
      <c r="E81" s="415" t="str">
        <f>VLOOKUP(A81,'Diags Raw Data'!$A$6:$D$3768,4,FALSE)</f>
        <v>CH-06</v>
      </c>
      <c r="F81" s="415" t="str">
        <f>VLOOKUP(A81,'Feature Raw Data'!$A$3:$E$3847,5,FALSE)</f>
        <v>Legacy</v>
      </c>
      <c r="G81" s="415" t="str">
        <f t="shared" si="28"/>
        <v>Yes</v>
      </c>
      <c r="H81" s="415" t="str">
        <f t="shared" si="29"/>
        <v>Yes</v>
      </c>
      <c r="I81" s="417">
        <f>SUMIF('Diags Raw Data'!$A$6:$A$3768,"*"&amp;$A81&amp;"*",'Diags Raw Data'!$K$6:$K$3768)</f>
        <v>0</v>
      </c>
      <c r="J81" s="418">
        <f>SUMIF('Diags Raw Data'!$A$6:$A$3768,"*"&amp;$A81&amp;"*",'Diags Raw Data'!$L$6:$L$3768)</f>
        <v>0</v>
      </c>
      <c r="K81" s="443" t="e" cm="1">
        <f t="array" ref="K81">IF(D81="",0, SUMPRODUCT(--(ISNUMBER(SEARCH($A81,'Diags Raw Data'!$A$6:$A$3766))),'Diags Raw Data'!$L$6:$L$3766,'Diags Raw Data'!$N$6:$N$3766)/J81)</f>
        <v>#DIV/0!</v>
      </c>
      <c r="L81" s="444" t="e" cm="1">
        <f t="array" ref="L81">IF(D81="",0, SUMPRODUCT(--(ISNUMBER(SEARCH($A81,'Diags Raw Data'!$A$6:$A$3766))),'Diags Raw Data'!$L$6:$L$3766,'Diags Raw Data'!$P$6:$P$3766)/J81)</f>
        <v>#DIV/0!</v>
      </c>
      <c r="M81" s="445" cm="1">
        <f t="array" ref="M81">SUMPRODUCT(--(ISNUMBER(SEARCH($A81,'Diags Raw Data'!$A$6:$A$3766))),--('Diags Raw Data'!$Q$6:$Q$3766&lt;&gt;"N/A"),'Diags Raw Data'!$T$6:$T$3766)+SUMPRODUCT(--(ISNUMBER(SEARCH($A81,'Diags Raw Data'!$A$6:$A$3766))),--('Diags Raw Data'!$Q$6:$Q$3766&lt;&gt;"N/A"),'Diags Raw Data'!$U$6:$U$3766)</f>
        <v>0</v>
      </c>
      <c r="N81" s="445" cm="1">
        <f t="array" ref="N81">SUMPRODUCT(--(ISNUMBER(SEARCH($A81,'Diags Raw Data'!$A$6:$A$3766))),--('Diags Raw Data'!$Q$6:$Q$3766&lt;&gt;"N/A"),'Diags Raw Data'!$T$6:$T$3766)+SUMPRODUCT(--(ISNUMBER(SEARCH($A81,'Diags Raw Data'!$A$6:$A$3766))),--('Diags Raw Data'!$Q$6:$Q$3766&lt;&gt;"N/A"),'Diags Raw Data'!$U$6:$U$3766)</f>
        <v>0</v>
      </c>
      <c r="O81" s="446">
        <f t="shared" si="24"/>
        <v>0</v>
      </c>
      <c r="P81" s="447">
        <f>SUMIF('Diags Raw Data'!$A$6:$A$3766,"*"&amp;$A81&amp;"*",'Diags Raw Data'!$Z$6:$Z$3766)</f>
        <v>0</v>
      </c>
      <c r="Q81" s="448">
        <f>SUM(SUMIF('Diags Raw Data'!$A$6:$A$3766,"*"&amp;$A81&amp;"*",'Diags Raw Data'!$AA$6:$AA$3766),SUMIF('Diags Raw Data'!$A$6:$A$3766,"*"&amp;$A81&amp;"*",'Diags Raw Data'!$AB$6:$AB$3766))</f>
        <v>0</v>
      </c>
      <c r="R81" s="449">
        <f t="shared" si="25"/>
        <v>0</v>
      </c>
      <c r="S81" s="449">
        <f t="shared" si="26"/>
        <v>0</v>
      </c>
      <c r="T81" s="450">
        <f t="shared" si="27"/>
        <v>0</v>
      </c>
      <c r="U81" s="419" t="s">
        <v>1076</v>
      </c>
      <c r="V81" s="181"/>
    </row>
    <row r="82" spans="1:22" ht="58.5" thickBot="1">
      <c r="A82" s="321" t="s">
        <v>704</v>
      </c>
      <c r="B82" s="412" t="str">
        <f>VLOOKUP(A82,'Feature Raw Data'!$A$3:$B$3847,2,FALSE)</f>
        <v>WS.Storm.CH.InterruptibleWBINVD</v>
      </c>
      <c r="C82" s="413" t="str">
        <f>VLOOKUP(A82,'Feature Raw Data'!$A$3:$C$3929,3,FALSE)</f>
        <v>P4</v>
      </c>
      <c r="D82" s="414" t="str" cm="1">
        <f t="array" ref="D82">_xlfn.TEXTJOIN("",TRUE,IF(ISNUMBER(SEARCH($A82,'Diags Raw Data'!$A$6:$A$3768)),CONCATENATE('Diags Raw Data'!$H$6:$H$3768,", "),""))</f>
        <v xml:space="preserve">TBD(Find a new stf for this)
, </v>
      </c>
      <c r="E82" s="415" t="str">
        <f>VLOOKUP(A82,'Diags Raw Data'!$A$6:$D$3768,4,FALSE)</f>
        <v>CH-06</v>
      </c>
      <c r="F82" s="415" t="str">
        <f>VLOOKUP(A82,'Feature Raw Data'!$A$3:$E$3847,5,FALSE)</f>
        <v>Legacy</v>
      </c>
      <c r="G82" s="415" t="str">
        <f t="shared" si="28"/>
        <v>Yes</v>
      </c>
      <c r="H82" s="415" t="str">
        <f t="shared" si="29"/>
        <v>Yes</v>
      </c>
      <c r="I82" s="417">
        <f>SUMIF('Diags Raw Data'!$A$6:$A$3768,"*"&amp;$A82&amp;"*",'Diags Raw Data'!$K$6:$K$3768)</f>
        <v>1</v>
      </c>
      <c r="J82" s="418">
        <f>SUMIF('Diags Raw Data'!$A$6:$A$3768,"*"&amp;$A82&amp;"*",'Diags Raw Data'!$L$6:$L$3768)</f>
        <v>0</v>
      </c>
      <c r="K82" s="443" t="e" cm="1">
        <f t="array" ref="K82">IF(D82="",0, SUMPRODUCT(--(ISNUMBER(SEARCH($A82,'Diags Raw Data'!$A$6:$A$3766))),'Diags Raw Data'!$L$6:$L$3766,'Diags Raw Data'!$N$6:$N$3766)/J82)</f>
        <v>#DIV/0!</v>
      </c>
      <c r="L82" s="444" t="e" cm="1">
        <f t="array" ref="L82">IF(D82="",0, SUMPRODUCT(--(ISNUMBER(SEARCH($A82,'Diags Raw Data'!$A$6:$A$3766))),'Diags Raw Data'!$L$6:$L$3766,'Diags Raw Data'!$P$6:$P$3766)/J82)</f>
        <v>#DIV/0!</v>
      </c>
      <c r="M82" s="445" cm="1">
        <f t="array" ref="M82">SUMPRODUCT(--(ISNUMBER(SEARCH($A82,'Diags Raw Data'!$A$6:$A$3766))),--('Diags Raw Data'!$Q$6:$Q$3766&lt;&gt;"N/A"),'Diags Raw Data'!$T$6:$T$3766)+SUMPRODUCT(--(ISNUMBER(SEARCH($A82,'Diags Raw Data'!$A$6:$A$3766))),--('Diags Raw Data'!$Q$6:$Q$3766&lt;&gt;"N/A"),'Diags Raw Data'!$U$6:$U$3766)</f>
        <v>0</v>
      </c>
      <c r="N82" s="445" cm="1">
        <f t="array" ref="N82">SUMPRODUCT(--(ISNUMBER(SEARCH($A82,'Diags Raw Data'!$A$6:$A$3766))),--('Diags Raw Data'!$Q$6:$Q$3766&lt;&gt;"N/A"),'Diags Raw Data'!$T$6:$T$3766)+SUMPRODUCT(--(ISNUMBER(SEARCH($A82,'Diags Raw Data'!$A$6:$A$3766))),--('Diags Raw Data'!$Q$6:$Q$3766&lt;&gt;"N/A"),'Diags Raw Data'!$U$6:$U$3766)</f>
        <v>0</v>
      </c>
      <c r="O82" s="446">
        <f t="shared" si="24"/>
        <v>0</v>
      </c>
      <c r="P82" s="447">
        <f>SUMIF('Diags Raw Data'!$A$6:$A$3766,"*"&amp;$A82&amp;"*",'Diags Raw Data'!$Z$6:$Z$3766)</f>
        <v>0</v>
      </c>
      <c r="Q82" s="448">
        <f>SUM(SUMIF('Diags Raw Data'!$A$6:$A$3766,"*"&amp;$A82&amp;"*",'Diags Raw Data'!$AA$6:$AA$3766),SUMIF('Diags Raw Data'!$A$6:$A$3766,"*"&amp;$A82&amp;"*",'Diags Raw Data'!$AB$6:$AB$3766))</f>
        <v>0</v>
      </c>
      <c r="R82" s="449">
        <f t="shared" si="25"/>
        <v>0</v>
      </c>
      <c r="S82" s="449">
        <f t="shared" si="26"/>
        <v>0</v>
      </c>
      <c r="T82" s="450">
        <f t="shared" si="27"/>
        <v>0</v>
      </c>
      <c r="U82" s="419" t="s">
        <v>1076</v>
      </c>
      <c r="V82" s="181"/>
    </row>
    <row r="83" spans="1:22" ht="58.5" thickBot="1">
      <c r="A83" s="321" t="s">
        <v>709</v>
      </c>
      <c r="B83" s="412" t="str">
        <f>VLOOKUP(A83,'Feature Raw Data'!$A$3:$B$3847,2,FALSE)</f>
        <v>WS.CDL.CH.Memcopy</v>
      </c>
      <c r="C83" s="413" t="str">
        <f>VLOOKUP(A83,'Feature Raw Data'!$A$3:$C$3929,3,FALSE)</f>
        <v>P3</v>
      </c>
      <c r="D83" s="414" t="str" cm="1">
        <f t="array" ref="D83">_xlfn.TEXTJOIN("",TRUE,IF(ISNUMBER(SEARCH($A83,'Diags Raw Data'!$A$6:$A$3768)),CONCATENATE('Diags Raw Data'!$H$6:$H$3768,", "),""))</f>
        <v xml:space="preserve">Core_Mem_Copy.stf
CCX_Mem_Test.stf
CCX_Mem_Test_bit_shift.stf
Produ_Consu.stf, </v>
      </c>
      <c r="E83" s="415" t="str">
        <f>VLOOKUP(A83,'Diags Raw Data'!$A$6:$D$3768,4,FALSE)</f>
        <v>CH-06</v>
      </c>
      <c r="F83" s="415" t="str">
        <f>VLOOKUP(A83,'Feature Raw Data'!$A$3:$E$3847,5,FALSE)</f>
        <v>Delta</v>
      </c>
      <c r="G83" s="415" t="str">
        <f t="shared" si="28"/>
        <v>Yes</v>
      </c>
      <c r="H83" s="415" t="str">
        <f t="shared" si="29"/>
        <v>Yes</v>
      </c>
      <c r="I83" s="417">
        <f>SUMIF('Diags Raw Data'!$A$6:$A$3768,"*"&amp;$A83&amp;"*",'Diags Raw Data'!$K$6:$K$3768)</f>
        <v>1</v>
      </c>
      <c r="J83" s="418">
        <f>SUMIF('Diags Raw Data'!$A$6:$A$3768,"*"&amp;$A83&amp;"*",'Diags Raw Data'!$L$6:$L$3768)</f>
        <v>4</v>
      </c>
      <c r="K83" s="443" cm="1">
        <f t="array" ref="K83">IF(D83="",0, SUMPRODUCT(--(ISNUMBER(SEARCH($A83,'Diags Raw Data'!$A$6:$A$3766))),'Diags Raw Data'!$L$6:$L$3766,'Diags Raw Data'!$N$6:$N$3766)/J83)</f>
        <v>1</v>
      </c>
      <c r="L83" s="444" cm="1">
        <f t="array" ref="L83">IF(D83="",0, SUMPRODUCT(--(ISNUMBER(SEARCH($A83,'Diags Raw Data'!$A$6:$A$3766))),'Diags Raw Data'!$L$6:$L$3766,'Diags Raw Data'!$P$6:$P$3766)/J83)</f>
        <v>1</v>
      </c>
      <c r="M83" s="445" cm="1">
        <f t="array" ref="M83">SUMPRODUCT(--(ISNUMBER(SEARCH($A83,'Diags Raw Data'!$A$6:$A$3766))),--('Diags Raw Data'!$Q$6:$Q$3766&lt;&gt;"N/A"),'Diags Raw Data'!$T$6:$T$3766)+SUMPRODUCT(--(ISNUMBER(SEARCH($A83,'Diags Raw Data'!$A$6:$A$3766))),--('Diags Raw Data'!$Q$6:$Q$3766&lt;&gt;"N/A"),'Diags Raw Data'!$U$6:$U$3766)</f>
        <v>4</v>
      </c>
      <c r="N83" s="445" cm="1">
        <f t="array" ref="N83">SUMPRODUCT(--(ISNUMBER(SEARCH($A83,'Diags Raw Data'!$A$6:$A$3766))),--('Diags Raw Data'!$Q$6:$Q$3766&lt;&gt;"N/A"),'Diags Raw Data'!$T$6:$T$3766)+SUMPRODUCT(--(ISNUMBER(SEARCH($A83,'Diags Raw Data'!$A$6:$A$3766))),--('Diags Raw Data'!$Q$6:$Q$3766&lt;&gt;"N/A"),'Diags Raw Data'!$U$6:$U$3766)</f>
        <v>4</v>
      </c>
      <c r="O83" s="446">
        <f t="shared" si="24"/>
        <v>1</v>
      </c>
      <c r="P83" s="447">
        <f>SUMIF('Diags Raw Data'!$A$6:$A$3766,"*"&amp;$A83&amp;"*",'Diags Raw Data'!$Z$6:$Z$3766)</f>
        <v>4</v>
      </c>
      <c r="Q83" s="448">
        <f>SUM(SUMIF('Diags Raw Data'!$A$6:$A$3766,"*"&amp;$A83&amp;"*",'Diags Raw Data'!$AA$6:$AA$3766),SUMIF('Diags Raw Data'!$A$6:$A$3766,"*"&amp;$A83&amp;"*",'Diags Raw Data'!$AB$6:$AB$3766))</f>
        <v>4</v>
      </c>
      <c r="R83" s="449">
        <f t="shared" si="25"/>
        <v>1</v>
      </c>
      <c r="S83" s="449">
        <f t="shared" si="26"/>
        <v>1</v>
      </c>
      <c r="T83" s="450">
        <f t="shared" si="27"/>
        <v>1</v>
      </c>
      <c r="U83" s="419"/>
      <c r="V83" s="181"/>
    </row>
    <row r="84" spans="1:22" ht="15" thickBot="1">
      <c r="A84" s="321" t="s">
        <v>715</v>
      </c>
      <c r="B84" s="412" t="str">
        <f>VLOOKUP(A84,'Feature Raw Data'!$A$3:$B$3847,2,FALSE)</f>
        <v>WS.CDL.CH.Downcaching</v>
      </c>
      <c r="C84" s="413" t="str">
        <f>VLOOKUP(A84,'Feature Raw Data'!$A$3:$C$3929,3,FALSE)</f>
        <v>P4</v>
      </c>
      <c r="D84" s="414" t="str" cm="1">
        <f t="array" ref="D84">_xlfn.TEXTJOIN("",TRUE,IF(ISNUMBER(SEARCH($A84,'Diags Raw Data'!$A$6:$A$3768)),CONCATENATE('Diags Raw Data'!$H$6:$H$3768,", "),""))</f>
        <v xml:space="preserve">Manual_test , </v>
      </c>
      <c r="E84" s="415" t="str">
        <f>VLOOKUP(A84,'Diags Raw Data'!$A$6:$D$3768,4,FALSE)</f>
        <v>CH-06</v>
      </c>
      <c r="F84" s="415" t="str">
        <f>VLOOKUP(A84,'Feature Raw Data'!$A$3:$E$3847,5,FALSE)</f>
        <v>Legacy</v>
      </c>
      <c r="G84" s="415" t="str">
        <f t="shared" si="28"/>
        <v>Yes</v>
      </c>
      <c r="H84" s="415" t="str">
        <f t="shared" si="29"/>
        <v>Yes</v>
      </c>
      <c r="I84" s="417">
        <f>SUMIF('Diags Raw Data'!$A$6:$A$3768,"*"&amp;$A84&amp;"*",'Diags Raw Data'!$K$6:$K$3768)</f>
        <v>0</v>
      </c>
      <c r="J84" s="418">
        <f>SUMIF('Diags Raw Data'!$A$6:$A$3768,"*"&amp;$A84&amp;"*",'Diags Raw Data'!$L$6:$L$3768)</f>
        <v>0</v>
      </c>
      <c r="K84" s="443" t="e" cm="1">
        <f t="array" ref="K84">IF(D84="",0, SUMPRODUCT(--(ISNUMBER(SEARCH($A84,'Diags Raw Data'!$A$6:$A$3766))),'Diags Raw Data'!$L$6:$L$3766,'Diags Raw Data'!$N$6:$N$3766)/J84)</f>
        <v>#DIV/0!</v>
      </c>
      <c r="L84" s="444" t="e" cm="1">
        <f t="array" ref="L84">IF(D84="",0, SUMPRODUCT(--(ISNUMBER(SEARCH($A84,'Diags Raw Data'!$A$6:$A$3766))),'Diags Raw Data'!$L$6:$L$3766,'Diags Raw Data'!$P$6:$P$3766)/J84)</f>
        <v>#DIV/0!</v>
      </c>
      <c r="M84" s="445" cm="1">
        <f t="array" ref="M84">SUMPRODUCT(--(ISNUMBER(SEARCH($A84,'Diags Raw Data'!$A$6:$A$3766))),--('Diags Raw Data'!$Q$6:$Q$3766&lt;&gt;"N/A"),'Diags Raw Data'!$T$6:$T$3766)+SUMPRODUCT(--(ISNUMBER(SEARCH($A84,'Diags Raw Data'!$A$6:$A$3766))),--('Diags Raw Data'!$Q$6:$Q$3766&lt;&gt;"N/A"),'Diags Raw Data'!$U$6:$U$3766)</f>
        <v>0</v>
      </c>
      <c r="N84" s="445" cm="1">
        <f t="array" ref="N84">SUMPRODUCT(--(ISNUMBER(SEARCH($A84,'Diags Raw Data'!$A$6:$A$3766))),--('Diags Raw Data'!$Q$6:$Q$3766&lt;&gt;"N/A"),'Diags Raw Data'!$T$6:$T$3766)+SUMPRODUCT(--(ISNUMBER(SEARCH($A84,'Diags Raw Data'!$A$6:$A$3766))),--('Diags Raw Data'!$Q$6:$Q$3766&lt;&gt;"N/A"),'Diags Raw Data'!$U$6:$U$3766)</f>
        <v>0</v>
      </c>
      <c r="O84" s="446">
        <f t="shared" si="24"/>
        <v>0</v>
      </c>
      <c r="P84" s="447">
        <f>SUMIF('Diags Raw Data'!$A$6:$A$3766,"*"&amp;$A84&amp;"*",'Diags Raw Data'!$Z$6:$Z$3766)</f>
        <v>0</v>
      </c>
      <c r="Q84" s="448">
        <f>SUM(SUMIF('Diags Raw Data'!$A$6:$A$3766,"*"&amp;$A84&amp;"*",'Diags Raw Data'!$AA$6:$AA$3766),SUMIF('Diags Raw Data'!$A$6:$A$3766,"*"&amp;$A84&amp;"*",'Diags Raw Data'!$AB$6:$AB$3766))</f>
        <v>0</v>
      </c>
      <c r="R84" s="449">
        <f t="shared" si="25"/>
        <v>0</v>
      </c>
      <c r="S84" s="449">
        <f t="shared" si="26"/>
        <v>0</v>
      </c>
      <c r="T84" s="450">
        <f t="shared" si="27"/>
        <v>0</v>
      </c>
      <c r="U84" s="419" t="s">
        <v>1078</v>
      </c>
      <c r="V84" s="181"/>
    </row>
    <row r="85" spans="1:22" ht="58.5" thickBot="1">
      <c r="A85" s="321" t="s">
        <v>721</v>
      </c>
      <c r="B85" s="412" t="str">
        <f>VLOOKUP(A85,'Feature Raw Data'!$A$3:$B$3847,2,FALSE)</f>
        <v>WS.CDL.Core.Ucode.Func.QualityOfService</v>
      </c>
      <c r="C85" s="413" t="str">
        <f>VLOOKUP(A85,'Feature Raw Data'!$A$3:$C$3929,3,FALSE)</f>
        <v>P4</v>
      </c>
      <c r="D85" s="414" t="str" cm="1">
        <f t="array" ref="D85">_xlfn.TEXTJOIN("",TRUE,IF(ISNUMBER(SEARCH($A85,'Diags Raw Data'!$A$6:$A$3768)),CONCATENATE('Diags Raw Data'!$H$6:$H$3768,", "),""))</f>
        <v xml:space="preserve">UC01_Qos.stf, </v>
      </c>
      <c r="E85" s="415" t="str">
        <f>VLOOKUP(A85,'Diags Raw Data'!$A$6:$D$3768,4,FALSE)</f>
        <v>UC-07</v>
      </c>
      <c r="F85" s="415" t="str">
        <f>VLOOKUP(A85,'Feature Raw Data'!$A$3:$E$3847,5,FALSE)</f>
        <v>Legacy</v>
      </c>
      <c r="G85" s="415" t="str">
        <f t="shared" si="28"/>
        <v>Yes</v>
      </c>
      <c r="H85" s="415" t="str">
        <f t="shared" si="29"/>
        <v>Yes</v>
      </c>
      <c r="I85" s="417">
        <f>SUMIF('Diags Raw Data'!$A$6:$A$3768,"*"&amp;$A85&amp;"*",'Diags Raw Data'!$K$6:$K$3768)</f>
        <v>1</v>
      </c>
      <c r="J85" s="418">
        <f>SUMIF('Diags Raw Data'!$A$6:$A$3768,"*"&amp;$A85&amp;"*",'Diags Raw Data'!$L$6:$L$3768)</f>
        <v>1</v>
      </c>
      <c r="K85" s="443" cm="1">
        <f t="array" ref="K85">IF(D85="",0, SUMPRODUCT(--(ISNUMBER(SEARCH($A85,'Diags Raw Data'!$A$6:$A$3766))),'Diags Raw Data'!$L$6:$L$3766,'Diags Raw Data'!$N$6:$N$3766)/J85)</f>
        <v>1</v>
      </c>
      <c r="L85" s="444" cm="1">
        <f t="array" ref="L85">IF(D85="",0, SUMPRODUCT(--(ISNUMBER(SEARCH($A85,'Diags Raw Data'!$A$6:$A$3766))),'Diags Raw Data'!$L$6:$L$3766,'Diags Raw Data'!$P$6:$P$3766)/J85)</f>
        <v>1</v>
      </c>
      <c r="M85" s="445" cm="1">
        <f t="array" ref="M85">SUMPRODUCT(--(ISNUMBER(SEARCH($A85,'Diags Raw Data'!$A$6:$A$3766))),--('Diags Raw Data'!$Q$6:$Q$3766&lt;&gt;"N/A"),'Diags Raw Data'!$T$6:$T$3766)+SUMPRODUCT(--(ISNUMBER(SEARCH($A85,'Diags Raw Data'!$A$6:$A$3766))),--('Diags Raw Data'!$Q$6:$Q$3766&lt;&gt;"N/A"),'Diags Raw Data'!$U$6:$U$3766)</f>
        <v>0</v>
      </c>
      <c r="N85" s="445" cm="1">
        <f t="array" ref="N85">SUMPRODUCT(--(ISNUMBER(SEARCH($A85,'Diags Raw Data'!$A$6:$A$3766))),--('Diags Raw Data'!$Q$6:$Q$3766&lt;&gt;"N/A"),'Diags Raw Data'!$T$6:$T$3766)+SUMPRODUCT(--(ISNUMBER(SEARCH($A85,'Diags Raw Data'!$A$6:$A$3766))),--('Diags Raw Data'!$Q$6:$Q$3766&lt;&gt;"N/A"),'Diags Raw Data'!$U$6:$U$3766)</f>
        <v>0</v>
      </c>
      <c r="O85" s="446">
        <f t="shared" si="24"/>
        <v>0</v>
      </c>
      <c r="P85" s="447">
        <f>SUMIF('Diags Raw Data'!$A$6:$A$3766,"*"&amp;$A85&amp;"*",'Diags Raw Data'!$Z$6:$Z$3766)</f>
        <v>0</v>
      </c>
      <c r="Q85" s="448">
        <f>SUM(SUMIF('Diags Raw Data'!$A$6:$A$3766,"*"&amp;$A85&amp;"*",'Diags Raw Data'!$AA$6:$AA$3766),SUMIF('Diags Raw Data'!$A$6:$A$3766,"*"&amp;$A85&amp;"*",'Diags Raw Data'!$AB$6:$AB$3766))</f>
        <v>0</v>
      </c>
      <c r="R85" s="449">
        <f t="shared" si="25"/>
        <v>0</v>
      </c>
      <c r="S85" s="449">
        <f t="shared" si="26"/>
        <v>0</v>
      </c>
      <c r="T85" s="450">
        <f t="shared" si="27"/>
        <v>0</v>
      </c>
      <c r="U85" s="419" t="s">
        <v>1076</v>
      </c>
      <c r="V85" s="181"/>
    </row>
    <row r="86" spans="1:22" ht="58.5" thickBot="1">
      <c r="A86" s="321" t="s">
        <v>730</v>
      </c>
      <c r="B86" s="412" t="str">
        <f>VLOOKUP(A86,'Feature Raw Data'!$A$3:$B$3847,2,FALSE)</f>
        <v>WS.CDL.Ucode.Setcnt</v>
      </c>
      <c r="C86" s="413" t="str">
        <f>VLOOKUP(A86,'Feature Raw Data'!$A$3:$C$3929,3,FALSE)</f>
        <v>P4</v>
      </c>
      <c r="D86" s="414" t="str" cm="1">
        <f t="array" ref="D86">_xlfn.TEXTJOIN("",TRUE,IF(ISNUMBER(SEARCH($A86,'Diags Raw Data'!$A$6:$A$3768)),CONCATENATE('Diags Raw Data'!$H$6:$H$3768,", "),""))</f>
        <v xml:space="preserve">
st279_gnb0_gna0_vmr_compat_setcnt.yml
, </v>
      </c>
      <c r="E86" s="415" t="str">
        <f>VLOOKUP(A86,'Diags Raw Data'!$A$6:$D$3768,4,FALSE)</f>
        <v>UC-07</v>
      </c>
      <c r="F86" s="415" t="str">
        <f>VLOOKUP(A86,'Feature Raw Data'!$A$3:$E$3847,5,FALSE)</f>
        <v>Delta</v>
      </c>
      <c r="G86" s="415" t="str">
        <f t="shared" si="28"/>
        <v>Yes</v>
      </c>
      <c r="H86" s="415" t="str">
        <f t="shared" si="29"/>
        <v>Yes</v>
      </c>
      <c r="I86" s="417">
        <f>SUMIF('Diags Raw Data'!$A$6:$A$3768,"*"&amp;$A86&amp;"*",'Diags Raw Data'!$K$6:$K$3768)</f>
        <v>1</v>
      </c>
      <c r="J86" s="418">
        <f>SUMIF('Diags Raw Data'!$A$6:$A$3768,"*"&amp;$A86&amp;"*",'Diags Raw Data'!$L$6:$L$3768)</f>
        <v>500</v>
      </c>
      <c r="K86" s="443" cm="1">
        <f t="array" ref="K86">IF(D86="",0, SUMPRODUCT(--(ISNUMBER(SEARCH($A86,'Diags Raw Data'!$A$6:$A$3766))),'Diags Raw Data'!$L$6:$L$3766,'Diags Raw Data'!$N$6:$N$3766)/J86)</f>
        <v>1</v>
      </c>
      <c r="L86" s="444" cm="1">
        <f t="array" ref="L86">IF(D86="",0, SUMPRODUCT(--(ISNUMBER(SEARCH($A86,'Diags Raw Data'!$A$6:$A$3766))),'Diags Raw Data'!$L$6:$L$3766,'Diags Raw Data'!$P$6:$P$3766)/J86)</f>
        <v>1</v>
      </c>
      <c r="M86" s="445" cm="1">
        <f t="array" ref="M86">SUMPRODUCT(--(ISNUMBER(SEARCH($A86,'Diags Raw Data'!$A$6:$A$3766))),--('Diags Raw Data'!$Q$6:$Q$3766&lt;&gt;"N/A"),'Diags Raw Data'!$T$6:$T$3766)+SUMPRODUCT(--(ISNUMBER(SEARCH($A86,'Diags Raw Data'!$A$6:$A$3766))),--('Diags Raw Data'!$Q$6:$Q$3766&lt;&gt;"N/A"),'Diags Raw Data'!$U$6:$U$3766)</f>
        <v>0</v>
      </c>
      <c r="N86" s="445" cm="1">
        <f t="array" ref="N86">SUMPRODUCT(--(ISNUMBER(SEARCH($A86,'Diags Raw Data'!$A$6:$A$3766))),--('Diags Raw Data'!$Q$6:$Q$3766&lt;&gt;"N/A"),'Diags Raw Data'!$T$6:$T$3766)+SUMPRODUCT(--(ISNUMBER(SEARCH($A86,'Diags Raw Data'!$A$6:$A$3766))),--('Diags Raw Data'!$Q$6:$Q$3766&lt;&gt;"N/A"),'Diags Raw Data'!$U$6:$U$3766)</f>
        <v>0</v>
      </c>
      <c r="O86" s="446">
        <f t="shared" si="24"/>
        <v>0</v>
      </c>
      <c r="P86" s="447">
        <f>SUMIF('Diags Raw Data'!$A$6:$A$3766,"*"&amp;$A86&amp;"*",'Diags Raw Data'!$Z$6:$Z$3766)</f>
        <v>0</v>
      </c>
      <c r="Q86" s="448">
        <f>SUM(SUMIF('Diags Raw Data'!$A$6:$A$3766,"*"&amp;$A86&amp;"*",'Diags Raw Data'!$AA$6:$AA$3766),SUMIF('Diags Raw Data'!$A$6:$A$3766,"*"&amp;$A86&amp;"*",'Diags Raw Data'!$AB$6:$AB$3766))</f>
        <v>0</v>
      </c>
      <c r="R86" s="449">
        <f t="shared" si="25"/>
        <v>0</v>
      </c>
      <c r="S86" s="449">
        <f t="shared" si="26"/>
        <v>0</v>
      </c>
      <c r="T86" s="450">
        <f t="shared" si="27"/>
        <v>0</v>
      </c>
      <c r="U86" s="419" t="s">
        <v>1076</v>
      </c>
      <c r="V86" s="181"/>
    </row>
    <row r="87" spans="1:22" ht="58.5" thickBot="1">
      <c r="A87" s="321" t="s">
        <v>735</v>
      </c>
      <c r="B87" s="412" t="str">
        <f>VLOOKUP(A87,'Feature Raw Data'!$A$3:$B$3847,2,FALSE)</f>
        <v>WS.CDL.Ucode.ChangeApicIDAssignment</v>
      </c>
      <c r="C87" s="413" t="str">
        <f>VLOOKUP(A87,'Feature Raw Data'!$A$3:$C$3929,3,FALSE)</f>
        <v>P4</v>
      </c>
      <c r="D87" s="414" t="str" cm="1">
        <f t="array" ref="D87">_xlfn.TEXTJOIN("",TRUE,IF(ISNUMBER(SEARCH($A87,'Diags Raw Data'!$A$6:$A$3768)),CONCATENATE('Diags Raw Data'!$H$6:$H$3768,", "),""))</f>
        <v xml:space="preserve">Manual  or CDL, </v>
      </c>
      <c r="E87" s="415" t="str">
        <f>VLOOKUP(A87,'Diags Raw Data'!$A$6:$D$3768,4,FALSE)</f>
        <v>UC-07</v>
      </c>
      <c r="F87" s="415" t="str">
        <f>VLOOKUP(A87,'Feature Raw Data'!$A$3:$E$3847,5,FALSE)</f>
        <v>Legacy</v>
      </c>
      <c r="G87" s="415" t="str">
        <f t="shared" si="28"/>
        <v>Yes</v>
      </c>
      <c r="H87" s="415" t="str">
        <f t="shared" si="29"/>
        <v>Yes</v>
      </c>
      <c r="I87" s="417">
        <f>SUMIF('Diags Raw Data'!$A$6:$A$3768,"*"&amp;$A87&amp;"*",'Diags Raw Data'!$K$6:$K$3768)</f>
        <v>1</v>
      </c>
      <c r="J87" s="418">
        <f>SUMIF('Diags Raw Data'!$A$6:$A$3768,"*"&amp;$A87&amp;"*",'Diags Raw Data'!$L$6:$L$3768)</f>
        <v>1</v>
      </c>
      <c r="K87" s="443" cm="1">
        <f t="array" ref="K87">IF(D87="",0, SUMPRODUCT(--(ISNUMBER(SEARCH($A87,'Diags Raw Data'!$A$6:$A$3766))),'Diags Raw Data'!$L$6:$L$3766,'Diags Raw Data'!$N$6:$N$3766)/J87)</f>
        <v>1</v>
      </c>
      <c r="L87" s="444" cm="1">
        <f t="array" ref="L87">IF(D87="",0, SUMPRODUCT(--(ISNUMBER(SEARCH($A87,'Diags Raw Data'!$A$6:$A$3766))),'Diags Raw Data'!$L$6:$L$3766,'Diags Raw Data'!$P$6:$P$3766)/J87)</f>
        <v>1</v>
      </c>
      <c r="M87" s="445" cm="1">
        <f t="array" ref="M87">SUMPRODUCT(--(ISNUMBER(SEARCH($A87,'Diags Raw Data'!$A$6:$A$3766))),--('Diags Raw Data'!$Q$6:$Q$3766&lt;&gt;"N/A"),'Diags Raw Data'!$T$6:$T$3766)+SUMPRODUCT(--(ISNUMBER(SEARCH($A87,'Diags Raw Data'!$A$6:$A$3766))),--('Diags Raw Data'!$Q$6:$Q$3766&lt;&gt;"N/A"),'Diags Raw Data'!$U$6:$U$3766)</f>
        <v>1</v>
      </c>
      <c r="N87" s="445" cm="1">
        <f t="array" ref="N87">SUMPRODUCT(--(ISNUMBER(SEARCH($A87,'Diags Raw Data'!$A$6:$A$3766))),--('Diags Raw Data'!$Q$6:$Q$3766&lt;&gt;"N/A"),'Diags Raw Data'!$T$6:$T$3766)+SUMPRODUCT(--(ISNUMBER(SEARCH($A87,'Diags Raw Data'!$A$6:$A$3766))),--('Diags Raw Data'!$Q$6:$Q$3766&lt;&gt;"N/A"),'Diags Raw Data'!$U$6:$U$3766)</f>
        <v>1</v>
      </c>
      <c r="O87" s="446">
        <f t="shared" si="24"/>
        <v>1</v>
      </c>
      <c r="P87" s="447">
        <f>SUMIF('Diags Raw Data'!$A$6:$A$3766,"*"&amp;$A87&amp;"*",'Diags Raw Data'!$Z$6:$Z$3766)</f>
        <v>1</v>
      </c>
      <c r="Q87" s="448">
        <f>SUM(SUMIF('Diags Raw Data'!$A$6:$A$3766,"*"&amp;$A87&amp;"*",'Diags Raw Data'!$AA$6:$AA$3766),SUMIF('Diags Raw Data'!$A$6:$A$3766,"*"&amp;$A87&amp;"*",'Diags Raw Data'!$AB$6:$AB$3766))</f>
        <v>1</v>
      </c>
      <c r="R87" s="449">
        <f t="shared" si="25"/>
        <v>1</v>
      </c>
      <c r="S87" s="449">
        <f t="shared" si="26"/>
        <v>1</v>
      </c>
      <c r="T87" s="450">
        <f t="shared" si="27"/>
        <v>1</v>
      </c>
      <c r="U87" s="419" t="s">
        <v>1076</v>
      </c>
      <c r="V87" s="181"/>
    </row>
    <row r="88" spans="1:22" ht="66.75" customHeight="1" thickBot="1">
      <c r="A88" s="321" t="s">
        <v>741</v>
      </c>
      <c r="B88" s="412" t="str">
        <f>VLOOKUP(A88,'Feature Raw Data'!$A$3:$B$3847,2,FALSE)</f>
        <v>WS.CDL.Ucode.RdrandRdseed</v>
      </c>
      <c r="C88" s="413" t="str">
        <f>VLOOKUP(A88,'Feature Raw Data'!$A$3:$C$3929,3,FALSE)</f>
        <v>P1</v>
      </c>
      <c r="D88" s="414" t="str" cm="1">
        <f t="array" ref="D88">_xlfn.TEXTJOIN("",TRUE,IF(ISNUMBER(SEARCH($A88,'Diags Raw Data'!$A$6:$A$3768)),CONCATENATE('Diags Raw Data'!$H$6:$H$3768,", "),""))</f>
        <v xml:space="preserve">Core_RDRAND_Exerciser.stf
Core_RDSEED_Exerciser.stf 
With Manual verification of Key/Value/Entropy fiedls for each HW thread. Use Ruby Script read_rdrand_kve_hdt.rb periodicaly to read Key/Value/Entropy fileds , </v>
      </c>
      <c r="E88" s="415" t="str">
        <f>VLOOKUP(A88,'Diags Raw Data'!$A$6:$D$3768,4,FALSE)</f>
        <v>UC-07</v>
      </c>
      <c r="F88" s="415" t="str">
        <f>VLOOKUP(A88,'Feature Raw Data'!$A$3:$E$3847,5,FALSE)</f>
        <v>Legacy</v>
      </c>
      <c r="G88" s="415" t="str">
        <f t="shared" si="28"/>
        <v>Yes</v>
      </c>
      <c r="H88" s="415" t="str">
        <f t="shared" si="29"/>
        <v>Yes</v>
      </c>
      <c r="I88" s="417">
        <f>SUMIF('Diags Raw Data'!$A$6:$A$3768,"*"&amp;$A88&amp;"*",'Diags Raw Data'!$K$6:$K$3768)</f>
        <v>1</v>
      </c>
      <c r="J88" s="418">
        <f>SUMIF('Diags Raw Data'!$A$6:$A$3768,"*"&amp;$A88&amp;"*",'Diags Raw Data'!$L$6:$L$3768)</f>
        <v>2</v>
      </c>
      <c r="K88" s="443" cm="1">
        <f t="array" ref="K88">IF(D88="",0, SUMPRODUCT(--(ISNUMBER(SEARCH($A88,'Diags Raw Data'!$A$6:$A$3766))),'Diags Raw Data'!$L$6:$L$3766,'Diags Raw Data'!$N$6:$N$3766)/J88)</f>
        <v>1</v>
      </c>
      <c r="L88" s="444" cm="1">
        <f t="array" ref="L88">IF(D88="",0, SUMPRODUCT(--(ISNUMBER(SEARCH($A88,'Diags Raw Data'!$A$6:$A$3766))),'Diags Raw Data'!$L$6:$L$3766,'Diags Raw Data'!$P$6:$P$3766)/J88)</f>
        <v>1</v>
      </c>
      <c r="M88" s="445" cm="1">
        <f t="array" ref="M88">SUMPRODUCT(--(ISNUMBER(SEARCH($A88,'Diags Raw Data'!$A$6:$A$3766))),--('Diags Raw Data'!$Q$6:$Q$3766&lt;&gt;"N/A"),'Diags Raw Data'!$T$6:$T$3766)+SUMPRODUCT(--(ISNUMBER(SEARCH($A88,'Diags Raw Data'!$A$6:$A$3766))),--('Diags Raw Data'!$Q$6:$Q$3766&lt;&gt;"N/A"),'Diags Raw Data'!$U$6:$U$3766)</f>
        <v>2</v>
      </c>
      <c r="N88" s="445" cm="1">
        <f t="array" ref="N88">SUMPRODUCT(--(ISNUMBER(SEARCH($A88,'Diags Raw Data'!$A$6:$A$3766))),--('Diags Raw Data'!$Q$6:$Q$3766&lt;&gt;"N/A"),'Diags Raw Data'!$T$6:$T$3766)+SUMPRODUCT(--(ISNUMBER(SEARCH($A88,'Diags Raw Data'!$A$6:$A$3766))),--('Diags Raw Data'!$Q$6:$Q$3766&lt;&gt;"N/A"),'Diags Raw Data'!$U$6:$U$3766)</f>
        <v>2</v>
      </c>
      <c r="O88" s="446">
        <f t="shared" si="24"/>
        <v>1</v>
      </c>
      <c r="P88" s="447">
        <f>SUMIF('Diags Raw Data'!$A$6:$A$3766,"*"&amp;$A88&amp;"*",'Diags Raw Data'!$Z$6:$Z$3766)</f>
        <v>2</v>
      </c>
      <c r="Q88" s="448">
        <f>SUM(SUMIF('Diags Raw Data'!$A$6:$A$3766,"*"&amp;$A88&amp;"*",'Diags Raw Data'!$AA$6:$AA$3766),SUMIF('Diags Raw Data'!$A$6:$A$3766,"*"&amp;$A88&amp;"*",'Diags Raw Data'!$AB$6:$AB$3766))</f>
        <v>2</v>
      </c>
      <c r="R88" s="449">
        <f t="shared" si="25"/>
        <v>1</v>
      </c>
      <c r="S88" s="449">
        <f t="shared" si="26"/>
        <v>1</v>
      </c>
      <c r="T88" s="450">
        <f t="shared" si="27"/>
        <v>1</v>
      </c>
      <c r="U88" s="419"/>
      <c r="V88" s="181"/>
    </row>
    <row r="89" spans="1:22" ht="29.45" thickBot="1">
      <c r="A89" s="321" t="s">
        <v>746</v>
      </c>
      <c r="B89" s="412" t="str">
        <f>VLOOKUP(A89,'Feature Raw Data'!$A$3:$B$3847,2,FALSE)</f>
        <v>WS.CDL.Apic.Local_APIC_Fixed_Interrupts</v>
      </c>
      <c r="C89" s="413" t="str">
        <f>VLOOKUP(A89,'Feature Raw Data'!$A$3:$C$3929,3,FALSE)</f>
        <v>P1</v>
      </c>
      <c r="D89" s="414" t="str" cm="1">
        <f t="array" ref="D89">_xlfn.TEXTJOIN("",TRUE,IF(ISNUMBER(SEARCH($A89,'Diags Raw Data'!$A$6:$A$3768)),CONCATENATE('Diags Raw Data'!$H$6:$H$3768,", "),""))</f>
        <v xml:space="preserve">Local_APIC_Fixed_Interrupts.stf, </v>
      </c>
      <c r="E89" s="415" t="str">
        <f>VLOOKUP(A89,'Diags Raw Data'!$A$6:$D$3768,4,FALSE)</f>
        <v>APIC-10</v>
      </c>
      <c r="F89" s="415" t="str">
        <f>VLOOKUP(A89,'Feature Raw Data'!$A$3:$E$3847,5,FALSE)</f>
        <v>Legacy</v>
      </c>
      <c r="G89" s="415" t="str">
        <f t="shared" si="28"/>
        <v>Yes</v>
      </c>
      <c r="H89" s="415" t="str">
        <f t="shared" si="29"/>
        <v>Yes</v>
      </c>
      <c r="I89" s="417">
        <f>SUMIF('Diags Raw Data'!$A$6:$A$3768,"*"&amp;$A89&amp;"*",'Diags Raw Data'!$K$6:$K$3768)</f>
        <v>1</v>
      </c>
      <c r="J89" s="418">
        <f>SUMIF('Diags Raw Data'!$A$6:$A$3768,"*"&amp;$A89&amp;"*",'Diags Raw Data'!$L$6:$L$3768)</f>
        <v>1</v>
      </c>
      <c r="K89" s="443" cm="1">
        <f t="array" ref="K89">IF(D89="",0, SUMPRODUCT(--(ISNUMBER(SEARCH($A89,'Diags Raw Data'!$A$6:$A$3766))),'Diags Raw Data'!$L$6:$L$3766,'Diags Raw Data'!$N$6:$N$3766)/J89)</f>
        <v>1</v>
      </c>
      <c r="L89" s="444" cm="1">
        <f t="array" ref="L89">IF(D89="",0, SUMPRODUCT(--(ISNUMBER(SEARCH($A89,'Diags Raw Data'!$A$6:$A$3766))),'Diags Raw Data'!$L$6:$L$3766,'Diags Raw Data'!$P$6:$P$3766)/J89)</f>
        <v>1</v>
      </c>
      <c r="M89" s="445" cm="1">
        <f t="array" ref="M89">SUMPRODUCT(--(ISNUMBER(SEARCH($A89,'Diags Raw Data'!$A$6:$A$3766))),--('Diags Raw Data'!$Q$6:$Q$3766&lt;&gt;"N/A"),'Diags Raw Data'!$T$6:$T$3766)+SUMPRODUCT(--(ISNUMBER(SEARCH($A89,'Diags Raw Data'!$A$6:$A$3766))),--('Diags Raw Data'!$Q$6:$Q$3766&lt;&gt;"N/A"),'Diags Raw Data'!$U$6:$U$3766)</f>
        <v>1</v>
      </c>
      <c r="N89" s="445" cm="1">
        <f t="array" ref="N89">SUMPRODUCT(--(ISNUMBER(SEARCH($A89,'Diags Raw Data'!$A$6:$A$3766))),--('Diags Raw Data'!$Q$6:$Q$3766&lt;&gt;"N/A"),'Diags Raw Data'!$T$6:$T$3766)+SUMPRODUCT(--(ISNUMBER(SEARCH($A89,'Diags Raw Data'!$A$6:$A$3766))),--('Diags Raw Data'!$Q$6:$Q$3766&lt;&gt;"N/A"),'Diags Raw Data'!$U$6:$U$3766)</f>
        <v>1</v>
      </c>
      <c r="O89" s="446">
        <f t="shared" si="24"/>
        <v>1</v>
      </c>
      <c r="P89" s="447">
        <f>SUMIF('Diags Raw Data'!$A$6:$A$3766,"*"&amp;$A89&amp;"*",'Diags Raw Data'!$Z$6:$Z$3766)</f>
        <v>1</v>
      </c>
      <c r="Q89" s="448">
        <f>SUM(SUMIF('Diags Raw Data'!$A$6:$A$3766,"*"&amp;$A89&amp;"*",'Diags Raw Data'!$AA$6:$AA$3766),SUMIF('Diags Raw Data'!$A$6:$A$3766,"*"&amp;$A89&amp;"*",'Diags Raw Data'!$AB$6:$AB$3766))</f>
        <v>1</v>
      </c>
      <c r="R89" s="449">
        <f t="shared" si="25"/>
        <v>1</v>
      </c>
      <c r="S89" s="449">
        <f t="shared" si="26"/>
        <v>1</v>
      </c>
      <c r="T89" s="450">
        <f t="shared" si="27"/>
        <v>1</v>
      </c>
      <c r="U89" s="419"/>
      <c r="V89" s="181"/>
    </row>
    <row r="90" spans="1:22" ht="58.5" thickBot="1">
      <c r="A90" s="321" t="s">
        <v>753</v>
      </c>
      <c r="B90" s="412" t="str">
        <f>VLOOKUP(A90,'Feature Raw Data'!$A$3:$B$3847,2,FALSE)</f>
        <v>WS.CDL.Apic.Local_APIC_Lowest_Priority_Interrupts</v>
      </c>
      <c r="C90" s="413" t="str">
        <f>VLOOKUP(A90,'Feature Raw Data'!$A$3:$C$3929,3,FALSE)</f>
        <v>P2</v>
      </c>
      <c r="D90" s="414" t="str" cm="1">
        <f t="array" ref="D90">_xlfn.TEXTJOIN("",TRUE,IF(ISNUMBER(SEARCH($A90,'Diags Raw Data'!$A$6:$A$3768)),CONCATENATE('Diags Raw Data'!$H$6:$H$3768,", "),""))</f>
        <v xml:space="preserve">Local_APIC_Lowest_Priority_Interrupts.stf, </v>
      </c>
      <c r="E90" s="415" t="str">
        <f>VLOOKUP(A90,'Diags Raw Data'!$A$6:$D$3768,4,FALSE)</f>
        <v>APIC-10</v>
      </c>
      <c r="F90" s="415" t="str">
        <f>VLOOKUP(A90,'Feature Raw Data'!$A$3:$E$3847,5,FALSE)</f>
        <v>Legacy</v>
      </c>
      <c r="G90" s="415" t="str">
        <f t="shared" si="28"/>
        <v>Yes</v>
      </c>
      <c r="H90" s="415" t="str">
        <f t="shared" si="29"/>
        <v>Yes</v>
      </c>
      <c r="I90" s="417">
        <f>SUMIF('Diags Raw Data'!$A$6:$A$3768,"*"&amp;$A90&amp;"*",'Diags Raw Data'!$K$6:$K$3768)</f>
        <v>1</v>
      </c>
      <c r="J90" s="418">
        <f>SUMIF('Diags Raw Data'!$A$6:$A$3768,"*"&amp;$A90&amp;"*",'Diags Raw Data'!$L$6:$L$3768)</f>
        <v>1</v>
      </c>
      <c r="K90" s="443" cm="1">
        <f t="array" ref="K90">IF(D90="",0, SUMPRODUCT(--(ISNUMBER(SEARCH($A90,'Diags Raw Data'!$A$6:$A$3766))),'Diags Raw Data'!$L$6:$L$3766,'Diags Raw Data'!$N$6:$N$3766)/J90)</f>
        <v>1</v>
      </c>
      <c r="L90" s="444" cm="1">
        <f t="array" ref="L90">IF(D90="",0, SUMPRODUCT(--(ISNUMBER(SEARCH($A90,'Diags Raw Data'!$A$6:$A$3766))),'Diags Raw Data'!$L$6:$L$3766,'Diags Raw Data'!$P$6:$P$3766)/J90)</f>
        <v>1</v>
      </c>
      <c r="M90" s="445" cm="1">
        <f t="array" ref="M90">SUMPRODUCT(--(ISNUMBER(SEARCH($A90,'Diags Raw Data'!$A$6:$A$3766))),--('Diags Raw Data'!$Q$6:$Q$3766&lt;&gt;"N/A"),'Diags Raw Data'!$T$6:$T$3766)+SUMPRODUCT(--(ISNUMBER(SEARCH($A90,'Diags Raw Data'!$A$6:$A$3766))),--('Diags Raw Data'!$Q$6:$Q$3766&lt;&gt;"N/A"),'Diags Raw Data'!$U$6:$U$3766)</f>
        <v>0</v>
      </c>
      <c r="N90" s="445" cm="1">
        <f t="array" ref="N90">SUMPRODUCT(--(ISNUMBER(SEARCH($A90,'Diags Raw Data'!$A$6:$A$3766))),--('Diags Raw Data'!$Q$6:$Q$3766&lt;&gt;"N/A"),'Diags Raw Data'!$T$6:$T$3766)+SUMPRODUCT(--(ISNUMBER(SEARCH($A90,'Diags Raw Data'!$A$6:$A$3766))),--('Diags Raw Data'!$Q$6:$Q$3766&lt;&gt;"N/A"),'Diags Raw Data'!$U$6:$U$3766)</f>
        <v>0</v>
      </c>
      <c r="O90" s="446">
        <f t="shared" si="24"/>
        <v>0</v>
      </c>
      <c r="P90" s="447">
        <f>SUMIF('Diags Raw Data'!$A$6:$A$3766,"*"&amp;$A90&amp;"*",'Diags Raw Data'!$Z$6:$Z$3766)</f>
        <v>0</v>
      </c>
      <c r="Q90" s="448">
        <f>SUM(SUMIF('Diags Raw Data'!$A$6:$A$3766,"*"&amp;$A90&amp;"*",'Diags Raw Data'!$AA$6:$AA$3766),SUMIF('Diags Raw Data'!$A$6:$A$3766,"*"&amp;$A90&amp;"*",'Diags Raw Data'!$AB$6:$AB$3766))</f>
        <v>0</v>
      </c>
      <c r="R90" s="449">
        <f t="shared" si="25"/>
        <v>0</v>
      </c>
      <c r="S90" s="449">
        <f t="shared" si="26"/>
        <v>0</v>
      </c>
      <c r="T90" s="450">
        <f t="shared" si="27"/>
        <v>0</v>
      </c>
      <c r="U90" s="419" t="s">
        <v>1076</v>
      </c>
      <c r="V90" s="181"/>
    </row>
    <row r="91" spans="1:22" ht="29.45" thickBot="1">
      <c r="A91" s="321" t="s">
        <v>759</v>
      </c>
      <c r="B91" s="412" t="str">
        <f>VLOOKUP(A91,'Feature Raw Data'!$A$3:$B$3847,2,FALSE)</f>
        <v>WS.CDL.Apic.Local_APIC_NMI_Check</v>
      </c>
      <c r="C91" s="413" t="str">
        <f>VLOOKUP(A91,'Feature Raw Data'!$A$3:$C$3929,3,FALSE)</f>
        <v>P1</v>
      </c>
      <c r="D91" s="414" t="str" cm="1">
        <f t="array" ref="D91">_xlfn.TEXTJOIN("",TRUE,IF(ISNUMBER(SEARCH($A91,'Diags Raw Data'!$A$6:$A$3768)),CONCATENATE('Diags Raw Data'!$H$6:$H$3768,", "),""))</f>
        <v xml:space="preserve">Local_APIC_NMI_Check.stf, </v>
      </c>
      <c r="E91" s="415" t="str">
        <f>VLOOKUP(A91,'Diags Raw Data'!$A$6:$D$3768,4,FALSE)</f>
        <v>APIC-10</v>
      </c>
      <c r="F91" s="415" t="str">
        <f>VLOOKUP(A91,'Feature Raw Data'!$A$3:$E$3847,5,FALSE)</f>
        <v>Legacy</v>
      </c>
      <c r="G91" s="415" t="str">
        <f t="shared" si="28"/>
        <v>Yes</v>
      </c>
      <c r="H91" s="415" t="str">
        <f t="shared" si="29"/>
        <v>Yes</v>
      </c>
      <c r="I91" s="417">
        <f>SUMIF('Diags Raw Data'!$A$6:$A$3768,"*"&amp;$A91&amp;"*",'Diags Raw Data'!$K$6:$K$3768)</f>
        <v>1</v>
      </c>
      <c r="J91" s="418">
        <f>SUMIF('Diags Raw Data'!$A$6:$A$3768,"*"&amp;$A91&amp;"*",'Diags Raw Data'!$L$6:$L$3768)</f>
        <v>1</v>
      </c>
      <c r="K91" s="443" cm="1">
        <f t="array" ref="K91">IF(D91="",0, SUMPRODUCT(--(ISNUMBER(SEARCH($A91,'Diags Raw Data'!$A$6:$A$3766))),'Diags Raw Data'!$L$6:$L$3766,'Diags Raw Data'!$N$6:$N$3766)/J91)</f>
        <v>1</v>
      </c>
      <c r="L91" s="444" cm="1">
        <f t="array" ref="L91">IF(D91="",0, SUMPRODUCT(--(ISNUMBER(SEARCH($A91,'Diags Raw Data'!$A$6:$A$3766))),'Diags Raw Data'!$L$6:$L$3766,'Diags Raw Data'!$P$6:$P$3766)/J91)</f>
        <v>1</v>
      </c>
      <c r="M91" s="445" cm="1">
        <f t="array" ref="M91">SUMPRODUCT(--(ISNUMBER(SEARCH($A91,'Diags Raw Data'!$A$6:$A$3766))),--('Diags Raw Data'!$Q$6:$Q$3766&lt;&gt;"N/A"),'Diags Raw Data'!$T$6:$T$3766)+SUMPRODUCT(--(ISNUMBER(SEARCH($A91,'Diags Raw Data'!$A$6:$A$3766))),--('Diags Raw Data'!$Q$6:$Q$3766&lt;&gt;"N/A"),'Diags Raw Data'!$U$6:$U$3766)</f>
        <v>1</v>
      </c>
      <c r="N91" s="445" cm="1">
        <f t="array" ref="N91">SUMPRODUCT(--(ISNUMBER(SEARCH($A91,'Diags Raw Data'!$A$6:$A$3766))),--('Diags Raw Data'!$Q$6:$Q$3766&lt;&gt;"N/A"),'Diags Raw Data'!$T$6:$T$3766)+SUMPRODUCT(--(ISNUMBER(SEARCH($A91,'Diags Raw Data'!$A$6:$A$3766))),--('Diags Raw Data'!$Q$6:$Q$3766&lt;&gt;"N/A"),'Diags Raw Data'!$U$6:$U$3766)</f>
        <v>1</v>
      </c>
      <c r="O91" s="446">
        <f t="shared" si="24"/>
        <v>1</v>
      </c>
      <c r="P91" s="447">
        <f>SUMIF('Diags Raw Data'!$A$6:$A$3766,"*"&amp;$A91&amp;"*",'Diags Raw Data'!$Z$6:$Z$3766)</f>
        <v>1</v>
      </c>
      <c r="Q91" s="448">
        <f>SUM(SUMIF('Diags Raw Data'!$A$6:$A$3766,"*"&amp;$A91&amp;"*",'Diags Raw Data'!$AA$6:$AA$3766),SUMIF('Diags Raw Data'!$A$6:$A$3766,"*"&amp;$A91&amp;"*",'Diags Raw Data'!$AB$6:$AB$3766))</f>
        <v>1</v>
      </c>
      <c r="R91" s="449">
        <f t="shared" si="25"/>
        <v>1</v>
      </c>
      <c r="S91" s="449">
        <f t="shared" si="26"/>
        <v>1</v>
      </c>
      <c r="T91" s="450">
        <f t="shared" si="27"/>
        <v>1</v>
      </c>
      <c r="U91" s="419"/>
      <c r="V91" s="181"/>
    </row>
    <row r="92" spans="1:22" ht="29.45" thickBot="1">
      <c r="A92" s="321" t="s">
        <v>765</v>
      </c>
      <c r="B92" s="412" t="str">
        <f>VLOOKUP(A92,'Feature Raw Data'!$A$3:$B$3847,2,FALSE)</f>
        <v>WS.CDL.Apic.Local_APIC_SMI_Check</v>
      </c>
      <c r="C92" s="413" t="str">
        <f>VLOOKUP(A92,'Feature Raw Data'!$A$3:$C$3929,3,FALSE)</f>
        <v>P1</v>
      </c>
      <c r="D92" s="414" t="str" cm="1">
        <f t="array" ref="D92">_xlfn.TEXTJOIN("",TRUE,IF(ISNUMBER(SEARCH($A92,'Diags Raw Data'!$A$6:$A$3768)),CONCATENATE('Diags Raw Data'!$H$6:$H$3768,", "),""))</f>
        <v xml:space="preserve">Local_APIC_SMI_Check.stf, </v>
      </c>
      <c r="E92" s="415" t="str">
        <f>VLOOKUP(A92,'Diags Raw Data'!$A$6:$D$3768,4,FALSE)</f>
        <v>APIC-10</v>
      </c>
      <c r="F92" s="415" t="str">
        <f>VLOOKUP(A92,'Feature Raw Data'!$A$3:$E$3847,5,FALSE)</f>
        <v>Legacy</v>
      </c>
      <c r="G92" s="415" t="str">
        <f t="shared" si="28"/>
        <v>Yes</v>
      </c>
      <c r="H92" s="415" t="str">
        <f t="shared" si="29"/>
        <v>Yes</v>
      </c>
      <c r="I92" s="417">
        <f>SUMIF('Diags Raw Data'!$A$6:$A$3768,"*"&amp;$A92&amp;"*",'Diags Raw Data'!$K$6:$K$3768)</f>
        <v>1</v>
      </c>
      <c r="J92" s="418">
        <f>SUMIF('Diags Raw Data'!$A$6:$A$3768,"*"&amp;$A92&amp;"*",'Diags Raw Data'!$L$6:$L$3768)</f>
        <v>1</v>
      </c>
      <c r="K92" s="443" cm="1">
        <f t="array" ref="K92">IF(D92="",0, SUMPRODUCT(--(ISNUMBER(SEARCH($A92,'Diags Raw Data'!$A$6:$A$3766))),'Diags Raw Data'!$L$6:$L$3766,'Diags Raw Data'!$N$6:$N$3766)/J92)</f>
        <v>1</v>
      </c>
      <c r="L92" s="444" cm="1">
        <f t="array" ref="L92">IF(D92="",0, SUMPRODUCT(--(ISNUMBER(SEARCH($A92,'Diags Raw Data'!$A$6:$A$3766))),'Diags Raw Data'!$L$6:$L$3766,'Diags Raw Data'!$P$6:$P$3766)/J92)</f>
        <v>1</v>
      </c>
      <c r="M92" s="445" cm="1">
        <f t="array" ref="M92">SUMPRODUCT(--(ISNUMBER(SEARCH($A92,'Diags Raw Data'!$A$6:$A$3766))),--('Diags Raw Data'!$Q$6:$Q$3766&lt;&gt;"N/A"),'Diags Raw Data'!$T$6:$T$3766)+SUMPRODUCT(--(ISNUMBER(SEARCH($A92,'Diags Raw Data'!$A$6:$A$3766))),--('Diags Raw Data'!$Q$6:$Q$3766&lt;&gt;"N/A"),'Diags Raw Data'!$U$6:$U$3766)</f>
        <v>1</v>
      </c>
      <c r="N92" s="445" cm="1">
        <f t="array" ref="N92">SUMPRODUCT(--(ISNUMBER(SEARCH($A92,'Diags Raw Data'!$A$6:$A$3766))),--('Diags Raw Data'!$Q$6:$Q$3766&lt;&gt;"N/A"),'Diags Raw Data'!$T$6:$T$3766)+SUMPRODUCT(--(ISNUMBER(SEARCH($A92,'Diags Raw Data'!$A$6:$A$3766))),--('Diags Raw Data'!$Q$6:$Q$3766&lt;&gt;"N/A"),'Diags Raw Data'!$U$6:$U$3766)</f>
        <v>1</v>
      </c>
      <c r="O92" s="446">
        <f t="shared" ref="O92" si="30">IF((M92=0),0,N92/M92)</f>
        <v>1</v>
      </c>
      <c r="P92" s="447">
        <f>SUMIF('Diags Raw Data'!$A$6:$A$3766,"*"&amp;$A92&amp;"*",'Diags Raw Data'!$Z$6:$Z$3766)</f>
        <v>1</v>
      </c>
      <c r="Q92" s="448">
        <f>SUM(SUMIF('Diags Raw Data'!$A$6:$A$3766,"*"&amp;$A92&amp;"*",'Diags Raw Data'!$AA$6:$AA$3766),SUMIF('Diags Raw Data'!$A$6:$A$3766,"*"&amp;$A92&amp;"*",'Diags Raw Data'!$AB$6:$AB$3766))</f>
        <v>1</v>
      </c>
      <c r="R92" s="449">
        <f t="shared" ref="R92" si="31">IF((J92=0),0,P92/J92)</f>
        <v>1</v>
      </c>
      <c r="S92" s="449">
        <f t="shared" ref="S92" si="32">IF((P92=0),0,Q92/P92)</f>
        <v>1</v>
      </c>
      <c r="T92" s="450">
        <f t="shared" ref="T92" si="33">R92*S92</f>
        <v>1</v>
      </c>
      <c r="U92" s="419"/>
      <c r="V92" s="181"/>
    </row>
    <row r="93" spans="1:22" ht="29.45" thickBot="1">
      <c r="A93" s="321" t="s">
        <v>771</v>
      </c>
      <c r="B93" s="412" t="str">
        <f>VLOOKUP(A93,'Feature Raw Data'!$A$3:$B$3847,2,FALSE)</f>
        <v>WS.CDL.Apic.Local_APIC_Timer_LVT</v>
      </c>
      <c r="C93" s="413" t="str">
        <f>VLOOKUP(A93,'Feature Raw Data'!$A$3:$C$3929,3,FALSE)</f>
        <v>P2</v>
      </c>
      <c r="D93" s="414" t="str" cm="1">
        <f t="array" ref="D93">_xlfn.TEXTJOIN("",TRUE,IF(ISNUMBER(SEARCH($A93,'Diags Raw Data'!$A$6:$A$3768)),CONCATENATE('Diags Raw Data'!$H$6:$H$3768,", "),""))</f>
        <v xml:space="preserve">Local_APIC_Timer_LVT.stf, </v>
      </c>
      <c r="E93" s="415" t="str">
        <f>VLOOKUP(A93,'Diags Raw Data'!$A$6:$D$3768,4,FALSE)</f>
        <v>APIC-10</v>
      </c>
      <c r="F93" s="415" t="str">
        <f>VLOOKUP(A93,'Feature Raw Data'!$A$3:$E$3847,5,FALSE)</f>
        <v>Legacy</v>
      </c>
      <c r="G93" s="415" t="str">
        <f t="shared" si="28"/>
        <v>Yes</v>
      </c>
      <c r="H93" s="415" t="str">
        <f t="shared" si="29"/>
        <v>Yes</v>
      </c>
      <c r="I93" s="417">
        <f>SUMIF('Diags Raw Data'!$A$6:$A$3768,"*"&amp;$A93&amp;"*",'Diags Raw Data'!$K$6:$K$3768)</f>
        <v>1</v>
      </c>
      <c r="J93" s="418">
        <f>SUMIF('Diags Raw Data'!$A$6:$A$3768,"*"&amp;$A93&amp;"*",'Diags Raw Data'!$L$6:$L$3768)</f>
        <v>1</v>
      </c>
      <c r="K93" s="443" cm="1">
        <f t="array" ref="K93">IF(D93="",0, SUMPRODUCT(--(ISNUMBER(SEARCH($A93,'Diags Raw Data'!$A$6:$A$3766))),'Diags Raw Data'!$L$6:$L$3766,'Diags Raw Data'!$N$6:$N$3766)/J93)</f>
        <v>1</v>
      </c>
      <c r="L93" s="444" cm="1">
        <f t="array" ref="L93">IF(D93="",0, SUMPRODUCT(--(ISNUMBER(SEARCH($A93,'Diags Raw Data'!$A$6:$A$3766))),'Diags Raw Data'!$L$6:$L$3766,'Diags Raw Data'!$P$6:$P$3766)/J93)</f>
        <v>1</v>
      </c>
      <c r="M93" s="445" cm="1">
        <f t="array" ref="M93">SUMPRODUCT(--(ISNUMBER(SEARCH($A93,'Diags Raw Data'!$A$6:$A$3766))),--('Diags Raw Data'!$Q$6:$Q$3766&lt;&gt;"N/A"),'Diags Raw Data'!$T$6:$T$3766)+SUMPRODUCT(--(ISNUMBER(SEARCH($A93,'Diags Raw Data'!$A$6:$A$3766))),--('Diags Raw Data'!$Q$6:$Q$3766&lt;&gt;"N/A"),'Diags Raw Data'!$U$6:$U$3766)</f>
        <v>1</v>
      </c>
      <c r="N93" s="445" cm="1">
        <f t="array" ref="N93">SUMPRODUCT(--(ISNUMBER(SEARCH($A93,'Diags Raw Data'!$A$6:$A$3766))),--('Diags Raw Data'!$Q$6:$Q$3766&lt;&gt;"N/A"),'Diags Raw Data'!$T$6:$T$3766)+SUMPRODUCT(--(ISNUMBER(SEARCH($A93,'Diags Raw Data'!$A$6:$A$3766))),--('Diags Raw Data'!$Q$6:$Q$3766&lt;&gt;"N/A"),'Diags Raw Data'!$U$6:$U$3766)</f>
        <v>1</v>
      </c>
      <c r="O93" s="446">
        <f t="shared" si="24"/>
        <v>1</v>
      </c>
      <c r="P93" s="447">
        <f>SUMIF('Diags Raw Data'!$A$6:$A$3766,"*"&amp;$A93&amp;"*",'Diags Raw Data'!$Z$6:$Z$3766)</f>
        <v>1</v>
      </c>
      <c r="Q93" s="448">
        <f>SUM(SUMIF('Diags Raw Data'!$A$6:$A$3766,"*"&amp;$A93&amp;"*",'Diags Raw Data'!$AA$6:$AA$3766),SUMIF('Diags Raw Data'!$A$6:$A$3766,"*"&amp;$A93&amp;"*",'Diags Raw Data'!$AB$6:$AB$3766))</f>
        <v>1</v>
      </c>
      <c r="R93" s="449">
        <f t="shared" si="25"/>
        <v>1</v>
      </c>
      <c r="S93" s="449">
        <f t="shared" si="26"/>
        <v>1</v>
      </c>
      <c r="T93" s="450">
        <f t="shared" si="27"/>
        <v>1</v>
      </c>
      <c r="U93" s="419"/>
      <c r="V93" s="181"/>
    </row>
    <row r="94" spans="1:22" ht="58.5" thickBot="1">
      <c r="A94" s="321" t="s">
        <v>777</v>
      </c>
      <c r="B94" s="412" t="str">
        <f>VLOOKUP(A94,'Feature Raw Data'!$A$3:$B$3847,2,FALSE)</f>
        <v>WS.CDL.Apic.Local_APIC_Performance_Counter_LVT</v>
      </c>
      <c r="C94" s="413" t="str">
        <f>VLOOKUP(A94,'Feature Raw Data'!$A$3:$C$3929,3,FALSE)</f>
        <v>P2</v>
      </c>
      <c r="D94" s="414" t="str" cm="1">
        <f t="array" ref="D94">_xlfn.TEXTJOIN("",TRUE,IF(ISNUMBER(SEARCH($A94,'Diags Raw Data'!$A$6:$A$3768)),CONCATENATE('Diags Raw Data'!$H$6:$H$3768,", "),""))</f>
        <v xml:space="preserve">Performance_Counter_LVT_Interrupts.stf
Performance_Counter_LVT.stf , </v>
      </c>
      <c r="E94" s="415" t="str">
        <f>VLOOKUP(A94,'Diags Raw Data'!$A$6:$D$3768,4,FALSE)</f>
        <v>APIC-10</v>
      </c>
      <c r="F94" s="415" t="str">
        <f>VLOOKUP(A94,'Feature Raw Data'!$A$3:$E$3847,5,FALSE)</f>
        <v>Legacy</v>
      </c>
      <c r="G94" s="415" t="str">
        <f t="shared" si="28"/>
        <v>Yes</v>
      </c>
      <c r="H94" s="415" t="str">
        <f t="shared" si="29"/>
        <v>Yes</v>
      </c>
      <c r="I94" s="417">
        <f>SUMIF('Diags Raw Data'!$A$6:$A$3768,"*"&amp;$A94&amp;"*",'Diags Raw Data'!$K$6:$K$3768)</f>
        <v>1</v>
      </c>
      <c r="J94" s="418">
        <f>SUMIF('Diags Raw Data'!$A$6:$A$3768,"*"&amp;$A94&amp;"*",'Diags Raw Data'!$L$6:$L$3768)</f>
        <v>2</v>
      </c>
      <c r="K94" s="443" cm="1">
        <f t="array" ref="K94">IF(D94="",0, SUMPRODUCT(--(ISNUMBER(SEARCH($A94,'Diags Raw Data'!$A$6:$A$3766))),'Diags Raw Data'!$L$6:$L$3766,'Diags Raw Data'!$N$6:$N$3766)/J94)</f>
        <v>1</v>
      </c>
      <c r="L94" s="444" cm="1">
        <f t="array" ref="L94">IF(D94="",0, SUMPRODUCT(--(ISNUMBER(SEARCH($A94,'Diags Raw Data'!$A$6:$A$3766))),'Diags Raw Data'!$L$6:$L$3766,'Diags Raw Data'!$P$6:$P$3766)/J94)</f>
        <v>1</v>
      </c>
      <c r="M94" s="445" cm="1">
        <f t="array" ref="M94">SUMPRODUCT(--(ISNUMBER(SEARCH($A94,'Diags Raw Data'!$A$6:$A$3766))),--('Diags Raw Data'!$Q$6:$Q$3766&lt;&gt;"N/A"),'Diags Raw Data'!$T$6:$T$3766)+SUMPRODUCT(--(ISNUMBER(SEARCH($A94,'Diags Raw Data'!$A$6:$A$3766))),--('Diags Raw Data'!$Q$6:$Q$3766&lt;&gt;"N/A"),'Diags Raw Data'!$U$6:$U$3766)</f>
        <v>2</v>
      </c>
      <c r="N94" s="445" cm="1">
        <f t="array" ref="N94">SUMPRODUCT(--(ISNUMBER(SEARCH($A94,'Diags Raw Data'!$A$6:$A$3766))),--('Diags Raw Data'!$Q$6:$Q$3766&lt;&gt;"N/A"),'Diags Raw Data'!$T$6:$T$3766)+SUMPRODUCT(--(ISNUMBER(SEARCH($A94,'Diags Raw Data'!$A$6:$A$3766))),--('Diags Raw Data'!$Q$6:$Q$3766&lt;&gt;"N/A"),'Diags Raw Data'!$U$6:$U$3766)</f>
        <v>2</v>
      </c>
      <c r="O94" s="446">
        <f t="shared" si="24"/>
        <v>1</v>
      </c>
      <c r="P94" s="447">
        <f>SUMIF('Diags Raw Data'!$A$6:$A$3766,"*"&amp;$A94&amp;"*",'Diags Raw Data'!$Z$6:$Z$3766)</f>
        <v>2</v>
      </c>
      <c r="Q94" s="448">
        <f>SUM(SUMIF('Diags Raw Data'!$A$6:$A$3766,"*"&amp;$A94&amp;"*",'Diags Raw Data'!$AA$6:$AA$3766),SUMIF('Diags Raw Data'!$A$6:$A$3766,"*"&amp;$A94&amp;"*",'Diags Raw Data'!$AB$6:$AB$3766))</f>
        <v>2</v>
      </c>
      <c r="R94" s="449">
        <f t="shared" si="25"/>
        <v>1</v>
      </c>
      <c r="S94" s="449">
        <f t="shared" si="26"/>
        <v>1</v>
      </c>
      <c r="T94" s="450">
        <f t="shared" si="27"/>
        <v>1</v>
      </c>
      <c r="U94" s="419" t="s">
        <v>1076</v>
      </c>
      <c r="V94" s="181"/>
    </row>
    <row r="95" spans="1:22" ht="58.5" thickBot="1">
      <c r="A95" s="321" t="s">
        <v>783</v>
      </c>
      <c r="B95" s="412" t="str">
        <f>VLOOKUP(A95,'Feature Raw Data'!$A$3:$B$3847,2,FALSE)</f>
        <v>WS.CDL.Apic.Local_APIC_Error_LVT</v>
      </c>
      <c r="C95" s="413" t="str">
        <f>VLOOKUP(A95,'Feature Raw Data'!$A$3:$C$3929,3,FALSE)</f>
        <v>P2</v>
      </c>
      <c r="D95" s="414" t="str" cm="1">
        <f t="array" ref="D95">_xlfn.TEXTJOIN("",TRUE,IF(ISNUMBER(SEARCH($A95,'Diags Raw Data'!$A$6:$A$3768)),CONCATENATE('Diags Raw Data'!$H$6:$H$3768,", "),""))</f>
        <v xml:space="preserve">Local_APIC_Error_LVT.stf, </v>
      </c>
      <c r="E95" s="415" t="str">
        <f>VLOOKUP(A95,'Diags Raw Data'!$A$6:$D$3768,4,FALSE)</f>
        <v>APIC-10</v>
      </c>
      <c r="F95" s="415" t="str">
        <f>VLOOKUP(A95,'Feature Raw Data'!$A$3:$E$3847,5,FALSE)</f>
        <v>Legacy</v>
      </c>
      <c r="G95" s="415" t="str">
        <f t="shared" si="28"/>
        <v>Yes</v>
      </c>
      <c r="H95" s="415" t="str">
        <f t="shared" si="29"/>
        <v>Yes</v>
      </c>
      <c r="I95" s="417">
        <f>SUMIF('Diags Raw Data'!$A$6:$A$3768,"*"&amp;$A95&amp;"*",'Diags Raw Data'!$K$6:$K$3768)</f>
        <v>1</v>
      </c>
      <c r="J95" s="418">
        <f>SUMIF('Diags Raw Data'!$A$6:$A$3768,"*"&amp;$A95&amp;"*",'Diags Raw Data'!$L$6:$L$3768)</f>
        <v>1</v>
      </c>
      <c r="K95" s="443" cm="1">
        <f t="array" ref="K95">IF(D95="",0, SUMPRODUCT(--(ISNUMBER(SEARCH($A95,'Diags Raw Data'!$A$6:$A$3766))),'Diags Raw Data'!$L$6:$L$3766,'Diags Raw Data'!$N$6:$N$3766)/J95)</f>
        <v>1</v>
      </c>
      <c r="L95" s="444" cm="1">
        <f t="array" ref="L95">IF(D95="",0, SUMPRODUCT(--(ISNUMBER(SEARCH($A95,'Diags Raw Data'!$A$6:$A$3766))),'Diags Raw Data'!$L$6:$L$3766,'Diags Raw Data'!$P$6:$P$3766)/J95)</f>
        <v>1</v>
      </c>
      <c r="M95" s="445" cm="1">
        <f t="array" ref="M95">SUMPRODUCT(--(ISNUMBER(SEARCH($A95,'Diags Raw Data'!$A$6:$A$3766))),--('Diags Raw Data'!$Q$6:$Q$3766&lt;&gt;"N/A"),'Diags Raw Data'!$T$6:$T$3766)+SUMPRODUCT(--(ISNUMBER(SEARCH($A95,'Diags Raw Data'!$A$6:$A$3766))),--('Diags Raw Data'!$Q$6:$Q$3766&lt;&gt;"N/A"),'Diags Raw Data'!$U$6:$U$3766)</f>
        <v>1</v>
      </c>
      <c r="N95" s="445" cm="1">
        <f t="array" ref="N95">SUMPRODUCT(--(ISNUMBER(SEARCH($A95,'Diags Raw Data'!$A$6:$A$3766))),--('Diags Raw Data'!$Q$6:$Q$3766&lt;&gt;"N/A"),'Diags Raw Data'!$T$6:$T$3766)+SUMPRODUCT(--(ISNUMBER(SEARCH($A95,'Diags Raw Data'!$A$6:$A$3766))),--('Diags Raw Data'!$Q$6:$Q$3766&lt;&gt;"N/A"),'Diags Raw Data'!$U$6:$U$3766)</f>
        <v>1</v>
      </c>
      <c r="O95" s="446">
        <f t="shared" si="24"/>
        <v>1</v>
      </c>
      <c r="P95" s="447">
        <f>SUMIF('Diags Raw Data'!$A$6:$A$3766,"*"&amp;$A95&amp;"*",'Diags Raw Data'!$Z$6:$Z$3766)</f>
        <v>1</v>
      </c>
      <c r="Q95" s="448">
        <f>SUM(SUMIF('Diags Raw Data'!$A$6:$A$3766,"*"&amp;$A95&amp;"*",'Diags Raw Data'!$AA$6:$AA$3766),SUMIF('Diags Raw Data'!$A$6:$A$3766,"*"&amp;$A95&amp;"*",'Diags Raw Data'!$AB$6:$AB$3766))</f>
        <v>1</v>
      </c>
      <c r="R95" s="449">
        <f t="shared" si="25"/>
        <v>1</v>
      </c>
      <c r="S95" s="449">
        <f t="shared" si="26"/>
        <v>1</v>
      </c>
      <c r="T95" s="450">
        <f t="shared" si="27"/>
        <v>1</v>
      </c>
      <c r="U95" s="419" t="s">
        <v>1076</v>
      </c>
      <c r="V95" s="181"/>
    </row>
    <row r="96" spans="1:22" ht="58.5" thickBot="1">
      <c r="A96" s="321" t="s">
        <v>789</v>
      </c>
      <c r="B96" s="412" t="str">
        <f>VLOOKUP(A96,'Feature Raw Data'!$A$3:$B$3847,2,FALSE)</f>
        <v>WS.CDL.Apic.Local_APIC_Spurious_Interrupt</v>
      </c>
      <c r="C96" s="413" t="str">
        <f>VLOOKUP(A96,'Feature Raw Data'!$A$3:$C$3929,3,FALSE)</f>
        <v>P2</v>
      </c>
      <c r="D96" s="414" t="str" cm="1">
        <f t="array" ref="D96">_xlfn.TEXTJOIN("",TRUE,IF(ISNUMBER(SEARCH($A96,'Diags Raw Data'!$A$6:$A$3768)),CONCATENATE('Diags Raw Data'!$H$6:$H$3768,", "),""))</f>
        <v xml:space="preserve">Local_APIC_Spurious_Interrupt.stf, </v>
      </c>
      <c r="E96" s="415" t="str">
        <f>VLOOKUP(A96,'Diags Raw Data'!$A$6:$D$3768,4,FALSE)</f>
        <v>APIC-10</v>
      </c>
      <c r="F96" s="415" t="str">
        <f>VLOOKUP(A96,'Feature Raw Data'!$A$3:$E$3847,5,FALSE)</f>
        <v>Legacy</v>
      </c>
      <c r="G96" s="415" t="str">
        <f t="shared" si="28"/>
        <v>Yes</v>
      </c>
      <c r="H96" s="415" t="str">
        <f t="shared" si="29"/>
        <v>Yes</v>
      </c>
      <c r="I96" s="417">
        <f>SUMIF('Diags Raw Data'!$A$6:$A$3768,"*"&amp;$A96&amp;"*",'Diags Raw Data'!$K$6:$K$3768)</f>
        <v>1</v>
      </c>
      <c r="J96" s="418">
        <f>SUMIF('Diags Raw Data'!$A$6:$A$3768,"*"&amp;$A96&amp;"*",'Diags Raw Data'!$L$6:$L$3768)</f>
        <v>1</v>
      </c>
      <c r="K96" s="443" cm="1">
        <f t="array" ref="K96">IF(D96="",0, SUMPRODUCT(--(ISNUMBER(SEARCH($A96,'Diags Raw Data'!$A$6:$A$3766))),'Diags Raw Data'!$L$6:$L$3766,'Diags Raw Data'!$N$6:$N$3766)/J96)</f>
        <v>1</v>
      </c>
      <c r="L96" s="444" cm="1">
        <f t="array" ref="L96">IF(D96="",0, SUMPRODUCT(--(ISNUMBER(SEARCH($A96,'Diags Raw Data'!$A$6:$A$3766))),'Diags Raw Data'!$L$6:$L$3766,'Diags Raw Data'!$P$6:$P$3766)/J96)</f>
        <v>1</v>
      </c>
      <c r="M96" s="445" cm="1">
        <f t="array" ref="M96">SUMPRODUCT(--(ISNUMBER(SEARCH($A96,'Diags Raw Data'!$A$6:$A$3766))),--('Diags Raw Data'!$Q$6:$Q$3766&lt;&gt;"N/A"),'Diags Raw Data'!$T$6:$T$3766)+SUMPRODUCT(--(ISNUMBER(SEARCH($A96,'Diags Raw Data'!$A$6:$A$3766))),--('Diags Raw Data'!$Q$6:$Q$3766&lt;&gt;"N/A"),'Diags Raw Data'!$U$6:$U$3766)</f>
        <v>1</v>
      </c>
      <c r="N96" s="445" cm="1">
        <f t="array" ref="N96">SUMPRODUCT(--(ISNUMBER(SEARCH($A96,'Diags Raw Data'!$A$6:$A$3766))),--('Diags Raw Data'!$Q$6:$Q$3766&lt;&gt;"N/A"),'Diags Raw Data'!$T$6:$T$3766)+SUMPRODUCT(--(ISNUMBER(SEARCH($A96,'Diags Raw Data'!$A$6:$A$3766))),--('Diags Raw Data'!$Q$6:$Q$3766&lt;&gt;"N/A"),'Diags Raw Data'!$U$6:$U$3766)</f>
        <v>1</v>
      </c>
      <c r="O96" s="446">
        <f t="shared" si="24"/>
        <v>1</v>
      </c>
      <c r="P96" s="447">
        <f>SUMIF('Diags Raw Data'!$A$6:$A$3766,"*"&amp;$A96&amp;"*",'Diags Raw Data'!$Z$6:$Z$3766)</f>
        <v>1</v>
      </c>
      <c r="Q96" s="448">
        <f>SUM(SUMIF('Diags Raw Data'!$A$6:$A$3766,"*"&amp;$A96&amp;"*",'Diags Raw Data'!$AA$6:$AA$3766),SUMIF('Diags Raw Data'!$A$6:$A$3766,"*"&amp;$A96&amp;"*",'Diags Raw Data'!$AB$6:$AB$3766))</f>
        <v>1</v>
      </c>
      <c r="R96" s="449">
        <f t="shared" si="25"/>
        <v>1</v>
      </c>
      <c r="S96" s="449">
        <f t="shared" si="26"/>
        <v>1</v>
      </c>
      <c r="T96" s="450">
        <f t="shared" si="27"/>
        <v>1</v>
      </c>
      <c r="U96" s="419" t="s">
        <v>1076</v>
      </c>
      <c r="V96" s="181"/>
    </row>
    <row r="97" spans="1:22" ht="58.5" thickBot="1">
      <c r="A97" s="321" t="s">
        <v>795</v>
      </c>
      <c r="B97" s="412" t="str">
        <f>VLOOKUP(A97,'Feature Raw Data'!$A$3:$B$3847,2,FALSE)</f>
        <v>WS.CDL.Apic.Local_APIC_IOAPIC_Interrupts</v>
      </c>
      <c r="C97" s="413" t="str">
        <f>VLOOKUP(A97,'Feature Raw Data'!$A$3:$C$3929,3,FALSE)</f>
        <v>P1</v>
      </c>
      <c r="D97" s="414" t="str" cm="1">
        <f t="array" ref="D97">_xlfn.TEXTJOIN("",TRUE,IF(ISNUMBER(SEARCH($A97,'Diags Raw Data'!$A$6:$A$3768)),CONCATENATE('Diags Raw Data'!$H$6:$H$3768,", "),""))</f>
        <v xml:space="preserve">Local_APIC_IOAPIC_Interrupts.stf, </v>
      </c>
      <c r="E97" s="415" t="str">
        <f>VLOOKUP(A97,'Diags Raw Data'!$A$6:$D$3768,4,FALSE)</f>
        <v>APIC-10</v>
      </c>
      <c r="F97" s="415" t="str">
        <f>VLOOKUP(A97,'Feature Raw Data'!$A$3:$E$3847,5,FALSE)</f>
        <v>Legacy</v>
      </c>
      <c r="G97" s="415" t="str">
        <f t="shared" si="28"/>
        <v>Yes</v>
      </c>
      <c r="H97" s="415" t="str">
        <f t="shared" si="29"/>
        <v>Yes</v>
      </c>
      <c r="I97" s="417">
        <f>SUMIF('Diags Raw Data'!$A$6:$A$3768,"*"&amp;$A97&amp;"*",'Diags Raw Data'!$K$6:$K$3768)</f>
        <v>1</v>
      </c>
      <c r="J97" s="418">
        <f>SUMIF('Diags Raw Data'!$A$6:$A$3768,"*"&amp;$A97&amp;"*",'Diags Raw Data'!$L$6:$L$3768)</f>
        <v>1</v>
      </c>
      <c r="K97" s="443" cm="1">
        <f t="array" ref="K97">IF(D97="",0, SUMPRODUCT(--(ISNUMBER(SEARCH($A97,'Diags Raw Data'!$A$6:$A$3766))),'Diags Raw Data'!$L$6:$L$3766,'Diags Raw Data'!$N$6:$N$3766)/J97)</f>
        <v>1</v>
      </c>
      <c r="L97" s="444" cm="1">
        <f t="array" ref="L97">IF(D97="",0, SUMPRODUCT(--(ISNUMBER(SEARCH($A97,'Diags Raw Data'!$A$6:$A$3766))),'Diags Raw Data'!$L$6:$L$3766,'Diags Raw Data'!$P$6:$P$3766)/J97)</f>
        <v>1</v>
      </c>
      <c r="M97" s="445" cm="1">
        <f t="array" ref="M97">SUMPRODUCT(--(ISNUMBER(SEARCH($A97,'Diags Raw Data'!$A$6:$A$3766))),--('Diags Raw Data'!$Q$6:$Q$3766&lt;&gt;"N/A"),'Diags Raw Data'!$T$6:$T$3766)+SUMPRODUCT(--(ISNUMBER(SEARCH($A97,'Diags Raw Data'!$A$6:$A$3766))),--('Diags Raw Data'!$Q$6:$Q$3766&lt;&gt;"N/A"),'Diags Raw Data'!$U$6:$U$3766)</f>
        <v>1</v>
      </c>
      <c r="N97" s="445" cm="1">
        <f t="array" ref="N97">SUMPRODUCT(--(ISNUMBER(SEARCH($A97,'Diags Raw Data'!$A$6:$A$3766))),--('Diags Raw Data'!$Q$6:$Q$3766&lt;&gt;"N/A"),'Diags Raw Data'!$T$6:$T$3766)+SUMPRODUCT(--(ISNUMBER(SEARCH($A97,'Diags Raw Data'!$A$6:$A$3766))),--('Diags Raw Data'!$Q$6:$Q$3766&lt;&gt;"N/A"),'Diags Raw Data'!$U$6:$U$3766)</f>
        <v>1</v>
      </c>
      <c r="O97" s="446">
        <f t="shared" si="24"/>
        <v>1</v>
      </c>
      <c r="P97" s="447">
        <f>SUMIF('Diags Raw Data'!$A$6:$A$3766,"*"&amp;$A97&amp;"*",'Diags Raw Data'!$Z$6:$Z$3766)</f>
        <v>1</v>
      </c>
      <c r="Q97" s="448">
        <f>SUM(SUMIF('Diags Raw Data'!$A$6:$A$3766,"*"&amp;$A97&amp;"*",'Diags Raw Data'!$AA$6:$AA$3766),SUMIF('Diags Raw Data'!$A$6:$A$3766,"*"&amp;$A97&amp;"*",'Diags Raw Data'!$AB$6:$AB$3766))</f>
        <v>1</v>
      </c>
      <c r="R97" s="449">
        <f t="shared" si="25"/>
        <v>1</v>
      </c>
      <c r="S97" s="449">
        <f t="shared" si="26"/>
        <v>1</v>
      </c>
      <c r="T97" s="450">
        <f t="shared" si="27"/>
        <v>1</v>
      </c>
      <c r="U97" s="419" t="s">
        <v>1076</v>
      </c>
      <c r="V97" s="181"/>
    </row>
    <row r="98" spans="1:22" ht="29.45" thickBot="1">
      <c r="A98" s="321" t="s">
        <v>801</v>
      </c>
      <c r="B98" s="412" t="str">
        <f>VLOOKUP(A98,'Feature Raw Data'!$A$3:$B$3847,2,FALSE)</f>
        <v>WS.CDL.Core.Apic.Func.Local_APIC_Nested_Interrupt</v>
      </c>
      <c r="C98" s="413" t="str">
        <f>VLOOKUP(A98,'Feature Raw Data'!$A$3:$C$3929,3,FALSE)</f>
        <v>P2</v>
      </c>
      <c r="D98" s="414" t="str" cm="1">
        <f t="array" ref="D98">_xlfn.TEXTJOIN("",TRUE,IF(ISNUMBER(SEARCH($A98,'Diags Raw Data'!$A$6:$A$3768)),CONCATENATE('Diags Raw Data'!$H$6:$H$3768,", "),""))</f>
        <v xml:space="preserve">TBD, </v>
      </c>
      <c r="E98" s="415" t="str">
        <f>VLOOKUP(A98,'Diags Raw Data'!$A$6:$D$3768,4,FALSE)</f>
        <v>APIC-10</v>
      </c>
      <c r="F98" s="415" t="str">
        <f>VLOOKUP(A98,'Feature Raw Data'!$A$3:$E$3847,5,FALSE)</f>
        <v>Legacy</v>
      </c>
      <c r="G98" s="415" t="str">
        <f t="shared" si="28"/>
        <v>Yes</v>
      </c>
      <c r="H98" s="415" t="str">
        <f t="shared" si="29"/>
        <v>Yes</v>
      </c>
      <c r="I98" s="417">
        <f>SUMIF('Diags Raw Data'!$A$6:$A$3768,"*"&amp;$A98&amp;"*",'Diags Raw Data'!$K$6:$K$3768)</f>
        <v>1</v>
      </c>
      <c r="J98" s="418">
        <f>SUMIF('Diags Raw Data'!$A$6:$A$3768,"*"&amp;$A98&amp;"*",'Diags Raw Data'!$L$6:$L$3768)</f>
        <v>1</v>
      </c>
      <c r="K98" s="443" cm="1">
        <f t="array" ref="K98">IF(D98="",0, SUMPRODUCT(--(ISNUMBER(SEARCH($A98,'Diags Raw Data'!$A$6:$A$3766))),'Diags Raw Data'!$L$6:$L$3766,'Diags Raw Data'!$N$6:$N$3766)/J98)</f>
        <v>1</v>
      </c>
      <c r="L98" s="444" cm="1">
        <f t="array" ref="L98">IF(D98="",0, SUMPRODUCT(--(ISNUMBER(SEARCH($A98,'Diags Raw Data'!$A$6:$A$3766))),'Diags Raw Data'!$L$6:$L$3766,'Diags Raw Data'!$P$6:$P$3766)/J98)</f>
        <v>1</v>
      </c>
      <c r="M98" s="445" cm="1">
        <f t="array" ref="M98">SUMPRODUCT(--(ISNUMBER(SEARCH($A98,'Diags Raw Data'!$A$6:$A$3766))),--('Diags Raw Data'!$Q$6:$Q$3766&lt;&gt;"N/A"),'Diags Raw Data'!$T$6:$T$3766)+SUMPRODUCT(--(ISNUMBER(SEARCH($A98,'Diags Raw Data'!$A$6:$A$3766))),--('Diags Raw Data'!$Q$6:$Q$3766&lt;&gt;"N/A"),'Diags Raw Data'!$U$6:$U$3766)</f>
        <v>0</v>
      </c>
      <c r="N98" s="445" cm="1">
        <f t="array" ref="N98">SUMPRODUCT(--(ISNUMBER(SEARCH($A98,'Diags Raw Data'!$A$6:$A$3766))),--('Diags Raw Data'!$Q$6:$Q$3766&lt;&gt;"N/A"),'Diags Raw Data'!$T$6:$T$3766)+SUMPRODUCT(--(ISNUMBER(SEARCH($A98,'Diags Raw Data'!$A$6:$A$3766))),--('Diags Raw Data'!$Q$6:$Q$3766&lt;&gt;"N/A"),'Diags Raw Data'!$U$6:$U$3766)</f>
        <v>0</v>
      </c>
      <c r="O98" s="446">
        <f t="shared" si="24"/>
        <v>0</v>
      </c>
      <c r="P98" s="447">
        <f>SUMIF('Diags Raw Data'!$A$6:$A$3766,"*"&amp;$A98&amp;"*",'Diags Raw Data'!$Z$6:$Z$3766)</f>
        <v>1</v>
      </c>
      <c r="Q98" s="448">
        <f>SUM(SUMIF('Diags Raw Data'!$A$6:$A$3766,"*"&amp;$A98&amp;"*",'Diags Raw Data'!$AA$6:$AA$3766),SUMIF('Diags Raw Data'!$A$6:$A$3766,"*"&amp;$A98&amp;"*",'Diags Raw Data'!$AB$6:$AB$3766))</f>
        <v>1</v>
      </c>
      <c r="R98" s="449">
        <f t="shared" si="25"/>
        <v>1</v>
      </c>
      <c r="S98" s="449">
        <f t="shared" si="26"/>
        <v>1</v>
      </c>
      <c r="T98" s="450">
        <f t="shared" si="27"/>
        <v>1</v>
      </c>
      <c r="U98" s="419"/>
      <c r="V98" s="181"/>
    </row>
    <row r="99" spans="1:22" ht="58.5" thickBot="1">
      <c r="A99" s="321" t="s">
        <v>806</v>
      </c>
      <c r="B99" s="412" t="str">
        <f>VLOOKUP(A99,'Feature Raw Data'!$A$3:$B$3847,2,FALSE)</f>
        <v>WS.CDL.Apic.Local_APIC_TPR_And_Interrupt_Priority</v>
      </c>
      <c r="C99" s="413" t="str">
        <f>VLOOKUP(A99,'Feature Raw Data'!$A$3:$C$3929,3,FALSE)</f>
        <v>P2</v>
      </c>
      <c r="D99" s="414" t="str" cm="1">
        <f t="array" ref="D99">_xlfn.TEXTJOIN("",TRUE,IF(ISNUMBER(SEARCH($A99,'Diags Raw Data'!$A$6:$A$3768)),CONCATENATE('Diags Raw Data'!$H$6:$H$3768,", "),""))</f>
        <v xml:space="preserve">Local_APIC_TPR_And_Interrupt_Priority.stf, </v>
      </c>
      <c r="E99" s="415" t="str">
        <f>VLOOKUP(A99,'Diags Raw Data'!$A$6:$D$3768,4,FALSE)</f>
        <v>APIC-10</v>
      </c>
      <c r="F99" s="415" t="str">
        <f>VLOOKUP(A99,'Feature Raw Data'!$A$3:$E$3847,5,FALSE)</f>
        <v>Legacy</v>
      </c>
      <c r="G99" s="415" t="str">
        <f t="shared" si="28"/>
        <v>Yes</v>
      </c>
      <c r="H99" s="415" t="str">
        <f t="shared" si="29"/>
        <v>Yes</v>
      </c>
      <c r="I99" s="417">
        <f>SUMIF('Diags Raw Data'!$A$6:$A$3768,"*"&amp;$A99&amp;"*",'Diags Raw Data'!$K$6:$K$3768)</f>
        <v>1</v>
      </c>
      <c r="J99" s="418">
        <f>SUMIF('Diags Raw Data'!$A$6:$A$3768,"*"&amp;$A99&amp;"*",'Diags Raw Data'!$L$6:$L$3768)</f>
        <v>1</v>
      </c>
      <c r="K99" s="443" cm="1">
        <f t="array" ref="K99">IF(D99="",0, SUMPRODUCT(--(ISNUMBER(SEARCH($A99,'Diags Raw Data'!$A$6:$A$3766))),'Diags Raw Data'!$L$6:$L$3766,'Diags Raw Data'!$N$6:$N$3766)/J99)</f>
        <v>1</v>
      </c>
      <c r="L99" s="444" cm="1">
        <f t="array" ref="L99">IF(D99="",0, SUMPRODUCT(--(ISNUMBER(SEARCH($A99,'Diags Raw Data'!$A$6:$A$3766))),'Diags Raw Data'!$L$6:$L$3766,'Diags Raw Data'!$P$6:$P$3766)/J99)</f>
        <v>1</v>
      </c>
      <c r="M99" s="445" cm="1">
        <f t="array" ref="M99">SUMPRODUCT(--(ISNUMBER(SEARCH($A99,'Diags Raw Data'!$A$6:$A$3766))),--('Diags Raw Data'!$Q$6:$Q$3766&lt;&gt;"N/A"),'Diags Raw Data'!$T$6:$T$3766)+SUMPRODUCT(--(ISNUMBER(SEARCH($A99,'Diags Raw Data'!$A$6:$A$3766))),--('Diags Raw Data'!$Q$6:$Q$3766&lt;&gt;"N/A"),'Diags Raw Data'!$U$6:$U$3766)</f>
        <v>0</v>
      </c>
      <c r="N99" s="445" cm="1">
        <f t="array" ref="N99">SUMPRODUCT(--(ISNUMBER(SEARCH($A99,'Diags Raw Data'!$A$6:$A$3766))),--('Diags Raw Data'!$Q$6:$Q$3766&lt;&gt;"N/A"),'Diags Raw Data'!$T$6:$T$3766)+SUMPRODUCT(--(ISNUMBER(SEARCH($A99,'Diags Raw Data'!$A$6:$A$3766))),--('Diags Raw Data'!$Q$6:$Q$3766&lt;&gt;"N/A"),'Diags Raw Data'!$U$6:$U$3766)</f>
        <v>0</v>
      </c>
      <c r="O99" s="446">
        <f t="shared" si="24"/>
        <v>0</v>
      </c>
      <c r="P99" s="447">
        <f>SUMIF('Diags Raw Data'!$A$6:$A$3766,"*"&amp;$A99&amp;"*",'Diags Raw Data'!$Z$6:$Z$3766)</f>
        <v>1</v>
      </c>
      <c r="Q99" s="448">
        <f>SUM(SUMIF('Diags Raw Data'!$A$6:$A$3766,"*"&amp;$A99&amp;"*",'Diags Raw Data'!$AA$6:$AA$3766),SUMIF('Diags Raw Data'!$A$6:$A$3766,"*"&amp;$A99&amp;"*",'Diags Raw Data'!$AB$6:$AB$3766))</f>
        <v>1</v>
      </c>
      <c r="R99" s="449">
        <f t="shared" si="25"/>
        <v>1</v>
      </c>
      <c r="S99" s="449">
        <f t="shared" si="26"/>
        <v>1</v>
      </c>
      <c r="T99" s="450">
        <f t="shared" si="27"/>
        <v>1</v>
      </c>
      <c r="U99" s="419" t="s">
        <v>1076</v>
      </c>
      <c r="V99" s="181"/>
    </row>
    <row r="100" spans="1:22" ht="58.5" thickBot="1">
      <c r="A100" s="321" t="s">
        <v>812</v>
      </c>
      <c r="B100" s="412" t="str">
        <f>VLOOKUP(A100,'Feature Raw Data'!$A$3:$B$3847,2,FALSE)</f>
        <v>WS.CDL.Apic.Local_APIC_Register_Bits_Read_Write</v>
      </c>
      <c r="C100" s="413" t="str">
        <f>VLOOKUP(A100,'Feature Raw Data'!$A$3:$C$3929,3,FALSE)</f>
        <v>P2</v>
      </c>
      <c r="D100" s="414" t="str" cm="1">
        <f t="array" ref="D100">_xlfn.TEXTJOIN("",TRUE,IF(ISNUMBER(SEARCH($A100,'Diags Raw Data'!$A$6:$A$3768)),CONCATENATE('Diags Raw Data'!$H$6:$H$3768,", "),""))</f>
        <v xml:space="preserve">Local_APIC_Register_Bits_Read_Write.stf, </v>
      </c>
      <c r="E100" s="415" t="str">
        <f>VLOOKUP(A100,'Diags Raw Data'!$A$6:$D$3768,4,FALSE)</f>
        <v>APIC-10</v>
      </c>
      <c r="F100" s="415" t="str">
        <f>VLOOKUP(A100,'Feature Raw Data'!$A$3:$E$3847,5,FALSE)</f>
        <v>Legacy</v>
      </c>
      <c r="G100" s="415" t="str">
        <f t="shared" si="28"/>
        <v>Yes</v>
      </c>
      <c r="H100" s="415" t="str">
        <f t="shared" si="29"/>
        <v>Yes</v>
      </c>
      <c r="I100" s="417">
        <f>SUMIF('Diags Raw Data'!$A$6:$A$3768,"*"&amp;$A100&amp;"*",'Diags Raw Data'!$K$6:$K$3768)</f>
        <v>1</v>
      </c>
      <c r="J100" s="418">
        <f>SUMIF('Diags Raw Data'!$A$6:$A$3768,"*"&amp;$A100&amp;"*",'Diags Raw Data'!$L$6:$L$3768)</f>
        <v>1</v>
      </c>
      <c r="K100" s="443" cm="1">
        <f t="array" ref="K100">IF(D100="",0, SUMPRODUCT(--(ISNUMBER(SEARCH($A100,'Diags Raw Data'!$A$6:$A$3766))),'Diags Raw Data'!$L$6:$L$3766,'Diags Raw Data'!$N$6:$N$3766)/J100)</f>
        <v>1</v>
      </c>
      <c r="L100" s="444" cm="1">
        <f t="array" ref="L100">IF(D100="",0, SUMPRODUCT(--(ISNUMBER(SEARCH($A100,'Diags Raw Data'!$A$6:$A$3766))),'Diags Raw Data'!$L$6:$L$3766,'Diags Raw Data'!$P$6:$P$3766)/J100)</f>
        <v>1</v>
      </c>
      <c r="M100" s="445" cm="1">
        <f t="array" ref="M100">SUMPRODUCT(--(ISNUMBER(SEARCH($A100,'Diags Raw Data'!$A$6:$A$3766))),--('Diags Raw Data'!$Q$6:$Q$3766&lt;&gt;"N/A"),'Diags Raw Data'!$T$6:$T$3766)+SUMPRODUCT(--(ISNUMBER(SEARCH($A100,'Diags Raw Data'!$A$6:$A$3766))),--('Diags Raw Data'!$Q$6:$Q$3766&lt;&gt;"N/A"),'Diags Raw Data'!$U$6:$U$3766)</f>
        <v>1</v>
      </c>
      <c r="N100" s="445" cm="1">
        <f t="array" ref="N100">SUMPRODUCT(--(ISNUMBER(SEARCH($A100,'Diags Raw Data'!$A$6:$A$3766))),--('Diags Raw Data'!$Q$6:$Q$3766&lt;&gt;"N/A"),'Diags Raw Data'!$T$6:$T$3766)+SUMPRODUCT(--(ISNUMBER(SEARCH($A100,'Diags Raw Data'!$A$6:$A$3766))),--('Diags Raw Data'!$Q$6:$Q$3766&lt;&gt;"N/A"),'Diags Raw Data'!$U$6:$U$3766)</f>
        <v>1</v>
      </c>
      <c r="O100" s="446">
        <f t="shared" si="24"/>
        <v>1</v>
      </c>
      <c r="P100" s="447">
        <f>SUMIF('Diags Raw Data'!$A$6:$A$3766,"*"&amp;$A100&amp;"*",'Diags Raw Data'!$Z$6:$Z$3766)</f>
        <v>1</v>
      </c>
      <c r="Q100" s="448">
        <f>SUM(SUMIF('Diags Raw Data'!$A$6:$A$3766,"*"&amp;$A100&amp;"*",'Diags Raw Data'!$AA$6:$AA$3766),SUMIF('Diags Raw Data'!$A$6:$A$3766,"*"&amp;$A100&amp;"*",'Diags Raw Data'!$AB$6:$AB$3766))</f>
        <v>1</v>
      </c>
      <c r="R100" s="449">
        <f t="shared" si="25"/>
        <v>1</v>
      </c>
      <c r="S100" s="449">
        <f t="shared" si="26"/>
        <v>1</v>
      </c>
      <c r="T100" s="450">
        <f t="shared" si="27"/>
        <v>1</v>
      </c>
      <c r="U100" s="419" t="s">
        <v>1076</v>
      </c>
      <c r="V100" s="181"/>
    </row>
    <row r="101" spans="1:22" ht="58.5" thickBot="1">
      <c r="A101" s="321" t="s">
        <v>818</v>
      </c>
      <c r="B101" s="412" t="str">
        <f>VLOOKUP(A101,'Feature Raw Data'!$A$3:$B$3847,2,FALSE)</f>
        <v>WS.CDL.Apic.APIC 52bit Base Address MSR</v>
      </c>
      <c r="C101" s="413" t="str">
        <f>VLOOKUP(A101,'Feature Raw Data'!$A$3:$C$3929,3,FALSE)</f>
        <v>P2</v>
      </c>
      <c r="D101" s="414" t="str" cm="1">
        <f t="array" ref="D101">_xlfn.TEXTJOIN("",TRUE,IF(ISNUMBER(SEARCH($A101,'Diags Raw Data'!$A$6:$A$3768)),CONCATENATE('Diags Raw Data'!$H$6:$H$3768,", "),""))</f>
        <v xml:space="preserve">Manual, </v>
      </c>
      <c r="E101" s="415" t="str">
        <f>VLOOKUP(A101,'Diags Raw Data'!$A$6:$D$3768,4,FALSE)</f>
        <v>APIC-10</v>
      </c>
      <c r="F101" s="415" t="str">
        <f>VLOOKUP(A101,'Feature Raw Data'!$A$3:$E$3847,5,FALSE)</f>
        <v>Legacy</v>
      </c>
      <c r="G101" s="415" t="str">
        <f t="shared" ref="G101:G118" si="34">IF(D101="","No","Yes")</f>
        <v>Yes</v>
      </c>
      <c r="H101" s="415" t="str">
        <f t="shared" ref="H101:H118" si="35">IF(D101="","No","Yes")</f>
        <v>Yes</v>
      </c>
      <c r="I101" s="417">
        <f>SUMIF('Diags Raw Data'!$A$6:$A$3768,"*"&amp;$A101&amp;"*",'Diags Raw Data'!$K$6:$K$3768)</f>
        <v>1</v>
      </c>
      <c r="J101" s="418">
        <f>SUMIF('Diags Raw Data'!$A$6:$A$3768,"*"&amp;$A101&amp;"*",'Diags Raw Data'!$L$6:$L$3768)</f>
        <v>1</v>
      </c>
      <c r="K101" s="443" cm="1">
        <f t="array" ref="K101">IF(D101="",0, SUMPRODUCT(--(ISNUMBER(SEARCH($A101,'Diags Raw Data'!$A$6:$A$3766))),'Diags Raw Data'!$L$6:$L$3766,'Diags Raw Data'!$N$6:$N$3766)/J101)</f>
        <v>1</v>
      </c>
      <c r="L101" s="444" cm="1">
        <f t="array" ref="L101">IF(D101="",0, SUMPRODUCT(--(ISNUMBER(SEARCH($A101,'Diags Raw Data'!$A$6:$A$3766))),'Diags Raw Data'!$L$6:$L$3766,'Diags Raw Data'!$P$6:$P$3766)/J101)</f>
        <v>1</v>
      </c>
      <c r="M101" s="445" cm="1">
        <f t="array" ref="M101">SUMPRODUCT(--(ISNUMBER(SEARCH($A101,'Diags Raw Data'!$A$6:$A$3766))),--('Diags Raw Data'!$Q$6:$Q$3766&lt;&gt;"N/A"),'Diags Raw Data'!$T$6:$T$3766)+SUMPRODUCT(--(ISNUMBER(SEARCH($A101,'Diags Raw Data'!$A$6:$A$3766))),--('Diags Raw Data'!$Q$6:$Q$3766&lt;&gt;"N/A"),'Diags Raw Data'!$U$6:$U$3766)</f>
        <v>1</v>
      </c>
      <c r="N101" s="445" cm="1">
        <f t="array" ref="N101">SUMPRODUCT(--(ISNUMBER(SEARCH($A101,'Diags Raw Data'!$A$6:$A$3766))),--('Diags Raw Data'!$Q$6:$Q$3766&lt;&gt;"N/A"),'Diags Raw Data'!$T$6:$T$3766)+SUMPRODUCT(--(ISNUMBER(SEARCH($A101,'Diags Raw Data'!$A$6:$A$3766))),--('Diags Raw Data'!$Q$6:$Q$3766&lt;&gt;"N/A"),'Diags Raw Data'!$U$6:$U$3766)</f>
        <v>1</v>
      </c>
      <c r="O101" s="446">
        <f t="shared" si="24"/>
        <v>1</v>
      </c>
      <c r="P101" s="447">
        <f>SUMIF('Diags Raw Data'!$A$6:$A$3766,"*"&amp;$A101&amp;"*",'Diags Raw Data'!$Z$6:$Z$3766)</f>
        <v>1</v>
      </c>
      <c r="Q101" s="448">
        <f>SUM(SUMIF('Diags Raw Data'!$A$6:$A$3766,"*"&amp;$A101&amp;"*",'Diags Raw Data'!$AA$6:$AA$3766),SUMIF('Diags Raw Data'!$A$6:$A$3766,"*"&amp;$A101&amp;"*",'Diags Raw Data'!$AB$6:$AB$3766))</f>
        <v>1</v>
      </c>
      <c r="R101" s="449">
        <f t="shared" si="25"/>
        <v>1</v>
      </c>
      <c r="S101" s="449">
        <f t="shared" si="26"/>
        <v>1</v>
      </c>
      <c r="T101" s="450">
        <f t="shared" si="27"/>
        <v>1</v>
      </c>
      <c r="U101" s="419" t="s">
        <v>1076</v>
      </c>
      <c r="V101" s="181"/>
    </row>
    <row r="102" spans="1:22" ht="58.5" thickBot="1">
      <c r="A102" s="321" t="s">
        <v>823</v>
      </c>
      <c r="B102" s="412" t="str">
        <f>VLOOKUP(A102,'Feature Raw Data'!$A$3:$B$3847,2,FALSE)</f>
        <v>WS.CDL.Apic.APIC Stress</v>
      </c>
      <c r="C102" s="413" t="str">
        <f>VLOOKUP(A102,'Feature Raw Data'!$A$3:$C$3929,3,FALSE)</f>
        <v>P1</v>
      </c>
      <c r="D102" s="414" t="str" cm="1">
        <f t="array" ref="D102">_xlfn.TEXTJOIN("",TRUE,IF(ISNUMBER(SEARCH($A102,'Diags Raw Data'!$A$6:$A$3768)),CONCATENATE('Diags Raw Data'!$H$6:$H$3768,", "),""))</f>
        <v xml:space="preserve">XAPIC_Stress_Test.stf, </v>
      </c>
      <c r="E102" s="415" t="str">
        <f>VLOOKUP(A102,'Diags Raw Data'!$A$6:$D$3768,4,FALSE)</f>
        <v>APIC-10</v>
      </c>
      <c r="F102" s="415" t="str">
        <f>VLOOKUP(A102,'Feature Raw Data'!$A$3:$E$3847,5,FALSE)</f>
        <v>Legacy</v>
      </c>
      <c r="G102" s="415" t="str">
        <f t="shared" si="34"/>
        <v>Yes</v>
      </c>
      <c r="H102" s="415" t="str">
        <f t="shared" si="35"/>
        <v>Yes</v>
      </c>
      <c r="I102" s="417">
        <f>SUMIF('Diags Raw Data'!$A$6:$A$3768,"*"&amp;$A102&amp;"*",'Diags Raw Data'!$K$6:$K$3768)</f>
        <v>1</v>
      </c>
      <c r="J102" s="418">
        <f>SUMIF('Diags Raw Data'!$A$6:$A$3768,"*"&amp;$A102&amp;"*",'Diags Raw Data'!$L$6:$L$3768)</f>
        <v>1</v>
      </c>
      <c r="K102" s="443" cm="1">
        <f t="array" ref="K102">IF(D102="",0, SUMPRODUCT(--(ISNUMBER(SEARCH($A102,'Diags Raw Data'!$A$6:$A$3766))),'Diags Raw Data'!$L$6:$L$3766,'Diags Raw Data'!$N$6:$N$3766)/J102)</f>
        <v>1</v>
      </c>
      <c r="L102" s="444" cm="1">
        <f t="array" ref="L102">IF(D102="",0, SUMPRODUCT(--(ISNUMBER(SEARCH($A102,'Diags Raw Data'!$A$6:$A$3766))),'Diags Raw Data'!$L$6:$L$3766,'Diags Raw Data'!$P$6:$P$3766)/J102)</f>
        <v>1</v>
      </c>
      <c r="M102" s="445" cm="1">
        <f t="array" ref="M102">SUMPRODUCT(--(ISNUMBER(SEARCH($A102,'Diags Raw Data'!$A$6:$A$3766))),--('Diags Raw Data'!$Q$6:$Q$3766&lt;&gt;"N/A"),'Diags Raw Data'!$T$6:$T$3766)+SUMPRODUCT(--(ISNUMBER(SEARCH($A102,'Diags Raw Data'!$A$6:$A$3766))),--('Diags Raw Data'!$Q$6:$Q$3766&lt;&gt;"N/A"),'Diags Raw Data'!$U$6:$U$3766)</f>
        <v>1</v>
      </c>
      <c r="N102" s="445" cm="1">
        <f t="array" ref="N102">SUMPRODUCT(--(ISNUMBER(SEARCH($A102,'Diags Raw Data'!$A$6:$A$3766))),--('Diags Raw Data'!$Q$6:$Q$3766&lt;&gt;"N/A"),'Diags Raw Data'!$T$6:$T$3766)+SUMPRODUCT(--(ISNUMBER(SEARCH($A102,'Diags Raw Data'!$A$6:$A$3766))),--('Diags Raw Data'!$Q$6:$Q$3766&lt;&gt;"N/A"),'Diags Raw Data'!$U$6:$U$3766)</f>
        <v>1</v>
      </c>
      <c r="O102" s="446">
        <f t="shared" si="24"/>
        <v>1</v>
      </c>
      <c r="P102" s="447">
        <f>SUMIF('Diags Raw Data'!$A$6:$A$3766,"*"&amp;$A102&amp;"*",'Diags Raw Data'!$Z$6:$Z$3766)</f>
        <v>1</v>
      </c>
      <c r="Q102" s="448">
        <f>SUM(SUMIF('Diags Raw Data'!$A$6:$A$3766,"*"&amp;$A102&amp;"*",'Diags Raw Data'!$AA$6:$AA$3766),SUMIF('Diags Raw Data'!$A$6:$A$3766,"*"&amp;$A102&amp;"*",'Diags Raw Data'!$AB$6:$AB$3766))</f>
        <v>1</v>
      </c>
      <c r="R102" s="449">
        <f t="shared" si="25"/>
        <v>1</v>
      </c>
      <c r="S102" s="449">
        <f t="shared" si="26"/>
        <v>1</v>
      </c>
      <c r="T102" s="450">
        <f t="shared" si="27"/>
        <v>1</v>
      </c>
      <c r="U102" s="419" t="s">
        <v>1076</v>
      </c>
      <c r="V102" s="181"/>
    </row>
    <row r="103" spans="1:22" ht="59.25" customHeight="1" thickBot="1">
      <c r="A103" s="321" t="s">
        <v>829</v>
      </c>
      <c r="B103" s="412" t="str">
        <f>VLOOKUP(A103,'Feature Raw Data'!$A$3:$B$3847,2,FALSE)</f>
        <v>WS.CDL.Apic.Extended LVT interrupts</v>
      </c>
      <c r="C103" s="413" t="str">
        <f>VLOOKUP(A103,'Feature Raw Data'!$A$3:$C$3929,3,FALSE)</f>
        <v>P1</v>
      </c>
      <c r="D103" s="414" t="str" cm="1">
        <f t="array" ref="D103">_xlfn.TEXTJOIN("",TRUE,IF(ISNUMBER(SEARCH($A103,'Diags Raw Data'!$A$6:$A$3768)),CONCATENATE('Diags Raw Data'!$H$6:$H$3768,", "),""))</f>
        <v xml:space="preserve">3.1.45_IBS_Interrupt_Mapping_Instruction_fetch_feature.stf
3.1.45_IBS_Interrupt_Mapping_Instruction_Execution_feature.stf, </v>
      </c>
      <c r="E103" s="415" t="str">
        <f>VLOOKUP(A103,'Diags Raw Data'!$A$6:$D$3768,4,FALSE)</f>
        <v>APIC-10</v>
      </c>
      <c r="F103" s="415" t="str">
        <f>VLOOKUP(A103,'Feature Raw Data'!$A$3:$E$3847,5,FALSE)</f>
        <v>Legacy</v>
      </c>
      <c r="G103" s="415" t="str">
        <f t="shared" si="34"/>
        <v>Yes</v>
      </c>
      <c r="H103" s="415" t="str">
        <f t="shared" si="35"/>
        <v>Yes</v>
      </c>
      <c r="I103" s="417">
        <f>SUMIF('Diags Raw Data'!$A$6:$A$3768,"*"&amp;$A103&amp;"*",'Diags Raw Data'!$K$6:$K$3768)</f>
        <v>1</v>
      </c>
      <c r="J103" s="418">
        <f>SUMIF('Diags Raw Data'!$A$6:$A$3768,"*"&amp;$A103&amp;"*",'Diags Raw Data'!$L$6:$L$3768)</f>
        <v>2</v>
      </c>
      <c r="K103" s="443" cm="1">
        <f t="array" ref="K103">IF(D103="",0, SUMPRODUCT(--(ISNUMBER(SEARCH($A103,'Diags Raw Data'!$A$6:$A$3766))),'Diags Raw Data'!$L$6:$L$3766,'Diags Raw Data'!$N$6:$N$3766)/J103)</f>
        <v>1</v>
      </c>
      <c r="L103" s="444" cm="1">
        <f t="array" ref="L103">IF(D103="",0, SUMPRODUCT(--(ISNUMBER(SEARCH($A103,'Diags Raw Data'!$A$6:$A$3766))),'Diags Raw Data'!$L$6:$L$3766,'Diags Raw Data'!$P$6:$P$3766)/J103)</f>
        <v>1</v>
      </c>
      <c r="M103" s="445" cm="1">
        <f t="array" ref="M103">SUMPRODUCT(--(ISNUMBER(SEARCH($A103,'Diags Raw Data'!$A$6:$A$3766))),--('Diags Raw Data'!$Q$6:$Q$3766&lt;&gt;"N/A"),'Diags Raw Data'!$T$6:$T$3766)+SUMPRODUCT(--(ISNUMBER(SEARCH($A103,'Diags Raw Data'!$A$6:$A$3766))),--('Diags Raw Data'!$Q$6:$Q$3766&lt;&gt;"N/A"),'Diags Raw Data'!$U$6:$U$3766)</f>
        <v>2</v>
      </c>
      <c r="N103" s="445" cm="1">
        <f t="array" ref="N103">SUMPRODUCT(--(ISNUMBER(SEARCH($A103,'Diags Raw Data'!$A$6:$A$3766))),--('Diags Raw Data'!$Q$6:$Q$3766&lt;&gt;"N/A"),'Diags Raw Data'!$T$6:$T$3766)+SUMPRODUCT(--(ISNUMBER(SEARCH($A103,'Diags Raw Data'!$A$6:$A$3766))),--('Diags Raw Data'!$Q$6:$Q$3766&lt;&gt;"N/A"),'Diags Raw Data'!$U$6:$U$3766)</f>
        <v>2</v>
      </c>
      <c r="O103" s="446">
        <f t="shared" si="24"/>
        <v>1</v>
      </c>
      <c r="P103" s="447">
        <f>SUMIF('Diags Raw Data'!$A$6:$A$3766,"*"&amp;$A103&amp;"*",'Diags Raw Data'!$Z$6:$Z$3766)</f>
        <v>2</v>
      </c>
      <c r="Q103" s="448">
        <f>SUM(SUMIF('Diags Raw Data'!$A$6:$A$3766,"*"&amp;$A103&amp;"*",'Diags Raw Data'!$AA$6:$AA$3766),SUMIF('Diags Raw Data'!$A$6:$A$3766,"*"&amp;$A103&amp;"*",'Diags Raw Data'!$AB$6:$AB$3766))</f>
        <v>2</v>
      </c>
      <c r="R103" s="449">
        <f t="shared" si="25"/>
        <v>1</v>
      </c>
      <c r="S103" s="449">
        <f t="shared" si="26"/>
        <v>1</v>
      </c>
      <c r="T103" s="450">
        <f t="shared" si="27"/>
        <v>1</v>
      </c>
      <c r="U103" s="419"/>
      <c r="V103" s="181"/>
    </row>
    <row r="104" spans="1:22" ht="71.25" customHeight="1" thickBot="1">
      <c r="A104" s="321" t="s">
        <v>835</v>
      </c>
      <c r="B104" s="412" t="str">
        <f>VLOOKUP(A104,'Feature Raw Data'!$A$3:$B$3847,2,FALSE)</f>
        <v>WS.CDL.Apic.Local_APIC_Faster TPR write for mov CR8</v>
      </c>
      <c r="C104" s="413" t="str">
        <f>VLOOKUP(A104,'Feature Raw Data'!$A$3:$C$3929,3,FALSE)</f>
        <v>P2</v>
      </c>
      <c r="D104" s="414" t="str" cm="1">
        <f t="array" ref="D104">_xlfn.TEXTJOIN("",TRUE,IF(ISNUMBER(SEARCH($A104,'Diags Raw Data'!$A$6:$A$3768)),CONCATENATE('Diags Raw Data'!$H$6:$H$3768,", "),""))</f>
        <v xml:space="preserve">TPR_Read_Write.stf, </v>
      </c>
      <c r="E104" s="415" t="str">
        <f>VLOOKUP(A104,'Diags Raw Data'!$A$6:$D$3768,4,FALSE)</f>
        <v>APIC-10</v>
      </c>
      <c r="F104" s="415" t="str">
        <f>VLOOKUP(A104,'Feature Raw Data'!$A$3:$E$3847,5,FALSE)</f>
        <v>Legacy</v>
      </c>
      <c r="G104" s="415" t="str">
        <f t="shared" si="34"/>
        <v>Yes</v>
      </c>
      <c r="H104" s="415" t="str">
        <f t="shared" si="35"/>
        <v>Yes</v>
      </c>
      <c r="I104" s="417">
        <f>SUMIF('Diags Raw Data'!$A$6:$A$3768,"*"&amp;$A104&amp;"*",'Diags Raw Data'!$K$6:$K$3768)</f>
        <v>1</v>
      </c>
      <c r="J104" s="418">
        <f>SUMIF('Diags Raw Data'!$A$6:$A$3768,"*"&amp;$A104&amp;"*",'Diags Raw Data'!$L$6:$L$3768)</f>
        <v>1</v>
      </c>
      <c r="K104" s="443" cm="1">
        <f t="array" ref="K104">IF(D104="",0, SUMPRODUCT(--(ISNUMBER(SEARCH($A104,'Diags Raw Data'!$A$6:$A$3766))),'Diags Raw Data'!$L$6:$L$3766,'Diags Raw Data'!$N$6:$N$3766)/J104)</f>
        <v>1</v>
      </c>
      <c r="L104" s="444" cm="1">
        <f t="array" ref="L104">IF(D104="",0, SUMPRODUCT(--(ISNUMBER(SEARCH($A104,'Diags Raw Data'!$A$6:$A$3766))),'Diags Raw Data'!$L$6:$L$3766,'Diags Raw Data'!$P$6:$P$3766)/J104)</f>
        <v>1</v>
      </c>
      <c r="M104" s="445" cm="1">
        <f t="array" ref="M104">SUMPRODUCT(--(ISNUMBER(SEARCH($A104,'Diags Raw Data'!$A$6:$A$3766))),--('Diags Raw Data'!$Q$6:$Q$3766&lt;&gt;"N/A"),'Diags Raw Data'!$T$6:$T$3766)+SUMPRODUCT(--(ISNUMBER(SEARCH($A104,'Diags Raw Data'!$A$6:$A$3766))),--('Diags Raw Data'!$Q$6:$Q$3766&lt;&gt;"N/A"),'Diags Raw Data'!$U$6:$U$3766)</f>
        <v>0</v>
      </c>
      <c r="N104" s="445" cm="1">
        <f t="array" ref="N104">SUMPRODUCT(--(ISNUMBER(SEARCH($A104,'Diags Raw Data'!$A$6:$A$3766))),--('Diags Raw Data'!$Q$6:$Q$3766&lt;&gt;"N/A"),'Diags Raw Data'!$T$6:$T$3766)+SUMPRODUCT(--(ISNUMBER(SEARCH($A104,'Diags Raw Data'!$A$6:$A$3766))),--('Diags Raw Data'!$Q$6:$Q$3766&lt;&gt;"N/A"),'Diags Raw Data'!$U$6:$U$3766)</f>
        <v>0</v>
      </c>
      <c r="O104" s="446">
        <f t="shared" si="24"/>
        <v>0</v>
      </c>
      <c r="P104" s="447">
        <f>SUMIF('Diags Raw Data'!$A$6:$A$3766,"*"&amp;$A104&amp;"*",'Diags Raw Data'!$Z$6:$Z$3766)</f>
        <v>1</v>
      </c>
      <c r="Q104" s="448">
        <f>SUM(SUMIF('Diags Raw Data'!$A$6:$A$3766,"*"&amp;$A104&amp;"*",'Diags Raw Data'!$AA$6:$AA$3766),SUMIF('Diags Raw Data'!$A$6:$A$3766,"*"&amp;$A104&amp;"*",'Diags Raw Data'!$AB$6:$AB$3766))</f>
        <v>1</v>
      </c>
      <c r="R104" s="449">
        <f t="shared" si="25"/>
        <v>1</v>
      </c>
      <c r="S104" s="449">
        <f t="shared" si="26"/>
        <v>1</v>
      </c>
      <c r="T104" s="450">
        <f t="shared" si="27"/>
        <v>1</v>
      </c>
      <c r="U104" s="419"/>
      <c r="V104" s="181"/>
    </row>
    <row r="105" spans="1:22" ht="58.5" thickBot="1">
      <c r="A105" s="321" t="s">
        <v>840</v>
      </c>
      <c r="B105" s="412" t="str">
        <f>VLOOKUP(A105,'Feature Raw Data'!$A$3:$B$3847,2,FALSE)</f>
        <v>WS.CDL.X2Apic.X2APIC_X2APIC_Check</v>
      </c>
      <c r="C105" s="413" t="str">
        <f>VLOOKUP(A105,'Feature Raw Data'!$A$3:$C$3929,3,FALSE)</f>
        <v>P2</v>
      </c>
      <c r="D105" s="414" t="str" cm="1">
        <f t="array" ref="D105">_xlfn.TEXTJOIN("",TRUE,IF(ISNUMBER(SEARCH($A105,'Diags Raw Data'!$A$6:$A$3768)),CONCATENATE('Diags Raw Data'!$H$6:$H$3768,", "),""))</f>
        <v xml:space="preserve">LS08_10_X2APIC_Check.stf, </v>
      </c>
      <c r="E105" s="415" t="str">
        <f>VLOOKUP(A105,'Diags Raw Data'!$A$6:$D$3768,4,FALSE)</f>
        <v>APIC-10</v>
      </c>
      <c r="F105" s="415" t="str">
        <f>VLOOKUP(A105,'Feature Raw Data'!$A$3:$E$3847,5,FALSE)</f>
        <v>Legacy</v>
      </c>
      <c r="G105" s="415" t="str">
        <f t="shared" si="34"/>
        <v>Yes</v>
      </c>
      <c r="H105" s="415" t="str">
        <f t="shared" si="35"/>
        <v>Yes</v>
      </c>
      <c r="I105" s="417">
        <f>SUMIF('Diags Raw Data'!$A$6:$A$3768,"*"&amp;$A105&amp;"*",'Diags Raw Data'!$K$6:$K$3768)</f>
        <v>1</v>
      </c>
      <c r="J105" s="418">
        <f>SUMIF('Diags Raw Data'!$A$6:$A$3768,"*"&amp;$A105&amp;"*",'Diags Raw Data'!$L$6:$L$3768)</f>
        <v>1</v>
      </c>
      <c r="K105" s="443" cm="1">
        <f t="array" ref="K105">IF(D105="",0, SUMPRODUCT(--(ISNUMBER(SEARCH($A105,'Diags Raw Data'!$A$6:$A$3766))),'Diags Raw Data'!$L$6:$L$3766,'Diags Raw Data'!$N$6:$N$3766)/J105)</f>
        <v>1</v>
      </c>
      <c r="L105" s="444" cm="1">
        <f t="array" ref="L105">IF(D105="",0, SUMPRODUCT(--(ISNUMBER(SEARCH($A105,'Diags Raw Data'!$A$6:$A$3766))),'Diags Raw Data'!$L$6:$L$3766,'Diags Raw Data'!$P$6:$P$3766)/J105)</f>
        <v>1</v>
      </c>
      <c r="M105" s="445" cm="1">
        <f t="array" ref="M105">SUMPRODUCT(--(ISNUMBER(SEARCH($A105,'Diags Raw Data'!$A$6:$A$3766))),--('Diags Raw Data'!$Q$6:$Q$3766&lt;&gt;"N/A"),'Diags Raw Data'!$T$6:$T$3766)+SUMPRODUCT(--(ISNUMBER(SEARCH($A105,'Diags Raw Data'!$A$6:$A$3766))),--('Diags Raw Data'!$Q$6:$Q$3766&lt;&gt;"N/A"),'Diags Raw Data'!$U$6:$U$3766)</f>
        <v>1</v>
      </c>
      <c r="N105" s="445" cm="1">
        <f t="array" ref="N105">SUMPRODUCT(--(ISNUMBER(SEARCH($A105,'Diags Raw Data'!$A$6:$A$3766))),--('Diags Raw Data'!$Q$6:$Q$3766&lt;&gt;"N/A"),'Diags Raw Data'!$T$6:$T$3766)+SUMPRODUCT(--(ISNUMBER(SEARCH($A105,'Diags Raw Data'!$A$6:$A$3766))),--('Diags Raw Data'!$Q$6:$Q$3766&lt;&gt;"N/A"),'Diags Raw Data'!$U$6:$U$3766)</f>
        <v>1</v>
      </c>
      <c r="O105" s="446">
        <f t="shared" si="24"/>
        <v>1</v>
      </c>
      <c r="P105" s="447">
        <f>SUMIF('Diags Raw Data'!$A$6:$A$3766,"*"&amp;$A105&amp;"*",'Diags Raw Data'!$Z$6:$Z$3766)</f>
        <v>1</v>
      </c>
      <c r="Q105" s="448">
        <f>SUM(SUMIF('Diags Raw Data'!$A$6:$A$3766,"*"&amp;$A105&amp;"*",'Diags Raw Data'!$AA$6:$AA$3766),SUMIF('Diags Raw Data'!$A$6:$A$3766,"*"&amp;$A105&amp;"*",'Diags Raw Data'!$AB$6:$AB$3766))</f>
        <v>1</v>
      </c>
      <c r="R105" s="449">
        <f t="shared" si="25"/>
        <v>1</v>
      </c>
      <c r="S105" s="449">
        <f t="shared" si="26"/>
        <v>1</v>
      </c>
      <c r="T105" s="450">
        <f t="shared" si="27"/>
        <v>1</v>
      </c>
      <c r="U105" s="419" t="s">
        <v>1076</v>
      </c>
      <c r="V105" s="181"/>
    </row>
    <row r="106" spans="1:22" ht="45" customHeight="1" thickBot="1">
      <c r="A106" s="321" t="s">
        <v>847</v>
      </c>
      <c r="B106" s="412" t="str">
        <f>VLOOKUP(A106,'Feature Raw Data'!$A$3:$B$3847,2,FALSE)</f>
        <v>WS.CDL.X2Apic.X2APIC_APIC_Fixed_Interrupts</v>
      </c>
      <c r="C106" s="413" t="str">
        <f>VLOOKUP(A106,'Feature Raw Data'!$A$3:$C$3929,3,FALSE)</f>
        <v>P1</v>
      </c>
      <c r="D106" s="414" t="str" cm="1">
        <f t="array" ref="D106">_xlfn.TEXTJOIN("",TRUE,IF(ISNUMBER(SEARCH($A106,'Diags Raw Data'!$A$6:$A$3768)),CONCATENATE('Diags Raw Data'!$H$6:$H$3768,", "),""))</f>
        <v xml:space="preserve">LS08_2_Fixed_Interrupts_X2APIC.stf, </v>
      </c>
      <c r="E106" s="415" t="str">
        <f>VLOOKUP(A106,'Diags Raw Data'!$A$6:$D$3768,4,FALSE)</f>
        <v>APIC-10</v>
      </c>
      <c r="F106" s="415" t="str">
        <f>VLOOKUP(A106,'Feature Raw Data'!$A$3:$E$3847,5,FALSE)</f>
        <v>Legacy</v>
      </c>
      <c r="G106" s="415" t="str">
        <f t="shared" si="34"/>
        <v>Yes</v>
      </c>
      <c r="H106" s="415" t="str">
        <f t="shared" si="35"/>
        <v>Yes</v>
      </c>
      <c r="I106" s="417">
        <f>SUMIF('Diags Raw Data'!$A$6:$A$3768,"*"&amp;$A106&amp;"*",'Diags Raw Data'!$K$6:$K$3768)</f>
        <v>1</v>
      </c>
      <c r="J106" s="418">
        <f>SUMIF('Diags Raw Data'!$A$6:$A$3768,"*"&amp;$A106&amp;"*",'Diags Raw Data'!$L$6:$L$3768)</f>
        <v>1</v>
      </c>
      <c r="K106" s="443" cm="1">
        <f t="array" ref="K106">IF(D106="",0, SUMPRODUCT(--(ISNUMBER(SEARCH($A106,'Diags Raw Data'!$A$6:$A$3766))),'Diags Raw Data'!$L$6:$L$3766,'Diags Raw Data'!$N$6:$N$3766)/J106)</f>
        <v>1</v>
      </c>
      <c r="L106" s="444" cm="1">
        <f t="array" ref="L106">IF(D106="",0, SUMPRODUCT(--(ISNUMBER(SEARCH($A106,'Diags Raw Data'!$A$6:$A$3766))),'Diags Raw Data'!$L$6:$L$3766,'Diags Raw Data'!$P$6:$P$3766)/J106)</f>
        <v>1</v>
      </c>
      <c r="M106" s="445" cm="1">
        <f t="array" ref="M106">SUMPRODUCT(--(ISNUMBER(SEARCH($A106,'Diags Raw Data'!$A$6:$A$3766))),--('Diags Raw Data'!$Q$6:$Q$3766&lt;&gt;"N/A"),'Diags Raw Data'!$T$6:$T$3766)+SUMPRODUCT(--(ISNUMBER(SEARCH($A106,'Diags Raw Data'!$A$6:$A$3766))),--('Diags Raw Data'!$Q$6:$Q$3766&lt;&gt;"N/A"),'Diags Raw Data'!$U$6:$U$3766)</f>
        <v>1</v>
      </c>
      <c r="N106" s="445" cm="1">
        <f t="array" ref="N106">SUMPRODUCT(--(ISNUMBER(SEARCH($A106,'Diags Raw Data'!$A$6:$A$3766))),--('Diags Raw Data'!$Q$6:$Q$3766&lt;&gt;"N/A"),'Diags Raw Data'!$T$6:$T$3766)+SUMPRODUCT(--(ISNUMBER(SEARCH($A106,'Diags Raw Data'!$A$6:$A$3766))),--('Diags Raw Data'!$Q$6:$Q$3766&lt;&gt;"N/A"),'Diags Raw Data'!$U$6:$U$3766)</f>
        <v>1</v>
      </c>
      <c r="O106" s="446">
        <f t="shared" si="24"/>
        <v>1</v>
      </c>
      <c r="P106" s="447">
        <f>SUMIF('Diags Raw Data'!$A$6:$A$3766,"*"&amp;$A106&amp;"*",'Diags Raw Data'!$Z$6:$Z$3766)</f>
        <v>1</v>
      </c>
      <c r="Q106" s="448">
        <f>SUM(SUMIF('Diags Raw Data'!$A$6:$A$3766,"*"&amp;$A106&amp;"*",'Diags Raw Data'!$AA$6:$AA$3766),SUMIF('Diags Raw Data'!$A$6:$A$3766,"*"&amp;$A106&amp;"*",'Diags Raw Data'!$AB$6:$AB$3766))</f>
        <v>1</v>
      </c>
      <c r="R106" s="449">
        <f t="shared" si="25"/>
        <v>1</v>
      </c>
      <c r="S106" s="449">
        <f t="shared" si="26"/>
        <v>1</v>
      </c>
      <c r="T106" s="450">
        <f t="shared" si="27"/>
        <v>1</v>
      </c>
      <c r="U106" s="419"/>
      <c r="V106" s="181"/>
    </row>
    <row r="107" spans="1:22" ht="65.25" customHeight="1" thickBot="1">
      <c r="A107" s="321" t="s">
        <v>853</v>
      </c>
      <c r="B107" s="412" t="str">
        <f>VLOOKUP(A107,'Feature Raw Data'!$A$3:$B$3847,2,FALSE)</f>
        <v>WS.CDL.X2Apic.X2APIC_NMI_Check_X2APIC</v>
      </c>
      <c r="C107" s="413" t="str">
        <f>VLOOKUP(A107,'Feature Raw Data'!$A$3:$C$3929,3,FALSE)</f>
        <v>P1</v>
      </c>
      <c r="D107" s="414" t="str" cm="1">
        <f t="array" ref="D107">_xlfn.TEXTJOIN("",TRUE,IF(ISNUMBER(SEARCH($A107,'Diags Raw Data'!$A$6:$A$3768)),CONCATENATE('Diags Raw Data'!$H$6:$H$3768,", "),""))</f>
        <v xml:space="preserve">LS08_4_NMI_Check_X2APIC.stf, </v>
      </c>
      <c r="E107" s="415" t="str">
        <f>VLOOKUP(A107,'Diags Raw Data'!$A$6:$D$3768,4,FALSE)</f>
        <v>APIC-10</v>
      </c>
      <c r="F107" s="415" t="str">
        <f>VLOOKUP(A107,'Feature Raw Data'!$A$3:$E$3847,5,FALSE)</f>
        <v>Legacy</v>
      </c>
      <c r="G107" s="415" t="str">
        <f t="shared" si="34"/>
        <v>Yes</v>
      </c>
      <c r="H107" s="415" t="str">
        <f t="shared" si="35"/>
        <v>Yes</v>
      </c>
      <c r="I107" s="417">
        <f>SUMIF('Diags Raw Data'!$A$6:$A$3768,"*"&amp;$A107&amp;"*",'Diags Raw Data'!$K$6:$K$3768)</f>
        <v>1</v>
      </c>
      <c r="J107" s="418">
        <f>SUMIF('Diags Raw Data'!$A$6:$A$3768,"*"&amp;$A107&amp;"*",'Diags Raw Data'!$L$6:$L$3768)</f>
        <v>1</v>
      </c>
      <c r="K107" s="443" cm="1">
        <f t="array" ref="K107">IF(D107="",0, SUMPRODUCT(--(ISNUMBER(SEARCH($A107,'Diags Raw Data'!$A$6:$A$3766))),'Diags Raw Data'!$L$6:$L$3766,'Diags Raw Data'!$N$6:$N$3766)/J107)</f>
        <v>1</v>
      </c>
      <c r="L107" s="444" cm="1">
        <f t="array" ref="L107">IF(D107="",0, SUMPRODUCT(--(ISNUMBER(SEARCH($A107,'Diags Raw Data'!$A$6:$A$3766))),'Diags Raw Data'!$L$6:$L$3766,'Diags Raw Data'!$P$6:$P$3766)/J107)</f>
        <v>1</v>
      </c>
      <c r="M107" s="445" cm="1">
        <f t="array" ref="M107">SUMPRODUCT(--(ISNUMBER(SEARCH($A107,'Diags Raw Data'!$A$6:$A$3766))),--('Diags Raw Data'!$Q$6:$Q$3766&lt;&gt;"N/A"),'Diags Raw Data'!$T$6:$T$3766)+SUMPRODUCT(--(ISNUMBER(SEARCH($A107,'Diags Raw Data'!$A$6:$A$3766))),--('Diags Raw Data'!$Q$6:$Q$3766&lt;&gt;"N/A"),'Diags Raw Data'!$U$6:$U$3766)</f>
        <v>1</v>
      </c>
      <c r="N107" s="445" cm="1">
        <f t="array" ref="N107">SUMPRODUCT(--(ISNUMBER(SEARCH($A107,'Diags Raw Data'!$A$6:$A$3766))),--('Diags Raw Data'!$Q$6:$Q$3766&lt;&gt;"N/A"),'Diags Raw Data'!$T$6:$T$3766)+SUMPRODUCT(--(ISNUMBER(SEARCH($A107,'Diags Raw Data'!$A$6:$A$3766))),--('Diags Raw Data'!$Q$6:$Q$3766&lt;&gt;"N/A"),'Diags Raw Data'!$U$6:$U$3766)</f>
        <v>1</v>
      </c>
      <c r="O107" s="446">
        <f t="shared" si="24"/>
        <v>1</v>
      </c>
      <c r="P107" s="447">
        <f>SUMIF('Diags Raw Data'!$A$6:$A$3766,"*"&amp;$A107&amp;"*",'Diags Raw Data'!$Z$6:$Z$3766)</f>
        <v>1</v>
      </c>
      <c r="Q107" s="448">
        <f>SUM(SUMIF('Diags Raw Data'!$A$6:$A$3766,"*"&amp;$A107&amp;"*",'Diags Raw Data'!$AA$6:$AA$3766),SUMIF('Diags Raw Data'!$A$6:$A$3766,"*"&amp;$A107&amp;"*",'Diags Raw Data'!$AB$6:$AB$3766))</f>
        <v>1</v>
      </c>
      <c r="R107" s="449">
        <f t="shared" si="25"/>
        <v>1</v>
      </c>
      <c r="S107" s="449">
        <f t="shared" si="26"/>
        <v>1</v>
      </c>
      <c r="T107" s="450">
        <f t="shared" si="27"/>
        <v>1</v>
      </c>
      <c r="U107" s="419"/>
      <c r="V107" s="181"/>
    </row>
    <row r="108" spans="1:22" ht="50.25" customHeight="1" thickBot="1">
      <c r="A108" s="321" t="s">
        <v>859</v>
      </c>
      <c r="B108" s="412" t="str">
        <f>VLOOKUP(A108,'Feature Raw Data'!$A$3:$B$3847,2,FALSE)</f>
        <v>WS.CDL.X2Apic.X2APIC_Self_IPI_X2APIC</v>
      </c>
      <c r="C108" s="413" t="str">
        <f>VLOOKUP(A108,'Feature Raw Data'!$A$3:$C$3929,3,FALSE)</f>
        <v>P1</v>
      </c>
      <c r="D108" s="414" t="str" cm="1">
        <f t="array" ref="D108">_xlfn.TEXTJOIN("",TRUE,IF(ISNUMBER(SEARCH($A108,'Diags Raw Data'!$A$6:$A$3768)),CONCATENATE('Diags Raw Data'!$H$6:$H$3768,", "),""))</f>
        <v xml:space="preserve">LS08_8_Self_IPI_X2APIC.stf, </v>
      </c>
      <c r="E108" s="415" t="str">
        <f>VLOOKUP(A108,'Diags Raw Data'!$A$6:$D$3768,4,FALSE)</f>
        <v>APIC-10</v>
      </c>
      <c r="F108" s="415" t="str">
        <f>VLOOKUP(A108,'Feature Raw Data'!$A$3:$E$3847,5,FALSE)</f>
        <v>Legacy</v>
      </c>
      <c r="G108" s="415" t="str">
        <f t="shared" si="34"/>
        <v>Yes</v>
      </c>
      <c r="H108" s="415" t="str">
        <f t="shared" si="35"/>
        <v>Yes</v>
      </c>
      <c r="I108" s="417">
        <f>SUMIF('Diags Raw Data'!$A$6:$A$3768,"*"&amp;$A108&amp;"*",'Diags Raw Data'!$K$6:$K$3768)</f>
        <v>1</v>
      </c>
      <c r="J108" s="418">
        <f>SUMIF('Diags Raw Data'!$A$6:$A$3768,"*"&amp;$A108&amp;"*",'Diags Raw Data'!$L$6:$L$3768)</f>
        <v>1</v>
      </c>
      <c r="K108" s="443" cm="1">
        <f t="array" ref="K108">IF(D108="",0, SUMPRODUCT(--(ISNUMBER(SEARCH($A108,'Diags Raw Data'!$A$6:$A$3766))),'Diags Raw Data'!$L$6:$L$3766,'Diags Raw Data'!$N$6:$N$3766)/J108)</f>
        <v>1</v>
      </c>
      <c r="L108" s="444" cm="1">
        <f t="array" ref="L108">IF(D108="",0, SUMPRODUCT(--(ISNUMBER(SEARCH($A108,'Diags Raw Data'!$A$6:$A$3766))),'Diags Raw Data'!$L$6:$L$3766,'Diags Raw Data'!$P$6:$P$3766)/J108)</f>
        <v>1</v>
      </c>
      <c r="M108" s="445" cm="1">
        <f t="array" ref="M108">SUMPRODUCT(--(ISNUMBER(SEARCH($A108,'Diags Raw Data'!$A$6:$A$3766))),--('Diags Raw Data'!$Q$6:$Q$3766&lt;&gt;"N/A"),'Diags Raw Data'!$T$6:$T$3766)+SUMPRODUCT(--(ISNUMBER(SEARCH($A108,'Diags Raw Data'!$A$6:$A$3766))),--('Diags Raw Data'!$Q$6:$Q$3766&lt;&gt;"N/A"),'Diags Raw Data'!$U$6:$U$3766)</f>
        <v>1</v>
      </c>
      <c r="N108" s="445" cm="1">
        <f t="array" ref="N108">SUMPRODUCT(--(ISNUMBER(SEARCH($A108,'Diags Raw Data'!$A$6:$A$3766))),--('Diags Raw Data'!$Q$6:$Q$3766&lt;&gt;"N/A"),'Diags Raw Data'!$T$6:$T$3766)+SUMPRODUCT(--(ISNUMBER(SEARCH($A108,'Diags Raw Data'!$A$6:$A$3766))),--('Diags Raw Data'!$Q$6:$Q$3766&lt;&gt;"N/A"),'Diags Raw Data'!$U$6:$U$3766)</f>
        <v>1</v>
      </c>
      <c r="O108" s="446">
        <f t="shared" si="24"/>
        <v>1</v>
      </c>
      <c r="P108" s="447">
        <f>SUMIF('Diags Raw Data'!$A$6:$A$3766,"*"&amp;$A108&amp;"*",'Diags Raw Data'!$Z$6:$Z$3766)</f>
        <v>1</v>
      </c>
      <c r="Q108" s="448">
        <f>SUM(SUMIF('Diags Raw Data'!$A$6:$A$3766,"*"&amp;$A108&amp;"*",'Diags Raw Data'!$AA$6:$AA$3766),SUMIF('Diags Raw Data'!$A$6:$A$3766,"*"&amp;$A108&amp;"*",'Diags Raw Data'!$AB$6:$AB$3766))</f>
        <v>1</v>
      </c>
      <c r="R108" s="449">
        <f t="shared" si="25"/>
        <v>1</v>
      </c>
      <c r="S108" s="449">
        <f t="shared" si="26"/>
        <v>1</v>
      </c>
      <c r="T108" s="450">
        <f t="shared" si="27"/>
        <v>1</v>
      </c>
      <c r="U108" s="419"/>
      <c r="V108" s="181"/>
    </row>
    <row r="109" spans="1:22" ht="60" customHeight="1" thickBot="1">
      <c r="A109" s="321" t="s">
        <v>865</v>
      </c>
      <c r="B109" s="412" t="str">
        <f>VLOOKUP(A109,'Feature Raw Data'!$A$3:$B$3847,2,FALSE)</f>
        <v>WS.CDL.X2Apic.X2APIC_SMI_Check_X2APIC</v>
      </c>
      <c r="C109" s="413" t="str">
        <f>VLOOKUP(A109,'Feature Raw Data'!$A$3:$C$3929,3,FALSE)</f>
        <v>P1</v>
      </c>
      <c r="D109" s="414" t="str" cm="1">
        <f t="array" ref="D109">_xlfn.TEXTJOIN("",TRUE,IF(ISNUMBER(SEARCH($A109,'Diags Raw Data'!$A$6:$A$3768)),CONCATENATE('Diags Raw Data'!$H$6:$H$3768,", "),""))</f>
        <v xml:space="preserve">LS08_7_SMI_Check_X2APIC.stf, </v>
      </c>
      <c r="E109" s="415" t="str">
        <f>VLOOKUP(A109,'Diags Raw Data'!$A$6:$D$3768,4,FALSE)</f>
        <v>APIC-10</v>
      </c>
      <c r="F109" s="415" t="str">
        <f>VLOOKUP(A109,'Feature Raw Data'!$A$3:$E$3847,5,FALSE)</f>
        <v>Legacy</v>
      </c>
      <c r="G109" s="415" t="str">
        <f t="shared" si="34"/>
        <v>Yes</v>
      </c>
      <c r="H109" s="415" t="str">
        <f t="shared" si="35"/>
        <v>Yes</v>
      </c>
      <c r="I109" s="417">
        <f>SUMIF('Diags Raw Data'!$A$6:$A$3768,"*"&amp;$A109&amp;"*",'Diags Raw Data'!$K$6:$K$3768)</f>
        <v>1</v>
      </c>
      <c r="J109" s="418">
        <f>SUMIF('Diags Raw Data'!$A$6:$A$3768,"*"&amp;$A109&amp;"*",'Diags Raw Data'!$L$6:$L$3768)</f>
        <v>1</v>
      </c>
      <c r="K109" s="443" cm="1">
        <f t="array" ref="K109">IF(D109="",0, SUMPRODUCT(--(ISNUMBER(SEARCH($A109,'Diags Raw Data'!$A$6:$A$3766))),'Diags Raw Data'!$L$6:$L$3766,'Diags Raw Data'!$N$6:$N$3766)/J109)</f>
        <v>1</v>
      </c>
      <c r="L109" s="444" cm="1">
        <f t="array" ref="L109">IF(D109="",0, SUMPRODUCT(--(ISNUMBER(SEARCH($A109,'Diags Raw Data'!$A$6:$A$3766))),'Diags Raw Data'!$L$6:$L$3766,'Diags Raw Data'!$P$6:$P$3766)/J109)</f>
        <v>1</v>
      </c>
      <c r="M109" s="445" cm="1">
        <f t="array" ref="M109">SUMPRODUCT(--(ISNUMBER(SEARCH($A109,'Diags Raw Data'!$A$6:$A$3766))),--('Diags Raw Data'!$Q$6:$Q$3766&lt;&gt;"N/A"),'Diags Raw Data'!$T$6:$T$3766)+SUMPRODUCT(--(ISNUMBER(SEARCH($A109,'Diags Raw Data'!$A$6:$A$3766))),--('Diags Raw Data'!$Q$6:$Q$3766&lt;&gt;"N/A"),'Diags Raw Data'!$U$6:$U$3766)</f>
        <v>1</v>
      </c>
      <c r="N109" s="445" cm="1">
        <f t="array" ref="N109">SUMPRODUCT(--(ISNUMBER(SEARCH($A109,'Diags Raw Data'!$A$6:$A$3766))),--('Diags Raw Data'!$Q$6:$Q$3766&lt;&gt;"N/A"),'Diags Raw Data'!$T$6:$T$3766)+SUMPRODUCT(--(ISNUMBER(SEARCH($A109,'Diags Raw Data'!$A$6:$A$3766))),--('Diags Raw Data'!$Q$6:$Q$3766&lt;&gt;"N/A"),'Diags Raw Data'!$U$6:$U$3766)</f>
        <v>1</v>
      </c>
      <c r="O109" s="446">
        <f t="shared" si="24"/>
        <v>1</v>
      </c>
      <c r="P109" s="447">
        <f>SUMIF('Diags Raw Data'!$A$6:$A$3766,"*"&amp;$A109&amp;"*",'Diags Raw Data'!$Z$6:$Z$3766)</f>
        <v>1</v>
      </c>
      <c r="Q109" s="448">
        <f>SUM(SUMIF('Diags Raw Data'!$A$6:$A$3766,"*"&amp;$A109&amp;"*",'Diags Raw Data'!$AA$6:$AA$3766),SUMIF('Diags Raw Data'!$A$6:$A$3766,"*"&amp;$A109&amp;"*",'Diags Raw Data'!$AB$6:$AB$3766))</f>
        <v>1</v>
      </c>
      <c r="R109" s="449">
        <f t="shared" si="25"/>
        <v>1</v>
      </c>
      <c r="S109" s="449">
        <f t="shared" si="26"/>
        <v>1</v>
      </c>
      <c r="T109" s="450">
        <f t="shared" si="27"/>
        <v>1</v>
      </c>
      <c r="U109" s="419"/>
      <c r="V109" s="181"/>
    </row>
    <row r="110" spans="1:22" ht="58.5" thickBot="1">
      <c r="A110" s="321" t="s">
        <v>871</v>
      </c>
      <c r="B110" s="412" t="str">
        <f>VLOOKUP(A110,'Feature Raw Data'!$A$3:$B$3847,2,FALSE)</f>
        <v>WS.CDL.X2Apic.X2APIC_Timer_LVT_X2APIC</v>
      </c>
      <c r="C110" s="413" t="str">
        <f>VLOOKUP(A110,'Feature Raw Data'!$A$3:$C$3929,3,FALSE)</f>
        <v>P2</v>
      </c>
      <c r="D110" s="414" t="str" cm="1">
        <f t="array" ref="D110">_xlfn.TEXTJOIN("",TRUE,IF(ISNUMBER(SEARCH($A110,'Diags Raw Data'!$A$6:$A$3768)),CONCATENATE('Diags Raw Data'!$H$6:$H$3768,", "),""))</f>
        <v xml:space="preserve">LS08_9_Timer_LVT_X2APIC.stf, </v>
      </c>
      <c r="E110" s="415" t="str">
        <f>VLOOKUP(A110,'Diags Raw Data'!$A$6:$D$3768,4,FALSE)</f>
        <v>APIC-10</v>
      </c>
      <c r="F110" s="415" t="str">
        <f>VLOOKUP(A110,'Feature Raw Data'!$A$3:$E$3847,5,FALSE)</f>
        <v>Legacy</v>
      </c>
      <c r="G110" s="415" t="str">
        <f t="shared" si="34"/>
        <v>Yes</v>
      </c>
      <c r="H110" s="415" t="str">
        <f t="shared" si="35"/>
        <v>Yes</v>
      </c>
      <c r="I110" s="417">
        <f>SUMIF('Diags Raw Data'!$A$6:$A$3768,"*"&amp;$A110&amp;"*",'Diags Raw Data'!$K$6:$K$3768)</f>
        <v>1</v>
      </c>
      <c r="J110" s="418">
        <f>SUMIF('Diags Raw Data'!$A$6:$A$3768,"*"&amp;$A110&amp;"*",'Diags Raw Data'!$L$6:$L$3768)</f>
        <v>1</v>
      </c>
      <c r="K110" s="443" cm="1">
        <f t="array" ref="K110">IF(D110="",0, SUMPRODUCT(--(ISNUMBER(SEARCH($A110,'Diags Raw Data'!$A$6:$A$3766))),'Diags Raw Data'!$L$6:$L$3766,'Diags Raw Data'!$N$6:$N$3766)/J110)</f>
        <v>1</v>
      </c>
      <c r="L110" s="444" cm="1">
        <f t="array" ref="L110">IF(D110="",0, SUMPRODUCT(--(ISNUMBER(SEARCH($A110,'Diags Raw Data'!$A$6:$A$3766))),'Diags Raw Data'!$L$6:$L$3766,'Diags Raw Data'!$P$6:$P$3766)/J110)</f>
        <v>1</v>
      </c>
      <c r="M110" s="445" cm="1">
        <f t="array" ref="M110">SUMPRODUCT(--(ISNUMBER(SEARCH($A110,'Diags Raw Data'!$A$6:$A$3766))),--('Diags Raw Data'!$Q$6:$Q$3766&lt;&gt;"N/A"),'Diags Raw Data'!$T$6:$T$3766)+SUMPRODUCT(--(ISNUMBER(SEARCH($A110,'Diags Raw Data'!$A$6:$A$3766))),--('Diags Raw Data'!$Q$6:$Q$3766&lt;&gt;"N/A"),'Diags Raw Data'!$U$6:$U$3766)</f>
        <v>1</v>
      </c>
      <c r="N110" s="445" cm="1">
        <f t="array" ref="N110">SUMPRODUCT(--(ISNUMBER(SEARCH($A110,'Diags Raw Data'!$A$6:$A$3766))),--('Diags Raw Data'!$Q$6:$Q$3766&lt;&gt;"N/A"),'Diags Raw Data'!$T$6:$T$3766)+SUMPRODUCT(--(ISNUMBER(SEARCH($A110,'Diags Raw Data'!$A$6:$A$3766))),--('Diags Raw Data'!$Q$6:$Q$3766&lt;&gt;"N/A"),'Diags Raw Data'!$U$6:$U$3766)</f>
        <v>1</v>
      </c>
      <c r="O110" s="446">
        <f t="shared" si="24"/>
        <v>1</v>
      </c>
      <c r="P110" s="447">
        <f>SUMIF('Diags Raw Data'!$A$6:$A$3766,"*"&amp;$A110&amp;"*",'Diags Raw Data'!$Z$6:$Z$3766)</f>
        <v>1</v>
      </c>
      <c r="Q110" s="448">
        <f>SUM(SUMIF('Diags Raw Data'!$A$6:$A$3766,"*"&amp;$A110&amp;"*",'Diags Raw Data'!$AA$6:$AA$3766),SUMIF('Diags Raw Data'!$A$6:$A$3766,"*"&amp;$A110&amp;"*",'Diags Raw Data'!$AB$6:$AB$3766))</f>
        <v>1</v>
      </c>
      <c r="R110" s="449">
        <f t="shared" si="25"/>
        <v>1</v>
      </c>
      <c r="S110" s="449">
        <f t="shared" si="26"/>
        <v>1</v>
      </c>
      <c r="T110" s="450">
        <f t="shared" si="27"/>
        <v>1</v>
      </c>
      <c r="U110" s="419" t="s">
        <v>1076</v>
      </c>
      <c r="V110" s="181"/>
    </row>
    <row r="111" spans="1:22" ht="58.5" thickBot="1">
      <c r="A111" s="321" t="s">
        <v>877</v>
      </c>
      <c r="B111" s="412" t="str">
        <f>VLOOKUP(A111,'Feature Raw Data'!$A$3:$B$3847,2,FALSE)</f>
        <v>WS.CDL.X2Apic.X2APIC_Performance_Counter_LVT_X2APIC</v>
      </c>
      <c r="C111" s="413" t="str">
        <f>VLOOKUP(A111,'Feature Raw Data'!$A$3:$C$3929,3,FALSE)</f>
        <v>P2</v>
      </c>
      <c r="D111" s="414" t="str" cm="1">
        <f t="array" ref="D111">_xlfn.TEXTJOIN("",TRUE,IF(ISNUMBER(SEARCH($A111,'Diags Raw Data'!$A$6:$A$3768)),CONCATENATE('Diags Raw Data'!$H$6:$H$3768,", "),""))</f>
        <v xml:space="preserve">LS08_6_Performance_Counter_LVT_X2APIC.stf, </v>
      </c>
      <c r="E111" s="415" t="str">
        <f>VLOOKUP(A111,'Diags Raw Data'!$A$6:$D$3768,4,FALSE)</f>
        <v>APIC-10</v>
      </c>
      <c r="F111" s="415" t="str">
        <f>VLOOKUP(A111,'Feature Raw Data'!$A$3:$E$3847,5,FALSE)</f>
        <v>Legacy</v>
      </c>
      <c r="G111" s="415" t="str">
        <f t="shared" si="34"/>
        <v>Yes</v>
      </c>
      <c r="H111" s="415" t="str">
        <f t="shared" si="35"/>
        <v>Yes</v>
      </c>
      <c r="I111" s="417">
        <f>SUMIF('Diags Raw Data'!$A$6:$A$3768,"*"&amp;$A111&amp;"*",'Diags Raw Data'!$K$6:$K$3768)</f>
        <v>1</v>
      </c>
      <c r="J111" s="418">
        <f>SUMIF('Diags Raw Data'!$A$6:$A$3768,"*"&amp;$A111&amp;"*",'Diags Raw Data'!$L$6:$L$3768)</f>
        <v>1</v>
      </c>
      <c r="K111" s="443" cm="1">
        <f t="array" ref="K111">IF(D111="",0, SUMPRODUCT(--(ISNUMBER(SEARCH($A111,'Diags Raw Data'!$A$6:$A$3766))),'Diags Raw Data'!$L$6:$L$3766,'Diags Raw Data'!$N$6:$N$3766)/J111)</f>
        <v>1</v>
      </c>
      <c r="L111" s="444" cm="1">
        <f t="array" ref="L111">IF(D111="",0, SUMPRODUCT(--(ISNUMBER(SEARCH($A111,'Diags Raw Data'!$A$6:$A$3766))),'Diags Raw Data'!$L$6:$L$3766,'Diags Raw Data'!$P$6:$P$3766)/J111)</f>
        <v>1</v>
      </c>
      <c r="M111" s="445" cm="1">
        <f t="array" ref="M111">SUMPRODUCT(--(ISNUMBER(SEARCH($A111,'Diags Raw Data'!$A$6:$A$3766))),--('Diags Raw Data'!$Q$6:$Q$3766&lt;&gt;"N/A"),'Diags Raw Data'!$T$6:$T$3766)+SUMPRODUCT(--(ISNUMBER(SEARCH($A111,'Diags Raw Data'!$A$6:$A$3766))),--('Diags Raw Data'!$Q$6:$Q$3766&lt;&gt;"N/A"),'Diags Raw Data'!$U$6:$U$3766)</f>
        <v>1</v>
      </c>
      <c r="N111" s="445" cm="1">
        <f t="array" ref="N111">SUMPRODUCT(--(ISNUMBER(SEARCH($A111,'Diags Raw Data'!$A$6:$A$3766))),--('Diags Raw Data'!$Q$6:$Q$3766&lt;&gt;"N/A"),'Diags Raw Data'!$T$6:$T$3766)+SUMPRODUCT(--(ISNUMBER(SEARCH($A111,'Diags Raw Data'!$A$6:$A$3766))),--('Diags Raw Data'!$Q$6:$Q$3766&lt;&gt;"N/A"),'Diags Raw Data'!$U$6:$U$3766)</f>
        <v>1</v>
      </c>
      <c r="O111" s="446">
        <f t="shared" si="24"/>
        <v>1</v>
      </c>
      <c r="P111" s="447">
        <f>SUMIF('Diags Raw Data'!$A$6:$A$3766,"*"&amp;$A111&amp;"*",'Diags Raw Data'!$Z$6:$Z$3766)</f>
        <v>1</v>
      </c>
      <c r="Q111" s="448">
        <f>SUM(SUMIF('Diags Raw Data'!$A$6:$A$3766,"*"&amp;$A111&amp;"*",'Diags Raw Data'!$AA$6:$AA$3766),SUMIF('Diags Raw Data'!$A$6:$A$3766,"*"&amp;$A111&amp;"*",'Diags Raw Data'!$AB$6:$AB$3766))</f>
        <v>1</v>
      </c>
      <c r="R111" s="449">
        <f t="shared" si="25"/>
        <v>1</v>
      </c>
      <c r="S111" s="449">
        <f t="shared" si="26"/>
        <v>1</v>
      </c>
      <c r="T111" s="450">
        <f t="shared" si="27"/>
        <v>1</v>
      </c>
      <c r="U111" s="419" t="s">
        <v>1076</v>
      </c>
      <c r="V111" s="181"/>
    </row>
    <row r="112" spans="1:22" ht="58.5" thickBot="1">
      <c r="A112" s="321" t="s">
        <v>883</v>
      </c>
      <c r="B112" s="412" t="str">
        <f>VLOOKUP(A112,'Feature Raw Data'!$A$3:$B$3847,2,FALSE)</f>
        <v>WS.CDL.X2Apic.X2APIC_Error_LVT_X2APIC</v>
      </c>
      <c r="C112" s="413" t="str">
        <f>VLOOKUP(A112,'Feature Raw Data'!$A$3:$C$3929,3,FALSE)</f>
        <v>P2</v>
      </c>
      <c r="D112" s="414" t="str" cm="1">
        <f t="array" ref="D112">_xlfn.TEXTJOIN("",TRUE,IF(ISNUMBER(SEARCH($A112,'Diags Raw Data'!$A$6:$A$3768)),CONCATENATE('Diags Raw Data'!$H$6:$H$3768,", "),""))</f>
        <v xml:space="preserve">LS08_1_Error_LVT_X2APIC.stf, </v>
      </c>
      <c r="E112" s="415" t="str">
        <f>VLOOKUP(A112,'Diags Raw Data'!$A$6:$D$3768,4,FALSE)</f>
        <v>APIC-10</v>
      </c>
      <c r="F112" s="415" t="str">
        <f>VLOOKUP(A112,'Feature Raw Data'!$A$3:$E$3847,5,FALSE)</f>
        <v>Legacy</v>
      </c>
      <c r="G112" s="415" t="str">
        <f t="shared" si="34"/>
        <v>Yes</v>
      </c>
      <c r="H112" s="415" t="str">
        <f t="shared" si="35"/>
        <v>Yes</v>
      </c>
      <c r="I112" s="417">
        <f>SUMIF('Diags Raw Data'!$A$6:$A$3768,"*"&amp;$A112&amp;"*",'Diags Raw Data'!$K$6:$K$3768)</f>
        <v>1</v>
      </c>
      <c r="J112" s="418">
        <f>SUMIF('Diags Raw Data'!$A$6:$A$3768,"*"&amp;$A112&amp;"*",'Diags Raw Data'!$L$6:$L$3768)</f>
        <v>1</v>
      </c>
      <c r="K112" s="443" cm="1">
        <f t="array" ref="K112">IF(D112="",0, SUMPRODUCT(--(ISNUMBER(SEARCH($A112,'Diags Raw Data'!$A$6:$A$3766))),'Diags Raw Data'!$L$6:$L$3766,'Diags Raw Data'!$N$6:$N$3766)/J112)</f>
        <v>1</v>
      </c>
      <c r="L112" s="444" cm="1">
        <f t="array" ref="L112">IF(D112="",0, SUMPRODUCT(--(ISNUMBER(SEARCH($A112,'Diags Raw Data'!$A$6:$A$3766))),'Diags Raw Data'!$L$6:$L$3766,'Diags Raw Data'!$P$6:$P$3766)/J112)</f>
        <v>1</v>
      </c>
      <c r="M112" s="445" cm="1">
        <f t="array" ref="M112">SUMPRODUCT(--(ISNUMBER(SEARCH($A112,'Diags Raw Data'!$A$6:$A$3766))),--('Diags Raw Data'!$Q$6:$Q$3766&lt;&gt;"N/A"),'Diags Raw Data'!$T$6:$T$3766)+SUMPRODUCT(--(ISNUMBER(SEARCH($A112,'Diags Raw Data'!$A$6:$A$3766))),--('Diags Raw Data'!$Q$6:$Q$3766&lt;&gt;"N/A"),'Diags Raw Data'!$U$6:$U$3766)</f>
        <v>1</v>
      </c>
      <c r="N112" s="445" cm="1">
        <f t="array" ref="N112">SUMPRODUCT(--(ISNUMBER(SEARCH($A112,'Diags Raw Data'!$A$6:$A$3766))),--('Diags Raw Data'!$Q$6:$Q$3766&lt;&gt;"N/A"),'Diags Raw Data'!$T$6:$T$3766)+SUMPRODUCT(--(ISNUMBER(SEARCH($A112,'Diags Raw Data'!$A$6:$A$3766))),--('Diags Raw Data'!$Q$6:$Q$3766&lt;&gt;"N/A"),'Diags Raw Data'!$U$6:$U$3766)</f>
        <v>1</v>
      </c>
      <c r="O112" s="446">
        <f t="shared" si="24"/>
        <v>1</v>
      </c>
      <c r="P112" s="447">
        <f>SUMIF('Diags Raw Data'!$A$6:$A$3766,"*"&amp;$A112&amp;"*",'Diags Raw Data'!$Z$6:$Z$3766)</f>
        <v>1</v>
      </c>
      <c r="Q112" s="448">
        <f>SUM(SUMIF('Diags Raw Data'!$A$6:$A$3766,"*"&amp;$A112&amp;"*",'Diags Raw Data'!$AA$6:$AA$3766),SUMIF('Diags Raw Data'!$A$6:$A$3766,"*"&amp;$A112&amp;"*",'Diags Raw Data'!$AB$6:$AB$3766))</f>
        <v>1</v>
      </c>
      <c r="R112" s="449">
        <f t="shared" si="25"/>
        <v>1</v>
      </c>
      <c r="S112" s="449">
        <f t="shared" si="26"/>
        <v>1</v>
      </c>
      <c r="T112" s="450">
        <f t="shared" si="27"/>
        <v>1</v>
      </c>
      <c r="U112" s="419" t="s">
        <v>1076</v>
      </c>
      <c r="V112" s="181"/>
    </row>
    <row r="113" spans="1:22" ht="62.25" customHeight="1" thickBot="1">
      <c r="A113" s="321" t="s">
        <v>889</v>
      </c>
      <c r="B113" s="412" t="str">
        <f>VLOOKUP(A113,'Feature Raw Data'!$A$3:$B$3847,2,FALSE)</f>
        <v>WS.CDL.X2Apic.X2APIC_5_NMI_Flood_X2APIC</v>
      </c>
      <c r="C113" s="413" t="str">
        <f>VLOOKUP(A113,'Feature Raw Data'!$A$3:$C$3929,3,FALSE)</f>
        <v>P2</v>
      </c>
      <c r="D113" s="414" t="str" cm="1">
        <f t="array" ref="D113">_xlfn.TEXTJOIN("",TRUE,IF(ISNUMBER(SEARCH($A113,'Diags Raw Data'!$A$6:$A$3768)),CONCATENATE('Diags Raw Data'!$H$6:$H$3768,", "),""))</f>
        <v xml:space="preserve">LS08_5_NMI_Flood_X2APIC.stf, </v>
      </c>
      <c r="E113" s="415" t="str">
        <f>VLOOKUP(A113,'Diags Raw Data'!$A$6:$D$3768,4,FALSE)</f>
        <v>APIC-10</v>
      </c>
      <c r="F113" s="415" t="str">
        <f>VLOOKUP(A113,'Feature Raw Data'!$A$3:$E$3847,5,FALSE)</f>
        <v>Legacy</v>
      </c>
      <c r="G113" s="415" t="str">
        <f t="shared" si="34"/>
        <v>Yes</v>
      </c>
      <c r="H113" s="415" t="str">
        <f t="shared" si="35"/>
        <v>Yes</v>
      </c>
      <c r="I113" s="417">
        <f>SUMIF('Diags Raw Data'!$A$6:$A$3768,"*"&amp;$A113&amp;"*",'Diags Raw Data'!$K$6:$K$3768)</f>
        <v>1</v>
      </c>
      <c r="J113" s="418">
        <f>SUMIF('Diags Raw Data'!$A$6:$A$3768,"*"&amp;$A113&amp;"*",'Diags Raw Data'!$L$6:$L$3768)</f>
        <v>1</v>
      </c>
      <c r="K113" s="443" cm="1">
        <f t="array" ref="K113">IF(D113="",0, SUMPRODUCT(--(ISNUMBER(SEARCH($A113,'Diags Raw Data'!$A$6:$A$3766))),'Diags Raw Data'!$L$6:$L$3766,'Diags Raw Data'!$N$6:$N$3766)/J113)</f>
        <v>1</v>
      </c>
      <c r="L113" s="444" cm="1">
        <f t="array" ref="L113">IF(D113="",0, SUMPRODUCT(--(ISNUMBER(SEARCH($A113,'Diags Raw Data'!$A$6:$A$3766))),'Diags Raw Data'!$L$6:$L$3766,'Diags Raw Data'!$P$6:$P$3766)/J113)</f>
        <v>1</v>
      </c>
      <c r="M113" s="445" cm="1">
        <f t="array" ref="M113">SUMPRODUCT(--(ISNUMBER(SEARCH($A113,'Diags Raw Data'!$A$6:$A$3766))),--('Diags Raw Data'!$Q$6:$Q$3766&lt;&gt;"N/A"),'Diags Raw Data'!$T$6:$T$3766)+SUMPRODUCT(--(ISNUMBER(SEARCH($A113,'Diags Raw Data'!$A$6:$A$3766))),--('Diags Raw Data'!$Q$6:$Q$3766&lt;&gt;"N/A"),'Diags Raw Data'!$U$6:$U$3766)</f>
        <v>1</v>
      </c>
      <c r="N113" s="445" cm="1">
        <f t="array" ref="N113">SUMPRODUCT(--(ISNUMBER(SEARCH($A113,'Diags Raw Data'!$A$6:$A$3766))),--('Diags Raw Data'!$Q$6:$Q$3766&lt;&gt;"N/A"),'Diags Raw Data'!$T$6:$T$3766)+SUMPRODUCT(--(ISNUMBER(SEARCH($A113,'Diags Raw Data'!$A$6:$A$3766))),--('Diags Raw Data'!$Q$6:$Q$3766&lt;&gt;"N/A"),'Diags Raw Data'!$U$6:$U$3766)</f>
        <v>1</v>
      </c>
      <c r="O113" s="446">
        <f t="shared" si="24"/>
        <v>1</v>
      </c>
      <c r="P113" s="447">
        <f>SUMIF('Diags Raw Data'!$A$6:$A$3766,"*"&amp;$A113&amp;"*",'Diags Raw Data'!$Z$6:$Z$3766)</f>
        <v>1</v>
      </c>
      <c r="Q113" s="448">
        <f>SUM(SUMIF('Diags Raw Data'!$A$6:$A$3766,"*"&amp;$A113&amp;"*",'Diags Raw Data'!$AA$6:$AA$3766),SUMIF('Diags Raw Data'!$A$6:$A$3766,"*"&amp;$A113&amp;"*",'Diags Raw Data'!$AB$6:$AB$3766))</f>
        <v>1</v>
      </c>
      <c r="R113" s="449">
        <f t="shared" si="25"/>
        <v>1</v>
      </c>
      <c r="S113" s="449">
        <f t="shared" si="26"/>
        <v>1</v>
      </c>
      <c r="T113" s="450">
        <f t="shared" si="27"/>
        <v>1</v>
      </c>
      <c r="U113" s="419" t="s">
        <v>1078</v>
      </c>
      <c r="V113" s="181"/>
    </row>
    <row r="114" spans="1:22" ht="67.5" customHeight="1" thickBot="1">
      <c r="A114" s="321" t="s">
        <v>893</v>
      </c>
      <c r="B114" s="412" t="str">
        <f>VLOOKUP(A114,'Feature Raw Data'!$A$3:$B$3847,2,FALSE)</f>
        <v>WS.CDL.X2Apic.X2APIC_IOAPIC_Interrupts_X2APIC</v>
      </c>
      <c r="C114" s="413" t="str">
        <f>VLOOKUP(A114,'Feature Raw Data'!$A$3:$C$3929,3,FALSE)</f>
        <v>P2</v>
      </c>
      <c r="D114" s="414" t="str" cm="1">
        <f t="array" ref="D114">_xlfn.TEXTJOIN("",TRUE,IF(ISNUMBER(SEARCH($A114,'Diags Raw Data'!$A$6:$A$3768)),CONCATENATE('Diags Raw Data'!$H$6:$H$3768,", "),""))</f>
        <v xml:space="preserve">LS08_3_IOAPIC_Interrupts_X2APIC.stf, </v>
      </c>
      <c r="E114" s="415" t="str">
        <f>VLOOKUP(A114,'Diags Raw Data'!$A$6:$D$3768,4,FALSE)</f>
        <v>APIC-10</v>
      </c>
      <c r="F114" s="415" t="str">
        <f>VLOOKUP(A114,'Feature Raw Data'!$A$3:$E$3847,5,FALSE)</f>
        <v>Legacy</v>
      </c>
      <c r="G114" s="415" t="str">
        <f t="shared" si="34"/>
        <v>Yes</v>
      </c>
      <c r="H114" s="415" t="str">
        <f t="shared" si="35"/>
        <v>Yes</v>
      </c>
      <c r="I114" s="417">
        <f>SUMIF('Diags Raw Data'!$A$6:$A$3768,"*"&amp;$A114&amp;"*",'Diags Raw Data'!$K$6:$K$3768)</f>
        <v>1</v>
      </c>
      <c r="J114" s="418">
        <f>SUMIF('Diags Raw Data'!$A$6:$A$3768,"*"&amp;$A114&amp;"*",'Diags Raw Data'!$L$6:$L$3768)</f>
        <v>1</v>
      </c>
      <c r="K114" s="443" cm="1">
        <f t="array" ref="K114">IF(D114="",0, SUMPRODUCT(--(ISNUMBER(SEARCH($A114,'Diags Raw Data'!$A$6:$A$3766))),'Diags Raw Data'!$L$6:$L$3766,'Diags Raw Data'!$N$6:$N$3766)/J114)</f>
        <v>1</v>
      </c>
      <c r="L114" s="444" cm="1">
        <f t="array" ref="L114">IF(D114="",0, SUMPRODUCT(--(ISNUMBER(SEARCH($A114,'Diags Raw Data'!$A$6:$A$3766))),'Diags Raw Data'!$L$6:$L$3766,'Diags Raw Data'!$P$6:$P$3766)/J114)</f>
        <v>1</v>
      </c>
      <c r="M114" s="445" cm="1">
        <f t="array" ref="M114">SUMPRODUCT(--(ISNUMBER(SEARCH($A114,'Diags Raw Data'!$A$6:$A$3766))),--('Diags Raw Data'!$Q$6:$Q$3766&lt;&gt;"N/A"),'Diags Raw Data'!$T$6:$T$3766)+SUMPRODUCT(--(ISNUMBER(SEARCH($A114,'Diags Raw Data'!$A$6:$A$3766))),--('Diags Raw Data'!$Q$6:$Q$3766&lt;&gt;"N/A"),'Diags Raw Data'!$U$6:$U$3766)</f>
        <v>0</v>
      </c>
      <c r="N114" s="445" cm="1">
        <f t="array" ref="N114">SUMPRODUCT(--(ISNUMBER(SEARCH($A114,'Diags Raw Data'!$A$6:$A$3766))),--('Diags Raw Data'!$Q$6:$Q$3766&lt;&gt;"N/A"),'Diags Raw Data'!$T$6:$T$3766)+SUMPRODUCT(--(ISNUMBER(SEARCH($A114,'Diags Raw Data'!$A$6:$A$3766))),--('Diags Raw Data'!$Q$6:$Q$3766&lt;&gt;"N/A"),'Diags Raw Data'!$U$6:$U$3766)</f>
        <v>0</v>
      </c>
      <c r="O114" s="446">
        <f t="shared" si="24"/>
        <v>0</v>
      </c>
      <c r="P114" s="447">
        <f>SUMIF('Diags Raw Data'!$A$6:$A$3766,"*"&amp;$A114&amp;"*",'Diags Raw Data'!$Z$6:$Z$3766)</f>
        <v>0</v>
      </c>
      <c r="Q114" s="448">
        <f>SUM(SUMIF('Diags Raw Data'!$A$6:$A$3766,"*"&amp;$A114&amp;"*",'Diags Raw Data'!$AA$6:$AA$3766),SUMIF('Diags Raw Data'!$A$6:$A$3766,"*"&amp;$A114&amp;"*",'Diags Raw Data'!$AB$6:$AB$3766))</f>
        <v>0</v>
      </c>
      <c r="R114" s="449">
        <f t="shared" si="25"/>
        <v>0</v>
      </c>
      <c r="S114" s="449">
        <f t="shared" si="26"/>
        <v>0</v>
      </c>
      <c r="T114" s="450">
        <f t="shared" si="27"/>
        <v>0</v>
      </c>
      <c r="U114" s="419" t="s">
        <v>1078</v>
      </c>
      <c r="V114" s="181"/>
    </row>
    <row r="115" spans="1:22" ht="51.75" customHeight="1" thickBot="1">
      <c r="A115" s="321" t="s">
        <v>899</v>
      </c>
      <c r="B115" s="412" t="str">
        <f>VLOOKUP(A115,'Feature Raw Data'!$A$3:$B$3847,2,FALSE)</f>
        <v>WS.CDL.X2Apic.X2APIC_APIC Stress</v>
      </c>
      <c r="C115" s="413" t="str">
        <f>VLOOKUP(A115,'Feature Raw Data'!$A$3:$C$3929,3,FALSE)</f>
        <v>P2</v>
      </c>
      <c r="D115" s="414" t="str" cm="1">
        <f t="array" ref="D115">_xlfn.TEXTJOIN("",TRUE,IF(ISNUMBER(SEARCH($A115,'Diags Raw Data'!$A$6:$A$3768)),CONCATENATE('Diags Raw Data'!$H$6:$H$3768,", "),""))</f>
        <v xml:space="preserve">X2APIC_Stress_Test.stf, </v>
      </c>
      <c r="E115" s="415" t="str">
        <f>VLOOKUP(A115,'Diags Raw Data'!$A$6:$D$3768,4,FALSE)</f>
        <v>APIC-10</v>
      </c>
      <c r="F115" s="415" t="str">
        <f>VLOOKUP(A115,'Feature Raw Data'!$A$3:$E$3847,5,FALSE)</f>
        <v>Legacy</v>
      </c>
      <c r="G115" s="415" t="str">
        <f t="shared" si="34"/>
        <v>Yes</v>
      </c>
      <c r="H115" s="415" t="str">
        <f t="shared" si="35"/>
        <v>Yes</v>
      </c>
      <c r="I115" s="417">
        <f>SUMIF('Diags Raw Data'!$A$6:$A$3768,"*"&amp;$A115&amp;"*",'Diags Raw Data'!$K$6:$K$3768)</f>
        <v>1</v>
      </c>
      <c r="J115" s="418">
        <f>SUMIF('Diags Raw Data'!$A$6:$A$3768,"*"&amp;$A115&amp;"*",'Diags Raw Data'!$L$6:$L$3768)</f>
        <v>1</v>
      </c>
      <c r="K115" s="443" cm="1">
        <f t="array" ref="K115">IF(D115="",0, SUMPRODUCT(--(ISNUMBER(SEARCH($A115,'Diags Raw Data'!$A$6:$A$3766))),'Diags Raw Data'!$L$6:$L$3766,'Diags Raw Data'!$N$6:$N$3766)/J115)</f>
        <v>1</v>
      </c>
      <c r="L115" s="444" cm="1">
        <f t="array" ref="L115">IF(D115="",0, SUMPRODUCT(--(ISNUMBER(SEARCH($A115,'Diags Raw Data'!$A$6:$A$3766))),'Diags Raw Data'!$L$6:$L$3766,'Diags Raw Data'!$P$6:$P$3766)/J115)</f>
        <v>1</v>
      </c>
      <c r="M115" s="445" cm="1">
        <f t="array" ref="M115">SUMPRODUCT(--(ISNUMBER(SEARCH($A115,'Diags Raw Data'!$A$6:$A$3766))),--('Diags Raw Data'!$Q$6:$Q$3766&lt;&gt;"N/A"),'Diags Raw Data'!$T$6:$T$3766)+SUMPRODUCT(--(ISNUMBER(SEARCH($A115,'Diags Raw Data'!$A$6:$A$3766))),--('Diags Raw Data'!$Q$6:$Q$3766&lt;&gt;"N/A"),'Diags Raw Data'!$U$6:$U$3766)</f>
        <v>0</v>
      </c>
      <c r="N115" s="445" cm="1">
        <f t="array" ref="N115">SUMPRODUCT(--(ISNUMBER(SEARCH($A115,'Diags Raw Data'!$A$6:$A$3766))),--('Diags Raw Data'!$Q$6:$Q$3766&lt;&gt;"N/A"),'Diags Raw Data'!$T$6:$T$3766)+SUMPRODUCT(--(ISNUMBER(SEARCH($A115,'Diags Raw Data'!$A$6:$A$3766))),--('Diags Raw Data'!$Q$6:$Q$3766&lt;&gt;"N/A"),'Diags Raw Data'!$U$6:$U$3766)</f>
        <v>0</v>
      </c>
      <c r="O115" s="446">
        <f t="shared" si="24"/>
        <v>0</v>
      </c>
      <c r="P115" s="447">
        <f>SUMIF('Diags Raw Data'!$A$6:$A$3766,"*"&amp;$A115&amp;"*",'Diags Raw Data'!$Z$6:$Z$3766)</f>
        <v>0</v>
      </c>
      <c r="Q115" s="448">
        <f>SUM(SUMIF('Diags Raw Data'!$A$6:$A$3766,"*"&amp;$A115&amp;"*",'Diags Raw Data'!$AA$6:$AA$3766),SUMIF('Diags Raw Data'!$A$6:$A$3766,"*"&amp;$A115&amp;"*",'Diags Raw Data'!$AB$6:$AB$3766))</f>
        <v>0</v>
      </c>
      <c r="R115" s="449">
        <f t="shared" si="25"/>
        <v>0</v>
      </c>
      <c r="S115" s="449">
        <f t="shared" si="26"/>
        <v>0</v>
      </c>
      <c r="T115" s="450">
        <f t="shared" si="27"/>
        <v>0</v>
      </c>
      <c r="U115" s="419"/>
      <c r="V115" s="181"/>
    </row>
    <row r="116" spans="1:22" ht="58.5" thickBot="1">
      <c r="A116" s="321" t="s">
        <v>905</v>
      </c>
      <c r="B116" s="412" t="str">
        <f>VLOOKUP(A116,'Feature Raw Data'!$A$3:$B$3847,2,FALSE)</f>
        <v>WS.Storm.SVM.BasicSVMFeatures</v>
      </c>
      <c r="C116" s="413" t="str">
        <f>VLOOKUP(A116,'Feature Raw Data'!$A$3:$C$3929,3,FALSE)</f>
        <v>P2</v>
      </c>
      <c r="D116" s="414" t="str" cm="1">
        <f t="array" ref="D116">_xlfn.TEXTJOIN("",TRUE,IF(ISNUMBER(SEARCH($A116,'Diags Raw Data'!$A$6:$A$3768)),CONCATENATE('Diags Raw Data'!$H$6:$H$3768,", "),""))</f>
        <v xml:space="preserve">svm_migration.yml
, </v>
      </c>
      <c r="E116" s="415" t="str">
        <f>VLOOKUP(A116,'Diags Raw Data'!$A$6:$D$3768,4,FALSE)</f>
        <v>SVM-12</v>
      </c>
      <c r="F116" s="415" t="str">
        <f>VLOOKUP(A116,'Feature Raw Data'!$A$3:$E$3847,5,FALSE)</f>
        <v>Legacy</v>
      </c>
      <c r="G116" s="415" t="str">
        <f t="shared" si="34"/>
        <v>Yes</v>
      </c>
      <c r="H116" s="415" t="str">
        <f t="shared" si="35"/>
        <v>Yes</v>
      </c>
      <c r="I116" s="417">
        <f>SUMIF('Diags Raw Data'!$A$6:$A$3768,"*"&amp;$A116&amp;"*",'Diags Raw Data'!$K$6:$K$3768)</f>
        <v>1</v>
      </c>
      <c r="J116" s="418">
        <f>SUMIF('Diags Raw Data'!$A$6:$A$3768,"*"&amp;$A116&amp;"*",'Diags Raw Data'!$L$6:$L$3768)</f>
        <v>1000</v>
      </c>
      <c r="K116" s="443" cm="1">
        <f t="array" ref="K116">IF(D116="",0, SUMPRODUCT(--(ISNUMBER(SEARCH($A116,'Diags Raw Data'!$A$6:$A$3766))),'Diags Raw Data'!$L$6:$L$3766,'Diags Raw Data'!$N$6:$N$3766)/J116)</f>
        <v>1</v>
      </c>
      <c r="L116" s="444" cm="1">
        <f t="array" ref="L116">IF(D116="",0, SUMPRODUCT(--(ISNUMBER(SEARCH($A116,'Diags Raw Data'!$A$6:$A$3766))),'Diags Raw Data'!$L$6:$L$3766,'Diags Raw Data'!$P$6:$P$3766)/J116)</f>
        <v>1</v>
      </c>
      <c r="M116" s="445" cm="1">
        <f t="array" ref="M116">SUMPRODUCT(--(ISNUMBER(SEARCH($A116,'Diags Raw Data'!$A$6:$A$3766))),--('Diags Raw Data'!$Q$6:$Q$3766&lt;&gt;"N/A"),'Diags Raw Data'!$T$6:$T$3766)+SUMPRODUCT(--(ISNUMBER(SEARCH($A116,'Diags Raw Data'!$A$6:$A$3766))),--('Diags Raw Data'!$Q$6:$Q$3766&lt;&gt;"N/A"),'Diags Raw Data'!$U$6:$U$3766)</f>
        <v>1000</v>
      </c>
      <c r="N116" s="445" cm="1">
        <f t="array" ref="N116">SUMPRODUCT(--(ISNUMBER(SEARCH($A116,'Diags Raw Data'!$A$6:$A$3766))),--('Diags Raw Data'!$Q$6:$Q$3766&lt;&gt;"N/A"),'Diags Raw Data'!$T$6:$T$3766)+SUMPRODUCT(--(ISNUMBER(SEARCH($A116,'Diags Raw Data'!$A$6:$A$3766))),--('Diags Raw Data'!$Q$6:$Q$3766&lt;&gt;"N/A"),'Diags Raw Data'!$U$6:$U$3766)</f>
        <v>1000</v>
      </c>
      <c r="O116" s="446">
        <f t="shared" si="24"/>
        <v>1</v>
      </c>
      <c r="P116" s="447">
        <f>SUMIF('Diags Raw Data'!$A$6:$A$3766,"*"&amp;$A116&amp;"*",'Diags Raw Data'!$Z$6:$Z$3766)</f>
        <v>2000</v>
      </c>
      <c r="Q116" s="448">
        <f>SUM(SUMIF('Diags Raw Data'!$A$6:$A$3766,"*"&amp;$A116&amp;"*",'Diags Raw Data'!$AA$6:$AA$3766),SUMIF('Diags Raw Data'!$A$6:$A$3766,"*"&amp;$A116&amp;"*",'Diags Raw Data'!$AB$6:$AB$3766))</f>
        <v>2000</v>
      </c>
      <c r="R116" s="449">
        <f t="shared" si="25"/>
        <v>2</v>
      </c>
      <c r="S116" s="449">
        <f t="shared" si="26"/>
        <v>1</v>
      </c>
      <c r="T116" s="450">
        <f t="shared" si="27"/>
        <v>2</v>
      </c>
      <c r="U116" s="419" t="s">
        <v>1076</v>
      </c>
      <c r="V116" s="181"/>
    </row>
    <row r="117" spans="1:22" ht="58.5" thickBot="1">
      <c r="A117" s="321" t="s">
        <v>912</v>
      </c>
      <c r="B117" s="412" t="str">
        <f>VLOOKUP(A117,'Feature Raw Data'!$A$3:$B$3847,2,FALSE)</f>
        <v>WS.Storm.SVM.svm_vmexit_invalid</v>
      </c>
      <c r="C117" s="413" t="str">
        <f>VLOOKUP(A117,'Feature Raw Data'!$A$3:$C$3929,3,FALSE)</f>
        <v>P4</v>
      </c>
      <c r="D117" s="414" t="str" cm="1">
        <f t="array" ref="D117">_xlfn.TEXTJOIN("",TRUE,IF(ISNUMBER(SEARCH($A117,'Diags Raw Data'!$A$6:$A$3768)),CONCATENATE('Diags Raw Data'!$H$6:$H$3768,", "),""))</f>
        <v xml:space="preserve">vmexit_invalid.yml
, </v>
      </c>
      <c r="E117" s="415" t="str">
        <f>VLOOKUP(A117,'Diags Raw Data'!$A$6:$D$3768,4,FALSE)</f>
        <v>SVM-12</v>
      </c>
      <c r="F117" s="415" t="str">
        <f>VLOOKUP(A117,'Feature Raw Data'!$A$3:$E$3847,5,FALSE)</f>
        <v>Legacy</v>
      </c>
      <c r="G117" s="415" t="str">
        <f t="shared" si="34"/>
        <v>Yes</v>
      </c>
      <c r="H117" s="415" t="str">
        <f t="shared" si="35"/>
        <v>Yes</v>
      </c>
      <c r="I117" s="417">
        <f>SUMIF('Diags Raw Data'!$A$6:$A$3768,"*"&amp;$A117&amp;"*",'Diags Raw Data'!$K$6:$K$3768)</f>
        <v>1</v>
      </c>
      <c r="J117" s="418">
        <f>SUMIF('Diags Raw Data'!$A$6:$A$3768,"*"&amp;$A117&amp;"*",'Diags Raw Data'!$L$6:$L$3768)</f>
        <v>1000</v>
      </c>
      <c r="K117" s="443" cm="1">
        <f t="array" ref="K117">IF(D117="",0, SUMPRODUCT(--(ISNUMBER(SEARCH($A117,'Diags Raw Data'!$A$6:$A$3766))),'Diags Raw Data'!$L$6:$L$3766,'Diags Raw Data'!$N$6:$N$3766)/J117)</f>
        <v>1</v>
      </c>
      <c r="L117" s="444" cm="1">
        <f t="array" ref="L117">IF(D117="",0, SUMPRODUCT(--(ISNUMBER(SEARCH($A117,'Diags Raw Data'!$A$6:$A$3766))),'Diags Raw Data'!$L$6:$L$3766,'Diags Raw Data'!$P$6:$P$3766)/J117)</f>
        <v>1</v>
      </c>
      <c r="M117" s="445" cm="1">
        <f t="array" ref="M117">SUMPRODUCT(--(ISNUMBER(SEARCH($A117,'Diags Raw Data'!$A$6:$A$3766))),--('Diags Raw Data'!$Q$6:$Q$3766&lt;&gt;"N/A"),'Diags Raw Data'!$T$6:$T$3766)+SUMPRODUCT(--(ISNUMBER(SEARCH($A117,'Diags Raw Data'!$A$6:$A$3766))),--('Diags Raw Data'!$Q$6:$Q$3766&lt;&gt;"N/A"),'Diags Raw Data'!$U$6:$U$3766)</f>
        <v>1719</v>
      </c>
      <c r="N117" s="445" cm="1">
        <f t="array" ref="N117">SUMPRODUCT(--(ISNUMBER(SEARCH($A117,'Diags Raw Data'!$A$6:$A$3766))),--('Diags Raw Data'!$Q$6:$Q$3766&lt;&gt;"N/A"),'Diags Raw Data'!$T$6:$T$3766)+SUMPRODUCT(--(ISNUMBER(SEARCH($A117,'Diags Raw Data'!$A$6:$A$3766))),--('Diags Raw Data'!$Q$6:$Q$3766&lt;&gt;"N/A"),'Diags Raw Data'!$U$6:$U$3766)</f>
        <v>1719</v>
      </c>
      <c r="O117" s="446">
        <f t="shared" si="24"/>
        <v>1</v>
      </c>
      <c r="P117" s="447">
        <f>SUMIF('Diags Raw Data'!$A$6:$A$3766,"*"&amp;$A117&amp;"*",'Diags Raw Data'!$Z$6:$Z$3766)</f>
        <v>2000</v>
      </c>
      <c r="Q117" s="448">
        <f>SUM(SUMIF('Diags Raw Data'!$A$6:$A$3766,"*"&amp;$A117&amp;"*",'Diags Raw Data'!$AA$6:$AA$3766),SUMIF('Diags Raw Data'!$A$6:$A$3766,"*"&amp;$A117&amp;"*",'Diags Raw Data'!$AB$6:$AB$3766))</f>
        <v>2000</v>
      </c>
      <c r="R117" s="449">
        <f t="shared" si="25"/>
        <v>2</v>
      </c>
      <c r="S117" s="449">
        <f t="shared" si="26"/>
        <v>1</v>
      </c>
      <c r="T117" s="450">
        <f t="shared" si="27"/>
        <v>2</v>
      </c>
      <c r="U117" s="419" t="s">
        <v>1076</v>
      </c>
      <c r="V117" s="181"/>
    </row>
    <row r="118" spans="1:22" ht="116.45" thickBot="1">
      <c r="A118" s="321" t="s">
        <v>917</v>
      </c>
      <c r="B118" s="412" t="str">
        <f>VLOOKUP(A118,'Feature Raw Data'!$A$3:$B$3847,2,FALSE)</f>
        <v>WS.CDL.CDLOverSVM.Diag1</v>
      </c>
      <c r="C118" s="413" t="str">
        <f>VLOOKUP(A118,'Feature Raw Data'!$A$3:$C$3929,3,FALSE)</f>
        <v>P1</v>
      </c>
      <c r="D118" s="414" t="e" cm="1">
        <f t="array" ref="D118">_xlfn.TEXTJOIN("",TRUE,IF(ISNUMBER(SEARCH($A118,'Diags Raw Data'!$A$6:$A$3768)),CONCATENATE('Diags Raw Data'!$H$6:$H$3768,", "),""))</f>
        <v>#VALUE!</v>
      </c>
      <c r="E118" s="415" t="str">
        <f>VLOOKUP(A118,'Diags Raw Data'!$A$6:$D$3768,4,FALSE)</f>
        <v>SVM-12</v>
      </c>
      <c r="F118" s="415" t="str">
        <f>VLOOKUP(A118,'Feature Raw Data'!$A$3:$E$3847,5,FALSE)</f>
        <v>Legacy</v>
      </c>
      <c r="G118" s="415" t="e">
        <f t="shared" si="34"/>
        <v>#VALUE!</v>
      </c>
      <c r="H118" s="415" t="e">
        <f t="shared" si="35"/>
        <v>#VALUE!</v>
      </c>
      <c r="I118" s="417">
        <f>SUMIF('Diags Raw Data'!$A$6:$A$3768,"*"&amp;$A118&amp;"*",'Diags Raw Data'!$K$6:$K$3768)</f>
        <v>1</v>
      </c>
      <c r="J118" s="418">
        <f>SUMIF('Diags Raw Data'!$A$6:$A$3768,"*"&amp;$A118&amp;"*",'Diags Raw Data'!$L$6:$L$3768)</f>
        <v>2</v>
      </c>
      <c r="K118" s="443" t="e" cm="1">
        <f t="array" ref="K118">IF(D118="",0, SUMPRODUCT(--(ISNUMBER(SEARCH($A118,'Diags Raw Data'!$A$6:$A$3766))),'Diags Raw Data'!$L$6:$L$3766,'Diags Raw Data'!$N$6:$N$3766)/J118)</f>
        <v>#VALUE!</v>
      </c>
      <c r="L118" s="444" t="e" cm="1">
        <f t="array" ref="L118">IF(D118="",0, SUMPRODUCT(--(ISNUMBER(SEARCH($A118,'Diags Raw Data'!$A$6:$A$3766))),'Diags Raw Data'!$L$6:$L$3766,'Diags Raw Data'!$P$6:$P$3766)/J118)</f>
        <v>#VALUE!</v>
      </c>
      <c r="M118" s="445" cm="1">
        <f t="array" ref="M118">SUMPRODUCT(--(ISNUMBER(SEARCH($A118,'Diags Raw Data'!$A$6:$A$3766))),--('Diags Raw Data'!$Q$6:$Q$3766&lt;&gt;"N/A"),'Diags Raw Data'!$T$6:$T$3766)+SUMPRODUCT(--(ISNUMBER(SEARCH($A118,'Diags Raw Data'!$A$6:$A$3766))),--('Diags Raw Data'!$Q$6:$Q$3766&lt;&gt;"N/A"),'Diags Raw Data'!$U$6:$U$3766)</f>
        <v>10</v>
      </c>
      <c r="N118" s="445" cm="1">
        <f t="array" ref="N118">SUMPRODUCT(--(ISNUMBER(SEARCH($A118,'Diags Raw Data'!$A$6:$A$3766))),--('Diags Raw Data'!$Q$6:$Q$3766&lt;&gt;"N/A"),'Diags Raw Data'!$T$6:$T$3766)+SUMPRODUCT(--(ISNUMBER(SEARCH($A118,'Diags Raw Data'!$A$6:$A$3766))),--('Diags Raw Data'!$Q$6:$Q$3766&lt;&gt;"N/A"),'Diags Raw Data'!$U$6:$U$3766)</f>
        <v>10</v>
      </c>
      <c r="O118" s="446">
        <f t="shared" ref="O118" si="36">IF((M118=0),0,N118/M118)</f>
        <v>1</v>
      </c>
      <c r="P118" s="447">
        <f>SUMIF('Diags Raw Data'!$A$6:$A$3766,"*"&amp;$A118&amp;"*",'Diags Raw Data'!$Z$6:$Z$3766)</f>
        <v>2</v>
      </c>
      <c r="Q118" s="448">
        <f>SUM(SUMIF('Diags Raw Data'!$A$6:$A$3766,"*"&amp;$A118&amp;"*",'Diags Raw Data'!$AA$6:$AA$3766),SUMIF('Diags Raw Data'!$A$6:$A$3766,"*"&amp;$A118&amp;"*",'Diags Raw Data'!$AB$6:$AB$3766))</f>
        <v>2</v>
      </c>
      <c r="R118" s="449">
        <f t="shared" ref="R118" si="37">IF((J118=0),0,P118/J118)</f>
        <v>1</v>
      </c>
      <c r="S118" s="449">
        <f t="shared" ref="S118" si="38">IF((P118=0),0,Q118/P118)</f>
        <v>1</v>
      </c>
      <c r="T118" s="450">
        <f t="shared" ref="T118" si="39">R118*S118</f>
        <v>1</v>
      </c>
      <c r="U118" s="419"/>
      <c r="V118" s="181"/>
    </row>
    <row r="119" spans="1:22" ht="44.1" thickBot="1">
      <c r="A119" s="321" t="s">
        <v>922</v>
      </c>
      <c r="B119" s="412" t="str">
        <f>VLOOKUP(A119,'Feature Raw Data'!$A$3:$B$3847,2,FALSE)</f>
        <v>WS.IT.CDL.CrossSMTPair.IT_Group_1</v>
      </c>
      <c r="C119" s="413" t="str">
        <f>VLOOKUP(A119,'Feature Raw Data'!$A$3:$C$3929,3,FALSE)</f>
        <v>P1</v>
      </c>
      <c r="D119" s="414" t="str" cm="1">
        <f t="array" ref="D119">_xlfn.TEXTJOIN("",TRUE,IF(ISNUMBER(SEARCH($A119,'Diags Raw Data'!$A$6:$A$3768)),CONCATENATE('Diags Raw Data'!$H$6:$H$3768,", "),""))</f>
        <v xml:space="preserve">
command_input_short_list_Turin.yaml  can  found here
https://confluence.amd.com/download/attachments/772258342/command_input_short_list_Turin.yaml?api=v2
, </v>
      </c>
      <c r="E119" s="415" t="str">
        <f>VLOOKUP(A119,'Diags Raw Data'!$A$6:$D$3768,4,FALSE)</f>
        <v>IT-11</v>
      </c>
      <c r="F119" s="415" t="str">
        <f>VLOOKUP(A119,'Feature Raw Data'!$A$3:$E$3847,5,FALSE)</f>
        <v>Legacy</v>
      </c>
      <c r="G119" s="415" t="str">
        <f t="shared" ref="G119:G127" si="40">IF(D119="","No","Yes")</f>
        <v>Yes</v>
      </c>
      <c r="H119" s="415" t="str">
        <f t="shared" ref="H119:H127" si="41">IF(D119="","No","Yes")</f>
        <v>Yes</v>
      </c>
      <c r="I119" s="417">
        <f>SUMIF('Diags Raw Data'!$A$6:$A$3768,"*"&amp;$A119&amp;"*",'Diags Raw Data'!$K$6:$K$3768)</f>
        <v>1</v>
      </c>
      <c r="J119" s="418">
        <f>SUMIF('Diags Raw Data'!$A$6:$A$3768,"*"&amp;$A119&amp;"*",'Diags Raw Data'!$L$6:$L$3768)</f>
        <v>10</v>
      </c>
      <c r="K119" s="443" cm="1">
        <f t="array" ref="K119">IF(D119="",0, SUMPRODUCT(--(ISNUMBER(SEARCH($A119,'Diags Raw Data'!$A$6:$A$3766))),'Diags Raw Data'!$L$6:$L$3766,'Diags Raw Data'!$N$6:$N$3766)/J119)</f>
        <v>1</v>
      </c>
      <c r="L119" s="444" cm="1">
        <f t="array" ref="L119">IF(D119="",0, SUMPRODUCT(--(ISNUMBER(SEARCH($A119,'Diags Raw Data'!$A$6:$A$3766))),'Diags Raw Data'!$L$6:$L$3766,'Diags Raw Data'!$P$6:$P$3766)/J119)</f>
        <v>1</v>
      </c>
      <c r="M119" s="445" cm="1">
        <f t="array" ref="M119">SUMPRODUCT(--(ISNUMBER(SEARCH($A119,'Diags Raw Data'!$A$6:$A$3766))),--('Diags Raw Data'!$Q$6:$Q$3766&lt;&gt;"N/A"),'Diags Raw Data'!$T$6:$T$3766)+SUMPRODUCT(--(ISNUMBER(SEARCH($A119,'Diags Raw Data'!$A$6:$A$3766))),--('Diags Raw Data'!$Q$6:$Q$3766&lt;&gt;"N/A"),'Diags Raw Data'!$U$6:$U$3766)</f>
        <v>10</v>
      </c>
      <c r="N119" s="445" cm="1">
        <f t="array" ref="N119">SUMPRODUCT(--(ISNUMBER(SEARCH($A119,'Diags Raw Data'!$A$6:$A$3766))),--('Diags Raw Data'!$Q$6:$Q$3766&lt;&gt;"N/A"),'Diags Raw Data'!$T$6:$T$3766)+SUMPRODUCT(--(ISNUMBER(SEARCH($A119,'Diags Raw Data'!$A$6:$A$3766))),--('Diags Raw Data'!$Q$6:$Q$3766&lt;&gt;"N/A"),'Diags Raw Data'!$U$6:$U$3766)</f>
        <v>10</v>
      </c>
      <c r="O119" s="446">
        <f t="shared" ref="O119:O149" si="42">IF((M119=0),0,N119/M119)</f>
        <v>1</v>
      </c>
      <c r="P119" s="447">
        <f>SUMIF('Diags Raw Data'!$A$6:$A$3766,"*"&amp;$A119&amp;"*",'Diags Raw Data'!$Z$6:$Z$3766)</f>
        <v>10</v>
      </c>
      <c r="Q119" s="448">
        <f>SUM(SUMIF('Diags Raw Data'!$A$6:$A$3766,"*"&amp;$A119&amp;"*",'Diags Raw Data'!$AA$6:$AA$3766),SUMIF('Diags Raw Data'!$A$6:$A$3766,"*"&amp;$A119&amp;"*",'Diags Raw Data'!$AB$6:$AB$3766))</f>
        <v>10</v>
      </c>
      <c r="R119" s="449">
        <f t="shared" ref="R119:R149" si="43">IF((J119=0),0,P119/J119)</f>
        <v>1</v>
      </c>
      <c r="S119" s="449">
        <f t="shared" ref="S119:S149" si="44">IF((P119=0),0,Q119/P119)</f>
        <v>1</v>
      </c>
      <c r="T119" s="450">
        <f t="shared" ref="T119:T149" si="45">R119*S119</f>
        <v>1</v>
      </c>
      <c r="U119" s="419"/>
      <c r="V119" s="181"/>
    </row>
    <row r="120" spans="1:22" ht="72.95" thickBot="1">
      <c r="A120" s="321" t="s">
        <v>930</v>
      </c>
      <c r="B120" s="412" t="str">
        <f>VLOOKUP(A120,'Feature Raw Data'!$A$3:$B$3847,2,FALSE)</f>
        <v>WS.IT.CDL.CrossSMTPair.IT_Group_2</v>
      </c>
      <c r="C120" s="413" t="str">
        <f>VLOOKUP(A120,'Feature Raw Data'!$A$3:$C$3929,3,FALSE)</f>
        <v>P1</v>
      </c>
      <c r="D120" s="414" t="str" cm="1">
        <f t="array" ref="D120">_xlfn.TEXTJOIN("",TRUE,IF(ISNUMBER(SEARCH($A120,'Diags Raw Data'!$A$6:$A$3768)),CONCATENATE('Diags Raw Data'!$H$6:$H$3768,", "),""))</f>
        <v xml:space="preserve">
command_input_short_list_Turin.yaml  can  found here
https://confluence.amd.com/download/attachments/772258342/command_input_short_list_Turin.yaml?api=v2, </v>
      </c>
      <c r="E120" s="415" t="str">
        <f>VLOOKUP(A120,'Diags Raw Data'!$A$6:$D$3768,4,FALSE)</f>
        <v>IT-11</v>
      </c>
      <c r="F120" s="415" t="str">
        <f>VLOOKUP(A120,'Feature Raw Data'!$A$3:$E$3847,5,FALSE)</f>
        <v>Legacy</v>
      </c>
      <c r="G120" s="415" t="str">
        <f t="shared" si="40"/>
        <v>Yes</v>
      </c>
      <c r="H120" s="415" t="str">
        <f t="shared" si="41"/>
        <v>Yes</v>
      </c>
      <c r="I120" s="417">
        <f>SUMIF('Diags Raw Data'!$A$6:$A$3768,"*"&amp;$A120&amp;"*",'Diags Raw Data'!$K$6:$K$3768)</f>
        <v>1</v>
      </c>
      <c r="J120" s="418">
        <f>SUMIF('Diags Raw Data'!$A$6:$A$3768,"*"&amp;$A120&amp;"*",'Diags Raw Data'!$L$6:$L$3768)</f>
        <v>10</v>
      </c>
      <c r="K120" s="443" cm="1">
        <f t="array" ref="K120">IF(D120="",0, SUMPRODUCT(--(ISNUMBER(SEARCH($A120,'Diags Raw Data'!$A$6:$A$3766))),'Diags Raw Data'!$L$6:$L$3766,'Diags Raw Data'!$N$6:$N$3766)/J120)</f>
        <v>1</v>
      </c>
      <c r="L120" s="444" cm="1">
        <f t="array" ref="L120">IF(D120="",0, SUMPRODUCT(--(ISNUMBER(SEARCH($A120,'Diags Raw Data'!$A$6:$A$3766))),'Diags Raw Data'!$L$6:$L$3766,'Diags Raw Data'!$P$6:$P$3766)/J120)</f>
        <v>1</v>
      </c>
      <c r="M120" s="445" cm="1">
        <f t="array" ref="M120">SUMPRODUCT(--(ISNUMBER(SEARCH($A120,'Diags Raw Data'!$A$6:$A$3766))),--('Diags Raw Data'!$Q$6:$Q$3766&lt;&gt;"N/A"),'Diags Raw Data'!$T$6:$T$3766)+SUMPRODUCT(--(ISNUMBER(SEARCH($A120,'Diags Raw Data'!$A$6:$A$3766))),--('Diags Raw Data'!$Q$6:$Q$3766&lt;&gt;"N/A"),'Diags Raw Data'!$U$6:$U$3766)</f>
        <v>10</v>
      </c>
      <c r="N120" s="445" cm="1">
        <f t="array" ref="N120">SUMPRODUCT(--(ISNUMBER(SEARCH($A120,'Diags Raw Data'!$A$6:$A$3766))),--('Diags Raw Data'!$Q$6:$Q$3766&lt;&gt;"N/A"),'Diags Raw Data'!$T$6:$T$3766)+SUMPRODUCT(--(ISNUMBER(SEARCH($A120,'Diags Raw Data'!$A$6:$A$3766))),--('Diags Raw Data'!$Q$6:$Q$3766&lt;&gt;"N/A"),'Diags Raw Data'!$U$6:$U$3766)</f>
        <v>10</v>
      </c>
      <c r="O120" s="446">
        <f t="shared" si="42"/>
        <v>1</v>
      </c>
      <c r="P120" s="447">
        <f>SUMIF('Diags Raw Data'!$A$6:$A$3766,"*"&amp;$A120&amp;"*",'Diags Raw Data'!$Z$6:$Z$3766)</f>
        <v>10</v>
      </c>
      <c r="Q120" s="448">
        <f>SUM(SUMIF('Diags Raw Data'!$A$6:$A$3766,"*"&amp;$A120&amp;"*",'Diags Raw Data'!$AA$6:$AA$3766),SUMIF('Diags Raw Data'!$A$6:$A$3766,"*"&amp;$A120&amp;"*",'Diags Raw Data'!$AB$6:$AB$3766))</f>
        <v>10</v>
      </c>
      <c r="R120" s="449">
        <f t="shared" si="43"/>
        <v>1</v>
      </c>
      <c r="S120" s="449">
        <f t="shared" si="44"/>
        <v>1</v>
      </c>
      <c r="T120" s="450">
        <f t="shared" si="45"/>
        <v>1</v>
      </c>
      <c r="U120" s="419"/>
      <c r="V120" s="181"/>
    </row>
    <row r="121" spans="1:22" ht="246.95" thickBot="1">
      <c r="A121" s="321" t="s">
        <v>934</v>
      </c>
      <c r="B121" s="412" t="str">
        <f>VLOOKUP(A121,'Feature Raw Data'!$A$3:$B$3847,2,FALSE)</f>
        <v>WS.IT.CDL.CrossSMTPair.IT_Group_3</v>
      </c>
      <c r="C121" s="413" t="str">
        <f>VLOOKUP(A121,'Feature Raw Data'!$A$3:$C$3929,3,FALSE)</f>
        <v>P1</v>
      </c>
      <c r="D121" s="414" t="str" cm="1">
        <f t="array" ref="D121">_xlfn.TEXTJOIN("",TRUE,IF(ISNUMBER(SEARCH($A121,'Diags Raw Data'!$A$6:$A$3768)),CONCATENATE('Diags Raw Data'!$H$6:$H$3768,", "),""))</f>
        <v xml:space="preserve">
command_input_short_list_Turin.yaml  can  found here
https://confluence.amd.com/download/attachments/772258342/command_input_short_list_Turin.yaml?api=v2, </v>
      </c>
      <c r="E121" s="415" t="str">
        <f>VLOOKUP(A121,'Diags Raw Data'!$A$6:$D$3768,4,FALSE)</f>
        <v>IT-11</v>
      </c>
      <c r="F121" s="415" t="str">
        <f>VLOOKUP(A121,'Feature Raw Data'!$A$3:$E$3847,5,FALSE)</f>
        <v>Legacy</v>
      </c>
      <c r="G121" s="415" t="str">
        <f t="shared" si="40"/>
        <v>Yes</v>
      </c>
      <c r="H121" s="415" t="str">
        <f t="shared" si="41"/>
        <v>Yes</v>
      </c>
      <c r="I121" s="417">
        <f>SUMIF('Diags Raw Data'!$A$6:$A$3768,"*"&amp;$A121&amp;"*",'Diags Raw Data'!$K$6:$K$3768)</f>
        <v>1</v>
      </c>
      <c r="J121" s="418">
        <f>SUMIF('Diags Raw Data'!$A$6:$A$3768,"*"&amp;$A121&amp;"*",'Diags Raw Data'!$L$6:$L$3768)</f>
        <v>10</v>
      </c>
      <c r="K121" s="443" cm="1">
        <f t="array" ref="K121">IF(D121="",0, SUMPRODUCT(--(ISNUMBER(SEARCH($A121,'Diags Raw Data'!$A$6:$A$3766))),'Diags Raw Data'!$L$6:$L$3766,'Diags Raw Data'!$N$6:$N$3766)/J121)</f>
        <v>1</v>
      </c>
      <c r="L121" s="444" cm="1">
        <f t="array" ref="L121">IF(D121="",0, SUMPRODUCT(--(ISNUMBER(SEARCH($A121,'Diags Raw Data'!$A$6:$A$3766))),'Diags Raw Data'!$L$6:$L$3766,'Diags Raw Data'!$P$6:$P$3766)/J121)</f>
        <v>1</v>
      </c>
      <c r="M121" s="445" cm="1">
        <f t="array" ref="M121">SUMPRODUCT(--(ISNUMBER(SEARCH($A121,'Diags Raw Data'!$A$6:$A$3766))),--('Diags Raw Data'!$Q$6:$Q$3766&lt;&gt;"N/A"),'Diags Raw Data'!$T$6:$T$3766)+SUMPRODUCT(--(ISNUMBER(SEARCH($A121,'Diags Raw Data'!$A$6:$A$3766))),--('Diags Raw Data'!$Q$6:$Q$3766&lt;&gt;"N/A"),'Diags Raw Data'!$U$6:$U$3766)</f>
        <v>10</v>
      </c>
      <c r="N121" s="445" cm="1">
        <f t="array" ref="N121">SUMPRODUCT(--(ISNUMBER(SEARCH($A121,'Diags Raw Data'!$A$6:$A$3766))),--('Diags Raw Data'!$Q$6:$Q$3766&lt;&gt;"N/A"),'Diags Raw Data'!$T$6:$T$3766)+SUMPRODUCT(--(ISNUMBER(SEARCH($A121,'Diags Raw Data'!$A$6:$A$3766))),--('Diags Raw Data'!$Q$6:$Q$3766&lt;&gt;"N/A"),'Diags Raw Data'!$U$6:$U$3766)</f>
        <v>10</v>
      </c>
      <c r="O121" s="446">
        <f t="shared" si="42"/>
        <v>1</v>
      </c>
      <c r="P121" s="447">
        <f>SUMIF('Diags Raw Data'!$A$6:$A$3766,"*"&amp;$A121&amp;"*",'Diags Raw Data'!$Z$6:$Z$3766)</f>
        <v>10</v>
      </c>
      <c r="Q121" s="448">
        <f>SUM(SUMIF('Diags Raw Data'!$A$6:$A$3766,"*"&amp;$A121&amp;"*",'Diags Raw Data'!$AA$6:$AA$3766),SUMIF('Diags Raw Data'!$A$6:$A$3766,"*"&amp;$A121&amp;"*",'Diags Raw Data'!$AB$6:$AB$3766))</f>
        <v>10</v>
      </c>
      <c r="R121" s="449">
        <f t="shared" si="43"/>
        <v>1</v>
      </c>
      <c r="S121" s="449">
        <f t="shared" si="44"/>
        <v>1</v>
      </c>
      <c r="T121" s="450">
        <f t="shared" si="45"/>
        <v>1</v>
      </c>
      <c r="U121" s="419"/>
      <c r="V121" s="181"/>
    </row>
    <row r="122" spans="1:22" ht="15" thickBot="1">
      <c r="A122" s="321" t="s">
        <v>937</v>
      </c>
      <c r="B122" s="412" t="str">
        <f>VLOOKUP(A122,'Feature Raw Data'!$A$3:$B$3847,2,FALSE)</f>
        <v>WS.IT.CDL.CrossSMTPair.IT_Group_4</v>
      </c>
      <c r="C122" s="413" t="str">
        <f>VLOOKUP(A122,'Feature Raw Data'!$A$3:$C$3929,3,FALSE)</f>
        <v>P1</v>
      </c>
      <c r="D122" s="414" t="str" cm="1">
        <f t="array" ref="D122">_xlfn.TEXTJOIN("",TRUE,IF(ISNUMBER(SEARCH($A122,'Diags Raw Data'!$A$6:$A$3768)),CONCATENATE('Diags Raw Data'!$H$6:$H$3768,", "),""))</f>
        <v xml:space="preserve">
command_input_short_list_Turin.yaml  can  found here
https://confluence.amd.com/download/attachments/772258342/command_input_short_list_Turin.yaml?api=v2, </v>
      </c>
      <c r="E122" s="415" t="str">
        <f>VLOOKUP(A122,'Diags Raw Data'!$A$6:$D$3768,4,FALSE)</f>
        <v>IT-11</v>
      </c>
      <c r="F122" s="415" t="str">
        <f>VLOOKUP(A122,'Feature Raw Data'!$A$3:$E$3847,5,FALSE)</f>
        <v>Legacy</v>
      </c>
      <c r="G122" s="415" t="str">
        <f t="shared" si="40"/>
        <v>Yes</v>
      </c>
      <c r="H122" s="415" t="str">
        <f t="shared" si="41"/>
        <v>Yes</v>
      </c>
      <c r="I122" s="417">
        <f>SUMIF('Diags Raw Data'!$A$6:$A$3768,"*"&amp;$A122&amp;"*",'Diags Raw Data'!$K$6:$K$3768)</f>
        <v>1</v>
      </c>
      <c r="J122" s="418">
        <f>SUMIF('Diags Raw Data'!$A$6:$A$3768,"*"&amp;$A122&amp;"*",'Diags Raw Data'!$L$6:$L$3768)</f>
        <v>10</v>
      </c>
      <c r="K122" s="443" cm="1">
        <f t="array" ref="K122">IF(D122="",0, SUMPRODUCT(--(ISNUMBER(SEARCH($A122,'Diags Raw Data'!$A$6:$A$3766))),'Diags Raw Data'!$L$6:$L$3766,'Diags Raw Data'!$N$6:$N$3766)/J122)</f>
        <v>1</v>
      </c>
      <c r="L122" s="444" cm="1">
        <f t="array" ref="L122">IF(D122="",0, SUMPRODUCT(--(ISNUMBER(SEARCH($A122,'Diags Raw Data'!$A$6:$A$3766))),'Diags Raw Data'!$L$6:$L$3766,'Diags Raw Data'!$P$6:$P$3766)/J122)</f>
        <v>1</v>
      </c>
      <c r="M122" s="445" cm="1">
        <f t="array" ref="M122">SUMPRODUCT(--(ISNUMBER(SEARCH($A122,'Diags Raw Data'!$A$6:$A$3766))),--('Diags Raw Data'!$Q$6:$Q$3766&lt;&gt;"N/A"),'Diags Raw Data'!$T$6:$T$3766)+SUMPRODUCT(--(ISNUMBER(SEARCH($A122,'Diags Raw Data'!$A$6:$A$3766))),--('Diags Raw Data'!$Q$6:$Q$3766&lt;&gt;"N/A"),'Diags Raw Data'!$U$6:$U$3766)</f>
        <v>10</v>
      </c>
      <c r="N122" s="445" cm="1">
        <f t="array" ref="N122">SUMPRODUCT(--(ISNUMBER(SEARCH($A122,'Diags Raw Data'!$A$6:$A$3766))),--('Diags Raw Data'!$Q$6:$Q$3766&lt;&gt;"N/A"),'Diags Raw Data'!$T$6:$T$3766)+SUMPRODUCT(--(ISNUMBER(SEARCH($A122,'Diags Raw Data'!$A$6:$A$3766))),--('Diags Raw Data'!$Q$6:$Q$3766&lt;&gt;"N/A"),'Diags Raw Data'!$U$6:$U$3766)</f>
        <v>10</v>
      </c>
      <c r="O122" s="446">
        <f t="shared" si="42"/>
        <v>1</v>
      </c>
      <c r="P122" s="447">
        <f>SUMIF('Diags Raw Data'!$A$6:$A$3766,"*"&amp;$A122&amp;"*",'Diags Raw Data'!$Z$6:$Z$3766)</f>
        <v>10</v>
      </c>
      <c r="Q122" s="448">
        <f>SUM(SUMIF('Diags Raw Data'!$A$6:$A$3766,"*"&amp;$A122&amp;"*",'Diags Raw Data'!$AA$6:$AA$3766),SUMIF('Diags Raw Data'!$A$6:$A$3766,"*"&amp;$A122&amp;"*",'Diags Raw Data'!$AB$6:$AB$3766))</f>
        <v>10</v>
      </c>
      <c r="R122" s="449">
        <f t="shared" si="43"/>
        <v>1</v>
      </c>
      <c r="S122" s="449">
        <f t="shared" si="44"/>
        <v>1</v>
      </c>
      <c r="T122" s="450">
        <f t="shared" si="45"/>
        <v>1</v>
      </c>
      <c r="U122" s="419"/>
      <c r="V122" s="181"/>
    </row>
    <row r="123" spans="1:22" ht="15" thickBot="1">
      <c r="A123" s="321" t="s">
        <v>941</v>
      </c>
      <c r="B123" s="412" t="str">
        <f>VLOOKUP(A123,'Feature Raw Data'!$A$3:$B$3847,2,FALSE)</f>
        <v>WS.IT.CDL.CrossSMTPair.IT_Group_5</v>
      </c>
      <c r="C123" s="413" t="str">
        <f>VLOOKUP(A123,'Feature Raw Data'!$A$3:$C$3929,3,FALSE)</f>
        <v>P1</v>
      </c>
      <c r="D123" s="414" t="str" cm="1">
        <f t="array" ref="D123">_xlfn.TEXTJOIN("",TRUE,IF(ISNUMBER(SEARCH($A123,'Diags Raw Data'!$A$6:$A$3768)),CONCATENATE('Diags Raw Data'!$H$6:$H$3768,", "),""))</f>
        <v xml:space="preserve">
command_input_short_list_Turin.yaml  can  found here
https://confluence.amd.com/download/attachments/772258342/command_input_short_list_Turin.yaml?api=v2, </v>
      </c>
      <c r="E123" s="415" t="str">
        <f>VLOOKUP(A123,'Diags Raw Data'!$A$6:$D$3768,4,FALSE)</f>
        <v>IT-11</v>
      </c>
      <c r="F123" s="415" t="str">
        <f>VLOOKUP(A123,'Feature Raw Data'!$A$3:$E$3847,5,FALSE)</f>
        <v>Legacy</v>
      </c>
      <c r="G123" s="415" t="str">
        <f t="shared" si="40"/>
        <v>Yes</v>
      </c>
      <c r="H123" s="415" t="str">
        <f t="shared" si="41"/>
        <v>Yes</v>
      </c>
      <c r="I123" s="417">
        <f>SUMIF('Diags Raw Data'!$A$6:$A$3768,"*"&amp;$A123&amp;"*",'Diags Raw Data'!$K$6:$K$3768)</f>
        <v>1</v>
      </c>
      <c r="J123" s="418">
        <f>SUMIF('Diags Raw Data'!$A$6:$A$3768,"*"&amp;$A123&amp;"*",'Diags Raw Data'!$L$6:$L$3768)</f>
        <v>10</v>
      </c>
      <c r="K123" s="443" cm="1">
        <f t="array" ref="K123">IF(D123="",0, SUMPRODUCT(--(ISNUMBER(SEARCH($A123,'Diags Raw Data'!$A$6:$A$3766))),'Diags Raw Data'!$L$6:$L$3766,'Diags Raw Data'!$N$6:$N$3766)/J123)</f>
        <v>1</v>
      </c>
      <c r="L123" s="444" cm="1">
        <f t="array" ref="L123">IF(D123="",0, SUMPRODUCT(--(ISNUMBER(SEARCH($A123,'Diags Raw Data'!$A$6:$A$3766))),'Diags Raw Data'!$L$6:$L$3766,'Diags Raw Data'!$P$6:$P$3766)/J123)</f>
        <v>1</v>
      </c>
      <c r="M123" s="445" cm="1">
        <f t="array" ref="M123">SUMPRODUCT(--(ISNUMBER(SEARCH($A123,'Diags Raw Data'!$A$6:$A$3766))),--('Diags Raw Data'!$Q$6:$Q$3766&lt;&gt;"N/A"),'Diags Raw Data'!$T$6:$T$3766)+SUMPRODUCT(--(ISNUMBER(SEARCH($A123,'Diags Raw Data'!$A$6:$A$3766))),--('Diags Raw Data'!$Q$6:$Q$3766&lt;&gt;"N/A"),'Diags Raw Data'!$U$6:$U$3766)</f>
        <v>10</v>
      </c>
      <c r="N123" s="445" cm="1">
        <f t="array" ref="N123">SUMPRODUCT(--(ISNUMBER(SEARCH($A123,'Diags Raw Data'!$A$6:$A$3766))),--('Diags Raw Data'!$Q$6:$Q$3766&lt;&gt;"N/A"),'Diags Raw Data'!$T$6:$T$3766)+SUMPRODUCT(--(ISNUMBER(SEARCH($A123,'Diags Raw Data'!$A$6:$A$3766))),--('Diags Raw Data'!$Q$6:$Q$3766&lt;&gt;"N/A"),'Diags Raw Data'!$U$6:$U$3766)</f>
        <v>10</v>
      </c>
      <c r="O123" s="446">
        <f t="shared" ref="O123:O124" si="46">IF((M123=0),0,N123/M123)</f>
        <v>1</v>
      </c>
      <c r="P123" s="447">
        <f>SUMIF('Diags Raw Data'!$A$6:$A$3766,"*"&amp;$A123&amp;"*",'Diags Raw Data'!$Z$6:$Z$3766)</f>
        <v>10</v>
      </c>
      <c r="Q123" s="448">
        <f>SUM(SUMIF('Diags Raw Data'!$A$6:$A$3766,"*"&amp;$A123&amp;"*",'Diags Raw Data'!$AA$6:$AA$3766),SUMIF('Diags Raw Data'!$A$6:$A$3766,"*"&amp;$A123&amp;"*",'Diags Raw Data'!$AB$6:$AB$3766))</f>
        <v>10</v>
      </c>
      <c r="R123" s="449">
        <f t="shared" ref="R123:R124" si="47">IF((J123=0),0,P123/J123)</f>
        <v>1</v>
      </c>
      <c r="S123" s="449">
        <f t="shared" ref="S123:S124" si="48">IF((P123=0),0,Q123/P123)</f>
        <v>1</v>
      </c>
      <c r="T123" s="450">
        <f t="shared" ref="T123:T124" si="49">R123*S123</f>
        <v>1</v>
      </c>
      <c r="U123" s="419"/>
      <c r="V123" s="181"/>
    </row>
    <row r="124" spans="1:22" ht="72.95" thickBot="1">
      <c r="A124" s="321" t="s">
        <v>944</v>
      </c>
      <c r="B124" s="412" t="str">
        <f>VLOOKUP(A124,'Feature Raw Data'!$A$3:$B$3847,2,FALSE)</f>
        <v>WS.IT.CDL.CrossSMTPair.IT_Group_6</v>
      </c>
      <c r="C124" s="413" t="str">
        <f>VLOOKUP(A124,'Feature Raw Data'!$A$3:$C$3929,3,FALSE)</f>
        <v>P1</v>
      </c>
      <c r="D124" s="414" t="str" cm="1">
        <f t="array" ref="D124">_xlfn.TEXTJOIN("",TRUE,IF(ISNUMBER(SEARCH($A124,'Diags Raw Data'!$A$6:$A$3768)),CONCATENATE('Diags Raw Data'!$H$6:$H$3768,", "),""))</f>
        <v xml:space="preserve">
command_input_short_list_Turin.yaml  can  found here
https://confluence.amd.com/downl, </v>
      </c>
      <c r="E124" s="415" t="str">
        <f>VLOOKUP(A124,'Diags Raw Data'!$A$6:$D$3768,4,FALSE)</f>
        <v>IT-11</v>
      </c>
      <c r="F124" s="415" t="str">
        <f>VLOOKUP(A124,'Feature Raw Data'!$A$3:$E$3847,5,FALSE)</f>
        <v>Legacy</v>
      </c>
      <c r="G124" s="415" t="str">
        <f t="shared" si="40"/>
        <v>Yes</v>
      </c>
      <c r="H124" s="415" t="str">
        <f t="shared" si="41"/>
        <v>Yes</v>
      </c>
      <c r="I124" s="417">
        <f>SUMIF('Diags Raw Data'!$A$6:$A$3768,"*"&amp;$A124&amp;"*",'Diags Raw Data'!$K$6:$K$3768)</f>
        <v>1</v>
      </c>
      <c r="J124" s="418">
        <f>SUMIF('Diags Raw Data'!$A$6:$A$3768,"*"&amp;$A124&amp;"*",'Diags Raw Data'!$L$6:$L$3768)</f>
        <v>10</v>
      </c>
      <c r="K124" s="443" cm="1">
        <f t="array" ref="K124">IF(D124="",0, SUMPRODUCT(--(ISNUMBER(SEARCH($A124,'Diags Raw Data'!$A$6:$A$3766))),'Diags Raw Data'!$L$6:$L$3766,'Diags Raw Data'!$N$6:$N$3766)/J124)</f>
        <v>1</v>
      </c>
      <c r="L124" s="444" cm="1">
        <f t="array" ref="L124">IF(D124="",0, SUMPRODUCT(--(ISNUMBER(SEARCH($A124,'Diags Raw Data'!$A$6:$A$3766))),'Diags Raw Data'!$L$6:$L$3766,'Diags Raw Data'!$P$6:$P$3766)/J124)</f>
        <v>1</v>
      </c>
      <c r="M124" s="445" cm="1">
        <f t="array" ref="M124">SUMPRODUCT(--(ISNUMBER(SEARCH($A124,'Diags Raw Data'!$A$6:$A$3766))),--('Diags Raw Data'!$Q$6:$Q$3766&lt;&gt;"N/A"),'Diags Raw Data'!$T$6:$T$3766)+SUMPRODUCT(--(ISNUMBER(SEARCH($A124,'Diags Raw Data'!$A$6:$A$3766))),--('Diags Raw Data'!$Q$6:$Q$3766&lt;&gt;"N/A"),'Diags Raw Data'!$U$6:$U$3766)</f>
        <v>10</v>
      </c>
      <c r="N124" s="445" cm="1">
        <f t="array" ref="N124">SUMPRODUCT(--(ISNUMBER(SEARCH($A124,'Diags Raw Data'!$A$6:$A$3766))),--('Diags Raw Data'!$Q$6:$Q$3766&lt;&gt;"N/A"),'Diags Raw Data'!$T$6:$T$3766)+SUMPRODUCT(--(ISNUMBER(SEARCH($A124,'Diags Raw Data'!$A$6:$A$3766))),--('Diags Raw Data'!$Q$6:$Q$3766&lt;&gt;"N/A"),'Diags Raw Data'!$U$6:$U$3766)</f>
        <v>10</v>
      </c>
      <c r="O124" s="446">
        <f t="shared" si="46"/>
        <v>1</v>
      </c>
      <c r="P124" s="447">
        <f>SUMIF('Diags Raw Data'!$A$6:$A$3766,"*"&amp;$A124&amp;"*",'Diags Raw Data'!$Z$6:$Z$3766)</f>
        <v>10</v>
      </c>
      <c r="Q124" s="448">
        <f>SUM(SUMIF('Diags Raw Data'!$A$6:$A$3766,"*"&amp;$A124&amp;"*",'Diags Raw Data'!$AA$6:$AA$3766),SUMIF('Diags Raw Data'!$A$6:$A$3766,"*"&amp;$A124&amp;"*",'Diags Raw Data'!$AB$6:$AB$3766))</f>
        <v>10</v>
      </c>
      <c r="R124" s="449">
        <f t="shared" si="47"/>
        <v>1</v>
      </c>
      <c r="S124" s="449">
        <f t="shared" si="48"/>
        <v>1</v>
      </c>
      <c r="T124" s="450">
        <f t="shared" si="49"/>
        <v>1</v>
      </c>
      <c r="U124" s="419"/>
      <c r="V124" s="181"/>
    </row>
    <row r="125" spans="1:22" ht="102" thickBot="1">
      <c r="A125" s="321" t="s">
        <v>948</v>
      </c>
      <c r="B125" s="412" t="str">
        <f>VLOOKUP(A125,'Feature Raw Data'!$A$3:$B$3847,2,FALSE)</f>
        <v>WS.IRR.CDL.BP_CFG_Bit_10</v>
      </c>
      <c r="C125" s="413" t="str">
        <f>VLOOKUP(A125,'Feature Raw Data'!$A$3:$C$3929,3,FALSE)</f>
        <v>P2</v>
      </c>
      <c r="D125" s="414" t="str" cm="1">
        <f t="array" ref="D125">_xlfn.TEXTJOIN("",TRUE,IF(ISNUMBER(SEARCH($A125,'Diags Raw Data'!$A$6:$A$3768)),CONCATENATE('Diags Raw Data'!$H$6:$H$3768,", "),""))</f>
        <v xml:space="preserve">MSR IRR
command_input_short_list_Turin.yaml  can  found here
https://confluence.amd.com/download/attachments/772258342/command_input_short_list_Turin.yaml?api=v2, </v>
      </c>
      <c r="E125" s="415" t="str">
        <f>VLOOKUP(A125,'Diags Raw Data'!$A$6:$D$3768,4,FALSE)</f>
        <v>IRR-13</v>
      </c>
      <c r="F125" s="415" t="str">
        <f>VLOOKUP(A125,'Feature Raw Data'!$A$3:$E$3847,5,FALSE)</f>
        <v>Legacy</v>
      </c>
      <c r="G125" s="415" t="str">
        <f t="shared" si="40"/>
        <v>Yes</v>
      </c>
      <c r="H125" s="415" t="str">
        <f t="shared" si="41"/>
        <v>Yes</v>
      </c>
      <c r="I125" s="417">
        <f>SUMIF('Diags Raw Data'!$A$6:$A$3768,"*"&amp;$A125&amp;"*",'Diags Raw Data'!$K$6:$K$3768)</f>
        <v>1</v>
      </c>
      <c r="J125" s="418">
        <f>SUMIF('Diags Raw Data'!$A$6:$A$3768,"*"&amp;$A125&amp;"*",'Diags Raw Data'!$L$6:$L$3768)</f>
        <v>1</v>
      </c>
      <c r="K125" s="443" cm="1">
        <f t="array" ref="K125">IF(D125="",0, SUMPRODUCT(--(ISNUMBER(SEARCH($A125,'Diags Raw Data'!$A$6:$A$3766))),'Diags Raw Data'!$L$6:$L$3766,'Diags Raw Data'!$N$6:$N$3766)/J125)</f>
        <v>1</v>
      </c>
      <c r="L125" s="444" cm="1">
        <f t="array" ref="L125">IF(D125="",0, SUMPRODUCT(--(ISNUMBER(SEARCH($A125,'Diags Raw Data'!$A$6:$A$3766))),'Diags Raw Data'!$L$6:$L$3766,'Diags Raw Data'!$P$6:$P$3766)/J125)</f>
        <v>1</v>
      </c>
      <c r="M125" s="445" cm="1">
        <f t="array" ref="M125">SUMPRODUCT(--(ISNUMBER(SEARCH($A125,'Diags Raw Data'!$A$6:$A$3766))),--('Diags Raw Data'!$Q$6:$Q$3766&lt;&gt;"N/A"),'Diags Raw Data'!$T$6:$T$3766)+SUMPRODUCT(--(ISNUMBER(SEARCH($A125,'Diags Raw Data'!$A$6:$A$3766))),--('Diags Raw Data'!$Q$6:$Q$3766&lt;&gt;"N/A"),'Diags Raw Data'!$U$6:$U$3766)</f>
        <v>10</v>
      </c>
      <c r="N125" s="445" cm="1">
        <f t="array" ref="N125">SUMPRODUCT(--(ISNUMBER(SEARCH($A125,'Diags Raw Data'!$A$6:$A$3766))),--('Diags Raw Data'!$Q$6:$Q$3766&lt;&gt;"N/A"),'Diags Raw Data'!$T$6:$T$3766)+SUMPRODUCT(--(ISNUMBER(SEARCH($A125,'Diags Raw Data'!$A$6:$A$3766))),--('Diags Raw Data'!$Q$6:$Q$3766&lt;&gt;"N/A"),'Diags Raw Data'!$U$6:$U$3766)</f>
        <v>10</v>
      </c>
      <c r="O125" s="446">
        <f t="shared" si="42"/>
        <v>1</v>
      </c>
      <c r="P125" s="447">
        <f>SUMIF('Diags Raw Data'!$A$6:$A$3766,"*"&amp;$A125&amp;"*",'Diags Raw Data'!$Z$6:$Z$3766)</f>
        <v>1</v>
      </c>
      <c r="Q125" s="448">
        <f>SUM(SUMIF('Diags Raw Data'!$A$6:$A$3766,"*"&amp;$A125&amp;"*",'Diags Raw Data'!$AA$6:$AA$3766),SUMIF('Diags Raw Data'!$A$6:$A$3766,"*"&amp;$A125&amp;"*",'Diags Raw Data'!$AB$6:$AB$3766))</f>
        <v>1</v>
      </c>
      <c r="R125" s="449">
        <f t="shared" si="43"/>
        <v>1</v>
      </c>
      <c r="S125" s="449">
        <f t="shared" si="44"/>
        <v>1</v>
      </c>
      <c r="T125" s="450">
        <f t="shared" si="45"/>
        <v>1</v>
      </c>
      <c r="U125" s="419" t="s">
        <v>1083</v>
      </c>
      <c r="V125" s="181"/>
    </row>
    <row r="126" spans="1:22" ht="305.10000000000002" thickBot="1">
      <c r="A126" s="321" t="s">
        <v>955</v>
      </c>
      <c r="B126" s="412" t="str">
        <f>VLOOKUP(A126,'Feature Raw Data'!$A$3:$B$3847,2,FALSE)</f>
        <v>WS.IRR.CDL.BP_CFG_Bit_09</v>
      </c>
      <c r="C126" s="413" t="str">
        <f>VLOOKUP(A126,'Feature Raw Data'!$A$3:$C$3929,3,FALSE)</f>
        <v>P2</v>
      </c>
      <c r="D126" s="414" t="str" cm="1">
        <f t="array" ref="D126">_xlfn.TEXTJOIN("",TRUE,IF(ISNUMBER(SEARCH($A126,'Diags Raw Data'!$A$6:$A$3768)),CONCATENATE('Diags Raw Data'!$H$6:$H$3768,", "),""))</f>
        <v xml:space="preserve">
command_input_short_list_Turin.yaml  can  found here
https://confluence.amd.com/download/attachments/772258342/command_input_short_list_Turin.yaml?api=v2, </v>
      </c>
      <c r="E126" s="415" t="str">
        <f>VLOOKUP(A126,'Diags Raw Data'!$A$6:$D$3768,4,FALSE)</f>
        <v>IRR-13</v>
      </c>
      <c r="F126" s="415" t="str">
        <f>VLOOKUP(A126,'Feature Raw Data'!$A$3:$E$3847,5,FALSE)</f>
        <v>Legacy</v>
      </c>
      <c r="G126" s="415" t="str">
        <f t="shared" si="40"/>
        <v>Yes</v>
      </c>
      <c r="H126" s="415" t="str">
        <f t="shared" si="41"/>
        <v>Yes</v>
      </c>
      <c r="I126" s="417">
        <f>SUMIF('Diags Raw Data'!$A$6:$A$3768,"*"&amp;$A126&amp;"*",'Diags Raw Data'!$K$6:$K$3768)</f>
        <v>1</v>
      </c>
      <c r="J126" s="418">
        <f>SUMIF('Diags Raw Data'!$A$6:$A$3768,"*"&amp;$A126&amp;"*",'Diags Raw Data'!$L$6:$L$3768)</f>
        <v>1</v>
      </c>
      <c r="K126" s="443" cm="1">
        <f t="array" ref="K126">IF(D126="",0, SUMPRODUCT(--(ISNUMBER(SEARCH($A126,'Diags Raw Data'!$A$6:$A$3766))),'Diags Raw Data'!$L$6:$L$3766,'Diags Raw Data'!$N$6:$N$3766)/J126)</f>
        <v>1</v>
      </c>
      <c r="L126" s="444" cm="1">
        <f t="array" ref="L126">IF(D126="",0, SUMPRODUCT(--(ISNUMBER(SEARCH($A126,'Diags Raw Data'!$A$6:$A$3766))),'Diags Raw Data'!$L$6:$L$3766,'Diags Raw Data'!$P$6:$P$3766)/J126)</f>
        <v>1</v>
      </c>
      <c r="M126" s="445" cm="1">
        <f t="array" ref="M126">SUMPRODUCT(--(ISNUMBER(SEARCH($A126,'Diags Raw Data'!$A$6:$A$3766))),--('Diags Raw Data'!$Q$6:$Q$3766&lt;&gt;"N/A"),'Diags Raw Data'!$T$6:$T$3766)+SUMPRODUCT(--(ISNUMBER(SEARCH($A126,'Diags Raw Data'!$A$6:$A$3766))),--('Diags Raw Data'!$Q$6:$Q$3766&lt;&gt;"N/A"),'Diags Raw Data'!$U$6:$U$3766)</f>
        <v>10</v>
      </c>
      <c r="N126" s="445" cm="1">
        <f t="array" ref="N126">SUMPRODUCT(--(ISNUMBER(SEARCH($A126,'Diags Raw Data'!$A$6:$A$3766))),--('Diags Raw Data'!$Q$6:$Q$3766&lt;&gt;"N/A"),'Diags Raw Data'!$T$6:$T$3766)+SUMPRODUCT(--(ISNUMBER(SEARCH($A126,'Diags Raw Data'!$A$6:$A$3766))),--('Diags Raw Data'!$Q$6:$Q$3766&lt;&gt;"N/A"),'Diags Raw Data'!$U$6:$U$3766)</f>
        <v>10</v>
      </c>
      <c r="O126" s="446">
        <f t="shared" si="42"/>
        <v>1</v>
      </c>
      <c r="P126" s="447">
        <f>SUMIF('Diags Raw Data'!$A$6:$A$3766,"*"&amp;$A126&amp;"*",'Diags Raw Data'!$Z$6:$Z$3766)</f>
        <v>1</v>
      </c>
      <c r="Q126" s="448">
        <f>SUM(SUMIF('Diags Raw Data'!$A$6:$A$3766,"*"&amp;$A126&amp;"*",'Diags Raw Data'!$AA$6:$AA$3766),SUMIF('Diags Raw Data'!$A$6:$A$3766,"*"&amp;$A126&amp;"*",'Diags Raw Data'!$AB$6:$AB$3766))</f>
        <v>1</v>
      </c>
      <c r="R126" s="449">
        <f t="shared" si="43"/>
        <v>1</v>
      </c>
      <c r="S126" s="449">
        <f t="shared" si="44"/>
        <v>1</v>
      </c>
      <c r="T126" s="450">
        <f t="shared" si="45"/>
        <v>1</v>
      </c>
      <c r="U126" s="419" t="s">
        <v>1083</v>
      </c>
      <c r="V126" s="181"/>
    </row>
    <row r="127" spans="1:22" ht="102" thickBot="1">
      <c r="A127" s="321" t="s">
        <v>958</v>
      </c>
      <c r="B127" s="412" t="str">
        <f>VLOOKUP(A127,'Feature Raw Data'!$A$3:$B$3847,2,FALSE)</f>
        <v>WS.IRR.CDL.BP_CFG_Bit_11</v>
      </c>
      <c r="C127" s="413" t="str">
        <f>VLOOKUP(A127,'Feature Raw Data'!$A$3:$C$3929,3,FALSE)</f>
        <v>P2</v>
      </c>
      <c r="D127" s="414" t="str" cm="1">
        <f t="array" ref="D127">_xlfn.TEXTJOIN("",TRUE,IF(ISNUMBER(SEARCH($A127,'Diags Raw Data'!$A$6:$A$3768)),CONCATENATE('Diags Raw Data'!$H$6:$H$3768,", "),""))</f>
        <v xml:space="preserve">
command_input_short_list_Turin.yaml  can  found here
https://confluence.amd.com/download/attachments/772258342/command_input_short_list_Turin.yaml?api=v2, </v>
      </c>
      <c r="E127" s="415" t="str">
        <f>VLOOKUP(A127,'Diags Raw Data'!$A$6:$D$3768,4,FALSE)</f>
        <v>IRR-13</v>
      </c>
      <c r="F127" s="415" t="str">
        <f>VLOOKUP(A127,'Feature Raw Data'!$A$3:$E$3847,5,FALSE)</f>
        <v>Legacy</v>
      </c>
      <c r="G127" s="415" t="str">
        <f t="shared" si="40"/>
        <v>Yes</v>
      </c>
      <c r="H127" s="415" t="str">
        <f t="shared" si="41"/>
        <v>Yes</v>
      </c>
      <c r="I127" s="417">
        <f>SUMIF('Diags Raw Data'!$A$6:$A$3768,"*"&amp;$A127&amp;"*",'Diags Raw Data'!$K$6:$K$3768)</f>
        <v>1</v>
      </c>
      <c r="J127" s="418">
        <f>SUMIF('Diags Raw Data'!$A$6:$A$3768,"*"&amp;$A127&amp;"*",'Diags Raw Data'!$L$6:$L$3768)</f>
        <v>1</v>
      </c>
      <c r="K127" s="443" cm="1">
        <f t="array" ref="K127">IF(D127="",0, SUMPRODUCT(--(ISNUMBER(SEARCH($A127,'Diags Raw Data'!$A$6:$A$3766))),'Diags Raw Data'!$L$6:$L$3766,'Diags Raw Data'!$N$6:$N$3766)/J127)</f>
        <v>1</v>
      </c>
      <c r="L127" s="444" cm="1">
        <f t="array" ref="L127">IF(D127="",0, SUMPRODUCT(--(ISNUMBER(SEARCH($A127,'Diags Raw Data'!$A$6:$A$3766))),'Diags Raw Data'!$L$6:$L$3766,'Diags Raw Data'!$P$6:$P$3766)/J127)</f>
        <v>1</v>
      </c>
      <c r="M127" s="445" cm="1">
        <f t="array" ref="M127">SUMPRODUCT(--(ISNUMBER(SEARCH($A127,'Diags Raw Data'!$A$6:$A$3766))),--('Diags Raw Data'!$Q$6:$Q$3766&lt;&gt;"N/A"),'Diags Raw Data'!$T$6:$T$3766)+SUMPRODUCT(--(ISNUMBER(SEARCH($A127,'Diags Raw Data'!$A$6:$A$3766))),--('Diags Raw Data'!$Q$6:$Q$3766&lt;&gt;"N/A"),'Diags Raw Data'!$U$6:$U$3766)</f>
        <v>10</v>
      </c>
      <c r="N127" s="445" cm="1">
        <f t="array" ref="N127">SUMPRODUCT(--(ISNUMBER(SEARCH($A127,'Diags Raw Data'!$A$6:$A$3766))),--('Diags Raw Data'!$Q$6:$Q$3766&lt;&gt;"N/A"),'Diags Raw Data'!$T$6:$T$3766)+SUMPRODUCT(--(ISNUMBER(SEARCH($A127,'Diags Raw Data'!$A$6:$A$3766))),--('Diags Raw Data'!$Q$6:$Q$3766&lt;&gt;"N/A"),'Diags Raw Data'!$U$6:$U$3766)</f>
        <v>10</v>
      </c>
      <c r="O127" s="446">
        <f t="shared" si="42"/>
        <v>1</v>
      </c>
      <c r="P127" s="447">
        <f>SUMIF('Diags Raw Data'!$A$6:$A$3766,"*"&amp;$A127&amp;"*",'Diags Raw Data'!$Z$6:$Z$3766)</f>
        <v>1</v>
      </c>
      <c r="Q127" s="448">
        <f>SUM(SUMIF('Diags Raw Data'!$A$6:$A$3766,"*"&amp;$A127&amp;"*",'Diags Raw Data'!$AA$6:$AA$3766),SUMIF('Diags Raw Data'!$A$6:$A$3766,"*"&amp;$A127&amp;"*",'Diags Raw Data'!$AB$6:$AB$3766))</f>
        <v>1</v>
      </c>
      <c r="R127" s="449">
        <f t="shared" si="43"/>
        <v>1</v>
      </c>
      <c r="S127" s="449">
        <f t="shared" si="44"/>
        <v>1</v>
      </c>
      <c r="T127" s="450">
        <f t="shared" si="45"/>
        <v>1</v>
      </c>
      <c r="U127" s="419" t="s">
        <v>1083</v>
      </c>
      <c r="V127" s="181"/>
    </row>
    <row r="128" spans="1:22" ht="72.95" thickBot="1">
      <c r="A128" s="321" t="s">
        <v>962</v>
      </c>
      <c r="B128" s="412" t="str">
        <f>VLOOKUP(A128,'Feature Raw Data'!$A$3:$B$3847,2,FALSE)</f>
        <v>WS.IRR.CDL.BP_CFG_Bit_06</v>
      </c>
      <c r="C128" s="413" t="str">
        <f>VLOOKUP(A128,'Feature Raw Data'!$A$3:$C$3929,3,FALSE)</f>
        <v>P2</v>
      </c>
      <c r="D128" s="414" t="str" cm="1">
        <f t="array" ref="D128">_xlfn.TEXTJOIN("",TRUE,IF(ISNUMBER(SEARCH($A128,'Diags Raw Data'!$A$6:$A$3768)),CONCATENATE('Diags Raw Data'!$H$6:$H$3768,", "),""))</f>
        <v xml:space="preserve">
command_input_short_list_Turin.yaml  can  found here
https://confluence.amd.com/download/attachments/772258342/command_input_short_list_Turin.yaml?api=v2, </v>
      </c>
      <c r="E128" s="415" t="str">
        <f>VLOOKUP(A128,'Diags Raw Data'!$A$6:$D$3768,4,FALSE)</f>
        <v>IRR-13</v>
      </c>
      <c r="F128" s="415" t="str">
        <f>VLOOKUP(A128,'Feature Raw Data'!$A$3:$E$3847,5,FALSE)</f>
        <v>Legacy</v>
      </c>
      <c r="G128" s="415" t="str">
        <f t="shared" ref="G128:G141" si="50">IF(D128="","No","Yes")</f>
        <v>Yes</v>
      </c>
      <c r="H128" s="415" t="str">
        <f t="shared" ref="H128:H141" si="51">IF(D128="","No","Yes")</f>
        <v>Yes</v>
      </c>
      <c r="I128" s="417">
        <f>SUMIF('Diags Raw Data'!$A$6:$A$3768,"*"&amp;$A128&amp;"*",'Diags Raw Data'!$K$6:$K$3768)</f>
        <v>1</v>
      </c>
      <c r="J128" s="418">
        <f>SUMIF('Diags Raw Data'!$A$6:$A$3768,"*"&amp;$A128&amp;"*",'Diags Raw Data'!$L$6:$L$3768)</f>
        <v>1</v>
      </c>
      <c r="K128" s="443" cm="1">
        <f t="array" ref="K128">IF(D128="",0, SUMPRODUCT(--(ISNUMBER(SEARCH($A128,'Diags Raw Data'!$A$6:$A$3766))),'Diags Raw Data'!$L$6:$L$3766,'Diags Raw Data'!$N$6:$N$3766)/J128)</f>
        <v>1</v>
      </c>
      <c r="L128" s="444" cm="1">
        <f t="array" ref="L128">IF(D128="",0, SUMPRODUCT(--(ISNUMBER(SEARCH($A128,'Diags Raw Data'!$A$6:$A$3766))),'Diags Raw Data'!$L$6:$L$3766,'Diags Raw Data'!$P$6:$P$3766)/J128)</f>
        <v>1</v>
      </c>
      <c r="M128" s="445" cm="1">
        <f t="array" ref="M128">SUMPRODUCT(--(ISNUMBER(SEARCH($A128,'Diags Raw Data'!$A$6:$A$3766))),--('Diags Raw Data'!$Q$6:$Q$3766&lt;&gt;"N/A"),'Diags Raw Data'!$T$6:$T$3766)+SUMPRODUCT(--(ISNUMBER(SEARCH($A128,'Diags Raw Data'!$A$6:$A$3766))),--('Diags Raw Data'!$Q$6:$Q$3766&lt;&gt;"N/A"),'Diags Raw Data'!$U$6:$U$3766)</f>
        <v>10</v>
      </c>
      <c r="N128" s="445" cm="1">
        <f t="array" ref="N128">SUMPRODUCT(--(ISNUMBER(SEARCH($A128,'Diags Raw Data'!$A$6:$A$3766))),--('Diags Raw Data'!$Q$6:$Q$3766&lt;&gt;"N/A"),'Diags Raw Data'!$T$6:$T$3766)+SUMPRODUCT(--(ISNUMBER(SEARCH($A128,'Diags Raw Data'!$A$6:$A$3766))),--('Diags Raw Data'!$Q$6:$Q$3766&lt;&gt;"N/A"),'Diags Raw Data'!$U$6:$U$3766)</f>
        <v>10</v>
      </c>
      <c r="O128" s="446">
        <f t="shared" si="42"/>
        <v>1</v>
      </c>
      <c r="P128" s="447">
        <f>SUMIF('Diags Raw Data'!$A$6:$A$3766,"*"&amp;$A128&amp;"*",'Diags Raw Data'!$Z$6:$Z$3766)</f>
        <v>1</v>
      </c>
      <c r="Q128" s="448">
        <f>SUM(SUMIF('Diags Raw Data'!$A$6:$A$3766,"*"&amp;$A128&amp;"*",'Diags Raw Data'!$AA$6:$AA$3766),SUMIF('Diags Raw Data'!$A$6:$A$3766,"*"&amp;$A128&amp;"*",'Diags Raw Data'!$AB$6:$AB$3766))</f>
        <v>1</v>
      </c>
      <c r="R128" s="449">
        <f t="shared" si="43"/>
        <v>1</v>
      </c>
      <c r="S128" s="449">
        <f t="shared" si="44"/>
        <v>1</v>
      </c>
      <c r="T128" s="450">
        <f t="shared" si="45"/>
        <v>1</v>
      </c>
      <c r="U128" s="419" t="s">
        <v>1083</v>
      </c>
      <c r="V128" s="181"/>
    </row>
    <row r="129" spans="1:22" ht="102" thickBot="1">
      <c r="A129" s="321" t="s">
        <v>965</v>
      </c>
      <c r="B129" s="412" t="str">
        <f>VLOOKUP(A129,'Feature Raw Data'!$A$3:$B$3847,2,FALSE)</f>
        <v>WS.IRR.CDL.DE_TKN_CFG_Bit_50_45</v>
      </c>
      <c r="C129" s="413" t="str">
        <f>VLOOKUP(A129,'Feature Raw Data'!$A$3:$C$3929,3,FALSE)</f>
        <v>P2</v>
      </c>
      <c r="D129" s="414" t="str" cm="1">
        <f t="array" ref="D129">_xlfn.TEXTJOIN("",TRUE,IF(ISNUMBER(SEARCH($A129,'Diags Raw Data'!$A$6:$A$3768)),CONCATENATE('Diags Raw Data'!$H$6:$H$3768,", "),""))</f>
        <v xml:space="preserve">
command_input_short_list_Turin.yaml  can  found here
https://confluence.amd.com/download/attachments/772258342/command_input_short_list_Turin.yaml?api=v2, </v>
      </c>
      <c r="E129" s="415" t="str">
        <f>VLOOKUP(A129,'Diags Raw Data'!$A$6:$D$3768,4,FALSE)</f>
        <v>IRR-13</v>
      </c>
      <c r="F129" s="415" t="str">
        <f>VLOOKUP(A129,'Feature Raw Data'!$A$3:$E$3847,5,FALSE)</f>
        <v>Legacy</v>
      </c>
      <c r="G129" s="415" t="str">
        <f t="shared" si="50"/>
        <v>Yes</v>
      </c>
      <c r="H129" s="415" t="str">
        <f t="shared" si="51"/>
        <v>Yes</v>
      </c>
      <c r="I129" s="417">
        <f>SUMIF('Diags Raw Data'!$A$6:$A$3768,"*"&amp;$A129&amp;"*",'Diags Raw Data'!$K$6:$K$3768)</f>
        <v>1</v>
      </c>
      <c r="J129" s="418">
        <f>SUMIF('Diags Raw Data'!$A$6:$A$3768,"*"&amp;$A129&amp;"*",'Diags Raw Data'!$L$6:$L$3768)</f>
        <v>1</v>
      </c>
      <c r="K129" s="443" cm="1">
        <f t="array" ref="K129">IF(D129="",0, SUMPRODUCT(--(ISNUMBER(SEARCH($A129,'Diags Raw Data'!$A$6:$A$3766))),'Diags Raw Data'!$L$6:$L$3766,'Diags Raw Data'!$N$6:$N$3766)/J129)</f>
        <v>1</v>
      </c>
      <c r="L129" s="444" cm="1">
        <f t="array" ref="L129">IF(D129="",0, SUMPRODUCT(--(ISNUMBER(SEARCH($A129,'Diags Raw Data'!$A$6:$A$3766))),'Diags Raw Data'!$L$6:$L$3766,'Diags Raw Data'!$P$6:$P$3766)/J129)</f>
        <v>1</v>
      </c>
      <c r="M129" s="445" cm="1">
        <f t="array" ref="M129">SUMPRODUCT(--(ISNUMBER(SEARCH($A129,'Diags Raw Data'!$A$6:$A$3766))),--('Diags Raw Data'!$Q$6:$Q$3766&lt;&gt;"N/A"),'Diags Raw Data'!$T$6:$T$3766)+SUMPRODUCT(--(ISNUMBER(SEARCH($A129,'Diags Raw Data'!$A$6:$A$3766))),--('Diags Raw Data'!$Q$6:$Q$3766&lt;&gt;"N/A"),'Diags Raw Data'!$U$6:$U$3766)</f>
        <v>10</v>
      </c>
      <c r="N129" s="445" cm="1">
        <f t="array" ref="N129">SUMPRODUCT(--(ISNUMBER(SEARCH($A129,'Diags Raw Data'!$A$6:$A$3766))),--('Diags Raw Data'!$Q$6:$Q$3766&lt;&gt;"N/A"),'Diags Raw Data'!$T$6:$T$3766)+SUMPRODUCT(--(ISNUMBER(SEARCH($A129,'Diags Raw Data'!$A$6:$A$3766))),--('Diags Raw Data'!$Q$6:$Q$3766&lt;&gt;"N/A"),'Diags Raw Data'!$U$6:$U$3766)</f>
        <v>10</v>
      </c>
      <c r="O129" s="446">
        <f t="shared" si="42"/>
        <v>1</v>
      </c>
      <c r="P129" s="447">
        <f>SUMIF('Diags Raw Data'!$A$6:$A$3766,"*"&amp;$A129&amp;"*",'Diags Raw Data'!$Z$6:$Z$3766)</f>
        <v>1</v>
      </c>
      <c r="Q129" s="448">
        <f>SUM(SUMIF('Diags Raw Data'!$A$6:$A$3766,"*"&amp;$A129&amp;"*",'Diags Raw Data'!$AA$6:$AA$3766),SUMIF('Diags Raw Data'!$A$6:$A$3766,"*"&amp;$A129&amp;"*",'Diags Raw Data'!$AB$6:$AB$3766))</f>
        <v>1</v>
      </c>
      <c r="R129" s="449">
        <f t="shared" si="43"/>
        <v>1</v>
      </c>
      <c r="S129" s="449">
        <f t="shared" si="44"/>
        <v>1</v>
      </c>
      <c r="T129" s="450">
        <f t="shared" si="45"/>
        <v>1</v>
      </c>
      <c r="U129" s="419" t="s">
        <v>1083</v>
      </c>
      <c r="V129" s="181"/>
    </row>
    <row r="130" spans="1:22" ht="102" thickBot="1">
      <c r="A130" s="321" t="s">
        <v>967</v>
      </c>
      <c r="B130" s="412" t="str">
        <f>VLOOKUP(A130,'Feature Raw Data'!$A$3:$B$3847,2,FALSE)</f>
        <v>WS.IRR.CDL.DE_TKN_CFG_Bit_08_10</v>
      </c>
      <c r="C130" s="413" t="str">
        <f>VLOOKUP(A130,'Feature Raw Data'!$A$3:$C$3929,3,FALSE)</f>
        <v>P2</v>
      </c>
      <c r="D130" s="414" t="str" cm="1">
        <f t="array" ref="D130">_xlfn.TEXTJOIN("",TRUE,IF(ISNUMBER(SEARCH($A130,'Diags Raw Data'!$A$6:$A$3768)),CONCATENATE('Diags Raw Data'!$H$6:$H$3768,", "),""))</f>
        <v xml:space="preserve">
command_input_short_list_Turin.yaml  can  found here
https://confluence.amd.com/download/attachments/772258342/command_input_short_list_Turin.yaml?api=v2, </v>
      </c>
      <c r="E130" s="415" t="str">
        <f>VLOOKUP(A130,'Diags Raw Data'!$A$6:$D$3768,4,FALSE)</f>
        <v>IRR-13</v>
      </c>
      <c r="F130" s="415" t="str">
        <f>VLOOKUP(A130,'Feature Raw Data'!$A$3:$E$3847,5,FALSE)</f>
        <v>Legacy</v>
      </c>
      <c r="G130" s="415" t="str">
        <f t="shared" si="50"/>
        <v>Yes</v>
      </c>
      <c r="H130" s="415" t="str">
        <f t="shared" si="51"/>
        <v>Yes</v>
      </c>
      <c r="I130" s="417">
        <f>SUMIF('Diags Raw Data'!$A$6:$A$3768,"*"&amp;$A130&amp;"*",'Diags Raw Data'!$K$6:$K$3768)</f>
        <v>1</v>
      </c>
      <c r="J130" s="418">
        <f>SUMIF('Diags Raw Data'!$A$6:$A$3768,"*"&amp;$A130&amp;"*",'Diags Raw Data'!$L$6:$L$3768)</f>
        <v>1</v>
      </c>
      <c r="K130" s="443" cm="1">
        <f t="array" ref="K130">IF(D130="",0, SUMPRODUCT(--(ISNUMBER(SEARCH($A130,'Diags Raw Data'!$A$6:$A$3766))),'Diags Raw Data'!$L$6:$L$3766,'Diags Raw Data'!$N$6:$N$3766)/J130)</f>
        <v>1</v>
      </c>
      <c r="L130" s="444" cm="1">
        <f t="array" ref="L130">IF(D130="",0, SUMPRODUCT(--(ISNUMBER(SEARCH($A130,'Diags Raw Data'!$A$6:$A$3766))),'Diags Raw Data'!$L$6:$L$3766,'Diags Raw Data'!$P$6:$P$3766)/J130)</f>
        <v>1</v>
      </c>
      <c r="M130" s="445" cm="1">
        <f t="array" ref="M130">SUMPRODUCT(--(ISNUMBER(SEARCH($A130,'Diags Raw Data'!$A$6:$A$3766))),--('Diags Raw Data'!$Q$6:$Q$3766&lt;&gt;"N/A"),'Diags Raw Data'!$T$6:$T$3766)+SUMPRODUCT(--(ISNUMBER(SEARCH($A130,'Diags Raw Data'!$A$6:$A$3766))),--('Diags Raw Data'!$Q$6:$Q$3766&lt;&gt;"N/A"),'Diags Raw Data'!$U$6:$U$3766)</f>
        <v>10</v>
      </c>
      <c r="N130" s="445" cm="1">
        <f t="array" ref="N130">SUMPRODUCT(--(ISNUMBER(SEARCH($A130,'Diags Raw Data'!$A$6:$A$3766))),--('Diags Raw Data'!$Q$6:$Q$3766&lt;&gt;"N/A"),'Diags Raw Data'!$T$6:$T$3766)+SUMPRODUCT(--(ISNUMBER(SEARCH($A130,'Diags Raw Data'!$A$6:$A$3766))),--('Diags Raw Data'!$Q$6:$Q$3766&lt;&gt;"N/A"),'Diags Raw Data'!$U$6:$U$3766)</f>
        <v>10</v>
      </c>
      <c r="O130" s="446">
        <f t="shared" si="42"/>
        <v>1</v>
      </c>
      <c r="P130" s="447">
        <f>SUMIF('Diags Raw Data'!$A$6:$A$3766,"*"&amp;$A130&amp;"*",'Diags Raw Data'!$Z$6:$Z$3766)</f>
        <v>1</v>
      </c>
      <c r="Q130" s="448">
        <f>SUM(SUMIF('Diags Raw Data'!$A$6:$A$3766,"*"&amp;$A130&amp;"*",'Diags Raw Data'!$AA$6:$AA$3766),SUMIF('Diags Raw Data'!$A$6:$A$3766,"*"&amp;$A130&amp;"*",'Diags Raw Data'!$AB$6:$AB$3766))</f>
        <v>1</v>
      </c>
      <c r="R130" s="449">
        <f t="shared" si="43"/>
        <v>1</v>
      </c>
      <c r="S130" s="449">
        <f t="shared" si="44"/>
        <v>1</v>
      </c>
      <c r="T130" s="450">
        <f t="shared" si="45"/>
        <v>1</v>
      </c>
      <c r="U130" s="419" t="s">
        <v>1083</v>
      </c>
      <c r="V130" s="181"/>
    </row>
    <row r="131" spans="1:22" ht="102" thickBot="1">
      <c r="A131" s="321" t="s">
        <v>969</v>
      </c>
      <c r="B131" s="412" t="str">
        <f>VLOOKUP(A131,'Feature Raw Data'!$A$3:$B$3847,2,FALSE)</f>
        <v>WS.IRR.CDL.DE_TKN_CFG_Bit_57_51</v>
      </c>
      <c r="C131" s="413" t="str">
        <f>VLOOKUP(A131,'Feature Raw Data'!$A$3:$C$3929,3,FALSE)</f>
        <v>P2</v>
      </c>
      <c r="D131" s="414" t="str" cm="1">
        <f t="array" ref="D131">_xlfn.TEXTJOIN("",TRUE,IF(ISNUMBER(SEARCH($A131,'Diags Raw Data'!$A$6:$A$3768)),CONCATENATE('Diags Raw Data'!$H$6:$H$3768,", "),""))</f>
        <v xml:space="preserve">
command_input_short_list_Turin.yaml  can  found here
https://confluence.amd.com/download/attachments/772258342/command_input_short_list_Turin.yaml?api=v2, </v>
      </c>
      <c r="E131" s="415" t="str">
        <f>VLOOKUP(A131,'Diags Raw Data'!$A$6:$D$3768,4,FALSE)</f>
        <v>IRR-13</v>
      </c>
      <c r="F131" s="415" t="str">
        <f>VLOOKUP(A131,'Feature Raw Data'!$A$3:$E$3847,5,FALSE)</f>
        <v>Legacy</v>
      </c>
      <c r="G131" s="415" t="str">
        <f t="shared" si="50"/>
        <v>Yes</v>
      </c>
      <c r="H131" s="415" t="str">
        <f t="shared" si="51"/>
        <v>Yes</v>
      </c>
      <c r="I131" s="417">
        <f>SUMIF('Diags Raw Data'!$A$6:$A$3768,"*"&amp;$A131&amp;"*",'Diags Raw Data'!$K$6:$K$3768)</f>
        <v>1</v>
      </c>
      <c r="J131" s="418">
        <f>SUMIF('Diags Raw Data'!$A$6:$A$3768,"*"&amp;$A131&amp;"*",'Diags Raw Data'!$L$6:$L$3768)</f>
        <v>1</v>
      </c>
      <c r="K131" s="443" cm="1">
        <f t="array" ref="K131">IF(D131="",0, SUMPRODUCT(--(ISNUMBER(SEARCH($A131,'Diags Raw Data'!$A$6:$A$3766))),'Diags Raw Data'!$L$6:$L$3766,'Diags Raw Data'!$N$6:$N$3766)/J131)</f>
        <v>1</v>
      </c>
      <c r="L131" s="444" cm="1">
        <f t="array" ref="L131">IF(D131="",0, SUMPRODUCT(--(ISNUMBER(SEARCH($A131,'Diags Raw Data'!$A$6:$A$3766))),'Diags Raw Data'!$L$6:$L$3766,'Diags Raw Data'!$P$6:$P$3766)/J131)</f>
        <v>1</v>
      </c>
      <c r="M131" s="445" cm="1">
        <f t="array" ref="M131">SUMPRODUCT(--(ISNUMBER(SEARCH($A131,'Diags Raw Data'!$A$6:$A$3766))),--('Diags Raw Data'!$Q$6:$Q$3766&lt;&gt;"N/A"),'Diags Raw Data'!$T$6:$T$3766)+SUMPRODUCT(--(ISNUMBER(SEARCH($A131,'Diags Raw Data'!$A$6:$A$3766))),--('Diags Raw Data'!$Q$6:$Q$3766&lt;&gt;"N/A"),'Diags Raw Data'!$U$6:$U$3766)</f>
        <v>10</v>
      </c>
      <c r="N131" s="445" cm="1">
        <f t="array" ref="N131">SUMPRODUCT(--(ISNUMBER(SEARCH($A131,'Diags Raw Data'!$A$6:$A$3766))),--('Diags Raw Data'!$Q$6:$Q$3766&lt;&gt;"N/A"),'Diags Raw Data'!$T$6:$T$3766)+SUMPRODUCT(--(ISNUMBER(SEARCH($A131,'Diags Raw Data'!$A$6:$A$3766))),--('Diags Raw Data'!$Q$6:$Q$3766&lt;&gt;"N/A"),'Diags Raw Data'!$U$6:$U$3766)</f>
        <v>10</v>
      </c>
      <c r="O131" s="446">
        <f t="shared" si="42"/>
        <v>1</v>
      </c>
      <c r="P131" s="447">
        <f>SUMIF('Diags Raw Data'!$A$6:$A$3766,"*"&amp;$A131&amp;"*",'Diags Raw Data'!$Z$6:$Z$3766)</f>
        <v>1</v>
      </c>
      <c r="Q131" s="448">
        <f>SUM(SUMIF('Diags Raw Data'!$A$6:$A$3766,"*"&amp;$A131&amp;"*",'Diags Raw Data'!$AA$6:$AA$3766),SUMIF('Diags Raw Data'!$A$6:$A$3766,"*"&amp;$A131&amp;"*",'Diags Raw Data'!$AB$6:$AB$3766))</f>
        <v>1</v>
      </c>
      <c r="R131" s="449">
        <f t="shared" si="43"/>
        <v>1</v>
      </c>
      <c r="S131" s="449">
        <f t="shared" si="44"/>
        <v>1</v>
      </c>
      <c r="T131" s="450">
        <f t="shared" si="45"/>
        <v>1</v>
      </c>
      <c r="U131" s="419" t="s">
        <v>1083</v>
      </c>
      <c r="V131" s="181"/>
    </row>
    <row r="132" spans="1:22" ht="87.6" thickBot="1">
      <c r="A132" s="321" t="s">
        <v>971</v>
      </c>
      <c r="B132" s="412" t="str">
        <f>VLOOKUP(A132,'Feature Raw Data'!$A$3:$B$3847,2,FALSE)</f>
        <v>WS.IRR.CDL.DE_TKN_CFG_Bit_50_45</v>
      </c>
      <c r="C132" s="413" t="str">
        <f>VLOOKUP(A132,'Feature Raw Data'!$A$3:$C$3929,3,FALSE)</f>
        <v>P2</v>
      </c>
      <c r="D132" s="414" t="str" cm="1">
        <f t="array" ref="D132">_xlfn.TEXTJOIN("",TRUE,IF(ISNUMBER(SEARCH($A132,'Diags Raw Data'!$A$6:$A$3768)),CONCATENATE('Diags Raw Data'!$H$6:$H$3768,", "),""))</f>
        <v xml:space="preserve">
command_input_short_list_Turin.yaml  can  found here
https://confluence.amd.com/download/attachments/772258342/command_input_short_list_Turin.yaml?api=v2, </v>
      </c>
      <c r="E132" s="415" t="str">
        <f>VLOOKUP(A132,'Diags Raw Data'!$A$6:$D$3768,4,FALSE)</f>
        <v>IRR-13</v>
      </c>
      <c r="F132" s="415" t="str">
        <f>VLOOKUP(A132,'Feature Raw Data'!$A$3:$E$3847,5,FALSE)</f>
        <v>Legacy</v>
      </c>
      <c r="G132" s="415" t="str">
        <f t="shared" si="50"/>
        <v>Yes</v>
      </c>
      <c r="H132" s="415" t="str">
        <f t="shared" si="51"/>
        <v>Yes</v>
      </c>
      <c r="I132" s="417">
        <f>SUMIF('Diags Raw Data'!$A$6:$A$3768,"*"&amp;$A132&amp;"*",'Diags Raw Data'!$K$6:$K$3768)</f>
        <v>1</v>
      </c>
      <c r="J132" s="418">
        <f>SUMIF('Diags Raw Data'!$A$6:$A$3768,"*"&amp;$A132&amp;"*",'Diags Raw Data'!$L$6:$L$3768)</f>
        <v>1</v>
      </c>
      <c r="K132" s="443" cm="1">
        <f t="array" ref="K132">IF(D132="",0, SUMPRODUCT(--(ISNUMBER(SEARCH($A132,'Diags Raw Data'!$A$6:$A$3766))),'Diags Raw Data'!$L$6:$L$3766,'Diags Raw Data'!$N$6:$N$3766)/J132)</f>
        <v>1</v>
      </c>
      <c r="L132" s="444" cm="1">
        <f t="array" ref="L132">IF(D132="",0, SUMPRODUCT(--(ISNUMBER(SEARCH($A132,'Diags Raw Data'!$A$6:$A$3766))),'Diags Raw Data'!$L$6:$L$3766,'Diags Raw Data'!$P$6:$P$3766)/J132)</f>
        <v>1</v>
      </c>
      <c r="M132" s="445" cm="1">
        <f t="array" ref="M132">SUMPRODUCT(--(ISNUMBER(SEARCH($A132,'Diags Raw Data'!$A$6:$A$3766))),--('Diags Raw Data'!$Q$6:$Q$3766&lt;&gt;"N/A"),'Diags Raw Data'!$T$6:$T$3766)+SUMPRODUCT(--(ISNUMBER(SEARCH($A132,'Diags Raw Data'!$A$6:$A$3766))),--('Diags Raw Data'!$Q$6:$Q$3766&lt;&gt;"N/A"),'Diags Raw Data'!$U$6:$U$3766)</f>
        <v>10</v>
      </c>
      <c r="N132" s="445" cm="1">
        <f t="array" ref="N132">SUMPRODUCT(--(ISNUMBER(SEARCH($A132,'Diags Raw Data'!$A$6:$A$3766))),--('Diags Raw Data'!$Q$6:$Q$3766&lt;&gt;"N/A"),'Diags Raw Data'!$T$6:$T$3766)+SUMPRODUCT(--(ISNUMBER(SEARCH($A132,'Diags Raw Data'!$A$6:$A$3766))),--('Diags Raw Data'!$Q$6:$Q$3766&lt;&gt;"N/A"),'Diags Raw Data'!$U$6:$U$3766)</f>
        <v>10</v>
      </c>
      <c r="O132" s="446">
        <f t="shared" si="42"/>
        <v>1</v>
      </c>
      <c r="P132" s="447">
        <f>SUMIF('Diags Raw Data'!$A$6:$A$3766,"*"&amp;$A132&amp;"*",'Diags Raw Data'!$Z$6:$Z$3766)</f>
        <v>1</v>
      </c>
      <c r="Q132" s="448">
        <f>SUM(SUMIF('Diags Raw Data'!$A$6:$A$3766,"*"&amp;$A132&amp;"*",'Diags Raw Data'!$AA$6:$AA$3766),SUMIF('Diags Raw Data'!$A$6:$A$3766,"*"&amp;$A132&amp;"*",'Diags Raw Data'!$AB$6:$AB$3766))</f>
        <v>1</v>
      </c>
      <c r="R132" s="449">
        <f t="shared" si="43"/>
        <v>1</v>
      </c>
      <c r="S132" s="449">
        <f t="shared" si="44"/>
        <v>1</v>
      </c>
      <c r="T132" s="450">
        <f t="shared" si="45"/>
        <v>1</v>
      </c>
      <c r="U132" s="419" t="s">
        <v>1083</v>
      </c>
      <c r="V132" s="181"/>
    </row>
    <row r="133" spans="1:22" ht="102" thickBot="1">
      <c r="A133" s="321" t="s">
        <v>973</v>
      </c>
      <c r="B133" s="412" t="str">
        <f>VLOOKUP(A133,'Feature Raw Data'!$A$3:$B$3847,2,FALSE)</f>
        <v>WS.IRR.CDL.IC_CFG_Bit_5</v>
      </c>
      <c r="C133" s="413" t="str">
        <f>VLOOKUP(A133,'Feature Raw Data'!$A$3:$C$3929,3,FALSE)</f>
        <v>P2</v>
      </c>
      <c r="D133" s="414" t="str" cm="1">
        <f t="array" ref="D133">_xlfn.TEXTJOIN("",TRUE,IF(ISNUMBER(SEARCH($A133,'Diags Raw Data'!$A$6:$A$3768)),CONCATENATE('Diags Raw Data'!$H$6:$H$3768,", "),""))</f>
        <v xml:space="preserve">
command_input_short_list_Turin.yaml  can  found here
https://confluence.amd.com/download/attachments/772258342/command_input_short_list_Turin.yaml?api=v2, </v>
      </c>
      <c r="E133" s="415" t="str">
        <f>VLOOKUP(A133,'Diags Raw Data'!$A$6:$D$3768,4,FALSE)</f>
        <v>IRR-13</v>
      </c>
      <c r="F133" s="415" t="str">
        <f>VLOOKUP(A133,'Feature Raw Data'!$A$3:$E$3847,5,FALSE)</f>
        <v>Legacy</v>
      </c>
      <c r="G133" s="415" t="str">
        <f t="shared" si="50"/>
        <v>Yes</v>
      </c>
      <c r="H133" s="415" t="str">
        <f t="shared" si="51"/>
        <v>Yes</v>
      </c>
      <c r="I133" s="417">
        <f>SUMIF('Diags Raw Data'!$A$6:$A$3768,"*"&amp;$A133&amp;"*",'Diags Raw Data'!$K$6:$K$3768)</f>
        <v>1</v>
      </c>
      <c r="J133" s="418">
        <f>SUMIF('Diags Raw Data'!$A$6:$A$3768,"*"&amp;$A133&amp;"*",'Diags Raw Data'!$L$6:$L$3768)</f>
        <v>1</v>
      </c>
      <c r="K133" s="443" cm="1">
        <f t="array" ref="K133">IF(D133="",0, SUMPRODUCT(--(ISNUMBER(SEARCH($A133,'Diags Raw Data'!$A$6:$A$3766))),'Diags Raw Data'!$L$6:$L$3766,'Diags Raw Data'!$N$6:$N$3766)/J133)</f>
        <v>1</v>
      </c>
      <c r="L133" s="444" cm="1">
        <f t="array" ref="L133">IF(D133="",0, SUMPRODUCT(--(ISNUMBER(SEARCH($A133,'Diags Raw Data'!$A$6:$A$3766))),'Diags Raw Data'!$L$6:$L$3766,'Diags Raw Data'!$P$6:$P$3766)/J133)</f>
        <v>1</v>
      </c>
      <c r="M133" s="445" cm="1">
        <f t="array" ref="M133">SUMPRODUCT(--(ISNUMBER(SEARCH($A133,'Diags Raw Data'!$A$6:$A$3766))),--('Diags Raw Data'!$Q$6:$Q$3766&lt;&gt;"N/A"),'Diags Raw Data'!$T$6:$T$3766)+SUMPRODUCT(--(ISNUMBER(SEARCH($A133,'Diags Raw Data'!$A$6:$A$3766))),--('Diags Raw Data'!$Q$6:$Q$3766&lt;&gt;"N/A"),'Diags Raw Data'!$U$6:$U$3766)</f>
        <v>10</v>
      </c>
      <c r="N133" s="445" cm="1">
        <f t="array" ref="N133">SUMPRODUCT(--(ISNUMBER(SEARCH($A133,'Diags Raw Data'!$A$6:$A$3766))),--('Diags Raw Data'!$Q$6:$Q$3766&lt;&gt;"N/A"),'Diags Raw Data'!$T$6:$T$3766)+SUMPRODUCT(--(ISNUMBER(SEARCH($A133,'Diags Raw Data'!$A$6:$A$3766))),--('Diags Raw Data'!$Q$6:$Q$3766&lt;&gt;"N/A"),'Diags Raw Data'!$U$6:$U$3766)</f>
        <v>10</v>
      </c>
      <c r="O133" s="446">
        <f t="shared" si="42"/>
        <v>1</v>
      </c>
      <c r="P133" s="447">
        <f>SUMIF('Diags Raw Data'!$A$6:$A$3766,"*"&amp;$A133&amp;"*",'Diags Raw Data'!$Z$6:$Z$3766)</f>
        <v>1</v>
      </c>
      <c r="Q133" s="448">
        <f>SUM(SUMIF('Diags Raw Data'!$A$6:$A$3766,"*"&amp;$A133&amp;"*",'Diags Raw Data'!$AA$6:$AA$3766),SUMIF('Diags Raw Data'!$A$6:$A$3766,"*"&amp;$A133&amp;"*",'Diags Raw Data'!$AB$6:$AB$3766))</f>
        <v>1</v>
      </c>
      <c r="R133" s="449">
        <f t="shared" si="43"/>
        <v>1</v>
      </c>
      <c r="S133" s="449">
        <f t="shared" si="44"/>
        <v>1</v>
      </c>
      <c r="T133" s="450">
        <f t="shared" si="45"/>
        <v>1</v>
      </c>
      <c r="U133" s="419" t="s">
        <v>1083</v>
      </c>
      <c r="V133" s="181"/>
    </row>
    <row r="134" spans="1:22" ht="116.45" thickBot="1">
      <c r="A134" s="321" t="s">
        <v>975</v>
      </c>
      <c r="B134" s="412" t="str">
        <f>VLOOKUP(A134,'Feature Raw Data'!$A$3:$B$3847,2,FALSE)</f>
        <v>WS.IRR.CDL.IC_CFG_Bit_26</v>
      </c>
      <c r="C134" s="413" t="str">
        <f>VLOOKUP(A134,'Feature Raw Data'!$A$3:$C$3929,3,FALSE)</f>
        <v>P2</v>
      </c>
      <c r="D134" s="414" t="str" cm="1">
        <f t="array" ref="D134">_xlfn.TEXTJOIN("",TRUE,IF(ISNUMBER(SEARCH($A134,'Diags Raw Data'!$A$6:$A$3768)),CONCATENATE('Diags Raw Data'!$H$6:$H$3768,", "),""))</f>
        <v xml:space="preserve">
command_input_short_list_Turin.yaml  can  found here
https://confluence.amd.com/download/attachments/772258342/command_input_short_list_Turin.yaml?api=v2
 , </v>
      </c>
      <c r="E134" s="415" t="str">
        <f>VLOOKUP(A134,'Diags Raw Data'!$A$6:$D$3768,4,FALSE)</f>
        <v>IRR-13</v>
      </c>
      <c r="F134" s="415" t="str">
        <f>VLOOKUP(A134,'Feature Raw Data'!$A$3:$E$3847,5,FALSE)</f>
        <v>Legacy</v>
      </c>
      <c r="G134" s="415" t="str">
        <f t="shared" si="50"/>
        <v>Yes</v>
      </c>
      <c r="H134" s="415" t="str">
        <f t="shared" si="51"/>
        <v>Yes</v>
      </c>
      <c r="I134" s="417">
        <f>SUMIF('Diags Raw Data'!$A$6:$A$3768,"*"&amp;$A134&amp;"*",'Diags Raw Data'!$K$6:$K$3768)</f>
        <v>1</v>
      </c>
      <c r="J134" s="418">
        <f>SUMIF('Diags Raw Data'!$A$6:$A$3768,"*"&amp;$A134&amp;"*",'Diags Raw Data'!$L$6:$L$3768)</f>
        <v>1</v>
      </c>
      <c r="K134" s="443" cm="1">
        <f t="array" ref="K134">IF(D134="",0, SUMPRODUCT(--(ISNUMBER(SEARCH($A134,'Diags Raw Data'!$A$6:$A$3766))),'Diags Raw Data'!$L$6:$L$3766,'Diags Raw Data'!$N$6:$N$3766)/J134)</f>
        <v>1</v>
      </c>
      <c r="L134" s="444" cm="1">
        <f t="array" ref="L134">IF(D134="",0, SUMPRODUCT(--(ISNUMBER(SEARCH($A134,'Diags Raw Data'!$A$6:$A$3766))),'Diags Raw Data'!$L$6:$L$3766,'Diags Raw Data'!$P$6:$P$3766)/J134)</f>
        <v>1</v>
      </c>
      <c r="M134" s="445" cm="1">
        <f t="array" ref="M134">SUMPRODUCT(--(ISNUMBER(SEARCH($A134,'Diags Raw Data'!$A$6:$A$3766))),--('Diags Raw Data'!$Q$6:$Q$3766&lt;&gt;"N/A"),'Diags Raw Data'!$T$6:$T$3766)+SUMPRODUCT(--(ISNUMBER(SEARCH($A134,'Diags Raw Data'!$A$6:$A$3766))),--('Diags Raw Data'!$Q$6:$Q$3766&lt;&gt;"N/A"),'Diags Raw Data'!$U$6:$U$3766)</f>
        <v>10</v>
      </c>
      <c r="N134" s="445" cm="1">
        <f t="array" ref="N134">SUMPRODUCT(--(ISNUMBER(SEARCH($A134,'Diags Raw Data'!$A$6:$A$3766))),--('Diags Raw Data'!$Q$6:$Q$3766&lt;&gt;"N/A"),'Diags Raw Data'!$T$6:$T$3766)+SUMPRODUCT(--(ISNUMBER(SEARCH($A134,'Diags Raw Data'!$A$6:$A$3766))),--('Diags Raw Data'!$Q$6:$Q$3766&lt;&gt;"N/A"),'Diags Raw Data'!$U$6:$U$3766)</f>
        <v>10</v>
      </c>
      <c r="O134" s="446">
        <f t="shared" si="42"/>
        <v>1</v>
      </c>
      <c r="P134" s="447">
        <f>SUMIF('Diags Raw Data'!$A$6:$A$3766,"*"&amp;$A134&amp;"*",'Diags Raw Data'!$Z$6:$Z$3766)</f>
        <v>1</v>
      </c>
      <c r="Q134" s="448">
        <f>SUM(SUMIF('Diags Raw Data'!$A$6:$A$3766,"*"&amp;$A134&amp;"*",'Diags Raw Data'!$AA$6:$AA$3766),SUMIF('Diags Raw Data'!$A$6:$A$3766,"*"&amp;$A134&amp;"*",'Diags Raw Data'!$AB$6:$AB$3766))</f>
        <v>1</v>
      </c>
      <c r="R134" s="449">
        <f t="shared" si="43"/>
        <v>1</v>
      </c>
      <c r="S134" s="449">
        <f t="shared" si="44"/>
        <v>1</v>
      </c>
      <c r="T134" s="450">
        <f t="shared" si="45"/>
        <v>1</v>
      </c>
      <c r="U134" s="419" t="s">
        <v>1083</v>
      </c>
      <c r="V134" s="181"/>
    </row>
    <row r="135" spans="1:22" ht="72.95" thickBot="1">
      <c r="A135" s="321" t="s">
        <v>980</v>
      </c>
      <c r="B135" s="412" t="str">
        <f>VLOOKUP(A135,'Feature Raw Data'!$A$3:$B$3847,2,FALSE)</f>
        <v>WS.IRR.CDL.IC_CFG_Bit_25</v>
      </c>
      <c r="C135" s="413" t="str">
        <f>VLOOKUP(A135,'Feature Raw Data'!$A$3:$C$3929,3,FALSE)</f>
        <v>P2</v>
      </c>
      <c r="D135" s="414" t="str" cm="1">
        <f t="array" ref="D135">_xlfn.TEXTJOIN("",TRUE,IF(ISNUMBER(SEARCH($A135,'Diags Raw Data'!$A$6:$A$3768)),CONCATENATE('Diags Raw Data'!$H$6:$H$3768,", "),""))</f>
        <v xml:space="preserve">
command_input_short_list_Turin.yaml  can  found here
https://confluence.amd.com/download/attachments/772258342/command_input_short_list_Turin.yaml?api=v2, </v>
      </c>
      <c r="E135" s="415" t="str">
        <f>VLOOKUP(A135,'Diags Raw Data'!$A$6:$D$3768,4,FALSE)</f>
        <v>IRR-13</v>
      </c>
      <c r="F135" s="415" t="str">
        <f>VLOOKUP(A135,'Feature Raw Data'!$A$3:$E$3847,5,FALSE)</f>
        <v>Legacy</v>
      </c>
      <c r="G135" s="415" t="str">
        <f t="shared" si="50"/>
        <v>Yes</v>
      </c>
      <c r="H135" s="415" t="str">
        <f t="shared" si="51"/>
        <v>Yes</v>
      </c>
      <c r="I135" s="417">
        <f>SUMIF('Diags Raw Data'!$A$6:$A$3768,"*"&amp;$A135&amp;"*",'Diags Raw Data'!$K$6:$K$3768)</f>
        <v>1</v>
      </c>
      <c r="J135" s="418">
        <f>SUMIF('Diags Raw Data'!$A$6:$A$3768,"*"&amp;$A135&amp;"*",'Diags Raw Data'!$L$6:$L$3768)</f>
        <v>1</v>
      </c>
      <c r="K135" s="443" cm="1">
        <f t="array" ref="K135">IF(D135="",0, SUMPRODUCT(--(ISNUMBER(SEARCH($A135,'Diags Raw Data'!$A$6:$A$3766))),'Diags Raw Data'!$L$6:$L$3766,'Diags Raw Data'!$N$6:$N$3766)/J135)</f>
        <v>1</v>
      </c>
      <c r="L135" s="444" cm="1">
        <f t="array" ref="L135">IF(D135="",0, SUMPRODUCT(--(ISNUMBER(SEARCH($A135,'Diags Raw Data'!$A$6:$A$3766))),'Diags Raw Data'!$L$6:$L$3766,'Diags Raw Data'!$P$6:$P$3766)/J135)</f>
        <v>1</v>
      </c>
      <c r="M135" s="445" cm="1">
        <f t="array" ref="M135">SUMPRODUCT(--(ISNUMBER(SEARCH($A135,'Diags Raw Data'!$A$6:$A$3766))),--('Diags Raw Data'!$Q$6:$Q$3766&lt;&gt;"N/A"),'Diags Raw Data'!$T$6:$T$3766)+SUMPRODUCT(--(ISNUMBER(SEARCH($A135,'Diags Raw Data'!$A$6:$A$3766))),--('Diags Raw Data'!$Q$6:$Q$3766&lt;&gt;"N/A"),'Diags Raw Data'!$U$6:$U$3766)</f>
        <v>10</v>
      </c>
      <c r="N135" s="445" cm="1">
        <f t="array" ref="N135">SUMPRODUCT(--(ISNUMBER(SEARCH($A135,'Diags Raw Data'!$A$6:$A$3766))),--('Diags Raw Data'!$Q$6:$Q$3766&lt;&gt;"N/A"),'Diags Raw Data'!$T$6:$T$3766)+SUMPRODUCT(--(ISNUMBER(SEARCH($A135,'Diags Raw Data'!$A$6:$A$3766))),--('Diags Raw Data'!$Q$6:$Q$3766&lt;&gt;"N/A"),'Diags Raw Data'!$U$6:$U$3766)</f>
        <v>10</v>
      </c>
      <c r="O135" s="446">
        <f t="shared" si="42"/>
        <v>1</v>
      </c>
      <c r="P135" s="447">
        <f>SUMIF('Diags Raw Data'!$A$6:$A$3766,"*"&amp;$A135&amp;"*",'Diags Raw Data'!$Z$6:$Z$3766)</f>
        <v>1</v>
      </c>
      <c r="Q135" s="448">
        <f>SUM(SUMIF('Diags Raw Data'!$A$6:$A$3766,"*"&amp;$A135&amp;"*",'Diags Raw Data'!$AA$6:$AA$3766),SUMIF('Diags Raw Data'!$A$6:$A$3766,"*"&amp;$A135&amp;"*",'Diags Raw Data'!$AB$6:$AB$3766))</f>
        <v>1</v>
      </c>
      <c r="R135" s="449">
        <f t="shared" si="43"/>
        <v>1</v>
      </c>
      <c r="S135" s="449">
        <f t="shared" si="44"/>
        <v>1</v>
      </c>
      <c r="T135" s="450">
        <f t="shared" si="45"/>
        <v>1</v>
      </c>
      <c r="U135" s="419" t="s">
        <v>1083</v>
      </c>
      <c r="V135" s="181"/>
    </row>
    <row r="136" spans="1:22" ht="58.5" thickBot="1">
      <c r="A136" s="321" t="s">
        <v>982</v>
      </c>
      <c r="B136" s="412" t="str">
        <f>VLOOKUP(A136,'Feature Raw Data'!$A$3:$B$3847,2,FALSE)</f>
        <v>WS.IRR.CDL.IC_CFG_Bit_2</v>
      </c>
      <c r="C136" s="413" t="str">
        <f>VLOOKUP(A136,'Feature Raw Data'!$A$3:$C$3929,3,FALSE)</f>
        <v>P2</v>
      </c>
      <c r="D136" s="414" t="str" cm="1">
        <f t="array" ref="D136">_xlfn.TEXTJOIN("",TRUE,IF(ISNUMBER(SEARCH($A136,'Diags Raw Data'!$A$6:$A$3768)),CONCATENATE('Diags Raw Data'!$H$6:$H$3768,", "),""))</f>
        <v xml:space="preserve">
command_input_short_list_Turin_P1.yaml  can  found here
https://confluence.amd.com/download/attachments/772258342/command_input_short_list_Turin.yaml?api=v2, </v>
      </c>
      <c r="E136" s="415" t="str">
        <f>VLOOKUP(A136,'Diags Raw Data'!$A$6:$D$3768,4,FALSE)</f>
        <v>IRR-13</v>
      </c>
      <c r="F136" s="415" t="str">
        <f>VLOOKUP(A136,'Feature Raw Data'!$A$3:$E$3847,5,FALSE)</f>
        <v>Legacy</v>
      </c>
      <c r="G136" s="415" t="str">
        <f t="shared" si="50"/>
        <v>Yes</v>
      </c>
      <c r="H136" s="415" t="str">
        <f t="shared" si="51"/>
        <v>Yes</v>
      </c>
      <c r="I136" s="417">
        <f>SUMIF('Diags Raw Data'!$A$6:$A$3768,"*"&amp;$A136&amp;"*",'Diags Raw Data'!$K$6:$K$3768)</f>
        <v>1</v>
      </c>
      <c r="J136" s="418">
        <f>SUMIF('Diags Raw Data'!$A$6:$A$3768,"*"&amp;$A136&amp;"*",'Diags Raw Data'!$L$6:$L$3768)</f>
        <v>1</v>
      </c>
      <c r="K136" s="443" cm="1">
        <f t="array" ref="K136">IF(D136="",0, SUMPRODUCT(--(ISNUMBER(SEARCH($A136,'Diags Raw Data'!$A$6:$A$3766))),'Diags Raw Data'!$L$6:$L$3766,'Diags Raw Data'!$N$6:$N$3766)/J136)</f>
        <v>1</v>
      </c>
      <c r="L136" s="444" cm="1">
        <f t="array" ref="L136">IF(D136="",0, SUMPRODUCT(--(ISNUMBER(SEARCH($A136,'Diags Raw Data'!$A$6:$A$3766))),'Diags Raw Data'!$L$6:$L$3766,'Diags Raw Data'!$P$6:$P$3766)/J136)</f>
        <v>1</v>
      </c>
      <c r="M136" s="445" cm="1">
        <f t="array" ref="M136">SUMPRODUCT(--(ISNUMBER(SEARCH($A136,'Diags Raw Data'!$A$6:$A$3766))),--('Diags Raw Data'!$Q$6:$Q$3766&lt;&gt;"N/A"),'Diags Raw Data'!$T$6:$T$3766)+SUMPRODUCT(--(ISNUMBER(SEARCH($A136,'Diags Raw Data'!$A$6:$A$3766))),--('Diags Raw Data'!$Q$6:$Q$3766&lt;&gt;"N/A"),'Diags Raw Data'!$U$6:$U$3766)</f>
        <v>10</v>
      </c>
      <c r="N136" s="445" cm="1">
        <f t="array" ref="N136">SUMPRODUCT(--(ISNUMBER(SEARCH($A136,'Diags Raw Data'!$A$6:$A$3766))),--('Diags Raw Data'!$Q$6:$Q$3766&lt;&gt;"N/A"),'Diags Raw Data'!$T$6:$T$3766)+SUMPRODUCT(--(ISNUMBER(SEARCH($A136,'Diags Raw Data'!$A$6:$A$3766))),--('Diags Raw Data'!$Q$6:$Q$3766&lt;&gt;"N/A"),'Diags Raw Data'!$U$6:$U$3766)</f>
        <v>10</v>
      </c>
      <c r="O136" s="446">
        <f t="shared" si="42"/>
        <v>1</v>
      </c>
      <c r="P136" s="447">
        <f>SUMIF('Diags Raw Data'!$A$6:$A$3766,"*"&amp;$A136&amp;"*",'Diags Raw Data'!$Z$6:$Z$3766)</f>
        <v>1</v>
      </c>
      <c r="Q136" s="448">
        <f>SUM(SUMIF('Diags Raw Data'!$A$6:$A$3766,"*"&amp;$A136&amp;"*",'Diags Raw Data'!$AA$6:$AA$3766),SUMIF('Diags Raw Data'!$A$6:$A$3766,"*"&amp;$A136&amp;"*",'Diags Raw Data'!$AB$6:$AB$3766))</f>
        <v>1</v>
      </c>
      <c r="R136" s="449">
        <f t="shared" si="43"/>
        <v>1</v>
      </c>
      <c r="S136" s="449">
        <f t="shared" si="44"/>
        <v>1</v>
      </c>
      <c r="T136" s="450">
        <f t="shared" si="45"/>
        <v>1</v>
      </c>
      <c r="U136" s="419" t="s">
        <v>1083</v>
      </c>
      <c r="V136" s="181"/>
    </row>
    <row r="137" spans="1:22" ht="72.95" thickBot="1">
      <c r="A137" s="321" t="s">
        <v>985</v>
      </c>
      <c r="B137" s="412" t="str">
        <f>VLOOKUP(A137,'Feature Raw Data'!$A$3:$B$3847,2,FALSE)</f>
        <v>WS.IRR.CDL.IC_CFG_Bit_20_13</v>
      </c>
      <c r="C137" s="413" t="str">
        <f>VLOOKUP(A137,'Feature Raw Data'!$A$3:$C$3929,3,FALSE)</f>
        <v>P2</v>
      </c>
      <c r="D137" s="414" t="str" cm="1">
        <f t="array" ref="D137">_xlfn.TEXTJOIN("",TRUE,IF(ISNUMBER(SEARCH($A137,'Diags Raw Data'!$A$6:$A$3768)),CONCATENATE('Diags Raw Data'!$H$6:$H$3768,", "),""))</f>
        <v xml:space="preserve">
command_input_short_list_Turin_P1.yaml  can  found here
https://confluence.amd.com/download/attachments/772258342/command_input_short_list_Turin.yaml?api=v2, </v>
      </c>
      <c r="E137" s="415" t="str">
        <f>VLOOKUP(A137,'Diags Raw Data'!$A$6:$D$3768,4,FALSE)</f>
        <v>IRR-13</v>
      </c>
      <c r="F137" s="415" t="str">
        <f>VLOOKUP(A137,'Feature Raw Data'!$A$3:$E$3847,5,FALSE)</f>
        <v>Legacy</v>
      </c>
      <c r="G137" s="415" t="str">
        <f t="shared" si="50"/>
        <v>Yes</v>
      </c>
      <c r="H137" s="415" t="str">
        <f t="shared" si="51"/>
        <v>Yes</v>
      </c>
      <c r="I137" s="417">
        <f>SUMIF('Diags Raw Data'!$A$6:$A$3768,"*"&amp;$A137&amp;"*",'Diags Raw Data'!$K$6:$K$3768)</f>
        <v>1</v>
      </c>
      <c r="J137" s="418">
        <f>SUMIF('Diags Raw Data'!$A$6:$A$3768,"*"&amp;$A137&amp;"*",'Diags Raw Data'!$L$6:$L$3768)</f>
        <v>1</v>
      </c>
      <c r="K137" s="443" cm="1">
        <f t="array" ref="K137">IF(D137="",0, SUMPRODUCT(--(ISNUMBER(SEARCH($A137,'Diags Raw Data'!$A$6:$A$3766))),'Diags Raw Data'!$L$6:$L$3766,'Diags Raw Data'!$N$6:$N$3766)/J137)</f>
        <v>1</v>
      </c>
      <c r="L137" s="444" cm="1">
        <f t="array" ref="L137">IF(D137="",0, SUMPRODUCT(--(ISNUMBER(SEARCH($A137,'Diags Raw Data'!$A$6:$A$3766))),'Diags Raw Data'!$L$6:$L$3766,'Diags Raw Data'!$P$6:$P$3766)/J137)</f>
        <v>1</v>
      </c>
      <c r="M137" s="445" cm="1">
        <f t="array" ref="M137">SUMPRODUCT(--(ISNUMBER(SEARCH($A137,'Diags Raw Data'!$A$6:$A$3766))),--('Diags Raw Data'!$Q$6:$Q$3766&lt;&gt;"N/A"),'Diags Raw Data'!$T$6:$T$3766)+SUMPRODUCT(--(ISNUMBER(SEARCH($A137,'Diags Raw Data'!$A$6:$A$3766))),--('Diags Raw Data'!$Q$6:$Q$3766&lt;&gt;"N/A"),'Diags Raw Data'!$U$6:$U$3766)</f>
        <v>10</v>
      </c>
      <c r="N137" s="445" cm="1">
        <f t="array" ref="N137">SUMPRODUCT(--(ISNUMBER(SEARCH($A137,'Diags Raw Data'!$A$6:$A$3766))),--('Diags Raw Data'!$Q$6:$Q$3766&lt;&gt;"N/A"),'Diags Raw Data'!$T$6:$T$3766)+SUMPRODUCT(--(ISNUMBER(SEARCH($A137,'Diags Raw Data'!$A$6:$A$3766))),--('Diags Raw Data'!$Q$6:$Q$3766&lt;&gt;"N/A"),'Diags Raw Data'!$U$6:$U$3766)</f>
        <v>10</v>
      </c>
      <c r="O137" s="446">
        <f t="shared" si="42"/>
        <v>1</v>
      </c>
      <c r="P137" s="447">
        <f>SUMIF('Diags Raw Data'!$A$6:$A$3766,"*"&amp;$A137&amp;"*",'Diags Raw Data'!$Z$6:$Z$3766)</f>
        <v>1</v>
      </c>
      <c r="Q137" s="448">
        <f>SUM(SUMIF('Diags Raw Data'!$A$6:$A$3766,"*"&amp;$A137&amp;"*",'Diags Raw Data'!$AA$6:$AA$3766),SUMIF('Diags Raw Data'!$A$6:$A$3766,"*"&amp;$A137&amp;"*",'Diags Raw Data'!$AB$6:$AB$3766))</f>
        <v>1</v>
      </c>
      <c r="R137" s="449">
        <f t="shared" si="43"/>
        <v>1</v>
      </c>
      <c r="S137" s="449">
        <f t="shared" si="44"/>
        <v>1</v>
      </c>
      <c r="T137" s="450">
        <f t="shared" si="45"/>
        <v>1</v>
      </c>
      <c r="U137" s="419" t="s">
        <v>1083</v>
      </c>
      <c r="V137" s="181"/>
    </row>
    <row r="138" spans="1:22" ht="72.95" thickBot="1">
      <c r="A138" s="321" t="s">
        <v>988</v>
      </c>
      <c r="B138" s="412" t="str">
        <f>VLOOKUP(A138,'Feature Raw Data'!$A$3:$B$3847,2,FALSE)</f>
        <v>WS.IRR.CDL.IC_CFG_Bit_38_35</v>
      </c>
      <c r="C138" s="413" t="str">
        <f>VLOOKUP(A138,'Feature Raw Data'!$A$3:$C$3929,3,FALSE)</f>
        <v>P2</v>
      </c>
      <c r="D138" s="414" t="str" cm="1">
        <f t="array" ref="D138">_xlfn.TEXTJOIN("",TRUE,IF(ISNUMBER(SEARCH($A138,'Diags Raw Data'!$A$6:$A$3768)),CONCATENATE('Diags Raw Data'!$H$6:$H$3768,", "),""))</f>
        <v xml:space="preserve">
command_input_short_list_Turin_P1.yaml  can  found here
https://confluence.amd.com/download/attachments/772258342/command_input_short_list_Turin.yaml?api=v2, </v>
      </c>
      <c r="E138" s="415" t="str">
        <f>VLOOKUP(A138,'Diags Raw Data'!$A$6:$D$3768,4,FALSE)</f>
        <v>IRR-13</v>
      </c>
      <c r="F138" s="415" t="str">
        <f>VLOOKUP(A138,'Feature Raw Data'!$A$3:$E$3847,5,FALSE)</f>
        <v>Legacy</v>
      </c>
      <c r="G138" s="415" t="str">
        <f t="shared" si="50"/>
        <v>Yes</v>
      </c>
      <c r="H138" s="415" t="str">
        <f t="shared" si="51"/>
        <v>Yes</v>
      </c>
      <c r="I138" s="417">
        <f>SUMIF('Diags Raw Data'!$A$6:$A$3768,"*"&amp;$A138&amp;"*",'Diags Raw Data'!$K$6:$K$3768)</f>
        <v>1</v>
      </c>
      <c r="J138" s="418">
        <f>SUMIF('Diags Raw Data'!$A$6:$A$3768,"*"&amp;$A138&amp;"*",'Diags Raw Data'!$L$6:$L$3768)</f>
        <v>1</v>
      </c>
      <c r="K138" s="443" cm="1">
        <f t="array" ref="K138">IF(D138="",0, SUMPRODUCT(--(ISNUMBER(SEARCH($A138,'Diags Raw Data'!$A$6:$A$3766))),'Diags Raw Data'!$L$6:$L$3766,'Diags Raw Data'!$N$6:$N$3766)/J138)</f>
        <v>1</v>
      </c>
      <c r="L138" s="444" cm="1">
        <f t="array" ref="L138">IF(D138="",0, SUMPRODUCT(--(ISNUMBER(SEARCH($A138,'Diags Raw Data'!$A$6:$A$3766))),'Diags Raw Data'!$L$6:$L$3766,'Diags Raw Data'!$P$6:$P$3766)/J138)</f>
        <v>1</v>
      </c>
      <c r="M138" s="445" cm="1">
        <f t="array" ref="M138">SUMPRODUCT(--(ISNUMBER(SEARCH($A138,'Diags Raw Data'!$A$6:$A$3766))),--('Diags Raw Data'!$Q$6:$Q$3766&lt;&gt;"N/A"),'Diags Raw Data'!$T$6:$T$3766)+SUMPRODUCT(--(ISNUMBER(SEARCH($A138,'Diags Raw Data'!$A$6:$A$3766))),--('Diags Raw Data'!$Q$6:$Q$3766&lt;&gt;"N/A"),'Diags Raw Data'!$U$6:$U$3766)</f>
        <v>10</v>
      </c>
      <c r="N138" s="445" cm="1">
        <f t="array" ref="N138">SUMPRODUCT(--(ISNUMBER(SEARCH($A138,'Diags Raw Data'!$A$6:$A$3766))),--('Diags Raw Data'!$Q$6:$Q$3766&lt;&gt;"N/A"),'Diags Raw Data'!$T$6:$T$3766)+SUMPRODUCT(--(ISNUMBER(SEARCH($A138,'Diags Raw Data'!$A$6:$A$3766))),--('Diags Raw Data'!$Q$6:$Q$3766&lt;&gt;"N/A"),'Diags Raw Data'!$U$6:$U$3766)</f>
        <v>10</v>
      </c>
      <c r="O138" s="446">
        <f t="shared" si="42"/>
        <v>1</v>
      </c>
      <c r="P138" s="447">
        <f>SUMIF('Diags Raw Data'!$A$6:$A$3766,"*"&amp;$A138&amp;"*",'Diags Raw Data'!$Z$6:$Z$3766)</f>
        <v>1</v>
      </c>
      <c r="Q138" s="448">
        <f>SUM(SUMIF('Diags Raw Data'!$A$6:$A$3766,"*"&amp;$A138&amp;"*",'Diags Raw Data'!$AA$6:$AA$3766),SUMIF('Diags Raw Data'!$A$6:$A$3766,"*"&amp;$A138&amp;"*",'Diags Raw Data'!$AB$6:$AB$3766))</f>
        <v>1</v>
      </c>
      <c r="R138" s="449">
        <f t="shared" si="43"/>
        <v>1</v>
      </c>
      <c r="S138" s="449">
        <f t="shared" si="44"/>
        <v>1</v>
      </c>
      <c r="T138" s="450">
        <f t="shared" si="45"/>
        <v>1</v>
      </c>
      <c r="U138" s="419" t="s">
        <v>1083</v>
      </c>
      <c r="V138" s="181"/>
    </row>
    <row r="139" spans="1:22" ht="72.95" thickBot="1">
      <c r="A139" s="321" t="s">
        <v>990</v>
      </c>
      <c r="B139" s="412" t="str">
        <f>VLOOKUP(A139,'Feature Raw Data'!$A$3:$B$3847,2,FALSE)</f>
        <v>WS.IRR.CDL.LS_CFG_Bit_60</v>
      </c>
      <c r="C139" s="413" t="str">
        <f>VLOOKUP(A139,'Feature Raw Data'!$A$3:$C$3929,3,FALSE)</f>
        <v>P2</v>
      </c>
      <c r="D139" s="414" t="str" cm="1">
        <f t="array" ref="D139">_xlfn.TEXTJOIN("",TRUE,IF(ISNUMBER(SEARCH($A139,'Diags Raw Data'!$A$6:$A$3768)),CONCATENATE('Diags Raw Data'!$H$6:$H$3768,", "),""))</f>
        <v xml:space="preserve">
command_input_short_list_Turin_P1.yaml  can  found here
https://confluence.amd.com/download/attachments/772258342/command_input_short_list_Turin.yaml?api=v2, </v>
      </c>
      <c r="E139" s="415" t="str">
        <f>VLOOKUP(A139,'Diags Raw Data'!$A$6:$D$3768,4,FALSE)</f>
        <v>IRR-13</v>
      </c>
      <c r="F139" s="415" t="str">
        <f>VLOOKUP(A139,'Feature Raw Data'!$A$3:$E$3847,5,FALSE)</f>
        <v>Legacy</v>
      </c>
      <c r="G139" s="415" t="str">
        <f t="shared" si="50"/>
        <v>Yes</v>
      </c>
      <c r="H139" s="415" t="str">
        <f t="shared" si="51"/>
        <v>Yes</v>
      </c>
      <c r="I139" s="417">
        <f>SUMIF('Diags Raw Data'!$A$6:$A$3768,"*"&amp;$A139&amp;"*",'Diags Raw Data'!$K$6:$K$3768)</f>
        <v>1</v>
      </c>
      <c r="J139" s="418">
        <f>SUMIF('Diags Raw Data'!$A$6:$A$3768,"*"&amp;$A139&amp;"*",'Diags Raw Data'!$L$6:$L$3768)</f>
        <v>1</v>
      </c>
      <c r="K139" s="443" cm="1">
        <f t="array" ref="K139">IF(D139="",0, SUMPRODUCT(--(ISNUMBER(SEARCH($A139,'Diags Raw Data'!$A$6:$A$3766))),'Diags Raw Data'!$L$6:$L$3766,'Diags Raw Data'!$N$6:$N$3766)/J139)</f>
        <v>1</v>
      </c>
      <c r="L139" s="444" cm="1">
        <f t="array" ref="L139">IF(D139="",0, SUMPRODUCT(--(ISNUMBER(SEARCH($A139,'Diags Raw Data'!$A$6:$A$3766))),'Diags Raw Data'!$L$6:$L$3766,'Diags Raw Data'!$P$6:$P$3766)/J139)</f>
        <v>1</v>
      </c>
      <c r="M139" s="445" cm="1">
        <f t="array" ref="M139">SUMPRODUCT(--(ISNUMBER(SEARCH($A139,'Diags Raw Data'!$A$6:$A$3766))),--('Diags Raw Data'!$Q$6:$Q$3766&lt;&gt;"N/A"),'Diags Raw Data'!$T$6:$T$3766)+SUMPRODUCT(--(ISNUMBER(SEARCH($A139,'Diags Raw Data'!$A$6:$A$3766))),--('Diags Raw Data'!$Q$6:$Q$3766&lt;&gt;"N/A"),'Diags Raw Data'!$U$6:$U$3766)</f>
        <v>10</v>
      </c>
      <c r="N139" s="445" cm="1">
        <f t="array" ref="N139">SUMPRODUCT(--(ISNUMBER(SEARCH($A139,'Diags Raw Data'!$A$6:$A$3766))),--('Diags Raw Data'!$Q$6:$Q$3766&lt;&gt;"N/A"),'Diags Raw Data'!$T$6:$T$3766)+SUMPRODUCT(--(ISNUMBER(SEARCH($A139,'Diags Raw Data'!$A$6:$A$3766))),--('Diags Raw Data'!$Q$6:$Q$3766&lt;&gt;"N/A"),'Diags Raw Data'!$U$6:$U$3766)</f>
        <v>10</v>
      </c>
      <c r="O139" s="446">
        <f t="shared" si="42"/>
        <v>1</v>
      </c>
      <c r="P139" s="447">
        <f>SUMIF('Diags Raw Data'!$A$6:$A$3766,"*"&amp;$A139&amp;"*",'Diags Raw Data'!$Z$6:$Z$3766)</f>
        <v>1</v>
      </c>
      <c r="Q139" s="448">
        <f>SUM(SUMIF('Diags Raw Data'!$A$6:$A$3766,"*"&amp;$A139&amp;"*",'Diags Raw Data'!$AA$6:$AA$3766),SUMIF('Diags Raw Data'!$A$6:$A$3766,"*"&amp;$A139&amp;"*",'Diags Raw Data'!$AB$6:$AB$3766))</f>
        <v>1</v>
      </c>
      <c r="R139" s="449">
        <f t="shared" si="43"/>
        <v>1</v>
      </c>
      <c r="S139" s="449">
        <f t="shared" si="44"/>
        <v>1</v>
      </c>
      <c r="T139" s="450">
        <f t="shared" si="45"/>
        <v>1</v>
      </c>
      <c r="U139" s="419" t="s">
        <v>1083</v>
      </c>
      <c r="V139" s="181"/>
    </row>
    <row r="140" spans="1:22" ht="72.95" thickBot="1">
      <c r="A140" s="321" t="s">
        <v>992</v>
      </c>
      <c r="B140" s="412" t="str">
        <f>VLOOKUP(A140,'Feature Raw Data'!$A$3:$B$3847,2,FALSE)</f>
        <v>WS.IRR.CDL.LS_CFG3_Bit_30</v>
      </c>
      <c r="C140" s="413" t="str">
        <f>VLOOKUP(A140,'Feature Raw Data'!$A$3:$C$3929,3,FALSE)</f>
        <v>P2</v>
      </c>
      <c r="D140" s="414" t="str" cm="1">
        <f t="array" ref="D140">_xlfn.TEXTJOIN("",TRUE,IF(ISNUMBER(SEARCH($A140,'Diags Raw Data'!$A$6:$A$3768)),CONCATENATE('Diags Raw Data'!$H$6:$H$3768,", "),""))</f>
        <v xml:space="preserve">
command_input_short_list_Turin_P1.yaml  can  found here
https://confluence.amd.com/download/attachments/772258342/command_input_short_list_Turin.yaml?api=v2, </v>
      </c>
      <c r="E140" s="415" t="str">
        <f>VLOOKUP(A140,'Diags Raw Data'!$A$6:$D$3768,4,FALSE)</f>
        <v>IRR-13</v>
      </c>
      <c r="F140" s="415" t="str">
        <f>VLOOKUP(A140,'Feature Raw Data'!$A$3:$E$3847,5,FALSE)</f>
        <v>Legacy</v>
      </c>
      <c r="G140" s="415" t="str">
        <f t="shared" si="50"/>
        <v>Yes</v>
      </c>
      <c r="H140" s="415" t="str">
        <f t="shared" si="51"/>
        <v>Yes</v>
      </c>
      <c r="I140" s="417">
        <f>SUMIF('Diags Raw Data'!$A$6:$A$3768,"*"&amp;$A140&amp;"*",'Diags Raw Data'!$K$6:$K$3768)</f>
        <v>1</v>
      </c>
      <c r="J140" s="418">
        <f>SUMIF('Diags Raw Data'!$A$6:$A$3768,"*"&amp;$A140&amp;"*",'Diags Raw Data'!$L$6:$L$3768)</f>
        <v>1</v>
      </c>
      <c r="K140" s="443" cm="1">
        <f t="array" ref="K140">IF(D140="",0, SUMPRODUCT(--(ISNUMBER(SEARCH($A140,'Diags Raw Data'!$A$6:$A$3766))),'Diags Raw Data'!$L$6:$L$3766,'Diags Raw Data'!$N$6:$N$3766)/J140)</f>
        <v>1</v>
      </c>
      <c r="L140" s="444" cm="1">
        <f t="array" ref="L140">IF(D140="",0, SUMPRODUCT(--(ISNUMBER(SEARCH($A140,'Diags Raw Data'!$A$6:$A$3766))),'Diags Raw Data'!$L$6:$L$3766,'Diags Raw Data'!$P$6:$P$3766)/J140)</f>
        <v>1</v>
      </c>
      <c r="M140" s="445" cm="1">
        <f t="array" ref="M140">SUMPRODUCT(--(ISNUMBER(SEARCH($A140,'Diags Raw Data'!$A$6:$A$3766))),--('Diags Raw Data'!$Q$6:$Q$3766&lt;&gt;"N/A"),'Diags Raw Data'!$T$6:$T$3766)+SUMPRODUCT(--(ISNUMBER(SEARCH($A140,'Diags Raw Data'!$A$6:$A$3766))),--('Diags Raw Data'!$Q$6:$Q$3766&lt;&gt;"N/A"),'Diags Raw Data'!$U$6:$U$3766)</f>
        <v>10</v>
      </c>
      <c r="N140" s="445" cm="1">
        <f t="array" ref="N140">SUMPRODUCT(--(ISNUMBER(SEARCH($A140,'Diags Raw Data'!$A$6:$A$3766))),--('Diags Raw Data'!$Q$6:$Q$3766&lt;&gt;"N/A"),'Diags Raw Data'!$T$6:$T$3766)+SUMPRODUCT(--(ISNUMBER(SEARCH($A140,'Diags Raw Data'!$A$6:$A$3766))),--('Diags Raw Data'!$Q$6:$Q$3766&lt;&gt;"N/A"),'Diags Raw Data'!$U$6:$U$3766)</f>
        <v>10</v>
      </c>
      <c r="O140" s="446">
        <f t="shared" si="42"/>
        <v>1</v>
      </c>
      <c r="P140" s="447">
        <f>SUMIF('Diags Raw Data'!$A$6:$A$3766,"*"&amp;$A140&amp;"*",'Diags Raw Data'!$Z$6:$Z$3766)</f>
        <v>1</v>
      </c>
      <c r="Q140" s="448">
        <f>SUM(SUMIF('Diags Raw Data'!$A$6:$A$3766,"*"&amp;$A140&amp;"*",'Diags Raw Data'!$AA$6:$AA$3766),SUMIF('Diags Raw Data'!$A$6:$A$3766,"*"&amp;$A140&amp;"*",'Diags Raw Data'!$AB$6:$AB$3766))</f>
        <v>1</v>
      </c>
      <c r="R140" s="449">
        <f t="shared" si="43"/>
        <v>1</v>
      </c>
      <c r="S140" s="449">
        <f t="shared" si="44"/>
        <v>1</v>
      </c>
      <c r="T140" s="450">
        <f t="shared" si="45"/>
        <v>1</v>
      </c>
      <c r="U140" s="419" t="s">
        <v>1083</v>
      </c>
      <c r="V140" s="181"/>
    </row>
    <row r="141" spans="1:22" ht="116.45" thickBot="1">
      <c r="A141" s="321" t="s">
        <v>994</v>
      </c>
      <c r="B141" s="412" t="str">
        <f>VLOOKUP(A141,'Feature Raw Data'!$A$3:$B$3847,2,FALSE)</f>
        <v>WS.IRR.CDL.EX_CFG_Bit_52</v>
      </c>
      <c r="C141" s="413" t="str">
        <f>VLOOKUP(A141,'Feature Raw Data'!$A$3:$C$3929,3,FALSE)</f>
        <v>P2</v>
      </c>
      <c r="D141" s="414" t="str" cm="1">
        <f t="array" ref="D141">_xlfn.TEXTJOIN("",TRUE,IF(ISNUMBER(SEARCH($A141,'Diags Raw Data'!$A$6:$A$3768)),CONCATENATE('Diags Raw Data'!$H$6:$H$3768,", "),""))</f>
        <v xml:space="preserve">
command_input_short_list_Turin_P1.yaml  can  found here
https://confluence.amd.com/download/attachments/772258342/command_input_short_list_Turin.yaml?api=v2
, </v>
      </c>
      <c r="E141" s="415" t="str">
        <f>VLOOKUP(A141,'Diags Raw Data'!$A$6:$D$3768,4,FALSE)</f>
        <v>IRR-13</v>
      </c>
      <c r="F141" s="415" t="str">
        <f>VLOOKUP(A141,'Feature Raw Data'!$A$3:$E$3847,5,FALSE)</f>
        <v>Legacy</v>
      </c>
      <c r="G141" s="415" t="str">
        <f t="shared" si="50"/>
        <v>Yes</v>
      </c>
      <c r="H141" s="415" t="str">
        <f t="shared" si="51"/>
        <v>Yes</v>
      </c>
      <c r="I141" s="417">
        <f>SUMIF('Diags Raw Data'!$A$6:$A$3768,"*"&amp;$A141&amp;"*",'Diags Raw Data'!$K$6:$K$3768)</f>
        <v>1</v>
      </c>
      <c r="J141" s="418">
        <f>SUMIF('Diags Raw Data'!$A$6:$A$3768,"*"&amp;$A141&amp;"*",'Diags Raw Data'!$L$6:$L$3768)</f>
        <v>1</v>
      </c>
      <c r="K141" s="443" cm="1">
        <f t="array" ref="K141">IF(D141="",0, SUMPRODUCT(--(ISNUMBER(SEARCH($A141,'Diags Raw Data'!$A$6:$A$3766))),'Diags Raw Data'!$L$6:$L$3766,'Diags Raw Data'!$N$6:$N$3766)/J141)</f>
        <v>1</v>
      </c>
      <c r="L141" s="444" cm="1">
        <f t="array" ref="L141">IF(D141="",0, SUMPRODUCT(--(ISNUMBER(SEARCH($A141,'Diags Raw Data'!$A$6:$A$3766))),'Diags Raw Data'!$L$6:$L$3766,'Diags Raw Data'!$P$6:$P$3766)/J141)</f>
        <v>1</v>
      </c>
      <c r="M141" s="445" cm="1">
        <f t="array" ref="M141">SUMPRODUCT(--(ISNUMBER(SEARCH($A141,'Diags Raw Data'!$A$6:$A$3766))),--('Diags Raw Data'!$Q$6:$Q$3766&lt;&gt;"N/A"),'Diags Raw Data'!$T$6:$T$3766)+SUMPRODUCT(--(ISNUMBER(SEARCH($A141,'Diags Raw Data'!$A$6:$A$3766))),--('Diags Raw Data'!$Q$6:$Q$3766&lt;&gt;"N/A"),'Diags Raw Data'!$U$6:$U$3766)</f>
        <v>10</v>
      </c>
      <c r="N141" s="445" cm="1">
        <f t="array" ref="N141">SUMPRODUCT(--(ISNUMBER(SEARCH($A141,'Diags Raw Data'!$A$6:$A$3766))),--('Diags Raw Data'!$Q$6:$Q$3766&lt;&gt;"N/A"),'Diags Raw Data'!$T$6:$T$3766)+SUMPRODUCT(--(ISNUMBER(SEARCH($A141,'Diags Raw Data'!$A$6:$A$3766))),--('Diags Raw Data'!$Q$6:$Q$3766&lt;&gt;"N/A"),'Diags Raw Data'!$U$6:$U$3766)</f>
        <v>10</v>
      </c>
      <c r="O141" s="446">
        <f t="shared" si="42"/>
        <v>1</v>
      </c>
      <c r="P141" s="447">
        <f>SUMIF('Diags Raw Data'!$A$6:$A$3766,"*"&amp;$A141&amp;"*",'Diags Raw Data'!$Z$6:$Z$3766)</f>
        <v>1</v>
      </c>
      <c r="Q141" s="448">
        <f>SUM(SUMIF('Diags Raw Data'!$A$6:$A$3766,"*"&amp;$A141&amp;"*",'Diags Raw Data'!$AA$6:$AA$3766),SUMIF('Diags Raw Data'!$A$6:$A$3766,"*"&amp;$A141&amp;"*",'Diags Raw Data'!$AB$6:$AB$3766))</f>
        <v>1</v>
      </c>
      <c r="R141" s="449">
        <f t="shared" si="43"/>
        <v>1</v>
      </c>
      <c r="S141" s="449">
        <f t="shared" si="44"/>
        <v>1</v>
      </c>
      <c r="T141" s="450">
        <f t="shared" si="45"/>
        <v>1</v>
      </c>
      <c r="U141" s="419" t="s">
        <v>1083</v>
      </c>
      <c r="V141" s="181"/>
    </row>
    <row r="142" spans="1:22" ht="87.6" thickBot="1">
      <c r="A142" s="321" t="s">
        <v>998</v>
      </c>
      <c r="B142" s="412" t="str">
        <f>VLOOKUP(A142,'Feature Raw Data'!$A$3:$B$3847,2,FALSE)</f>
        <v>WS.IRR.CDL.EX_CFG_Bit_24</v>
      </c>
      <c r="C142" s="413" t="str">
        <f>VLOOKUP(A142,'Feature Raw Data'!$A$3:$C$3929,3,FALSE)</f>
        <v>P2</v>
      </c>
      <c r="D142" s="414" t="str" cm="1">
        <f t="array" ref="D142">_xlfn.TEXTJOIN("",TRUE,IF(ISNUMBER(SEARCH($A142,'Diags Raw Data'!$A$6:$A$3768)),CONCATENATE('Diags Raw Data'!$H$6:$H$3768,", "),""))</f>
        <v xml:space="preserve">
command_input_short_list_Turin_P1.yaml  can  found here
https://confluence.amd.com/download/attachments/772258342/command_input_short_list_Turin.yaml?api=v2
, </v>
      </c>
      <c r="E142" s="415" t="str">
        <f>VLOOKUP(A142,'Diags Raw Data'!$A$6:$D$3768,4,FALSE)</f>
        <v>IRR-13</v>
      </c>
      <c r="F142" s="415" t="str">
        <f>VLOOKUP(A142,'Feature Raw Data'!$A$3:$E$3847,5,FALSE)</f>
        <v>Legacy</v>
      </c>
      <c r="G142" s="415" t="str">
        <f t="shared" ref="G142:G149" si="52">IF(D142="","No","Yes")</f>
        <v>Yes</v>
      </c>
      <c r="H142" s="415" t="str">
        <f t="shared" ref="H142:H149" si="53">IF(D142="","No","Yes")</f>
        <v>Yes</v>
      </c>
      <c r="I142" s="417">
        <f>SUMIF('Diags Raw Data'!$A$6:$A$3768,"*"&amp;$A142&amp;"*",'Diags Raw Data'!$K$6:$K$3768)</f>
        <v>1</v>
      </c>
      <c r="J142" s="418">
        <f>SUMIF('Diags Raw Data'!$A$6:$A$3768,"*"&amp;$A142&amp;"*",'Diags Raw Data'!$L$6:$L$3768)</f>
        <v>1</v>
      </c>
      <c r="K142" s="443" cm="1">
        <f t="array" ref="K142">IF(D142="",0, SUMPRODUCT(--(ISNUMBER(SEARCH($A142,'Diags Raw Data'!$A$6:$A$3766))),'Diags Raw Data'!$L$6:$L$3766,'Diags Raw Data'!$N$6:$N$3766)/J142)</f>
        <v>1</v>
      </c>
      <c r="L142" s="444" cm="1">
        <f t="array" ref="L142">IF(D142="",0, SUMPRODUCT(--(ISNUMBER(SEARCH($A142,'Diags Raw Data'!$A$6:$A$3766))),'Diags Raw Data'!$L$6:$L$3766,'Diags Raw Data'!$P$6:$P$3766)/J142)</f>
        <v>1</v>
      </c>
      <c r="M142" s="445" cm="1">
        <f t="array" ref="M142">SUMPRODUCT(--(ISNUMBER(SEARCH($A142,'Diags Raw Data'!$A$6:$A$3766))),--('Diags Raw Data'!$Q$6:$Q$3766&lt;&gt;"N/A"),'Diags Raw Data'!$T$6:$T$3766)+SUMPRODUCT(--(ISNUMBER(SEARCH($A142,'Diags Raw Data'!$A$6:$A$3766))),--('Diags Raw Data'!$Q$6:$Q$3766&lt;&gt;"N/A"),'Diags Raw Data'!$U$6:$U$3766)</f>
        <v>10</v>
      </c>
      <c r="N142" s="445" cm="1">
        <f t="array" ref="N142">SUMPRODUCT(--(ISNUMBER(SEARCH($A142,'Diags Raw Data'!$A$6:$A$3766))),--('Diags Raw Data'!$Q$6:$Q$3766&lt;&gt;"N/A"),'Diags Raw Data'!$T$6:$T$3766)+SUMPRODUCT(--(ISNUMBER(SEARCH($A142,'Diags Raw Data'!$A$6:$A$3766))),--('Diags Raw Data'!$Q$6:$Q$3766&lt;&gt;"N/A"),'Diags Raw Data'!$U$6:$U$3766)</f>
        <v>10</v>
      </c>
      <c r="O142" s="446">
        <f t="shared" si="42"/>
        <v>1</v>
      </c>
      <c r="P142" s="447">
        <f>SUMIF('Diags Raw Data'!$A$6:$A$3766,"*"&amp;$A142&amp;"*",'Diags Raw Data'!$Z$6:$Z$3766)</f>
        <v>1</v>
      </c>
      <c r="Q142" s="448">
        <f>SUM(SUMIF('Diags Raw Data'!$A$6:$A$3766,"*"&amp;$A142&amp;"*",'Diags Raw Data'!$AA$6:$AA$3766),SUMIF('Diags Raw Data'!$A$6:$A$3766,"*"&amp;$A142&amp;"*",'Diags Raw Data'!$AB$6:$AB$3766))</f>
        <v>1</v>
      </c>
      <c r="R142" s="449">
        <f t="shared" si="43"/>
        <v>1</v>
      </c>
      <c r="S142" s="449">
        <f t="shared" si="44"/>
        <v>1</v>
      </c>
      <c r="T142" s="450">
        <f t="shared" si="45"/>
        <v>1</v>
      </c>
      <c r="U142" s="419" t="s">
        <v>1083</v>
      </c>
      <c r="V142" s="181"/>
    </row>
    <row r="143" spans="1:22" ht="58.5" thickBot="1">
      <c r="A143" s="321" t="s">
        <v>1001</v>
      </c>
      <c r="B143" s="412" t="str">
        <f>VLOOKUP(A143,'Feature Raw Data'!$A$3:$B$3847,2,FALSE)</f>
        <v>WS.IRR.CDL.CH_L2_CFG0_Bit_0</v>
      </c>
      <c r="C143" s="413" t="str">
        <f>VLOOKUP(A143,'Feature Raw Data'!$A$3:$C$3929,3,FALSE)</f>
        <v>P2</v>
      </c>
      <c r="D143" s="414" t="str" cm="1">
        <f t="array" ref="D143">_xlfn.TEXTJOIN("",TRUE,IF(ISNUMBER(SEARCH($A143,'Diags Raw Data'!$A$6:$A$3768)),CONCATENATE('Diags Raw Data'!$H$6:$H$3768,", "),""))</f>
        <v xml:space="preserve">
Command to run the session: python3 cdl_it_executor.py --multiProcess --runScriptFile run_cmds.yaml, </v>
      </c>
      <c r="E143" s="415" t="str">
        <f>VLOOKUP(A143,'Diags Raw Data'!$A$6:$D$3768,4,FALSE)</f>
        <v>IRR-13</v>
      </c>
      <c r="F143" s="415" t="str">
        <f>VLOOKUP(A143,'Feature Raw Data'!$A$3:$E$3847,5,FALSE)</f>
        <v>Legacy</v>
      </c>
      <c r="G143" s="415" t="str">
        <f t="shared" si="52"/>
        <v>Yes</v>
      </c>
      <c r="H143" s="415" t="str">
        <f t="shared" si="53"/>
        <v>Yes</v>
      </c>
      <c r="I143" s="417">
        <f>SUMIF('Diags Raw Data'!$A$6:$A$3768,"*"&amp;$A143&amp;"*",'Diags Raw Data'!$K$6:$K$3768)</f>
        <v>1</v>
      </c>
      <c r="J143" s="418">
        <f>SUMIF('Diags Raw Data'!$A$6:$A$3768,"*"&amp;$A143&amp;"*",'Diags Raw Data'!$L$6:$L$3768)</f>
        <v>1</v>
      </c>
      <c r="K143" s="443" cm="1">
        <f t="array" ref="K143">IF(D143="",0, SUMPRODUCT(--(ISNUMBER(SEARCH($A143,'Diags Raw Data'!$A$6:$A$3766))),'Diags Raw Data'!$L$6:$L$3766,'Diags Raw Data'!$N$6:$N$3766)/J143)</f>
        <v>1</v>
      </c>
      <c r="L143" s="444" cm="1">
        <f t="array" ref="L143">IF(D143="",0, SUMPRODUCT(--(ISNUMBER(SEARCH($A143,'Diags Raw Data'!$A$6:$A$3766))),'Diags Raw Data'!$L$6:$L$3766,'Diags Raw Data'!$P$6:$P$3766)/J143)</f>
        <v>1</v>
      </c>
      <c r="M143" s="445" cm="1">
        <f t="array" ref="M143">SUMPRODUCT(--(ISNUMBER(SEARCH($A143,'Diags Raw Data'!$A$6:$A$3766))),--('Diags Raw Data'!$Q$6:$Q$3766&lt;&gt;"N/A"),'Diags Raw Data'!$T$6:$T$3766)+SUMPRODUCT(--(ISNUMBER(SEARCH($A143,'Diags Raw Data'!$A$6:$A$3766))),--('Diags Raw Data'!$Q$6:$Q$3766&lt;&gt;"N/A"),'Diags Raw Data'!$U$6:$U$3766)</f>
        <v>10</v>
      </c>
      <c r="N143" s="445" cm="1">
        <f t="array" ref="N143">SUMPRODUCT(--(ISNUMBER(SEARCH($A143,'Diags Raw Data'!$A$6:$A$3766))),--('Diags Raw Data'!$Q$6:$Q$3766&lt;&gt;"N/A"),'Diags Raw Data'!$T$6:$T$3766)+SUMPRODUCT(--(ISNUMBER(SEARCH($A143,'Diags Raw Data'!$A$6:$A$3766))),--('Diags Raw Data'!$Q$6:$Q$3766&lt;&gt;"N/A"),'Diags Raw Data'!$U$6:$U$3766)</f>
        <v>10</v>
      </c>
      <c r="O143" s="446">
        <f t="shared" si="42"/>
        <v>1</v>
      </c>
      <c r="P143" s="447">
        <f>SUMIF('Diags Raw Data'!$A$6:$A$3766,"*"&amp;$A143&amp;"*",'Diags Raw Data'!$Z$6:$Z$3766)</f>
        <v>1</v>
      </c>
      <c r="Q143" s="448">
        <f>SUM(SUMIF('Diags Raw Data'!$A$6:$A$3766,"*"&amp;$A143&amp;"*",'Diags Raw Data'!$AA$6:$AA$3766),SUMIF('Diags Raw Data'!$A$6:$A$3766,"*"&amp;$A143&amp;"*",'Diags Raw Data'!$AB$6:$AB$3766))</f>
        <v>1</v>
      </c>
      <c r="R143" s="449">
        <f t="shared" si="43"/>
        <v>1</v>
      </c>
      <c r="S143" s="449">
        <f t="shared" si="44"/>
        <v>1</v>
      </c>
      <c r="T143" s="450">
        <f t="shared" si="45"/>
        <v>1</v>
      </c>
      <c r="U143" s="419" t="s">
        <v>1083</v>
      </c>
      <c r="V143" s="181"/>
    </row>
    <row r="144" spans="1:22" ht="58.5" thickBot="1">
      <c r="A144" s="321" t="s">
        <v>1067</v>
      </c>
      <c r="B144" s="412" t="str">
        <f>VLOOKUP(A144,'Feature Raw Data'!$A$3:$B$3847,2,FALSE)</f>
        <v>WS.IRR.CDL.CH_L2_CFG0_Bit_1</v>
      </c>
      <c r="C144" s="413" t="str">
        <f>VLOOKUP(A144,'Feature Raw Data'!$A$3:$C$3929,3,FALSE)</f>
        <v>P2</v>
      </c>
      <c r="D144" s="414" t="str" cm="1">
        <f t="array" ref="D144">_xlfn.TEXTJOIN("",TRUE,IF(ISNUMBER(SEARCH($A144,'Diags Raw Data'!$A$6:$A$3768)),CONCATENATE('Diags Raw Data'!$H$6:$H$3768,", "),""))</f>
        <v/>
      </c>
      <c r="E144" s="415" t="e">
        <f>VLOOKUP(A144,'Diags Raw Data'!$A$6:$D$3768,4,FALSE)</f>
        <v>#N/A</v>
      </c>
      <c r="F144" s="415" t="str">
        <f>VLOOKUP(A144,'Feature Raw Data'!$A$3:$E$3847,5,FALSE)</f>
        <v>Legacy</v>
      </c>
      <c r="G144" s="415" t="str">
        <f t="shared" si="52"/>
        <v>No</v>
      </c>
      <c r="H144" s="415" t="str">
        <f t="shared" si="53"/>
        <v>No</v>
      </c>
      <c r="I144" s="417">
        <f>SUMIF('Diags Raw Data'!$A$6:$A$3768,"*"&amp;$A144&amp;"*",'Diags Raw Data'!$K$6:$K$3768)</f>
        <v>0</v>
      </c>
      <c r="J144" s="418">
        <f>SUMIF('Diags Raw Data'!$A$6:$A$3768,"*"&amp;$A144&amp;"*",'Diags Raw Data'!$L$6:$L$3768)</f>
        <v>0</v>
      </c>
      <c r="K144" s="443" cm="1">
        <f t="array" ref="K144">IF(D144="",0, SUMPRODUCT(--(ISNUMBER(SEARCH($A144,'Diags Raw Data'!$A$6:$A$3766))),'Diags Raw Data'!$L$6:$L$3766,'Diags Raw Data'!$N$6:$N$3766)/J144)</f>
        <v>0</v>
      </c>
      <c r="L144" s="444" cm="1">
        <f t="array" ref="L144">IF(D144="",0, SUMPRODUCT(--(ISNUMBER(SEARCH($A144,'Diags Raw Data'!$A$6:$A$3766))),'Diags Raw Data'!$L$6:$L$3766,'Diags Raw Data'!$P$6:$P$3766)/J144)</f>
        <v>0</v>
      </c>
      <c r="M144" s="445" cm="1">
        <f t="array" ref="M144">SUMPRODUCT(--(ISNUMBER(SEARCH($A144,'Diags Raw Data'!$A$6:$A$3766))),--('Diags Raw Data'!$Q$6:$Q$3766&lt;&gt;"N/A"),'Diags Raw Data'!$T$6:$T$3766)+SUMPRODUCT(--(ISNUMBER(SEARCH($A144,'Diags Raw Data'!$A$6:$A$3766))),--('Diags Raw Data'!$Q$6:$Q$3766&lt;&gt;"N/A"),'Diags Raw Data'!$U$6:$U$3766)</f>
        <v>0</v>
      </c>
      <c r="N144" s="445" cm="1">
        <f t="array" ref="N144">SUMPRODUCT(--(ISNUMBER(SEARCH($A144,'Diags Raw Data'!$A$6:$A$3766))),--('Diags Raw Data'!$Q$6:$Q$3766&lt;&gt;"N/A"),'Diags Raw Data'!$T$6:$T$3766)+SUMPRODUCT(--(ISNUMBER(SEARCH($A144,'Diags Raw Data'!$A$6:$A$3766))),--('Diags Raw Data'!$Q$6:$Q$3766&lt;&gt;"N/A"),'Diags Raw Data'!$U$6:$U$3766)</f>
        <v>0</v>
      </c>
      <c r="O144" s="446">
        <f t="shared" si="42"/>
        <v>0</v>
      </c>
      <c r="P144" s="447">
        <f>SUMIF('Diags Raw Data'!$A$6:$A$3766,"*"&amp;$A144&amp;"*",'Diags Raw Data'!$Z$6:$Z$3766)</f>
        <v>0</v>
      </c>
      <c r="Q144" s="448">
        <f>SUM(SUMIF('Diags Raw Data'!$A$6:$A$3766,"*"&amp;$A144&amp;"*",'Diags Raw Data'!$AA$6:$AA$3766),SUMIF('Diags Raw Data'!$A$6:$A$3766,"*"&amp;$A144&amp;"*",'Diags Raw Data'!$AB$6:$AB$3766))</f>
        <v>0</v>
      </c>
      <c r="R144" s="449">
        <f t="shared" si="43"/>
        <v>0</v>
      </c>
      <c r="S144" s="449">
        <f t="shared" si="44"/>
        <v>0</v>
      </c>
      <c r="T144" s="450">
        <f t="shared" si="45"/>
        <v>0</v>
      </c>
      <c r="U144" s="419" t="s">
        <v>1083</v>
      </c>
      <c r="V144" s="181"/>
    </row>
    <row r="145" spans="1:22" ht="87.6" thickBot="1">
      <c r="A145" s="321" t="s">
        <v>1006</v>
      </c>
      <c r="B145" s="412" t="str">
        <f>VLOOKUP(A145,'Feature Raw Data'!$A$3:$B$3847,2,FALSE)</f>
        <v>WS.IRR.CDL.CH_L2_CFG0_Bit_2</v>
      </c>
      <c r="C145" s="413" t="str">
        <f>VLOOKUP(A145,'Feature Raw Data'!$A$3:$C$3929,3,FALSE)</f>
        <v>P2</v>
      </c>
      <c r="D145" s="414" t="str" cm="1">
        <f t="array" ref="D145">_xlfn.TEXTJOIN("",TRUE,IF(ISNUMBER(SEARCH($A145,'Diags Raw Data'!$A$6:$A$3768)),CONCATENATE('Diags Raw Data'!$H$6:$H$3768,", "),""))</f>
        <v xml:space="preserve">
command_input_short_list_Turin_P1.yaml  can  found here
https://confluence.amd.com/download/attachments/772258342/command_input_short_list_Turin.yaml?api=v2
, </v>
      </c>
      <c r="E145" s="415" t="str">
        <f>VLOOKUP(A145,'Diags Raw Data'!$A$6:$D$3768,4,FALSE)</f>
        <v>IRR-13</v>
      </c>
      <c r="F145" s="415" t="str">
        <f>VLOOKUP(A145,'Feature Raw Data'!$A$3:$E$3847,5,FALSE)</f>
        <v>Legacy</v>
      </c>
      <c r="G145" s="415" t="str">
        <f t="shared" si="52"/>
        <v>Yes</v>
      </c>
      <c r="H145" s="415" t="str">
        <f t="shared" si="53"/>
        <v>Yes</v>
      </c>
      <c r="I145" s="417">
        <f>SUMIF('Diags Raw Data'!$A$6:$A$3768,"*"&amp;$A145&amp;"*",'Diags Raw Data'!$K$6:$K$3768)</f>
        <v>1</v>
      </c>
      <c r="J145" s="418">
        <f>SUMIF('Diags Raw Data'!$A$6:$A$3768,"*"&amp;$A145&amp;"*",'Diags Raw Data'!$L$6:$L$3768)</f>
        <v>1</v>
      </c>
      <c r="K145" s="443" cm="1">
        <f t="array" ref="K145">IF(D145="",0, SUMPRODUCT(--(ISNUMBER(SEARCH($A145,'Diags Raw Data'!$A$6:$A$3766))),'Diags Raw Data'!$L$6:$L$3766,'Diags Raw Data'!$N$6:$N$3766)/J145)</f>
        <v>1</v>
      </c>
      <c r="L145" s="444" cm="1">
        <f t="array" ref="L145">IF(D145="",0, SUMPRODUCT(--(ISNUMBER(SEARCH($A145,'Diags Raw Data'!$A$6:$A$3766))),'Diags Raw Data'!$L$6:$L$3766,'Diags Raw Data'!$P$6:$P$3766)/J145)</f>
        <v>1</v>
      </c>
      <c r="M145" s="445" cm="1">
        <f t="array" ref="M145">SUMPRODUCT(--(ISNUMBER(SEARCH($A145,'Diags Raw Data'!$A$6:$A$3766))),--('Diags Raw Data'!$Q$6:$Q$3766&lt;&gt;"N/A"),'Diags Raw Data'!$T$6:$T$3766)+SUMPRODUCT(--(ISNUMBER(SEARCH($A145,'Diags Raw Data'!$A$6:$A$3766))),--('Diags Raw Data'!$Q$6:$Q$3766&lt;&gt;"N/A"),'Diags Raw Data'!$U$6:$U$3766)</f>
        <v>10</v>
      </c>
      <c r="N145" s="445" cm="1">
        <f t="array" ref="N145">SUMPRODUCT(--(ISNUMBER(SEARCH($A145,'Diags Raw Data'!$A$6:$A$3766))),--('Diags Raw Data'!$Q$6:$Q$3766&lt;&gt;"N/A"),'Diags Raw Data'!$T$6:$T$3766)+SUMPRODUCT(--(ISNUMBER(SEARCH($A145,'Diags Raw Data'!$A$6:$A$3766))),--('Diags Raw Data'!$Q$6:$Q$3766&lt;&gt;"N/A"),'Diags Raw Data'!$U$6:$U$3766)</f>
        <v>10</v>
      </c>
      <c r="O145" s="446">
        <f t="shared" si="42"/>
        <v>1</v>
      </c>
      <c r="P145" s="447">
        <f>SUMIF('Diags Raw Data'!$A$6:$A$3766,"*"&amp;$A145&amp;"*",'Diags Raw Data'!$Z$6:$Z$3766)</f>
        <v>1</v>
      </c>
      <c r="Q145" s="448">
        <f>SUM(SUMIF('Diags Raw Data'!$A$6:$A$3766,"*"&amp;$A145&amp;"*",'Diags Raw Data'!$AA$6:$AA$3766),SUMIF('Diags Raw Data'!$A$6:$A$3766,"*"&amp;$A145&amp;"*",'Diags Raw Data'!$AB$6:$AB$3766))</f>
        <v>1</v>
      </c>
      <c r="R145" s="449">
        <f t="shared" si="43"/>
        <v>1</v>
      </c>
      <c r="S145" s="449">
        <f t="shared" si="44"/>
        <v>1</v>
      </c>
      <c r="T145" s="450">
        <f t="shared" si="45"/>
        <v>1</v>
      </c>
      <c r="U145" s="419" t="s">
        <v>1083</v>
      </c>
      <c r="V145" s="181"/>
    </row>
    <row r="146" spans="1:22" ht="87.6" thickBot="1">
      <c r="A146" s="321" t="s">
        <v>1008</v>
      </c>
      <c r="B146" s="412" t="str">
        <f>VLOOKUP(A146,'Feature Raw Data'!$A$3:$B$3847,2,FALSE)</f>
        <v>WS.IRR.CDL.CH_L2_CFG0_Bit_3</v>
      </c>
      <c r="C146" s="413" t="str">
        <f>VLOOKUP(A146,'Feature Raw Data'!$A$3:$C$3929,3,FALSE)</f>
        <v>P2</v>
      </c>
      <c r="D146" s="414" t="str" cm="1">
        <f t="array" ref="D146">_xlfn.TEXTJOIN("",TRUE,IF(ISNUMBER(SEARCH($A146,'Diags Raw Data'!$A$6:$A$3768)),CONCATENATE('Diags Raw Data'!$H$6:$H$3768,", "),""))</f>
        <v xml:space="preserve">
command_input_short_list_Turin_P1.yaml  can  found here
https://confluence.amd.com/download/attachments/772258342/command_input_short_list_Turin.yaml?api=v2
, </v>
      </c>
      <c r="E146" s="415" t="str">
        <f>VLOOKUP(A146,'Diags Raw Data'!$A$6:$D$3768,4,FALSE)</f>
        <v>IRR-13</v>
      </c>
      <c r="F146" s="415" t="str">
        <f>VLOOKUP(A146,'Feature Raw Data'!$A$3:$E$3847,5,FALSE)</f>
        <v>Legacy</v>
      </c>
      <c r="G146" s="415" t="str">
        <f t="shared" si="52"/>
        <v>Yes</v>
      </c>
      <c r="H146" s="415" t="str">
        <f t="shared" si="53"/>
        <v>Yes</v>
      </c>
      <c r="I146" s="417">
        <f>SUMIF('Diags Raw Data'!$A$6:$A$3768,"*"&amp;$A146&amp;"*",'Diags Raw Data'!$K$6:$K$3768)</f>
        <v>1</v>
      </c>
      <c r="J146" s="418">
        <f>SUMIF('Diags Raw Data'!$A$6:$A$3768,"*"&amp;$A146&amp;"*",'Diags Raw Data'!$L$6:$L$3768)</f>
        <v>1</v>
      </c>
      <c r="K146" s="443" cm="1">
        <f t="array" ref="K146">IF(D146="",0, SUMPRODUCT(--(ISNUMBER(SEARCH($A146,'Diags Raw Data'!$A$6:$A$3766))),'Diags Raw Data'!$L$6:$L$3766,'Diags Raw Data'!$N$6:$N$3766)/J146)</f>
        <v>1</v>
      </c>
      <c r="L146" s="444" cm="1">
        <f t="array" ref="L146">IF(D146="",0, SUMPRODUCT(--(ISNUMBER(SEARCH($A146,'Diags Raw Data'!$A$6:$A$3766))),'Diags Raw Data'!$L$6:$L$3766,'Diags Raw Data'!$P$6:$P$3766)/J146)</f>
        <v>1</v>
      </c>
      <c r="M146" s="445" cm="1">
        <f t="array" ref="M146">SUMPRODUCT(--(ISNUMBER(SEARCH($A146,'Diags Raw Data'!$A$6:$A$3766))),--('Diags Raw Data'!$Q$6:$Q$3766&lt;&gt;"N/A"),'Diags Raw Data'!$T$6:$T$3766)+SUMPRODUCT(--(ISNUMBER(SEARCH($A146,'Diags Raw Data'!$A$6:$A$3766))),--('Diags Raw Data'!$Q$6:$Q$3766&lt;&gt;"N/A"),'Diags Raw Data'!$U$6:$U$3766)</f>
        <v>10</v>
      </c>
      <c r="N146" s="445" cm="1">
        <f t="array" ref="N146">SUMPRODUCT(--(ISNUMBER(SEARCH($A146,'Diags Raw Data'!$A$6:$A$3766))),--('Diags Raw Data'!$Q$6:$Q$3766&lt;&gt;"N/A"),'Diags Raw Data'!$T$6:$T$3766)+SUMPRODUCT(--(ISNUMBER(SEARCH($A146,'Diags Raw Data'!$A$6:$A$3766))),--('Diags Raw Data'!$Q$6:$Q$3766&lt;&gt;"N/A"),'Diags Raw Data'!$U$6:$U$3766)</f>
        <v>10</v>
      </c>
      <c r="O146" s="446">
        <f t="shared" si="42"/>
        <v>1</v>
      </c>
      <c r="P146" s="447">
        <f>SUMIF('Diags Raw Data'!$A$6:$A$3766,"*"&amp;$A146&amp;"*",'Diags Raw Data'!$Z$6:$Z$3766)</f>
        <v>1</v>
      </c>
      <c r="Q146" s="448">
        <f>SUM(SUMIF('Diags Raw Data'!$A$6:$A$3766,"*"&amp;$A146&amp;"*",'Diags Raw Data'!$AA$6:$AA$3766),SUMIF('Diags Raw Data'!$A$6:$A$3766,"*"&amp;$A146&amp;"*",'Diags Raw Data'!$AB$6:$AB$3766))</f>
        <v>1</v>
      </c>
      <c r="R146" s="449">
        <f t="shared" si="43"/>
        <v>1</v>
      </c>
      <c r="S146" s="449">
        <f t="shared" si="44"/>
        <v>1</v>
      </c>
      <c r="T146" s="450">
        <f t="shared" si="45"/>
        <v>1</v>
      </c>
      <c r="U146" s="419" t="s">
        <v>1083</v>
      </c>
      <c r="V146" s="181"/>
    </row>
    <row r="147" spans="1:22" ht="58.5" thickBot="1">
      <c r="A147" s="321" t="s">
        <v>1011</v>
      </c>
      <c r="B147" s="412" t="str">
        <f>VLOOKUP(A147,'Feature Raw Data'!$A$3:$B$3847,2,FALSE)</f>
        <v>WS.IRR.CDL.CH_L2_CFG0_Bit_4</v>
      </c>
      <c r="C147" s="413" t="str">
        <f>VLOOKUP(A147,'Feature Raw Data'!$A$3:$C$3929,3,FALSE)</f>
        <v>P2</v>
      </c>
      <c r="D147" s="414" t="str" cm="1">
        <f t="array" ref="D147">_xlfn.TEXTJOIN("",TRUE,IF(ISNUMBER(SEARCH($A147,'Diags Raw Data'!$A$6:$A$3768)),CONCATENATE('Diags Raw Data'!$H$6:$H$3768,", "),""))</f>
        <v xml:space="preserve">
Command to run the session: python3 cdl_it_executor.py --multiProcess --runScriptFile run_cmds.yaml, </v>
      </c>
      <c r="E147" s="415" t="str">
        <f>VLOOKUP(A147,'Diags Raw Data'!$A$6:$D$3768,4,FALSE)</f>
        <v>IRR-13</v>
      </c>
      <c r="F147" s="415" t="str">
        <f>VLOOKUP(A147,'Feature Raw Data'!$A$3:$E$3847,5,FALSE)</f>
        <v>Legacy</v>
      </c>
      <c r="G147" s="415" t="str">
        <f t="shared" si="52"/>
        <v>Yes</v>
      </c>
      <c r="H147" s="415" t="str">
        <f t="shared" si="53"/>
        <v>Yes</v>
      </c>
      <c r="I147" s="417">
        <f>SUMIF('Diags Raw Data'!$A$6:$A$3768,"*"&amp;$A147&amp;"*",'Diags Raw Data'!$K$6:$K$3768)</f>
        <v>1</v>
      </c>
      <c r="J147" s="418">
        <f>SUMIF('Diags Raw Data'!$A$6:$A$3768,"*"&amp;$A147&amp;"*",'Diags Raw Data'!$L$6:$L$3768)</f>
        <v>1</v>
      </c>
      <c r="K147" s="443" cm="1">
        <f t="array" ref="K147">IF(D147="",0, SUMPRODUCT(--(ISNUMBER(SEARCH($A147,'Diags Raw Data'!$A$6:$A$3766))),'Diags Raw Data'!$L$6:$L$3766,'Diags Raw Data'!$N$6:$N$3766)/J147)</f>
        <v>1</v>
      </c>
      <c r="L147" s="444" cm="1">
        <f t="array" ref="L147">IF(D147="",0, SUMPRODUCT(--(ISNUMBER(SEARCH($A147,'Diags Raw Data'!$A$6:$A$3766))),'Diags Raw Data'!$L$6:$L$3766,'Diags Raw Data'!$P$6:$P$3766)/J147)</f>
        <v>1</v>
      </c>
      <c r="M147" s="445" cm="1">
        <f t="array" ref="M147">SUMPRODUCT(--(ISNUMBER(SEARCH($A147,'Diags Raw Data'!$A$6:$A$3766))),--('Diags Raw Data'!$Q$6:$Q$3766&lt;&gt;"N/A"),'Diags Raw Data'!$T$6:$T$3766)+SUMPRODUCT(--(ISNUMBER(SEARCH($A147,'Diags Raw Data'!$A$6:$A$3766))),--('Diags Raw Data'!$Q$6:$Q$3766&lt;&gt;"N/A"),'Diags Raw Data'!$U$6:$U$3766)</f>
        <v>10</v>
      </c>
      <c r="N147" s="445" cm="1">
        <f t="array" ref="N147">SUMPRODUCT(--(ISNUMBER(SEARCH($A147,'Diags Raw Data'!$A$6:$A$3766))),--('Diags Raw Data'!$Q$6:$Q$3766&lt;&gt;"N/A"),'Diags Raw Data'!$T$6:$T$3766)+SUMPRODUCT(--(ISNUMBER(SEARCH($A147,'Diags Raw Data'!$A$6:$A$3766))),--('Diags Raw Data'!$Q$6:$Q$3766&lt;&gt;"N/A"),'Diags Raw Data'!$U$6:$U$3766)</f>
        <v>10</v>
      </c>
      <c r="O147" s="446">
        <f t="shared" si="42"/>
        <v>1</v>
      </c>
      <c r="P147" s="447">
        <f>SUMIF('Diags Raw Data'!$A$6:$A$3766,"*"&amp;$A147&amp;"*",'Diags Raw Data'!$Z$6:$Z$3766)</f>
        <v>1</v>
      </c>
      <c r="Q147" s="448">
        <f>SUM(SUMIF('Diags Raw Data'!$A$6:$A$3766,"*"&amp;$A147&amp;"*",'Diags Raw Data'!$AA$6:$AA$3766),SUMIF('Diags Raw Data'!$A$6:$A$3766,"*"&amp;$A147&amp;"*",'Diags Raw Data'!$AB$6:$AB$3766))</f>
        <v>1</v>
      </c>
      <c r="R147" s="449">
        <f t="shared" si="43"/>
        <v>1</v>
      </c>
      <c r="S147" s="449">
        <f t="shared" si="44"/>
        <v>1</v>
      </c>
      <c r="T147" s="450">
        <f t="shared" si="45"/>
        <v>1</v>
      </c>
      <c r="U147" s="419" t="s">
        <v>1083</v>
      </c>
      <c r="V147" s="181"/>
    </row>
    <row r="148" spans="1:22" ht="58.5" thickBot="1">
      <c r="A148" s="321" t="s">
        <v>1013</v>
      </c>
      <c r="B148" s="412" t="str">
        <f>VLOOKUP(A148,'Feature Raw Data'!$A$3:$B$3847,2,FALSE)</f>
        <v>WS.IT.CDL.HDRT</v>
      </c>
      <c r="C148" s="413" t="str">
        <f>VLOOKUP(A148,'Feature Raw Data'!$A$3:$C$3929,3,FALSE)</f>
        <v>P1</v>
      </c>
      <c r="D148" s="414" t="str" cm="1">
        <f t="array" ref="D148">_xlfn.TEXTJOIN("",TRUE,IF(ISNUMBER(SEARCH($A148,'Diags Raw Data'!$A$6:$A$3768)),CONCATENATE('Diags Raw Data'!$H$6:$H$3768,", "),""))</f>
        <v xml:space="preserve">HDRT.stf, </v>
      </c>
      <c r="E148" s="415" t="str">
        <f>VLOOKUP(A148,'Diags Raw Data'!$A$6:$D$3768,4,FALSE)</f>
        <v>IT-11</v>
      </c>
      <c r="F148" s="415" t="str">
        <f>VLOOKUP(A148,'Feature Raw Data'!$A$3:$E$3847,5,FALSE)</f>
        <v>Legacy</v>
      </c>
      <c r="G148" s="415" t="str">
        <f t="shared" si="52"/>
        <v>Yes</v>
      </c>
      <c r="H148" s="415" t="str">
        <f t="shared" si="53"/>
        <v>Yes</v>
      </c>
      <c r="I148" s="417">
        <f>SUMIF('Diags Raw Data'!$A$6:$A$3768,"*"&amp;$A148&amp;"*",'Diags Raw Data'!$K$6:$K$3768)</f>
        <v>1</v>
      </c>
      <c r="J148" s="418">
        <f>SUMIF('Diags Raw Data'!$A$6:$A$3768,"*"&amp;$A148&amp;"*",'Diags Raw Data'!$L$6:$L$3768)</f>
        <v>100</v>
      </c>
      <c r="K148" s="443" cm="1">
        <f t="array" ref="K148">IF(D148="",0, SUMPRODUCT(--(ISNUMBER(SEARCH($A148,'Diags Raw Data'!$A$6:$A$3766))),'Diags Raw Data'!$L$6:$L$3766,'Diags Raw Data'!$N$6:$N$3766)/J148)</f>
        <v>1</v>
      </c>
      <c r="L148" s="444" cm="1">
        <f t="array" ref="L148">IF(D148="",0, SUMPRODUCT(--(ISNUMBER(SEARCH($A148,'Diags Raw Data'!$A$6:$A$3766))),'Diags Raw Data'!$L$6:$L$3766,'Diags Raw Data'!$P$6:$P$3766)/J148)</f>
        <v>1</v>
      </c>
      <c r="M148" s="445" cm="1">
        <f t="array" ref="M148">SUMPRODUCT(--(ISNUMBER(SEARCH($A148,'Diags Raw Data'!$A$6:$A$3766))),--('Diags Raw Data'!$Q$6:$Q$3766&lt;&gt;"N/A"),'Diags Raw Data'!$T$6:$T$3766)+SUMPRODUCT(--(ISNUMBER(SEARCH($A148,'Diags Raw Data'!$A$6:$A$3766))),--('Diags Raw Data'!$Q$6:$Q$3766&lt;&gt;"N/A"),'Diags Raw Data'!$U$6:$U$3766)</f>
        <v>100</v>
      </c>
      <c r="N148" s="445" cm="1">
        <f t="array" ref="N148">SUMPRODUCT(--(ISNUMBER(SEARCH($A148,'Diags Raw Data'!$A$6:$A$3766))),--('Diags Raw Data'!$Q$6:$Q$3766&lt;&gt;"N/A"),'Diags Raw Data'!$T$6:$T$3766)+SUMPRODUCT(--(ISNUMBER(SEARCH($A148,'Diags Raw Data'!$A$6:$A$3766))),--('Diags Raw Data'!$Q$6:$Q$3766&lt;&gt;"N/A"),'Diags Raw Data'!$U$6:$U$3766)</f>
        <v>100</v>
      </c>
      <c r="O148" s="446">
        <f t="shared" si="42"/>
        <v>1</v>
      </c>
      <c r="P148" s="447">
        <f>SUMIF('Diags Raw Data'!$A$6:$A$3766,"*"&amp;$A148&amp;"*",'Diags Raw Data'!$Z$6:$Z$3766)</f>
        <v>100</v>
      </c>
      <c r="Q148" s="448">
        <f>SUM(SUMIF('Diags Raw Data'!$A$6:$A$3766,"*"&amp;$A148&amp;"*",'Diags Raw Data'!$AA$6:$AA$3766),SUMIF('Diags Raw Data'!$A$6:$A$3766,"*"&amp;$A148&amp;"*",'Diags Raw Data'!$AB$6:$AB$3766))</f>
        <v>100</v>
      </c>
      <c r="R148" s="449">
        <f t="shared" si="43"/>
        <v>1</v>
      </c>
      <c r="S148" s="449">
        <f t="shared" si="44"/>
        <v>1</v>
      </c>
      <c r="T148" s="450">
        <f t="shared" si="45"/>
        <v>1</v>
      </c>
      <c r="U148" s="419" t="s">
        <v>1083</v>
      </c>
      <c r="V148" s="181"/>
    </row>
    <row r="149" spans="1:22" ht="130.5">
      <c r="A149" s="321" t="s">
        <v>1017</v>
      </c>
      <c r="B149" s="412" t="str">
        <f>VLOOKUP(A149,'Feature Raw Data'!$A$3:$B$3847,2,FALSE)</f>
        <v>WS.IT.CDL.CCX_Exerciser</v>
      </c>
      <c r="C149" s="413" t="str">
        <f>VLOOKUP(A149,'Feature Raw Data'!$A$3:$C$3929,3,FALSE)</f>
        <v>P1</v>
      </c>
      <c r="D149" s="414" t="str" cm="1">
        <f t="array" ref="D149">_xlfn.TEXTJOIN("",TRUE,IF(ISNUMBER(SEARCH($A149,'Diags Raw Data'!$A$6:$A$3768)),CONCATENATE('Diags Raw Data'!$H$6:$H$3768,", "),""))</f>
        <v xml:space="preserve">CCX_Exerciser.stf
CCX_Exerciser_fusion.stf
CCX_Exerciser_random.stf
CCX_Exerciser_clbl.stf
CCX_Exerciser_hdrt.stf
CCX_Exerciser_retq.stf
CCX_Exerciser_diag_instances.stf
CCX_Exerciser_lsdc.stf
CCX_Exerciser_stlf.stf, </v>
      </c>
      <c r="E149" s="415" t="str">
        <f>VLOOKUP(A149,'Diags Raw Data'!$A$6:$D$3768,4,FALSE)</f>
        <v>IT-11</v>
      </c>
      <c r="F149" s="415" t="str">
        <f>VLOOKUP(A149,'Feature Raw Data'!$A$3:$E$3847,5,FALSE)</f>
        <v>Legacy</v>
      </c>
      <c r="G149" s="415" t="str">
        <f t="shared" si="52"/>
        <v>Yes</v>
      </c>
      <c r="H149" s="415" t="str">
        <f t="shared" si="53"/>
        <v>Yes</v>
      </c>
      <c r="I149" s="417">
        <f>SUMIF('Diags Raw Data'!$A$6:$A$3768,"*"&amp;$A149&amp;"*",'Diags Raw Data'!$K$6:$K$3768)</f>
        <v>5</v>
      </c>
      <c r="J149" s="418">
        <f>SUMIF('Diags Raw Data'!$A$6:$A$3768,"*"&amp;$A149&amp;"*",'Diags Raw Data'!$L$6:$L$3768)</f>
        <v>22</v>
      </c>
      <c r="K149" s="443" cm="1">
        <f t="array" ref="K149">IF(D149="",0, SUMPRODUCT(--(ISNUMBER(SEARCH($A149,'Diags Raw Data'!$A$6:$A$3766))),'Diags Raw Data'!$L$6:$L$3766,'Diags Raw Data'!$N$6:$N$3766)/J149)</f>
        <v>1</v>
      </c>
      <c r="L149" s="444" cm="1">
        <f t="array" ref="L149">IF(D149="",0, SUMPRODUCT(--(ISNUMBER(SEARCH($A149,'Diags Raw Data'!$A$6:$A$3766))),'Diags Raw Data'!$L$6:$L$3766,'Diags Raw Data'!$P$6:$P$3766)/J149)</f>
        <v>1</v>
      </c>
      <c r="M149" s="445" cm="1">
        <f t="array" ref="M149">SUMPRODUCT(--(ISNUMBER(SEARCH($A149,'Diags Raw Data'!$A$6:$A$3766))),--('Diags Raw Data'!$Q$6:$Q$3766&lt;&gt;"N/A"),'Diags Raw Data'!$T$6:$T$3766)+SUMPRODUCT(--(ISNUMBER(SEARCH($A149,'Diags Raw Data'!$A$6:$A$3766))),--('Diags Raw Data'!$Q$6:$Q$3766&lt;&gt;"N/A"),'Diags Raw Data'!$U$6:$U$3766)</f>
        <v>22</v>
      </c>
      <c r="N149" s="445" cm="1">
        <f t="array" ref="N149">SUMPRODUCT(--(ISNUMBER(SEARCH($A149,'Diags Raw Data'!$A$6:$A$3766))),--('Diags Raw Data'!$Q$6:$Q$3766&lt;&gt;"N/A"),'Diags Raw Data'!$T$6:$T$3766)+SUMPRODUCT(--(ISNUMBER(SEARCH($A149,'Diags Raw Data'!$A$6:$A$3766))),--('Diags Raw Data'!$Q$6:$Q$3766&lt;&gt;"N/A"),'Diags Raw Data'!$U$6:$U$3766)</f>
        <v>22</v>
      </c>
      <c r="O149" s="446">
        <f t="shared" si="42"/>
        <v>1</v>
      </c>
      <c r="P149" s="447">
        <f>SUMIF('Diags Raw Data'!$A$6:$A$3766,"*"&amp;$A149&amp;"*",'Diags Raw Data'!$Z$6:$Z$3766)</f>
        <v>22</v>
      </c>
      <c r="Q149" s="448">
        <f>SUM(SUMIF('Diags Raw Data'!$A$6:$A$3766,"*"&amp;$A149&amp;"*",'Diags Raw Data'!$AA$6:$AA$3766),SUMIF('Diags Raw Data'!$A$6:$A$3766,"*"&amp;$A149&amp;"*",'Diags Raw Data'!$AB$6:$AB$3766))</f>
        <v>22</v>
      </c>
      <c r="R149" s="449">
        <f t="shared" si="43"/>
        <v>1</v>
      </c>
      <c r="S149" s="449">
        <f t="shared" si="44"/>
        <v>1</v>
      </c>
      <c r="T149" s="450">
        <f t="shared" si="45"/>
        <v>1</v>
      </c>
      <c r="U149" s="419" t="s">
        <v>1083</v>
      </c>
      <c r="V149" s="181"/>
    </row>
    <row r="150" spans="1:22">
      <c r="A150" s="357"/>
      <c r="B150" s="388"/>
      <c r="C150" s="334"/>
      <c r="D150" s="82"/>
      <c r="E150" s="180"/>
      <c r="F150" s="180"/>
      <c r="G150" s="180"/>
      <c r="H150" s="180"/>
      <c r="I150" s="334"/>
      <c r="J150" s="192"/>
      <c r="K150" s="451"/>
      <c r="L150" s="452"/>
      <c r="M150" s="453"/>
      <c r="N150" s="454"/>
      <c r="O150" s="455"/>
      <c r="P150" s="456"/>
      <c r="Q150" s="457"/>
      <c r="R150" s="458"/>
      <c r="S150" s="458"/>
      <c r="T150" s="459"/>
      <c r="U150" s="419"/>
      <c r="V150" s="181"/>
    </row>
    <row r="151" spans="1:22">
      <c r="A151" s="357"/>
      <c r="B151" s="388"/>
      <c r="C151" s="334"/>
      <c r="D151" s="82"/>
      <c r="E151" s="180"/>
      <c r="F151" s="180"/>
      <c r="G151" s="180"/>
      <c r="H151" s="180"/>
      <c r="I151" s="334"/>
      <c r="J151" s="192"/>
      <c r="K151" s="451"/>
      <c r="L151" s="452"/>
      <c r="M151" s="453"/>
      <c r="N151" s="454"/>
      <c r="O151" s="455"/>
      <c r="P151" s="456"/>
      <c r="Q151" s="457"/>
      <c r="R151" s="458"/>
      <c r="S151" s="458"/>
      <c r="T151" s="459"/>
      <c r="U151" s="358"/>
      <c r="V151" s="181"/>
    </row>
    <row r="152" spans="1:22" ht="15" thickBot="1">
      <c r="A152" s="363"/>
      <c r="B152" s="389"/>
      <c r="C152" s="364"/>
      <c r="D152" s="365"/>
      <c r="E152" s="366"/>
      <c r="F152" s="366"/>
      <c r="G152" s="366"/>
      <c r="H152" s="366"/>
      <c r="I152" s="364"/>
      <c r="J152" s="367"/>
      <c r="K152" s="460"/>
      <c r="L152" s="461"/>
      <c r="M152" s="462"/>
      <c r="N152" s="463"/>
      <c r="O152" s="464"/>
      <c r="P152" s="465"/>
      <c r="Q152" s="466"/>
      <c r="R152" s="467"/>
      <c r="S152" s="467"/>
      <c r="T152" s="468"/>
      <c r="U152" s="368"/>
      <c r="V152" s="181"/>
    </row>
    <row r="153" spans="1:22">
      <c r="A153" s="637" t="s">
        <v>1084</v>
      </c>
      <c r="B153" s="737"/>
      <c r="C153" s="737"/>
      <c r="D153" s="737"/>
      <c r="E153" s="737"/>
      <c r="F153" s="737"/>
      <c r="G153" s="737"/>
      <c r="H153" s="737"/>
      <c r="I153" s="737"/>
      <c r="J153" s="737"/>
      <c r="K153" s="737"/>
      <c r="L153" s="737"/>
      <c r="M153" s="737"/>
      <c r="N153" s="737"/>
      <c r="O153" s="737"/>
      <c r="P153" s="737"/>
      <c r="Q153" s="737"/>
      <c r="R153" s="737"/>
      <c r="S153" s="737"/>
      <c r="T153" s="737"/>
      <c r="U153" s="738"/>
      <c r="V153" s="181"/>
    </row>
    <row r="154" spans="1:22" ht="15" thickBot="1">
      <c r="A154" s="739"/>
      <c r="B154" s="740"/>
      <c r="C154" s="740"/>
      <c r="D154" s="740"/>
      <c r="E154" s="740"/>
      <c r="F154" s="740"/>
      <c r="G154" s="740"/>
      <c r="H154" s="740"/>
      <c r="I154" s="740"/>
      <c r="J154" s="740"/>
      <c r="K154" s="740"/>
      <c r="L154" s="740"/>
      <c r="M154" s="740"/>
      <c r="N154" s="740"/>
      <c r="O154" s="740"/>
      <c r="P154" s="740"/>
      <c r="Q154" s="740"/>
      <c r="R154" s="740"/>
      <c r="S154" s="740"/>
      <c r="T154" s="740"/>
      <c r="U154" s="741"/>
      <c r="V154" s="181"/>
    </row>
    <row r="155" spans="1:22" s="186" customFormat="1" ht="18.600000000000001">
      <c r="A155" s="688" t="s">
        <v>302</v>
      </c>
      <c r="B155" s="689"/>
      <c r="C155" s="689"/>
      <c r="D155" s="689"/>
      <c r="E155" s="689"/>
      <c r="F155" s="690"/>
      <c r="G155" s="376">
        <f>COUNTIF(G7:G152,"Yes")</f>
        <v>141</v>
      </c>
      <c r="H155" s="376">
        <f>COUNTIF(H7:H152,"Yes")</f>
        <v>141</v>
      </c>
      <c r="I155" s="686">
        <f>'Diags Raw Data'!K152</f>
        <v>170</v>
      </c>
      <c r="J155" s="724">
        <f>'Diags Raw Data'!L152</f>
        <v>88769</v>
      </c>
      <c r="K155" s="713">
        <f>'Diags Raw Data'!N152</f>
        <v>1</v>
      </c>
      <c r="L155" s="715">
        <f>'Diags Raw Data'!P152</f>
        <v>1</v>
      </c>
      <c r="M155" s="717">
        <f>'Diags Raw Data'!R152</f>
        <v>48458</v>
      </c>
      <c r="N155" s="708">
        <f>SUM('Diags Raw Data'!T152+'Diags Raw Data'!U152)</f>
        <v>48588</v>
      </c>
      <c r="O155" s="742">
        <f>IF((M155=0),0,N155/M155)</f>
        <v>1.0026827355648191</v>
      </c>
      <c r="P155" s="744">
        <f>'Diags Raw Data'!Z152</f>
        <v>88733</v>
      </c>
      <c r="Q155" s="698">
        <f>SUM('Diags Raw Data'!AA152+'Diags Raw Data'!AB152)</f>
        <v>88733</v>
      </c>
      <c r="R155" s="719">
        <f>IF((J155=0),0,P155/J155)</f>
        <v>0.99959445301850869</v>
      </c>
      <c r="S155" s="719">
        <f>IF((P155=0),0,Q155/P155)</f>
        <v>1</v>
      </c>
      <c r="T155" s="719">
        <f>R155*S155</f>
        <v>0.99959445301850869</v>
      </c>
      <c r="U155" s="723"/>
      <c r="V155" s="185"/>
    </row>
    <row r="156" spans="1:22" ht="18.95" thickBot="1">
      <c r="A156" s="691"/>
      <c r="B156" s="692"/>
      <c r="C156" s="692"/>
      <c r="D156" s="692"/>
      <c r="E156" s="692"/>
      <c r="F156" s="693"/>
      <c r="G156" s="377">
        <f>COUNTIF(G7:G152,"Yes")/COUNTA(A7:A152)</f>
        <v>0.98601398601398604</v>
      </c>
      <c r="H156" s="377">
        <f>(COUNTIF(H7:H152,"Yes")/G155)</f>
        <v>1</v>
      </c>
      <c r="I156" s="687"/>
      <c r="J156" s="725"/>
      <c r="K156" s="714"/>
      <c r="L156" s="716"/>
      <c r="M156" s="718"/>
      <c r="N156" s="709"/>
      <c r="O156" s="743"/>
      <c r="P156" s="745"/>
      <c r="Q156" s="699"/>
      <c r="R156" s="720"/>
      <c r="S156" s="720"/>
      <c r="T156" s="720"/>
      <c r="U156" s="722"/>
      <c r="V156" s="181"/>
    </row>
    <row r="157" spans="1:22">
      <c r="A157" s="187"/>
      <c r="B157" s="188"/>
      <c r="C157" s="188"/>
      <c r="D157" s="187"/>
      <c r="E157" s="188"/>
      <c r="F157" s="188"/>
      <c r="G157" s="359"/>
      <c r="H157" s="188"/>
      <c r="I157" s="369"/>
      <c r="J157" s="369"/>
      <c r="K157" s="193"/>
      <c r="L157" s="193"/>
      <c r="M157" s="194"/>
      <c r="N157" s="194"/>
      <c r="O157" s="193"/>
      <c r="P157" s="190"/>
      <c r="Q157" s="190"/>
      <c r="R157" s="197"/>
      <c r="S157" s="197"/>
      <c r="T157" s="198"/>
      <c r="U157" s="187"/>
    </row>
  </sheetData>
  <sheetProtection insertColumns="0" insertRows="0" deleteRows="0" sort="0"/>
  <autoFilter ref="A6:U156" xr:uid="{00000000-0009-0000-0000-000004000000}"/>
  <mergeCells count="36">
    <mergeCell ref="K5:L5"/>
    <mergeCell ref="A5:J5"/>
    <mergeCell ref="M5:O5"/>
    <mergeCell ref="P5:U5"/>
    <mergeCell ref="A155:F156"/>
    <mergeCell ref="A153:U154"/>
    <mergeCell ref="O155:O156"/>
    <mergeCell ref="P155:P156"/>
    <mergeCell ref="N155:N156"/>
    <mergeCell ref="V2:V3"/>
    <mergeCell ref="A4:U4"/>
    <mergeCell ref="K155:K156"/>
    <mergeCell ref="L155:L156"/>
    <mergeCell ref="M155:M156"/>
    <mergeCell ref="T2:T3"/>
    <mergeCell ref="U2:U3"/>
    <mergeCell ref="R2:R3"/>
    <mergeCell ref="S2:S3"/>
    <mergeCell ref="S155:S156"/>
    <mergeCell ref="T155:T156"/>
    <mergeCell ref="U155:U156"/>
    <mergeCell ref="Q155:Q156"/>
    <mergeCell ref="R155:R156"/>
    <mergeCell ref="I155:I156"/>
    <mergeCell ref="J155:J156"/>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1085</v>
      </c>
      <c r="C1" s="36" t="s">
        <v>1086</v>
      </c>
      <c r="D1" s="36" t="s">
        <v>1087</v>
      </c>
      <c r="E1" s="36" t="s">
        <v>1088</v>
      </c>
      <c r="F1" s="36" t="s">
        <v>1089</v>
      </c>
      <c r="G1" s="37" t="s">
        <v>1090</v>
      </c>
      <c r="H1" s="12"/>
      <c r="I1" s="12"/>
      <c r="J1" s="12"/>
      <c r="K1" s="12"/>
      <c r="L1" s="13"/>
      <c r="M1" s="1"/>
      <c r="N1" s="11"/>
      <c r="X1" s="11"/>
      <c r="AB1" s="746" t="s">
        <v>1091</v>
      </c>
      <c r="AM1" s="746" t="s">
        <v>1092</v>
      </c>
    </row>
    <row r="2" spans="1:40" s="14" customFormat="1" ht="12">
      <c r="A2" s="35" t="s">
        <v>1093</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48" t="s">
        <v>1094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49"/>
      <c r="B5" s="47" t="s">
        <v>1095</v>
      </c>
      <c r="C5" s="47" t="s">
        <v>1096</v>
      </c>
      <c r="D5" s="47" t="s">
        <v>1097</v>
      </c>
      <c r="E5" s="47" t="s">
        <v>1098</v>
      </c>
      <c r="F5" s="47" t="s">
        <v>1099</v>
      </c>
      <c r="G5" s="47" t="s">
        <v>1100</v>
      </c>
      <c r="H5" s="47" t="s">
        <v>1101</v>
      </c>
      <c r="I5" s="47" t="s">
        <v>1102</v>
      </c>
      <c r="J5" s="47" t="s">
        <v>1103</v>
      </c>
      <c r="K5" s="47" t="s">
        <v>1104</v>
      </c>
      <c r="L5" s="47" t="s">
        <v>1105</v>
      </c>
      <c r="M5" s="47" t="s">
        <v>1106</v>
      </c>
      <c r="N5" s="47" t="s">
        <v>1107</v>
      </c>
      <c r="O5" s="47" t="s">
        <v>1108</v>
      </c>
      <c r="P5" s="47" t="s">
        <v>1109</v>
      </c>
      <c r="Q5" s="47" t="s">
        <v>1110</v>
      </c>
      <c r="R5" s="47" t="s">
        <v>1111</v>
      </c>
      <c r="S5" s="47" t="s">
        <v>1112</v>
      </c>
      <c r="T5" s="47" t="s">
        <v>1113</v>
      </c>
      <c r="U5" s="47" t="s">
        <v>1114</v>
      </c>
      <c r="V5" s="47" t="s">
        <v>1115</v>
      </c>
      <c r="W5" s="47" t="s">
        <v>1116</v>
      </c>
      <c r="X5" s="47" t="s">
        <v>1117</v>
      </c>
      <c r="Y5" s="47" t="s">
        <v>1118</v>
      </c>
      <c r="Z5" s="47" t="s">
        <v>1119</v>
      </c>
      <c r="AA5" s="47" t="s">
        <v>1120</v>
      </c>
      <c r="AB5" s="47" t="s">
        <v>1121</v>
      </c>
      <c r="AC5" s="47" t="s">
        <v>1122</v>
      </c>
      <c r="AD5" s="47" t="s">
        <v>1123</v>
      </c>
      <c r="AE5" s="47" t="s">
        <v>1124</v>
      </c>
      <c r="AF5" s="47" t="s">
        <v>1125</v>
      </c>
      <c r="AG5" s="47" t="s">
        <v>1126</v>
      </c>
      <c r="AH5" s="47" t="s">
        <v>1127</v>
      </c>
      <c r="AI5" s="47" t="s">
        <v>1128</v>
      </c>
      <c r="AJ5" s="47" t="s">
        <v>1129</v>
      </c>
      <c r="AK5" s="47" t="s">
        <v>1130</v>
      </c>
      <c r="AL5" s="66" t="s">
        <v>1131</v>
      </c>
      <c r="AM5" s="65" t="s">
        <v>1132</v>
      </c>
      <c r="AN5" s="50"/>
    </row>
    <row r="6" spans="1:40" ht="12">
      <c r="A6" s="48" t="s">
        <v>1133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1134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48" t="s">
        <v>1135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50"/>
      <c r="B10" s="32" t="s">
        <v>1095</v>
      </c>
      <c r="C10" s="32" t="s">
        <v>1096</v>
      </c>
      <c r="D10" s="32" t="s">
        <v>1097</v>
      </c>
      <c r="E10" s="32" t="s">
        <v>1098</v>
      </c>
      <c r="F10" s="32" t="s">
        <v>1099</v>
      </c>
      <c r="G10" s="32" t="s">
        <v>1100</v>
      </c>
      <c r="H10" s="32" t="s">
        <v>1101</v>
      </c>
      <c r="I10" s="32" t="s">
        <v>1102</v>
      </c>
      <c r="J10" s="32" t="s">
        <v>1103</v>
      </c>
      <c r="K10" s="32" t="s">
        <v>1104</v>
      </c>
      <c r="L10" s="32" t="s">
        <v>1105</v>
      </c>
      <c r="M10" s="32" t="s">
        <v>1106</v>
      </c>
      <c r="N10" s="32" t="s">
        <v>1107</v>
      </c>
      <c r="O10" s="32" t="s">
        <v>1108</v>
      </c>
      <c r="P10" s="32" t="s">
        <v>1109</v>
      </c>
      <c r="Q10" s="32" t="s">
        <v>1110</v>
      </c>
      <c r="R10" s="32" t="s">
        <v>1111</v>
      </c>
      <c r="S10" s="32" t="s">
        <v>1112</v>
      </c>
      <c r="T10" s="32" t="s">
        <v>1113</v>
      </c>
      <c r="U10" s="32" t="s">
        <v>1114</v>
      </c>
      <c r="V10" s="32" t="s">
        <v>1115</v>
      </c>
      <c r="W10" s="32" t="s">
        <v>1116</v>
      </c>
      <c r="X10" s="32" t="s">
        <v>1117</v>
      </c>
      <c r="Y10" s="32" t="s">
        <v>1118</v>
      </c>
      <c r="Z10" s="32" t="s">
        <v>1119</v>
      </c>
      <c r="AA10" s="32" t="s">
        <v>1120</v>
      </c>
      <c r="AB10" s="32" t="s">
        <v>1121</v>
      </c>
      <c r="AC10" s="32" t="s">
        <v>1122</v>
      </c>
      <c r="AD10" s="32" t="s">
        <v>1123</v>
      </c>
      <c r="AE10" s="32" t="s">
        <v>1124</v>
      </c>
      <c r="AF10" s="32" t="s">
        <v>1125</v>
      </c>
      <c r="AG10" s="32" t="s">
        <v>1126</v>
      </c>
      <c r="AH10" s="32" t="s">
        <v>1127</v>
      </c>
      <c r="AI10" s="32" t="s">
        <v>1128</v>
      </c>
      <c r="AJ10" s="64" t="s">
        <v>1129</v>
      </c>
      <c r="AK10" s="63" t="s">
        <v>1130</v>
      </c>
      <c r="AL10" s="47" t="s">
        <v>1131</v>
      </c>
      <c r="AM10" s="72" t="s">
        <v>1132</v>
      </c>
      <c r="AN10" s="68"/>
    </row>
    <row r="11" spans="1:40">
      <c r="A11" s="42" t="s">
        <v>1133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1134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1136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1137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1138</v>
      </c>
      <c r="B1" s="157" t="s">
        <v>1139</v>
      </c>
      <c r="C1" s="158" t="s">
        <v>1140</v>
      </c>
      <c r="D1" s="158" t="s">
        <v>1141</v>
      </c>
      <c r="E1" s="158" t="s">
        <v>1142</v>
      </c>
      <c r="F1" s="158" t="s">
        <v>1143</v>
      </c>
      <c r="G1" s="158" t="s">
        <v>1144</v>
      </c>
      <c r="H1" s="158" t="s">
        <v>1145</v>
      </c>
      <c r="I1" s="158" t="s">
        <v>1146</v>
      </c>
      <c r="J1" s="158" t="s">
        <v>1147</v>
      </c>
      <c r="K1" s="158" t="s">
        <v>1148</v>
      </c>
      <c r="L1" s="158" t="s">
        <v>1149</v>
      </c>
      <c r="M1" s="158" t="s">
        <v>1150</v>
      </c>
      <c r="N1" s="158" t="s">
        <v>1151</v>
      </c>
      <c r="O1" s="158" t="s">
        <v>1152</v>
      </c>
      <c r="P1" s="158" t="s">
        <v>1153</v>
      </c>
      <c r="Q1" s="158" t="s">
        <v>1154</v>
      </c>
      <c r="R1" s="158" t="s">
        <v>1155</v>
      </c>
      <c r="S1" s="158" t="s">
        <v>1156</v>
      </c>
      <c r="T1" s="158" t="s">
        <v>1157</v>
      </c>
      <c r="U1" s="158" t="s">
        <v>1158</v>
      </c>
      <c r="V1" s="158" t="s">
        <v>1159</v>
      </c>
      <c r="W1" s="158" t="s">
        <v>1160</v>
      </c>
      <c r="X1" s="158" t="s">
        <v>1161</v>
      </c>
      <c r="Y1" s="158" t="s">
        <v>1162</v>
      </c>
      <c r="Z1" s="158" t="s">
        <v>1163</v>
      </c>
      <c r="AA1" s="158" t="s">
        <v>1164</v>
      </c>
      <c r="AB1" s="158" t="s">
        <v>1165</v>
      </c>
      <c r="AC1" s="158" t="s">
        <v>1166</v>
      </c>
      <c r="AD1" s="158" t="s">
        <v>1167</v>
      </c>
      <c r="AE1" s="158" t="s">
        <v>1168</v>
      </c>
      <c r="AF1" s="158" t="s">
        <v>1169</v>
      </c>
      <c r="AG1" s="158" t="s">
        <v>1170</v>
      </c>
      <c r="AH1" s="158" t="s">
        <v>1171</v>
      </c>
      <c r="AI1" s="158" t="s">
        <v>1172</v>
      </c>
      <c r="AJ1" s="158" t="s">
        <v>1173</v>
      </c>
      <c r="AK1" s="158" t="s">
        <v>1174</v>
      </c>
      <c r="AL1" s="158" t="s">
        <v>1175</v>
      </c>
      <c r="AM1" s="158" t="s">
        <v>1176</v>
      </c>
      <c r="AN1" s="158" t="s">
        <v>1177</v>
      </c>
      <c r="AO1" s="158" t="s">
        <v>1178</v>
      </c>
      <c r="AP1" s="158" t="s">
        <v>1179</v>
      </c>
      <c r="AQ1" s="158" t="s">
        <v>1180</v>
      </c>
      <c r="AR1" s="158" t="s">
        <v>1181</v>
      </c>
      <c r="AS1" s="158" t="s">
        <v>1182</v>
      </c>
      <c r="AT1" s="158" t="s">
        <v>1183</v>
      </c>
      <c r="AU1" s="158" t="s">
        <v>1184</v>
      </c>
      <c r="AV1" s="158" t="s">
        <v>1185</v>
      </c>
      <c r="AW1" s="158" t="s">
        <v>1186</v>
      </c>
      <c r="AX1" s="158" t="s">
        <v>1187</v>
      </c>
      <c r="AY1" s="158" t="s">
        <v>1188</v>
      </c>
      <c r="AZ1" s="158" t="s">
        <v>1189</v>
      </c>
      <c r="BA1" s="158" t="s">
        <v>1190</v>
      </c>
      <c r="BB1" s="159" t="s">
        <v>1191</v>
      </c>
    </row>
    <row r="2" spans="1:54" s="135" customFormat="1">
      <c r="A2" s="151" t="s">
        <v>1134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1137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1135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1134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1136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1192</v>
      </c>
      <c r="B3" s="129" t="s">
        <v>1193</v>
      </c>
      <c r="C3" s="129"/>
      <c r="D3" s="217"/>
      <c r="E3" s="129"/>
    </row>
    <row r="4" spans="1:5">
      <c r="A4" s="79" t="s">
        <v>47</v>
      </c>
      <c r="B4">
        <v>0</v>
      </c>
    </row>
    <row r="5" spans="1:5">
      <c r="A5" s="79" t="s">
        <v>1194</v>
      </c>
      <c r="B5">
        <v>85</v>
      </c>
      <c r="D5" s="130">
        <f>GETPIVOTDATA("#Tests",$A$3,"ETA","wk-1")/GETPIVOTDATA("#Tests",$A$3)</f>
        <v>0.17</v>
      </c>
      <c r="E5" s="131">
        <f>D5</f>
        <v>0.17</v>
      </c>
    </row>
    <row r="6" spans="1:5">
      <c r="A6" s="79" t="s">
        <v>1195</v>
      </c>
      <c r="B6">
        <v>48</v>
      </c>
      <c r="D6" s="130">
        <f>GETPIVOTDATA("#Tests",$A$3,"ETA","wk-2")/GETPIVOTDATA("#Tests",$A$3)</f>
        <v>9.6000000000000002E-2</v>
      </c>
      <c r="E6" s="131">
        <f t="shared" ref="E6:E12" si="0">E5+D6</f>
        <v>0.26600000000000001</v>
      </c>
    </row>
    <row r="7" spans="1:5">
      <c r="A7" s="79" t="s">
        <v>1196</v>
      </c>
      <c r="B7">
        <v>96</v>
      </c>
      <c r="D7" s="130">
        <f>GETPIVOTDATA("#Tests",$A$3,"ETA","wk-3")/GETPIVOTDATA("#Tests",$A$3)</f>
        <v>0.192</v>
      </c>
      <c r="E7" s="131">
        <f t="shared" si="0"/>
        <v>0.45800000000000002</v>
      </c>
    </row>
    <row r="8" spans="1:5">
      <c r="A8" s="79" t="s">
        <v>1197</v>
      </c>
      <c r="B8">
        <v>79</v>
      </c>
      <c r="D8" s="130">
        <f>GETPIVOTDATA("#Tests",$A$3,"ETA","wk-4")/GETPIVOTDATA("#Tests",$A$3)</f>
        <v>0.158</v>
      </c>
      <c r="E8" s="131">
        <f t="shared" si="0"/>
        <v>0.61599999999999999</v>
      </c>
    </row>
    <row r="9" spans="1:5">
      <c r="A9" s="79" t="s">
        <v>1198</v>
      </c>
      <c r="B9">
        <v>82</v>
      </c>
      <c r="D9" s="130">
        <f>GETPIVOTDATA("#Tests",$A$3,"ETA","wk-5")/GETPIVOTDATA("#Tests",$A$3)</f>
        <v>0.16400000000000001</v>
      </c>
      <c r="E9" s="131">
        <f t="shared" si="0"/>
        <v>0.78</v>
      </c>
    </row>
    <row r="10" spans="1:5">
      <c r="A10" s="79" t="s">
        <v>1199</v>
      </c>
      <c r="B10">
        <v>60</v>
      </c>
      <c r="D10" s="130">
        <f>GETPIVOTDATA("#Tests",$A$3,"ETA","wk-6")/GETPIVOTDATA("#Tests",$A$3)</f>
        <v>0.12</v>
      </c>
      <c r="E10" s="131">
        <f t="shared" si="0"/>
        <v>0.9</v>
      </c>
    </row>
    <row r="11" spans="1:5">
      <c r="A11" s="79" t="s">
        <v>1200</v>
      </c>
      <c r="B11">
        <v>30</v>
      </c>
      <c r="D11" s="130">
        <f>GETPIVOTDATA("#Tests",$A$3,"ETA","wk-7")/GETPIVOTDATA("#Tests",$A$3)</f>
        <v>0.06</v>
      </c>
      <c r="E11" s="131">
        <f t="shared" si="0"/>
        <v>0.96</v>
      </c>
    </row>
    <row r="12" spans="1:5">
      <c r="A12" s="79" t="s">
        <v>1201</v>
      </c>
      <c r="B12">
        <v>20</v>
      </c>
      <c r="D12" s="130">
        <f>GETPIVOTDATA("#Tests",$A$3,"ETA","wk-8")/GETPIVOTDATA("#Tests",$A$3)</f>
        <v>0.04</v>
      </c>
      <c r="E12" s="131">
        <f t="shared" si="0"/>
        <v>1</v>
      </c>
    </row>
    <row r="13" spans="1:5">
      <c r="A13" s="79" t="s">
        <v>1026</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Nadaf, Ramzan</cp:lastModifiedBy>
  <cp:revision/>
  <dcterms:created xsi:type="dcterms:W3CDTF">2013-03-11T21:33:52Z</dcterms:created>
  <dcterms:modified xsi:type="dcterms:W3CDTF">2024-02-02T17:20:42Z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